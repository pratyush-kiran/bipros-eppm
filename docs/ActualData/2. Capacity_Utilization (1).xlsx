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defaultThemeVersion="124226"/>
  <xr:revisionPtr revIDLastSave="0" documentId="13_ncr:1_{0077EC78-0686-406E-BAAE-49282A254B4D}" xr6:coauthVersionLast="47" xr6:coauthVersionMax="47" xr10:uidLastSave="{00000000-0000-0000-0000-000000000000}"/>
  <bookViews>
    <workbookView xWindow="-108" yWindow="-108" windowWidth="23256" windowHeight="12456" activeTab="2" xr2:uid="{00000000-000D-0000-FFFF-FFFF00000000}"/>
  </bookViews>
  <sheets>
    <sheet name="Plant utilization" sheetId="6" r:id="rId1"/>
    <sheet name="Manpower utilization" sheetId="7" r:id="rId2"/>
    <sheet name="SUMMARY" sheetId="8" r:id="rId3"/>
    <sheet name="Daily Deployment" sheetId="11" r:id="rId4"/>
    <sheet name="DPR" sheetId="12" r:id="rId5"/>
  </sheets>
  <externalReferences>
    <externalReference r:id="rId6"/>
    <externalReference r:id="rId7"/>
    <externalReference r:id="rId8"/>
    <externalReference r:id="rId9"/>
    <externalReference r:id="rId10"/>
  </externalReferences>
  <definedNames>
    <definedName name="__123Graph_A" hidden="1">[1]TTL!$G$31:$AU$31</definedName>
    <definedName name="__123Graph_B" hidden="1">[1]TTL!$G$32:$AU$32</definedName>
    <definedName name="__123Graph_C" hidden="1">[1]TTL!$G$37:$AU$37</definedName>
    <definedName name="__123Graph_D" hidden="1">[1]TTL!$G$38:$AU$38</definedName>
    <definedName name="__123Graph_X" hidden="1">[1]TTL!$G$6:$AU$6</definedName>
    <definedName name="__xlfn.BAHTTEXT" hidden="1">#NAME?</definedName>
    <definedName name="__xx1" localSheetId="3" hidden="1">{"'Typical Costs Estimates'!$C$158:$H$161"}</definedName>
    <definedName name="__xx1" localSheetId="4" hidden="1">{"'Typical Costs Estimates'!$C$158:$H$161"}</definedName>
    <definedName name="__xx1" hidden="1">{"'Typical Costs Estimates'!$C$158:$H$161"}</definedName>
    <definedName name="_1__123Graph_ACHART_1" hidden="1">[2]Cash2!$G$16:$G$31</definedName>
    <definedName name="_2__123Graph_ACHART_2" hidden="1">[2]Z!$T$179:$AH$179</definedName>
    <definedName name="_3__123Graph_BCHART_2" hidden="1">[2]Z!$T$180:$AH$180</definedName>
    <definedName name="_4__123Graph_CCHART_1" hidden="1">[2]Cash2!$J$16:$J$36</definedName>
    <definedName name="_5__123Graph_DCHART_1" hidden="1">[2]Cash2!$K$16:$K$36</definedName>
    <definedName name="_Fill" hidden="1">[3]BHANDUP!#REF!</definedName>
    <definedName name="_Fill1" hidden="1">[3]BHANDUP!#REF!</definedName>
    <definedName name="_xlnm._FilterDatabase" localSheetId="3" hidden="1">#REF!</definedName>
    <definedName name="_xlnm._FilterDatabase" localSheetId="4" hidden="1">DPR!$A$9:$WWV$341</definedName>
    <definedName name="_xlnm._FilterDatabase" hidden="1">#REF!</definedName>
    <definedName name="_Key1" localSheetId="3" hidden="1">#REF!</definedName>
    <definedName name="_Key1" hidden="1">#REF!</definedName>
    <definedName name="_Key2" localSheetId="3" hidden="1">#REF!</definedName>
    <definedName name="_Key2" hidden="1">#REF!</definedName>
    <definedName name="_Order1" hidden="1">255</definedName>
    <definedName name="_Order2" hidden="1">0</definedName>
    <definedName name="_Order2_1" hidden="1">0</definedName>
    <definedName name="_Parse_Out" localSheetId="3" hidden="1">#REF!</definedName>
    <definedName name="_Parse_Out" hidden="1">#REF!</definedName>
    <definedName name="_Regression_Int" hidden="1">1</definedName>
    <definedName name="_Regression_Out" localSheetId="3" hidden="1">#REF!</definedName>
    <definedName name="_Regression_Out" hidden="1">#REF!</definedName>
    <definedName name="_Regression_X" localSheetId="3" hidden="1">#REF!</definedName>
    <definedName name="_Regression_X" hidden="1">#REF!</definedName>
    <definedName name="_Regression_Y" localSheetId="3" hidden="1">#REF!</definedName>
    <definedName name="_Regression_Y" hidden="1">#REF!</definedName>
    <definedName name="_Sort" localSheetId="3" hidden="1">#REF!</definedName>
    <definedName name="_Sort" hidden="1">#REF!</definedName>
    <definedName name="_xx1" localSheetId="3" hidden="1">{"'Typical Costs Estimates'!$C$158:$H$161"}</definedName>
    <definedName name="_xx1" localSheetId="4" hidden="1">{"'Typical Costs Estimates'!$C$158:$H$161"}</definedName>
    <definedName name="_xx1" hidden="1">{"'Typical Costs Estimates'!$C$158:$H$161"}</definedName>
    <definedName name="ab" hidden="1">#REF!</definedName>
    <definedName name="abc" hidden="1">[4]BHANDUP!#REF!</definedName>
    <definedName name="ac" localSheetId="3" hidden="1">#REF!</definedName>
    <definedName name="ac" hidden="1">#REF!</definedName>
    <definedName name="asdf" hidden="1">#REF!</definedName>
    <definedName name="Code" localSheetId="3" hidden="1">#REF!</definedName>
    <definedName name="Code" hidden="1">#REF!</definedName>
    <definedName name="copy03" hidden="1">#REF!</definedName>
    <definedName name="data1" localSheetId="3" hidden="1">#REF!</definedName>
    <definedName name="data1" hidden="1">#REF!</definedName>
    <definedName name="data2" localSheetId="3" hidden="1">#REF!</definedName>
    <definedName name="data2" hidden="1">#REF!</definedName>
    <definedName name="data3" localSheetId="3" hidden="1">#REF!</definedName>
    <definedName name="data3" hidden="1">#REF!</definedName>
    <definedName name="del" hidden="1">#REF!</definedName>
    <definedName name="delete" localSheetId="3" hidden="1">#REF!</definedName>
    <definedName name="delete" hidden="1">#REF!</definedName>
    <definedName name="Discount" localSheetId="3" hidden="1">#REF!</definedName>
    <definedName name="Discount" hidden="1">#REF!</definedName>
    <definedName name="display_area_2" localSheetId="3" hidden="1">#REF!</definedName>
    <definedName name="display_area_2" hidden="1">#REF!</definedName>
    <definedName name="Drainage" localSheetId="3" hidden="1">{"'Typical Costs Estimates'!$C$158:$H$161"}</definedName>
    <definedName name="Drainage" localSheetId="4" hidden="1">{"'Typical Costs Estimates'!$C$158:$H$161"}</definedName>
    <definedName name="Drainage" hidden="1">{"'Typical Costs Estimates'!$C$158:$H$161"}</definedName>
    <definedName name="EA" hidden="1">#REF!</definedName>
    <definedName name="FCode" hidden="1">#REF!</definedName>
    <definedName name="fleet....." hidden="1">#REF!</definedName>
    <definedName name="gjf" hidden="1">#REF!</definedName>
    <definedName name="HiddenRows" localSheetId="3" hidden="1">#REF!</definedName>
    <definedName name="HiddenRows" hidden="1">#REF!</definedName>
    <definedName name="html" localSheetId="3" hidden="1">{"'Typical Costs Estimates'!$C$158:$H$161"}</definedName>
    <definedName name="html" localSheetId="4" hidden="1">{"'Typical Costs Estimates'!$C$158:$H$161"}</definedName>
    <definedName name="html" hidden="1">{"'Typical Costs Estimates'!$C$158:$H$161"}</definedName>
    <definedName name="HTML_CodePage" hidden="1">1252</definedName>
    <definedName name="HTML_Control" localSheetId="3" hidden="1">{"'Typical Costs Estimates'!$C$158:$H$161"}</definedName>
    <definedName name="HTML_Control" localSheetId="4" hidden="1">{"'Typical Costs Estimates'!$C$158:$H$161"}</definedName>
    <definedName name="HTML_Control" hidden="1">{"'Typical Costs Estimates'!$C$158:$H$161"}</definedName>
    <definedName name="HTML_Description" hidden="1">""</definedName>
    <definedName name="HTML_Email" hidden="1">""</definedName>
    <definedName name="HTML_Header" hidden="1">"Typical Costs Estimates"</definedName>
    <definedName name="HTML_LastUpdate" hidden="1">"8/18/99"</definedName>
    <definedName name="HTML_LineAfter" hidden="1">TRUE</definedName>
    <definedName name="HTML_LineBefore" hidden="1">TRUE</definedName>
    <definedName name="HTML_Name" hidden="1">"Ajit.S.R"</definedName>
    <definedName name="HTML_OBDlg2" hidden="1">TRUE</definedName>
    <definedName name="HTML_OBDlg4" hidden="1">TRUE</definedName>
    <definedName name="HTML_OS" hidden="1">0</definedName>
    <definedName name="HTML_PathFile" hidden="1">"C:\My Documents\MyHTML.htm"</definedName>
    <definedName name="HTML_Title" hidden="1">"Ecr cost"</definedName>
    <definedName name="keyx" hidden="1">#REF!</definedName>
    <definedName name="keyxx" localSheetId="3" hidden="1">#REF!</definedName>
    <definedName name="keyxx" hidden="1">#REF!</definedName>
    <definedName name="OrderTable" localSheetId="3" hidden="1">#REF!</definedName>
    <definedName name="OrderTable" hidden="1">#REF!</definedName>
    <definedName name="_xlnm.Print_Area" localSheetId="1">'Manpower utilization'!$A$1:$O$116</definedName>
    <definedName name="_xlnm.Print_Area" localSheetId="0">'Plant utilization'!$A$1:$AA$158</definedName>
    <definedName name="ProdForm" localSheetId="3" hidden="1">#REF!</definedName>
    <definedName name="ProdForm" hidden="1">#REF!</definedName>
    <definedName name="Product" localSheetId="3" hidden="1">#REF!</definedName>
    <definedName name="Product" hidden="1">#REF!</definedName>
    <definedName name="RCArea" localSheetId="3" hidden="1">#REF!</definedName>
    <definedName name="RCArea" hidden="1">#REF!</definedName>
    <definedName name="Sortx" hidden="1">#REF!</definedName>
    <definedName name="SpecialPrice" localSheetId="3" hidden="1">#REF!</definedName>
    <definedName name="SpecialPrice" hidden="1">#REF!</definedName>
    <definedName name="stpjulnew" localSheetId="3" hidden="1">#REF!</definedName>
    <definedName name="stpjulnew" hidden="1">#REF!</definedName>
    <definedName name="tbl_ProdInfo" localSheetId="3" hidden="1">#REF!</definedName>
    <definedName name="tbl_ProdInfo" hidden="1">#REF!</definedName>
    <definedName name="TextRefCopyRangeCount" hidden="1">14</definedName>
    <definedName name="TRANSFER" localSheetId="3" hidden="1">#REF!</definedName>
    <definedName name="TRANSFER" hidden="1">#REF!</definedName>
    <definedName name="TY" localSheetId="3" hidden="1">#REF!</definedName>
    <definedName name="TY" hidden="1">#REF!</definedName>
    <definedName name="UI" localSheetId="3" hidden="1">#REF!</definedName>
    <definedName name="UI"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xx" hidden="1">#REF!</definedName>
    <definedName name="xxx" localSheetId="3" hidden="1">#REF!</definedName>
    <definedName name="xxx" hidden="1">#REF!</definedName>
    <definedName name="xxxx" localSheetId="3" hidden="1">#REF!</definedName>
    <definedName name="xxxx" hidden="1">#REF!</definedName>
    <definedName name="도면외주" hidden="1">#REF!</definedName>
    <definedName name="도면용역비" localSheetId="3" hidden="1">#REF!</definedName>
    <definedName name="도면용역비" hidden="1">#REF!</definedName>
    <definedName name="전계장금액" localSheetId="3" hidden="1">#REF!</definedName>
    <definedName name="전계장금액"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8" l="1"/>
  <c r="H19" i="8"/>
  <c r="H18" i="8"/>
  <c r="H17" i="8"/>
  <c r="E20" i="8"/>
  <c r="E19" i="8"/>
  <c r="E18" i="8"/>
  <c r="E17" i="8"/>
  <c r="H7" i="8"/>
  <c r="H8" i="8"/>
  <c r="H9" i="8"/>
  <c r="H10" i="8"/>
  <c r="H11" i="8"/>
  <c r="H12" i="8"/>
  <c r="H13" i="8"/>
  <c r="H6" i="8"/>
  <c r="E7" i="8"/>
  <c r="E8" i="8"/>
  <c r="E9" i="8"/>
  <c r="E10" i="8"/>
  <c r="E11" i="8"/>
  <c r="E12" i="8"/>
  <c r="E13" i="8"/>
  <c r="E6" i="8"/>
  <c r="AW339" i="12"/>
  <c r="F339" i="12"/>
  <c r="AW338" i="12"/>
  <c r="F338" i="12"/>
  <c r="AW337" i="12"/>
  <c r="F337" i="12"/>
  <c r="F336" i="12"/>
  <c r="AW335" i="12"/>
  <c r="F335" i="12"/>
  <c r="AW334" i="12"/>
  <c r="F334" i="12"/>
  <c r="AW333" i="12"/>
  <c r="BC333" i="12"/>
  <c r="F333" i="12"/>
  <c r="AW332" i="12"/>
  <c r="BD332" i="12"/>
  <c r="F332" i="12"/>
  <c r="AW331" i="12"/>
  <c r="BA331" i="12"/>
  <c r="F331" i="12"/>
  <c r="F330" i="12"/>
  <c r="AW329" i="12"/>
  <c r="F329" i="12"/>
  <c r="F328" i="12"/>
  <c r="F327" i="12"/>
  <c r="F326" i="12"/>
  <c r="AW325" i="12"/>
  <c r="BC325" i="12"/>
  <c r="BB325" i="12"/>
  <c r="BA325" i="12"/>
  <c r="F325" i="12"/>
  <c r="AW324" i="12"/>
  <c r="BD324" i="12"/>
  <c r="BB324" i="12"/>
  <c r="F324" i="12"/>
  <c r="AW323" i="12"/>
  <c r="BA323" i="12"/>
  <c r="F323" i="12"/>
  <c r="AW322" i="12"/>
  <c r="F322" i="12"/>
  <c r="AW321" i="12"/>
  <c r="BC321" i="12"/>
  <c r="BB321" i="12"/>
  <c r="F321" i="12"/>
  <c r="F320" i="12"/>
  <c r="AW319" i="12"/>
  <c r="BB319" i="12"/>
  <c r="F319" i="12"/>
  <c r="F318" i="12"/>
  <c r="AW317" i="12"/>
  <c r="BC317" i="12"/>
  <c r="BB317" i="12"/>
  <c r="BA317" i="12"/>
  <c r="F317" i="12"/>
  <c r="AW316" i="12"/>
  <c r="BD316" i="12"/>
  <c r="BB316" i="12"/>
  <c r="F316" i="12"/>
  <c r="AW315" i="12"/>
  <c r="BA315" i="12"/>
  <c r="F315" i="12"/>
  <c r="BC314" i="12"/>
  <c r="BB314" i="12"/>
  <c r="F314" i="12"/>
  <c r="AW313" i="12"/>
  <c r="F313" i="12"/>
  <c r="BD312" i="12"/>
  <c r="F312" i="12"/>
  <c r="AW311" i="12"/>
  <c r="F311" i="12"/>
  <c r="BD310" i="12"/>
  <c r="F310" i="12"/>
  <c r="F309" i="12"/>
  <c r="AW308" i="12"/>
  <c r="F308" i="12"/>
  <c r="AW307" i="12"/>
  <c r="BA307" i="12"/>
  <c r="F307" i="12"/>
  <c r="BD306" i="12"/>
  <c r="F306" i="12"/>
  <c r="AW305" i="12"/>
  <c r="F305" i="12"/>
  <c r="F304" i="12"/>
  <c r="F303" i="12"/>
  <c r="D302" i="12"/>
  <c r="AT340" i="12" s="1"/>
  <c r="F301" i="12"/>
  <c r="AW300" i="12"/>
  <c r="F300" i="12"/>
  <c r="AW299" i="12"/>
  <c r="BD299" i="12"/>
  <c r="F299" i="12"/>
  <c r="AW298" i="12"/>
  <c r="BA298" i="12"/>
  <c r="F298" i="12"/>
  <c r="BC297" i="12"/>
  <c r="BB297" i="12"/>
  <c r="BA297" i="12"/>
  <c r="F297" i="12"/>
  <c r="AW296" i="12"/>
  <c r="BD296" i="12"/>
  <c r="F296" i="12"/>
  <c r="AW295" i="12"/>
  <c r="F295" i="12"/>
  <c r="AW294" i="12"/>
  <c r="F294" i="12"/>
  <c r="BD293" i="12"/>
  <c r="BB293" i="12"/>
  <c r="F293" i="12"/>
  <c r="AW292" i="12"/>
  <c r="F292" i="12"/>
  <c r="F291" i="12"/>
  <c r="F290" i="12"/>
  <c r="AW289" i="12"/>
  <c r="F289" i="12"/>
  <c r="AW288" i="12"/>
  <c r="F288" i="12"/>
  <c r="F287" i="12"/>
  <c r="BC286" i="12"/>
  <c r="F286" i="12"/>
  <c r="AW285" i="12"/>
  <c r="F285" i="12"/>
  <c r="BC284" i="12"/>
  <c r="F284" i="12"/>
  <c r="AW283" i="12"/>
  <c r="BB283" i="12"/>
  <c r="F283" i="12"/>
  <c r="BA282" i="12"/>
  <c r="F282" i="12"/>
  <c r="AW281" i="12"/>
  <c r="BB281" i="12"/>
  <c r="H281" i="12"/>
  <c r="F281" i="12"/>
  <c r="AW280" i="12"/>
  <c r="F280" i="12"/>
  <c r="F279" i="12"/>
  <c r="AW278" i="12"/>
  <c r="F278" i="12"/>
  <c r="AW277" i="12"/>
  <c r="BD277" i="12"/>
  <c r="BC277" i="12"/>
  <c r="F277" i="12"/>
  <c r="AW276" i="12"/>
  <c r="F276" i="12"/>
  <c r="F275" i="12"/>
  <c r="AW274" i="12"/>
  <c r="F274" i="12"/>
  <c r="AW273" i="12"/>
  <c r="BB273" i="12"/>
  <c r="F273" i="12"/>
  <c r="AW272" i="12"/>
  <c r="F272" i="12"/>
  <c r="F271" i="12"/>
  <c r="BD270" i="12"/>
  <c r="F270" i="12"/>
  <c r="F269" i="12"/>
  <c r="AW268" i="12"/>
  <c r="F268" i="12"/>
  <c r="AW267" i="12"/>
  <c r="BD267" i="12"/>
  <c r="F267" i="12"/>
  <c r="BD266" i="12"/>
  <c r="F266" i="12"/>
  <c r="AW265" i="12"/>
  <c r="F265" i="12"/>
  <c r="AW264" i="12"/>
  <c r="F264" i="12"/>
  <c r="AW263" i="12"/>
  <c r="BD263" i="12"/>
  <c r="F263" i="12"/>
  <c r="F262" i="12"/>
  <c r="BC261" i="12"/>
  <c r="F261" i="12"/>
  <c r="AW260" i="12"/>
  <c r="F260" i="12"/>
  <c r="AW259" i="12"/>
  <c r="BA259" i="12"/>
  <c r="F259" i="12"/>
  <c r="AW258" i="12"/>
  <c r="BD258" i="12"/>
  <c r="BC258" i="12"/>
  <c r="BA258" i="12"/>
  <c r="F258" i="12"/>
  <c r="AW257" i="12"/>
  <c r="F257" i="12"/>
  <c r="AW256" i="12"/>
  <c r="F256" i="12"/>
  <c r="AW255" i="12"/>
  <c r="F255" i="12"/>
  <c r="AW254" i="12"/>
  <c r="F254" i="12"/>
  <c r="F253" i="12"/>
  <c r="AW252" i="12"/>
  <c r="BB252" i="12"/>
  <c r="F252" i="12"/>
  <c r="BB251" i="12"/>
  <c r="F251" i="12"/>
  <c r="AW250" i="12"/>
  <c r="F250" i="12"/>
  <c r="BB249" i="12"/>
  <c r="F249" i="12"/>
  <c r="BB248" i="12"/>
  <c r="F248" i="12"/>
  <c r="AW247" i="12"/>
  <c r="F247" i="12"/>
  <c r="F246" i="12"/>
  <c r="AW245" i="12"/>
  <c r="F245" i="12"/>
  <c r="F244" i="12"/>
  <c r="AW243" i="12"/>
  <c r="BC243" i="12"/>
  <c r="F243" i="12"/>
  <c r="BB242" i="12"/>
  <c r="F242" i="12"/>
  <c r="AW241" i="12"/>
  <c r="BA241" i="12"/>
  <c r="F241" i="12"/>
  <c r="BD240" i="12"/>
  <c r="F240" i="12"/>
  <c r="F239" i="12"/>
  <c r="AW238" i="12"/>
  <c r="F238" i="12"/>
  <c r="AW237" i="12"/>
  <c r="F237" i="12"/>
  <c r="AW236" i="12"/>
  <c r="F236" i="12"/>
  <c r="AW235" i="12"/>
  <c r="BD235" i="12"/>
  <c r="F235" i="12"/>
  <c r="F234" i="12"/>
  <c r="AW233" i="12"/>
  <c r="F233" i="12"/>
  <c r="F232" i="12"/>
  <c r="AW231" i="12"/>
  <c r="BA231" i="12"/>
  <c r="F231" i="12"/>
  <c r="F230" i="12"/>
  <c r="AW229" i="12"/>
  <c r="F229" i="12"/>
  <c r="AW228" i="12"/>
  <c r="F228" i="12"/>
  <c r="AW227" i="12"/>
  <c r="F227" i="12"/>
  <c r="BD226" i="12"/>
  <c r="F226" i="12"/>
  <c r="F225" i="12"/>
  <c r="F224" i="12"/>
  <c r="AW223" i="12"/>
  <c r="F223" i="12"/>
  <c r="AW222" i="12"/>
  <c r="BC222" i="12"/>
  <c r="BB222" i="12"/>
  <c r="F222" i="12"/>
  <c r="AW221" i="12"/>
  <c r="BD221" i="12"/>
  <c r="BB221" i="12"/>
  <c r="F221" i="12"/>
  <c r="AW220" i="12"/>
  <c r="F220" i="12"/>
  <c r="AW219" i="12"/>
  <c r="F219" i="12"/>
  <c r="AW218" i="12"/>
  <c r="BD218" i="12"/>
  <c r="F218" i="12"/>
  <c r="F217" i="12"/>
  <c r="F216" i="12"/>
  <c r="AW215" i="12"/>
  <c r="BB215" i="12"/>
  <c r="BA215" i="12"/>
  <c r="F215" i="12"/>
  <c r="AW214" i="12"/>
  <c r="F214" i="12"/>
  <c r="AW213" i="12"/>
  <c r="F213" i="12"/>
  <c r="AW212" i="12"/>
  <c r="F212" i="12"/>
  <c r="AW211" i="12"/>
  <c r="F211" i="12"/>
  <c r="BB210" i="12"/>
  <c r="F210" i="12"/>
  <c r="F209" i="12"/>
  <c r="F208" i="12"/>
  <c r="AW207" i="12"/>
  <c r="F207" i="12"/>
  <c r="AW206" i="12"/>
  <c r="F206" i="12"/>
  <c r="AW205" i="12"/>
  <c r="F205" i="12"/>
  <c r="BD204" i="12"/>
  <c r="BA204" i="12"/>
  <c r="F204" i="12"/>
  <c r="AW203" i="12"/>
  <c r="BC203" i="12"/>
  <c r="BB203" i="12"/>
  <c r="F203" i="12"/>
  <c r="AW202" i="12"/>
  <c r="F202" i="12"/>
  <c r="F201" i="12"/>
  <c r="AW200" i="12"/>
  <c r="F200" i="12"/>
  <c r="AW199" i="12"/>
  <c r="F199" i="12"/>
  <c r="AW198" i="12"/>
  <c r="F198" i="12"/>
  <c r="AW197" i="12"/>
  <c r="BB197" i="12"/>
  <c r="F197" i="12"/>
  <c r="AW196" i="12"/>
  <c r="F196" i="12"/>
  <c r="AW195" i="12"/>
  <c r="BD195" i="12"/>
  <c r="BC195" i="12"/>
  <c r="BB195" i="12"/>
  <c r="H195" i="12"/>
  <c r="F195" i="12"/>
  <c r="AW194" i="12"/>
  <c r="BC194" i="12"/>
  <c r="BB194" i="12"/>
  <c r="F194" i="12"/>
  <c r="BB193" i="12"/>
  <c r="F193" i="12"/>
  <c r="AW192" i="12"/>
  <c r="BD192" i="12"/>
  <c r="BC192" i="12"/>
  <c r="BB192" i="12"/>
  <c r="AX192" i="12"/>
  <c r="F192" i="12"/>
  <c r="AW191" i="12"/>
  <c r="F191" i="12"/>
  <c r="BB190" i="12"/>
  <c r="F190" i="12"/>
  <c r="AW189" i="12"/>
  <c r="F189" i="12"/>
  <c r="AW188" i="12"/>
  <c r="F188" i="12"/>
  <c r="AW187" i="12"/>
  <c r="F187" i="12"/>
  <c r="AW186" i="12"/>
  <c r="F186" i="12"/>
  <c r="BB185" i="12"/>
  <c r="F185" i="12"/>
  <c r="F184" i="12"/>
  <c r="BB183" i="12"/>
  <c r="F183" i="12"/>
  <c r="AW182" i="12"/>
  <c r="F182" i="12"/>
  <c r="AW181" i="12"/>
  <c r="F181" i="12"/>
  <c r="AW180" i="12"/>
  <c r="F180" i="12"/>
  <c r="F179" i="12"/>
  <c r="AW178" i="12"/>
  <c r="F178" i="12"/>
  <c r="AW177" i="12"/>
  <c r="BD177" i="12"/>
  <c r="BC177" i="12"/>
  <c r="F177" i="12"/>
  <c r="AW176" i="12"/>
  <c r="BD176" i="12"/>
  <c r="BB176" i="12"/>
  <c r="F176" i="12"/>
  <c r="BA175" i="12"/>
  <c r="F175" i="12"/>
  <c r="AW174" i="12"/>
  <c r="H174" i="12"/>
  <c r="F174" i="12"/>
  <c r="AW173" i="12"/>
  <c r="F173" i="12"/>
  <c r="AW172" i="12"/>
  <c r="BB172" i="12"/>
  <c r="BA172" i="12"/>
  <c r="F172" i="12"/>
  <c r="BD171" i="12"/>
  <c r="F171" i="12"/>
  <c r="AW170" i="12"/>
  <c r="F170" i="12"/>
  <c r="AW169" i="12"/>
  <c r="F169" i="12"/>
  <c r="AW168" i="12"/>
  <c r="F168" i="12"/>
  <c r="AW167" i="12"/>
  <c r="BB167" i="12"/>
  <c r="BA167" i="12"/>
  <c r="F167" i="12"/>
  <c r="AW166" i="12"/>
  <c r="BD166" i="12"/>
  <c r="F166" i="12"/>
  <c r="AW165" i="12"/>
  <c r="F165" i="12"/>
  <c r="F164" i="12"/>
  <c r="F163" i="12"/>
  <c r="AW162" i="12"/>
  <c r="BD162" i="12"/>
  <c r="BC162" i="12"/>
  <c r="F162" i="12"/>
  <c r="AW161" i="12"/>
  <c r="BB161" i="12"/>
  <c r="F161" i="12"/>
  <c r="AW160" i="12"/>
  <c r="F160" i="12"/>
  <c r="F159" i="12"/>
  <c r="AW158" i="12"/>
  <c r="F158" i="12"/>
  <c r="F157" i="12"/>
  <c r="F156" i="12"/>
  <c r="AW155" i="12"/>
  <c r="F155" i="12"/>
  <c r="AW154" i="12"/>
  <c r="BB154" i="12"/>
  <c r="BA154" i="12"/>
  <c r="F154" i="12"/>
  <c r="H153" i="12"/>
  <c r="F153" i="12"/>
  <c r="AW152" i="12"/>
  <c r="F152" i="12"/>
  <c r="F151" i="12"/>
  <c r="F150" i="12"/>
  <c r="AW149" i="12"/>
  <c r="F149" i="12"/>
  <c r="AW148" i="12"/>
  <c r="F148" i="12"/>
  <c r="AW147" i="12"/>
  <c r="BC147" i="12"/>
  <c r="BB147" i="12"/>
  <c r="F147" i="12"/>
  <c r="AW146" i="12"/>
  <c r="BB146" i="12"/>
  <c r="F146" i="12"/>
  <c r="AW145" i="12"/>
  <c r="BA145" i="12"/>
  <c r="F145" i="12"/>
  <c r="AW144" i="12"/>
  <c r="F144" i="12"/>
  <c r="AW143" i="12"/>
  <c r="F143" i="12"/>
  <c r="F142" i="12"/>
  <c r="F141" i="12"/>
  <c r="BD140" i="12"/>
  <c r="AW140" i="12"/>
  <c r="F140" i="12"/>
  <c r="F139" i="12"/>
  <c r="AW138" i="12"/>
  <c r="BB138" i="12"/>
  <c r="F138" i="12"/>
  <c r="AW137" i="12"/>
  <c r="F137" i="12"/>
  <c r="AW136" i="12"/>
  <c r="BC136" i="12"/>
  <c r="F136" i="12"/>
  <c r="F135" i="12"/>
  <c r="F134" i="12"/>
  <c r="AW133" i="12"/>
  <c r="BB133" i="12"/>
  <c r="BA133" i="12"/>
  <c r="F133" i="12"/>
  <c r="AW132" i="12"/>
  <c r="F132" i="12"/>
  <c r="AW131" i="12"/>
  <c r="BB131" i="12"/>
  <c r="F131" i="12"/>
  <c r="AW130" i="12"/>
  <c r="BB130" i="12"/>
  <c r="BA130" i="12"/>
  <c r="F130" i="12"/>
  <c r="AW129" i="12"/>
  <c r="BA129" i="12"/>
  <c r="F129" i="12"/>
  <c r="BD128" i="12"/>
  <c r="F128" i="12"/>
  <c r="AW127" i="12"/>
  <c r="F127" i="12"/>
  <c r="BB126" i="12"/>
  <c r="F126" i="12"/>
  <c r="BA125" i="12"/>
  <c r="AW125" i="12"/>
  <c r="F125" i="12"/>
  <c r="AW124" i="12"/>
  <c r="F124" i="12"/>
  <c r="AW123" i="12"/>
  <c r="F123" i="12"/>
  <c r="AW122" i="12"/>
  <c r="BD122" i="12"/>
  <c r="F122" i="12"/>
  <c r="AW121" i="12"/>
  <c r="BC121" i="12"/>
  <c r="BB121" i="12"/>
  <c r="F121" i="12"/>
  <c r="AW120" i="12"/>
  <c r="BB120" i="12"/>
  <c r="F120" i="12"/>
  <c r="AW119" i="12"/>
  <c r="F119" i="12"/>
  <c r="AW118" i="12"/>
  <c r="F118" i="12"/>
  <c r="BC117" i="12"/>
  <c r="F117" i="12"/>
  <c r="F116" i="12"/>
  <c r="AW115" i="12"/>
  <c r="F115" i="12"/>
  <c r="BD114" i="12"/>
  <c r="F114" i="12"/>
  <c r="AW113" i="12"/>
  <c r="F113" i="12"/>
  <c r="F112" i="12"/>
  <c r="BA111" i="12"/>
  <c r="F111" i="12"/>
  <c r="AW110" i="12"/>
  <c r="F110" i="12"/>
  <c r="AW109" i="12"/>
  <c r="BB109" i="12"/>
  <c r="F109" i="12"/>
  <c r="AW108" i="12"/>
  <c r="F108" i="12"/>
  <c r="AW107" i="12"/>
  <c r="F107" i="12"/>
  <c r="AW106" i="12"/>
  <c r="BD106" i="12"/>
  <c r="F106" i="12"/>
  <c r="F105" i="12"/>
  <c r="BD104" i="12"/>
  <c r="BC104" i="12"/>
  <c r="F104" i="12"/>
  <c r="F103" i="12"/>
  <c r="AW102" i="12"/>
  <c r="BC102" i="12"/>
  <c r="F102" i="12"/>
  <c r="BB101" i="12"/>
  <c r="F101" i="12"/>
  <c r="F100" i="12"/>
  <c r="AW99" i="12"/>
  <c r="BB99" i="12"/>
  <c r="F99" i="12"/>
  <c r="AW98" i="12"/>
  <c r="F98" i="12"/>
  <c r="AW97" i="12"/>
  <c r="F97" i="12"/>
  <c r="F96" i="12"/>
  <c r="BC95" i="12"/>
  <c r="BB95" i="12"/>
  <c r="F95" i="12"/>
  <c r="AW94" i="12"/>
  <c r="BD94" i="12"/>
  <c r="F94" i="12"/>
  <c r="AW93" i="12"/>
  <c r="BD93" i="12"/>
  <c r="BC93" i="12"/>
  <c r="F93" i="12"/>
  <c r="AW92" i="12"/>
  <c r="BD92" i="12"/>
  <c r="F92" i="12"/>
  <c r="AW91" i="12"/>
  <c r="F91" i="12"/>
  <c r="AW90" i="12"/>
  <c r="F90" i="12"/>
  <c r="AW89" i="12"/>
  <c r="BA89" i="12"/>
  <c r="F89" i="12"/>
  <c r="AW88" i="12"/>
  <c r="BB88" i="12"/>
  <c r="F88" i="12"/>
  <c r="AW87" i="12"/>
  <c r="F87" i="12"/>
  <c r="AW86" i="12"/>
  <c r="F86" i="12"/>
  <c r="AW85" i="12"/>
  <c r="F85" i="12"/>
  <c r="BC84" i="12"/>
  <c r="BA84" i="12"/>
  <c r="F84" i="12"/>
  <c r="BC83" i="12"/>
  <c r="F83" i="12"/>
  <c r="AW82" i="12"/>
  <c r="BB82" i="12"/>
  <c r="F82" i="12"/>
  <c r="AW81" i="12"/>
  <c r="F81" i="12"/>
  <c r="AW80" i="12"/>
  <c r="F80" i="12"/>
  <c r="AW79" i="12"/>
  <c r="F79" i="12"/>
  <c r="AW78" i="12"/>
  <c r="BD78" i="12"/>
  <c r="F78" i="12"/>
  <c r="AW77" i="12"/>
  <c r="F77" i="12"/>
  <c r="F76" i="12"/>
  <c r="AW75" i="12"/>
  <c r="BC75" i="12"/>
  <c r="F75" i="12"/>
  <c r="AW74" i="12"/>
  <c r="BD74" i="12"/>
  <c r="BC74" i="12"/>
  <c r="BB74" i="12"/>
  <c r="F74" i="12"/>
  <c r="F73" i="12"/>
  <c r="F72" i="12"/>
  <c r="AW71" i="12"/>
  <c r="BD71" i="12"/>
  <c r="F71" i="12"/>
  <c r="AW70" i="12"/>
  <c r="F70" i="12"/>
  <c r="F69" i="12"/>
  <c r="BD68" i="12"/>
  <c r="F68" i="12"/>
  <c r="AW67" i="12"/>
  <c r="F67" i="12"/>
  <c r="AW66" i="12"/>
  <c r="BB66" i="12"/>
  <c r="F66" i="12"/>
  <c r="AW65" i="12"/>
  <c r="BB65" i="12"/>
  <c r="BA65" i="12"/>
  <c r="F65" i="12"/>
  <c r="F64" i="12"/>
  <c r="AW63" i="12"/>
  <c r="F63" i="12"/>
  <c r="F62" i="12"/>
  <c r="BA61" i="12"/>
  <c r="F61" i="12"/>
  <c r="AW60" i="12"/>
  <c r="F60" i="12"/>
  <c r="AW59" i="12"/>
  <c r="F59" i="12"/>
  <c r="AW58" i="12"/>
  <c r="BD58" i="12"/>
  <c r="F58" i="12"/>
  <c r="AW57" i="12"/>
  <c r="F57" i="12"/>
  <c r="F56" i="12"/>
  <c r="F55" i="12"/>
  <c r="F54" i="12"/>
  <c r="F53" i="12"/>
  <c r="AW52" i="12"/>
  <c r="F52" i="12"/>
  <c r="AW51" i="12"/>
  <c r="F51" i="12"/>
  <c r="AW50" i="12"/>
  <c r="F50" i="12"/>
  <c r="F49" i="12"/>
  <c r="BD48" i="12"/>
  <c r="F48" i="12"/>
  <c r="BC47" i="12"/>
  <c r="F47" i="12"/>
  <c r="AW46" i="12"/>
  <c r="F46" i="12"/>
  <c r="AW45" i="12"/>
  <c r="F45" i="12"/>
  <c r="BB44" i="12"/>
  <c r="F44" i="12"/>
  <c r="F43" i="12"/>
  <c r="F42" i="12"/>
  <c r="AW41" i="12"/>
  <c r="F41" i="12"/>
  <c r="AW40" i="12"/>
  <c r="BA40" i="12"/>
  <c r="F40" i="12"/>
  <c r="AW39" i="12"/>
  <c r="F39" i="12"/>
  <c r="AW38" i="12"/>
  <c r="F38" i="12"/>
  <c r="F37" i="12"/>
  <c r="F36" i="12"/>
  <c r="AW35" i="12"/>
  <c r="BB35" i="12"/>
  <c r="F35" i="12"/>
  <c r="AW34" i="12"/>
  <c r="BD34" i="12"/>
  <c r="BB34" i="12"/>
  <c r="F34" i="12"/>
  <c r="H33" i="12"/>
  <c r="F33" i="12"/>
  <c r="AW32" i="12"/>
  <c r="F32" i="12"/>
  <c r="AW31" i="12"/>
  <c r="F31" i="12"/>
  <c r="F30" i="12"/>
  <c r="F29" i="12"/>
  <c r="AW28" i="12"/>
  <c r="F28" i="12"/>
  <c r="F27" i="12"/>
  <c r="BD26" i="12"/>
  <c r="BB26" i="12"/>
  <c r="F26" i="12"/>
  <c r="H25" i="12"/>
  <c r="F25" i="12"/>
  <c r="AW24" i="12"/>
  <c r="BB24" i="12"/>
  <c r="F24" i="12"/>
  <c r="AW23" i="12"/>
  <c r="F23" i="12"/>
  <c r="BB22" i="12"/>
  <c r="F22" i="12"/>
  <c r="AW21" i="12"/>
  <c r="F21" i="12"/>
  <c r="AW20" i="12"/>
  <c r="BB20" i="12"/>
  <c r="BA20" i="12"/>
  <c r="F20" i="12"/>
  <c r="AW19" i="12"/>
  <c r="F19" i="12"/>
  <c r="AW18" i="12"/>
  <c r="BD18" i="12"/>
  <c r="F18" i="12"/>
  <c r="AV341" i="12" s="1"/>
  <c r="AW17" i="12"/>
  <c r="F17" i="12"/>
  <c r="AW16" i="12"/>
  <c r="F16" i="12"/>
  <c r="AW15" i="12"/>
  <c r="F15" i="12"/>
  <c r="BD14" i="12"/>
  <c r="BC14" i="12"/>
  <c r="F14" i="12"/>
  <c r="BB13" i="12"/>
  <c r="F13" i="12"/>
  <c r="F12" i="12"/>
  <c r="BA11" i="12"/>
  <c r="F11" i="12"/>
  <c r="AW10" i="12"/>
  <c r="AX10" i="12"/>
  <c r="F10" i="12"/>
  <c r="F302" i="12" l="1"/>
  <c r="BA91" i="12"/>
  <c r="H214" i="12"/>
  <c r="AX214" i="12"/>
  <c r="BC20" i="12"/>
  <c r="BD20" i="12"/>
  <c r="BD42" i="12"/>
  <c r="AW105" i="12"/>
  <c r="BB139" i="12"/>
  <c r="AW139" i="12"/>
  <c r="BB91" i="12"/>
  <c r="BB16" i="12"/>
  <c r="BC13" i="12"/>
  <c r="BD13" i="12"/>
  <c r="AW13" i="12"/>
  <c r="AW22" i="12"/>
  <c r="AX22" i="12" s="1"/>
  <c r="BD23" i="12"/>
  <c r="BC42" i="12"/>
  <c r="BB59" i="12"/>
  <c r="BB63" i="12"/>
  <c r="H80" i="12"/>
  <c r="BC82" i="12"/>
  <c r="BD82" i="12"/>
  <c r="BD86" i="12"/>
  <c r="BC122" i="12"/>
  <c r="BA16" i="12"/>
  <c r="BB19" i="12"/>
  <c r="BC19" i="12"/>
  <c r="BD19" i="12"/>
  <c r="BA23" i="12"/>
  <c r="BB23" i="12"/>
  <c r="BA107" i="12"/>
  <c r="BD110" i="12"/>
  <c r="BA126" i="12"/>
  <c r="BC140" i="12"/>
  <c r="BD17" i="12"/>
  <c r="BC79" i="12"/>
  <c r="BC98" i="12"/>
  <c r="H125" i="12"/>
  <c r="AX125" i="12"/>
  <c r="AX138" i="12"/>
  <c r="BA138" i="12"/>
  <c r="BB15" i="12"/>
  <c r="BC33" i="12"/>
  <c r="AX12" i="12"/>
  <c r="BB12" i="12"/>
  <c r="AW12" i="12"/>
  <c r="BD21" i="12"/>
  <c r="BB27" i="12"/>
  <c r="BA32" i="12"/>
  <c r="BC41" i="12"/>
  <c r="BC48" i="12"/>
  <c r="BD51" i="12"/>
  <c r="BA81" i="12"/>
  <c r="BB81" i="12"/>
  <c r="BB105" i="12"/>
  <c r="BC105" i="12"/>
  <c r="BC114" i="12"/>
  <c r="BA22" i="12"/>
  <c r="BA15" i="12"/>
  <c r="BD39" i="12"/>
  <c r="H10" i="12"/>
  <c r="BA14" i="12"/>
  <c r="BB14" i="12"/>
  <c r="AW14" i="12"/>
  <c r="BD15" i="12"/>
  <c r="BA18" i="12"/>
  <c r="BB18" i="12"/>
  <c r="BB41" i="12"/>
  <c r="BA53" i="12"/>
  <c r="BD53" i="12"/>
  <c r="BC66" i="12"/>
  <c r="BD66" i="12"/>
  <c r="BA69" i="12"/>
  <c r="BA72" i="12"/>
  <c r="BD72" i="12"/>
  <c r="BA73" i="12"/>
  <c r="BC101" i="12"/>
  <c r="BA146" i="12"/>
  <c r="BC26" i="12"/>
  <c r="BD32" i="12"/>
  <c r="BB33" i="12"/>
  <c r="AW33" i="12"/>
  <c r="AX33" i="12" s="1"/>
  <c r="BA38" i="12"/>
  <c r="BA42" i="12"/>
  <c r="BB42" i="12"/>
  <c r="AW42" i="12"/>
  <c r="BD43" i="12"/>
  <c r="BA46" i="12"/>
  <c r="BB47" i="12"/>
  <c r="AW47" i="12"/>
  <c r="BA50" i="12"/>
  <c r="BB54" i="12"/>
  <c r="BC54" i="12"/>
  <c r="BD54" i="12"/>
  <c r="BA57" i="12"/>
  <c r="AW68" i="12"/>
  <c r="BC72" i="12"/>
  <c r="BD75" i="12"/>
  <c r="BB77" i="12"/>
  <c r="BB79" i="12"/>
  <c r="BA85" i="12"/>
  <c r="BC86" i="12"/>
  <c r="BA88" i="12"/>
  <c r="BD88" i="12"/>
  <c r="BC91" i="12"/>
  <c r="BD91" i="12"/>
  <c r="AW95" i="12"/>
  <c r="BD99" i="12"/>
  <c r="BA104" i="12"/>
  <c r="BB104" i="12"/>
  <c r="AW104" i="12"/>
  <c r="BC111" i="12"/>
  <c r="BD113" i="12"/>
  <c r="BA118" i="12"/>
  <c r="BB118" i="12"/>
  <c r="BC118" i="12"/>
  <c r="BC146" i="12"/>
  <c r="BD146" i="12"/>
  <c r="BC150" i="12"/>
  <c r="BC154" i="12"/>
  <c r="BD154" i="12"/>
  <c r="BC155" i="12"/>
  <c r="AX174" i="12"/>
  <c r="BB228" i="12"/>
  <c r="BD261" i="12"/>
  <c r="AW270" i="12"/>
  <c r="BB299" i="12"/>
  <c r="BA314" i="12"/>
  <c r="BA26" i="12"/>
  <c r="AW26" i="12"/>
  <c r="BD29" i="12"/>
  <c r="BC30" i="12"/>
  <c r="BD30" i="12"/>
  <c r="BC35" i="12"/>
  <c r="AW37" i="12"/>
  <c r="BD46" i="12"/>
  <c r="BA49" i="12"/>
  <c r="BB49" i="12"/>
  <c r="BC49" i="12"/>
  <c r="AW49" i="12"/>
  <c r="AW54" i="12"/>
  <c r="AW56" i="12"/>
  <c r="AX56" i="12" s="1"/>
  <c r="AW61" i="12"/>
  <c r="BD62" i="12"/>
  <c r="BC65" i="12"/>
  <c r="BB72" i="12"/>
  <c r="AW72" i="12"/>
  <c r="BC81" i="12"/>
  <c r="BB84" i="12"/>
  <c r="AW84" i="12"/>
  <c r="BA86" i="12"/>
  <c r="BB86" i="12"/>
  <c r="BC88" i="12"/>
  <c r="BD97" i="12"/>
  <c r="BC99" i="12"/>
  <c r="BB100" i="12"/>
  <c r="BD108" i="12"/>
  <c r="BB111" i="12"/>
  <c r="AW111" i="12"/>
  <c r="AX111" i="12" s="1"/>
  <c r="BB113" i="12"/>
  <c r="BC113" i="12"/>
  <c r="BD117" i="12"/>
  <c r="BC120" i="12"/>
  <c r="BD120" i="12"/>
  <c r="BC123" i="12"/>
  <c r="BD125" i="12"/>
  <c r="AW126" i="12"/>
  <c r="AW128" i="12"/>
  <c r="AX128" i="12" s="1"/>
  <c r="H129" i="12"/>
  <c r="BC130" i="12"/>
  <c r="BD130" i="12"/>
  <c r="BC131" i="12"/>
  <c r="BC133" i="12"/>
  <c r="BA137" i="12"/>
  <c r="BD137" i="12"/>
  <c r="BA141" i="12"/>
  <c r="BB141" i="12"/>
  <c r="AW141" i="12"/>
  <c r="AW150" i="12"/>
  <c r="BB155" i="12"/>
  <c r="BA159" i="12"/>
  <c r="BD188" i="12"/>
  <c r="BC207" i="12"/>
  <c r="BB234" i="12"/>
  <c r="BD284" i="12"/>
  <c r="BC137" i="12"/>
  <c r="BA25" i="12"/>
  <c r="BD25" i="12"/>
  <c r="BC28" i="12"/>
  <c r="BD28" i="12"/>
  <c r="BC34" i="12"/>
  <c r="BD40" i="12"/>
  <c r="BD49" i="12"/>
  <c r="BC53" i="12"/>
  <c r="BD56" i="12"/>
  <c r="BA62" i="12"/>
  <c r="BB62" i="12"/>
  <c r="BC62" i="12"/>
  <c r="BA64" i="12"/>
  <c r="BD64" i="12"/>
  <c r="BA77" i="12"/>
  <c r="BD84" i="12"/>
  <c r="BD87" i="12"/>
  <c r="BB90" i="12"/>
  <c r="BC90" i="12"/>
  <c r="BD90" i="12"/>
  <c r="BB92" i="12"/>
  <c r="BA93" i="12"/>
  <c r="BC103" i="12"/>
  <c r="BB115" i="12"/>
  <c r="BB117" i="12"/>
  <c r="BB125" i="12"/>
  <c r="BC125" i="12"/>
  <c r="BB137" i="12"/>
  <c r="BB140" i="12"/>
  <c r="BD141" i="12"/>
  <c r="BD143" i="12"/>
  <c r="H145" i="12"/>
  <c r="BC145" i="12"/>
  <c r="BA153" i="12"/>
  <c r="BD153" i="12"/>
  <c r="BD157" i="12"/>
  <c r="BC252" i="12"/>
  <c r="H266" i="12"/>
  <c r="BC25" i="12"/>
  <c r="AW30" i="12"/>
  <c r="BD31" i="12"/>
  <c r="BA34" i="12"/>
  <c r="BD37" i="12"/>
  <c r="BC38" i="12"/>
  <c r="BD38" i="12"/>
  <c r="AW44" i="12"/>
  <c r="BD45" i="12"/>
  <c r="BD52" i="12"/>
  <c r="BB53" i="12"/>
  <c r="AW53" i="12"/>
  <c r="BC57" i="12"/>
  <c r="BD57" i="12"/>
  <c r="BA59" i="12"/>
  <c r="BD59" i="12"/>
  <c r="BD60" i="12"/>
  <c r="BC64" i="12"/>
  <c r="BA67" i="12"/>
  <c r="BB67" i="12"/>
  <c r="BB69" i="12"/>
  <c r="BC73" i="12"/>
  <c r="BA76" i="12"/>
  <c r="BB76" i="12"/>
  <c r="AW76" i="12"/>
  <c r="BA80" i="12"/>
  <c r="BD80" i="12"/>
  <c r="BA83" i="12"/>
  <c r="BB83" i="12"/>
  <c r="AW83" i="12"/>
  <c r="BC87" i="12"/>
  <c r="BD89" i="12"/>
  <c r="BD98" i="12"/>
  <c r="AW101" i="12"/>
  <c r="BB102" i="12"/>
  <c r="BB103" i="12"/>
  <c r="AW103" i="12"/>
  <c r="BA110" i="12"/>
  <c r="BB110" i="12"/>
  <c r="BC110" i="12"/>
  <c r="BA119" i="12"/>
  <c r="BD119" i="12"/>
  <c r="BD123" i="12"/>
  <c r="BD124" i="12"/>
  <c r="BD133" i="12"/>
  <c r="BD135" i="12"/>
  <c r="AW135" i="12"/>
  <c r="BD136" i="12"/>
  <c r="BD144" i="12"/>
  <c r="BB145" i="12"/>
  <c r="BC151" i="12"/>
  <c r="BC153" i="12"/>
  <c r="BD262" i="12"/>
  <c r="BD24" i="12"/>
  <c r="BB25" i="12"/>
  <c r="AW25" i="12"/>
  <c r="AX25" i="12" s="1"/>
  <c r="BA30" i="12"/>
  <c r="AW36" i="12"/>
  <c r="BA44" i="12"/>
  <c r="BA48" i="12"/>
  <c r="BB48" i="12"/>
  <c r="AW48" i="12"/>
  <c r="BC52" i="12"/>
  <c r="BA55" i="12"/>
  <c r="BB55" i="12"/>
  <c r="AW55" i="12"/>
  <c r="BB57" i="12"/>
  <c r="BC59" i="12"/>
  <c r="AW62" i="12"/>
  <c r="AX62" i="12" s="1"/>
  <c r="BD63" i="12"/>
  <c r="BB64" i="12"/>
  <c r="AW64" i="12"/>
  <c r="BC67" i="12"/>
  <c r="BD67" i="12"/>
  <c r="BB73" i="12"/>
  <c r="AW73" i="12"/>
  <c r="BC80" i="12"/>
  <c r="BD83" i="12"/>
  <c r="BC89" i="12"/>
  <c r="BB96" i="12"/>
  <c r="BC96" i="12"/>
  <c r="BD96" i="12"/>
  <c r="AW96" i="12"/>
  <c r="BB97" i="12"/>
  <c r="BC97" i="12"/>
  <c r="BD102" i="12"/>
  <c r="BD109" i="12"/>
  <c r="BB112" i="12"/>
  <c r="AW112" i="12"/>
  <c r="BD115" i="12"/>
  <c r="AW117" i="12"/>
  <c r="BC119" i="12"/>
  <c r="BC124" i="12"/>
  <c r="BB127" i="12"/>
  <c r="BC127" i="12"/>
  <c r="BD127" i="12"/>
  <c r="BC132" i="12"/>
  <c r="BD132" i="12"/>
  <c r="BC139" i="12"/>
  <c r="BA142" i="12"/>
  <c r="BB142" i="12"/>
  <c r="AW142" i="12"/>
  <c r="BD150" i="12"/>
  <c r="BD151" i="12"/>
  <c r="AW151" i="12"/>
  <c r="BD152" i="12"/>
  <c r="BB153" i="12"/>
  <c r="AW153" i="12"/>
  <c r="AW156" i="12"/>
  <c r="BB235" i="12"/>
  <c r="AW330" i="12"/>
  <c r="AX330" i="12" s="1"/>
  <c r="BA339" i="12"/>
  <c r="BC24" i="12"/>
  <c r="BC27" i="12"/>
  <c r="AW27" i="12"/>
  <c r="AW29" i="12"/>
  <c r="BA33" i="12"/>
  <c r="BD33" i="12"/>
  <c r="BC36" i="12"/>
  <c r="BD36" i="12"/>
  <c r="BA43" i="12"/>
  <c r="BB43" i="12"/>
  <c r="AW43" i="12"/>
  <c r="BB52" i="12"/>
  <c r="BC55" i="12"/>
  <c r="AW69" i="12"/>
  <c r="AX69" i="12" s="1"/>
  <c r="BD70" i="12"/>
  <c r="BD76" i="12"/>
  <c r="BD79" i="12"/>
  <c r="BB80" i="12"/>
  <c r="AX80" i="12"/>
  <c r="BB89" i="12"/>
  <c r="BA95" i="12"/>
  <c r="BD95" i="12"/>
  <c r="BC106" i="12"/>
  <c r="BD107" i="12"/>
  <c r="BC109" i="12"/>
  <c r="BA114" i="12"/>
  <c r="BB114" i="12"/>
  <c r="AW114" i="12"/>
  <c r="BD118" i="12"/>
  <c r="BB119" i="12"/>
  <c r="BA124" i="12"/>
  <c r="BB124" i="12"/>
  <c r="BC142" i="12"/>
  <c r="BD147" i="12"/>
  <c r="BD149" i="12"/>
  <c r="BC156" i="12"/>
  <c r="BD156" i="12"/>
  <c r="BD179" i="12"/>
  <c r="BC251" i="12"/>
  <c r="BC161" i="12"/>
  <c r="BA164" i="12"/>
  <c r="BB164" i="12"/>
  <c r="AW164" i="12"/>
  <c r="BB181" i="12"/>
  <c r="BC181" i="12"/>
  <c r="AW183" i="12"/>
  <c r="BD187" i="12"/>
  <c r="BA188" i="12"/>
  <c r="BA190" i="12"/>
  <c r="BC190" i="12"/>
  <c r="BD194" i="12"/>
  <c r="BD202" i="12"/>
  <c r="BC208" i="12"/>
  <c r="AW208" i="12"/>
  <c r="AX208" i="12" s="1"/>
  <c r="AW210" i="12"/>
  <c r="BA214" i="12"/>
  <c r="BD214" i="12"/>
  <c r="AW217" i="12"/>
  <c r="BC221" i="12"/>
  <c r="AW224" i="12"/>
  <c r="BC226" i="12"/>
  <c r="BA229" i="12"/>
  <c r="BB229" i="12"/>
  <c r="BC240" i="12"/>
  <c r="BD246" i="12"/>
  <c r="BB250" i="12"/>
  <c r="BC250" i="12"/>
  <c r="AW253" i="12"/>
  <c r="BC274" i="12"/>
  <c r="AW279" i="12"/>
  <c r="AX279" i="12" s="1"/>
  <c r="BD280" i="12"/>
  <c r="BC283" i="12"/>
  <c r="BD283" i="12"/>
  <c r="AW286" i="12"/>
  <c r="BC288" i="12"/>
  <c r="BD288" i="12"/>
  <c r="BD295" i="12"/>
  <c r="BA300" i="12"/>
  <c r="BC300" i="12"/>
  <c r="AW302" i="12"/>
  <c r="BB304" i="12"/>
  <c r="AW304" i="12"/>
  <c r="AW309" i="12"/>
  <c r="AX315" i="12"/>
  <c r="BC316" i="12"/>
  <c r="BA319" i="12"/>
  <c r="BA321" i="12"/>
  <c r="BC324" i="12"/>
  <c r="AW327" i="12"/>
  <c r="BA329" i="12"/>
  <c r="BB329" i="12"/>
  <c r="BD337" i="12"/>
  <c r="BC339" i="12"/>
  <c r="BD158" i="12"/>
  <c r="BC164" i="12"/>
  <c r="BC170" i="12"/>
  <c r="BD170" i="12"/>
  <c r="BA179" i="12"/>
  <c r="BD180" i="12"/>
  <c r="AW185" i="12"/>
  <c r="BD189" i="12"/>
  <c r="AW190" i="12"/>
  <c r="AX190" i="12" s="1"/>
  <c r="BC200" i="12"/>
  <c r="BB205" i="12"/>
  <c r="H208" i="12"/>
  <c r="BB208" i="12"/>
  <c r="BD208" i="12"/>
  <c r="BA213" i="12"/>
  <c r="BA217" i="12"/>
  <c r="BC217" i="12"/>
  <c r="BD217" i="12"/>
  <c r="BD222" i="12"/>
  <c r="BC228" i="12"/>
  <c r="BC231" i="12"/>
  <c r="BC235" i="12"/>
  <c r="BB240" i="12"/>
  <c r="AW248" i="12"/>
  <c r="BC253" i="12"/>
  <c r="BD253" i="12"/>
  <c r="BC255" i="12"/>
  <c r="BB265" i="12"/>
  <c r="BD273" i="12"/>
  <c r="BB276" i="12"/>
  <c r="BC276" i="12"/>
  <c r="BD276" i="12"/>
  <c r="BB286" i="12"/>
  <c r="BB288" i="12"/>
  <c r="BD290" i="12"/>
  <c r="AW290" i="12"/>
  <c r="BC296" i="12"/>
  <c r="AW297" i="12"/>
  <c r="BC299" i="12"/>
  <c r="BA304" i="12"/>
  <c r="BC304" i="12"/>
  <c r="BB306" i="12"/>
  <c r="BC306" i="12"/>
  <c r="BC309" i="12"/>
  <c r="AW314" i="12"/>
  <c r="BD315" i="12"/>
  <c r="BC319" i="12"/>
  <c r="BD319" i="12"/>
  <c r="BC327" i="12"/>
  <c r="BD331" i="12"/>
  <c r="BB332" i="12"/>
  <c r="BD338" i="12"/>
  <c r="BB339" i="12"/>
  <c r="AX160" i="12"/>
  <c r="BB160" i="12"/>
  <c r="BB169" i="12"/>
  <c r="BC169" i="12"/>
  <c r="BC171" i="12"/>
  <c r="BC176" i="12"/>
  <c r="BC182" i="12"/>
  <c r="BD182" i="12"/>
  <c r="BA196" i="12"/>
  <c r="BB200" i="12"/>
  <c r="BA201" i="12"/>
  <c r="BB202" i="12"/>
  <c r="BC202" i="12"/>
  <c r="BD207" i="12"/>
  <c r="BD210" i="12"/>
  <c r="BB214" i="12"/>
  <c r="BD220" i="12"/>
  <c r="BD224" i="12"/>
  <c r="BD225" i="12"/>
  <c r="BA228" i="12"/>
  <c r="BD232" i="12"/>
  <c r="BA235" i="12"/>
  <c r="BC236" i="12"/>
  <c r="BD236" i="12"/>
  <c r="BD238" i="12"/>
  <c r="BD239" i="12"/>
  <c r="BA243" i="12"/>
  <c r="BB243" i="12"/>
  <c r="BD252" i="12"/>
  <c r="BA255" i="12"/>
  <c r="BB255" i="12"/>
  <c r="BA256" i="12"/>
  <c r="BD265" i="12"/>
  <c r="BA267" i="12"/>
  <c r="BC269" i="12"/>
  <c r="BD269" i="12"/>
  <c r="BA272" i="12"/>
  <c r="BB278" i="12"/>
  <c r="H280" i="12"/>
  <c r="BB280" i="12"/>
  <c r="BC294" i="12"/>
  <c r="BD294" i="12"/>
  <c r="BB296" i="12"/>
  <c r="BD302" i="12"/>
  <c r="BD304" i="12"/>
  <c r="BC308" i="12"/>
  <c r="BC311" i="12"/>
  <c r="BD311" i="12"/>
  <c r="BC315" i="12"/>
  <c r="BD321" i="12"/>
  <c r="BC323" i="12"/>
  <c r="BD327" i="12"/>
  <c r="BD329" i="12"/>
  <c r="BC331" i="12"/>
  <c r="BA334" i="12"/>
  <c r="BB334" i="12"/>
  <c r="BC334" i="12"/>
  <c r="BB336" i="12"/>
  <c r="BC338" i="12"/>
  <c r="BD159" i="12"/>
  <c r="BC163" i="12"/>
  <c r="BA171" i="12"/>
  <c r="BB171" i="12"/>
  <c r="AW171" i="12"/>
  <c r="BA176" i="12"/>
  <c r="BB182" i="12"/>
  <c r="BA185" i="12"/>
  <c r="BC187" i="12"/>
  <c r="BB189" i="12"/>
  <c r="BC189" i="12"/>
  <c r="BC199" i="12"/>
  <c r="BC213" i="12"/>
  <c r="BC220" i="12"/>
  <c r="BA226" i="12"/>
  <c r="AW226" i="12"/>
  <c r="BD227" i="12"/>
  <c r="BC230" i="12"/>
  <c r="BA240" i="12"/>
  <c r="AW240" i="12"/>
  <c r="BC242" i="12"/>
  <c r="BC249" i="12"/>
  <c r="AW249" i="12"/>
  <c r="BD251" i="12"/>
  <c r="BC254" i="12"/>
  <c r="BC257" i="12"/>
  <c r="BB263" i="12"/>
  <c r="BA264" i="12"/>
  <c r="AW266" i="12"/>
  <c r="AX266" i="12" s="1"/>
  <c r="BC282" i="12"/>
  <c r="BD285" i="12"/>
  <c r="BD287" i="12"/>
  <c r="BD289" i="12"/>
  <c r="BD291" i="12"/>
  <c r="BC298" i="12"/>
  <c r="AW301" i="12"/>
  <c r="AW306" i="12"/>
  <c r="BB308" i="12"/>
  <c r="BD313" i="12"/>
  <c r="BB315" i="12"/>
  <c r="BD322" i="12"/>
  <c r="BB323" i="12"/>
  <c r="BD330" i="12"/>
  <c r="BB331" i="12"/>
  <c r="BA336" i="12"/>
  <c r="BC336" i="12"/>
  <c r="BB338" i="12"/>
  <c r="AW157" i="12"/>
  <c r="BC159" i="12"/>
  <c r="BA163" i="12"/>
  <c r="BB163" i="12"/>
  <c r="AW163" i="12"/>
  <c r="BC175" i="12"/>
  <c r="BC179" i="12"/>
  <c r="BA182" i="12"/>
  <c r="BC184" i="12"/>
  <c r="BA191" i="12"/>
  <c r="BB191" i="12"/>
  <c r="BC191" i="12"/>
  <c r="BA192" i="12"/>
  <c r="BC193" i="12"/>
  <c r="BD193" i="12"/>
  <c r="BD206" i="12"/>
  <c r="BB213" i="12"/>
  <c r="BC216" i="12"/>
  <c r="AW216" i="12"/>
  <c r="BA218" i="12"/>
  <c r="BB218" i="12"/>
  <c r="BC218" i="12"/>
  <c r="BB220" i="12"/>
  <c r="BC227" i="12"/>
  <c r="BC234" i="12"/>
  <c r="BD241" i="12"/>
  <c r="BA242" i="12"/>
  <c r="AW242" i="12"/>
  <c r="BC245" i="12"/>
  <c r="BD245" i="12"/>
  <c r="AW251" i="12"/>
  <c r="BD256" i="12"/>
  <c r="BA257" i="12"/>
  <c r="BB257" i="12"/>
  <c r="BA266" i="12"/>
  <c r="BC266" i="12"/>
  <c r="AW271" i="12"/>
  <c r="BD275" i="12"/>
  <c r="BD278" i="12"/>
  <c r="BB282" i="12"/>
  <c r="AW282" i="12"/>
  <c r="BC287" i="12"/>
  <c r="BC289" i="12"/>
  <c r="BB298" i="12"/>
  <c r="BA303" i="12"/>
  <c r="BB303" i="12"/>
  <c r="BC303" i="12"/>
  <c r="BD303" i="12"/>
  <c r="AW303" i="12"/>
  <c r="BA305" i="12"/>
  <c r="BB305" i="12"/>
  <c r="BC307" i="12"/>
  <c r="BA310" i="12"/>
  <c r="BB310" i="12"/>
  <c r="BC310" i="12"/>
  <c r="AW310" i="12"/>
  <c r="BA318" i="12"/>
  <c r="BB318" i="12"/>
  <c r="BC318" i="12"/>
  <c r="AW318" i="12"/>
  <c r="AW320" i="12"/>
  <c r="BA326" i="12"/>
  <c r="BB326" i="12"/>
  <c r="BC326" i="12"/>
  <c r="AW326" i="12"/>
  <c r="BB328" i="12"/>
  <c r="AW328" i="12"/>
  <c r="BC330" i="12"/>
  <c r="BD334" i="12"/>
  <c r="BD336" i="12"/>
  <c r="BB159" i="12"/>
  <c r="AW159" i="12"/>
  <c r="AX168" i="12"/>
  <c r="BB168" i="12"/>
  <c r="BD173" i="12"/>
  <c r="BB175" i="12"/>
  <c r="AW175" i="12"/>
  <c r="BB179" i="12"/>
  <c r="AW184" i="12"/>
  <c r="BB186" i="12"/>
  <c r="BC186" i="12"/>
  <c r="BC188" i="12"/>
  <c r="AW193" i="12"/>
  <c r="BA200" i="12"/>
  <c r="BC201" i="12"/>
  <c r="BD201" i="12"/>
  <c r="BD203" i="12"/>
  <c r="AW204" i="12"/>
  <c r="BC211" i="12"/>
  <c r="BB216" i="12"/>
  <c r="BD216" i="12"/>
  <c r="BD223" i="12"/>
  <c r="BA225" i="12"/>
  <c r="BC225" i="12"/>
  <c r="BB227" i="12"/>
  <c r="BA233" i="12"/>
  <c r="BA234" i="12"/>
  <c r="AW234" i="12"/>
  <c r="BA239" i="12"/>
  <c r="BC239" i="12"/>
  <c r="BC241" i="12"/>
  <c r="BD259" i="12"/>
  <c r="BD264" i="12"/>
  <c r="BB268" i="12"/>
  <c r="BC268" i="12"/>
  <c r="BB275" i="12"/>
  <c r="AW275" i="12"/>
  <c r="AW287" i="12"/>
  <c r="BA288" i="12"/>
  <c r="BB291" i="12"/>
  <c r="AW291" i="12"/>
  <c r="AW293" i="12"/>
  <c r="BA296" i="12"/>
  <c r="BD297" i="12"/>
  <c r="BD301" i="12"/>
  <c r="BB307" i="12"/>
  <c r="BD314" i="12"/>
  <c r="BD317" i="12"/>
  <c r="BB322" i="12"/>
  <c r="BC322" i="12"/>
  <c r="BD325" i="12"/>
  <c r="BA328" i="12"/>
  <c r="BC328" i="12"/>
  <c r="BB330" i="12"/>
  <c r="BA160" i="12"/>
  <c r="BD163" i="12"/>
  <c r="BD165" i="12"/>
  <c r="BC167" i="12"/>
  <c r="BD174" i="12"/>
  <c r="BD183" i="12"/>
  <c r="AX188" i="12"/>
  <c r="BB188" i="12"/>
  <c r="BD190" i="12"/>
  <c r="BD191" i="12"/>
  <c r="BD196" i="12"/>
  <c r="BD199" i="12"/>
  <c r="AW201" i="12"/>
  <c r="BA209" i="12"/>
  <c r="BD212" i="12"/>
  <c r="BC215" i="12"/>
  <c r="BD215" i="12"/>
  <c r="BD219" i="12"/>
  <c r="BC223" i="12"/>
  <c r="AW225" i="12"/>
  <c r="BC229" i="12"/>
  <c r="BD230" i="12"/>
  <c r="BD231" i="12"/>
  <c r="AW232" i="12"/>
  <c r="BC237" i="12"/>
  <c r="BD237" i="12"/>
  <c r="AW239" i="12"/>
  <c r="BB241" i="12"/>
  <c r="BB244" i="12"/>
  <c r="BC244" i="12"/>
  <c r="BD244" i="12"/>
  <c r="AW244" i="12"/>
  <c r="BC248" i="12"/>
  <c r="BD250" i="12"/>
  <c r="BD254" i="12"/>
  <c r="BB256" i="12"/>
  <c r="AX259" i="12"/>
  <c r="BB259" i="12"/>
  <c r="AW262" i="12"/>
  <c r="BC264" i="12"/>
  <c r="BA277" i="12"/>
  <c r="BB277" i="12"/>
  <c r="BA280" i="12"/>
  <c r="BB284" i="12"/>
  <c r="BD286" i="12"/>
  <c r="BD305" i="12"/>
  <c r="BD318" i="12"/>
  <c r="BD320" i="12"/>
  <c r="BD326" i="12"/>
  <c r="BD328" i="12"/>
  <c r="AS340" i="12"/>
  <c r="AX99" i="12"/>
  <c r="H99" i="12"/>
  <c r="H24" i="12"/>
  <c r="AX24" i="12"/>
  <c r="H52" i="12"/>
  <c r="AX52" i="12"/>
  <c r="BA156" i="12"/>
  <c r="H45" i="12"/>
  <c r="AX45" i="12"/>
  <c r="BA12" i="12"/>
  <c r="BC15" i="12"/>
  <c r="BC22" i="12"/>
  <c r="BD22" i="12"/>
  <c r="BB30" i="12"/>
  <c r="BB38" i="12"/>
  <c r="BD47" i="12"/>
  <c r="BC51" i="12"/>
  <c r="BD55" i="12"/>
  <c r="BA60" i="12"/>
  <c r="BB60" i="12"/>
  <c r="BC60" i="12"/>
  <c r="BD65" i="12"/>
  <c r="BA66" i="12"/>
  <c r="BC69" i="12"/>
  <c r="BD69" i="12"/>
  <c r="H84" i="12"/>
  <c r="AX84" i="12"/>
  <c r="BB93" i="12"/>
  <c r="BA100" i="12"/>
  <c r="H102" i="12"/>
  <c r="AX102" i="12"/>
  <c r="BA127" i="12"/>
  <c r="AX159" i="12"/>
  <c r="H159" i="12"/>
  <c r="AM340" i="12"/>
  <c r="BD12" i="12"/>
  <c r="BC18" i="12"/>
  <c r="H22" i="12"/>
  <c r="H31" i="12"/>
  <c r="AX31" i="12"/>
  <c r="H39" i="12"/>
  <c r="AX39" i="12"/>
  <c r="BC46" i="12"/>
  <c r="BA47" i="12"/>
  <c r="H49" i="12"/>
  <c r="AX49" i="12"/>
  <c r="BA51" i="12"/>
  <c r="BB51" i="12"/>
  <c r="H57" i="12"/>
  <c r="AX57" i="12"/>
  <c r="H58" i="12"/>
  <c r="AX58" i="12"/>
  <c r="AX59" i="12"/>
  <c r="H59" i="12"/>
  <c r="H69" i="12"/>
  <c r="H70" i="12"/>
  <c r="AX70" i="12"/>
  <c r="BC71" i="12"/>
  <c r="BC78" i="12"/>
  <c r="BA87" i="12"/>
  <c r="BA101" i="12"/>
  <c r="H111" i="12"/>
  <c r="W340" i="12"/>
  <c r="AE340" i="12"/>
  <c r="BD11" i="12"/>
  <c r="P340" i="12"/>
  <c r="X340" i="12"/>
  <c r="BC11" i="12"/>
  <c r="AF340" i="12"/>
  <c r="H12" i="12"/>
  <c r="BC12" i="12"/>
  <c r="BC17" i="12"/>
  <c r="BA24" i="12"/>
  <c r="BD41" i="12"/>
  <c r="BC43" i="12"/>
  <c r="BC45" i="12"/>
  <c r="BB46" i="12"/>
  <c r="BB71" i="12"/>
  <c r="BC76" i="12"/>
  <c r="BA78" i="12"/>
  <c r="BB78" i="12"/>
  <c r="BD81" i="12"/>
  <c r="BA82" i="12"/>
  <c r="BC85" i="12"/>
  <c r="BD85" i="12"/>
  <c r="BA19" i="12"/>
  <c r="H21" i="12"/>
  <c r="AX21" i="12"/>
  <c r="O340" i="12"/>
  <c r="H15" i="12"/>
  <c r="AX15" i="12"/>
  <c r="BB17" i="12"/>
  <c r="BC21" i="12"/>
  <c r="BA29" i="12"/>
  <c r="BB29" i="12"/>
  <c r="BC32" i="12"/>
  <c r="BA37" i="12"/>
  <c r="BB37" i="12"/>
  <c r="BC40" i="12"/>
  <c r="BA41" i="12"/>
  <c r="H43" i="12"/>
  <c r="AX43" i="12"/>
  <c r="BA45" i="12"/>
  <c r="BB45" i="12"/>
  <c r="BC50" i="12"/>
  <c r="BD50" i="12"/>
  <c r="BC56" i="12"/>
  <c r="BA63" i="12"/>
  <c r="H76" i="12"/>
  <c r="AX76" i="12"/>
  <c r="BB85" i="12"/>
  <c r="H86" i="12"/>
  <c r="AX86" i="12"/>
  <c r="BC94" i="12"/>
  <c r="H98" i="12"/>
  <c r="AX98" i="12"/>
  <c r="BA99" i="12"/>
  <c r="H106" i="12"/>
  <c r="AX106" i="12"/>
  <c r="H110" i="12"/>
  <c r="AX110" i="12"/>
  <c r="H136" i="12"/>
  <c r="AX136" i="12"/>
  <c r="H56" i="12"/>
  <c r="H17" i="12"/>
  <c r="AX17" i="12"/>
  <c r="H53" i="12"/>
  <c r="BA54" i="12"/>
  <c r="BA13" i="12"/>
  <c r="BA17" i="12"/>
  <c r="BA21" i="12"/>
  <c r="BB21" i="12"/>
  <c r="BC29" i="12"/>
  <c r="BC31" i="12"/>
  <c r="BB32" i="12"/>
  <c r="BC37" i="12"/>
  <c r="BC39" i="12"/>
  <c r="BB40" i="12"/>
  <c r="BB50" i="12"/>
  <c r="BB56" i="12"/>
  <c r="BC61" i="12"/>
  <c r="BD61" i="12"/>
  <c r="BA68" i="12"/>
  <c r="BB68" i="12"/>
  <c r="BC70" i="12"/>
  <c r="BA75" i="12"/>
  <c r="BB75" i="12"/>
  <c r="BA79" i="12"/>
  <c r="BB87" i="12"/>
  <c r="BA92" i="12"/>
  <c r="BC92" i="12"/>
  <c r="BA94" i="12"/>
  <c r="BB94" i="12"/>
  <c r="AX119" i="12"/>
  <c r="H119" i="12"/>
  <c r="H16" i="12"/>
  <c r="AX16" i="12"/>
  <c r="H103" i="12"/>
  <c r="AX103" i="12"/>
  <c r="BA112" i="12"/>
  <c r="BA71" i="12"/>
  <c r="BA90" i="12"/>
  <c r="BA96" i="12"/>
  <c r="H128" i="12"/>
  <c r="BC16" i="12"/>
  <c r="BD16" i="12"/>
  <c r="BC23" i="12"/>
  <c r="BA27" i="12"/>
  <c r="BD27" i="12"/>
  <c r="BA28" i="12"/>
  <c r="BB28" i="12"/>
  <c r="BA31" i="12"/>
  <c r="BB31" i="12"/>
  <c r="BA35" i="12"/>
  <c r="BD35" i="12"/>
  <c r="BA36" i="12"/>
  <c r="BB36" i="12"/>
  <c r="BA39" i="12"/>
  <c r="BB39" i="12"/>
  <c r="BC44" i="12"/>
  <c r="BD44" i="12"/>
  <c r="BA52" i="12"/>
  <c r="BA56" i="12"/>
  <c r="BA58" i="12"/>
  <c r="BB58" i="12"/>
  <c r="BC58" i="12"/>
  <c r="BB61" i="12"/>
  <c r="H62" i="12"/>
  <c r="BC63" i="12"/>
  <c r="BC68" i="12"/>
  <c r="BA70" i="12"/>
  <c r="BB70" i="12"/>
  <c r="BD73" i="12"/>
  <c r="BA74" i="12"/>
  <c r="BC77" i="12"/>
  <c r="BD77" i="12"/>
  <c r="H92" i="12"/>
  <c r="AX92" i="12"/>
  <c r="H118" i="12"/>
  <c r="AX118" i="12"/>
  <c r="BA113" i="12"/>
  <c r="I340" i="12"/>
  <c r="Q340" i="12"/>
  <c r="Y340" i="12"/>
  <c r="AG340" i="12"/>
  <c r="BB11" i="12"/>
  <c r="H114" i="12"/>
  <c r="AX114" i="12"/>
  <c r="BA115" i="12"/>
  <c r="H117" i="12"/>
  <c r="AX117" i="12"/>
  <c r="BD121" i="12"/>
  <c r="BB123" i="12"/>
  <c r="BC126" i="12"/>
  <c r="J340" i="12"/>
  <c r="R340" i="12"/>
  <c r="Z340" i="12"/>
  <c r="AH340" i="12"/>
  <c r="AQ340" i="12"/>
  <c r="BD100" i="12"/>
  <c r="BA105" i="12"/>
  <c r="BD105" i="12"/>
  <c r="BC108" i="12"/>
  <c r="BD116" i="12"/>
  <c r="BA121" i="12"/>
  <c r="BA122" i="12"/>
  <c r="BB122" i="12"/>
  <c r="AX145" i="12"/>
  <c r="K340" i="12"/>
  <c r="S340" i="12"/>
  <c r="AA340" i="12"/>
  <c r="AI340" i="12"/>
  <c r="AR340" i="12"/>
  <c r="BA97" i="12"/>
  <c r="BC100" i="12"/>
  <c r="BA102" i="12"/>
  <c r="BA106" i="12"/>
  <c r="BB106" i="12"/>
  <c r="BC107" i="12"/>
  <c r="BA108" i="12"/>
  <c r="BB108" i="12"/>
  <c r="BC116" i="12"/>
  <c r="H122" i="12"/>
  <c r="AX122" i="12"/>
  <c r="BA123" i="12"/>
  <c r="H191" i="12"/>
  <c r="AX191" i="12"/>
  <c r="AX221" i="12"/>
  <c r="H221" i="12"/>
  <c r="L340" i="12"/>
  <c r="T340" i="12"/>
  <c r="AB340" i="12"/>
  <c r="AJ340" i="12"/>
  <c r="AU340" i="12"/>
  <c r="BA103" i="12"/>
  <c r="BB107" i="12"/>
  <c r="BA109" i="12"/>
  <c r="BA116" i="12"/>
  <c r="BB116" i="12"/>
  <c r="AW116" i="12"/>
  <c r="H152" i="12"/>
  <c r="AX152" i="12"/>
  <c r="H131" i="12"/>
  <c r="AX131" i="12"/>
  <c r="M340" i="12"/>
  <c r="U340" i="12"/>
  <c r="AC340" i="12"/>
  <c r="AK340" i="12"/>
  <c r="AV340" i="12"/>
  <c r="BD101" i="12"/>
  <c r="BD103" i="12"/>
  <c r="BD111" i="12"/>
  <c r="BA117" i="12"/>
  <c r="AX129" i="12"/>
  <c r="H187" i="12"/>
  <c r="AX187" i="12"/>
  <c r="H200" i="12"/>
  <c r="AX200" i="12"/>
  <c r="H109" i="12"/>
  <c r="AX109" i="12"/>
  <c r="F340" i="12"/>
  <c r="N340" i="12"/>
  <c r="V340" i="12"/>
  <c r="AD340" i="12"/>
  <c r="AL340" i="12"/>
  <c r="AW11" i="12"/>
  <c r="BA98" i="12"/>
  <c r="BB98" i="12"/>
  <c r="AW100" i="12"/>
  <c r="BC112" i="12"/>
  <c r="BD112" i="12"/>
  <c r="BC115" i="12"/>
  <c r="BA120" i="12"/>
  <c r="BA148" i="12"/>
  <c r="BC148" i="12"/>
  <c r="BD148" i="12"/>
  <c r="BB156" i="12"/>
  <c r="BD129" i="12"/>
  <c r="BB132" i="12"/>
  <c r="BA136" i="12"/>
  <c r="BB136" i="12"/>
  <c r="H138" i="12"/>
  <c r="BC138" i="12"/>
  <c r="BD138" i="12"/>
  <c r="BD139" i="12"/>
  <c r="BC141" i="12"/>
  <c r="BD145" i="12"/>
  <c r="BA150" i="12"/>
  <c r="BB150" i="12"/>
  <c r="AX153" i="12"/>
  <c r="H160" i="12"/>
  <c r="BC160" i="12"/>
  <c r="BD160" i="12"/>
  <c r="BD161" i="12"/>
  <c r="BD167" i="12"/>
  <c r="BA168" i="12"/>
  <c r="BC172" i="12"/>
  <c r="H181" i="12"/>
  <c r="AX181" i="12"/>
  <c r="BA128" i="12"/>
  <c r="BB128" i="12"/>
  <c r="BC129" i="12"/>
  <c r="BA132" i="12"/>
  <c r="BA135" i="12"/>
  <c r="BB135" i="12"/>
  <c r="BA158" i="12"/>
  <c r="BB158" i="12"/>
  <c r="BC158" i="12"/>
  <c r="H168" i="12"/>
  <c r="BC168" i="12"/>
  <c r="BD168" i="12"/>
  <c r="BD169" i="12"/>
  <c r="BD175" i="12"/>
  <c r="H190" i="12"/>
  <c r="H226" i="12"/>
  <c r="AX226" i="12"/>
  <c r="BC128" i="12"/>
  <c r="BB129" i="12"/>
  <c r="BC135" i="12"/>
  <c r="BA139" i="12"/>
  <c r="BA144" i="12"/>
  <c r="BB144" i="12"/>
  <c r="BC149" i="12"/>
  <c r="BA161" i="12"/>
  <c r="BA166" i="12"/>
  <c r="BB166" i="12"/>
  <c r="BA180" i="12"/>
  <c r="BB180" i="12"/>
  <c r="BA186" i="12"/>
  <c r="AX288" i="12"/>
  <c r="H288" i="12"/>
  <c r="BD131" i="12"/>
  <c r="BD134" i="12"/>
  <c r="BA143" i="12"/>
  <c r="BB143" i="12"/>
  <c r="BC144" i="12"/>
  <c r="BA149" i="12"/>
  <c r="BB149" i="12"/>
  <c r="BD155" i="12"/>
  <c r="BC157" i="12"/>
  <c r="BB162" i="12"/>
  <c r="BA165" i="12"/>
  <c r="BB165" i="12"/>
  <c r="BC166" i="12"/>
  <c r="BA169" i="12"/>
  <c r="BA174" i="12"/>
  <c r="BB174" i="12"/>
  <c r="BD126" i="12"/>
  <c r="BA134" i="12"/>
  <c r="BB134" i="12"/>
  <c r="AW134" i="12"/>
  <c r="BA140" i="12"/>
  <c r="BC143" i="12"/>
  <c r="BA147" i="12"/>
  <c r="BB152" i="12"/>
  <c r="BA157" i="12"/>
  <c r="BB157" i="12"/>
  <c r="BA162" i="12"/>
  <c r="BC165" i="12"/>
  <c r="BB170" i="12"/>
  <c r="BA173" i="12"/>
  <c r="BB173" i="12"/>
  <c r="BC174" i="12"/>
  <c r="BA177" i="12"/>
  <c r="BB177" i="12"/>
  <c r="BA184" i="12"/>
  <c r="BD185" i="12"/>
  <c r="H192" i="12"/>
  <c r="BC198" i="12"/>
  <c r="AX289" i="12"/>
  <c r="H289" i="12"/>
  <c r="BA131" i="12"/>
  <c r="BC134" i="12"/>
  <c r="BD142" i="12"/>
  <c r="BB148" i="12"/>
  <c r="BA151" i="12"/>
  <c r="BB151" i="12"/>
  <c r="BA152" i="12"/>
  <c r="BC152" i="12"/>
  <c r="BA155" i="12"/>
  <c r="BD164" i="12"/>
  <c r="BA170" i="12"/>
  <c r="BD172" i="12"/>
  <c r="BC173" i="12"/>
  <c r="BB178" i="12"/>
  <c r="BC178" i="12"/>
  <c r="BD178" i="12"/>
  <c r="H212" i="12"/>
  <c r="AX212" i="12"/>
  <c r="AX227" i="12"/>
  <c r="H227" i="12"/>
  <c r="H232" i="12"/>
  <c r="AX232" i="12"/>
  <c r="AW179" i="12"/>
  <c r="BC183" i="12"/>
  <c r="BB187" i="12"/>
  <c r="H188" i="12"/>
  <c r="BA189" i="12"/>
  <c r="BD197" i="12"/>
  <c r="BD198" i="12"/>
  <c r="BA199" i="12"/>
  <c r="BB199" i="12"/>
  <c r="BA211" i="12"/>
  <c r="H220" i="12"/>
  <c r="AX220" i="12"/>
  <c r="BA221" i="12"/>
  <c r="H269" i="12"/>
  <c r="BC180" i="12"/>
  <c r="BA183" i="12"/>
  <c r="BA187" i="12"/>
  <c r="BA194" i="12"/>
  <c r="BB198" i="12"/>
  <c r="BA207" i="12"/>
  <c r="BB207" i="12"/>
  <c r="BD184" i="12"/>
  <c r="BC196" i="12"/>
  <c r="BA197" i="12"/>
  <c r="BC197" i="12"/>
  <c r="BA198" i="12"/>
  <c r="H199" i="12"/>
  <c r="AX199" i="12"/>
  <c r="BD205" i="12"/>
  <c r="BA227" i="12"/>
  <c r="BA178" i="12"/>
  <c r="BD181" i="12"/>
  <c r="BA195" i="12"/>
  <c r="BB196" i="12"/>
  <c r="BC204" i="12"/>
  <c r="BB206" i="12"/>
  <c r="BC206" i="12"/>
  <c r="AX241" i="12"/>
  <c r="H241" i="12"/>
  <c r="H291" i="12"/>
  <c r="AX291" i="12"/>
  <c r="BB184" i="12"/>
  <c r="BC185" i="12"/>
  <c r="BA202" i="12"/>
  <c r="BB204" i="12"/>
  <c r="BA205" i="12"/>
  <c r="BC205" i="12"/>
  <c r="BA232" i="12"/>
  <c r="BB236" i="12"/>
  <c r="BA289" i="12"/>
  <c r="BA181" i="12"/>
  <c r="BD186" i="12"/>
  <c r="BA193" i="12"/>
  <c r="AX195" i="12"/>
  <c r="BD200" i="12"/>
  <c r="BB201" i="12"/>
  <c r="BA203" i="12"/>
  <c r="BA206" i="12"/>
  <c r="BC209" i="12"/>
  <c r="BD209" i="12"/>
  <c r="BD211" i="12"/>
  <c r="H240" i="12"/>
  <c r="AX240" i="12"/>
  <c r="H257" i="12"/>
  <c r="AX257" i="12"/>
  <c r="BB209" i="12"/>
  <c r="BC212" i="12"/>
  <c r="BB226" i="12"/>
  <c r="BA230" i="12"/>
  <c r="AW230" i="12"/>
  <c r="BA244" i="12"/>
  <c r="BB245" i="12"/>
  <c r="BA248" i="12"/>
  <c r="BB267" i="12"/>
  <c r="BA270" i="12"/>
  <c r="H314" i="12"/>
  <c r="AX314" i="12"/>
  <c r="AW209" i="12"/>
  <c r="BA210" i="12"/>
  <c r="BC210" i="12"/>
  <c r="BB211" i="12"/>
  <c r="BB212" i="12"/>
  <c r="BD213" i="12"/>
  <c r="BA216" i="12"/>
  <c r="BB217" i="12"/>
  <c r="BB225" i="12"/>
  <c r="BD228" i="12"/>
  <c r="BB230" i="12"/>
  <c r="BB239" i="12"/>
  <c r="BD242" i="12"/>
  <c r="BA245" i="12"/>
  <c r="BD248" i="12"/>
  <c r="BD249" i="12"/>
  <c r="BA275" i="12"/>
  <c r="H279" i="12"/>
  <c r="H286" i="12"/>
  <c r="AX286" i="12"/>
  <c r="BA291" i="12"/>
  <c r="BA309" i="12"/>
  <c r="BB309" i="12"/>
  <c r="H330" i="12"/>
  <c r="H338" i="12"/>
  <c r="AX338" i="12"/>
  <c r="BA212" i="12"/>
  <c r="BA224" i="12"/>
  <c r="BB224" i="12"/>
  <c r="BC224" i="12"/>
  <c r="BA238" i="12"/>
  <c r="BB238" i="12"/>
  <c r="BC238" i="12"/>
  <c r="BA249" i="12"/>
  <c r="BC214" i="12"/>
  <c r="BC232" i="12"/>
  <c r="BD233" i="12"/>
  <c r="BB247" i="12"/>
  <c r="BA250" i="12"/>
  <c r="AX256" i="12"/>
  <c r="H256" i="12"/>
  <c r="BB219" i="12"/>
  <c r="BA222" i="12"/>
  <c r="BB223" i="12"/>
  <c r="BD229" i="12"/>
  <c r="BB232" i="12"/>
  <c r="BC233" i="12"/>
  <c r="BA236" i="12"/>
  <c r="BB237" i="12"/>
  <c r="BD243" i="12"/>
  <c r="BA247" i="12"/>
  <c r="H273" i="12"/>
  <c r="AX273" i="12"/>
  <c r="BA208" i="12"/>
  <c r="BA219" i="12"/>
  <c r="BC219" i="12"/>
  <c r="BA220" i="12"/>
  <c r="BA223" i="12"/>
  <c r="BB231" i="12"/>
  <c r="BB233" i="12"/>
  <c r="BD234" i="12"/>
  <c r="BA237" i="12"/>
  <c r="BA246" i="12"/>
  <c r="BB246" i="12"/>
  <c r="BC246" i="12"/>
  <c r="AW246" i="12"/>
  <c r="H255" i="12"/>
  <c r="AX255" i="12"/>
  <c r="BB260" i="12"/>
  <c r="BC260" i="12"/>
  <c r="BA274" i="12"/>
  <c r="BA276" i="12"/>
  <c r="BA285" i="12"/>
  <c r="BB254" i="12"/>
  <c r="BC263" i="12"/>
  <c r="BB264" i="12"/>
  <c r="BD272" i="12"/>
  <c r="BA278" i="12"/>
  <c r="BB289" i="12"/>
  <c r="BC290" i="12"/>
  <c r="BA308" i="12"/>
  <c r="BD247" i="12"/>
  <c r="BB253" i="12"/>
  <c r="BB258" i="12"/>
  <c r="H259" i="12"/>
  <c r="BC259" i="12"/>
  <c r="BC262" i="12"/>
  <c r="BA263" i="12"/>
  <c r="BA265" i="12"/>
  <c r="BC265" i="12"/>
  <c r="BD271" i="12"/>
  <c r="BC272" i="12"/>
  <c r="BA287" i="12"/>
  <c r="BA290" i="12"/>
  <c r="BB290" i="12"/>
  <c r="H306" i="12"/>
  <c r="AX306" i="12"/>
  <c r="BA313" i="12"/>
  <c r="BB313" i="12"/>
  <c r="BC247" i="12"/>
  <c r="BA252" i="12"/>
  <c r="BA253" i="12"/>
  <c r="BA254" i="12"/>
  <c r="BB262" i="12"/>
  <c r="BC271" i="12"/>
  <c r="BB272" i="12"/>
  <c r="AX281" i="12"/>
  <c r="BA284" i="12"/>
  <c r="BB285" i="12"/>
  <c r="BC285" i="12"/>
  <c r="BA260" i="12"/>
  <c r="BD260" i="12"/>
  <c r="BA261" i="12"/>
  <c r="BB261" i="12"/>
  <c r="AW261" i="12"/>
  <c r="BB266" i="12"/>
  <c r="BC267" i="12"/>
  <c r="BC270" i="12"/>
  <c r="BA271" i="12"/>
  <c r="BB271" i="12"/>
  <c r="BA273" i="12"/>
  <c r="BC273" i="12"/>
  <c r="BD274" i="12"/>
  <c r="BD279" i="12"/>
  <c r="BC280" i="12"/>
  <c r="BD281" i="12"/>
  <c r="BA306" i="12"/>
  <c r="BA262" i="12"/>
  <c r="BB270" i="12"/>
  <c r="BC279" i="12"/>
  <c r="AX280" i="12"/>
  <c r="BA301" i="12"/>
  <c r="BB301" i="12"/>
  <c r="BC301" i="12"/>
  <c r="BA251" i="12"/>
  <c r="BD255" i="12"/>
  <c r="BC256" i="12"/>
  <c r="BD257" i="12"/>
  <c r="BA268" i="12"/>
  <c r="BD268" i="12"/>
  <c r="BA269" i="12"/>
  <c r="BB269" i="12"/>
  <c r="AW269" i="12"/>
  <c r="AX269" i="12" s="1"/>
  <c r="BB274" i="12"/>
  <c r="BC275" i="12"/>
  <c r="BC278" i="12"/>
  <c r="BA279" i="12"/>
  <c r="BB279" i="12"/>
  <c r="BA281" i="12"/>
  <c r="BC281" i="12"/>
  <c r="BD282" i="12"/>
  <c r="BA283" i="12"/>
  <c r="BA292" i="12"/>
  <c r="BB292" i="12"/>
  <c r="BC292" i="12"/>
  <c r="H322" i="12"/>
  <c r="AX322" i="12"/>
  <c r="BD335" i="12"/>
  <c r="AW284" i="12"/>
  <c r="BA286" i="12"/>
  <c r="H296" i="12"/>
  <c r="AX296" i="12"/>
  <c r="BD300" i="12"/>
  <c r="BA311" i="12"/>
  <c r="BB311" i="12"/>
  <c r="BC313" i="12"/>
  <c r="BD333" i="12"/>
  <c r="AW336" i="12"/>
  <c r="BD339" i="12"/>
  <c r="BC291" i="12"/>
  <c r="BD298" i="12"/>
  <c r="BB300" i="12"/>
  <c r="BC305" i="12"/>
  <c r="BB320" i="12"/>
  <c r="BD323" i="12"/>
  <c r="BC332" i="12"/>
  <c r="BA333" i="12"/>
  <c r="BB333" i="12"/>
  <c r="BB295" i="12"/>
  <c r="BA320" i="12"/>
  <c r="BC320" i="12"/>
  <c r="BA332" i="12"/>
  <c r="BA338" i="12"/>
  <c r="BD292" i="12"/>
  <c r="BA295" i="12"/>
  <c r="BC295" i="12"/>
  <c r="BA299" i="12"/>
  <c r="BC302" i="12"/>
  <c r="BD309" i="12"/>
  <c r="BB312" i="12"/>
  <c r="AW312" i="12"/>
  <c r="H315" i="12"/>
  <c r="BA324" i="12"/>
  <c r="BA330" i="12"/>
  <c r="BA335" i="12"/>
  <c r="BB335" i="12"/>
  <c r="BC337" i="12"/>
  <c r="BB287" i="12"/>
  <c r="BA293" i="12"/>
  <c r="BC293" i="12"/>
  <c r="BA294" i="12"/>
  <c r="BB294" i="12"/>
  <c r="BA302" i="12"/>
  <c r="BB302" i="12"/>
  <c r="BD307" i="12"/>
  <c r="BD308" i="12"/>
  <c r="BA312" i="12"/>
  <c r="BC312" i="12"/>
  <c r="BA316" i="12"/>
  <c r="BA322" i="12"/>
  <c r="BA327" i="12"/>
  <c r="BB327" i="12"/>
  <c r="BC329" i="12"/>
  <c r="BC335" i="12"/>
  <c r="BA337" i="12"/>
  <c r="BB337" i="12"/>
  <c r="H175" i="12" l="1"/>
  <c r="AX175" i="12"/>
  <c r="H144" i="12"/>
  <c r="AX144" i="12"/>
  <c r="H167" i="12"/>
  <c r="AX167" i="12"/>
  <c r="H297" i="12"/>
  <c r="AX297" i="12"/>
  <c r="AX331" i="12"/>
  <c r="H331" i="12"/>
  <c r="AX339" i="12"/>
  <c r="H339" i="12"/>
  <c r="H166" i="12"/>
  <c r="AX166" i="12"/>
  <c r="H265" i="12"/>
  <c r="AX265" i="12"/>
  <c r="H203" i="12"/>
  <c r="AX203" i="12"/>
  <c r="AX323" i="12"/>
  <c r="H323" i="12"/>
  <c r="H64" i="12"/>
  <c r="AX64" i="12"/>
  <c r="AX53" i="12"/>
  <c r="H334" i="12"/>
  <c r="AX334" i="12"/>
  <c r="AX234" i="12"/>
  <c r="H234" i="12"/>
  <c r="H244" i="12"/>
  <c r="AX244" i="12"/>
  <c r="H206" i="12"/>
  <c r="AX206" i="12"/>
  <c r="AX207" i="12"/>
  <c r="H207" i="12"/>
  <c r="H165" i="12"/>
  <c r="AX165" i="12"/>
  <c r="H91" i="12"/>
  <c r="AX91" i="12"/>
  <c r="H36" i="12"/>
  <c r="AX36" i="12"/>
  <c r="H105" i="12"/>
  <c r="AX105" i="12"/>
  <c r="H78" i="12"/>
  <c r="AX78" i="12"/>
  <c r="H40" i="12"/>
  <c r="AX40" i="12"/>
  <c r="AX137" i="12"/>
  <c r="H137" i="12"/>
  <c r="H46" i="12"/>
  <c r="AX46" i="12"/>
  <c r="H77" i="12"/>
  <c r="AX77" i="12"/>
  <c r="H30" i="12"/>
  <c r="AX30" i="12"/>
  <c r="H318" i="12"/>
  <c r="AX318" i="12"/>
  <c r="H303" i="12"/>
  <c r="AX303" i="12"/>
  <c r="H337" i="12"/>
  <c r="AX337" i="12"/>
  <c r="AX292" i="12"/>
  <c r="H292" i="12"/>
  <c r="H230" i="12"/>
  <c r="AX230" i="12"/>
  <c r="AX264" i="12"/>
  <c r="H264" i="12"/>
  <c r="H249" i="12"/>
  <c r="AX249" i="12"/>
  <c r="AX258" i="12"/>
  <c r="H258" i="12"/>
  <c r="AX213" i="12"/>
  <c r="H213" i="12"/>
  <c r="AX185" i="12"/>
  <c r="H185" i="12"/>
  <c r="H163" i="12"/>
  <c r="AX163" i="12"/>
  <c r="H164" i="12"/>
  <c r="AX164" i="12"/>
  <c r="H189" i="12"/>
  <c r="AX189" i="12"/>
  <c r="H158" i="12"/>
  <c r="AX158" i="12"/>
  <c r="H170" i="12"/>
  <c r="AX170" i="12"/>
  <c r="AX177" i="12"/>
  <c r="H177" i="12"/>
  <c r="H140" i="12"/>
  <c r="AX140" i="12"/>
  <c r="H139" i="12"/>
  <c r="AX139" i="12"/>
  <c r="H124" i="12"/>
  <c r="AX124" i="12"/>
  <c r="H83" i="12"/>
  <c r="AX83" i="12"/>
  <c r="H28" i="12"/>
  <c r="AX28" i="12"/>
  <c r="H97" i="12"/>
  <c r="AX97" i="12"/>
  <c r="H74" i="12"/>
  <c r="AX74" i="12"/>
  <c r="H51" i="12"/>
  <c r="AX51" i="12"/>
  <c r="AX73" i="12"/>
  <c r="H73" i="12"/>
  <c r="H68" i="12"/>
  <c r="AX68" i="12"/>
  <c r="H50" i="12"/>
  <c r="AX50" i="12"/>
  <c r="H93" i="12"/>
  <c r="AX93" i="12"/>
  <c r="H38" i="12"/>
  <c r="AX38" i="12"/>
  <c r="AX101" i="12"/>
  <c r="H101" i="12"/>
  <c r="AX18" i="12"/>
  <c r="H18" i="12"/>
  <c r="H72" i="12"/>
  <c r="AX72" i="12"/>
  <c r="H276" i="12"/>
  <c r="AX276" i="12"/>
  <c r="AX308" i="12"/>
  <c r="H308" i="12"/>
  <c r="AX209" i="12"/>
  <c r="H209" i="12"/>
  <c r="AX196" i="12"/>
  <c r="H196" i="12"/>
  <c r="H171" i="12"/>
  <c r="AX171" i="12"/>
  <c r="H172" i="12"/>
  <c r="AX172" i="12"/>
  <c r="AX193" i="12"/>
  <c r="H193" i="12"/>
  <c r="H162" i="12"/>
  <c r="AX162" i="12"/>
  <c r="AX176" i="12"/>
  <c r="H176" i="12"/>
  <c r="H113" i="12"/>
  <c r="AX113" i="12"/>
  <c r="H310" i="12"/>
  <c r="AX310" i="12"/>
  <c r="H294" i="12"/>
  <c r="AX294" i="12"/>
  <c r="H329" i="12"/>
  <c r="AX329" i="12"/>
  <c r="H293" i="12"/>
  <c r="AX293" i="12"/>
  <c r="AX324" i="12"/>
  <c r="H324" i="12"/>
  <c r="AX299" i="12"/>
  <c r="H299" i="12"/>
  <c r="H246" i="12"/>
  <c r="AX246" i="12"/>
  <c r="H247" i="12"/>
  <c r="AX247" i="12"/>
  <c r="H274" i="12"/>
  <c r="AX274" i="12"/>
  <c r="AX229" i="12"/>
  <c r="H229" i="12"/>
  <c r="H250" i="12"/>
  <c r="AX250" i="12"/>
  <c r="AX228" i="12"/>
  <c r="H228" i="12"/>
  <c r="H270" i="12"/>
  <c r="AX270" i="12"/>
  <c r="AX204" i="12"/>
  <c r="H204" i="12"/>
  <c r="H157" i="12"/>
  <c r="AX157" i="12"/>
  <c r="H198" i="12"/>
  <c r="AX198" i="12"/>
  <c r="H150" i="12"/>
  <c r="AX150" i="12"/>
  <c r="H211" i="12"/>
  <c r="AX211" i="12"/>
  <c r="H151" i="12"/>
  <c r="AX151" i="12"/>
  <c r="H116" i="12"/>
  <c r="AX116" i="12"/>
  <c r="H75" i="12"/>
  <c r="AX75" i="12"/>
  <c r="H20" i="12"/>
  <c r="AX20" i="12"/>
  <c r="H94" i="12"/>
  <c r="AX94" i="12"/>
  <c r="H35" i="12"/>
  <c r="AX35" i="12"/>
  <c r="H88" i="12"/>
  <c r="AX88" i="12"/>
  <c r="AX89" i="12"/>
  <c r="H89" i="12"/>
  <c r="H100" i="12"/>
  <c r="AX100" i="12"/>
  <c r="H319" i="12"/>
  <c r="AX319" i="12"/>
  <c r="AX307" i="12"/>
  <c r="H307" i="12"/>
  <c r="H268" i="12"/>
  <c r="AX268" i="12"/>
  <c r="H260" i="12"/>
  <c r="AX260" i="12"/>
  <c r="H252" i="12"/>
  <c r="AX252" i="12"/>
  <c r="AX275" i="12"/>
  <c r="H275" i="12"/>
  <c r="H205" i="12"/>
  <c r="AX205" i="12"/>
  <c r="AX180" i="12"/>
  <c r="H180" i="12"/>
  <c r="H173" i="12"/>
  <c r="AX173" i="12"/>
  <c r="AX179" i="12"/>
  <c r="H179" i="12"/>
  <c r="H183" i="12"/>
  <c r="AX183" i="12"/>
  <c r="AX104" i="12"/>
  <c r="H104" i="12"/>
  <c r="H42" i="12"/>
  <c r="AX42" i="12"/>
  <c r="H304" i="12"/>
  <c r="AX304" i="12"/>
  <c r="H321" i="12"/>
  <c r="AX321" i="12"/>
  <c r="H238" i="12"/>
  <c r="AX238" i="12"/>
  <c r="H290" i="12"/>
  <c r="AX290" i="12"/>
  <c r="H239" i="12"/>
  <c r="AX239" i="12"/>
  <c r="AX283" i="12"/>
  <c r="H283" i="12"/>
  <c r="H271" i="12"/>
  <c r="AX271" i="12"/>
  <c r="H202" i="12"/>
  <c r="AX202" i="12"/>
  <c r="H197" i="12"/>
  <c r="AX197" i="12"/>
  <c r="H149" i="12"/>
  <c r="AX149" i="12"/>
  <c r="H194" i="12"/>
  <c r="AX194" i="12"/>
  <c r="H142" i="12"/>
  <c r="AX142" i="12"/>
  <c r="H143" i="12"/>
  <c r="AX143" i="12"/>
  <c r="H169" i="12"/>
  <c r="AX169" i="12"/>
  <c r="AX130" i="12"/>
  <c r="H130" i="12"/>
  <c r="H108" i="12"/>
  <c r="AX108" i="12"/>
  <c r="AX107" i="12"/>
  <c r="H107" i="12"/>
  <c r="H67" i="12"/>
  <c r="AX67" i="12"/>
  <c r="H14" i="12"/>
  <c r="AX14" i="12"/>
  <c r="H121" i="12"/>
  <c r="AX121" i="12"/>
  <c r="AX120" i="12"/>
  <c r="H120" i="12"/>
  <c r="H61" i="12"/>
  <c r="AX61" i="12"/>
  <c r="H27" i="12"/>
  <c r="AX27" i="12"/>
  <c r="AX71" i="12"/>
  <c r="H71" i="12"/>
  <c r="H13" i="12"/>
  <c r="AX13" i="12"/>
  <c r="H23" i="12"/>
  <c r="AX23" i="12"/>
  <c r="H312" i="12"/>
  <c r="AX312" i="12"/>
  <c r="H245" i="12"/>
  <c r="AX245" i="12"/>
  <c r="H156" i="12"/>
  <c r="AX156" i="12"/>
  <c r="H333" i="12"/>
  <c r="AX333" i="12"/>
  <c r="AX267" i="12"/>
  <c r="H267" i="12"/>
  <c r="H301" i="12"/>
  <c r="AX301" i="12"/>
  <c r="AX285" i="12"/>
  <c r="H285" i="12"/>
  <c r="H300" i="12"/>
  <c r="AX300" i="12"/>
  <c r="H262" i="12"/>
  <c r="AX262" i="12"/>
  <c r="H284" i="12"/>
  <c r="AX284" i="12"/>
  <c r="H224" i="12"/>
  <c r="AX224" i="12"/>
  <c r="H231" i="12"/>
  <c r="AX231" i="12"/>
  <c r="H278" i="12"/>
  <c r="AX278" i="12"/>
  <c r="AX251" i="12"/>
  <c r="H251" i="12"/>
  <c r="AX243" i="12"/>
  <c r="H243" i="12"/>
  <c r="H223" i="12"/>
  <c r="AX223" i="12"/>
  <c r="AX201" i="12"/>
  <c r="H201" i="12"/>
  <c r="H248" i="12"/>
  <c r="AX248" i="12"/>
  <c r="H141" i="12"/>
  <c r="AX141" i="12"/>
  <c r="H134" i="12"/>
  <c r="AX134" i="12"/>
  <c r="H135" i="12"/>
  <c r="AX135" i="12"/>
  <c r="H155" i="12"/>
  <c r="AX155" i="12"/>
  <c r="AX154" i="12"/>
  <c r="H154" i="12"/>
  <c r="H161" i="12"/>
  <c r="AX161" i="12"/>
  <c r="AX132" i="12"/>
  <c r="H132" i="12"/>
  <c r="H60" i="12"/>
  <c r="AX60" i="12"/>
  <c r="AX34" i="12"/>
  <c r="H34" i="12"/>
  <c r="H32" i="12"/>
  <c r="AX32" i="12"/>
  <c r="AX65" i="12"/>
  <c r="H65" i="12"/>
  <c r="AX87" i="12"/>
  <c r="H87" i="12"/>
  <c r="AX95" i="12"/>
  <c r="H95" i="12"/>
  <c r="H66" i="12"/>
  <c r="AX66" i="12"/>
  <c r="H29" i="12"/>
  <c r="AX29" i="12"/>
  <c r="AX79" i="12"/>
  <c r="H79" i="12"/>
  <c r="H311" i="12"/>
  <c r="AX311" i="12"/>
  <c r="AX332" i="12"/>
  <c r="H332" i="12"/>
  <c r="AX272" i="12"/>
  <c r="H272" i="12"/>
  <c r="H263" i="12"/>
  <c r="AX263" i="12"/>
  <c r="H325" i="12"/>
  <c r="AX325" i="12"/>
  <c r="H336" i="12"/>
  <c r="AX336" i="12"/>
  <c r="H335" i="12"/>
  <c r="AX335" i="12"/>
  <c r="H305" i="12"/>
  <c r="AX305" i="12"/>
  <c r="AX298" i="12"/>
  <c r="H298" i="12"/>
  <c r="H253" i="12"/>
  <c r="AX253" i="12"/>
  <c r="H287" i="12"/>
  <c r="AX287" i="12"/>
  <c r="H225" i="12"/>
  <c r="AX225" i="12"/>
  <c r="H237" i="12"/>
  <c r="AX237" i="12"/>
  <c r="H217" i="12"/>
  <c r="AX217" i="12"/>
  <c r="AX215" i="12"/>
  <c r="H215" i="12"/>
  <c r="H133" i="12"/>
  <c r="AX133" i="12"/>
  <c r="H184" i="12"/>
  <c r="AX184" i="12"/>
  <c r="AX146" i="12"/>
  <c r="H146" i="12"/>
  <c r="H148" i="12"/>
  <c r="AX148" i="12"/>
  <c r="H55" i="12"/>
  <c r="AX55" i="12"/>
  <c r="H123" i="12"/>
  <c r="AX123" i="12"/>
  <c r="AX26" i="12"/>
  <c r="H26" i="12"/>
  <c r="AX96" i="12"/>
  <c r="H96" i="12"/>
  <c r="AX112" i="12"/>
  <c r="H112" i="12"/>
  <c r="AX81" i="12"/>
  <c r="H81" i="12"/>
  <c r="AX11" i="12"/>
  <c r="H11" i="12"/>
  <c r="H63" i="12"/>
  <c r="AX63" i="12"/>
  <c r="AX41" i="12"/>
  <c r="H41" i="12"/>
  <c r="H82" i="12"/>
  <c r="AX82" i="12"/>
  <c r="AX47" i="12"/>
  <c r="H47" i="12"/>
  <c r="H44" i="12"/>
  <c r="AX44" i="12"/>
  <c r="H90" i="12"/>
  <c r="AX90" i="12"/>
  <c r="H326" i="12"/>
  <c r="AX326" i="12"/>
  <c r="H302" i="12"/>
  <c r="AX302" i="12"/>
  <c r="H254" i="12"/>
  <c r="AX254" i="12"/>
  <c r="H313" i="12"/>
  <c r="AX313" i="12"/>
  <c r="H317" i="12"/>
  <c r="AX317" i="12"/>
  <c r="H328" i="12"/>
  <c r="AX328" i="12"/>
  <c r="H218" i="12"/>
  <c r="AX218" i="12"/>
  <c r="H222" i="12"/>
  <c r="AX222" i="12"/>
  <c r="H210" i="12"/>
  <c r="AX210" i="12"/>
  <c r="H309" i="12"/>
  <c r="AX309" i="12"/>
  <c r="H327" i="12"/>
  <c r="AX327" i="12"/>
  <c r="H320" i="12"/>
  <c r="AX320" i="12"/>
  <c r="AX316" i="12"/>
  <c r="H316" i="12"/>
  <c r="H295" i="12"/>
  <c r="AX295" i="12"/>
  <c r="H261" i="12"/>
  <c r="AX261" i="12"/>
  <c r="H219" i="12"/>
  <c r="AX219" i="12"/>
  <c r="H277" i="12"/>
  <c r="AX277" i="12"/>
  <c r="AX282" i="12"/>
  <c r="H282" i="12"/>
  <c r="H236" i="12"/>
  <c r="AX236" i="12"/>
  <c r="H233" i="12"/>
  <c r="AX233" i="12"/>
  <c r="AX235" i="12"/>
  <c r="H235" i="12"/>
  <c r="AX242" i="12"/>
  <c r="H242" i="12"/>
  <c r="H216" i="12"/>
  <c r="AX216" i="12"/>
  <c r="H178" i="12"/>
  <c r="AX178" i="12"/>
  <c r="AX126" i="12"/>
  <c r="H126" i="12"/>
  <c r="AX182" i="12"/>
  <c r="H182" i="12"/>
  <c r="H147" i="12"/>
  <c r="AX147" i="12"/>
  <c r="H186" i="12"/>
  <c r="AX186" i="12"/>
  <c r="H48" i="12"/>
  <c r="AX48" i="12"/>
  <c r="H115" i="12"/>
  <c r="AX115" i="12"/>
  <c r="H85" i="12"/>
  <c r="AX85" i="12"/>
  <c r="H37" i="12"/>
  <c r="AX37" i="12"/>
  <c r="H54" i="12"/>
  <c r="AX54" i="12"/>
  <c r="H19" i="12"/>
  <c r="AX19" i="12"/>
  <c r="H127" i="12"/>
  <c r="AX127" i="12"/>
  <c r="AW340" i="12" l="1"/>
  <c r="AX340" i="12" s="1"/>
  <c r="H340" i="12"/>
  <c r="G343" i="12" s="1"/>
  <c r="AX341" i="12" l="1"/>
  <c r="C17" i="11" l="1"/>
  <c r="N62" i="7"/>
  <c r="I62" i="7"/>
  <c r="N47" i="7"/>
  <c r="N28" i="7"/>
  <c r="N7" i="7"/>
  <c r="G7" i="7"/>
  <c r="I7" i="7" s="1"/>
  <c r="G28" i="7"/>
  <c r="I28" i="7" s="1"/>
  <c r="I59" i="6"/>
  <c r="G59" i="6"/>
  <c r="BD112" i="7" l="1"/>
  <c r="BD113" i="7"/>
  <c r="BD114" i="7"/>
  <c r="BD115" i="7"/>
  <c r="BD109" i="7"/>
  <c r="BD111" i="7" l="1"/>
  <c r="BD92" i="7" l="1"/>
  <c r="BC2" i="7" l="1"/>
  <c r="D116" i="7" l="1"/>
  <c r="BC112" i="7" l="1"/>
  <c r="BC113" i="7"/>
  <c r="BC114" i="7"/>
  <c r="BC115" i="7"/>
  <c r="BC111" i="7"/>
  <c r="BC109" i="7"/>
  <c r="BM41" i="7" l="1"/>
  <c r="BH109" i="7" l="1"/>
  <c r="BJ109" i="7"/>
  <c r="BK109" i="7"/>
  <c r="BI109" i="7"/>
  <c r="BB112" i="7"/>
  <c r="BB113" i="7"/>
  <c r="BB114" i="7"/>
  <c r="BB115" i="7"/>
  <c r="BB111" i="7"/>
  <c r="BB109" i="7"/>
  <c r="BE111" i="7" l="1"/>
  <c r="BE112" i="7"/>
  <c r="BE113" i="7"/>
  <c r="BE114" i="7"/>
  <c r="BE115" i="7"/>
  <c r="BE109" i="7"/>
  <c r="A2" i="7" l="1"/>
  <c r="AH1" i="6" l="1"/>
  <c r="AY62" i="7" l="1"/>
  <c r="AU62" i="7"/>
  <c r="AQ62" i="7"/>
  <c r="AM62" i="7"/>
  <c r="AI62" i="7"/>
  <c r="AE62" i="7"/>
  <c r="AY47" i="7"/>
  <c r="AU47" i="7"/>
  <c r="AQ47" i="7"/>
  <c r="AM47" i="7"/>
  <c r="AI47" i="7"/>
  <c r="AE47" i="7"/>
  <c r="AY28" i="7"/>
  <c r="AU28" i="7"/>
  <c r="AQ28" i="7"/>
  <c r="AM28" i="7"/>
  <c r="AI28" i="7"/>
  <c r="AE28" i="7"/>
  <c r="AY7" i="7"/>
  <c r="AU7" i="7"/>
  <c r="AQ7" i="7"/>
  <c r="AM7" i="7"/>
  <c r="AI7" i="7"/>
  <c r="AE7" i="7"/>
  <c r="BC145" i="6"/>
  <c r="AY145" i="6"/>
  <c r="AU145" i="6"/>
  <c r="AQ145" i="6"/>
  <c r="AM145" i="6"/>
  <c r="AI145" i="6"/>
  <c r="BC113" i="6"/>
  <c r="AY113" i="6"/>
  <c r="AU113" i="6"/>
  <c r="AQ113" i="6"/>
  <c r="AM113" i="6"/>
  <c r="AI113" i="6"/>
  <c r="BC88" i="6"/>
  <c r="AY88" i="6"/>
  <c r="AU88" i="6"/>
  <c r="AQ88" i="6"/>
  <c r="AM88" i="6"/>
  <c r="AI88" i="6"/>
  <c r="BC73" i="6"/>
  <c r="AY73" i="6"/>
  <c r="AU73" i="6"/>
  <c r="AQ73" i="6"/>
  <c r="AM73" i="6"/>
  <c r="AI73" i="6"/>
  <c r="BC59" i="6"/>
  <c r="AY59" i="6"/>
  <c r="AU59" i="6"/>
  <c r="AQ59" i="6"/>
  <c r="AM59" i="6"/>
  <c r="AI59" i="6"/>
  <c r="BC45" i="6"/>
  <c r="AY45" i="6"/>
  <c r="AU45" i="6"/>
  <c r="AQ45" i="6"/>
  <c r="AM45" i="6"/>
  <c r="AI45" i="6"/>
  <c r="BC18" i="6"/>
  <c r="AY18" i="6"/>
  <c r="AU18" i="6"/>
  <c r="AQ18" i="6"/>
  <c r="AM18" i="6"/>
  <c r="AI18" i="6"/>
  <c r="BC7" i="6"/>
  <c r="AY7" i="6"/>
  <c r="AU7" i="6"/>
  <c r="AQ7" i="6"/>
  <c r="AM7" i="6"/>
  <c r="AI7" i="6"/>
  <c r="BH27" i="7" l="1"/>
  <c r="BI27" i="7" s="1"/>
  <c r="BF27" i="7" l="1"/>
  <c r="BG27" i="7" s="1"/>
  <c r="BF28" i="7"/>
  <c r="BG28" i="7" s="1"/>
  <c r="BF46" i="7"/>
  <c r="BG46" i="7" s="1"/>
  <c r="BF47" i="7"/>
  <c r="BG47" i="7" s="1"/>
  <c r="BF54" i="7"/>
  <c r="BG54" i="7" s="1"/>
  <c r="BF61" i="7"/>
  <c r="BG61" i="7" s="1"/>
  <c r="BF62" i="7"/>
  <c r="BG62" i="7" s="1"/>
  <c r="BF63" i="7"/>
  <c r="BG63" i="7" s="1"/>
  <c r="BF69" i="7"/>
  <c r="BG69" i="7" s="1"/>
  <c r="BF77" i="7"/>
  <c r="BG77" i="7" s="1"/>
  <c r="BF109" i="7"/>
  <c r="BF111" i="7"/>
  <c r="BF112" i="7"/>
  <c r="BF113" i="7"/>
  <c r="BF114" i="7"/>
  <c r="BF115" i="7"/>
  <c r="BK114" i="7"/>
  <c r="BJ113" i="7"/>
  <c r="BI112" i="7"/>
  <c r="BI111" i="7"/>
  <c r="BH113" i="7"/>
  <c r="BH114" i="7"/>
  <c r="BH111" i="7"/>
  <c r="BK115" i="7"/>
  <c r="BJ115" i="7"/>
  <c r="BI115" i="7"/>
  <c r="BH115" i="7"/>
  <c r="BJ114" i="7"/>
  <c r="BI114" i="7"/>
  <c r="BK113" i="7"/>
  <c r="BI113" i="7"/>
  <c r="BK112" i="7"/>
  <c r="BJ112" i="7"/>
  <c r="BH112" i="7"/>
  <c r="BK111" i="7"/>
  <c r="BJ111" i="7"/>
  <c r="BK77" i="7"/>
  <c r="BJ77" i="7"/>
  <c r="BI77" i="7"/>
  <c r="BH77" i="7"/>
  <c r="BK69" i="7"/>
  <c r="BJ69" i="7"/>
  <c r="BI69" i="7"/>
  <c r="BH69" i="7"/>
  <c r="BK63" i="7"/>
  <c r="BJ63" i="7"/>
  <c r="BI63" i="7"/>
  <c r="BH63" i="7"/>
  <c r="BK61" i="7"/>
  <c r="BJ61" i="7"/>
  <c r="BI61" i="7"/>
  <c r="BH61" i="7"/>
  <c r="BK54" i="7"/>
  <c r="BJ54" i="7"/>
  <c r="BI54" i="7"/>
  <c r="BH54" i="7"/>
  <c r="BE45" i="7" l="1"/>
  <c r="BK45" i="7" s="1"/>
  <c r="BD45" i="7"/>
  <c r="BJ45" i="7" s="1"/>
  <c r="BC45" i="7"/>
  <c r="BI45" i="7" s="1"/>
  <c r="BB45" i="7"/>
  <c r="BF45" i="7" l="1"/>
  <c r="BH45" i="7"/>
  <c r="AW24" i="6" l="1"/>
  <c r="AX24" i="6" s="1"/>
  <c r="AO24" i="6"/>
  <c r="AP24" i="6" s="1"/>
  <c r="D63" i="6" l="1"/>
  <c r="D23" i="6"/>
  <c r="D12" i="6"/>
  <c r="AW52" i="6" l="1"/>
  <c r="AO52" i="6"/>
  <c r="AW45" i="7" l="1"/>
  <c r="AS108" i="7"/>
  <c r="AS107" i="7"/>
  <c r="AS105" i="7"/>
  <c r="AS103" i="7"/>
  <c r="AS102" i="7"/>
  <c r="AS100" i="7"/>
  <c r="AS99" i="7"/>
  <c r="AS93" i="7"/>
  <c r="AS92" i="7"/>
  <c r="AS91" i="7" s="1"/>
  <c r="AS90" i="7"/>
  <c r="AS89" i="7"/>
  <c r="AS88" i="7"/>
  <c r="AS87" i="7"/>
  <c r="AS86" i="7"/>
  <c r="AS84" i="7"/>
  <c r="AS83" i="7"/>
  <c r="AS82" i="7"/>
  <c r="AS81" i="7"/>
  <c r="AS80" i="7"/>
  <c r="AS78" i="7"/>
  <c r="AS76" i="7"/>
  <c r="AS75" i="7"/>
  <c r="AS74" i="7"/>
  <c r="AS73" i="7"/>
  <c r="AS72" i="7"/>
  <c r="AS71" i="7"/>
  <c r="AS70" i="7"/>
  <c r="AS68" i="7"/>
  <c r="AS66" i="7"/>
  <c r="AS64" i="7"/>
  <c r="AS59" i="7"/>
  <c r="AS58" i="7"/>
  <c r="AS55" i="7"/>
  <c r="AS97" i="7" s="1"/>
  <c r="AS53" i="7"/>
  <c r="AS51" i="7"/>
  <c r="AS44" i="7"/>
  <c r="AS43" i="7"/>
  <c r="AS38" i="7"/>
  <c r="AS37" i="7"/>
  <c r="AS25" i="7"/>
  <c r="AS23" i="7"/>
  <c r="AS41" i="7" s="1"/>
  <c r="AS56" i="7" s="1"/>
  <c r="AS101" i="7" s="1"/>
  <c r="AT101" i="7" s="1"/>
  <c r="AS22" i="7"/>
  <c r="AS110" i="7" s="1"/>
  <c r="AS20" i="7"/>
  <c r="AS19" i="7"/>
  <c r="AS18" i="7"/>
  <c r="AS17" i="7"/>
  <c r="AS106" i="7" s="1"/>
  <c r="AS16" i="7"/>
  <c r="AS15" i="7"/>
  <c r="AS52" i="7" s="1"/>
  <c r="AS14" i="7"/>
  <c r="AS60" i="7" s="1"/>
  <c r="AS13" i="7"/>
  <c r="AS12" i="7"/>
  <c r="AS32" i="7" s="1"/>
  <c r="AS11" i="7"/>
  <c r="AS31" i="7" s="1"/>
  <c r="AS10" i="7"/>
  <c r="AS54" i="7"/>
  <c r="AO45" i="7"/>
  <c r="AK108" i="7"/>
  <c r="AK107" i="7"/>
  <c r="AK105" i="7"/>
  <c r="AK103" i="7"/>
  <c r="AK102" i="7"/>
  <c r="AK100" i="7"/>
  <c r="AK99" i="7"/>
  <c r="AK93" i="7"/>
  <c r="AK92" i="7"/>
  <c r="AK91" i="7" s="1"/>
  <c r="AK90" i="7"/>
  <c r="AK89" i="7"/>
  <c r="AK88" i="7"/>
  <c r="AK87" i="7"/>
  <c r="AK86" i="7"/>
  <c r="AK84" i="7"/>
  <c r="AK83" i="7"/>
  <c r="AK82" i="7"/>
  <c r="AK81" i="7"/>
  <c r="AK78" i="7"/>
  <c r="AK76" i="7"/>
  <c r="AK75" i="7"/>
  <c r="AK74" i="7"/>
  <c r="AK73" i="7"/>
  <c r="AK72" i="7"/>
  <c r="AK71" i="7"/>
  <c r="AK70" i="7"/>
  <c r="AK68" i="7"/>
  <c r="AK64" i="7"/>
  <c r="AK59" i="7"/>
  <c r="AK98" i="7" s="1"/>
  <c r="AK58" i="7"/>
  <c r="AK55" i="7"/>
  <c r="AK97" i="7" s="1"/>
  <c r="AK53" i="7"/>
  <c r="AK51" i="7"/>
  <c r="AK50" i="7"/>
  <c r="AK48" i="7"/>
  <c r="AK95" i="7" s="1"/>
  <c r="AK44" i="7"/>
  <c r="AK43" i="7"/>
  <c r="AK38" i="7"/>
  <c r="AK37" i="7"/>
  <c r="AK25" i="7"/>
  <c r="AK23" i="7"/>
  <c r="AK41" i="7" s="1"/>
  <c r="AK56" i="7" s="1"/>
  <c r="AK101" i="7" s="1"/>
  <c r="AK22" i="7"/>
  <c r="AK110" i="7" s="1"/>
  <c r="AK20" i="7"/>
  <c r="AK19" i="7"/>
  <c r="AK18" i="7"/>
  <c r="AK17" i="7"/>
  <c r="AK106" i="7" s="1"/>
  <c r="AK16" i="7"/>
  <c r="AK15" i="7"/>
  <c r="AK52" i="7" s="1"/>
  <c r="AK14" i="7"/>
  <c r="AK60" i="7" s="1"/>
  <c r="AK13" i="7"/>
  <c r="AK12" i="7"/>
  <c r="AK34" i="7" s="1"/>
  <c r="AK11" i="7"/>
  <c r="AK31" i="7" s="1"/>
  <c r="AK10" i="7"/>
  <c r="AK9" i="7"/>
  <c r="AK30" i="7" s="1"/>
  <c r="AK8" i="7"/>
  <c r="AK54" i="7"/>
  <c r="AG45" i="7"/>
  <c r="AC54" i="7"/>
  <c r="BA143" i="6"/>
  <c r="BA142" i="6"/>
  <c r="BA141" i="6"/>
  <c r="BA43" i="6"/>
  <c r="BA40" i="6"/>
  <c r="BA111" i="6"/>
  <c r="BA137" i="6" s="1"/>
  <c r="BA82" i="6"/>
  <c r="BA81" i="6"/>
  <c r="BA42" i="6"/>
  <c r="BA41" i="6"/>
  <c r="AW151" i="6"/>
  <c r="AW150" i="6"/>
  <c r="AW148" i="6"/>
  <c r="AW136" i="6"/>
  <c r="AW130" i="6"/>
  <c r="AW153" i="6" s="1"/>
  <c r="AW129" i="6"/>
  <c r="AW127" i="6"/>
  <c r="AS104" i="7" s="1"/>
  <c r="AW126" i="6"/>
  <c r="AW125" i="6" s="1"/>
  <c r="AW124" i="6"/>
  <c r="AW123" i="6"/>
  <c r="AW122" i="6"/>
  <c r="AW118" i="6"/>
  <c r="AW107" i="6"/>
  <c r="AW106" i="6"/>
  <c r="AW105" i="6"/>
  <c r="AW149" i="6" s="1"/>
  <c r="AW104" i="6"/>
  <c r="AW91" i="6"/>
  <c r="AW79" i="6"/>
  <c r="AW71" i="6"/>
  <c r="AW108" i="6" s="1"/>
  <c r="AW68" i="6"/>
  <c r="AW66" i="6"/>
  <c r="AW55" i="6"/>
  <c r="AW84" i="6" s="1"/>
  <c r="AW50" i="6"/>
  <c r="AW120" i="6" s="1"/>
  <c r="AW49" i="6"/>
  <c r="AW77" i="6" s="1"/>
  <c r="AW48" i="6"/>
  <c r="AW76" i="6" s="1"/>
  <c r="AW38" i="6"/>
  <c r="AW36" i="6"/>
  <c r="AW65" i="6" s="1"/>
  <c r="AW109" i="6" s="1"/>
  <c r="AW35" i="6"/>
  <c r="AW152" i="6" s="1"/>
  <c r="AW31" i="6"/>
  <c r="AW30" i="6"/>
  <c r="AW28" i="6"/>
  <c r="AW94" i="6" s="1"/>
  <c r="AW27" i="6"/>
  <c r="AW92" i="6" s="1"/>
  <c r="AW26" i="6"/>
  <c r="AW22" i="6"/>
  <c r="AW14" i="6"/>
  <c r="AW32" i="6" s="1"/>
  <c r="AW13" i="6"/>
  <c r="AW64" i="6" s="1"/>
  <c r="AW12" i="6"/>
  <c r="AW63" i="6" s="1"/>
  <c r="AW11" i="6"/>
  <c r="AW10" i="6"/>
  <c r="AW61" i="6" s="1"/>
  <c r="AW69" i="6" s="1"/>
  <c r="BA69" i="6" s="1"/>
  <c r="AW9" i="6"/>
  <c r="AW20" i="6" s="1"/>
  <c r="AW60" i="6" s="1"/>
  <c r="AW8" i="6"/>
  <c r="AW19" i="6" s="1"/>
  <c r="AW143" i="6"/>
  <c r="AW142" i="6"/>
  <c r="AW111" i="6"/>
  <c r="AW137" i="6" s="1"/>
  <c r="AW81" i="6"/>
  <c r="AW82" i="6"/>
  <c r="AW78" i="6"/>
  <c r="AW95" i="6" s="1"/>
  <c r="AW43" i="6"/>
  <c r="AW42" i="6"/>
  <c r="AW41" i="6"/>
  <c r="AW40" i="6"/>
  <c r="AS143" i="6"/>
  <c r="AS142" i="6"/>
  <c r="AS141" i="6"/>
  <c r="AS42" i="6"/>
  <c r="AS41" i="6"/>
  <c r="AS40" i="6"/>
  <c r="AS111" i="6"/>
  <c r="AS137" i="6" s="1"/>
  <c r="AS82" i="6"/>
  <c r="AS81" i="6"/>
  <c r="AS43" i="6"/>
  <c r="AO151" i="6"/>
  <c r="AO150" i="6"/>
  <c r="AO148" i="6"/>
  <c r="AO147" i="6"/>
  <c r="AO136" i="6"/>
  <c r="AO130" i="6"/>
  <c r="AO153" i="6" s="1"/>
  <c r="AO129" i="6"/>
  <c r="AO127" i="6"/>
  <c r="AK104" i="7" s="1"/>
  <c r="AO126" i="6"/>
  <c r="AO125" i="6" s="1"/>
  <c r="AO124" i="6"/>
  <c r="AO123" i="6"/>
  <c r="AO122" i="6"/>
  <c r="AO43" i="6"/>
  <c r="AO41" i="6"/>
  <c r="AO40" i="6"/>
  <c r="AO107" i="6"/>
  <c r="AO106" i="6"/>
  <c r="AO105" i="6"/>
  <c r="AO149" i="6" s="1"/>
  <c r="AO104" i="6"/>
  <c r="AO103" i="6"/>
  <c r="AO102" i="6"/>
  <c r="AO91" i="6"/>
  <c r="AO111" i="6"/>
  <c r="AO137" i="6" s="1"/>
  <c r="AO79" i="6"/>
  <c r="AO97" i="6" s="1"/>
  <c r="AO82" i="6"/>
  <c r="AO81" i="6"/>
  <c r="AO71" i="6"/>
  <c r="AO108" i="6" s="1"/>
  <c r="AO68" i="6"/>
  <c r="AO66" i="6"/>
  <c r="AO55" i="6"/>
  <c r="AO84" i="6" s="1"/>
  <c r="AO78" i="6"/>
  <c r="AO95" i="6" s="1"/>
  <c r="AO50" i="6"/>
  <c r="AO120" i="6" s="1"/>
  <c r="AO49" i="6"/>
  <c r="AO77" i="6" s="1"/>
  <c r="AO48" i="6"/>
  <c r="AO76" i="6" s="1"/>
  <c r="AK65" i="7" s="1"/>
  <c r="AO38" i="6"/>
  <c r="AO36" i="6"/>
  <c r="AO65" i="6" s="1"/>
  <c r="AO35" i="6"/>
  <c r="AO152" i="6" s="1"/>
  <c r="AO31" i="6"/>
  <c r="AO30" i="6"/>
  <c r="AO28" i="6"/>
  <c r="AO94" i="6" s="1"/>
  <c r="AO26" i="6"/>
  <c r="AO22" i="6"/>
  <c r="AO42" i="6"/>
  <c r="AO14" i="6"/>
  <c r="AO32" i="6" s="1"/>
  <c r="AO67" i="6" s="1"/>
  <c r="AO13" i="6"/>
  <c r="AO64" i="6" s="1"/>
  <c r="AO11" i="6"/>
  <c r="AO9" i="6"/>
  <c r="AO20" i="6" s="1"/>
  <c r="AO8" i="6"/>
  <c r="AO19" i="6" s="1"/>
  <c r="AK67" i="7" s="1"/>
  <c r="AK143" i="6"/>
  <c r="AK142" i="6"/>
  <c r="AK141" i="6"/>
  <c r="AK43" i="6"/>
  <c r="AK40" i="6"/>
  <c r="AK111" i="6"/>
  <c r="AK137" i="6" s="1"/>
  <c r="AK82" i="6"/>
  <c r="AK81" i="6"/>
  <c r="AK42" i="6"/>
  <c r="AK41" i="6"/>
  <c r="AG43" i="6"/>
  <c r="AG41" i="6"/>
  <c r="AG40" i="6"/>
  <c r="AG111" i="6"/>
  <c r="AG137" i="6" s="1"/>
  <c r="AG82" i="6"/>
  <c r="AG81" i="6"/>
  <c r="AG42" i="6"/>
  <c r="AK94" i="7" l="1"/>
  <c r="AW144" i="6"/>
  <c r="AK29" i="7"/>
  <c r="AW93" i="6"/>
  <c r="AK96" i="7"/>
  <c r="AK49" i="7"/>
  <c r="AS79" i="7"/>
  <c r="AO60" i="6"/>
  <c r="AO47" i="6"/>
  <c r="AO46" i="6"/>
  <c r="AO89" i="6" s="1"/>
  <c r="AO114" i="6" s="1"/>
  <c r="AK85" i="7"/>
  <c r="AS34" i="7"/>
  <c r="AW46" i="6"/>
  <c r="AW74" i="6" s="1"/>
  <c r="AS67" i="7"/>
  <c r="AK79" i="7"/>
  <c r="AO121" i="6"/>
  <c r="AO109" i="6"/>
  <c r="AO99" i="6"/>
  <c r="AO100" i="6" s="1"/>
  <c r="AS85" i="7"/>
  <c r="AW97" i="6"/>
  <c r="AS98" i="7"/>
  <c r="AS40" i="7"/>
  <c r="AO93" i="6"/>
  <c r="AS65" i="7"/>
  <c r="AO80" i="6"/>
  <c r="AK39" i="7"/>
  <c r="AK26" i="7"/>
  <c r="AK33" i="7"/>
  <c r="AS36" i="7"/>
  <c r="AS35" i="7"/>
  <c r="AK32" i="7"/>
  <c r="AK21" i="7"/>
  <c r="AK36" i="7"/>
  <c r="AK40" i="7"/>
  <c r="AK35" i="7"/>
  <c r="AW80" i="6"/>
  <c r="AW23" i="6"/>
  <c r="AW115" i="6" s="1"/>
  <c r="AW47" i="6"/>
  <c r="AW62" i="6"/>
  <c r="AW21" i="6"/>
  <c r="AW75" i="6"/>
  <c r="AW90" i="6" s="1"/>
  <c r="AW119" i="6"/>
  <c r="AW99" i="6"/>
  <c r="AW100" i="6" s="1"/>
  <c r="AW67" i="6"/>
  <c r="AW25" i="6"/>
  <c r="AW121" i="6"/>
  <c r="AO74" i="6" l="1"/>
  <c r="AW89" i="6"/>
  <c r="AW114" i="6" s="1"/>
  <c r="AO119" i="6"/>
  <c r="AO75" i="6"/>
  <c r="AO90" i="6" s="1"/>
  <c r="AW140" i="6"/>
  <c r="AW117" i="6"/>
  <c r="AW116" i="6"/>
  <c r="F143" i="6" l="1"/>
  <c r="F142" i="6"/>
  <c r="AL18" i="7" l="1"/>
  <c r="AX114" i="6" l="1"/>
  <c r="AX119" i="6"/>
  <c r="AX90" i="6"/>
  <c r="AL143" i="6"/>
  <c r="AL142" i="6"/>
  <c r="AL43" i="6"/>
  <c r="AL40" i="6"/>
  <c r="AL137" i="6"/>
  <c r="AL81" i="6"/>
  <c r="AL42" i="6"/>
  <c r="AL41" i="6"/>
  <c r="AH154" i="6"/>
  <c r="AH146" i="6"/>
  <c r="AH143" i="6"/>
  <c r="AH142" i="6"/>
  <c r="AH43" i="6"/>
  <c r="AH111" i="6"/>
  <c r="AH81" i="6"/>
  <c r="AH41" i="6"/>
  <c r="AH40" i="6"/>
  <c r="G13" i="8"/>
  <c r="D13" i="8"/>
  <c r="G7" i="8"/>
  <c r="G8" i="8"/>
  <c r="G9" i="8"/>
  <c r="G10" i="8"/>
  <c r="G11" i="8"/>
  <c r="G12" i="8"/>
  <c r="G6" i="8"/>
  <c r="D7" i="8"/>
  <c r="D8" i="8"/>
  <c r="D9" i="8"/>
  <c r="D10" i="8"/>
  <c r="D11" i="8"/>
  <c r="D12" i="8"/>
  <c r="D6" i="8"/>
  <c r="BB154" i="6"/>
  <c r="BB146" i="6"/>
  <c r="BB143" i="6"/>
  <c r="BB142" i="6"/>
  <c r="BB141" i="6"/>
  <c r="BB137" i="6"/>
  <c r="BB135" i="6"/>
  <c r="BB134" i="6"/>
  <c r="BB133" i="6"/>
  <c r="BB132" i="6"/>
  <c r="BB131" i="6"/>
  <c r="BB128" i="6"/>
  <c r="BB117" i="6"/>
  <c r="BB111" i="6"/>
  <c r="BB101" i="6"/>
  <c r="BB98" i="6"/>
  <c r="BB86" i="6"/>
  <c r="BB81" i="6"/>
  <c r="BB72" i="6"/>
  <c r="BB56" i="6"/>
  <c r="BB51" i="6"/>
  <c r="BB43" i="6"/>
  <c r="BB42" i="6"/>
  <c r="BB41" i="6"/>
  <c r="BB40" i="6"/>
  <c r="BB37" i="6"/>
  <c r="BB34" i="6"/>
  <c r="BB33" i="6"/>
  <c r="BB29" i="6"/>
  <c r="BB17" i="6"/>
  <c r="AX154" i="6"/>
  <c r="AX153" i="6"/>
  <c r="AX152" i="6"/>
  <c r="AX151" i="6"/>
  <c r="AX150" i="6"/>
  <c r="AX149" i="6"/>
  <c r="AX148" i="6"/>
  <c r="AX146" i="6"/>
  <c r="AX144" i="6"/>
  <c r="AX143" i="6"/>
  <c r="AX142" i="6"/>
  <c r="AX141" i="6"/>
  <c r="AX140" i="6"/>
  <c r="AX137" i="6"/>
  <c r="AX136" i="6"/>
  <c r="AX135" i="6"/>
  <c r="AX134" i="6"/>
  <c r="AX133" i="6"/>
  <c r="AX132" i="6"/>
  <c r="AX131" i="6"/>
  <c r="AX130" i="6"/>
  <c r="AX129" i="6"/>
  <c r="AX128" i="6"/>
  <c r="AX127" i="6"/>
  <c r="AX126" i="6"/>
  <c r="AX125" i="6"/>
  <c r="AX124" i="6"/>
  <c r="AX123" i="6"/>
  <c r="AX122" i="6"/>
  <c r="AX121" i="6"/>
  <c r="AX120" i="6"/>
  <c r="AX118" i="6"/>
  <c r="AX117" i="6"/>
  <c r="AX116" i="6"/>
  <c r="AX115" i="6"/>
  <c r="AX111" i="6"/>
  <c r="AX109" i="6"/>
  <c r="AX108" i="6"/>
  <c r="AX107" i="6"/>
  <c r="AX106" i="6"/>
  <c r="AX105" i="6"/>
  <c r="AX104" i="6"/>
  <c r="AX101" i="6"/>
  <c r="AX100" i="6"/>
  <c r="AX98" i="6"/>
  <c r="AX97" i="6"/>
  <c r="AX96" i="6"/>
  <c r="AX95" i="6"/>
  <c r="AX94" i="6"/>
  <c r="AX93" i="6"/>
  <c r="AX92" i="6"/>
  <c r="AX91" i="6"/>
  <c r="AX86" i="6"/>
  <c r="AX84" i="6"/>
  <c r="AX81" i="6"/>
  <c r="AX80" i="6"/>
  <c r="AX79" i="6"/>
  <c r="AX78" i="6"/>
  <c r="AX77" i="6"/>
  <c r="AX76" i="6"/>
  <c r="AX74" i="6"/>
  <c r="AX72" i="6"/>
  <c r="AX71" i="6"/>
  <c r="AX68" i="6"/>
  <c r="AX67" i="6"/>
  <c r="AX66" i="6"/>
  <c r="AX65" i="6"/>
  <c r="AX64" i="6"/>
  <c r="AX62" i="6"/>
  <c r="AX61" i="6"/>
  <c r="AX60" i="6"/>
  <c r="AX56" i="6"/>
  <c r="AX55" i="6"/>
  <c r="AX52" i="6"/>
  <c r="AX51" i="6"/>
  <c r="AX50" i="6"/>
  <c r="AX49" i="6"/>
  <c r="AX48" i="6"/>
  <c r="AX47" i="6"/>
  <c r="AX46" i="6"/>
  <c r="AX43" i="6"/>
  <c r="AX42" i="6"/>
  <c r="AX41" i="6"/>
  <c r="AX40" i="6"/>
  <c r="AX38" i="6"/>
  <c r="AX37" i="6"/>
  <c r="AX36" i="6"/>
  <c r="AX35" i="6"/>
  <c r="AX34" i="6"/>
  <c r="AX33" i="6"/>
  <c r="AX32" i="6"/>
  <c r="AX31" i="6"/>
  <c r="AX30" i="6"/>
  <c r="AX29" i="6"/>
  <c r="AX28" i="6"/>
  <c r="AX27" i="6"/>
  <c r="AX26" i="6"/>
  <c r="AX25" i="6"/>
  <c r="AX23" i="6"/>
  <c r="AX22" i="6"/>
  <c r="AX21" i="6"/>
  <c r="AX20" i="6"/>
  <c r="AX19" i="6"/>
  <c r="AX17" i="6"/>
  <c r="AX11" i="6"/>
  <c r="AX9" i="6"/>
  <c r="AX8" i="6"/>
  <c r="AT154" i="6"/>
  <c r="AT146" i="6"/>
  <c r="AT143" i="6"/>
  <c r="AT142" i="6"/>
  <c r="AT141" i="6"/>
  <c r="AT137" i="6"/>
  <c r="AT135" i="6"/>
  <c r="AT134" i="6"/>
  <c r="AT133" i="6"/>
  <c r="AT132" i="6"/>
  <c r="AT131" i="6"/>
  <c r="AT128" i="6"/>
  <c r="AT117" i="6"/>
  <c r="AT111" i="6"/>
  <c r="AT101" i="6"/>
  <c r="AT98" i="6"/>
  <c r="AT86" i="6"/>
  <c r="AT81" i="6"/>
  <c r="AT72" i="6"/>
  <c r="AT56" i="6"/>
  <c r="AT51" i="6"/>
  <c r="AT43" i="6"/>
  <c r="AT42" i="6"/>
  <c r="AT41" i="6"/>
  <c r="AT40" i="6"/>
  <c r="AT37" i="6"/>
  <c r="AT34" i="6"/>
  <c r="AT33" i="6"/>
  <c r="AT29" i="6"/>
  <c r="AT17" i="6"/>
  <c r="AP154" i="6"/>
  <c r="AP153" i="6"/>
  <c r="AP151" i="6"/>
  <c r="AP150" i="6"/>
  <c r="AP148" i="6"/>
  <c r="AP147" i="6"/>
  <c r="AP146" i="6"/>
  <c r="AP143" i="6"/>
  <c r="AP142" i="6"/>
  <c r="AP141" i="6"/>
  <c r="AP137" i="6"/>
  <c r="AP136" i="6"/>
  <c r="AP135" i="6"/>
  <c r="AP134" i="6"/>
  <c r="AP133" i="6"/>
  <c r="AP132" i="6"/>
  <c r="AP131" i="6"/>
  <c r="AP130" i="6"/>
  <c r="AP128" i="6"/>
  <c r="AP125" i="6"/>
  <c r="AP124" i="6"/>
  <c r="AP123" i="6"/>
  <c r="AP111" i="6"/>
  <c r="AP101" i="6"/>
  <c r="AP98" i="6"/>
  <c r="AP96" i="6"/>
  <c r="AP86" i="6"/>
  <c r="AP81" i="6"/>
  <c r="AP72" i="6"/>
  <c r="AP56" i="6"/>
  <c r="AP51" i="6"/>
  <c r="AP43" i="6"/>
  <c r="AP42" i="6"/>
  <c r="AP41" i="6"/>
  <c r="AP40" i="6"/>
  <c r="AP37" i="6"/>
  <c r="AP34" i="6"/>
  <c r="AP33" i="6"/>
  <c r="AP29" i="6"/>
  <c r="AL154" i="6"/>
  <c r="AL146" i="6"/>
  <c r="AL141" i="6"/>
  <c r="AL134" i="6"/>
  <c r="AL133" i="6"/>
  <c r="AL132" i="6"/>
  <c r="AL131" i="6"/>
  <c r="AL128" i="6"/>
  <c r="AL117" i="6"/>
  <c r="AL101" i="6"/>
  <c r="AL98" i="6"/>
  <c r="AL86" i="6"/>
  <c r="AL72" i="6"/>
  <c r="AL56" i="6"/>
  <c r="AL51" i="6"/>
  <c r="AL37" i="6"/>
  <c r="AL34" i="6"/>
  <c r="AL33" i="6"/>
  <c r="AL29" i="6"/>
  <c r="AL17" i="6"/>
  <c r="AH141" i="6"/>
  <c r="AH135" i="6"/>
  <c r="AH134" i="6"/>
  <c r="AH133" i="6"/>
  <c r="AH132" i="6"/>
  <c r="AH131" i="6"/>
  <c r="AH128" i="6"/>
  <c r="AH101" i="6"/>
  <c r="AH98" i="6"/>
  <c r="AH96" i="6"/>
  <c r="AH86" i="6"/>
  <c r="AH72" i="6"/>
  <c r="AH56" i="6"/>
  <c r="AH51" i="6"/>
  <c r="AH42" i="6"/>
  <c r="AH37" i="6"/>
  <c r="AH34" i="6"/>
  <c r="AH33" i="6"/>
  <c r="AH29" i="6"/>
  <c r="AL111" i="6" l="1"/>
  <c r="AH137" i="6"/>
  <c r="AX89" i="6"/>
  <c r="AX75" i="6"/>
  <c r="AX139" i="6"/>
  <c r="AX113" i="6"/>
  <c r="AX18" i="6"/>
  <c r="AP22" i="6"/>
  <c r="AP104" i="6"/>
  <c r="AP106" i="6"/>
  <c r="AP107" i="6"/>
  <c r="AL135" i="6"/>
  <c r="AZ18" i="6" l="1"/>
  <c r="Q7" i="8" s="1"/>
  <c r="AZ113" i="6"/>
  <c r="Q12" i="8" s="1"/>
  <c r="AL104" i="7"/>
  <c r="AP77" i="6"/>
  <c r="AP49" i="6"/>
  <c r="AL79" i="7"/>
  <c r="AP36" i="6"/>
  <c r="AP122" i="6"/>
  <c r="AP102" i="6"/>
  <c r="AP31" i="6"/>
  <c r="AP103" i="6"/>
  <c r="AP52" i="6"/>
  <c r="AP108" i="6"/>
  <c r="AP71" i="6"/>
  <c r="AP97" i="6"/>
  <c r="AP79" i="6"/>
  <c r="AP68" i="6"/>
  <c r="AP91" i="6"/>
  <c r="AP11" i="6"/>
  <c r="AP26" i="6"/>
  <c r="AO144" i="6"/>
  <c r="AP144" i="6" s="1"/>
  <c r="AP48" i="6"/>
  <c r="AP84" i="6"/>
  <c r="AP55" i="6"/>
  <c r="AX115" i="7"/>
  <c r="AX114" i="7"/>
  <c r="AX113" i="7"/>
  <c r="AX112" i="7"/>
  <c r="AX111" i="7"/>
  <c r="AX109" i="7"/>
  <c r="AX77" i="7"/>
  <c r="AX69" i="7"/>
  <c r="AX63" i="7"/>
  <c r="AX61" i="7"/>
  <c r="AX54" i="7"/>
  <c r="AX45" i="7"/>
  <c r="AT115" i="7"/>
  <c r="AT114" i="7"/>
  <c r="AT113" i="7"/>
  <c r="AT112" i="7"/>
  <c r="AT111" i="7"/>
  <c r="AT110" i="7"/>
  <c r="AT109" i="7"/>
  <c r="AT106" i="7"/>
  <c r="AT105" i="7"/>
  <c r="AT104" i="7"/>
  <c r="AT103" i="7"/>
  <c r="AT102" i="7"/>
  <c r="AT100" i="7"/>
  <c r="AT98" i="7"/>
  <c r="AT97" i="7"/>
  <c r="AT91" i="7"/>
  <c r="AT88" i="7"/>
  <c r="AT87" i="7"/>
  <c r="AT86" i="7"/>
  <c r="AT84" i="7"/>
  <c r="AT83" i="7"/>
  <c r="AT82" i="7"/>
  <c r="AT80" i="7"/>
  <c r="AT79" i="7"/>
  <c r="AT78" i="7"/>
  <c r="AT77" i="7"/>
  <c r="AT76" i="7"/>
  <c r="AT75" i="7"/>
  <c r="AT74" i="7"/>
  <c r="AT73" i="7"/>
  <c r="AT72" i="7"/>
  <c r="AT71" i="7"/>
  <c r="AT70" i="7"/>
  <c r="AT69" i="7"/>
  <c r="AT68" i="7"/>
  <c r="AT66" i="7"/>
  <c r="AT64" i="7"/>
  <c r="AT63" i="7"/>
  <c r="AT61" i="7"/>
  <c r="AT60" i="7"/>
  <c r="AT59" i="7"/>
  <c r="AT58" i="7"/>
  <c r="AT56" i="7"/>
  <c r="AT55" i="7"/>
  <c r="AT54" i="7"/>
  <c r="AT53" i="7"/>
  <c r="AT52" i="7"/>
  <c r="AT51" i="7"/>
  <c r="AT45" i="7"/>
  <c r="AT44" i="7"/>
  <c r="AT43" i="7"/>
  <c r="AT41" i="7"/>
  <c r="AT40" i="7"/>
  <c r="AT38" i="7"/>
  <c r="AT37" i="7"/>
  <c r="AT36" i="7"/>
  <c r="AT35" i="7"/>
  <c r="AT34" i="7"/>
  <c r="AT32" i="7"/>
  <c r="AT31" i="7"/>
  <c r="AT25" i="7"/>
  <c r="AT23" i="7"/>
  <c r="AT22" i="7"/>
  <c r="AT20" i="7"/>
  <c r="AT19" i="7"/>
  <c r="AT18" i="7"/>
  <c r="AT17" i="7"/>
  <c r="AT16" i="7"/>
  <c r="AT15" i="7"/>
  <c r="AT14" i="7"/>
  <c r="AT13" i="7"/>
  <c r="AT12" i="7"/>
  <c r="AT11" i="7"/>
  <c r="AT10" i="7"/>
  <c r="AP115" i="7"/>
  <c r="AP114" i="7"/>
  <c r="AP113" i="7"/>
  <c r="AP112" i="7"/>
  <c r="AP111" i="7"/>
  <c r="AP109" i="7"/>
  <c r="AP77" i="7"/>
  <c r="AP69" i="7"/>
  <c r="AP63" i="7"/>
  <c r="AP61" i="7"/>
  <c r="AP54" i="7"/>
  <c r="AP45" i="7"/>
  <c r="AL115" i="7"/>
  <c r="AL114" i="7"/>
  <c r="AL113" i="7"/>
  <c r="AL112" i="7"/>
  <c r="AL111" i="7"/>
  <c r="AL110" i="7"/>
  <c r="AL109" i="7"/>
  <c r="AL106" i="7"/>
  <c r="AL105" i="7"/>
  <c r="AL103" i="7"/>
  <c r="AL102" i="7"/>
  <c r="AL101" i="7"/>
  <c r="AL100" i="7"/>
  <c r="AL98" i="7"/>
  <c r="AL97" i="7"/>
  <c r="AL96" i="7"/>
  <c r="AL95" i="7"/>
  <c r="AL94" i="7"/>
  <c r="AL91" i="7"/>
  <c r="AL88" i="7"/>
  <c r="AL86" i="7"/>
  <c r="AL83" i="7"/>
  <c r="AL82" i="7"/>
  <c r="AL78" i="7"/>
  <c r="AL77" i="7"/>
  <c r="AL76" i="7"/>
  <c r="AL75" i="7"/>
  <c r="AL74" i="7"/>
  <c r="AL73" i="7"/>
  <c r="AL72" i="7"/>
  <c r="AL71" i="7"/>
  <c r="AL70" i="7"/>
  <c r="AL69" i="7"/>
  <c r="AL68" i="7"/>
  <c r="AL64" i="7"/>
  <c r="AL63" i="7"/>
  <c r="AL61" i="7"/>
  <c r="AL60" i="7"/>
  <c r="AL59" i="7"/>
  <c r="AL58" i="7"/>
  <c r="AL56" i="7"/>
  <c r="AL55" i="7"/>
  <c r="AL54" i="7"/>
  <c r="AL53" i="7"/>
  <c r="AL52" i="7"/>
  <c r="AL51" i="7"/>
  <c r="AL50" i="7"/>
  <c r="AL49" i="7"/>
  <c r="AL48" i="7"/>
  <c r="AL45" i="7"/>
  <c r="AL44" i="7"/>
  <c r="AL43" i="7"/>
  <c r="AL41" i="7"/>
  <c r="AL40" i="7"/>
  <c r="AL39" i="7"/>
  <c r="AL38" i="7"/>
  <c r="AL37" i="7"/>
  <c r="AL36" i="7"/>
  <c r="AL35" i="7"/>
  <c r="AL34" i="7"/>
  <c r="AL33" i="7"/>
  <c r="AL32" i="7"/>
  <c r="AL31" i="7"/>
  <c r="AL30" i="7"/>
  <c r="AL29" i="7"/>
  <c r="AL26" i="7"/>
  <c r="AL25" i="7"/>
  <c r="AL23" i="7"/>
  <c r="AL22" i="7"/>
  <c r="AL21" i="7"/>
  <c r="AL20" i="7"/>
  <c r="AL19" i="7"/>
  <c r="AL17" i="7"/>
  <c r="AL16" i="7"/>
  <c r="AL15" i="7"/>
  <c r="AL14" i="7"/>
  <c r="AL13" i="7"/>
  <c r="AL12" i="7"/>
  <c r="AL11" i="7"/>
  <c r="AL9" i="7"/>
  <c r="AL8" i="7"/>
  <c r="AH115" i="7"/>
  <c r="AH114" i="7"/>
  <c r="AH113" i="7"/>
  <c r="AH112" i="7"/>
  <c r="AH111" i="7"/>
  <c r="AH109" i="7"/>
  <c r="AH77" i="7"/>
  <c r="AH69" i="7"/>
  <c r="AH63" i="7"/>
  <c r="AH61" i="7"/>
  <c r="AH54" i="7"/>
  <c r="AH45" i="7"/>
  <c r="AD115" i="7"/>
  <c r="AD114" i="7"/>
  <c r="AD113" i="7"/>
  <c r="AD112" i="7"/>
  <c r="AD111" i="7"/>
  <c r="AD109" i="7"/>
  <c r="AD77" i="7"/>
  <c r="AD69" i="7"/>
  <c r="AD63" i="7"/>
  <c r="AD61" i="7"/>
  <c r="AD54" i="7"/>
  <c r="AD45" i="7"/>
  <c r="AL47" i="7" l="1"/>
  <c r="AN47" i="7" s="1"/>
  <c r="O19" i="8" s="1"/>
  <c r="AL28" i="7"/>
  <c r="AN28" i="7" s="1"/>
  <c r="O18" i="8" s="1"/>
  <c r="AL7" i="7"/>
  <c r="AN7" i="7" s="1"/>
  <c r="O17" i="8" s="1"/>
  <c r="AP35" i="6"/>
  <c r="AP152" i="6"/>
  <c r="AP105" i="6"/>
  <c r="AP149" i="6"/>
  <c r="AP109" i="6"/>
  <c r="AP121" i="6"/>
  <c r="AP65" i="6"/>
  <c r="AP120" i="6"/>
  <c r="AP80" i="6"/>
  <c r="AP50" i="6"/>
  <c r="AP95" i="6"/>
  <c r="AP78" i="6"/>
  <c r="AP94" i="6"/>
  <c r="AP28" i="6"/>
  <c r="AP93" i="6"/>
  <c r="AP76" i="6"/>
  <c r="AP64" i="6"/>
  <c r="AP9" i="6"/>
  <c r="AP8" i="6"/>
  <c r="AP47" i="6" l="1"/>
  <c r="AP20" i="6"/>
  <c r="AP19" i="6"/>
  <c r="AP67" i="6"/>
  <c r="AP32" i="6"/>
  <c r="AP74" i="6" l="1"/>
  <c r="AP46" i="6"/>
  <c r="AP119" i="6"/>
  <c r="AP60" i="6"/>
  <c r="AP114" i="6" l="1"/>
  <c r="AP89" i="6"/>
  <c r="AP90" i="6"/>
  <c r="AP75" i="6"/>
  <c r="J141" i="6" l="1"/>
  <c r="Y88" i="6" l="1"/>
  <c r="Y113" i="6"/>
  <c r="Y45" i="6"/>
  <c r="AA59" i="6" l="1"/>
  <c r="Z59" i="6"/>
  <c r="Y59" i="6"/>
  <c r="D20" i="8" l="1"/>
  <c r="D19" i="8"/>
  <c r="D18" i="8"/>
  <c r="D17" i="8"/>
  <c r="B98" i="7" l="1"/>
  <c r="AM39" i="11" l="1"/>
  <c r="AL39" i="11"/>
  <c r="AK39" i="11"/>
  <c r="AJ39" i="11"/>
  <c r="AI39" i="11"/>
  <c r="AH39" i="11"/>
  <c r="AG39" i="11"/>
  <c r="AF39" i="11"/>
  <c r="AE39" i="11"/>
  <c r="AD39" i="11"/>
  <c r="AA39" i="11"/>
  <c r="Z39" i="11"/>
  <c r="X39" i="11"/>
  <c r="V39" i="11"/>
  <c r="U39" i="11"/>
  <c r="T39" i="11"/>
  <c r="S39" i="11"/>
  <c r="R39" i="11"/>
  <c r="Q39" i="11"/>
  <c r="P39" i="11"/>
  <c r="O39" i="11"/>
  <c r="N39" i="11"/>
  <c r="M39" i="11"/>
  <c r="L39" i="11"/>
  <c r="K39" i="11"/>
  <c r="J39" i="11"/>
  <c r="I39" i="11"/>
  <c r="AM38" i="11"/>
  <c r="AL38" i="11"/>
  <c r="AK38" i="11"/>
  <c r="AJ38" i="11"/>
  <c r="AI38" i="11"/>
  <c r="AH38" i="11"/>
  <c r="AG38" i="11"/>
  <c r="AF38" i="11"/>
  <c r="AE38" i="11"/>
  <c r="AD38" i="11"/>
  <c r="AC38" i="11"/>
  <c r="AA38" i="11"/>
  <c r="Z38" i="11"/>
  <c r="Y38" i="11"/>
  <c r="X38" i="11"/>
  <c r="W38" i="11"/>
  <c r="V38" i="11"/>
  <c r="U38" i="11"/>
  <c r="T38" i="11"/>
  <c r="S38" i="11"/>
  <c r="R38" i="11"/>
  <c r="Q38" i="11"/>
  <c r="P38" i="11"/>
  <c r="O38" i="11"/>
  <c r="N38" i="11"/>
  <c r="M38" i="11"/>
  <c r="L38" i="11"/>
  <c r="K38" i="11"/>
  <c r="J38" i="11"/>
  <c r="I38" i="11"/>
  <c r="AM37" i="11"/>
  <c r="AL37" i="11"/>
  <c r="AK37" i="11"/>
  <c r="AJ37" i="11"/>
  <c r="AI37" i="11"/>
  <c r="AH37" i="11"/>
  <c r="AG37" i="11"/>
  <c r="AF37" i="11"/>
  <c r="AE37" i="11"/>
  <c r="AD37" i="11"/>
  <c r="AC37" i="11"/>
  <c r="AA37" i="11"/>
  <c r="Z37" i="11"/>
  <c r="Y37" i="11"/>
  <c r="X37" i="11"/>
  <c r="W37" i="11"/>
  <c r="V37" i="11"/>
  <c r="U37" i="11"/>
  <c r="T37" i="11"/>
  <c r="S37" i="11"/>
  <c r="R37" i="11"/>
  <c r="Q37" i="11"/>
  <c r="P37" i="11"/>
  <c r="O37" i="11"/>
  <c r="N37" i="11"/>
  <c r="M37" i="11"/>
  <c r="L37" i="11"/>
  <c r="K37" i="11"/>
  <c r="J37" i="11"/>
  <c r="I37" i="11"/>
  <c r="AM36" i="11"/>
  <c r="AL36" i="11"/>
  <c r="AK36" i="11"/>
  <c r="AJ36" i="11"/>
  <c r="AI36" i="11"/>
  <c r="AH36" i="11"/>
  <c r="AG36" i="11"/>
  <c r="AF36" i="11"/>
  <c r="AE36" i="11"/>
  <c r="AD36" i="11"/>
  <c r="AC36" i="11"/>
  <c r="AB36" i="11"/>
  <c r="AA36" i="11"/>
  <c r="Z36" i="11"/>
  <c r="Y36" i="11"/>
  <c r="X36" i="11"/>
  <c r="W36" i="11"/>
  <c r="V36" i="11"/>
  <c r="U36" i="11"/>
  <c r="T36" i="11"/>
  <c r="S36" i="11"/>
  <c r="R36" i="11"/>
  <c r="Q36" i="11"/>
  <c r="P36" i="11"/>
  <c r="O36" i="11"/>
  <c r="N36" i="11"/>
  <c r="L36" i="11"/>
  <c r="K36" i="11"/>
  <c r="I36" i="11"/>
  <c r="AM35" i="11"/>
  <c r="AL35" i="11"/>
  <c r="AG35" i="11"/>
  <c r="AF35" i="11"/>
  <c r="AD35" i="11"/>
  <c r="AA35" i="11"/>
  <c r="Z35" i="11"/>
  <c r="X35" i="11"/>
  <c r="W35" i="11"/>
  <c r="U35" i="11"/>
  <c r="T35" i="11"/>
  <c r="S35" i="11"/>
  <c r="Q35" i="11"/>
  <c r="P35" i="11"/>
  <c r="O35" i="11"/>
  <c r="M35" i="11"/>
  <c r="L35" i="11"/>
  <c r="K35" i="11"/>
  <c r="I35" i="11"/>
  <c r="AM34" i="11"/>
  <c r="AL34" i="11"/>
  <c r="AJ34" i="11"/>
  <c r="AI34" i="11"/>
  <c r="AH34" i="11"/>
  <c r="AG34" i="11"/>
  <c r="AF34" i="11"/>
  <c r="AE34" i="11"/>
  <c r="AC34" i="11"/>
  <c r="AA34" i="11"/>
  <c r="Z34" i="11"/>
  <c r="X34" i="11"/>
  <c r="V34" i="11"/>
  <c r="S34" i="11"/>
  <c r="Q34" i="11"/>
  <c r="P34" i="11"/>
  <c r="L34" i="11"/>
  <c r="K34" i="11"/>
  <c r="AM33" i="11"/>
  <c r="AL33" i="11"/>
  <c r="AK33" i="11"/>
  <c r="AG33" i="11"/>
  <c r="Z33" i="11"/>
  <c r="X33" i="11"/>
  <c r="W33" i="11"/>
  <c r="U33" i="11"/>
  <c r="S33" i="11"/>
  <c r="R33" i="11"/>
  <c r="Q33" i="11"/>
  <c r="P33" i="11"/>
  <c r="O33" i="11"/>
  <c r="N33" i="11"/>
  <c r="M33" i="11"/>
  <c r="L33" i="11"/>
  <c r="K33" i="11"/>
  <c r="J33" i="11"/>
  <c r="I33" i="11"/>
  <c r="AM32" i="11"/>
  <c r="AL32" i="11"/>
  <c r="AJ32" i="11"/>
  <c r="AI32" i="11"/>
  <c r="AH32" i="11"/>
  <c r="AG32" i="11"/>
  <c r="AF32" i="11"/>
  <c r="AE32" i="11"/>
  <c r="AB32" i="11"/>
  <c r="AA32" i="11"/>
  <c r="Z32" i="11"/>
  <c r="W32" i="11"/>
  <c r="V32" i="11"/>
  <c r="T32" i="11"/>
  <c r="S32" i="11"/>
  <c r="R32" i="11"/>
  <c r="Q32" i="11"/>
  <c r="P32" i="11"/>
  <c r="N32" i="11"/>
  <c r="M32" i="11"/>
  <c r="L32" i="11"/>
  <c r="K32" i="11"/>
  <c r="J32" i="11"/>
  <c r="I32" i="11"/>
  <c r="AM31" i="11"/>
  <c r="AL31" i="11"/>
  <c r="AK31" i="11"/>
  <c r="AG31" i="11"/>
  <c r="AA31" i="11"/>
  <c r="Z31" i="11"/>
  <c r="Y31" i="11"/>
  <c r="X31" i="11"/>
  <c r="W31" i="11"/>
  <c r="V31" i="11"/>
  <c r="U31" i="11"/>
  <c r="T31" i="11"/>
  <c r="S31" i="11"/>
  <c r="R31" i="11"/>
  <c r="Q31" i="11"/>
  <c r="O31" i="11"/>
  <c r="N31" i="11"/>
  <c r="M31" i="11"/>
  <c r="L31" i="11"/>
  <c r="K31" i="11"/>
  <c r="J31" i="11"/>
  <c r="AN26" i="11"/>
  <c r="AN25" i="11"/>
  <c r="AN24" i="11"/>
  <c r="AN23" i="11"/>
  <c r="AB35" i="11"/>
  <c r="R35" i="11"/>
  <c r="T34" i="11"/>
  <c r="I34" i="11"/>
  <c r="AN20" i="11"/>
  <c r="AN19" i="11"/>
  <c r="AN18" i="11"/>
  <c r="I31" i="11"/>
  <c r="AC39" i="11"/>
  <c r="AB39" i="11"/>
  <c r="Y39" i="11"/>
  <c r="W39" i="11"/>
  <c r="AB38" i="11"/>
  <c r="AB37" i="11"/>
  <c r="M36" i="11"/>
  <c r="AN10" i="11"/>
  <c r="C36" i="11"/>
  <c r="AK35" i="11"/>
  <c r="AJ35" i="11"/>
  <c r="AI35" i="11"/>
  <c r="AH35" i="11"/>
  <c r="AE35" i="11"/>
  <c r="AC35" i="11"/>
  <c r="Y35" i="11"/>
  <c r="V35" i="11"/>
  <c r="N35" i="11"/>
  <c r="J35" i="11"/>
  <c r="C35" i="11"/>
  <c r="AK34" i="11"/>
  <c r="AD34" i="11"/>
  <c r="AB34" i="11"/>
  <c r="Y34" i="11"/>
  <c r="W34" i="11"/>
  <c r="U34" i="11"/>
  <c r="R34" i="11"/>
  <c r="O34" i="11"/>
  <c r="N34" i="11"/>
  <c r="M34" i="11"/>
  <c r="AJ33" i="11"/>
  <c r="AI33" i="11"/>
  <c r="AH33" i="11"/>
  <c r="AF33" i="11"/>
  <c r="AE33" i="11"/>
  <c r="AD33" i="11"/>
  <c r="AC33" i="11"/>
  <c r="AB33" i="11"/>
  <c r="AA33" i="11"/>
  <c r="Y33" i="11"/>
  <c r="V33" i="11"/>
  <c r="T33" i="11"/>
  <c r="AK32" i="11"/>
  <c r="AD32" i="11"/>
  <c r="AC32" i="11"/>
  <c r="Y32" i="11"/>
  <c r="X32" i="11"/>
  <c r="U32" i="11"/>
  <c r="O32" i="11"/>
  <c r="AJ31" i="11"/>
  <c r="AI31" i="11"/>
  <c r="AH31" i="11"/>
  <c r="AF31" i="11"/>
  <c r="AE31" i="11"/>
  <c r="AD31" i="11"/>
  <c r="AC31" i="11"/>
  <c r="AB31" i="11"/>
  <c r="P31" i="11"/>
  <c r="C31" i="11"/>
  <c r="C39" i="11" l="1"/>
  <c r="C32" i="11"/>
  <c r="C33" i="11"/>
  <c r="AO33" i="11"/>
  <c r="AO34" i="11"/>
  <c r="AO36" i="11"/>
  <c r="AO37" i="11"/>
  <c r="AO38" i="11"/>
  <c r="AO31" i="11"/>
  <c r="AO32" i="11"/>
  <c r="AO35" i="11"/>
  <c r="AO39" i="11"/>
  <c r="AN8" i="11"/>
  <c r="C34" i="11"/>
  <c r="C37" i="11"/>
  <c r="AN35" i="11"/>
  <c r="AQ35" i="11" s="1"/>
  <c r="AN37" i="11"/>
  <c r="AQ37" i="11" s="1"/>
  <c r="AN38" i="11"/>
  <c r="AQ38" i="11" s="1"/>
  <c r="AN39" i="11"/>
  <c r="AQ39" i="11" s="1"/>
  <c r="AN31" i="11"/>
  <c r="AQ31" i="11" s="1"/>
  <c r="AN32" i="11"/>
  <c r="AQ32" i="11" s="1"/>
  <c r="AN33" i="11"/>
  <c r="AQ33" i="11" s="1"/>
  <c r="AN6" i="11"/>
  <c r="AN7" i="11"/>
  <c r="AN11" i="11"/>
  <c r="AN12" i="11"/>
  <c r="AN13" i="11"/>
  <c r="J34" i="11"/>
  <c r="AN34" i="11" s="1"/>
  <c r="AQ34" i="11" s="1"/>
  <c r="J36" i="11"/>
  <c r="AN36" i="11" s="1"/>
  <c r="AQ36" i="11" s="1"/>
  <c r="AN5" i="11"/>
  <c r="AN9" i="11"/>
  <c r="AN21" i="11"/>
  <c r="AN22" i="11"/>
  <c r="O10" i="6" l="1"/>
  <c r="D156" i="6" l="1"/>
  <c r="O154" i="6"/>
  <c r="D155" i="6"/>
  <c r="O156" i="6" l="1"/>
  <c r="P156" i="6" s="1"/>
  <c r="AX156" i="6"/>
  <c r="AL156" i="6"/>
  <c r="BB156" i="6"/>
  <c r="AT156" i="6"/>
  <c r="AP156" i="6"/>
  <c r="AH156" i="6"/>
  <c r="AH155" i="6"/>
  <c r="BB155" i="6"/>
  <c r="AT155" i="6"/>
  <c r="AX155" i="6"/>
  <c r="AP155" i="6"/>
  <c r="AP145" i="6" s="1"/>
  <c r="AR145" i="6" s="1"/>
  <c r="O13" i="8" s="1"/>
  <c r="AL155" i="6"/>
  <c r="O155" i="6"/>
  <c r="P155" i="6" s="1"/>
  <c r="O21" i="6" l="1"/>
  <c r="P154" i="6" l="1"/>
  <c r="P110" i="6"/>
  <c r="P51" i="6" l="1"/>
  <c r="P53" i="6"/>
  <c r="P34" i="6"/>
  <c r="R88" i="7" l="1"/>
  <c r="R91" i="7"/>
  <c r="R87" i="7"/>
  <c r="D93" i="7"/>
  <c r="D92" i="7"/>
  <c r="D90" i="7"/>
  <c r="D89" i="7"/>
  <c r="AL93" i="7" l="1"/>
  <c r="AT93" i="7"/>
  <c r="AT92" i="7"/>
  <c r="AL92" i="7"/>
  <c r="AL89" i="7"/>
  <c r="AT89" i="7"/>
  <c r="R90" i="7"/>
  <c r="AL90" i="7"/>
  <c r="AT90" i="7"/>
  <c r="R93" i="7"/>
  <c r="R89" i="7"/>
  <c r="R92" i="7"/>
  <c r="D99" i="6" l="1"/>
  <c r="D15" i="6"/>
  <c r="D14" i="6"/>
  <c r="D10" i="6"/>
  <c r="K15" i="6" l="1"/>
  <c r="BB15" i="6"/>
  <c r="AT15" i="6"/>
  <c r="AP15" i="6"/>
  <c r="AL15" i="6"/>
  <c r="AX15" i="6"/>
  <c r="AH15" i="6"/>
  <c r="AX63" i="6"/>
  <c r="AX59" i="6" s="1"/>
  <c r="AZ59" i="6" s="1"/>
  <c r="Q9" i="8" s="1"/>
  <c r="AX14" i="6"/>
  <c r="AX10" i="6"/>
  <c r="AX12" i="6"/>
  <c r="AX99" i="6"/>
  <c r="T4" i="6"/>
  <c r="G18" i="8" l="1"/>
  <c r="G17" i="8"/>
  <c r="G19" i="8" l="1"/>
  <c r="G20" i="8"/>
  <c r="W22" i="7" l="1"/>
  <c r="W20" i="7"/>
  <c r="U19" i="7"/>
  <c r="S132" i="6" l="1"/>
  <c r="S3" i="6"/>
  <c r="S4" i="6" s="1"/>
  <c r="P39" i="6"/>
  <c r="D82" i="6"/>
  <c r="S45" i="7" l="1"/>
  <c r="BG45" i="7"/>
  <c r="AL82" i="6"/>
  <c r="BB82" i="6"/>
  <c r="AX82" i="6"/>
  <c r="AX73" i="6" s="1"/>
  <c r="AZ73" i="6" s="1"/>
  <c r="Q10" i="8" s="1"/>
  <c r="AT82" i="6"/>
  <c r="AH82" i="6"/>
  <c r="AP82" i="6"/>
  <c r="AP73" i="6" s="1"/>
  <c r="AR73" i="6" s="1"/>
  <c r="O10" i="8" s="1"/>
  <c r="D53" i="6"/>
  <c r="P44" i="6"/>
  <c r="AL53" i="6" l="1"/>
  <c r="AH53" i="6"/>
  <c r="AX53" i="6"/>
  <c r="AX45" i="6" s="1"/>
  <c r="AZ45" i="6" s="1"/>
  <c r="Q8" i="8" s="1"/>
  <c r="AP53" i="6"/>
  <c r="AP45" i="6" s="1"/>
  <c r="AR45" i="6" s="1"/>
  <c r="O8" i="8" s="1"/>
  <c r="BB53" i="6"/>
  <c r="AT53" i="6"/>
  <c r="P134" i="6" l="1"/>
  <c r="P135" i="6"/>
  <c r="P132" i="6"/>
  <c r="P133" i="6"/>
  <c r="P42" i="6" l="1"/>
  <c r="P43" i="6"/>
  <c r="P40" i="6"/>
  <c r="P41" i="6"/>
  <c r="G143" i="6"/>
  <c r="J143" i="6"/>
  <c r="K143" i="6" l="1"/>
  <c r="P143" i="6" s="1"/>
  <c r="P58" i="6"/>
  <c r="G142" i="6" l="1"/>
  <c r="J142" i="6" l="1"/>
  <c r="K142" i="6" l="1"/>
  <c r="P142" i="6"/>
  <c r="P87" i="6" l="1"/>
  <c r="S69" i="7" l="1"/>
  <c r="S63" i="7"/>
  <c r="P128" i="6"/>
  <c r="P98" i="6"/>
  <c r="P81" i="6"/>
  <c r="P86" i="6"/>
  <c r="P33" i="6"/>
  <c r="P15" i="6"/>
  <c r="P72" i="6"/>
  <c r="O101" i="6"/>
  <c r="O82" i="6"/>
  <c r="P158" i="6" l="1"/>
  <c r="E1" i="8" l="1"/>
  <c r="G15" i="6" l="1"/>
  <c r="G141" i="6"/>
  <c r="P37" i="6" l="1"/>
  <c r="S61" i="7"/>
  <c r="K141" i="6"/>
  <c r="P141" i="6"/>
  <c r="P111" i="6" l="1"/>
  <c r="P146" i="6"/>
  <c r="D13" i="6" l="1"/>
  <c r="AX13" i="6" l="1"/>
  <c r="AX7" i="6" s="1"/>
  <c r="AZ7" i="6" s="1"/>
  <c r="Q6" i="8" s="1"/>
  <c r="AP13" i="6"/>
  <c r="P29" i="6" l="1"/>
  <c r="H1" i="7"/>
  <c r="D85" i="7"/>
  <c r="D81" i="7"/>
  <c r="AL85" i="7" l="1"/>
  <c r="AT85" i="7"/>
  <c r="AT81" i="7"/>
  <c r="AL81" i="7"/>
  <c r="S27" i="7"/>
  <c r="S109" i="7"/>
  <c r="P112" i="6"/>
  <c r="BG109" i="7" l="1"/>
  <c r="S115" i="7"/>
  <c r="BG115" i="7"/>
  <c r="S112" i="7"/>
  <c r="BG112" i="7"/>
  <c r="S113" i="7"/>
  <c r="BG113" i="7"/>
  <c r="S114" i="7"/>
  <c r="BG114" i="7"/>
  <c r="S111" i="7"/>
  <c r="BG111" i="7"/>
  <c r="S46" i="7"/>
  <c r="L1" i="7" l="1"/>
  <c r="E3" i="8" l="1"/>
  <c r="P117" i="6" l="1"/>
  <c r="D108" i="7" l="1"/>
  <c r="D107" i="7"/>
  <c r="D99" i="7"/>
  <c r="D67" i="7"/>
  <c r="D65" i="7"/>
  <c r="P47" i="7"/>
  <c r="P28" i="7"/>
  <c r="AL107" i="7" l="1"/>
  <c r="AT107" i="7"/>
  <c r="AT67" i="7"/>
  <c r="AL67" i="7"/>
  <c r="AT108" i="7"/>
  <c r="AL108" i="7"/>
  <c r="AT99" i="7"/>
  <c r="AL99" i="7"/>
  <c r="AH17" i="6" l="1"/>
  <c r="P21" i="6" l="1"/>
  <c r="AT65" i="7" l="1"/>
  <c r="AL65" i="7"/>
  <c r="AL84" i="7" l="1"/>
  <c r="AP38" i="6"/>
  <c r="AP17" i="6"/>
  <c r="AP30" i="6"/>
  <c r="AP66" i="6"/>
  <c r="G17" i="6" l="1"/>
  <c r="K17" i="6" l="1"/>
  <c r="P17" i="6"/>
  <c r="AS50" i="7" l="1"/>
  <c r="AS8" i="7" l="1"/>
  <c r="AW147" i="6"/>
  <c r="AX147" i="6" s="1"/>
  <c r="AX145" i="6" s="1"/>
  <c r="AZ145" i="6" s="1"/>
  <c r="Q13" i="8" s="1"/>
  <c r="AS48" i="7"/>
  <c r="AS95" i="7" s="1"/>
  <c r="AW103" i="6"/>
  <c r="AX103" i="6" s="1"/>
  <c r="AS96" i="7"/>
  <c r="AT96" i="7" s="1"/>
  <c r="AT62" i="7" s="1"/>
  <c r="AV62" i="7" s="1"/>
  <c r="Q20" i="8" s="1"/>
  <c r="AT50" i="7"/>
  <c r="AW102" i="6" l="1"/>
  <c r="AX102" i="6" s="1"/>
  <c r="AX88" i="6" s="1"/>
  <c r="AZ88" i="6" s="1"/>
  <c r="Q11" i="8" s="1"/>
  <c r="AT48" i="7"/>
  <c r="AS21" i="7"/>
  <c r="AT21" i="7" s="1"/>
  <c r="AS29" i="7"/>
  <c r="AT29" i="7" s="1"/>
  <c r="AT8" i="7"/>
  <c r="AS49" i="7"/>
  <c r="AT49" i="7" s="1"/>
  <c r="AS9" i="7"/>
  <c r="AS39" i="7" s="1"/>
  <c r="AT39" i="7" s="1"/>
  <c r="AS26" i="7" l="1"/>
  <c r="AT26" i="7" s="1"/>
  <c r="AT9" i="7"/>
  <c r="AT47" i="7"/>
  <c r="AV47" i="7" s="1"/>
  <c r="Q19" i="8" s="1"/>
  <c r="AS33" i="7"/>
  <c r="AT33" i="7" s="1"/>
  <c r="AS94" i="7"/>
  <c r="AS30" i="7"/>
  <c r="AT30" i="7" s="1"/>
  <c r="AT7" i="7" l="1"/>
  <c r="AV7" i="7" s="1"/>
  <c r="Q17" i="8" s="1"/>
  <c r="AT28" i="7"/>
  <c r="AV28" i="7" s="1"/>
  <c r="Q18" i="8" s="1"/>
  <c r="AK80" i="7" l="1"/>
  <c r="AL80" i="7" s="1"/>
  <c r="AO12" i="6"/>
  <c r="AO118" i="6"/>
  <c r="AP118" i="6" s="1"/>
  <c r="AO27" i="6"/>
  <c r="AK66" i="7"/>
  <c r="AL66" i="7" s="1"/>
  <c r="AO10" i="6"/>
  <c r="AL62" i="7" l="1"/>
  <c r="AN62" i="7" s="1"/>
  <c r="O20" i="8" s="1"/>
  <c r="AO63" i="6"/>
  <c r="AP63" i="6" s="1"/>
  <c r="AO25" i="6"/>
  <c r="AP12" i="6"/>
  <c r="AO92" i="6"/>
  <c r="AP92" i="6" s="1"/>
  <c r="AP88" i="6" s="1"/>
  <c r="AR88" i="6" s="1"/>
  <c r="O11" i="8" s="1"/>
  <c r="AP27" i="6"/>
  <c r="AO23" i="6"/>
  <c r="AO61" i="6"/>
  <c r="AO21" i="6"/>
  <c r="AP21" i="6" s="1"/>
  <c r="AO62" i="6"/>
  <c r="AP62" i="6" s="1"/>
  <c r="AP10" i="6"/>
  <c r="AP7" i="6" l="1"/>
  <c r="AR7" i="6" s="1"/>
  <c r="O6" i="8" s="1"/>
  <c r="AO116" i="6"/>
  <c r="AP116" i="6" s="1"/>
  <c r="AO117" i="6"/>
  <c r="AP117" i="6" s="1"/>
  <c r="AO140" i="6"/>
  <c r="AP140" i="6" s="1"/>
  <c r="AP139" i="6" s="1"/>
  <c r="AP25" i="6"/>
  <c r="AO69" i="6"/>
  <c r="AS69" i="6" s="1"/>
  <c r="AP61" i="6"/>
  <c r="AP59" i="6" s="1"/>
  <c r="AR59" i="6" s="1"/>
  <c r="O9" i="8" s="1"/>
  <c r="AO115" i="6"/>
  <c r="AP115" i="6" s="1"/>
  <c r="AP23" i="6"/>
  <c r="AP18" i="6" s="1"/>
  <c r="AR18" i="6" s="1"/>
  <c r="O7" i="8" s="1"/>
  <c r="AP113" i="6" l="1"/>
  <c r="AR113" i="6" s="1"/>
  <c r="O12" i="8" s="1"/>
  <c r="AG49" i="6" l="1"/>
  <c r="AC78" i="7"/>
  <c r="AD78" i="7" s="1"/>
  <c r="AC73" i="7"/>
  <c r="AD73" i="7" s="1"/>
  <c r="AC84" i="7" l="1"/>
  <c r="AD84" i="7" s="1"/>
  <c r="AC9" i="7"/>
  <c r="AC25" i="7"/>
  <c r="AD25" i="7" s="1"/>
  <c r="AC22" i="7"/>
  <c r="AC53" i="7"/>
  <c r="AD53" i="7" s="1"/>
  <c r="AC108" i="7"/>
  <c r="AD108" i="7" s="1"/>
  <c r="AC81" i="7"/>
  <c r="AD81" i="7" s="1"/>
  <c r="AC88" i="7"/>
  <c r="AD88" i="7" s="1"/>
  <c r="AC72" i="7"/>
  <c r="AD72" i="7" s="1"/>
  <c r="AC76" i="7"/>
  <c r="AD76" i="7" s="1"/>
  <c r="AG24" i="6"/>
  <c r="AH24" i="6" s="1"/>
  <c r="AC82" i="7"/>
  <c r="AD82" i="7" s="1"/>
  <c r="AC71" i="7"/>
  <c r="AD71" i="7" s="1"/>
  <c r="AC74" i="7"/>
  <c r="AD74" i="7" s="1"/>
  <c r="AC64" i="7"/>
  <c r="AD64" i="7" s="1"/>
  <c r="AG48" i="6"/>
  <c r="AG76" i="6" s="1"/>
  <c r="AC83" i="7"/>
  <c r="AD83" i="7" s="1"/>
  <c r="AC51" i="7"/>
  <c r="AD51" i="7" s="1"/>
  <c r="AC48" i="7"/>
  <c r="AD48" i="7" s="1"/>
  <c r="AC37" i="7"/>
  <c r="AD37" i="7" s="1"/>
  <c r="AG151" i="6"/>
  <c r="AH151" i="6" s="1"/>
  <c r="AC43" i="7"/>
  <c r="AD43" i="7" s="1"/>
  <c r="AC59" i="7"/>
  <c r="AD59" i="7" s="1"/>
  <c r="AG107" i="6"/>
  <c r="AH107" i="6" s="1"/>
  <c r="AC86" i="7"/>
  <c r="AD86" i="7" s="1"/>
  <c r="AG22" i="6"/>
  <c r="AH22" i="6" s="1"/>
  <c r="AG136" i="6"/>
  <c r="AH136" i="6" s="1"/>
  <c r="AC70" i="7"/>
  <c r="AD70" i="7" s="1"/>
  <c r="AC66" i="7"/>
  <c r="AD66" i="7" s="1"/>
  <c r="AG36" i="6"/>
  <c r="AG28" i="6"/>
  <c r="AC89" i="7"/>
  <c r="AD89" i="7" s="1"/>
  <c r="AC11" i="7"/>
  <c r="AC55" i="7"/>
  <c r="AC97" i="7" s="1"/>
  <c r="AD97" i="7" s="1"/>
  <c r="AG106" i="6"/>
  <c r="AH106" i="6" s="1"/>
  <c r="AG8" i="6"/>
  <c r="AG19" i="6" s="1"/>
  <c r="AG127" i="6"/>
  <c r="AG147" i="6"/>
  <c r="AH147" i="6" s="1"/>
  <c r="AC50" i="7"/>
  <c r="AG26" i="6"/>
  <c r="AH26" i="6" s="1"/>
  <c r="AG130" i="6"/>
  <c r="AG27" i="6"/>
  <c r="AG118" i="6"/>
  <c r="AH118" i="6" s="1"/>
  <c r="AG77" i="6"/>
  <c r="AH77" i="6" s="1"/>
  <c r="AH49" i="6"/>
  <c r="AH48" i="6" l="1"/>
  <c r="AC100" i="7"/>
  <c r="AD100" i="7" s="1"/>
  <c r="AG50" i="6"/>
  <c r="AG80" i="6" s="1"/>
  <c r="AH80" i="6" s="1"/>
  <c r="AC90" i="7"/>
  <c r="AD90" i="7" s="1"/>
  <c r="AC102" i="7"/>
  <c r="AD102" i="7" s="1"/>
  <c r="AG129" i="6"/>
  <c r="AH129" i="6" s="1"/>
  <c r="AG55" i="6"/>
  <c r="AH55" i="6" s="1"/>
  <c r="AG12" i="6"/>
  <c r="AG25" i="6" s="1"/>
  <c r="AC18" i="7"/>
  <c r="AD18" i="7" s="1"/>
  <c r="AC19" i="7"/>
  <c r="AD19" i="7" s="1"/>
  <c r="AC80" i="7"/>
  <c r="AD80" i="7" s="1"/>
  <c r="AG52" i="6"/>
  <c r="AG78" i="6" s="1"/>
  <c r="AC98" i="7"/>
  <c r="AD98" i="7" s="1"/>
  <c r="AC15" i="7"/>
  <c r="AD15" i="7" s="1"/>
  <c r="AG102" i="6"/>
  <c r="AH102" i="6" s="1"/>
  <c r="AC23" i="7"/>
  <c r="AD23" i="7" s="1"/>
  <c r="AC107" i="7"/>
  <c r="AD107" i="7" s="1"/>
  <c r="AC40" i="7"/>
  <c r="AD40" i="7" s="1"/>
  <c r="AD55" i="7"/>
  <c r="AC75" i="7"/>
  <c r="AD75" i="7" s="1"/>
  <c r="AC44" i="7"/>
  <c r="AD44" i="7" s="1"/>
  <c r="AC8" i="7"/>
  <c r="AD8" i="7" s="1"/>
  <c r="AC105" i="7"/>
  <c r="AD105" i="7" s="1"/>
  <c r="AC92" i="7"/>
  <c r="AD92" i="7" s="1"/>
  <c r="AC93" i="7"/>
  <c r="AD93" i="7" s="1"/>
  <c r="AG13" i="6"/>
  <c r="AG64" i="6" s="1"/>
  <c r="AH64" i="6" s="1"/>
  <c r="AG9" i="6"/>
  <c r="AH9" i="6" s="1"/>
  <c r="AC17" i="7"/>
  <c r="AC106" i="7" s="1"/>
  <c r="AD106" i="7" s="1"/>
  <c r="AG150" i="6"/>
  <c r="AH150" i="6" s="1"/>
  <c r="AG104" i="6"/>
  <c r="AH104" i="6" s="1"/>
  <c r="AG30" i="6"/>
  <c r="AH30" i="6" s="1"/>
  <c r="AC12" i="7"/>
  <c r="AG79" i="6"/>
  <c r="AG97" i="6" s="1"/>
  <c r="AH97" i="6" s="1"/>
  <c r="AC99" i="7"/>
  <c r="AD99" i="7" s="1"/>
  <c r="AG105" i="6"/>
  <c r="AH105" i="6" s="1"/>
  <c r="AC38" i="7"/>
  <c r="AD38" i="7" s="1"/>
  <c r="AG103" i="6"/>
  <c r="AH103" i="6" s="1"/>
  <c r="AG68" i="6"/>
  <c r="AH68" i="6" s="1"/>
  <c r="AG38" i="6"/>
  <c r="AH38" i="6" s="1"/>
  <c r="AC16" i="7"/>
  <c r="AD16" i="7" s="1"/>
  <c r="AG66" i="6"/>
  <c r="AH66" i="6" s="1"/>
  <c r="AG91" i="6"/>
  <c r="AH91" i="6" s="1"/>
  <c r="AC68" i="7"/>
  <c r="AD68" i="7" s="1"/>
  <c r="AC87" i="7"/>
  <c r="AD87" i="7" s="1"/>
  <c r="AG11" i="6"/>
  <c r="AH11" i="6" s="1"/>
  <c r="AC58" i="7"/>
  <c r="AD58" i="7" s="1"/>
  <c r="AC103" i="7"/>
  <c r="AD103" i="7" s="1"/>
  <c r="AG71" i="6"/>
  <c r="AG108" i="6" s="1"/>
  <c r="AH108" i="6" s="1"/>
  <c r="AG35" i="6"/>
  <c r="AG152" i="6" s="1"/>
  <c r="AH152" i="6" s="1"/>
  <c r="AC49" i="7"/>
  <c r="AD49" i="7" s="1"/>
  <c r="AG124" i="6"/>
  <c r="AH124" i="6" s="1"/>
  <c r="AC20" i="7"/>
  <c r="AD20" i="7" s="1"/>
  <c r="AH8" i="6"/>
  <c r="AG123" i="6"/>
  <c r="AH123" i="6" s="1"/>
  <c r="AG31" i="6"/>
  <c r="AH31" i="6" s="1"/>
  <c r="AG14" i="6"/>
  <c r="AH14" i="6" s="1"/>
  <c r="AG148" i="6"/>
  <c r="AH148" i="6" s="1"/>
  <c r="AC14" i="7"/>
  <c r="AD14" i="7" s="1"/>
  <c r="AC95" i="7"/>
  <c r="AD95" i="7" s="1"/>
  <c r="AG122" i="6"/>
  <c r="AH122" i="6" s="1"/>
  <c r="AG10" i="6"/>
  <c r="AH10" i="6" s="1"/>
  <c r="AC13" i="7"/>
  <c r="AD13" i="7" s="1"/>
  <c r="AG126" i="6"/>
  <c r="AG125" i="6" s="1"/>
  <c r="AH125" i="6" s="1"/>
  <c r="AC10" i="7"/>
  <c r="AD10" i="7" s="1"/>
  <c r="AH35" i="6"/>
  <c r="AH28" i="6"/>
  <c r="AG94" i="6"/>
  <c r="AH94" i="6" s="1"/>
  <c r="AH127" i="6"/>
  <c r="AC104" i="7"/>
  <c r="AD104" i="7" s="1"/>
  <c r="AD50" i="7"/>
  <c r="AC30" i="7"/>
  <c r="AD30" i="7" s="1"/>
  <c r="AC39" i="7"/>
  <c r="AD39" i="7" s="1"/>
  <c r="AD9" i="7"/>
  <c r="AG46" i="6"/>
  <c r="AH19" i="6"/>
  <c r="AC67" i="7"/>
  <c r="AD67" i="7" s="1"/>
  <c r="AD11" i="7"/>
  <c r="AC31" i="7"/>
  <c r="AD31" i="7" s="1"/>
  <c r="AG65" i="6"/>
  <c r="AH36" i="6"/>
  <c r="AH130" i="6"/>
  <c r="AG153" i="6"/>
  <c r="AH153" i="6" s="1"/>
  <c r="AC110" i="7"/>
  <c r="AD110" i="7" s="1"/>
  <c r="AD22" i="7"/>
  <c r="AH27" i="6"/>
  <c r="AG92" i="6"/>
  <c r="AH92" i="6" s="1"/>
  <c r="AC65" i="7"/>
  <c r="AD65" i="7" s="1"/>
  <c r="AH76" i="6"/>
  <c r="AG93" i="6"/>
  <c r="AH93" i="6" s="1"/>
  <c r="AC41" i="7" l="1"/>
  <c r="AG61" i="6"/>
  <c r="AH61" i="6" s="1"/>
  <c r="AH12" i="6"/>
  <c r="AC91" i="7"/>
  <c r="AD91" i="7" s="1"/>
  <c r="AG63" i="6"/>
  <c r="AH63" i="6" s="1"/>
  <c r="AH52" i="6"/>
  <c r="AH71" i="6"/>
  <c r="AH50" i="6"/>
  <c r="AG120" i="6"/>
  <c r="AH120" i="6" s="1"/>
  <c r="AC85" i="7"/>
  <c r="AD85" i="7" s="1"/>
  <c r="AG84" i="6"/>
  <c r="AH84" i="6" s="1"/>
  <c r="AC29" i="7"/>
  <c r="AD29" i="7" s="1"/>
  <c r="AC94" i="7"/>
  <c r="AD94" i="7" s="1"/>
  <c r="AH13" i="6"/>
  <c r="AG20" i="6"/>
  <c r="AH20" i="6" s="1"/>
  <c r="AG149" i="6"/>
  <c r="AH149" i="6" s="1"/>
  <c r="AH145" i="6" s="1"/>
  <c r="AJ145" i="6" s="1"/>
  <c r="M13" i="8" s="1"/>
  <c r="AG144" i="6"/>
  <c r="AH144" i="6" s="1"/>
  <c r="AC52" i="7"/>
  <c r="AD52" i="7" s="1"/>
  <c r="AC21" i="7"/>
  <c r="AD21" i="7" s="1"/>
  <c r="AC26" i="7"/>
  <c r="AD26" i="7" s="1"/>
  <c r="AC36" i="7"/>
  <c r="AD36" i="7" s="1"/>
  <c r="AC33" i="7"/>
  <c r="AD33" i="7" s="1"/>
  <c r="AD12" i="7"/>
  <c r="AD17" i="7"/>
  <c r="AC34" i="7"/>
  <c r="AD34" i="7" s="1"/>
  <c r="AH79" i="6"/>
  <c r="AG62" i="6"/>
  <c r="AH62" i="6" s="1"/>
  <c r="AG23" i="6"/>
  <c r="AG115" i="6" s="1"/>
  <c r="AH115" i="6" s="1"/>
  <c r="AG32" i="6"/>
  <c r="AG99" i="6" s="1"/>
  <c r="AC32" i="7"/>
  <c r="AD32" i="7" s="1"/>
  <c r="AG21" i="6"/>
  <c r="AH21" i="6" s="1"/>
  <c r="AH126" i="6"/>
  <c r="AC35" i="7"/>
  <c r="AD35" i="7" s="1"/>
  <c r="AC60" i="7"/>
  <c r="AH25" i="6"/>
  <c r="AG117" i="6"/>
  <c r="AH117" i="6" s="1"/>
  <c r="AG116" i="6"/>
  <c r="AH116" i="6" s="1"/>
  <c r="AG140" i="6"/>
  <c r="AH140" i="6" s="1"/>
  <c r="AG89" i="6"/>
  <c r="AH46" i="6"/>
  <c r="AG74" i="6"/>
  <c r="AH74" i="6" s="1"/>
  <c r="AG95" i="6"/>
  <c r="AH95" i="6" s="1"/>
  <c r="AH78" i="6"/>
  <c r="AH65" i="6"/>
  <c r="AC79" i="7"/>
  <c r="AD79" i="7" s="1"/>
  <c r="AG109" i="6"/>
  <c r="AH109" i="6" s="1"/>
  <c r="AG121" i="6"/>
  <c r="AH121" i="6" s="1"/>
  <c r="AD41" i="7"/>
  <c r="AC56" i="7"/>
  <c r="AH7" i="6" l="1"/>
  <c r="AJ7" i="6" s="1"/>
  <c r="M6" i="8" s="1"/>
  <c r="AG69" i="6"/>
  <c r="AK69" i="6" s="1"/>
  <c r="AG60" i="6"/>
  <c r="AG75" i="6" s="1"/>
  <c r="AG47" i="6"/>
  <c r="AH47" i="6" s="1"/>
  <c r="AH45" i="6" s="1"/>
  <c r="AJ45" i="6" s="1"/>
  <c r="M8" i="8" s="1"/>
  <c r="AH32" i="6"/>
  <c r="AH139" i="6"/>
  <c r="AD7" i="7"/>
  <c r="AF7" i="7" s="1"/>
  <c r="M17" i="8" s="1"/>
  <c r="AG67" i="6"/>
  <c r="AH67" i="6" s="1"/>
  <c r="AD28" i="7"/>
  <c r="AF28" i="7" s="1"/>
  <c r="M18" i="8" s="1"/>
  <c r="AH23" i="6"/>
  <c r="AD60" i="7"/>
  <c r="AC96" i="7"/>
  <c r="AD96" i="7" s="1"/>
  <c r="AD56" i="7"/>
  <c r="AC101" i="7"/>
  <c r="AD101" i="7" s="1"/>
  <c r="AH99" i="6"/>
  <c r="AG100" i="6"/>
  <c r="AH100" i="6" s="1"/>
  <c r="AG114" i="6"/>
  <c r="AH114" i="6" s="1"/>
  <c r="AH89" i="6"/>
  <c r="AG119" i="6" l="1"/>
  <c r="AH119" i="6" s="1"/>
  <c r="AH113" i="6" s="1"/>
  <c r="AJ113" i="6" s="1"/>
  <c r="M12" i="8" s="1"/>
  <c r="AH60" i="6"/>
  <c r="AH59" i="6" s="1"/>
  <c r="AJ59" i="6" s="1"/>
  <c r="M9" i="8" s="1"/>
  <c r="AH18" i="6"/>
  <c r="AJ18" i="6" s="1"/>
  <c r="M7" i="8" s="1"/>
  <c r="AD62" i="7"/>
  <c r="AF62" i="7" s="1"/>
  <c r="M20" i="8" s="1"/>
  <c r="AD47" i="7"/>
  <c r="AF47" i="7" s="1"/>
  <c r="M19" i="8" s="1"/>
  <c r="AH75" i="6"/>
  <c r="AH73" i="6" s="1"/>
  <c r="AJ73" i="6" s="1"/>
  <c r="M10" i="8" s="1"/>
  <c r="AG90" i="6"/>
  <c r="AH90" i="6" s="1"/>
  <c r="AH88" i="6" s="1"/>
  <c r="AJ88" i="6" s="1"/>
  <c r="M11" i="8" s="1"/>
  <c r="AW72" i="7" l="1"/>
  <c r="AX72" i="7" s="1"/>
  <c r="BA49" i="6"/>
  <c r="AW74" i="7"/>
  <c r="AX74" i="7" s="1"/>
  <c r="AO59" i="7"/>
  <c r="AS151" i="6"/>
  <c r="AT151" i="6" s="1"/>
  <c r="AS49" i="6"/>
  <c r="AO55" i="7"/>
  <c r="AO50" i="7" l="1"/>
  <c r="AP50" i="7" s="1"/>
  <c r="AO11" i="7"/>
  <c r="AO31" i="7" s="1"/>
  <c r="AP31" i="7" s="1"/>
  <c r="AO10" i="7"/>
  <c r="AP10" i="7" s="1"/>
  <c r="AO108" i="7"/>
  <c r="AP108" i="7" s="1"/>
  <c r="AO19" i="7"/>
  <c r="AP19" i="7" s="1"/>
  <c r="AO44" i="7"/>
  <c r="AP44" i="7" s="1"/>
  <c r="AO80" i="7"/>
  <c r="AP80" i="7" s="1"/>
  <c r="AK10" i="6"/>
  <c r="AG66" i="7"/>
  <c r="AH66" i="7" s="1"/>
  <c r="AG50" i="7"/>
  <c r="AG87" i="7"/>
  <c r="AH87" i="7" s="1"/>
  <c r="AK14" i="6"/>
  <c r="AK92" i="6"/>
  <c r="AK27" i="6"/>
  <c r="AL27" i="6" s="1"/>
  <c r="AG17" i="7"/>
  <c r="AK106" i="6"/>
  <c r="AL106" i="6" s="1"/>
  <c r="AG105" i="7"/>
  <c r="AH105" i="7" s="1"/>
  <c r="AG9" i="7"/>
  <c r="AK102" i="6"/>
  <c r="AL102" i="6" s="1"/>
  <c r="AG71" i="7"/>
  <c r="AH71" i="7" s="1"/>
  <c r="AG37" i="7"/>
  <c r="AH37" i="7" s="1"/>
  <c r="AG15" i="7"/>
  <c r="AG13" i="7"/>
  <c r="AH13" i="7" s="1"/>
  <c r="AG51" i="7"/>
  <c r="AH51" i="7" s="1"/>
  <c r="AO48" i="7"/>
  <c r="AS124" i="6"/>
  <c r="AS79" i="6"/>
  <c r="AS31" i="6"/>
  <c r="AT31" i="6" s="1"/>
  <c r="AS123" i="6"/>
  <c r="AT123" i="6" s="1"/>
  <c r="AS77" i="6"/>
  <c r="AT77" i="6" s="1"/>
  <c r="AT49" i="6"/>
  <c r="AO12" i="7"/>
  <c r="AS13" i="6"/>
  <c r="AS26" i="6"/>
  <c r="AO83" i="7"/>
  <c r="AP83" i="7" s="1"/>
  <c r="AO103" i="7"/>
  <c r="AP103" i="7" s="1"/>
  <c r="AS105" i="6"/>
  <c r="AS68" i="6"/>
  <c r="AT68" i="6" s="1"/>
  <c r="AO14" i="7"/>
  <c r="AO58" i="7"/>
  <c r="AP58" i="7" s="1"/>
  <c r="AO99" i="7"/>
  <c r="AP99" i="7" s="1"/>
  <c r="AS38" i="6"/>
  <c r="AT38" i="6" s="1"/>
  <c r="AS30" i="6"/>
  <c r="AT30" i="6" s="1"/>
  <c r="AO84" i="7"/>
  <c r="AP84" i="7" s="1"/>
  <c r="AS66" i="6"/>
  <c r="AT66" i="6" s="1"/>
  <c r="AS71" i="6"/>
  <c r="AS130" i="6"/>
  <c r="AO22" i="7"/>
  <c r="AS150" i="6"/>
  <c r="AT150" i="6" s="1"/>
  <c r="BA106" i="6"/>
  <c r="BB106" i="6" s="1"/>
  <c r="AW105" i="7"/>
  <c r="AX105" i="7" s="1"/>
  <c r="AW17" i="7"/>
  <c r="AW19" i="7"/>
  <c r="AX19" i="7" s="1"/>
  <c r="AW108" i="7"/>
  <c r="AX108" i="7" s="1"/>
  <c r="AW44" i="7"/>
  <c r="AX44" i="7" s="1"/>
  <c r="BA13" i="6"/>
  <c r="AW83" i="7"/>
  <c r="AX83" i="7" s="1"/>
  <c r="BA26" i="6"/>
  <c r="AW107" i="7"/>
  <c r="AX107" i="7" s="1"/>
  <c r="AW43" i="7"/>
  <c r="AX43" i="7" s="1"/>
  <c r="AW18" i="7"/>
  <c r="AX18" i="7" s="1"/>
  <c r="AW75" i="7"/>
  <c r="AX75" i="7" s="1"/>
  <c r="BA22" i="6"/>
  <c r="BB22" i="6" s="1"/>
  <c r="BA136" i="6"/>
  <c r="BB136" i="6" s="1"/>
  <c r="AW11" i="7"/>
  <c r="AW66" i="7"/>
  <c r="AX66" i="7" s="1"/>
  <c r="BA10" i="6"/>
  <c r="AK36" i="6"/>
  <c r="AG10" i="7"/>
  <c r="AH10" i="7" s="1"/>
  <c r="AG48" i="7"/>
  <c r="AS28" i="6"/>
  <c r="AS122" i="6"/>
  <c r="AT122" i="6" s="1"/>
  <c r="AO105" i="7"/>
  <c r="AP105" i="7" s="1"/>
  <c r="AO17" i="7"/>
  <c r="AS106" i="6"/>
  <c r="AT106" i="6" s="1"/>
  <c r="AG25" i="7"/>
  <c r="AH25" i="7" s="1"/>
  <c r="AG102" i="7"/>
  <c r="AH102" i="7" s="1"/>
  <c r="AG74" i="7"/>
  <c r="AH74" i="7" s="1"/>
  <c r="AK151" i="6"/>
  <c r="AL151" i="6" s="1"/>
  <c r="AG11" i="7"/>
  <c r="AK28" i="6"/>
  <c r="AK122" i="6"/>
  <c r="AL122" i="6" s="1"/>
  <c r="AG76" i="7"/>
  <c r="AH76" i="7" s="1"/>
  <c r="AK130" i="6"/>
  <c r="AK71" i="6"/>
  <c r="AG22" i="7"/>
  <c r="AK150" i="6"/>
  <c r="AL150" i="6" s="1"/>
  <c r="AK38" i="6"/>
  <c r="AL38" i="6" s="1"/>
  <c r="AK30" i="6"/>
  <c r="AL30" i="6" s="1"/>
  <c r="AG84" i="7"/>
  <c r="AH84" i="7" s="1"/>
  <c r="AK66" i="6"/>
  <c r="AL66" i="6" s="1"/>
  <c r="AG59" i="7"/>
  <c r="AG70" i="7"/>
  <c r="AH70" i="7" s="1"/>
  <c r="AG86" i="7"/>
  <c r="AH86" i="7" s="1"/>
  <c r="AK13" i="6"/>
  <c r="AG83" i="7"/>
  <c r="AH83" i="7" s="1"/>
  <c r="AK26" i="6"/>
  <c r="AG78" i="7"/>
  <c r="AH78" i="7" s="1"/>
  <c r="AS127" i="6"/>
  <c r="AO104" i="7" s="1"/>
  <c r="AP104" i="7" s="1"/>
  <c r="AS148" i="6"/>
  <c r="AT148" i="6" s="1"/>
  <c r="AS35" i="6"/>
  <c r="AO43" i="7"/>
  <c r="AP43" i="7" s="1"/>
  <c r="AO107" i="7"/>
  <c r="AP107" i="7" s="1"/>
  <c r="AO18" i="7"/>
  <c r="AP18" i="7" s="1"/>
  <c r="AO23" i="7"/>
  <c r="AS107" i="6"/>
  <c r="AT107" i="6" s="1"/>
  <c r="AO13" i="7"/>
  <c r="AP13" i="7" s="1"/>
  <c r="AO51" i="7"/>
  <c r="AP51" i="7" s="1"/>
  <c r="AO38" i="7"/>
  <c r="AP38" i="7" s="1"/>
  <c r="AO16" i="7"/>
  <c r="AP16" i="7" s="1"/>
  <c r="AO20" i="7"/>
  <c r="AP20" i="7" s="1"/>
  <c r="AO53" i="7"/>
  <c r="AP53" i="7" s="1"/>
  <c r="AO100" i="7"/>
  <c r="AP100" i="7" s="1"/>
  <c r="AK8" i="6"/>
  <c r="AG68" i="7"/>
  <c r="AH68" i="7" s="1"/>
  <c r="AK50" i="6"/>
  <c r="AK91" i="6"/>
  <c r="AL91" i="6" s="1"/>
  <c r="AK11" i="6"/>
  <c r="AL11" i="6" s="1"/>
  <c r="AK24" i="6"/>
  <c r="AL24" i="6" s="1"/>
  <c r="AK9" i="6"/>
  <c r="AG64" i="7"/>
  <c r="AH64" i="7" s="1"/>
  <c r="AG108" i="7"/>
  <c r="AH108" i="7" s="1"/>
  <c r="AG19" i="7"/>
  <c r="AH19" i="7" s="1"/>
  <c r="AG44" i="7"/>
  <c r="AH44" i="7" s="1"/>
  <c r="AO8" i="7"/>
  <c r="AS147" i="6"/>
  <c r="AT147" i="6" s="1"/>
  <c r="AS103" i="6"/>
  <c r="AT103" i="6" s="1"/>
  <c r="AS102" i="6"/>
  <c r="AT102" i="6" s="1"/>
  <c r="AO9" i="7"/>
  <c r="AK124" i="6"/>
  <c r="AK123" i="6"/>
  <c r="AL123" i="6" s="1"/>
  <c r="AK31" i="6"/>
  <c r="AL31" i="6" s="1"/>
  <c r="AK79" i="6"/>
  <c r="AK49" i="6"/>
  <c r="AG55" i="7"/>
  <c r="AG93" i="7"/>
  <c r="AH93" i="7" s="1"/>
  <c r="AG90" i="7"/>
  <c r="AH90" i="7" s="1"/>
  <c r="AG92" i="7"/>
  <c r="AK129" i="6"/>
  <c r="AL129" i="6" s="1"/>
  <c r="AG89" i="7"/>
  <c r="AH89" i="7" s="1"/>
  <c r="AK104" i="6"/>
  <c r="AL104" i="6" s="1"/>
  <c r="AG72" i="7"/>
  <c r="AH72" i="7" s="1"/>
  <c r="AG80" i="7"/>
  <c r="AH80" i="7" s="1"/>
  <c r="AK107" i="6"/>
  <c r="AL107" i="6" s="1"/>
  <c r="AG23" i="7"/>
  <c r="AG18" i="7"/>
  <c r="AH18" i="7" s="1"/>
  <c r="AG107" i="7"/>
  <c r="AH107" i="7" s="1"/>
  <c r="AG43" i="7"/>
  <c r="AH43" i="7" s="1"/>
  <c r="AK35" i="6"/>
  <c r="AG12" i="7"/>
  <c r="AG81" i="7"/>
  <c r="AH81" i="7" s="1"/>
  <c r="AK136" i="6"/>
  <c r="AL136" i="6" s="1"/>
  <c r="AG75" i="7"/>
  <c r="AH75" i="7" s="1"/>
  <c r="AK22" i="6"/>
  <c r="AL22" i="6" s="1"/>
  <c r="AG14" i="7"/>
  <c r="AK68" i="6"/>
  <c r="AL68" i="6" s="1"/>
  <c r="AG103" i="7"/>
  <c r="AH103" i="7" s="1"/>
  <c r="AK105" i="6"/>
  <c r="AG88" i="7"/>
  <c r="AH88" i="7" s="1"/>
  <c r="AK126" i="6"/>
  <c r="AG99" i="7"/>
  <c r="AH99" i="7" s="1"/>
  <c r="AG58" i="7"/>
  <c r="AH58" i="7" s="1"/>
  <c r="AK147" i="6"/>
  <c r="AL147" i="6" s="1"/>
  <c r="AK103" i="6"/>
  <c r="AL103" i="6" s="1"/>
  <c r="AG8" i="7"/>
  <c r="AG73" i="7"/>
  <c r="AH73" i="7" s="1"/>
  <c r="AO93" i="7"/>
  <c r="AP93" i="7" s="1"/>
  <c r="AO89" i="7"/>
  <c r="AP89" i="7" s="1"/>
  <c r="AS104" i="6"/>
  <c r="AT104" i="6" s="1"/>
  <c r="AS129" i="6"/>
  <c r="AO92" i="7"/>
  <c r="AO90" i="7"/>
  <c r="AP90" i="7" s="1"/>
  <c r="AO97" i="7"/>
  <c r="AP97" i="7" s="1"/>
  <c r="AP55" i="7"/>
  <c r="AO87" i="7"/>
  <c r="AP59" i="7"/>
  <c r="AO40" i="7"/>
  <c r="AP40" i="7" s="1"/>
  <c r="AO98" i="7"/>
  <c r="AP98" i="7" s="1"/>
  <c r="AO37" i="7"/>
  <c r="AP37" i="7" s="1"/>
  <c r="AO15" i="7"/>
  <c r="AO25" i="7"/>
  <c r="AP25" i="7" s="1"/>
  <c r="AO102" i="7"/>
  <c r="AP102" i="7" s="1"/>
  <c r="AW102" i="7"/>
  <c r="AX102" i="7" s="1"/>
  <c r="AW25" i="7"/>
  <c r="AX25" i="7" s="1"/>
  <c r="AW80" i="7"/>
  <c r="AX80" i="7" s="1"/>
  <c r="AW82" i="7"/>
  <c r="AX82" i="7" s="1"/>
  <c r="BA55" i="6"/>
  <c r="AW15" i="7"/>
  <c r="AW37" i="7"/>
  <c r="AX37" i="7" s="1"/>
  <c r="BA77" i="6"/>
  <c r="BB77" i="6" s="1"/>
  <c r="BB49" i="6"/>
  <c r="AW88" i="7"/>
  <c r="AX88" i="7" s="1"/>
  <c r="AW55" i="7"/>
  <c r="BA8" i="6"/>
  <c r="AW103" i="7"/>
  <c r="AX103" i="7" s="1"/>
  <c r="BA127" i="6"/>
  <c r="BA48" i="6"/>
  <c r="AW73" i="7"/>
  <c r="AX73" i="7" s="1"/>
  <c r="AW59" i="7"/>
  <c r="AW70" i="7"/>
  <c r="AX70" i="7" s="1"/>
  <c r="AW76" i="7"/>
  <c r="AX76" i="7" s="1"/>
  <c r="AW71" i="7"/>
  <c r="AX71" i="7" s="1"/>
  <c r="BA31" i="6"/>
  <c r="BB31" i="6" s="1"/>
  <c r="BA151" i="6"/>
  <c r="BB151" i="6" s="1"/>
  <c r="AW78" i="7"/>
  <c r="AX78" i="7" s="1"/>
  <c r="AP11" i="7" l="1"/>
  <c r="AW10" i="7"/>
  <c r="AX10" i="7" s="1"/>
  <c r="AW50" i="7"/>
  <c r="AX50" i="7" s="1"/>
  <c r="AW14" i="7"/>
  <c r="AW60" i="7" s="1"/>
  <c r="AW86" i="7"/>
  <c r="AX86" i="7" s="1"/>
  <c r="BA123" i="6"/>
  <c r="BB123" i="6" s="1"/>
  <c r="AW87" i="7"/>
  <c r="AX87" i="7" s="1"/>
  <c r="BA148" i="6"/>
  <c r="BB148" i="6" s="1"/>
  <c r="AW104" i="7"/>
  <c r="AX104" i="7" s="1"/>
  <c r="BB127" i="6"/>
  <c r="BA19" i="6"/>
  <c r="BB8" i="6"/>
  <c r="AW8" i="7"/>
  <c r="BA147" i="6"/>
  <c r="BB147" i="6" s="1"/>
  <c r="BA103" i="6"/>
  <c r="BB103" i="6" s="1"/>
  <c r="AW58" i="7"/>
  <c r="AX58" i="7" s="1"/>
  <c r="AO52" i="7"/>
  <c r="AP52" i="7" s="1"/>
  <c r="AP15" i="7"/>
  <c r="AK140" i="6"/>
  <c r="AL140" i="6" s="1"/>
  <c r="AL26" i="6"/>
  <c r="BA24" i="6"/>
  <c r="BB24" i="6" s="1"/>
  <c r="BA91" i="6"/>
  <c r="BB91" i="6" s="1"/>
  <c r="BA11" i="6"/>
  <c r="BB11" i="6" s="1"/>
  <c r="AW68" i="7"/>
  <c r="AX68" i="7" s="1"/>
  <c r="BA50" i="6"/>
  <c r="AW13" i="7"/>
  <c r="AX13" i="7" s="1"/>
  <c r="AW51" i="7"/>
  <c r="AX51" i="7" s="1"/>
  <c r="AW48" i="7"/>
  <c r="BA126" i="6"/>
  <c r="BA124" i="6"/>
  <c r="BA68" i="6"/>
  <c r="BB68" i="6" s="1"/>
  <c r="AW99" i="7"/>
  <c r="AX99" i="7" s="1"/>
  <c r="AH23" i="7"/>
  <c r="AG41" i="7"/>
  <c r="AG91" i="7"/>
  <c r="AH91" i="7" s="1"/>
  <c r="AH92" i="7"/>
  <c r="AH55" i="7"/>
  <c r="AG97" i="7"/>
  <c r="AH97" i="7" s="1"/>
  <c r="AK127" i="6"/>
  <c r="AL79" i="6"/>
  <c r="AK97" i="6"/>
  <c r="AL97" i="6" s="1"/>
  <c r="AG85" i="7"/>
  <c r="AH85" i="7" s="1"/>
  <c r="AO30" i="7"/>
  <c r="AP30" i="7" s="1"/>
  <c r="AO26" i="7"/>
  <c r="AP26" i="7" s="1"/>
  <c r="AO39" i="7"/>
  <c r="AP39" i="7" s="1"/>
  <c r="AO33" i="7"/>
  <c r="AP33" i="7" s="1"/>
  <c r="AP9" i="7"/>
  <c r="AO94" i="7"/>
  <c r="AP94" i="7" s="1"/>
  <c r="AP8" i="7"/>
  <c r="AO21" i="7"/>
  <c r="AP21" i="7" s="1"/>
  <c r="AO29" i="7"/>
  <c r="AP29" i="7" s="1"/>
  <c r="AK80" i="6"/>
  <c r="AL80" i="6" s="1"/>
  <c r="AK120" i="6"/>
  <c r="AL120" i="6" s="1"/>
  <c r="AL50" i="6"/>
  <c r="AH22" i="7"/>
  <c r="AG110" i="7"/>
  <c r="AH110" i="7" s="1"/>
  <c r="AS153" i="6"/>
  <c r="AT153" i="6" s="1"/>
  <c r="AT130" i="6"/>
  <c r="AO35" i="7"/>
  <c r="AP35" i="7" s="1"/>
  <c r="AP14" i="7"/>
  <c r="AO60" i="7"/>
  <c r="AO95" i="7"/>
  <c r="AP95" i="7" s="1"/>
  <c r="AP48" i="7"/>
  <c r="AO49" i="7"/>
  <c r="AP49" i="7" s="1"/>
  <c r="AG106" i="7"/>
  <c r="AH106" i="7" s="1"/>
  <c r="AG36" i="7"/>
  <c r="AH36" i="7" s="1"/>
  <c r="AH17" i="7"/>
  <c r="AK32" i="6"/>
  <c r="AL14" i="6"/>
  <c r="AK61" i="6"/>
  <c r="AL61" i="6" s="1"/>
  <c r="AK62" i="6"/>
  <c r="AL62" i="6" s="1"/>
  <c r="AK23" i="6"/>
  <c r="AK21" i="6"/>
  <c r="AL21" i="6" s="1"/>
  <c r="AL10" i="6"/>
  <c r="AG38" i="7"/>
  <c r="AH38" i="7" s="1"/>
  <c r="AG16" i="7"/>
  <c r="AH16" i="7" s="1"/>
  <c r="AG100" i="7"/>
  <c r="AH100" i="7" s="1"/>
  <c r="AG20" i="7"/>
  <c r="AH20" i="7" s="1"/>
  <c r="AG53" i="7"/>
  <c r="AH53" i="7" s="1"/>
  <c r="BB55" i="6"/>
  <c r="BA84" i="6"/>
  <c r="BB84" i="6" s="1"/>
  <c r="AL126" i="6"/>
  <c r="AK125" i="6"/>
  <c r="AL125" i="6" s="1"/>
  <c r="AL124" i="6"/>
  <c r="AK96" i="6"/>
  <c r="AL96" i="6" s="1"/>
  <c r="AH59" i="7"/>
  <c r="AG40" i="7"/>
  <c r="AH40" i="7" s="1"/>
  <c r="AG98" i="7"/>
  <c r="AH98" i="7" s="1"/>
  <c r="AG31" i="7"/>
  <c r="AH31" i="7" s="1"/>
  <c r="AH11" i="7"/>
  <c r="BA144" i="6"/>
  <c r="BB144" i="6" s="1"/>
  <c r="BB13" i="6"/>
  <c r="BA64" i="6"/>
  <c r="BB64" i="6" s="1"/>
  <c r="AW106" i="7"/>
  <c r="AX106" i="7" s="1"/>
  <c r="AW36" i="7"/>
  <c r="AX36" i="7" s="1"/>
  <c r="AX17" i="7"/>
  <c r="AO110" i="7"/>
  <c r="AP110" i="7" s="1"/>
  <c r="AP22" i="7"/>
  <c r="AO34" i="7"/>
  <c r="AP34" i="7" s="1"/>
  <c r="AO32" i="7"/>
  <c r="AP32" i="7" s="1"/>
  <c r="AP12" i="7"/>
  <c r="AS96" i="6"/>
  <c r="AT96" i="6" s="1"/>
  <c r="AT124" i="6"/>
  <c r="AH50" i="7"/>
  <c r="AW38" i="7"/>
  <c r="AX38" i="7" s="1"/>
  <c r="AW100" i="7"/>
  <c r="AX100" i="7" s="1"/>
  <c r="AW16" i="7"/>
  <c r="AX16" i="7" s="1"/>
  <c r="AW53" i="7"/>
  <c r="AX53" i="7" s="1"/>
  <c r="AW20" i="7"/>
  <c r="AX20" i="7" s="1"/>
  <c r="AW92" i="7"/>
  <c r="AW89" i="7"/>
  <c r="AX89" i="7" s="1"/>
  <c r="AW93" i="7"/>
  <c r="AX93" i="7" s="1"/>
  <c r="AW90" i="7"/>
  <c r="AX90" i="7" s="1"/>
  <c r="BA129" i="6"/>
  <c r="BB129" i="6" s="1"/>
  <c r="BA104" i="6"/>
  <c r="BB104" i="6" s="1"/>
  <c r="BA52" i="6"/>
  <c r="AW81" i="7"/>
  <c r="AX81" i="7" s="1"/>
  <c r="BA28" i="6"/>
  <c r="BA122" i="6"/>
  <c r="BB122" i="6" s="1"/>
  <c r="AW12" i="7"/>
  <c r="BA71" i="6"/>
  <c r="AW22" i="7"/>
  <c r="BA150" i="6"/>
  <c r="BB150" i="6" s="1"/>
  <c r="BA130" i="6"/>
  <c r="BA9" i="6"/>
  <c r="AW64" i="7"/>
  <c r="AX64" i="7" s="1"/>
  <c r="BA36" i="6"/>
  <c r="BA79" i="6"/>
  <c r="BA14" i="6"/>
  <c r="BA105" i="6"/>
  <c r="BA12" i="6"/>
  <c r="AP92" i="7"/>
  <c r="AO91" i="7"/>
  <c r="AP91" i="7" s="1"/>
  <c r="AH8" i="7"/>
  <c r="AG29" i="7"/>
  <c r="AH29" i="7" s="1"/>
  <c r="AG94" i="7"/>
  <c r="AH94" i="7" s="1"/>
  <c r="AG21" i="7"/>
  <c r="AH21" i="7" s="1"/>
  <c r="AL105" i="6"/>
  <c r="AK149" i="6"/>
  <c r="AL149" i="6" s="1"/>
  <c r="AG60" i="7"/>
  <c r="AH60" i="7" s="1"/>
  <c r="AH14" i="7"/>
  <c r="AG35" i="7"/>
  <c r="AH35" i="7" s="1"/>
  <c r="AG32" i="7"/>
  <c r="AH32" i="7" s="1"/>
  <c r="AG34" i="7"/>
  <c r="AH34" i="7" s="1"/>
  <c r="AH12" i="7"/>
  <c r="AL49" i="6"/>
  <c r="AK77" i="6"/>
  <c r="AL77" i="6" s="1"/>
  <c r="AK148" i="6"/>
  <c r="AL148" i="6" s="1"/>
  <c r="AL9" i="6"/>
  <c r="AK20" i="6"/>
  <c r="AO41" i="7"/>
  <c r="AP23" i="7"/>
  <c r="AT35" i="6"/>
  <c r="AS152" i="6"/>
  <c r="AT152" i="6" s="1"/>
  <c r="AK108" i="6"/>
  <c r="AL108" i="6" s="1"/>
  <c r="AL71" i="6"/>
  <c r="AK94" i="6"/>
  <c r="AL94" i="6" s="1"/>
  <c r="AL28" i="6"/>
  <c r="AS94" i="6"/>
  <c r="AT94" i="6" s="1"/>
  <c r="AT28" i="6"/>
  <c r="AK65" i="6"/>
  <c r="AL36" i="6"/>
  <c r="BA62" i="6"/>
  <c r="BB62" i="6" s="1"/>
  <c r="BA61" i="6"/>
  <c r="BB61" i="6" s="1"/>
  <c r="BA23" i="6"/>
  <c r="BA21" i="6"/>
  <c r="BB21" i="6" s="1"/>
  <c r="BB10" i="6"/>
  <c r="BA35" i="6"/>
  <c r="BA140" i="6"/>
  <c r="BB140" i="6" s="1"/>
  <c r="BB26" i="6"/>
  <c r="AT71" i="6"/>
  <c r="AS108" i="6"/>
  <c r="AT108" i="6" s="1"/>
  <c r="AT26" i="6"/>
  <c r="AS140" i="6"/>
  <c r="AT140" i="6" s="1"/>
  <c r="AH15" i="7"/>
  <c r="AG52" i="7"/>
  <c r="AH52" i="7" s="1"/>
  <c r="AX55" i="7"/>
  <c r="AW97" i="7"/>
  <c r="AX97" i="7" s="1"/>
  <c r="AH48" i="7"/>
  <c r="AG49" i="7"/>
  <c r="AH49" i="7" s="1"/>
  <c r="AG95" i="7"/>
  <c r="AH95" i="7" s="1"/>
  <c r="AX11" i="7"/>
  <c r="AW31" i="7"/>
  <c r="AX31" i="7" s="1"/>
  <c r="BA92" i="6"/>
  <c r="BA27" i="6"/>
  <c r="BB27" i="6" s="1"/>
  <c r="AX59" i="7"/>
  <c r="AW98" i="7"/>
  <c r="AX98" i="7" s="1"/>
  <c r="AW40" i="7"/>
  <c r="AX40" i="7" s="1"/>
  <c r="BB48" i="6"/>
  <c r="BA76" i="6"/>
  <c r="AW84" i="7"/>
  <c r="AX84" i="7" s="1"/>
  <c r="BA66" i="6"/>
  <c r="BB66" i="6" s="1"/>
  <c r="BA38" i="6"/>
  <c r="BB38" i="6" s="1"/>
  <c r="BA30" i="6"/>
  <c r="BB30" i="6" s="1"/>
  <c r="BA107" i="6"/>
  <c r="BB107" i="6" s="1"/>
  <c r="AW23" i="7"/>
  <c r="BA102" i="6"/>
  <c r="BB102" i="6" s="1"/>
  <c r="AW9" i="7"/>
  <c r="AX15" i="7"/>
  <c r="AW52" i="7"/>
  <c r="AX52" i="7" s="1"/>
  <c r="AK152" i="6"/>
  <c r="AL152" i="6" s="1"/>
  <c r="AL35" i="6"/>
  <c r="AK19" i="6"/>
  <c r="AL8" i="6"/>
  <c r="AK64" i="6"/>
  <c r="AL64" i="6" s="1"/>
  <c r="AL13" i="6"/>
  <c r="AK144" i="6"/>
  <c r="AL144" i="6" s="1"/>
  <c r="AL130" i="6"/>
  <c r="AK153" i="6"/>
  <c r="AL153" i="6" s="1"/>
  <c r="AP17" i="7"/>
  <c r="AO106" i="7"/>
  <c r="AP106" i="7" s="1"/>
  <c r="AO36" i="7"/>
  <c r="AP36" i="7" s="1"/>
  <c r="AS149" i="6"/>
  <c r="AT149" i="6" s="1"/>
  <c r="AT105" i="6"/>
  <c r="AS64" i="6"/>
  <c r="AT64" i="6" s="1"/>
  <c r="AT13" i="6"/>
  <c r="AS144" i="6"/>
  <c r="AT144" i="6" s="1"/>
  <c r="AO85" i="7"/>
  <c r="AP85" i="7" s="1"/>
  <c r="AS97" i="6"/>
  <c r="AT97" i="6" s="1"/>
  <c r="AT79" i="6"/>
  <c r="AG39" i="7"/>
  <c r="AH39" i="7" s="1"/>
  <c r="AG30" i="7"/>
  <c r="AH30" i="7" s="1"/>
  <c r="AG26" i="7"/>
  <c r="AH26" i="7" s="1"/>
  <c r="AG33" i="7"/>
  <c r="AH33" i="7" s="1"/>
  <c r="AH9" i="7"/>
  <c r="AL92" i="6"/>
  <c r="AK118" i="6"/>
  <c r="AL118" i="6" s="1"/>
  <c r="AX60" i="7" l="1"/>
  <c r="AW96" i="7"/>
  <c r="AX96" i="7" s="1"/>
  <c r="AX14" i="7"/>
  <c r="AT145" i="6"/>
  <c r="AV145" i="6" s="1"/>
  <c r="P13" i="8" s="1"/>
  <c r="BB139" i="6"/>
  <c r="AW35" i="7"/>
  <c r="AX35" i="7" s="1"/>
  <c r="AL139" i="6"/>
  <c r="AL145" i="6"/>
  <c r="AN145" i="6" s="1"/>
  <c r="N13" i="8" s="1"/>
  <c r="AX12" i="7"/>
  <c r="AW32" i="7"/>
  <c r="AX32" i="7" s="1"/>
  <c r="AW34" i="7"/>
  <c r="AX34" i="7" s="1"/>
  <c r="BB23" i="6"/>
  <c r="BA115" i="6"/>
  <c r="BB115" i="6" s="1"/>
  <c r="AK109" i="6"/>
  <c r="AL109" i="6" s="1"/>
  <c r="AL65" i="6"/>
  <c r="AG79" i="7"/>
  <c r="AH79" i="7" s="1"/>
  <c r="AK121" i="6"/>
  <c r="AL121" i="6" s="1"/>
  <c r="BB14" i="6"/>
  <c r="BA32" i="6"/>
  <c r="BA20" i="6"/>
  <c r="BB9" i="6"/>
  <c r="BA108" i="6"/>
  <c r="BB108" i="6" s="1"/>
  <c r="BB71" i="6"/>
  <c r="AP7" i="7"/>
  <c r="AR7" i="7" s="1"/>
  <c r="P17" i="8" s="1"/>
  <c r="BB124" i="6"/>
  <c r="BA96" i="6"/>
  <c r="BB96" i="6" s="1"/>
  <c r="AO56" i="7"/>
  <c r="AP41" i="7"/>
  <c r="AP28" i="7" s="1"/>
  <c r="AR28" i="7" s="1"/>
  <c r="P18" i="8" s="1"/>
  <c r="BA97" i="6"/>
  <c r="BB97" i="6" s="1"/>
  <c r="BB79" i="6"/>
  <c r="AW85" i="7"/>
  <c r="AX85" i="7" s="1"/>
  <c r="BB126" i="6"/>
  <c r="BA125" i="6"/>
  <c r="BB125" i="6" s="1"/>
  <c r="BB19" i="6"/>
  <c r="BA46" i="6"/>
  <c r="AW67" i="7"/>
  <c r="AX67" i="7" s="1"/>
  <c r="AK60" i="6"/>
  <c r="AK47" i="6"/>
  <c r="AL47" i="6" s="1"/>
  <c r="AL20" i="6"/>
  <c r="BA63" i="6"/>
  <c r="BB63" i="6" s="1"/>
  <c r="BA25" i="6"/>
  <c r="BB12" i="6"/>
  <c r="BA65" i="6"/>
  <c r="BB36" i="6"/>
  <c r="AG96" i="7"/>
  <c r="AH96" i="7" s="1"/>
  <c r="AP60" i="7"/>
  <c r="AO96" i="7"/>
  <c r="AP96" i="7" s="1"/>
  <c r="AG104" i="7"/>
  <c r="AH104" i="7" s="1"/>
  <c r="AL127" i="6"/>
  <c r="AX48" i="7"/>
  <c r="AW49" i="7"/>
  <c r="AX49" i="7" s="1"/>
  <c r="AW95" i="7"/>
  <c r="AW41" i="7"/>
  <c r="AX23" i="7"/>
  <c r="BA118" i="6"/>
  <c r="BB118" i="6" s="1"/>
  <c r="BB92" i="6"/>
  <c r="BA152" i="6"/>
  <c r="BB152" i="6" s="1"/>
  <c r="BB35" i="6"/>
  <c r="BB130" i="6"/>
  <c r="BA153" i="6"/>
  <c r="BB153" i="6" s="1"/>
  <c r="BA78" i="6"/>
  <c r="BB52" i="6"/>
  <c r="AL19" i="6"/>
  <c r="AK46" i="6"/>
  <c r="AG67" i="7"/>
  <c r="AH67" i="7" s="1"/>
  <c r="AX9" i="7"/>
  <c r="AW39" i="7"/>
  <c r="AX39" i="7" s="1"/>
  <c r="AW30" i="7"/>
  <c r="AX30" i="7" s="1"/>
  <c r="AW26" i="7"/>
  <c r="AX26" i="7" s="1"/>
  <c r="AW33" i="7"/>
  <c r="AX33" i="7" s="1"/>
  <c r="BB76" i="6"/>
  <c r="BA93" i="6"/>
  <c r="BB93" i="6" s="1"/>
  <c r="AW65" i="7"/>
  <c r="AX65" i="7" s="1"/>
  <c r="AT139" i="6"/>
  <c r="AH7" i="7"/>
  <c r="AJ7" i="7" s="1"/>
  <c r="N17" i="8" s="1"/>
  <c r="BA149" i="6"/>
  <c r="BB149" i="6" s="1"/>
  <c r="BB105" i="6"/>
  <c r="AX22" i="7"/>
  <c r="AW110" i="7"/>
  <c r="AX110" i="7" s="1"/>
  <c r="BB28" i="6"/>
  <c r="BA94" i="6"/>
  <c r="BB94" i="6" s="1"/>
  <c r="AW91" i="7"/>
  <c r="AX91" i="7" s="1"/>
  <c r="AX92" i="7"/>
  <c r="AL23" i="6"/>
  <c r="AK115" i="6"/>
  <c r="AL115" i="6" s="1"/>
  <c r="AK99" i="6"/>
  <c r="AK67" i="6"/>
  <c r="AL67" i="6" s="1"/>
  <c r="AL32" i="6"/>
  <c r="AG56" i="7"/>
  <c r="AH41" i="7"/>
  <c r="AH28" i="7" s="1"/>
  <c r="AJ28" i="7" s="1"/>
  <c r="N18" i="8" s="1"/>
  <c r="BA120" i="6"/>
  <c r="BB120" i="6" s="1"/>
  <c r="BB50" i="6"/>
  <c r="BA80" i="6"/>
  <c r="BB80" i="6" s="1"/>
  <c r="AW29" i="7"/>
  <c r="AX29" i="7" s="1"/>
  <c r="AW21" i="7"/>
  <c r="AX21" i="7" s="1"/>
  <c r="AX8" i="7"/>
  <c r="AW94" i="7"/>
  <c r="BB7" i="6" l="1"/>
  <c r="BD7" i="6" s="1"/>
  <c r="R6" i="8" s="1"/>
  <c r="AX7" i="7"/>
  <c r="AZ7" i="7" s="1"/>
  <c r="R17" i="8" s="1"/>
  <c r="BB145" i="6"/>
  <c r="BD145" i="6" s="1"/>
  <c r="R13" i="8" s="1"/>
  <c r="BB78" i="6"/>
  <c r="BA95" i="6"/>
  <c r="BB95" i="6" s="1"/>
  <c r="AH56" i="7"/>
  <c r="AH47" i="7" s="1"/>
  <c r="AJ47" i="7" s="1"/>
  <c r="N19" i="8" s="1"/>
  <c r="AG101" i="7"/>
  <c r="AH101" i="7" s="1"/>
  <c r="BB65" i="6"/>
  <c r="BA121" i="6"/>
  <c r="BB121" i="6" s="1"/>
  <c r="BA109" i="6"/>
  <c r="BB109" i="6" s="1"/>
  <c r="AW79" i="7"/>
  <c r="AX79" i="7" s="1"/>
  <c r="BB32" i="6"/>
  <c r="BA99" i="6"/>
  <c r="BA67" i="6"/>
  <c r="BB67" i="6" s="1"/>
  <c r="AL46" i="6"/>
  <c r="AK89" i="6"/>
  <c r="AK74" i="6"/>
  <c r="AL74" i="6" s="1"/>
  <c r="BB25" i="6"/>
  <c r="BA116" i="6"/>
  <c r="BB116" i="6" s="1"/>
  <c r="AK119" i="6"/>
  <c r="AL119" i="6" s="1"/>
  <c r="AK75" i="6"/>
  <c r="AL60" i="6"/>
  <c r="AX41" i="7"/>
  <c r="AX28" i="7" s="1"/>
  <c r="AZ28" i="7" s="1"/>
  <c r="R18" i="8" s="1"/>
  <c r="AW56" i="7"/>
  <c r="AL99" i="6"/>
  <c r="AK100" i="6"/>
  <c r="AL100" i="6" s="1"/>
  <c r="BB46" i="6"/>
  <c r="BA74" i="6"/>
  <c r="BB74" i="6" s="1"/>
  <c r="BA89" i="6"/>
  <c r="AO101" i="7"/>
  <c r="AP101" i="7" s="1"/>
  <c r="AP56" i="7"/>
  <c r="AP47" i="7" s="1"/>
  <c r="AR47" i="7" s="1"/>
  <c r="P19" i="8" s="1"/>
  <c r="BA60" i="6"/>
  <c r="BB20" i="6"/>
  <c r="BA47" i="6"/>
  <c r="BB47" i="6" s="1"/>
  <c r="BB45" i="6" l="1"/>
  <c r="BD45" i="6" s="1"/>
  <c r="R8" i="8" s="1"/>
  <c r="BB18" i="6"/>
  <c r="BD18" i="6" s="1"/>
  <c r="R7" i="8" s="1"/>
  <c r="AX56" i="7"/>
  <c r="AX47" i="7" s="1"/>
  <c r="AZ47" i="7" s="1"/>
  <c r="R19" i="8" s="1"/>
  <c r="AW101" i="7"/>
  <c r="AX101" i="7" s="1"/>
  <c r="AX62" i="7" s="1"/>
  <c r="AZ62" i="7" s="1"/>
  <c r="R20" i="8" s="1"/>
  <c r="AK114" i="6"/>
  <c r="AL114" i="6" s="1"/>
  <c r="AL89" i="6"/>
  <c r="BB89" i="6"/>
  <c r="BA114" i="6"/>
  <c r="BB114" i="6" s="1"/>
  <c r="AK90" i="6"/>
  <c r="AL90" i="6" s="1"/>
  <c r="AL75" i="6"/>
  <c r="BB99" i="6"/>
  <c r="BA100" i="6"/>
  <c r="BB100" i="6" s="1"/>
  <c r="BA119" i="6"/>
  <c r="BB119" i="6" s="1"/>
  <c r="BB113" i="6" s="1"/>
  <c r="BD113" i="6" s="1"/>
  <c r="R12" i="8" s="1"/>
  <c r="BA75" i="6"/>
  <c r="BB60" i="6"/>
  <c r="BB59" i="6" s="1"/>
  <c r="BD59" i="6" s="1"/>
  <c r="R9" i="8" s="1"/>
  <c r="BA90" i="6" l="1"/>
  <c r="BB90" i="6" s="1"/>
  <c r="BB88" i="6" s="1"/>
  <c r="BD88" i="6" s="1"/>
  <c r="R11" i="8" s="1"/>
  <c r="BB75" i="6"/>
  <c r="BB73" i="6" s="1"/>
  <c r="BD73" i="6" s="1"/>
  <c r="R10" i="8" s="1"/>
  <c r="AS9" i="6" l="1"/>
  <c r="AO64" i="7"/>
  <c r="AP64" i="7" s="1"/>
  <c r="AO66" i="7"/>
  <c r="AP66" i="7" s="1"/>
  <c r="AS10" i="6"/>
  <c r="AO74" i="7"/>
  <c r="AP74" i="7" s="1"/>
  <c r="AO78" i="7"/>
  <c r="AP78" i="7" s="1"/>
  <c r="AO76" i="7"/>
  <c r="AP76" i="7" s="1"/>
  <c r="AO88" i="7"/>
  <c r="AP88" i="7" s="1"/>
  <c r="AS126" i="6"/>
  <c r="AS125" i="6" s="1"/>
  <c r="AT125" i="6" s="1"/>
  <c r="AS14" i="6"/>
  <c r="AS32" i="6" s="1"/>
  <c r="AS48" i="6"/>
  <c r="AS136" i="6"/>
  <c r="AT136" i="6" s="1"/>
  <c r="AS22" i="6"/>
  <c r="AT22" i="6" s="1"/>
  <c r="AO75" i="7"/>
  <c r="AP75" i="7" s="1"/>
  <c r="AO71" i="7"/>
  <c r="AP71" i="7" s="1"/>
  <c r="AO73" i="7"/>
  <c r="AP73" i="7" s="1"/>
  <c r="AS92" i="6"/>
  <c r="AS27" i="6"/>
  <c r="AT27" i="6" s="1"/>
  <c r="AO72" i="7"/>
  <c r="AP72" i="7" s="1"/>
  <c r="AS91" i="6"/>
  <c r="AT91" i="6" s="1"/>
  <c r="AO68" i="7"/>
  <c r="AP68" i="7" s="1"/>
  <c r="AS24" i="6"/>
  <c r="AT24" i="6" s="1"/>
  <c r="AS50" i="6"/>
  <c r="AS11" i="6"/>
  <c r="AT11" i="6" s="1"/>
  <c r="AO70" i="7"/>
  <c r="AP70" i="7" s="1"/>
  <c r="AO86" i="7"/>
  <c r="AP86" i="7" s="1"/>
  <c r="AS36" i="6"/>
  <c r="AS8" i="6"/>
  <c r="AS120" i="6" l="1"/>
  <c r="AT120" i="6" s="1"/>
  <c r="AS80" i="6"/>
  <c r="AT80" i="6" s="1"/>
  <c r="AT50" i="6"/>
  <c r="AS19" i="6"/>
  <c r="AT8" i="6"/>
  <c r="AS65" i="6"/>
  <c r="AT36" i="6"/>
  <c r="AS118" i="6"/>
  <c r="AT118" i="6" s="1"/>
  <c r="AT92" i="6"/>
  <c r="AS76" i="6"/>
  <c r="AT48" i="6"/>
  <c r="AS99" i="6"/>
  <c r="AS100" i="6" s="1"/>
  <c r="AT32" i="6"/>
  <c r="AS67" i="6"/>
  <c r="AT67" i="6" s="1"/>
  <c r="AS23" i="6"/>
  <c r="AT10" i="6"/>
  <c r="AS62" i="6"/>
  <c r="AT62" i="6" s="1"/>
  <c r="AS21" i="6"/>
  <c r="AT21" i="6" s="1"/>
  <c r="AS61" i="6"/>
  <c r="AT61" i="6" s="1"/>
  <c r="AS20" i="6"/>
  <c r="AT9" i="6"/>
  <c r="AS115" i="6" l="1"/>
  <c r="AT115" i="6" s="1"/>
  <c r="AT23" i="6"/>
  <c r="AO65" i="7"/>
  <c r="AP65" i="7" s="1"/>
  <c r="AS93" i="6"/>
  <c r="AT93" i="6" s="1"/>
  <c r="AT76" i="6"/>
  <c r="AS121" i="6"/>
  <c r="AT121" i="6" s="1"/>
  <c r="AT65" i="6"/>
  <c r="AS109" i="6"/>
  <c r="AT109" i="6" s="1"/>
  <c r="AO79" i="7"/>
  <c r="AP79" i="7" s="1"/>
  <c r="AO67" i="7"/>
  <c r="AP67" i="7" s="1"/>
  <c r="AT19" i="6"/>
  <c r="AS46" i="6"/>
  <c r="AS60" i="6"/>
  <c r="AT20" i="6"/>
  <c r="AS47" i="6"/>
  <c r="AT47" i="6" s="1"/>
  <c r="AS119" i="6" l="1"/>
  <c r="AT119" i="6" s="1"/>
  <c r="AS75" i="6"/>
  <c r="AT60" i="6"/>
  <c r="AS89" i="6"/>
  <c r="AT46" i="6"/>
  <c r="AS74" i="6"/>
  <c r="AT74" i="6" s="1"/>
  <c r="AT89" i="6" l="1"/>
  <c r="AS114" i="6"/>
  <c r="AT114" i="6" s="1"/>
  <c r="AS90" i="6"/>
  <c r="AT90" i="6" s="1"/>
  <c r="AT75" i="6"/>
  <c r="AK48" i="6" l="1"/>
  <c r="AO81" i="7" l="1"/>
  <c r="AP81" i="7" s="1"/>
  <c r="AK76" i="6"/>
  <c r="AL48" i="6"/>
  <c r="AG65" i="7" l="1"/>
  <c r="AH65" i="7" s="1"/>
  <c r="AL76" i="6"/>
  <c r="AK93" i="6"/>
  <c r="AL93" i="6" s="1"/>
  <c r="AS55" i="6" l="1"/>
  <c r="AO82" i="7"/>
  <c r="AP82" i="7" s="1"/>
  <c r="AP62" i="7" s="1"/>
  <c r="AR62" i="7" s="1"/>
  <c r="P20" i="8" s="1"/>
  <c r="AS12" i="6"/>
  <c r="AS52" i="6"/>
  <c r="AS78" i="6" l="1"/>
  <c r="AT52" i="6"/>
  <c r="AT12" i="6"/>
  <c r="AT7" i="6" s="1"/>
  <c r="AV7" i="6" s="1"/>
  <c r="P6" i="8" s="1"/>
  <c r="AS25" i="6"/>
  <c r="AS63" i="6"/>
  <c r="AT63" i="6" s="1"/>
  <c r="AT59" i="6" s="1"/>
  <c r="AV59" i="6" s="1"/>
  <c r="P9" i="8" s="1"/>
  <c r="AS84" i="6"/>
  <c r="AT84" i="6" s="1"/>
  <c r="AT55" i="6"/>
  <c r="AT25" i="6" l="1"/>
  <c r="AT18" i="6" s="1"/>
  <c r="AV18" i="6" s="1"/>
  <c r="P7" i="8" s="1"/>
  <c r="AS116" i="6"/>
  <c r="AT116" i="6" s="1"/>
  <c r="AT113" i="6" s="1"/>
  <c r="AV113" i="6" s="1"/>
  <c r="P12" i="8" s="1"/>
  <c r="AT45" i="6"/>
  <c r="AV45" i="6" s="1"/>
  <c r="P8" i="8" s="1"/>
  <c r="AT78" i="6"/>
  <c r="AT73" i="6" s="1"/>
  <c r="AV73" i="6" s="1"/>
  <c r="P10" i="8" s="1"/>
  <c r="AS95" i="6"/>
  <c r="AT95" i="6" s="1"/>
  <c r="AT88" i="6" s="1"/>
  <c r="AV88" i="6" s="1"/>
  <c r="P11" i="8" s="1"/>
  <c r="AG82" i="7" l="1"/>
  <c r="AH82" i="7" s="1"/>
  <c r="AH62" i="7" s="1"/>
  <c r="AJ62" i="7" s="1"/>
  <c r="N20" i="8" s="1"/>
  <c r="AK12" i="6"/>
  <c r="AK55" i="6"/>
  <c r="AK52" i="6"/>
  <c r="AK84" i="6" l="1"/>
  <c r="AL84" i="6" s="1"/>
  <c r="AL55" i="6"/>
  <c r="AK25" i="6"/>
  <c r="AK63" i="6"/>
  <c r="AL63" i="6" s="1"/>
  <c r="AL59" i="6" s="1"/>
  <c r="AN59" i="6" s="1"/>
  <c r="N9" i="8" s="1"/>
  <c r="AL12" i="6"/>
  <c r="AL7" i="6" s="1"/>
  <c r="AN7" i="6" s="1"/>
  <c r="N6" i="8" s="1"/>
  <c r="AL52" i="6"/>
  <c r="AL45" i="6" s="1"/>
  <c r="AN45" i="6" s="1"/>
  <c r="N8" i="8" s="1"/>
  <c r="AK78" i="6"/>
  <c r="AL25" i="6" l="1"/>
  <c r="AL18" i="6" s="1"/>
  <c r="AN18" i="6" s="1"/>
  <c r="N7" i="8" s="1"/>
  <c r="AK116" i="6"/>
  <c r="AL116" i="6" s="1"/>
  <c r="AL113" i="6" s="1"/>
  <c r="AN113" i="6" s="1"/>
  <c r="N12" i="8" s="1"/>
  <c r="AK95" i="6"/>
  <c r="AL95" i="6" s="1"/>
  <c r="AL88" i="6" s="1"/>
  <c r="AN88" i="6" s="1"/>
  <c r="N11" i="8" s="1"/>
  <c r="AL78" i="6"/>
  <c r="AL73" i="6" s="1"/>
  <c r="AN73" i="6" s="1"/>
  <c r="N10" i="8" s="1"/>
  <c r="BD23" i="7" l="1"/>
  <c r="BD42" i="7"/>
  <c r="BJ42" i="7" s="1"/>
  <c r="BD76" i="7"/>
  <c r="BJ76" i="7" s="1"/>
  <c r="BD72" i="7"/>
  <c r="BJ72" i="7" s="1"/>
  <c r="BD74" i="7"/>
  <c r="BJ74" i="7" s="1"/>
  <c r="BB70" i="7"/>
  <c r="BB59" i="7"/>
  <c r="BB74" i="7"/>
  <c r="BB71" i="7"/>
  <c r="BD59" i="7"/>
  <c r="BC78" i="7"/>
  <c r="BI78" i="7" s="1"/>
  <c r="BE70" i="7"/>
  <c r="BK70" i="7" s="1"/>
  <c r="BC76" i="7"/>
  <c r="BI76" i="7" s="1"/>
  <c r="BE74" i="7"/>
  <c r="BK74" i="7" s="1"/>
  <c r="BC73" i="7"/>
  <c r="BI73" i="7" s="1"/>
  <c r="BC72" i="7"/>
  <c r="BI72" i="7" s="1"/>
  <c r="BE71" i="7"/>
  <c r="BK71" i="7" s="1"/>
  <c r="BC88" i="7"/>
  <c r="BI88" i="7" s="1"/>
  <c r="BB42" i="7"/>
  <c r="BB76" i="7"/>
  <c r="BB72" i="7"/>
  <c r="BE78" i="7"/>
  <c r="BK78" i="7" s="1"/>
  <c r="BC70" i="7"/>
  <c r="BI70" i="7" s="1"/>
  <c r="BE76" i="7"/>
  <c r="BK76" i="7" s="1"/>
  <c r="BC74" i="7"/>
  <c r="BI74" i="7" s="1"/>
  <c r="BE73" i="7"/>
  <c r="BK73" i="7" s="1"/>
  <c r="BE72" i="7"/>
  <c r="BK72" i="7" s="1"/>
  <c r="BC71" i="7"/>
  <c r="BI71" i="7" s="1"/>
  <c r="BB50" i="7"/>
  <c r="BB96" i="7" s="1"/>
  <c r="BB78" i="7"/>
  <c r="BB73" i="7"/>
  <c r="BC42" i="7"/>
  <c r="BI42" i="7" s="1"/>
  <c r="BE59" i="7"/>
  <c r="BD78" i="7"/>
  <c r="BJ78" i="7" s="1"/>
  <c r="BD73" i="7"/>
  <c r="BJ73" i="7" s="1"/>
  <c r="BE42" i="7"/>
  <c r="BK42" i="7" s="1"/>
  <c r="BC59" i="7"/>
  <c r="BD70" i="7"/>
  <c r="BJ70" i="7" s="1"/>
  <c r="BD71" i="7"/>
  <c r="BJ71" i="7" s="1"/>
  <c r="BH42" i="7" l="1"/>
  <c r="BF42" i="7"/>
  <c r="BG42" i="7" s="1"/>
  <c r="BB10" i="7"/>
  <c r="BH10" i="7" s="1"/>
  <c r="BC55" i="7"/>
  <c r="BC97" i="7" s="1"/>
  <c r="BI97" i="7" s="1"/>
  <c r="BD24" i="7"/>
  <c r="BJ24" i="7" s="1"/>
  <c r="BD116" i="7"/>
  <c r="BJ116" i="7" s="1"/>
  <c r="BE116" i="7"/>
  <c r="BK116" i="7" s="1"/>
  <c r="BE24" i="7"/>
  <c r="BK24" i="7" s="1"/>
  <c r="BC24" i="7"/>
  <c r="BI24" i="7" s="1"/>
  <c r="BC116" i="7"/>
  <c r="BI116" i="7" s="1"/>
  <c r="BB24" i="7"/>
  <c r="BB116" i="7"/>
  <c r="BD55" i="7"/>
  <c r="BJ55" i="7" s="1"/>
  <c r="BC14" i="7"/>
  <c r="BE55" i="7"/>
  <c r="BK55" i="7" s="1"/>
  <c r="BE14" i="7"/>
  <c r="BB55" i="7"/>
  <c r="BH55" i="7" s="1"/>
  <c r="BB14" i="7"/>
  <c r="BD14" i="7"/>
  <c r="F19" i="6"/>
  <c r="BE82" i="7"/>
  <c r="BK82" i="7" s="1"/>
  <c r="BD10" i="7"/>
  <c r="BJ10" i="7" s="1"/>
  <c r="BD11" i="7"/>
  <c r="BD31" i="7" s="1"/>
  <c r="BJ31" i="7" s="1"/>
  <c r="BC48" i="7"/>
  <c r="BI48" i="7" s="1"/>
  <c r="BB48" i="7"/>
  <c r="BH48" i="7" s="1"/>
  <c r="BE48" i="7"/>
  <c r="BE95" i="7" s="1"/>
  <c r="BK95" i="7" s="1"/>
  <c r="BD98" i="7"/>
  <c r="BJ98" i="7" s="1"/>
  <c r="BD40" i="7"/>
  <c r="BJ40" i="7" s="1"/>
  <c r="BJ59" i="7"/>
  <c r="BC68" i="7"/>
  <c r="BI68" i="7" s="1"/>
  <c r="BD50" i="7"/>
  <c r="BE50" i="7"/>
  <c r="BK50" i="7" s="1"/>
  <c r="BC50" i="7"/>
  <c r="BC96" i="7" s="1"/>
  <c r="BB18" i="7"/>
  <c r="BB43" i="7"/>
  <c r="BB107" i="7"/>
  <c r="BD22" i="7"/>
  <c r="K11" i="6"/>
  <c r="BC80" i="7"/>
  <c r="BI80" i="7" s="1"/>
  <c r="BE10" i="7"/>
  <c r="BK10" i="7" s="1"/>
  <c r="BB66" i="7"/>
  <c r="BC92" i="7"/>
  <c r="BC93" i="7"/>
  <c r="BC89" i="7"/>
  <c r="BI89" i="7" s="1"/>
  <c r="BC90" i="7"/>
  <c r="BI90" i="7" s="1"/>
  <c r="BB58" i="7"/>
  <c r="BB99" i="7"/>
  <c r="BF72" i="7"/>
  <c r="BH72" i="7"/>
  <c r="BE64" i="7"/>
  <c r="BK64" i="7" s="1"/>
  <c r="BC9" i="7"/>
  <c r="BC25" i="7"/>
  <c r="BI25" i="7" s="1"/>
  <c r="BC102" i="7"/>
  <c r="BI102" i="7" s="1"/>
  <c r="BD75" i="7"/>
  <c r="BJ75" i="7" s="1"/>
  <c r="BH78" i="7"/>
  <c r="BF78" i="7"/>
  <c r="BB87" i="7"/>
  <c r="BF71" i="7"/>
  <c r="BH71" i="7"/>
  <c r="BD86" i="7"/>
  <c r="BJ86" i="7" s="1"/>
  <c r="BC75" i="7"/>
  <c r="BI75" i="7" s="1"/>
  <c r="BC66" i="7"/>
  <c r="BI66" i="7" s="1"/>
  <c r="BE87" i="7"/>
  <c r="BK87" i="7" s="1"/>
  <c r="BE9" i="7"/>
  <c r="BC51" i="7"/>
  <c r="BI51" i="7" s="1"/>
  <c r="BC13" i="7"/>
  <c r="BI13" i="7" s="1"/>
  <c r="BC10" i="7"/>
  <c r="BC103" i="7"/>
  <c r="BI103" i="7" s="1"/>
  <c r="BC105" i="7"/>
  <c r="BI105" i="7" s="1"/>
  <c r="BC17" i="7"/>
  <c r="BE53" i="7"/>
  <c r="BK53" i="7" s="1"/>
  <c r="BE20" i="7"/>
  <c r="BK20" i="7" s="1"/>
  <c r="BE38" i="7"/>
  <c r="BK38" i="7" s="1"/>
  <c r="BE100" i="7"/>
  <c r="BK100" i="7" s="1"/>
  <c r="BE16" i="7"/>
  <c r="BK16" i="7" s="1"/>
  <c r="BF74" i="7"/>
  <c r="BH74" i="7"/>
  <c r="BD81" i="7"/>
  <c r="BJ81" i="7" s="1"/>
  <c r="BD87" i="7"/>
  <c r="BJ87" i="7" s="1"/>
  <c r="BD12" i="7"/>
  <c r="BE23" i="7"/>
  <c r="BE66" i="7"/>
  <c r="BK66" i="7" s="1"/>
  <c r="BC81" i="7"/>
  <c r="BI81" i="7" s="1"/>
  <c r="BE11" i="7"/>
  <c r="BE13" i="7"/>
  <c r="BK13" i="7" s="1"/>
  <c r="BE51" i="7"/>
  <c r="BK51" i="7" s="1"/>
  <c r="BE99" i="7"/>
  <c r="BK99" i="7" s="1"/>
  <c r="BE58" i="7"/>
  <c r="BK58" i="7" s="1"/>
  <c r="BH70" i="7"/>
  <c r="BF70" i="7"/>
  <c r="BB88" i="7"/>
  <c r="BB81" i="7"/>
  <c r="BB12" i="7"/>
  <c r="BH50" i="7"/>
  <c r="BC43" i="7"/>
  <c r="BI43" i="7" s="1"/>
  <c r="BC107" i="7"/>
  <c r="BI107" i="7" s="1"/>
  <c r="BC18" i="7"/>
  <c r="BI18" i="7" s="1"/>
  <c r="BE19" i="7"/>
  <c r="BK19" i="7" s="1"/>
  <c r="BE44" i="7"/>
  <c r="BK44" i="7" s="1"/>
  <c r="BE108" i="7"/>
  <c r="BK108" i="7" s="1"/>
  <c r="BB64" i="7"/>
  <c r="BB23" i="7"/>
  <c r="BF76" i="7"/>
  <c r="BH76" i="7"/>
  <c r="BE75" i="7"/>
  <c r="BK75" i="7" s="1"/>
  <c r="BE92" i="7"/>
  <c r="BE93" i="7"/>
  <c r="BK93" i="7" s="1"/>
  <c r="BE89" i="7"/>
  <c r="BK89" i="7" s="1"/>
  <c r="BE90" i="7"/>
  <c r="BK90" i="7" s="1"/>
  <c r="BC22" i="7"/>
  <c r="BC110" i="7" s="1"/>
  <c r="BE105" i="7"/>
  <c r="BK105" i="7" s="1"/>
  <c r="BE17" i="7"/>
  <c r="BE18" i="7"/>
  <c r="BK18" i="7" s="1"/>
  <c r="BE43" i="7"/>
  <c r="BK43" i="7" s="1"/>
  <c r="BE107" i="7"/>
  <c r="BK107" i="7" s="1"/>
  <c r="BB75" i="7"/>
  <c r="BB92" i="7"/>
  <c r="BB93" i="7"/>
  <c r="BB89" i="7"/>
  <c r="BB90" i="7"/>
  <c r="BB17" i="7"/>
  <c r="BB105" i="7"/>
  <c r="BC82" i="7"/>
  <c r="BI82" i="7" s="1"/>
  <c r="BC8" i="7"/>
  <c r="BC11" i="7"/>
  <c r="BB83" i="7"/>
  <c r="BF59" i="7"/>
  <c r="BH59" i="7"/>
  <c r="BB40" i="7"/>
  <c r="BB98" i="7"/>
  <c r="BD25" i="7"/>
  <c r="BJ25" i="7" s="1"/>
  <c r="BD102" i="7"/>
  <c r="BJ102" i="7" s="1"/>
  <c r="BD20" i="7"/>
  <c r="BJ20" i="7" s="1"/>
  <c r="BD100" i="7"/>
  <c r="BJ100" i="7" s="1"/>
  <c r="BD16" i="7"/>
  <c r="BJ16" i="7" s="1"/>
  <c r="BD53" i="7"/>
  <c r="BJ53" i="7" s="1"/>
  <c r="BD38" i="7"/>
  <c r="BJ38" i="7" s="1"/>
  <c r="BB86" i="7"/>
  <c r="BB19" i="7"/>
  <c r="BB44" i="7"/>
  <c r="BB108" i="7"/>
  <c r="BE83" i="7"/>
  <c r="BK83" i="7" s="1"/>
  <c r="BC86" i="7"/>
  <c r="BC12" i="7"/>
  <c r="BC38" i="7"/>
  <c r="BI38" i="7" s="1"/>
  <c r="BC100" i="7"/>
  <c r="BI100" i="7" s="1"/>
  <c r="BC53" i="7"/>
  <c r="BI53" i="7" s="1"/>
  <c r="BC20" i="7"/>
  <c r="BI20" i="7" s="1"/>
  <c r="BC16" i="7"/>
  <c r="BI16" i="7" s="1"/>
  <c r="BB82" i="7"/>
  <c r="BB11" i="7"/>
  <c r="BC87" i="7"/>
  <c r="BI87" i="7" s="1"/>
  <c r="BC83" i="7"/>
  <c r="BI83" i="7" s="1"/>
  <c r="BE84" i="7"/>
  <c r="BK84" i="7" s="1"/>
  <c r="BE12" i="7"/>
  <c r="BE25" i="7"/>
  <c r="BK25" i="7" s="1"/>
  <c r="BE102" i="7"/>
  <c r="BK102" i="7" s="1"/>
  <c r="BE22" i="7"/>
  <c r="BD9" i="7"/>
  <c r="BB80" i="7"/>
  <c r="BB9" i="7"/>
  <c r="BB25" i="7"/>
  <c r="BB102" i="7"/>
  <c r="BB16" i="7"/>
  <c r="BB100" i="7"/>
  <c r="BB20" i="7"/>
  <c r="BB38" i="7"/>
  <c r="BB53" i="7"/>
  <c r="BD82" i="7"/>
  <c r="BJ82" i="7" s="1"/>
  <c r="BD66" i="7"/>
  <c r="BJ66" i="7" s="1"/>
  <c r="BJ89" i="7"/>
  <c r="BD93" i="7"/>
  <c r="BJ93" i="7" s="1"/>
  <c r="BJ90" i="7"/>
  <c r="BD105" i="7"/>
  <c r="BJ105" i="7" s="1"/>
  <c r="BD17" i="7"/>
  <c r="BB8" i="7"/>
  <c r="BD88" i="7"/>
  <c r="BJ88" i="7" s="1"/>
  <c r="BD80" i="7"/>
  <c r="BJ80" i="7" s="1"/>
  <c r="BB68" i="7"/>
  <c r="BB84" i="7"/>
  <c r="BB22" i="7"/>
  <c r="BE37" i="7"/>
  <c r="BK37" i="7" s="1"/>
  <c r="BE15" i="7"/>
  <c r="BE88" i="7"/>
  <c r="BK88" i="7" s="1"/>
  <c r="BE86" i="7"/>
  <c r="BK86" i="7" s="1"/>
  <c r="BD64" i="7"/>
  <c r="BJ64" i="7" s="1"/>
  <c r="BD83" i="7"/>
  <c r="BJ83" i="7" s="1"/>
  <c r="BD8" i="7"/>
  <c r="BD13" i="7"/>
  <c r="BJ13" i="7" s="1"/>
  <c r="BD51" i="7"/>
  <c r="BJ51" i="7" s="1"/>
  <c r="BD48" i="7"/>
  <c r="BD103" i="7"/>
  <c r="BJ103" i="7" s="1"/>
  <c r="BD99" i="7"/>
  <c r="BJ99" i="7" s="1"/>
  <c r="BD58" i="7"/>
  <c r="BJ58" i="7" s="1"/>
  <c r="BD15" i="7"/>
  <c r="BD37" i="7"/>
  <c r="BJ37" i="7" s="1"/>
  <c r="BD18" i="7"/>
  <c r="BJ18" i="7" s="1"/>
  <c r="BD43" i="7"/>
  <c r="BJ43" i="7" s="1"/>
  <c r="BD107" i="7"/>
  <c r="BJ107" i="7" s="1"/>
  <c r="BC98" i="7"/>
  <c r="BC40" i="7"/>
  <c r="BI59" i="7"/>
  <c r="BC23" i="7"/>
  <c r="BF73" i="7"/>
  <c r="BH73" i="7"/>
  <c r="BB51" i="7"/>
  <c r="BB13" i="7"/>
  <c r="BB103" i="7"/>
  <c r="BD68" i="7"/>
  <c r="BJ68" i="7" s="1"/>
  <c r="BE8" i="7"/>
  <c r="BE103" i="7"/>
  <c r="BK103" i="7" s="1"/>
  <c r="BC44" i="7"/>
  <c r="BI44" i="7" s="1"/>
  <c r="BC19" i="7"/>
  <c r="BI19" i="7" s="1"/>
  <c r="BC108" i="7"/>
  <c r="BI108" i="7" s="1"/>
  <c r="BC64" i="7"/>
  <c r="BI64" i="7" s="1"/>
  <c r="BE68" i="7"/>
  <c r="BK68" i="7" s="1"/>
  <c r="BE80" i="7"/>
  <c r="BK80" i="7" s="1"/>
  <c r="BE81" i="7"/>
  <c r="BK81" i="7" s="1"/>
  <c r="BC99" i="7"/>
  <c r="BI99" i="7" s="1"/>
  <c r="BC58" i="7"/>
  <c r="BI58" i="7" s="1"/>
  <c r="BC37" i="7"/>
  <c r="BI37" i="7" s="1"/>
  <c r="BC15" i="7"/>
  <c r="BB15" i="7"/>
  <c r="BB37" i="7"/>
  <c r="BD84" i="7"/>
  <c r="BJ84" i="7" s="1"/>
  <c r="BD19" i="7"/>
  <c r="BJ19" i="7" s="1"/>
  <c r="BD108" i="7"/>
  <c r="BJ108" i="7" s="1"/>
  <c r="BD44" i="7"/>
  <c r="BJ44" i="7" s="1"/>
  <c r="BE40" i="7"/>
  <c r="BK40" i="7" s="1"/>
  <c r="BK59" i="7"/>
  <c r="BE98" i="7"/>
  <c r="BK98" i="7" s="1"/>
  <c r="BC84" i="7"/>
  <c r="BI84" i="7" s="1"/>
  <c r="BD41" i="7"/>
  <c r="BJ23" i="7"/>
  <c r="BJ50" i="7" l="1"/>
  <c r="BD96" i="7"/>
  <c r="BI55" i="7"/>
  <c r="BD97" i="7"/>
  <c r="BJ97" i="7" s="1"/>
  <c r="F144" i="6"/>
  <c r="G144" i="6" s="1"/>
  <c r="BB97" i="7"/>
  <c r="BH97" i="7" s="1"/>
  <c r="BE97" i="7"/>
  <c r="BK97" i="7" s="1"/>
  <c r="BH24" i="7"/>
  <c r="BF24" i="7"/>
  <c r="BG24" i="7" s="1"/>
  <c r="BH116" i="7"/>
  <c r="BF116" i="7"/>
  <c r="BG116" i="7" s="1"/>
  <c r="BF55" i="7"/>
  <c r="BG55" i="7" s="1"/>
  <c r="BI98" i="7"/>
  <c r="BI10" i="7"/>
  <c r="BI86" i="7"/>
  <c r="BI93" i="7"/>
  <c r="BI40" i="7"/>
  <c r="K8" i="6"/>
  <c r="F20" i="6"/>
  <c r="BJ11" i="7"/>
  <c r="BC49" i="7"/>
  <c r="BI49" i="7" s="1"/>
  <c r="BB49" i="7"/>
  <c r="BH49" i="7" s="1"/>
  <c r="BC95" i="7"/>
  <c r="BI95" i="7" s="1"/>
  <c r="BC104" i="7"/>
  <c r="BE49" i="7"/>
  <c r="BK49" i="7" s="1"/>
  <c r="BB95" i="7"/>
  <c r="BH95" i="7" s="1"/>
  <c r="BF50" i="7"/>
  <c r="BG50" i="7" s="1"/>
  <c r="BK48" i="7"/>
  <c r="BF48" i="7"/>
  <c r="BG48" i="7" s="1"/>
  <c r="BI50" i="7"/>
  <c r="G145" i="6"/>
  <c r="I145" i="6" s="1"/>
  <c r="BF10" i="7"/>
  <c r="BG10" i="7" s="1"/>
  <c r="S20" i="7"/>
  <c r="S9" i="7"/>
  <c r="M9" i="7"/>
  <c r="BG72" i="7"/>
  <c r="BD104" i="7"/>
  <c r="BJ104" i="7" s="1"/>
  <c r="BG59" i="7"/>
  <c r="BH37" i="7"/>
  <c r="BF37" i="7"/>
  <c r="BG37" i="7" s="1"/>
  <c r="S83" i="7"/>
  <c r="BC52" i="7"/>
  <c r="BI52" i="7" s="1"/>
  <c r="BI15" i="7"/>
  <c r="S105" i="7"/>
  <c r="S90" i="7"/>
  <c r="P9" i="6"/>
  <c r="J20" i="6"/>
  <c r="K9" i="6"/>
  <c r="BD52" i="7"/>
  <c r="BJ52" i="7" s="1"/>
  <c r="BJ15" i="7"/>
  <c r="BK15" i="7"/>
  <c r="BE52" i="7"/>
  <c r="BK52" i="7" s="1"/>
  <c r="BF84" i="7"/>
  <c r="BG84" i="7" s="1"/>
  <c r="BH84" i="7"/>
  <c r="S107" i="7"/>
  <c r="P126" i="6"/>
  <c r="BF20" i="7"/>
  <c r="BG20" i="7" s="1"/>
  <c r="BH20" i="7"/>
  <c r="BF9" i="7"/>
  <c r="BG9" i="7" s="1"/>
  <c r="BB39" i="7"/>
  <c r="BH9" i="7"/>
  <c r="BB33" i="7"/>
  <c r="BB26" i="7"/>
  <c r="BB30" i="7"/>
  <c r="BB31" i="7"/>
  <c r="BF11" i="7"/>
  <c r="BG11" i="7" s="1"/>
  <c r="BH11" i="7"/>
  <c r="BH108" i="7"/>
  <c r="BF108" i="7"/>
  <c r="BG108" i="7" s="1"/>
  <c r="P48" i="6"/>
  <c r="BF93" i="7"/>
  <c r="BG93" i="7" s="1"/>
  <c r="BH93" i="7"/>
  <c r="BE91" i="7"/>
  <c r="BK91" i="7" s="1"/>
  <c r="BK92" i="7"/>
  <c r="S103" i="7"/>
  <c r="BF64" i="7"/>
  <c r="BG64" i="7" s="1"/>
  <c r="BH64" i="7"/>
  <c r="BH81" i="7"/>
  <c r="BF81" i="7"/>
  <c r="BG81" i="7" s="1"/>
  <c r="BG78" i="7"/>
  <c r="BK11" i="7"/>
  <c r="BE31" i="7"/>
  <c r="BK31" i="7" s="1"/>
  <c r="BD34" i="7"/>
  <c r="BJ34" i="7" s="1"/>
  <c r="BD32" i="7"/>
  <c r="BJ32" i="7" s="1"/>
  <c r="BJ12" i="7"/>
  <c r="BC106" i="7"/>
  <c r="BI106" i="7" s="1"/>
  <c r="BI17" i="7"/>
  <c r="BC36" i="7"/>
  <c r="BI36" i="7" s="1"/>
  <c r="P123" i="6"/>
  <c r="BG74" i="7"/>
  <c r="BF18" i="7"/>
  <c r="BG18" i="7" s="1"/>
  <c r="BH18" i="7"/>
  <c r="M8" i="7"/>
  <c r="S8" i="7"/>
  <c r="BD56" i="7"/>
  <c r="BJ41" i="7"/>
  <c r="S38" i="7"/>
  <c r="S80" i="7"/>
  <c r="S93" i="7"/>
  <c r="BG76" i="7"/>
  <c r="BC65" i="7"/>
  <c r="BI65" i="7" s="1"/>
  <c r="BF68" i="7"/>
  <c r="BG68" i="7" s="1"/>
  <c r="BH68" i="7"/>
  <c r="S43" i="7"/>
  <c r="BE110" i="7"/>
  <c r="BK110" i="7" s="1"/>
  <c r="BK22" i="7"/>
  <c r="P66" i="6"/>
  <c r="BH82" i="7"/>
  <c r="BF82" i="7"/>
  <c r="BG82" i="7" s="1"/>
  <c r="BC21" i="7"/>
  <c r="BI21" i="7" s="1"/>
  <c r="BC29" i="7"/>
  <c r="BI8" i="7"/>
  <c r="BC94" i="7"/>
  <c r="BI94" i="7" s="1"/>
  <c r="BF90" i="7"/>
  <c r="BG90" i="7" s="1"/>
  <c r="BH90" i="7"/>
  <c r="BF92" i="7"/>
  <c r="BG92" i="7" s="1"/>
  <c r="BH92" i="7"/>
  <c r="BB91" i="7"/>
  <c r="BE106" i="7"/>
  <c r="BK106" i="7" s="1"/>
  <c r="BE36" i="7"/>
  <c r="BK36" i="7" s="1"/>
  <c r="BK17" i="7"/>
  <c r="S87" i="7"/>
  <c r="P55" i="6"/>
  <c r="BC60" i="7"/>
  <c r="BC35" i="7"/>
  <c r="BI35" i="7" s="1"/>
  <c r="BI14" i="7"/>
  <c r="P31" i="6"/>
  <c r="BI92" i="7"/>
  <c r="BC91" i="7"/>
  <c r="BI91" i="7" s="1"/>
  <c r="BH66" i="7"/>
  <c r="BF66" i="7"/>
  <c r="BG66" i="7" s="1"/>
  <c r="P103" i="6"/>
  <c r="S102" i="7"/>
  <c r="P102" i="6"/>
  <c r="P26" i="6"/>
  <c r="J140" i="6"/>
  <c r="P106" i="6"/>
  <c r="P104" i="6"/>
  <c r="S92" i="7"/>
  <c r="BH103" i="7"/>
  <c r="BF103" i="7"/>
  <c r="BG103" i="7" s="1"/>
  <c r="S64" i="7"/>
  <c r="P49" i="6"/>
  <c r="P127" i="6"/>
  <c r="P27" i="6"/>
  <c r="BC41" i="7"/>
  <c r="BI23" i="7"/>
  <c r="P10" i="6"/>
  <c r="K10" i="6"/>
  <c r="P8" i="6"/>
  <c r="J19" i="6"/>
  <c r="S18" i="7"/>
  <c r="S88" i="7"/>
  <c r="BD85" i="7"/>
  <c r="BJ85" i="7" s="1"/>
  <c r="BE85" i="7"/>
  <c r="BK85" i="7" s="1"/>
  <c r="BF53" i="7"/>
  <c r="BG53" i="7" s="1"/>
  <c r="BH53" i="7"/>
  <c r="BF16" i="7"/>
  <c r="BG16" i="7" s="1"/>
  <c r="BH16" i="7"/>
  <c r="BF25" i="7"/>
  <c r="BG25" i="7" s="1"/>
  <c r="BH25" i="7"/>
  <c r="BH80" i="7"/>
  <c r="BF80" i="7"/>
  <c r="BG80" i="7" s="1"/>
  <c r="BE34" i="7"/>
  <c r="BK34" i="7" s="1"/>
  <c r="BE32" i="7"/>
  <c r="BK32" i="7" s="1"/>
  <c r="BK12" i="7"/>
  <c r="S84" i="7"/>
  <c r="S10" i="7"/>
  <c r="P28" i="6"/>
  <c r="BH19" i="7"/>
  <c r="BF19" i="7"/>
  <c r="BG19" i="7" s="1"/>
  <c r="BH105" i="7"/>
  <c r="BF105" i="7"/>
  <c r="BG105" i="7" s="1"/>
  <c r="BB41" i="7"/>
  <c r="BF23" i="7"/>
  <c r="BG23" i="7" s="1"/>
  <c r="BH23" i="7"/>
  <c r="P151" i="6"/>
  <c r="S14" i="7"/>
  <c r="Q51" i="7"/>
  <c r="S51" i="7"/>
  <c r="S82" i="7"/>
  <c r="S58" i="7"/>
  <c r="F140" i="6"/>
  <c r="G140" i="6" s="1"/>
  <c r="P79" i="6"/>
  <c r="S50" i="7"/>
  <c r="BF99" i="7"/>
  <c r="BG99" i="7" s="1"/>
  <c r="BH99" i="7"/>
  <c r="BB85" i="7"/>
  <c r="P91" i="6"/>
  <c r="BF107" i="7"/>
  <c r="BG107" i="7" s="1"/>
  <c r="BH107" i="7"/>
  <c r="P147" i="6"/>
  <c r="BG71" i="7"/>
  <c r="S53" i="7"/>
  <c r="G19" i="6"/>
  <c r="BK14" i="7"/>
  <c r="BE35" i="7"/>
  <c r="BK35" i="7" s="1"/>
  <c r="BE60" i="7"/>
  <c r="BF51" i="7"/>
  <c r="BG51" i="7" s="1"/>
  <c r="BH51" i="7"/>
  <c r="BD65" i="7"/>
  <c r="BJ65" i="7" s="1"/>
  <c r="S19" i="7"/>
  <c r="P35" i="6"/>
  <c r="BD106" i="7"/>
  <c r="BJ106" i="7" s="1"/>
  <c r="BJ17" i="7"/>
  <c r="BD36" i="7"/>
  <c r="BJ36" i="7" s="1"/>
  <c r="BJ91" i="7"/>
  <c r="BJ92" i="7"/>
  <c r="P38" i="6"/>
  <c r="BG73" i="7"/>
  <c r="BF40" i="7"/>
  <c r="BH40" i="7"/>
  <c r="S37" i="7"/>
  <c r="BH83" i="7"/>
  <c r="BF83" i="7"/>
  <c r="BG83" i="7" s="1"/>
  <c r="S13" i="7"/>
  <c r="BF87" i="7"/>
  <c r="BG87" i="7" s="1"/>
  <c r="BH87" i="7"/>
  <c r="P52" i="6"/>
  <c r="P50" i="6"/>
  <c r="BH15" i="7"/>
  <c r="BB52" i="7"/>
  <c r="BF15" i="7"/>
  <c r="BG15" i="7" s="1"/>
  <c r="BB65" i="7"/>
  <c r="BE104" i="7"/>
  <c r="BK104" i="7" s="1"/>
  <c r="S17" i="7"/>
  <c r="BE94" i="7"/>
  <c r="BK94" i="7" s="1"/>
  <c r="BE29" i="7"/>
  <c r="BK29" i="7" s="1"/>
  <c r="BE21" i="7"/>
  <c r="BK21" i="7" s="1"/>
  <c r="BK8" i="7"/>
  <c r="S44" i="7"/>
  <c r="BF8" i="7"/>
  <c r="BG8" i="7" s="1"/>
  <c r="BH8" i="7"/>
  <c r="BB21" i="7"/>
  <c r="BB29" i="7"/>
  <c r="BB94" i="7"/>
  <c r="BH100" i="7"/>
  <c r="BF100" i="7"/>
  <c r="BG100" i="7" s="1"/>
  <c r="BF102" i="7"/>
  <c r="BG102" i="7" s="1"/>
  <c r="BH102" i="7"/>
  <c r="S95" i="7"/>
  <c r="S48" i="7"/>
  <c r="P30" i="6"/>
  <c r="BB104" i="7"/>
  <c r="BE65" i="7"/>
  <c r="BK65" i="7" s="1"/>
  <c r="BH44" i="7"/>
  <c r="BF44" i="7"/>
  <c r="BG44" i="7" s="1"/>
  <c r="BI110" i="7"/>
  <c r="BI22" i="7"/>
  <c r="P68" i="6"/>
  <c r="S99" i="7"/>
  <c r="S16" i="7"/>
  <c r="S100" i="7"/>
  <c r="P12" i="6"/>
  <c r="K12" i="6"/>
  <c r="J144" i="6"/>
  <c r="P13" i="6"/>
  <c r="K13" i="6"/>
  <c r="S89" i="7"/>
  <c r="P129" i="6"/>
  <c r="BF14" i="7"/>
  <c r="BG14" i="7" s="1"/>
  <c r="BB35" i="7"/>
  <c r="BB60" i="7"/>
  <c r="BH14" i="7"/>
  <c r="BF13" i="7"/>
  <c r="BG13" i="7" s="1"/>
  <c r="BH13" i="7"/>
  <c r="P148" i="6"/>
  <c r="P92" i="6"/>
  <c r="BJ14" i="7"/>
  <c r="BD35" i="7"/>
  <c r="BJ35" i="7" s="1"/>
  <c r="BD60" i="7"/>
  <c r="BJ48" i="7"/>
  <c r="BD49" i="7"/>
  <c r="BJ49" i="7" s="1"/>
  <c r="BD95" i="7"/>
  <c r="BJ95" i="7" s="1"/>
  <c r="BD29" i="7"/>
  <c r="BJ29" i="7" s="1"/>
  <c r="BD21" i="7"/>
  <c r="BJ21" i="7" s="1"/>
  <c r="BD94" i="7"/>
  <c r="BJ94" i="7" s="1"/>
  <c r="BJ8" i="7"/>
  <c r="S108" i="7"/>
  <c r="S86" i="7"/>
  <c r="S66" i="7"/>
  <c r="BF22" i="7"/>
  <c r="BG22" i="7" s="1"/>
  <c r="BH22" i="7"/>
  <c r="BB110" i="7"/>
  <c r="S12" i="7"/>
  <c r="BF38" i="7"/>
  <c r="BG38" i="7" s="1"/>
  <c r="BH38" i="7"/>
  <c r="BD33" i="7"/>
  <c r="BJ33" i="7" s="1"/>
  <c r="BD30" i="7"/>
  <c r="BJ30" i="7" s="1"/>
  <c r="BJ9" i="7"/>
  <c r="BD26" i="7"/>
  <c r="BJ26" i="7" s="1"/>
  <c r="BD39" i="7"/>
  <c r="BJ39" i="7" s="1"/>
  <c r="P122" i="6"/>
  <c r="S70" i="7"/>
  <c r="BG70" i="7"/>
  <c r="BC34" i="7"/>
  <c r="BI12" i="7"/>
  <c r="BC32" i="7"/>
  <c r="BI32" i="7" s="1"/>
  <c r="BH86" i="7"/>
  <c r="BF86" i="7"/>
  <c r="BG86" i="7" s="1"/>
  <c r="BF98" i="7"/>
  <c r="BH98" i="7"/>
  <c r="S15" i="7"/>
  <c r="BC31" i="7"/>
  <c r="BI31" i="7" s="1"/>
  <c r="BI11" i="7"/>
  <c r="BB36" i="7"/>
  <c r="BH17" i="7"/>
  <c r="BF17" i="7"/>
  <c r="BG17" i="7" s="1"/>
  <c r="BB106" i="7"/>
  <c r="BF89" i="7"/>
  <c r="BG89" i="7" s="1"/>
  <c r="BH89" i="7"/>
  <c r="BF75" i="7"/>
  <c r="BG75" i="7" s="1"/>
  <c r="BH75" i="7"/>
  <c r="P105" i="6"/>
  <c r="BB34" i="7"/>
  <c r="BB32" i="7"/>
  <c r="BH12" i="7"/>
  <c r="BF12" i="7"/>
  <c r="BG12" i="7" s="1"/>
  <c r="K14" i="6"/>
  <c r="P14" i="6"/>
  <c r="BH88" i="7"/>
  <c r="BF88" i="7"/>
  <c r="BG88" i="7" s="1"/>
  <c r="S11" i="7"/>
  <c r="M11" i="7"/>
  <c r="BK23" i="7"/>
  <c r="BE41" i="7"/>
  <c r="BE26" i="7"/>
  <c r="BK26" i="7" s="1"/>
  <c r="BE33" i="7"/>
  <c r="BK33" i="7" s="1"/>
  <c r="BE39" i="7"/>
  <c r="BK39" i="7" s="1"/>
  <c r="BK9" i="7"/>
  <c r="BE30" i="7"/>
  <c r="BK30" i="7" s="1"/>
  <c r="BC85" i="7"/>
  <c r="BI85" i="7" s="1"/>
  <c r="P124" i="6"/>
  <c r="S81" i="7"/>
  <c r="P36" i="6"/>
  <c r="BC33" i="7"/>
  <c r="BI33" i="7" s="1"/>
  <c r="BC30" i="7"/>
  <c r="BI30" i="7" s="1"/>
  <c r="BC26" i="7"/>
  <c r="BI26" i="7" s="1"/>
  <c r="BI9" i="7"/>
  <c r="BC39" i="7"/>
  <c r="BF58" i="7"/>
  <c r="BG58" i="7" s="1"/>
  <c r="BH58" i="7"/>
  <c r="BJ22" i="7"/>
  <c r="BD110" i="7"/>
  <c r="BJ110" i="7" s="1"/>
  <c r="BF43" i="7"/>
  <c r="BG43" i="7" s="1"/>
  <c r="BH43" i="7"/>
  <c r="BC67" i="7" l="1"/>
  <c r="BI67" i="7" s="1"/>
  <c r="BE67" i="7"/>
  <c r="BK67" i="7" s="1"/>
  <c r="G139" i="6"/>
  <c r="I139" i="6" s="1"/>
  <c r="BF97" i="7"/>
  <c r="BG97" i="7" s="1"/>
  <c r="BI39" i="7"/>
  <c r="S22" i="7"/>
  <c r="BI34" i="7"/>
  <c r="BI29" i="7"/>
  <c r="BI104" i="7"/>
  <c r="G20" i="6"/>
  <c r="G18" i="6" s="1"/>
  <c r="I18" i="6" s="1"/>
  <c r="G7" i="6"/>
  <c r="I7" i="6" s="1"/>
  <c r="BB67" i="7"/>
  <c r="BH67" i="7" s="1"/>
  <c r="C17" i="8"/>
  <c r="BF95" i="7"/>
  <c r="BG95" i="7" s="1"/>
  <c r="C13" i="8"/>
  <c r="BE56" i="7"/>
  <c r="BK41" i="7"/>
  <c r="BF36" i="7"/>
  <c r="BG36" i="7" s="1"/>
  <c r="BH36" i="7"/>
  <c r="S34" i="7"/>
  <c r="G113" i="6"/>
  <c r="I113" i="6" s="1"/>
  <c r="BJ60" i="7"/>
  <c r="BJ96" i="7"/>
  <c r="P118" i="6"/>
  <c r="BH35" i="7"/>
  <c r="BF35" i="7"/>
  <c r="BG35" i="7" s="1"/>
  <c r="P63" i="6"/>
  <c r="BF104" i="7"/>
  <c r="BG104" i="7" s="1"/>
  <c r="BH104" i="7"/>
  <c r="P97" i="6"/>
  <c r="P77" i="6"/>
  <c r="BI60" i="7"/>
  <c r="BI96" i="7"/>
  <c r="BD101" i="7"/>
  <c r="BJ101" i="7" s="1"/>
  <c r="BJ56" i="7"/>
  <c r="P76" i="6"/>
  <c r="S39" i="7"/>
  <c r="BH32" i="7"/>
  <c r="BF32" i="7"/>
  <c r="BG32" i="7" s="1"/>
  <c r="P149" i="6"/>
  <c r="BF94" i="7"/>
  <c r="BG94" i="7" s="1"/>
  <c r="BH94" i="7"/>
  <c r="S106" i="7"/>
  <c r="BF52" i="7"/>
  <c r="BG52" i="7" s="1"/>
  <c r="BH52" i="7"/>
  <c r="BB79" i="7"/>
  <c r="S60" i="7"/>
  <c r="P94" i="6"/>
  <c r="BI41" i="7"/>
  <c r="BC56" i="7"/>
  <c r="P96" i="6"/>
  <c r="BH34" i="7"/>
  <c r="BF34" i="7"/>
  <c r="BG34" i="7" s="1"/>
  <c r="G47" i="7"/>
  <c r="I47" i="7" s="1"/>
  <c r="P144" i="6"/>
  <c r="K144" i="6"/>
  <c r="P25" i="6"/>
  <c r="P69" i="6"/>
  <c r="BF29" i="7"/>
  <c r="BG29" i="7" s="1"/>
  <c r="BH29" i="7"/>
  <c r="S36" i="7"/>
  <c r="BE79" i="7"/>
  <c r="BK79" i="7" s="1"/>
  <c r="BD79" i="7"/>
  <c r="BJ79" i="7" s="1"/>
  <c r="BK60" i="7"/>
  <c r="BE96" i="7"/>
  <c r="BK96" i="7" s="1"/>
  <c r="K7" i="6"/>
  <c r="M7" i="6" s="1"/>
  <c r="P62" i="6"/>
  <c r="P140" i="6"/>
  <c r="K140" i="6"/>
  <c r="BD67" i="7"/>
  <c r="BJ67" i="7" s="1"/>
  <c r="BF49" i="7"/>
  <c r="BG49" i="7" s="1"/>
  <c r="S94" i="7"/>
  <c r="BH26" i="7"/>
  <c r="BF26" i="7"/>
  <c r="BG26" i="7" s="1"/>
  <c r="BG98" i="7"/>
  <c r="S33" i="7"/>
  <c r="P32" i="6"/>
  <c r="P120" i="6"/>
  <c r="P152" i="6"/>
  <c r="BF85" i="7"/>
  <c r="BG85" i="7" s="1"/>
  <c r="BH85" i="7"/>
  <c r="S35" i="7"/>
  <c r="BC79" i="7"/>
  <c r="BI79" i="7" s="1"/>
  <c r="P61" i="6"/>
  <c r="S104" i="7"/>
  <c r="P125" i="6"/>
  <c r="S31" i="7"/>
  <c r="BF106" i="7"/>
  <c r="BG106" i="7" s="1"/>
  <c r="BH106" i="7"/>
  <c r="BH110" i="7"/>
  <c r="BF110" i="7"/>
  <c r="BG110" i="7" s="1"/>
  <c r="S49" i="7"/>
  <c r="P23" i="6"/>
  <c r="P84" i="6"/>
  <c r="BH91" i="7"/>
  <c r="BF91" i="7"/>
  <c r="BG91" i="7" s="1"/>
  <c r="S29" i="7"/>
  <c r="M29" i="7"/>
  <c r="S21" i="7"/>
  <c r="BF30" i="7"/>
  <c r="BG30" i="7" s="1"/>
  <c r="BH30" i="7"/>
  <c r="BH39" i="7"/>
  <c r="BF39" i="7"/>
  <c r="BG39" i="7" s="1"/>
  <c r="K20" i="6"/>
  <c r="P20" i="6"/>
  <c r="BG40" i="7"/>
  <c r="M30" i="7"/>
  <c r="S30" i="7"/>
  <c r="P65" i="6"/>
  <c r="S52" i="7"/>
  <c r="M32" i="7"/>
  <c r="S32" i="7"/>
  <c r="BH60" i="7"/>
  <c r="BF60" i="7"/>
  <c r="BG60" i="7" s="1"/>
  <c r="P64" i="6"/>
  <c r="P7" i="6"/>
  <c r="Q7" i="6" s="1"/>
  <c r="K6" i="8" s="1"/>
  <c r="BH21" i="7"/>
  <c r="BF21" i="7"/>
  <c r="BG21" i="7" s="1"/>
  <c r="BH65" i="7"/>
  <c r="BF65" i="7"/>
  <c r="P78" i="6"/>
  <c r="S85" i="7"/>
  <c r="BB56" i="7"/>
  <c r="BH41" i="7"/>
  <c r="BF41" i="7"/>
  <c r="BG41" i="7" s="1"/>
  <c r="P19" i="6"/>
  <c r="K19" i="6"/>
  <c r="S91" i="7"/>
  <c r="BH31" i="7"/>
  <c r="BF31" i="7"/>
  <c r="BG31" i="7" s="1"/>
  <c r="BH33" i="7"/>
  <c r="BF33" i="7"/>
  <c r="BG33" i="7" s="1"/>
  <c r="S26" i="7"/>
  <c r="G62" i="7" l="1"/>
  <c r="C6" i="8"/>
  <c r="C20" i="8"/>
  <c r="G45" i="6"/>
  <c r="I45" i="6" s="1"/>
  <c r="C18" i="8"/>
  <c r="K145" i="6"/>
  <c r="P145" i="6"/>
  <c r="Q145" i="6" s="1"/>
  <c r="K13" i="8" s="1"/>
  <c r="K18" i="6"/>
  <c r="K7" i="7"/>
  <c r="F17" i="8" s="1"/>
  <c r="P139" i="6"/>
  <c r="Q139" i="6" s="1"/>
  <c r="S47" i="7"/>
  <c r="T47" i="7" s="1"/>
  <c r="K19" i="8" s="1"/>
  <c r="BF67" i="7"/>
  <c r="BG67" i="7" s="1"/>
  <c r="P121" i="6"/>
  <c r="C19" i="8"/>
  <c r="BH79" i="7"/>
  <c r="BF79" i="7"/>
  <c r="BG79" i="7" s="1"/>
  <c r="K47" i="7"/>
  <c r="K28" i="7"/>
  <c r="P99" i="6"/>
  <c r="S96" i="7"/>
  <c r="BG65" i="7"/>
  <c r="S65" i="7"/>
  <c r="P46" i="6"/>
  <c r="C7" i="8"/>
  <c r="P109" i="6"/>
  <c r="S7" i="7"/>
  <c r="T7" i="7" s="1"/>
  <c r="K17" i="8" s="1"/>
  <c r="S28" i="7"/>
  <c r="T28" i="7" s="1"/>
  <c r="K18" i="8" s="1"/>
  <c r="P115" i="6"/>
  <c r="K139" i="6"/>
  <c r="C12" i="8"/>
  <c r="P93" i="6"/>
  <c r="BK56" i="7"/>
  <c r="BE101" i="7"/>
  <c r="BK101" i="7" s="1"/>
  <c r="P95" i="6"/>
  <c r="BH96" i="7"/>
  <c r="BF96" i="7"/>
  <c r="BG96" i="7" s="1"/>
  <c r="P67" i="6"/>
  <c r="F6" i="8"/>
  <c r="T7" i="6"/>
  <c r="V7" i="6" s="1"/>
  <c r="P18" i="6"/>
  <c r="Q18" i="6" s="1"/>
  <c r="K7" i="8" s="1"/>
  <c r="BI56" i="7"/>
  <c r="BC101" i="7"/>
  <c r="BI101" i="7" s="1"/>
  <c r="G73" i="6"/>
  <c r="I73" i="6" s="1"/>
  <c r="BH56" i="7"/>
  <c r="BB101" i="7"/>
  <c r="BF56" i="7"/>
  <c r="BG56" i="7" s="1"/>
  <c r="P60" i="6"/>
  <c r="S67" i="7"/>
  <c r="S79" i="7"/>
  <c r="P47" i="6"/>
  <c r="P116" i="6"/>
  <c r="F13" i="8" l="1"/>
  <c r="M145" i="6"/>
  <c r="F7" i="8"/>
  <c r="M18" i="6"/>
  <c r="K62" i="7"/>
  <c r="C8" i="8"/>
  <c r="C9" i="8"/>
  <c r="T145" i="6"/>
  <c r="V145" i="6" s="1"/>
  <c r="T18" i="6"/>
  <c r="V18" i="6" s="1"/>
  <c r="G88" i="6"/>
  <c r="I88" i="6" s="1"/>
  <c r="K45" i="6"/>
  <c r="M45" i="6" s="1"/>
  <c r="P59" i="6"/>
  <c r="Q59" i="6" s="1"/>
  <c r="K9" i="8" s="1"/>
  <c r="K59" i="6"/>
  <c r="C10" i="8"/>
  <c r="F18" i="8"/>
  <c r="P74" i="6"/>
  <c r="P89" i="6"/>
  <c r="S62" i="7"/>
  <c r="T62" i="7" s="1"/>
  <c r="K20" i="8" s="1"/>
  <c r="K22" i="8" s="1"/>
  <c r="P100" i="6"/>
  <c r="F19" i="8"/>
  <c r="E22" i="8"/>
  <c r="BH101" i="7"/>
  <c r="BF101" i="7"/>
  <c r="BG101" i="7" s="1"/>
  <c r="K113" i="6"/>
  <c r="M113" i="6" s="1"/>
  <c r="P119" i="6"/>
  <c r="P113" i="6" s="1"/>
  <c r="Q113" i="6" s="1"/>
  <c r="K12" i="8" s="1"/>
  <c r="P75" i="6"/>
  <c r="T139" i="6"/>
  <c r="V139" i="6" s="1"/>
  <c r="M139" i="6"/>
  <c r="P45" i="6"/>
  <c r="Q45" i="6" s="1"/>
  <c r="K8" i="8" s="1"/>
  <c r="F9" i="8" l="1"/>
  <c r="M59" i="6"/>
  <c r="F8" i="8"/>
  <c r="C11" i="8"/>
  <c r="E15" i="8" s="1"/>
  <c r="T45" i="6"/>
  <c r="V45" i="6" s="1"/>
  <c r="T59" i="6"/>
  <c r="V59" i="6" s="1"/>
  <c r="F20" i="8"/>
  <c r="H22" i="8" s="1"/>
  <c r="T113" i="6"/>
  <c r="V113" i="6" s="1"/>
  <c r="F12" i="8"/>
  <c r="P90" i="6"/>
  <c r="P88" i="6" s="1"/>
  <c r="Q88" i="6" s="1"/>
  <c r="K11" i="8" s="1"/>
  <c r="K88" i="6"/>
  <c r="M88" i="6" s="1"/>
  <c r="K73" i="6"/>
  <c r="M73" i="6" s="1"/>
  <c r="P114" i="6"/>
  <c r="P73" i="6"/>
  <c r="Q73" i="6" s="1"/>
  <c r="K10" i="8" s="1"/>
  <c r="K15" i="8" l="1"/>
  <c r="T88" i="6"/>
  <c r="V88" i="6" s="1"/>
  <c r="F11" i="8"/>
  <c r="T73" i="6"/>
  <c r="V73" i="6" s="1"/>
  <c r="F10" i="8"/>
  <c r="V159" i="6" l="1"/>
  <c r="H15" i="8"/>
</calcChain>
</file>

<file path=xl/sharedStrings.xml><?xml version="1.0" encoding="utf-8"?>
<sst xmlns="http://schemas.openxmlformats.org/spreadsheetml/2006/main" count="1997" uniqueCount="938">
  <si>
    <t>Weather   :  Clear</t>
  </si>
  <si>
    <t xml:space="preserve">ENGINEER    :  </t>
  </si>
  <si>
    <t>Projection</t>
  </si>
  <si>
    <t>Achived</t>
  </si>
  <si>
    <t>ITEM NO.</t>
  </si>
  <si>
    <t>ITEM DESCRIPTION</t>
  </si>
  <si>
    <t>Unit</t>
  </si>
  <si>
    <t>Revised Unit Rate (After Rebate)</t>
  </si>
  <si>
    <t>QTY.</t>
  </si>
  <si>
    <t>Amount</t>
  </si>
  <si>
    <t>Preliminaries</t>
  </si>
  <si>
    <t>1.3.5(i)a</t>
  </si>
  <si>
    <t>Soil Investigation and report</t>
  </si>
  <si>
    <t>LS</t>
  </si>
  <si>
    <t>1.3.5(i)b</t>
  </si>
  <si>
    <t>Setting up at bore hole position for test up to 30m</t>
  </si>
  <si>
    <t>Nr.</t>
  </si>
  <si>
    <t>1.3.5(i)c</t>
  </si>
  <si>
    <t>Setting up at bore hole position for test up to 10m</t>
  </si>
  <si>
    <t>1.3.5(i)d</t>
  </si>
  <si>
    <t>Rotary core drilling up to 30m deep</t>
  </si>
  <si>
    <t>lin.m.</t>
  </si>
  <si>
    <t>1.3.5(i)e</t>
  </si>
  <si>
    <t>Establish Location and excavate test pit 3m deep</t>
  </si>
  <si>
    <t>1.3.5(ii)</t>
  </si>
  <si>
    <t>Design and approvel of IC construction</t>
  </si>
  <si>
    <t>1.4.3(i)</t>
  </si>
  <si>
    <t xml:space="preserve">Mobilization and demobilization </t>
  </si>
  <si>
    <t>1.4.3(ii)</t>
  </si>
  <si>
    <t xml:space="preserve">Maintenance of Contractor's site facilities  </t>
  </si>
  <si>
    <t>Month</t>
  </si>
  <si>
    <t>1.7.6(i)a</t>
  </si>
  <si>
    <t xml:space="preserve">Maintenance and Protection of Traffic </t>
  </si>
  <si>
    <t>1.7.6(ii)</t>
  </si>
  <si>
    <t>Sub-base on diversions</t>
  </si>
  <si>
    <t>Cum</t>
  </si>
  <si>
    <t>1.7.6(iii)</t>
  </si>
  <si>
    <t xml:space="preserve">Bituminous base course on diversions </t>
  </si>
  <si>
    <t>1.7.6(iv)</t>
  </si>
  <si>
    <t>Prime coat</t>
  </si>
  <si>
    <t>Kg</t>
  </si>
  <si>
    <t>1.10.6(i)</t>
  </si>
  <si>
    <t>Provision of 5 sets of photographs (294X210mm)</t>
  </si>
  <si>
    <t>1.10.6(ii)</t>
  </si>
  <si>
    <t>Provision of two sets of Video recordings as specified</t>
  </si>
  <si>
    <t>1.11.8(i)</t>
  </si>
  <si>
    <t>As-buit drawings, record drawings, record  etc.4</t>
  </si>
  <si>
    <t>1.14.7(i)</t>
  </si>
  <si>
    <t>project signboards (Alluminium)</t>
  </si>
  <si>
    <t>1.15.4(i)</t>
  </si>
  <si>
    <t xml:space="preserve">Provision and erection of commemorative plaque </t>
  </si>
  <si>
    <t>1.15.4(ii)</t>
  </si>
  <si>
    <t>Opening ceremony including all facilitities</t>
  </si>
  <si>
    <t>2.1.5(i)</t>
  </si>
  <si>
    <t>Clear site of all trees less than 300mm</t>
  </si>
  <si>
    <t>Sq.m</t>
  </si>
  <si>
    <t>2.1.5(ii)</t>
  </si>
  <si>
    <t>Removal and delivery or disposal of trees 300mm truck dia. or greater</t>
  </si>
  <si>
    <t>2.2.5(ii)</t>
  </si>
  <si>
    <t>Removal of reinforced concrete.</t>
  </si>
  <si>
    <t>Cu.m.</t>
  </si>
  <si>
    <t>2.2.5(v)</t>
  </si>
  <si>
    <t>Removal of Concrete Curbs</t>
  </si>
  <si>
    <t>2.2.5(vi)</t>
  </si>
  <si>
    <t>Removal of interlocking tiles.</t>
  </si>
  <si>
    <t>2.2.5(viii)</t>
  </si>
  <si>
    <t xml:space="preserve">Removal and disposal  of bituminous pavement </t>
  </si>
  <si>
    <t>2.2.5(x)</t>
  </si>
  <si>
    <t>Removal of steel safety barrier</t>
  </si>
  <si>
    <t>2.2.5(xii)a</t>
  </si>
  <si>
    <t>Removal of signboards- single post-including foundation</t>
  </si>
  <si>
    <t>2.2.5(xii)b</t>
  </si>
  <si>
    <t>Removal of signboards- Multiple posts-including foundation</t>
  </si>
  <si>
    <t>2.2.5(xviii)</t>
  </si>
  <si>
    <t xml:space="preserve">Removal of  drainage protection works in mortared rip-rap,loose riprap,gabion etc.  to any thickness at  Culverts, embankments,channel, floodways  etc </t>
  </si>
  <si>
    <t>2.2.5(xxvi)</t>
  </si>
  <si>
    <t>Removal of single arm lighting poles,cables and foundation including termination,shut down etc and store for reuse.</t>
  </si>
  <si>
    <t>2.3.6(i)</t>
  </si>
  <si>
    <t>Unclassified excavation</t>
  </si>
  <si>
    <t>2.4.6(i)a1</t>
  </si>
  <si>
    <t>Borrow excavation to embankment-Extraction and screening</t>
  </si>
  <si>
    <t>Borrow excavation to embankment-Transportation</t>
  </si>
  <si>
    <t>2.4.6(i)a2</t>
  </si>
  <si>
    <t>Borrow excavation to Embankment-Hauling and compaction</t>
  </si>
  <si>
    <t>2.6.6(i)</t>
  </si>
  <si>
    <t>Subgrade preparation in cut</t>
  </si>
  <si>
    <t>Sqm</t>
  </si>
  <si>
    <t>2.7.6(i)</t>
  </si>
  <si>
    <t>2.7.6(ii)</t>
  </si>
  <si>
    <t>Unclassified structural excavation (depth &gt;2.0m to &lt;4.0m)</t>
  </si>
  <si>
    <t>2.7.6(iii)</t>
  </si>
  <si>
    <t>Unclassified structural excavation (depth ≥ 4.0m)</t>
  </si>
  <si>
    <t>2.7.6(iv)</t>
  </si>
  <si>
    <t>Unclassified structural excavation (under water)</t>
  </si>
  <si>
    <t>2.8.6(i)</t>
  </si>
  <si>
    <t>Trench excavation and Backfill depth (depth 0 to 2.0m)</t>
  </si>
  <si>
    <t>2.8.6(ii)</t>
  </si>
  <si>
    <t>Trench excavation and Backfill depth (depth &gt; 2.0m to ≤ 3.0m)</t>
  </si>
  <si>
    <t>3.2.6(ii)1</t>
  </si>
  <si>
    <t>GSB (Class B)-Extraction and Screening</t>
  </si>
  <si>
    <t>GSB (Class B)-Transportation</t>
  </si>
  <si>
    <t>3.2.6(ii)2</t>
  </si>
  <si>
    <t>GSB (Class B)-Hauling and compaction</t>
  </si>
  <si>
    <t>3.3.6(ii)1</t>
  </si>
  <si>
    <t>ABC  (Class A)-Extraction and Screening</t>
  </si>
  <si>
    <t>3.3.6(ii)2</t>
  </si>
  <si>
    <t>ABC  (Class A)-Crushing</t>
  </si>
  <si>
    <t>3.3.6(ii)3</t>
  </si>
  <si>
    <t>ABC (Class A)-Production, Hauling and Compaction</t>
  </si>
  <si>
    <t>4.2.8(i)</t>
  </si>
  <si>
    <t>Bituminous prime coat</t>
  </si>
  <si>
    <t>4.2.8(ii)</t>
  </si>
  <si>
    <t>Bituminous tack coat</t>
  </si>
  <si>
    <t>4.4.14(i)</t>
  </si>
  <si>
    <t>BBC - Production, Laying and Compaction (Class B)</t>
  </si>
  <si>
    <t>4.5.14(ii)</t>
  </si>
  <si>
    <t>BWC - Production, laying and Compaction (Class B)</t>
  </si>
  <si>
    <t>4.9.10(i)</t>
  </si>
  <si>
    <t>Surface milling (up to 50mm thick)</t>
  </si>
  <si>
    <t>4.10.6(i)</t>
  </si>
  <si>
    <t>4.12.10(i)</t>
  </si>
  <si>
    <t>International roughness index. (IRI)</t>
  </si>
  <si>
    <t>5.1.7(i)a</t>
  </si>
  <si>
    <t>Concrete (Class15),blinding for culverts,Bridges, retaining walls,under/overpass foundations, mass concrete   etc.</t>
  </si>
  <si>
    <t>5.1.7(i)b</t>
  </si>
  <si>
    <t>Concrete Class30, for Box culvert  barrel, wing walls, apron slab, cut off walls, headwalls  etc</t>
  </si>
  <si>
    <t>5.1.7(i)c</t>
  </si>
  <si>
    <t>Concrete Class30, for retaining walls at bridge and for underpass/overpass etc(Provisional)</t>
  </si>
  <si>
    <t>5.1.7(i)d</t>
  </si>
  <si>
    <t>Concrete (class30), for Bridge foundation and Underpass/overpass, abutments, pier heads, return walls, approach slab, sump pits, columns etc..</t>
  </si>
  <si>
    <t>5.1.7(i)e</t>
  </si>
  <si>
    <t>Concrete (class35),for Bridge deck slab, cross heads, plinths, diaphragm beam, walkways, stair case steps and ramps, roof beams etc.</t>
  </si>
  <si>
    <t>5.1.7(i)f</t>
  </si>
  <si>
    <t>Concrete (class35),for Bridge deck slab precast planks1330 x 1000 &amp; 1350x1000,75mm thick placed between girders to required shape and size including joint finishing, lifting arrangements etc.</t>
  </si>
  <si>
    <t>5.1.7(i)g</t>
  </si>
  <si>
    <t>Concrete (class45) for prestressed deck slab with voids and other features etc complete at overpass</t>
  </si>
  <si>
    <t>5.1.7(i)h</t>
  </si>
  <si>
    <t>Extra over for forming voids and features  in deck slab</t>
  </si>
  <si>
    <t>5.1.7(i)ia</t>
  </si>
  <si>
    <t>Concrete (class42),for prestressed -precast beams-Precasting</t>
  </si>
  <si>
    <t>5.1.7(i)ib</t>
  </si>
  <si>
    <t>Concrete (class42),for prestressed -precast beams-Erection</t>
  </si>
  <si>
    <t>5.2.6(i)</t>
  </si>
  <si>
    <t>Mild steel bar reinforcement of any diameter with minimum yield strength 250 Mpa.</t>
  </si>
  <si>
    <t>tonne</t>
  </si>
  <si>
    <t>5.2.6(ii)b1</t>
  </si>
  <si>
    <t>HYSD min tensile strength 420 Mpa for  culverts, bridge decks, pier foundations, abutments, approach slab,underpas /overpass etc.</t>
  </si>
  <si>
    <t>5.2.6(ii)b2</t>
  </si>
  <si>
    <t>HYSD -Cutting, bending &amp; Tying</t>
  </si>
  <si>
    <t>5.2.6(iii)</t>
  </si>
  <si>
    <t>Fabric wire mesh reinforcement of any size</t>
  </si>
  <si>
    <t>5.4.6(ii)</t>
  </si>
  <si>
    <t>prestressing strands to BS 5896 with minimum ultimate strength 1860 Mpa, 1290 mm dia meter</t>
  </si>
  <si>
    <t>5.7.6(ii)</t>
  </si>
  <si>
    <t>Reinforced cement concrete pavement including reinforcement, expansion and construction joints etc..</t>
  </si>
  <si>
    <t>5.10.6(i)</t>
  </si>
  <si>
    <t>Bituminous paint 3coats to concrete face in contact with soil as instructed.</t>
  </si>
  <si>
    <t>5.10.6(ii)</t>
  </si>
  <si>
    <t>Water proofing/tack coat to bridge deck slab as per details.</t>
  </si>
  <si>
    <t>7.6(i)a</t>
  </si>
  <si>
    <t xml:space="preserve">Epoxy  Paint to  all exposed concrete faces, underside and sides of exposed surfaces of "I" girders, Deck slab, pier columns and underpass </t>
  </si>
  <si>
    <t>7.6(i)b</t>
  </si>
  <si>
    <t xml:space="preserve">Water resistant decorative type paint  to walls ,beams, columns including primer all </t>
  </si>
  <si>
    <t>8.1.6(ii)a</t>
  </si>
  <si>
    <t>Reinforced Precast Concrete Pipe Culvert (diameter 900mm)</t>
  </si>
  <si>
    <t>8.1.6(ii)b</t>
  </si>
  <si>
    <t>Reinforced Precast Concrete Pipe Culvert (diameter 800mm)</t>
  </si>
  <si>
    <t>8.2.6(i)a</t>
  </si>
  <si>
    <t>Storm sewer UPVC Pipe dia. 300 mm.including concrete surround</t>
  </si>
  <si>
    <t>8.2.6(i)b</t>
  </si>
  <si>
    <t>Storm sewer HDPE  Pipe dia. 400 mm.including concrete surround</t>
  </si>
  <si>
    <t>8.2.6(i)c</t>
  </si>
  <si>
    <t>Storm Sewer, HDPE Pipe (diameter 450mm) including concrete surrounding</t>
  </si>
  <si>
    <t>8.2.6(i)d</t>
  </si>
  <si>
    <t>Storm Sewer, HDPE Pipe (diameter 600mm) including concrete surrounding</t>
  </si>
  <si>
    <t>8.3.6(i)a</t>
  </si>
  <si>
    <t>Manhole chamber 1000mm x 1000mm internal size and depth up to 1200mm in concrete class 30 at roundabout including DI  cover.</t>
  </si>
  <si>
    <t>Nr</t>
  </si>
  <si>
    <t>8.3.6(i)b</t>
  </si>
  <si>
    <t>8.3.6(i)c</t>
  </si>
  <si>
    <t>8.3.6(ii)a</t>
  </si>
  <si>
    <t>Drain out let chamber 450 mm x 450 mm in-place to bridge deck include heavy duty steel grating assembly as detailed in the drawings.</t>
  </si>
  <si>
    <t>8.3.6(ii)b</t>
  </si>
  <si>
    <t>Sump pit chamber 800mm x 800mm x 800mm internal size  in concrete class 30 at underpass  including D.I gratings.</t>
  </si>
  <si>
    <t>8.4.6(ii)a</t>
  </si>
  <si>
    <t xml:space="preserve">75mm dia UPVC drainage pipes through abutment curtain wall </t>
  </si>
  <si>
    <t>8.4.6(ii)b</t>
  </si>
  <si>
    <t>110mm dia UPVC drainage pipes through internal diaphragms</t>
  </si>
  <si>
    <t>8.4.6(ii)c</t>
  </si>
  <si>
    <t>150mm dia UPVC drainage pipes for drainage from underpass sump pits.</t>
  </si>
  <si>
    <t>8.4.6(ii)d</t>
  </si>
  <si>
    <t>50mm dia non-metallic weep holes through abutment</t>
  </si>
  <si>
    <t>8.4.6(ii)e</t>
  </si>
  <si>
    <t>3000mm  x 600mm x 600mm drainage pit with selected stone filled and rapped in 700g/m2 geotextile membrane including all excavation, backfilling all as per drawing and as approved by the Engineer for underpass drainage.</t>
  </si>
  <si>
    <t>10.1.6(i)</t>
  </si>
  <si>
    <t>Setting up at each pile 900mm &amp; 1000mm diameter -pile location</t>
  </si>
  <si>
    <t>nr.</t>
  </si>
  <si>
    <t>10.1.6(ii)</t>
  </si>
  <si>
    <t>Piling , 1000 mm diameter for Pier Foundation up to 15 m</t>
  </si>
  <si>
    <t>10.2.6(ii)</t>
  </si>
  <si>
    <t>Static Load Testing of 1000mm diameter working piles</t>
  </si>
  <si>
    <t>10.2.6(i)</t>
  </si>
  <si>
    <t>Non-destructive Integrity Test as per the Specifications.</t>
  </si>
  <si>
    <t>11.2.6(i)</t>
  </si>
  <si>
    <t>Laminated elastomeric bearings 400x350x80mm having total vertical  load capacity 1400kN on epoxy grout bed all as per drawing.</t>
  </si>
  <si>
    <t>11.4.6</t>
  </si>
  <si>
    <t>Strip seal expansion joint</t>
  </si>
  <si>
    <t>11.6.6(i)</t>
  </si>
  <si>
    <t>Concrete Bridge parapet (crash barrier) 1200mm high including stitching concrete reinforcement etc complete.</t>
  </si>
  <si>
    <t>11.6.6(v)a</t>
  </si>
  <si>
    <t>Fabricate and fix Galvanized Steel Pedestrian Railing 1500mm high including concrete foundation,painting, provision for emergency  openings as necessary.</t>
  </si>
  <si>
    <t>11.6.6(v)b</t>
  </si>
  <si>
    <t>lin.m</t>
  </si>
  <si>
    <t>11.6.6(vi)</t>
  </si>
  <si>
    <t>Fabricate and fix Aluminum Pedestrian Railing 1000mm high at  Underpass  and on retaining walls including fixing in position as per details, painting etc. complete as per approved shop drawings</t>
  </si>
  <si>
    <t>11.6.6(vii)a</t>
  </si>
  <si>
    <t>Fabricate and fix Aluminum powder coated decorative type railing 1000mm high at overpass including posts bracings fixing in position   etc. complete as per approved shop drawings</t>
  </si>
  <si>
    <t>11.6.6(vii)b</t>
  </si>
  <si>
    <t>Fabricate and fix  Aluminum powder coated composite panels including aluminum perforated decorative facade at overpass  as shown on the drawings and fixing in position  etc.. complete as per approved by the Engineer.</t>
  </si>
  <si>
    <t>sq.m</t>
  </si>
  <si>
    <t>11.6.6(vii)c</t>
  </si>
  <si>
    <t>Fabricate and fix solid Aluminum powder coated composite panels and aluminum perforated solid roof at overpass  as shown on the drawings and fixing in position etc. complete as approved by the Engineer.</t>
  </si>
  <si>
    <t>11.6.(vii)d</t>
  </si>
  <si>
    <t>Fabricate and fix  powder coated aluminum perforated overhang framed roof at overpass  as shown on the drawings and fixing in position etc. complete as approved by the Engineer.</t>
  </si>
  <si>
    <t>9.1.6(i)</t>
  </si>
  <si>
    <t>Loose Stone Riprap for Dyke and  slope protection</t>
  </si>
  <si>
    <t>9.1.6(ii)</t>
  </si>
  <si>
    <t>Mortared stone riprap including 100mm thick cement mortar bed  as per drawing.</t>
  </si>
  <si>
    <t>9.2.6(i)</t>
  </si>
  <si>
    <t>Gabions  of any size including 16mm dia GI hooks as per details.</t>
  </si>
  <si>
    <t>9.2.6(iv)</t>
  </si>
  <si>
    <t>Filter membrane (400g/m2 Geotextile)</t>
  </si>
  <si>
    <t>9.6.6(i)</t>
  </si>
  <si>
    <t>Reinforced concrete slope protection including storm water outlets at median and at bridge abutments including reinforcement etc..</t>
  </si>
  <si>
    <t>cu.m</t>
  </si>
  <si>
    <t>9.9.6(ii)a</t>
  </si>
  <si>
    <t>Mortared stone riprap lined drainage channel/ditch 300 mm thick ( Provisional)</t>
  </si>
  <si>
    <t>9.9.6(ii)b</t>
  </si>
  <si>
    <t>Concrete lined ditch 200mm thick  as per drawing including slope preparation, reinforcement, expansion joints etc..</t>
  </si>
  <si>
    <t>9.9.6(ii)c</t>
  </si>
  <si>
    <t>Extra over for Concrete lined ditch for providing  slab on top at road crossings as per drawing including reinforcement etc complete.</t>
  </si>
  <si>
    <t xml:space="preserve">9.10.6(i) </t>
  </si>
  <si>
    <t>Granular filter layer 200m thick</t>
  </si>
  <si>
    <t>9.12.7(i)1</t>
  </si>
  <si>
    <t>Mechanically Stabilized Earth Retaining Walls (MSERWs)-Casting</t>
  </si>
  <si>
    <t>9.12.7(i)2</t>
  </si>
  <si>
    <t>Mechanically Stabilized Earth Retaining Walls (MSERWs)-Erection</t>
  </si>
  <si>
    <t>9.12.7(iii)</t>
  </si>
  <si>
    <t>Coping for MSERWs</t>
  </si>
  <si>
    <t>12.1.7(i)a</t>
  </si>
  <si>
    <t>Paving, concrete interlocking blocks 60mm thick for side walks and median</t>
  </si>
  <si>
    <t>12.1.7(i)b</t>
  </si>
  <si>
    <t xml:space="preserve">Paving, concrete interlocking blocks 80mm thick </t>
  </si>
  <si>
    <t>12.1.7(i)c</t>
  </si>
  <si>
    <t xml:space="preserve">20mm Natural Omani non polished Lime stone  to approved color and pattern including 30mm thick 1:3 cement sand mortar base, joint filling etc.. at Underpass/ overpass Ramp and landings.(Provisional) </t>
  </si>
  <si>
    <t>12.1.7(i)d</t>
  </si>
  <si>
    <t>20mm Natural Omani non polished Lime stone  to approved color and pattern including 30mm thick 1:3 cement sand mortar base, joint filling etc.. at Underpass/ overpass  stair case tread and risers. (Provisional)</t>
  </si>
  <si>
    <t>12.1.7(v)a</t>
  </si>
  <si>
    <t>Precast Non-Mountable Concrete Curb 350x150mm</t>
  </si>
  <si>
    <t>12.1.7(v)b</t>
  </si>
  <si>
    <t>Precast lip curb 150x350mm</t>
  </si>
  <si>
    <t>12.1.7(v)c</t>
  </si>
  <si>
    <t>Precast  concrete edge curb 200x100mm</t>
  </si>
  <si>
    <t>12.1.7(vi)</t>
  </si>
  <si>
    <t>Cast in situ Concrete curb stone</t>
  </si>
  <si>
    <t>13.1.7(i)</t>
  </si>
  <si>
    <t>W-Beam Guardrail Standard Section including post,etc</t>
  </si>
  <si>
    <t>13.1.7(ii)</t>
  </si>
  <si>
    <t>W-Beam Guardrail  Transition section</t>
  </si>
  <si>
    <t>13.1.7(iii)a</t>
  </si>
  <si>
    <t>W-Beam Guardrail  Terminal section Type-I</t>
  </si>
  <si>
    <t>13.1.7(iii)b</t>
  </si>
  <si>
    <t>W-Beam Guardrail  Terminal section Type-II</t>
  </si>
  <si>
    <t>13.1.7(iv)</t>
  </si>
  <si>
    <t xml:space="preserve"> Thrie Beam Guardrail  standard section</t>
  </si>
  <si>
    <t>13.1.7(v)</t>
  </si>
  <si>
    <t>Thrie Beam Guardrail  Terminal section</t>
  </si>
  <si>
    <t>13.1.7(vi)a</t>
  </si>
  <si>
    <t>Thrie Beam Guardrail  Terminal section Type-I</t>
  </si>
  <si>
    <t>13.1.7(vi)b</t>
  </si>
  <si>
    <t>Thrie Beam Guardrail  Terminal section Type-II</t>
  </si>
  <si>
    <t>13.1.7(vii)a1</t>
  </si>
  <si>
    <t>Precast Concrete barrier, Single face as shown on Dwg.-Casting</t>
  </si>
  <si>
    <t>13.1.7(vii)a2</t>
  </si>
  <si>
    <t>Precast Concrete barrier, Single face as shown on Dwg.-Erection</t>
  </si>
  <si>
    <t>13.1.7(ix)</t>
  </si>
  <si>
    <t>Concrete barrier, transition section</t>
  </si>
  <si>
    <t>14.1.7(i)a</t>
  </si>
  <si>
    <t>Highway sign, Triangular Side  (750mm)</t>
  </si>
  <si>
    <t>14.1.7(i)b</t>
  </si>
  <si>
    <t>Highway sign, Triangular Side  (900mm)</t>
  </si>
  <si>
    <t>14.1.7(ii)a</t>
  </si>
  <si>
    <t>Highway sign, Circular  (Diameter 750mm)</t>
  </si>
  <si>
    <t>14.1.7(ii)b</t>
  </si>
  <si>
    <t>Highway sign, Circular  (Diameter 900mm)</t>
  </si>
  <si>
    <t>14.1.7(iii)</t>
  </si>
  <si>
    <t>Highway sign, rectangular of any size</t>
  </si>
  <si>
    <t>14.1.7(iv)</t>
  </si>
  <si>
    <t xml:space="preserve">Octagonal Road signs </t>
  </si>
  <si>
    <t>14.1.7(v)a</t>
  </si>
  <si>
    <t>Sign post support assembly, including foundation( Single)</t>
  </si>
  <si>
    <t>14.1.7(v)b</t>
  </si>
  <si>
    <t>Sign post support assembly, including foundations( Double)</t>
  </si>
  <si>
    <t>14.1.7(v)c</t>
  </si>
  <si>
    <t>Sign post support assembly, including foundations( four post 150mm dia )</t>
  </si>
  <si>
    <t>14.1.7(viii)a</t>
  </si>
  <si>
    <t>Removable type 75mm dia G.I Bollards 1200mm high  painted red and white  at median opening including foundation concrete, locking arrangements with S.S. Chain etc complete as per details.</t>
  </si>
  <si>
    <t>14.1.7(viii)b</t>
  </si>
  <si>
    <t>Removable type 225mm dia decorative G.I Bollards, 850mm high  painted black at access road to Royal camp including foundation concrete, locking arrangements with S.S. Chain etc complete as per details.</t>
  </si>
  <si>
    <t>14.1.7(viii)c</t>
  </si>
  <si>
    <t>Debris Collecting  150mm dia G.I Bollards at culvert inlets including foundation concrete, reinforcement, painting etc complete as per details.</t>
  </si>
  <si>
    <t>14.2.6(i)</t>
  </si>
  <si>
    <t>Traffic lines continuous or broken for both white and yellow  (mechanical applied)</t>
  </si>
  <si>
    <t>14.2.6(iii)</t>
  </si>
  <si>
    <t>Special markings for cheveron,directional arrow.(hand applied)</t>
  </si>
  <si>
    <t>14.2.6(iv)</t>
  </si>
  <si>
    <t>Curb painting</t>
  </si>
  <si>
    <t>14.2.6(v)</t>
  </si>
  <si>
    <t xml:space="preserve">Removal of road marking </t>
  </si>
  <si>
    <t>14.3.6(i)a</t>
  </si>
  <si>
    <t>Reflecting road studs (one side red)</t>
  </si>
  <si>
    <t>14.3.6(i)b</t>
  </si>
  <si>
    <t>Reflecting road studs (both side red)</t>
  </si>
  <si>
    <t>14.3.6(i)c</t>
  </si>
  <si>
    <t>Reflecting road  studs at rumble strips (one side red)</t>
  </si>
  <si>
    <t>15.1.20(i)</t>
  </si>
  <si>
    <t>Power supply connection to the feeder pillar</t>
  </si>
  <si>
    <t>15.5.6(i)</t>
  </si>
  <si>
    <t>11kv pole mounted transformer substation -Supply, insta of 11kv/415v,500 Kva.11KV cables to RMU and to transformer,main feeder panel,earthing and other associa, but not limited to other electricalwork.</t>
  </si>
  <si>
    <t>15.6.6(i)a</t>
  </si>
  <si>
    <t xml:space="preserve">Feeder pillar -Supply &amp; Installation of 100A 6way distribution Feeder Pillar with digital timer including concrete foundation and provision for power meter. </t>
  </si>
  <si>
    <t>15.6.6(i)b</t>
  </si>
  <si>
    <t xml:space="preserve">Feeder pillar -Supply &amp; Installation of 200A 8way distribution Feeder Pillar with digital timer including concrete foundation and provision for power meter. </t>
  </si>
  <si>
    <t>15.7.6(i)a</t>
  </si>
  <si>
    <t>Supply &amp; Installation of 4c x 50 mm² Electrical copper cable, XLPE insulated, steel wire armored and PVC sheathed</t>
  </si>
  <si>
    <t>15.7.6(i)b</t>
  </si>
  <si>
    <t>Supply &amp; Installation of 4c x 35 mm² Electrical copper cable, XLPE insulated, steel wire armored and PVC sheathed</t>
  </si>
  <si>
    <t>15.7.6(i)c</t>
  </si>
  <si>
    <t>Supply &amp; Installation of 4c x 25 mm² Electrical copper cable, XLPE insulated, steel wire armored and PVCsheathed</t>
  </si>
  <si>
    <t>15.7.6(i)d</t>
  </si>
  <si>
    <t>Supply &amp; Installation of 4c x 16 mm² Electrical copper cable, XLPE insulated, steel wire armored and PVCsheathed</t>
  </si>
  <si>
    <t>15.7.6(i)e</t>
  </si>
  <si>
    <t>Single core standard insulated cable 10mm² installed with each lighting circuit cable for earthing continuity between the corresponding feeder pillar earthing bar and earthing bolts in columns.</t>
  </si>
  <si>
    <t>15.8.6(ii)a</t>
  </si>
  <si>
    <t>Galvanized tubular lighting columns a 12m ht with 1 bracket luminaries with HPS 400W ,</t>
  </si>
  <si>
    <t>15.8.6(ii)b</t>
  </si>
  <si>
    <t xml:space="preserve">Galvanized tubular lighting columns 12m ht with 2 bracket luminaries with HPS 400W </t>
  </si>
  <si>
    <t>15.8.6(ii)c</t>
  </si>
  <si>
    <t>Galvanized tubular lighting columns 12m ht with 3 bracket luminaries with HPS 400W ,</t>
  </si>
  <si>
    <t>15.8.6(ii)d</t>
  </si>
  <si>
    <t>15.8.6(ii)e</t>
  </si>
  <si>
    <t>15.8.6(ii)f</t>
  </si>
  <si>
    <t xml:space="preserve">15.15.7(i) </t>
  </si>
  <si>
    <t>Provide twin rod earthing installation for street light feeder pillar &amp; transformer.</t>
  </si>
  <si>
    <t xml:space="preserve">15.15.7(ii) </t>
  </si>
  <si>
    <t>Provide single rod earthing installation</t>
  </si>
  <si>
    <t>15.17.6(v)</t>
  </si>
  <si>
    <t>H type concrete foundation for 11kv/low voltage  pole mounted transformer station.</t>
  </si>
  <si>
    <t>15.17.6(vi)</t>
  </si>
  <si>
    <t>Concrete base for feeder pillar</t>
  </si>
  <si>
    <t>15.17.6(vii)a</t>
  </si>
  <si>
    <t>Trench for low/medium voltage cable for one cable</t>
  </si>
  <si>
    <t>15.17.6(vii)b</t>
  </si>
  <si>
    <t>Trench for low /medium voltage cable for two cables</t>
  </si>
  <si>
    <t>15.17.6(vii)c</t>
  </si>
  <si>
    <t>Trench for low/medium voltage cable for three or more cables</t>
  </si>
  <si>
    <t>15.17.6(ix)a</t>
  </si>
  <si>
    <t>Lighting column concrete foundation for single arm</t>
  </si>
  <si>
    <t>15.17.6(ix)b</t>
  </si>
  <si>
    <t>Lighting column concrete foundation for double arm</t>
  </si>
  <si>
    <t>15.17.6(ix)c</t>
  </si>
  <si>
    <t>Lighting column concrete foundation for three arm</t>
  </si>
  <si>
    <t>15.17.6(ix)d</t>
  </si>
  <si>
    <t>Supply and erect Flag pole foundation &amp; Post as per Sultanate of Oman Specifications</t>
  </si>
  <si>
    <t>15.17.6(xii)a</t>
  </si>
  <si>
    <t xml:space="preserve">100mm dia UPVC duct, in concrete encasement </t>
  </si>
  <si>
    <t>15.17.6(xii)b</t>
  </si>
  <si>
    <t>100mm dia UPVC duct, in median for cable</t>
  </si>
  <si>
    <t>15.17.6(xiii)</t>
  </si>
  <si>
    <t>Cable marker</t>
  </si>
  <si>
    <t>15.17.6(xv)</t>
  </si>
  <si>
    <t>Hand hole/draw pit (750x750x1000mm) including HD cover (Provisional)</t>
  </si>
  <si>
    <t>15.17.6(xvi)a</t>
  </si>
  <si>
    <t>15.17.6(xvi)b</t>
  </si>
  <si>
    <t>Empty Box (Bi-directional City - Design pole, technical cabinet etc)</t>
  </si>
  <si>
    <t>18.1.6(i)a</t>
  </si>
  <si>
    <t>Upvc split pipe 200mm dia for Electrical H.T cable</t>
  </si>
  <si>
    <t>18.1.6(i)b</t>
  </si>
  <si>
    <t>Upvc split pipe 150mm dia for Electrical LT cable</t>
  </si>
  <si>
    <t>18.1.6(i)c</t>
  </si>
  <si>
    <t>Upvc split pipe 100mm dia for Telephone line/cable</t>
  </si>
  <si>
    <t>18.1.6(i)d</t>
  </si>
  <si>
    <t>600mm dia Water pipe line protection as per details including precast reinforced slab below pavement,lifting hook etc. as approved for 600mm dia line.</t>
  </si>
  <si>
    <t>18.1.6(i)e</t>
  </si>
  <si>
    <t>500mm dia Water pipe line protection as per details including precast reinforced slab below pavement,lifting hook etc. as approved for 500mm dia line.</t>
  </si>
  <si>
    <t>18.1.6(i)f</t>
  </si>
  <si>
    <t>400mm dia Water pipe line protection as per details including precast reinforced slab below pavement,lifting hook etc. as approved for 400mm dia line.</t>
  </si>
  <si>
    <t>18.2.6(i)a</t>
  </si>
  <si>
    <t>18.2.6(i)b</t>
  </si>
  <si>
    <t>18.2.6(i)c</t>
  </si>
  <si>
    <t>18.2.6(i)d</t>
  </si>
  <si>
    <t>18.2.6(i)e</t>
  </si>
  <si>
    <t>18.2.6(i)f</t>
  </si>
  <si>
    <t>18.3.6(i)a</t>
  </si>
  <si>
    <t>Service ducts  uPVC 100mm dia two way</t>
  </si>
  <si>
    <t>18.3.6(i)b</t>
  </si>
  <si>
    <t>Service duct uPVC 150mm dia two way</t>
  </si>
  <si>
    <t>18.3.6(i)c</t>
  </si>
  <si>
    <t>Service ducts one  200 mm  uPVC  two way</t>
  </si>
  <si>
    <t>18.3.6(i)d</t>
  </si>
  <si>
    <t>Service ducts one  300 mm  uPVC  one way</t>
  </si>
  <si>
    <t xml:space="preserve">INTERCHANGE </t>
  </si>
  <si>
    <t>2.1.5(i)-1</t>
  </si>
  <si>
    <t>2.2.5(ii)-1</t>
  </si>
  <si>
    <t>Removal of existing   reinforced concrete.</t>
  </si>
  <si>
    <t>2.2.5(viii)-1</t>
  </si>
  <si>
    <t xml:space="preserve">Removal of existing asphalt pavement. </t>
  </si>
  <si>
    <t>2.3.6(i)-1</t>
  </si>
  <si>
    <t>2.4.6(i)a1-1</t>
  </si>
  <si>
    <t>2.4.6(i)a2-1</t>
  </si>
  <si>
    <t>2.6.6(i)-1</t>
  </si>
  <si>
    <t>2.7.6(i)-1</t>
  </si>
  <si>
    <t>2.7.6(ii)-1</t>
  </si>
  <si>
    <t>2.7.6(iii)-1</t>
  </si>
  <si>
    <t>2.7.6(iv)-1</t>
  </si>
  <si>
    <t>2.8.6(i)-1</t>
  </si>
  <si>
    <t>2.8.6(ii)-1</t>
  </si>
  <si>
    <t>3.2.6(ii)1-1</t>
  </si>
  <si>
    <t>3.2.6(ii)2-1</t>
  </si>
  <si>
    <t>3.3.6(ii)1-1</t>
  </si>
  <si>
    <t>3.3.6(ii)2-1</t>
  </si>
  <si>
    <t>3.3.6(ii)3-1</t>
  </si>
  <si>
    <t>4.2.8(i)-1</t>
  </si>
  <si>
    <t>4.2.8(ii)-1</t>
  </si>
  <si>
    <t>4.4.14(i)-1</t>
  </si>
  <si>
    <t>4.5.14(ii)-1</t>
  </si>
  <si>
    <t>4.12.10(i)-1</t>
  </si>
  <si>
    <t>5.1.7(i)a-1</t>
  </si>
  <si>
    <t>Concrete (Class15),blinding for culverts,Bridges, retaining walls,foundations, mass concrete   etc.</t>
  </si>
  <si>
    <t>5.1.7(i)b-1</t>
  </si>
  <si>
    <t>5.1.7(i)c-1</t>
  </si>
  <si>
    <t>Concrete Class30, for retaining walls  (Provisional)</t>
  </si>
  <si>
    <t>5.1.7(i)d-1</t>
  </si>
  <si>
    <t>Concrete (class30/20), for Bridge foundation, abutments, pier heads,return walls transition slab etc</t>
  </si>
  <si>
    <t>5.1.7(i)e-1</t>
  </si>
  <si>
    <t>Concrete Class45 Mpa , for Bridge  pier including features such as recess and or relief works etc complete as per design.</t>
  </si>
  <si>
    <t>5.1.7(i)f-1</t>
  </si>
  <si>
    <t>Pre stressed concrete Class 45 Mpa for Bridge deck slab with  voids  features etc complete as per design.</t>
  </si>
  <si>
    <t>5.1.7(ii)-1</t>
  </si>
  <si>
    <t>Extra over for Bridge deck void formers  700mm dia.</t>
  </si>
  <si>
    <t>5.2.6(i)-1</t>
  </si>
  <si>
    <t>5.2.6(ii)b1-1</t>
  </si>
  <si>
    <t>5.2.6(ii)b2-1</t>
  </si>
  <si>
    <t>5.2.6(iii)-1</t>
  </si>
  <si>
    <t>5.4.6(ii)-1</t>
  </si>
  <si>
    <t>Super low relaxation prestressing strands to BS 5896 including grouting,anchors  etc complete as per design.</t>
  </si>
  <si>
    <t>ton</t>
  </si>
  <si>
    <t>5.10.6(i)-1</t>
  </si>
  <si>
    <t>5.10.6(ii)a-1</t>
  </si>
  <si>
    <t>Water proofing to bridge deck slab as per design.</t>
  </si>
  <si>
    <t>5.10.6(ii)b-1</t>
  </si>
  <si>
    <t>Water proofing membrane to bridge foundations as per details design including sand cement screed as necessary.</t>
  </si>
  <si>
    <t>7.6(i)a-1</t>
  </si>
  <si>
    <t>Decorative type epoxy based paint to approved color and pattern to bridge deck slab and piers with features.</t>
  </si>
  <si>
    <t>7.6(i)b-1</t>
  </si>
  <si>
    <t>Decorative type epoxy based paint to approved color and pattern to retaining wall concrete surface with features. (Provisional)</t>
  </si>
  <si>
    <t>8.2.6(i)-1</t>
  </si>
  <si>
    <t>Storm sewer UPVC Pipe dia.100 mm. through duck slab.</t>
  </si>
  <si>
    <t>8.3.6(i)-1</t>
  </si>
  <si>
    <t>Inspection  chamber 1000mm x 1000mm internal size and depth up 1500mm including cover.</t>
  </si>
  <si>
    <t>8.4.6(ii)a-1</t>
  </si>
  <si>
    <t xml:space="preserve">75mm dia UPVC drainage pipes through abutment curtain wall. </t>
  </si>
  <si>
    <t>8.4.6(ii)b-1</t>
  </si>
  <si>
    <t>50mm dia non-metallic weep holes through abutment.</t>
  </si>
  <si>
    <t>10.1.6(i)-1</t>
  </si>
  <si>
    <t>Setting up at each piles.</t>
  </si>
  <si>
    <t>10.1.6(ii)-1</t>
  </si>
  <si>
    <t>900 mm dia. Pile length as per design.</t>
  </si>
  <si>
    <t>10.2.6(ii)a-1</t>
  </si>
  <si>
    <t>Static load test of working piles 900mm dia.shaft stress 3MPa.</t>
  </si>
  <si>
    <t>10.2.6(ii)b-1</t>
  </si>
  <si>
    <t>Preliminary Pile Load  test  to 2.5 times working load. (5000kN)</t>
  </si>
  <si>
    <t>10.2.6(iii)-1</t>
  </si>
  <si>
    <t>Non-destructive Integrity test  for 900mm dia piles.</t>
  </si>
  <si>
    <t>11.4.6(ii)-1</t>
  </si>
  <si>
    <t>Allow for construction joints between carriageway and bridge deck slab at abutments as per design.</t>
  </si>
  <si>
    <t>11.6.6(i)-1</t>
  </si>
  <si>
    <t>Cast-in-situ concrete  barrier  single face including stitching concrete, reinforcement etc..</t>
  </si>
  <si>
    <t>11.6.6(ii)-1</t>
  </si>
  <si>
    <t>SS railing to  both sides as per design including base plate, bolts &amp; nuts etc complete  as approved.</t>
  </si>
  <si>
    <t>9.1.6(ii)-1</t>
  </si>
  <si>
    <t>Mortared stone riprap (Class-A).</t>
  </si>
  <si>
    <t>9.2.6(i)a-1</t>
  </si>
  <si>
    <t>Gabions  of size up to 500mm thick.</t>
  </si>
  <si>
    <t>9.2.6(i)b-1</t>
  </si>
  <si>
    <t>Gabions  of size more than 500mm thick.</t>
  </si>
  <si>
    <t>9.2.6(iv)-1</t>
  </si>
  <si>
    <t>Filter membrane (Geotextile).</t>
  </si>
  <si>
    <t>9.9.6(ii)-1</t>
  </si>
  <si>
    <t>Concrete lined ditch 200mm thick  including slope preparation, reinforcement, expansion joints etc complete.</t>
  </si>
  <si>
    <t>9.12.7(i)1-1</t>
  </si>
  <si>
    <t>9.12.7(i)2-1</t>
  </si>
  <si>
    <t>9.12.7(iii)-1</t>
  </si>
  <si>
    <t>Concrete capping at top of  MSER Walls.</t>
  </si>
  <si>
    <t>12.1.7(i)a-1</t>
  </si>
  <si>
    <t xml:space="preserve">Precast concrete tile paving 60mm thick including base under. </t>
  </si>
  <si>
    <t>12.1.7(v)a-1</t>
  </si>
  <si>
    <t xml:space="preserve">Precast concrete 150mm X 350mm non mountable curb. </t>
  </si>
  <si>
    <t>12.1.7(v)b-1</t>
  </si>
  <si>
    <t xml:space="preserve">Precast concrete  200mm X 150mm Lip curb. </t>
  </si>
  <si>
    <t>12.1.7(v)c-1</t>
  </si>
  <si>
    <t>Precast concrete curb 100mm X 200mm Edge Curb.</t>
  </si>
  <si>
    <t>12.1.7(vi)-1</t>
  </si>
  <si>
    <t>Cast in - situ curb for  any  type.</t>
  </si>
  <si>
    <t>13.1.7(i)-1</t>
  </si>
  <si>
    <t>W-Beam Guardrail  standard section.</t>
  </si>
  <si>
    <t>13.1.7(ii)-1</t>
  </si>
  <si>
    <t>W-Beam Guardrail  Transition section.</t>
  </si>
  <si>
    <t>13.1.7(iii)a-1</t>
  </si>
  <si>
    <t>W-Beam Guardrail  Terminal section Type-I.</t>
  </si>
  <si>
    <t>13.1.7(iii)b-1</t>
  </si>
  <si>
    <t>W-Beam Guardrail  Terminal section Type-II.</t>
  </si>
  <si>
    <t>13.1.7(vii)a1-1</t>
  </si>
  <si>
    <t>13.1.7(vii)a2-1</t>
  </si>
  <si>
    <t>13.1.7(ix)-1</t>
  </si>
  <si>
    <t>Concrete Barrier Transition section Single face.</t>
  </si>
  <si>
    <t>14.1.7(i)a-1</t>
  </si>
  <si>
    <t>14.1.7(i)b-1</t>
  </si>
  <si>
    <t>14.1.7(ii)a-1</t>
  </si>
  <si>
    <t>14.1.7(ii)b-1</t>
  </si>
  <si>
    <t>14.1.7(iii)-1</t>
  </si>
  <si>
    <t>14.1.7(iv)-1</t>
  </si>
  <si>
    <t>14.1.7(v)a-1</t>
  </si>
  <si>
    <t>14.1.7(v)b-1</t>
  </si>
  <si>
    <t>14.1.7(v)c-1</t>
  </si>
  <si>
    <t>14.2.6(i)-1</t>
  </si>
  <si>
    <t>14.2.6(iii)-1</t>
  </si>
  <si>
    <t>14.2.6(iv)-1</t>
  </si>
  <si>
    <t>14.3.6(i)a-1</t>
  </si>
  <si>
    <t>14.3.6(i)b-1</t>
  </si>
  <si>
    <t>15.1.20(i)-1</t>
  </si>
  <si>
    <t>15.5.6(i)-1</t>
  </si>
  <si>
    <t>15.6.6(i)-1</t>
  </si>
  <si>
    <t xml:space="preserve">Feeder pillar -Supply &amp; Installation of100A 4 way distribution Feeder Pillar with digital timer including concrete foundation and provision for power meter. </t>
  </si>
  <si>
    <t>15.7.6(i)a-1</t>
  </si>
  <si>
    <t>Supply &amp; Installation of 4c x 120 mm² Electrical copper cable, XLPE insulated, steel wire armored and PVC sheathed.</t>
  </si>
  <si>
    <t>15.7.6(i)b-1</t>
  </si>
  <si>
    <t>Supply &amp; Installation of 4c x 25 mm² Electrical copper cable, XLPE insulated, steel wire armored and PVCsheathed.</t>
  </si>
  <si>
    <t>15.7.6(i)c-1</t>
  </si>
  <si>
    <t>Supply &amp; Installation of 4c x 16 mm² Electrical copper cable, XLPE insulated, steel wire armored and PVCsheathed.</t>
  </si>
  <si>
    <t>15.7.6(i)d-1</t>
  </si>
  <si>
    <t>Single core standard insulated cable 10mm² installed with each lighting circuit cable for earthing continuity between the corresponding feeder pillarearthing bar and earthing bolts in columns.</t>
  </si>
  <si>
    <t>15.8.6(ii)a-1</t>
  </si>
  <si>
    <t>Galvanized tubular lighting columns a 8m ht with 1 bracket luminaries with HPS 400W ,</t>
  </si>
  <si>
    <t>15.8.6(ii)b-1</t>
  </si>
  <si>
    <t xml:space="preserve">Galvanized tubular lighting columns 8m ht with 2 bracket luminaries with HPS 400W </t>
  </si>
  <si>
    <t>15.8.6(iii)-1</t>
  </si>
  <si>
    <t>Columns and High mast testing</t>
  </si>
  <si>
    <t>15.10.6(i)-1</t>
  </si>
  <si>
    <t>Under bridge surface mounted luminaries(400W)  including cabling fixing in position etc complete all.</t>
  </si>
  <si>
    <t>15.15.7(i)-1</t>
  </si>
  <si>
    <t>15.15.7(ii)-1</t>
  </si>
  <si>
    <t>15.17.6(v)-1</t>
  </si>
  <si>
    <t>15.17.6(vi)-1</t>
  </si>
  <si>
    <t>15.17.6(vii)a-1</t>
  </si>
  <si>
    <t>15.17.6(vii)b-1</t>
  </si>
  <si>
    <t>15.17.6(vii)c-1</t>
  </si>
  <si>
    <t>15.17.6(ix)a-1</t>
  </si>
  <si>
    <t>15.17.6(ix)b-1</t>
  </si>
  <si>
    <t>15.17.6(xii)-1</t>
  </si>
  <si>
    <t xml:space="preserve">100mm dia UPVC duct, in concrete encasement. </t>
  </si>
  <si>
    <t>15.17.6(xiii)-1</t>
  </si>
  <si>
    <t>Cable marker.</t>
  </si>
  <si>
    <t>18.1.6(i)a-1</t>
  </si>
  <si>
    <t>Upvc split pipe 200mm dia for Electrical H.T cable.</t>
  </si>
  <si>
    <t>18.1.6(i)b-1</t>
  </si>
  <si>
    <t>Upvc split pipe 150mm dia for Electrical LT cable.</t>
  </si>
  <si>
    <t>18.1.6(i)c-1</t>
  </si>
  <si>
    <t>Upvc split pipe 100mm dia for Telephone line/cable.</t>
  </si>
  <si>
    <t>18.1.6(i)d-1</t>
  </si>
  <si>
    <t xml:space="preserve">Water pipe line protection as per details including precast reinforced slab below pavement,lifting hook etc. </t>
  </si>
  <si>
    <t>18.3.6(i)a-1</t>
  </si>
  <si>
    <t>Service ducts  uPVC 100mm dia two way.</t>
  </si>
  <si>
    <t>18.3.6(i)b-1</t>
  </si>
  <si>
    <t>Service duct uPVC 150mm dia two way.</t>
  </si>
  <si>
    <t>18.3.6(i)c-1</t>
  </si>
  <si>
    <t>Service ducts one  200 mm  uPVC  two way.</t>
  </si>
  <si>
    <t>18.3.6(i)d-1</t>
  </si>
  <si>
    <t>Service ducts one  300 mm  uPVC  one way.</t>
  </si>
  <si>
    <t>* Time elapsed</t>
  </si>
  <si>
    <t>S.No.</t>
  </si>
  <si>
    <t>Description</t>
  </si>
  <si>
    <t>Budget</t>
  </si>
  <si>
    <t>Actual (For the day)</t>
  </si>
  <si>
    <t>Prod'vity Norm</t>
  </si>
  <si>
    <t>Work done Quantity for the day</t>
  </si>
  <si>
    <t>Budgeted Days</t>
  </si>
  <si>
    <t>Actual Days</t>
  </si>
  <si>
    <t>% of Utiliz'tn</t>
  </si>
  <si>
    <t>Actual Prod'vity</t>
  </si>
  <si>
    <t>Bull Dozer</t>
  </si>
  <si>
    <t>C&amp; G</t>
  </si>
  <si>
    <t>Sqm/Day</t>
  </si>
  <si>
    <t>Collection of material for EMB</t>
  </si>
  <si>
    <t>Cum/day</t>
  </si>
  <si>
    <t>Collection of material for GSB</t>
  </si>
  <si>
    <t>Maintenance and protection of Trafic</t>
  </si>
  <si>
    <t>Mobile Crusher</t>
  </si>
  <si>
    <t>Front End Loader</t>
  </si>
  <si>
    <t>Clearing and Grubbing</t>
  </si>
  <si>
    <t>sqm/day</t>
  </si>
  <si>
    <t>sqm</t>
  </si>
  <si>
    <t>Structural excavation</t>
  </si>
  <si>
    <t>Motor Grader</t>
  </si>
  <si>
    <t>Unclassified Excavation</t>
  </si>
  <si>
    <t>Granular Sub Base Laying</t>
  </si>
  <si>
    <t>Excavator</t>
  </si>
  <si>
    <t>Extraction of ABC</t>
  </si>
  <si>
    <t>Feeding to Crusher-ABC</t>
  </si>
  <si>
    <t>cum</t>
  </si>
  <si>
    <t>Removal of loose riprap</t>
  </si>
  <si>
    <t>Vibratory Roller</t>
  </si>
  <si>
    <t>C&amp;G</t>
  </si>
  <si>
    <t>Granular Sub Base</t>
  </si>
  <si>
    <t>Aggregate Base Course</t>
  </si>
  <si>
    <t>Foundation Prepration</t>
  </si>
  <si>
    <t>Service/ Access road maintenance</t>
  </si>
  <si>
    <t>Removal of loose Riprap</t>
  </si>
  <si>
    <t>Water Tanker</t>
  </si>
  <si>
    <t>Laying of Embankment Material</t>
  </si>
  <si>
    <t>Laying of Granular Sub Base</t>
  </si>
  <si>
    <t>Structural Curing Works</t>
  </si>
  <si>
    <t>day</t>
  </si>
  <si>
    <t>Camp (Prelims)</t>
  </si>
  <si>
    <t>Tipper</t>
  </si>
  <si>
    <t>Date :</t>
  </si>
  <si>
    <t>Remarks</t>
  </si>
  <si>
    <t>Projected Days</t>
  </si>
  <si>
    <t/>
  </si>
  <si>
    <t>Mason</t>
  </si>
  <si>
    <t>Blinding</t>
  </si>
  <si>
    <t>Box Culvert- C30/20</t>
  </si>
  <si>
    <t>Bridges-C30/20 (Retaining Wall)</t>
  </si>
  <si>
    <t>Bridges-C30/20 (Bridge)</t>
  </si>
  <si>
    <t>Storm Sewer  HDPE Pipe</t>
  </si>
  <si>
    <t>100mm dia UPVC Pipe</t>
  </si>
  <si>
    <t>Service Duct (100 mm dia)</t>
  </si>
  <si>
    <t>Service Duct(150 mm dia)</t>
  </si>
  <si>
    <t>Camp Work</t>
  </si>
  <si>
    <t>Carpenter</t>
  </si>
  <si>
    <t>Sqm/day</t>
  </si>
  <si>
    <t>Bridges-C30/20</t>
  </si>
  <si>
    <t>Steel Fixer</t>
  </si>
  <si>
    <t>Cutting &amp; Bending</t>
  </si>
  <si>
    <t>KG</t>
  </si>
  <si>
    <t>Steel fixing</t>
  </si>
  <si>
    <t>kg</t>
  </si>
  <si>
    <t>Helper</t>
  </si>
  <si>
    <t>Earthwork in Cutting</t>
  </si>
  <si>
    <t>Removal of Reinforced Concrete</t>
  </si>
  <si>
    <t>Structural Excavation</t>
  </si>
  <si>
    <t>GSB Laying</t>
  </si>
  <si>
    <t>ABC Laying</t>
  </si>
  <si>
    <t>Asphalt</t>
  </si>
  <si>
    <t>Asphalt on Diversion</t>
  </si>
  <si>
    <t>Concrete works</t>
  </si>
  <si>
    <t>MT</t>
  </si>
  <si>
    <t>Wbeam</t>
  </si>
  <si>
    <t>Lm</t>
  </si>
  <si>
    <t>Survey Helper</t>
  </si>
  <si>
    <t>month</t>
  </si>
  <si>
    <t>nos</t>
  </si>
  <si>
    <t>Flagman</t>
  </si>
  <si>
    <t>Barrier Fixing</t>
  </si>
  <si>
    <t>Traffic Maintenance</t>
  </si>
  <si>
    <t>Maintenance and Protection of Traffic</t>
  </si>
  <si>
    <t>Backfilling</t>
  </si>
  <si>
    <t>Actual (for the day)</t>
  </si>
  <si>
    <t>Cumulative Work done</t>
  </si>
  <si>
    <t>Work days</t>
  </si>
  <si>
    <t>Pavement Widening including unclassified excavation,  sub grade preparation, aggregate base course, bituminous wearing course, including saw cutting &amp; abutting, stepping as necessary, etc. all as per drawing, specification,carting away debris  and making good to match with existing.</t>
  </si>
  <si>
    <t>Fabricate and fix IPE 100 or equivalent Steel pipe parapet including 50mm dia cross pipes and other allied items as required  all as per details at location shown on drawing, height up to 1400mm including concrete foundation, painting as detailed etc. complete.</t>
  </si>
  <si>
    <t>Supply &amp; install recessed type surface mounted 56 W  luminaries (CRx200 ASYM-JTM) or equivalent as approved, including conduits/ducts, cabling, timers, junction boxes, switches,connection from  existing power source, testing &amp; commissioning etc complete  all as per approved shop drawing.</t>
  </si>
  <si>
    <t>Supply &amp; installation of square wall recessed luminaries with indirect optical system, die cast aluminum body sealed to IP 65 Suitable for 13W/26W,TC-T/70W,HST-DE/70W,HIT-DE lamps including, wiring,timers,junction boxes switches, connection for existing power surface, testing &amp; commisiontion etc.. Complete all as per approved shop drawing.</t>
  </si>
  <si>
    <t>Supply &amp; installation of Architectural floor recessed LED luminaries, IP 66 rated, protect with the IEC medium beam range at 30° Angle UL tested including wiring, timer, junction box, switches, connect to existing power supply, testing commissioning etc.. Complete all as per approved shop drawing.</t>
  </si>
  <si>
    <t>Supply and installation of Fixed speed tracking system using laser beam  including  documentation unit with LIDAR,CPU,hard disc,measuring software  2nos. high resolution cameras,flash units, warranty, necessary trenching, excavations, fiber optic cable, power cables, draw pits, foundations, shop drawings, commissioning &amp; handing over to Royal Oman Police all as per  specification.</t>
  </si>
  <si>
    <t xml:space="preserve">Relocate existing Electrical H.T line  including preparation of shop drawings, obtain approval  from the concerned Authorities, provide new materials as required, excavation, back filling,bedding,posts, ducts, cable as necessary, shut down, termination, testing and recommissioning etc complete to the satisfaction of the Engineer all as per approved shop drawing at various locations. </t>
  </si>
  <si>
    <t xml:space="preserve">Relocate existing Electrical L.T line  including preparation of shop drawings, obtain approval  from the concerned Authorities, provide new materials as required, excavation, back filling,bedding,posts, ducts, cable as necessary, shut down, termination, testing and recommissioning etc complete to the satisfaction of the Engineer all as per approved shop drawing at various locations. </t>
  </si>
  <si>
    <t xml:space="preserve">Relocate existing Telephone line  including preparation of shop drawings, obtain approval  from the concerned Authorities, provide new materials as required, excavation, ducting, back filling,bedding,cable as necessary, shut down, Terminations, testing and making it operational etc. complete to the satisfaction of the Engineer and all as necessary for the project requirement at various locations. </t>
  </si>
  <si>
    <t xml:space="preserve">Relocate existing water line  600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</si>
  <si>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 xml:space="preserve">Relocate existing water line  500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</si>
  <si>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 xml:space="preserve">Relocate existing water line  400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</si>
  <si>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Loading &amp; Mixing of Embankment material</t>
  </si>
  <si>
    <t>Loading &amp; Mixing of GSB material</t>
  </si>
  <si>
    <t>Internal carting &amp; stocking of GSB</t>
  </si>
  <si>
    <t>Cumulative (For the month)</t>
  </si>
  <si>
    <t>Date  :</t>
  </si>
  <si>
    <t>Storm sewer</t>
  </si>
  <si>
    <t>Loading and Mixing of Embankment Material</t>
  </si>
  <si>
    <t>100mm dia median cable</t>
  </si>
  <si>
    <t>C &amp; G</t>
  </si>
  <si>
    <t>Bituminous paint</t>
  </si>
  <si>
    <t>Embankment Borrow Excavation</t>
  </si>
  <si>
    <t>GSB Borrow Excavation</t>
  </si>
  <si>
    <t>ABC Borrow Extraction</t>
  </si>
  <si>
    <t>ABC  (Class A)-Crushing &amp; Transportation (Al Adrak Material)</t>
  </si>
  <si>
    <t xml:space="preserve">400mm dia Water pipe line protection precast reinforced slab </t>
  </si>
  <si>
    <t>BBC/BWC Aggregate borrow excavation</t>
  </si>
  <si>
    <t>Extraction of ABC material</t>
  </si>
  <si>
    <t>Maintenance of Access Roads / Area levelling</t>
  </si>
  <si>
    <t>Clearing &amp; grubbing</t>
  </si>
  <si>
    <t>Collection of screened material for Embankment</t>
  </si>
  <si>
    <t>Granular sub base - Extraction &amp; screening</t>
  </si>
  <si>
    <t>ABC - Extraction &amp; screening</t>
  </si>
  <si>
    <t>ABC - Loading to ABC plant</t>
  </si>
  <si>
    <t>Shoulder preparation</t>
  </si>
  <si>
    <t>Service ducts</t>
  </si>
  <si>
    <t>Crusher works (VSI + Static crusher)</t>
  </si>
  <si>
    <t>Diversions</t>
  </si>
  <si>
    <t>Access road/Haul road maintenance</t>
  </si>
  <si>
    <t>Embankment slope trimming</t>
  </si>
  <si>
    <t>Feeding to power screen - GSB</t>
  </si>
  <si>
    <t>Excavation for storm sewer</t>
  </si>
  <si>
    <t>Breaking of boulders in Wadi</t>
  </si>
  <si>
    <t>Extraction for static crusher</t>
  </si>
  <si>
    <t>Mixing of GSB Material</t>
  </si>
  <si>
    <t>Laying &amp; Compaction of ABC</t>
  </si>
  <si>
    <t>Mixing of ABC material</t>
  </si>
  <si>
    <t>ABC - Crusher area - Dust suppression</t>
  </si>
  <si>
    <t>BBC/BWC laying</t>
  </si>
  <si>
    <t>Foundation Preparation for Culverts</t>
  </si>
  <si>
    <t>Structural Excavation works</t>
  </si>
  <si>
    <t>lin.m./day</t>
  </si>
  <si>
    <t>ABC - Crusher to ABC plant</t>
  </si>
  <si>
    <t>Asphalt shifting</t>
  </si>
  <si>
    <t>Excavation &amp; Backfilling</t>
  </si>
  <si>
    <t>Maintenance &amp; Protection of traffic</t>
  </si>
  <si>
    <t>Feeding for Bar screen</t>
  </si>
  <si>
    <t>Shifting of screened boulders in borrow area</t>
  </si>
  <si>
    <t>Waste/debris disposal to municipality waste yard</t>
  </si>
  <si>
    <t>Tipper Trailer</t>
  </si>
  <si>
    <t>Shifting of Screened boulders from Borrow Area to Stock</t>
  </si>
  <si>
    <t>Shifting of sand from private crusher</t>
  </si>
  <si>
    <t>JCB</t>
  </si>
  <si>
    <t>Back filling-Structures</t>
  </si>
  <si>
    <t>Storm water drain</t>
  </si>
  <si>
    <t>Water pipe line protection</t>
  </si>
  <si>
    <t>Service Ducts</t>
  </si>
  <si>
    <t>Bridges-C45/20 (Bridge Girders)</t>
  </si>
  <si>
    <t>Precasting of Barrier works</t>
  </si>
  <si>
    <t>Waterline protection works</t>
  </si>
  <si>
    <t>RJR erection - Bridges &amp; Ics</t>
  </si>
  <si>
    <t>ABC Crushing</t>
  </si>
  <si>
    <t>Prime Coat &amp; Tack coat</t>
  </si>
  <si>
    <t>Earthwork in Filling - Emb laying</t>
  </si>
  <si>
    <t>Steel cutting</t>
  </si>
  <si>
    <t>Structural Backfilling</t>
  </si>
  <si>
    <t>100mm dia UPVC Pipe (Median cable)</t>
  </si>
  <si>
    <t>Month (Cumulative)</t>
  </si>
  <si>
    <t>Camp Work &amp; VSI crusher</t>
  </si>
  <si>
    <t>Site conditions (Actual)</t>
  </si>
  <si>
    <t>% Utiliz'tn (Actual)</t>
  </si>
  <si>
    <t>Site conditions (Actual f.t. Month)</t>
  </si>
  <si>
    <t>Site norms</t>
  </si>
  <si>
    <t>Shifting Aggregate from Al Adrak to BEW</t>
  </si>
  <si>
    <t>Trench excavation and backfilling</t>
  </si>
  <si>
    <t>Precasting of Water Line Slab works</t>
  </si>
  <si>
    <t>Shifting Aggregate from 19km to Site</t>
  </si>
  <si>
    <t>Bolder shifting from 19km B/P to Crusher top</t>
  </si>
  <si>
    <t>Aggregate shifting for VSI from 19km B/p</t>
  </si>
  <si>
    <t>Dry Aggregate from 19km B/P to ABC stock</t>
  </si>
  <si>
    <t>Unscreened material from 19km B/P to Crusher ramp</t>
  </si>
  <si>
    <t>Cover block making (Camp casting yard)</t>
  </si>
  <si>
    <t>Grader</t>
  </si>
  <si>
    <t>17 trips * 8cum</t>
  </si>
  <si>
    <t>35 trips @ 10cum</t>
  </si>
  <si>
    <t>Boulder shifting from 19km B/P to Crusher top</t>
  </si>
  <si>
    <t>Feeding to Power Screen - Emb</t>
  </si>
  <si>
    <t>Bed Preparation (Culvert)</t>
  </si>
  <si>
    <t>Barrier Precasting</t>
  </si>
  <si>
    <t>Waterline protection works - Precasting</t>
  </si>
  <si>
    <t>Water bar , Dowel Bar Fixing</t>
  </si>
  <si>
    <t>Shjifting of RJR Material</t>
  </si>
  <si>
    <t>Loading and Unloading</t>
  </si>
  <si>
    <t>Waterline Protection Work - Precasting</t>
  </si>
  <si>
    <t>Steel Fixing - Girder Casting Works</t>
  </si>
  <si>
    <t>Manhole chamber 700mm x 700mm internal size and depth minimum 1200mm, in concrete class 30 at median including DI cover and gratings. Casting</t>
  </si>
  <si>
    <t>Manhole chamber 700mm x 700mm internal size and depth minimum 1200mm, in concrete class 30 at median including DI cover and gratings. Errection</t>
  </si>
  <si>
    <t>Manhole chamber 600mm x 600mm internal size and depth minimum 1200mm, in concrete class 30 at median including DI cover and gratings. Casting</t>
  </si>
  <si>
    <t>Manhole chamber 600mm x 600mm internal size and depth minimum 1200mm, in concrete class 30 at median including DI cover and gratings. Errection</t>
  </si>
  <si>
    <t>Unclassified structural excavation (depth 0m to 2.0m) (Backfilling)</t>
  </si>
  <si>
    <t>V</t>
  </si>
  <si>
    <t>Asphalt Shifting to Musanna</t>
  </si>
  <si>
    <t>Total</t>
  </si>
  <si>
    <t>Pavement widening work</t>
  </si>
  <si>
    <t>Rip Rap Bed preparation</t>
  </si>
  <si>
    <t>Utilities (Water line relocation work)</t>
  </si>
  <si>
    <t>110 mm Dia Water Line duct</t>
  </si>
  <si>
    <t>ABC - Mixing and Loading to site</t>
  </si>
  <si>
    <t>Subgrade Preparation in cut</t>
  </si>
  <si>
    <t>Embankment - Transportation to Site</t>
  </si>
  <si>
    <t>Granular Sub Base - Transportation to site</t>
  </si>
  <si>
    <t>ABC- Transportation to site</t>
  </si>
  <si>
    <t>Water line protection work - Casting</t>
  </si>
  <si>
    <t>Catch pit - Type A</t>
  </si>
  <si>
    <t>nr</t>
  </si>
  <si>
    <t>Social Work ( Mussanah MOH)</t>
  </si>
  <si>
    <t>Scaffolding Works</t>
  </si>
  <si>
    <t>GSB Laying (Diversion)</t>
  </si>
  <si>
    <t>Pavement Widening (Embankment)</t>
  </si>
  <si>
    <t>Pavement Widening(ABC)</t>
  </si>
  <si>
    <t>Pavement Widening (Prime Coat)</t>
  </si>
  <si>
    <t>Pavement Widening (Safety)</t>
  </si>
  <si>
    <t>W Beam Guard Rail</t>
  </si>
  <si>
    <t>linm</t>
  </si>
  <si>
    <t>Shovel</t>
  </si>
  <si>
    <t>Diversions (Sub Base)</t>
  </si>
  <si>
    <t>Shifting Sand to BEW Crusher</t>
  </si>
  <si>
    <t>Feeding to Tippers (Bar Screen)</t>
  </si>
  <si>
    <t>Pavement Widening (Asphalt Removal)</t>
  </si>
  <si>
    <t>Pavement Widening (ABC Laying)</t>
  </si>
  <si>
    <t>Pavement widening (Excavation)</t>
  </si>
  <si>
    <t xml:space="preserve">Camp Construction </t>
  </si>
  <si>
    <t>Al Awabi Work (Duct Work)</t>
  </si>
  <si>
    <t>Culvert Bed preparation</t>
  </si>
  <si>
    <t>AVERAGE</t>
  </si>
  <si>
    <t>Embankment Laying (MCW)</t>
  </si>
  <si>
    <t>Embankment Laying (IC)</t>
  </si>
  <si>
    <t>Post tensioning</t>
  </si>
  <si>
    <t>Sl.Nr.</t>
  </si>
  <si>
    <t>Vehicle/Equipment</t>
  </si>
  <si>
    <t>Projection hours</t>
  </si>
  <si>
    <t>Dozer</t>
  </si>
  <si>
    <t>V.Roller</t>
  </si>
  <si>
    <t>W.Tanker</t>
  </si>
  <si>
    <t>Tipper/Trailer</t>
  </si>
  <si>
    <t>Asphalt Removal</t>
  </si>
  <si>
    <t>Mortared Stone Rip Rap</t>
  </si>
  <si>
    <t>MSE Wall Precasting</t>
  </si>
  <si>
    <t>Riprap &amp; Gabion Work</t>
  </si>
  <si>
    <t>Pavement Widening (Asphalt)</t>
  </si>
  <si>
    <t>MSE Wall Casting</t>
  </si>
  <si>
    <t>Catchpit (Type A)</t>
  </si>
  <si>
    <t>Removal of concrete curbs</t>
  </si>
  <si>
    <t>Removal of interlocking tiles</t>
  </si>
  <si>
    <t>Removal of Steel Safety barrier</t>
  </si>
  <si>
    <t>Removal of Bituminous Pavement</t>
  </si>
  <si>
    <t>Removal of mortar riprap</t>
  </si>
  <si>
    <t>Removal of lighting poles</t>
  </si>
  <si>
    <t>Riprap Area Preparation</t>
  </si>
  <si>
    <t>Removal of bitumious pavement</t>
  </si>
  <si>
    <t>Sign post support assembly, including foundation( Single) Casting 35%</t>
  </si>
  <si>
    <t>Sign post support assembly, including foundation( Single) Errecation 65%</t>
  </si>
  <si>
    <t>Bridge deck void formers  700mm dia.</t>
  </si>
  <si>
    <t>Linm</t>
  </si>
  <si>
    <t>Riprap Work  (Bed Preparation)</t>
  </si>
  <si>
    <t>Girder Sheathing Duct</t>
  </si>
  <si>
    <t>Bed Preparation for Girder Erection</t>
  </si>
  <si>
    <t>T SWAMY</t>
  </si>
  <si>
    <t>NAGARAJAN</t>
  </si>
  <si>
    <t>A.K. SINGH</t>
  </si>
  <si>
    <t>For the Day</t>
  </si>
  <si>
    <t xml:space="preserve">For the Month </t>
  </si>
  <si>
    <t>Budg. Days</t>
  </si>
  <si>
    <t>% of Util</t>
  </si>
  <si>
    <t>Equipment</t>
  </si>
  <si>
    <t>Manpower</t>
  </si>
  <si>
    <t>RO</t>
  </si>
  <si>
    <t>Unclassified structural excavation (depth 0m to 2.0m) (Excavation)</t>
  </si>
  <si>
    <t>Unclassified structural excavation (depth 0m to 2.0m) Back filling</t>
  </si>
  <si>
    <t>A.K.SINGH</t>
  </si>
  <si>
    <t>FTD</t>
  </si>
  <si>
    <t>FTM</t>
  </si>
  <si>
    <t>2.4.6(i)a-1</t>
  </si>
  <si>
    <t>8.3.6(i)c-1</t>
  </si>
  <si>
    <t>18.1.6(i)f-casting</t>
  </si>
  <si>
    <t>600mm dia Poly Proplyne pipe</t>
  </si>
  <si>
    <t>Achieved</t>
  </si>
  <si>
    <t>Week1</t>
  </si>
  <si>
    <t>Week2</t>
  </si>
  <si>
    <t>Week3</t>
  </si>
  <si>
    <t>Week4</t>
  </si>
  <si>
    <t>Week5</t>
  </si>
  <si>
    <t>Rock</t>
  </si>
  <si>
    <t>Sept-2017</t>
  </si>
  <si>
    <t>1 to 7</t>
  </si>
  <si>
    <t>9 to 14</t>
  </si>
  <si>
    <t>23 to 28</t>
  </si>
  <si>
    <t>MSE Wall Erection</t>
  </si>
  <si>
    <t>linm/day</t>
  </si>
  <si>
    <t>Camp / Lab / Store / Office / Workshop / Tco/Fuel</t>
  </si>
  <si>
    <t>16 to 22</t>
  </si>
  <si>
    <t>Resource Capacity Utilization Report -Month xxxx</t>
  </si>
  <si>
    <t>xxxx</t>
  </si>
  <si>
    <t xml:space="preserve">Project Name : </t>
  </si>
  <si>
    <r>
      <t xml:space="preserve">Total </t>
    </r>
    <r>
      <rPr>
        <b/>
        <u/>
        <sz val="11"/>
        <color rgb="FFFF0000"/>
        <rFont val="Calibri"/>
        <family val="2"/>
        <scheme val="minor"/>
      </rPr>
      <t>hours</t>
    </r>
    <r>
      <rPr>
        <b/>
        <sz val="11"/>
        <color theme="1"/>
        <rFont val="Calibri"/>
        <family val="2"/>
        <scheme val="minor"/>
      </rPr>
      <t xml:space="preserve"> deployed everyday FTM xxxx (Day Shift)</t>
    </r>
  </si>
  <si>
    <t>Plan hours</t>
  </si>
  <si>
    <r>
      <t xml:space="preserve">Total </t>
    </r>
    <r>
      <rPr>
        <b/>
        <u/>
        <sz val="11"/>
        <color rgb="FFFF0000"/>
        <rFont val="Calibri"/>
        <family val="2"/>
        <scheme val="minor"/>
      </rPr>
      <t>hours</t>
    </r>
    <r>
      <rPr>
        <b/>
        <sz val="11"/>
        <color theme="1"/>
        <rFont val="Calibri"/>
        <family val="2"/>
        <scheme val="minor"/>
      </rPr>
      <t xml:space="preserve"> deployed everyday FTM xxxx  (Night Shift)</t>
    </r>
  </si>
  <si>
    <r>
      <t xml:space="preserve">Total </t>
    </r>
    <r>
      <rPr>
        <b/>
        <u/>
        <sz val="11"/>
        <color rgb="FFFF0000"/>
        <rFont val="Calibri"/>
        <family val="2"/>
        <scheme val="minor"/>
      </rPr>
      <t>hours</t>
    </r>
    <r>
      <rPr>
        <b/>
        <sz val="11"/>
        <color theme="1"/>
        <rFont val="Calibri"/>
        <family val="2"/>
        <scheme val="minor"/>
      </rPr>
      <t xml:space="preserve"> deployed everyday FTM XXXX </t>
    </r>
  </si>
  <si>
    <t>Progress for the Month of xxxx</t>
  </si>
  <si>
    <t xml:space="preserve">PROJECT      :  </t>
  </si>
  <si>
    <t xml:space="preserve">CLIENT          :  </t>
  </si>
  <si>
    <t xml:space="preserve">CONTRACTOR : </t>
  </si>
  <si>
    <t>Site Manager 1</t>
  </si>
  <si>
    <t>Site Manager 2</t>
  </si>
  <si>
    <t>Site Manager 3</t>
  </si>
  <si>
    <t>date 1</t>
  </si>
  <si>
    <t>date 2</t>
  </si>
  <si>
    <t>date 3</t>
  </si>
  <si>
    <t>date 4</t>
  </si>
  <si>
    <t>date 5</t>
  </si>
  <si>
    <t>date 6</t>
  </si>
  <si>
    <t>date 7</t>
  </si>
  <si>
    <t>date 8</t>
  </si>
  <si>
    <t>date 9</t>
  </si>
  <si>
    <t>date 10</t>
  </si>
  <si>
    <t>date 11</t>
  </si>
  <si>
    <t>date 12</t>
  </si>
  <si>
    <t>date 13</t>
  </si>
  <si>
    <t>date 14</t>
  </si>
  <si>
    <t>date 15</t>
  </si>
  <si>
    <t>date 16</t>
  </si>
  <si>
    <t>date 17</t>
  </si>
  <si>
    <t>date 18</t>
  </si>
  <si>
    <t>date 19</t>
  </si>
  <si>
    <t>date 20</t>
  </si>
  <si>
    <t>date 21</t>
  </si>
  <si>
    <t>date 22</t>
  </si>
  <si>
    <t>date 23</t>
  </si>
  <si>
    <t>date 24</t>
  </si>
  <si>
    <t>date 25</t>
  </si>
  <si>
    <t>date 26</t>
  </si>
  <si>
    <t>date 27</t>
  </si>
  <si>
    <t>date 28</t>
  </si>
  <si>
    <t>date 29</t>
  </si>
  <si>
    <t>date 30</t>
  </si>
  <si>
    <t>date 31</t>
  </si>
  <si>
    <t xml:space="preserve">Cumulative  for the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</si>
</sst>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8">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quot;£&quot;#,##0;\-&quot;£&quot;#,##0"/>
    <numFmt numFmtId="165" formatCode="_-* #,##0_-;\-* #,##0_-;_-* &quot;-&quot;_-;_-@_-"/>
    <numFmt numFmtId="166" formatCode="_-* #,##0.00_-;\-* #,##0.00_-;_-* &quot;-&quot;??_-;_-@_-"/>
    <numFmt numFmtId="167" formatCode="_(* #,##0.000_);_(* \(#,##0.000\);_(* &quot;-&quot;??_);_(@_)"/>
    <numFmt numFmtId="168" formatCode="_(* #,##0_);_(* \(#,##0\);_(* &quot;-&quot;??_);_(@_)"/>
    <numFmt numFmtId="169" formatCode="[$-409]d\-mmm\-yy;@"/>
    <numFmt numFmtId="170" formatCode="#,##0.000"/>
    <numFmt numFmtId="171" formatCode="[$-409]d\-mmm;@"/>
    <numFmt numFmtId="172" formatCode="#,##0.0"/>
    <numFmt numFmtId="173" formatCode="0.000"/>
    <numFmt numFmtId="174" formatCode="_(* #,##0.0_);_(* \(#,##0.0\);_(* &quot;-&quot;??_);_(@_)"/>
    <numFmt numFmtId="175" formatCode="_-* #,##0.00\ [$€]_-;\-* #,##0.00\ [$€]_-;_-* &quot;-&quot;??\ [$€]_-;_-@_-"/>
    <numFmt numFmtId="176" formatCode="&quot;\&quot;#,##0;[Red]&quot;\&quot;\-#,##0"/>
    <numFmt numFmtId="177" formatCode="&quot;\&quot;#,##0.00;[Red]&quot;\&quot;\-#,##0.00"/>
    <numFmt numFmtId="178" formatCode="[$-409]d/mmm;@"/>
    <numFmt numFmtId="179" formatCode="[$-409]dd/mmm/yy;@"/>
    <numFmt numFmtId="180" formatCode="_(&quot;$&quot;* #,##0.000_);_(&quot;$&quot;* \(#,##0.000\);_(&quot;$&quot;* &quot;-&quot;??_);_(@_)"/>
    <numFmt numFmtId="181" formatCode="_ &quot;\&quot;* #,##0_ ;_ &quot;\&quot;* \-#,##0_ ;_ &quot;\&quot;* &quot;-&quot;_ ;_ @_ "/>
    <numFmt numFmtId="182" formatCode="#,##0.0000_);\(#,##0.0000\)"/>
    <numFmt numFmtId="183" formatCode="_ &quot;\&quot;* #,##0.00_ ;_ &quot;\&quot;* \-#,##0.00_ ;_ &quot;\&quot;* &quot;-&quot;??_ ;_ @_ "/>
    <numFmt numFmtId="184" formatCode="_-* #,##0\ &quot;F&quot;_-;\-* #,##0\ &quot;F&quot;_-;_-* &quot;-&quot;\ &quot;F&quot;_-;_-@_-"/>
    <numFmt numFmtId="185" formatCode="_ * #,##0_ ;_ * \-#,##0_ ;_ * &quot;-&quot;_ ;_ @_ "/>
    <numFmt numFmtId="186" formatCode="0.00000_)"/>
    <numFmt numFmtId="187" formatCode="_ * #,##0.00_ ;_ * \-#,##0.00_ ;_ * &quot;-&quot;??_ ;_ @_ "/>
    <numFmt numFmtId="188" formatCode="_-* #,##0\ _F_-;\-* #,##0\ _F_-;_-* &quot;-&quot;\ _F_-;_-@_-"/>
    <numFmt numFmtId="189" formatCode="#,##0.00\ &quot;DM&quot;;\-#,##0.00\ &quot;DM&quot;"/>
    <numFmt numFmtId="190" formatCode="_(&quot;OR&quot;\ * #,##0.00_);_(&quot;OR&quot;\ * \(#,##0.00\);_(&quot;OR&quot;\ * &quot;-&quot;??_);_(@_)"/>
    <numFmt numFmtId="191" formatCode="General_)"/>
    <numFmt numFmtId="192" formatCode="#,##0.0_);\(#,##0.0\)"/>
    <numFmt numFmtId="193" formatCode="#,##0.000_);\(#,##0.000\)"/>
    <numFmt numFmtId="194" formatCode="yyyy"/>
    <numFmt numFmtId="195" formatCode="\(0.00%"/>
    <numFmt numFmtId="196" formatCode="&quot;\&quot;#,##0.00;[Red]\-&quot;\&quot;#,##0.00"/>
    <numFmt numFmtId="197" formatCode="0.0000"/>
    <numFmt numFmtId="198" formatCode="_([$€-2]* #,##0.00_);_([$€-2]* \(#,##0.00\);_([$€-2]* &quot;-&quot;??_)"/>
    <numFmt numFmtId="199" formatCode="#,##0.00&quot; $&quot;;\-#,##0.00&quot; $&quot;"/>
    <numFmt numFmtId="200" formatCode="mmmyy"/>
    <numFmt numFmtId="201" formatCode="0.00000000000"/>
    <numFmt numFmtId="202" formatCode="0###0"/>
    <numFmt numFmtId="203" formatCode="0.00_)"/>
    <numFmt numFmtId="204" formatCode="0.000000000"/>
    <numFmt numFmtId="205" formatCode="dd/mm/yy_)"/>
    <numFmt numFmtId="206" formatCode="\U\S\$#,##0.00;\(\U\S\$#,##0.00\)"/>
    <numFmt numFmtId="207" formatCode="#,##0_);[Red]\(#,##0\);;@"/>
    <numFmt numFmtId="208" formatCode="0.0000000000"/>
    <numFmt numFmtId="209" formatCode="[$-409]d/mmm/yyyy;@"/>
    <numFmt numFmtId="210" formatCode="_-* #,##0.0_-;\-* #,##0.0_-;_-* &quot;-&quot;??_-;_-@_-"/>
    <numFmt numFmtId="211" formatCode="General\ ;[Red]\(General\)"/>
    <numFmt numFmtId="212" formatCode="&quot;Rs.&quot;#,##0.00_);\(&quot;Rs.&quot;#,##0.00\)"/>
    <numFmt numFmtId="213" formatCode="[$-809]d\ mmmm\ yyyy;@"/>
    <numFmt numFmtId="214" formatCode="#,##0.000_);[Red]\(#,##0.000\)"/>
    <numFmt numFmtId="215" formatCode="d/mmm/yy"/>
    <numFmt numFmtId="216" formatCode="\$#,##0\ ;\(\$#,##0\)"/>
    <numFmt numFmtId="217" formatCode="0_)%;\(0\)%"/>
    <numFmt numFmtId="218" formatCode="[$-409]dd\-mmm\-yy;@"/>
    <numFmt numFmtId="219" formatCode="0.00_)%;\(0.00\)%"/>
    <numFmt numFmtId="220" formatCode="&quot;$&quot;#,##0;\-&quot;$&quot;#,##0"/>
    <numFmt numFmtId="221" formatCode="mm/dd/yy"/>
    <numFmt numFmtId="222" formatCode="\+0.00%\+"/>
    <numFmt numFmtId="223" formatCode="0.00%\)"/>
    <numFmt numFmtId="224" formatCode="0##0"/>
    <numFmt numFmtId="225" formatCode="_-&quot;$&quot;* #,##0_-;\-&quot;$&quot;* #,##0_-;_-&quot;$&quot;* &quot;-&quot;_-;_-@_-"/>
    <numFmt numFmtId="226" formatCode="_-&quot;$&quot;* #,##0.00_-;\-&quot;$&quot;* #,##0.00_-;_-&quot;$&quot;* &quot;-&quot;??_-;_-@_-"/>
    <numFmt numFmtId="227" formatCode="_-* #,##0.00\ &quot;DM&quot;_-;\-* #,##0.00\ &quot;DM&quot;_-;_-* &quot;-&quot;??\ &quot;DM&quot;_-;_-@_-"/>
    <numFmt numFmtId="228" formatCode="#,##0\ &quot;DM&quot;;[Red]\-#,##0\ &quot;DM&quot;"/>
    <numFmt numFmtId="229" formatCode="#,##0.00\ &quot;DM&quot;;[Red]\-#,##0.00\ &quot;DM&quot;"/>
    <numFmt numFmtId="230" formatCode="#,##0&quot; DHS&quot;_ ;[Red]\-#,##0&quot; DHS&quot;\ "/>
    <numFmt numFmtId="231" formatCode="#,##0.00&quot; DHS&quot;_ ;[Red]\-#,##0.00&quot; DHS&quot;\ "/>
    <numFmt numFmtId="232" formatCode="#,##0&quot;.)&quot;"/>
    <numFmt numFmtId="233" formatCode="_ &quot;￥&quot;* #,##0_ ;_ &quot;￥&quot;* \-#,##0_ ;_ &quot;￥&quot;* &quot;-&quot;_ ;_ @_ "/>
    <numFmt numFmtId="234" formatCode="_ &quot;￥&quot;* #,##0.00_ ;_ &quot;￥&quot;* \-#,##0.00_ ;_ &quot;￥&quot;* &quot;-&quot;??_ ;_ @_ "/>
    <numFmt numFmtId="235" formatCode="0.0%"/>
  </numFmts>
  <fonts count="203">
    <font>
      <sz val="11"/>
      <color theme="1"/>
      <name val="Calibri"/>
      <family val="2"/>
      <scheme val="minor"/>
    </font>
    <font>
      <sz val="12"/>
      <name val="Times New Roman"/>
      <family val="1"/>
    </font>
    <font>
      <b/>
      <u/>
      <sz val="10"/>
      <name val="Arial Narrow"/>
      <family val="2"/>
    </font>
    <font>
      <b/>
      <sz val="10"/>
      <name val="Arial Narrow"/>
      <family val="2"/>
    </font>
    <font>
      <sz val="10"/>
      <name val="Arial Narrow"/>
      <family val="2"/>
    </font>
    <font>
      <b/>
      <sz val="10"/>
      <color indexed="10"/>
      <name val="Arial Narrow"/>
      <family val="2"/>
    </font>
    <font>
      <b/>
      <sz val="10"/>
      <name val="Arial"/>
      <family val="2"/>
    </font>
    <font>
      <sz val="12"/>
      <name val="Arial Narrow"/>
      <family val="2"/>
    </font>
    <font>
      <sz val="11"/>
      <name val="Arial Narrow"/>
      <family val="2"/>
    </font>
    <font>
      <sz val="10"/>
      <name val="Arial"/>
      <family val="2"/>
    </font>
    <font>
      <sz val="10"/>
      <color indexed="8"/>
      <name val="Arial"/>
      <family val="2"/>
    </font>
    <font>
      <sz val="11"/>
      <name val="Arial"/>
      <family val="2"/>
    </font>
    <font>
      <b/>
      <sz val="11"/>
      <name val="Arial"/>
      <family val="2"/>
    </font>
    <font>
      <b/>
      <sz val="12"/>
      <name val="Times New Roman"/>
      <family val="1"/>
    </font>
    <font>
      <sz val="11"/>
      <color indexed="8"/>
      <name val="Calibri"/>
      <family val="2"/>
    </font>
    <font>
      <sz val="12"/>
      <name val="Times New Roman"/>
      <family val="1"/>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5"/>
      <name val="ｺﾞｼｯｸ"/>
      <family val="3"/>
      <charset val="128"/>
    </font>
    <font>
      <sz val="11"/>
      <name val="??"/>
      <family val="1"/>
      <charset val="128"/>
    </font>
    <font>
      <sz val="11"/>
      <name val="?? ??"/>
      <family val="1"/>
      <charset val="128"/>
    </font>
    <font>
      <sz val="12"/>
      <name val="바탕체"/>
      <family val="1"/>
      <charset val="129"/>
    </font>
    <font>
      <sz val="14"/>
      <name val="Terminal"/>
      <family val="3"/>
      <charset val="128"/>
    </font>
    <font>
      <sz val="10"/>
      <name val="Helv"/>
      <family val="2"/>
    </font>
    <font>
      <sz val="9"/>
      <name val="Arial"/>
      <family val="2"/>
    </font>
    <font>
      <sz val="10"/>
      <name val="Helv"/>
      <charset val="204"/>
    </font>
    <font>
      <sz val="8"/>
      <name val="Helv"/>
      <charset val="204"/>
    </font>
    <font>
      <sz val="8"/>
      <name val="Arial"/>
      <family val="2"/>
    </font>
    <font>
      <sz val="10"/>
      <name val="Arabic Transparent"/>
      <charset val="178"/>
    </font>
    <font>
      <sz val="11"/>
      <color indexed="0"/>
      <name val="Arial"/>
      <family val="2"/>
    </font>
    <font>
      <sz val="8"/>
      <color indexed="8"/>
      <name val="Arial"/>
      <family val="2"/>
    </font>
    <font>
      <sz val="11"/>
      <color theme="1"/>
      <name val="Arial"/>
      <family val="2"/>
    </font>
    <font>
      <sz val="8"/>
      <color indexed="9"/>
      <name val="Arial"/>
      <family val="2"/>
    </font>
    <font>
      <sz val="11"/>
      <color indexed="9"/>
      <name val="Calibri"/>
      <family val="2"/>
    </font>
    <font>
      <sz val="14"/>
      <name val="AngsanaUPC"/>
      <family val="1"/>
      <charset val="222"/>
    </font>
    <font>
      <sz val="14"/>
      <name val="AngsanaUPC"/>
      <family val="1"/>
    </font>
    <font>
      <b/>
      <u/>
      <sz val="9.5"/>
      <name val="MS Sans Serif"/>
      <family val="2"/>
    </font>
    <font>
      <sz val="11"/>
      <name val="μ¸¿o"/>
      <family val="3"/>
      <charset val="129"/>
    </font>
    <font>
      <b/>
      <sz val="12"/>
      <name val="¹UAAA¼"/>
      <family val="1"/>
      <charset val="129"/>
    </font>
    <font>
      <sz val="8"/>
      <name val="Times New Roman"/>
      <family val="1"/>
    </font>
    <font>
      <sz val="10"/>
      <name val="Helv"/>
    </font>
    <font>
      <sz val="8"/>
      <color indexed="20"/>
      <name val="Arial"/>
      <family val="2"/>
    </font>
    <font>
      <sz val="11"/>
      <color indexed="20"/>
      <name val="Calibri"/>
      <family val="2"/>
    </font>
    <font>
      <sz val="7"/>
      <name val="Helv"/>
    </font>
    <font>
      <sz val="20"/>
      <name val="Wide Latin"/>
      <family val="1"/>
    </font>
    <font>
      <sz val="12"/>
      <name val="Tms Rmn"/>
    </font>
    <font>
      <b/>
      <sz val="10"/>
      <name val="MS Sans Serif"/>
      <family val="2"/>
    </font>
    <font>
      <sz val="12"/>
      <name val="Arial"/>
      <family val="2"/>
    </font>
    <font>
      <sz val="10"/>
      <name val="MS Sans Serif"/>
      <family val="2"/>
    </font>
    <font>
      <sz val="10"/>
      <name val="±¼¸²A¼"/>
      <family val="3"/>
      <charset val="129"/>
    </font>
    <font>
      <sz val="12"/>
      <name val="¹ÙÅÁÃ¼"/>
      <charset val="129"/>
    </font>
    <font>
      <sz val="9"/>
      <name val="Times New Roman"/>
      <family val="1"/>
    </font>
    <font>
      <sz val="10"/>
      <name val="Courier"/>
      <family val="3"/>
    </font>
    <font>
      <b/>
      <sz val="8"/>
      <color indexed="52"/>
      <name val="Arial"/>
      <family val="2"/>
    </font>
    <font>
      <b/>
      <sz val="11"/>
      <color indexed="52"/>
      <name val="Calibri"/>
      <family val="2"/>
    </font>
    <font>
      <b/>
      <sz val="10"/>
      <color indexed="10"/>
      <name val="Arial"/>
      <family val="2"/>
    </font>
    <font>
      <b/>
      <sz val="10"/>
      <name val="Helv"/>
      <family val="2"/>
    </font>
    <font>
      <b/>
      <sz val="8"/>
      <color indexed="9"/>
      <name val="Arial"/>
      <family val="2"/>
    </font>
    <font>
      <b/>
      <sz val="11"/>
      <color indexed="9"/>
      <name val="Calibri"/>
      <family val="2"/>
    </font>
    <font>
      <sz val="10"/>
      <name val="Calibri"/>
      <family val="2"/>
    </font>
    <font>
      <sz val="10"/>
      <name val="Times New Roman"/>
      <family val="1"/>
    </font>
    <font>
      <sz val="11"/>
      <name val="Times New Roman"/>
      <family val="1"/>
    </font>
    <font>
      <sz val="10"/>
      <name val="MS Serif"/>
      <family val="1"/>
    </font>
    <font>
      <b/>
      <u/>
      <sz val="11"/>
      <name val="Times New Roman"/>
      <family val="1"/>
    </font>
    <font>
      <sz val="1"/>
      <color indexed="8"/>
      <name val="Courier"/>
      <family val="3"/>
    </font>
    <font>
      <sz val="12"/>
      <name val="Helv"/>
    </font>
    <font>
      <sz val="11"/>
      <name val="??"/>
      <family val="3"/>
      <charset val="129"/>
    </font>
    <font>
      <sz val="10"/>
      <name val="Swis721 LtCn BT"/>
      <family val="2"/>
    </font>
    <font>
      <sz val="10"/>
      <name val="Century Gothic"/>
      <family val="2"/>
    </font>
    <font>
      <sz val="10"/>
      <color indexed="16"/>
      <name val="MS Serif"/>
      <family val="1"/>
    </font>
    <font>
      <sz val="18"/>
      <color indexed="24"/>
      <name val="Arial"/>
      <family val="2"/>
    </font>
    <font>
      <sz val="8"/>
      <color indexed="24"/>
      <name val="Arial"/>
      <family val="2"/>
    </font>
    <font>
      <sz val="10"/>
      <name val="Book Antiqua"/>
      <family val="1"/>
    </font>
    <font>
      <sz val="11"/>
      <color indexed="16"/>
      <name val="Calibri"/>
      <family val="2"/>
    </font>
    <font>
      <b/>
      <sz val="11"/>
      <color indexed="53"/>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3"/>
      <name val="Calibri"/>
      <family val="2"/>
    </font>
    <font>
      <sz val="11"/>
      <color indexed="19"/>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i/>
      <sz val="8"/>
      <color indexed="23"/>
      <name val="Arial"/>
      <family val="2"/>
    </font>
    <font>
      <i/>
      <sz val="1"/>
      <color indexed="8"/>
      <name val="Courier"/>
      <family val="3"/>
    </font>
    <font>
      <sz val="12"/>
      <color indexed="24"/>
      <name val="Arial"/>
      <family val="2"/>
    </font>
    <font>
      <u/>
      <sz val="11"/>
      <color indexed="12"/>
      <name val="Book Antiqua"/>
      <family val="1"/>
    </font>
    <font>
      <sz val="10"/>
      <color indexed="10"/>
      <name val="Arial"/>
      <family val="2"/>
    </font>
    <font>
      <sz val="8"/>
      <name val="MS Sans Serif"/>
      <family val="2"/>
    </font>
    <font>
      <sz val="8"/>
      <color indexed="17"/>
      <name val="Arial"/>
      <family val="2"/>
    </font>
    <font>
      <sz val="8"/>
      <name val="Arial"/>
      <family val="2"/>
      <charset val="178"/>
    </font>
    <font>
      <b/>
      <u/>
      <sz val="11"/>
      <color indexed="37"/>
      <name val="Arial"/>
      <family val="2"/>
    </font>
    <font>
      <b/>
      <i/>
      <sz val="14"/>
      <name val="Arial"/>
      <family val="2"/>
    </font>
    <font>
      <b/>
      <sz val="12"/>
      <name val="Arial"/>
      <family val="2"/>
      <charset val="178"/>
    </font>
    <font>
      <b/>
      <sz val="12"/>
      <name val="Arial"/>
      <family val="2"/>
    </font>
    <font>
      <b/>
      <sz val="15"/>
      <color indexed="56"/>
      <name val="Arial"/>
      <family val="2"/>
    </font>
    <font>
      <b/>
      <sz val="13"/>
      <color indexed="56"/>
      <name val="Arial"/>
      <family val="2"/>
    </font>
    <font>
      <b/>
      <sz val="11"/>
      <color indexed="56"/>
      <name val="Arial"/>
      <family val="2"/>
    </font>
    <font>
      <b/>
      <sz val="11"/>
      <color indexed="62"/>
      <name val="Arial"/>
      <family val="2"/>
    </font>
    <font>
      <sz val="10"/>
      <name val="Univers (WN)"/>
      <family val="2"/>
    </font>
    <font>
      <sz val="10"/>
      <color indexed="9"/>
      <name val="Arial"/>
      <family val="2"/>
    </font>
    <font>
      <b/>
      <sz val="10"/>
      <color indexed="9"/>
      <name val="Arial"/>
      <family val="2"/>
    </font>
    <font>
      <sz val="10"/>
      <color indexed="12"/>
      <name val="Arial"/>
      <family val="2"/>
    </font>
    <font>
      <u/>
      <sz val="10"/>
      <color indexed="12"/>
      <name val="Arial"/>
      <family val="2"/>
    </font>
    <font>
      <u/>
      <sz val="9.35"/>
      <color theme="10"/>
      <name val="Calibri"/>
      <family val="2"/>
    </font>
    <font>
      <u/>
      <sz val="9"/>
      <color indexed="12"/>
      <name val="Arial"/>
      <family val="2"/>
    </font>
    <font>
      <sz val="8"/>
      <color indexed="62"/>
      <name val="Arial"/>
      <family val="2"/>
    </font>
    <font>
      <sz val="10"/>
      <color indexed="62"/>
      <name val="Arial"/>
      <family val="2"/>
    </font>
    <font>
      <b/>
      <i/>
      <sz val="12"/>
      <color indexed="10"/>
      <name val="Courier New"/>
      <family val="3"/>
    </font>
    <font>
      <b/>
      <sz val="14"/>
      <name val="Helv"/>
    </font>
    <font>
      <sz val="9"/>
      <name val="Arial Narrow"/>
      <family val="2"/>
    </font>
    <font>
      <sz val="8"/>
      <color indexed="52"/>
      <name val="Arial"/>
      <family val="2"/>
    </font>
    <font>
      <sz val="11"/>
      <color indexed="52"/>
      <name val="Calibri"/>
      <family val="2"/>
    </font>
    <font>
      <b/>
      <sz val="9"/>
      <name val="Arial"/>
      <family val="2"/>
    </font>
    <font>
      <b/>
      <sz val="11"/>
      <name val="Helv"/>
      <family val="2"/>
    </font>
    <font>
      <sz val="10"/>
      <name val="Arabic Transparent"/>
    </font>
    <font>
      <sz val="8"/>
      <color indexed="60"/>
      <name val="Arial"/>
      <family val="2"/>
    </font>
    <font>
      <sz val="11"/>
      <color indexed="60"/>
      <name val="Calibri"/>
      <family val="2"/>
    </font>
    <font>
      <sz val="7"/>
      <name val="Small Fonts"/>
      <family val="2"/>
    </font>
    <font>
      <b/>
      <i/>
      <sz val="16"/>
      <name val="Helv"/>
      <charset val="178"/>
    </font>
    <font>
      <sz val="11"/>
      <color rgb="FF000000"/>
      <name val="Calibri"/>
      <family val="2"/>
      <scheme val="minor"/>
    </font>
    <font>
      <sz val="13"/>
      <name val="Times New Roman"/>
      <family val="1"/>
    </font>
    <font>
      <sz val="11"/>
      <color indexed="8"/>
      <name val="Arial"/>
      <family val="2"/>
    </font>
    <font>
      <b/>
      <i/>
      <sz val="11"/>
      <name val="Times New Roman"/>
      <family val="1"/>
    </font>
    <font>
      <sz val="12"/>
      <color theme="1"/>
      <name val="Calibri"/>
      <family val="2"/>
    </font>
    <font>
      <sz val="11"/>
      <color theme="1"/>
      <name val="Calibri"/>
      <family val="2"/>
    </font>
    <font>
      <sz val="11"/>
      <color theme="1"/>
      <name val="Calibri"/>
      <family val="2"/>
      <charset val="178"/>
      <scheme val="minor"/>
    </font>
    <font>
      <sz val="10"/>
      <color theme="1"/>
      <name val="Arial"/>
      <family val="2"/>
    </font>
    <font>
      <sz val="9"/>
      <name val="Lucida Casual"/>
      <family val="4"/>
    </font>
    <font>
      <b/>
      <sz val="8"/>
      <color indexed="63"/>
      <name val="Arial"/>
      <family val="2"/>
    </font>
    <font>
      <b/>
      <sz val="10"/>
      <color indexed="63"/>
      <name val="Arial"/>
      <family val="2"/>
    </font>
    <font>
      <sz val="12"/>
      <color indexed="8"/>
      <name val="Times New Roman"/>
      <family val="1"/>
    </font>
    <font>
      <b/>
      <sz val="10"/>
      <name val="Arial CE"/>
      <family val="2"/>
      <charset val="238"/>
    </font>
    <font>
      <sz val="10"/>
      <name val="Tms Rmn"/>
      <charset val="178"/>
    </font>
    <font>
      <b/>
      <sz val="10"/>
      <name val="Century Gothic"/>
      <family val="2"/>
    </font>
    <font>
      <sz val="7"/>
      <color indexed="10"/>
      <name val="Helv"/>
    </font>
    <font>
      <sz val="8"/>
      <name val="Helv"/>
      <charset val="178"/>
    </font>
    <font>
      <b/>
      <u/>
      <sz val="10"/>
      <color indexed="18"/>
      <name val="Century Gothic"/>
      <family val="2"/>
    </font>
    <font>
      <sz val="10"/>
      <name val="CG Times"/>
      <family val="1"/>
    </font>
    <font>
      <u/>
      <sz val="9"/>
      <color indexed="36"/>
      <name val="Arial"/>
      <family val="2"/>
    </font>
    <font>
      <sz val="10"/>
      <name val="Geneva"/>
      <family val="2"/>
    </font>
    <font>
      <sz val="10"/>
      <name val="Swis721 Lt BT"/>
      <family val="2"/>
    </font>
    <font>
      <b/>
      <sz val="12"/>
      <color indexed="18"/>
      <name val="Times New Roman"/>
      <family val="1"/>
    </font>
    <font>
      <b/>
      <sz val="8"/>
      <color indexed="8"/>
      <name val="Helv"/>
      <charset val="178"/>
    </font>
    <font>
      <sz val="10"/>
      <color indexed="12"/>
      <name val="Times New Roman"/>
      <family val="1"/>
    </font>
    <font>
      <b/>
      <u/>
      <sz val="10"/>
      <color indexed="10"/>
      <name val="Arial"/>
      <family val="2"/>
    </font>
    <font>
      <b/>
      <sz val="11"/>
      <name val="Times New Roman"/>
      <family val="1"/>
    </font>
    <font>
      <sz val="24"/>
      <color indexed="13"/>
      <name val="Helv"/>
    </font>
    <font>
      <b/>
      <i/>
      <sz val="12"/>
      <name val="Times New Roman"/>
      <family val="1"/>
    </font>
    <font>
      <b/>
      <sz val="7"/>
      <name val="Tms Rmn"/>
    </font>
    <font>
      <b/>
      <sz val="8"/>
      <color indexed="8"/>
      <name val="Arial"/>
      <family val="2"/>
    </font>
    <font>
      <sz val="8"/>
      <color indexed="12"/>
      <name val="Arial"/>
      <family val="2"/>
    </font>
    <font>
      <sz val="11"/>
      <name val="돋움"/>
      <family val="3"/>
      <charset val="129"/>
    </font>
    <font>
      <sz val="8"/>
      <color indexed="10"/>
      <name val="Arial"/>
      <family val="2"/>
    </font>
    <font>
      <b/>
      <sz val="1"/>
      <color indexed="8"/>
      <name val="Courier"/>
      <family val="3"/>
    </font>
    <font>
      <u/>
      <sz val="9.9"/>
      <color indexed="36"/>
      <name val="돋움"/>
      <family val="3"/>
      <charset val="129"/>
    </font>
    <font>
      <sz val="14"/>
      <name val="뼻뮝"/>
      <family val="3"/>
      <charset val="129"/>
    </font>
    <font>
      <sz val="12"/>
      <name val="뼻뮝"/>
      <family val="1"/>
      <charset val="129"/>
    </font>
    <font>
      <b/>
      <sz val="12"/>
      <color indexed="16"/>
      <name val="굴림체"/>
      <family val="3"/>
      <charset val="129"/>
    </font>
    <font>
      <sz val="12"/>
      <name val="宋体"/>
      <family val="1"/>
      <charset val="129"/>
    </font>
    <font>
      <sz val="12"/>
      <name val="돋움체"/>
      <family val="3"/>
      <charset val="129"/>
    </font>
    <font>
      <sz val="10"/>
      <name val="굴림체"/>
      <family val="3"/>
      <charset val="129"/>
    </font>
    <font>
      <sz val="11"/>
      <name val="明朝"/>
      <family val="1"/>
      <charset val="129"/>
    </font>
    <font>
      <sz val="10"/>
      <name val="ＭＳ 明朝"/>
      <family val="3"/>
    </font>
    <font>
      <b/>
      <u/>
      <sz val="11"/>
      <color theme="1"/>
      <name val="Calibri"/>
      <family val="2"/>
      <scheme val="minor"/>
    </font>
    <font>
      <sz val="12"/>
      <name val="Times New Roman"/>
      <family val="1"/>
    </font>
    <font>
      <b/>
      <i/>
      <sz val="11"/>
      <color theme="1"/>
      <name val="Calibri"/>
      <family val="2"/>
      <scheme val="minor"/>
    </font>
    <font>
      <sz val="11"/>
      <color theme="1"/>
      <name val="Arial Narrow"/>
      <family val="2"/>
    </font>
    <font>
      <b/>
      <sz val="11"/>
      <color theme="1"/>
      <name val="Arial Narrow"/>
      <family val="2"/>
    </font>
    <font>
      <b/>
      <sz val="14"/>
      <color theme="1"/>
      <name val="Arial Narrow"/>
      <family val="2"/>
    </font>
    <font>
      <b/>
      <sz val="12"/>
      <color theme="1"/>
      <name val="Arial Narrow"/>
      <family val="2"/>
    </font>
    <font>
      <sz val="12"/>
      <color theme="1"/>
      <name val="Arial Narrow"/>
      <family val="2"/>
    </font>
    <font>
      <b/>
      <sz val="12"/>
      <name val="Arial Narrow"/>
      <family val="2"/>
    </font>
    <font>
      <b/>
      <u/>
      <sz val="11"/>
      <color rgb="FFFF0000"/>
      <name val="Calibri"/>
      <family val="2"/>
      <scheme val="minor"/>
    </font>
    <font>
      <b/>
      <sz val="10"/>
      <color rgb="FFFF0000"/>
      <name val="Arial Narrow"/>
      <family val="2"/>
    </font>
    <font>
      <b/>
      <sz val="14"/>
      <color rgb="FFFF0000"/>
      <name val="Arial Narrow"/>
      <family val="2"/>
    </font>
    <font>
      <b/>
      <sz val="16"/>
      <color theme="1"/>
      <name val="Arial Narrow"/>
      <family val="2"/>
    </font>
    <font>
      <b/>
      <sz val="16"/>
      <color rgb="FFFF0000"/>
      <name val="Arial Narrow"/>
      <family val="2"/>
    </font>
    <font>
      <b/>
      <sz val="14"/>
      <name val="Arial Narrow"/>
      <family val="2"/>
    </font>
    <font>
      <b/>
      <sz val="16"/>
      <color rgb="FFFF0000"/>
      <name val="Arial Black"/>
      <family val="2"/>
    </font>
    <font>
      <b/>
      <sz val="10"/>
      <color theme="1"/>
      <name val="Arial Narrow"/>
      <family val="2"/>
    </font>
    <font>
      <b/>
      <u/>
      <sz val="10"/>
      <color theme="1"/>
      <name val="Arial Narrow"/>
      <family val="2"/>
    </font>
    <font>
      <b/>
      <u/>
      <sz val="10"/>
      <color rgb="FFFF0000"/>
      <name val="Arial Narrow"/>
      <family val="2"/>
    </font>
    <font>
      <sz val="8"/>
      <name val="Calibri"/>
      <family val="2"/>
      <scheme val="minor"/>
    </font>
  </fonts>
  <fills count="110">
    <fill>
      <patternFill patternType="none"/>
    </fill>
    <fill>
      <patternFill patternType="gray125"/>
    </fill>
    <fill>
      <patternFill patternType="solid">
        <fgColor indexed="1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22"/>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9"/>
        <bgColor indexed="64"/>
      </patternFill>
    </fill>
    <fill>
      <patternFill patternType="lightGray">
        <fgColor indexed="13"/>
        <bgColor indexed="9"/>
      </patternFill>
    </fill>
    <fill>
      <patternFill patternType="solid">
        <fgColor indexed="41"/>
        <bgColor indexed="27"/>
      </patternFill>
    </fill>
    <fill>
      <patternFill patternType="solid">
        <fgColor indexed="38"/>
        <bgColor indexed="21"/>
      </patternFill>
    </fill>
    <fill>
      <patternFill patternType="solid">
        <fgColor indexed="11"/>
        <bgColor indexed="30"/>
      </patternFill>
    </fill>
    <fill>
      <patternFill patternType="solid">
        <fgColor indexed="21"/>
        <bgColor indexed="41"/>
      </patternFill>
    </fill>
    <fill>
      <patternFill patternType="solid">
        <fgColor indexed="27"/>
        <bgColor indexed="41"/>
      </patternFill>
    </fill>
    <fill>
      <patternFill patternType="solid">
        <fgColor indexed="14"/>
        <bgColor indexed="11"/>
      </patternFill>
    </fill>
    <fill>
      <patternFill patternType="solid">
        <fgColor indexed="31"/>
        <bgColor indexed="15"/>
      </patternFill>
    </fill>
    <fill>
      <patternFill patternType="solid">
        <fgColor indexed="61"/>
        <bgColor indexed="51"/>
      </patternFill>
    </fill>
    <fill>
      <patternFill patternType="solid">
        <fgColor indexed="35"/>
        <bgColor indexed="42"/>
      </patternFill>
    </fill>
    <fill>
      <patternFill patternType="solid">
        <fgColor indexed="22"/>
        <bgColor indexed="31"/>
      </patternFill>
    </fill>
    <fill>
      <patternFill patternType="solid">
        <fgColor indexed="15"/>
        <bgColor indexed="31"/>
      </patternFill>
    </fill>
    <fill>
      <patternFill patternType="solid">
        <fgColor indexed="13"/>
        <bgColor indexed="47"/>
      </patternFill>
    </fill>
    <fill>
      <patternFill patternType="solid">
        <fgColor indexed="24"/>
        <bgColor indexed="40"/>
      </patternFill>
    </fill>
    <fill>
      <patternFill patternType="solid">
        <fgColor indexed="45"/>
        <bgColor indexed="46"/>
      </patternFill>
    </fill>
    <fill>
      <patternFill patternType="solid">
        <fgColor indexed="34"/>
        <bgColor indexed="35"/>
      </patternFill>
    </fill>
    <fill>
      <patternFill patternType="solid">
        <fgColor indexed="46"/>
        <bgColor indexed="55"/>
      </patternFill>
    </fill>
    <fill>
      <patternFill patternType="solid">
        <fgColor indexed="44"/>
        <bgColor indexed="40"/>
      </patternFill>
    </fill>
    <fill>
      <patternFill patternType="solid">
        <fgColor indexed="51"/>
        <bgColor indexed="47"/>
      </patternFill>
    </fill>
    <fill>
      <patternFill patternType="solid">
        <fgColor indexed="48"/>
        <bgColor indexed="49"/>
      </patternFill>
    </fill>
    <fill>
      <patternFill patternType="solid">
        <fgColor indexed="25"/>
        <bgColor indexed="19"/>
      </patternFill>
    </fill>
    <fill>
      <patternFill patternType="solid">
        <fgColor indexed="50"/>
        <bgColor indexed="55"/>
      </patternFill>
    </fill>
    <fill>
      <patternFill patternType="solid">
        <fgColor indexed="54"/>
        <bgColor indexed="23"/>
      </patternFill>
    </fill>
    <fill>
      <patternFill patternType="solid">
        <fgColor indexed="49"/>
        <bgColor indexed="48"/>
      </patternFill>
    </fill>
    <fill>
      <patternFill patternType="solid">
        <fgColor indexed="29"/>
        <bgColor indexed="52"/>
      </patternFill>
    </fill>
    <fill>
      <patternFill patternType="solid">
        <fgColor indexed="60"/>
        <bgColor indexed="13"/>
      </patternFill>
    </fill>
    <fill>
      <patternFill patternType="solid">
        <fgColor indexed="30"/>
        <bgColor indexed="11"/>
      </patternFill>
    </fill>
    <fill>
      <patternFill patternType="solid">
        <fgColor indexed="55"/>
        <bgColor indexed="57"/>
      </patternFill>
    </fill>
    <fill>
      <patternFill patternType="solid">
        <fgColor indexed="42"/>
        <bgColor indexed="35"/>
      </patternFill>
    </fill>
    <fill>
      <patternFill patternType="solid">
        <fgColor indexed="47"/>
        <bgColor indexed="51"/>
      </patternFill>
    </fill>
    <fill>
      <patternFill patternType="solid">
        <fgColor indexed="43"/>
        <bgColor indexed="13"/>
      </patternFill>
    </fill>
    <fill>
      <patternFill patternType="solid">
        <fgColor indexed="26"/>
        <bgColor indexed="11"/>
      </patternFill>
    </fill>
    <fill>
      <patternFill patternType="solid">
        <fgColor indexed="26"/>
        <bgColor indexed="64"/>
      </patternFill>
    </fill>
    <fill>
      <patternFill patternType="solid">
        <fgColor indexed="43"/>
      </patternFill>
    </fill>
    <fill>
      <patternFill patternType="solid">
        <fgColor indexed="15"/>
      </patternFill>
    </fill>
    <fill>
      <patternFill patternType="solid">
        <fgColor indexed="13"/>
      </patternFill>
    </fill>
    <fill>
      <patternFill patternType="solid">
        <fgColor indexed="12"/>
      </patternFill>
    </fill>
    <fill>
      <patternFill patternType="solid">
        <fgColor indexed="26"/>
      </patternFill>
    </fill>
    <fill>
      <patternFill patternType="mediumGray">
        <fgColor indexed="22"/>
      </patternFill>
    </fill>
    <fill>
      <patternFill patternType="mediumGray">
        <fgColor indexed="22"/>
        <bgColor indexed="9"/>
      </patternFill>
    </fill>
    <fill>
      <patternFill patternType="solid">
        <fgColor indexed="43"/>
        <bgColor indexed="64"/>
      </patternFill>
    </fill>
    <fill>
      <patternFill patternType="solid">
        <fgColor indexed="13"/>
        <bgColor indexed="34"/>
      </patternFill>
    </fill>
    <fill>
      <patternFill patternType="solid">
        <fgColor indexed="25"/>
        <bgColor indexed="61"/>
      </patternFill>
    </fill>
    <fill>
      <patternFill patternType="solid">
        <fgColor indexed="10"/>
        <bgColor indexed="53"/>
      </patternFill>
    </fill>
    <fill>
      <patternFill patternType="solid">
        <fgColor indexed="19"/>
        <bgColor indexed="57"/>
      </patternFill>
    </fill>
    <fill>
      <patternFill patternType="solid">
        <fgColor indexed="43"/>
        <bgColor indexed="26"/>
      </patternFill>
    </fill>
    <fill>
      <patternFill patternType="solid">
        <fgColor rgb="FFFFFF00"/>
        <bgColor indexed="64"/>
      </patternFill>
    </fill>
    <fill>
      <patternFill patternType="solid">
        <fgColor theme="6" tint="0.39997558519241921"/>
        <bgColor indexed="64"/>
      </patternFill>
    </fill>
    <fill>
      <patternFill patternType="solid">
        <fgColor rgb="FF00B0F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0"/>
        <bgColor indexed="64"/>
      </patternFill>
    </fill>
  </fills>
  <borders count="128">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auto="1"/>
      </left>
      <right/>
      <top style="medium">
        <color auto="1"/>
      </top>
      <bottom/>
      <diagonal/>
    </border>
    <border>
      <left/>
      <right style="thin">
        <color auto="1"/>
      </right>
      <top style="medium">
        <color auto="1"/>
      </top>
      <bottom/>
      <diagonal/>
    </border>
    <border>
      <left style="thin">
        <color auto="1"/>
      </left>
      <right style="medium">
        <color indexed="64"/>
      </right>
      <top style="medium">
        <color indexed="64"/>
      </top>
      <bottom style="thin">
        <color auto="1"/>
      </bottom>
      <diagonal/>
    </border>
    <border>
      <left style="medium">
        <color auto="1"/>
      </left>
      <right style="thin">
        <color auto="1"/>
      </right>
      <top style="thin">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diagonal/>
    </border>
    <border>
      <left/>
      <right style="hair">
        <color auto="1"/>
      </right>
      <top style="thin">
        <color auto="1"/>
      </top>
      <bottom/>
      <diagonal/>
    </border>
    <border>
      <left style="hair">
        <color auto="1"/>
      </left>
      <right style="thin">
        <color auto="1"/>
      </right>
      <top style="thin">
        <color auto="1"/>
      </top>
      <bottom style="thin">
        <color auto="1"/>
      </bottom>
      <diagonal/>
    </border>
    <border>
      <left style="hair">
        <color auto="1"/>
      </left>
      <right style="hair">
        <color auto="1"/>
      </right>
      <top style="thin">
        <color auto="1"/>
      </top>
      <bottom style="thin">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hair">
        <color auto="1"/>
      </right>
      <top/>
      <bottom style="thin">
        <color auto="1"/>
      </bottom>
      <diagonal/>
    </border>
    <border>
      <left/>
      <right style="hair">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right style="medium">
        <color auto="1"/>
      </right>
      <top/>
      <bottom/>
      <diagonal/>
    </border>
    <border>
      <left style="thin">
        <color auto="1"/>
      </left>
      <right style="thin">
        <color auto="1"/>
      </right>
      <top style="thin">
        <color auto="1"/>
      </top>
      <bottom style="hair">
        <color auto="1"/>
      </bottom>
      <diagonal/>
    </border>
    <border>
      <left style="hair">
        <color indexed="64"/>
      </left>
      <right style="hair">
        <color indexed="64"/>
      </right>
      <top style="hair">
        <color indexed="64"/>
      </top>
      <bottom style="hair">
        <color indexed="64"/>
      </bottom>
      <diagonal/>
    </border>
    <border>
      <left style="medium">
        <color auto="1"/>
      </left>
      <right style="thin">
        <color auto="1"/>
      </right>
      <top/>
      <bottom style="hair">
        <color auto="1"/>
      </bottom>
      <diagonal/>
    </border>
    <border>
      <left style="thin">
        <color indexed="64"/>
      </left>
      <right style="thin">
        <color indexed="64"/>
      </right>
      <top/>
      <bottom style="hair">
        <color indexed="64"/>
      </bottom>
      <diagonal/>
    </border>
    <border>
      <left/>
      <right/>
      <top/>
      <bottom style="hair">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double">
        <color indexed="64"/>
      </left>
      <right/>
      <top/>
      <bottom style="hair">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hair">
        <color auto="1"/>
      </right>
      <top style="thin">
        <color auto="1"/>
      </top>
      <bottom style="hair">
        <color auto="1"/>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right/>
      <top/>
      <bottom style="thick">
        <color indexed="48"/>
      </bottom>
      <diagonal/>
    </border>
    <border>
      <left/>
      <right/>
      <top/>
      <bottom style="thick">
        <color indexed="40"/>
      </bottom>
      <diagonal/>
    </border>
    <border>
      <left/>
      <right/>
      <top/>
      <bottom style="medium">
        <color indexed="24"/>
      </bottom>
      <diagonal/>
    </border>
    <border>
      <left/>
      <right/>
      <top/>
      <bottom style="double">
        <color indexed="52"/>
      </bottom>
      <diagonal/>
    </border>
    <border>
      <left style="thin">
        <color indexed="57"/>
      </left>
      <right style="thin">
        <color indexed="57"/>
      </right>
      <top style="thin">
        <color indexed="57"/>
      </top>
      <bottom style="thin">
        <color indexed="57"/>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9"/>
      </left>
      <right style="thin">
        <color indexed="64"/>
      </right>
      <top style="thin">
        <color indexed="9"/>
      </top>
      <bottom style="thin">
        <color indexed="64"/>
      </bottom>
      <diagonal/>
    </border>
    <border>
      <left style="thin">
        <color indexed="64"/>
      </left>
      <right style="thin">
        <color auto="1"/>
      </right>
      <top style="thin">
        <color auto="1"/>
      </top>
      <bottom style="thin">
        <color auto="1"/>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27"/>
      </bottom>
      <diagonal/>
    </border>
    <border>
      <left style="double">
        <color indexed="64"/>
      </left>
      <right style="double">
        <color indexed="64"/>
      </right>
      <top style="double">
        <color indexed="64"/>
      </top>
      <bottom style="double">
        <color indexed="64"/>
      </bottom>
      <diagonal/>
    </border>
    <border>
      <left/>
      <right/>
      <top/>
      <bottom style="medium">
        <color indexed="64"/>
      </bottom>
      <diagonal/>
    </border>
    <border>
      <left style="medium">
        <color indexed="8"/>
      </left>
      <right style="thin">
        <color indexed="8"/>
      </right>
      <top style="thin">
        <color indexed="8"/>
      </top>
      <bottom style="medium">
        <color indexed="8"/>
      </bottom>
      <diagonal/>
    </border>
    <border>
      <left style="thin">
        <color indexed="22"/>
      </left>
      <right style="thin">
        <color indexed="22"/>
      </right>
      <top style="thin">
        <color indexed="22"/>
      </top>
      <bottom style="thin">
        <color indexed="22"/>
      </bottom>
      <diagonal/>
    </border>
    <border>
      <left/>
      <right/>
      <top style="medium">
        <color indexed="64"/>
      </top>
      <bottom/>
      <diagonal/>
    </border>
    <border>
      <left/>
      <right/>
      <top style="hair">
        <color indexed="8"/>
      </top>
      <bottom style="hair">
        <color indexed="8"/>
      </bottom>
      <diagonal/>
    </border>
    <border>
      <left/>
      <right/>
      <top style="thin">
        <color indexed="62"/>
      </top>
      <bottom style="double">
        <color indexed="62"/>
      </bottom>
      <diagonal/>
    </border>
    <border>
      <left/>
      <right/>
      <top style="double">
        <color indexed="64"/>
      </top>
      <bottom/>
      <diagonal/>
    </border>
    <border>
      <left/>
      <right/>
      <top style="thin">
        <color indexed="64"/>
      </top>
      <bottom style="double">
        <color indexed="64"/>
      </bottom>
      <diagonal/>
    </border>
    <border>
      <left style="thin">
        <color indexed="8"/>
      </left>
      <right style="thin">
        <color indexed="8"/>
      </right>
      <top style="double">
        <color indexed="8"/>
      </top>
      <bottom style="thin">
        <color indexed="8"/>
      </bottom>
      <diagonal/>
    </border>
    <border>
      <left style="medium">
        <color auto="1"/>
      </left>
      <right style="thin">
        <color auto="1"/>
      </right>
      <top style="hair">
        <color auto="1"/>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style="medium">
        <color indexed="64"/>
      </right>
      <top/>
      <bottom style="hair">
        <color indexed="64"/>
      </bottom>
      <diagonal/>
    </border>
    <border>
      <left style="medium">
        <color indexed="64"/>
      </left>
      <right style="thin">
        <color indexed="64"/>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bottom/>
      <diagonal/>
    </border>
    <border>
      <left style="thin">
        <color auto="1"/>
      </left>
      <right style="thin">
        <color auto="1"/>
      </right>
      <top style="hair">
        <color auto="1"/>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medium">
        <color auto="1"/>
      </left>
      <right style="thin">
        <color auto="1"/>
      </right>
      <top style="thin">
        <color auto="1"/>
      </top>
      <bottom style="hair">
        <color indexed="64"/>
      </bottom>
      <diagonal/>
    </border>
    <border>
      <left style="thin">
        <color auto="1"/>
      </left>
      <right style="medium">
        <color indexed="64"/>
      </right>
      <top style="thin">
        <color auto="1"/>
      </top>
      <bottom style="hair">
        <color indexed="64"/>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bottom/>
      <diagonal/>
    </border>
    <border>
      <left style="medium">
        <color indexed="64"/>
      </left>
      <right style="thin">
        <color indexed="64"/>
      </right>
      <top/>
      <bottom style="thin">
        <color auto="1"/>
      </bottom>
      <diagonal/>
    </border>
    <border>
      <left style="thin">
        <color indexed="64"/>
      </left>
      <right style="medium">
        <color indexed="64"/>
      </right>
      <top/>
      <bottom style="thin">
        <color auto="1"/>
      </bottom>
      <diagonal/>
    </border>
    <border>
      <left style="thin">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top style="thin">
        <color indexed="64"/>
      </top>
      <bottom style="thin">
        <color indexed="64"/>
      </bottom>
      <diagonal/>
    </border>
    <border>
      <left/>
      <right/>
      <top style="hair">
        <color auto="1"/>
      </top>
      <bottom style="thin">
        <color indexed="64"/>
      </bottom>
      <diagonal/>
    </border>
    <border>
      <left style="thin">
        <color auto="1"/>
      </left>
      <right style="hair">
        <color auto="1"/>
      </right>
      <top/>
      <bottom/>
      <diagonal/>
    </border>
    <border>
      <left style="thin">
        <color indexed="64"/>
      </left>
      <right/>
      <top/>
      <bottom style="thin">
        <color auto="1"/>
      </bottom>
      <diagonal/>
    </border>
    <border>
      <left/>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double">
        <color indexed="64"/>
      </left>
      <right style="thin">
        <color indexed="64"/>
      </right>
      <top style="thin">
        <color indexed="64"/>
      </top>
      <bottom/>
      <diagonal/>
    </border>
  </borders>
  <cellStyleXfs count="54012">
    <xf numFmtId="0" fontId="0" fillId="0" borderId="0"/>
    <xf numFmtId="43" fontId="1" fillId="0" borderId="0" applyFont="0" applyFill="0" applyBorder="0" applyAlignment="0" applyProtection="0"/>
    <xf numFmtId="0" fontId="1" fillId="0" borderId="0"/>
    <xf numFmtId="43" fontId="9" fillId="0" borderId="0" applyFont="0" applyFill="0" applyBorder="0" applyAlignment="0" applyProtection="0"/>
    <xf numFmtId="9" fontId="1" fillId="0" borderId="0" applyFont="0" applyFill="0" applyBorder="0" applyAlignment="0" applyProtection="0"/>
    <xf numFmtId="0" fontId="9" fillId="0" borderId="0"/>
    <xf numFmtId="43" fontId="14" fillId="0" borderId="0" applyFont="0" applyFill="0" applyBorder="0" applyAlignment="0" applyProtection="0"/>
    <xf numFmtId="43" fontId="15" fillId="0" borderId="0" applyFont="0" applyFill="0" applyBorder="0" applyAlignment="0" applyProtection="0"/>
    <xf numFmtId="0" fontId="9" fillId="0" borderId="0"/>
    <xf numFmtId="0" fontId="14" fillId="0" borderId="0"/>
    <xf numFmtId="43" fontId="16"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43" fontId="9" fillId="0" borderId="0" applyFont="0" applyFill="0" applyBorder="0" applyAlignment="0" applyProtection="0"/>
    <xf numFmtId="0" fontId="33" fillId="0" borderId="2">
      <alignment horizontal="center"/>
    </xf>
    <xf numFmtId="175" fontId="33" fillId="0" borderId="2">
      <alignment horizontal="center"/>
    </xf>
    <xf numFmtId="176" fontId="34" fillId="0" borderId="0" applyFont="0" applyFill="0" applyBorder="0" applyAlignment="0" applyProtection="0"/>
    <xf numFmtId="177" fontId="35"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36" fillId="0" borderId="0"/>
    <xf numFmtId="0" fontId="36" fillId="0" borderId="0"/>
    <xf numFmtId="40" fontId="35" fillId="0" borderId="0" applyFont="0" applyFill="0" applyBorder="0" applyAlignment="0" applyProtection="0"/>
    <xf numFmtId="38" fontId="35" fillId="0" borderId="0" applyFont="0" applyFill="0" applyBorder="0" applyAlignment="0" applyProtection="0"/>
    <xf numFmtId="0" fontId="37" fillId="0" borderId="0"/>
    <xf numFmtId="0" fontId="38" fillId="0" borderId="0"/>
    <xf numFmtId="0" fontId="39" fillId="0" borderId="0"/>
    <xf numFmtId="0" fontId="40" fillId="0" borderId="0"/>
    <xf numFmtId="0" fontId="39" fillId="0" borderId="0"/>
    <xf numFmtId="0" fontId="39" fillId="0" borderId="0"/>
    <xf numFmtId="0" fontId="40" fillId="0" borderId="0"/>
    <xf numFmtId="0" fontId="38" fillId="0" borderId="0"/>
    <xf numFmtId="0" fontId="40" fillId="0" borderId="0"/>
    <xf numFmtId="0" fontId="40" fillId="0" borderId="0"/>
    <xf numFmtId="0" fontId="40" fillId="0" borderId="0"/>
    <xf numFmtId="0" fontId="39" fillId="0" borderId="0"/>
    <xf numFmtId="0" fontId="40" fillId="0" borderId="0"/>
    <xf numFmtId="0" fontId="41" fillId="0" borderId="0"/>
    <xf numFmtId="0" fontId="40" fillId="0" borderId="0"/>
    <xf numFmtId="0" fontId="42" fillId="0" borderId="0"/>
    <xf numFmtId="0" fontId="42" fillId="0" borderId="0"/>
    <xf numFmtId="0" fontId="40" fillId="0" borderId="0"/>
    <xf numFmtId="0" fontId="40" fillId="0" borderId="0"/>
    <xf numFmtId="0" fontId="40" fillId="0" borderId="0"/>
    <xf numFmtId="0" fontId="42" fillId="0" borderId="0"/>
    <xf numFmtId="0" fontId="42"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8" fillId="0" borderId="0"/>
    <xf numFmtId="0" fontId="39" fillId="0" borderId="0"/>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39" fillId="0" borderId="0"/>
    <xf numFmtId="0" fontId="40" fillId="0" borderId="0"/>
    <xf numFmtId="0" fontId="40" fillId="0" borderId="0"/>
    <xf numFmtId="0" fontId="40" fillId="0" borderId="0"/>
    <xf numFmtId="0" fontId="43" fillId="0" borderId="39" applyNumberFormat="0">
      <alignment horizontal="right"/>
    </xf>
    <xf numFmtId="0" fontId="39" fillId="0" borderId="0"/>
    <xf numFmtId="0" fontId="40" fillId="0" borderId="0"/>
    <xf numFmtId="0" fontId="9" fillId="0" borderId="0"/>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9" fillId="0" borderId="3"/>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44"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3">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0">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1" fontId="11" fillId="0" borderId="41">
      <alignment horizontal="center"/>
    </xf>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16"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45" fillId="34" borderId="0" applyNumberFormat="0" applyBorder="0" applyAlignment="0" applyProtection="0"/>
    <xf numFmtId="0"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0"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0" fontId="45" fillId="34" borderId="0" applyNumberFormat="0" applyBorder="0" applyAlignment="0" applyProtection="0"/>
    <xf numFmtId="0" fontId="14" fillId="34" borderId="0" applyNumberFormat="0" applyBorder="0" applyAlignment="0" applyProtection="0"/>
    <xf numFmtId="0" fontId="45" fillId="34"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45"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16"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178" fontId="14" fillId="34"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178" fontId="14" fillId="34" borderId="0" applyNumberFormat="0" applyBorder="0" applyAlignment="0" applyProtection="0"/>
    <xf numFmtId="0" fontId="45" fillId="34"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4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45" fillId="34" borderId="0" applyNumberFormat="0" applyBorder="0" applyAlignment="0" applyProtection="0"/>
    <xf numFmtId="0" fontId="4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16" fillId="1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45" fillId="35" borderId="0" applyNumberFormat="0" applyBorder="0" applyAlignment="0" applyProtection="0"/>
    <xf numFmtId="0"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0" fontId="45" fillId="35" borderId="0" applyNumberFormat="0" applyBorder="0" applyAlignment="0" applyProtection="0"/>
    <xf numFmtId="0" fontId="14" fillId="35" borderId="0" applyNumberFormat="0" applyBorder="0" applyAlignment="0" applyProtection="0"/>
    <xf numFmtId="0" fontId="45" fillId="3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45"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16" fillId="1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178" fontId="14" fillId="3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178" fontId="14" fillId="35" borderId="0" applyNumberFormat="0" applyBorder="0" applyAlignment="0" applyProtection="0"/>
    <xf numFmtId="0" fontId="45" fillId="3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4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45" fillId="35" borderId="0" applyNumberFormat="0" applyBorder="0" applyAlignment="0" applyProtection="0"/>
    <xf numFmtId="0" fontId="4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16" fillId="19"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45" fillId="36" borderId="0" applyNumberFormat="0" applyBorder="0" applyAlignment="0" applyProtection="0"/>
    <xf numFmtId="0"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0" fontId="45" fillId="36" borderId="0" applyNumberFormat="0" applyBorder="0" applyAlignment="0" applyProtection="0"/>
    <xf numFmtId="0" fontId="14" fillId="36" borderId="0" applyNumberFormat="0" applyBorder="0" applyAlignment="0" applyProtection="0"/>
    <xf numFmtId="0" fontId="45" fillId="36"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45"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16" fillId="19"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178" fontId="14" fillId="36"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178" fontId="14" fillId="36" borderId="0" applyNumberFormat="0" applyBorder="0" applyAlignment="0" applyProtection="0"/>
    <xf numFmtId="0" fontId="45" fillId="36"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45" fillId="36" borderId="0" applyNumberFormat="0" applyBorder="0" applyAlignment="0" applyProtection="0"/>
    <xf numFmtId="0" fontId="4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16" fillId="23"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45" fillId="37" borderId="0" applyNumberFormat="0" applyBorder="0" applyAlignment="0" applyProtection="0"/>
    <xf numFmtId="0"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45" fillId="37" borderId="0" applyNumberFormat="0" applyBorder="0" applyAlignment="0" applyProtection="0"/>
    <xf numFmtId="0" fontId="14" fillId="37" borderId="0" applyNumberFormat="0" applyBorder="0" applyAlignment="0" applyProtection="0"/>
    <xf numFmtId="0" fontId="45" fillId="37"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45"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16" fillId="23"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178" fontId="14" fillId="37"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45" fillId="37"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45" fillId="37" borderId="0" applyNumberFormat="0" applyBorder="0" applyAlignment="0" applyProtection="0"/>
    <xf numFmtId="0" fontId="4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16" fillId="2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45" fillId="38" borderId="0" applyNumberFormat="0" applyBorder="0" applyAlignment="0" applyProtection="0"/>
    <xf numFmtId="0"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0" fontId="45" fillId="38" borderId="0" applyNumberFormat="0" applyBorder="0" applyAlignment="0" applyProtection="0"/>
    <xf numFmtId="0" fontId="14" fillId="38" borderId="0" applyNumberFormat="0" applyBorder="0" applyAlignment="0" applyProtection="0"/>
    <xf numFmtId="0" fontId="45" fillId="38"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45"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16" fillId="2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178" fontId="14" fillId="38"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178" fontId="14" fillId="38" borderId="0" applyNumberFormat="0" applyBorder="0" applyAlignment="0" applyProtection="0"/>
    <xf numFmtId="0" fontId="45" fillId="38"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45" fillId="38" borderId="0" applyNumberFormat="0" applyBorder="0" applyAlignment="0" applyProtection="0"/>
    <xf numFmtId="0" fontId="4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16" fillId="31"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45" fillId="39" borderId="0" applyNumberFormat="0" applyBorder="0" applyAlignment="0" applyProtection="0"/>
    <xf numFmtId="0"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0" fontId="45" fillId="39" borderId="0" applyNumberFormat="0" applyBorder="0" applyAlignment="0" applyProtection="0"/>
    <xf numFmtId="0" fontId="14" fillId="39" borderId="0" applyNumberFormat="0" applyBorder="0" applyAlignment="0" applyProtection="0"/>
    <xf numFmtId="0" fontId="45" fillId="39"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45"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16" fillId="31"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178" fontId="14" fillId="39"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178" fontId="14" fillId="39" borderId="0" applyNumberFormat="0" applyBorder="0" applyAlignment="0" applyProtection="0"/>
    <xf numFmtId="0" fontId="45" fillId="39"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4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45" fillId="39" borderId="0" applyNumberFormat="0" applyBorder="0" applyAlignment="0" applyProtection="0"/>
    <xf numFmtId="0" fontId="4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16" fillId="12"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45" fillId="40" borderId="0" applyNumberFormat="0" applyBorder="0" applyAlignment="0" applyProtection="0"/>
    <xf numFmtId="0"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45" fillId="40" borderId="0" applyNumberFormat="0" applyBorder="0" applyAlignment="0" applyProtection="0"/>
    <xf numFmtId="0" fontId="14" fillId="40" borderId="0" applyNumberFormat="0" applyBorder="0" applyAlignment="0" applyProtection="0"/>
    <xf numFmtId="0" fontId="45" fillId="40"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45"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16" fillId="12"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178" fontId="14" fillId="40" borderId="0" applyNumberFormat="0" applyBorder="0" applyAlignment="0" applyProtection="0"/>
    <xf numFmtId="0" fontId="46" fillId="12" borderId="0" applyNumberFormat="0" applyBorder="0" applyAlignment="0" applyProtection="0"/>
    <xf numFmtId="0" fontId="4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45" fillId="40"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46" fillId="12" borderId="0" applyNumberFormat="0" applyBorder="0" applyAlignment="0" applyProtection="0"/>
    <xf numFmtId="0" fontId="46" fillId="12" borderId="0" applyNumberFormat="0" applyBorder="0" applyAlignment="0" applyProtection="0"/>
    <xf numFmtId="0" fontId="4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45" fillId="40" borderId="0" applyNumberFormat="0" applyBorder="0" applyAlignment="0" applyProtection="0"/>
    <xf numFmtId="0" fontId="4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16" fillId="16"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45" fillId="41" borderId="0" applyNumberFormat="0" applyBorder="0" applyAlignment="0" applyProtection="0"/>
    <xf numFmtId="0"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0" fontId="45" fillId="41" borderId="0" applyNumberFormat="0" applyBorder="0" applyAlignment="0" applyProtection="0"/>
    <xf numFmtId="0" fontId="14" fillId="41" borderId="0" applyNumberFormat="0" applyBorder="0" applyAlignment="0" applyProtection="0"/>
    <xf numFmtId="0" fontId="45" fillId="41"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45"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16" fillId="16"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178" fontId="14" fillId="41"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178" fontId="14" fillId="41" borderId="0" applyNumberFormat="0" applyBorder="0" applyAlignment="0" applyProtection="0"/>
    <xf numFmtId="0" fontId="45" fillId="41"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4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45" fillId="41" borderId="0" applyNumberFormat="0" applyBorder="0" applyAlignment="0" applyProtection="0"/>
    <xf numFmtId="0" fontId="4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1"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16" fillId="20"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45" fillId="42" borderId="0" applyNumberFormat="0" applyBorder="0" applyAlignment="0" applyProtection="0"/>
    <xf numFmtId="0"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0" fontId="45" fillId="42" borderId="0" applyNumberFormat="0" applyBorder="0" applyAlignment="0" applyProtection="0"/>
    <xf numFmtId="0" fontId="14" fillId="42" borderId="0" applyNumberFormat="0" applyBorder="0" applyAlignment="0" applyProtection="0"/>
    <xf numFmtId="0" fontId="45" fillId="42"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45"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16" fillId="20"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178" fontId="14" fillId="42"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178" fontId="14" fillId="42" borderId="0" applyNumberFormat="0" applyBorder="0" applyAlignment="0" applyProtection="0"/>
    <xf numFmtId="0" fontId="45" fillId="42"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45" fillId="42" borderId="0" applyNumberFormat="0" applyBorder="0" applyAlignment="0" applyProtection="0"/>
    <xf numFmtId="0" fontId="4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42"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16" fillId="24"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45" fillId="37" borderId="0" applyNumberFormat="0" applyBorder="0" applyAlignment="0" applyProtection="0"/>
    <xf numFmtId="0"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45" fillId="37" borderId="0" applyNumberFormat="0" applyBorder="0" applyAlignment="0" applyProtection="0"/>
    <xf numFmtId="0" fontId="14" fillId="37" borderId="0" applyNumberFormat="0" applyBorder="0" applyAlignment="0" applyProtection="0"/>
    <xf numFmtId="0" fontId="45" fillId="37"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45"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16" fillId="24"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178" fontId="14" fillId="37"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178" fontId="14" fillId="37" borderId="0" applyNumberFormat="0" applyBorder="0" applyAlignment="0" applyProtection="0"/>
    <xf numFmtId="0" fontId="45" fillId="37"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45" fillId="37" borderId="0" applyNumberFormat="0" applyBorder="0" applyAlignment="0" applyProtection="0"/>
    <xf numFmtId="0" fontId="4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16" fillId="28"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45" fillId="40" borderId="0" applyNumberFormat="0" applyBorder="0" applyAlignment="0" applyProtection="0"/>
    <xf numFmtId="0"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45" fillId="40" borderId="0" applyNumberFormat="0" applyBorder="0" applyAlignment="0" applyProtection="0"/>
    <xf numFmtId="0" fontId="14" fillId="40" borderId="0" applyNumberFormat="0" applyBorder="0" applyAlignment="0" applyProtection="0"/>
    <xf numFmtId="0" fontId="45" fillId="40"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45"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16" fillId="28"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178" fontId="14" fillId="40"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178" fontId="14" fillId="40" borderId="0" applyNumberFormat="0" applyBorder="0" applyAlignment="0" applyProtection="0"/>
    <xf numFmtId="0" fontId="45" fillId="40"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45" fillId="40" borderId="0" applyNumberFormat="0" applyBorder="0" applyAlignment="0" applyProtection="0"/>
    <xf numFmtId="0" fontId="4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16" fillId="32"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45" fillId="43" borderId="0" applyNumberFormat="0" applyBorder="0" applyAlignment="0" applyProtection="0"/>
    <xf numFmtId="0"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0" fontId="45" fillId="43" borderId="0" applyNumberFormat="0" applyBorder="0" applyAlignment="0" applyProtection="0"/>
    <xf numFmtId="0" fontId="14" fillId="43" borderId="0" applyNumberFormat="0" applyBorder="0" applyAlignment="0" applyProtection="0"/>
    <xf numFmtId="0" fontId="45" fillId="43"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45"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16" fillId="32"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178" fontId="14" fillId="43" borderId="0" applyNumberFormat="0" applyBorder="0" applyAlignment="0" applyProtection="0"/>
    <xf numFmtId="0" fontId="46" fillId="32" borderId="0" applyNumberFormat="0" applyBorder="0" applyAlignment="0" applyProtection="0"/>
    <xf numFmtId="0" fontId="4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178" fontId="14" fillId="43" borderId="0" applyNumberFormat="0" applyBorder="0" applyAlignment="0" applyProtection="0"/>
    <xf numFmtId="0" fontId="45" fillId="43"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46" fillId="32" borderId="0" applyNumberFormat="0" applyBorder="0" applyAlignment="0" applyProtection="0"/>
    <xf numFmtId="0" fontId="46" fillId="32" borderId="0" applyNumberFormat="0" applyBorder="0" applyAlignment="0" applyProtection="0"/>
    <xf numFmtId="0" fontId="4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45" fillId="43" borderId="0" applyNumberFormat="0" applyBorder="0" applyAlignment="0" applyProtection="0"/>
    <xf numFmtId="0" fontId="4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45" fillId="43" borderId="0" applyNumberFormat="0" applyBorder="0" applyAlignment="0" applyProtection="0"/>
    <xf numFmtId="0" fontId="9" fillId="0" borderId="0"/>
    <xf numFmtId="175" fontId="9" fillId="0" borderId="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32" fillId="13"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32" fillId="13" borderId="0" applyNumberFormat="0" applyBorder="0" applyAlignment="0" applyProtection="0"/>
    <xf numFmtId="0" fontId="47" fillId="44" borderId="0" applyNumberFormat="0" applyBorder="0" applyAlignment="0" applyProtection="0"/>
    <xf numFmtId="0" fontId="32" fillId="13"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8"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0" fontId="47" fillId="44" borderId="0" applyNumberFormat="0" applyBorder="0" applyAlignment="0" applyProtection="0"/>
    <xf numFmtId="0" fontId="48" fillId="44" borderId="0" applyNumberFormat="0" applyBorder="0" applyAlignment="0" applyProtection="0"/>
    <xf numFmtId="179" fontId="48"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32" fillId="13"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178" fontId="48"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8" fillId="44" borderId="0" applyNumberFormat="0" applyBorder="0" applyAlignment="0" applyProtection="0"/>
    <xf numFmtId="0" fontId="47" fillId="44" borderId="0" applyNumberFormat="0" applyBorder="0" applyAlignment="0" applyProtection="0"/>
    <xf numFmtId="0" fontId="32" fillId="13"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4"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32" fillId="17" borderId="0" applyNumberFormat="0" applyBorder="0" applyAlignment="0" applyProtection="0"/>
    <xf numFmtId="0" fontId="47" fillId="41" borderId="0" applyNumberFormat="0" applyBorder="0" applyAlignment="0" applyProtection="0"/>
    <xf numFmtId="0" fontId="32" fillId="17" borderId="0" applyNumberFormat="0" applyBorder="0" applyAlignment="0" applyProtection="0"/>
    <xf numFmtId="0" fontId="47" fillId="41" borderId="0" applyNumberFormat="0" applyBorder="0" applyAlignment="0" applyProtection="0"/>
    <xf numFmtId="0" fontId="32" fillId="17" borderId="0" applyNumberFormat="0" applyBorder="0" applyAlignment="0" applyProtection="0"/>
    <xf numFmtId="0" fontId="47"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32" fillId="17"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0" fontId="47" fillId="41" borderId="0" applyNumberFormat="0" applyBorder="0" applyAlignment="0" applyProtection="0"/>
    <xf numFmtId="0" fontId="48" fillId="41" borderId="0" applyNumberFormat="0" applyBorder="0" applyAlignment="0" applyProtection="0"/>
    <xf numFmtId="179" fontId="48"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178" fontId="48"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8" fillId="41" borderId="0" applyNumberFormat="0" applyBorder="0" applyAlignment="0" applyProtection="0"/>
    <xf numFmtId="0" fontId="47" fillId="41" borderId="0" applyNumberFormat="0" applyBorder="0" applyAlignment="0" applyProtection="0"/>
    <xf numFmtId="0" fontId="32" fillId="17"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32" fillId="21"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32" fillId="21" borderId="0" applyNumberFormat="0" applyBorder="0" applyAlignment="0" applyProtection="0"/>
    <xf numFmtId="0" fontId="47" fillId="42" borderId="0" applyNumberFormat="0" applyBorder="0" applyAlignment="0" applyProtection="0"/>
    <xf numFmtId="0" fontId="32" fillId="21"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8"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0" fontId="47" fillId="42" borderId="0" applyNumberFormat="0" applyBorder="0" applyAlignment="0" applyProtection="0"/>
    <xf numFmtId="0" fontId="48" fillId="42" borderId="0" applyNumberFormat="0" applyBorder="0" applyAlignment="0" applyProtection="0"/>
    <xf numFmtId="179" fontId="48"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32" fillId="21"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178" fontId="48"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8" fillId="42" borderId="0" applyNumberFormat="0" applyBorder="0" applyAlignment="0" applyProtection="0"/>
    <xf numFmtId="0" fontId="47" fillId="42" borderId="0" applyNumberFormat="0" applyBorder="0" applyAlignment="0" applyProtection="0"/>
    <xf numFmtId="0" fontId="32" fillId="21"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32" fillId="25" borderId="0" applyNumberFormat="0" applyBorder="0" applyAlignment="0" applyProtection="0"/>
    <xf numFmtId="0" fontId="47" fillId="45" borderId="0" applyNumberFormat="0" applyBorder="0" applyAlignment="0" applyProtection="0"/>
    <xf numFmtId="0" fontId="32" fillId="25" borderId="0" applyNumberFormat="0" applyBorder="0" applyAlignment="0" applyProtection="0"/>
    <xf numFmtId="0" fontId="47" fillId="45" borderId="0" applyNumberFormat="0" applyBorder="0" applyAlignment="0" applyProtection="0"/>
    <xf numFmtId="0" fontId="32" fillId="25" borderId="0" applyNumberFormat="0" applyBorder="0" applyAlignment="0" applyProtection="0"/>
    <xf numFmtId="0" fontId="47" fillId="45" borderId="0" applyNumberFormat="0" applyBorder="0" applyAlignment="0" applyProtection="0"/>
    <xf numFmtId="0" fontId="48" fillId="45" borderId="0" applyNumberFormat="0" applyBorder="0" applyAlignment="0" applyProtection="0"/>
    <xf numFmtId="0" fontId="48"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32" fillId="2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0" fontId="47" fillId="45" borderId="0" applyNumberFormat="0" applyBorder="0" applyAlignment="0" applyProtection="0"/>
    <xf numFmtId="0" fontId="48" fillId="45" borderId="0" applyNumberFormat="0" applyBorder="0" applyAlignment="0" applyProtection="0"/>
    <xf numFmtId="179" fontId="48"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32" fillId="25" borderId="0" applyNumberFormat="0" applyBorder="0" applyAlignment="0" applyProtection="0"/>
    <xf numFmtId="0" fontId="32" fillId="2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8" fillId="45" borderId="0" applyNumberFormat="0" applyBorder="0" applyAlignment="0" applyProtection="0"/>
    <xf numFmtId="0" fontId="47" fillId="45" borderId="0" applyNumberFormat="0" applyBorder="0" applyAlignment="0" applyProtection="0"/>
    <xf numFmtId="0" fontId="32" fillId="2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32" fillId="29" borderId="0" applyNumberFormat="0" applyBorder="0" applyAlignment="0" applyProtection="0"/>
    <xf numFmtId="0" fontId="47" fillId="46" borderId="0" applyNumberFormat="0" applyBorder="0" applyAlignment="0" applyProtection="0"/>
    <xf numFmtId="0" fontId="32" fillId="29" borderId="0" applyNumberFormat="0" applyBorder="0" applyAlignment="0" applyProtection="0"/>
    <xf numFmtId="0" fontId="47" fillId="46" borderId="0" applyNumberFormat="0" applyBorder="0" applyAlignment="0" applyProtection="0"/>
    <xf numFmtId="0" fontId="32" fillId="29" borderId="0" applyNumberFormat="0" applyBorder="0" applyAlignment="0" applyProtection="0"/>
    <xf numFmtId="0" fontId="47" fillId="46" borderId="0" applyNumberFormat="0" applyBorder="0" applyAlignment="0" applyProtection="0"/>
    <xf numFmtId="0" fontId="48" fillId="46" borderId="0" applyNumberFormat="0" applyBorder="0" applyAlignment="0" applyProtection="0"/>
    <xf numFmtId="0" fontId="48"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32" fillId="29"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0" fontId="47" fillId="46" borderId="0" applyNumberFormat="0" applyBorder="0" applyAlignment="0" applyProtection="0"/>
    <xf numFmtId="0" fontId="48" fillId="46" borderId="0" applyNumberFormat="0" applyBorder="0" applyAlignment="0" applyProtection="0"/>
    <xf numFmtId="179" fontId="48"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8" fillId="46" borderId="0" applyNumberFormat="0" applyBorder="0" applyAlignment="0" applyProtection="0"/>
    <xf numFmtId="0" fontId="47" fillId="46" borderId="0" applyNumberFormat="0" applyBorder="0" applyAlignment="0" applyProtection="0"/>
    <xf numFmtId="0" fontId="32" fillId="29"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32" fillId="33" borderId="0" applyNumberFormat="0" applyBorder="0" applyAlignment="0" applyProtection="0"/>
    <xf numFmtId="0" fontId="47" fillId="47" borderId="0" applyNumberFormat="0" applyBorder="0" applyAlignment="0" applyProtection="0"/>
    <xf numFmtId="0" fontId="32" fillId="33" borderId="0" applyNumberFormat="0" applyBorder="0" applyAlignment="0" applyProtection="0"/>
    <xf numFmtId="0" fontId="47" fillId="47" borderId="0" applyNumberFormat="0" applyBorder="0" applyAlignment="0" applyProtection="0"/>
    <xf numFmtId="0" fontId="32" fillId="33" borderId="0" applyNumberFormat="0" applyBorder="0" applyAlignment="0" applyProtection="0"/>
    <xf numFmtId="0" fontId="47" fillId="47" borderId="0" applyNumberFormat="0" applyBorder="0" applyAlignment="0" applyProtection="0"/>
    <xf numFmtId="0" fontId="48" fillId="47" borderId="0" applyNumberFormat="0" applyBorder="0" applyAlignment="0" applyProtection="0"/>
    <xf numFmtId="0" fontId="48"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32" fillId="33"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0" fontId="47" fillId="47" borderId="0" applyNumberFormat="0" applyBorder="0" applyAlignment="0" applyProtection="0"/>
    <xf numFmtId="0" fontId="48" fillId="47" borderId="0" applyNumberFormat="0" applyBorder="0" applyAlignment="0" applyProtection="0"/>
    <xf numFmtId="179" fontId="48"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178" fontId="48"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32" fillId="33" borderId="0" applyNumberFormat="0" applyBorder="0" applyAlignment="0" applyProtection="0"/>
    <xf numFmtId="0" fontId="32" fillId="33"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8" fillId="47" borderId="0" applyNumberFormat="0" applyBorder="0" applyAlignment="0" applyProtection="0"/>
    <xf numFmtId="0" fontId="47" fillId="47" borderId="0" applyNumberFormat="0" applyBorder="0" applyAlignment="0" applyProtection="0"/>
    <xf numFmtId="0" fontId="32" fillId="33"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9" fontId="49" fillId="0" borderId="0"/>
    <xf numFmtId="9" fontId="50" fillId="0" borderId="0"/>
    <xf numFmtId="0" fontId="51" fillId="0" borderId="0" applyNumberFormat="0" applyFont="0" applyBorder="0" applyAlignment="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32" fillId="10" borderId="0" applyNumberFormat="0" applyBorder="0" applyAlignment="0" applyProtection="0"/>
    <xf numFmtId="0" fontId="47" fillId="48" borderId="0" applyNumberFormat="0" applyBorder="0" applyAlignment="0" applyProtection="0"/>
    <xf numFmtId="0" fontId="32" fillId="10" borderId="0" applyNumberFormat="0" applyBorder="0" applyAlignment="0" applyProtection="0"/>
    <xf numFmtId="0" fontId="47" fillId="48" borderId="0" applyNumberFormat="0" applyBorder="0" applyAlignment="0" applyProtection="0"/>
    <xf numFmtId="0" fontId="32" fillId="10" borderId="0" applyNumberFormat="0" applyBorder="0" applyAlignment="0" applyProtection="0"/>
    <xf numFmtId="0" fontId="47" fillId="48" borderId="0" applyNumberFormat="0" applyBorder="0" applyAlignment="0" applyProtection="0"/>
    <xf numFmtId="0" fontId="48" fillId="48" borderId="0" applyNumberFormat="0" applyBorder="0" applyAlignment="0" applyProtection="0"/>
    <xf numFmtId="0" fontId="48"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32" fillId="10"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0" fontId="47" fillId="48" borderId="0" applyNumberFormat="0" applyBorder="0" applyAlignment="0" applyProtection="0"/>
    <xf numFmtId="0" fontId="48" fillId="48" borderId="0" applyNumberFormat="0" applyBorder="0" applyAlignment="0" applyProtection="0"/>
    <xf numFmtId="179" fontId="48"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178" fontId="48"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8" fillId="48" borderId="0" applyNumberFormat="0" applyBorder="0" applyAlignment="0" applyProtection="0"/>
    <xf numFmtId="0" fontId="47" fillId="48" borderId="0" applyNumberFormat="0" applyBorder="0" applyAlignment="0" applyProtection="0"/>
    <xf numFmtId="0" fontId="32" fillId="10"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32" fillId="14" borderId="0" applyNumberFormat="0" applyBorder="0" applyAlignment="0" applyProtection="0"/>
    <xf numFmtId="0" fontId="47" fillId="49" borderId="0" applyNumberFormat="0" applyBorder="0" applyAlignment="0" applyProtection="0"/>
    <xf numFmtId="0" fontId="32" fillId="14" borderId="0" applyNumberFormat="0" applyBorder="0" applyAlignment="0" applyProtection="0"/>
    <xf numFmtId="0" fontId="47" fillId="49" borderId="0" applyNumberFormat="0" applyBorder="0" applyAlignment="0" applyProtection="0"/>
    <xf numFmtId="0" fontId="32" fillId="14" borderId="0" applyNumberFormat="0" applyBorder="0" applyAlignment="0" applyProtection="0"/>
    <xf numFmtId="0" fontId="47" fillId="49" borderId="0" applyNumberFormat="0" applyBorder="0" applyAlignment="0" applyProtection="0"/>
    <xf numFmtId="0" fontId="48" fillId="49" borderId="0" applyNumberFormat="0" applyBorder="0" applyAlignment="0" applyProtection="0"/>
    <xf numFmtId="0" fontId="48"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32" fillId="14"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0" fontId="47" fillId="49" borderId="0" applyNumberFormat="0" applyBorder="0" applyAlignment="0" applyProtection="0"/>
    <xf numFmtId="0" fontId="48" fillId="49" borderId="0" applyNumberFormat="0" applyBorder="0" applyAlignment="0" applyProtection="0"/>
    <xf numFmtId="179" fontId="48"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178" fontId="48"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8" fillId="49" borderId="0" applyNumberFormat="0" applyBorder="0" applyAlignment="0" applyProtection="0"/>
    <xf numFmtId="0" fontId="47" fillId="49" borderId="0" applyNumberFormat="0" applyBorder="0" applyAlignment="0" applyProtection="0"/>
    <xf numFmtId="0" fontId="32" fillId="14"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32" fillId="18" borderId="0" applyNumberFormat="0" applyBorder="0" applyAlignment="0" applyProtection="0"/>
    <xf numFmtId="0" fontId="47" fillId="50" borderId="0" applyNumberFormat="0" applyBorder="0" applyAlignment="0" applyProtection="0"/>
    <xf numFmtId="0" fontId="32" fillId="18" borderId="0" applyNumberFormat="0" applyBorder="0" applyAlignment="0" applyProtection="0"/>
    <xf numFmtId="0" fontId="47" fillId="50" borderId="0" applyNumberFormat="0" applyBorder="0" applyAlignment="0" applyProtection="0"/>
    <xf numFmtId="0" fontId="32" fillId="18" borderId="0" applyNumberFormat="0" applyBorder="0" applyAlignment="0" applyProtection="0"/>
    <xf numFmtId="0" fontId="47" fillId="50" borderId="0" applyNumberFormat="0" applyBorder="0" applyAlignment="0" applyProtection="0"/>
    <xf numFmtId="0" fontId="48" fillId="50" borderId="0" applyNumberFormat="0" applyBorder="0" applyAlignment="0" applyProtection="0"/>
    <xf numFmtId="0" fontId="48"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32" fillId="18"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0" fontId="47" fillId="50" borderId="0" applyNumberFormat="0" applyBorder="0" applyAlignment="0" applyProtection="0"/>
    <xf numFmtId="0" fontId="48" fillId="50" borderId="0" applyNumberFormat="0" applyBorder="0" applyAlignment="0" applyProtection="0"/>
    <xf numFmtId="179" fontId="48"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178" fontId="48"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8" fillId="50" borderId="0" applyNumberFormat="0" applyBorder="0" applyAlignment="0" applyProtection="0"/>
    <xf numFmtId="0" fontId="47" fillId="50" borderId="0" applyNumberFormat="0" applyBorder="0" applyAlignment="0" applyProtection="0"/>
    <xf numFmtId="0" fontId="32" fillId="18"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32" fillId="22" borderId="0" applyNumberFormat="0" applyBorder="0" applyAlignment="0" applyProtection="0"/>
    <xf numFmtId="0" fontId="47" fillId="45" borderId="0" applyNumberFormat="0" applyBorder="0" applyAlignment="0" applyProtection="0"/>
    <xf numFmtId="0" fontId="32" fillId="22" borderId="0" applyNumberFormat="0" applyBorder="0" applyAlignment="0" applyProtection="0"/>
    <xf numFmtId="0" fontId="47" fillId="45" borderId="0" applyNumberFormat="0" applyBorder="0" applyAlignment="0" applyProtection="0"/>
    <xf numFmtId="0" fontId="32" fillId="22" borderId="0" applyNumberFormat="0" applyBorder="0" applyAlignment="0" applyProtection="0"/>
    <xf numFmtId="0" fontId="47" fillId="45" borderId="0" applyNumberFormat="0" applyBorder="0" applyAlignment="0" applyProtection="0"/>
    <xf numFmtId="0" fontId="48" fillId="45" borderId="0" applyNumberFormat="0" applyBorder="0" applyAlignment="0" applyProtection="0"/>
    <xf numFmtId="0" fontId="48"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32" fillId="22"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0" fontId="47" fillId="45" borderId="0" applyNumberFormat="0" applyBorder="0" applyAlignment="0" applyProtection="0"/>
    <xf numFmtId="0" fontId="48" fillId="45" borderId="0" applyNumberFormat="0" applyBorder="0" applyAlignment="0" applyProtection="0"/>
    <xf numFmtId="179" fontId="48"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178" fontId="48"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8" fillId="45" borderId="0" applyNumberFormat="0" applyBorder="0" applyAlignment="0" applyProtection="0"/>
    <xf numFmtId="0" fontId="47" fillId="45" borderId="0" applyNumberFormat="0" applyBorder="0" applyAlignment="0" applyProtection="0"/>
    <xf numFmtId="0" fontId="32" fillId="22"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5"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32" fillId="26" borderId="0" applyNumberFormat="0" applyBorder="0" applyAlignment="0" applyProtection="0"/>
    <xf numFmtId="0" fontId="47" fillId="46" borderId="0" applyNumberFormat="0" applyBorder="0" applyAlignment="0" applyProtection="0"/>
    <xf numFmtId="0" fontId="32" fillId="26" borderId="0" applyNumberFormat="0" applyBorder="0" applyAlignment="0" applyProtection="0"/>
    <xf numFmtId="0" fontId="47" fillId="46" borderId="0" applyNumberFormat="0" applyBorder="0" applyAlignment="0" applyProtection="0"/>
    <xf numFmtId="0" fontId="32" fillId="26" borderId="0" applyNumberFormat="0" applyBorder="0" applyAlignment="0" applyProtection="0"/>
    <xf numFmtId="0" fontId="47" fillId="46" borderId="0" applyNumberFormat="0" applyBorder="0" applyAlignment="0" applyProtection="0"/>
    <xf numFmtId="0" fontId="48" fillId="46" borderId="0" applyNumberFormat="0" applyBorder="0" applyAlignment="0" applyProtection="0"/>
    <xf numFmtId="0" fontId="48"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32" fillId="2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0" fontId="47" fillId="46" borderId="0" applyNumberFormat="0" applyBorder="0" applyAlignment="0" applyProtection="0"/>
    <xf numFmtId="0" fontId="48" fillId="46" borderId="0" applyNumberFormat="0" applyBorder="0" applyAlignment="0" applyProtection="0"/>
    <xf numFmtId="179" fontId="48"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178" fontId="48"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8" fillId="46" borderId="0" applyNumberFormat="0" applyBorder="0" applyAlignment="0" applyProtection="0"/>
    <xf numFmtId="0" fontId="47" fillId="46" borderId="0" applyNumberFormat="0" applyBorder="0" applyAlignment="0" applyProtection="0"/>
    <xf numFmtId="0" fontId="32" fillId="2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46"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32" fillId="30" borderId="0" applyNumberFormat="0" applyBorder="0" applyAlignment="0" applyProtection="0"/>
    <xf numFmtId="0" fontId="47" fillId="51" borderId="0" applyNumberFormat="0" applyBorder="0" applyAlignment="0" applyProtection="0"/>
    <xf numFmtId="0" fontId="32" fillId="30" borderId="0" applyNumberFormat="0" applyBorder="0" applyAlignment="0" applyProtection="0"/>
    <xf numFmtId="0" fontId="47" fillId="51" borderId="0" applyNumberFormat="0" applyBorder="0" applyAlignment="0" applyProtection="0"/>
    <xf numFmtId="0" fontId="32" fillId="30" borderId="0" applyNumberFormat="0" applyBorder="0" applyAlignment="0" applyProtection="0"/>
    <xf numFmtId="0" fontId="47" fillId="51" borderId="0" applyNumberFormat="0" applyBorder="0" applyAlignment="0" applyProtection="0"/>
    <xf numFmtId="0" fontId="48" fillId="51" borderId="0" applyNumberFormat="0" applyBorder="0" applyAlignment="0" applyProtection="0"/>
    <xf numFmtId="0" fontId="48"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32" fillId="30"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0" fontId="47" fillId="51" borderId="0" applyNumberFormat="0" applyBorder="0" applyAlignment="0" applyProtection="0"/>
    <xf numFmtId="0" fontId="48" fillId="51" borderId="0" applyNumberFormat="0" applyBorder="0" applyAlignment="0" applyProtection="0"/>
    <xf numFmtId="179" fontId="48"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178" fontId="48"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8" fillId="51" borderId="0" applyNumberFormat="0" applyBorder="0" applyAlignment="0" applyProtection="0"/>
    <xf numFmtId="0" fontId="47" fillId="51" borderId="0" applyNumberFormat="0" applyBorder="0" applyAlignment="0" applyProtection="0"/>
    <xf numFmtId="0" fontId="32" fillId="30"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0" fontId="9" fillId="52" borderId="42">
      <alignment horizontal="center" vertical="center"/>
    </xf>
    <xf numFmtId="181" fontId="52" fillId="0" borderId="0" applyFont="0" applyFill="0" applyBorder="0" applyAlignment="0" applyProtection="0"/>
    <xf numFmtId="182" fontId="49" fillId="0" borderId="0" applyFont="0" applyFill="0" applyBorder="0" applyAlignment="0" applyProtection="0"/>
    <xf numFmtId="0" fontId="53" fillId="0" borderId="0" applyFont="0" applyFill="0" applyBorder="0" applyAlignment="0" applyProtection="0"/>
    <xf numFmtId="183" fontId="52" fillId="0" borderId="0" applyFont="0" applyFill="0" applyBorder="0" applyAlignment="0" applyProtection="0"/>
    <xf numFmtId="184" fontId="49" fillId="0" borderId="0" applyFont="0" applyFill="0" applyBorder="0" applyAlignment="0" applyProtection="0"/>
    <xf numFmtId="0" fontId="53" fillId="0" borderId="0" applyFont="0" applyFill="0" applyBorder="0" applyAlignment="0" applyProtection="0"/>
    <xf numFmtId="0" fontId="54" fillId="0" borderId="0">
      <alignment horizontal="center" wrapText="1"/>
      <protection locked="0"/>
    </xf>
    <xf numFmtId="0" fontId="55" fillId="0" borderId="0"/>
    <xf numFmtId="0" fontId="55" fillId="0" borderId="0"/>
    <xf numFmtId="0" fontId="9" fillId="0" borderId="0" applyFill="0" applyBorder="0">
      <alignment vertical="center"/>
    </xf>
    <xf numFmtId="185" fontId="52" fillId="0" borderId="0" applyFont="0" applyFill="0" applyBorder="0" applyAlignment="0" applyProtection="0"/>
    <xf numFmtId="186" fontId="49" fillId="0" borderId="0" applyFont="0" applyFill="0" applyBorder="0" applyAlignment="0" applyProtection="0"/>
    <xf numFmtId="0" fontId="53" fillId="0" borderId="0" applyFont="0" applyFill="0" applyBorder="0" applyAlignment="0" applyProtection="0"/>
    <xf numFmtId="187" fontId="52" fillId="0" borderId="0" applyFont="0" applyFill="0" applyBorder="0" applyAlignment="0" applyProtection="0"/>
    <xf numFmtId="188" fontId="49" fillId="0" borderId="0" applyFont="0" applyFill="0" applyBorder="0" applyAlignment="0" applyProtection="0"/>
    <xf numFmtId="0" fontId="53" fillId="0" borderId="0" applyFont="0" applyFill="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22" fillId="4" borderId="0" applyNumberFormat="0" applyBorder="0" applyAlignment="0" applyProtection="0"/>
    <xf numFmtId="0" fontId="56" fillId="35" borderId="0" applyNumberFormat="0" applyBorder="0" applyAlignment="0" applyProtection="0"/>
    <xf numFmtId="0" fontId="22" fillId="4" borderId="0" applyNumberFormat="0" applyBorder="0" applyAlignment="0" applyProtection="0"/>
    <xf numFmtId="0" fontId="56" fillId="35" borderId="0" applyNumberFormat="0" applyBorder="0" applyAlignment="0" applyProtection="0"/>
    <xf numFmtId="0" fontId="22" fillId="4" borderId="0" applyNumberFormat="0" applyBorder="0" applyAlignment="0" applyProtection="0"/>
    <xf numFmtId="0" fontId="56"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22" fillId="4"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0" fontId="56" fillId="35" borderId="0" applyNumberFormat="0" applyBorder="0" applyAlignment="0" applyProtection="0"/>
    <xf numFmtId="0" fontId="57" fillId="35" borderId="0" applyNumberFormat="0" applyBorder="0" applyAlignment="0" applyProtection="0"/>
    <xf numFmtId="179" fontId="57"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178" fontId="57"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7" fillId="35" borderId="0" applyNumberFormat="0" applyBorder="0" applyAlignment="0" applyProtection="0"/>
    <xf numFmtId="0" fontId="56" fillId="35" borderId="0" applyNumberFormat="0" applyBorder="0" applyAlignment="0" applyProtection="0"/>
    <xf numFmtId="0" fontId="22" fillId="4"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0" fontId="56" fillId="35" borderId="0" applyNumberFormat="0" applyBorder="0" applyAlignment="0" applyProtection="0"/>
    <xf numFmtId="3" fontId="58" fillId="0" borderId="0"/>
    <xf numFmtId="39" fontId="59" fillId="0" borderId="0" applyNumberFormat="0" applyFill="0" applyBorder="0" applyAlignment="0" applyProtection="0"/>
    <xf numFmtId="0" fontId="60" fillId="0" borderId="0" applyNumberFormat="0" applyFill="0" applyBorder="0" applyAlignment="0" applyProtection="0"/>
    <xf numFmtId="0" fontId="2" fillId="53" borderId="43" applyBorder="0">
      <alignment vertical="top" wrapText="1"/>
      <protection hidden="1"/>
    </xf>
    <xf numFmtId="175" fontId="2" fillId="53" borderId="43" applyBorder="0">
      <alignment vertical="top" wrapText="1"/>
      <protection hidden="1"/>
    </xf>
    <xf numFmtId="175" fontId="2" fillId="53" borderId="43" applyBorder="0">
      <alignment vertical="top" wrapText="1"/>
      <protection hidden="1"/>
    </xf>
    <xf numFmtId="175" fontId="2" fillId="53" borderId="43" applyBorder="0">
      <alignment vertical="top" wrapText="1"/>
      <protection hidden="1"/>
    </xf>
    <xf numFmtId="175" fontId="2" fillId="53" borderId="43" applyBorder="0">
      <alignment vertical="top" wrapText="1"/>
      <protection hidden="1"/>
    </xf>
    <xf numFmtId="175" fontId="2" fillId="53" borderId="43" applyBorder="0">
      <alignment vertical="top" wrapText="1"/>
      <protection hidden="1"/>
    </xf>
    <xf numFmtId="0" fontId="2" fillId="53" borderId="43" applyBorder="0">
      <alignment vertical="top" wrapText="1"/>
      <protection hidden="1"/>
    </xf>
    <xf numFmtId="0" fontId="2" fillId="53" borderId="43" applyBorder="0">
      <alignment vertical="top" wrapText="1"/>
      <protection hidden="1"/>
    </xf>
    <xf numFmtId="0" fontId="2" fillId="53" borderId="43" applyBorder="0">
      <alignment vertical="top" wrapText="1"/>
      <protection hidden="1"/>
    </xf>
    <xf numFmtId="0" fontId="2" fillId="53" borderId="43" applyBorder="0">
      <alignment vertical="top" wrapText="1"/>
      <protection hidden="1"/>
    </xf>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5" fontId="61" fillId="0" borderId="44" applyAlignment="0" applyProtection="0"/>
    <xf numFmtId="189" fontId="62" fillId="0" borderId="0" applyNumberFormat="0" applyFill="0" applyBorder="0" applyAlignment="0" applyProtection="0"/>
    <xf numFmtId="38" fontId="63" fillId="0" borderId="0" applyFill="0" applyBorder="0" applyAlignment="0" applyProtection="0"/>
    <xf numFmtId="0" fontId="64" fillId="0" borderId="0"/>
    <xf numFmtId="0" fontId="65" fillId="0" borderId="0"/>
    <xf numFmtId="0" fontId="15" fillId="0" borderId="0"/>
    <xf numFmtId="190" fontId="9" fillId="0" borderId="0" applyFill="0" applyBorder="0" applyAlignment="0"/>
    <xf numFmtId="190" fontId="9" fillId="0" borderId="0" applyFill="0" applyBorder="0" applyAlignment="0"/>
    <xf numFmtId="190" fontId="9" fillId="0" borderId="0" applyFill="0" applyBorder="0" applyAlignment="0"/>
    <xf numFmtId="190" fontId="9" fillId="0" borderId="0" applyFill="0" applyBorder="0" applyAlignment="0"/>
    <xf numFmtId="191" fontId="66" fillId="0" borderId="0" applyFill="0" applyBorder="0" applyAlignment="0"/>
    <xf numFmtId="173" fontId="66" fillId="0" borderId="0" applyFill="0" applyBorder="0" applyAlignment="0"/>
    <xf numFmtId="192" fontId="67" fillId="0" borderId="0" applyFill="0" applyBorder="0" applyAlignment="0"/>
    <xf numFmtId="193" fontId="67" fillId="0" borderId="0" applyFill="0" applyBorder="0" applyAlignment="0"/>
    <xf numFmtId="194" fontId="9" fillId="0" borderId="0" applyFill="0" applyBorder="0" applyAlignment="0"/>
    <xf numFmtId="195" fontId="9" fillId="0" borderId="0" applyFill="0" applyBorder="0" applyAlignment="0"/>
    <xf numFmtId="191" fontId="66" fillId="0" borderId="0" applyFill="0" applyBorder="0" applyAlignment="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175" fontId="70" fillId="55" borderId="45" applyNumberFormat="0" applyAlignment="0" applyProtection="0"/>
    <xf numFmtId="175" fontId="70" fillId="55" borderId="45" applyNumberFormat="0" applyAlignment="0" applyProtection="0"/>
    <xf numFmtId="175" fontId="70" fillId="55" borderId="45" applyNumberFormat="0" applyAlignment="0" applyProtection="0"/>
    <xf numFmtId="175" fontId="70" fillId="55" borderId="45" applyNumberFormat="0" applyAlignment="0" applyProtection="0"/>
    <xf numFmtId="175" fontId="70" fillId="55" borderId="45" applyNumberFormat="0" applyAlignment="0" applyProtection="0"/>
    <xf numFmtId="0" fontId="69" fillId="54" borderId="45" applyNumberFormat="0" applyAlignment="0" applyProtection="0"/>
    <xf numFmtId="179"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26" fillId="7" borderId="10"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26" fillId="7" borderId="10"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26" fillId="7" borderId="10"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26" fillId="7" borderId="10"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178"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26" fillId="7" borderId="10"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26" fillId="7" borderId="10"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26" fillId="7" borderId="10"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8"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69" fillId="54" borderId="45" applyNumberFormat="0" applyAlignment="0" applyProtection="0"/>
    <xf numFmtId="0" fontId="71" fillId="0" borderId="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28" fillId="8" borderId="13" applyNumberFormat="0" applyAlignment="0" applyProtection="0"/>
    <xf numFmtId="0" fontId="72" fillId="56" borderId="46" applyNumberFormat="0" applyAlignment="0" applyProtection="0"/>
    <xf numFmtId="0" fontId="28" fillId="8" borderId="13"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28" fillId="8" borderId="13" applyNumberFormat="0" applyAlignment="0" applyProtection="0"/>
    <xf numFmtId="0" fontId="28" fillId="8" borderId="13"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28" fillId="8" borderId="13"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178" fontId="73" fillId="56" borderId="46" applyNumberFormat="0" applyAlignment="0" applyProtection="0"/>
    <xf numFmtId="0" fontId="73"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28" fillId="8" borderId="13" applyNumberFormat="0" applyAlignment="0" applyProtection="0"/>
    <xf numFmtId="0" fontId="72" fillId="56" borderId="46" applyNumberFormat="0" applyAlignment="0" applyProtection="0"/>
    <xf numFmtId="0" fontId="28" fillId="8" borderId="13"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3" fillId="56" borderId="46" applyNumberFormat="0" applyAlignment="0" applyProtection="0"/>
    <xf numFmtId="0" fontId="72" fillId="56" borderId="46" applyNumberFormat="0" applyAlignment="0" applyProtection="0"/>
    <xf numFmtId="0" fontId="28" fillId="8" borderId="13"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0" fontId="72" fillId="56" borderId="46" applyNumberFormat="0" applyAlignment="0" applyProtection="0"/>
    <xf numFmtId="38" fontId="74" fillId="57" borderId="47" applyFont="0" applyFill="0" applyBorder="0" applyProtection="0">
      <alignment vertical="center"/>
      <protection locked="0" hidden="1"/>
    </xf>
    <xf numFmtId="38" fontId="74" fillId="57" borderId="47" applyFont="0" applyFill="0" applyBorder="0" applyProtection="0">
      <alignment vertical="center"/>
      <protection locked="0" hidden="1"/>
    </xf>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196" fontId="9" fillId="0" borderId="0"/>
    <xf numFmtId="41" fontId="75" fillId="0" borderId="0" applyFill="0" applyBorder="0" applyProtection="0">
      <alignment horizontal="center"/>
    </xf>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6" fillId="0" borderId="0" applyFont="0" applyFill="0" applyBorder="0" applyAlignment="0" applyProtection="0"/>
    <xf numFmtId="41" fontId="16" fillId="0" borderId="0" applyFont="0" applyFill="0" applyBorder="0" applyAlignment="0" applyProtection="0"/>
    <xf numFmtId="41" fontId="16" fillId="0" borderId="0" applyFont="0" applyFill="0" applyBorder="0" applyAlignment="0" applyProtection="0"/>
    <xf numFmtId="41" fontId="16"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94" fontId="9" fillId="0" borderId="0" applyFont="0" applyFill="0" applyBorder="0" applyAlignment="0" applyProtection="0"/>
    <xf numFmtId="38" fontId="5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43" fontId="9"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8" fontId="9"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8" fontId="9" fillId="0" borderId="0" applyFont="0" applyFill="0" applyBorder="0" applyAlignment="0" applyProtection="0"/>
    <xf numFmtId="164" fontId="16" fillId="0" borderId="0" applyFont="0" applyFill="0" applyBorder="0" applyAlignment="0" applyProtection="0"/>
    <xf numFmtId="43" fontId="9" fillId="0" borderId="0" applyFont="0" applyFill="0" applyBorder="0" applyAlignment="0" applyProtection="0"/>
    <xf numFmtId="8" fontId="9" fillId="0" borderId="0" applyFont="0" applyFill="0" applyBorder="0" applyAlignment="0" applyProtection="0"/>
    <xf numFmtId="164" fontId="16"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166" fontId="1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166" fontId="14" fillId="0" borderId="0" applyFont="0" applyFill="0" applyBorder="0" applyAlignment="0" applyProtection="0"/>
    <xf numFmtId="43" fontId="9" fillId="0" borderId="0" applyFont="0" applyFill="0" applyBorder="0" applyAlignment="0" applyProtection="0"/>
    <xf numFmtId="166"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5"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37" fontId="54"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9" fillId="0" borderId="0" applyFont="0" applyFill="0" applyBorder="0" applyAlignment="0" applyProtection="0"/>
    <xf numFmtId="38" fontId="54" fillId="0" borderId="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8"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197" fontId="9"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189"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43" fontId="14" fillId="0" borderId="0" applyFont="0" applyFill="0" applyBorder="0" applyAlignment="0" applyProtection="0"/>
    <xf numFmtId="200" fontId="14" fillId="0" borderId="0" applyFont="0" applyFill="0" applyBorder="0" applyAlignment="0" applyProtection="0"/>
    <xf numFmtId="180" fontId="16" fillId="0" borderId="0" applyFont="0" applyFill="0" applyBorder="0" applyAlignment="0" applyProtection="0"/>
    <xf numFmtId="180" fontId="16"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43" fontId="16"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8" fontId="9" fillId="0" borderId="0" applyFont="0" applyFill="0" applyBorder="0" applyAlignment="0" applyProtection="0"/>
    <xf numFmtId="166" fontId="9"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37" fontId="54"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37" fontId="54" fillId="0" borderId="0" applyFont="0" applyFill="0" applyBorder="0" applyAlignment="0" applyProtection="0"/>
    <xf numFmtId="37" fontId="5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38" fontId="54" fillId="0" borderId="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7" fontId="5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38" fontId="54" fillId="0" borderId="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38" fontId="54" fillId="0" borderId="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38" fontId="54" fillId="0" borderId="0" applyFill="0" applyBorder="0" applyAlignment="0" applyProtection="0"/>
    <xf numFmtId="43" fontId="16" fillId="0" borderId="0" applyFont="0" applyFill="0" applyBorder="0" applyAlignment="0" applyProtection="0"/>
    <xf numFmtId="37" fontId="54"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38" fontId="54" fillId="0" borderId="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alignment wrapText="1"/>
    </xf>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6"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6"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5"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5" fontId="9" fillId="0" borderId="0" applyFont="0" applyFill="0" applyBorder="0" applyAlignment="0" applyProtection="0"/>
    <xf numFmtId="43" fontId="16" fillId="0" borderId="0" applyFont="0" applyFill="0" applyBorder="0" applyAlignment="0" applyProtection="0"/>
    <xf numFmtId="166"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8"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166"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6"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ill="0" applyBorder="0" applyAlignment="0" applyProtection="0"/>
    <xf numFmtId="43" fontId="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8" fontId="54" fillId="0" borderId="0" applyFont="0" applyFill="0" applyBorder="0" applyAlignment="0" applyProtection="0"/>
    <xf numFmtId="189" fontId="9" fillId="0" borderId="0" applyFont="0" applyFill="0" applyBorder="0" applyAlignment="0" applyProtection="0"/>
    <xf numFmtId="38" fontId="5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43" fontId="9"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43" fontId="15"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8" fontId="9" fillId="0" borderId="0" applyFont="0" applyFill="0" applyBorder="0" applyAlignment="0" applyProtection="0"/>
    <xf numFmtId="201" fontId="9" fillId="0" borderId="0"/>
    <xf numFmtId="38" fontId="9" fillId="0" borderId="0">
      <protection locked="0"/>
    </xf>
    <xf numFmtId="0" fontId="77" fillId="0" borderId="0" applyNumberFormat="0" applyAlignment="0">
      <alignment horizontal="left"/>
    </xf>
    <xf numFmtId="0" fontId="67" fillId="0" borderId="0" applyNumberFormat="0" applyAlignment="0"/>
    <xf numFmtId="202" fontId="78" fillId="58" borderId="0" applyFill="0">
      <alignment horizontal="left" vertical="top"/>
      <protection locked="0"/>
    </xf>
    <xf numFmtId="191" fontId="66" fillId="0" borderId="0" applyFont="0" applyFill="0" applyBorder="0" applyAlignment="0" applyProtection="0"/>
    <xf numFmtId="203" fontId="9" fillId="0" borderId="0" applyFont="0" applyFill="0" applyBorder="0" applyAlignment="0" applyProtection="0"/>
    <xf numFmtId="203" fontId="9" fillId="0" borderId="0" applyFont="0" applyFill="0" applyBorder="0" applyAlignment="0" applyProtection="0"/>
    <xf numFmtId="203" fontId="9" fillId="0" borderId="0" applyFont="0" applyFill="0" applyBorder="0" applyAlignment="0" applyProtection="0"/>
    <xf numFmtId="203" fontId="9" fillId="0" borderId="0" applyFont="0" applyFill="0" applyBorder="0" applyAlignment="0" applyProtection="0"/>
    <xf numFmtId="203" fontId="9" fillId="0" borderId="0" applyFont="0" applyFill="0" applyBorder="0" applyAlignment="0" applyProtection="0"/>
    <xf numFmtId="203" fontId="9" fillId="0" borderId="0" applyFont="0" applyFill="0" applyBorder="0" applyAlignment="0" applyProtection="0"/>
    <xf numFmtId="44"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14" fillId="0" borderId="0" applyFont="0" applyFill="0" applyBorder="0" applyAlignment="0" applyProtection="0"/>
    <xf numFmtId="0" fontId="79" fillId="0" borderId="0">
      <protection locked="0"/>
    </xf>
    <xf numFmtId="204" fontId="9" fillId="0" borderId="0"/>
    <xf numFmtId="0" fontId="80" fillId="0" borderId="0"/>
    <xf numFmtId="0" fontId="80" fillId="0" borderId="48"/>
    <xf numFmtId="0" fontId="80" fillId="0" borderId="48"/>
    <xf numFmtId="0" fontId="80" fillId="0" borderId="48"/>
    <xf numFmtId="0" fontId="80" fillId="0" borderId="48"/>
    <xf numFmtId="0" fontId="80" fillId="0" borderId="48"/>
    <xf numFmtId="6" fontId="81" fillId="0" borderId="0">
      <protection locked="0"/>
    </xf>
    <xf numFmtId="175" fontId="79" fillId="0" borderId="0">
      <protection locked="0"/>
    </xf>
    <xf numFmtId="14" fontId="10" fillId="0" borderId="0" applyFill="0" applyBorder="0" applyAlignment="0"/>
    <xf numFmtId="0" fontId="79" fillId="0" borderId="0">
      <protection locked="0"/>
    </xf>
    <xf numFmtId="205" fontId="82" fillId="0" borderId="0" applyFont="0" applyFill="0" applyBorder="0" applyAlignment="0" applyProtection="0"/>
    <xf numFmtId="205" fontId="82" fillId="0" borderId="0" applyFont="0" applyFill="0" applyBorder="0" applyAlignment="0" applyProtection="0"/>
    <xf numFmtId="205" fontId="82" fillId="0" borderId="0" applyFont="0" applyFill="0" applyBorder="0" applyAlignment="0" applyProtection="0"/>
    <xf numFmtId="205" fontId="82" fillId="0" borderId="0" applyFont="0" applyFill="0" applyBorder="0" applyAlignment="0" applyProtection="0"/>
    <xf numFmtId="206" fontId="9" fillId="0" borderId="49">
      <alignment vertical="center"/>
    </xf>
    <xf numFmtId="207" fontId="83" fillId="0" borderId="0" applyFont="0" applyFill="0" applyBorder="0">
      <alignment horizontal="left" vertical="top" wrapText="1"/>
      <protection locked="0"/>
    </xf>
    <xf numFmtId="38" fontId="63" fillId="0" borderId="0" applyFont="0" applyFill="0" applyBorder="0" applyAlignment="0" applyProtection="0"/>
    <xf numFmtId="40" fontId="63" fillId="0" borderId="0" applyFont="0" applyFill="0" applyBorder="0" applyAlignment="0" applyProtection="0"/>
    <xf numFmtId="208" fontId="9" fillId="0" borderId="0"/>
    <xf numFmtId="38" fontId="63" fillId="0" borderId="0" applyFont="0" applyFill="0" applyBorder="0" applyAlignment="0" applyProtection="0"/>
    <xf numFmtId="40" fontId="63" fillId="0" borderId="0" applyFont="0" applyFill="0" applyBorder="0" applyAlignment="0" applyProtection="0"/>
    <xf numFmtId="0" fontId="15" fillId="0" borderId="0">
      <alignment horizontal="left" vertical="center"/>
    </xf>
    <xf numFmtId="175" fontId="15" fillId="0" borderId="0">
      <alignment horizontal="left" vertical="center"/>
    </xf>
    <xf numFmtId="194" fontId="9" fillId="0" borderId="0" applyFill="0" applyBorder="0" applyAlignment="0"/>
    <xf numFmtId="191" fontId="66" fillId="0" borderId="0" applyFill="0" applyBorder="0" applyAlignment="0"/>
    <xf numFmtId="194" fontId="9" fillId="0" borderId="0" applyFill="0" applyBorder="0" applyAlignment="0"/>
    <xf numFmtId="195" fontId="9" fillId="0" borderId="0" applyFill="0" applyBorder="0" applyAlignment="0"/>
    <xf numFmtId="191" fontId="66" fillId="0" borderId="0" applyFill="0" applyBorder="0" applyAlignment="0"/>
    <xf numFmtId="0" fontId="84" fillId="0" borderId="0" applyNumberFormat="0" applyAlignment="0">
      <alignment horizontal="left"/>
    </xf>
    <xf numFmtId="0" fontId="85" fillId="0" borderId="0" applyNumberFormat="0" applyFill="0" applyBorder="0" applyAlignment="0" applyProtection="0"/>
    <xf numFmtId="175" fontId="85" fillId="0" borderId="0" applyNumberFormat="0" applyFill="0" applyBorder="0" applyAlignment="0" applyProtection="0"/>
    <xf numFmtId="0" fontId="86" fillId="0" borderId="0" applyNumberFormat="0" applyFill="0" applyBorder="0" applyAlignment="0" applyProtection="0"/>
    <xf numFmtId="175" fontId="86" fillId="0" borderId="0" applyNumberFormat="0" applyFill="0" applyBorder="0" applyAlignment="0" applyProtection="0"/>
    <xf numFmtId="2" fontId="60" fillId="0" borderId="0"/>
    <xf numFmtId="198" fontId="87"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175" fontId="9" fillId="0" borderId="0" applyFont="0" applyFill="0" applyBorder="0" applyAlignment="0" applyProtection="0"/>
    <xf numFmtId="0" fontId="14" fillId="59" borderId="0"/>
    <xf numFmtId="0" fontId="14" fillId="59" borderId="0"/>
    <xf numFmtId="178" fontId="14" fillId="59" borderId="0"/>
    <xf numFmtId="178" fontId="14" fillId="59" borderId="0"/>
    <xf numFmtId="178" fontId="14" fillId="59" borderId="0"/>
    <xf numFmtId="178" fontId="14" fillId="59" borderId="0"/>
    <xf numFmtId="178" fontId="14" fillId="59" borderId="0"/>
    <xf numFmtId="178" fontId="14" fillId="59" borderId="0"/>
    <xf numFmtId="209" fontId="14" fillId="59" borderId="0"/>
    <xf numFmtId="0" fontId="14" fillId="60" borderId="0"/>
    <xf numFmtId="0" fontId="14" fillId="60" borderId="0"/>
    <xf numFmtId="178" fontId="14" fillId="60" borderId="0"/>
    <xf numFmtId="178" fontId="14" fillId="60" borderId="0"/>
    <xf numFmtId="178" fontId="14" fillId="60" borderId="0"/>
    <xf numFmtId="178" fontId="14" fillId="60" borderId="0"/>
    <xf numFmtId="178" fontId="14" fillId="60" borderId="0"/>
    <xf numFmtId="178" fontId="14" fillId="60" borderId="0"/>
    <xf numFmtId="209" fontId="14" fillId="60" borderId="0"/>
    <xf numFmtId="0" fontId="14" fillId="61" borderId="0"/>
    <xf numFmtId="0" fontId="14" fillId="61" borderId="0"/>
    <xf numFmtId="178" fontId="14" fillId="61" borderId="0"/>
    <xf numFmtId="178" fontId="14" fillId="61" borderId="0"/>
    <xf numFmtId="178" fontId="14" fillId="61" borderId="0"/>
    <xf numFmtId="178" fontId="14" fillId="61" borderId="0"/>
    <xf numFmtId="178" fontId="14" fillId="61" borderId="0"/>
    <xf numFmtId="178" fontId="14" fillId="61" borderId="0"/>
    <xf numFmtId="209" fontId="14" fillId="61" borderId="0"/>
    <xf numFmtId="0" fontId="14" fillId="62" borderId="0"/>
    <xf numFmtId="0" fontId="14" fillId="62" borderId="0"/>
    <xf numFmtId="178" fontId="14" fillId="62" borderId="0"/>
    <xf numFmtId="178" fontId="14" fillId="62" borderId="0"/>
    <xf numFmtId="178" fontId="14" fillId="62" borderId="0"/>
    <xf numFmtId="178" fontId="14" fillId="62" borderId="0"/>
    <xf numFmtId="178" fontId="14" fillId="62" borderId="0"/>
    <xf numFmtId="178" fontId="14" fillId="62" borderId="0"/>
    <xf numFmtId="209" fontId="14" fillId="62" borderId="0"/>
    <xf numFmtId="0" fontId="14" fillId="63" borderId="0"/>
    <xf numFmtId="0" fontId="14" fillId="63" borderId="0"/>
    <xf numFmtId="178" fontId="14" fillId="63" borderId="0"/>
    <xf numFmtId="178" fontId="14" fillId="63" borderId="0"/>
    <xf numFmtId="178" fontId="14" fillId="63" borderId="0"/>
    <xf numFmtId="178" fontId="14" fillId="63" borderId="0"/>
    <xf numFmtId="178" fontId="14" fillId="63" borderId="0"/>
    <xf numFmtId="178" fontId="14" fillId="63" borderId="0"/>
    <xf numFmtId="209" fontId="14" fillId="63" borderId="0"/>
    <xf numFmtId="0" fontId="14" fillId="64" borderId="0"/>
    <xf numFmtId="0" fontId="14" fillId="64" borderId="0"/>
    <xf numFmtId="178" fontId="14" fillId="64" borderId="0"/>
    <xf numFmtId="178" fontId="14" fillId="64" borderId="0"/>
    <xf numFmtId="178" fontId="14" fillId="64" borderId="0"/>
    <xf numFmtId="178" fontId="14" fillId="64" borderId="0"/>
    <xf numFmtId="178" fontId="14" fillId="64" borderId="0"/>
    <xf numFmtId="178" fontId="14" fillId="64" borderId="0"/>
    <xf numFmtId="209" fontId="14" fillId="64" borderId="0"/>
    <xf numFmtId="0" fontId="14" fillId="65" borderId="0"/>
    <xf numFmtId="0" fontId="14" fillId="65" borderId="0"/>
    <xf numFmtId="178" fontId="14" fillId="65" borderId="0"/>
    <xf numFmtId="178" fontId="14" fillId="65" borderId="0"/>
    <xf numFmtId="178" fontId="14" fillId="65" borderId="0"/>
    <xf numFmtId="178" fontId="14" fillId="65" borderId="0"/>
    <xf numFmtId="178" fontId="14" fillId="65" borderId="0"/>
    <xf numFmtId="178" fontId="14" fillId="65" borderId="0"/>
    <xf numFmtId="209" fontId="14" fillId="65" borderId="0"/>
    <xf numFmtId="0" fontId="14" fillId="66" borderId="0"/>
    <xf numFmtId="0" fontId="14" fillId="66" borderId="0"/>
    <xf numFmtId="178" fontId="14" fillId="66" borderId="0"/>
    <xf numFmtId="178" fontId="14" fillId="66" borderId="0"/>
    <xf numFmtId="178" fontId="14" fillId="66" borderId="0"/>
    <xf numFmtId="178" fontId="14" fillId="66" borderId="0"/>
    <xf numFmtId="178" fontId="14" fillId="66" borderId="0"/>
    <xf numFmtId="178" fontId="14" fillId="66" borderId="0"/>
    <xf numFmtId="209" fontId="14" fillId="66" borderId="0"/>
    <xf numFmtId="0" fontId="14" fillId="67" borderId="0"/>
    <xf numFmtId="0" fontId="14" fillId="67" borderId="0"/>
    <xf numFmtId="178" fontId="14" fillId="67" borderId="0"/>
    <xf numFmtId="178" fontId="14" fillId="67" borderId="0"/>
    <xf numFmtId="178" fontId="14" fillId="67" borderId="0"/>
    <xf numFmtId="178" fontId="14" fillId="67" borderId="0"/>
    <xf numFmtId="178" fontId="14" fillId="67" borderId="0"/>
    <xf numFmtId="178" fontId="14" fillId="67" borderId="0"/>
    <xf numFmtId="209" fontId="14" fillId="67" borderId="0"/>
    <xf numFmtId="0" fontId="14" fillId="68" borderId="0"/>
    <xf numFmtId="0" fontId="14" fillId="68" borderId="0"/>
    <xf numFmtId="178" fontId="14" fillId="68" borderId="0"/>
    <xf numFmtId="178" fontId="14" fillId="68" borderId="0"/>
    <xf numFmtId="178" fontId="14" fillId="68" borderId="0"/>
    <xf numFmtId="178" fontId="14" fillId="68" borderId="0"/>
    <xf numFmtId="178" fontId="14" fillId="68" borderId="0"/>
    <xf numFmtId="178" fontId="14" fillId="68" borderId="0"/>
    <xf numFmtId="209" fontId="14" fillId="68" borderId="0"/>
    <xf numFmtId="0" fontId="14" fillId="69" borderId="0"/>
    <xf numFmtId="0" fontId="14" fillId="69" borderId="0"/>
    <xf numFmtId="178" fontId="14" fillId="69" borderId="0"/>
    <xf numFmtId="178" fontId="14" fillId="69" borderId="0"/>
    <xf numFmtId="178" fontId="14" fillId="69" borderId="0"/>
    <xf numFmtId="178" fontId="14" fillId="69" borderId="0"/>
    <xf numFmtId="178" fontId="14" fillId="69" borderId="0"/>
    <xf numFmtId="178" fontId="14" fillId="69" borderId="0"/>
    <xf numFmtId="209" fontId="14" fillId="69" borderId="0"/>
    <xf numFmtId="0" fontId="14" fillId="70" borderId="0"/>
    <xf numFmtId="0" fontId="14" fillId="70" borderId="0"/>
    <xf numFmtId="178" fontId="14" fillId="70" borderId="0"/>
    <xf numFmtId="178" fontId="14" fillId="70" borderId="0"/>
    <xf numFmtId="178" fontId="14" fillId="70" borderId="0"/>
    <xf numFmtId="178" fontId="14" fillId="70" borderId="0"/>
    <xf numFmtId="178" fontId="14" fillId="70" borderId="0"/>
    <xf numFmtId="178" fontId="14" fillId="70" borderId="0"/>
    <xf numFmtId="209" fontId="14" fillId="70" borderId="0"/>
    <xf numFmtId="0" fontId="48" fillId="71" borderId="0"/>
    <xf numFmtId="209" fontId="48" fillId="71" borderId="0"/>
    <xf numFmtId="0" fontId="48" fillId="72" borderId="0"/>
    <xf numFmtId="209" fontId="48" fillId="72" borderId="0"/>
    <xf numFmtId="0" fontId="48" fillId="73" borderId="0"/>
    <xf numFmtId="209" fontId="48" fillId="73" borderId="0"/>
    <xf numFmtId="0" fontId="48" fillId="74" borderId="0"/>
    <xf numFmtId="209" fontId="48" fillId="74" borderId="0"/>
    <xf numFmtId="0" fontId="48" fillId="75" borderId="0"/>
    <xf numFmtId="209" fontId="48" fillId="75" borderId="0"/>
    <xf numFmtId="0" fontId="48" fillId="76" borderId="0"/>
    <xf numFmtId="209" fontId="48" fillId="76" borderId="0"/>
    <xf numFmtId="0" fontId="48" fillId="77" borderId="0"/>
    <xf numFmtId="209" fontId="48" fillId="77" borderId="0"/>
    <xf numFmtId="0" fontId="48" fillId="78" borderId="0"/>
    <xf numFmtId="209" fontId="48" fillId="78" borderId="0"/>
    <xf numFmtId="0" fontId="48" fillId="79" borderId="0"/>
    <xf numFmtId="209" fontId="48" fillId="79" borderId="0"/>
    <xf numFmtId="0" fontId="48" fillId="80" borderId="0"/>
    <xf numFmtId="209" fontId="48" fillId="80" borderId="0"/>
    <xf numFmtId="0" fontId="48" fillId="81" borderId="0"/>
    <xf numFmtId="209" fontId="48" fillId="81" borderId="0"/>
    <xf numFmtId="0" fontId="48" fillId="82" borderId="0"/>
    <xf numFmtId="209" fontId="48" fillId="82" borderId="0"/>
    <xf numFmtId="0" fontId="88" fillId="83" borderId="0"/>
    <xf numFmtId="209" fontId="88" fillId="83" borderId="0"/>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0" fontId="89" fillId="84" borderId="45"/>
    <xf numFmtId="209" fontId="89" fillId="84" borderId="45"/>
    <xf numFmtId="0" fontId="89" fillId="84" borderId="45"/>
    <xf numFmtId="0" fontId="73" fillId="85" borderId="46"/>
    <xf numFmtId="0" fontId="73" fillId="85" borderId="46"/>
    <xf numFmtId="209" fontId="73" fillId="85" borderId="46"/>
    <xf numFmtId="0" fontId="73" fillId="85" borderId="46"/>
    <xf numFmtId="0" fontId="73" fillId="85" borderId="46"/>
    <xf numFmtId="0" fontId="73" fillId="85" borderId="46"/>
    <xf numFmtId="0" fontId="90" fillId="0" borderId="0"/>
    <xf numFmtId="209" fontId="90" fillId="0" borderId="0"/>
    <xf numFmtId="0" fontId="91" fillId="86" borderId="0"/>
    <xf numFmtId="209" fontId="91" fillId="86" borderId="0"/>
    <xf numFmtId="0" fontId="92" fillId="0" borderId="50"/>
    <xf numFmtId="0" fontId="92" fillId="0" borderId="50"/>
    <xf numFmtId="209" fontId="92" fillId="0" borderId="50"/>
    <xf numFmtId="0" fontId="93" fillId="0" borderId="51"/>
    <xf numFmtId="0" fontId="93" fillId="0" borderId="51"/>
    <xf numFmtId="209" fontId="93" fillId="0" borderId="51"/>
    <xf numFmtId="0" fontId="94" fillId="0" borderId="52"/>
    <xf numFmtId="209" fontId="94" fillId="0" borderId="52"/>
    <xf numFmtId="0" fontId="94" fillId="0" borderId="0"/>
    <xf numFmtId="209" fontId="94" fillId="0" borderId="0"/>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0" fontId="95" fillId="87" borderId="45"/>
    <xf numFmtId="209" fontId="95" fillId="87" borderId="45"/>
    <xf numFmtId="0" fontId="95" fillId="87" borderId="45"/>
    <xf numFmtId="0" fontId="96" fillId="0" borderId="53"/>
    <xf numFmtId="209" fontId="96" fillId="0" borderId="53"/>
    <xf numFmtId="0" fontId="97" fillId="88" borderId="0"/>
    <xf numFmtId="209" fontId="97" fillId="88" borderId="0"/>
    <xf numFmtId="0" fontId="14" fillId="0" borderId="0"/>
    <xf numFmtId="0" fontId="9" fillId="0" borderId="0"/>
    <xf numFmtId="0" fontId="14" fillId="0" borderId="0"/>
    <xf numFmtId="209" fontId="14" fillId="0" borderId="0"/>
    <xf numFmtId="209" fontId="9" fillId="0" borderId="0"/>
    <xf numFmtId="0" fontId="14" fillId="0" borderId="0"/>
    <xf numFmtId="178" fontId="14" fillId="0" borderId="0"/>
    <xf numFmtId="209" fontId="14" fillId="0" borderId="0"/>
    <xf numFmtId="178" fontId="14" fillId="0" borderId="0"/>
    <xf numFmtId="178" fontId="14" fillId="0" borderId="0"/>
    <xf numFmtId="209" fontId="14" fillId="0" borderId="0"/>
    <xf numFmtId="0" fontId="14" fillId="0" borderId="0"/>
    <xf numFmtId="178" fontId="14" fillId="0" borderId="0"/>
    <xf numFmtId="178" fontId="14" fillId="0" borderId="0"/>
    <xf numFmtId="178" fontId="14" fillId="0" borderId="0"/>
    <xf numFmtId="0" fontId="14" fillId="0" borderId="0"/>
    <xf numFmtId="0" fontId="14" fillId="89" borderId="54"/>
    <xf numFmtId="209"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178"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178"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178"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178"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14" fillId="89" borderId="54"/>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0" fontId="98" fillId="84" borderId="55"/>
    <xf numFmtId="209" fontId="98" fillId="84" borderId="55"/>
    <xf numFmtId="0" fontId="98" fillId="84" borderId="55"/>
    <xf numFmtId="0" fontId="99" fillId="0" borderId="0"/>
    <xf numFmtId="209" fontId="99" fillId="0" borderId="0"/>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0" fontId="100" fillId="0" borderId="56"/>
    <xf numFmtId="209" fontId="100" fillId="0" borderId="56"/>
    <xf numFmtId="0" fontId="100" fillId="0" borderId="56"/>
    <xf numFmtId="0" fontId="101" fillId="0" borderId="0"/>
    <xf numFmtId="209" fontId="101" fillId="0" borderId="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30" fillId="0" borderId="0" applyNumberFormat="0" applyFill="0" applyBorder="0" applyAlignment="0" applyProtection="0"/>
    <xf numFmtId="0" fontId="102" fillId="0" borderId="0" applyNumberFormat="0" applyFill="0" applyBorder="0" applyAlignment="0" applyProtection="0"/>
    <xf numFmtId="0" fontId="30" fillId="0" borderId="0" applyNumberFormat="0" applyFill="0" applyBorder="0" applyAlignment="0" applyProtection="0"/>
    <xf numFmtId="0" fontId="102" fillId="0" borderId="0" applyNumberFormat="0" applyFill="0" applyBorder="0" applyAlignment="0" applyProtection="0"/>
    <xf numFmtId="0" fontId="30" fillId="0" borderId="0" applyNumberFormat="0" applyFill="0" applyBorder="0" applyAlignment="0" applyProtection="0"/>
    <xf numFmtId="0" fontId="102"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30"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0" fontId="102" fillId="0" borderId="0" applyNumberFormat="0" applyFill="0" applyBorder="0" applyAlignment="0" applyProtection="0"/>
    <xf numFmtId="0" fontId="90" fillId="0" borderId="0" applyNumberFormat="0" applyFill="0" applyBorder="0" applyAlignment="0" applyProtection="0"/>
    <xf numFmtId="179" fontId="90"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178" fontId="90"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90" fillId="0" borderId="0" applyNumberFormat="0" applyFill="0" applyBorder="0" applyAlignment="0" applyProtection="0"/>
    <xf numFmtId="0" fontId="102" fillId="0" borderId="0" applyNumberFormat="0" applyFill="0" applyBorder="0" applyAlignment="0" applyProtection="0"/>
    <xf numFmtId="0" fontId="30"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79" fillId="0" borderId="0">
      <protection locked="0"/>
    </xf>
    <xf numFmtId="0" fontId="79" fillId="0" borderId="0">
      <protection locked="0"/>
    </xf>
    <xf numFmtId="0" fontId="103" fillId="0" borderId="0">
      <protection locked="0"/>
    </xf>
    <xf numFmtId="0" fontId="79" fillId="0" borderId="0">
      <protection locked="0"/>
    </xf>
    <xf numFmtId="0" fontId="79" fillId="0" borderId="0">
      <protection locked="0"/>
    </xf>
    <xf numFmtId="0" fontId="79" fillId="0" borderId="0">
      <protection locked="0"/>
    </xf>
    <xf numFmtId="0" fontId="103" fillId="0" borderId="0">
      <protection locked="0"/>
    </xf>
    <xf numFmtId="3" fontId="104" fillId="0" borderId="0" applyFont="0" applyFill="0" applyBorder="0" applyAlignment="0" applyProtection="0"/>
    <xf numFmtId="210" fontId="9" fillId="0" borderId="0">
      <protection locked="0"/>
    </xf>
    <xf numFmtId="210" fontId="9" fillId="0" borderId="0">
      <protection locked="0"/>
    </xf>
    <xf numFmtId="210" fontId="9" fillId="0" borderId="0">
      <protection locked="0"/>
    </xf>
    <xf numFmtId="210" fontId="9" fillId="0" borderId="0">
      <protection locked="0"/>
    </xf>
    <xf numFmtId="210" fontId="9" fillId="0" borderId="0">
      <protection locked="0"/>
    </xf>
    <xf numFmtId="210" fontId="9" fillId="0" borderId="0">
      <protection locked="0"/>
    </xf>
    <xf numFmtId="210" fontId="9" fillId="0" borderId="0">
      <protection locked="0"/>
    </xf>
    <xf numFmtId="210" fontId="9" fillId="0" borderId="0">
      <protection locked="0"/>
    </xf>
    <xf numFmtId="210" fontId="9" fillId="0" borderId="0">
      <protection locked="0"/>
    </xf>
    <xf numFmtId="210" fontId="9" fillId="0" borderId="0">
      <protection locked="0"/>
    </xf>
    <xf numFmtId="210" fontId="9" fillId="0" borderId="0">
      <protection locked="0"/>
    </xf>
    <xf numFmtId="0" fontId="105" fillId="0" borderId="0" applyNumberFormat="0" applyFill="0" applyBorder="0" applyAlignment="0" applyProtection="0">
      <alignment vertical="top"/>
      <protection locked="0"/>
    </xf>
    <xf numFmtId="211" fontId="83" fillId="0" borderId="0" applyFont="0">
      <alignment horizontal="left"/>
      <protection locked="0"/>
    </xf>
    <xf numFmtId="0" fontId="75" fillId="0" borderId="34" applyNumberFormat="0" applyFill="0" applyBorder="0" applyAlignment="0" applyProtection="0">
      <protection locked="0"/>
    </xf>
    <xf numFmtId="0" fontId="75" fillId="0" borderId="34" applyNumberFormat="0" applyFill="0" applyBorder="0" applyAlignment="0" applyProtection="0">
      <protection locked="0"/>
    </xf>
    <xf numFmtId="175" fontId="75" fillId="0" borderId="34" applyNumberFormat="0" applyFill="0" applyBorder="0" applyAlignment="0" applyProtection="0">
      <protection locked="0"/>
    </xf>
    <xf numFmtId="172" fontId="106" fillId="0" borderId="38">
      <alignment horizontal="right"/>
    </xf>
    <xf numFmtId="0" fontId="107" fillId="54" borderId="57" applyNumberFormat="0" applyFont="0" applyFill="0" applyAlignment="0" applyProtection="0"/>
    <xf numFmtId="3" fontId="9" fillId="0" borderId="58" applyFont="0"/>
    <xf numFmtId="0" fontId="39" fillId="0" borderId="0" applyBorder="0">
      <protection hidden="1"/>
    </xf>
    <xf numFmtId="175" fontId="39" fillId="0" borderId="0" applyBorder="0">
      <protection hidden="1"/>
    </xf>
    <xf numFmtId="0" fontId="39" fillId="90" borderId="0" applyBorder="0">
      <alignment vertical="center"/>
      <protection locked="0"/>
    </xf>
    <xf numFmtId="175" fontId="39" fillId="90" borderId="0" applyBorder="0">
      <alignment vertical="center"/>
      <protection locked="0"/>
    </xf>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21" fillId="3" borderId="0" applyNumberFormat="0" applyBorder="0" applyAlignment="0" applyProtection="0"/>
    <xf numFmtId="0" fontId="108" fillId="36" borderId="0" applyNumberFormat="0" applyBorder="0" applyAlignment="0" applyProtection="0"/>
    <xf numFmtId="0" fontId="21" fillId="3" borderId="0" applyNumberFormat="0" applyBorder="0" applyAlignment="0" applyProtection="0"/>
    <xf numFmtId="0" fontId="108" fillId="36" borderId="0" applyNumberFormat="0" applyBorder="0" applyAlignment="0" applyProtection="0"/>
    <xf numFmtId="0" fontId="21" fillId="3" borderId="0" applyNumberFormat="0" applyBorder="0" applyAlignment="0" applyProtection="0"/>
    <xf numFmtId="0" fontId="108" fillId="36" borderId="0" applyNumberFormat="0" applyBorder="0" applyAlignment="0" applyProtection="0"/>
    <xf numFmtId="0" fontId="91" fillId="36" borderId="0" applyNumberFormat="0" applyBorder="0" applyAlignment="0" applyProtection="0"/>
    <xf numFmtId="0" fontId="91"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21" fillId="3"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0" fontId="108" fillId="36" borderId="0" applyNumberFormat="0" applyBorder="0" applyAlignment="0" applyProtection="0"/>
    <xf numFmtId="0" fontId="91" fillId="36" borderId="0" applyNumberFormat="0" applyBorder="0" applyAlignment="0" applyProtection="0"/>
    <xf numFmtId="179" fontId="91"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178" fontId="91"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21" fillId="3" borderId="0" applyNumberFormat="0" applyBorder="0" applyAlignment="0" applyProtection="0"/>
    <xf numFmtId="0" fontId="21" fillId="3"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91" fillId="36" borderId="0" applyNumberFormat="0" applyBorder="0" applyAlignment="0" applyProtection="0"/>
    <xf numFmtId="0" fontId="108" fillId="36" borderId="0" applyNumberFormat="0" applyBorder="0" applyAlignment="0" applyProtection="0"/>
    <xf numFmtId="0" fontId="21" fillId="3"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38" fontId="109" fillId="53" borderId="0" applyNumberFormat="0" applyBorder="0" applyAlignment="0" applyProtection="0"/>
    <xf numFmtId="38" fontId="109" fillId="53" borderId="0" applyNumberFormat="0" applyBorder="0" applyAlignment="0" applyProtection="0"/>
    <xf numFmtId="38" fontId="109" fillId="53" borderId="0" applyNumberFormat="0" applyBorder="0" applyAlignment="0" applyProtection="0"/>
    <xf numFmtId="38" fontId="109"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38" fontId="42" fillId="53" borderId="0" applyNumberFormat="0" applyBorder="0" applyAlignment="0" applyProtection="0"/>
    <xf numFmtId="0" fontId="9" fillId="54" borderId="0" applyNumberFormat="0" applyFont="0" applyBorder="0" applyAlignment="0" applyProtection="0"/>
    <xf numFmtId="209" fontId="9" fillId="54" borderId="0" applyNumberFormat="0" applyFont="0" applyBorder="0" applyAlignment="0" applyProtection="0"/>
    <xf numFmtId="0" fontId="110" fillId="0" borderId="0" applyNumberFormat="0" applyFill="0" applyBorder="0" applyAlignment="0" applyProtection="0"/>
    <xf numFmtId="0" fontId="111" fillId="0" borderId="0" applyNumberFormat="0" applyFill="0" applyAlignment="0" applyProtection="0"/>
    <xf numFmtId="0" fontId="112" fillId="0" borderId="59" applyNumberFormat="0" applyAlignment="0" applyProtection="0">
      <alignment horizontal="left" vertical="center"/>
    </xf>
    <xf numFmtId="0" fontId="112" fillId="0" borderId="59" applyNumberFormat="0" applyAlignment="0" applyProtection="0">
      <alignment horizontal="left" vertical="center"/>
    </xf>
    <xf numFmtId="0" fontId="112" fillId="0" borderId="59" applyNumberFormat="0" applyAlignment="0" applyProtection="0">
      <alignment horizontal="left" vertical="center"/>
    </xf>
    <xf numFmtId="0" fontId="112"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3" fillId="0" borderId="59" applyNumberFormat="0" applyAlignment="0" applyProtection="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175"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2" fillId="0" borderId="60">
      <alignment horizontal="left" vertical="center"/>
    </xf>
    <xf numFmtId="0" fontId="112" fillId="0" borderId="60">
      <alignment horizontal="left" vertical="center"/>
    </xf>
    <xf numFmtId="0" fontId="112" fillId="0" borderId="60">
      <alignment horizontal="left" vertical="center"/>
    </xf>
    <xf numFmtId="0" fontId="112" fillId="0" borderId="60">
      <alignment horizontal="left" vertical="center"/>
    </xf>
    <xf numFmtId="0" fontId="112" fillId="0" borderId="60">
      <alignment horizontal="left" vertical="center"/>
    </xf>
    <xf numFmtId="0" fontId="112"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2"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3" fillId="0" borderId="60">
      <alignment horizontal="left" vertical="center"/>
    </xf>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8" fillId="0" borderId="7" applyNumberFormat="0" applyFill="0" applyAlignment="0" applyProtection="0"/>
    <xf numFmtId="0" fontId="114" fillId="0" borderId="61" applyNumberFormat="0" applyFill="0" applyAlignment="0" applyProtection="0"/>
    <xf numFmtId="0" fontId="18" fillId="0" borderId="7"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8" fillId="0" borderId="7"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8" fillId="0" borderId="7"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178"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8" fillId="0" borderId="7" applyNumberFormat="0" applyFill="0" applyAlignment="0" applyProtection="0"/>
    <xf numFmtId="0" fontId="114" fillId="0" borderId="61" applyNumberFormat="0" applyFill="0" applyAlignment="0" applyProtection="0"/>
    <xf numFmtId="0" fontId="18" fillId="0" borderId="7"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92" fillId="0" borderId="61" applyNumberFormat="0" applyFill="0" applyAlignment="0" applyProtection="0"/>
    <xf numFmtId="0" fontId="114" fillId="0" borderId="61" applyNumberFormat="0" applyFill="0" applyAlignment="0" applyProtection="0"/>
    <xf numFmtId="0" fontId="18" fillId="0" borderId="7"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4" fillId="0" borderId="61"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9" fillId="0" borderId="8" applyNumberFormat="0" applyFill="0" applyAlignment="0" applyProtection="0"/>
    <xf numFmtId="0" fontId="115" fillId="0" borderId="62" applyNumberFormat="0" applyFill="0" applyAlignment="0" applyProtection="0"/>
    <xf numFmtId="0" fontId="19" fillId="0" borderId="8"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9" fillId="0" borderId="8"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9" fillId="0" borderId="8"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178"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9" fillId="0" borderId="8" applyNumberFormat="0" applyFill="0" applyAlignment="0" applyProtection="0"/>
    <xf numFmtId="0" fontId="115" fillId="0" borderId="62" applyNumberFormat="0" applyFill="0" applyAlignment="0" applyProtection="0"/>
    <xf numFmtId="0" fontId="19" fillId="0" borderId="8"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93" fillId="0" borderId="62" applyNumberFormat="0" applyFill="0" applyAlignment="0" applyProtection="0"/>
    <xf numFmtId="0" fontId="115" fillId="0" borderId="62" applyNumberFormat="0" applyFill="0" applyAlignment="0" applyProtection="0"/>
    <xf numFmtId="0" fontId="19" fillId="0" borderId="8"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5" fillId="0" borderId="62"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20" fillId="0" borderId="9" applyNumberFormat="0" applyFill="0" applyAlignment="0" applyProtection="0"/>
    <xf numFmtId="0" fontId="116" fillId="0" borderId="63"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175" fontId="117" fillId="0" borderId="64"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94" fillId="0" borderId="63" applyNumberFormat="0" applyFill="0" applyAlignment="0" applyProtection="0"/>
    <xf numFmtId="0" fontId="94" fillId="0" borderId="63" applyNumberFormat="0" applyFill="0" applyAlignment="0" applyProtection="0"/>
    <xf numFmtId="0" fontId="94" fillId="0" borderId="63" applyNumberFormat="0" applyFill="0" applyAlignment="0" applyProtection="0"/>
    <xf numFmtId="0" fontId="94"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20" fillId="0" borderId="9"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0" fontId="116" fillId="0" borderId="63" applyNumberFormat="0" applyFill="0" applyAlignment="0" applyProtection="0"/>
    <xf numFmtId="0" fontId="94" fillId="0" borderId="63" applyNumberFormat="0" applyFill="0" applyAlignment="0" applyProtection="0"/>
    <xf numFmtId="0" fontId="20" fillId="0" borderId="9"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178" fontId="94"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94" fillId="0" borderId="63" applyNumberFormat="0" applyFill="0" applyAlignment="0" applyProtection="0"/>
    <xf numFmtId="0" fontId="116" fillId="0" borderId="63"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63" applyNumberFormat="0" applyFill="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20" fillId="0" borderId="0" applyNumberFormat="0" applyFill="0" applyBorder="0" applyAlignment="0" applyProtection="0"/>
    <xf numFmtId="0" fontId="116" fillId="0" borderId="0" applyNumberFormat="0" applyFill="0" applyBorder="0" applyAlignment="0" applyProtection="0"/>
    <xf numFmtId="0" fontId="20" fillId="0" borderId="0" applyNumberFormat="0" applyFill="0" applyBorder="0" applyAlignment="0" applyProtection="0"/>
    <xf numFmtId="0" fontId="116" fillId="0" borderId="0" applyNumberFormat="0" applyFill="0" applyBorder="0" applyAlignment="0" applyProtection="0"/>
    <xf numFmtId="0" fontId="20" fillId="0" borderId="0" applyNumberFormat="0" applyFill="0" applyBorder="0" applyAlignment="0" applyProtection="0"/>
    <xf numFmtId="0" fontId="116"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20"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0" fontId="116" fillId="0" borderId="0" applyNumberFormat="0" applyFill="0" applyBorder="0" applyAlignment="0" applyProtection="0"/>
    <xf numFmtId="0" fontId="94" fillId="0" borderId="0" applyNumberFormat="0" applyFill="0" applyBorder="0" applyAlignment="0" applyProtection="0"/>
    <xf numFmtId="179" fontId="94"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178" fontId="94"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94" fillId="0" borderId="0" applyNumberFormat="0" applyFill="0" applyBorder="0" applyAlignment="0" applyProtection="0"/>
    <xf numFmtId="0" fontId="116" fillId="0" borderId="0" applyNumberFormat="0" applyFill="0" applyBorder="0" applyAlignment="0" applyProtection="0"/>
    <xf numFmtId="0" fontId="20"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199" fontId="9" fillId="0" borderId="0">
      <protection locked="0"/>
    </xf>
    <xf numFmtId="0" fontId="118" fillId="0" borderId="0" applyNumberFormat="0" applyFill="0" applyBorder="0" applyAlignment="0" applyProtection="0"/>
    <xf numFmtId="0" fontId="9" fillId="0" borderId="0" applyFont="0"/>
    <xf numFmtId="170" fontId="119" fillId="0" borderId="33" applyBorder="0" applyAlignment="0"/>
    <xf numFmtId="170" fontId="120" fillId="0" borderId="58" applyBorder="0" applyAlignment="0"/>
    <xf numFmtId="170" fontId="120" fillId="0" borderId="58" applyBorder="0" applyAlignment="0"/>
    <xf numFmtId="170" fontId="120" fillId="0" borderId="58" applyBorder="0" applyAlignment="0"/>
    <xf numFmtId="170" fontId="120" fillId="0" borderId="58" applyBorder="0" applyAlignment="0"/>
    <xf numFmtId="170" fontId="120" fillId="0" borderId="58" applyBorder="0" applyAlignment="0"/>
    <xf numFmtId="170" fontId="120" fillId="0" borderId="58" applyBorder="0" applyAlignment="0"/>
    <xf numFmtId="170" fontId="120" fillId="0" borderId="58" applyBorder="0" applyAlignment="0"/>
    <xf numFmtId="170" fontId="120" fillId="0" borderId="58" applyBorder="0" applyAlignment="0"/>
    <xf numFmtId="170" fontId="120" fillId="0" borderId="58" applyBorder="0" applyAlignment="0"/>
    <xf numFmtId="170" fontId="120" fillId="0" borderId="58" applyBorder="0" applyAlignment="0"/>
    <xf numFmtId="0" fontId="121" fillId="0" borderId="65" applyNumberFormat="0" applyFill="0" applyAlignment="0" applyProtection="0"/>
    <xf numFmtId="0" fontId="121" fillId="0" borderId="65" applyNumberFormat="0" applyFill="0" applyAlignment="0" applyProtection="0"/>
    <xf numFmtId="178" fontId="121" fillId="0" borderId="65" applyNumberFormat="0" applyFill="0" applyAlignment="0" applyProtection="0"/>
    <xf numFmtId="0" fontId="122"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212" fontId="9" fillId="0" borderId="0" applyProtection="0">
      <alignment horizontal="center"/>
    </xf>
    <xf numFmtId="10" fontId="109"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109"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109" fillId="90" borderId="58" applyNumberFormat="0" applyBorder="0" applyAlignment="0" applyProtection="0"/>
    <xf numFmtId="10" fontId="109" fillId="90" borderId="58" applyNumberFormat="0" applyBorder="0" applyAlignment="0" applyProtection="0"/>
    <xf numFmtId="10" fontId="109" fillId="90" borderId="58" applyNumberFormat="0" applyBorder="0" applyAlignment="0" applyProtection="0"/>
    <xf numFmtId="10" fontId="109"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109"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10" fontId="42" fillId="90" borderId="58" applyNumberFormat="0" applyBorder="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175" fontId="126" fillId="91" borderId="45" applyNumberFormat="0" applyAlignment="0" applyProtection="0"/>
    <xf numFmtId="175" fontId="126" fillId="91" borderId="45" applyNumberFormat="0" applyAlignment="0" applyProtection="0"/>
    <xf numFmtId="175" fontId="126" fillId="91" borderId="45" applyNumberFormat="0" applyAlignment="0" applyProtection="0"/>
    <xf numFmtId="175" fontId="126" fillId="91" borderId="45" applyNumberFormat="0" applyAlignment="0" applyProtection="0"/>
    <xf numFmtId="0" fontId="95" fillId="39" borderId="45" applyNumberFormat="0" applyAlignment="0" applyProtection="0"/>
    <xf numFmtId="179"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24" fillId="6" borderId="10"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24" fillId="6" borderId="10"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213" fontId="24" fillId="6" borderId="10"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24" fillId="6" borderId="10"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24" fillId="6" borderId="10"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178"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24" fillId="6" borderId="10"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24" fillId="6" borderId="10"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24" fillId="6" borderId="10"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12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5" fillId="39" borderId="45" applyNumberFormat="0" applyAlignment="0" applyProtection="0"/>
    <xf numFmtId="0" fontId="9" fillId="92" borderId="0"/>
    <xf numFmtId="0" fontId="9" fillId="92" borderId="0"/>
    <xf numFmtId="0" fontId="9" fillId="92" borderId="0"/>
    <xf numFmtId="0" fontId="9" fillId="92" borderId="0"/>
    <xf numFmtId="202" fontId="83" fillId="0" borderId="0" applyFont="0">
      <alignment horizontal="left"/>
    </xf>
    <xf numFmtId="0" fontId="127" fillId="0" borderId="36" applyNumberFormat="0" applyBorder="0" applyAlignment="0"/>
    <xf numFmtId="214" fontId="67" fillId="0" borderId="0"/>
    <xf numFmtId="202" fontId="83" fillId="0" borderId="0" applyFont="0" applyFill="0" applyBorder="0">
      <alignment horizontal="left"/>
    </xf>
    <xf numFmtId="0" fontId="128" fillId="93" borderId="48"/>
    <xf numFmtId="0" fontId="128" fillId="93" borderId="48"/>
    <xf numFmtId="0" fontId="128" fillId="93" borderId="48"/>
    <xf numFmtId="0" fontId="128" fillId="93" borderId="48"/>
    <xf numFmtId="0" fontId="128" fillId="93" borderId="48"/>
    <xf numFmtId="215" fontId="129" fillId="0" borderId="0" applyBorder="0">
      <protection hidden="1"/>
    </xf>
    <xf numFmtId="40" fontId="42" fillId="0" borderId="0" applyFont="0">
      <protection locked="0"/>
    </xf>
    <xf numFmtId="194" fontId="9" fillId="0" borderId="0" applyFill="0" applyBorder="0" applyAlignment="0"/>
    <xf numFmtId="191" fontId="66" fillId="0" borderId="0" applyFill="0" applyBorder="0" applyAlignment="0"/>
    <xf numFmtId="194" fontId="9" fillId="0" borderId="0" applyFill="0" applyBorder="0" applyAlignment="0"/>
    <xf numFmtId="195" fontId="9" fillId="0" borderId="0" applyFill="0" applyBorder="0" applyAlignment="0"/>
    <xf numFmtId="191" fontId="66" fillId="0" borderId="0" applyFill="0" applyBorder="0" applyAlignment="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27" fillId="0" borderId="12" applyNumberFormat="0" applyFill="0" applyAlignment="0" applyProtection="0"/>
    <xf numFmtId="0" fontId="130" fillId="0" borderId="53"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27" fillId="0" borderId="12"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27" fillId="0" borderId="12"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178"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131" fillId="0" borderId="53" applyNumberFormat="0" applyFill="0" applyAlignment="0" applyProtection="0"/>
    <xf numFmtId="0" fontId="27" fillId="0" borderId="12"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1" fillId="0" borderId="53" applyNumberFormat="0" applyFill="0" applyAlignment="0" applyProtection="0"/>
    <xf numFmtId="0" fontId="131"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130" fillId="0" borderId="53" applyNumberFormat="0" applyFill="0" applyAlignment="0" applyProtection="0"/>
    <xf numFmtId="0" fontId="9" fillId="94" borderId="0"/>
    <xf numFmtId="0" fontId="9" fillId="94" borderId="0"/>
    <xf numFmtId="0" fontId="9" fillId="94" borderId="0"/>
    <xf numFmtId="0" fontId="9" fillId="94" borderId="0"/>
    <xf numFmtId="202" fontId="83" fillId="0" borderId="0" applyFont="0" applyFill="0" applyBorder="0">
      <alignment horizontal="left"/>
    </xf>
    <xf numFmtId="202" fontId="83" fillId="0" borderId="0" applyFont="0" applyFill="0" applyBorder="0">
      <alignment horizontal="left"/>
    </xf>
    <xf numFmtId="207" fontId="132" fillId="0" borderId="0">
      <alignment horizontal="left" vertical="top"/>
      <protection locked="0"/>
    </xf>
    <xf numFmtId="207" fontId="42" fillId="0" borderId="0" applyFont="0"/>
    <xf numFmtId="43"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37" fontId="9" fillId="0" borderId="0" applyNumberFormat="0" applyFont="0" applyFill="0" applyBorder="0" applyProtection="0">
      <alignment horizontal="center" vertical="top"/>
    </xf>
    <xf numFmtId="37" fontId="9" fillId="0" borderId="0" applyNumberFormat="0" applyFont="0" applyFill="0" applyBorder="0" applyProtection="0">
      <alignment horizontal="center" vertical="top"/>
    </xf>
    <xf numFmtId="37" fontId="9" fillId="0" borderId="0" applyNumberFormat="0" applyFont="0" applyFill="0" applyBorder="0" applyProtection="0">
      <alignment horizontal="center" vertical="top"/>
    </xf>
    <xf numFmtId="37" fontId="9" fillId="0" borderId="0" applyNumberFormat="0" applyFont="0" applyFill="0" applyBorder="0" applyProtection="0">
      <alignment horizontal="center" vertical="top"/>
    </xf>
    <xf numFmtId="202" fontId="83" fillId="0" borderId="0" applyFont="0" applyFill="0" applyBorder="0">
      <alignment horizontal="left"/>
    </xf>
    <xf numFmtId="0" fontId="133" fillId="0" borderId="66"/>
    <xf numFmtId="0" fontId="133" fillId="0" borderId="66"/>
    <xf numFmtId="0" fontId="133" fillId="0" borderId="66"/>
    <xf numFmtId="0" fontId="133" fillId="0" borderId="66"/>
    <xf numFmtId="0" fontId="133" fillId="0" borderId="66"/>
    <xf numFmtId="0" fontId="133" fillId="0" borderId="66"/>
    <xf numFmtId="0" fontId="9" fillId="0" borderId="0" applyFont="0" applyFill="0" applyBorder="0" applyAlignment="0" applyProtection="0"/>
    <xf numFmtId="0" fontId="9" fillId="0" borderId="0" applyFont="0" applyFill="0" applyBorder="0" applyAlignment="0" applyProtection="0"/>
    <xf numFmtId="216" fontId="104" fillId="0" borderId="0" applyFont="0" applyFill="0" applyBorder="0" applyAlignment="0" applyProtection="0"/>
    <xf numFmtId="0" fontId="134" fillId="0" borderId="0" applyNumberFormat="0">
      <alignment horizontal="right"/>
    </xf>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179"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0" fontId="67" fillId="0" borderId="67"/>
    <xf numFmtId="202" fontId="83" fillId="0" borderId="0" applyFont="0">
      <alignment horizontal="left"/>
    </xf>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23" fillId="5" borderId="0" applyNumberFormat="0" applyBorder="0" applyAlignment="0" applyProtection="0"/>
    <xf numFmtId="0" fontId="135" fillId="91" borderId="0" applyNumberFormat="0" applyBorder="0" applyAlignment="0" applyProtection="0"/>
    <xf numFmtId="0" fontId="23" fillId="5" borderId="0" applyNumberFormat="0" applyBorder="0" applyAlignment="0" applyProtection="0"/>
    <xf numFmtId="0" fontId="135" fillId="91" borderId="0" applyNumberFormat="0" applyBorder="0" applyAlignment="0" applyProtection="0"/>
    <xf numFmtId="0" fontId="23" fillId="5" borderId="0" applyNumberFormat="0" applyBorder="0" applyAlignment="0" applyProtection="0"/>
    <xf numFmtId="0" fontId="135" fillId="91" borderId="0" applyNumberFormat="0" applyBorder="0" applyAlignment="0" applyProtection="0"/>
    <xf numFmtId="0" fontId="136" fillId="91" borderId="0" applyNumberFormat="0" applyBorder="0" applyAlignment="0" applyProtection="0"/>
    <xf numFmtId="0" fontId="136"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23" fillId="5"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0" fontId="135" fillId="91" borderId="0" applyNumberFormat="0" applyBorder="0" applyAlignment="0" applyProtection="0"/>
    <xf numFmtId="0" fontId="136" fillId="91" borderId="0" applyNumberFormat="0" applyBorder="0" applyAlignment="0" applyProtection="0"/>
    <xf numFmtId="179" fontId="136"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178" fontId="136"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6" fillId="91" borderId="0" applyNumberFormat="0" applyBorder="0" applyAlignment="0" applyProtection="0"/>
    <xf numFmtId="0" fontId="135" fillId="91" borderId="0" applyNumberFormat="0" applyBorder="0" applyAlignment="0" applyProtection="0"/>
    <xf numFmtId="0" fontId="23" fillId="5"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0" fontId="135" fillId="91" borderId="0" applyNumberFormat="0" applyBorder="0" applyAlignment="0" applyProtection="0"/>
    <xf numFmtId="4" fontId="132" fillId="0" borderId="33" applyFont="0" applyBorder="0" applyProtection="0">
      <alignment textRotation="45"/>
    </xf>
    <xf numFmtId="4" fontId="132" fillId="0" borderId="33" applyFont="0" applyBorder="0" applyProtection="0">
      <alignment textRotation="45"/>
    </xf>
    <xf numFmtId="4" fontId="132" fillId="0" borderId="33" applyFont="0" applyBorder="0" applyProtection="0">
      <alignment textRotation="45"/>
    </xf>
    <xf numFmtId="37" fontId="137" fillId="0" borderId="0"/>
    <xf numFmtId="0" fontId="67" fillId="0" borderId="0"/>
    <xf numFmtId="0" fontId="67" fillId="0" borderId="0"/>
    <xf numFmtId="203" fontId="13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178" fontId="9" fillId="0" borderId="0"/>
    <xf numFmtId="173" fontId="9" fillId="0" borderId="0"/>
    <xf numFmtId="173" fontId="9" fillId="0" borderId="0"/>
    <xf numFmtId="173" fontId="9" fillId="0" borderId="0"/>
    <xf numFmtId="173" fontId="9" fillId="0" borderId="0"/>
    <xf numFmtId="178" fontId="9" fillId="0" borderId="0"/>
    <xf numFmtId="173" fontId="9" fillId="0" borderId="0"/>
    <xf numFmtId="173" fontId="9" fillId="0" borderId="0"/>
    <xf numFmtId="173" fontId="9" fillId="0" borderId="0"/>
    <xf numFmtId="173" fontId="9" fillId="0" borderId="0"/>
    <xf numFmtId="178"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173" fontId="9" fillId="0" borderId="0"/>
    <xf numFmtId="203" fontId="138" fillId="0" borderId="0"/>
    <xf numFmtId="0" fontId="9" fillId="0" borderId="0"/>
    <xf numFmtId="0" fontId="9" fillId="0" borderId="0"/>
    <xf numFmtId="0" fontId="9" fillId="0" borderId="0"/>
    <xf numFmtId="178" fontId="62" fillId="0" borderId="0"/>
    <xf numFmtId="0" fontId="62" fillId="0" borderId="0"/>
    <xf numFmtId="178" fontId="62" fillId="0" borderId="0"/>
    <xf numFmtId="0" fontId="9" fillId="0" borderId="0"/>
    <xf numFmtId="209" fontId="9" fillId="0" borderId="0"/>
    <xf numFmtId="0" fontId="16"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9" fillId="0" borderId="0"/>
    <xf numFmtId="0" fontId="16"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54" fillId="0" borderId="0"/>
    <xf numFmtId="0" fontId="54" fillId="0" borderId="0"/>
    <xf numFmtId="0" fontId="54" fillId="0" borderId="0"/>
    <xf numFmtId="0" fontId="54" fillId="0" borderId="0"/>
    <xf numFmtId="0" fontId="9" fillId="0" borderId="0"/>
    <xf numFmtId="0" fontId="9" fillId="0" borderId="0"/>
    <xf numFmtId="0" fontId="9" fillId="0" borderId="0"/>
    <xf numFmtId="0" fontId="9" fillId="0" borderId="0"/>
    <xf numFmtId="175" fontId="9" fillId="0" borderId="0"/>
    <xf numFmtId="179" fontId="9" fillId="0" borderId="0">
      <alignment wrapText="1"/>
    </xf>
    <xf numFmtId="0" fontId="16" fillId="0" borderId="0"/>
    <xf numFmtId="0" fontId="16" fillId="0" borderId="0"/>
    <xf numFmtId="0" fontId="16" fillId="0" borderId="0"/>
    <xf numFmtId="0" fontId="16" fillId="0" borderId="0"/>
    <xf numFmtId="0" fontId="16" fillId="0" borderId="0"/>
    <xf numFmtId="181" fontId="16" fillId="0" borderId="0"/>
    <xf numFmtId="181" fontId="16" fillId="0" borderId="0"/>
    <xf numFmtId="181"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2" fillId="0" borderId="0"/>
    <xf numFmtId="0" fontId="16" fillId="0" borderId="0"/>
    <xf numFmtId="0" fontId="62" fillId="0" borderId="0"/>
    <xf numFmtId="0" fontId="62" fillId="0" borderId="0"/>
    <xf numFmtId="0" fontId="16" fillId="0" borderId="0"/>
    <xf numFmtId="0" fontId="16" fillId="0" borderId="0"/>
    <xf numFmtId="0" fontId="16" fillId="0" borderId="0"/>
    <xf numFmtId="0" fontId="62" fillId="0" borderId="0"/>
    <xf numFmtId="0" fontId="16" fillId="0" borderId="0"/>
    <xf numFmtId="0" fontId="16" fillId="0" borderId="0"/>
    <xf numFmtId="0" fontId="16" fillId="0" borderId="0"/>
    <xf numFmtId="0" fontId="16" fillId="0" borderId="0"/>
    <xf numFmtId="0" fontId="62" fillId="0" borderId="0"/>
    <xf numFmtId="0" fontId="16" fillId="0" borderId="0"/>
    <xf numFmtId="0" fontId="62"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4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79" fontId="16"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175" fontId="9" fillId="0" borderId="0"/>
    <xf numFmtId="0" fontId="46" fillId="0" borderId="0"/>
    <xf numFmtId="0" fontId="9" fillId="0" borderId="0"/>
    <xf numFmtId="0" fontId="9" fillId="0" borderId="0"/>
    <xf numFmtId="217"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0" borderId="0"/>
    <xf numFmtId="0" fontId="9" fillId="0" borderId="0"/>
    <xf numFmtId="0" fontId="16" fillId="0" borderId="0"/>
    <xf numFmtId="0" fontId="9" fillId="0" borderId="0"/>
    <xf numFmtId="0" fontId="16" fillId="0" borderId="0"/>
    <xf numFmtId="0" fontId="54" fillId="0" borderId="0"/>
    <xf numFmtId="0" fontId="9" fillId="0" borderId="0"/>
    <xf numFmtId="0" fontId="54" fillId="0" borderId="0"/>
    <xf numFmtId="0" fontId="54" fillId="0" borderId="0"/>
    <xf numFmtId="0" fontId="54" fillId="0" borderId="0"/>
    <xf numFmtId="0" fontId="16" fillId="0" borderId="0"/>
    <xf numFmtId="0" fontId="9" fillId="0" borderId="0"/>
    <xf numFmtId="0" fontId="16" fillId="0" borderId="0"/>
    <xf numFmtId="0" fontId="9" fillId="0" borderId="0"/>
    <xf numFmtId="0" fontId="9" fillId="0" borderId="0"/>
    <xf numFmtId="0" fontId="9" fillId="0" borderId="0"/>
    <xf numFmtId="0" fontId="139"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0" fillId="0" borderId="0"/>
    <xf numFmtId="38" fontId="76"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8" fontId="14" fillId="0" borderId="0"/>
    <xf numFmtId="178" fontId="14" fillId="0" borderId="0"/>
    <xf numFmtId="0" fontId="14" fillId="0" borderId="0"/>
    <xf numFmtId="0" fontId="14" fillId="0" borderId="0"/>
    <xf numFmtId="0" fontId="14"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175" fontId="9" fillId="0" borderId="0"/>
    <xf numFmtId="0" fontId="16" fillId="0" borderId="0"/>
    <xf numFmtId="0" fontId="9" fillId="0" borderId="0"/>
    <xf numFmtId="0" fontId="16" fillId="0" borderId="0"/>
    <xf numFmtId="0" fontId="14" fillId="0" borderId="0"/>
    <xf numFmtId="0" fontId="54" fillId="0" borderId="0"/>
    <xf numFmtId="0" fontId="9" fillId="0" borderId="0"/>
    <xf numFmtId="0" fontId="54" fillId="0" borderId="0"/>
    <xf numFmtId="0" fontId="9" fillId="0" borderId="0"/>
    <xf numFmtId="0" fontId="54" fillId="0" borderId="0"/>
    <xf numFmtId="0" fontId="9" fillId="0" borderId="0"/>
    <xf numFmtId="0" fontId="54"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Font="0"/>
    <xf numFmtId="0" fontId="16" fillId="0" borderId="0"/>
    <xf numFmtId="0" fontId="16" fillId="0" borderId="0"/>
    <xf numFmtId="0" fontId="16" fillId="0" borderId="0"/>
    <xf numFmtId="0" fontId="16" fillId="0" borderId="0"/>
    <xf numFmtId="0" fontId="16" fillId="0" borderId="0"/>
    <xf numFmtId="0" fontId="16" fillId="0" borderId="0"/>
    <xf numFmtId="179" fontId="14" fillId="0" borderId="0"/>
    <xf numFmtId="0" fontId="14" fillId="0" borderId="0"/>
    <xf numFmtId="0" fontId="16" fillId="0" borderId="0"/>
    <xf numFmtId="179" fontId="14" fillId="0" borderId="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79"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179"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98"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6" fillId="0" borderId="0"/>
    <xf numFmtId="0" fontId="16"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16" fillId="0" borderId="0"/>
    <xf numFmtId="0" fontId="16" fillId="0" borderId="0"/>
    <xf numFmtId="178" fontId="14" fillId="0" borderId="0"/>
    <xf numFmtId="178" fontId="14" fillId="0" borderId="0"/>
    <xf numFmtId="0" fontId="14" fillId="0" borderId="0"/>
    <xf numFmtId="0" fontId="16" fillId="0" borderId="0"/>
    <xf numFmtId="0" fontId="14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16" fillId="0" borderId="0"/>
    <xf numFmtId="0" fontId="9" fillId="0" borderId="0"/>
    <xf numFmtId="0" fontId="16" fillId="0" borderId="0"/>
    <xf numFmtId="0" fontId="16" fillId="0" borderId="0"/>
    <xf numFmtId="0" fontId="16"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16" fillId="0" borderId="0"/>
    <xf numFmtId="0" fontId="9" fillId="0" borderId="0"/>
    <xf numFmtId="0" fontId="16" fillId="0" borderId="0"/>
    <xf numFmtId="0" fontId="16" fillId="0" borderId="0"/>
    <xf numFmtId="0" fontId="16"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9" fillId="0" borderId="0"/>
    <xf numFmtId="0" fontId="16" fillId="0" borderId="0"/>
    <xf numFmtId="0" fontId="16" fillId="0" borderId="0"/>
    <xf numFmtId="0" fontId="9"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178" fontId="14" fillId="0" borderId="0"/>
    <xf numFmtId="0" fontId="14" fillId="0" borderId="0"/>
    <xf numFmtId="178" fontId="14" fillId="0" borderId="0"/>
    <xf numFmtId="178" fontId="14"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8" fontId="76" fillId="0" borderId="0"/>
    <xf numFmtId="0" fontId="9" fillId="0" borderId="0"/>
    <xf numFmtId="178"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95" borderId="68" applyNumberFormat="0" applyFont="0" applyAlignment="0" applyProtection="0"/>
    <xf numFmtId="175" fontId="9" fillId="95" borderId="68" applyNumberFormat="0" applyFont="0" applyAlignment="0" applyProtection="0"/>
    <xf numFmtId="175" fontId="9" fillId="95" borderId="68" applyNumberFormat="0" applyFont="0" applyAlignment="0" applyProtection="0"/>
    <xf numFmtId="175" fontId="9" fillId="95" borderId="68" applyNumberFormat="0" applyFont="0" applyAlignment="0" applyProtection="0"/>
    <xf numFmtId="179" fontId="16" fillId="0" borderId="0"/>
    <xf numFmtId="178" fontId="16" fillId="0" borderId="0"/>
    <xf numFmtId="0" fontId="16" fillId="0" borderId="0"/>
    <xf numFmtId="0" fontId="9" fillId="0" borderId="0"/>
    <xf numFmtId="209" fontId="14"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15" fillId="0" borderId="0"/>
    <xf numFmtId="0" fontId="16" fillId="0" borderId="0"/>
    <xf numFmtId="0" fontId="9" fillId="0" borderId="0"/>
    <xf numFmtId="0" fontId="15"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14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2" fillId="0" borderId="0"/>
    <xf numFmtId="0" fontId="9" fillId="0" borderId="0"/>
    <xf numFmtId="0" fontId="9" fillId="0" borderId="0"/>
    <xf numFmtId="0" fontId="9" fillId="0" borderId="0"/>
    <xf numFmtId="0" fontId="9" fillId="0" borderId="0"/>
    <xf numFmtId="0" fontId="9" fillId="0" borderId="0"/>
    <xf numFmtId="0" fontId="9" fillId="0" borderId="0"/>
    <xf numFmtId="0" fontId="142" fillId="0" borderId="0"/>
    <xf numFmtId="0" fontId="142" fillId="0" borderId="0"/>
    <xf numFmtId="0" fontId="142"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5" fillId="0" borderId="0"/>
    <xf numFmtId="0" fontId="142" fillId="0" borderId="0"/>
    <xf numFmtId="0" fontId="142" fillId="0" borderId="0"/>
    <xf numFmtId="0" fontId="75" fillId="0" borderId="0"/>
    <xf numFmtId="0" fontId="7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95" borderId="68" applyNumberFormat="0" applyFont="0" applyAlignment="0" applyProtection="0"/>
    <xf numFmtId="175" fontId="9" fillId="95" borderId="68" applyNumberFormat="0" applyFont="0" applyAlignment="0" applyProtection="0"/>
    <xf numFmtId="175" fontId="9" fillId="95" borderId="68" applyNumberFormat="0" applyFont="0" applyAlignment="0" applyProtection="0"/>
    <xf numFmtId="175" fontId="9" fillId="95" borderId="68" applyNumberFormat="0" applyFont="0" applyAlignment="0" applyProtection="0"/>
    <xf numFmtId="0" fontId="14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16" fillId="0" borderId="0"/>
    <xf numFmtId="0" fontId="9" fillId="0" borderId="0"/>
    <xf numFmtId="0" fontId="16" fillId="0" borderId="0"/>
    <xf numFmtId="38" fontId="76" fillId="0" borderId="0"/>
    <xf numFmtId="0" fontId="16" fillId="0" borderId="0"/>
    <xf numFmtId="0" fontId="9" fillId="0" borderId="0"/>
    <xf numFmtId="0" fontId="16" fillId="0" borderId="0"/>
    <xf numFmtId="38" fontId="76" fillId="0" borderId="0"/>
    <xf numFmtId="0" fontId="16" fillId="0" borderId="0"/>
    <xf numFmtId="38" fontId="76" fillId="0" borderId="0"/>
    <xf numFmtId="0" fontId="16" fillId="0" borderId="0"/>
    <xf numFmtId="38" fontId="76" fillId="0" borderId="0"/>
    <xf numFmtId="0" fontId="16" fillId="0" borderId="0"/>
    <xf numFmtId="38" fontId="76" fillId="0" borderId="0"/>
    <xf numFmtId="0" fontId="16" fillId="0" borderId="0"/>
    <xf numFmtId="0" fontId="16" fillId="0" borderId="0"/>
    <xf numFmtId="0" fontId="16" fillId="0" borderId="0"/>
    <xf numFmtId="0" fontId="7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178" fontId="14" fillId="0" borderId="0"/>
    <xf numFmtId="178" fontId="14" fillId="0" borderId="0"/>
    <xf numFmtId="178" fontId="14"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0" borderId="0"/>
    <xf numFmtId="0" fontId="9" fillId="0" borderId="0"/>
    <xf numFmtId="0" fontId="76" fillId="0" borderId="0"/>
    <xf numFmtId="0" fontId="54" fillId="0" borderId="0"/>
    <xf numFmtId="178" fontId="14" fillId="0" borderId="0"/>
    <xf numFmtId="0" fontId="76"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54" fillId="0" borderId="0"/>
    <xf numFmtId="0" fontId="54" fillId="0" borderId="0"/>
    <xf numFmtId="38" fontId="76" fillId="0" borderId="0"/>
    <xf numFmtId="0" fontId="9" fillId="0" borderId="0"/>
    <xf numFmtId="0" fontId="54" fillId="0" borderId="0"/>
    <xf numFmtId="0" fontId="54" fillId="0" borderId="0"/>
    <xf numFmtId="0" fontId="54" fillId="0" borderId="0"/>
    <xf numFmtId="38" fontId="76" fillId="0" borderId="0"/>
    <xf numFmtId="0" fontId="9" fillId="0" borderId="0"/>
    <xf numFmtId="178" fontId="9" fillId="0" borderId="0"/>
    <xf numFmtId="178" fontId="9" fillId="0" borderId="0"/>
    <xf numFmtId="0" fontId="16" fillId="0" borderId="0"/>
    <xf numFmtId="0" fontId="9" fillId="0" borderId="0"/>
    <xf numFmtId="0" fontId="16" fillId="0" borderId="0"/>
    <xf numFmtId="175"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4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17" fontId="9" fillId="0" borderId="0"/>
    <xf numFmtId="0" fontId="16" fillId="0" borderId="0"/>
    <xf numFmtId="211" fontId="16" fillId="0" borderId="0"/>
    <xf numFmtId="218" fontId="9" fillId="0" borderId="0"/>
    <xf numFmtId="217" fontId="9" fillId="0" borderId="0"/>
    <xf numFmtId="0" fontId="9" fillId="0" borderId="0"/>
    <xf numFmtId="178" fontId="16" fillId="0" borderId="0"/>
    <xf numFmtId="178" fontId="16" fillId="0" borderId="0"/>
    <xf numFmtId="0" fontId="16" fillId="0" borderId="0"/>
    <xf numFmtId="0" fontId="46" fillId="0" borderId="0"/>
    <xf numFmtId="0" fontId="16" fillId="0" borderId="0"/>
    <xf numFmtId="0" fontId="16" fillId="0" borderId="0"/>
    <xf numFmtId="0" fontId="16" fillId="0" borderId="0"/>
    <xf numFmtId="0" fontId="16" fillId="0" borderId="0"/>
    <xf numFmtId="205" fontId="16" fillId="0" borderId="0"/>
    <xf numFmtId="0" fontId="16" fillId="0" borderId="0"/>
    <xf numFmtId="0" fontId="16" fillId="0" borderId="0"/>
    <xf numFmtId="0" fontId="16" fillId="0" borderId="0"/>
    <xf numFmtId="0" fontId="16" fillId="0" borderId="0"/>
    <xf numFmtId="0" fontId="16" fillId="0" borderId="0"/>
    <xf numFmtId="0" fontId="9" fillId="0" borderId="0"/>
    <xf numFmtId="178" fontId="16" fillId="0" borderId="0"/>
    <xf numFmtId="178" fontId="16" fillId="0" borderId="0"/>
    <xf numFmtId="0" fontId="46" fillId="0" borderId="0"/>
    <xf numFmtId="0" fontId="9" fillId="0" borderId="0">
      <alignment wrapText="1"/>
    </xf>
    <xf numFmtId="211" fontId="16" fillId="0" borderId="0"/>
    <xf numFmtId="211" fontId="16" fillId="0" borderId="0"/>
    <xf numFmtId="0" fontId="16" fillId="0" borderId="0"/>
    <xf numFmtId="0" fontId="16" fillId="0" borderId="0"/>
    <xf numFmtId="0" fontId="16" fillId="0" borderId="0"/>
    <xf numFmtId="0" fontId="9" fillId="0" borderId="0"/>
    <xf numFmtId="0" fontId="9" fillId="0" borderId="0"/>
    <xf numFmtId="178" fontId="15" fillId="0" borderId="0"/>
    <xf numFmtId="178" fontId="15" fillId="0" borderId="0"/>
    <xf numFmtId="0" fontId="46" fillId="0" borderId="0"/>
    <xf numFmtId="0" fontId="9" fillId="0" borderId="0"/>
    <xf numFmtId="178" fontId="15" fillId="0" borderId="0"/>
    <xf numFmtId="178" fontId="15" fillId="0" borderId="0"/>
    <xf numFmtId="0" fontId="46" fillId="0" borderId="0"/>
    <xf numFmtId="0" fontId="9" fillId="0" borderId="0"/>
    <xf numFmtId="178" fontId="15" fillId="0" borderId="0"/>
    <xf numFmtId="178" fontId="15" fillId="0" borderId="0"/>
    <xf numFmtId="0" fontId="46" fillId="0" borderId="0"/>
    <xf numFmtId="0" fontId="9" fillId="0" borderId="0"/>
    <xf numFmtId="178" fontId="15" fillId="0" borderId="0"/>
    <xf numFmtId="178" fontId="15"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76" fillId="0" borderId="0"/>
    <xf numFmtId="0" fontId="54" fillId="0" borderId="0"/>
    <xf numFmtId="179" fontId="9" fillId="0" borderId="0"/>
    <xf numFmtId="0" fontId="75" fillId="0" borderId="0"/>
    <xf numFmtId="0" fontId="9" fillId="0" borderId="0"/>
    <xf numFmtId="0" fontId="9" fillId="0" borderId="0"/>
    <xf numFmtId="0" fontId="9" fillId="0" borderId="0"/>
    <xf numFmtId="0" fontId="54" fillId="0" borderId="0"/>
    <xf numFmtId="0" fontId="54" fillId="0" borderId="0"/>
    <xf numFmtId="0" fontId="16" fillId="0" borderId="0"/>
    <xf numFmtId="0" fontId="54" fillId="0" borderId="0"/>
    <xf numFmtId="175" fontId="9" fillId="0" borderId="0"/>
    <xf numFmtId="0" fontId="16" fillId="0" borderId="0"/>
    <xf numFmtId="0" fontId="16" fillId="0" borderId="0"/>
    <xf numFmtId="0" fontId="16" fillId="0" borderId="0"/>
    <xf numFmtId="0" fontId="54" fillId="0" borderId="0"/>
    <xf numFmtId="0" fontId="54" fillId="0" borderId="0"/>
    <xf numFmtId="0" fontId="54" fillId="0" borderId="0"/>
    <xf numFmtId="0" fontId="54" fillId="0" borderId="0"/>
    <xf numFmtId="0" fontId="54" fillId="0" borderId="0"/>
    <xf numFmtId="198"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6" fillId="0" borderId="0"/>
    <xf numFmtId="0" fontId="76" fillId="0" borderId="0"/>
    <xf numFmtId="209"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54"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7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9"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16"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9" fillId="0" borderId="0"/>
    <xf numFmtId="0" fontId="14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15" fillId="0" borderId="0"/>
    <xf numFmtId="0" fontId="46" fillId="0" borderId="0"/>
    <xf numFmtId="0" fontId="46" fillId="0" borderId="0"/>
    <xf numFmtId="0" fontId="46" fillId="0" borderId="0"/>
    <xf numFmtId="0" fontId="46" fillId="0" borderId="0"/>
    <xf numFmtId="0" fontId="46" fillId="0" borderId="0"/>
    <xf numFmtId="0" fontId="16" fillId="0" borderId="0"/>
    <xf numFmtId="0" fontId="141" fillId="0" borderId="0"/>
    <xf numFmtId="0" fontId="16" fillId="0" borderId="0"/>
    <xf numFmtId="0" fontId="16" fillId="0" borderId="0"/>
    <xf numFmtId="0" fontId="16" fillId="0" borderId="0"/>
    <xf numFmtId="0" fontId="16" fillId="0" borderId="0"/>
    <xf numFmtId="0" fontId="16" fillId="0" borderId="0"/>
    <xf numFmtId="0" fontId="46" fillId="0" borderId="0"/>
    <xf numFmtId="0" fontId="46" fillId="0" borderId="0"/>
    <xf numFmtId="0" fontId="46" fillId="0" borderId="0"/>
    <xf numFmtId="0" fontId="46" fillId="0" borderId="0"/>
    <xf numFmtId="0" fontId="46" fillId="0" borderId="0"/>
    <xf numFmtId="0" fontId="16" fillId="0" borderId="0"/>
    <xf numFmtId="0" fontId="16"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09" fontId="9" fillId="0" borderId="0"/>
    <xf numFmtId="0" fontId="9" fillId="0" borderId="0"/>
    <xf numFmtId="178" fontId="16" fillId="0" borderId="0"/>
    <xf numFmtId="0" fontId="16" fillId="0" borderId="0"/>
    <xf numFmtId="0" fontId="16" fillId="0" borderId="0"/>
    <xf numFmtId="0" fontId="16" fillId="0" borderId="0"/>
    <xf numFmtId="178" fontId="16" fillId="0" borderId="0"/>
    <xf numFmtId="17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209" fontId="9" fillId="0" borderId="0"/>
    <xf numFmtId="198"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9" fontId="9" fillId="0" borderId="0"/>
    <xf numFmtId="198"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7" fillId="0" borderId="0"/>
    <xf numFmtId="0" fontId="76" fillId="0" borderId="0"/>
    <xf numFmtId="0" fontId="16" fillId="0" borderId="0"/>
    <xf numFmtId="0" fontId="16" fillId="0" borderId="0"/>
    <xf numFmtId="179" fontId="7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0" borderId="0"/>
    <xf numFmtId="0" fontId="1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16" fillId="0" borderId="0"/>
    <xf numFmtId="0" fontId="46" fillId="0" borderId="0"/>
    <xf numFmtId="0" fontId="46" fillId="0" borderId="0"/>
    <xf numFmtId="0" fontId="16" fillId="0" borderId="0"/>
    <xf numFmtId="0" fontId="16" fillId="0" borderId="0"/>
    <xf numFmtId="0" fontId="16" fillId="0" borderId="0"/>
    <xf numFmtId="0" fontId="16" fillId="0" borderId="0"/>
    <xf numFmtId="0" fontId="9" fillId="0" borderId="0"/>
    <xf numFmtId="0" fontId="9" fillId="0" borderId="0"/>
    <xf numFmtId="0" fontId="16" fillId="0" borderId="0"/>
    <xf numFmtId="0" fontId="16" fillId="0" borderId="0"/>
    <xf numFmtId="0" fontId="16" fillId="0" borderId="0"/>
    <xf numFmtId="0" fontId="46" fillId="0" borderId="0"/>
    <xf numFmtId="0" fontId="46" fillId="0" borderId="0"/>
    <xf numFmtId="0" fontId="16" fillId="0" borderId="0"/>
    <xf numFmtId="0" fontId="9" fillId="0" borderId="0"/>
    <xf numFmtId="0" fontId="9" fillId="0" borderId="0"/>
    <xf numFmtId="0" fontId="16" fillId="0" borderId="0"/>
    <xf numFmtId="0" fontId="16" fillId="0" borderId="0"/>
    <xf numFmtId="0" fontId="54" fillId="0" borderId="0"/>
    <xf numFmtId="0" fontId="16" fillId="0" borderId="0"/>
    <xf numFmtId="0" fontId="9" fillId="0" borderId="0"/>
    <xf numFmtId="0" fontId="9" fillId="0" borderId="0"/>
    <xf numFmtId="0" fontId="16" fillId="0" borderId="0"/>
    <xf numFmtId="0" fontId="9" fillId="0" borderId="0"/>
    <xf numFmtId="0" fontId="54" fillId="0" borderId="0"/>
    <xf numFmtId="0" fontId="9" fillId="0" borderId="0"/>
    <xf numFmtId="0" fontId="9" fillId="0" borderId="0"/>
    <xf numFmtId="0" fontId="9"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54" fillId="0" borderId="0"/>
    <xf numFmtId="0" fontId="16" fillId="0" borderId="0"/>
    <xf numFmtId="0" fontId="16" fillId="0" borderId="0"/>
    <xf numFmtId="0" fontId="46" fillId="0" borderId="0"/>
    <xf numFmtId="0" fontId="54" fillId="0" borderId="0"/>
    <xf numFmtId="0" fontId="16" fillId="0" borderId="0"/>
    <xf numFmtId="0" fontId="16" fillId="0" borderId="0"/>
    <xf numFmtId="0" fontId="46" fillId="0" borderId="0"/>
    <xf numFmtId="0" fontId="9" fillId="0" borderId="0"/>
    <xf numFmtId="0" fontId="16" fillId="0" borderId="0"/>
    <xf numFmtId="0" fontId="16" fillId="0" borderId="0"/>
    <xf numFmtId="0" fontId="46" fillId="0" borderId="0"/>
    <xf numFmtId="0" fontId="9" fillId="0" borderId="0"/>
    <xf numFmtId="0" fontId="54" fillId="0" borderId="0"/>
    <xf numFmtId="0" fontId="16" fillId="0" borderId="0"/>
    <xf numFmtId="0" fontId="16" fillId="0" borderId="0"/>
    <xf numFmtId="0" fontId="46"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9" fillId="0" borderId="0"/>
    <xf numFmtId="0" fontId="9" fillId="0" borderId="0"/>
    <xf numFmtId="209" fontId="16" fillId="0" borderId="0"/>
    <xf numFmtId="0" fontId="9" fillId="0" borderId="0"/>
    <xf numFmtId="169" fontId="144" fillId="0" borderId="0"/>
    <xf numFmtId="0" fontId="9" fillId="0" borderId="0"/>
    <xf numFmtId="175" fontId="9" fillId="0" borderId="0"/>
    <xf numFmtId="169" fontId="144" fillId="0" borderId="0"/>
    <xf numFmtId="169" fontId="14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wrapText="1"/>
    </xf>
    <xf numFmtId="0" fontId="9" fillId="0" borderId="0">
      <alignment wrapText="1"/>
    </xf>
    <xf numFmtId="0" fontId="16" fillId="0" borderId="0"/>
    <xf numFmtId="0" fontId="9" fillId="0" borderId="0"/>
    <xf numFmtId="0" fontId="16" fillId="0" borderId="0"/>
    <xf numFmtId="179" fontId="9" fillId="0" borderId="0">
      <alignment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178" fontId="9" fillId="0" borderId="0"/>
    <xf numFmtId="0" fontId="1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46" fillId="0" borderId="0"/>
    <xf numFmtId="0" fontId="16" fillId="0" borderId="0"/>
    <xf numFmtId="0" fontId="16" fillId="0" borderId="0"/>
    <xf numFmtId="0" fontId="9" fillId="0" borderId="0"/>
    <xf numFmtId="0" fontId="16" fillId="0" borderId="0"/>
    <xf numFmtId="0" fontId="54" fillId="0" borderId="0"/>
    <xf numFmtId="0" fontId="16" fillId="0" borderId="0"/>
    <xf numFmtId="0" fontId="16" fillId="0" borderId="0"/>
    <xf numFmtId="0" fontId="54" fillId="0" borderId="0"/>
    <xf numFmtId="0" fontId="16" fillId="0" borderId="0"/>
    <xf numFmtId="0" fontId="16" fillId="0" borderId="0"/>
    <xf numFmtId="0" fontId="54" fillId="0" borderId="0"/>
    <xf numFmtId="0" fontId="16" fillId="0" borderId="0"/>
    <xf numFmtId="0" fontId="16" fillId="0" borderId="0"/>
    <xf numFmtId="0" fontId="54" fillId="0" borderId="0"/>
    <xf numFmtId="0" fontId="16" fillId="0" borderId="0"/>
    <xf numFmtId="0" fontId="16" fillId="0" borderId="0"/>
    <xf numFmtId="0" fontId="54" fillId="0" borderId="0"/>
    <xf numFmtId="0" fontId="16" fillId="0" borderId="0"/>
    <xf numFmtId="0" fontId="16" fillId="0" borderId="0"/>
    <xf numFmtId="0" fontId="54" fillId="0" borderId="0"/>
    <xf numFmtId="0" fontId="16" fillId="0" borderId="0"/>
    <xf numFmtId="0" fontId="16" fillId="0" borderId="0"/>
    <xf numFmtId="0" fontId="54" fillId="0" borderId="0"/>
    <xf numFmtId="0" fontId="16" fillId="0" borderId="0"/>
    <xf numFmtId="0" fontId="16" fillId="0" borderId="0"/>
    <xf numFmtId="0" fontId="54" fillId="0" borderId="0"/>
    <xf numFmtId="180" fontId="16" fillId="0" borderId="0"/>
    <xf numFmtId="0" fontId="16" fillId="0" borderId="0"/>
    <xf numFmtId="0" fontId="16" fillId="0" borderId="0"/>
    <xf numFmtId="0" fontId="16" fillId="0" borderId="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198" fontId="14"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9" fillId="0" borderId="0"/>
    <xf numFmtId="175" fontId="16" fillId="0" borderId="0"/>
    <xf numFmtId="0" fontId="14"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9"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9"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16" fillId="0" borderId="0"/>
    <xf numFmtId="0" fontId="16" fillId="0" borderId="0"/>
    <xf numFmtId="0" fontId="16" fillId="0" borderId="0"/>
    <xf numFmtId="0" fontId="16" fillId="0" borderId="0"/>
    <xf numFmtId="0" fontId="14" fillId="0" borderId="0"/>
    <xf numFmtId="0" fontId="16" fillId="0" borderId="0"/>
    <xf numFmtId="0" fontId="9" fillId="0" borderId="0"/>
    <xf numFmtId="0" fontId="16" fillId="0" borderId="0"/>
    <xf numFmtId="0" fontId="9" fillId="0" borderId="0"/>
    <xf numFmtId="0" fontId="16" fillId="0" borderId="0"/>
    <xf numFmtId="0" fontId="16" fillId="0" borderId="0"/>
    <xf numFmtId="0" fontId="16" fillId="0" borderId="0"/>
    <xf numFmtId="0" fontId="16" fillId="0" borderId="0"/>
    <xf numFmtId="0" fontId="145" fillId="0" borderId="0"/>
    <xf numFmtId="0" fontId="16" fillId="0" borderId="0"/>
    <xf numFmtId="0" fontId="9" fillId="0" borderId="0"/>
    <xf numFmtId="0" fontId="16" fillId="0" borderId="0"/>
    <xf numFmtId="0" fontId="16" fillId="0" borderId="0"/>
    <xf numFmtId="0" fontId="145" fillId="0" borderId="0"/>
    <xf numFmtId="0" fontId="16" fillId="0" borderId="0"/>
    <xf numFmtId="0" fontId="16" fillId="0" borderId="0"/>
    <xf numFmtId="0" fontId="16" fillId="0" borderId="0"/>
    <xf numFmtId="0" fontId="16" fillId="0" borderId="0"/>
    <xf numFmtId="0" fontId="145" fillId="0" borderId="0"/>
    <xf numFmtId="0" fontId="16" fillId="0" borderId="0"/>
    <xf numFmtId="0" fontId="16" fillId="0" borderId="0"/>
    <xf numFmtId="0" fontId="16" fillId="0" borderId="0"/>
    <xf numFmtId="0" fontId="16" fillId="0" borderId="0"/>
    <xf numFmtId="0" fontId="145" fillId="0" borderId="0"/>
    <xf numFmtId="0" fontId="16" fillId="0" borderId="0"/>
    <xf numFmtId="0" fontId="16" fillId="0" borderId="0"/>
    <xf numFmtId="0" fontId="16" fillId="0" borderId="0"/>
    <xf numFmtId="0" fontId="16" fillId="0" borderId="0"/>
    <xf numFmtId="0" fontId="145"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4" fillId="0" borderId="0"/>
    <xf numFmtId="15" fontId="9" fillId="0" borderId="0"/>
    <xf numFmtId="15" fontId="9" fillId="0" borderId="0"/>
    <xf numFmtId="175" fontId="9" fillId="0" borderId="0"/>
    <xf numFmtId="179" fontId="9" fillId="0" borderId="0"/>
    <xf numFmtId="198" fontId="9" fillId="0" borderId="0"/>
    <xf numFmtId="0" fontId="16" fillId="0" borderId="0"/>
    <xf numFmtId="15"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5" fontId="9" fillId="0" borderId="0"/>
    <xf numFmtId="15"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16" fillId="0" borderId="0"/>
    <xf numFmtId="0" fontId="14" fillId="0" borderId="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applyNumberFormat="0" applyFont="0" applyFill="0" applyBorder="0" applyAlignment="0" applyProtection="0">
      <alignment vertical="top"/>
    </xf>
    <xf numFmtId="0" fontId="16" fillId="0" borderId="0"/>
    <xf numFmtId="0" fontId="16" fillId="0" borderId="0"/>
    <xf numFmtId="15" fontId="9" fillId="0" borderId="0"/>
    <xf numFmtId="15" fontId="9" fillId="0" borderId="0"/>
    <xf numFmtId="15" fontId="9" fillId="0" borderId="0"/>
    <xf numFmtId="15" fontId="9" fillId="0" borderId="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0" borderId="0"/>
    <xf numFmtId="179" fontId="146" fillId="0" borderId="0"/>
    <xf numFmtId="0" fontId="16" fillId="0" borderId="0"/>
    <xf numFmtId="0" fontId="16" fillId="0" borderId="0"/>
    <xf numFmtId="0" fontId="62" fillId="0" borderId="0"/>
    <xf numFmtId="0" fontId="62" fillId="0" borderId="0"/>
    <xf numFmtId="0" fontId="62"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202"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98" fontId="16" fillId="0" borderId="0"/>
    <xf numFmtId="198" fontId="16" fillId="0" borderId="0"/>
    <xf numFmtId="0" fontId="9"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209" fontId="75"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7" fontId="9" fillId="0" borderId="0" applyNumberFormat="0" applyFill="0" applyBorder="0" applyAlignment="0" applyProtection="0">
      <alignment vertical="top"/>
    </xf>
    <xf numFmtId="37" fontId="9" fillId="0" borderId="0" applyNumberFormat="0" applyFill="0" applyBorder="0" applyAlignment="0" applyProtection="0">
      <alignment vertical="top"/>
    </xf>
    <xf numFmtId="37" fontId="9" fillId="0" borderId="0" applyNumberFormat="0" applyFill="0" applyBorder="0" applyAlignment="0" applyProtection="0">
      <alignment vertical="top"/>
    </xf>
    <xf numFmtId="37" fontId="9" fillId="0" borderId="0" applyNumberFormat="0" applyFill="0" applyBorder="0" applyAlignment="0" applyProtection="0">
      <alignment vertical="top"/>
    </xf>
    <xf numFmtId="191" fontId="67" fillId="0" borderId="0"/>
    <xf numFmtId="0" fontId="147" fillId="0" borderId="0"/>
    <xf numFmtId="209" fontId="147" fillId="0" borderId="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6"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14" fillId="9" borderId="14" applyNumberFormat="0" applyFont="0" applyAlignment="0" applyProtection="0"/>
    <xf numFmtId="0" fontId="14" fillId="9" borderId="14" applyNumberFormat="0" applyFont="0" applyAlignment="0" applyProtection="0"/>
    <xf numFmtId="0" fontId="14" fillId="9" borderId="14" applyNumberFormat="0" applyFont="0" applyAlignment="0" applyProtection="0"/>
    <xf numFmtId="0" fontId="14" fillId="9" borderId="14" applyNumberFormat="0" applyFont="0" applyAlignment="0" applyProtection="0"/>
    <xf numFmtId="175" fontId="9" fillId="95" borderId="68" applyNumberFormat="0" applyFont="0" applyAlignment="0" applyProtection="0"/>
    <xf numFmtId="175" fontId="9" fillId="95" borderId="68" applyNumberFormat="0" applyFont="0" applyAlignment="0" applyProtection="0"/>
    <xf numFmtId="175" fontId="9" fillId="95" borderId="68" applyNumberFormat="0" applyFont="0" applyAlignment="0" applyProtection="0"/>
    <xf numFmtId="175" fontId="9" fillId="95" borderId="68" applyNumberFormat="0" applyFont="0" applyAlignment="0" applyProtection="0"/>
    <xf numFmtId="213"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213"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6" fillId="9" borderId="14"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4"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9"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9" fillId="95" borderId="68" applyNumberFormat="0" applyFont="0" applyAlignment="0" applyProtection="0"/>
    <xf numFmtId="0" fontId="14"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8"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6" fillId="9" borderId="14" applyNumberFormat="0" applyFont="0" applyAlignment="0" applyProtection="0"/>
    <xf numFmtId="0" fontId="16" fillId="9" borderId="14" applyNumberFormat="0" applyFont="0" applyAlignment="0" applyProtection="0"/>
    <xf numFmtId="0" fontId="15" fillId="95" borderId="68" applyNumberFormat="0" applyFont="0" applyAlignment="0" applyProtection="0"/>
    <xf numFmtId="175" fontId="9" fillId="95" borderId="68" applyNumberFormat="0" applyFont="0" applyAlignment="0" applyProtection="0"/>
    <xf numFmtId="0" fontId="15" fillId="95" borderId="68" applyNumberFormat="0" applyFont="0" applyAlignment="0" applyProtection="0"/>
    <xf numFmtId="0" fontId="46"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46"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46"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1"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46" fillId="9" borderId="14"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175" fontId="9" fillId="95" borderId="68" applyNumberFormat="0" applyFont="0" applyAlignment="0" applyProtection="0"/>
    <xf numFmtId="0" fontId="15" fillId="95" borderId="68" applyNumberFormat="0" applyFont="0" applyAlignment="0" applyProtection="0"/>
    <xf numFmtId="0" fontId="46"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46" fillId="9" borderId="14"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1"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46" fillId="9" borderId="14"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4"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0" fontId="15" fillId="95" borderId="68" applyNumberFormat="0" applyFont="0" applyAlignment="0" applyProtection="0"/>
    <xf numFmtId="211" fontId="42" fillId="0" borderId="0" applyFont="0">
      <protection locked="0"/>
    </xf>
    <xf numFmtId="15" fontId="39" fillId="90" borderId="0" applyBorder="0">
      <alignment horizontal="left" vertical="center"/>
      <protection locked="0"/>
    </xf>
    <xf numFmtId="43" fontId="39" fillId="0" borderId="0" applyFont="0" applyFill="0" applyBorder="0" applyAlignment="0" applyProtection="0"/>
    <xf numFmtId="41" fontId="39" fillId="0" borderId="0" applyFont="0" applyFill="0" applyBorder="0" applyAlignment="0" applyProtection="0"/>
    <xf numFmtId="0" fontId="39" fillId="90" borderId="0">
      <alignment horizontal="left" vertical="center"/>
      <protection locked="0"/>
    </xf>
    <xf numFmtId="175" fontId="39" fillId="90" borderId="0">
      <alignment horizontal="left" vertical="center"/>
      <protection locked="0"/>
    </xf>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175" fontId="149" fillId="55" borderId="55" applyNumberFormat="0" applyAlignment="0" applyProtection="0"/>
    <xf numFmtId="0" fontId="98" fillId="54" borderId="55" applyNumberFormat="0" applyAlignment="0" applyProtection="0"/>
    <xf numFmtId="179"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25" fillId="7" borderId="11"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25" fillId="7" borderId="11"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25" fillId="7" borderId="11"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25" fillId="7" borderId="11"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178"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25" fillId="7" borderId="11"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25" fillId="7" borderId="11"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25" fillId="7" borderId="11"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14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98" fillId="54" borderId="55" applyNumberFormat="0" applyAlignment="0" applyProtection="0"/>
    <xf numFmtId="0" fontId="150" fillId="57" borderId="0"/>
    <xf numFmtId="14" fontId="54" fillId="0" borderId="0">
      <alignment horizontal="center" wrapText="1"/>
      <protection locked="0"/>
    </xf>
    <xf numFmtId="193" fontId="67" fillId="0" borderId="0" applyFont="0" applyFill="0" applyBorder="0" applyAlignment="0" applyProtection="0"/>
    <xf numFmtId="17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180" fontId="54"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166" fontId="5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9" fontId="7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6" fillId="0" borderId="0" applyFont="0" applyFill="0" applyBorder="0" applyAlignment="0" applyProtection="0"/>
    <xf numFmtId="9" fontId="16" fillId="0" borderId="0" applyFont="0" applyFill="0" applyBorder="0" applyAlignment="0" applyProtection="0"/>
    <xf numFmtId="180" fontId="5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0" fontId="54"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9" fontId="15"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210" fontId="54" fillId="0" borderId="0" applyFill="0" applyBorder="0" applyAlignment="0" applyProtection="0"/>
    <xf numFmtId="172" fontId="54" fillId="0" borderId="0" applyFill="0" applyBorder="0" applyAlignment="0" applyProtection="0"/>
    <xf numFmtId="210" fontId="54" fillId="0" borderId="0" applyFill="0" applyBorder="0" applyAlignment="0" applyProtection="0"/>
    <xf numFmtId="210" fontId="54" fillId="0" borderId="0" applyFill="0" applyBorder="0" applyAlignment="0" applyProtection="0"/>
    <xf numFmtId="210"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2" fontId="54" fillId="0" borderId="0" applyFill="0" applyBorder="0" applyAlignment="0" applyProtection="0"/>
    <xf numFmtId="172"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2" fontId="54" fillId="0" borderId="0" applyFill="0" applyBorder="0" applyAlignment="0" applyProtection="0"/>
    <xf numFmtId="172" fontId="54" fillId="0" borderId="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210" fontId="54" fillId="0" borderId="0" applyFill="0" applyBorder="0" applyAlignment="0" applyProtection="0"/>
    <xf numFmtId="210" fontId="54" fillId="0" borderId="0" applyFill="0" applyBorder="0" applyAlignment="0" applyProtection="0"/>
    <xf numFmtId="210"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210" fontId="54" fillId="0" borderId="0" applyFill="0" applyBorder="0" applyAlignment="0" applyProtection="0"/>
    <xf numFmtId="9" fontId="9" fillId="0" borderId="0" applyFont="0" applyFill="0" applyBorder="0" applyAlignment="0" applyProtection="0"/>
    <xf numFmtId="210" fontId="54" fillId="0" borderId="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167" fontId="54" fillId="0" borderId="0" applyFill="0" applyBorder="0" applyAlignment="0" applyProtection="0"/>
    <xf numFmtId="167" fontId="54" fillId="0" borderId="0" applyFill="0" applyBorder="0" applyAlignment="0" applyProtection="0"/>
    <xf numFmtId="167" fontId="54" fillId="0" borderId="0" applyFill="0" applyBorder="0" applyAlignment="0" applyProtection="0"/>
    <xf numFmtId="167" fontId="54" fillId="0" borderId="0" applyFill="0" applyBorder="0" applyAlignment="0" applyProtection="0"/>
    <xf numFmtId="167" fontId="54" fillId="0" borderId="0" applyFill="0" applyBorder="0" applyAlignment="0" applyProtection="0"/>
    <xf numFmtId="172"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2"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2" fontId="54" fillId="0" borderId="0" applyFill="0" applyBorder="0" applyAlignment="0" applyProtection="0"/>
    <xf numFmtId="172" fontId="54" fillId="0" borderId="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219" fontId="54"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219" fontId="54"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205" fontId="54" fillId="0" borderId="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6" fillId="0" borderId="0" applyFont="0" applyFill="0" applyBorder="0" applyAlignment="0" applyProtection="0"/>
    <xf numFmtId="9" fontId="1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205" fontId="54" fillId="0" borderId="0" applyFill="0" applyBorder="0" applyAlignment="0" applyProtection="0"/>
    <xf numFmtId="9" fontId="9" fillId="0" borderId="0" applyFont="0" applyFill="0" applyBorder="0" applyAlignment="0" applyProtection="0"/>
    <xf numFmtId="203" fontId="54" fillId="0" borderId="0" applyFill="0" applyBorder="0" applyAlignment="0" applyProtection="0"/>
    <xf numFmtId="203"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203" fontId="54"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54" fillId="0" borderId="0" applyFont="0" applyFill="0" applyBorder="0" applyAlignment="0" applyProtection="0"/>
    <xf numFmtId="203" fontId="54"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151" fillId="0" borderId="0" applyFont="0"/>
    <xf numFmtId="194" fontId="9" fillId="0" borderId="0" applyFill="0" applyBorder="0" applyAlignment="0"/>
    <xf numFmtId="191" fontId="66" fillId="0" borderId="0" applyFill="0" applyBorder="0" applyAlignment="0"/>
    <xf numFmtId="194" fontId="9" fillId="0" borderId="0" applyFill="0" applyBorder="0" applyAlignment="0"/>
    <xf numFmtId="195" fontId="9" fillId="0" borderId="0" applyFill="0" applyBorder="0" applyAlignment="0"/>
    <xf numFmtId="191" fontId="66" fillId="0" borderId="0" applyFill="0" applyBorder="0" applyAlignment="0"/>
    <xf numFmtId="220" fontId="152" fillId="0" borderId="0"/>
    <xf numFmtId="10" fontId="82" fillId="0" borderId="0" applyFont="0" applyFill="0" applyBorder="0" applyAlignment="0" applyProtection="0"/>
    <xf numFmtId="0" fontId="63" fillId="0" borderId="0" applyNumberFormat="0" applyFont="0" applyFill="0" applyBorder="0" applyAlignment="0" applyProtection="0">
      <alignment horizontal="left"/>
    </xf>
    <xf numFmtId="4" fontId="63" fillId="0" borderId="0" applyFont="0" applyFill="0" applyBorder="0" applyAlignment="0" applyProtection="0"/>
    <xf numFmtId="4" fontId="63" fillId="0" borderId="0" applyFont="0" applyFill="0" applyBorder="0" applyAlignment="0" applyProtection="0"/>
    <xf numFmtId="4" fontId="63" fillId="0" borderId="0" applyFont="0" applyFill="0" applyBorder="0" applyAlignment="0" applyProtection="0"/>
    <xf numFmtId="4" fontId="63" fillId="0" borderId="0" applyFont="0" applyFill="0" applyBorder="0" applyAlignment="0" applyProtection="0"/>
    <xf numFmtId="0" fontId="61" fillId="0" borderId="66">
      <alignment horizontal="center"/>
    </xf>
    <xf numFmtId="0" fontId="61" fillId="0" borderId="66">
      <alignment horizontal="center"/>
    </xf>
    <xf numFmtId="0" fontId="61" fillId="0" borderId="66">
      <alignment horizontal="center"/>
    </xf>
    <xf numFmtId="0" fontId="61" fillId="0" borderId="66">
      <alignment horizontal="center"/>
    </xf>
    <xf numFmtId="0" fontId="61" fillId="0" borderId="66">
      <alignment horizontal="center"/>
    </xf>
    <xf numFmtId="0" fontId="61" fillId="0" borderId="66">
      <alignment horizontal="center"/>
    </xf>
    <xf numFmtId="3" fontId="63" fillId="0" borderId="0" applyFont="0" applyFill="0" applyBorder="0" applyAlignment="0" applyProtection="0"/>
    <xf numFmtId="3" fontId="63" fillId="0" borderId="0" applyFont="0" applyFill="0" applyBorder="0" applyAlignment="0" applyProtection="0"/>
    <xf numFmtId="3" fontId="63" fillId="0" borderId="0" applyFont="0" applyFill="0" applyBorder="0" applyAlignment="0" applyProtection="0"/>
    <xf numFmtId="3" fontId="63" fillId="0" borderId="0" applyFont="0" applyFill="0" applyBorder="0" applyAlignment="0" applyProtection="0"/>
    <xf numFmtId="0" fontId="63" fillId="96" borderId="0" applyNumberFormat="0" applyFont="0" applyBorder="0" applyAlignment="0" applyProtection="0"/>
    <xf numFmtId="0" fontId="63" fillId="96" borderId="0" applyNumberFormat="0" applyFont="0" applyBorder="0" applyAlignment="0" applyProtection="0"/>
    <xf numFmtId="0" fontId="63" fillId="96" borderId="0" applyNumberFormat="0" applyFont="0" applyBorder="0" applyAlignment="0" applyProtection="0"/>
    <xf numFmtId="0" fontId="63" fillId="96" borderId="0" applyNumberFormat="0" applyFont="0" applyBorder="0" applyAlignment="0" applyProtection="0"/>
    <xf numFmtId="40" fontId="83" fillId="0" borderId="0" applyFont="0">
      <protection locked="0"/>
    </xf>
    <xf numFmtId="40" fontId="153" fillId="0" borderId="0" applyFont="0">
      <protection locked="0"/>
    </xf>
    <xf numFmtId="3" fontId="154" fillId="0" borderId="0"/>
    <xf numFmtId="0" fontId="80" fillId="0" borderId="0"/>
    <xf numFmtId="221" fontId="155" fillId="0" borderId="0" applyNumberFormat="0" applyFill="0" applyBorder="0" applyAlignment="0" applyProtection="0">
      <alignment horizontal="left"/>
    </xf>
    <xf numFmtId="0" fontId="62" fillId="0" borderId="0">
      <alignment horizontal="justify" vertical="top" wrapText="1"/>
    </xf>
    <xf numFmtId="175" fontId="62" fillId="0" borderId="0">
      <alignment horizontal="justify" vertical="top" wrapText="1"/>
    </xf>
    <xf numFmtId="207" fontId="156" fillId="0" borderId="0" applyFont="0">
      <alignment horizontal="left"/>
    </xf>
    <xf numFmtId="0" fontId="157" fillId="53" borderId="0" applyNumberFormat="0" applyFont="0" applyBorder="0" applyAlignment="0" applyProtection="0"/>
    <xf numFmtId="0" fontId="158" fillId="0" borderId="0" applyNumberFormat="0" applyFill="0" applyBorder="0" applyAlignment="0" applyProtection="0">
      <alignment vertical="top"/>
      <protection locked="0"/>
    </xf>
    <xf numFmtId="0" fontId="159" fillId="0" borderId="0"/>
    <xf numFmtId="0" fontId="160" fillId="0" borderId="0"/>
    <xf numFmtId="0" fontId="9" fillId="0" borderId="0"/>
    <xf numFmtId="0" fontId="40" fillId="0" borderId="0"/>
    <xf numFmtId="0" fontId="40" fillId="0" borderId="0"/>
    <xf numFmtId="0" fontId="15" fillId="0" borderId="0"/>
    <xf numFmtId="0" fontId="9" fillId="0" borderId="0"/>
    <xf numFmtId="0" fontId="9" fillId="0" borderId="0"/>
    <xf numFmtId="207" fontId="39" fillId="0" borderId="0">
      <alignment horizontal="right" vertical="top"/>
      <protection locked="0"/>
    </xf>
    <xf numFmtId="0" fontId="133" fillId="0" borderId="0"/>
    <xf numFmtId="198" fontId="161" fillId="0" borderId="0" applyNumberFormat="0" applyProtection="0">
      <alignment wrapText="1"/>
      <protection locked="0"/>
    </xf>
    <xf numFmtId="40" fontId="162" fillId="0" borderId="0" applyBorder="0">
      <alignment horizontal="right"/>
    </xf>
    <xf numFmtId="207" fontId="83" fillId="0" borderId="0" applyFont="0">
      <protection locked="0"/>
    </xf>
    <xf numFmtId="207" fontId="83" fillId="0" borderId="0" applyFill="0" applyProtection="0">
      <protection locked="0"/>
    </xf>
    <xf numFmtId="202" fontId="39" fillId="97" borderId="0" applyNumberFormat="0" applyAlignment="0">
      <alignment horizontal="left" vertical="top"/>
    </xf>
    <xf numFmtId="40" fontId="163" fillId="0" borderId="1" applyFont="0" applyFill="0" applyBorder="0" applyAlignment="0" applyProtection="0">
      <alignment vertical="top" wrapText="1"/>
      <protection locked="0"/>
    </xf>
    <xf numFmtId="0" fontId="164" fillId="0" borderId="1" applyNumberFormat="0" applyFill="0" applyBorder="0" applyAlignment="0" applyProtection="0">
      <alignment vertical="top" wrapText="1"/>
    </xf>
    <xf numFmtId="0" fontId="163" fillId="0" borderId="0" applyNumberFormat="0" applyFill="0" applyBorder="0" applyAlignment="0">
      <protection locked="0"/>
    </xf>
    <xf numFmtId="0" fontId="80" fillId="0" borderId="48"/>
    <xf numFmtId="0" fontId="80" fillId="0" borderId="48"/>
    <xf numFmtId="0" fontId="80" fillId="0" borderId="48"/>
    <xf numFmtId="0" fontId="80" fillId="0" borderId="48"/>
    <xf numFmtId="0" fontId="80" fillId="0" borderId="48"/>
    <xf numFmtId="49" fontId="10" fillId="0" borderId="0" applyFill="0" applyBorder="0" applyAlignment="0"/>
    <xf numFmtId="222" fontId="9" fillId="0" borderId="0" applyFill="0" applyBorder="0" applyAlignment="0"/>
    <xf numFmtId="223" fontId="9" fillId="0" borderId="0" applyFill="0" applyBorder="0" applyAlignment="0"/>
    <xf numFmtId="40" fontId="165" fillId="0" borderId="0"/>
    <xf numFmtId="0" fontId="166" fillId="94" borderId="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7" fillId="0" borderId="0" applyNumberFormat="0" applyFill="0" applyBorder="0" applyAlignment="0" applyProtection="0"/>
    <xf numFmtId="0" fontId="99" fillId="0" borderId="0" applyNumberFormat="0" applyFill="0" applyBorder="0" applyAlignment="0" applyProtection="0"/>
    <xf numFmtId="179"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179"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7"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178"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202" fontId="167" fillId="0" borderId="69" applyNumberFormat="0" applyFill="0" applyProtection="0">
      <alignment horizontal="center"/>
    </xf>
    <xf numFmtId="202" fontId="167" fillId="0" borderId="69" applyNumberFormat="0" applyFill="0" applyProtection="0">
      <alignment horizontal="center"/>
    </xf>
    <xf numFmtId="202" fontId="167" fillId="0" borderId="69" applyNumberFormat="0" applyFill="0" applyProtection="0">
      <alignment horizontal="center"/>
    </xf>
    <xf numFmtId="202" fontId="167" fillId="0" borderId="69" applyNumberFormat="0" applyFill="0" applyProtection="0">
      <alignment horizontal="center"/>
    </xf>
    <xf numFmtId="37" fontId="168" fillId="2" borderId="70" applyNumberFormat="0" applyFont="0" applyFill="0" applyAlignment="0" applyProtection="0">
      <protection locked="0"/>
    </xf>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9"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31" fillId="0" borderId="15"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31" fillId="0" borderId="15"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5" fontId="79" fillId="0" borderId="72">
      <protection locked="0"/>
    </xf>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31" fillId="0" borderId="15"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178"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199" fontId="9" fillId="0" borderId="73">
      <protection locked="0"/>
    </xf>
    <xf numFmtId="0" fontId="169" fillId="0" borderId="71" applyNumberFormat="0" applyFill="0" applyAlignment="0" applyProtection="0"/>
    <xf numFmtId="0" fontId="100" fillId="0" borderId="71" applyNumberFormat="0" applyFill="0" applyAlignment="0" applyProtection="0"/>
    <xf numFmtId="0" fontId="31" fillId="0" borderId="15"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31" fillId="0" borderId="15"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31" fillId="0" borderId="15"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69"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0" fontId="100" fillId="0" borderId="71" applyNumberFormat="0" applyFill="0" applyAlignment="0" applyProtection="0"/>
    <xf numFmtId="207" fontId="153" fillId="0" borderId="0"/>
    <xf numFmtId="0" fontId="128" fillId="0" borderId="74"/>
    <xf numFmtId="0" fontId="128" fillId="0" borderId="48"/>
    <xf numFmtId="0" fontId="128" fillId="0" borderId="48"/>
    <xf numFmtId="0" fontId="128" fillId="0" borderId="48"/>
    <xf numFmtId="0" fontId="128" fillId="0" borderId="48"/>
    <xf numFmtId="0" fontId="128" fillId="0" borderId="48"/>
    <xf numFmtId="165" fontId="9" fillId="0" borderId="0" applyFont="0" applyFill="0" applyBorder="0" applyAlignment="0" applyProtection="0"/>
    <xf numFmtId="166" fontId="9" fillId="0" borderId="0" applyFont="0" applyFill="0" applyBorder="0" applyAlignment="0" applyProtection="0"/>
    <xf numFmtId="0" fontId="67" fillId="0" borderId="0"/>
    <xf numFmtId="175" fontId="67" fillId="0" borderId="0"/>
    <xf numFmtId="224" fontId="83" fillId="0" borderId="0" applyFill="0">
      <alignment horizontal="center"/>
    </xf>
    <xf numFmtId="207" fontId="83" fillId="0" borderId="0" applyFont="0">
      <alignment horizontal="center"/>
      <protection locked="0"/>
    </xf>
    <xf numFmtId="37" fontId="42" fillId="98" borderId="0" applyNumberFormat="0" applyBorder="0" applyAlignment="0" applyProtection="0"/>
    <xf numFmtId="37" fontId="42" fillId="98" borderId="0" applyNumberFormat="0" applyBorder="0" applyAlignment="0" applyProtection="0"/>
    <xf numFmtId="37" fontId="42" fillId="98" borderId="0" applyNumberFormat="0" applyBorder="0" applyAlignment="0" applyProtection="0"/>
    <xf numFmtId="37" fontId="42" fillId="98" borderId="0" applyNumberFormat="0" applyBorder="0" applyAlignment="0" applyProtection="0"/>
    <xf numFmtId="37" fontId="42" fillId="0" borderId="0"/>
    <xf numFmtId="37" fontId="42" fillId="0" borderId="0"/>
    <xf numFmtId="37" fontId="42" fillId="0" borderId="0"/>
    <xf numFmtId="37" fontId="42" fillId="0" borderId="0"/>
    <xf numFmtId="37" fontId="42" fillId="0" borderId="0"/>
    <xf numFmtId="37" fontId="42" fillId="0" borderId="0"/>
    <xf numFmtId="37" fontId="42" fillId="98" borderId="0" applyNumberFormat="0" applyBorder="0" applyAlignment="0" applyProtection="0"/>
    <xf numFmtId="3" fontId="170" fillId="0" borderId="65" applyProtection="0"/>
    <xf numFmtId="3" fontId="170" fillId="0" borderId="65" applyProtection="0"/>
    <xf numFmtId="3" fontId="170" fillId="0" borderId="65" applyProtection="0"/>
    <xf numFmtId="0" fontId="157" fillId="0" borderId="0" applyNumberFormat="0" applyFont="0" applyBorder="0" applyAlignment="0" applyProtection="0"/>
    <xf numFmtId="0" fontId="9" fillId="99" borderId="0" applyNumberFormat="0" applyBorder="0" applyAlignment="0" applyProtection="0"/>
    <xf numFmtId="0" fontId="9" fillId="100" borderId="0" applyNumberFormat="0" applyBorder="0" applyAlignment="0" applyProtection="0"/>
    <xf numFmtId="0" fontId="9" fillId="101" borderId="0" applyNumberFormat="0" applyBorder="0" applyAlignment="0" applyProtection="0"/>
    <xf numFmtId="0" fontId="9" fillId="102" borderId="0" applyNumberFormat="0" applyBorder="0" applyAlignment="0" applyProtection="0"/>
    <xf numFmtId="0" fontId="9" fillId="101" borderId="0" applyNumberFormat="0" applyBorder="0" applyAlignment="0" applyProtection="0"/>
    <xf numFmtId="0" fontId="9" fillId="99" borderId="0" applyNumberFormat="0" applyBorder="0" applyAlignment="0" applyProtection="0"/>
    <xf numFmtId="0" fontId="9" fillId="103" borderId="0" applyNumberFormat="0" applyBorder="0" applyAlignment="0" applyProtection="0"/>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03" fontId="132" fillId="0" borderId="3">
      <alignment horizontal="center" vertical="center"/>
    </xf>
    <xf numFmtId="225" fontId="9" fillId="0" borderId="0" applyFont="0" applyFill="0" applyBorder="0" applyAlignment="0" applyProtection="0"/>
    <xf numFmtId="226" fontId="9" fillId="0" borderId="0" applyFont="0" applyFill="0" applyBorder="0" applyAlignment="0" applyProtection="0"/>
    <xf numFmtId="2" fontId="104" fillId="0" borderId="0" applyFont="0" applyFill="0" applyBorder="0" applyAlignment="0" applyProtection="0"/>
    <xf numFmtId="8" fontId="171" fillId="0" borderId="0" applyFont="0" applyFill="0" applyBorder="0" applyAlignment="0" applyProtection="0"/>
    <xf numFmtId="41" fontId="171" fillId="0" borderId="0" applyFont="0" applyFill="0" applyBorder="0" applyAlignment="0" applyProtection="0"/>
    <xf numFmtId="0" fontId="9" fillId="0" borderId="0"/>
    <xf numFmtId="214" fontId="67" fillId="0" borderId="0"/>
    <xf numFmtId="227" fontId="9" fillId="0" borderId="0" applyFont="0" applyFill="0" applyBorder="0" applyAlignment="0" applyProtection="0"/>
    <xf numFmtId="228" fontId="63" fillId="0" borderId="0" applyFont="0" applyFill="0" applyBorder="0" applyAlignment="0" applyProtection="0"/>
    <xf numFmtId="229" fontId="63" fillId="0" borderId="0" applyFont="0" applyFill="0" applyBorder="0" applyAlignment="0" applyProtection="0"/>
    <xf numFmtId="230" fontId="63" fillId="0" borderId="0" applyFont="0" applyFill="0" applyBorder="0" applyAlignment="0" applyProtection="0"/>
    <xf numFmtId="231" fontId="63" fillId="0" borderId="0" applyFon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29" fillId="0" borderId="0" applyNumberFormat="0" applyFill="0" applyBorder="0" applyAlignment="0" applyProtection="0"/>
    <xf numFmtId="0" fontId="172" fillId="0" borderId="0" applyNumberFormat="0" applyFill="0" applyBorder="0" applyAlignment="0" applyProtection="0"/>
    <xf numFmtId="0" fontId="29" fillId="0" borderId="0" applyNumberFormat="0" applyFill="0" applyBorder="0" applyAlignment="0" applyProtection="0"/>
    <xf numFmtId="0" fontId="172" fillId="0" borderId="0" applyNumberFormat="0" applyFill="0" applyBorder="0" applyAlignment="0" applyProtection="0"/>
    <xf numFmtId="0" fontId="29" fillId="0" borderId="0" applyNumberFormat="0" applyFill="0" applyBorder="0" applyAlignment="0" applyProtection="0"/>
    <xf numFmtId="0" fontId="172"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29"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0" fontId="172" fillId="0" borderId="0" applyNumberFormat="0" applyFill="0" applyBorder="0" applyAlignment="0" applyProtection="0"/>
    <xf numFmtId="0" fontId="101" fillId="0" borderId="0" applyNumberFormat="0" applyFill="0" applyBorder="0" applyAlignment="0" applyProtection="0"/>
    <xf numFmtId="179" fontId="101"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178" fontId="101"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01" fillId="0" borderId="0" applyNumberFormat="0" applyFill="0" applyBorder="0" applyAlignment="0" applyProtection="0"/>
    <xf numFmtId="0" fontId="172" fillId="0" borderId="0" applyNumberFormat="0" applyFill="0" applyBorder="0" applyAlignment="0" applyProtection="0"/>
    <xf numFmtId="0" fontId="29"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232" fontId="9" fillId="0" borderId="0" applyFont="0" applyFill="0" applyBorder="0" applyAlignment="0" applyProtection="0">
      <alignment vertical="top"/>
    </xf>
    <xf numFmtId="232" fontId="9" fillId="0" borderId="0" applyFont="0" applyFill="0" applyBorder="0" applyAlignment="0" applyProtection="0">
      <alignment vertical="top"/>
    </xf>
    <xf numFmtId="232" fontId="9" fillId="0" borderId="0" applyFont="0" applyFill="0" applyBorder="0" applyAlignment="0" applyProtection="0">
      <alignment vertical="top"/>
    </xf>
    <xf numFmtId="232" fontId="9" fillId="0" borderId="0" applyFont="0" applyFill="0" applyBorder="0" applyAlignment="0" applyProtection="0">
      <alignment vertical="top"/>
    </xf>
    <xf numFmtId="178" fontId="9" fillId="0" borderId="0" applyNumberFormat="0" applyFont="0" applyBorder="0" applyAlignment="0" applyProtection="0"/>
    <xf numFmtId="0" fontId="9" fillId="95" borderId="0" applyNumberFormat="0" applyFont="0" applyBorder="0" applyAlignment="0" applyProtection="0"/>
    <xf numFmtId="209" fontId="9" fillId="95" borderId="0" applyNumberFormat="0" applyFont="0" applyBorder="0" applyAlignment="0" applyProtection="0"/>
    <xf numFmtId="39" fontId="9" fillId="0" borderId="0" applyNumberFormat="0" applyFont="0" applyFill="0" applyBorder="0" applyProtection="0">
      <alignment vertical="top" wrapText="1"/>
    </xf>
    <xf numFmtId="39" fontId="9" fillId="0" borderId="0" applyNumberFormat="0" applyFont="0" applyFill="0" applyBorder="0" applyProtection="0">
      <alignment vertical="top" wrapText="1"/>
    </xf>
    <xf numFmtId="39" fontId="9" fillId="0" borderId="0" applyNumberFormat="0" applyFont="0" applyFill="0" applyBorder="0" applyProtection="0">
      <alignment vertical="top" wrapText="1"/>
    </xf>
    <xf numFmtId="39" fontId="9" fillId="0" borderId="0" applyNumberFormat="0" applyFont="0" applyFill="0" applyBorder="0" applyProtection="0">
      <alignment vertical="top" wrapText="1"/>
    </xf>
    <xf numFmtId="0" fontId="36" fillId="0" borderId="0">
      <protection locked="0"/>
    </xf>
    <xf numFmtId="0" fontId="173" fillId="0" borderId="0">
      <protection locked="0"/>
    </xf>
    <xf numFmtId="0" fontId="173" fillId="0" borderId="0">
      <protection locked="0"/>
    </xf>
    <xf numFmtId="0" fontId="79" fillId="0" borderId="0">
      <protection locked="0"/>
    </xf>
    <xf numFmtId="0" fontId="79" fillId="0" borderId="0">
      <protection locked="0"/>
    </xf>
    <xf numFmtId="0" fontId="174" fillId="0" borderId="0" applyNumberFormat="0" applyFill="0" applyBorder="0" applyAlignment="0" applyProtection="0">
      <alignment vertical="top"/>
      <protection locked="0"/>
    </xf>
    <xf numFmtId="40" fontId="175" fillId="0" borderId="0" applyFont="0" applyFill="0" applyBorder="0" applyAlignment="0" applyProtection="0"/>
    <xf numFmtId="38" fontId="175" fillId="0" borderId="0" applyFont="0" applyFill="0" applyBorder="0" applyAlignment="0" applyProtection="0"/>
    <xf numFmtId="0" fontId="175" fillId="0" borderId="0" applyFont="0" applyFill="0" applyBorder="0" applyAlignment="0" applyProtection="0"/>
    <xf numFmtId="0" fontId="175" fillId="0" borderId="0" applyFont="0" applyFill="0" applyBorder="0" applyAlignment="0" applyProtection="0"/>
    <xf numFmtId="0" fontId="176" fillId="0" borderId="0"/>
    <xf numFmtId="0" fontId="177" fillId="0" borderId="0">
      <alignment vertical="center"/>
    </xf>
    <xf numFmtId="41" fontId="9" fillId="0" borderId="0" applyFont="0" applyFill="0" applyBorder="0" applyAlignment="0" applyProtection="0"/>
    <xf numFmtId="43" fontId="9" fillId="0" borderId="0" applyFont="0" applyFill="0" applyBorder="0" applyAlignment="0" applyProtection="0"/>
    <xf numFmtId="43" fontId="171" fillId="0" borderId="0" applyFont="0" applyFill="0" applyBorder="0" applyAlignment="0" applyProtection="0"/>
    <xf numFmtId="4" fontId="79" fillId="0" borderId="0">
      <protection locked="0"/>
    </xf>
    <xf numFmtId="0" fontId="36" fillId="0" borderId="0">
      <protection locked="0"/>
    </xf>
    <xf numFmtId="0" fontId="36" fillId="0" borderId="0"/>
    <xf numFmtId="185" fontId="178" fillId="0" borderId="0" applyFont="0" applyFill="0" applyBorder="0" applyAlignment="0" applyProtection="0"/>
    <xf numFmtId="187" fontId="178"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179" fillId="0" borderId="0" applyFont="0" applyFill="0" applyBorder="0" applyAlignment="0" applyProtection="0"/>
    <xf numFmtId="0" fontId="179" fillId="0" borderId="0" applyFont="0" applyFill="0" applyBorder="0" applyAlignment="0" applyProtection="0"/>
    <xf numFmtId="0" fontId="36" fillId="0" borderId="0">
      <protection locked="0"/>
    </xf>
    <xf numFmtId="0" fontId="180" fillId="0" borderId="0"/>
    <xf numFmtId="0" fontId="79" fillId="0" borderId="72">
      <protection locked="0"/>
    </xf>
    <xf numFmtId="0" fontId="79" fillId="0" borderId="72">
      <protection locked="0"/>
    </xf>
    <xf numFmtId="0" fontId="79" fillId="0" borderId="72">
      <protection locked="0"/>
    </xf>
    <xf numFmtId="0" fontId="79" fillId="0" borderId="72">
      <protection locked="0"/>
    </xf>
    <xf numFmtId="0" fontId="36" fillId="0" borderId="0">
      <protection locked="0"/>
    </xf>
    <xf numFmtId="0" fontId="36" fillId="0" borderId="0">
      <protection locked="0"/>
    </xf>
    <xf numFmtId="0" fontId="178" fillId="0" borderId="0"/>
    <xf numFmtId="40" fontId="181" fillId="0" borderId="0" applyFont="0" applyFill="0" applyBorder="0" applyAlignment="0" applyProtection="0"/>
    <xf numFmtId="38" fontId="181" fillId="0" borderId="0" applyFont="0" applyFill="0" applyBorder="0" applyAlignment="0" applyProtection="0"/>
    <xf numFmtId="0" fontId="15" fillId="0" borderId="0">
      <alignment vertical="center"/>
    </xf>
    <xf numFmtId="233" fontId="178" fillId="0" borderId="0" applyFont="0" applyFill="0" applyBorder="0" applyAlignment="0" applyProtection="0"/>
    <xf numFmtId="234" fontId="178" fillId="0" borderId="0" applyFont="0" applyFill="0" applyBorder="0" applyAlignment="0" applyProtection="0"/>
    <xf numFmtId="0" fontId="182" fillId="0" borderId="0" applyFont="0" applyFill="0" applyBorder="0" applyAlignment="0" applyProtection="0"/>
    <xf numFmtId="0" fontId="182"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0" fontId="16" fillId="0" borderId="0"/>
    <xf numFmtId="43" fontId="9" fillId="0" borderId="0" applyFont="0" applyFill="0" applyBorder="0" applyAlignment="0" applyProtection="0"/>
    <xf numFmtId="43" fontId="1" fillId="0" borderId="0" applyFont="0" applyFill="0" applyBorder="0" applyAlignment="0" applyProtection="0"/>
    <xf numFmtId="0" fontId="9" fillId="0" borderId="0"/>
    <xf numFmtId="0" fontId="16" fillId="0" borderId="0"/>
    <xf numFmtId="0" fontId="184" fillId="0" borderId="0"/>
    <xf numFmtId="43" fontId="9" fillId="0" borderId="0" applyFont="0" applyFill="0" applyBorder="0" applyAlignment="0" applyProtection="0"/>
    <xf numFmtId="43" fontId="1" fillId="0" borderId="0" applyFont="0" applyFill="0" applyBorder="0" applyAlignment="0" applyProtection="0"/>
    <xf numFmtId="0" fontId="9" fillId="0" borderId="0"/>
    <xf numFmtId="0" fontId="16" fillId="0" borderId="0"/>
    <xf numFmtId="43" fontId="9" fillId="0" borderId="0" applyFont="0" applyFill="0" applyBorder="0" applyAlignment="0" applyProtection="0"/>
    <xf numFmtId="43" fontId="1" fillId="0" borderId="0" applyFont="0" applyFill="0" applyBorder="0" applyAlignment="0" applyProtection="0"/>
    <xf numFmtId="0" fontId="9" fillId="0" borderId="0"/>
    <xf numFmtId="0" fontId="16" fillId="0" borderId="0"/>
    <xf numFmtId="9" fontId="16"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520">
    <xf numFmtId="0" fontId="0" fillId="0" borderId="0" xfId="0"/>
    <xf numFmtId="169" fontId="3" fillId="0" borderId="0" xfId="2" applyNumberFormat="1" applyFont="1" applyAlignment="1">
      <alignment horizontal="left" vertical="center"/>
    </xf>
    <xf numFmtId="0" fontId="16" fillId="0" borderId="0" xfId="11" applyAlignment="1">
      <alignment horizontal="center" vertical="center"/>
    </xf>
    <xf numFmtId="0" fontId="0" fillId="0" borderId="0" xfId="11" applyFont="1" applyAlignment="1">
      <alignment horizontal="center" vertical="center"/>
    </xf>
    <xf numFmtId="0" fontId="31" fillId="104" borderId="0" xfId="11" applyFont="1" applyFill="1" applyAlignment="1">
      <alignment horizontal="center" vertical="center"/>
    </xf>
    <xf numFmtId="43" fontId="11" fillId="0" borderId="5" xfId="3" applyFont="1" applyFill="1" applyBorder="1" applyAlignment="1">
      <alignment wrapText="1" readingOrder="1"/>
    </xf>
    <xf numFmtId="43" fontId="11" fillId="0" borderId="89" xfId="3" applyFont="1" applyFill="1" applyBorder="1" applyAlignment="1">
      <alignment horizontal="left" wrapText="1" readingOrder="1"/>
    </xf>
    <xf numFmtId="170" fontId="10" fillId="0" borderId="89" xfId="3" applyNumberFormat="1" applyFont="1" applyFill="1" applyBorder="1" applyAlignment="1" applyProtection="1">
      <alignment horizontal="right" readingOrder="1"/>
    </xf>
    <xf numFmtId="43" fontId="11" fillId="0" borderId="5" xfId="3" applyFont="1" applyFill="1" applyBorder="1" applyAlignment="1">
      <alignment wrapText="1"/>
    </xf>
    <xf numFmtId="0" fontId="31" fillId="0" borderId="0" xfId="0" applyFont="1"/>
    <xf numFmtId="9" fontId="0" fillId="0" borderId="90" xfId="0" applyNumberFormat="1" applyBorder="1"/>
    <xf numFmtId="0" fontId="0" fillId="0" borderId="80" xfId="0" applyBorder="1"/>
    <xf numFmtId="9" fontId="0" fillId="0" borderId="80" xfId="0" applyNumberFormat="1" applyBorder="1"/>
    <xf numFmtId="0" fontId="0" fillId="0" borderId="86" xfId="0" applyBorder="1"/>
    <xf numFmtId="9" fontId="0" fillId="0" borderId="86" xfId="0" applyNumberFormat="1" applyBorder="1"/>
    <xf numFmtId="49" fontId="183" fillId="0" borderId="0" xfId="0" applyNumberFormat="1" applyFont="1"/>
    <xf numFmtId="9" fontId="185" fillId="0" borderId="0" xfId="0" applyNumberFormat="1" applyFont="1"/>
    <xf numFmtId="0" fontId="0" fillId="0" borderId="0" xfId="0" applyAlignment="1">
      <alignment horizontal="right"/>
    </xf>
    <xf numFmtId="0" fontId="31" fillId="0" borderId="0" xfId="0" applyFont="1" applyAlignment="1">
      <alignment horizontal="right"/>
    </xf>
    <xf numFmtId="43" fontId="11" fillId="0" borderId="89" xfId="35977" applyFont="1" applyFill="1" applyBorder="1" applyAlignment="1" applyProtection="1">
      <alignment horizontal="left" vertical="top" wrapText="1"/>
    </xf>
    <xf numFmtId="170" fontId="10" fillId="0" borderId="89" xfId="35977" applyNumberFormat="1" applyFont="1" applyFill="1" applyBorder="1" applyAlignment="1" applyProtection="1">
      <alignment horizontal="right" vertical="center" readingOrder="1"/>
    </xf>
    <xf numFmtId="43" fontId="11" fillId="0" borderId="89" xfId="35977" applyFont="1" applyFill="1" applyBorder="1" applyAlignment="1" applyProtection="1">
      <alignment vertical="top" wrapText="1"/>
    </xf>
    <xf numFmtId="168" fontId="8" fillId="0" borderId="6" xfId="1" applyNumberFormat="1" applyFont="1" applyFill="1" applyBorder="1" applyAlignment="1">
      <alignment horizontal="right"/>
    </xf>
    <xf numFmtId="43" fontId="11" fillId="0" borderId="89" xfId="3" applyFont="1" applyFill="1" applyBorder="1" applyAlignment="1">
      <alignment wrapText="1" readingOrder="1"/>
    </xf>
    <xf numFmtId="43" fontId="11" fillId="0" borderId="97" xfId="35977" applyFont="1" applyFill="1" applyBorder="1" applyAlignment="1" applyProtection="1">
      <alignment vertical="center" wrapText="1"/>
    </xf>
    <xf numFmtId="0" fontId="186" fillId="0" borderId="0" xfId="11" applyFont="1" applyAlignment="1">
      <alignment horizontal="center" vertical="center"/>
    </xf>
    <xf numFmtId="0" fontId="187" fillId="104" borderId="0" xfId="11" applyFont="1" applyFill="1" applyAlignment="1">
      <alignment horizontal="center" vertical="center"/>
    </xf>
    <xf numFmtId="169" fontId="187" fillId="0" borderId="0" xfId="11" applyNumberFormat="1" applyFont="1" applyAlignment="1">
      <alignment vertical="center"/>
    </xf>
    <xf numFmtId="0" fontId="188" fillId="0" borderId="0" xfId="11" applyFont="1" applyAlignment="1">
      <alignment horizontal="left" vertical="center"/>
    </xf>
    <xf numFmtId="0" fontId="189" fillId="0" borderId="0" xfId="11" applyFont="1" applyAlignment="1">
      <alignment horizontal="center" vertical="center"/>
    </xf>
    <xf numFmtId="43" fontId="187" fillId="0" borderId="0" xfId="10" applyFont="1" applyFill="1" applyAlignment="1">
      <alignment horizontal="center" vertical="center"/>
    </xf>
    <xf numFmtId="0" fontId="187" fillId="0" borderId="0" xfId="11" applyFont="1" applyAlignment="1">
      <alignment horizontal="center" vertical="center"/>
    </xf>
    <xf numFmtId="43" fontId="187" fillId="0" borderId="0" xfId="11" applyNumberFormat="1" applyFont="1" applyAlignment="1">
      <alignment horizontal="center" vertical="center"/>
    </xf>
    <xf numFmtId="0" fontId="187" fillId="0" borderId="0" xfId="11" applyFont="1" applyAlignment="1">
      <alignment horizontal="center" vertical="center" wrapText="1"/>
    </xf>
    <xf numFmtId="0" fontId="187" fillId="0" borderId="85" xfId="11" applyFont="1" applyBorder="1" applyAlignment="1">
      <alignment horizontal="center" vertical="center"/>
    </xf>
    <xf numFmtId="168" fontId="187" fillId="0" borderId="89" xfId="12" applyNumberFormat="1" applyFont="1" applyFill="1" applyBorder="1" applyAlignment="1">
      <alignment horizontal="center" vertical="center"/>
    </xf>
    <xf numFmtId="9" fontId="187" fillId="0" borderId="89" xfId="13" applyFont="1" applyFill="1" applyBorder="1" applyAlignment="1">
      <alignment horizontal="center" vertical="center"/>
    </xf>
    <xf numFmtId="9" fontId="187" fillId="0" borderId="94" xfId="13" applyFont="1" applyFill="1" applyBorder="1" applyAlignment="1">
      <alignment horizontal="center" vertical="center"/>
    </xf>
    <xf numFmtId="9" fontId="187" fillId="0" borderId="0" xfId="54009" applyFont="1" applyFill="1" applyAlignment="1">
      <alignment horizontal="center" vertical="center"/>
    </xf>
    <xf numFmtId="168" fontId="186" fillId="0" borderId="38" xfId="12" applyNumberFormat="1" applyFont="1" applyFill="1" applyBorder="1" applyAlignment="1">
      <alignment horizontal="center" vertical="center"/>
    </xf>
    <xf numFmtId="168" fontId="186" fillId="0" borderId="80" xfId="12" applyNumberFormat="1" applyFont="1" applyFill="1" applyBorder="1" applyAlignment="1">
      <alignment horizontal="center" vertical="center"/>
    </xf>
    <xf numFmtId="9" fontId="186" fillId="0" borderId="38" xfId="13" applyFont="1" applyFill="1" applyBorder="1" applyAlignment="1">
      <alignment horizontal="center" vertical="center"/>
    </xf>
    <xf numFmtId="9" fontId="186" fillId="0" borderId="78" xfId="13" applyFont="1" applyFill="1" applyBorder="1" applyAlignment="1">
      <alignment horizontal="center" vertical="center"/>
    </xf>
    <xf numFmtId="168" fontId="186" fillId="0" borderId="0" xfId="10" applyNumberFormat="1" applyFont="1" applyFill="1" applyAlignment="1">
      <alignment horizontal="center" vertical="center"/>
    </xf>
    <xf numFmtId="168" fontId="186" fillId="0" borderId="0" xfId="10" applyNumberFormat="1" applyFont="1" applyFill="1" applyAlignment="1">
      <alignment horizontal="right" vertical="center"/>
    </xf>
    <xf numFmtId="168" fontId="187" fillId="0" borderId="0" xfId="10" applyNumberFormat="1" applyFont="1" applyFill="1" applyAlignment="1">
      <alignment horizontal="center" vertical="center"/>
    </xf>
    <xf numFmtId="9" fontId="186" fillId="0" borderId="80" xfId="13" applyFont="1" applyFill="1" applyBorder="1" applyAlignment="1">
      <alignment horizontal="center" vertical="center"/>
    </xf>
    <xf numFmtId="9" fontId="186" fillId="0" borderId="81" xfId="13" applyFont="1" applyFill="1" applyBorder="1" applyAlignment="1">
      <alignment horizontal="center" vertical="center"/>
    </xf>
    <xf numFmtId="43" fontId="186" fillId="0" borderId="0" xfId="10" applyFont="1" applyFill="1" applyAlignment="1">
      <alignment horizontal="center" vertical="center"/>
    </xf>
    <xf numFmtId="167" fontId="186" fillId="0" borderId="0" xfId="10" applyNumberFormat="1" applyFont="1" applyFill="1" applyAlignment="1">
      <alignment horizontal="center" vertical="center"/>
    </xf>
    <xf numFmtId="168" fontId="186" fillId="0" borderId="81" xfId="12" applyNumberFormat="1" applyFont="1" applyFill="1" applyBorder="1" applyAlignment="1">
      <alignment horizontal="center" vertical="center"/>
    </xf>
    <xf numFmtId="168" fontId="186" fillId="0" borderId="76" xfId="12" applyNumberFormat="1" applyFont="1" applyFill="1" applyBorder="1" applyAlignment="1">
      <alignment horizontal="center" vertical="center"/>
    </xf>
    <xf numFmtId="168" fontId="186" fillId="0" borderId="77" xfId="12" applyNumberFormat="1" applyFont="1" applyFill="1" applyBorder="1" applyAlignment="1">
      <alignment horizontal="center" vertical="center"/>
    </xf>
    <xf numFmtId="168" fontId="186" fillId="0" borderId="89" xfId="12" applyNumberFormat="1" applyFont="1" applyFill="1" applyBorder="1" applyAlignment="1">
      <alignment horizontal="center" vertical="center"/>
    </xf>
    <xf numFmtId="168" fontId="186" fillId="0" borderId="0" xfId="10" applyNumberFormat="1" applyFont="1" applyFill="1" applyAlignment="1">
      <alignment horizontal="left" vertical="center"/>
    </xf>
    <xf numFmtId="168" fontId="186" fillId="0" borderId="90" xfId="12" applyNumberFormat="1" applyFont="1" applyFill="1" applyBorder="1" applyAlignment="1">
      <alignment horizontal="center" vertical="center"/>
    </xf>
    <xf numFmtId="9" fontId="186" fillId="0" borderId="90" xfId="13" applyFont="1" applyFill="1" applyBorder="1" applyAlignment="1">
      <alignment horizontal="center" vertical="center"/>
    </xf>
    <xf numFmtId="9" fontId="186" fillId="0" borderId="92" xfId="13" applyFont="1" applyFill="1" applyBorder="1" applyAlignment="1">
      <alignment horizontal="center" vertical="center"/>
    </xf>
    <xf numFmtId="168" fontId="186" fillId="0" borderId="33" xfId="12" applyNumberFormat="1" applyFont="1" applyFill="1" applyBorder="1" applyAlignment="1">
      <alignment horizontal="center" vertical="center"/>
    </xf>
    <xf numFmtId="9" fontId="186" fillId="0" borderId="33" xfId="13" applyFont="1" applyFill="1" applyBorder="1" applyAlignment="1">
      <alignment horizontal="center" vertical="center"/>
    </xf>
    <xf numFmtId="9" fontId="186" fillId="0" borderId="85" xfId="13" applyFont="1" applyFill="1" applyBorder="1" applyAlignment="1">
      <alignment horizontal="center" vertical="center"/>
    </xf>
    <xf numFmtId="168" fontId="8" fillId="0" borderId="38" xfId="12" applyNumberFormat="1" applyFont="1" applyFill="1" applyBorder="1" applyAlignment="1">
      <alignment horizontal="center" vertical="center"/>
    </xf>
    <xf numFmtId="168" fontId="186" fillId="104" borderId="80" xfId="12" applyNumberFormat="1" applyFont="1" applyFill="1" applyBorder="1" applyAlignment="1">
      <alignment horizontal="center" vertical="center"/>
    </xf>
    <xf numFmtId="168" fontId="186" fillId="106" borderId="38" xfId="12" applyNumberFormat="1" applyFont="1" applyFill="1" applyBorder="1" applyAlignment="1">
      <alignment horizontal="center" vertical="center"/>
    </xf>
    <xf numFmtId="168" fontId="186" fillId="106" borderId="81" xfId="12" applyNumberFormat="1" applyFont="1" applyFill="1" applyBorder="1" applyAlignment="1">
      <alignment horizontal="center" vertical="center"/>
    </xf>
    <xf numFmtId="168" fontId="186" fillId="0" borderId="83" xfId="12" applyNumberFormat="1" applyFont="1" applyFill="1" applyBorder="1" applyAlignment="1">
      <alignment horizontal="center" vertical="center"/>
    </xf>
    <xf numFmtId="168" fontId="186" fillId="0" borderId="85" xfId="12" applyNumberFormat="1" applyFont="1" applyFill="1" applyBorder="1" applyAlignment="1">
      <alignment horizontal="center" vertical="center"/>
    </xf>
    <xf numFmtId="9" fontId="186" fillId="0" borderId="76" xfId="13" applyFont="1" applyFill="1" applyBorder="1" applyAlignment="1">
      <alignment horizontal="center" vertical="center"/>
    </xf>
    <xf numFmtId="9" fontId="186" fillId="0" borderId="77" xfId="13" applyFont="1" applyFill="1" applyBorder="1" applyAlignment="1">
      <alignment horizontal="center" vertical="center"/>
    </xf>
    <xf numFmtId="168" fontId="187" fillId="0" borderId="38" xfId="12" applyNumberFormat="1" applyFont="1" applyFill="1" applyBorder="1" applyAlignment="1">
      <alignment horizontal="center" vertical="center"/>
    </xf>
    <xf numFmtId="9" fontId="187" fillId="0" borderId="38" xfId="13" applyFont="1" applyFill="1" applyBorder="1" applyAlignment="1">
      <alignment horizontal="center" vertical="center"/>
    </xf>
    <xf numFmtId="9" fontId="187" fillId="0" borderId="78" xfId="13" applyFont="1" applyFill="1" applyBorder="1" applyAlignment="1">
      <alignment horizontal="center" vertical="center"/>
    </xf>
    <xf numFmtId="168" fontId="187" fillId="104" borderId="0" xfId="10" applyNumberFormat="1" applyFont="1" applyFill="1" applyAlignment="1">
      <alignment horizontal="center" vertical="center"/>
    </xf>
    <xf numFmtId="0" fontId="186" fillId="0" borderId="0" xfId="11" applyFont="1" applyAlignment="1">
      <alignment horizontal="right" vertical="center"/>
    </xf>
    <xf numFmtId="43" fontId="186" fillId="0" borderId="0" xfId="11" applyNumberFormat="1" applyFont="1" applyAlignment="1">
      <alignment horizontal="center" vertical="center"/>
    </xf>
    <xf numFmtId="168" fontId="186" fillId="0" borderId="95" xfId="12" applyNumberFormat="1" applyFont="1" applyFill="1" applyBorder="1" applyAlignment="1">
      <alignment horizontal="center" vertical="center"/>
    </xf>
    <xf numFmtId="9" fontId="186" fillId="0" borderId="83" xfId="13" applyFont="1" applyFill="1" applyBorder="1" applyAlignment="1">
      <alignment horizontal="center" vertical="center"/>
    </xf>
    <xf numFmtId="168" fontId="186" fillId="0" borderId="84" xfId="12" applyNumberFormat="1" applyFont="1" applyFill="1" applyBorder="1" applyAlignment="1">
      <alignment horizontal="center" vertical="center"/>
    </xf>
    <xf numFmtId="168" fontId="186" fillId="0" borderId="0" xfId="11" applyNumberFormat="1" applyFont="1" applyAlignment="1">
      <alignment horizontal="center" vertical="center"/>
    </xf>
    <xf numFmtId="9" fontId="186" fillId="0" borderId="0" xfId="54009" applyFont="1" applyFill="1" applyAlignment="1">
      <alignment horizontal="center" vertical="center"/>
    </xf>
    <xf numFmtId="168" fontId="187" fillId="0" borderId="33" xfId="12" applyNumberFormat="1" applyFont="1" applyFill="1" applyBorder="1" applyAlignment="1">
      <alignment horizontal="center" vertical="center"/>
    </xf>
    <xf numFmtId="9" fontId="187" fillId="0" borderId="85" xfId="13" applyFont="1" applyFill="1" applyBorder="1" applyAlignment="1">
      <alignment horizontal="center" vertical="center"/>
    </xf>
    <xf numFmtId="0" fontId="189" fillId="0" borderId="0" xfId="11" applyFont="1" applyAlignment="1">
      <alignment horizontal="left" vertical="center"/>
    </xf>
    <xf numFmtId="0" fontId="190" fillId="0" borderId="0" xfId="11" applyFont="1" applyAlignment="1">
      <alignment horizontal="center" vertical="center"/>
    </xf>
    <xf numFmtId="0" fontId="189" fillId="104" borderId="0" xfId="11" applyFont="1" applyFill="1" applyAlignment="1">
      <alignment horizontal="center" vertical="center"/>
    </xf>
    <xf numFmtId="169" fontId="191" fillId="0" borderId="0" xfId="2" applyNumberFormat="1" applyFont="1" applyAlignment="1">
      <alignment horizontal="left" vertical="center"/>
    </xf>
    <xf numFmtId="169" fontId="189" fillId="0" borderId="0" xfId="11" applyNumberFormat="1" applyFont="1" applyAlignment="1">
      <alignment vertical="center"/>
    </xf>
    <xf numFmtId="0" fontId="189" fillId="0" borderId="87" xfId="11" applyFont="1" applyBorder="1" applyAlignment="1">
      <alignment horizontal="center" vertical="center"/>
    </xf>
    <xf numFmtId="0" fontId="189" fillId="0" borderId="87" xfId="11" quotePrefix="1" applyFont="1" applyBorder="1" applyAlignment="1">
      <alignment horizontal="center" vertical="center"/>
    </xf>
    <xf numFmtId="0" fontId="189" fillId="0" borderId="0" xfId="11" applyFont="1" applyAlignment="1">
      <alignment horizontal="right" vertical="center"/>
    </xf>
    <xf numFmtId="168" fontId="189" fillId="0" borderId="87" xfId="12" applyNumberFormat="1" applyFont="1" applyBorder="1" applyAlignment="1">
      <alignment horizontal="center" vertical="center"/>
    </xf>
    <xf numFmtId="9" fontId="189" fillId="0" borderId="87" xfId="13" applyFont="1" applyFill="1" applyBorder="1" applyAlignment="1">
      <alignment horizontal="center" vertical="center"/>
    </xf>
    <xf numFmtId="168" fontId="189" fillId="0" borderId="87" xfId="12" applyNumberFormat="1" applyFont="1" applyFill="1" applyBorder="1" applyAlignment="1">
      <alignment horizontal="center" vertical="center"/>
    </xf>
    <xf numFmtId="168" fontId="190" fillId="0" borderId="0" xfId="11" applyNumberFormat="1" applyFont="1" applyAlignment="1">
      <alignment horizontal="right" vertical="center"/>
    </xf>
    <xf numFmtId="168" fontId="189" fillId="0" borderId="89" xfId="12" applyNumberFormat="1" applyFont="1" applyFill="1" applyBorder="1" applyAlignment="1">
      <alignment horizontal="center" vertical="center"/>
    </xf>
    <xf numFmtId="9" fontId="189" fillId="0" borderId="0" xfId="54009" applyFont="1" applyAlignment="1">
      <alignment horizontal="center" vertical="center"/>
    </xf>
    <xf numFmtId="0" fontId="190" fillId="0" borderId="35" xfId="11" applyFont="1" applyBorder="1" applyAlignment="1">
      <alignment horizontal="center" vertical="center"/>
    </xf>
    <xf numFmtId="168" fontId="190" fillId="0" borderId="35" xfId="12" applyNumberFormat="1" applyFont="1" applyBorder="1" applyAlignment="1">
      <alignment horizontal="center" vertical="center"/>
    </xf>
    <xf numFmtId="168" fontId="190" fillId="0" borderId="35" xfId="12" applyNumberFormat="1" applyFont="1" applyFill="1" applyBorder="1" applyAlignment="1">
      <alignment horizontal="center" vertical="center"/>
    </xf>
    <xf numFmtId="9" fontId="190" fillId="0" borderId="35" xfId="13" applyFont="1" applyFill="1" applyBorder="1" applyAlignment="1">
      <alignment horizontal="center" vertical="center"/>
    </xf>
    <xf numFmtId="0" fontId="190" fillId="0" borderId="0" xfId="11" applyFont="1" applyAlignment="1">
      <alignment horizontal="right" vertical="center"/>
    </xf>
    <xf numFmtId="168" fontId="190" fillId="0" borderId="0" xfId="11" applyNumberFormat="1" applyFont="1" applyAlignment="1">
      <alignment horizontal="center" vertical="center"/>
    </xf>
    <xf numFmtId="0" fontId="190" fillId="0" borderId="80" xfId="11" applyFont="1" applyBorder="1" applyAlignment="1">
      <alignment horizontal="center" vertical="center"/>
    </xf>
    <xf numFmtId="168" fontId="190" fillId="0" borderId="80" xfId="12" applyNumberFormat="1" applyFont="1" applyBorder="1" applyAlignment="1">
      <alignment horizontal="center" vertical="center"/>
    </xf>
    <xf numFmtId="168" fontId="190" fillId="0" borderId="80" xfId="12" applyNumberFormat="1" applyFont="1" applyFill="1" applyBorder="1" applyAlignment="1">
      <alignment horizontal="center" vertical="center"/>
    </xf>
    <xf numFmtId="9" fontId="190" fillId="0" borderId="80" xfId="13" applyFont="1" applyFill="1" applyBorder="1" applyAlignment="1">
      <alignment horizontal="center" vertical="center"/>
    </xf>
    <xf numFmtId="168" fontId="190" fillId="0" borderId="76" xfId="12" applyNumberFormat="1" applyFont="1" applyFill="1" applyBorder="1" applyAlignment="1">
      <alignment horizontal="center" vertical="center"/>
    </xf>
    <xf numFmtId="9" fontId="190" fillId="0" borderId="76" xfId="13" applyFont="1" applyFill="1" applyBorder="1" applyAlignment="1">
      <alignment horizontal="center" vertical="center"/>
    </xf>
    <xf numFmtId="173" fontId="190" fillId="0" borderId="0" xfId="11" applyNumberFormat="1" applyFont="1" applyAlignment="1">
      <alignment horizontal="right" vertical="center"/>
    </xf>
    <xf numFmtId="0" fontId="190" fillId="0" borderId="38" xfId="11" applyFont="1" applyBorder="1" applyAlignment="1">
      <alignment horizontal="center" vertical="center"/>
    </xf>
    <xf numFmtId="168" fontId="190" fillId="0" borderId="38" xfId="12" applyNumberFormat="1" applyFont="1" applyFill="1" applyBorder="1" applyAlignment="1">
      <alignment horizontal="center" vertical="center"/>
    </xf>
    <xf numFmtId="168" fontId="190" fillId="0" borderId="38" xfId="12" applyNumberFormat="1" applyFont="1" applyBorder="1" applyAlignment="1">
      <alignment horizontal="center" vertical="center"/>
    </xf>
    <xf numFmtId="9" fontId="190" fillId="0" borderId="38" xfId="13" applyFont="1" applyFill="1" applyBorder="1" applyAlignment="1">
      <alignment horizontal="center" vertical="center"/>
    </xf>
    <xf numFmtId="167" fontId="190" fillId="0" borderId="0" xfId="11" applyNumberFormat="1" applyFont="1" applyAlignment="1">
      <alignment horizontal="center" vertical="center"/>
    </xf>
    <xf numFmtId="168" fontId="190" fillId="0" borderId="33" xfId="12" applyNumberFormat="1" applyFont="1" applyBorder="1" applyAlignment="1">
      <alignment horizontal="center" vertical="center"/>
    </xf>
    <xf numFmtId="0" fontId="190" fillId="0" borderId="33" xfId="11" applyFont="1" applyBorder="1" applyAlignment="1">
      <alignment horizontal="left" vertical="center" wrapText="1"/>
    </xf>
    <xf numFmtId="0" fontId="190" fillId="0" borderId="87" xfId="11" applyFont="1" applyBorder="1" applyAlignment="1">
      <alignment horizontal="center" vertical="center"/>
    </xf>
    <xf numFmtId="168" fontId="189" fillId="0" borderId="87" xfId="11" applyNumberFormat="1" applyFont="1" applyBorder="1" applyAlignment="1">
      <alignment horizontal="center" vertical="center"/>
    </xf>
    <xf numFmtId="43" fontId="190" fillId="0" borderId="0" xfId="11" applyNumberFormat="1" applyFont="1" applyAlignment="1">
      <alignment horizontal="center" vertical="center"/>
    </xf>
    <xf numFmtId="168" fontId="189" fillId="0" borderId="89" xfId="11" applyNumberFormat="1" applyFont="1" applyBorder="1" applyAlignment="1">
      <alignment horizontal="center" vertical="center"/>
    </xf>
    <xf numFmtId="168" fontId="190" fillId="0" borderId="35" xfId="12" applyNumberFormat="1" applyFont="1" applyBorder="1" applyAlignment="1">
      <alignment vertical="center"/>
    </xf>
    <xf numFmtId="168" fontId="190" fillId="0" borderId="80" xfId="12" applyNumberFormat="1" applyFont="1" applyBorder="1" applyAlignment="1">
      <alignment vertical="center"/>
    </xf>
    <xf numFmtId="174" fontId="190" fillId="0" borderId="0" xfId="11" applyNumberFormat="1" applyFont="1" applyAlignment="1">
      <alignment horizontal="right" vertical="center"/>
    </xf>
    <xf numFmtId="0" fontId="190" fillId="0" borderId="86" xfId="11" applyFont="1" applyBorder="1" applyAlignment="1">
      <alignment horizontal="center" vertical="center"/>
    </xf>
    <xf numFmtId="168" fontId="190" fillId="0" borderId="86" xfId="12" applyNumberFormat="1" applyFont="1" applyBorder="1" applyAlignment="1">
      <alignment vertical="center"/>
    </xf>
    <xf numFmtId="168" fontId="190" fillId="0" borderId="38" xfId="12" applyNumberFormat="1" applyFont="1" applyBorder="1" applyAlignment="1">
      <alignment vertical="center"/>
    </xf>
    <xf numFmtId="168" fontId="190" fillId="0" borderId="80" xfId="14" applyNumberFormat="1" applyFont="1" applyFill="1" applyBorder="1" applyAlignment="1">
      <alignment horizontal="center" vertical="center"/>
    </xf>
    <xf numFmtId="1" fontId="190" fillId="0" borderId="0" xfId="11" applyNumberFormat="1" applyFont="1" applyAlignment="1">
      <alignment horizontal="right" vertical="center"/>
    </xf>
    <xf numFmtId="16" fontId="187" fillId="0" borderId="0" xfId="11" applyNumberFormat="1" applyFont="1" applyAlignment="1">
      <alignment horizontal="center" vertical="center"/>
    </xf>
    <xf numFmtId="168" fontId="190" fillId="107" borderId="0" xfId="11" applyNumberFormat="1" applyFont="1" applyFill="1" applyAlignment="1">
      <alignment horizontal="center" vertical="center"/>
    </xf>
    <xf numFmtId="168" fontId="186" fillId="0" borderId="0" xfId="11" applyNumberFormat="1" applyFont="1" applyAlignment="1">
      <alignment horizontal="right" vertical="center"/>
    </xf>
    <xf numFmtId="168" fontId="187" fillId="0" borderId="5" xfId="12" applyNumberFormat="1" applyFont="1" applyFill="1" applyBorder="1" applyAlignment="1">
      <alignment horizontal="center" vertical="center"/>
    </xf>
    <xf numFmtId="168" fontId="186" fillId="0" borderId="5" xfId="12" applyNumberFormat="1" applyFont="1" applyFill="1" applyBorder="1" applyAlignment="1">
      <alignment horizontal="center" vertical="center"/>
    </xf>
    <xf numFmtId="9" fontId="187" fillId="0" borderId="100" xfId="13" applyFont="1" applyFill="1" applyBorder="1" applyAlignment="1">
      <alignment horizontal="center" vertical="center"/>
    </xf>
    <xf numFmtId="0" fontId="0" fillId="0" borderId="0" xfId="0" applyAlignment="1">
      <alignment horizontal="center"/>
    </xf>
    <xf numFmtId="0" fontId="31" fillId="0" borderId="0" xfId="0" applyFont="1" applyAlignment="1">
      <alignment horizontal="center"/>
    </xf>
    <xf numFmtId="0" fontId="31" fillId="0" borderId="101" xfId="0" applyFont="1" applyBorder="1" applyAlignment="1">
      <alignment horizontal="center"/>
    </xf>
    <xf numFmtId="0" fontId="31" fillId="0" borderId="89" xfId="0" applyFont="1" applyBorder="1" applyAlignment="1">
      <alignment horizontal="center"/>
    </xf>
    <xf numFmtId="0" fontId="31" fillId="0" borderId="102" xfId="0" applyFont="1" applyBorder="1" applyAlignment="1">
      <alignment horizontal="center"/>
    </xf>
    <xf numFmtId="0" fontId="31" fillId="0" borderId="103" xfId="0" applyFont="1" applyBorder="1" applyAlignment="1">
      <alignment horizontal="center"/>
    </xf>
    <xf numFmtId="0" fontId="0" fillId="0" borderId="104" xfId="0" applyBorder="1" applyAlignment="1">
      <alignment horizontal="center"/>
    </xf>
    <xf numFmtId="0" fontId="0" fillId="0" borderId="38" xfId="0" applyBorder="1"/>
    <xf numFmtId="0" fontId="0" fillId="0" borderId="38" xfId="0" applyBorder="1" applyAlignment="1">
      <alignment horizontal="center"/>
    </xf>
    <xf numFmtId="0" fontId="0" fillId="0" borderId="105" xfId="0" applyBorder="1"/>
    <xf numFmtId="0" fontId="0" fillId="0" borderId="106" xfId="0" applyBorder="1"/>
    <xf numFmtId="0" fontId="31" fillId="0" borderId="38" xfId="0" applyFont="1" applyBorder="1" applyAlignment="1">
      <alignment horizontal="center"/>
    </xf>
    <xf numFmtId="0" fontId="0" fillId="0" borderId="107" xfId="0" applyBorder="1" applyAlignment="1">
      <alignment horizontal="center"/>
    </xf>
    <xf numFmtId="0" fontId="0" fillId="0" borderId="36" xfId="0" applyBorder="1"/>
    <xf numFmtId="0" fontId="0" fillId="0" borderId="108" xfId="0" applyBorder="1"/>
    <xf numFmtId="0" fontId="0" fillId="0" borderId="109" xfId="0" applyBorder="1" applyAlignment="1">
      <alignment horizontal="center"/>
    </xf>
    <xf numFmtId="0" fontId="0" fillId="0" borderId="76" xfId="0" applyBorder="1"/>
    <xf numFmtId="0" fontId="0" fillId="0" borderId="33" xfId="0" applyBorder="1" applyAlignment="1">
      <alignment horizontal="center"/>
    </xf>
    <xf numFmtId="0" fontId="0" fillId="0" borderId="110" xfId="0" applyBorder="1"/>
    <xf numFmtId="0" fontId="0" fillId="0" borderId="111" xfId="0" applyBorder="1"/>
    <xf numFmtId="0" fontId="0" fillId="0" borderId="112" xfId="0" applyBorder="1" applyAlignment="1">
      <alignment horizontal="center"/>
    </xf>
    <xf numFmtId="0" fontId="0" fillId="0" borderId="86" xfId="0" applyBorder="1" applyAlignment="1">
      <alignment horizontal="center"/>
    </xf>
    <xf numFmtId="0" fontId="0" fillId="0" borderId="113" xfId="0" applyBorder="1"/>
    <xf numFmtId="0" fontId="31" fillId="0" borderId="86" xfId="0" applyFont="1" applyBorder="1" applyAlignment="1">
      <alignment horizontal="center"/>
    </xf>
    <xf numFmtId="0" fontId="31" fillId="0" borderId="33" xfId="0" applyFont="1" applyBorder="1" applyAlignment="1">
      <alignment horizontal="center"/>
    </xf>
    <xf numFmtId="0" fontId="0" fillId="0" borderId="98" xfId="0" applyBorder="1"/>
    <xf numFmtId="168" fontId="0" fillId="0" borderId="106" xfId="10" applyNumberFormat="1" applyFont="1" applyBorder="1"/>
    <xf numFmtId="168" fontId="31" fillId="0" borderId="38" xfId="0" applyNumberFormat="1" applyFont="1" applyBorder="1" applyAlignment="1">
      <alignment horizontal="center"/>
    </xf>
    <xf numFmtId="43" fontId="0" fillId="0" borderId="0" xfId="10" applyFont="1" applyFill="1" applyBorder="1"/>
    <xf numFmtId="43" fontId="0" fillId="0" borderId="0" xfId="0" applyNumberFormat="1"/>
    <xf numFmtId="168" fontId="0" fillId="0" borderId="114" xfId="10" applyNumberFormat="1" applyFont="1" applyBorder="1"/>
    <xf numFmtId="0" fontId="31" fillId="0" borderId="115" xfId="0" applyFont="1" applyBorder="1" applyAlignment="1">
      <alignment horizontal="center"/>
    </xf>
    <xf numFmtId="0" fontId="0" fillId="0" borderId="39" xfId="0" applyBorder="1" applyAlignment="1">
      <alignment horizontal="center"/>
    </xf>
    <xf numFmtId="0" fontId="0" fillId="0" borderId="116" xfId="0" applyBorder="1" applyAlignment="1">
      <alignment horizontal="center"/>
    </xf>
    <xf numFmtId="9" fontId="190" fillId="0" borderId="0" xfId="54009" applyFont="1" applyAlignment="1">
      <alignment horizontal="center" vertical="center"/>
    </xf>
    <xf numFmtId="43" fontId="11" fillId="0" borderId="89" xfId="3" applyFont="1" applyFill="1" applyBorder="1" applyAlignment="1">
      <alignment horizontal="left" wrapText="1"/>
    </xf>
    <xf numFmtId="43" fontId="186" fillId="0" borderId="78" xfId="10" applyFont="1" applyFill="1" applyBorder="1" applyAlignment="1">
      <alignment horizontal="center" vertical="center"/>
    </xf>
    <xf numFmtId="1" fontId="0" fillId="0" borderId="90" xfId="0" applyNumberFormat="1" applyBorder="1"/>
    <xf numFmtId="0" fontId="183" fillId="108" borderId="0" xfId="0" applyFont="1" applyFill="1" applyAlignment="1">
      <alignment horizontal="right"/>
    </xf>
    <xf numFmtId="0" fontId="183" fillId="108" borderId="89" xfId="0" applyFont="1" applyFill="1" applyBorder="1" applyAlignment="1">
      <alignment horizontal="center" vertical="center"/>
    </xf>
    <xf numFmtId="0" fontId="31" fillId="108" borderId="89" xfId="0" applyFont="1" applyFill="1" applyBorder="1" applyAlignment="1">
      <alignment horizontal="center" vertical="center" wrapText="1"/>
    </xf>
    <xf numFmtId="1" fontId="0" fillId="0" borderId="97" xfId="0" applyNumberFormat="1" applyBorder="1"/>
    <xf numFmtId="0" fontId="31" fillId="0" borderId="89" xfId="11" applyFont="1" applyBorder="1" applyAlignment="1">
      <alignment horizontal="left" vertical="center"/>
    </xf>
    <xf numFmtId="1" fontId="0" fillId="0" borderId="89" xfId="0" applyNumberFormat="1" applyBorder="1"/>
    <xf numFmtId="9" fontId="0" fillId="0" borderId="89" xfId="0" applyNumberFormat="1" applyBorder="1"/>
    <xf numFmtId="0" fontId="0" fillId="0" borderId="89" xfId="0" applyBorder="1"/>
    <xf numFmtId="9" fontId="185" fillId="0" borderId="89" xfId="0" applyNumberFormat="1" applyFont="1" applyBorder="1"/>
    <xf numFmtId="0" fontId="31" fillId="105" borderId="89" xfId="11" applyFont="1" applyFill="1" applyBorder="1" applyAlignment="1">
      <alignment horizontal="left" vertical="center"/>
    </xf>
    <xf numFmtId="0" fontId="0" fillId="0" borderId="101" xfId="0" applyBorder="1"/>
    <xf numFmtId="0" fontId="0" fillId="0" borderId="115" xfId="0" applyBorder="1"/>
    <xf numFmtId="0" fontId="0" fillId="0" borderId="96" xfId="0" applyBorder="1"/>
    <xf numFmtId="0" fontId="16" fillId="0" borderId="89" xfId="11" applyBorder="1" applyAlignment="1">
      <alignment horizontal="left" vertical="center"/>
    </xf>
    <xf numFmtId="171" fontId="2" fillId="0" borderId="0" xfId="2" applyNumberFormat="1" applyFont="1" applyAlignment="1">
      <alignment horizontal="left" vertical="center"/>
    </xf>
    <xf numFmtId="9" fontId="0" fillId="0" borderId="0" xfId="0" applyNumberFormat="1"/>
    <xf numFmtId="0" fontId="16" fillId="0" borderId="90" xfId="11" applyBorder="1" applyAlignment="1">
      <alignment horizontal="left" vertical="center"/>
    </xf>
    <xf numFmtId="0" fontId="16" fillId="0" borderId="80" xfId="11" applyBorder="1" applyAlignment="1">
      <alignment horizontal="left" vertical="center"/>
    </xf>
    <xf numFmtId="0" fontId="16" fillId="0" borderId="80" xfId="11" applyBorder="1" applyAlignment="1">
      <alignment vertical="center"/>
    </xf>
    <xf numFmtId="0" fontId="16" fillId="0" borderId="76" xfId="11" applyBorder="1" applyAlignment="1">
      <alignment horizontal="left" vertical="center"/>
    </xf>
    <xf numFmtId="168" fontId="186" fillId="108" borderId="38" xfId="12" applyNumberFormat="1" applyFont="1" applyFill="1" applyBorder="1" applyAlignment="1">
      <alignment horizontal="center" vertical="center"/>
    </xf>
    <xf numFmtId="168" fontId="186" fillId="108" borderId="81" xfId="12" applyNumberFormat="1" applyFont="1" applyFill="1" applyBorder="1" applyAlignment="1">
      <alignment horizontal="center" vertical="center"/>
    </xf>
    <xf numFmtId="168" fontId="186" fillId="108" borderId="0" xfId="10" applyNumberFormat="1" applyFont="1" applyFill="1" applyAlignment="1">
      <alignment horizontal="center" vertical="center"/>
    </xf>
    <xf numFmtId="168" fontId="186" fillId="108" borderId="0" xfId="10" applyNumberFormat="1" applyFont="1" applyFill="1" applyAlignment="1">
      <alignment horizontal="right" vertical="center"/>
    </xf>
    <xf numFmtId="168" fontId="187" fillId="108" borderId="0" xfId="10" applyNumberFormat="1" applyFont="1" applyFill="1" applyAlignment="1">
      <alignment horizontal="center" vertical="center"/>
    </xf>
    <xf numFmtId="43" fontId="186" fillId="108" borderId="78" xfId="10" applyFont="1" applyFill="1" applyBorder="1" applyAlignment="1">
      <alignment horizontal="center" vertical="center"/>
    </xf>
    <xf numFmtId="0" fontId="186" fillId="108" borderId="0" xfId="11" applyFont="1" applyFill="1" applyAlignment="1">
      <alignment horizontal="center" vertical="center"/>
    </xf>
    <xf numFmtId="168" fontId="186" fillId="108" borderId="76" xfId="12" applyNumberFormat="1" applyFont="1" applyFill="1" applyBorder="1" applyAlignment="1">
      <alignment horizontal="center" vertical="center"/>
    </xf>
    <xf numFmtId="168" fontId="186" fillId="108" borderId="77" xfId="12" applyNumberFormat="1" applyFont="1" applyFill="1" applyBorder="1" applyAlignment="1">
      <alignment horizontal="center" vertical="center"/>
    </xf>
    <xf numFmtId="9" fontId="186" fillId="108" borderId="81" xfId="13" applyFont="1" applyFill="1" applyBorder="1" applyAlignment="1">
      <alignment horizontal="center" vertical="center"/>
    </xf>
    <xf numFmtId="0" fontId="186" fillId="108" borderId="0" xfId="11" applyFont="1" applyFill="1" applyAlignment="1">
      <alignment horizontal="right" vertical="center"/>
    </xf>
    <xf numFmtId="0" fontId="187" fillId="108" borderId="0" xfId="11" applyFont="1" applyFill="1" applyAlignment="1">
      <alignment horizontal="center" vertical="center"/>
    </xf>
    <xf numFmtId="9" fontId="186" fillId="108" borderId="78" xfId="13" applyFont="1" applyFill="1" applyBorder="1" applyAlignment="1">
      <alignment horizontal="center" vertical="center"/>
    </xf>
    <xf numFmtId="168" fontId="186" fillId="108" borderId="33" xfId="12" applyNumberFormat="1" applyFont="1" applyFill="1" applyBorder="1" applyAlignment="1">
      <alignment horizontal="center" vertical="center"/>
    </xf>
    <xf numFmtId="9" fontId="186" fillId="108" borderId="77" xfId="13" applyFont="1" applyFill="1" applyBorder="1" applyAlignment="1">
      <alignment horizontal="center" vertical="center"/>
    </xf>
    <xf numFmtId="168" fontId="186" fillId="108" borderId="0" xfId="11" applyNumberFormat="1" applyFont="1" applyFill="1" applyAlignment="1">
      <alignment horizontal="right" vertical="center"/>
    </xf>
    <xf numFmtId="168" fontId="186" fillId="108" borderId="85" xfId="12" applyNumberFormat="1" applyFont="1" applyFill="1" applyBorder="1" applyAlignment="1">
      <alignment horizontal="center" vertical="center"/>
    </xf>
    <xf numFmtId="168" fontId="187" fillId="0" borderId="94" xfId="10" applyNumberFormat="1" applyFont="1" applyFill="1" applyBorder="1" applyAlignment="1">
      <alignment horizontal="center" vertical="center"/>
    </xf>
    <xf numFmtId="0" fontId="0" fillId="108" borderId="89" xfId="0" applyFill="1" applyBorder="1" applyAlignment="1">
      <alignment horizontal="center" vertical="center" wrapText="1"/>
    </xf>
    <xf numFmtId="9" fontId="31" fillId="0" borderId="90" xfId="0" applyNumberFormat="1" applyFont="1" applyBorder="1" applyAlignment="1">
      <alignment horizontal="center" vertical="center"/>
    </xf>
    <xf numFmtId="1" fontId="0" fillId="0" borderId="90" xfId="0" applyNumberFormat="1" applyBorder="1" applyAlignment="1">
      <alignment horizontal="center" vertical="center"/>
    </xf>
    <xf numFmtId="1" fontId="0" fillId="0" borderId="97" xfId="0" applyNumberFormat="1" applyBorder="1" applyAlignment="1">
      <alignment horizontal="center" vertical="center"/>
    </xf>
    <xf numFmtId="1" fontId="0" fillId="0" borderId="89" xfId="0" applyNumberFormat="1" applyBorder="1" applyAlignment="1">
      <alignment horizontal="center" vertical="center"/>
    </xf>
    <xf numFmtId="43" fontId="189" fillId="0" borderId="87" xfId="12" applyFont="1" applyFill="1" applyBorder="1" applyAlignment="1">
      <alignment horizontal="center" vertical="center"/>
    </xf>
    <xf numFmtId="168" fontId="186" fillId="104" borderId="76" xfId="12" applyNumberFormat="1" applyFont="1" applyFill="1" applyBorder="1" applyAlignment="1">
      <alignment horizontal="center" vertical="center"/>
    </xf>
    <xf numFmtId="168" fontId="186" fillId="104" borderId="33" xfId="12" applyNumberFormat="1" applyFont="1" applyFill="1" applyBorder="1" applyAlignment="1">
      <alignment horizontal="center" vertical="center"/>
    </xf>
    <xf numFmtId="168" fontId="186" fillId="104" borderId="38" xfId="12" applyNumberFormat="1" applyFont="1" applyFill="1" applyBorder="1" applyAlignment="1">
      <alignment horizontal="center" vertical="center"/>
    </xf>
    <xf numFmtId="0" fontId="190" fillId="104" borderId="80" xfId="11" applyFont="1" applyFill="1" applyBorder="1" applyAlignment="1">
      <alignment horizontal="center" vertical="center"/>
    </xf>
    <xf numFmtId="168" fontId="190" fillId="104" borderId="80" xfId="12" applyNumberFormat="1" applyFont="1" applyFill="1" applyBorder="1" applyAlignment="1">
      <alignment vertical="center"/>
    </xf>
    <xf numFmtId="168" fontId="190" fillId="104" borderId="80" xfId="12" applyNumberFormat="1" applyFont="1" applyFill="1" applyBorder="1" applyAlignment="1">
      <alignment horizontal="center" vertical="center"/>
    </xf>
    <xf numFmtId="0" fontId="190" fillId="104" borderId="0" xfId="11" applyFont="1" applyFill="1" applyAlignment="1">
      <alignment horizontal="center" vertical="center"/>
    </xf>
    <xf numFmtId="168" fontId="190" fillId="104" borderId="0" xfId="11" applyNumberFormat="1" applyFont="1" applyFill="1" applyAlignment="1">
      <alignment horizontal="right" vertical="center"/>
    </xf>
    <xf numFmtId="168" fontId="190" fillId="104" borderId="0" xfId="11" applyNumberFormat="1" applyFont="1" applyFill="1" applyAlignment="1">
      <alignment horizontal="center" vertical="center"/>
    </xf>
    <xf numFmtId="168" fontId="190" fillId="104" borderId="35" xfId="12" applyNumberFormat="1" applyFont="1" applyFill="1" applyBorder="1" applyAlignment="1">
      <alignment horizontal="center" vertical="center"/>
    </xf>
    <xf numFmtId="174" fontId="190" fillId="104" borderId="0" xfId="11" applyNumberFormat="1" applyFont="1" applyFill="1" applyAlignment="1">
      <alignment horizontal="right" vertical="center"/>
    </xf>
    <xf numFmtId="1" fontId="190" fillId="0" borderId="0" xfId="11" applyNumberFormat="1" applyFont="1" applyAlignment="1">
      <alignment horizontal="center" vertical="center"/>
    </xf>
    <xf numFmtId="168" fontId="190" fillId="104" borderId="76" xfId="12" applyNumberFormat="1" applyFont="1" applyFill="1" applyBorder="1" applyAlignment="1">
      <alignment horizontal="center" vertical="center"/>
    </xf>
    <xf numFmtId="0" fontId="190" fillId="104" borderId="0" xfId="11" applyFont="1" applyFill="1" applyAlignment="1">
      <alignment horizontal="right" vertical="center"/>
    </xf>
    <xf numFmtId="1" fontId="190" fillId="104" borderId="0" xfId="11" applyNumberFormat="1" applyFont="1" applyFill="1" applyAlignment="1">
      <alignment horizontal="center" vertical="center"/>
    </xf>
    <xf numFmtId="174" fontId="186" fillId="0" borderId="80" xfId="12" applyNumberFormat="1" applyFont="1" applyFill="1" applyBorder="1" applyAlignment="1">
      <alignment horizontal="center" vertical="center"/>
    </xf>
    <xf numFmtId="43" fontId="190" fillId="0" borderId="35" xfId="10" applyFont="1" applyFill="1" applyBorder="1" applyAlignment="1">
      <alignment horizontal="center" vertical="center"/>
    </xf>
    <xf numFmtId="43" fontId="186" fillId="0" borderId="38" xfId="12" applyFont="1" applyFill="1" applyBorder="1" applyAlignment="1">
      <alignment horizontal="center" vertical="center"/>
    </xf>
    <xf numFmtId="168" fontId="190" fillId="0" borderId="80" xfId="10" applyNumberFormat="1" applyFont="1" applyFill="1" applyBorder="1" applyAlignment="1">
      <alignment horizontal="center" vertical="center"/>
    </xf>
    <xf numFmtId="167" fontId="193" fillId="0" borderId="0" xfId="1" applyNumberFormat="1" applyFont="1" applyFill="1" applyBorder="1" applyAlignment="1">
      <alignment horizontal="center"/>
    </xf>
    <xf numFmtId="168" fontId="190" fillId="0" borderId="90" xfId="12" applyNumberFormat="1" applyFont="1" applyBorder="1" applyAlignment="1">
      <alignment horizontal="center" vertical="center"/>
    </xf>
    <xf numFmtId="168" fontId="190" fillId="0" borderId="90" xfId="12" applyNumberFormat="1" applyFont="1" applyFill="1" applyBorder="1" applyAlignment="1">
      <alignment horizontal="center" vertical="center"/>
    </xf>
    <xf numFmtId="174" fontId="190" fillId="0" borderId="80" xfId="12" applyNumberFormat="1" applyFont="1" applyFill="1" applyBorder="1" applyAlignment="1">
      <alignment horizontal="center" vertical="center"/>
    </xf>
    <xf numFmtId="174" fontId="190" fillId="0" borderId="80" xfId="12" applyNumberFormat="1" applyFont="1" applyBorder="1" applyAlignment="1">
      <alignment horizontal="center" vertical="center"/>
    </xf>
    <xf numFmtId="168" fontId="190" fillId="109" borderId="76" xfId="12" applyNumberFormat="1" applyFont="1" applyFill="1" applyBorder="1" applyAlignment="1">
      <alignment horizontal="center" vertical="center"/>
    </xf>
    <xf numFmtId="0" fontId="190" fillId="109" borderId="0" xfId="11" applyFont="1" applyFill="1" applyAlignment="1">
      <alignment horizontal="center" vertical="center"/>
    </xf>
    <xf numFmtId="0" fontId="190" fillId="109" borderId="0" xfId="11" applyFont="1" applyFill="1" applyAlignment="1">
      <alignment horizontal="right" vertical="center"/>
    </xf>
    <xf numFmtId="168" fontId="190" fillId="109" borderId="0" xfId="11" applyNumberFormat="1" applyFont="1" applyFill="1" applyAlignment="1">
      <alignment horizontal="center" vertical="center"/>
    </xf>
    <xf numFmtId="0" fontId="189" fillId="109" borderId="0" xfId="11" applyFont="1" applyFill="1" applyAlignment="1">
      <alignment horizontal="center" vertical="center"/>
    </xf>
    <xf numFmtId="168" fontId="190" fillId="109" borderId="35" xfId="12" applyNumberFormat="1" applyFont="1" applyFill="1" applyBorder="1" applyAlignment="1">
      <alignment horizontal="center" vertical="center"/>
    </xf>
    <xf numFmtId="1" fontId="190" fillId="109" borderId="0" xfId="11" applyNumberFormat="1" applyFont="1" applyFill="1" applyAlignment="1">
      <alignment horizontal="center" vertical="center"/>
    </xf>
    <xf numFmtId="0" fontId="190" fillId="0" borderId="33" xfId="11" applyFont="1" applyBorder="1" applyAlignment="1">
      <alignment horizontal="center" vertical="center"/>
    </xf>
    <xf numFmtId="0" fontId="190" fillId="0" borderId="76" xfId="11" applyFont="1" applyBorder="1" applyAlignment="1">
      <alignment horizontal="center" vertical="center"/>
    </xf>
    <xf numFmtId="0" fontId="187" fillId="0" borderId="32" xfId="11" applyFont="1" applyBorder="1" applyAlignment="1">
      <alignment horizontal="center" vertical="center"/>
    </xf>
    <xf numFmtId="0" fontId="187" fillId="0" borderId="33" xfId="11" applyFont="1" applyBorder="1" applyAlignment="1">
      <alignment horizontal="center" vertical="center"/>
    </xf>
    <xf numFmtId="0" fontId="187" fillId="0" borderId="93" xfId="11" applyFont="1" applyBorder="1" applyAlignment="1">
      <alignment horizontal="center" vertical="center"/>
    </xf>
    <xf numFmtId="0" fontId="187" fillId="0" borderId="89" xfId="11" applyFont="1" applyBorder="1" applyAlignment="1">
      <alignment horizontal="left" vertical="center"/>
    </xf>
    <xf numFmtId="0" fontId="187" fillId="0" borderId="89" xfId="11" applyFont="1" applyBorder="1" applyAlignment="1">
      <alignment horizontal="center" vertical="center"/>
    </xf>
    <xf numFmtId="0" fontId="186" fillId="0" borderId="37" xfId="11" applyFont="1" applyBorder="1" applyAlignment="1">
      <alignment horizontal="center" vertical="center"/>
    </xf>
    <xf numFmtId="0" fontId="186" fillId="0" borderId="90" xfId="11" applyFont="1" applyBorder="1" applyAlignment="1">
      <alignment vertical="center"/>
    </xf>
    <xf numFmtId="0" fontId="186" fillId="0" borderId="38" xfId="11" applyFont="1" applyBorder="1" applyAlignment="1">
      <alignment horizontal="center" vertical="center"/>
    </xf>
    <xf numFmtId="0" fontId="186" fillId="0" borderId="38" xfId="11" applyFont="1" applyBorder="1" applyAlignment="1">
      <alignment vertical="center"/>
    </xf>
    <xf numFmtId="0" fontId="186" fillId="0" borderId="79" xfId="11" applyFont="1" applyBorder="1" applyAlignment="1">
      <alignment horizontal="center" vertical="center"/>
    </xf>
    <xf numFmtId="0" fontId="186" fillId="0" borderId="80" xfId="11" applyFont="1" applyBorder="1" applyAlignment="1">
      <alignment vertical="center"/>
    </xf>
    <xf numFmtId="0" fontId="186" fillId="0" borderId="80" xfId="11" applyFont="1" applyBorder="1" applyAlignment="1">
      <alignment horizontal="center" vertical="center"/>
    </xf>
    <xf numFmtId="0" fontId="186" fillId="0" borderId="75" xfId="11" applyFont="1" applyBorder="1" applyAlignment="1">
      <alignment horizontal="center" vertical="center"/>
    </xf>
    <xf numFmtId="0" fontId="186" fillId="0" borderId="76" xfId="11" applyFont="1" applyBorder="1" applyAlignment="1">
      <alignment vertical="center"/>
    </xf>
    <xf numFmtId="0" fontId="186" fillId="0" borderId="76" xfId="11" applyFont="1" applyBorder="1" applyAlignment="1">
      <alignment horizontal="center" vertical="center"/>
    </xf>
    <xf numFmtId="0" fontId="186" fillId="0" borderId="91" xfId="11" applyFont="1" applyBorder="1" applyAlignment="1">
      <alignment horizontal="center" vertical="center"/>
    </xf>
    <xf numFmtId="0" fontId="186" fillId="0" borderId="90" xfId="11" applyFont="1" applyBorder="1" applyAlignment="1">
      <alignment horizontal="left" vertical="center"/>
    </xf>
    <xf numFmtId="0" fontId="186" fillId="0" borderId="90" xfId="11" applyFont="1" applyBorder="1" applyAlignment="1">
      <alignment horizontal="center" vertical="center"/>
    </xf>
    <xf numFmtId="0" fontId="186" fillId="0" borderId="32" xfId="11" applyFont="1" applyBorder="1" applyAlignment="1">
      <alignment horizontal="center" vertical="center"/>
    </xf>
    <xf numFmtId="0" fontId="186" fillId="0" borderId="80" xfId="11" applyFont="1" applyBorder="1" applyAlignment="1">
      <alignment horizontal="left" vertical="center"/>
    </xf>
    <xf numFmtId="0" fontId="186" fillId="0" borderId="33" xfId="11" applyFont="1" applyBorder="1" applyAlignment="1">
      <alignment horizontal="center" vertical="center"/>
    </xf>
    <xf numFmtId="0" fontId="186" fillId="0" borderId="83" xfId="11" applyFont="1" applyBorder="1" applyAlignment="1">
      <alignment vertical="center"/>
    </xf>
    <xf numFmtId="0" fontId="186" fillId="0" borderId="83" xfId="11" applyFont="1" applyBorder="1" applyAlignment="1">
      <alignment horizontal="center" vertical="center"/>
    </xf>
    <xf numFmtId="0" fontId="187" fillId="0" borderId="89" xfId="11" applyFont="1" applyBorder="1" applyAlignment="1">
      <alignment vertical="center"/>
    </xf>
    <xf numFmtId="0" fontId="186" fillId="0" borderId="33" xfId="11" applyFont="1" applyBorder="1" applyAlignment="1">
      <alignment vertical="center"/>
    </xf>
    <xf numFmtId="0" fontId="186" fillId="0" borderId="80" xfId="11" applyFont="1" applyBorder="1" applyAlignment="1">
      <alignment vertical="center" wrapText="1"/>
    </xf>
    <xf numFmtId="0" fontId="190" fillId="0" borderId="117" xfId="53995" applyFont="1" applyBorder="1" applyAlignment="1">
      <alignment horizontal="center" vertical="center"/>
    </xf>
    <xf numFmtId="0" fontId="187" fillId="0" borderId="37" xfId="11" applyFont="1" applyBorder="1" applyAlignment="1">
      <alignment horizontal="center" vertical="center"/>
    </xf>
    <xf numFmtId="0" fontId="186" fillId="0" borderId="76" xfId="11" applyFont="1" applyBorder="1" applyAlignment="1">
      <alignment horizontal="left" vertical="center"/>
    </xf>
    <xf numFmtId="0" fontId="186" fillId="0" borderId="82" xfId="11" applyFont="1" applyBorder="1" applyAlignment="1">
      <alignment horizontal="center" vertical="center"/>
    </xf>
    <xf numFmtId="0" fontId="187" fillId="0" borderId="99" xfId="11" applyFont="1" applyBorder="1" applyAlignment="1">
      <alignment horizontal="center" vertical="center"/>
    </xf>
    <xf numFmtId="0" fontId="187" fillId="0" borderId="5" xfId="11" applyFont="1" applyBorder="1" applyAlignment="1">
      <alignment horizontal="left" vertical="center"/>
    </xf>
    <xf numFmtId="0" fontId="187" fillId="0" borderId="5" xfId="11" applyFont="1" applyBorder="1" applyAlignment="1">
      <alignment horizontal="center" vertical="center"/>
    </xf>
    <xf numFmtId="168" fontId="7" fillId="104" borderId="98" xfId="12" applyNumberFormat="1" applyFont="1" applyFill="1" applyBorder="1" applyAlignment="1">
      <alignment horizontal="center" vertical="center"/>
    </xf>
    <xf numFmtId="168" fontId="187" fillId="104" borderId="89" xfId="12" applyNumberFormat="1" applyFont="1" applyFill="1" applyBorder="1" applyAlignment="1">
      <alignment horizontal="center" vertical="center"/>
    </xf>
    <xf numFmtId="168" fontId="186" fillId="104" borderId="90" xfId="12" applyNumberFormat="1" applyFont="1" applyFill="1" applyBorder="1" applyAlignment="1">
      <alignment horizontal="center" vertical="center"/>
    </xf>
    <xf numFmtId="168" fontId="186" fillId="104" borderId="83" xfId="12" applyNumberFormat="1" applyFont="1" applyFill="1" applyBorder="1" applyAlignment="1">
      <alignment horizontal="center" vertical="center"/>
    </xf>
    <xf numFmtId="168" fontId="187" fillId="104" borderId="5" xfId="12" applyNumberFormat="1" applyFont="1" applyFill="1" applyBorder="1" applyAlignment="1">
      <alignment horizontal="center" vertical="center"/>
    </xf>
    <xf numFmtId="0" fontId="189" fillId="0" borderId="87" xfId="11" applyFont="1" applyBorder="1" applyAlignment="1">
      <alignment horizontal="left" vertical="center"/>
    </xf>
    <xf numFmtId="0" fontId="190" fillId="0" borderId="35" xfId="11" applyFont="1" applyBorder="1" applyAlignment="1">
      <alignment vertical="center"/>
    </xf>
    <xf numFmtId="0" fontId="190" fillId="0" borderId="80" xfId="11" applyFont="1" applyBorder="1" applyAlignment="1">
      <alignment vertical="center"/>
    </xf>
    <xf numFmtId="0" fontId="190" fillId="0" borderId="80" xfId="53995" applyFont="1" applyBorder="1" applyAlignment="1">
      <alignment vertical="center"/>
    </xf>
    <xf numFmtId="0" fontId="190" fillId="0" borderId="80" xfId="53995" applyFont="1" applyBorder="1" applyAlignment="1">
      <alignment horizontal="center" vertical="center"/>
    </xf>
    <xf numFmtId="0" fontId="190" fillId="0" borderId="76" xfId="11" applyFont="1" applyBorder="1" applyAlignment="1">
      <alignment vertical="center"/>
    </xf>
    <xf numFmtId="167" fontId="190" fillId="0" borderId="35" xfId="12" applyNumberFormat="1" applyFont="1" applyFill="1" applyBorder="1" applyAlignment="1">
      <alignment horizontal="center" vertical="center"/>
    </xf>
    <xf numFmtId="0" fontId="190" fillId="0" borderId="38" xfId="11" applyFont="1" applyBorder="1" applyAlignment="1">
      <alignment vertical="center"/>
    </xf>
    <xf numFmtId="167" fontId="190" fillId="0" borderId="38" xfId="12" applyNumberFormat="1" applyFont="1" applyFill="1" applyBorder="1" applyAlignment="1">
      <alignment horizontal="center" vertical="center"/>
    </xf>
    <xf numFmtId="167" fontId="190" fillId="0" borderId="80" xfId="12" applyNumberFormat="1" applyFont="1" applyFill="1" applyBorder="1" applyAlignment="1">
      <alignment horizontal="center" vertical="center"/>
    </xf>
    <xf numFmtId="0" fontId="190" fillId="0" borderId="33" xfId="11" applyFont="1" applyBorder="1" applyAlignment="1">
      <alignment vertical="center"/>
    </xf>
    <xf numFmtId="168" fontId="190" fillId="0" borderId="33" xfId="12" applyNumberFormat="1" applyFont="1" applyFill="1" applyBorder="1" applyAlignment="1">
      <alignment horizontal="center" vertical="center"/>
    </xf>
    <xf numFmtId="43" fontId="189" fillId="0" borderId="87" xfId="11" applyNumberFormat="1" applyFont="1" applyBorder="1" applyAlignment="1">
      <alignment horizontal="right" vertical="center"/>
    </xf>
    <xf numFmtId="0" fontId="189" fillId="0" borderId="87" xfId="11" applyFont="1" applyBorder="1" applyAlignment="1">
      <alignment horizontal="right" vertical="center"/>
    </xf>
    <xf numFmtId="168" fontId="190" fillId="0" borderId="35" xfId="14" applyNumberFormat="1" applyFont="1" applyFill="1" applyBorder="1" applyAlignment="1">
      <alignment horizontal="center" vertical="center"/>
    </xf>
    <xf numFmtId="168" fontId="190" fillId="0" borderId="35" xfId="12" applyNumberFormat="1" applyFont="1" applyFill="1" applyBorder="1" applyAlignment="1">
      <alignment vertical="center"/>
    </xf>
    <xf numFmtId="43" fontId="190" fillId="0" borderId="35" xfId="11" applyNumberFormat="1" applyFont="1" applyBorder="1" applyAlignment="1">
      <alignment horizontal="center" vertical="center"/>
    </xf>
    <xf numFmtId="1" fontId="190" fillId="0" borderId="35" xfId="11" applyNumberFormat="1" applyFont="1" applyBorder="1" applyAlignment="1">
      <alignment horizontal="center" vertical="center"/>
    </xf>
    <xf numFmtId="168" fontId="190" fillId="0" borderId="38" xfId="14" applyNumberFormat="1" applyFont="1" applyFill="1" applyBorder="1" applyAlignment="1">
      <alignment horizontal="center" vertical="center"/>
    </xf>
    <xf numFmtId="168" fontId="190" fillId="0" borderId="38" xfId="12" applyNumberFormat="1" applyFont="1" applyFill="1" applyBorder="1" applyAlignment="1">
      <alignment vertical="center"/>
    </xf>
    <xf numFmtId="168" fontId="190" fillId="0" borderId="38" xfId="11" applyNumberFormat="1" applyFont="1" applyBorder="1" applyAlignment="1">
      <alignment horizontal="center" vertical="center"/>
    </xf>
    <xf numFmtId="1" fontId="190" fillId="0" borderId="38" xfId="11" applyNumberFormat="1" applyFont="1" applyBorder="1" applyAlignment="1">
      <alignment horizontal="center" vertical="center"/>
    </xf>
    <xf numFmtId="168" fontId="190" fillId="0" borderId="80" xfId="12" applyNumberFormat="1" applyFont="1" applyFill="1" applyBorder="1" applyAlignment="1">
      <alignment vertical="center"/>
    </xf>
    <xf numFmtId="168" fontId="190" fillId="0" borderId="80" xfId="11" applyNumberFormat="1" applyFont="1" applyBorder="1" applyAlignment="1">
      <alignment horizontal="center" vertical="center"/>
    </xf>
    <xf numFmtId="1" fontId="190" fillId="0" borderId="80" xfId="11" applyNumberFormat="1" applyFont="1" applyBorder="1" applyAlignment="1">
      <alignment horizontal="center" vertical="center"/>
    </xf>
    <xf numFmtId="0" fontId="7" fillId="0" borderId="80" xfId="11" applyFont="1" applyBorder="1" applyAlignment="1">
      <alignment horizontal="center" vertical="center"/>
    </xf>
    <xf numFmtId="0" fontId="7" fillId="0" borderId="80" xfId="11" applyFont="1" applyBorder="1" applyAlignment="1">
      <alignment vertical="center"/>
    </xf>
    <xf numFmtId="0" fontId="7" fillId="0" borderId="80" xfId="53995" applyFont="1" applyBorder="1" applyAlignment="1">
      <alignment vertical="center"/>
    </xf>
    <xf numFmtId="0" fontId="7" fillId="0" borderId="80" xfId="53995" applyFont="1" applyBorder="1" applyAlignment="1">
      <alignment horizontal="center" vertical="center"/>
    </xf>
    <xf numFmtId="174" fontId="190" fillId="0" borderId="80" xfId="14" applyNumberFormat="1" applyFont="1" applyFill="1" applyBorder="1" applyAlignment="1">
      <alignment horizontal="center" vertical="center"/>
    </xf>
    <xf numFmtId="0" fontId="190" fillId="0" borderId="86" xfId="11" applyFont="1" applyBorder="1" applyAlignment="1">
      <alignment vertical="center"/>
    </xf>
    <xf numFmtId="168" fontId="190" fillId="0" borderId="86" xfId="14" applyNumberFormat="1" applyFont="1" applyFill="1" applyBorder="1" applyAlignment="1">
      <alignment horizontal="center" vertical="center"/>
    </xf>
    <xf numFmtId="168" fontId="190" fillId="0" borderId="86" xfId="12" applyNumberFormat="1" applyFont="1" applyFill="1" applyBorder="1" applyAlignment="1">
      <alignment vertical="center"/>
    </xf>
    <xf numFmtId="168" fontId="190" fillId="0" borderId="86" xfId="11" applyNumberFormat="1" applyFont="1" applyBorder="1" applyAlignment="1">
      <alignment horizontal="center" vertical="center"/>
    </xf>
    <xf numFmtId="167" fontId="2" fillId="0" borderId="123" xfId="1" applyNumberFormat="1" applyFont="1" applyFill="1" applyBorder="1" applyAlignment="1">
      <alignment vertical="center"/>
    </xf>
    <xf numFmtId="167" fontId="3" fillId="0" borderId="124" xfId="1" applyNumberFormat="1" applyFont="1" applyFill="1" applyBorder="1" applyAlignment="1">
      <alignment vertical="center"/>
    </xf>
    <xf numFmtId="168" fontId="2" fillId="0" borderId="124" xfId="1" applyNumberFormat="1" applyFont="1" applyFill="1" applyBorder="1" applyAlignment="1">
      <alignment vertical="center"/>
    </xf>
    <xf numFmtId="167" fontId="2" fillId="0" borderId="124" xfId="1" applyNumberFormat="1" applyFont="1" applyFill="1" applyBorder="1" applyAlignment="1">
      <alignment vertical="center"/>
    </xf>
    <xf numFmtId="167" fontId="201" fillId="0" borderId="124" xfId="1" applyNumberFormat="1" applyFont="1" applyFill="1" applyBorder="1" applyAlignment="1">
      <alignment vertical="center"/>
    </xf>
    <xf numFmtId="167" fontId="200" fillId="0" borderId="124" xfId="1" applyNumberFormat="1" applyFont="1" applyFill="1" applyBorder="1" applyAlignment="1">
      <alignment vertical="center"/>
    </xf>
    <xf numFmtId="167" fontId="199" fillId="0" borderId="124" xfId="1" applyNumberFormat="1" applyFont="1" applyFill="1" applyBorder="1" applyAlignment="1">
      <alignment horizontal="center" vertical="center"/>
    </xf>
    <xf numFmtId="167" fontId="193" fillId="0" borderId="124" xfId="1" applyNumberFormat="1" applyFont="1" applyFill="1" applyBorder="1" applyAlignment="1">
      <alignment horizontal="center" vertical="center"/>
    </xf>
    <xf numFmtId="172" fontId="10" fillId="0" borderId="89" xfId="35977" applyNumberFormat="1" applyFont="1" applyFill="1" applyBorder="1" applyAlignment="1" applyProtection="1">
      <alignment horizontal="right" readingOrder="1"/>
    </xf>
    <xf numFmtId="168" fontId="10" fillId="0" borderId="89" xfId="35977" applyNumberFormat="1" applyFont="1" applyFill="1" applyBorder="1" applyAlignment="1" applyProtection="1">
      <alignment horizontal="right" readingOrder="1"/>
    </xf>
    <xf numFmtId="170" fontId="10" fillId="0" borderId="89" xfId="35977" applyNumberFormat="1" applyFont="1" applyFill="1" applyBorder="1" applyAlignment="1" applyProtection="1">
      <alignment horizontal="right" readingOrder="1"/>
    </xf>
    <xf numFmtId="43" fontId="11" fillId="0" borderId="89" xfId="3" applyFont="1" applyFill="1" applyBorder="1" applyAlignment="1">
      <alignment wrapText="1"/>
    </xf>
    <xf numFmtId="43" fontId="11" fillId="0" borderId="89" xfId="3" applyFont="1" applyFill="1" applyBorder="1" applyAlignment="1">
      <alignment horizontal="center" vertical="center" wrapText="1"/>
    </xf>
    <xf numFmtId="43" fontId="11" fillId="0" borderId="89" xfId="3" applyFont="1" applyFill="1" applyBorder="1" applyAlignment="1">
      <alignment horizontal="left"/>
    </xf>
    <xf numFmtId="43" fontId="11" fillId="0" borderId="89" xfId="3" applyFont="1" applyFill="1" applyBorder="1" applyAlignment="1">
      <alignment readingOrder="1"/>
    </xf>
    <xf numFmtId="43" fontId="11" fillId="0" borderId="89" xfId="3" applyFont="1" applyFill="1" applyBorder="1" applyAlignment="1"/>
    <xf numFmtId="43" fontId="11" fillId="0" borderId="89" xfId="3" applyFont="1" applyFill="1" applyBorder="1" applyAlignment="1" applyProtection="1">
      <alignment horizontal="left" wrapText="1"/>
    </xf>
    <xf numFmtId="43" fontId="11" fillId="0" borderId="89" xfId="3" applyFont="1" applyFill="1" applyBorder="1" applyAlignment="1" applyProtection="1">
      <alignment wrapText="1"/>
    </xf>
    <xf numFmtId="43" fontId="11" fillId="0" borderId="88" xfId="3" applyFont="1" applyFill="1" applyBorder="1" applyAlignment="1">
      <alignment horizontal="center" wrapText="1"/>
    </xf>
    <xf numFmtId="43" fontId="11" fillId="0" borderId="89" xfId="3" applyFont="1" applyFill="1" applyBorder="1" applyAlignment="1">
      <alignment horizontal="center" wrapText="1"/>
    </xf>
    <xf numFmtId="43" fontId="11" fillId="0" borderId="89" xfId="3" applyFont="1" applyFill="1" applyBorder="1" applyAlignment="1">
      <alignment horizontal="justify" wrapText="1"/>
    </xf>
    <xf numFmtId="43" fontId="11" fillId="0" borderId="89" xfId="3" applyFont="1" applyFill="1" applyBorder="1" applyAlignment="1">
      <alignment horizontal="left" readingOrder="1"/>
    </xf>
    <xf numFmtId="43" fontId="11" fillId="0" borderId="89" xfId="3" applyFont="1" applyFill="1" applyBorder="1" applyAlignment="1" applyProtection="1">
      <alignment horizontal="justify" wrapText="1"/>
    </xf>
    <xf numFmtId="43" fontId="11" fillId="0" borderId="97" xfId="3" applyFont="1" applyFill="1" applyBorder="1" applyAlignment="1" applyProtection="1">
      <alignment horizontal="left" wrapText="1"/>
    </xf>
    <xf numFmtId="43" fontId="11" fillId="0" borderId="89" xfId="3" quotePrefix="1" applyFont="1" applyFill="1" applyBorder="1" applyAlignment="1" applyProtection="1">
      <alignment wrapText="1"/>
    </xf>
    <xf numFmtId="43" fontId="11" fillId="0" borderId="97" xfId="3" quotePrefix="1" applyFont="1" applyFill="1" applyBorder="1" applyAlignment="1" applyProtection="1">
      <alignment wrapText="1"/>
    </xf>
    <xf numFmtId="168" fontId="193" fillId="0" borderId="6" xfId="54010" applyNumberFormat="1" applyFont="1" applyFill="1" applyBorder="1" applyAlignment="1">
      <alignment horizontal="right" vertical="center"/>
    </xf>
    <xf numFmtId="168" fontId="199" fillId="0" borderId="6" xfId="54010" applyNumberFormat="1" applyFont="1" applyFill="1" applyBorder="1" applyAlignment="1">
      <alignment horizontal="right" vertical="center"/>
    </xf>
    <xf numFmtId="235" fontId="13" fillId="0" borderId="0" xfId="54011" applyNumberFormat="1" applyFont="1" applyFill="1" applyAlignment="1">
      <alignment horizontal="center"/>
    </xf>
    <xf numFmtId="0" fontId="6" fillId="0" borderId="88" xfId="2" applyFont="1" applyBorder="1" applyAlignment="1">
      <alignment horizontal="center" readingOrder="1"/>
    </xf>
    <xf numFmtId="0" fontId="6" fillId="0" borderId="89" xfId="2" applyFont="1" applyBorder="1" applyAlignment="1">
      <alignment horizontal="left" readingOrder="1"/>
    </xf>
    <xf numFmtId="170" fontId="7" fillId="0" borderId="89" xfId="2" applyNumberFormat="1" applyFont="1" applyBorder="1" applyAlignment="1">
      <alignment wrapText="1" readingOrder="1"/>
    </xf>
    <xf numFmtId="168" fontId="7" fillId="0" borderId="89" xfId="0" applyNumberFormat="1" applyFont="1" applyBorder="1" applyAlignment="1">
      <alignment vertical="center" wrapText="1"/>
    </xf>
    <xf numFmtId="0" fontId="11" fillId="0" borderId="4" xfId="2" applyFont="1" applyBorder="1" applyAlignment="1">
      <alignment horizontal="center"/>
    </xf>
    <xf numFmtId="37" fontId="11" fillId="0" borderId="5" xfId="2" applyNumberFormat="1" applyFont="1" applyBorder="1" applyAlignment="1">
      <alignment horizontal="center"/>
    </xf>
    <xf numFmtId="0" fontId="11" fillId="0" borderId="4" xfId="2" applyFont="1" applyBorder="1" applyAlignment="1">
      <alignment horizontal="center" readingOrder="1"/>
    </xf>
    <xf numFmtId="37" fontId="11" fillId="0" borderId="5" xfId="2" applyNumberFormat="1" applyFont="1" applyBorder="1" applyAlignment="1">
      <alignment horizontal="center" readingOrder="1"/>
    </xf>
    <xf numFmtId="0" fontId="11" fillId="0" borderId="88" xfId="2" applyFont="1" applyBorder="1" applyAlignment="1">
      <alignment horizontal="center"/>
    </xf>
    <xf numFmtId="37" fontId="11" fillId="0" borderId="89" xfId="2" applyNumberFormat="1" applyFont="1" applyBorder="1" applyAlignment="1">
      <alignment horizontal="center"/>
    </xf>
    <xf numFmtId="0" fontId="11" fillId="0" borderId="89" xfId="2" applyFont="1" applyBorder="1" applyAlignment="1">
      <alignment horizontal="center"/>
    </xf>
    <xf numFmtId="0" fontId="11" fillId="0" borderId="88" xfId="2" applyFont="1" applyBorder="1" applyAlignment="1">
      <alignment horizontal="center" readingOrder="1"/>
    </xf>
    <xf numFmtId="37" fontId="11" fillId="0" borderId="89" xfId="2" applyNumberFormat="1" applyFont="1" applyBorder="1" applyAlignment="1">
      <alignment horizontal="center" readingOrder="1"/>
    </xf>
    <xf numFmtId="0" fontId="11" fillId="0" borderId="89" xfId="2" applyFont="1" applyBorder="1" applyAlignment="1">
      <alignment horizontal="center" readingOrder="1"/>
    </xf>
    <xf numFmtId="0" fontId="11" fillId="0" borderId="88" xfId="2" applyFont="1" applyBorder="1" applyAlignment="1">
      <alignment horizontal="center" wrapText="1"/>
    </xf>
    <xf numFmtId="0" fontId="11" fillId="0" borderId="88" xfId="0" applyFont="1" applyBorder="1" applyAlignment="1">
      <alignment horizontal="center" vertical="top"/>
    </xf>
    <xf numFmtId="0" fontId="11" fillId="0" borderId="89" xfId="0" applyFont="1" applyBorder="1" applyAlignment="1">
      <alignment horizontal="center" vertical="top"/>
    </xf>
    <xf numFmtId="0" fontId="11" fillId="0" borderId="89" xfId="2" applyFont="1" applyBorder="1" applyAlignment="1">
      <alignment wrapText="1"/>
    </xf>
    <xf numFmtId="0" fontId="11" fillId="0" borderId="89" xfId="2" applyFont="1" applyBorder="1" applyAlignment="1">
      <alignment horizontal="left" wrapText="1"/>
    </xf>
    <xf numFmtId="0" fontId="11" fillId="0" borderId="89" xfId="2" applyFont="1" applyBorder="1" applyAlignment="1">
      <alignment horizontal="justify"/>
    </xf>
    <xf numFmtId="0" fontId="11" fillId="0" borderId="89" xfId="2" applyFont="1" applyBorder="1" applyAlignment="1">
      <alignment horizontal="center" wrapText="1"/>
    </xf>
    <xf numFmtId="37" fontId="11" fillId="0" borderId="88" xfId="2" applyNumberFormat="1" applyFont="1" applyBorder="1" applyAlignment="1">
      <alignment horizontal="center"/>
    </xf>
    <xf numFmtId="173" fontId="11" fillId="0" borderId="89" xfId="2" applyNumberFormat="1" applyFont="1" applyBorder="1" applyAlignment="1">
      <alignment horizontal="center"/>
    </xf>
    <xf numFmtId="0" fontId="11" fillId="0" borderId="89" xfId="2" applyFont="1" applyBorder="1" applyAlignment="1">
      <alignment horizontal="center" wrapText="1" readingOrder="1"/>
    </xf>
    <xf numFmtId="0" fontId="11" fillId="0" borderId="89" xfId="2" applyFont="1" applyBorder="1" applyAlignment="1">
      <alignment horizontal="justify" wrapText="1"/>
    </xf>
    <xf numFmtId="0" fontId="11" fillId="0" borderId="89" xfId="0" applyFont="1" applyBorder="1" applyAlignment="1">
      <alignment horizontal="justify" vertical="top" wrapText="1"/>
    </xf>
    <xf numFmtId="0" fontId="11" fillId="0" borderId="89" xfId="2" applyFont="1" applyBorder="1" applyAlignment="1">
      <alignment horizontal="justify" wrapText="1" readingOrder="1"/>
    </xf>
    <xf numFmtId="37" fontId="11" fillId="0" borderId="88" xfId="2" applyNumberFormat="1" applyFont="1" applyBorder="1" applyAlignment="1">
      <alignment horizontal="center" readingOrder="1"/>
    </xf>
    <xf numFmtId="173" fontId="11" fillId="0" borderId="89" xfId="2" applyNumberFormat="1" applyFont="1" applyBorder="1" applyAlignment="1">
      <alignment horizontal="center" readingOrder="1"/>
    </xf>
    <xf numFmtId="37" fontId="11" fillId="0" borderId="89" xfId="0" applyNumberFormat="1" applyFont="1" applyBorder="1" applyAlignment="1">
      <alignment horizontal="center" vertical="top"/>
    </xf>
    <xf numFmtId="170" fontId="7" fillId="0" borderId="89" xfId="0" applyNumberFormat="1" applyFont="1" applyBorder="1" applyAlignment="1">
      <alignment vertical="center" wrapText="1"/>
    </xf>
    <xf numFmtId="43" fontId="12" fillId="0" borderId="89" xfId="3" applyFont="1" applyFill="1" applyBorder="1" applyAlignment="1">
      <alignment horizontal="left" wrapText="1"/>
    </xf>
    <xf numFmtId="0" fontId="11" fillId="0" borderId="127" xfId="2" applyFont="1" applyBorder="1" applyAlignment="1">
      <alignment horizontal="center"/>
    </xf>
    <xf numFmtId="0" fontId="11" fillId="0" borderId="97" xfId="2" applyFont="1" applyBorder="1" applyAlignment="1">
      <alignment horizontal="center"/>
    </xf>
    <xf numFmtId="0" fontId="11" fillId="0" borderId="96" xfId="0" applyFont="1" applyBorder="1" applyAlignment="1">
      <alignment horizontal="center" vertical="center"/>
    </xf>
    <xf numFmtId="0" fontId="11" fillId="0" borderId="97" xfId="0" applyFont="1" applyBorder="1" applyAlignment="1">
      <alignment horizontal="center" vertical="top"/>
    </xf>
    <xf numFmtId="49" fontId="4" fillId="0" borderId="89" xfId="2" applyNumberFormat="1" applyFont="1" applyBorder="1" applyAlignment="1">
      <alignment horizontal="center" vertical="center" wrapText="1"/>
    </xf>
    <xf numFmtId="0" fontId="4" fillId="0" borderId="89" xfId="2" applyFont="1" applyBorder="1" applyAlignment="1">
      <alignment horizontal="left" vertical="center" wrapText="1"/>
    </xf>
    <xf numFmtId="0" fontId="4" fillId="0" borderId="89" xfId="2" applyFont="1" applyBorder="1" applyAlignment="1">
      <alignment horizontal="center" vertical="center" wrapText="1"/>
    </xf>
    <xf numFmtId="170" fontId="4" fillId="0" borderId="89" xfId="2" applyNumberFormat="1" applyFont="1" applyBorder="1" applyAlignment="1">
      <alignment vertical="center" wrapText="1"/>
    </xf>
    <xf numFmtId="168" fontId="4" fillId="0" borderId="89" xfId="2" applyNumberFormat="1" applyFont="1" applyBorder="1" applyAlignment="1">
      <alignment vertical="center" wrapText="1"/>
    </xf>
    <xf numFmtId="168" fontId="5" fillId="0" borderId="89" xfId="0" applyNumberFormat="1" applyFont="1" applyBorder="1" applyAlignment="1">
      <alignment vertical="center" wrapText="1"/>
    </xf>
    <xf numFmtId="3" fontId="4" fillId="0" borderId="89" xfId="2" applyNumberFormat="1" applyFont="1" applyBorder="1" applyAlignment="1">
      <alignment vertical="center" wrapText="1"/>
    </xf>
    <xf numFmtId="0" fontId="199" fillId="0" borderId="0" xfId="2" applyFont="1"/>
    <xf numFmtId="0" fontId="193" fillId="0" borderId="0" xfId="2" applyFont="1"/>
    <xf numFmtId="0" fontId="4" fillId="0" borderId="0" xfId="2" applyFont="1"/>
    <xf numFmtId="0" fontId="4" fillId="0" borderId="0" xfId="2" applyFont="1" applyAlignment="1">
      <alignment horizontal="center"/>
    </xf>
    <xf numFmtId="0" fontId="4" fillId="0" borderId="0" xfId="2" applyFont="1" applyAlignment="1">
      <alignment horizontal="center" vertical="center"/>
    </xf>
    <xf numFmtId="0" fontId="3" fillId="0" borderId="123" xfId="2" applyFont="1" applyBorder="1" applyAlignment="1">
      <alignment horizontal="left"/>
    </xf>
    <xf numFmtId="0" fontId="3" fillId="0" borderId="124" xfId="2" applyFont="1" applyBorder="1" applyAlignment="1">
      <alignment horizontal="left"/>
    </xf>
    <xf numFmtId="0" fontId="3" fillId="0" borderId="124" xfId="2" applyFont="1" applyBorder="1" applyAlignment="1">
      <alignment horizontal="left" vertical="center"/>
    </xf>
    <xf numFmtId="169" fontId="3" fillId="0" borderId="125" xfId="2" applyNumberFormat="1" applyFont="1" applyBorder="1" applyAlignment="1">
      <alignment horizontal="left" vertical="center"/>
    </xf>
    <xf numFmtId="168" fontId="3" fillId="0" borderId="0" xfId="2" applyNumberFormat="1" applyFont="1" applyAlignment="1">
      <alignment horizontal="left" vertical="center"/>
    </xf>
    <xf numFmtId="14" fontId="193" fillId="0" borderId="0" xfId="2" applyNumberFormat="1" applyFont="1" applyAlignment="1">
      <alignment vertical="center"/>
    </xf>
    <xf numFmtId="0" fontId="193" fillId="0" borderId="0" xfId="2" applyFont="1" applyAlignment="1">
      <alignment horizontal="left" vertical="center"/>
    </xf>
    <xf numFmtId="0" fontId="199" fillId="0" borderId="0" xfId="2" applyFont="1" applyAlignment="1">
      <alignment vertical="center"/>
    </xf>
    <xf numFmtId="0" fontId="199" fillId="0" borderId="0" xfId="2" applyFont="1" applyAlignment="1">
      <alignment horizontal="left" vertical="center"/>
    </xf>
    <xf numFmtId="169" fontId="199" fillId="0" borderId="0" xfId="2" applyNumberFormat="1" applyFont="1" applyAlignment="1">
      <alignment vertical="center"/>
    </xf>
    <xf numFmtId="169" fontId="193" fillId="0" borderId="0" xfId="2" applyNumberFormat="1" applyFont="1" applyAlignment="1">
      <alignment vertical="center"/>
    </xf>
    <xf numFmtId="0" fontId="3" fillId="0" borderId="1" xfId="2" applyFont="1" applyBorder="1" applyAlignment="1">
      <alignment horizontal="left"/>
    </xf>
    <xf numFmtId="0" fontId="3" fillId="0" borderId="0" xfId="2" applyFont="1" applyAlignment="1">
      <alignment horizontal="left"/>
    </xf>
    <xf numFmtId="0" fontId="3" fillId="0" borderId="0" xfId="2" applyFont="1" applyAlignment="1">
      <alignment horizontal="left" vertical="center"/>
    </xf>
    <xf numFmtId="169" fontId="3" fillId="0" borderId="2" xfId="2" applyNumberFormat="1" applyFont="1" applyBorder="1" applyAlignment="1">
      <alignment horizontal="left" vertical="center"/>
    </xf>
    <xf numFmtId="0" fontId="193" fillId="0" borderId="0" xfId="2" applyFont="1" applyAlignment="1">
      <alignment vertical="center"/>
    </xf>
    <xf numFmtId="0" fontId="3" fillId="0" borderId="2" xfId="2" applyFont="1" applyBorder="1" applyAlignment="1">
      <alignment vertical="center"/>
    </xf>
    <xf numFmtId="168" fontId="5" fillId="0" borderId="0" xfId="2" applyNumberFormat="1" applyFont="1" applyAlignment="1">
      <alignment vertical="center"/>
    </xf>
    <xf numFmtId="0" fontId="5" fillId="0" borderId="0" xfId="2" applyFont="1" applyAlignment="1">
      <alignment vertical="center"/>
    </xf>
    <xf numFmtId="0" fontId="3" fillId="0" borderId="0" xfId="2" applyFont="1" applyAlignment="1">
      <alignment vertical="center"/>
    </xf>
    <xf numFmtId="0" fontId="193" fillId="0" borderId="0" xfId="2" applyFont="1" applyAlignment="1">
      <alignment horizontal="center" vertical="center"/>
    </xf>
    <xf numFmtId="0" fontId="3" fillId="0" borderId="1" xfId="2" applyFont="1" applyBorder="1"/>
    <xf numFmtId="0" fontId="3" fillId="0" borderId="0" xfId="2" applyFont="1"/>
    <xf numFmtId="0" fontId="4" fillId="0" borderId="2" xfId="2" applyFont="1" applyBorder="1" applyAlignment="1">
      <alignment vertical="center"/>
    </xf>
    <xf numFmtId="168" fontId="4" fillId="0" borderId="0" xfId="2" applyNumberFormat="1" applyFont="1" applyAlignment="1">
      <alignment vertical="center"/>
    </xf>
    <xf numFmtId="0" fontId="4" fillId="0" borderId="0" xfId="2" applyFont="1" applyAlignment="1">
      <alignment vertical="center"/>
    </xf>
    <xf numFmtId="49" fontId="3" fillId="0" borderId="89" xfId="2" applyNumberFormat="1" applyFont="1" applyBorder="1" applyAlignment="1">
      <alignment horizontal="center" vertical="center" wrapText="1"/>
    </xf>
    <xf numFmtId="0" fontId="3" fillId="0" borderId="89" xfId="2" applyFont="1" applyBorder="1" applyAlignment="1">
      <alignment horizontal="center" vertical="center" wrapText="1"/>
    </xf>
    <xf numFmtId="170" fontId="3" fillId="0" borderId="89" xfId="2" applyNumberFormat="1" applyFont="1" applyBorder="1" applyAlignment="1">
      <alignment horizontal="center" vertical="center" wrapText="1"/>
    </xf>
    <xf numFmtId="168" fontId="3" fillId="0" borderId="89" xfId="2" applyNumberFormat="1" applyFont="1" applyBorder="1" applyAlignment="1">
      <alignment horizontal="center" vertical="center" wrapText="1"/>
    </xf>
    <xf numFmtId="171" fontId="193" fillId="0" borderId="89" xfId="2" applyNumberFormat="1" applyFont="1" applyBorder="1" applyAlignment="1">
      <alignment horizontal="center" vertical="center"/>
    </xf>
    <xf numFmtId="0" fontId="4" fillId="0" borderId="89" xfId="2" applyFont="1" applyBorder="1" applyAlignment="1">
      <alignment horizontal="center"/>
    </xf>
    <xf numFmtId="43" fontId="193" fillId="0" borderId="89" xfId="0" applyNumberFormat="1" applyFont="1" applyBorder="1"/>
    <xf numFmtId="43" fontId="199" fillId="0" borderId="89" xfId="0" applyNumberFormat="1" applyFont="1" applyBorder="1"/>
    <xf numFmtId="168" fontId="4" fillId="0" borderId="0" xfId="2" applyNumberFormat="1" applyFont="1"/>
    <xf numFmtId="0" fontId="4" fillId="0" borderId="89" xfId="2" applyFont="1" applyBorder="1"/>
    <xf numFmtId="172" fontId="4" fillId="0" borderId="0" xfId="2" applyNumberFormat="1" applyFont="1" applyAlignment="1">
      <alignment horizontal="center"/>
    </xf>
    <xf numFmtId="0" fontId="3" fillId="0" borderId="0" xfId="2" applyFont="1" applyAlignment="1">
      <alignment horizontal="center" vertical="center"/>
    </xf>
    <xf numFmtId="43" fontId="4" fillId="0" borderId="89" xfId="2" applyNumberFormat="1" applyFont="1" applyBorder="1"/>
    <xf numFmtId="43" fontId="4" fillId="0" borderId="0" xfId="2" applyNumberFormat="1" applyFont="1" applyAlignment="1">
      <alignment horizontal="center" vertical="center"/>
    </xf>
    <xf numFmtId="43" fontId="4" fillId="0" borderId="0" xfId="2" applyNumberFormat="1" applyFont="1"/>
    <xf numFmtId="1" fontId="193" fillId="0" borderId="0" xfId="2" applyNumberFormat="1" applyFont="1" applyAlignment="1">
      <alignment horizontal="center" vertical="center"/>
    </xf>
    <xf numFmtId="1" fontId="194" fillId="0" borderId="0" xfId="2" applyNumberFormat="1" applyFont="1" applyAlignment="1">
      <alignment horizontal="center" vertical="center"/>
    </xf>
    <xf numFmtId="168" fontId="196" fillId="0" borderId="0" xfId="2" applyNumberFormat="1" applyFont="1" applyAlignment="1">
      <alignment horizontal="center" vertical="center"/>
    </xf>
    <xf numFmtId="1" fontId="195" fillId="0" borderId="0" xfId="2" applyNumberFormat="1" applyFont="1" applyAlignment="1">
      <alignment horizontal="center" vertical="center"/>
    </xf>
    <xf numFmtId="49" fontId="4" fillId="0" borderId="89" xfId="2" applyNumberFormat="1" applyFont="1" applyBorder="1" applyAlignment="1">
      <alignment horizontal="center" wrapText="1" readingOrder="1"/>
    </xf>
    <xf numFmtId="0" fontId="4" fillId="0" borderId="89" xfId="2" applyFont="1" applyBorder="1" applyAlignment="1">
      <alignment horizontal="left" wrapText="1" readingOrder="1"/>
    </xf>
    <xf numFmtId="0" fontId="4" fillId="0" borderId="89" xfId="2" applyFont="1" applyBorder="1" applyAlignment="1">
      <alignment horizontal="center" wrapText="1" readingOrder="1"/>
    </xf>
    <xf numFmtId="170" fontId="4" fillId="0" borderId="89" xfId="2" applyNumberFormat="1" applyFont="1" applyBorder="1" applyAlignment="1">
      <alignment wrapText="1" readingOrder="1"/>
    </xf>
    <xf numFmtId="168" fontId="4" fillId="0" borderId="89" xfId="2" applyNumberFormat="1" applyFont="1" applyBorder="1" applyAlignment="1">
      <alignment wrapText="1" readingOrder="1"/>
    </xf>
    <xf numFmtId="0" fontId="193" fillId="0" borderId="89" xfId="2" applyFont="1" applyBorder="1"/>
    <xf numFmtId="168" fontId="193" fillId="0" borderId="89" xfId="2" applyNumberFormat="1" applyFont="1" applyBorder="1"/>
    <xf numFmtId="0" fontId="199" fillId="0" borderId="89" xfId="2" applyFont="1" applyBorder="1"/>
    <xf numFmtId="168" fontId="197" fillId="0" borderId="0" xfId="2" applyNumberFormat="1" applyFont="1" applyAlignment="1">
      <alignment horizontal="center" vertical="center"/>
    </xf>
    <xf numFmtId="1" fontId="198" fillId="0" borderId="0" xfId="2" applyNumberFormat="1" applyFont="1" applyAlignment="1">
      <alignment horizontal="center" vertical="center"/>
    </xf>
    <xf numFmtId="168" fontId="1" fillId="0" borderId="0" xfId="2" applyNumberFormat="1"/>
    <xf numFmtId="0" fontId="1" fillId="0" borderId="0" xfId="2" applyAlignment="1">
      <alignment horizontal="center"/>
    </xf>
    <xf numFmtId="235" fontId="6" fillId="0" borderId="0" xfId="54011" applyNumberFormat="1" applyFont="1" applyFill="1" applyAlignment="1">
      <alignment horizontal="center"/>
    </xf>
    <xf numFmtId="170" fontId="4" fillId="0" borderId="0" xfId="2" applyNumberFormat="1" applyFont="1"/>
    <xf numFmtId="1" fontId="4" fillId="0" borderId="0" xfId="2" applyNumberFormat="1" applyFont="1"/>
    <xf numFmtId="168" fontId="6" fillId="0" borderId="0" xfId="5" applyNumberFormat="1" applyFont="1" applyAlignment="1">
      <alignment horizontal="center"/>
    </xf>
    <xf numFmtId="168" fontId="5" fillId="0" borderId="89" xfId="2" applyNumberFormat="1" applyFont="1" applyBorder="1" applyAlignment="1">
      <alignment horizontal="center" vertical="center"/>
    </xf>
    <xf numFmtId="170" fontId="5" fillId="0" borderId="89" xfId="2" applyNumberFormat="1" applyFont="1" applyBorder="1" applyAlignment="1">
      <alignment horizontal="center" vertical="center" wrapText="1"/>
    </xf>
    <xf numFmtId="0" fontId="3" fillId="0" borderId="89" xfId="2" applyFont="1" applyBorder="1" applyAlignment="1">
      <alignment horizontal="center"/>
    </xf>
    <xf numFmtId="168" fontId="5" fillId="0" borderId="101" xfId="2" applyNumberFormat="1" applyFont="1" applyBorder="1" applyAlignment="1">
      <alignment horizontal="center" vertical="center" wrapText="1"/>
    </xf>
    <xf numFmtId="168" fontId="5" fillId="0" borderId="96" xfId="2" applyNumberFormat="1" applyFont="1" applyBorder="1" applyAlignment="1">
      <alignment horizontal="center" vertical="center" wrapText="1"/>
    </xf>
    <xf numFmtId="16" fontId="187" fillId="0" borderId="0" xfId="11" applyNumberFormat="1" applyFont="1" applyAlignment="1">
      <alignment horizontal="center" vertical="center"/>
    </xf>
    <xf numFmtId="0" fontId="187" fillId="0" borderId="89" xfId="11" applyFont="1" applyBorder="1" applyAlignment="1">
      <alignment horizontal="center" vertical="center" wrapText="1"/>
    </xf>
    <xf numFmtId="0" fontId="187" fillId="0" borderId="6" xfId="11" applyFont="1" applyBorder="1" applyAlignment="1">
      <alignment horizontal="center" vertical="center" wrapText="1"/>
    </xf>
    <xf numFmtId="0" fontId="187" fillId="0" borderId="19" xfId="11" applyFont="1" applyBorder="1" applyAlignment="1">
      <alignment horizontal="center" vertical="center" wrapText="1"/>
    </xf>
    <xf numFmtId="0" fontId="187" fillId="0" borderId="94" xfId="11" applyFont="1" applyBorder="1" applyAlignment="1">
      <alignment horizontal="center" vertical="center" wrapText="1"/>
    </xf>
    <xf numFmtId="0" fontId="187" fillId="0" borderId="16" xfId="11" applyFont="1" applyBorder="1" applyAlignment="1">
      <alignment horizontal="center" vertical="center" wrapText="1"/>
    </xf>
    <xf numFmtId="0" fontId="187" fillId="0" borderId="93" xfId="11" applyFont="1" applyBorder="1" applyAlignment="1">
      <alignment horizontal="center" vertical="center" wrapText="1"/>
    </xf>
    <xf numFmtId="0" fontId="187" fillId="0" borderId="123" xfId="11" applyFont="1" applyBorder="1" applyAlignment="1">
      <alignment horizontal="center" vertical="center"/>
    </xf>
    <xf numFmtId="0" fontId="187" fillId="0" borderId="124" xfId="11" applyFont="1" applyBorder="1" applyAlignment="1">
      <alignment horizontal="center" vertical="center"/>
    </xf>
    <xf numFmtId="0" fontId="187" fillId="0" borderId="125" xfId="11" applyFont="1" applyBorder="1" applyAlignment="1">
      <alignment horizontal="center" vertical="center"/>
    </xf>
    <xf numFmtId="0" fontId="187" fillId="0" borderId="118" xfId="11" applyFont="1" applyBorder="1" applyAlignment="1">
      <alignment horizontal="center" vertical="center"/>
    </xf>
    <xf numFmtId="0" fontId="187" fillId="0" borderId="119" xfId="11" applyFont="1" applyBorder="1" applyAlignment="1">
      <alignment horizontal="center" vertical="center"/>
    </xf>
    <xf numFmtId="0" fontId="187" fillId="0" borderId="126" xfId="11" applyFont="1" applyBorder="1" applyAlignment="1">
      <alignment horizontal="center" vertical="center"/>
    </xf>
    <xf numFmtId="0" fontId="190" fillId="0" borderId="87" xfId="11" applyFont="1" applyBorder="1" applyAlignment="1">
      <alignment horizontal="center" vertical="center"/>
    </xf>
    <xf numFmtId="0" fontId="190" fillId="0" borderId="33" xfId="11" applyFont="1" applyBorder="1" applyAlignment="1">
      <alignment horizontal="center" vertical="center"/>
    </xf>
    <xf numFmtId="0" fontId="190" fillId="0" borderId="5" xfId="11" applyFont="1" applyBorder="1" applyAlignment="1">
      <alignment horizontal="center" vertical="center"/>
    </xf>
    <xf numFmtId="0" fontId="190" fillId="0" borderId="35" xfId="11" applyFont="1" applyBorder="1" applyAlignment="1">
      <alignment horizontal="center" vertical="center" wrapText="1"/>
    </xf>
    <xf numFmtId="0" fontId="190" fillId="0" borderId="80" xfId="11" applyFont="1" applyBorder="1" applyAlignment="1">
      <alignment horizontal="center" vertical="center"/>
    </xf>
    <xf numFmtId="0" fontId="190" fillId="0" borderId="76" xfId="11" applyFont="1" applyBorder="1" applyAlignment="1">
      <alignment horizontal="center" vertical="center"/>
    </xf>
    <xf numFmtId="0" fontId="190" fillId="0" borderId="35" xfId="11" applyFont="1" applyBorder="1" applyAlignment="1">
      <alignment horizontal="left" vertical="center" wrapText="1"/>
    </xf>
    <xf numFmtId="0" fontId="190" fillId="0" borderId="80" xfId="11" applyFont="1" applyBorder="1" applyAlignment="1">
      <alignment horizontal="left" vertical="center" wrapText="1"/>
    </xf>
    <xf numFmtId="0" fontId="190" fillId="0" borderId="76" xfId="11" applyFont="1" applyBorder="1" applyAlignment="1">
      <alignment horizontal="left" vertical="center" wrapText="1"/>
    </xf>
    <xf numFmtId="0" fontId="189" fillId="0" borderId="3" xfId="11" applyFont="1" applyBorder="1" applyAlignment="1">
      <alignment horizontal="center" vertical="center"/>
    </xf>
    <xf numFmtId="0" fontId="189" fillId="0" borderId="27" xfId="11" applyFont="1" applyBorder="1" applyAlignment="1">
      <alignment horizontal="center" vertical="center" wrapText="1"/>
    </xf>
    <xf numFmtId="0" fontId="189" fillId="0" borderId="26" xfId="11" applyFont="1" applyBorder="1" applyAlignment="1">
      <alignment horizontal="center" vertical="center" wrapText="1"/>
    </xf>
    <xf numFmtId="16" fontId="189" fillId="0" borderId="0" xfId="11" applyNumberFormat="1" applyFont="1" applyAlignment="1">
      <alignment horizontal="center" vertical="center"/>
    </xf>
    <xf numFmtId="0" fontId="189" fillId="0" borderId="0" xfId="11" applyFont="1" applyAlignment="1">
      <alignment horizontal="center" vertical="center" wrapText="1"/>
    </xf>
    <xf numFmtId="0" fontId="189" fillId="0" borderId="6" xfId="11" applyFont="1" applyBorder="1" applyAlignment="1">
      <alignment horizontal="center" vertical="center" wrapText="1"/>
    </xf>
    <xf numFmtId="0" fontId="189" fillId="0" borderId="16" xfId="11" applyFont="1" applyBorder="1" applyAlignment="1">
      <alignment horizontal="center" vertical="center" wrapText="1"/>
    </xf>
    <xf numFmtId="0" fontId="189" fillId="0" borderId="20" xfId="11" applyFont="1" applyBorder="1" applyAlignment="1">
      <alignment horizontal="center" vertical="center" wrapText="1"/>
    </xf>
    <xf numFmtId="0" fontId="189" fillId="0" borderId="3" xfId="11" applyFont="1" applyBorder="1" applyAlignment="1">
      <alignment horizontal="center" vertical="center" wrapText="1"/>
    </xf>
    <xf numFmtId="0" fontId="189" fillId="0" borderId="17" xfId="11" applyFont="1" applyBorder="1" applyAlignment="1">
      <alignment horizontal="center" vertical="center" wrapText="1"/>
    </xf>
    <xf numFmtId="0" fontId="189" fillId="0" borderId="18" xfId="11" applyFont="1" applyBorder="1" applyAlignment="1">
      <alignment horizontal="center" vertical="center" wrapText="1"/>
    </xf>
    <xf numFmtId="0" fontId="189" fillId="0" borderId="21" xfId="11" applyFont="1" applyBorder="1" applyAlignment="1">
      <alignment horizontal="center" vertical="center" wrapText="1"/>
    </xf>
    <xf numFmtId="0" fontId="189" fillId="0" borderId="28" xfId="11" applyFont="1" applyBorder="1" applyAlignment="1">
      <alignment horizontal="center" vertical="center" wrapText="1"/>
    </xf>
    <xf numFmtId="0" fontId="189" fillId="0" borderId="22" xfId="11" applyFont="1" applyBorder="1" applyAlignment="1">
      <alignment horizontal="center" vertical="center" wrapText="1"/>
    </xf>
    <xf numFmtId="0" fontId="189" fillId="0" borderId="29" xfId="11" applyFont="1" applyBorder="1" applyAlignment="1">
      <alignment horizontal="center" vertical="center" wrapText="1"/>
    </xf>
    <xf numFmtId="0" fontId="189" fillId="0" borderId="23" xfId="11" applyFont="1" applyBorder="1" applyAlignment="1">
      <alignment horizontal="center" vertical="center" wrapText="1"/>
    </xf>
    <xf numFmtId="0" fontId="189" fillId="0" borderId="24" xfId="11" applyFont="1" applyBorder="1" applyAlignment="1">
      <alignment horizontal="center" vertical="center" wrapText="1"/>
    </xf>
    <xf numFmtId="0" fontId="189" fillId="0" borderId="30" xfId="11" applyFont="1" applyBorder="1" applyAlignment="1">
      <alignment horizontal="center" vertical="center" wrapText="1"/>
    </xf>
    <xf numFmtId="0" fontId="189" fillId="0" borderId="25" xfId="11" applyFont="1" applyBorder="1" applyAlignment="1">
      <alignment horizontal="center" vertical="center" wrapText="1"/>
    </xf>
    <xf numFmtId="0" fontId="189" fillId="0" borderId="31" xfId="11" applyFont="1" applyBorder="1" applyAlignment="1">
      <alignment horizontal="center" vertical="center" wrapText="1"/>
    </xf>
    <xf numFmtId="0" fontId="189" fillId="0" borderId="123" xfId="11" applyFont="1" applyBorder="1" applyAlignment="1">
      <alignment horizontal="center" vertical="center"/>
    </xf>
    <xf numFmtId="0" fontId="189" fillId="0" borderId="124" xfId="11" applyFont="1" applyBorder="1" applyAlignment="1">
      <alignment horizontal="center" vertical="center"/>
    </xf>
    <xf numFmtId="0" fontId="189" fillId="0" borderId="125" xfId="11" applyFont="1" applyBorder="1" applyAlignment="1">
      <alignment horizontal="center" vertical="center"/>
    </xf>
    <xf numFmtId="0" fontId="189" fillId="0" borderId="118" xfId="11" applyFont="1" applyBorder="1" applyAlignment="1">
      <alignment horizontal="center" vertical="center"/>
    </xf>
    <xf numFmtId="0" fontId="189" fillId="0" borderId="119" xfId="11" applyFont="1" applyBorder="1" applyAlignment="1">
      <alignment horizontal="center" vertical="center"/>
    </xf>
    <xf numFmtId="0" fontId="189" fillId="0" borderId="126" xfId="11" applyFont="1" applyBorder="1" applyAlignment="1">
      <alignment horizontal="center" vertical="center"/>
    </xf>
    <xf numFmtId="0" fontId="189" fillId="0" borderId="5" xfId="11" applyFont="1" applyBorder="1" applyAlignment="1">
      <alignment horizontal="center" vertical="center" wrapText="1"/>
    </xf>
    <xf numFmtId="0" fontId="189" fillId="0" borderId="120" xfId="11" applyFont="1" applyBorder="1" applyAlignment="1">
      <alignment horizontal="center" vertical="center" wrapText="1"/>
    </xf>
    <xf numFmtId="0" fontId="189" fillId="0" borderId="121" xfId="11" applyFont="1" applyBorder="1" applyAlignment="1">
      <alignment horizontal="center" vertical="center" wrapText="1"/>
    </xf>
    <xf numFmtId="0" fontId="189" fillId="0" borderId="122" xfId="11" applyFont="1" applyBorder="1" applyAlignment="1">
      <alignment horizontal="center" vertical="center" wrapText="1"/>
    </xf>
    <xf numFmtId="0" fontId="31" fillId="108" borderId="89" xfId="0" applyFont="1" applyFill="1" applyBorder="1" applyAlignment="1">
      <alignment horizontal="center"/>
    </xf>
    <xf numFmtId="0" fontId="31" fillId="108" borderId="123" xfId="0" applyFont="1" applyFill="1" applyBorder="1" applyAlignment="1">
      <alignment horizontal="center"/>
    </xf>
    <xf numFmtId="0" fontId="31" fillId="108" borderId="124" xfId="0" applyFont="1" applyFill="1" applyBorder="1" applyAlignment="1">
      <alignment horizontal="center"/>
    </xf>
    <xf numFmtId="0" fontId="31" fillId="108" borderId="125" xfId="0" applyFont="1" applyFill="1" applyBorder="1" applyAlignment="1">
      <alignment horizontal="center"/>
    </xf>
  </cellXfs>
  <cellStyles count="54012">
    <cellStyle name=":" xfId="15" xr:uid="{00000000-0005-0000-0000-000000000000}"/>
    <cellStyle name=": 2" xfId="16" xr:uid="{00000000-0005-0000-0000-000001000000}"/>
    <cellStyle name="??" xfId="17" xr:uid="{00000000-0005-0000-0000-000002000000}"/>
    <cellStyle name="?? [0.00]_laroux" xfId="18" xr:uid="{00000000-0005-0000-0000-000003000000}"/>
    <cellStyle name="?? [0] 2" xfId="19" xr:uid="{00000000-0005-0000-0000-000004000000}"/>
    <cellStyle name="?? 2" xfId="20" xr:uid="{00000000-0005-0000-0000-000005000000}"/>
    <cellStyle name="??&amp;O?&amp;H?_x0008__x000f__x0007_?_x0007__x0001__x0001_" xfId="21" xr:uid="{00000000-0005-0000-0000-000006000000}"/>
    <cellStyle name="??&amp;O?&amp;H?_x0008_??_x0007__x0001__x0001_" xfId="22" xr:uid="{00000000-0005-0000-0000-000007000000}"/>
    <cellStyle name="???? [0.00]_laroux" xfId="23" xr:uid="{00000000-0005-0000-0000-000008000000}"/>
    <cellStyle name="????_laroux" xfId="24" xr:uid="{00000000-0005-0000-0000-000009000000}"/>
    <cellStyle name="??_??" xfId="25" xr:uid="{00000000-0005-0000-0000-00000A000000}"/>
    <cellStyle name="_05.08.12_BOQ HIAL" xfId="26" xr:uid="{00000000-0005-0000-0000-00000B000000}"/>
    <cellStyle name="_Angsana" xfId="27" xr:uid="{00000000-0005-0000-0000-00000C000000}"/>
    <cellStyle name="_Annex to RA Bill 3 &amp;amp_ 3A1" xfId="28" xr:uid="{00000000-0005-0000-0000-00000D000000}"/>
    <cellStyle name="_AUSTIN" xfId="29" xr:uid="{00000000-0005-0000-0000-00000E000000}"/>
    <cellStyle name="_Aztec" xfId="30" xr:uid="{00000000-0005-0000-0000-00000F000000}"/>
    <cellStyle name="_certified santech bill-3" xfId="31" xr:uid="{00000000-0005-0000-0000-000010000000}"/>
    <cellStyle name="_DIAL Terminal T3 - Structure  final 12th Jul-07 for Client" xfId="32" xr:uid="{00000000-0005-0000-0000-000011000000}"/>
    <cellStyle name="_eta" xfId="33" xr:uid="{00000000-0005-0000-0000-000012000000}"/>
    <cellStyle name="_ETA_RAB1_certified" xfId="34" xr:uid="{00000000-0005-0000-0000-000013000000}"/>
    <cellStyle name="_FINAL ETA" xfId="35" xr:uid="{00000000-0005-0000-0000-000014000000}"/>
    <cellStyle name="_Fire Fighting Works" xfId="36" xr:uid="{00000000-0005-0000-0000-000015000000}"/>
    <cellStyle name="_Glaxo-Smithkline" xfId="37" xr:uid="{00000000-0005-0000-0000-000016000000}"/>
    <cellStyle name="_Google" xfId="38" xr:uid="{00000000-0005-0000-0000-000017000000}"/>
    <cellStyle name="_H P campus" xfId="39" xr:uid="{00000000-0005-0000-0000-000018000000}"/>
    <cellStyle name="_H.P. - Brigade Hul-Kul-Bills" xfId="40" xr:uid="{00000000-0005-0000-0000-000019000000}"/>
    <cellStyle name="_H.P. - Brigade Hul-Kul-Bills_Hinduja workings - Rev 0" xfId="41" xr:uid="{00000000-0005-0000-0000-00001A000000}"/>
    <cellStyle name="_HYD AIRPORT -R2 - 08-09-05 - SOFT" xfId="42" xr:uid="{00000000-0005-0000-0000-00001B000000}"/>
    <cellStyle name="_kafex_RA_04" xfId="43" xr:uid="{00000000-0005-0000-0000-00001C000000}"/>
    <cellStyle name="_KFAEX__RAB-2-certified" xfId="44" xr:uid="{00000000-0005-0000-0000-00001D000000}"/>
    <cellStyle name="_Mantri - Revised" xfId="45" xr:uid="{00000000-0005-0000-0000-00001E000000}"/>
    <cellStyle name="_Mantri - Revised_Hinduja workings - Rev 0" xfId="46" xr:uid="{00000000-0005-0000-0000-00001F000000}"/>
    <cellStyle name="_M-BOOK BILL-6 (EXT)-Final" xfId="47" xr:uid="{00000000-0005-0000-0000-000020000000}"/>
    <cellStyle name="_MERB-263-B" xfId="48" xr:uid="{00000000-0005-0000-0000-000021000000}"/>
    <cellStyle name="_MERB-263-B(Final Abstract)" xfId="49" xr:uid="{00000000-0005-0000-0000-000022000000}"/>
    <cellStyle name="_Micron- Certified" xfId="50" xr:uid="{00000000-0005-0000-0000-000023000000}"/>
    <cellStyle name="_Micron RAB-4 Certified" xfId="51" xr:uid="{00000000-0005-0000-0000-000024000000}"/>
    <cellStyle name="_Micron RAB-5 Certified(Final-13-11-06)" xfId="52" xr:uid="{00000000-0005-0000-0000-000025000000}"/>
    <cellStyle name="_Micron RAB-5Certified(Final)" xfId="53" xr:uid="{00000000-0005-0000-0000-000026000000}"/>
    <cellStyle name="_Ocwen - 1" xfId="54" xr:uid="{00000000-0005-0000-0000-000027000000}"/>
    <cellStyle name="_Ocwen - Ñ" xfId="55" xr:uid="{00000000-0005-0000-0000-000028000000}"/>
    <cellStyle name="_OTIS RA-1 (Certified)Dated 02.06.06" xfId="56" xr:uid="{00000000-0005-0000-0000-000029000000}"/>
    <cellStyle name="_OTIS RA-1 final -Certified - Dated 08.06.06( R2)" xfId="57" xr:uid="{00000000-0005-0000-0000-00002A000000}"/>
    <cellStyle name="_OTIS_RA_03" xfId="58" xr:uid="{00000000-0005-0000-0000-00002B000000}"/>
    <cellStyle name="_OTIS_RA-02 c&amp;b certified" xfId="59" xr:uid="{00000000-0005-0000-0000-00002C000000}"/>
    <cellStyle name="_OTIS_RA-03 c&amp;b certified" xfId="60" xr:uid="{00000000-0005-0000-0000-00002D000000}"/>
    <cellStyle name="_Overheads" xfId="61" xr:uid="{00000000-0005-0000-0000-00002E000000}"/>
    <cellStyle name="_Prestige - HP Campus" xfId="62" xr:uid="{00000000-0005-0000-0000-00002F000000}"/>
    <cellStyle name="_Prestige Corporate Office" xfId="63" xr:uid="{00000000-0005-0000-0000-000030000000}"/>
    <cellStyle name="_R(1).A_01_Santech(certified)" xfId="64" xr:uid="{00000000-0005-0000-0000-000031000000}"/>
    <cellStyle name="_R(1).A_01_Santech-final-certified" xfId="65" xr:uid="{00000000-0005-0000-0000-000032000000}"/>
    <cellStyle name="_RA - BILL - 4 - certified" xfId="66" xr:uid="{00000000-0005-0000-0000-000033000000}"/>
    <cellStyle name="_RA_01_KAFAX-CERTIFIED" xfId="67" xr:uid="{00000000-0005-0000-0000-000034000000}"/>
    <cellStyle name="_RA_01_KAFAX-final-certified" xfId="68" xr:uid="{00000000-0005-0000-0000-000035000000}"/>
    <cellStyle name="_rab-02" xfId="69" xr:uid="{00000000-0005-0000-0000-000036000000}"/>
    <cellStyle name="_rab-03" xfId="70" xr:uid="{00000000-0005-0000-0000-000037000000}"/>
    <cellStyle name="_RMZ  Futura" xfId="71" xr:uid="{00000000-0005-0000-0000-000038000000}"/>
    <cellStyle name="_S.G. Software - BOQ" xfId="72" xr:uid="{00000000-0005-0000-0000-000039000000}"/>
    <cellStyle name="_Santech_bill_certified" xfId="73" xr:uid="{00000000-0005-0000-0000-00003A000000}"/>
    <cellStyle name="_Santech_M.Sheet-Abstract" xfId="74" xr:uid="{00000000-0005-0000-0000-00003B000000}"/>
    <cellStyle name="_SANTECH_RAB_2-CERTIFIED" xfId="75" xr:uid="{00000000-0005-0000-0000-00003C000000}"/>
    <cellStyle name="_TCS working" xfId="76" xr:uid="{00000000-0005-0000-0000-00003D000000}"/>
    <cellStyle name="_Vysya Bank - Mittal Towers" xfId="77" xr:uid="{00000000-0005-0000-0000-00003E000000}"/>
    <cellStyle name="_Working micron Ext.Final" xfId="78" xr:uid="{00000000-0005-0000-0000-00003F000000}"/>
    <cellStyle name="•W_Electrical" xfId="79" xr:uid="{00000000-0005-0000-0000-000040000000}"/>
    <cellStyle name="W_STDFOR" xfId="53833" xr:uid="{00000000-0005-0000-0000-000041000000}"/>
    <cellStyle name="0" xfId="80" xr:uid="{00000000-0005-0000-0000-000042000000}"/>
    <cellStyle name="0 10" xfId="81" xr:uid="{00000000-0005-0000-0000-000043000000}"/>
    <cellStyle name="0 10 2" xfId="82" xr:uid="{00000000-0005-0000-0000-000044000000}"/>
    <cellStyle name="0 10 2 2" xfId="83" xr:uid="{00000000-0005-0000-0000-000045000000}"/>
    <cellStyle name="0 10 3" xfId="84" xr:uid="{00000000-0005-0000-0000-000046000000}"/>
    <cellStyle name="0 10 3 2" xfId="85" xr:uid="{00000000-0005-0000-0000-000047000000}"/>
    <cellStyle name="0 10 4" xfId="86" xr:uid="{00000000-0005-0000-0000-000048000000}"/>
    <cellStyle name="0 10 5" xfId="87" xr:uid="{00000000-0005-0000-0000-000049000000}"/>
    <cellStyle name="0 11" xfId="88" xr:uid="{00000000-0005-0000-0000-00004A000000}"/>
    <cellStyle name="0 11 2" xfId="89" xr:uid="{00000000-0005-0000-0000-00004B000000}"/>
    <cellStyle name="0 11 3" xfId="90" xr:uid="{00000000-0005-0000-0000-00004C000000}"/>
    <cellStyle name="0 11 4" xfId="91" xr:uid="{00000000-0005-0000-0000-00004D000000}"/>
    <cellStyle name="0 11 5" xfId="92" xr:uid="{00000000-0005-0000-0000-00004E000000}"/>
    <cellStyle name="0 12" xfId="93" xr:uid="{00000000-0005-0000-0000-00004F000000}"/>
    <cellStyle name="0 12 2" xfId="94" xr:uid="{00000000-0005-0000-0000-000050000000}"/>
    <cellStyle name="0 13" xfId="95" xr:uid="{00000000-0005-0000-0000-000051000000}"/>
    <cellStyle name="0 13 2" xfId="96" xr:uid="{00000000-0005-0000-0000-000052000000}"/>
    <cellStyle name="0 14" xfId="97" xr:uid="{00000000-0005-0000-0000-000053000000}"/>
    <cellStyle name="0 15" xfId="98" xr:uid="{00000000-0005-0000-0000-000054000000}"/>
    <cellStyle name="0 16" xfId="99" xr:uid="{00000000-0005-0000-0000-000055000000}"/>
    <cellStyle name="0 17" xfId="100" xr:uid="{00000000-0005-0000-0000-000056000000}"/>
    <cellStyle name="0 18" xfId="101" xr:uid="{00000000-0005-0000-0000-000057000000}"/>
    <cellStyle name="0 19" xfId="102" xr:uid="{00000000-0005-0000-0000-000058000000}"/>
    <cellStyle name="0 2" xfId="103" xr:uid="{00000000-0005-0000-0000-000059000000}"/>
    <cellStyle name="0 2 10" xfId="104" xr:uid="{00000000-0005-0000-0000-00005A000000}"/>
    <cellStyle name="0 2 10 2" xfId="105" xr:uid="{00000000-0005-0000-0000-00005B000000}"/>
    <cellStyle name="0 2 11" xfId="106" xr:uid="{00000000-0005-0000-0000-00005C000000}"/>
    <cellStyle name="0 2 11 2" xfId="107" xr:uid="{00000000-0005-0000-0000-00005D000000}"/>
    <cellStyle name="0 2 12" xfId="108" xr:uid="{00000000-0005-0000-0000-00005E000000}"/>
    <cellStyle name="0 2 13" xfId="109" xr:uid="{00000000-0005-0000-0000-00005F000000}"/>
    <cellStyle name="0 2 14" xfId="110" xr:uid="{00000000-0005-0000-0000-000060000000}"/>
    <cellStyle name="0 2 15" xfId="111" xr:uid="{00000000-0005-0000-0000-000061000000}"/>
    <cellStyle name="0 2 2" xfId="112" xr:uid="{00000000-0005-0000-0000-000062000000}"/>
    <cellStyle name="0 2 2 2" xfId="113" xr:uid="{00000000-0005-0000-0000-000063000000}"/>
    <cellStyle name="0 2 2 2 2" xfId="114" xr:uid="{00000000-0005-0000-0000-000064000000}"/>
    <cellStyle name="0 2 2 2 2 2" xfId="115" xr:uid="{00000000-0005-0000-0000-000065000000}"/>
    <cellStyle name="0 2 2 2 2 2 2" xfId="116" xr:uid="{00000000-0005-0000-0000-000066000000}"/>
    <cellStyle name="0 2 2 2 2 3" xfId="117" xr:uid="{00000000-0005-0000-0000-000067000000}"/>
    <cellStyle name="0 2 2 2 2 3 2" xfId="118" xr:uid="{00000000-0005-0000-0000-000068000000}"/>
    <cellStyle name="0 2 2 2 2 4" xfId="119" xr:uid="{00000000-0005-0000-0000-000069000000}"/>
    <cellStyle name="0 2 2 2 3" xfId="120" xr:uid="{00000000-0005-0000-0000-00006A000000}"/>
    <cellStyle name="0 2 2 2 3 2" xfId="121" xr:uid="{00000000-0005-0000-0000-00006B000000}"/>
    <cellStyle name="0 2 2 2 3 2 2" xfId="122" xr:uid="{00000000-0005-0000-0000-00006C000000}"/>
    <cellStyle name="0 2 2 2 3 3" xfId="123" xr:uid="{00000000-0005-0000-0000-00006D000000}"/>
    <cellStyle name="0 2 2 2 3 3 2" xfId="124" xr:uid="{00000000-0005-0000-0000-00006E000000}"/>
    <cellStyle name="0 2 2 2 3 4" xfId="125" xr:uid="{00000000-0005-0000-0000-00006F000000}"/>
    <cellStyle name="0 2 2 2 4" xfId="126" xr:uid="{00000000-0005-0000-0000-000070000000}"/>
    <cellStyle name="0 2 2 2 4 2" xfId="127" xr:uid="{00000000-0005-0000-0000-000071000000}"/>
    <cellStyle name="0 2 2 2 5" xfId="128" xr:uid="{00000000-0005-0000-0000-000072000000}"/>
    <cellStyle name="0 2 2 2 5 2" xfId="129" xr:uid="{00000000-0005-0000-0000-000073000000}"/>
    <cellStyle name="0 2 2 2 6" xfId="130" xr:uid="{00000000-0005-0000-0000-000074000000}"/>
    <cellStyle name="0 2 2 3" xfId="131" xr:uid="{00000000-0005-0000-0000-000075000000}"/>
    <cellStyle name="0 2 2 3 2" xfId="132" xr:uid="{00000000-0005-0000-0000-000076000000}"/>
    <cellStyle name="0 2 2 3 2 2" xfId="133" xr:uid="{00000000-0005-0000-0000-000077000000}"/>
    <cellStyle name="0 2 2 3 3" xfId="134" xr:uid="{00000000-0005-0000-0000-000078000000}"/>
    <cellStyle name="0 2 2 3 3 2" xfId="135" xr:uid="{00000000-0005-0000-0000-000079000000}"/>
    <cellStyle name="0 2 2 3 4" xfId="136" xr:uid="{00000000-0005-0000-0000-00007A000000}"/>
    <cellStyle name="0 2 2 4" xfId="137" xr:uid="{00000000-0005-0000-0000-00007B000000}"/>
    <cellStyle name="0 2 2 4 2" xfId="138" xr:uid="{00000000-0005-0000-0000-00007C000000}"/>
    <cellStyle name="0 2 2 4 2 2" xfId="139" xr:uid="{00000000-0005-0000-0000-00007D000000}"/>
    <cellStyle name="0 2 2 4 3" xfId="140" xr:uid="{00000000-0005-0000-0000-00007E000000}"/>
    <cellStyle name="0 2 2 4 3 2" xfId="141" xr:uid="{00000000-0005-0000-0000-00007F000000}"/>
    <cellStyle name="0 2 2 4 4" xfId="142" xr:uid="{00000000-0005-0000-0000-000080000000}"/>
    <cellStyle name="0 2 2 5" xfId="143" xr:uid="{00000000-0005-0000-0000-000081000000}"/>
    <cellStyle name="0 2 2 5 2" xfId="144" xr:uid="{00000000-0005-0000-0000-000082000000}"/>
    <cellStyle name="0 2 2 5 2 2" xfId="145" xr:uid="{00000000-0005-0000-0000-000083000000}"/>
    <cellStyle name="0 2 2 5 3" xfId="146" xr:uid="{00000000-0005-0000-0000-000084000000}"/>
    <cellStyle name="0 2 2 5 3 2" xfId="147" xr:uid="{00000000-0005-0000-0000-000085000000}"/>
    <cellStyle name="0 2 2 5 4" xfId="148" xr:uid="{00000000-0005-0000-0000-000086000000}"/>
    <cellStyle name="0 2 2 6" xfId="149" xr:uid="{00000000-0005-0000-0000-000087000000}"/>
    <cellStyle name="0 2 2 6 2" xfId="150" xr:uid="{00000000-0005-0000-0000-000088000000}"/>
    <cellStyle name="0 2 2 7" xfId="151" xr:uid="{00000000-0005-0000-0000-000089000000}"/>
    <cellStyle name="0 2 2 7 2" xfId="152" xr:uid="{00000000-0005-0000-0000-00008A000000}"/>
    <cellStyle name="0 2 2 8" xfId="153" xr:uid="{00000000-0005-0000-0000-00008B000000}"/>
    <cellStyle name="0 2 3" xfId="154" xr:uid="{00000000-0005-0000-0000-00008C000000}"/>
    <cellStyle name="0 2 3 2" xfId="155" xr:uid="{00000000-0005-0000-0000-00008D000000}"/>
    <cellStyle name="0 2 3 2 2" xfId="156" xr:uid="{00000000-0005-0000-0000-00008E000000}"/>
    <cellStyle name="0 2 3 2 2 2" xfId="157" xr:uid="{00000000-0005-0000-0000-00008F000000}"/>
    <cellStyle name="0 2 3 2 2 2 2" xfId="158" xr:uid="{00000000-0005-0000-0000-000090000000}"/>
    <cellStyle name="0 2 3 2 2 3" xfId="159" xr:uid="{00000000-0005-0000-0000-000091000000}"/>
    <cellStyle name="0 2 3 2 2 3 2" xfId="160" xr:uid="{00000000-0005-0000-0000-000092000000}"/>
    <cellStyle name="0 2 3 2 2 4" xfId="161" xr:uid="{00000000-0005-0000-0000-000093000000}"/>
    <cellStyle name="0 2 3 2 3" xfId="162" xr:uid="{00000000-0005-0000-0000-000094000000}"/>
    <cellStyle name="0 2 3 2 3 2" xfId="163" xr:uid="{00000000-0005-0000-0000-000095000000}"/>
    <cellStyle name="0 2 3 2 3 2 2" xfId="164" xr:uid="{00000000-0005-0000-0000-000096000000}"/>
    <cellStyle name="0 2 3 2 3 3" xfId="165" xr:uid="{00000000-0005-0000-0000-000097000000}"/>
    <cellStyle name="0 2 3 2 3 3 2" xfId="166" xr:uid="{00000000-0005-0000-0000-000098000000}"/>
    <cellStyle name="0 2 3 2 3 4" xfId="167" xr:uid="{00000000-0005-0000-0000-000099000000}"/>
    <cellStyle name="0 2 3 2 4" xfId="168" xr:uid="{00000000-0005-0000-0000-00009A000000}"/>
    <cellStyle name="0 2 3 2 4 2" xfId="169" xr:uid="{00000000-0005-0000-0000-00009B000000}"/>
    <cellStyle name="0 2 3 2 5" xfId="170" xr:uid="{00000000-0005-0000-0000-00009C000000}"/>
    <cellStyle name="0 2 3 2 5 2" xfId="171" xr:uid="{00000000-0005-0000-0000-00009D000000}"/>
    <cellStyle name="0 2 3 2 6" xfId="172" xr:uid="{00000000-0005-0000-0000-00009E000000}"/>
    <cellStyle name="0 2 3 3" xfId="173" xr:uid="{00000000-0005-0000-0000-00009F000000}"/>
    <cellStyle name="0 2 3 3 2" xfId="174" xr:uid="{00000000-0005-0000-0000-0000A0000000}"/>
    <cellStyle name="0 2 3 3 2 2" xfId="175" xr:uid="{00000000-0005-0000-0000-0000A1000000}"/>
    <cellStyle name="0 2 3 3 3" xfId="176" xr:uid="{00000000-0005-0000-0000-0000A2000000}"/>
    <cellStyle name="0 2 3 3 3 2" xfId="177" xr:uid="{00000000-0005-0000-0000-0000A3000000}"/>
    <cellStyle name="0 2 3 3 4" xfId="178" xr:uid="{00000000-0005-0000-0000-0000A4000000}"/>
    <cellStyle name="0 2 3 4" xfId="179" xr:uid="{00000000-0005-0000-0000-0000A5000000}"/>
    <cellStyle name="0 2 3 4 2" xfId="180" xr:uid="{00000000-0005-0000-0000-0000A6000000}"/>
    <cellStyle name="0 2 3 4 2 2" xfId="181" xr:uid="{00000000-0005-0000-0000-0000A7000000}"/>
    <cellStyle name="0 2 3 4 3" xfId="182" xr:uid="{00000000-0005-0000-0000-0000A8000000}"/>
    <cellStyle name="0 2 3 4 3 2" xfId="183" xr:uid="{00000000-0005-0000-0000-0000A9000000}"/>
    <cellStyle name="0 2 3 4 4" xfId="184" xr:uid="{00000000-0005-0000-0000-0000AA000000}"/>
    <cellStyle name="0 2 3 5" xfId="185" xr:uid="{00000000-0005-0000-0000-0000AB000000}"/>
    <cellStyle name="0 2 3 5 2" xfId="186" xr:uid="{00000000-0005-0000-0000-0000AC000000}"/>
    <cellStyle name="0 2 3 5 2 2" xfId="187" xr:uid="{00000000-0005-0000-0000-0000AD000000}"/>
    <cellStyle name="0 2 3 5 3" xfId="188" xr:uid="{00000000-0005-0000-0000-0000AE000000}"/>
    <cellStyle name="0 2 3 5 3 2" xfId="189" xr:uid="{00000000-0005-0000-0000-0000AF000000}"/>
    <cellStyle name="0 2 3 5 4" xfId="190" xr:uid="{00000000-0005-0000-0000-0000B0000000}"/>
    <cellStyle name="0 2 3 6" xfId="191" xr:uid="{00000000-0005-0000-0000-0000B1000000}"/>
    <cellStyle name="0 2 3 6 2" xfId="192" xr:uid="{00000000-0005-0000-0000-0000B2000000}"/>
    <cellStyle name="0 2 3 7" xfId="193" xr:uid="{00000000-0005-0000-0000-0000B3000000}"/>
    <cellStyle name="0 2 3 7 2" xfId="194" xr:uid="{00000000-0005-0000-0000-0000B4000000}"/>
    <cellStyle name="0 2 3 8" xfId="195" xr:uid="{00000000-0005-0000-0000-0000B5000000}"/>
    <cellStyle name="0 2 4" xfId="196" xr:uid="{00000000-0005-0000-0000-0000B6000000}"/>
    <cellStyle name="0 2 4 2" xfId="197" xr:uid="{00000000-0005-0000-0000-0000B7000000}"/>
    <cellStyle name="0 2 4 2 2" xfId="198" xr:uid="{00000000-0005-0000-0000-0000B8000000}"/>
    <cellStyle name="0 2 4 2 2 2" xfId="199" xr:uid="{00000000-0005-0000-0000-0000B9000000}"/>
    <cellStyle name="0 2 4 2 2 2 2" xfId="200" xr:uid="{00000000-0005-0000-0000-0000BA000000}"/>
    <cellStyle name="0 2 4 2 2 3" xfId="201" xr:uid="{00000000-0005-0000-0000-0000BB000000}"/>
    <cellStyle name="0 2 4 2 2 3 2" xfId="202" xr:uid="{00000000-0005-0000-0000-0000BC000000}"/>
    <cellStyle name="0 2 4 2 2 4" xfId="203" xr:uid="{00000000-0005-0000-0000-0000BD000000}"/>
    <cellStyle name="0 2 4 2 3" xfId="204" xr:uid="{00000000-0005-0000-0000-0000BE000000}"/>
    <cellStyle name="0 2 4 2 3 2" xfId="205" xr:uid="{00000000-0005-0000-0000-0000BF000000}"/>
    <cellStyle name="0 2 4 2 3 2 2" xfId="206" xr:uid="{00000000-0005-0000-0000-0000C0000000}"/>
    <cellStyle name="0 2 4 2 3 3" xfId="207" xr:uid="{00000000-0005-0000-0000-0000C1000000}"/>
    <cellStyle name="0 2 4 2 3 3 2" xfId="208" xr:uid="{00000000-0005-0000-0000-0000C2000000}"/>
    <cellStyle name="0 2 4 2 3 4" xfId="209" xr:uid="{00000000-0005-0000-0000-0000C3000000}"/>
    <cellStyle name="0 2 4 2 4" xfId="210" xr:uid="{00000000-0005-0000-0000-0000C4000000}"/>
    <cellStyle name="0 2 4 2 4 2" xfId="211" xr:uid="{00000000-0005-0000-0000-0000C5000000}"/>
    <cellStyle name="0 2 4 2 5" xfId="212" xr:uid="{00000000-0005-0000-0000-0000C6000000}"/>
    <cellStyle name="0 2 4 2 5 2" xfId="213" xr:uid="{00000000-0005-0000-0000-0000C7000000}"/>
    <cellStyle name="0 2 4 2 6" xfId="214" xr:uid="{00000000-0005-0000-0000-0000C8000000}"/>
    <cellStyle name="0 2 4 3" xfId="215" xr:uid="{00000000-0005-0000-0000-0000C9000000}"/>
    <cellStyle name="0 2 4 3 2" xfId="216" xr:uid="{00000000-0005-0000-0000-0000CA000000}"/>
    <cellStyle name="0 2 4 3 2 2" xfId="217" xr:uid="{00000000-0005-0000-0000-0000CB000000}"/>
    <cellStyle name="0 2 4 3 3" xfId="218" xr:uid="{00000000-0005-0000-0000-0000CC000000}"/>
    <cellStyle name="0 2 4 3 3 2" xfId="219" xr:uid="{00000000-0005-0000-0000-0000CD000000}"/>
    <cellStyle name="0 2 4 3 4" xfId="220" xr:uid="{00000000-0005-0000-0000-0000CE000000}"/>
    <cellStyle name="0 2 4 4" xfId="221" xr:uid="{00000000-0005-0000-0000-0000CF000000}"/>
    <cellStyle name="0 2 4 4 2" xfId="222" xr:uid="{00000000-0005-0000-0000-0000D0000000}"/>
    <cellStyle name="0 2 4 4 2 2" xfId="223" xr:uid="{00000000-0005-0000-0000-0000D1000000}"/>
    <cellStyle name="0 2 4 4 3" xfId="224" xr:uid="{00000000-0005-0000-0000-0000D2000000}"/>
    <cellStyle name="0 2 4 4 3 2" xfId="225" xr:uid="{00000000-0005-0000-0000-0000D3000000}"/>
    <cellStyle name="0 2 4 4 4" xfId="226" xr:uid="{00000000-0005-0000-0000-0000D4000000}"/>
    <cellStyle name="0 2 4 5" xfId="227" xr:uid="{00000000-0005-0000-0000-0000D5000000}"/>
    <cellStyle name="0 2 4 5 2" xfId="228" xr:uid="{00000000-0005-0000-0000-0000D6000000}"/>
    <cellStyle name="0 2 4 5 2 2" xfId="229" xr:uid="{00000000-0005-0000-0000-0000D7000000}"/>
    <cellStyle name="0 2 4 5 3" xfId="230" xr:uid="{00000000-0005-0000-0000-0000D8000000}"/>
    <cellStyle name="0 2 4 5 3 2" xfId="231" xr:uid="{00000000-0005-0000-0000-0000D9000000}"/>
    <cellStyle name="0 2 4 5 4" xfId="232" xr:uid="{00000000-0005-0000-0000-0000DA000000}"/>
    <cellStyle name="0 2 4 6" xfId="233" xr:uid="{00000000-0005-0000-0000-0000DB000000}"/>
    <cellStyle name="0 2 4 6 2" xfId="234" xr:uid="{00000000-0005-0000-0000-0000DC000000}"/>
    <cellStyle name="0 2 4 7" xfId="235" xr:uid="{00000000-0005-0000-0000-0000DD000000}"/>
    <cellStyle name="0 2 4 7 2" xfId="236" xr:uid="{00000000-0005-0000-0000-0000DE000000}"/>
    <cellStyle name="0 2 4 8" xfId="237" xr:uid="{00000000-0005-0000-0000-0000DF000000}"/>
    <cellStyle name="0 2 5" xfId="238" xr:uid="{00000000-0005-0000-0000-0000E0000000}"/>
    <cellStyle name="0 2 5 2" xfId="239" xr:uid="{00000000-0005-0000-0000-0000E1000000}"/>
    <cellStyle name="0 2 5 2 2" xfId="240" xr:uid="{00000000-0005-0000-0000-0000E2000000}"/>
    <cellStyle name="0 2 5 2 2 2" xfId="241" xr:uid="{00000000-0005-0000-0000-0000E3000000}"/>
    <cellStyle name="0 2 5 2 2 2 2" xfId="242" xr:uid="{00000000-0005-0000-0000-0000E4000000}"/>
    <cellStyle name="0 2 5 2 2 3" xfId="243" xr:uid="{00000000-0005-0000-0000-0000E5000000}"/>
    <cellStyle name="0 2 5 2 2 3 2" xfId="244" xr:uid="{00000000-0005-0000-0000-0000E6000000}"/>
    <cellStyle name="0 2 5 2 2 4" xfId="245" xr:uid="{00000000-0005-0000-0000-0000E7000000}"/>
    <cellStyle name="0 2 5 2 3" xfId="246" xr:uid="{00000000-0005-0000-0000-0000E8000000}"/>
    <cellStyle name="0 2 5 2 3 2" xfId="247" xr:uid="{00000000-0005-0000-0000-0000E9000000}"/>
    <cellStyle name="0 2 5 2 3 2 2" xfId="248" xr:uid="{00000000-0005-0000-0000-0000EA000000}"/>
    <cellStyle name="0 2 5 2 3 3" xfId="249" xr:uid="{00000000-0005-0000-0000-0000EB000000}"/>
    <cellStyle name="0 2 5 2 3 3 2" xfId="250" xr:uid="{00000000-0005-0000-0000-0000EC000000}"/>
    <cellStyle name="0 2 5 2 3 4" xfId="251" xr:uid="{00000000-0005-0000-0000-0000ED000000}"/>
    <cellStyle name="0 2 5 2 4" xfId="252" xr:uid="{00000000-0005-0000-0000-0000EE000000}"/>
    <cellStyle name="0 2 5 2 4 2" xfId="253" xr:uid="{00000000-0005-0000-0000-0000EF000000}"/>
    <cellStyle name="0 2 5 2 5" xfId="254" xr:uid="{00000000-0005-0000-0000-0000F0000000}"/>
    <cellStyle name="0 2 5 2 5 2" xfId="255" xr:uid="{00000000-0005-0000-0000-0000F1000000}"/>
    <cellStyle name="0 2 5 2 6" xfId="256" xr:uid="{00000000-0005-0000-0000-0000F2000000}"/>
    <cellStyle name="0 2 5 3" xfId="257" xr:uid="{00000000-0005-0000-0000-0000F3000000}"/>
    <cellStyle name="0 2 5 3 2" xfId="258" xr:uid="{00000000-0005-0000-0000-0000F4000000}"/>
    <cellStyle name="0 2 5 3 2 2" xfId="259" xr:uid="{00000000-0005-0000-0000-0000F5000000}"/>
    <cellStyle name="0 2 5 3 3" xfId="260" xr:uid="{00000000-0005-0000-0000-0000F6000000}"/>
    <cellStyle name="0 2 5 3 3 2" xfId="261" xr:uid="{00000000-0005-0000-0000-0000F7000000}"/>
    <cellStyle name="0 2 5 3 4" xfId="262" xr:uid="{00000000-0005-0000-0000-0000F8000000}"/>
    <cellStyle name="0 2 5 4" xfId="263" xr:uid="{00000000-0005-0000-0000-0000F9000000}"/>
    <cellStyle name="0 2 5 4 2" xfId="264" xr:uid="{00000000-0005-0000-0000-0000FA000000}"/>
    <cellStyle name="0 2 5 4 2 2" xfId="265" xr:uid="{00000000-0005-0000-0000-0000FB000000}"/>
    <cellStyle name="0 2 5 4 3" xfId="266" xr:uid="{00000000-0005-0000-0000-0000FC000000}"/>
    <cellStyle name="0 2 5 4 3 2" xfId="267" xr:uid="{00000000-0005-0000-0000-0000FD000000}"/>
    <cellStyle name="0 2 5 4 4" xfId="268" xr:uid="{00000000-0005-0000-0000-0000FE000000}"/>
    <cellStyle name="0 2 5 5" xfId="269" xr:uid="{00000000-0005-0000-0000-0000FF000000}"/>
    <cellStyle name="0 2 5 5 2" xfId="270" xr:uid="{00000000-0005-0000-0000-000000010000}"/>
    <cellStyle name="0 2 5 5 2 2" xfId="271" xr:uid="{00000000-0005-0000-0000-000001010000}"/>
    <cellStyle name="0 2 5 5 3" xfId="272" xr:uid="{00000000-0005-0000-0000-000002010000}"/>
    <cellStyle name="0 2 5 5 3 2" xfId="273" xr:uid="{00000000-0005-0000-0000-000003010000}"/>
    <cellStyle name="0 2 5 5 4" xfId="274" xr:uid="{00000000-0005-0000-0000-000004010000}"/>
    <cellStyle name="0 2 5 6" xfId="275" xr:uid="{00000000-0005-0000-0000-000005010000}"/>
    <cellStyle name="0 2 5 6 2" xfId="276" xr:uid="{00000000-0005-0000-0000-000006010000}"/>
    <cellStyle name="0 2 5 7" xfId="277" xr:uid="{00000000-0005-0000-0000-000007010000}"/>
    <cellStyle name="0 2 5 7 2" xfId="278" xr:uid="{00000000-0005-0000-0000-000008010000}"/>
    <cellStyle name="0 2 5 8" xfId="279" xr:uid="{00000000-0005-0000-0000-000009010000}"/>
    <cellStyle name="0 2 6" xfId="280" xr:uid="{00000000-0005-0000-0000-00000A010000}"/>
    <cellStyle name="0 2 6 2" xfId="281" xr:uid="{00000000-0005-0000-0000-00000B010000}"/>
    <cellStyle name="0 2 6 2 2" xfId="282" xr:uid="{00000000-0005-0000-0000-00000C010000}"/>
    <cellStyle name="0 2 6 2 2 2" xfId="283" xr:uid="{00000000-0005-0000-0000-00000D010000}"/>
    <cellStyle name="0 2 6 2 2 2 2" xfId="284" xr:uid="{00000000-0005-0000-0000-00000E010000}"/>
    <cellStyle name="0 2 6 2 2 3" xfId="285" xr:uid="{00000000-0005-0000-0000-00000F010000}"/>
    <cellStyle name="0 2 6 2 2 3 2" xfId="286" xr:uid="{00000000-0005-0000-0000-000010010000}"/>
    <cellStyle name="0 2 6 2 2 4" xfId="287" xr:uid="{00000000-0005-0000-0000-000011010000}"/>
    <cellStyle name="0 2 6 2 3" xfId="288" xr:uid="{00000000-0005-0000-0000-000012010000}"/>
    <cellStyle name="0 2 6 2 3 2" xfId="289" xr:uid="{00000000-0005-0000-0000-000013010000}"/>
    <cellStyle name="0 2 6 2 3 2 2" xfId="290" xr:uid="{00000000-0005-0000-0000-000014010000}"/>
    <cellStyle name="0 2 6 2 3 3" xfId="291" xr:uid="{00000000-0005-0000-0000-000015010000}"/>
    <cellStyle name="0 2 6 2 3 3 2" xfId="292" xr:uid="{00000000-0005-0000-0000-000016010000}"/>
    <cellStyle name="0 2 6 2 3 4" xfId="293" xr:uid="{00000000-0005-0000-0000-000017010000}"/>
    <cellStyle name="0 2 6 2 4" xfId="294" xr:uid="{00000000-0005-0000-0000-000018010000}"/>
    <cellStyle name="0 2 6 2 4 2" xfId="295" xr:uid="{00000000-0005-0000-0000-000019010000}"/>
    <cellStyle name="0 2 6 2 5" xfId="296" xr:uid="{00000000-0005-0000-0000-00001A010000}"/>
    <cellStyle name="0 2 6 2 5 2" xfId="297" xr:uid="{00000000-0005-0000-0000-00001B010000}"/>
    <cellStyle name="0 2 6 2 6" xfId="298" xr:uid="{00000000-0005-0000-0000-00001C010000}"/>
    <cellStyle name="0 2 6 3" xfId="299" xr:uid="{00000000-0005-0000-0000-00001D010000}"/>
    <cellStyle name="0 2 6 3 2" xfId="300" xr:uid="{00000000-0005-0000-0000-00001E010000}"/>
    <cellStyle name="0 2 6 3 2 2" xfId="301" xr:uid="{00000000-0005-0000-0000-00001F010000}"/>
    <cellStyle name="0 2 6 3 3" xfId="302" xr:uid="{00000000-0005-0000-0000-000020010000}"/>
    <cellStyle name="0 2 6 3 3 2" xfId="303" xr:uid="{00000000-0005-0000-0000-000021010000}"/>
    <cellStyle name="0 2 6 3 4" xfId="304" xr:uid="{00000000-0005-0000-0000-000022010000}"/>
    <cellStyle name="0 2 6 4" xfId="305" xr:uid="{00000000-0005-0000-0000-000023010000}"/>
    <cellStyle name="0 2 6 4 2" xfId="306" xr:uid="{00000000-0005-0000-0000-000024010000}"/>
    <cellStyle name="0 2 6 4 2 2" xfId="307" xr:uid="{00000000-0005-0000-0000-000025010000}"/>
    <cellStyle name="0 2 6 4 3" xfId="308" xr:uid="{00000000-0005-0000-0000-000026010000}"/>
    <cellStyle name="0 2 6 4 3 2" xfId="309" xr:uid="{00000000-0005-0000-0000-000027010000}"/>
    <cellStyle name="0 2 6 4 4" xfId="310" xr:uid="{00000000-0005-0000-0000-000028010000}"/>
    <cellStyle name="0 2 6 5" xfId="311" xr:uid="{00000000-0005-0000-0000-000029010000}"/>
    <cellStyle name="0 2 6 5 2" xfId="312" xr:uid="{00000000-0005-0000-0000-00002A010000}"/>
    <cellStyle name="0 2 6 5 2 2" xfId="313" xr:uid="{00000000-0005-0000-0000-00002B010000}"/>
    <cellStyle name="0 2 6 5 3" xfId="314" xr:uid="{00000000-0005-0000-0000-00002C010000}"/>
    <cellStyle name="0 2 6 5 3 2" xfId="315" xr:uid="{00000000-0005-0000-0000-00002D010000}"/>
    <cellStyle name="0 2 6 5 4" xfId="316" xr:uid="{00000000-0005-0000-0000-00002E010000}"/>
    <cellStyle name="0 2 6 6" xfId="317" xr:uid="{00000000-0005-0000-0000-00002F010000}"/>
    <cellStyle name="0 2 6 6 2" xfId="318" xr:uid="{00000000-0005-0000-0000-000030010000}"/>
    <cellStyle name="0 2 6 7" xfId="319" xr:uid="{00000000-0005-0000-0000-000031010000}"/>
    <cellStyle name="0 2 6 7 2" xfId="320" xr:uid="{00000000-0005-0000-0000-000032010000}"/>
    <cellStyle name="0 2 6 8" xfId="321" xr:uid="{00000000-0005-0000-0000-000033010000}"/>
    <cellStyle name="0 2 7" xfId="322" xr:uid="{00000000-0005-0000-0000-000034010000}"/>
    <cellStyle name="0 2 7 2" xfId="323" xr:uid="{00000000-0005-0000-0000-000035010000}"/>
    <cellStyle name="0 2 7 2 2" xfId="324" xr:uid="{00000000-0005-0000-0000-000036010000}"/>
    <cellStyle name="0 2 7 2 2 2" xfId="325" xr:uid="{00000000-0005-0000-0000-000037010000}"/>
    <cellStyle name="0 2 7 2 3" xfId="326" xr:uid="{00000000-0005-0000-0000-000038010000}"/>
    <cellStyle name="0 2 7 2 3 2" xfId="327" xr:uid="{00000000-0005-0000-0000-000039010000}"/>
    <cellStyle name="0 2 7 2 4" xfId="328" xr:uid="{00000000-0005-0000-0000-00003A010000}"/>
    <cellStyle name="0 2 7 3" xfId="329" xr:uid="{00000000-0005-0000-0000-00003B010000}"/>
    <cellStyle name="0 2 7 3 2" xfId="330" xr:uid="{00000000-0005-0000-0000-00003C010000}"/>
    <cellStyle name="0 2 7 3 2 2" xfId="331" xr:uid="{00000000-0005-0000-0000-00003D010000}"/>
    <cellStyle name="0 2 7 3 3" xfId="332" xr:uid="{00000000-0005-0000-0000-00003E010000}"/>
    <cellStyle name="0 2 7 3 3 2" xfId="333" xr:uid="{00000000-0005-0000-0000-00003F010000}"/>
    <cellStyle name="0 2 7 3 4" xfId="334" xr:uid="{00000000-0005-0000-0000-000040010000}"/>
    <cellStyle name="0 2 7 4" xfId="335" xr:uid="{00000000-0005-0000-0000-000041010000}"/>
    <cellStyle name="0 2 7 4 2" xfId="336" xr:uid="{00000000-0005-0000-0000-000042010000}"/>
    <cellStyle name="0 2 7 5" xfId="337" xr:uid="{00000000-0005-0000-0000-000043010000}"/>
    <cellStyle name="0 2 7 5 2" xfId="338" xr:uid="{00000000-0005-0000-0000-000044010000}"/>
    <cellStyle name="0 2 7 6" xfId="339" xr:uid="{00000000-0005-0000-0000-000045010000}"/>
    <cellStyle name="0 2 8" xfId="340" xr:uid="{00000000-0005-0000-0000-000046010000}"/>
    <cellStyle name="0 2 8 2" xfId="341" xr:uid="{00000000-0005-0000-0000-000047010000}"/>
    <cellStyle name="0 2 8 2 2" xfId="342" xr:uid="{00000000-0005-0000-0000-000048010000}"/>
    <cellStyle name="0 2 8 3" xfId="343" xr:uid="{00000000-0005-0000-0000-000049010000}"/>
    <cellStyle name="0 2 8 3 2" xfId="344" xr:uid="{00000000-0005-0000-0000-00004A010000}"/>
    <cellStyle name="0 2 8 4" xfId="345" xr:uid="{00000000-0005-0000-0000-00004B010000}"/>
    <cellStyle name="0 2 9" xfId="346" xr:uid="{00000000-0005-0000-0000-00004C010000}"/>
    <cellStyle name="0 2 9 2" xfId="347" xr:uid="{00000000-0005-0000-0000-00004D010000}"/>
    <cellStyle name="0 2 9 2 2" xfId="348" xr:uid="{00000000-0005-0000-0000-00004E010000}"/>
    <cellStyle name="0 2 9 3" xfId="349" xr:uid="{00000000-0005-0000-0000-00004F010000}"/>
    <cellStyle name="0 2 9 3 2" xfId="350" xr:uid="{00000000-0005-0000-0000-000050010000}"/>
    <cellStyle name="0 2 9 4" xfId="351" xr:uid="{00000000-0005-0000-0000-000051010000}"/>
    <cellStyle name="0 20" xfId="352" xr:uid="{00000000-0005-0000-0000-000052010000}"/>
    <cellStyle name="0 21" xfId="353" xr:uid="{00000000-0005-0000-0000-000053010000}"/>
    <cellStyle name="0 3" xfId="354" xr:uid="{00000000-0005-0000-0000-000054010000}"/>
    <cellStyle name="0 3 10" xfId="355" xr:uid="{00000000-0005-0000-0000-000055010000}"/>
    <cellStyle name="0 3 10 2" xfId="356" xr:uid="{00000000-0005-0000-0000-000056010000}"/>
    <cellStyle name="0 3 10 2 2" xfId="357" xr:uid="{00000000-0005-0000-0000-000057010000}"/>
    <cellStyle name="0 3 10 3" xfId="358" xr:uid="{00000000-0005-0000-0000-000058010000}"/>
    <cellStyle name="0 3 10 3 2" xfId="359" xr:uid="{00000000-0005-0000-0000-000059010000}"/>
    <cellStyle name="0 3 10 4" xfId="360" xr:uid="{00000000-0005-0000-0000-00005A010000}"/>
    <cellStyle name="0 3 11" xfId="361" xr:uid="{00000000-0005-0000-0000-00005B010000}"/>
    <cellStyle name="0 3 11 2" xfId="362" xr:uid="{00000000-0005-0000-0000-00005C010000}"/>
    <cellStyle name="0 3 12" xfId="363" xr:uid="{00000000-0005-0000-0000-00005D010000}"/>
    <cellStyle name="0 3 12 2" xfId="364" xr:uid="{00000000-0005-0000-0000-00005E010000}"/>
    <cellStyle name="0 3 13" xfId="365" xr:uid="{00000000-0005-0000-0000-00005F010000}"/>
    <cellStyle name="0 3 2" xfId="366" xr:uid="{00000000-0005-0000-0000-000060010000}"/>
    <cellStyle name="0 3 2 2" xfId="367" xr:uid="{00000000-0005-0000-0000-000061010000}"/>
    <cellStyle name="0 3 2 2 2" xfId="368" xr:uid="{00000000-0005-0000-0000-000062010000}"/>
    <cellStyle name="0 3 2 2 2 2" xfId="369" xr:uid="{00000000-0005-0000-0000-000063010000}"/>
    <cellStyle name="0 3 2 2 2 2 2" xfId="370" xr:uid="{00000000-0005-0000-0000-000064010000}"/>
    <cellStyle name="0 3 2 2 2 3" xfId="371" xr:uid="{00000000-0005-0000-0000-000065010000}"/>
    <cellStyle name="0 3 2 2 2 3 2" xfId="372" xr:uid="{00000000-0005-0000-0000-000066010000}"/>
    <cellStyle name="0 3 2 2 2 4" xfId="373" xr:uid="{00000000-0005-0000-0000-000067010000}"/>
    <cellStyle name="0 3 2 2 3" xfId="374" xr:uid="{00000000-0005-0000-0000-000068010000}"/>
    <cellStyle name="0 3 2 2 3 2" xfId="375" xr:uid="{00000000-0005-0000-0000-000069010000}"/>
    <cellStyle name="0 3 2 2 3 2 2" xfId="376" xr:uid="{00000000-0005-0000-0000-00006A010000}"/>
    <cellStyle name="0 3 2 2 3 3" xfId="377" xr:uid="{00000000-0005-0000-0000-00006B010000}"/>
    <cellStyle name="0 3 2 2 3 3 2" xfId="378" xr:uid="{00000000-0005-0000-0000-00006C010000}"/>
    <cellStyle name="0 3 2 2 3 4" xfId="379" xr:uid="{00000000-0005-0000-0000-00006D010000}"/>
    <cellStyle name="0 3 2 2 4" xfId="380" xr:uid="{00000000-0005-0000-0000-00006E010000}"/>
    <cellStyle name="0 3 2 2 4 2" xfId="381" xr:uid="{00000000-0005-0000-0000-00006F010000}"/>
    <cellStyle name="0 3 2 2 5" xfId="382" xr:uid="{00000000-0005-0000-0000-000070010000}"/>
    <cellStyle name="0 3 2 2 5 2" xfId="383" xr:uid="{00000000-0005-0000-0000-000071010000}"/>
    <cellStyle name="0 3 2 2 6" xfId="384" xr:uid="{00000000-0005-0000-0000-000072010000}"/>
    <cellStyle name="0 3 2 3" xfId="385" xr:uid="{00000000-0005-0000-0000-000073010000}"/>
    <cellStyle name="0 3 2 3 2" xfId="386" xr:uid="{00000000-0005-0000-0000-000074010000}"/>
    <cellStyle name="0 3 2 3 2 2" xfId="387" xr:uid="{00000000-0005-0000-0000-000075010000}"/>
    <cellStyle name="0 3 2 3 3" xfId="388" xr:uid="{00000000-0005-0000-0000-000076010000}"/>
    <cellStyle name="0 3 2 3 3 2" xfId="389" xr:uid="{00000000-0005-0000-0000-000077010000}"/>
    <cellStyle name="0 3 2 3 4" xfId="390" xr:uid="{00000000-0005-0000-0000-000078010000}"/>
    <cellStyle name="0 3 2 4" xfId="391" xr:uid="{00000000-0005-0000-0000-000079010000}"/>
    <cellStyle name="0 3 2 4 2" xfId="392" xr:uid="{00000000-0005-0000-0000-00007A010000}"/>
    <cellStyle name="0 3 2 4 2 2" xfId="393" xr:uid="{00000000-0005-0000-0000-00007B010000}"/>
    <cellStyle name="0 3 2 4 3" xfId="394" xr:uid="{00000000-0005-0000-0000-00007C010000}"/>
    <cellStyle name="0 3 2 4 3 2" xfId="395" xr:uid="{00000000-0005-0000-0000-00007D010000}"/>
    <cellStyle name="0 3 2 4 4" xfId="396" xr:uid="{00000000-0005-0000-0000-00007E010000}"/>
    <cellStyle name="0 3 2 5" xfId="397" xr:uid="{00000000-0005-0000-0000-00007F010000}"/>
    <cellStyle name="0 3 2 5 2" xfId="398" xr:uid="{00000000-0005-0000-0000-000080010000}"/>
    <cellStyle name="0 3 2 5 2 2" xfId="399" xr:uid="{00000000-0005-0000-0000-000081010000}"/>
    <cellStyle name="0 3 2 5 3" xfId="400" xr:uid="{00000000-0005-0000-0000-000082010000}"/>
    <cellStyle name="0 3 2 5 3 2" xfId="401" xr:uid="{00000000-0005-0000-0000-000083010000}"/>
    <cellStyle name="0 3 2 5 4" xfId="402" xr:uid="{00000000-0005-0000-0000-000084010000}"/>
    <cellStyle name="0 3 2 6" xfId="403" xr:uid="{00000000-0005-0000-0000-000085010000}"/>
    <cellStyle name="0 3 2 6 2" xfId="404" xr:uid="{00000000-0005-0000-0000-000086010000}"/>
    <cellStyle name="0 3 2 7" xfId="405" xr:uid="{00000000-0005-0000-0000-000087010000}"/>
    <cellStyle name="0 3 2 7 2" xfId="406" xr:uid="{00000000-0005-0000-0000-000088010000}"/>
    <cellStyle name="0 3 2 8" xfId="407" xr:uid="{00000000-0005-0000-0000-000089010000}"/>
    <cellStyle name="0 3 3" xfId="408" xr:uid="{00000000-0005-0000-0000-00008A010000}"/>
    <cellStyle name="0 3 3 2" xfId="409" xr:uid="{00000000-0005-0000-0000-00008B010000}"/>
    <cellStyle name="0 3 3 2 2" xfId="410" xr:uid="{00000000-0005-0000-0000-00008C010000}"/>
    <cellStyle name="0 3 3 2 2 2" xfId="411" xr:uid="{00000000-0005-0000-0000-00008D010000}"/>
    <cellStyle name="0 3 3 2 2 2 2" xfId="412" xr:uid="{00000000-0005-0000-0000-00008E010000}"/>
    <cellStyle name="0 3 3 2 2 3" xfId="413" xr:uid="{00000000-0005-0000-0000-00008F010000}"/>
    <cellStyle name="0 3 3 2 2 3 2" xfId="414" xr:uid="{00000000-0005-0000-0000-000090010000}"/>
    <cellStyle name="0 3 3 2 2 4" xfId="415" xr:uid="{00000000-0005-0000-0000-000091010000}"/>
    <cellStyle name="0 3 3 2 3" xfId="416" xr:uid="{00000000-0005-0000-0000-000092010000}"/>
    <cellStyle name="0 3 3 2 3 2" xfId="417" xr:uid="{00000000-0005-0000-0000-000093010000}"/>
    <cellStyle name="0 3 3 2 3 2 2" xfId="418" xr:uid="{00000000-0005-0000-0000-000094010000}"/>
    <cellStyle name="0 3 3 2 3 3" xfId="419" xr:uid="{00000000-0005-0000-0000-000095010000}"/>
    <cellStyle name="0 3 3 2 3 3 2" xfId="420" xr:uid="{00000000-0005-0000-0000-000096010000}"/>
    <cellStyle name="0 3 3 2 3 4" xfId="421" xr:uid="{00000000-0005-0000-0000-000097010000}"/>
    <cellStyle name="0 3 3 2 4" xfId="422" xr:uid="{00000000-0005-0000-0000-000098010000}"/>
    <cellStyle name="0 3 3 2 4 2" xfId="423" xr:uid="{00000000-0005-0000-0000-000099010000}"/>
    <cellStyle name="0 3 3 2 5" xfId="424" xr:uid="{00000000-0005-0000-0000-00009A010000}"/>
    <cellStyle name="0 3 3 2 5 2" xfId="425" xr:uid="{00000000-0005-0000-0000-00009B010000}"/>
    <cellStyle name="0 3 3 2 6" xfId="426" xr:uid="{00000000-0005-0000-0000-00009C010000}"/>
    <cellStyle name="0 3 3 3" xfId="427" xr:uid="{00000000-0005-0000-0000-00009D010000}"/>
    <cellStyle name="0 3 3 3 2" xfId="428" xr:uid="{00000000-0005-0000-0000-00009E010000}"/>
    <cellStyle name="0 3 3 3 2 2" xfId="429" xr:uid="{00000000-0005-0000-0000-00009F010000}"/>
    <cellStyle name="0 3 3 3 3" xfId="430" xr:uid="{00000000-0005-0000-0000-0000A0010000}"/>
    <cellStyle name="0 3 3 3 3 2" xfId="431" xr:uid="{00000000-0005-0000-0000-0000A1010000}"/>
    <cellStyle name="0 3 3 3 4" xfId="432" xr:uid="{00000000-0005-0000-0000-0000A2010000}"/>
    <cellStyle name="0 3 3 4" xfId="433" xr:uid="{00000000-0005-0000-0000-0000A3010000}"/>
    <cellStyle name="0 3 3 4 2" xfId="434" xr:uid="{00000000-0005-0000-0000-0000A4010000}"/>
    <cellStyle name="0 3 3 4 2 2" xfId="435" xr:uid="{00000000-0005-0000-0000-0000A5010000}"/>
    <cellStyle name="0 3 3 4 3" xfId="436" xr:uid="{00000000-0005-0000-0000-0000A6010000}"/>
    <cellStyle name="0 3 3 4 3 2" xfId="437" xr:uid="{00000000-0005-0000-0000-0000A7010000}"/>
    <cellStyle name="0 3 3 4 4" xfId="438" xr:uid="{00000000-0005-0000-0000-0000A8010000}"/>
    <cellStyle name="0 3 3 5" xfId="439" xr:uid="{00000000-0005-0000-0000-0000A9010000}"/>
    <cellStyle name="0 3 3 5 2" xfId="440" xr:uid="{00000000-0005-0000-0000-0000AA010000}"/>
    <cellStyle name="0 3 3 5 2 2" xfId="441" xr:uid="{00000000-0005-0000-0000-0000AB010000}"/>
    <cellStyle name="0 3 3 5 3" xfId="442" xr:uid="{00000000-0005-0000-0000-0000AC010000}"/>
    <cellStyle name="0 3 3 5 3 2" xfId="443" xr:uid="{00000000-0005-0000-0000-0000AD010000}"/>
    <cellStyle name="0 3 3 5 4" xfId="444" xr:uid="{00000000-0005-0000-0000-0000AE010000}"/>
    <cellStyle name="0 3 3 6" xfId="445" xr:uid="{00000000-0005-0000-0000-0000AF010000}"/>
    <cellStyle name="0 3 3 6 2" xfId="446" xr:uid="{00000000-0005-0000-0000-0000B0010000}"/>
    <cellStyle name="0 3 3 7" xfId="447" xr:uid="{00000000-0005-0000-0000-0000B1010000}"/>
    <cellStyle name="0 3 3 7 2" xfId="448" xr:uid="{00000000-0005-0000-0000-0000B2010000}"/>
    <cellStyle name="0 3 3 8" xfId="449" xr:uid="{00000000-0005-0000-0000-0000B3010000}"/>
    <cellStyle name="0 3 4" xfId="450" xr:uid="{00000000-0005-0000-0000-0000B4010000}"/>
    <cellStyle name="0 3 4 2" xfId="451" xr:uid="{00000000-0005-0000-0000-0000B5010000}"/>
    <cellStyle name="0 3 4 2 2" xfId="452" xr:uid="{00000000-0005-0000-0000-0000B6010000}"/>
    <cellStyle name="0 3 4 2 2 2" xfId="453" xr:uid="{00000000-0005-0000-0000-0000B7010000}"/>
    <cellStyle name="0 3 4 2 2 2 2" xfId="454" xr:uid="{00000000-0005-0000-0000-0000B8010000}"/>
    <cellStyle name="0 3 4 2 2 3" xfId="455" xr:uid="{00000000-0005-0000-0000-0000B9010000}"/>
    <cellStyle name="0 3 4 2 2 3 2" xfId="456" xr:uid="{00000000-0005-0000-0000-0000BA010000}"/>
    <cellStyle name="0 3 4 2 2 4" xfId="457" xr:uid="{00000000-0005-0000-0000-0000BB010000}"/>
    <cellStyle name="0 3 4 2 3" xfId="458" xr:uid="{00000000-0005-0000-0000-0000BC010000}"/>
    <cellStyle name="0 3 4 2 3 2" xfId="459" xr:uid="{00000000-0005-0000-0000-0000BD010000}"/>
    <cellStyle name="0 3 4 2 3 2 2" xfId="460" xr:uid="{00000000-0005-0000-0000-0000BE010000}"/>
    <cellStyle name="0 3 4 2 3 3" xfId="461" xr:uid="{00000000-0005-0000-0000-0000BF010000}"/>
    <cellStyle name="0 3 4 2 3 3 2" xfId="462" xr:uid="{00000000-0005-0000-0000-0000C0010000}"/>
    <cellStyle name="0 3 4 2 3 4" xfId="463" xr:uid="{00000000-0005-0000-0000-0000C1010000}"/>
    <cellStyle name="0 3 4 2 4" xfId="464" xr:uid="{00000000-0005-0000-0000-0000C2010000}"/>
    <cellStyle name="0 3 4 2 4 2" xfId="465" xr:uid="{00000000-0005-0000-0000-0000C3010000}"/>
    <cellStyle name="0 3 4 2 5" xfId="466" xr:uid="{00000000-0005-0000-0000-0000C4010000}"/>
    <cellStyle name="0 3 4 2 5 2" xfId="467" xr:uid="{00000000-0005-0000-0000-0000C5010000}"/>
    <cellStyle name="0 3 4 2 6" xfId="468" xr:uid="{00000000-0005-0000-0000-0000C6010000}"/>
    <cellStyle name="0 3 4 3" xfId="469" xr:uid="{00000000-0005-0000-0000-0000C7010000}"/>
    <cellStyle name="0 3 4 3 2" xfId="470" xr:uid="{00000000-0005-0000-0000-0000C8010000}"/>
    <cellStyle name="0 3 4 3 2 2" xfId="471" xr:uid="{00000000-0005-0000-0000-0000C9010000}"/>
    <cellStyle name="0 3 4 3 3" xfId="472" xr:uid="{00000000-0005-0000-0000-0000CA010000}"/>
    <cellStyle name="0 3 4 3 3 2" xfId="473" xr:uid="{00000000-0005-0000-0000-0000CB010000}"/>
    <cellStyle name="0 3 4 3 4" xfId="474" xr:uid="{00000000-0005-0000-0000-0000CC010000}"/>
    <cellStyle name="0 3 4 4" xfId="475" xr:uid="{00000000-0005-0000-0000-0000CD010000}"/>
    <cellStyle name="0 3 4 4 2" xfId="476" xr:uid="{00000000-0005-0000-0000-0000CE010000}"/>
    <cellStyle name="0 3 4 4 2 2" xfId="477" xr:uid="{00000000-0005-0000-0000-0000CF010000}"/>
    <cellStyle name="0 3 4 4 3" xfId="478" xr:uid="{00000000-0005-0000-0000-0000D0010000}"/>
    <cellStyle name="0 3 4 4 3 2" xfId="479" xr:uid="{00000000-0005-0000-0000-0000D1010000}"/>
    <cellStyle name="0 3 4 4 4" xfId="480" xr:uid="{00000000-0005-0000-0000-0000D2010000}"/>
    <cellStyle name="0 3 4 5" xfId="481" xr:uid="{00000000-0005-0000-0000-0000D3010000}"/>
    <cellStyle name="0 3 4 5 2" xfId="482" xr:uid="{00000000-0005-0000-0000-0000D4010000}"/>
    <cellStyle name="0 3 4 5 2 2" xfId="483" xr:uid="{00000000-0005-0000-0000-0000D5010000}"/>
    <cellStyle name="0 3 4 5 3" xfId="484" xr:uid="{00000000-0005-0000-0000-0000D6010000}"/>
    <cellStyle name="0 3 4 5 3 2" xfId="485" xr:uid="{00000000-0005-0000-0000-0000D7010000}"/>
    <cellStyle name="0 3 4 5 4" xfId="486" xr:uid="{00000000-0005-0000-0000-0000D8010000}"/>
    <cellStyle name="0 3 4 6" xfId="487" xr:uid="{00000000-0005-0000-0000-0000D9010000}"/>
    <cellStyle name="0 3 4 6 2" xfId="488" xr:uid="{00000000-0005-0000-0000-0000DA010000}"/>
    <cellStyle name="0 3 4 7" xfId="489" xr:uid="{00000000-0005-0000-0000-0000DB010000}"/>
    <cellStyle name="0 3 4 7 2" xfId="490" xr:uid="{00000000-0005-0000-0000-0000DC010000}"/>
    <cellStyle name="0 3 4 8" xfId="491" xr:uid="{00000000-0005-0000-0000-0000DD010000}"/>
    <cellStyle name="0 3 5" xfId="492" xr:uid="{00000000-0005-0000-0000-0000DE010000}"/>
    <cellStyle name="0 3 5 2" xfId="493" xr:uid="{00000000-0005-0000-0000-0000DF010000}"/>
    <cellStyle name="0 3 5 2 2" xfId="494" xr:uid="{00000000-0005-0000-0000-0000E0010000}"/>
    <cellStyle name="0 3 5 2 2 2" xfId="495" xr:uid="{00000000-0005-0000-0000-0000E1010000}"/>
    <cellStyle name="0 3 5 2 2 2 2" xfId="496" xr:uid="{00000000-0005-0000-0000-0000E2010000}"/>
    <cellStyle name="0 3 5 2 2 3" xfId="497" xr:uid="{00000000-0005-0000-0000-0000E3010000}"/>
    <cellStyle name="0 3 5 2 2 3 2" xfId="498" xr:uid="{00000000-0005-0000-0000-0000E4010000}"/>
    <cellStyle name="0 3 5 2 2 4" xfId="499" xr:uid="{00000000-0005-0000-0000-0000E5010000}"/>
    <cellStyle name="0 3 5 2 3" xfId="500" xr:uid="{00000000-0005-0000-0000-0000E6010000}"/>
    <cellStyle name="0 3 5 2 3 2" xfId="501" xr:uid="{00000000-0005-0000-0000-0000E7010000}"/>
    <cellStyle name="0 3 5 2 3 2 2" xfId="502" xr:uid="{00000000-0005-0000-0000-0000E8010000}"/>
    <cellStyle name="0 3 5 2 3 3" xfId="503" xr:uid="{00000000-0005-0000-0000-0000E9010000}"/>
    <cellStyle name="0 3 5 2 3 3 2" xfId="504" xr:uid="{00000000-0005-0000-0000-0000EA010000}"/>
    <cellStyle name="0 3 5 2 3 4" xfId="505" xr:uid="{00000000-0005-0000-0000-0000EB010000}"/>
    <cellStyle name="0 3 5 2 4" xfId="506" xr:uid="{00000000-0005-0000-0000-0000EC010000}"/>
    <cellStyle name="0 3 5 2 4 2" xfId="507" xr:uid="{00000000-0005-0000-0000-0000ED010000}"/>
    <cellStyle name="0 3 5 2 5" xfId="508" xr:uid="{00000000-0005-0000-0000-0000EE010000}"/>
    <cellStyle name="0 3 5 2 5 2" xfId="509" xr:uid="{00000000-0005-0000-0000-0000EF010000}"/>
    <cellStyle name="0 3 5 2 6" xfId="510" xr:uid="{00000000-0005-0000-0000-0000F0010000}"/>
    <cellStyle name="0 3 5 3" xfId="511" xr:uid="{00000000-0005-0000-0000-0000F1010000}"/>
    <cellStyle name="0 3 5 3 2" xfId="512" xr:uid="{00000000-0005-0000-0000-0000F2010000}"/>
    <cellStyle name="0 3 5 3 2 2" xfId="513" xr:uid="{00000000-0005-0000-0000-0000F3010000}"/>
    <cellStyle name="0 3 5 3 3" xfId="514" xr:uid="{00000000-0005-0000-0000-0000F4010000}"/>
    <cellStyle name="0 3 5 3 3 2" xfId="515" xr:uid="{00000000-0005-0000-0000-0000F5010000}"/>
    <cellStyle name="0 3 5 3 4" xfId="516" xr:uid="{00000000-0005-0000-0000-0000F6010000}"/>
    <cellStyle name="0 3 5 4" xfId="517" xr:uid="{00000000-0005-0000-0000-0000F7010000}"/>
    <cellStyle name="0 3 5 4 2" xfId="518" xr:uid="{00000000-0005-0000-0000-0000F8010000}"/>
    <cellStyle name="0 3 5 4 2 2" xfId="519" xr:uid="{00000000-0005-0000-0000-0000F9010000}"/>
    <cellStyle name="0 3 5 4 3" xfId="520" xr:uid="{00000000-0005-0000-0000-0000FA010000}"/>
    <cellStyle name="0 3 5 4 3 2" xfId="521" xr:uid="{00000000-0005-0000-0000-0000FB010000}"/>
    <cellStyle name="0 3 5 4 4" xfId="522" xr:uid="{00000000-0005-0000-0000-0000FC010000}"/>
    <cellStyle name="0 3 5 5" xfId="523" xr:uid="{00000000-0005-0000-0000-0000FD010000}"/>
    <cellStyle name="0 3 5 5 2" xfId="524" xr:uid="{00000000-0005-0000-0000-0000FE010000}"/>
    <cellStyle name="0 3 5 5 2 2" xfId="525" xr:uid="{00000000-0005-0000-0000-0000FF010000}"/>
    <cellStyle name="0 3 5 5 3" xfId="526" xr:uid="{00000000-0005-0000-0000-000000020000}"/>
    <cellStyle name="0 3 5 5 3 2" xfId="527" xr:uid="{00000000-0005-0000-0000-000001020000}"/>
    <cellStyle name="0 3 5 5 4" xfId="528" xr:uid="{00000000-0005-0000-0000-000002020000}"/>
    <cellStyle name="0 3 5 6" xfId="529" xr:uid="{00000000-0005-0000-0000-000003020000}"/>
    <cellStyle name="0 3 5 6 2" xfId="530" xr:uid="{00000000-0005-0000-0000-000004020000}"/>
    <cellStyle name="0 3 5 7" xfId="531" xr:uid="{00000000-0005-0000-0000-000005020000}"/>
    <cellStyle name="0 3 5 7 2" xfId="532" xr:uid="{00000000-0005-0000-0000-000006020000}"/>
    <cellStyle name="0 3 5 8" xfId="533" xr:uid="{00000000-0005-0000-0000-000007020000}"/>
    <cellStyle name="0 3 6" xfId="534" xr:uid="{00000000-0005-0000-0000-000008020000}"/>
    <cellStyle name="0 3 6 2" xfId="535" xr:uid="{00000000-0005-0000-0000-000009020000}"/>
    <cellStyle name="0 3 6 2 2" xfId="536" xr:uid="{00000000-0005-0000-0000-00000A020000}"/>
    <cellStyle name="0 3 6 2 2 2" xfId="537" xr:uid="{00000000-0005-0000-0000-00000B020000}"/>
    <cellStyle name="0 3 6 2 2 2 2" xfId="538" xr:uid="{00000000-0005-0000-0000-00000C020000}"/>
    <cellStyle name="0 3 6 2 2 3" xfId="539" xr:uid="{00000000-0005-0000-0000-00000D020000}"/>
    <cellStyle name="0 3 6 2 2 3 2" xfId="540" xr:uid="{00000000-0005-0000-0000-00000E020000}"/>
    <cellStyle name="0 3 6 2 2 4" xfId="541" xr:uid="{00000000-0005-0000-0000-00000F020000}"/>
    <cellStyle name="0 3 6 2 3" xfId="542" xr:uid="{00000000-0005-0000-0000-000010020000}"/>
    <cellStyle name="0 3 6 2 3 2" xfId="543" xr:uid="{00000000-0005-0000-0000-000011020000}"/>
    <cellStyle name="0 3 6 2 3 2 2" xfId="544" xr:uid="{00000000-0005-0000-0000-000012020000}"/>
    <cellStyle name="0 3 6 2 3 3" xfId="545" xr:uid="{00000000-0005-0000-0000-000013020000}"/>
    <cellStyle name="0 3 6 2 3 3 2" xfId="546" xr:uid="{00000000-0005-0000-0000-000014020000}"/>
    <cellStyle name="0 3 6 2 3 4" xfId="547" xr:uid="{00000000-0005-0000-0000-000015020000}"/>
    <cellStyle name="0 3 6 2 4" xfId="548" xr:uid="{00000000-0005-0000-0000-000016020000}"/>
    <cellStyle name="0 3 6 2 4 2" xfId="549" xr:uid="{00000000-0005-0000-0000-000017020000}"/>
    <cellStyle name="0 3 6 2 5" xfId="550" xr:uid="{00000000-0005-0000-0000-000018020000}"/>
    <cellStyle name="0 3 6 2 5 2" xfId="551" xr:uid="{00000000-0005-0000-0000-000019020000}"/>
    <cellStyle name="0 3 6 2 6" xfId="552" xr:uid="{00000000-0005-0000-0000-00001A020000}"/>
    <cellStyle name="0 3 6 3" xfId="553" xr:uid="{00000000-0005-0000-0000-00001B020000}"/>
    <cellStyle name="0 3 6 3 2" xfId="554" xr:uid="{00000000-0005-0000-0000-00001C020000}"/>
    <cellStyle name="0 3 6 3 2 2" xfId="555" xr:uid="{00000000-0005-0000-0000-00001D020000}"/>
    <cellStyle name="0 3 6 3 3" xfId="556" xr:uid="{00000000-0005-0000-0000-00001E020000}"/>
    <cellStyle name="0 3 6 3 3 2" xfId="557" xr:uid="{00000000-0005-0000-0000-00001F020000}"/>
    <cellStyle name="0 3 6 3 4" xfId="558" xr:uid="{00000000-0005-0000-0000-000020020000}"/>
    <cellStyle name="0 3 6 4" xfId="559" xr:uid="{00000000-0005-0000-0000-000021020000}"/>
    <cellStyle name="0 3 6 4 2" xfId="560" xr:uid="{00000000-0005-0000-0000-000022020000}"/>
    <cellStyle name="0 3 6 4 2 2" xfId="561" xr:uid="{00000000-0005-0000-0000-000023020000}"/>
    <cellStyle name="0 3 6 4 3" xfId="562" xr:uid="{00000000-0005-0000-0000-000024020000}"/>
    <cellStyle name="0 3 6 4 3 2" xfId="563" xr:uid="{00000000-0005-0000-0000-000025020000}"/>
    <cellStyle name="0 3 6 4 4" xfId="564" xr:uid="{00000000-0005-0000-0000-000026020000}"/>
    <cellStyle name="0 3 6 5" xfId="565" xr:uid="{00000000-0005-0000-0000-000027020000}"/>
    <cellStyle name="0 3 6 5 2" xfId="566" xr:uid="{00000000-0005-0000-0000-000028020000}"/>
    <cellStyle name="0 3 6 5 2 2" xfId="567" xr:uid="{00000000-0005-0000-0000-000029020000}"/>
    <cellStyle name="0 3 6 5 3" xfId="568" xr:uid="{00000000-0005-0000-0000-00002A020000}"/>
    <cellStyle name="0 3 6 5 3 2" xfId="569" xr:uid="{00000000-0005-0000-0000-00002B020000}"/>
    <cellStyle name="0 3 6 5 4" xfId="570" xr:uid="{00000000-0005-0000-0000-00002C020000}"/>
    <cellStyle name="0 3 6 6" xfId="571" xr:uid="{00000000-0005-0000-0000-00002D020000}"/>
    <cellStyle name="0 3 6 6 2" xfId="572" xr:uid="{00000000-0005-0000-0000-00002E020000}"/>
    <cellStyle name="0 3 6 7" xfId="573" xr:uid="{00000000-0005-0000-0000-00002F020000}"/>
    <cellStyle name="0 3 6 7 2" xfId="574" xr:uid="{00000000-0005-0000-0000-000030020000}"/>
    <cellStyle name="0 3 6 8" xfId="575" xr:uid="{00000000-0005-0000-0000-000031020000}"/>
    <cellStyle name="0 3 7" xfId="576" xr:uid="{00000000-0005-0000-0000-000032020000}"/>
    <cellStyle name="0 3 7 2" xfId="577" xr:uid="{00000000-0005-0000-0000-000033020000}"/>
    <cellStyle name="0 3 7 2 2" xfId="578" xr:uid="{00000000-0005-0000-0000-000034020000}"/>
    <cellStyle name="0 3 7 2 2 2" xfId="579" xr:uid="{00000000-0005-0000-0000-000035020000}"/>
    <cellStyle name="0 3 7 2 3" xfId="580" xr:uid="{00000000-0005-0000-0000-000036020000}"/>
    <cellStyle name="0 3 7 2 3 2" xfId="581" xr:uid="{00000000-0005-0000-0000-000037020000}"/>
    <cellStyle name="0 3 7 2 4" xfId="582" xr:uid="{00000000-0005-0000-0000-000038020000}"/>
    <cellStyle name="0 3 7 3" xfId="583" xr:uid="{00000000-0005-0000-0000-000039020000}"/>
    <cellStyle name="0 3 7 3 2" xfId="584" xr:uid="{00000000-0005-0000-0000-00003A020000}"/>
    <cellStyle name="0 3 7 3 2 2" xfId="585" xr:uid="{00000000-0005-0000-0000-00003B020000}"/>
    <cellStyle name="0 3 7 3 3" xfId="586" xr:uid="{00000000-0005-0000-0000-00003C020000}"/>
    <cellStyle name="0 3 7 3 3 2" xfId="587" xr:uid="{00000000-0005-0000-0000-00003D020000}"/>
    <cellStyle name="0 3 7 3 4" xfId="588" xr:uid="{00000000-0005-0000-0000-00003E020000}"/>
    <cellStyle name="0 3 7 4" xfId="589" xr:uid="{00000000-0005-0000-0000-00003F020000}"/>
    <cellStyle name="0 3 7 4 2" xfId="590" xr:uid="{00000000-0005-0000-0000-000040020000}"/>
    <cellStyle name="0 3 7 5" xfId="591" xr:uid="{00000000-0005-0000-0000-000041020000}"/>
    <cellStyle name="0 3 7 5 2" xfId="592" xr:uid="{00000000-0005-0000-0000-000042020000}"/>
    <cellStyle name="0 3 7 6" xfId="593" xr:uid="{00000000-0005-0000-0000-000043020000}"/>
    <cellStyle name="0 3 8" xfId="594" xr:uid="{00000000-0005-0000-0000-000044020000}"/>
    <cellStyle name="0 3 8 2" xfId="595" xr:uid="{00000000-0005-0000-0000-000045020000}"/>
    <cellStyle name="0 3 8 2 2" xfId="596" xr:uid="{00000000-0005-0000-0000-000046020000}"/>
    <cellStyle name="0 3 8 3" xfId="597" xr:uid="{00000000-0005-0000-0000-000047020000}"/>
    <cellStyle name="0 3 8 3 2" xfId="598" xr:uid="{00000000-0005-0000-0000-000048020000}"/>
    <cellStyle name="0 3 8 4" xfId="599" xr:uid="{00000000-0005-0000-0000-000049020000}"/>
    <cellStyle name="0 3 9" xfId="600" xr:uid="{00000000-0005-0000-0000-00004A020000}"/>
    <cellStyle name="0 3 9 2" xfId="601" xr:uid="{00000000-0005-0000-0000-00004B020000}"/>
    <cellStyle name="0 3 9 2 2" xfId="602" xr:uid="{00000000-0005-0000-0000-00004C020000}"/>
    <cellStyle name="0 3 9 3" xfId="603" xr:uid="{00000000-0005-0000-0000-00004D020000}"/>
    <cellStyle name="0 3 9 3 2" xfId="604" xr:uid="{00000000-0005-0000-0000-00004E020000}"/>
    <cellStyle name="0 3 9 4" xfId="605" xr:uid="{00000000-0005-0000-0000-00004F020000}"/>
    <cellStyle name="0 4" xfId="606" xr:uid="{00000000-0005-0000-0000-000050020000}"/>
    <cellStyle name="0 4 10" xfId="607" xr:uid="{00000000-0005-0000-0000-000051020000}"/>
    <cellStyle name="0 4 10 2" xfId="608" xr:uid="{00000000-0005-0000-0000-000052020000}"/>
    <cellStyle name="0 4 10 2 2" xfId="609" xr:uid="{00000000-0005-0000-0000-000053020000}"/>
    <cellStyle name="0 4 10 3" xfId="610" xr:uid="{00000000-0005-0000-0000-000054020000}"/>
    <cellStyle name="0 4 10 3 2" xfId="611" xr:uid="{00000000-0005-0000-0000-000055020000}"/>
    <cellStyle name="0 4 10 4" xfId="612" xr:uid="{00000000-0005-0000-0000-000056020000}"/>
    <cellStyle name="0 4 11" xfId="613" xr:uid="{00000000-0005-0000-0000-000057020000}"/>
    <cellStyle name="0 4 11 2" xfId="614" xr:uid="{00000000-0005-0000-0000-000058020000}"/>
    <cellStyle name="0 4 12" xfId="615" xr:uid="{00000000-0005-0000-0000-000059020000}"/>
    <cellStyle name="0 4 12 2" xfId="616" xr:uid="{00000000-0005-0000-0000-00005A020000}"/>
    <cellStyle name="0 4 13" xfId="617" xr:uid="{00000000-0005-0000-0000-00005B020000}"/>
    <cellStyle name="0 4 2" xfId="618" xr:uid="{00000000-0005-0000-0000-00005C020000}"/>
    <cellStyle name="0 4 2 2" xfId="619" xr:uid="{00000000-0005-0000-0000-00005D020000}"/>
    <cellStyle name="0 4 2 2 2" xfId="620" xr:uid="{00000000-0005-0000-0000-00005E020000}"/>
    <cellStyle name="0 4 2 2 2 2" xfId="621" xr:uid="{00000000-0005-0000-0000-00005F020000}"/>
    <cellStyle name="0 4 2 2 2 2 2" xfId="622" xr:uid="{00000000-0005-0000-0000-000060020000}"/>
    <cellStyle name="0 4 2 2 2 3" xfId="623" xr:uid="{00000000-0005-0000-0000-000061020000}"/>
    <cellStyle name="0 4 2 2 2 3 2" xfId="624" xr:uid="{00000000-0005-0000-0000-000062020000}"/>
    <cellStyle name="0 4 2 2 2 4" xfId="625" xr:uid="{00000000-0005-0000-0000-000063020000}"/>
    <cellStyle name="0 4 2 2 3" xfId="626" xr:uid="{00000000-0005-0000-0000-000064020000}"/>
    <cellStyle name="0 4 2 2 3 2" xfId="627" xr:uid="{00000000-0005-0000-0000-000065020000}"/>
    <cellStyle name="0 4 2 2 3 2 2" xfId="628" xr:uid="{00000000-0005-0000-0000-000066020000}"/>
    <cellStyle name="0 4 2 2 3 3" xfId="629" xr:uid="{00000000-0005-0000-0000-000067020000}"/>
    <cellStyle name="0 4 2 2 3 3 2" xfId="630" xr:uid="{00000000-0005-0000-0000-000068020000}"/>
    <cellStyle name="0 4 2 2 3 4" xfId="631" xr:uid="{00000000-0005-0000-0000-000069020000}"/>
    <cellStyle name="0 4 2 2 4" xfId="632" xr:uid="{00000000-0005-0000-0000-00006A020000}"/>
    <cellStyle name="0 4 2 2 4 2" xfId="633" xr:uid="{00000000-0005-0000-0000-00006B020000}"/>
    <cellStyle name="0 4 2 2 5" xfId="634" xr:uid="{00000000-0005-0000-0000-00006C020000}"/>
    <cellStyle name="0 4 2 2 5 2" xfId="635" xr:uid="{00000000-0005-0000-0000-00006D020000}"/>
    <cellStyle name="0 4 2 2 6" xfId="636" xr:uid="{00000000-0005-0000-0000-00006E020000}"/>
    <cellStyle name="0 4 2 3" xfId="637" xr:uid="{00000000-0005-0000-0000-00006F020000}"/>
    <cellStyle name="0 4 2 3 2" xfId="638" xr:uid="{00000000-0005-0000-0000-000070020000}"/>
    <cellStyle name="0 4 2 3 2 2" xfId="639" xr:uid="{00000000-0005-0000-0000-000071020000}"/>
    <cellStyle name="0 4 2 3 3" xfId="640" xr:uid="{00000000-0005-0000-0000-000072020000}"/>
    <cellStyle name="0 4 2 3 3 2" xfId="641" xr:uid="{00000000-0005-0000-0000-000073020000}"/>
    <cellStyle name="0 4 2 3 4" xfId="642" xr:uid="{00000000-0005-0000-0000-000074020000}"/>
    <cellStyle name="0 4 2 4" xfId="643" xr:uid="{00000000-0005-0000-0000-000075020000}"/>
    <cellStyle name="0 4 2 4 2" xfId="644" xr:uid="{00000000-0005-0000-0000-000076020000}"/>
    <cellStyle name="0 4 2 4 2 2" xfId="645" xr:uid="{00000000-0005-0000-0000-000077020000}"/>
    <cellStyle name="0 4 2 4 3" xfId="646" xr:uid="{00000000-0005-0000-0000-000078020000}"/>
    <cellStyle name="0 4 2 4 3 2" xfId="647" xr:uid="{00000000-0005-0000-0000-000079020000}"/>
    <cellStyle name="0 4 2 4 4" xfId="648" xr:uid="{00000000-0005-0000-0000-00007A020000}"/>
    <cellStyle name="0 4 2 5" xfId="649" xr:uid="{00000000-0005-0000-0000-00007B020000}"/>
    <cellStyle name="0 4 2 5 2" xfId="650" xr:uid="{00000000-0005-0000-0000-00007C020000}"/>
    <cellStyle name="0 4 2 5 2 2" xfId="651" xr:uid="{00000000-0005-0000-0000-00007D020000}"/>
    <cellStyle name="0 4 2 5 3" xfId="652" xr:uid="{00000000-0005-0000-0000-00007E020000}"/>
    <cellStyle name="0 4 2 5 3 2" xfId="653" xr:uid="{00000000-0005-0000-0000-00007F020000}"/>
    <cellStyle name="0 4 2 5 4" xfId="654" xr:uid="{00000000-0005-0000-0000-000080020000}"/>
    <cellStyle name="0 4 2 6" xfId="655" xr:uid="{00000000-0005-0000-0000-000081020000}"/>
    <cellStyle name="0 4 2 6 2" xfId="656" xr:uid="{00000000-0005-0000-0000-000082020000}"/>
    <cellStyle name="0 4 2 7" xfId="657" xr:uid="{00000000-0005-0000-0000-000083020000}"/>
    <cellStyle name="0 4 2 7 2" xfId="658" xr:uid="{00000000-0005-0000-0000-000084020000}"/>
    <cellStyle name="0 4 2 8" xfId="659" xr:uid="{00000000-0005-0000-0000-000085020000}"/>
    <cellStyle name="0 4 3" xfId="660" xr:uid="{00000000-0005-0000-0000-000086020000}"/>
    <cellStyle name="0 4 3 2" xfId="661" xr:uid="{00000000-0005-0000-0000-000087020000}"/>
    <cellStyle name="0 4 3 2 2" xfId="662" xr:uid="{00000000-0005-0000-0000-000088020000}"/>
    <cellStyle name="0 4 3 2 2 2" xfId="663" xr:uid="{00000000-0005-0000-0000-000089020000}"/>
    <cellStyle name="0 4 3 2 2 2 2" xfId="664" xr:uid="{00000000-0005-0000-0000-00008A020000}"/>
    <cellStyle name="0 4 3 2 2 3" xfId="665" xr:uid="{00000000-0005-0000-0000-00008B020000}"/>
    <cellStyle name="0 4 3 2 2 3 2" xfId="666" xr:uid="{00000000-0005-0000-0000-00008C020000}"/>
    <cellStyle name="0 4 3 2 2 4" xfId="667" xr:uid="{00000000-0005-0000-0000-00008D020000}"/>
    <cellStyle name="0 4 3 2 3" xfId="668" xr:uid="{00000000-0005-0000-0000-00008E020000}"/>
    <cellStyle name="0 4 3 2 3 2" xfId="669" xr:uid="{00000000-0005-0000-0000-00008F020000}"/>
    <cellStyle name="0 4 3 2 3 2 2" xfId="670" xr:uid="{00000000-0005-0000-0000-000090020000}"/>
    <cellStyle name="0 4 3 2 3 3" xfId="671" xr:uid="{00000000-0005-0000-0000-000091020000}"/>
    <cellStyle name="0 4 3 2 3 3 2" xfId="672" xr:uid="{00000000-0005-0000-0000-000092020000}"/>
    <cellStyle name="0 4 3 2 3 4" xfId="673" xr:uid="{00000000-0005-0000-0000-000093020000}"/>
    <cellStyle name="0 4 3 2 4" xfId="674" xr:uid="{00000000-0005-0000-0000-000094020000}"/>
    <cellStyle name="0 4 3 2 4 2" xfId="675" xr:uid="{00000000-0005-0000-0000-000095020000}"/>
    <cellStyle name="0 4 3 2 5" xfId="676" xr:uid="{00000000-0005-0000-0000-000096020000}"/>
    <cellStyle name="0 4 3 2 5 2" xfId="677" xr:uid="{00000000-0005-0000-0000-000097020000}"/>
    <cellStyle name="0 4 3 2 6" xfId="678" xr:uid="{00000000-0005-0000-0000-000098020000}"/>
    <cellStyle name="0 4 3 3" xfId="679" xr:uid="{00000000-0005-0000-0000-000099020000}"/>
    <cellStyle name="0 4 3 3 2" xfId="680" xr:uid="{00000000-0005-0000-0000-00009A020000}"/>
    <cellStyle name="0 4 3 3 2 2" xfId="681" xr:uid="{00000000-0005-0000-0000-00009B020000}"/>
    <cellStyle name="0 4 3 3 3" xfId="682" xr:uid="{00000000-0005-0000-0000-00009C020000}"/>
    <cellStyle name="0 4 3 3 3 2" xfId="683" xr:uid="{00000000-0005-0000-0000-00009D020000}"/>
    <cellStyle name="0 4 3 3 4" xfId="684" xr:uid="{00000000-0005-0000-0000-00009E020000}"/>
    <cellStyle name="0 4 3 4" xfId="685" xr:uid="{00000000-0005-0000-0000-00009F020000}"/>
    <cellStyle name="0 4 3 4 2" xfId="686" xr:uid="{00000000-0005-0000-0000-0000A0020000}"/>
    <cellStyle name="0 4 3 4 2 2" xfId="687" xr:uid="{00000000-0005-0000-0000-0000A1020000}"/>
    <cellStyle name="0 4 3 4 3" xfId="688" xr:uid="{00000000-0005-0000-0000-0000A2020000}"/>
    <cellStyle name="0 4 3 4 3 2" xfId="689" xr:uid="{00000000-0005-0000-0000-0000A3020000}"/>
    <cellStyle name="0 4 3 4 4" xfId="690" xr:uid="{00000000-0005-0000-0000-0000A4020000}"/>
    <cellStyle name="0 4 3 5" xfId="691" xr:uid="{00000000-0005-0000-0000-0000A5020000}"/>
    <cellStyle name="0 4 3 5 2" xfId="692" xr:uid="{00000000-0005-0000-0000-0000A6020000}"/>
    <cellStyle name="0 4 3 5 2 2" xfId="693" xr:uid="{00000000-0005-0000-0000-0000A7020000}"/>
    <cellStyle name="0 4 3 5 3" xfId="694" xr:uid="{00000000-0005-0000-0000-0000A8020000}"/>
    <cellStyle name="0 4 3 5 3 2" xfId="695" xr:uid="{00000000-0005-0000-0000-0000A9020000}"/>
    <cellStyle name="0 4 3 5 4" xfId="696" xr:uid="{00000000-0005-0000-0000-0000AA020000}"/>
    <cellStyle name="0 4 3 6" xfId="697" xr:uid="{00000000-0005-0000-0000-0000AB020000}"/>
    <cellStyle name="0 4 3 6 2" xfId="698" xr:uid="{00000000-0005-0000-0000-0000AC020000}"/>
    <cellStyle name="0 4 3 7" xfId="699" xr:uid="{00000000-0005-0000-0000-0000AD020000}"/>
    <cellStyle name="0 4 3 7 2" xfId="700" xr:uid="{00000000-0005-0000-0000-0000AE020000}"/>
    <cellStyle name="0 4 3 8" xfId="701" xr:uid="{00000000-0005-0000-0000-0000AF020000}"/>
    <cellStyle name="0 4 4" xfId="702" xr:uid="{00000000-0005-0000-0000-0000B0020000}"/>
    <cellStyle name="0 4 4 2" xfId="703" xr:uid="{00000000-0005-0000-0000-0000B1020000}"/>
    <cellStyle name="0 4 4 2 2" xfId="704" xr:uid="{00000000-0005-0000-0000-0000B2020000}"/>
    <cellStyle name="0 4 4 2 2 2" xfId="705" xr:uid="{00000000-0005-0000-0000-0000B3020000}"/>
    <cellStyle name="0 4 4 2 2 2 2" xfId="706" xr:uid="{00000000-0005-0000-0000-0000B4020000}"/>
    <cellStyle name="0 4 4 2 2 3" xfId="707" xr:uid="{00000000-0005-0000-0000-0000B5020000}"/>
    <cellStyle name="0 4 4 2 2 3 2" xfId="708" xr:uid="{00000000-0005-0000-0000-0000B6020000}"/>
    <cellStyle name="0 4 4 2 2 4" xfId="709" xr:uid="{00000000-0005-0000-0000-0000B7020000}"/>
    <cellStyle name="0 4 4 2 3" xfId="710" xr:uid="{00000000-0005-0000-0000-0000B8020000}"/>
    <cellStyle name="0 4 4 2 3 2" xfId="711" xr:uid="{00000000-0005-0000-0000-0000B9020000}"/>
    <cellStyle name="0 4 4 2 3 2 2" xfId="712" xr:uid="{00000000-0005-0000-0000-0000BA020000}"/>
    <cellStyle name="0 4 4 2 3 3" xfId="713" xr:uid="{00000000-0005-0000-0000-0000BB020000}"/>
    <cellStyle name="0 4 4 2 3 3 2" xfId="714" xr:uid="{00000000-0005-0000-0000-0000BC020000}"/>
    <cellStyle name="0 4 4 2 3 4" xfId="715" xr:uid="{00000000-0005-0000-0000-0000BD020000}"/>
    <cellStyle name="0 4 4 2 4" xfId="716" xr:uid="{00000000-0005-0000-0000-0000BE020000}"/>
    <cellStyle name="0 4 4 2 4 2" xfId="717" xr:uid="{00000000-0005-0000-0000-0000BF020000}"/>
    <cellStyle name="0 4 4 2 5" xfId="718" xr:uid="{00000000-0005-0000-0000-0000C0020000}"/>
    <cellStyle name="0 4 4 2 5 2" xfId="719" xr:uid="{00000000-0005-0000-0000-0000C1020000}"/>
    <cellStyle name="0 4 4 2 6" xfId="720" xr:uid="{00000000-0005-0000-0000-0000C2020000}"/>
    <cellStyle name="0 4 4 3" xfId="721" xr:uid="{00000000-0005-0000-0000-0000C3020000}"/>
    <cellStyle name="0 4 4 3 2" xfId="722" xr:uid="{00000000-0005-0000-0000-0000C4020000}"/>
    <cellStyle name="0 4 4 3 2 2" xfId="723" xr:uid="{00000000-0005-0000-0000-0000C5020000}"/>
    <cellStyle name="0 4 4 3 3" xfId="724" xr:uid="{00000000-0005-0000-0000-0000C6020000}"/>
    <cellStyle name="0 4 4 3 3 2" xfId="725" xr:uid="{00000000-0005-0000-0000-0000C7020000}"/>
    <cellStyle name="0 4 4 3 4" xfId="726" xr:uid="{00000000-0005-0000-0000-0000C8020000}"/>
    <cellStyle name="0 4 4 4" xfId="727" xr:uid="{00000000-0005-0000-0000-0000C9020000}"/>
    <cellStyle name="0 4 4 4 2" xfId="728" xr:uid="{00000000-0005-0000-0000-0000CA020000}"/>
    <cellStyle name="0 4 4 4 2 2" xfId="729" xr:uid="{00000000-0005-0000-0000-0000CB020000}"/>
    <cellStyle name="0 4 4 4 3" xfId="730" xr:uid="{00000000-0005-0000-0000-0000CC020000}"/>
    <cellStyle name="0 4 4 4 3 2" xfId="731" xr:uid="{00000000-0005-0000-0000-0000CD020000}"/>
    <cellStyle name="0 4 4 4 4" xfId="732" xr:uid="{00000000-0005-0000-0000-0000CE020000}"/>
    <cellStyle name="0 4 4 5" xfId="733" xr:uid="{00000000-0005-0000-0000-0000CF020000}"/>
    <cellStyle name="0 4 4 5 2" xfId="734" xr:uid="{00000000-0005-0000-0000-0000D0020000}"/>
    <cellStyle name="0 4 4 5 2 2" xfId="735" xr:uid="{00000000-0005-0000-0000-0000D1020000}"/>
    <cellStyle name="0 4 4 5 3" xfId="736" xr:uid="{00000000-0005-0000-0000-0000D2020000}"/>
    <cellStyle name="0 4 4 5 3 2" xfId="737" xr:uid="{00000000-0005-0000-0000-0000D3020000}"/>
    <cellStyle name="0 4 4 5 4" xfId="738" xr:uid="{00000000-0005-0000-0000-0000D4020000}"/>
    <cellStyle name="0 4 4 6" xfId="739" xr:uid="{00000000-0005-0000-0000-0000D5020000}"/>
    <cellStyle name="0 4 4 6 2" xfId="740" xr:uid="{00000000-0005-0000-0000-0000D6020000}"/>
    <cellStyle name="0 4 4 7" xfId="741" xr:uid="{00000000-0005-0000-0000-0000D7020000}"/>
    <cellStyle name="0 4 4 7 2" xfId="742" xr:uid="{00000000-0005-0000-0000-0000D8020000}"/>
    <cellStyle name="0 4 4 8" xfId="743" xr:uid="{00000000-0005-0000-0000-0000D9020000}"/>
    <cellStyle name="0 4 5" xfId="744" xr:uid="{00000000-0005-0000-0000-0000DA020000}"/>
    <cellStyle name="0 4 5 2" xfId="745" xr:uid="{00000000-0005-0000-0000-0000DB020000}"/>
    <cellStyle name="0 4 5 2 2" xfId="746" xr:uid="{00000000-0005-0000-0000-0000DC020000}"/>
    <cellStyle name="0 4 5 2 2 2" xfId="747" xr:uid="{00000000-0005-0000-0000-0000DD020000}"/>
    <cellStyle name="0 4 5 2 2 2 2" xfId="748" xr:uid="{00000000-0005-0000-0000-0000DE020000}"/>
    <cellStyle name="0 4 5 2 2 3" xfId="749" xr:uid="{00000000-0005-0000-0000-0000DF020000}"/>
    <cellStyle name="0 4 5 2 2 3 2" xfId="750" xr:uid="{00000000-0005-0000-0000-0000E0020000}"/>
    <cellStyle name="0 4 5 2 2 4" xfId="751" xr:uid="{00000000-0005-0000-0000-0000E1020000}"/>
    <cellStyle name="0 4 5 2 3" xfId="752" xr:uid="{00000000-0005-0000-0000-0000E2020000}"/>
    <cellStyle name="0 4 5 2 3 2" xfId="753" xr:uid="{00000000-0005-0000-0000-0000E3020000}"/>
    <cellStyle name="0 4 5 2 3 2 2" xfId="754" xr:uid="{00000000-0005-0000-0000-0000E4020000}"/>
    <cellStyle name="0 4 5 2 3 3" xfId="755" xr:uid="{00000000-0005-0000-0000-0000E5020000}"/>
    <cellStyle name="0 4 5 2 3 3 2" xfId="756" xr:uid="{00000000-0005-0000-0000-0000E6020000}"/>
    <cellStyle name="0 4 5 2 3 4" xfId="757" xr:uid="{00000000-0005-0000-0000-0000E7020000}"/>
    <cellStyle name="0 4 5 2 4" xfId="758" xr:uid="{00000000-0005-0000-0000-0000E8020000}"/>
    <cellStyle name="0 4 5 2 4 2" xfId="759" xr:uid="{00000000-0005-0000-0000-0000E9020000}"/>
    <cellStyle name="0 4 5 2 5" xfId="760" xr:uid="{00000000-0005-0000-0000-0000EA020000}"/>
    <cellStyle name="0 4 5 2 5 2" xfId="761" xr:uid="{00000000-0005-0000-0000-0000EB020000}"/>
    <cellStyle name="0 4 5 2 6" xfId="762" xr:uid="{00000000-0005-0000-0000-0000EC020000}"/>
    <cellStyle name="0 4 5 3" xfId="763" xr:uid="{00000000-0005-0000-0000-0000ED020000}"/>
    <cellStyle name="0 4 5 3 2" xfId="764" xr:uid="{00000000-0005-0000-0000-0000EE020000}"/>
    <cellStyle name="0 4 5 3 2 2" xfId="765" xr:uid="{00000000-0005-0000-0000-0000EF020000}"/>
    <cellStyle name="0 4 5 3 3" xfId="766" xr:uid="{00000000-0005-0000-0000-0000F0020000}"/>
    <cellStyle name="0 4 5 3 3 2" xfId="767" xr:uid="{00000000-0005-0000-0000-0000F1020000}"/>
    <cellStyle name="0 4 5 3 4" xfId="768" xr:uid="{00000000-0005-0000-0000-0000F2020000}"/>
    <cellStyle name="0 4 5 4" xfId="769" xr:uid="{00000000-0005-0000-0000-0000F3020000}"/>
    <cellStyle name="0 4 5 4 2" xfId="770" xr:uid="{00000000-0005-0000-0000-0000F4020000}"/>
    <cellStyle name="0 4 5 4 2 2" xfId="771" xr:uid="{00000000-0005-0000-0000-0000F5020000}"/>
    <cellStyle name="0 4 5 4 3" xfId="772" xr:uid="{00000000-0005-0000-0000-0000F6020000}"/>
    <cellStyle name="0 4 5 4 3 2" xfId="773" xr:uid="{00000000-0005-0000-0000-0000F7020000}"/>
    <cellStyle name="0 4 5 4 4" xfId="774" xr:uid="{00000000-0005-0000-0000-0000F8020000}"/>
    <cellStyle name="0 4 5 5" xfId="775" xr:uid="{00000000-0005-0000-0000-0000F9020000}"/>
    <cellStyle name="0 4 5 5 2" xfId="776" xr:uid="{00000000-0005-0000-0000-0000FA020000}"/>
    <cellStyle name="0 4 5 5 2 2" xfId="777" xr:uid="{00000000-0005-0000-0000-0000FB020000}"/>
    <cellStyle name="0 4 5 5 3" xfId="778" xr:uid="{00000000-0005-0000-0000-0000FC020000}"/>
    <cellStyle name="0 4 5 5 3 2" xfId="779" xr:uid="{00000000-0005-0000-0000-0000FD020000}"/>
    <cellStyle name="0 4 5 5 4" xfId="780" xr:uid="{00000000-0005-0000-0000-0000FE020000}"/>
    <cellStyle name="0 4 5 6" xfId="781" xr:uid="{00000000-0005-0000-0000-0000FF020000}"/>
    <cellStyle name="0 4 5 6 2" xfId="782" xr:uid="{00000000-0005-0000-0000-000000030000}"/>
    <cellStyle name="0 4 5 7" xfId="783" xr:uid="{00000000-0005-0000-0000-000001030000}"/>
    <cellStyle name="0 4 5 7 2" xfId="784" xr:uid="{00000000-0005-0000-0000-000002030000}"/>
    <cellStyle name="0 4 5 8" xfId="785" xr:uid="{00000000-0005-0000-0000-000003030000}"/>
    <cellStyle name="0 4 6" xfId="786" xr:uid="{00000000-0005-0000-0000-000004030000}"/>
    <cellStyle name="0 4 6 2" xfId="787" xr:uid="{00000000-0005-0000-0000-000005030000}"/>
    <cellStyle name="0 4 6 2 2" xfId="788" xr:uid="{00000000-0005-0000-0000-000006030000}"/>
    <cellStyle name="0 4 6 2 2 2" xfId="789" xr:uid="{00000000-0005-0000-0000-000007030000}"/>
    <cellStyle name="0 4 6 2 2 2 2" xfId="790" xr:uid="{00000000-0005-0000-0000-000008030000}"/>
    <cellStyle name="0 4 6 2 2 3" xfId="791" xr:uid="{00000000-0005-0000-0000-000009030000}"/>
    <cellStyle name="0 4 6 2 2 3 2" xfId="792" xr:uid="{00000000-0005-0000-0000-00000A030000}"/>
    <cellStyle name="0 4 6 2 2 4" xfId="793" xr:uid="{00000000-0005-0000-0000-00000B030000}"/>
    <cellStyle name="0 4 6 2 3" xfId="794" xr:uid="{00000000-0005-0000-0000-00000C030000}"/>
    <cellStyle name="0 4 6 2 3 2" xfId="795" xr:uid="{00000000-0005-0000-0000-00000D030000}"/>
    <cellStyle name="0 4 6 2 3 2 2" xfId="796" xr:uid="{00000000-0005-0000-0000-00000E030000}"/>
    <cellStyle name="0 4 6 2 3 3" xfId="797" xr:uid="{00000000-0005-0000-0000-00000F030000}"/>
    <cellStyle name="0 4 6 2 3 3 2" xfId="798" xr:uid="{00000000-0005-0000-0000-000010030000}"/>
    <cellStyle name="0 4 6 2 3 4" xfId="799" xr:uid="{00000000-0005-0000-0000-000011030000}"/>
    <cellStyle name="0 4 6 2 4" xfId="800" xr:uid="{00000000-0005-0000-0000-000012030000}"/>
    <cellStyle name="0 4 6 2 4 2" xfId="801" xr:uid="{00000000-0005-0000-0000-000013030000}"/>
    <cellStyle name="0 4 6 2 5" xfId="802" xr:uid="{00000000-0005-0000-0000-000014030000}"/>
    <cellStyle name="0 4 6 2 5 2" xfId="803" xr:uid="{00000000-0005-0000-0000-000015030000}"/>
    <cellStyle name="0 4 6 2 6" xfId="804" xr:uid="{00000000-0005-0000-0000-000016030000}"/>
    <cellStyle name="0 4 6 3" xfId="805" xr:uid="{00000000-0005-0000-0000-000017030000}"/>
    <cellStyle name="0 4 6 3 2" xfId="806" xr:uid="{00000000-0005-0000-0000-000018030000}"/>
    <cellStyle name="0 4 6 3 2 2" xfId="807" xr:uid="{00000000-0005-0000-0000-000019030000}"/>
    <cellStyle name="0 4 6 3 3" xfId="808" xr:uid="{00000000-0005-0000-0000-00001A030000}"/>
    <cellStyle name="0 4 6 3 3 2" xfId="809" xr:uid="{00000000-0005-0000-0000-00001B030000}"/>
    <cellStyle name="0 4 6 3 4" xfId="810" xr:uid="{00000000-0005-0000-0000-00001C030000}"/>
    <cellStyle name="0 4 6 4" xfId="811" xr:uid="{00000000-0005-0000-0000-00001D030000}"/>
    <cellStyle name="0 4 6 4 2" xfId="812" xr:uid="{00000000-0005-0000-0000-00001E030000}"/>
    <cellStyle name="0 4 6 4 2 2" xfId="813" xr:uid="{00000000-0005-0000-0000-00001F030000}"/>
    <cellStyle name="0 4 6 4 3" xfId="814" xr:uid="{00000000-0005-0000-0000-000020030000}"/>
    <cellStyle name="0 4 6 4 3 2" xfId="815" xr:uid="{00000000-0005-0000-0000-000021030000}"/>
    <cellStyle name="0 4 6 4 4" xfId="816" xr:uid="{00000000-0005-0000-0000-000022030000}"/>
    <cellStyle name="0 4 6 5" xfId="817" xr:uid="{00000000-0005-0000-0000-000023030000}"/>
    <cellStyle name="0 4 6 5 2" xfId="818" xr:uid="{00000000-0005-0000-0000-000024030000}"/>
    <cellStyle name="0 4 6 5 2 2" xfId="819" xr:uid="{00000000-0005-0000-0000-000025030000}"/>
    <cellStyle name="0 4 6 5 3" xfId="820" xr:uid="{00000000-0005-0000-0000-000026030000}"/>
    <cellStyle name="0 4 6 5 3 2" xfId="821" xr:uid="{00000000-0005-0000-0000-000027030000}"/>
    <cellStyle name="0 4 6 5 4" xfId="822" xr:uid="{00000000-0005-0000-0000-000028030000}"/>
    <cellStyle name="0 4 6 6" xfId="823" xr:uid="{00000000-0005-0000-0000-000029030000}"/>
    <cellStyle name="0 4 6 6 2" xfId="824" xr:uid="{00000000-0005-0000-0000-00002A030000}"/>
    <cellStyle name="0 4 6 7" xfId="825" xr:uid="{00000000-0005-0000-0000-00002B030000}"/>
    <cellStyle name="0 4 6 7 2" xfId="826" xr:uid="{00000000-0005-0000-0000-00002C030000}"/>
    <cellStyle name="0 4 6 8" xfId="827" xr:uid="{00000000-0005-0000-0000-00002D030000}"/>
    <cellStyle name="0 4 7" xfId="828" xr:uid="{00000000-0005-0000-0000-00002E030000}"/>
    <cellStyle name="0 4 7 2" xfId="829" xr:uid="{00000000-0005-0000-0000-00002F030000}"/>
    <cellStyle name="0 4 7 2 2" xfId="830" xr:uid="{00000000-0005-0000-0000-000030030000}"/>
    <cellStyle name="0 4 7 2 2 2" xfId="831" xr:uid="{00000000-0005-0000-0000-000031030000}"/>
    <cellStyle name="0 4 7 2 3" xfId="832" xr:uid="{00000000-0005-0000-0000-000032030000}"/>
    <cellStyle name="0 4 7 2 3 2" xfId="833" xr:uid="{00000000-0005-0000-0000-000033030000}"/>
    <cellStyle name="0 4 7 2 4" xfId="834" xr:uid="{00000000-0005-0000-0000-000034030000}"/>
    <cellStyle name="0 4 7 3" xfId="835" xr:uid="{00000000-0005-0000-0000-000035030000}"/>
    <cellStyle name="0 4 7 3 2" xfId="836" xr:uid="{00000000-0005-0000-0000-000036030000}"/>
    <cellStyle name="0 4 7 3 2 2" xfId="837" xr:uid="{00000000-0005-0000-0000-000037030000}"/>
    <cellStyle name="0 4 7 3 3" xfId="838" xr:uid="{00000000-0005-0000-0000-000038030000}"/>
    <cellStyle name="0 4 7 3 3 2" xfId="839" xr:uid="{00000000-0005-0000-0000-000039030000}"/>
    <cellStyle name="0 4 7 3 4" xfId="840" xr:uid="{00000000-0005-0000-0000-00003A030000}"/>
    <cellStyle name="0 4 7 4" xfId="841" xr:uid="{00000000-0005-0000-0000-00003B030000}"/>
    <cellStyle name="0 4 7 4 2" xfId="842" xr:uid="{00000000-0005-0000-0000-00003C030000}"/>
    <cellStyle name="0 4 7 5" xfId="843" xr:uid="{00000000-0005-0000-0000-00003D030000}"/>
    <cellStyle name="0 4 7 5 2" xfId="844" xr:uid="{00000000-0005-0000-0000-00003E030000}"/>
    <cellStyle name="0 4 7 6" xfId="845" xr:uid="{00000000-0005-0000-0000-00003F030000}"/>
    <cellStyle name="0 4 8" xfId="846" xr:uid="{00000000-0005-0000-0000-000040030000}"/>
    <cellStyle name="0 4 8 2" xfId="847" xr:uid="{00000000-0005-0000-0000-000041030000}"/>
    <cellStyle name="0 4 8 2 2" xfId="848" xr:uid="{00000000-0005-0000-0000-000042030000}"/>
    <cellStyle name="0 4 8 3" xfId="849" xr:uid="{00000000-0005-0000-0000-000043030000}"/>
    <cellStyle name="0 4 8 3 2" xfId="850" xr:uid="{00000000-0005-0000-0000-000044030000}"/>
    <cellStyle name="0 4 8 4" xfId="851" xr:uid="{00000000-0005-0000-0000-000045030000}"/>
    <cellStyle name="0 4 9" xfId="852" xr:uid="{00000000-0005-0000-0000-000046030000}"/>
    <cellStyle name="0 4 9 2" xfId="853" xr:uid="{00000000-0005-0000-0000-000047030000}"/>
    <cellStyle name="0 4 9 2 2" xfId="854" xr:uid="{00000000-0005-0000-0000-000048030000}"/>
    <cellStyle name="0 4 9 3" xfId="855" xr:uid="{00000000-0005-0000-0000-000049030000}"/>
    <cellStyle name="0 4 9 3 2" xfId="856" xr:uid="{00000000-0005-0000-0000-00004A030000}"/>
    <cellStyle name="0 4 9 4" xfId="857" xr:uid="{00000000-0005-0000-0000-00004B030000}"/>
    <cellStyle name="0 5" xfId="858" xr:uid="{00000000-0005-0000-0000-00004C030000}"/>
    <cellStyle name="0 5 10" xfId="859" xr:uid="{00000000-0005-0000-0000-00004D030000}"/>
    <cellStyle name="0 5 10 2" xfId="860" xr:uid="{00000000-0005-0000-0000-00004E030000}"/>
    <cellStyle name="0 5 10 2 2" xfId="861" xr:uid="{00000000-0005-0000-0000-00004F030000}"/>
    <cellStyle name="0 5 10 3" xfId="862" xr:uid="{00000000-0005-0000-0000-000050030000}"/>
    <cellStyle name="0 5 10 3 2" xfId="863" xr:uid="{00000000-0005-0000-0000-000051030000}"/>
    <cellStyle name="0 5 10 4" xfId="864" xr:uid="{00000000-0005-0000-0000-000052030000}"/>
    <cellStyle name="0 5 11" xfId="865" xr:uid="{00000000-0005-0000-0000-000053030000}"/>
    <cellStyle name="0 5 11 2" xfId="866" xr:uid="{00000000-0005-0000-0000-000054030000}"/>
    <cellStyle name="0 5 12" xfId="867" xr:uid="{00000000-0005-0000-0000-000055030000}"/>
    <cellStyle name="0 5 12 2" xfId="868" xr:uid="{00000000-0005-0000-0000-000056030000}"/>
    <cellStyle name="0 5 13" xfId="869" xr:uid="{00000000-0005-0000-0000-000057030000}"/>
    <cellStyle name="0 5 2" xfId="870" xr:uid="{00000000-0005-0000-0000-000058030000}"/>
    <cellStyle name="0 5 2 2" xfId="871" xr:uid="{00000000-0005-0000-0000-000059030000}"/>
    <cellStyle name="0 5 2 2 2" xfId="872" xr:uid="{00000000-0005-0000-0000-00005A030000}"/>
    <cellStyle name="0 5 2 2 2 2" xfId="873" xr:uid="{00000000-0005-0000-0000-00005B030000}"/>
    <cellStyle name="0 5 2 2 2 2 2" xfId="874" xr:uid="{00000000-0005-0000-0000-00005C030000}"/>
    <cellStyle name="0 5 2 2 2 3" xfId="875" xr:uid="{00000000-0005-0000-0000-00005D030000}"/>
    <cellStyle name="0 5 2 2 2 3 2" xfId="876" xr:uid="{00000000-0005-0000-0000-00005E030000}"/>
    <cellStyle name="0 5 2 2 2 4" xfId="877" xr:uid="{00000000-0005-0000-0000-00005F030000}"/>
    <cellStyle name="0 5 2 2 3" xfId="878" xr:uid="{00000000-0005-0000-0000-000060030000}"/>
    <cellStyle name="0 5 2 2 3 2" xfId="879" xr:uid="{00000000-0005-0000-0000-000061030000}"/>
    <cellStyle name="0 5 2 2 3 2 2" xfId="880" xr:uid="{00000000-0005-0000-0000-000062030000}"/>
    <cellStyle name="0 5 2 2 3 3" xfId="881" xr:uid="{00000000-0005-0000-0000-000063030000}"/>
    <cellStyle name="0 5 2 2 3 3 2" xfId="882" xr:uid="{00000000-0005-0000-0000-000064030000}"/>
    <cellStyle name="0 5 2 2 3 4" xfId="883" xr:uid="{00000000-0005-0000-0000-000065030000}"/>
    <cellStyle name="0 5 2 2 4" xfId="884" xr:uid="{00000000-0005-0000-0000-000066030000}"/>
    <cellStyle name="0 5 2 2 4 2" xfId="885" xr:uid="{00000000-0005-0000-0000-000067030000}"/>
    <cellStyle name="0 5 2 2 5" xfId="886" xr:uid="{00000000-0005-0000-0000-000068030000}"/>
    <cellStyle name="0 5 2 2 5 2" xfId="887" xr:uid="{00000000-0005-0000-0000-000069030000}"/>
    <cellStyle name="0 5 2 2 6" xfId="888" xr:uid="{00000000-0005-0000-0000-00006A030000}"/>
    <cellStyle name="0 5 2 3" xfId="889" xr:uid="{00000000-0005-0000-0000-00006B030000}"/>
    <cellStyle name="0 5 2 3 2" xfId="890" xr:uid="{00000000-0005-0000-0000-00006C030000}"/>
    <cellStyle name="0 5 2 3 2 2" xfId="891" xr:uid="{00000000-0005-0000-0000-00006D030000}"/>
    <cellStyle name="0 5 2 3 3" xfId="892" xr:uid="{00000000-0005-0000-0000-00006E030000}"/>
    <cellStyle name="0 5 2 3 3 2" xfId="893" xr:uid="{00000000-0005-0000-0000-00006F030000}"/>
    <cellStyle name="0 5 2 3 4" xfId="894" xr:uid="{00000000-0005-0000-0000-000070030000}"/>
    <cellStyle name="0 5 2 4" xfId="895" xr:uid="{00000000-0005-0000-0000-000071030000}"/>
    <cellStyle name="0 5 2 4 2" xfId="896" xr:uid="{00000000-0005-0000-0000-000072030000}"/>
    <cellStyle name="0 5 2 4 2 2" xfId="897" xr:uid="{00000000-0005-0000-0000-000073030000}"/>
    <cellStyle name="0 5 2 4 3" xfId="898" xr:uid="{00000000-0005-0000-0000-000074030000}"/>
    <cellStyle name="0 5 2 4 3 2" xfId="899" xr:uid="{00000000-0005-0000-0000-000075030000}"/>
    <cellStyle name="0 5 2 4 4" xfId="900" xr:uid="{00000000-0005-0000-0000-000076030000}"/>
    <cellStyle name="0 5 2 5" xfId="901" xr:uid="{00000000-0005-0000-0000-000077030000}"/>
    <cellStyle name="0 5 2 5 2" xfId="902" xr:uid="{00000000-0005-0000-0000-000078030000}"/>
    <cellStyle name="0 5 2 5 2 2" xfId="903" xr:uid="{00000000-0005-0000-0000-000079030000}"/>
    <cellStyle name="0 5 2 5 3" xfId="904" xr:uid="{00000000-0005-0000-0000-00007A030000}"/>
    <cellStyle name="0 5 2 5 3 2" xfId="905" xr:uid="{00000000-0005-0000-0000-00007B030000}"/>
    <cellStyle name="0 5 2 5 4" xfId="906" xr:uid="{00000000-0005-0000-0000-00007C030000}"/>
    <cellStyle name="0 5 2 6" xfId="907" xr:uid="{00000000-0005-0000-0000-00007D030000}"/>
    <cellStyle name="0 5 2 6 2" xfId="908" xr:uid="{00000000-0005-0000-0000-00007E030000}"/>
    <cellStyle name="0 5 2 7" xfId="909" xr:uid="{00000000-0005-0000-0000-00007F030000}"/>
    <cellStyle name="0 5 2 7 2" xfId="910" xr:uid="{00000000-0005-0000-0000-000080030000}"/>
    <cellStyle name="0 5 2 8" xfId="911" xr:uid="{00000000-0005-0000-0000-000081030000}"/>
    <cellStyle name="0 5 3" xfId="912" xr:uid="{00000000-0005-0000-0000-000082030000}"/>
    <cellStyle name="0 5 3 2" xfId="913" xr:uid="{00000000-0005-0000-0000-000083030000}"/>
    <cellStyle name="0 5 3 2 2" xfId="914" xr:uid="{00000000-0005-0000-0000-000084030000}"/>
    <cellStyle name="0 5 3 2 2 2" xfId="915" xr:uid="{00000000-0005-0000-0000-000085030000}"/>
    <cellStyle name="0 5 3 2 2 2 2" xfId="916" xr:uid="{00000000-0005-0000-0000-000086030000}"/>
    <cellStyle name="0 5 3 2 2 3" xfId="917" xr:uid="{00000000-0005-0000-0000-000087030000}"/>
    <cellStyle name="0 5 3 2 2 3 2" xfId="918" xr:uid="{00000000-0005-0000-0000-000088030000}"/>
    <cellStyle name="0 5 3 2 2 4" xfId="919" xr:uid="{00000000-0005-0000-0000-000089030000}"/>
    <cellStyle name="0 5 3 2 3" xfId="920" xr:uid="{00000000-0005-0000-0000-00008A030000}"/>
    <cellStyle name="0 5 3 2 3 2" xfId="921" xr:uid="{00000000-0005-0000-0000-00008B030000}"/>
    <cellStyle name="0 5 3 2 3 2 2" xfId="922" xr:uid="{00000000-0005-0000-0000-00008C030000}"/>
    <cellStyle name="0 5 3 2 3 3" xfId="923" xr:uid="{00000000-0005-0000-0000-00008D030000}"/>
    <cellStyle name="0 5 3 2 3 3 2" xfId="924" xr:uid="{00000000-0005-0000-0000-00008E030000}"/>
    <cellStyle name="0 5 3 2 3 4" xfId="925" xr:uid="{00000000-0005-0000-0000-00008F030000}"/>
    <cellStyle name="0 5 3 2 4" xfId="926" xr:uid="{00000000-0005-0000-0000-000090030000}"/>
    <cellStyle name="0 5 3 2 4 2" xfId="927" xr:uid="{00000000-0005-0000-0000-000091030000}"/>
    <cellStyle name="0 5 3 2 5" xfId="928" xr:uid="{00000000-0005-0000-0000-000092030000}"/>
    <cellStyle name="0 5 3 2 5 2" xfId="929" xr:uid="{00000000-0005-0000-0000-000093030000}"/>
    <cellStyle name="0 5 3 2 6" xfId="930" xr:uid="{00000000-0005-0000-0000-000094030000}"/>
    <cellStyle name="0 5 3 3" xfId="931" xr:uid="{00000000-0005-0000-0000-000095030000}"/>
    <cellStyle name="0 5 3 3 2" xfId="932" xr:uid="{00000000-0005-0000-0000-000096030000}"/>
    <cellStyle name="0 5 3 3 2 2" xfId="933" xr:uid="{00000000-0005-0000-0000-000097030000}"/>
    <cellStyle name="0 5 3 3 3" xfId="934" xr:uid="{00000000-0005-0000-0000-000098030000}"/>
    <cellStyle name="0 5 3 3 3 2" xfId="935" xr:uid="{00000000-0005-0000-0000-000099030000}"/>
    <cellStyle name="0 5 3 3 4" xfId="936" xr:uid="{00000000-0005-0000-0000-00009A030000}"/>
    <cellStyle name="0 5 3 4" xfId="937" xr:uid="{00000000-0005-0000-0000-00009B030000}"/>
    <cellStyle name="0 5 3 4 2" xfId="938" xr:uid="{00000000-0005-0000-0000-00009C030000}"/>
    <cellStyle name="0 5 3 4 2 2" xfId="939" xr:uid="{00000000-0005-0000-0000-00009D030000}"/>
    <cellStyle name="0 5 3 4 3" xfId="940" xr:uid="{00000000-0005-0000-0000-00009E030000}"/>
    <cellStyle name="0 5 3 4 3 2" xfId="941" xr:uid="{00000000-0005-0000-0000-00009F030000}"/>
    <cellStyle name="0 5 3 4 4" xfId="942" xr:uid="{00000000-0005-0000-0000-0000A0030000}"/>
    <cellStyle name="0 5 3 5" xfId="943" xr:uid="{00000000-0005-0000-0000-0000A1030000}"/>
    <cellStyle name="0 5 3 5 2" xfId="944" xr:uid="{00000000-0005-0000-0000-0000A2030000}"/>
    <cellStyle name="0 5 3 5 2 2" xfId="945" xr:uid="{00000000-0005-0000-0000-0000A3030000}"/>
    <cellStyle name="0 5 3 5 3" xfId="946" xr:uid="{00000000-0005-0000-0000-0000A4030000}"/>
    <cellStyle name="0 5 3 5 3 2" xfId="947" xr:uid="{00000000-0005-0000-0000-0000A5030000}"/>
    <cellStyle name="0 5 3 5 4" xfId="948" xr:uid="{00000000-0005-0000-0000-0000A6030000}"/>
    <cellStyle name="0 5 3 6" xfId="949" xr:uid="{00000000-0005-0000-0000-0000A7030000}"/>
    <cellStyle name="0 5 3 6 2" xfId="950" xr:uid="{00000000-0005-0000-0000-0000A8030000}"/>
    <cellStyle name="0 5 3 7" xfId="951" xr:uid="{00000000-0005-0000-0000-0000A9030000}"/>
    <cellStyle name="0 5 3 7 2" xfId="952" xr:uid="{00000000-0005-0000-0000-0000AA030000}"/>
    <cellStyle name="0 5 3 8" xfId="953" xr:uid="{00000000-0005-0000-0000-0000AB030000}"/>
    <cellStyle name="0 5 4" xfId="954" xr:uid="{00000000-0005-0000-0000-0000AC030000}"/>
    <cellStyle name="0 5 4 2" xfId="955" xr:uid="{00000000-0005-0000-0000-0000AD030000}"/>
    <cellStyle name="0 5 4 2 2" xfId="956" xr:uid="{00000000-0005-0000-0000-0000AE030000}"/>
    <cellStyle name="0 5 4 2 2 2" xfId="957" xr:uid="{00000000-0005-0000-0000-0000AF030000}"/>
    <cellStyle name="0 5 4 2 2 2 2" xfId="958" xr:uid="{00000000-0005-0000-0000-0000B0030000}"/>
    <cellStyle name="0 5 4 2 2 3" xfId="959" xr:uid="{00000000-0005-0000-0000-0000B1030000}"/>
    <cellStyle name="0 5 4 2 2 3 2" xfId="960" xr:uid="{00000000-0005-0000-0000-0000B2030000}"/>
    <cellStyle name="0 5 4 2 2 4" xfId="961" xr:uid="{00000000-0005-0000-0000-0000B3030000}"/>
    <cellStyle name="0 5 4 2 3" xfId="962" xr:uid="{00000000-0005-0000-0000-0000B4030000}"/>
    <cellStyle name="0 5 4 2 3 2" xfId="963" xr:uid="{00000000-0005-0000-0000-0000B5030000}"/>
    <cellStyle name="0 5 4 2 3 2 2" xfId="964" xr:uid="{00000000-0005-0000-0000-0000B6030000}"/>
    <cellStyle name="0 5 4 2 3 3" xfId="965" xr:uid="{00000000-0005-0000-0000-0000B7030000}"/>
    <cellStyle name="0 5 4 2 3 3 2" xfId="966" xr:uid="{00000000-0005-0000-0000-0000B8030000}"/>
    <cellStyle name="0 5 4 2 3 4" xfId="967" xr:uid="{00000000-0005-0000-0000-0000B9030000}"/>
    <cellStyle name="0 5 4 2 4" xfId="968" xr:uid="{00000000-0005-0000-0000-0000BA030000}"/>
    <cellStyle name="0 5 4 2 4 2" xfId="969" xr:uid="{00000000-0005-0000-0000-0000BB030000}"/>
    <cellStyle name="0 5 4 2 5" xfId="970" xr:uid="{00000000-0005-0000-0000-0000BC030000}"/>
    <cellStyle name="0 5 4 2 5 2" xfId="971" xr:uid="{00000000-0005-0000-0000-0000BD030000}"/>
    <cellStyle name="0 5 4 2 6" xfId="972" xr:uid="{00000000-0005-0000-0000-0000BE030000}"/>
    <cellStyle name="0 5 4 3" xfId="973" xr:uid="{00000000-0005-0000-0000-0000BF030000}"/>
    <cellStyle name="0 5 4 3 2" xfId="974" xr:uid="{00000000-0005-0000-0000-0000C0030000}"/>
    <cellStyle name="0 5 4 3 2 2" xfId="975" xr:uid="{00000000-0005-0000-0000-0000C1030000}"/>
    <cellStyle name="0 5 4 3 3" xfId="976" xr:uid="{00000000-0005-0000-0000-0000C2030000}"/>
    <cellStyle name="0 5 4 3 3 2" xfId="977" xr:uid="{00000000-0005-0000-0000-0000C3030000}"/>
    <cellStyle name="0 5 4 3 4" xfId="978" xr:uid="{00000000-0005-0000-0000-0000C4030000}"/>
    <cellStyle name="0 5 4 4" xfId="979" xr:uid="{00000000-0005-0000-0000-0000C5030000}"/>
    <cellStyle name="0 5 4 4 2" xfId="980" xr:uid="{00000000-0005-0000-0000-0000C6030000}"/>
    <cellStyle name="0 5 4 4 2 2" xfId="981" xr:uid="{00000000-0005-0000-0000-0000C7030000}"/>
    <cellStyle name="0 5 4 4 3" xfId="982" xr:uid="{00000000-0005-0000-0000-0000C8030000}"/>
    <cellStyle name="0 5 4 4 3 2" xfId="983" xr:uid="{00000000-0005-0000-0000-0000C9030000}"/>
    <cellStyle name="0 5 4 4 4" xfId="984" xr:uid="{00000000-0005-0000-0000-0000CA030000}"/>
    <cellStyle name="0 5 4 5" xfId="985" xr:uid="{00000000-0005-0000-0000-0000CB030000}"/>
    <cellStyle name="0 5 4 5 2" xfId="986" xr:uid="{00000000-0005-0000-0000-0000CC030000}"/>
    <cellStyle name="0 5 4 5 2 2" xfId="987" xr:uid="{00000000-0005-0000-0000-0000CD030000}"/>
    <cellStyle name="0 5 4 5 3" xfId="988" xr:uid="{00000000-0005-0000-0000-0000CE030000}"/>
    <cellStyle name="0 5 4 5 3 2" xfId="989" xr:uid="{00000000-0005-0000-0000-0000CF030000}"/>
    <cellStyle name="0 5 4 5 4" xfId="990" xr:uid="{00000000-0005-0000-0000-0000D0030000}"/>
    <cellStyle name="0 5 4 6" xfId="991" xr:uid="{00000000-0005-0000-0000-0000D1030000}"/>
    <cellStyle name="0 5 4 6 2" xfId="992" xr:uid="{00000000-0005-0000-0000-0000D2030000}"/>
    <cellStyle name="0 5 4 7" xfId="993" xr:uid="{00000000-0005-0000-0000-0000D3030000}"/>
    <cellStyle name="0 5 4 7 2" xfId="994" xr:uid="{00000000-0005-0000-0000-0000D4030000}"/>
    <cellStyle name="0 5 4 8" xfId="995" xr:uid="{00000000-0005-0000-0000-0000D5030000}"/>
    <cellStyle name="0 5 5" xfId="996" xr:uid="{00000000-0005-0000-0000-0000D6030000}"/>
    <cellStyle name="0 5 5 2" xfId="997" xr:uid="{00000000-0005-0000-0000-0000D7030000}"/>
    <cellStyle name="0 5 5 2 2" xfId="998" xr:uid="{00000000-0005-0000-0000-0000D8030000}"/>
    <cellStyle name="0 5 5 2 2 2" xfId="999" xr:uid="{00000000-0005-0000-0000-0000D9030000}"/>
    <cellStyle name="0 5 5 2 2 2 2" xfId="1000" xr:uid="{00000000-0005-0000-0000-0000DA030000}"/>
    <cellStyle name="0 5 5 2 2 3" xfId="1001" xr:uid="{00000000-0005-0000-0000-0000DB030000}"/>
    <cellStyle name="0 5 5 2 2 3 2" xfId="1002" xr:uid="{00000000-0005-0000-0000-0000DC030000}"/>
    <cellStyle name="0 5 5 2 2 4" xfId="1003" xr:uid="{00000000-0005-0000-0000-0000DD030000}"/>
    <cellStyle name="0 5 5 2 3" xfId="1004" xr:uid="{00000000-0005-0000-0000-0000DE030000}"/>
    <cellStyle name="0 5 5 2 3 2" xfId="1005" xr:uid="{00000000-0005-0000-0000-0000DF030000}"/>
    <cellStyle name="0 5 5 2 3 2 2" xfId="1006" xr:uid="{00000000-0005-0000-0000-0000E0030000}"/>
    <cellStyle name="0 5 5 2 3 3" xfId="1007" xr:uid="{00000000-0005-0000-0000-0000E1030000}"/>
    <cellStyle name="0 5 5 2 3 3 2" xfId="1008" xr:uid="{00000000-0005-0000-0000-0000E2030000}"/>
    <cellStyle name="0 5 5 2 3 4" xfId="1009" xr:uid="{00000000-0005-0000-0000-0000E3030000}"/>
    <cellStyle name="0 5 5 2 4" xfId="1010" xr:uid="{00000000-0005-0000-0000-0000E4030000}"/>
    <cellStyle name="0 5 5 2 4 2" xfId="1011" xr:uid="{00000000-0005-0000-0000-0000E5030000}"/>
    <cellStyle name="0 5 5 2 5" xfId="1012" xr:uid="{00000000-0005-0000-0000-0000E6030000}"/>
    <cellStyle name="0 5 5 2 5 2" xfId="1013" xr:uid="{00000000-0005-0000-0000-0000E7030000}"/>
    <cellStyle name="0 5 5 2 6" xfId="1014" xr:uid="{00000000-0005-0000-0000-0000E8030000}"/>
    <cellStyle name="0 5 5 3" xfId="1015" xr:uid="{00000000-0005-0000-0000-0000E9030000}"/>
    <cellStyle name="0 5 5 3 2" xfId="1016" xr:uid="{00000000-0005-0000-0000-0000EA030000}"/>
    <cellStyle name="0 5 5 3 2 2" xfId="1017" xr:uid="{00000000-0005-0000-0000-0000EB030000}"/>
    <cellStyle name="0 5 5 3 3" xfId="1018" xr:uid="{00000000-0005-0000-0000-0000EC030000}"/>
    <cellStyle name="0 5 5 3 3 2" xfId="1019" xr:uid="{00000000-0005-0000-0000-0000ED030000}"/>
    <cellStyle name="0 5 5 3 4" xfId="1020" xr:uid="{00000000-0005-0000-0000-0000EE030000}"/>
    <cellStyle name="0 5 5 4" xfId="1021" xr:uid="{00000000-0005-0000-0000-0000EF030000}"/>
    <cellStyle name="0 5 5 4 2" xfId="1022" xr:uid="{00000000-0005-0000-0000-0000F0030000}"/>
    <cellStyle name="0 5 5 4 2 2" xfId="1023" xr:uid="{00000000-0005-0000-0000-0000F1030000}"/>
    <cellStyle name="0 5 5 4 3" xfId="1024" xr:uid="{00000000-0005-0000-0000-0000F2030000}"/>
    <cellStyle name="0 5 5 4 3 2" xfId="1025" xr:uid="{00000000-0005-0000-0000-0000F3030000}"/>
    <cellStyle name="0 5 5 4 4" xfId="1026" xr:uid="{00000000-0005-0000-0000-0000F4030000}"/>
    <cellStyle name="0 5 5 5" xfId="1027" xr:uid="{00000000-0005-0000-0000-0000F5030000}"/>
    <cellStyle name="0 5 5 5 2" xfId="1028" xr:uid="{00000000-0005-0000-0000-0000F6030000}"/>
    <cellStyle name="0 5 5 5 2 2" xfId="1029" xr:uid="{00000000-0005-0000-0000-0000F7030000}"/>
    <cellStyle name="0 5 5 5 3" xfId="1030" xr:uid="{00000000-0005-0000-0000-0000F8030000}"/>
    <cellStyle name="0 5 5 5 3 2" xfId="1031" xr:uid="{00000000-0005-0000-0000-0000F9030000}"/>
    <cellStyle name="0 5 5 5 4" xfId="1032" xr:uid="{00000000-0005-0000-0000-0000FA030000}"/>
    <cellStyle name="0 5 5 6" xfId="1033" xr:uid="{00000000-0005-0000-0000-0000FB030000}"/>
    <cellStyle name="0 5 5 6 2" xfId="1034" xr:uid="{00000000-0005-0000-0000-0000FC030000}"/>
    <cellStyle name="0 5 5 7" xfId="1035" xr:uid="{00000000-0005-0000-0000-0000FD030000}"/>
    <cellStyle name="0 5 5 7 2" xfId="1036" xr:uid="{00000000-0005-0000-0000-0000FE030000}"/>
    <cellStyle name="0 5 5 8" xfId="1037" xr:uid="{00000000-0005-0000-0000-0000FF030000}"/>
    <cellStyle name="0 5 6" xfId="1038" xr:uid="{00000000-0005-0000-0000-000000040000}"/>
    <cellStyle name="0 5 6 2" xfId="1039" xr:uid="{00000000-0005-0000-0000-000001040000}"/>
    <cellStyle name="0 5 6 2 2" xfId="1040" xr:uid="{00000000-0005-0000-0000-000002040000}"/>
    <cellStyle name="0 5 6 2 2 2" xfId="1041" xr:uid="{00000000-0005-0000-0000-000003040000}"/>
    <cellStyle name="0 5 6 2 2 2 2" xfId="1042" xr:uid="{00000000-0005-0000-0000-000004040000}"/>
    <cellStyle name="0 5 6 2 2 3" xfId="1043" xr:uid="{00000000-0005-0000-0000-000005040000}"/>
    <cellStyle name="0 5 6 2 2 3 2" xfId="1044" xr:uid="{00000000-0005-0000-0000-000006040000}"/>
    <cellStyle name="0 5 6 2 2 4" xfId="1045" xr:uid="{00000000-0005-0000-0000-000007040000}"/>
    <cellStyle name="0 5 6 2 3" xfId="1046" xr:uid="{00000000-0005-0000-0000-000008040000}"/>
    <cellStyle name="0 5 6 2 3 2" xfId="1047" xr:uid="{00000000-0005-0000-0000-000009040000}"/>
    <cellStyle name="0 5 6 2 3 2 2" xfId="1048" xr:uid="{00000000-0005-0000-0000-00000A040000}"/>
    <cellStyle name="0 5 6 2 3 3" xfId="1049" xr:uid="{00000000-0005-0000-0000-00000B040000}"/>
    <cellStyle name="0 5 6 2 3 3 2" xfId="1050" xr:uid="{00000000-0005-0000-0000-00000C040000}"/>
    <cellStyle name="0 5 6 2 3 4" xfId="1051" xr:uid="{00000000-0005-0000-0000-00000D040000}"/>
    <cellStyle name="0 5 6 2 4" xfId="1052" xr:uid="{00000000-0005-0000-0000-00000E040000}"/>
    <cellStyle name="0 5 6 2 4 2" xfId="1053" xr:uid="{00000000-0005-0000-0000-00000F040000}"/>
    <cellStyle name="0 5 6 2 5" xfId="1054" xr:uid="{00000000-0005-0000-0000-000010040000}"/>
    <cellStyle name="0 5 6 2 5 2" xfId="1055" xr:uid="{00000000-0005-0000-0000-000011040000}"/>
    <cellStyle name="0 5 6 2 6" xfId="1056" xr:uid="{00000000-0005-0000-0000-000012040000}"/>
    <cellStyle name="0 5 6 3" xfId="1057" xr:uid="{00000000-0005-0000-0000-000013040000}"/>
    <cellStyle name="0 5 6 3 2" xfId="1058" xr:uid="{00000000-0005-0000-0000-000014040000}"/>
    <cellStyle name="0 5 6 3 2 2" xfId="1059" xr:uid="{00000000-0005-0000-0000-000015040000}"/>
    <cellStyle name="0 5 6 3 3" xfId="1060" xr:uid="{00000000-0005-0000-0000-000016040000}"/>
    <cellStyle name="0 5 6 3 3 2" xfId="1061" xr:uid="{00000000-0005-0000-0000-000017040000}"/>
    <cellStyle name="0 5 6 3 4" xfId="1062" xr:uid="{00000000-0005-0000-0000-000018040000}"/>
    <cellStyle name="0 5 6 4" xfId="1063" xr:uid="{00000000-0005-0000-0000-000019040000}"/>
    <cellStyle name="0 5 6 4 2" xfId="1064" xr:uid="{00000000-0005-0000-0000-00001A040000}"/>
    <cellStyle name="0 5 6 4 2 2" xfId="1065" xr:uid="{00000000-0005-0000-0000-00001B040000}"/>
    <cellStyle name="0 5 6 4 3" xfId="1066" xr:uid="{00000000-0005-0000-0000-00001C040000}"/>
    <cellStyle name="0 5 6 4 3 2" xfId="1067" xr:uid="{00000000-0005-0000-0000-00001D040000}"/>
    <cellStyle name="0 5 6 4 4" xfId="1068" xr:uid="{00000000-0005-0000-0000-00001E040000}"/>
    <cellStyle name="0 5 6 5" xfId="1069" xr:uid="{00000000-0005-0000-0000-00001F040000}"/>
    <cellStyle name="0 5 6 5 2" xfId="1070" xr:uid="{00000000-0005-0000-0000-000020040000}"/>
    <cellStyle name="0 5 6 5 2 2" xfId="1071" xr:uid="{00000000-0005-0000-0000-000021040000}"/>
    <cellStyle name="0 5 6 5 3" xfId="1072" xr:uid="{00000000-0005-0000-0000-000022040000}"/>
    <cellStyle name="0 5 6 5 3 2" xfId="1073" xr:uid="{00000000-0005-0000-0000-000023040000}"/>
    <cellStyle name="0 5 6 5 4" xfId="1074" xr:uid="{00000000-0005-0000-0000-000024040000}"/>
    <cellStyle name="0 5 6 6" xfId="1075" xr:uid="{00000000-0005-0000-0000-000025040000}"/>
    <cellStyle name="0 5 6 6 2" xfId="1076" xr:uid="{00000000-0005-0000-0000-000026040000}"/>
    <cellStyle name="0 5 6 7" xfId="1077" xr:uid="{00000000-0005-0000-0000-000027040000}"/>
    <cellStyle name="0 5 6 7 2" xfId="1078" xr:uid="{00000000-0005-0000-0000-000028040000}"/>
    <cellStyle name="0 5 6 8" xfId="1079" xr:uid="{00000000-0005-0000-0000-000029040000}"/>
    <cellStyle name="0 5 7" xfId="1080" xr:uid="{00000000-0005-0000-0000-00002A040000}"/>
    <cellStyle name="0 5 7 2" xfId="1081" xr:uid="{00000000-0005-0000-0000-00002B040000}"/>
    <cellStyle name="0 5 7 2 2" xfId="1082" xr:uid="{00000000-0005-0000-0000-00002C040000}"/>
    <cellStyle name="0 5 7 2 2 2" xfId="1083" xr:uid="{00000000-0005-0000-0000-00002D040000}"/>
    <cellStyle name="0 5 7 2 3" xfId="1084" xr:uid="{00000000-0005-0000-0000-00002E040000}"/>
    <cellStyle name="0 5 7 2 3 2" xfId="1085" xr:uid="{00000000-0005-0000-0000-00002F040000}"/>
    <cellStyle name="0 5 7 2 4" xfId="1086" xr:uid="{00000000-0005-0000-0000-000030040000}"/>
    <cellStyle name="0 5 7 3" xfId="1087" xr:uid="{00000000-0005-0000-0000-000031040000}"/>
    <cellStyle name="0 5 7 3 2" xfId="1088" xr:uid="{00000000-0005-0000-0000-000032040000}"/>
    <cellStyle name="0 5 7 3 2 2" xfId="1089" xr:uid="{00000000-0005-0000-0000-000033040000}"/>
    <cellStyle name="0 5 7 3 3" xfId="1090" xr:uid="{00000000-0005-0000-0000-000034040000}"/>
    <cellStyle name="0 5 7 3 3 2" xfId="1091" xr:uid="{00000000-0005-0000-0000-000035040000}"/>
    <cellStyle name="0 5 7 3 4" xfId="1092" xr:uid="{00000000-0005-0000-0000-000036040000}"/>
    <cellStyle name="0 5 7 4" xfId="1093" xr:uid="{00000000-0005-0000-0000-000037040000}"/>
    <cellStyle name="0 5 7 4 2" xfId="1094" xr:uid="{00000000-0005-0000-0000-000038040000}"/>
    <cellStyle name="0 5 7 5" xfId="1095" xr:uid="{00000000-0005-0000-0000-000039040000}"/>
    <cellStyle name="0 5 7 5 2" xfId="1096" xr:uid="{00000000-0005-0000-0000-00003A040000}"/>
    <cellStyle name="0 5 7 6" xfId="1097" xr:uid="{00000000-0005-0000-0000-00003B040000}"/>
    <cellStyle name="0 5 8" xfId="1098" xr:uid="{00000000-0005-0000-0000-00003C040000}"/>
    <cellStyle name="0 5 8 2" xfId="1099" xr:uid="{00000000-0005-0000-0000-00003D040000}"/>
    <cellStyle name="0 5 8 2 2" xfId="1100" xr:uid="{00000000-0005-0000-0000-00003E040000}"/>
    <cellStyle name="0 5 8 3" xfId="1101" xr:uid="{00000000-0005-0000-0000-00003F040000}"/>
    <cellStyle name="0 5 8 3 2" xfId="1102" xr:uid="{00000000-0005-0000-0000-000040040000}"/>
    <cellStyle name="0 5 8 4" xfId="1103" xr:uid="{00000000-0005-0000-0000-000041040000}"/>
    <cellStyle name="0 5 9" xfId="1104" xr:uid="{00000000-0005-0000-0000-000042040000}"/>
    <cellStyle name="0 5 9 2" xfId="1105" xr:uid="{00000000-0005-0000-0000-000043040000}"/>
    <cellStyle name="0 5 9 2 2" xfId="1106" xr:uid="{00000000-0005-0000-0000-000044040000}"/>
    <cellStyle name="0 5 9 3" xfId="1107" xr:uid="{00000000-0005-0000-0000-000045040000}"/>
    <cellStyle name="0 5 9 3 2" xfId="1108" xr:uid="{00000000-0005-0000-0000-000046040000}"/>
    <cellStyle name="0 5 9 4" xfId="1109" xr:uid="{00000000-0005-0000-0000-000047040000}"/>
    <cellStyle name="0 6" xfId="1110" xr:uid="{00000000-0005-0000-0000-000048040000}"/>
    <cellStyle name="0 6 2" xfId="1111" xr:uid="{00000000-0005-0000-0000-000049040000}"/>
    <cellStyle name="0 6 2 2" xfId="1112" xr:uid="{00000000-0005-0000-0000-00004A040000}"/>
    <cellStyle name="0 6 2 2 2" xfId="1113" xr:uid="{00000000-0005-0000-0000-00004B040000}"/>
    <cellStyle name="0 6 2 2 2 2" xfId="1114" xr:uid="{00000000-0005-0000-0000-00004C040000}"/>
    <cellStyle name="0 6 2 2 3" xfId="1115" xr:uid="{00000000-0005-0000-0000-00004D040000}"/>
    <cellStyle name="0 6 2 2 3 2" xfId="1116" xr:uid="{00000000-0005-0000-0000-00004E040000}"/>
    <cellStyle name="0 6 2 2 4" xfId="1117" xr:uid="{00000000-0005-0000-0000-00004F040000}"/>
    <cellStyle name="0 6 2 3" xfId="1118" xr:uid="{00000000-0005-0000-0000-000050040000}"/>
    <cellStyle name="0 6 2 3 2" xfId="1119" xr:uid="{00000000-0005-0000-0000-000051040000}"/>
    <cellStyle name="0 6 2 3 2 2" xfId="1120" xr:uid="{00000000-0005-0000-0000-000052040000}"/>
    <cellStyle name="0 6 2 3 3" xfId="1121" xr:uid="{00000000-0005-0000-0000-000053040000}"/>
    <cellStyle name="0 6 2 3 3 2" xfId="1122" xr:uid="{00000000-0005-0000-0000-000054040000}"/>
    <cellStyle name="0 6 2 3 4" xfId="1123" xr:uid="{00000000-0005-0000-0000-000055040000}"/>
    <cellStyle name="0 6 2 4" xfId="1124" xr:uid="{00000000-0005-0000-0000-000056040000}"/>
    <cellStyle name="0 6 2 4 2" xfId="1125" xr:uid="{00000000-0005-0000-0000-000057040000}"/>
    <cellStyle name="0 6 2 5" xfId="1126" xr:uid="{00000000-0005-0000-0000-000058040000}"/>
    <cellStyle name="0 6 2 5 2" xfId="1127" xr:uid="{00000000-0005-0000-0000-000059040000}"/>
    <cellStyle name="0 6 2 6" xfId="1128" xr:uid="{00000000-0005-0000-0000-00005A040000}"/>
    <cellStyle name="0 6 3" xfId="1129" xr:uid="{00000000-0005-0000-0000-00005B040000}"/>
    <cellStyle name="0 6 3 2" xfId="1130" xr:uid="{00000000-0005-0000-0000-00005C040000}"/>
    <cellStyle name="0 6 3 2 2" xfId="1131" xr:uid="{00000000-0005-0000-0000-00005D040000}"/>
    <cellStyle name="0 6 3 3" xfId="1132" xr:uid="{00000000-0005-0000-0000-00005E040000}"/>
    <cellStyle name="0 6 3 3 2" xfId="1133" xr:uid="{00000000-0005-0000-0000-00005F040000}"/>
    <cellStyle name="0 6 3 4" xfId="1134" xr:uid="{00000000-0005-0000-0000-000060040000}"/>
    <cellStyle name="0 6 4" xfId="1135" xr:uid="{00000000-0005-0000-0000-000061040000}"/>
    <cellStyle name="0 6 4 2" xfId="1136" xr:uid="{00000000-0005-0000-0000-000062040000}"/>
    <cellStyle name="0 6 4 2 2" xfId="1137" xr:uid="{00000000-0005-0000-0000-000063040000}"/>
    <cellStyle name="0 6 4 3" xfId="1138" xr:uid="{00000000-0005-0000-0000-000064040000}"/>
    <cellStyle name="0 6 4 3 2" xfId="1139" xr:uid="{00000000-0005-0000-0000-000065040000}"/>
    <cellStyle name="0 6 4 4" xfId="1140" xr:uid="{00000000-0005-0000-0000-000066040000}"/>
    <cellStyle name="0 6 5" xfId="1141" xr:uid="{00000000-0005-0000-0000-000067040000}"/>
    <cellStyle name="0 6 5 2" xfId="1142" xr:uid="{00000000-0005-0000-0000-000068040000}"/>
    <cellStyle name="0 6 5 2 2" xfId="1143" xr:uid="{00000000-0005-0000-0000-000069040000}"/>
    <cellStyle name="0 6 5 3" xfId="1144" xr:uid="{00000000-0005-0000-0000-00006A040000}"/>
    <cellStyle name="0 6 5 3 2" xfId="1145" xr:uid="{00000000-0005-0000-0000-00006B040000}"/>
    <cellStyle name="0 6 5 4" xfId="1146" xr:uid="{00000000-0005-0000-0000-00006C040000}"/>
    <cellStyle name="0 6 6" xfId="1147" xr:uid="{00000000-0005-0000-0000-00006D040000}"/>
    <cellStyle name="0 6 6 2" xfId="1148" xr:uid="{00000000-0005-0000-0000-00006E040000}"/>
    <cellStyle name="0 6 7" xfId="1149" xr:uid="{00000000-0005-0000-0000-00006F040000}"/>
    <cellStyle name="0 6 7 2" xfId="1150" xr:uid="{00000000-0005-0000-0000-000070040000}"/>
    <cellStyle name="0 6 8" xfId="1151" xr:uid="{00000000-0005-0000-0000-000071040000}"/>
    <cellStyle name="0 7" xfId="1152" xr:uid="{00000000-0005-0000-0000-000072040000}"/>
    <cellStyle name="0 7 2" xfId="1153" xr:uid="{00000000-0005-0000-0000-000073040000}"/>
    <cellStyle name="0 7 2 2" xfId="1154" xr:uid="{00000000-0005-0000-0000-000074040000}"/>
    <cellStyle name="0 7 2 2 2" xfId="1155" xr:uid="{00000000-0005-0000-0000-000075040000}"/>
    <cellStyle name="0 7 2 3" xfId="1156" xr:uid="{00000000-0005-0000-0000-000076040000}"/>
    <cellStyle name="0 7 2 3 2" xfId="1157" xr:uid="{00000000-0005-0000-0000-000077040000}"/>
    <cellStyle name="0 7 2 4" xfId="1158" xr:uid="{00000000-0005-0000-0000-000078040000}"/>
    <cellStyle name="0 7 3" xfId="1159" xr:uid="{00000000-0005-0000-0000-000079040000}"/>
    <cellStyle name="0 7 3 2" xfId="1160" xr:uid="{00000000-0005-0000-0000-00007A040000}"/>
    <cellStyle name="0 7 3 2 2" xfId="1161" xr:uid="{00000000-0005-0000-0000-00007B040000}"/>
    <cellStyle name="0 7 3 3" xfId="1162" xr:uid="{00000000-0005-0000-0000-00007C040000}"/>
    <cellStyle name="0 7 3 3 2" xfId="1163" xr:uid="{00000000-0005-0000-0000-00007D040000}"/>
    <cellStyle name="0 7 3 4" xfId="1164" xr:uid="{00000000-0005-0000-0000-00007E040000}"/>
    <cellStyle name="0 7 4" xfId="1165" xr:uid="{00000000-0005-0000-0000-00007F040000}"/>
    <cellStyle name="0 7 4 2" xfId="1166" xr:uid="{00000000-0005-0000-0000-000080040000}"/>
    <cellStyle name="0 7 5" xfId="1167" xr:uid="{00000000-0005-0000-0000-000081040000}"/>
    <cellStyle name="0 7 5 2" xfId="1168" xr:uid="{00000000-0005-0000-0000-000082040000}"/>
    <cellStyle name="0 7 6" xfId="1169" xr:uid="{00000000-0005-0000-0000-000083040000}"/>
    <cellStyle name="0 8" xfId="1170" xr:uid="{00000000-0005-0000-0000-000084040000}"/>
    <cellStyle name="0 8 2" xfId="1171" xr:uid="{00000000-0005-0000-0000-000085040000}"/>
    <cellStyle name="0 8 2 2" xfId="1172" xr:uid="{00000000-0005-0000-0000-000086040000}"/>
    <cellStyle name="0 8 2 2 2" xfId="1173" xr:uid="{00000000-0005-0000-0000-000087040000}"/>
    <cellStyle name="0 8 2 3" xfId="1174" xr:uid="{00000000-0005-0000-0000-000088040000}"/>
    <cellStyle name="0 8 2 3 2" xfId="1175" xr:uid="{00000000-0005-0000-0000-000089040000}"/>
    <cellStyle name="0 8 2 4" xfId="1176" xr:uid="{00000000-0005-0000-0000-00008A040000}"/>
    <cellStyle name="0 8 3" xfId="1177" xr:uid="{00000000-0005-0000-0000-00008B040000}"/>
    <cellStyle name="0 8 3 2" xfId="1178" xr:uid="{00000000-0005-0000-0000-00008C040000}"/>
    <cellStyle name="0 8 3 2 2" xfId="1179" xr:uid="{00000000-0005-0000-0000-00008D040000}"/>
    <cellStyle name="0 8 3 3" xfId="1180" xr:uid="{00000000-0005-0000-0000-00008E040000}"/>
    <cellStyle name="0 8 3 3 2" xfId="1181" xr:uid="{00000000-0005-0000-0000-00008F040000}"/>
    <cellStyle name="0 8 3 4" xfId="1182" xr:uid="{00000000-0005-0000-0000-000090040000}"/>
    <cellStyle name="0 8 4" xfId="1183" xr:uid="{00000000-0005-0000-0000-000091040000}"/>
    <cellStyle name="0 8 4 2" xfId="1184" xr:uid="{00000000-0005-0000-0000-000092040000}"/>
    <cellStyle name="0 8 5" xfId="1185" xr:uid="{00000000-0005-0000-0000-000093040000}"/>
    <cellStyle name="0 8 5 2" xfId="1186" xr:uid="{00000000-0005-0000-0000-000094040000}"/>
    <cellStyle name="0 8 6" xfId="1187" xr:uid="{00000000-0005-0000-0000-000095040000}"/>
    <cellStyle name="0 9" xfId="1188" xr:uid="{00000000-0005-0000-0000-000096040000}"/>
    <cellStyle name="0 9 2" xfId="1189" xr:uid="{00000000-0005-0000-0000-000097040000}"/>
    <cellStyle name="0 9 2 2" xfId="1190" xr:uid="{00000000-0005-0000-0000-000098040000}"/>
    <cellStyle name="0 9 3" xfId="1191" xr:uid="{00000000-0005-0000-0000-000099040000}"/>
    <cellStyle name="0 9 3 2" xfId="1192" xr:uid="{00000000-0005-0000-0000-00009A040000}"/>
    <cellStyle name="0 9 4" xfId="1193" xr:uid="{00000000-0005-0000-0000-00009B040000}"/>
    <cellStyle name="0 9 5" xfId="1194" xr:uid="{00000000-0005-0000-0000-00009C040000}"/>
    <cellStyle name="0_01. BP -09  -Summary" xfId="1195" xr:uid="{00000000-0005-0000-0000-00009D040000}"/>
    <cellStyle name="0_01. BP -09  -Summary 2" xfId="1196" xr:uid="{00000000-0005-0000-0000-00009E040000}"/>
    <cellStyle name="0_01. BP -09  -Summary 2 2" xfId="1197" xr:uid="{00000000-0005-0000-0000-00009F040000}"/>
    <cellStyle name="0_01. BP -09  -Summary 2 2 2" xfId="1198" xr:uid="{00000000-0005-0000-0000-0000A0040000}"/>
    <cellStyle name="0_01. BP -09  -Summary 2 3" xfId="1199" xr:uid="{00000000-0005-0000-0000-0000A1040000}"/>
    <cellStyle name="0_01. BP -09  -Summary 2 3 2" xfId="1200" xr:uid="{00000000-0005-0000-0000-0000A2040000}"/>
    <cellStyle name="0_01. BP -09  -Summary 2 4" xfId="1201" xr:uid="{00000000-0005-0000-0000-0000A3040000}"/>
    <cellStyle name="0_01. BP -09  -Summary 2 4 2" xfId="1202" xr:uid="{00000000-0005-0000-0000-0000A4040000}"/>
    <cellStyle name="0_01. BP -09  -Summary 2 5" xfId="1203" xr:uid="{00000000-0005-0000-0000-0000A5040000}"/>
    <cellStyle name="0_01. BP -09  -Summary 2 6" xfId="1204" xr:uid="{00000000-0005-0000-0000-0000A6040000}"/>
    <cellStyle name="0_01. BP -09  -Summary 2 7" xfId="1205" xr:uid="{00000000-0005-0000-0000-0000A7040000}"/>
    <cellStyle name="0_01. BP -09  -Summary 3" xfId="1206" xr:uid="{00000000-0005-0000-0000-0000A8040000}"/>
    <cellStyle name="0_01. BP -09  -Summary 3 2" xfId="1207" xr:uid="{00000000-0005-0000-0000-0000A9040000}"/>
    <cellStyle name="0_01. BP -09  -Summary 4" xfId="1208" xr:uid="{00000000-0005-0000-0000-0000AA040000}"/>
    <cellStyle name="0_01. BP -09  -Summary 5" xfId="1209" xr:uid="{00000000-0005-0000-0000-0000AB040000}"/>
    <cellStyle name="0_01. BP -09  -Summary 6" xfId="1210" xr:uid="{00000000-0005-0000-0000-0000AC040000}"/>
    <cellStyle name="0_01. BP -09  -Summary 7" xfId="1211" xr:uid="{00000000-0005-0000-0000-0000AD040000}"/>
    <cellStyle name="0_01. BP -09  -Summary 8" xfId="1212" xr:uid="{00000000-0005-0000-0000-0000AE040000}"/>
    <cellStyle name="0_01. BP -09  -Summary 9" xfId="1213" xr:uid="{00000000-0005-0000-0000-0000AF040000}"/>
    <cellStyle name="0_01. BP -09  -Summary_4012_BP 2009 Rev.01" xfId="1214" xr:uid="{00000000-0005-0000-0000-0000B0040000}"/>
    <cellStyle name="0_01. BP -09  -Summary_4012_BP 2009 Rev.01 2" xfId="1215" xr:uid="{00000000-0005-0000-0000-0000B1040000}"/>
    <cellStyle name="0_01. BP -09  -Summary_4012_BP 2009 Rev.01 2 2" xfId="1216" xr:uid="{00000000-0005-0000-0000-0000B2040000}"/>
    <cellStyle name="0_01. BP -09  -Summary_4012_BP 2009 Rev.01 2 2 2" xfId="1217" xr:uid="{00000000-0005-0000-0000-0000B3040000}"/>
    <cellStyle name="0_01. BP -09  -Summary_4012_BP 2009 Rev.01 2 3" xfId="1218" xr:uid="{00000000-0005-0000-0000-0000B4040000}"/>
    <cellStyle name="0_01. BP -09  -Summary_4012_BP 2009 Rev.01 2 3 2" xfId="1219" xr:uid="{00000000-0005-0000-0000-0000B5040000}"/>
    <cellStyle name="0_01. BP -09  -Summary_4012_BP 2009 Rev.01 2 4" xfId="1220" xr:uid="{00000000-0005-0000-0000-0000B6040000}"/>
    <cellStyle name="0_01. BP -09  -Summary_4012_BP 2009 Rev.01 2 4 2" xfId="1221" xr:uid="{00000000-0005-0000-0000-0000B7040000}"/>
    <cellStyle name="0_01. BP -09  -Summary_4012_BP 2009 Rev.01 2 5" xfId="1222" xr:uid="{00000000-0005-0000-0000-0000B8040000}"/>
    <cellStyle name="0_01. BP -09  -Summary_4012_BP 2009 Rev.01 2 6" xfId="1223" xr:uid="{00000000-0005-0000-0000-0000B9040000}"/>
    <cellStyle name="0_01. BP -09  -Summary_4012_BP 2009 Rev.01 2 7" xfId="1224" xr:uid="{00000000-0005-0000-0000-0000BA040000}"/>
    <cellStyle name="0_01. BP -09  -Summary_4012_BP 2009 Rev.01 3" xfId="1225" xr:uid="{00000000-0005-0000-0000-0000BB040000}"/>
    <cellStyle name="0_01. BP -09  -Summary_4012_BP 2009 Rev.01 3 2" xfId="1226" xr:uid="{00000000-0005-0000-0000-0000BC040000}"/>
    <cellStyle name="0_01. BP -09  -Summary_4012_BP 2009 Rev.01 4" xfId="1227" xr:uid="{00000000-0005-0000-0000-0000BD040000}"/>
    <cellStyle name="0_01. BP -09  -Summary_4012_BP 2009 Rev.01 5" xfId="1228" xr:uid="{00000000-0005-0000-0000-0000BE040000}"/>
    <cellStyle name="0_01. BP -09  -Summary_4012_BP 2009 Rev.01 6" xfId="1229" xr:uid="{00000000-0005-0000-0000-0000BF040000}"/>
    <cellStyle name="0_01. BP -09  -Summary_4012_BP 2009 Rev.01 7" xfId="1230" xr:uid="{00000000-0005-0000-0000-0000C0040000}"/>
    <cellStyle name="0_01. BP -09  -Summary_4012_BP 2009 Rev.01 8" xfId="1231" xr:uid="{00000000-0005-0000-0000-0000C1040000}"/>
    <cellStyle name="0_01. BP -09  -Summary_4012_BP 2009 Rev.01 9" xfId="1232" xr:uid="{00000000-0005-0000-0000-0000C2040000}"/>
    <cellStyle name="0_01. BP -09  -Summary_BP -Q2-09 Duqm -supporting dcmnts" xfId="1233" xr:uid="{00000000-0005-0000-0000-0000C3040000}"/>
    <cellStyle name="0_01. BP -09  -Summary_BP -Q2-09 Duqm -supporting dcmnts 2" xfId="1234" xr:uid="{00000000-0005-0000-0000-0000C4040000}"/>
    <cellStyle name="0_01. BP -09  -Summary_BP -Q2-09 Duqm -supporting dcmnts 2 2" xfId="1235" xr:uid="{00000000-0005-0000-0000-0000C5040000}"/>
    <cellStyle name="0_01. BP -09  -Summary_BP -Q2-09 Duqm -supporting dcmnts 2 2 2" xfId="1236" xr:uid="{00000000-0005-0000-0000-0000C6040000}"/>
    <cellStyle name="0_01. BP -09  -Summary_BP -Q2-09 Duqm -supporting dcmnts 2 3" xfId="1237" xr:uid="{00000000-0005-0000-0000-0000C7040000}"/>
    <cellStyle name="0_01. BP -09  -Summary_BP -Q2-09 Duqm -supporting dcmnts 2 3 2" xfId="1238" xr:uid="{00000000-0005-0000-0000-0000C8040000}"/>
    <cellStyle name="0_01. BP -09  -Summary_BP -Q2-09 Duqm -supporting dcmnts 2 4" xfId="1239" xr:uid="{00000000-0005-0000-0000-0000C9040000}"/>
    <cellStyle name="0_01. BP -09  -Summary_BP -Q2-09 Duqm -supporting dcmnts 2 4 2" xfId="1240" xr:uid="{00000000-0005-0000-0000-0000CA040000}"/>
    <cellStyle name="0_01. BP -09  -Summary_BP -Q2-09 Duqm -supporting dcmnts 2 5" xfId="1241" xr:uid="{00000000-0005-0000-0000-0000CB040000}"/>
    <cellStyle name="0_01. BP -09  -Summary_BP -Q2-09 Duqm -supporting dcmnts 2 6" xfId="1242" xr:uid="{00000000-0005-0000-0000-0000CC040000}"/>
    <cellStyle name="0_01. BP -09  -Summary_BP -Q2-09 Duqm -supporting dcmnts 2 7" xfId="1243" xr:uid="{00000000-0005-0000-0000-0000CD040000}"/>
    <cellStyle name="0_01. BP -09  -Summary_BP -Q2-09 Duqm -supporting dcmnts 3" xfId="1244" xr:uid="{00000000-0005-0000-0000-0000CE040000}"/>
    <cellStyle name="0_01. BP -09  -Summary_BP -Q2-09 Duqm -supporting dcmnts 3 2" xfId="1245" xr:uid="{00000000-0005-0000-0000-0000CF040000}"/>
    <cellStyle name="0_01. BP -09  -Summary_BP -Q2-09 Duqm -supporting dcmnts 4" xfId="1246" xr:uid="{00000000-0005-0000-0000-0000D0040000}"/>
    <cellStyle name="0_01. BP -09  -Summary_BP -Q2-09 Duqm -supporting dcmnts 5" xfId="1247" xr:uid="{00000000-0005-0000-0000-0000D1040000}"/>
    <cellStyle name="0_01. BP -09  -Summary_BP -Q2-09 Duqm -supporting dcmnts 6" xfId="1248" xr:uid="{00000000-0005-0000-0000-0000D2040000}"/>
    <cellStyle name="0_01. BP -09  -Summary_BP -Q2-09 Duqm -supporting dcmnts 7" xfId="1249" xr:uid="{00000000-0005-0000-0000-0000D3040000}"/>
    <cellStyle name="0_01. BP -09  -Summary_BP -Q2-09 Duqm -supporting dcmnts 8" xfId="1250" xr:uid="{00000000-0005-0000-0000-0000D4040000}"/>
    <cellStyle name="0_01. BP -09  -Summary_BP -Q2-09 Duqm -supporting dcmnts 9" xfId="1251" xr:uid="{00000000-0005-0000-0000-0000D5040000}"/>
    <cellStyle name="0_01. BP -09  -Summary_J 40.4012 - CEO - Progress Review - 2009 Jan &amp; Feb" xfId="1252" xr:uid="{00000000-0005-0000-0000-0000D6040000}"/>
    <cellStyle name="0_01. BP -09  -Summary_J 40.4012 - CEO - Progress Review - 2009 Jan &amp; Feb 2" xfId="1253" xr:uid="{00000000-0005-0000-0000-0000D7040000}"/>
    <cellStyle name="0_01. BP -09  -Summary_J 40.4012 - CEO - Progress Review - 2009 Jan &amp; Feb 2 2" xfId="1254" xr:uid="{00000000-0005-0000-0000-0000D8040000}"/>
    <cellStyle name="0_01. BP -09  -Summary_J 40.4012 - CEO - Progress Review - 2009 Jan &amp; Feb 2 2 2" xfId="1255" xr:uid="{00000000-0005-0000-0000-0000D9040000}"/>
    <cellStyle name="0_01. BP -09  -Summary_J 40.4012 - CEO - Progress Review - 2009 Jan &amp; Feb 2 3" xfId="1256" xr:uid="{00000000-0005-0000-0000-0000DA040000}"/>
    <cellStyle name="0_01. BP -09  -Summary_J 40.4012 - CEO - Progress Review - 2009 Jan &amp; Feb 2 3 2" xfId="1257" xr:uid="{00000000-0005-0000-0000-0000DB040000}"/>
    <cellStyle name="0_01. BP -09  -Summary_J 40.4012 - CEO - Progress Review - 2009 Jan &amp; Feb 2 4" xfId="1258" xr:uid="{00000000-0005-0000-0000-0000DC040000}"/>
    <cellStyle name="0_01. BP -09  -Summary_J 40.4012 - CEO - Progress Review - 2009 Jan &amp; Feb 2 4 2" xfId="1259" xr:uid="{00000000-0005-0000-0000-0000DD040000}"/>
    <cellStyle name="0_01. BP -09  -Summary_J 40.4012 - CEO - Progress Review - 2009 Jan &amp; Feb 2 5" xfId="1260" xr:uid="{00000000-0005-0000-0000-0000DE040000}"/>
    <cellStyle name="0_01. BP -09  -Summary_J 40.4012 - CEO - Progress Review - 2009 Jan &amp; Feb 2 6" xfId="1261" xr:uid="{00000000-0005-0000-0000-0000DF040000}"/>
    <cellStyle name="0_01. BP -09  -Summary_J 40.4012 - CEO - Progress Review - 2009 Jan &amp; Feb 2 7" xfId="1262" xr:uid="{00000000-0005-0000-0000-0000E0040000}"/>
    <cellStyle name="0_01. BP -09  -Summary_J 40.4012 - CEO - Progress Review - 2009 Jan &amp; Feb 3" xfId="1263" xr:uid="{00000000-0005-0000-0000-0000E1040000}"/>
    <cellStyle name="0_01. BP -09  -Summary_J 40.4012 - CEO - Progress Review - 2009 Jan &amp; Feb 3 2" xfId="1264" xr:uid="{00000000-0005-0000-0000-0000E2040000}"/>
    <cellStyle name="0_01. BP -09  -Summary_J 40.4012 - CEO - Progress Review - 2009 Jan &amp; Feb 4" xfId="1265" xr:uid="{00000000-0005-0000-0000-0000E3040000}"/>
    <cellStyle name="0_01. BP -09  -Summary_J 40.4012 - CEO - Progress Review - 2009 Jan &amp; Feb 5" xfId="1266" xr:uid="{00000000-0005-0000-0000-0000E4040000}"/>
    <cellStyle name="0_01. BP -09  -Summary_J 40.4012 - CEO - Progress Review - 2009 Jan &amp; Feb 6" xfId="1267" xr:uid="{00000000-0005-0000-0000-0000E5040000}"/>
    <cellStyle name="0_01. BP -09  -Summary_J 40.4012 - CEO - Progress Review - 2009 Jan &amp; Feb 7" xfId="1268" xr:uid="{00000000-0005-0000-0000-0000E6040000}"/>
    <cellStyle name="0_01. BP -09  -Summary_J 40.4012 - CEO - Progress Review - 2009 Jan &amp; Feb 8" xfId="1269" xr:uid="{00000000-0005-0000-0000-0000E7040000}"/>
    <cellStyle name="0_01. BP -09  -Summary_J 40.4012 - CEO - Progress Review - 2009 Jan &amp; Feb 9" xfId="1270" xr:uid="{00000000-0005-0000-0000-0000E8040000}"/>
    <cellStyle name="0_01. BP -09  -Summary_Risk &amp; Mitigation" xfId="1271" xr:uid="{00000000-0005-0000-0000-0000E9040000}"/>
    <cellStyle name="0_01. BP -09  -Summary_Risk &amp; Mitigation 2" xfId="1272" xr:uid="{00000000-0005-0000-0000-0000EA040000}"/>
    <cellStyle name="0_01. BP -09  -Summary_Risk &amp; Mitigation 2 2" xfId="1273" xr:uid="{00000000-0005-0000-0000-0000EB040000}"/>
    <cellStyle name="0_01. BP -09  -Summary_Risk &amp; Mitigation 2 2 2" xfId="1274" xr:uid="{00000000-0005-0000-0000-0000EC040000}"/>
    <cellStyle name="0_01. BP -09  -Summary_Risk &amp; Mitigation 2 3" xfId="1275" xr:uid="{00000000-0005-0000-0000-0000ED040000}"/>
    <cellStyle name="0_01. BP -09  -Summary_Risk &amp; Mitigation 2 3 2" xfId="1276" xr:uid="{00000000-0005-0000-0000-0000EE040000}"/>
    <cellStyle name="0_01. BP -09  -Summary_Risk &amp; Mitigation 2 4" xfId="1277" xr:uid="{00000000-0005-0000-0000-0000EF040000}"/>
    <cellStyle name="0_01. BP -09  -Summary_Risk &amp; Mitigation 2 4 2" xfId="1278" xr:uid="{00000000-0005-0000-0000-0000F0040000}"/>
    <cellStyle name="0_01. BP -09  -Summary_Risk &amp; Mitigation 2 5" xfId="1279" xr:uid="{00000000-0005-0000-0000-0000F1040000}"/>
    <cellStyle name="0_01. BP -09  -Summary_Risk &amp; Mitigation 2 6" xfId="1280" xr:uid="{00000000-0005-0000-0000-0000F2040000}"/>
    <cellStyle name="0_01. BP -09  -Summary_Risk &amp; Mitigation 2 7" xfId="1281" xr:uid="{00000000-0005-0000-0000-0000F3040000}"/>
    <cellStyle name="0_01. BP -09  -Summary_Risk &amp; Mitigation 3" xfId="1282" xr:uid="{00000000-0005-0000-0000-0000F4040000}"/>
    <cellStyle name="0_01. BP -09  -Summary_Risk &amp; Mitigation 3 2" xfId="1283" xr:uid="{00000000-0005-0000-0000-0000F5040000}"/>
    <cellStyle name="0_01. BP -09  -Summary_Risk &amp; Mitigation 4" xfId="1284" xr:uid="{00000000-0005-0000-0000-0000F6040000}"/>
    <cellStyle name="0_01. BP -09  -Summary_Risk &amp; Mitigation 5" xfId="1285" xr:uid="{00000000-0005-0000-0000-0000F7040000}"/>
    <cellStyle name="0_01. BP -09  -Summary_Risk &amp; Mitigation 6" xfId="1286" xr:uid="{00000000-0005-0000-0000-0000F8040000}"/>
    <cellStyle name="0_01. BP -09  -Summary_Risk &amp; Mitigation 7" xfId="1287" xr:uid="{00000000-0005-0000-0000-0000F9040000}"/>
    <cellStyle name="0_01. BP -09  -Summary_Risk &amp; Mitigation 8" xfId="1288" xr:uid="{00000000-0005-0000-0000-0000FA040000}"/>
    <cellStyle name="0_01. BP -09  -Summary_Risk &amp; Mitigation 9" xfId="1289" xr:uid="{00000000-0005-0000-0000-0000FB040000}"/>
    <cellStyle name="0_2.BP 2009 - Revision 1 Actual upto Quarter 1 and Projection for balance period" xfId="1290" xr:uid="{00000000-0005-0000-0000-0000FC040000}"/>
    <cellStyle name="0_2.BP 2009 - Revision 1 Actual upto Quarter 1 and Projection for balance period 2" xfId="1291" xr:uid="{00000000-0005-0000-0000-0000FD040000}"/>
    <cellStyle name="0_2.BP 2009 - Revision 1 Actual upto Quarter 1 and Projection for balance period 2 2" xfId="1292" xr:uid="{00000000-0005-0000-0000-0000FE040000}"/>
    <cellStyle name="0_2.BP 2009 - Revision 1 Actual upto Quarter 1 and Projection for balance period 2 2 2" xfId="1293" xr:uid="{00000000-0005-0000-0000-0000FF040000}"/>
    <cellStyle name="0_2.BP 2009 - Revision 1 Actual upto Quarter 1 and Projection for balance period 2 3" xfId="1294" xr:uid="{00000000-0005-0000-0000-000000050000}"/>
    <cellStyle name="0_2.BP 2009 - Revision 1 Actual upto Quarter 1 and Projection for balance period 2 3 2" xfId="1295" xr:uid="{00000000-0005-0000-0000-000001050000}"/>
    <cellStyle name="0_2.BP 2009 - Revision 1 Actual upto Quarter 1 and Projection for balance period 2 4" xfId="1296" xr:uid="{00000000-0005-0000-0000-000002050000}"/>
    <cellStyle name="0_2.BP 2009 - Revision 1 Actual upto Quarter 1 and Projection for balance period 2 4 2" xfId="1297" xr:uid="{00000000-0005-0000-0000-000003050000}"/>
    <cellStyle name="0_2.BP 2009 - Revision 1 Actual upto Quarter 1 and Projection for balance period 2 5" xfId="1298" xr:uid="{00000000-0005-0000-0000-000004050000}"/>
    <cellStyle name="0_2.BP 2009 - Revision 1 Actual upto Quarter 1 and Projection for balance period 2 6" xfId="1299" xr:uid="{00000000-0005-0000-0000-000005050000}"/>
    <cellStyle name="0_2.BP 2009 - Revision 1 Actual upto Quarter 1 and Projection for balance period 2 7" xfId="1300" xr:uid="{00000000-0005-0000-0000-000006050000}"/>
    <cellStyle name="0_2.BP 2009 - Revision 1 Actual upto Quarter 1 and Projection for balance period 3" xfId="1301" xr:uid="{00000000-0005-0000-0000-000007050000}"/>
    <cellStyle name="0_2.BP 2009 - Revision 1 Actual upto Quarter 1 and Projection for balance period 3 2" xfId="1302" xr:uid="{00000000-0005-0000-0000-000008050000}"/>
    <cellStyle name="0_2.BP 2009 - Revision 1 Actual upto Quarter 1 and Projection for balance period 4" xfId="1303" xr:uid="{00000000-0005-0000-0000-000009050000}"/>
    <cellStyle name="0_2.BP 2009 - Revision 1 Actual upto Quarter 1 and Projection for balance period 5" xfId="1304" xr:uid="{00000000-0005-0000-0000-00000A050000}"/>
    <cellStyle name="0_2.BP 2009 - Revision 1 Actual upto Quarter 1 and Projection for balance period 6" xfId="1305" xr:uid="{00000000-0005-0000-0000-00000B050000}"/>
    <cellStyle name="0_2.BP 2009 - Revision 1 Actual upto Quarter 1 and Projection for balance period 7" xfId="1306" xr:uid="{00000000-0005-0000-0000-00000C050000}"/>
    <cellStyle name="0_2.BP 2009 - Revision 1 Actual upto Quarter 1 and Projection for balance period 8" xfId="1307" xr:uid="{00000000-0005-0000-0000-00000D050000}"/>
    <cellStyle name="0_2.BP 2009 - Revision 1 Actual upto Quarter 1 and Projection for balance period 9" xfId="1308" xr:uid="{00000000-0005-0000-0000-00000E050000}"/>
    <cellStyle name="0_4. BP 2008 Rev2- 40.4010 CENTRAL PRISON SUMAIL" xfId="1309" xr:uid="{00000000-0005-0000-0000-00000F050000}"/>
    <cellStyle name="0_4. BP 2008 Rev2- 40.4010 CENTRAL PRISON SUMAIL 2" xfId="1310" xr:uid="{00000000-0005-0000-0000-000010050000}"/>
    <cellStyle name="0_4. BP 2008 Rev2- 40.4010 CENTRAL PRISON SUMAIL 2 2" xfId="1311" xr:uid="{00000000-0005-0000-0000-000011050000}"/>
    <cellStyle name="0_4. BP 2008 Rev2- 40.4010 CENTRAL PRISON SUMAIL 2 2 2" xfId="1312" xr:uid="{00000000-0005-0000-0000-000012050000}"/>
    <cellStyle name="0_4. BP 2008 Rev2- 40.4010 CENTRAL PRISON SUMAIL 2 3" xfId="1313" xr:uid="{00000000-0005-0000-0000-000013050000}"/>
    <cellStyle name="0_4. BP 2008 Rev2- 40.4010 CENTRAL PRISON SUMAIL 2 3 2" xfId="1314" xr:uid="{00000000-0005-0000-0000-000014050000}"/>
    <cellStyle name="0_4. BP 2008 Rev2- 40.4010 CENTRAL PRISON SUMAIL 2 4" xfId="1315" xr:uid="{00000000-0005-0000-0000-000015050000}"/>
    <cellStyle name="0_4. BP 2008 Rev2- 40.4010 CENTRAL PRISON SUMAIL 2 4 2" xfId="1316" xr:uid="{00000000-0005-0000-0000-000016050000}"/>
    <cellStyle name="0_4. BP 2008 Rev2- 40.4010 CENTRAL PRISON SUMAIL 2 5" xfId="1317" xr:uid="{00000000-0005-0000-0000-000017050000}"/>
    <cellStyle name="0_4. BP 2008 Rev2- 40.4010 CENTRAL PRISON SUMAIL 2 6" xfId="1318" xr:uid="{00000000-0005-0000-0000-000018050000}"/>
    <cellStyle name="0_4. BP 2008 Rev2- 40.4010 CENTRAL PRISON SUMAIL 2 7" xfId="1319" xr:uid="{00000000-0005-0000-0000-000019050000}"/>
    <cellStyle name="0_4. BP 2008 Rev2- 40.4010 CENTRAL PRISON SUMAIL 3" xfId="1320" xr:uid="{00000000-0005-0000-0000-00001A050000}"/>
    <cellStyle name="0_4. BP 2008 Rev2- 40.4010 CENTRAL PRISON SUMAIL 3 2" xfId="1321" xr:uid="{00000000-0005-0000-0000-00001B050000}"/>
    <cellStyle name="0_4. BP 2008 Rev2- 40.4010 CENTRAL PRISON SUMAIL 4" xfId="1322" xr:uid="{00000000-0005-0000-0000-00001C050000}"/>
    <cellStyle name="0_4. BP 2008 Rev2- 40.4010 CENTRAL PRISON SUMAIL 5" xfId="1323" xr:uid="{00000000-0005-0000-0000-00001D050000}"/>
    <cellStyle name="0_4. BP 2008 Rev2- 40.4010 CENTRAL PRISON SUMAIL 6" xfId="1324" xr:uid="{00000000-0005-0000-0000-00001E050000}"/>
    <cellStyle name="0_4. BP 2008 Rev2- 40.4010 CENTRAL PRISON SUMAIL 7" xfId="1325" xr:uid="{00000000-0005-0000-0000-00001F050000}"/>
    <cellStyle name="0_4. BP 2008 Rev2- 40.4010 CENTRAL PRISON SUMAIL 8" xfId="1326" xr:uid="{00000000-0005-0000-0000-000020050000}"/>
    <cellStyle name="0_4. BP 2008 Rev2- 40.4010 CENTRAL PRISON SUMAIL 9" xfId="1327" xr:uid="{00000000-0005-0000-0000-000021050000}"/>
    <cellStyle name="0_4. BP 2008 Rev2- 40.4010 CENTRAL PRISON SUMAIL_5. BP-2009 Rev 2 40.4010" xfId="1328" xr:uid="{00000000-0005-0000-0000-000022050000}"/>
    <cellStyle name="0_4. BP 2008 Rev2- 40.4010 CENTRAL PRISON SUMAIL_5. BP-2009 Rev 2 40.4010 2" xfId="1329" xr:uid="{00000000-0005-0000-0000-000023050000}"/>
    <cellStyle name="0_4. BP 2008 Rev2- 40.4010 CENTRAL PRISON SUMAIL_5. BP-2009 Rev 2 40.4010 2 2" xfId="1330" xr:uid="{00000000-0005-0000-0000-000024050000}"/>
    <cellStyle name="0_4. BP 2008 Rev2- 40.4010 CENTRAL PRISON SUMAIL_5. BP-2009 Rev 2 40.4010 2 2 2" xfId="1331" xr:uid="{00000000-0005-0000-0000-000025050000}"/>
    <cellStyle name="0_4. BP 2008 Rev2- 40.4010 CENTRAL PRISON SUMAIL_5. BP-2009 Rev 2 40.4010 2 3" xfId="1332" xr:uid="{00000000-0005-0000-0000-000026050000}"/>
    <cellStyle name="0_4. BP 2008 Rev2- 40.4010 CENTRAL PRISON SUMAIL_5. BP-2009 Rev 2 40.4010 2 3 2" xfId="1333" xr:uid="{00000000-0005-0000-0000-000027050000}"/>
    <cellStyle name="0_4. BP 2008 Rev2- 40.4010 CENTRAL PRISON SUMAIL_5. BP-2009 Rev 2 40.4010 2 4" xfId="1334" xr:uid="{00000000-0005-0000-0000-000028050000}"/>
    <cellStyle name="0_4. BP 2008 Rev2- 40.4010 CENTRAL PRISON SUMAIL_5. BP-2009 Rev 2 40.4010 2 4 2" xfId="1335" xr:uid="{00000000-0005-0000-0000-000029050000}"/>
    <cellStyle name="0_4. BP 2008 Rev2- 40.4010 CENTRAL PRISON SUMAIL_5. BP-2009 Rev 2 40.4010 2 5" xfId="1336" xr:uid="{00000000-0005-0000-0000-00002A050000}"/>
    <cellStyle name="0_4. BP 2008 Rev2- 40.4010 CENTRAL PRISON SUMAIL_5. BP-2009 Rev 2 40.4010 2 6" xfId="1337" xr:uid="{00000000-0005-0000-0000-00002B050000}"/>
    <cellStyle name="0_4. BP 2008 Rev2- 40.4010 CENTRAL PRISON SUMAIL_5. BP-2009 Rev 2 40.4010 2 7" xfId="1338" xr:uid="{00000000-0005-0000-0000-00002C050000}"/>
    <cellStyle name="0_4. BP 2008 Rev2- 40.4010 CENTRAL PRISON SUMAIL_5. BP-2009 Rev 2 40.4010 3" xfId="1339" xr:uid="{00000000-0005-0000-0000-00002D050000}"/>
    <cellStyle name="0_4. BP 2008 Rev2- 40.4010 CENTRAL PRISON SUMAIL_5. BP-2009 Rev 2 40.4010 3 2" xfId="1340" xr:uid="{00000000-0005-0000-0000-00002E050000}"/>
    <cellStyle name="0_4. BP 2008 Rev2- 40.4010 CENTRAL PRISON SUMAIL_5. BP-2009 Rev 2 40.4010 4" xfId="1341" xr:uid="{00000000-0005-0000-0000-00002F050000}"/>
    <cellStyle name="0_4. BP 2008 Rev2- 40.4010 CENTRAL PRISON SUMAIL_5. BP-2009 Rev 2 40.4010 5" xfId="1342" xr:uid="{00000000-0005-0000-0000-000030050000}"/>
    <cellStyle name="0_4. BP 2008 Rev2- 40.4010 CENTRAL PRISON SUMAIL_5. BP-2009 Rev 2 40.4010 6" xfId="1343" xr:uid="{00000000-0005-0000-0000-000031050000}"/>
    <cellStyle name="0_4. BP 2008 Rev2- 40.4010 CENTRAL PRISON SUMAIL_5. BP-2009 Rev 2 40.4010 7" xfId="1344" xr:uid="{00000000-0005-0000-0000-000032050000}"/>
    <cellStyle name="0_4. BP 2008 Rev2- 40.4010 CENTRAL PRISON SUMAIL_5. BP-2009 Rev 2 40.4010 8" xfId="1345" xr:uid="{00000000-0005-0000-0000-000033050000}"/>
    <cellStyle name="0_4. BP 2008 Rev2- 40.4010 CENTRAL PRISON SUMAIL_5. BP-2009 Rev 2 40.4010 9" xfId="1346" xr:uid="{00000000-0005-0000-0000-000034050000}"/>
    <cellStyle name="0_4. BP 2008 Rev2- 40.4010 CENTRAL PRISON SUMAIL_5. CENTRAL PRISON-SAMAIL BP-2008-Rev 2-corrected(180808)" xfId="1347" xr:uid="{00000000-0005-0000-0000-000035050000}"/>
    <cellStyle name="0_4. BP 2008 Rev2- 40.4010 CENTRAL PRISON SUMAIL_5. CENTRAL PRISON-SAMAIL BP-2008-Rev 2-corrected(180808) 2" xfId="1348" xr:uid="{00000000-0005-0000-0000-000036050000}"/>
    <cellStyle name="0_4. BP 2008 Rev2- 40.4010 CENTRAL PRISON SUMAIL_5. CENTRAL PRISON-SAMAIL BP-2008-Rev 2-corrected(180808) 2 2" xfId="1349" xr:uid="{00000000-0005-0000-0000-000037050000}"/>
    <cellStyle name="0_4. BP 2008 Rev2- 40.4010 CENTRAL PRISON SUMAIL_5. CENTRAL PRISON-SAMAIL BP-2008-Rev 2-corrected(180808) 2 2 2" xfId="1350" xr:uid="{00000000-0005-0000-0000-000038050000}"/>
    <cellStyle name="0_4. BP 2008 Rev2- 40.4010 CENTRAL PRISON SUMAIL_5. CENTRAL PRISON-SAMAIL BP-2008-Rev 2-corrected(180808) 2 3" xfId="1351" xr:uid="{00000000-0005-0000-0000-000039050000}"/>
    <cellStyle name="0_4. BP 2008 Rev2- 40.4010 CENTRAL PRISON SUMAIL_5. CENTRAL PRISON-SAMAIL BP-2008-Rev 2-corrected(180808) 2 3 2" xfId="1352" xr:uid="{00000000-0005-0000-0000-00003A050000}"/>
    <cellStyle name="0_4. BP 2008 Rev2- 40.4010 CENTRAL PRISON SUMAIL_5. CENTRAL PRISON-SAMAIL BP-2008-Rev 2-corrected(180808) 2 4" xfId="1353" xr:uid="{00000000-0005-0000-0000-00003B050000}"/>
    <cellStyle name="0_4. BP 2008 Rev2- 40.4010 CENTRAL PRISON SUMAIL_5. CENTRAL PRISON-SAMAIL BP-2008-Rev 2-corrected(180808) 2 4 2" xfId="1354" xr:uid="{00000000-0005-0000-0000-00003C050000}"/>
    <cellStyle name="0_4. BP 2008 Rev2- 40.4010 CENTRAL PRISON SUMAIL_5. CENTRAL PRISON-SAMAIL BP-2008-Rev 2-corrected(180808) 2 5" xfId="1355" xr:uid="{00000000-0005-0000-0000-00003D050000}"/>
    <cellStyle name="0_4. BP 2008 Rev2- 40.4010 CENTRAL PRISON SUMAIL_5. CENTRAL PRISON-SAMAIL BP-2008-Rev 2-corrected(180808) 2 6" xfId="1356" xr:uid="{00000000-0005-0000-0000-00003E050000}"/>
    <cellStyle name="0_4. BP 2008 Rev2- 40.4010 CENTRAL PRISON SUMAIL_5. CENTRAL PRISON-SAMAIL BP-2008-Rev 2-corrected(180808) 2 7" xfId="1357" xr:uid="{00000000-0005-0000-0000-00003F050000}"/>
    <cellStyle name="0_4. BP 2008 Rev2- 40.4010 CENTRAL PRISON SUMAIL_5. CENTRAL PRISON-SAMAIL BP-2008-Rev 2-corrected(180808) 3" xfId="1358" xr:uid="{00000000-0005-0000-0000-000040050000}"/>
    <cellStyle name="0_4. BP 2008 Rev2- 40.4010 CENTRAL PRISON SUMAIL_5. CENTRAL PRISON-SAMAIL BP-2008-Rev 2-corrected(180808) 3 2" xfId="1359" xr:uid="{00000000-0005-0000-0000-000041050000}"/>
    <cellStyle name="0_4. BP 2008 Rev2- 40.4010 CENTRAL PRISON SUMAIL_5. CENTRAL PRISON-SAMAIL BP-2008-Rev 2-corrected(180808) 4" xfId="1360" xr:uid="{00000000-0005-0000-0000-000042050000}"/>
    <cellStyle name="0_4. BP 2008 Rev2- 40.4010 CENTRAL PRISON SUMAIL_5. CENTRAL PRISON-SAMAIL BP-2008-Rev 2-corrected(180808) 5" xfId="1361" xr:uid="{00000000-0005-0000-0000-000043050000}"/>
    <cellStyle name="0_4. BP 2008 Rev2- 40.4010 CENTRAL PRISON SUMAIL_5. CENTRAL PRISON-SAMAIL BP-2008-Rev 2-corrected(180808) 6" xfId="1362" xr:uid="{00000000-0005-0000-0000-000044050000}"/>
    <cellStyle name="0_4. BP 2008 Rev2- 40.4010 CENTRAL PRISON SUMAIL_5. CENTRAL PRISON-SAMAIL BP-2008-Rev 2-corrected(180808) 7" xfId="1363" xr:uid="{00000000-0005-0000-0000-000045050000}"/>
    <cellStyle name="0_4. BP 2008 Rev2- 40.4010 CENTRAL PRISON SUMAIL_5. CENTRAL PRISON-SAMAIL BP-2008-Rev 2-corrected(180808) 8" xfId="1364" xr:uid="{00000000-0005-0000-0000-000046050000}"/>
    <cellStyle name="0_4. BP 2008 Rev2- 40.4010 CENTRAL PRISON SUMAIL_5. CENTRAL PRISON-SAMAIL BP-2008-Rev 2-corrected(180808) 9" xfId="1365" xr:uid="{00000000-0005-0000-0000-000047050000}"/>
    <cellStyle name="0_4.SUMAIL - BP 2009 Rev-01Summary" xfId="1366" xr:uid="{00000000-0005-0000-0000-000048050000}"/>
    <cellStyle name="0_4.SUMAIL - BP 2009 Rev-01Summary 2" xfId="1367" xr:uid="{00000000-0005-0000-0000-000049050000}"/>
    <cellStyle name="0_4.SUMAIL - BP 2009 Rev-01Summary 2 2" xfId="1368" xr:uid="{00000000-0005-0000-0000-00004A050000}"/>
    <cellStyle name="0_4.SUMAIL - BP 2009 Rev-01Summary 2 2 2" xfId="1369" xr:uid="{00000000-0005-0000-0000-00004B050000}"/>
    <cellStyle name="0_4.SUMAIL - BP 2009 Rev-01Summary 2 3" xfId="1370" xr:uid="{00000000-0005-0000-0000-00004C050000}"/>
    <cellStyle name="0_4.SUMAIL - BP 2009 Rev-01Summary 2 3 2" xfId="1371" xr:uid="{00000000-0005-0000-0000-00004D050000}"/>
    <cellStyle name="0_4.SUMAIL - BP 2009 Rev-01Summary 2 4" xfId="1372" xr:uid="{00000000-0005-0000-0000-00004E050000}"/>
    <cellStyle name="0_4.SUMAIL - BP 2009 Rev-01Summary 2 4 2" xfId="1373" xr:uid="{00000000-0005-0000-0000-00004F050000}"/>
    <cellStyle name="0_4.SUMAIL - BP 2009 Rev-01Summary 2 5" xfId="1374" xr:uid="{00000000-0005-0000-0000-000050050000}"/>
    <cellStyle name="0_4.SUMAIL - BP 2009 Rev-01Summary 2 6" xfId="1375" xr:uid="{00000000-0005-0000-0000-000051050000}"/>
    <cellStyle name="0_4.SUMAIL - BP 2009 Rev-01Summary 2 7" xfId="1376" xr:uid="{00000000-0005-0000-0000-000052050000}"/>
    <cellStyle name="0_4.SUMAIL - BP 2009 Rev-01Summary 3" xfId="1377" xr:uid="{00000000-0005-0000-0000-000053050000}"/>
    <cellStyle name="0_4.SUMAIL - BP 2009 Rev-01Summary 3 2" xfId="1378" xr:uid="{00000000-0005-0000-0000-000054050000}"/>
    <cellStyle name="0_4.SUMAIL - BP 2009 Rev-01Summary 4" xfId="1379" xr:uid="{00000000-0005-0000-0000-000055050000}"/>
    <cellStyle name="0_4.SUMAIL - BP 2009 Rev-01Summary 5" xfId="1380" xr:uid="{00000000-0005-0000-0000-000056050000}"/>
    <cellStyle name="0_4.SUMAIL - BP 2009 Rev-01Summary 6" xfId="1381" xr:uid="{00000000-0005-0000-0000-000057050000}"/>
    <cellStyle name="0_4.SUMAIL - BP 2009 Rev-01Summary 7" xfId="1382" xr:uid="{00000000-0005-0000-0000-000058050000}"/>
    <cellStyle name="0_4.SUMAIL - BP 2009 Rev-01Summary 8" xfId="1383" xr:uid="{00000000-0005-0000-0000-000059050000}"/>
    <cellStyle name="0_4.SUMAIL - BP 2009 Rev-01Summary 9" xfId="1384" xr:uid="{00000000-0005-0000-0000-00005A050000}"/>
    <cellStyle name="0_4012 _Progress Presentation_ 2009-03" xfId="1385" xr:uid="{00000000-0005-0000-0000-00005B050000}"/>
    <cellStyle name="0_4012 _Progress Presentation_ 2009-03 2" xfId="1386" xr:uid="{00000000-0005-0000-0000-00005C050000}"/>
    <cellStyle name="0_4012 _Progress Presentation_ 2009-03 2 2" xfId="1387" xr:uid="{00000000-0005-0000-0000-00005D050000}"/>
    <cellStyle name="0_4012 _Progress Presentation_ 2009-03 2 2 2" xfId="1388" xr:uid="{00000000-0005-0000-0000-00005E050000}"/>
    <cellStyle name="0_4012 _Progress Presentation_ 2009-03 2 3" xfId="1389" xr:uid="{00000000-0005-0000-0000-00005F050000}"/>
    <cellStyle name="0_4012 _Progress Presentation_ 2009-03 2 3 2" xfId="1390" xr:uid="{00000000-0005-0000-0000-000060050000}"/>
    <cellStyle name="0_4012 _Progress Presentation_ 2009-03 2 4" xfId="1391" xr:uid="{00000000-0005-0000-0000-000061050000}"/>
    <cellStyle name="0_4012 _Progress Presentation_ 2009-03 2 4 2" xfId="1392" xr:uid="{00000000-0005-0000-0000-000062050000}"/>
    <cellStyle name="0_4012 _Progress Presentation_ 2009-03 2 5" xfId="1393" xr:uid="{00000000-0005-0000-0000-000063050000}"/>
    <cellStyle name="0_4012 _Progress Presentation_ 2009-03 2 6" xfId="1394" xr:uid="{00000000-0005-0000-0000-000064050000}"/>
    <cellStyle name="0_4012 _Progress Presentation_ 2009-03 2 7" xfId="1395" xr:uid="{00000000-0005-0000-0000-000065050000}"/>
    <cellStyle name="0_4012 _Progress Presentation_ 2009-03 3" xfId="1396" xr:uid="{00000000-0005-0000-0000-000066050000}"/>
    <cellStyle name="0_4012 _Progress Presentation_ 2009-03 3 2" xfId="1397" xr:uid="{00000000-0005-0000-0000-000067050000}"/>
    <cellStyle name="0_4012 _Progress Presentation_ 2009-03 4" xfId="1398" xr:uid="{00000000-0005-0000-0000-000068050000}"/>
    <cellStyle name="0_4012 _Progress Presentation_ 2009-03 5" xfId="1399" xr:uid="{00000000-0005-0000-0000-000069050000}"/>
    <cellStyle name="0_4012 _Progress Presentation_ 2009-03 6" xfId="1400" xr:uid="{00000000-0005-0000-0000-00006A050000}"/>
    <cellStyle name="0_4012 _Progress Presentation_ 2009-03 7" xfId="1401" xr:uid="{00000000-0005-0000-0000-00006B050000}"/>
    <cellStyle name="0_4012 _Progress Presentation_ 2009-03 8" xfId="1402" xr:uid="{00000000-0005-0000-0000-00006C050000}"/>
    <cellStyle name="0_4012 _Progress Presentation_ 2009-03 9" xfId="1403" xr:uid="{00000000-0005-0000-0000-00006D050000}"/>
    <cellStyle name="0_4012_BP 2009 Rev.01" xfId="1404" xr:uid="{00000000-0005-0000-0000-00006E050000}"/>
    <cellStyle name="0_4012_BP 2009 Rev.01 2" xfId="1405" xr:uid="{00000000-0005-0000-0000-00006F050000}"/>
    <cellStyle name="0_4012_BP 2009 Rev.01 2 2" xfId="1406" xr:uid="{00000000-0005-0000-0000-000070050000}"/>
    <cellStyle name="0_4012_BP 2009 Rev.01 2 2 2" xfId="1407" xr:uid="{00000000-0005-0000-0000-000071050000}"/>
    <cellStyle name="0_4012_BP 2009 Rev.01 2 3" xfId="1408" xr:uid="{00000000-0005-0000-0000-000072050000}"/>
    <cellStyle name="0_4012_BP 2009 Rev.01 2 3 2" xfId="1409" xr:uid="{00000000-0005-0000-0000-000073050000}"/>
    <cellStyle name="0_4012_BP 2009 Rev.01 2 4" xfId="1410" xr:uid="{00000000-0005-0000-0000-000074050000}"/>
    <cellStyle name="0_4012_BP 2009 Rev.01 2 4 2" xfId="1411" xr:uid="{00000000-0005-0000-0000-000075050000}"/>
    <cellStyle name="0_4012_BP 2009 Rev.01 2 5" xfId="1412" xr:uid="{00000000-0005-0000-0000-000076050000}"/>
    <cellStyle name="0_4012_BP 2009 Rev.01 2 6" xfId="1413" xr:uid="{00000000-0005-0000-0000-000077050000}"/>
    <cellStyle name="0_4012_BP 2009 Rev.01 2 7" xfId="1414" xr:uid="{00000000-0005-0000-0000-000078050000}"/>
    <cellStyle name="0_4012_BP 2009 Rev.01 3" xfId="1415" xr:uid="{00000000-0005-0000-0000-000079050000}"/>
    <cellStyle name="0_4012_BP 2009 Rev.01 3 2" xfId="1416" xr:uid="{00000000-0005-0000-0000-00007A050000}"/>
    <cellStyle name="0_4012_BP 2009 Rev.01 4" xfId="1417" xr:uid="{00000000-0005-0000-0000-00007B050000}"/>
    <cellStyle name="0_4012_BP 2009 Rev.01 5" xfId="1418" xr:uid="{00000000-0005-0000-0000-00007C050000}"/>
    <cellStyle name="0_4012_BP 2009 Rev.01 6" xfId="1419" xr:uid="{00000000-0005-0000-0000-00007D050000}"/>
    <cellStyle name="0_4012_BP 2009 Rev.01 7" xfId="1420" xr:uid="{00000000-0005-0000-0000-00007E050000}"/>
    <cellStyle name="0_4012_BP 2009 Rev.01 8" xfId="1421" xr:uid="{00000000-0005-0000-0000-00007F050000}"/>
    <cellStyle name="0_4012_BP 2009 Rev.01 9" xfId="1422" xr:uid="{00000000-0005-0000-0000-000080050000}"/>
    <cellStyle name="0_5. BP 2008 Rev2- 40.4010 CENTRAL PRISON SUMAIL" xfId="1423" xr:uid="{00000000-0005-0000-0000-000081050000}"/>
    <cellStyle name="0_5. BP 2008 Rev2- 40.4010 CENTRAL PRISON SUMAIL 2" xfId="1424" xr:uid="{00000000-0005-0000-0000-000082050000}"/>
    <cellStyle name="0_5. BP 2008 Rev2- 40.4010 CENTRAL PRISON SUMAIL 2 2" xfId="1425" xr:uid="{00000000-0005-0000-0000-000083050000}"/>
    <cellStyle name="0_5. BP 2008 Rev2- 40.4010 CENTRAL PRISON SUMAIL 2 2 2" xfId="1426" xr:uid="{00000000-0005-0000-0000-000084050000}"/>
    <cellStyle name="0_5. BP 2008 Rev2- 40.4010 CENTRAL PRISON SUMAIL 2 3" xfId="1427" xr:uid="{00000000-0005-0000-0000-000085050000}"/>
    <cellStyle name="0_5. BP 2008 Rev2- 40.4010 CENTRAL PRISON SUMAIL 2 3 2" xfId="1428" xr:uid="{00000000-0005-0000-0000-000086050000}"/>
    <cellStyle name="0_5. BP 2008 Rev2- 40.4010 CENTRAL PRISON SUMAIL 2 4" xfId="1429" xr:uid="{00000000-0005-0000-0000-000087050000}"/>
    <cellStyle name="0_5. BP 2008 Rev2- 40.4010 CENTRAL PRISON SUMAIL 2 4 2" xfId="1430" xr:uid="{00000000-0005-0000-0000-000088050000}"/>
    <cellStyle name="0_5. BP 2008 Rev2- 40.4010 CENTRAL PRISON SUMAIL 2 5" xfId="1431" xr:uid="{00000000-0005-0000-0000-000089050000}"/>
    <cellStyle name="0_5. BP 2008 Rev2- 40.4010 CENTRAL PRISON SUMAIL 2 6" xfId="1432" xr:uid="{00000000-0005-0000-0000-00008A050000}"/>
    <cellStyle name="0_5. BP 2008 Rev2- 40.4010 CENTRAL PRISON SUMAIL 2 7" xfId="1433" xr:uid="{00000000-0005-0000-0000-00008B050000}"/>
    <cellStyle name="0_5. BP 2008 Rev2- 40.4010 CENTRAL PRISON SUMAIL 3" xfId="1434" xr:uid="{00000000-0005-0000-0000-00008C050000}"/>
    <cellStyle name="0_5. BP 2008 Rev2- 40.4010 CENTRAL PRISON SUMAIL 3 2" xfId="1435" xr:uid="{00000000-0005-0000-0000-00008D050000}"/>
    <cellStyle name="0_5. BP 2008 Rev2- 40.4010 CENTRAL PRISON SUMAIL 4" xfId="1436" xr:uid="{00000000-0005-0000-0000-00008E050000}"/>
    <cellStyle name="0_5. BP 2008 Rev2- 40.4010 CENTRAL PRISON SUMAIL 5" xfId="1437" xr:uid="{00000000-0005-0000-0000-00008F050000}"/>
    <cellStyle name="0_5. BP 2008 Rev2- 40.4010 CENTRAL PRISON SUMAIL 6" xfId="1438" xr:uid="{00000000-0005-0000-0000-000090050000}"/>
    <cellStyle name="0_5. BP 2008 Rev2- 40.4010 CENTRAL PRISON SUMAIL 7" xfId="1439" xr:uid="{00000000-0005-0000-0000-000091050000}"/>
    <cellStyle name="0_5. BP 2008 Rev2- 40.4010 CENTRAL PRISON SUMAIL 8" xfId="1440" xr:uid="{00000000-0005-0000-0000-000092050000}"/>
    <cellStyle name="0_5. BP 2008 Rev2- 40.4010 CENTRAL PRISON SUMAIL 9" xfId="1441" xr:uid="{00000000-0005-0000-0000-000093050000}"/>
    <cellStyle name="0_5. BP 2008 Rev2- 40.4010 CENTRAL PRISON SUMAIL_5. BP-2009 Rev 2 40.4010" xfId="1442" xr:uid="{00000000-0005-0000-0000-000094050000}"/>
    <cellStyle name="0_5. BP 2008 Rev2- 40.4010 CENTRAL PRISON SUMAIL_5. BP-2009 Rev 2 40.4010 2" xfId="1443" xr:uid="{00000000-0005-0000-0000-000095050000}"/>
    <cellStyle name="0_5. BP 2008 Rev2- 40.4010 CENTRAL PRISON SUMAIL_5. BP-2009 Rev 2 40.4010 2 2" xfId="1444" xr:uid="{00000000-0005-0000-0000-000096050000}"/>
    <cellStyle name="0_5. BP 2008 Rev2- 40.4010 CENTRAL PRISON SUMAIL_5. BP-2009 Rev 2 40.4010 2 2 2" xfId="1445" xr:uid="{00000000-0005-0000-0000-000097050000}"/>
    <cellStyle name="0_5. BP 2008 Rev2- 40.4010 CENTRAL PRISON SUMAIL_5. BP-2009 Rev 2 40.4010 2 3" xfId="1446" xr:uid="{00000000-0005-0000-0000-000098050000}"/>
    <cellStyle name="0_5. BP 2008 Rev2- 40.4010 CENTRAL PRISON SUMAIL_5. BP-2009 Rev 2 40.4010 2 3 2" xfId="1447" xr:uid="{00000000-0005-0000-0000-000099050000}"/>
    <cellStyle name="0_5. BP 2008 Rev2- 40.4010 CENTRAL PRISON SUMAIL_5. BP-2009 Rev 2 40.4010 2 4" xfId="1448" xr:uid="{00000000-0005-0000-0000-00009A050000}"/>
    <cellStyle name="0_5. BP 2008 Rev2- 40.4010 CENTRAL PRISON SUMAIL_5. BP-2009 Rev 2 40.4010 2 4 2" xfId="1449" xr:uid="{00000000-0005-0000-0000-00009B050000}"/>
    <cellStyle name="0_5. BP 2008 Rev2- 40.4010 CENTRAL PRISON SUMAIL_5. BP-2009 Rev 2 40.4010 2 5" xfId="1450" xr:uid="{00000000-0005-0000-0000-00009C050000}"/>
    <cellStyle name="0_5. BP 2008 Rev2- 40.4010 CENTRAL PRISON SUMAIL_5. BP-2009 Rev 2 40.4010 2 6" xfId="1451" xr:uid="{00000000-0005-0000-0000-00009D050000}"/>
    <cellStyle name="0_5. BP 2008 Rev2- 40.4010 CENTRAL PRISON SUMAIL_5. BP-2009 Rev 2 40.4010 2 7" xfId="1452" xr:uid="{00000000-0005-0000-0000-00009E050000}"/>
    <cellStyle name="0_5. BP 2008 Rev2- 40.4010 CENTRAL PRISON SUMAIL_5. BP-2009 Rev 2 40.4010 3" xfId="1453" xr:uid="{00000000-0005-0000-0000-00009F050000}"/>
    <cellStyle name="0_5. BP 2008 Rev2- 40.4010 CENTRAL PRISON SUMAIL_5. BP-2009 Rev 2 40.4010 3 2" xfId="1454" xr:uid="{00000000-0005-0000-0000-0000A0050000}"/>
    <cellStyle name="0_5. BP 2008 Rev2- 40.4010 CENTRAL PRISON SUMAIL_5. BP-2009 Rev 2 40.4010 4" xfId="1455" xr:uid="{00000000-0005-0000-0000-0000A1050000}"/>
    <cellStyle name="0_5. BP 2008 Rev2- 40.4010 CENTRAL PRISON SUMAIL_5. BP-2009 Rev 2 40.4010 5" xfId="1456" xr:uid="{00000000-0005-0000-0000-0000A2050000}"/>
    <cellStyle name="0_5. BP 2008 Rev2- 40.4010 CENTRAL PRISON SUMAIL_5. BP-2009 Rev 2 40.4010 6" xfId="1457" xr:uid="{00000000-0005-0000-0000-0000A3050000}"/>
    <cellStyle name="0_5. BP 2008 Rev2- 40.4010 CENTRAL PRISON SUMAIL_5. BP-2009 Rev 2 40.4010 7" xfId="1458" xr:uid="{00000000-0005-0000-0000-0000A4050000}"/>
    <cellStyle name="0_5. BP 2008 Rev2- 40.4010 CENTRAL PRISON SUMAIL_5. BP-2009 Rev 2 40.4010 8" xfId="1459" xr:uid="{00000000-0005-0000-0000-0000A5050000}"/>
    <cellStyle name="0_5. BP 2008 Rev2- 40.4010 CENTRAL PRISON SUMAIL_5. BP-2009 Rev 2 40.4010 9" xfId="1460" xr:uid="{00000000-0005-0000-0000-0000A6050000}"/>
    <cellStyle name="0_5. BP 2008 Rev2- 40.4010 CENTRAL PRISON SUMAIL_5. CENTRAL PRISON-SAMAIL BP-2008-Rev 2-corrected(180808)" xfId="1461" xr:uid="{00000000-0005-0000-0000-0000A7050000}"/>
    <cellStyle name="0_5. BP 2008 Rev2- 40.4010 CENTRAL PRISON SUMAIL_5. CENTRAL PRISON-SAMAIL BP-2008-Rev 2-corrected(180808) 2" xfId="1462" xr:uid="{00000000-0005-0000-0000-0000A8050000}"/>
    <cellStyle name="0_5. BP 2008 Rev2- 40.4010 CENTRAL PRISON SUMAIL_5. CENTRAL PRISON-SAMAIL BP-2008-Rev 2-corrected(180808) 2 2" xfId="1463" xr:uid="{00000000-0005-0000-0000-0000A9050000}"/>
    <cellStyle name="0_5. BP 2008 Rev2- 40.4010 CENTRAL PRISON SUMAIL_5. CENTRAL PRISON-SAMAIL BP-2008-Rev 2-corrected(180808) 2 2 2" xfId="1464" xr:uid="{00000000-0005-0000-0000-0000AA050000}"/>
    <cellStyle name="0_5. BP 2008 Rev2- 40.4010 CENTRAL PRISON SUMAIL_5. CENTRAL PRISON-SAMAIL BP-2008-Rev 2-corrected(180808) 2 3" xfId="1465" xr:uid="{00000000-0005-0000-0000-0000AB050000}"/>
    <cellStyle name="0_5. BP 2008 Rev2- 40.4010 CENTRAL PRISON SUMAIL_5. CENTRAL PRISON-SAMAIL BP-2008-Rev 2-corrected(180808) 2 3 2" xfId="1466" xr:uid="{00000000-0005-0000-0000-0000AC050000}"/>
    <cellStyle name="0_5. BP 2008 Rev2- 40.4010 CENTRAL PRISON SUMAIL_5. CENTRAL PRISON-SAMAIL BP-2008-Rev 2-corrected(180808) 2 4" xfId="1467" xr:uid="{00000000-0005-0000-0000-0000AD050000}"/>
    <cellStyle name="0_5. BP 2008 Rev2- 40.4010 CENTRAL PRISON SUMAIL_5. CENTRAL PRISON-SAMAIL BP-2008-Rev 2-corrected(180808) 2 4 2" xfId="1468" xr:uid="{00000000-0005-0000-0000-0000AE050000}"/>
    <cellStyle name="0_5. BP 2008 Rev2- 40.4010 CENTRAL PRISON SUMAIL_5. CENTRAL PRISON-SAMAIL BP-2008-Rev 2-corrected(180808) 2 5" xfId="1469" xr:uid="{00000000-0005-0000-0000-0000AF050000}"/>
    <cellStyle name="0_5. BP 2008 Rev2- 40.4010 CENTRAL PRISON SUMAIL_5. CENTRAL PRISON-SAMAIL BP-2008-Rev 2-corrected(180808) 2 6" xfId="1470" xr:uid="{00000000-0005-0000-0000-0000B0050000}"/>
    <cellStyle name="0_5. BP 2008 Rev2- 40.4010 CENTRAL PRISON SUMAIL_5. CENTRAL PRISON-SAMAIL BP-2008-Rev 2-corrected(180808) 2 7" xfId="1471" xr:uid="{00000000-0005-0000-0000-0000B1050000}"/>
    <cellStyle name="0_5. BP 2008 Rev2- 40.4010 CENTRAL PRISON SUMAIL_5. CENTRAL PRISON-SAMAIL BP-2008-Rev 2-corrected(180808) 3" xfId="1472" xr:uid="{00000000-0005-0000-0000-0000B2050000}"/>
    <cellStyle name="0_5. BP 2008 Rev2- 40.4010 CENTRAL PRISON SUMAIL_5. CENTRAL PRISON-SAMAIL BP-2008-Rev 2-corrected(180808) 3 2" xfId="1473" xr:uid="{00000000-0005-0000-0000-0000B3050000}"/>
    <cellStyle name="0_5. BP 2008 Rev2- 40.4010 CENTRAL PRISON SUMAIL_5. CENTRAL PRISON-SAMAIL BP-2008-Rev 2-corrected(180808) 4" xfId="1474" xr:uid="{00000000-0005-0000-0000-0000B4050000}"/>
    <cellStyle name="0_5. BP 2008 Rev2- 40.4010 CENTRAL PRISON SUMAIL_5. CENTRAL PRISON-SAMAIL BP-2008-Rev 2-corrected(180808) 5" xfId="1475" xr:uid="{00000000-0005-0000-0000-0000B5050000}"/>
    <cellStyle name="0_5. BP 2008 Rev2- 40.4010 CENTRAL PRISON SUMAIL_5. CENTRAL PRISON-SAMAIL BP-2008-Rev 2-corrected(180808) 6" xfId="1476" xr:uid="{00000000-0005-0000-0000-0000B6050000}"/>
    <cellStyle name="0_5. BP 2008 Rev2- 40.4010 CENTRAL PRISON SUMAIL_5. CENTRAL PRISON-SAMAIL BP-2008-Rev 2-corrected(180808) 7" xfId="1477" xr:uid="{00000000-0005-0000-0000-0000B7050000}"/>
    <cellStyle name="0_5. BP 2008 Rev2- 40.4010 CENTRAL PRISON SUMAIL_5. CENTRAL PRISON-SAMAIL BP-2008-Rev 2-corrected(180808) 8" xfId="1478" xr:uid="{00000000-0005-0000-0000-0000B8050000}"/>
    <cellStyle name="0_5. BP 2008 Rev2- 40.4010 CENTRAL PRISON SUMAIL_5. CENTRAL PRISON-SAMAIL BP-2008-Rev 2-corrected(180808) 9" xfId="1479" xr:uid="{00000000-0005-0000-0000-0000B9050000}"/>
    <cellStyle name="0_6094_REVIEW_APRIL_08" xfId="1480" xr:uid="{00000000-0005-0000-0000-0000BA050000}"/>
    <cellStyle name="0_6094_REVIEW_APRIL_08 10" xfId="1481" xr:uid="{00000000-0005-0000-0000-0000BB050000}"/>
    <cellStyle name="0_6094_REVIEW_APRIL_08 10 2" xfId="1482" xr:uid="{00000000-0005-0000-0000-0000BC050000}"/>
    <cellStyle name="0_6094_REVIEW_APRIL_08 10 2 2" xfId="1483" xr:uid="{00000000-0005-0000-0000-0000BD050000}"/>
    <cellStyle name="0_6094_REVIEW_APRIL_08 10 3" xfId="1484" xr:uid="{00000000-0005-0000-0000-0000BE050000}"/>
    <cellStyle name="0_6094_REVIEW_APRIL_08 10 3 2" xfId="1485" xr:uid="{00000000-0005-0000-0000-0000BF050000}"/>
    <cellStyle name="0_6094_REVIEW_APRIL_08 10 4" xfId="1486" xr:uid="{00000000-0005-0000-0000-0000C0050000}"/>
    <cellStyle name="0_6094_REVIEW_APRIL_08 11" xfId="1487" xr:uid="{00000000-0005-0000-0000-0000C1050000}"/>
    <cellStyle name="0_6094_REVIEW_APRIL_08 11 2" xfId="1488" xr:uid="{00000000-0005-0000-0000-0000C2050000}"/>
    <cellStyle name="0_6094_REVIEW_APRIL_08 11 2 2" xfId="1489" xr:uid="{00000000-0005-0000-0000-0000C3050000}"/>
    <cellStyle name="0_6094_REVIEW_APRIL_08 11 3" xfId="1490" xr:uid="{00000000-0005-0000-0000-0000C4050000}"/>
    <cellStyle name="0_6094_REVIEW_APRIL_08 11 3 2" xfId="1491" xr:uid="{00000000-0005-0000-0000-0000C5050000}"/>
    <cellStyle name="0_6094_REVIEW_APRIL_08 11 4" xfId="1492" xr:uid="{00000000-0005-0000-0000-0000C6050000}"/>
    <cellStyle name="0_6094_REVIEW_APRIL_08 12" xfId="1493" xr:uid="{00000000-0005-0000-0000-0000C7050000}"/>
    <cellStyle name="0_6094_REVIEW_APRIL_08 12 2" xfId="1494" xr:uid="{00000000-0005-0000-0000-0000C8050000}"/>
    <cellStyle name="0_6094_REVIEW_APRIL_08 13" xfId="1495" xr:uid="{00000000-0005-0000-0000-0000C9050000}"/>
    <cellStyle name="0_6094_REVIEW_APRIL_08 13 2" xfId="1496" xr:uid="{00000000-0005-0000-0000-0000CA050000}"/>
    <cellStyle name="0_6094_REVIEW_APRIL_08 14" xfId="1497" xr:uid="{00000000-0005-0000-0000-0000CB050000}"/>
    <cellStyle name="0_6094_REVIEW_APRIL_08 14 2" xfId="1498" xr:uid="{00000000-0005-0000-0000-0000CC050000}"/>
    <cellStyle name="0_6094_REVIEW_APRIL_08 15" xfId="1499" xr:uid="{00000000-0005-0000-0000-0000CD050000}"/>
    <cellStyle name="0_6094_REVIEW_APRIL_08 16" xfId="1500" xr:uid="{00000000-0005-0000-0000-0000CE050000}"/>
    <cellStyle name="0_6094_REVIEW_APRIL_08 17" xfId="1501" xr:uid="{00000000-0005-0000-0000-0000CF050000}"/>
    <cellStyle name="0_6094_REVIEW_APRIL_08 18" xfId="1502" xr:uid="{00000000-0005-0000-0000-0000D0050000}"/>
    <cellStyle name="0_6094_REVIEW_APRIL_08 19" xfId="1503" xr:uid="{00000000-0005-0000-0000-0000D1050000}"/>
    <cellStyle name="0_6094_REVIEW_APRIL_08 2" xfId="1504" xr:uid="{00000000-0005-0000-0000-0000D2050000}"/>
    <cellStyle name="0_6094_REVIEW_APRIL_08 2 10" xfId="1505" xr:uid="{00000000-0005-0000-0000-0000D3050000}"/>
    <cellStyle name="0_6094_REVIEW_APRIL_08 2 10 2" xfId="1506" xr:uid="{00000000-0005-0000-0000-0000D4050000}"/>
    <cellStyle name="0_6094_REVIEW_APRIL_08 2 10 2 2" xfId="1507" xr:uid="{00000000-0005-0000-0000-0000D5050000}"/>
    <cellStyle name="0_6094_REVIEW_APRIL_08 2 10 3" xfId="1508" xr:uid="{00000000-0005-0000-0000-0000D6050000}"/>
    <cellStyle name="0_6094_REVIEW_APRIL_08 2 10 3 2" xfId="1509" xr:uid="{00000000-0005-0000-0000-0000D7050000}"/>
    <cellStyle name="0_6094_REVIEW_APRIL_08 2 10 4" xfId="1510" xr:uid="{00000000-0005-0000-0000-0000D8050000}"/>
    <cellStyle name="0_6094_REVIEW_APRIL_08 2 11" xfId="1511" xr:uid="{00000000-0005-0000-0000-0000D9050000}"/>
    <cellStyle name="0_6094_REVIEW_APRIL_08 2 11 2" xfId="1512" xr:uid="{00000000-0005-0000-0000-0000DA050000}"/>
    <cellStyle name="0_6094_REVIEW_APRIL_08 2 12" xfId="1513" xr:uid="{00000000-0005-0000-0000-0000DB050000}"/>
    <cellStyle name="0_6094_REVIEW_APRIL_08 2 12 2" xfId="1514" xr:uid="{00000000-0005-0000-0000-0000DC050000}"/>
    <cellStyle name="0_6094_REVIEW_APRIL_08 2 13" xfId="1515" xr:uid="{00000000-0005-0000-0000-0000DD050000}"/>
    <cellStyle name="0_6094_REVIEW_APRIL_08 2 14" xfId="1516" xr:uid="{00000000-0005-0000-0000-0000DE050000}"/>
    <cellStyle name="0_6094_REVIEW_APRIL_08 2 15" xfId="1517" xr:uid="{00000000-0005-0000-0000-0000DF050000}"/>
    <cellStyle name="0_6094_REVIEW_APRIL_08 2 16" xfId="1518" xr:uid="{00000000-0005-0000-0000-0000E0050000}"/>
    <cellStyle name="0_6094_REVIEW_APRIL_08 2 2" xfId="1519" xr:uid="{00000000-0005-0000-0000-0000E1050000}"/>
    <cellStyle name="0_6094_REVIEW_APRIL_08 2 2 2" xfId="1520" xr:uid="{00000000-0005-0000-0000-0000E2050000}"/>
    <cellStyle name="0_6094_REVIEW_APRIL_08 2 2 2 2" xfId="1521" xr:uid="{00000000-0005-0000-0000-0000E3050000}"/>
    <cellStyle name="0_6094_REVIEW_APRIL_08 2 2 2 2 2" xfId="1522" xr:uid="{00000000-0005-0000-0000-0000E4050000}"/>
    <cellStyle name="0_6094_REVIEW_APRIL_08 2 2 2 2 2 2" xfId="1523" xr:uid="{00000000-0005-0000-0000-0000E5050000}"/>
    <cellStyle name="0_6094_REVIEW_APRIL_08 2 2 2 2 3" xfId="1524" xr:uid="{00000000-0005-0000-0000-0000E6050000}"/>
    <cellStyle name="0_6094_REVIEW_APRIL_08 2 2 2 2 3 2" xfId="1525" xr:uid="{00000000-0005-0000-0000-0000E7050000}"/>
    <cellStyle name="0_6094_REVIEW_APRIL_08 2 2 2 2 4" xfId="1526" xr:uid="{00000000-0005-0000-0000-0000E8050000}"/>
    <cellStyle name="0_6094_REVIEW_APRIL_08 2 2 2 3" xfId="1527" xr:uid="{00000000-0005-0000-0000-0000E9050000}"/>
    <cellStyle name="0_6094_REVIEW_APRIL_08 2 2 2 3 2" xfId="1528" xr:uid="{00000000-0005-0000-0000-0000EA050000}"/>
    <cellStyle name="0_6094_REVIEW_APRIL_08 2 2 2 3 2 2" xfId="1529" xr:uid="{00000000-0005-0000-0000-0000EB050000}"/>
    <cellStyle name="0_6094_REVIEW_APRIL_08 2 2 2 3 3" xfId="1530" xr:uid="{00000000-0005-0000-0000-0000EC050000}"/>
    <cellStyle name="0_6094_REVIEW_APRIL_08 2 2 2 3 3 2" xfId="1531" xr:uid="{00000000-0005-0000-0000-0000ED050000}"/>
    <cellStyle name="0_6094_REVIEW_APRIL_08 2 2 2 3 4" xfId="1532" xr:uid="{00000000-0005-0000-0000-0000EE050000}"/>
    <cellStyle name="0_6094_REVIEW_APRIL_08 2 2 2 4" xfId="1533" xr:uid="{00000000-0005-0000-0000-0000EF050000}"/>
    <cellStyle name="0_6094_REVIEW_APRIL_08 2 2 2 4 2" xfId="1534" xr:uid="{00000000-0005-0000-0000-0000F0050000}"/>
    <cellStyle name="0_6094_REVIEW_APRIL_08 2 2 2 5" xfId="1535" xr:uid="{00000000-0005-0000-0000-0000F1050000}"/>
    <cellStyle name="0_6094_REVIEW_APRIL_08 2 2 2 5 2" xfId="1536" xr:uid="{00000000-0005-0000-0000-0000F2050000}"/>
    <cellStyle name="0_6094_REVIEW_APRIL_08 2 2 2 6" xfId="1537" xr:uid="{00000000-0005-0000-0000-0000F3050000}"/>
    <cellStyle name="0_6094_REVIEW_APRIL_08 2 2 3" xfId="1538" xr:uid="{00000000-0005-0000-0000-0000F4050000}"/>
    <cellStyle name="0_6094_REVIEW_APRIL_08 2 2 3 2" xfId="1539" xr:uid="{00000000-0005-0000-0000-0000F5050000}"/>
    <cellStyle name="0_6094_REVIEW_APRIL_08 2 2 3 2 2" xfId="1540" xr:uid="{00000000-0005-0000-0000-0000F6050000}"/>
    <cellStyle name="0_6094_REVIEW_APRIL_08 2 2 3 3" xfId="1541" xr:uid="{00000000-0005-0000-0000-0000F7050000}"/>
    <cellStyle name="0_6094_REVIEW_APRIL_08 2 2 3 3 2" xfId="1542" xr:uid="{00000000-0005-0000-0000-0000F8050000}"/>
    <cellStyle name="0_6094_REVIEW_APRIL_08 2 2 3 4" xfId="1543" xr:uid="{00000000-0005-0000-0000-0000F9050000}"/>
    <cellStyle name="0_6094_REVIEW_APRIL_08 2 2 4" xfId="1544" xr:uid="{00000000-0005-0000-0000-0000FA050000}"/>
    <cellStyle name="0_6094_REVIEW_APRIL_08 2 2 4 2" xfId="1545" xr:uid="{00000000-0005-0000-0000-0000FB050000}"/>
    <cellStyle name="0_6094_REVIEW_APRIL_08 2 2 4 2 2" xfId="1546" xr:uid="{00000000-0005-0000-0000-0000FC050000}"/>
    <cellStyle name="0_6094_REVIEW_APRIL_08 2 2 4 3" xfId="1547" xr:uid="{00000000-0005-0000-0000-0000FD050000}"/>
    <cellStyle name="0_6094_REVIEW_APRIL_08 2 2 4 3 2" xfId="1548" xr:uid="{00000000-0005-0000-0000-0000FE050000}"/>
    <cellStyle name="0_6094_REVIEW_APRIL_08 2 2 4 4" xfId="1549" xr:uid="{00000000-0005-0000-0000-0000FF050000}"/>
    <cellStyle name="0_6094_REVIEW_APRIL_08 2 2 5" xfId="1550" xr:uid="{00000000-0005-0000-0000-000000060000}"/>
    <cellStyle name="0_6094_REVIEW_APRIL_08 2 2 5 2" xfId="1551" xr:uid="{00000000-0005-0000-0000-000001060000}"/>
    <cellStyle name="0_6094_REVIEW_APRIL_08 2 2 5 2 2" xfId="1552" xr:uid="{00000000-0005-0000-0000-000002060000}"/>
    <cellStyle name="0_6094_REVIEW_APRIL_08 2 2 5 3" xfId="1553" xr:uid="{00000000-0005-0000-0000-000003060000}"/>
    <cellStyle name="0_6094_REVIEW_APRIL_08 2 2 5 3 2" xfId="1554" xr:uid="{00000000-0005-0000-0000-000004060000}"/>
    <cellStyle name="0_6094_REVIEW_APRIL_08 2 2 5 4" xfId="1555" xr:uid="{00000000-0005-0000-0000-000005060000}"/>
    <cellStyle name="0_6094_REVIEW_APRIL_08 2 2 6" xfId="1556" xr:uid="{00000000-0005-0000-0000-000006060000}"/>
    <cellStyle name="0_6094_REVIEW_APRIL_08 2 2 6 2" xfId="1557" xr:uid="{00000000-0005-0000-0000-000007060000}"/>
    <cellStyle name="0_6094_REVIEW_APRIL_08 2 2 7" xfId="1558" xr:uid="{00000000-0005-0000-0000-000008060000}"/>
    <cellStyle name="0_6094_REVIEW_APRIL_08 2 2 7 2" xfId="1559" xr:uid="{00000000-0005-0000-0000-000009060000}"/>
    <cellStyle name="0_6094_REVIEW_APRIL_08 2 2 8" xfId="1560" xr:uid="{00000000-0005-0000-0000-00000A060000}"/>
    <cellStyle name="0_6094_REVIEW_APRIL_08 2 3" xfId="1561" xr:uid="{00000000-0005-0000-0000-00000B060000}"/>
    <cellStyle name="0_6094_REVIEW_APRIL_08 2 3 2" xfId="1562" xr:uid="{00000000-0005-0000-0000-00000C060000}"/>
    <cellStyle name="0_6094_REVIEW_APRIL_08 2 3 2 2" xfId="1563" xr:uid="{00000000-0005-0000-0000-00000D060000}"/>
    <cellStyle name="0_6094_REVIEW_APRIL_08 2 3 2 2 2" xfId="1564" xr:uid="{00000000-0005-0000-0000-00000E060000}"/>
    <cellStyle name="0_6094_REVIEW_APRIL_08 2 3 2 2 2 2" xfId="1565" xr:uid="{00000000-0005-0000-0000-00000F060000}"/>
    <cellStyle name="0_6094_REVIEW_APRIL_08 2 3 2 2 3" xfId="1566" xr:uid="{00000000-0005-0000-0000-000010060000}"/>
    <cellStyle name="0_6094_REVIEW_APRIL_08 2 3 2 2 3 2" xfId="1567" xr:uid="{00000000-0005-0000-0000-000011060000}"/>
    <cellStyle name="0_6094_REVIEW_APRIL_08 2 3 2 2 4" xfId="1568" xr:uid="{00000000-0005-0000-0000-000012060000}"/>
    <cellStyle name="0_6094_REVIEW_APRIL_08 2 3 2 3" xfId="1569" xr:uid="{00000000-0005-0000-0000-000013060000}"/>
    <cellStyle name="0_6094_REVIEW_APRIL_08 2 3 2 3 2" xfId="1570" xr:uid="{00000000-0005-0000-0000-000014060000}"/>
    <cellStyle name="0_6094_REVIEW_APRIL_08 2 3 2 3 2 2" xfId="1571" xr:uid="{00000000-0005-0000-0000-000015060000}"/>
    <cellStyle name="0_6094_REVIEW_APRIL_08 2 3 2 3 3" xfId="1572" xr:uid="{00000000-0005-0000-0000-000016060000}"/>
    <cellStyle name="0_6094_REVIEW_APRIL_08 2 3 2 3 3 2" xfId="1573" xr:uid="{00000000-0005-0000-0000-000017060000}"/>
    <cellStyle name="0_6094_REVIEW_APRIL_08 2 3 2 3 4" xfId="1574" xr:uid="{00000000-0005-0000-0000-000018060000}"/>
    <cellStyle name="0_6094_REVIEW_APRIL_08 2 3 2 4" xfId="1575" xr:uid="{00000000-0005-0000-0000-000019060000}"/>
    <cellStyle name="0_6094_REVIEW_APRIL_08 2 3 2 4 2" xfId="1576" xr:uid="{00000000-0005-0000-0000-00001A060000}"/>
    <cellStyle name="0_6094_REVIEW_APRIL_08 2 3 2 5" xfId="1577" xr:uid="{00000000-0005-0000-0000-00001B060000}"/>
    <cellStyle name="0_6094_REVIEW_APRIL_08 2 3 2 5 2" xfId="1578" xr:uid="{00000000-0005-0000-0000-00001C060000}"/>
    <cellStyle name="0_6094_REVIEW_APRIL_08 2 3 2 6" xfId="1579" xr:uid="{00000000-0005-0000-0000-00001D060000}"/>
    <cellStyle name="0_6094_REVIEW_APRIL_08 2 3 3" xfId="1580" xr:uid="{00000000-0005-0000-0000-00001E060000}"/>
    <cellStyle name="0_6094_REVIEW_APRIL_08 2 3 3 2" xfId="1581" xr:uid="{00000000-0005-0000-0000-00001F060000}"/>
    <cellStyle name="0_6094_REVIEW_APRIL_08 2 3 3 2 2" xfId="1582" xr:uid="{00000000-0005-0000-0000-000020060000}"/>
    <cellStyle name="0_6094_REVIEW_APRIL_08 2 3 3 3" xfId="1583" xr:uid="{00000000-0005-0000-0000-000021060000}"/>
    <cellStyle name="0_6094_REVIEW_APRIL_08 2 3 3 3 2" xfId="1584" xr:uid="{00000000-0005-0000-0000-000022060000}"/>
    <cellStyle name="0_6094_REVIEW_APRIL_08 2 3 3 4" xfId="1585" xr:uid="{00000000-0005-0000-0000-000023060000}"/>
    <cellStyle name="0_6094_REVIEW_APRIL_08 2 3 4" xfId="1586" xr:uid="{00000000-0005-0000-0000-000024060000}"/>
    <cellStyle name="0_6094_REVIEW_APRIL_08 2 3 4 2" xfId="1587" xr:uid="{00000000-0005-0000-0000-000025060000}"/>
    <cellStyle name="0_6094_REVIEW_APRIL_08 2 3 4 2 2" xfId="1588" xr:uid="{00000000-0005-0000-0000-000026060000}"/>
    <cellStyle name="0_6094_REVIEW_APRIL_08 2 3 4 3" xfId="1589" xr:uid="{00000000-0005-0000-0000-000027060000}"/>
    <cellStyle name="0_6094_REVIEW_APRIL_08 2 3 4 3 2" xfId="1590" xr:uid="{00000000-0005-0000-0000-000028060000}"/>
    <cellStyle name="0_6094_REVIEW_APRIL_08 2 3 4 4" xfId="1591" xr:uid="{00000000-0005-0000-0000-000029060000}"/>
    <cellStyle name="0_6094_REVIEW_APRIL_08 2 3 5" xfId="1592" xr:uid="{00000000-0005-0000-0000-00002A060000}"/>
    <cellStyle name="0_6094_REVIEW_APRIL_08 2 3 5 2" xfId="1593" xr:uid="{00000000-0005-0000-0000-00002B060000}"/>
    <cellStyle name="0_6094_REVIEW_APRIL_08 2 3 5 2 2" xfId="1594" xr:uid="{00000000-0005-0000-0000-00002C060000}"/>
    <cellStyle name="0_6094_REVIEW_APRIL_08 2 3 5 3" xfId="1595" xr:uid="{00000000-0005-0000-0000-00002D060000}"/>
    <cellStyle name="0_6094_REVIEW_APRIL_08 2 3 5 3 2" xfId="1596" xr:uid="{00000000-0005-0000-0000-00002E060000}"/>
    <cellStyle name="0_6094_REVIEW_APRIL_08 2 3 5 4" xfId="1597" xr:uid="{00000000-0005-0000-0000-00002F060000}"/>
    <cellStyle name="0_6094_REVIEW_APRIL_08 2 3 6" xfId="1598" xr:uid="{00000000-0005-0000-0000-000030060000}"/>
    <cellStyle name="0_6094_REVIEW_APRIL_08 2 3 6 2" xfId="1599" xr:uid="{00000000-0005-0000-0000-000031060000}"/>
    <cellStyle name="0_6094_REVIEW_APRIL_08 2 3 7" xfId="1600" xr:uid="{00000000-0005-0000-0000-000032060000}"/>
    <cellStyle name="0_6094_REVIEW_APRIL_08 2 3 7 2" xfId="1601" xr:uid="{00000000-0005-0000-0000-000033060000}"/>
    <cellStyle name="0_6094_REVIEW_APRIL_08 2 3 8" xfId="1602" xr:uid="{00000000-0005-0000-0000-000034060000}"/>
    <cellStyle name="0_6094_REVIEW_APRIL_08 2 4" xfId="1603" xr:uid="{00000000-0005-0000-0000-000035060000}"/>
    <cellStyle name="0_6094_REVIEW_APRIL_08 2 4 2" xfId="1604" xr:uid="{00000000-0005-0000-0000-000036060000}"/>
    <cellStyle name="0_6094_REVIEW_APRIL_08 2 4 2 2" xfId="1605" xr:uid="{00000000-0005-0000-0000-000037060000}"/>
    <cellStyle name="0_6094_REVIEW_APRIL_08 2 4 2 2 2" xfId="1606" xr:uid="{00000000-0005-0000-0000-000038060000}"/>
    <cellStyle name="0_6094_REVIEW_APRIL_08 2 4 2 2 2 2" xfId="1607" xr:uid="{00000000-0005-0000-0000-000039060000}"/>
    <cellStyle name="0_6094_REVIEW_APRIL_08 2 4 2 2 3" xfId="1608" xr:uid="{00000000-0005-0000-0000-00003A060000}"/>
    <cellStyle name="0_6094_REVIEW_APRIL_08 2 4 2 2 3 2" xfId="1609" xr:uid="{00000000-0005-0000-0000-00003B060000}"/>
    <cellStyle name="0_6094_REVIEW_APRIL_08 2 4 2 2 4" xfId="1610" xr:uid="{00000000-0005-0000-0000-00003C060000}"/>
    <cellStyle name="0_6094_REVIEW_APRIL_08 2 4 2 3" xfId="1611" xr:uid="{00000000-0005-0000-0000-00003D060000}"/>
    <cellStyle name="0_6094_REVIEW_APRIL_08 2 4 2 3 2" xfId="1612" xr:uid="{00000000-0005-0000-0000-00003E060000}"/>
    <cellStyle name="0_6094_REVIEW_APRIL_08 2 4 2 3 2 2" xfId="1613" xr:uid="{00000000-0005-0000-0000-00003F060000}"/>
    <cellStyle name="0_6094_REVIEW_APRIL_08 2 4 2 3 3" xfId="1614" xr:uid="{00000000-0005-0000-0000-000040060000}"/>
    <cellStyle name="0_6094_REVIEW_APRIL_08 2 4 2 3 3 2" xfId="1615" xr:uid="{00000000-0005-0000-0000-000041060000}"/>
    <cellStyle name="0_6094_REVIEW_APRIL_08 2 4 2 3 4" xfId="1616" xr:uid="{00000000-0005-0000-0000-000042060000}"/>
    <cellStyle name="0_6094_REVIEW_APRIL_08 2 4 2 4" xfId="1617" xr:uid="{00000000-0005-0000-0000-000043060000}"/>
    <cellStyle name="0_6094_REVIEW_APRIL_08 2 4 2 4 2" xfId="1618" xr:uid="{00000000-0005-0000-0000-000044060000}"/>
    <cellStyle name="0_6094_REVIEW_APRIL_08 2 4 2 5" xfId="1619" xr:uid="{00000000-0005-0000-0000-000045060000}"/>
    <cellStyle name="0_6094_REVIEW_APRIL_08 2 4 2 5 2" xfId="1620" xr:uid="{00000000-0005-0000-0000-000046060000}"/>
    <cellStyle name="0_6094_REVIEW_APRIL_08 2 4 2 6" xfId="1621" xr:uid="{00000000-0005-0000-0000-000047060000}"/>
    <cellStyle name="0_6094_REVIEW_APRIL_08 2 4 3" xfId="1622" xr:uid="{00000000-0005-0000-0000-000048060000}"/>
    <cellStyle name="0_6094_REVIEW_APRIL_08 2 4 3 2" xfId="1623" xr:uid="{00000000-0005-0000-0000-000049060000}"/>
    <cellStyle name="0_6094_REVIEW_APRIL_08 2 4 3 2 2" xfId="1624" xr:uid="{00000000-0005-0000-0000-00004A060000}"/>
    <cellStyle name="0_6094_REVIEW_APRIL_08 2 4 3 3" xfId="1625" xr:uid="{00000000-0005-0000-0000-00004B060000}"/>
    <cellStyle name="0_6094_REVIEW_APRIL_08 2 4 3 3 2" xfId="1626" xr:uid="{00000000-0005-0000-0000-00004C060000}"/>
    <cellStyle name="0_6094_REVIEW_APRIL_08 2 4 3 4" xfId="1627" xr:uid="{00000000-0005-0000-0000-00004D060000}"/>
    <cellStyle name="0_6094_REVIEW_APRIL_08 2 4 4" xfId="1628" xr:uid="{00000000-0005-0000-0000-00004E060000}"/>
    <cellStyle name="0_6094_REVIEW_APRIL_08 2 4 4 2" xfId="1629" xr:uid="{00000000-0005-0000-0000-00004F060000}"/>
    <cellStyle name="0_6094_REVIEW_APRIL_08 2 4 4 2 2" xfId="1630" xr:uid="{00000000-0005-0000-0000-000050060000}"/>
    <cellStyle name="0_6094_REVIEW_APRIL_08 2 4 4 3" xfId="1631" xr:uid="{00000000-0005-0000-0000-000051060000}"/>
    <cellStyle name="0_6094_REVIEW_APRIL_08 2 4 4 3 2" xfId="1632" xr:uid="{00000000-0005-0000-0000-000052060000}"/>
    <cellStyle name="0_6094_REVIEW_APRIL_08 2 4 4 4" xfId="1633" xr:uid="{00000000-0005-0000-0000-000053060000}"/>
    <cellStyle name="0_6094_REVIEW_APRIL_08 2 4 5" xfId="1634" xr:uid="{00000000-0005-0000-0000-000054060000}"/>
    <cellStyle name="0_6094_REVIEW_APRIL_08 2 4 5 2" xfId="1635" xr:uid="{00000000-0005-0000-0000-000055060000}"/>
    <cellStyle name="0_6094_REVIEW_APRIL_08 2 4 5 2 2" xfId="1636" xr:uid="{00000000-0005-0000-0000-000056060000}"/>
    <cellStyle name="0_6094_REVIEW_APRIL_08 2 4 5 3" xfId="1637" xr:uid="{00000000-0005-0000-0000-000057060000}"/>
    <cellStyle name="0_6094_REVIEW_APRIL_08 2 4 5 3 2" xfId="1638" xr:uid="{00000000-0005-0000-0000-000058060000}"/>
    <cellStyle name="0_6094_REVIEW_APRIL_08 2 4 5 4" xfId="1639" xr:uid="{00000000-0005-0000-0000-000059060000}"/>
    <cellStyle name="0_6094_REVIEW_APRIL_08 2 4 6" xfId="1640" xr:uid="{00000000-0005-0000-0000-00005A060000}"/>
    <cellStyle name="0_6094_REVIEW_APRIL_08 2 4 6 2" xfId="1641" xr:uid="{00000000-0005-0000-0000-00005B060000}"/>
    <cellStyle name="0_6094_REVIEW_APRIL_08 2 4 7" xfId="1642" xr:uid="{00000000-0005-0000-0000-00005C060000}"/>
    <cellStyle name="0_6094_REVIEW_APRIL_08 2 4 7 2" xfId="1643" xr:uid="{00000000-0005-0000-0000-00005D060000}"/>
    <cellStyle name="0_6094_REVIEW_APRIL_08 2 4 8" xfId="1644" xr:uid="{00000000-0005-0000-0000-00005E060000}"/>
    <cellStyle name="0_6094_REVIEW_APRIL_08 2 5" xfId="1645" xr:uid="{00000000-0005-0000-0000-00005F060000}"/>
    <cellStyle name="0_6094_REVIEW_APRIL_08 2 5 2" xfId="1646" xr:uid="{00000000-0005-0000-0000-000060060000}"/>
    <cellStyle name="0_6094_REVIEW_APRIL_08 2 5 2 2" xfId="1647" xr:uid="{00000000-0005-0000-0000-000061060000}"/>
    <cellStyle name="0_6094_REVIEW_APRIL_08 2 5 2 2 2" xfId="1648" xr:uid="{00000000-0005-0000-0000-000062060000}"/>
    <cellStyle name="0_6094_REVIEW_APRIL_08 2 5 2 2 2 2" xfId="1649" xr:uid="{00000000-0005-0000-0000-000063060000}"/>
    <cellStyle name="0_6094_REVIEW_APRIL_08 2 5 2 2 3" xfId="1650" xr:uid="{00000000-0005-0000-0000-000064060000}"/>
    <cellStyle name="0_6094_REVIEW_APRIL_08 2 5 2 2 3 2" xfId="1651" xr:uid="{00000000-0005-0000-0000-000065060000}"/>
    <cellStyle name="0_6094_REVIEW_APRIL_08 2 5 2 2 4" xfId="1652" xr:uid="{00000000-0005-0000-0000-000066060000}"/>
    <cellStyle name="0_6094_REVIEW_APRIL_08 2 5 2 3" xfId="1653" xr:uid="{00000000-0005-0000-0000-000067060000}"/>
    <cellStyle name="0_6094_REVIEW_APRIL_08 2 5 2 3 2" xfId="1654" xr:uid="{00000000-0005-0000-0000-000068060000}"/>
    <cellStyle name="0_6094_REVIEW_APRIL_08 2 5 2 3 2 2" xfId="1655" xr:uid="{00000000-0005-0000-0000-000069060000}"/>
    <cellStyle name="0_6094_REVIEW_APRIL_08 2 5 2 3 3" xfId="1656" xr:uid="{00000000-0005-0000-0000-00006A060000}"/>
    <cellStyle name="0_6094_REVIEW_APRIL_08 2 5 2 3 3 2" xfId="1657" xr:uid="{00000000-0005-0000-0000-00006B060000}"/>
    <cellStyle name="0_6094_REVIEW_APRIL_08 2 5 2 3 4" xfId="1658" xr:uid="{00000000-0005-0000-0000-00006C060000}"/>
    <cellStyle name="0_6094_REVIEW_APRIL_08 2 5 2 4" xfId="1659" xr:uid="{00000000-0005-0000-0000-00006D060000}"/>
    <cellStyle name="0_6094_REVIEW_APRIL_08 2 5 2 4 2" xfId="1660" xr:uid="{00000000-0005-0000-0000-00006E060000}"/>
    <cellStyle name="0_6094_REVIEW_APRIL_08 2 5 2 5" xfId="1661" xr:uid="{00000000-0005-0000-0000-00006F060000}"/>
    <cellStyle name="0_6094_REVIEW_APRIL_08 2 5 2 5 2" xfId="1662" xr:uid="{00000000-0005-0000-0000-000070060000}"/>
    <cellStyle name="0_6094_REVIEW_APRIL_08 2 5 2 6" xfId="1663" xr:uid="{00000000-0005-0000-0000-000071060000}"/>
    <cellStyle name="0_6094_REVIEW_APRIL_08 2 5 3" xfId="1664" xr:uid="{00000000-0005-0000-0000-000072060000}"/>
    <cellStyle name="0_6094_REVIEW_APRIL_08 2 5 3 2" xfId="1665" xr:uid="{00000000-0005-0000-0000-000073060000}"/>
    <cellStyle name="0_6094_REVIEW_APRIL_08 2 5 3 2 2" xfId="1666" xr:uid="{00000000-0005-0000-0000-000074060000}"/>
    <cellStyle name="0_6094_REVIEW_APRIL_08 2 5 3 3" xfId="1667" xr:uid="{00000000-0005-0000-0000-000075060000}"/>
    <cellStyle name="0_6094_REVIEW_APRIL_08 2 5 3 3 2" xfId="1668" xr:uid="{00000000-0005-0000-0000-000076060000}"/>
    <cellStyle name="0_6094_REVIEW_APRIL_08 2 5 3 4" xfId="1669" xr:uid="{00000000-0005-0000-0000-000077060000}"/>
    <cellStyle name="0_6094_REVIEW_APRIL_08 2 5 4" xfId="1670" xr:uid="{00000000-0005-0000-0000-000078060000}"/>
    <cellStyle name="0_6094_REVIEW_APRIL_08 2 5 4 2" xfId="1671" xr:uid="{00000000-0005-0000-0000-000079060000}"/>
    <cellStyle name="0_6094_REVIEW_APRIL_08 2 5 4 2 2" xfId="1672" xr:uid="{00000000-0005-0000-0000-00007A060000}"/>
    <cellStyle name="0_6094_REVIEW_APRIL_08 2 5 4 3" xfId="1673" xr:uid="{00000000-0005-0000-0000-00007B060000}"/>
    <cellStyle name="0_6094_REVIEW_APRIL_08 2 5 4 3 2" xfId="1674" xr:uid="{00000000-0005-0000-0000-00007C060000}"/>
    <cellStyle name="0_6094_REVIEW_APRIL_08 2 5 4 4" xfId="1675" xr:uid="{00000000-0005-0000-0000-00007D060000}"/>
    <cellStyle name="0_6094_REVIEW_APRIL_08 2 5 5" xfId="1676" xr:uid="{00000000-0005-0000-0000-00007E060000}"/>
    <cellStyle name="0_6094_REVIEW_APRIL_08 2 5 5 2" xfId="1677" xr:uid="{00000000-0005-0000-0000-00007F060000}"/>
    <cellStyle name="0_6094_REVIEW_APRIL_08 2 5 5 2 2" xfId="1678" xr:uid="{00000000-0005-0000-0000-000080060000}"/>
    <cellStyle name="0_6094_REVIEW_APRIL_08 2 5 5 3" xfId="1679" xr:uid="{00000000-0005-0000-0000-000081060000}"/>
    <cellStyle name="0_6094_REVIEW_APRIL_08 2 5 5 3 2" xfId="1680" xr:uid="{00000000-0005-0000-0000-000082060000}"/>
    <cellStyle name="0_6094_REVIEW_APRIL_08 2 5 5 4" xfId="1681" xr:uid="{00000000-0005-0000-0000-000083060000}"/>
    <cellStyle name="0_6094_REVIEW_APRIL_08 2 5 6" xfId="1682" xr:uid="{00000000-0005-0000-0000-000084060000}"/>
    <cellStyle name="0_6094_REVIEW_APRIL_08 2 5 6 2" xfId="1683" xr:uid="{00000000-0005-0000-0000-000085060000}"/>
    <cellStyle name="0_6094_REVIEW_APRIL_08 2 5 7" xfId="1684" xr:uid="{00000000-0005-0000-0000-000086060000}"/>
    <cellStyle name="0_6094_REVIEW_APRIL_08 2 5 7 2" xfId="1685" xr:uid="{00000000-0005-0000-0000-000087060000}"/>
    <cellStyle name="0_6094_REVIEW_APRIL_08 2 5 8" xfId="1686" xr:uid="{00000000-0005-0000-0000-000088060000}"/>
    <cellStyle name="0_6094_REVIEW_APRIL_08 2 6" xfId="1687" xr:uid="{00000000-0005-0000-0000-000089060000}"/>
    <cellStyle name="0_6094_REVIEW_APRIL_08 2 6 2" xfId="1688" xr:uid="{00000000-0005-0000-0000-00008A060000}"/>
    <cellStyle name="0_6094_REVIEW_APRIL_08 2 6 2 2" xfId="1689" xr:uid="{00000000-0005-0000-0000-00008B060000}"/>
    <cellStyle name="0_6094_REVIEW_APRIL_08 2 6 2 2 2" xfId="1690" xr:uid="{00000000-0005-0000-0000-00008C060000}"/>
    <cellStyle name="0_6094_REVIEW_APRIL_08 2 6 2 2 2 2" xfId="1691" xr:uid="{00000000-0005-0000-0000-00008D060000}"/>
    <cellStyle name="0_6094_REVIEW_APRIL_08 2 6 2 2 3" xfId="1692" xr:uid="{00000000-0005-0000-0000-00008E060000}"/>
    <cellStyle name="0_6094_REVIEW_APRIL_08 2 6 2 2 3 2" xfId="1693" xr:uid="{00000000-0005-0000-0000-00008F060000}"/>
    <cellStyle name="0_6094_REVIEW_APRIL_08 2 6 2 2 4" xfId="1694" xr:uid="{00000000-0005-0000-0000-000090060000}"/>
    <cellStyle name="0_6094_REVIEW_APRIL_08 2 6 2 3" xfId="1695" xr:uid="{00000000-0005-0000-0000-000091060000}"/>
    <cellStyle name="0_6094_REVIEW_APRIL_08 2 6 2 3 2" xfId="1696" xr:uid="{00000000-0005-0000-0000-000092060000}"/>
    <cellStyle name="0_6094_REVIEW_APRIL_08 2 6 2 3 2 2" xfId="1697" xr:uid="{00000000-0005-0000-0000-000093060000}"/>
    <cellStyle name="0_6094_REVIEW_APRIL_08 2 6 2 3 3" xfId="1698" xr:uid="{00000000-0005-0000-0000-000094060000}"/>
    <cellStyle name="0_6094_REVIEW_APRIL_08 2 6 2 3 3 2" xfId="1699" xr:uid="{00000000-0005-0000-0000-000095060000}"/>
    <cellStyle name="0_6094_REVIEW_APRIL_08 2 6 2 3 4" xfId="1700" xr:uid="{00000000-0005-0000-0000-000096060000}"/>
    <cellStyle name="0_6094_REVIEW_APRIL_08 2 6 2 4" xfId="1701" xr:uid="{00000000-0005-0000-0000-000097060000}"/>
    <cellStyle name="0_6094_REVIEW_APRIL_08 2 6 2 4 2" xfId="1702" xr:uid="{00000000-0005-0000-0000-000098060000}"/>
    <cellStyle name="0_6094_REVIEW_APRIL_08 2 6 2 5" xfId="1703" xr:uid="{00000000-0005-0000-0000-000099060000}"/>
    <cellStyle name="0_6094_REVIEW_APRIL_08 2 6 2 5 2" xfId="1704" xr:uid="{00000000-0005-0000-0000-00009A060000}"/>
    <cellStyle name="0_6094_REVIEW_APRIL_08 2 6 2 6" xfId="1705" xr:uid="{00000000-0005-0000-0000-00009B060000}"/>
    <cellStyle name="0_6094_REVIEW_APRIL_08 2 6 3" xfId="1706" xr:uid="{00000000-0005-0000-0000-00009C060000}"/>
    <cellStyle name="0_6094_REVIEW_APRIL_08 2 6 3 2" xfId="1707" xr:uid="{00000000-0005-0000-0000-00009D060000}"/>
    <cellStyle name="0_6094_REVIEW_APRIL_08 2 6 3 2 2" xfId="1708" xr:uid="{00000000-0005-0000-0000-00009E060000}"/>
    <cellStyle name="0_6094_REVIEW_APRIL_08 2 6 3 3" xfId="1709" xr:uid="{00000000-0005-0000-0000-00009F060000}"/>
    <cellStyle name="0_6094_REVIEW_APRIL_08 2 6 3 3 2" xfId="1710" xr:uid="{00000000-0005-0000-0000-0000A0060000}"/>
    <cellStyle name="0_6094_REVIEW_APRIL_08 2 6 3 4" xfId="1711" xr:uid="{00000000-0005-0000-0000-0000A1060000}"/>
    <cellStyle name="0_6094_REVIEW_APRIL_08 2 6 4" xfId="1712" xr:uid="{00000000-0005-0000-0000-0000A2060000}"/>
    <cellStyle name="0_6094_REVIEW_APRIL_08 2 6 4 2" xfId="1713" xr:uid="{00000000-0005-0000-0000-0000A3060000}"/>
    <cellStyle name="0_6094_REVIEW_APRIL_08 2 6 4 2 2" xfId="1714" xr:uid="{00000000-0005-0000-0000-0000A4060000}"/>
    <cellStyle name="0_6094_REVIEW_APRIL_08 2 6 4 3" xfId="1715" xr:uid="{00000000-0005-0000-0000-0000A5060000}"/>
    <cellStyle name="0_6094_REVIEW_APRIL_08 2 6 4 3 2" xfId="1716" xr:uid="{00000000-0005-0000-0000-0000A6060000}"/>
    <cellStyle name="0_6094_REVIEW_APRIL_08 2 6 4 4" xfId="1717" xr:uid="{00000000-0005-0000-0000-0000A7060000}"/>
    <cellStyle name="0_6094_REVIEW_APRIL_08 2 6 5" xfId="1718" xr:uid="{00000000-0005-0000-0000-0000A8060000}"/>
    <cellStyle name="0_6094_REVIEW_APRIL_08 2 6 5 2" xfId="1719" xr:uid="{00000000-0005-0000-0000-0000A9060000}"/>
    <cellStyle name="0_6094_REVIEW_APRIL_08 2 6 5 2 2" xfId="1720" xr:uid="{00000000-0005-0000-0000-0000AA060000}"/>
    <cellStyle name="0_6094_REVIEW_APRIL_08 2 6 5 3" xfId="1721" xr:uid="{00000000-0005-0000-0000-0000AB060000}"/>
    <cellStyle name="0_6094_REVIEW_APRIL_08 2 6 5 3 2" xfId="1722" xr:uid="{00000000-0005-0000-0000-0000AC060000}"/>
    <cellStyle name="0_6094_REVIEW_APRIL_08 2 6 5 4" xfId="1723" xr:uid="{00000000-0005-0000-0000-0000AD060000}"/>
    <cellStyle name="0_6094_REVIEW_APRIL_08 2 6 6" xfId="1724" xr:uid="{00000000-0005-0000-0000-0000AE060000}"/>
    <cellStyle name="0_6094_REVIEW_APRIL_08 2 6 6 2" xfId="1725" xr:uid="{00000000-0005-0000-0000-0000AF060000}"/>
    <cellStyle name="0_6094_REVIEW_APRIL_08 2 6 7" xfId="1726" xr:uid="{00000000-0005-0000-0000-0000B0060000}"/>
    <cellStyle name="0_6094_REVIEW_APRIL_08 2 6 7 2" xfId="1727" xr:uid="{00000000-0005-0000-0000-0000B1060000}"/>
    <cellStyle name="0_6094_REVIEW_APRIL_08 2 6 8" xfId="1728" xr:uid="{00000000-0005-0000-0000-0000B2060000}"/>
    <cellStyle name="0_6094_REVIEW_APRIL_08 2 7" xfId="1729" xr:uid="{00000000-0005-0000-0000-0000B3060000}"/>
    <cellStyle name="0_6094_REVIEW_APRIL_08 2 7 2" xfId="1730" xr:uid="{00000000-0005-0000-0000-0000B4060000}"/>
    <cellStyle name="0_6094_REVIEW_APRIL_08 2 7 2 2" xfId="1731" xr:uid="{00000000-0005-0000-0000-0000B5060000}"/>
    <cellStyle name="0_6094_REVIEW_APRIL_08 2 7 2 2 2" xfId="1732" xr:uid="{00000000-0005-0000-0000-0000B6060000}"/>
    <cellStyle name="0_6094_REVIEW_APRIL_08 2 7 2 3" xfId="1733" xr:uid="{00000000-0005-0000-0000-0000B7060000}"/>
    <cellStyle name="0_6094_REVIEW_APRIL_08 2 7 2 3 2" xfId="1734" xr:uid="{00000000-0005-0000-0000-0000B8060000}"/>
    <cellStyle name="0_6094_REVIEW_APRIL_08 2 7 2 4" xfId="1735" xr:uid="{00000000-0005-0000-0000-0000B9060000}"/>
    <cellStyle name="0_6094_REVIEW_APRIL_08 2 7 3" xfId="1736" xr:uid="{00000000-0005-0000-0000-0000BA060000}"/>
    <cellStyle name="0_6094_REVIEW_APRIL_08 2 7 3 2" xfId="1737" xr:uid="{00000000-0005-0000-0000-0000BB060000}"/>
    <cellStyle name="0_6094_REVIEW_APRIL_08 2 7 3 2 2" xfId="1738" xr:uid="{00000000-0005-0000-0000-0000BC060000}"/>
    <cellStyle name="0_6094_REVIEW_APRIL_08 2 7 3 3" xfId="1739" xr:uid="{00000000-0005-0000-0000-0000BD060000}"/>
    <cellStyle name="0_6094_REVIEW_APRIL_08 2 7 3 3 2" xfId="1740" xr:uid="{00000000-0005-0000-0000-0000BE060000}"/>
    <cellStyle name="0_6094_REVIEW_APRIL_08 2 7 3 4" xfId="1741" xr:uid="{00000000-0005-0000-0000-0000BF060000}"/>
    <cellStyle name="0_6094_REVIEW_APRIL_08 2 7 4" xfId="1742" xr:uid="{00000000-0005-0000-0000-0000C0060000}"/>
    <cellStyle name="0_6094_REVIEW_APRIL_08 2 7 4 2" xfId="1743" xr:uid="{00000000-0005-0000-0000-0000C1060000}"/>
    <cellStyle name="0_6094_REVIEW_APRIL_08 2 7 5" xfId="1744" xr:uid="{00000000-0005-0000-0000-0000C2060000}"/>
    <cellStyle name="0_6094_REVIEW_APRIL_08 2 7 5 2" xfId="1745" xr:uid="{00000000-0005-0000-0000-0000C3060000}"/>
    <cellStyle name="0_6094_REVIEW_APRIL_08 2 7 6" xfId="1746" xr:uid="{00000000-0005-0000-0000-0000C4060000}"/>
    <cellStyle name="0_6094_REVIEW_APRIL_08 2 8" xfId="1747" xr:uid="{00000000-0005-0000-0000-0000C5060000}"/>
    <cellStyle name="0_6094_REVIEW_APRIL_08 2 8 2" xfId="1748" xr:uid="{00000000-0005-0000-0000-0000C6060000}"/>
    <cellStyle name="0_6094_REVIEW_APRIL_08 2 8 2 2" xfId="1749" xr:uid="{00000000-0005-0000-0000-0000C7060000}"/>
    <cellStyle name="0_6094_REVIEW_APRIL_08 2 8 3" xfId="1750" xr:uid="{00000000-0005-0000-0000-0000C8060000}"/>
    <cellStyle name="0_6094_REVIEW_APRIL_08 2 8 3 2" xfId="1751" xr:uid="{00000000-0005-0000-0000-0000C9060000}"/>
    <cellStyle name="0_6094_REVIEW_APRIL_08 2 8 4" xfId="1752" xr:uid="{00000000-0005-0000-0000-0000CA060000}"/>
    <cellStyle name="0_6094_REVIEW_APRIL_08 2 9" xfId="1753" xr:uid="{00000000-0005-0000-0000-0000CB060000}"/>
    <cellStyle name="0_6094_REVIEW_APRIL_08 2 9 2" xfId="1754" xr:uid="{00000000-0005-0000-0000-0000CC060000}"/>
    <cellStyle name="0_6094_REVIEW_APRIL_08 2 9 2 2" xfId="1755" xr:uid="{00000000-0005-0000-0000-0000CD060000}"/>
    <cellStyle name="0_6094_REVIEW_APRIL_08 2 9 3" xfId="1756" xr:uid="{00000000-0005-0000-0000-0000CE060000}"/>
    <cellStyle name="0_6094_REVIEW_APRIL_08 2 9 3 2" xfId="1757" xr:uid="{00000000-0005-0000-0000-0000CF060000}"/>
    <cellStyle name="0_6094_REVIEW_APRIL_08 2 9 4" xfId="1758" xr:uid="{00000000-0005-0000-0000-0000D0060000}"/>
    <cellStyle name="0_6094_REVIEW_APRIL_08 20" xfId="1759" xr:uid="{00000000-0005-0000-0000-0000D1060000}"/>
    <cellStyle name="0_6094_REVIEW_APRIL_08 21" xfId="1760" xr:uid="{00000000-0005-0000-0000-0000D2060000}"/>
    <cellStyle name="0_6094_REVIEW_APRIL_08 22" xfId="1761" xr:uid="{00000000-0005-0000-0000-0000D3060000}"/>
    <cellStyle name="0_6094_REVIEW_APRIL_08 3" xfId="1762" xr:uid="{00000000-0005-0000-0000-0000D4060000}"/>
    <cellStyle name="0_6094_REVIEW_APRIL_08 3 10" xfId="1763" xr:uid="{00000000-0005-0000-0000-0000D5060000}"/>
    <cellStyle name="0_6094_REVIEW_APRIL_08 3 10 2" xfId="1764" xr:uid="{00000000-0005-0000-0000-0000D6060000}"/>
    <cellStyle name="0_6094_REVIEW_APRIL_08 3 10 2 2" xfId="1765" xr:uid="{00000000-0005-0000-0000-0000D7060000}"/>
    <cellStyle name="0_6094_REVIEW_APRIL_08 3 10 3" xfId="1766" xr:uid="{00000000-0005-0000-0000-0000D8060000}"/>
    <cellStyle name="0_6094_REVIEW_APRIL_08 3 10 3 2" xfId="1767" xr:uid="{00000000-0005-0000-0000-0000D9060000}"/>
    <cellStyle name="0_6094_REVIEW_APRIL_08 3 10 4" xfId="1768" xr:uid="{00000000-0005-0000-0000-0000DA060000}"/>
    <cellStyle name="0_6094_REVIEW_APRIL_08 3 11" xfId="1769" xr:uid="{00000000-0005-0000-0000-0000DB060000}"/>
    <cellStyle name="0_6094_REVIEW_APRIL_08 3 11 2" xfId="1770" xr:uid="{00000000-0005-0000-0000-0000DC060000}"/>
    <cellStyle name="0_6094_REVIEW_APRIL_08 3 12" xfId="1771" xr:uid="{00000000-0005-0000-0000-0000DD060000}"/>
    <cellStyle name="0_6094_REVIEW_APRIL_08 3 12 2" xfId="1772" xr:uid="{00000000-0005-0000-0000-0000DE060000}"/>
    <cellStyle name="0_6094_REVIEW_APRIL_08 3 13" xfId="1773" xr:uid="{00000000-0005-0000-0000-0000DF060000}"/>
    <cellStyle name="0_6094_REVIEW_APRIL_08 3 2" xfId="1774" xr:uid="{00000000-0005-0000-0000-0000E0060000}"/>
    <cellStyle name="0_6094_REVIEW_APRIL_08 3 2 2" xfId="1775" xr:uid="{00000000-0005-0000-0000-0000E1060000}"/>
    <cellStyle name="0_6094_REVIEW_APRIL_08 3 2 2 2" xfId="1776" xr:uid="{00000000-0005-0000-0000-0000E2060000}"/>
    <cellStyle name="0_6094_REVIEW_APRIL_08 3 2 2 2 2" xfId="1777" xr:uid="{00000000-0005-0000-0000-0000E3060000}"/>
    <cellStyle name="0_6094_REVIEW_APRIL_08 3 2 2 2 2 2" xfId="1778" xr:uid="{00000000-0005-0000-0000-0000E4060000}"/>
    <cellStyle name="0_6094_REVIEW_APRIL_08 3 2 2 2 3" xfId="1779" xr:uid="{00000000-0005-0000-0000-0000E5060000}"/>
    <cellStyle name="0_6094_REVIEW_APRIL_08 3 2 2 2 3 2" xfId="1780" xr:uid="{00000000-0005-0000-0000-0000E6060000}"/>
    <cellStyle name="0_6094_REVIEW_APRIL_08 3 2 2 2 4" xfId="1781" xr:uid="{00000000-0005-0000-0000-0000E7060000}"/>
    <cellStyle name="0_6094_REVIEW_APRIL_08 3 2 2 3" xfId="1782" xr:uid="{00000000-0005-0000-0000-0000E8060000}"/>
    <cellStyle name="0_6094_REVIEW_APRIL_08 3 2 2 3 2" xfId="1783" xr:uid="{00000000-0005-0000-0000-0000E9060000}"/>
    <cellStyle name="0_6094_REVIEW_APRIL_08 3 2 2 3 2 2" xfId="1784" xr:uid="{00000000-0005-0000-0000-0000EA060000}"/>
    <cellStyle name="0_6094_REVIEW_APRIL_08 3 2 2 3 3" xfId="1785" xr:uid="{00000000-0005-0000-0000-0000EB060000}"/>
    <cellStyle name="0_6094_REVIEW_APRIL_08 3 2 2 3 3 2" xfId="1786" xr:uid="{00000000-0005-0000-0000-0000EC060000}"/>
    <cellStyle name="0_6094_REVIEW_APRIL_08 3 2 2 3 4" xfId="1787" xr:uid="{00000000-0005-0000-0000-0000ED060000}"/>
    <cellStyle name="0_6094_REVIEW_APRIL_08 3 2 2 4" xfId="1788" xr:uid="{00000000-0005-0000-0000-0000EE060000}"/>
    <cellStyle name="0_6094_REVIEW_APRIL_08 3 2 2 4 2" xfId="1789" xr:uid="{00000000-0005-0000-0000-0000EF060000}"/>
    <cellStyle name="0_6094_REVIEW_APRIL_08 3 2 2 5" xfId="1790" xr:uid="{00000000-0005-0000-0000-0000F0060000}"/>
    <cellStyle name="0_6094_REVIEW_APRIL_08 3 2 2 5 2" xfId="1791" xr:uid="{00000000-0005-0000-0000-0000F1060000}"/>
    <cellStyle name="0_6094_REVIEW_APRIL_08 3 2 2 6" xfId="1792" xr:uid="{00000000-0005-0000-0000-0000F2060000}"/>
    <cellStyle name="0_6094_REVIEW_APRIL_08 3 2 3" xfId="1793" xr:uid="{00000000-0005-0000-0000-0000F3060000}"/>
    <cellStyle name="0_6094_REVIEW_APRIL_08 3 2 3 2" xfId="1794" xr:uid="{00000000-0005-0000-0000-0000F4060000}"/>
    <cellStyle name="0_6094_REVIEW_APRIL_08 3 2 3 2 2" xfId="1795" xr:uid="{00000000-0005-0000-0000-0000F5060000}"/>
    <cellStyle name="0_6094_REVIEW_APRIL_08 3 2 3 3" xfId="1796" xr:uid="{00000000-0005-0000-0000-0000F6060000}"/>
    <cellStyle name="0_6094_REVIEW_APRIL_08 3 2 3 3 2" xfId="1797" xr:uid="{00000000-0005-0000-0000-0000F7060000}"/>
    <cellStyle name="0_6094_REVIEW_APRIL_08 3 2 3 4" xfId="1798" xr:uid="{00000000-0005-0000-0000-0000F8060000}"/>
    <cellStyle name="0_6094_REVIEW_APRIL_08 3 2 4" xfId="1799" xr:uid="{00000000-0005-0000-0000-0000F9060000}"/>
    <cellStyle name="0_6094_REVIEW_APRIL_08 3 2 4 2" xfId="1800" xr:uid="{00000000-0005-0000-0000-0000FA060000}"/>
    <cellStyle name="0_6094_REVIEW_APRIL_08 3 2 4 2 2" xfId="1801" xr:uid="{00000000-0005-0000-0000-0000FB060000}"/>
    <cellStyle name="0_6094_REVIEW_APRIL_08 3 2 4 3" xfId="1802" xr:uid="{00000000-0005-0000-0000-0000FC060000}"/>
    <cellStyle name="0_6094_REVIEW_APRIL_08 3 2 4 3 2" xfId="1803" xr:uid="{00000000-0005-0000-0000-0000FD060000}"/>
    <cellStyle name="0_6094_REVIEW_APRIL_08 3 2 4 4" xfId="1804" xr:uid="{00000000-0005-0000-0000-0000FE060000}"/>
    <cellStyle name="0_6094_REVIEW_APRIL_08 3 2 5" xfId="1805" xr:uid="{00000000-0005-0000-0000-0000FF060000}"/>
    <cellStyle name="0_6094_REVIEW_APRIL_08 3 2 5 2" xfId="1806" xr:uid="{00000000-0005-0000-0000-000000070000}"/>
    <cellStyle name="0_6094_REVIEW_APRIL_08 3 2 5 2 2" xfId="1807" xr:uid="{00000000-0005-0000-0000-000001070000}"/>
    <cellStyle name="0_6094_REVIEW_APRIL_08 3 2 5 3" xfId="1808" xr:uid="{00000000-0005-0000-0000-000002070000}"/>
    <cellStyle name="0_6094_REVIEW_APRIL_08 3 2 5 3 2" xfId="1809" xr:uid="{00000000-0005-0000-0000-000003070000}"/>
    <cellStyle name="0_6094_REVIEW_APRIL_08 3 2 5 4" xfId="1810" xr:uid="{00000000-0005-0000-0000-000004070000}"/>
    <cellStyle name="0_6094_REVIEW_APRIL_08 3 2 6" xfId="1811" xr:uid="{00000000-0005-0000-0000-000005070000}"/>
    <cellStyle name="0_6094_REVIEW_APRIL_08 3 2 6 2" xfId="1812" xr:uid="{00000000-0005-0000-0000-000006070000}"/>
    <cellStyle name="0_6094_REVIEW_APRIL_08 3 2 7" xfId="1813" xr:uid="{00000000-0005-0000-0000-000007070000}"/>
    <cellStyle name="0_6094_REVIEW_APRIL_08 3 2 7 2" xfId="1814" xr:uid="{00000000-0005-0000-0000-000008070000}"/>
    <cellStyle name="0_6094_REVIEW_APRIL_08 3 2 8" xfId="1815" xr:uid="{00000000-0005-0000-0000-000009070000}"/>
    <cellStyle name="0_6094_REVIEW_APRIL_08 3 3" xfId="1816" xr:uid="{00000000-0005-0000-0000-00000A070000}"/>
    <cellStyle name="0_6094_REVIEW_APRIL_08 3 3 2" xfId="1817" xr:uid="{00000000-0005-0000-0000-00000B070000}"/>
    <cellStyle name="0_6094_REVIEW_APRIL_08 3 3 2 2" xfId="1818" xr:uid="{00000000-0005-0000-0000-00000C070000}"/>
    <cellStyle name="0_6094_REVIEW_APRIL_08 3 3 2 2 2" xfId="1819" xr:uid="{00000000-0005-0000-0000-00000D070000}"/>
    <cellStyle name="0_6094_REVIEW_APRIL_08 3 3 2 2 2 2" xfId="1820" xr:uid="{00000000-0005-0000-0000-00000E070000}"/>
    <cellStyle name="0_6094_REVIEW_APRIL_08 3 3 2 2 3" xfId="1821" xr:uid="{00000000-0005-0000-0000-00000F070000}"/>
    <cellStyle name="0_6094_REVIEW_APRIL_08 3 3 2 2 3 2" xfId="1822" xr:uid="{00000000-0005-0000-0000-000010070000}"/>
    <cellStyle name="0_6094_REVIEW_APRIL_08 3 3 2 2 4" xfId="1823" xr:uid="{00000000-0005-0000-0000-000011070000}"/>
    <cellStyle name="0_6094_REVIEW_APRIL_08 3 3 2 3" xfId="1824" xr:uid="{00000000-0005-0000-0000-000012070000}"/>
    <cellStyle name="0_6094_REVIEW_APRIL_08 3 3 2 3 2" xfId="1825" xr:uid="{00000000-0005-0000-0000-000013070000}"/>
    <cellStyle name="0_6094_REVIEW_APRIL_08 3 3 2 3 2 2" xfId="1826" xr:uid="{00000000-0005-0000-0000-000014070000}"/>
    <cellStyle name="0_6094_REVIEW_APRIL_08 3 3 2 3 3" xfId="1827" xr:uid="{00000000-0005-0000-0000-000015070000}"/>
    <cellStyle name="0_6094_REVIEW_APRIL_08 3 3 2 3 3 2" xfId="1828" xr:uid="{00000000-0005-0000-0000-000016070000}"/>
    <cellStyle name="0_6094_REVIEW_APRIL_08 3 3 2 3 4" xfId="1829" xr:uid="{00000000-0005-0000-0000-000017070000}"/>
    <cellStyle name="0_6094_REVIEW_APRIL_08 3 3 2 4" xfId="1830" xr:uid="{00000000-0005-0000-0000-000018070000}"/>
    <cellStyle name="0_6094_REVIEW_APRIL_08 3 3 2 4 2" xfId="1831" xr:uid="{00000000-0005-0000-0000-000019070000}"/>
    <cellStyle name="0_6094_REVIEW_APRIL_08 3 3 2 5" xfId="1832" xr:uid="{00000000-0005-0000-0000-00001A070000}"/>
    <cellStyle name="0_6094_REVIEW_APRIL_08 3 3 2 5 2" xfId="1833" xr:uid="{00000000-0005-0000-0000-00001B070000}"/>
    <cellStyle name="0_6094_REVIEW_APRIL_08 3 3 2 6" xfId="1834" xr:uid="{00000000-0005-0000-0000-00001C070000}"/>
    <cellStyle name="0_6094_REVIEW_APRIL_08 3 3 3" xfId="1835" xr:uid="{00000000-0005-0000-0000-00001D070000}"/>
    <cellStyle name="0_6094_REVIEW_APRIL_08 3 3 3 2" xfId="1836" xr:uid="{00000000-0005-0000-0000-00001E070000}"/>
    <cellStyle name="0_6094_REVIEW_APRIL_08 3 3 3 2 2" xfId="1837" xr:uid="{00000000-0005-0000-0000-00001F070000}"/>
    <cellStyle name="0_6094_REVIEW_APRIL_08 3 3 3 3" xfId="1838" xr:uid="{00000000-0005-0000-0000-000020070000}"/>
    <cellStyle name="0_6094_REVIEW_APRIL_08 3 3 3 3 2" xfId="1839" xr:uid="{00000000-0005-0000-0000-000021070000}"/>
    <cellStyle name="0_6094_REVIEW_APRIL_08 3 3 3 4" xfId="1840" xr:uid="{00000000-0005-0000-0000-000022070000}"/>
    <cellStyle name="0_6094_REVIEW_APRIL_08 3 3 4" xfId="1841" xr:uid="{00000000-0005-0000-0000-000023070000}"/>
    <cellStyle name="0_6094_REVIEW_APRIL_08 3 3 4 2" xfId="1842" xr:uid="{00000000-0005-0000-0000-000024070000}"/>
    <cellStyle name="0_6094_REVIEW_APRIL_08 3 3 4 2 2" xfId="1843" xr:uid="{00000000-0005-0000-0000-000025070000}"/>
    <cellStyle name="0_6094_REVIEW_APRIL_08 3 3 4 3" xfId="1844" xr:uid="{00000000-0005-0000-0000-000026070000}"/>
    <cellStyle name="0_6094_REVIEW_APRIL_08 3 3 4 3 2" xfId="1845" xr:uid="{00000000-0005-0000-0000-000027070000}"/>
    <cellStyle name="0_6094_REVIEW_APRIL_08 3 3 4 4" xfId="1846" xr:uid="{00000000-0005-0000-0000-000028070000}"/>
    <cellStyle name="0_6094_REVIEW_APRIL_08 3 3 5" xfId="1847" xr:uid="{00000000-0005-0000-0000-000029070000}"/>
    <cellStyle name="0_6094_REVIEW_APRIL_08 3 3 5 2" xfId="1848" xr:uid="{00000000-0005-0000-0000-00002A070000}"/>
    <cellStyle name="0_6094_REVIEW_APRIL_08 3 3 5 2 2" xfId="1849" xr:uid="{00000000-0005-0000-0000-00002B070000}"/>
    <cellStyle name="0_6094_REVIEW_APRIL_08 3 3 5 3" xfId="1850" xr:uid="{00000000-0005-0000-0000-00002C070000}"/>
    <cellStyle name="0_6094_REVIEW_APRIL_08 3 3 5 3 2" xfId="1851" xr:uid="{00000000-0005-0000-0000-00002D070000}"/>
    <cellStyle name="0_6094_REVIEW_APRIL_08 3 3 5 4" xfId="1852" xr:uid="{00000000-0005-0000-0000-00002E070000}"/>
    <cellStyle name="0_6094_REVIEW_APRIL_08 3 3 6" xfId="1853" xr:uid="{00000000-0005-0000-0000-00002F070000}"/>
    <cellStyle name="0_6094_REVIEW_APRIL_08 3 3 6 2" xfId="1854" xr:uid="{00000000-0005-0000-0000-000030070000}"/>
    <cellStyle name="0_6094_REVIEW_APRIL_08 3 3 7" xfId="1855" xr:uid="{00000000-0005-0000-0000-000031070000}"/>
    <cellStyle name="0_6094_REVIEW_APRIL_08 3 3 7 2" xfId="1856" xr:uid="{00000000-0005-0000-0000-000032070000}"/>
    <cellStyle name="0_6094_REVIEW_APRIL_08 3 3 8" xfId="1857" xr:uid="{00000000-0005-0000-0000-000033070000}"/>
    <cellStyle name="0_6094_REVIEW_APRIL_08 3 4" xfId="1858" xr:uid="{00000000-0005-0000-0000-000034070000}"/>
    <cellStyle name="0_6094_REVIEW_APRIL_08 3 4 2" xfId="1859" xr:uid="{00000000-0005-0000-0000-000035070000}"/>
    <cellStyle name="0_6094_REVIEW_APRIL_08 3 4 2 2" xfId="1860" xr:uid="{00000000-0005-0000-0000-000036070000}"/>
    <cellStyle name="0_6094_REVIEW_APRIL_08 3 4 2 2 2" xfId="1861" xr:uid="{00000000-0005-0000-0000-000037070000}"/>
    <cellStyle name="0_6094_REVIEW_APRIL_08 3 4 2 2 2 2" xfId="1862" xr:uid="{00000000-0005-0000-0000-000038070000}"/>
    <cellStyle name="0_6094_REVIEW_APRIL_08 3 4 2 2 3" xfId="1863" xr:uid="{00000000-0005-0000-0000-000039070000}"/>
    <cellStyle name="0_6094_REVIEW_APRIL_08 3 4 2 2 3 2" xfId="1864" xr:uid="{00000000-0005-0000-0000-00003A070000}"/>
    <cellStyle name="0_6094_REVIEW_APRIL_08 3 4 2 2 4" xfId="1865" xr:uid="{00000000-0005-0000-0000-00003B070000}"/>
    <cellStyle name="0_6094_REVIEW_APRIL_08 3 4 2 3" xfId="1866" xr:uid="{00000000-0005-0000-0000-00003C070000}"/>
    <cellStyle name="0_6094_REVIEW_APRIL_08 3 4 2 3 2" xfId="1867" xr:uid="{00000000-0005-0000-0000-00003D070000}"/>
    <cellStyle name="0_6094_REVIEW_APRIL_08 3 4 2 3 2 2" xfId="1868" xr:uid="{00000000-0005-0000-0000-00003E070000}"/>
    <cellStyle name="0_6094_REVIEW_APRIL_08 3 4 2 3 3" xfId="1869" xr:uid="{00000000-0005-0000-0000-00003F070000}"/>
    <cellStyle name="0_6094_REVIEW_APRIL_08 3 4 2 3 3 2" xfId="1870" xr:uid="{00000000-0005-0000-0000-000040070000}"/>
    <cellStyle name="0_6094_REVIEW_APRIL_08 3 4 2 3 4" xfId="1871" xr:uid="{00000000-0005-0000-0000-000041070000}"/>
    <cellStyle name="0_6094_REVIEW_APRIL_08 3 4 2 4" xfId="1872" xr:uid="{00000000-0005-0000-0000-000042070000}"/>
    <cellStyle name="0_6094_REVIEW_APRIL_08 3 4 2 4 2" xfId="1873" xr:uid="{00000000-0005-0000-0000-000043070000}"/>
    <cellStyle name="0_6094_REVIEW_APRIL_08 3 4 2 5" xfId="1874" xr:uid="{00000000-0005-0000-0000-000044070000}"/>
    <cellStyle name="0_6094_REVIEW_APRIL_08 3 4 2 5 2" xfId="1875" xr:uid="{00000000-0005-0000-0000-000045070000}"/>
    <cellStyle name="0_6094_REVIEW_APRIL_08 3 4 2 6" xfId="1876" xr:uid="{00000000-0005-0000-0000-000046070000}"/>
    <cellStyle name="0_6094_REVIEW_APRIL_08 3 4 3" xfId="1877" xr:uid="{00000000-0005-0000-0000-000047070000}"/>
    <cellStyle name="0_6094_REVIEW_APRIL_08 3 4 3 2" xfId="1878" xr:uid="{00000000-0005-0000-0000-000048070000}"/>
    <cellStyle name="0_6094_REVIEW_APRIL_08 3 4 3 2 2" xfId="1879" xr:uid="{00000000-0005-0000-0000-000049070000}"/>
    <cellStyle name="0_6094_REVIEW_APRIL_08 3 4 3 3" xfId="1880" xr:uid="{00000000-0005-0000-0000-00004A070000}"/>
    <cellStyle name="0_6094_REVIEW_APRIL_08 3 4 3 3 2" xfId="1881" xr:uid="{00000000-0005-0000-0000-00004B070000}"/>
    <cellStyle name="0_6094_REVIEW_APRIL_08 3 4 3 4" xfId="1882" xr:uid="{00000000-0005-0000-0000-00004C070000}"/>
    <cellStyle name="0_6094_REVIEW_APRIL_08 3 4 4" xfId="1883" xr:uid="{00000000-0005-0000-0000-00004D070000}"/>
    <cellStyle name="0_6094_REVIEW_APRIL_08 3 4 4 2" xfId="1884" xr:uid="{00000000-0005-0000-0000-00004E070000}"/>
    <cellStyle name="0_6094_REVIEW_APRIL_08 3 4 4 2 2" xfId="1885" xr:uid="{00000000-0005-0000-0000-00004F070000}"/>
    <cellStyle name="0_6094_REVIEW_APRIL_08 3 4 4 3" xfId="1886" xr:uid="{00000000-0005-0000-0000-000050070000}"/>
    <cellStyle name="0_6094_REVIEW_APRIL_08 3 4 4 3 2" xfId="1887" xr:uid="{00000000-0005-0000-0000-000051070000}"/>
    <cellStyle name="0_6094_REVIEW_APRIL_08 3 4 4 4" xfId="1888" xr:uid="{00000000-0005-0000-0000-000052070000}"/>
    <cellStyle name="0_6094_REVIEW_APRIL_08 3 4 5" xfId="1889" xr:uid="{00000000-0005-0000-0000-000053070000}"/>
    <cellStyle name="0_6094_REVIEW_APRIL_08 3 4 5 2" xfId="1890" xr:uid="{00000000-0005-0000-0000-000054070000}"/>
    <cellStyle name="0_6094_REVIEW_APRIL_08 3 4 5 2 2" xfId="1891" xr:uid="{00000000-0005-0000-0000-000055070000}"/>
    <cellStyle name="0_6094_REVIEW_APRIL_08 3 4 5 3" xfId="1892" xr:uid="{00000000-0005-0000-0000-000056070000}"/>
    <cellStyle name="0_6094_REVIEW_APRIL_08 3 4 5 3 2" xfId="1893" xr:uid="{00000000-0005-0000-0000-000057070000}"/>
    <cellStyle name="0_6094_REVIEW_APRIL_08 3 4 5 4" xfId="1894" xr:uid="{00000000-0005-0000-0000-000058070000}"/>
    <cellStyle name="0_6094_REVIEW_APRIL_08 3 4 6" xfId="1895" xr:uid="{00000000-0005-0000-0000-000059070000}"/>
    <cellStyle name="0_6094_REVIEW_APRIL_08 3 4 6 2" xfId="1896" xr:uid="{00000000-0005-0000-0000-00005A070000}"/>
    <cellStyle name="0_6094_REVIEW_APRIL_08 3 4 7" xfId="1897" xr:uid="{00000000-0005-0000-0000-00005B070000}"/>
    <cellStyle name="0_6094_REVIEW_APRIL_08 3 4 7 2" xfId="1898" xr:uid="{00000000-0005-0000-0000-00005C070000}"/>
    <cellStyle name="0_6094_REVIEW_APRIL_08 3 4 8" xfId="1899" xr:uid="{00000000-0005-0000-0000-00005D070000}"/>
    <cellStyle name="0_6094_REVIEW_APRIL_08 3 5" xfId="1900" xr:uid="{00000000-0005-0000-0000-00005E070000}"/>
    <cellStyle name="0_6094_REVIEW_APRIL_08 3 5 2" xfId="1901" xr:uid="{00000000-0005-0000-0000-00005F070000}"/>
    <cellStyle name="0_6094_REVIEW_APRIL_08 3 5 2 2" xfId="1902" xr:uid="{00000000-0005-0000-0000-000060070000}"/>
    <cellStyle name="0_6094_REVIEW_APRIL_08 3 5 2 2 2" xfId="1903" xr:uid="{00000000-0005-0000-0000-000061070000}"/>
    <cellStyle name="0_6094_REVIEW_APRIL_08 3 5 2 2 2 2" xfId="1904" xr:uid="{00000000-0005-0000-0000-000062070000}"/>
    <cellStyle name="0_6094_REVIEW_APRIL_08 3 5 2 2 3" xfId="1905" xr:uid="{00000000-0005-0000-0000-000063070000}"/>
    <cellStyle name="0_6094_REVIEW_APRIL_08 3 5 2 2 3 2" xfId="1906" xr:uid="{00000000-0005-0000-0000-000064070000}"/>
    <cellStyle name="0_6094_REVIEW_APRIL_08 3 5 2 2 4" xfId="1907" xr:uid="{00000000-0005-0000-0000-000065070000}"/>
    <cellStyle name="0_6094_REVIEW_APRIL_08 3 5 2 3" xfId="1908" xr:uid="{00000000-0005-0000-0000-000066070000}"/>
    <cellStyle name="0_6094_REVIEW_APRIL_08 3 5 2 3 2" xfId="1909" xr:uid="{00000000-0005-0000-0000-000067070000}"/>
    <cellStyle name="0_6094_REVIEW_APRIL_08 3 5 2 3 2 2" xfId="1910" xr:uid="{00000000-0005-0000-0000-000068070000}"/>
    <cellStyle name="0_6094_REVIEW_APRIL_08 3 5 2 3 3" xfId="1911" xr:uid="{00000000-0005-0000-0000-000069070000}"/>
    <cellStyle name="0_6094_REVIEW_APRIL_08 3 5 2 3 3 2" xfId="1912" xr:uid="{00000000-0005-0000-0000-00006A070000}"/>
    <cellStyle name="0_6094_REVIEW_APRIL_08 3 5 2 3 4" xfId="1913" xr:uid="{00000000-0005-0000-0000-00006B070000}"/>
    <cellStyle name="0_6094_REVIEW_APRIL_08 3 5 2 4" xfId="1914" xr:uid="{00000000-0005-0000-0000-00006C070000}"/>
    <cellStyle name="0_6094_REVIEW_APRIL_08 3 5 2 4 2" xfId="1915" xr:uid="{00000000-0005-0000-0000-00006D070000}"/>
    <cellStyle name="0_6094_REVIEW_APRIL_08 3 5 2 5" xfId="1916" xr:uid="{00000000-0005-0000-0000-00006E070000}"/>
    <cellStyle name="0_6094_REVIEW_APRIL_08 3 5 2 5 2" xfId="1917" xr:uid="{00000000-0005-0000-0000-00006F070000}"/>
    <cellStyle name="0_6094_REVIEW_APRIL_08 3 5 2 6" xfId="1918" xr:uid="{00000000-0005-0000-0000-000070070000}"/>
    <cellStyle name="0_6094_REVIEW_APRIL_08 3 5 3" xfId="1919" xr:uid="{00000000-0005-0000-0000-000071070000}"/>
    <cellStyle name="0_6094_REVIEW_APRIL_08 3 5 3 2" xfId="1920" xr:uid="{00000000-0005-0000-0000-000072070000}"/>
    <cellStyle name="0_6094_REVIEW_APRIL_08 3 5 3 2 2" xfId="1921" xr:uid="{00000000-0005-0000-0000-000073070000}"/>
    <cellStyle name="0_6094_REVIEW_APRIL_08 3 5 3 3" xfId="1922" xr:uid="{00000000-0005-0000-0000-000074070000}"/>
    <cellStyle name="0_6094_REVIEW_APRIL_08 3 5 3 3 2" xfId="1923" xr:uid="{00000000-0005-0000-0000-000075070000}"/>
    <cellStyle name="0_6094_REVIEW_APRIL_08 3 5 3 4" xfId="1924" xr:uid="{00000000-0005-0000-0000-000076070000}"/>
    <cellStyle name="0_6094_REVIEW_APRIL_08 3 5 4" xfId="1925" xr:uid="{00000000-0005-0000-0000-000077070000}"/>
    <cellStyle name="0_6094_REVIEW_APRIL_08 3 5 4 2" xfId="1926" xr:uid="{00000000-0005-0000-0000-000078070000}"/>
    <cellStyle name="0_6094_REVIEW_APRIL_08 3 5 4 2 2" xfId="1927" xr:uid="{00000000-0005-0000-0000-000079070000}"/>
    <cellStyle name="0_6094_REVIEW_APRIL_08 3 5 4 3" xfId="1928" xr:uid="{00000000-0005-0000-0000-00007A070000}"/>
    <cellStyle name="0_6094_REVIEW_APRIL_08 3 5 4 3 2" xfId="1929" xr:uid="{00000000-0005-0000-0000-00007B070000}"/>
    <cellStyle name="0_6094_REVIEW_APRIL_08 3 5 4 4" xfId="1930" xr:uid="{00000000-0005-0000-0000-00007C070000}"/>
    <cellStyle name="0_6094_REVIEW_APRIL_08 3 5 5" xfId="1931" xr:uid="{00000000-0005-0000-0000-00007D070000}"/>
    <cellStyle name="0_6094_REVIEW_APRIL_08 3 5 5 2" xfId="1932" xr:uid="{00000000-0005-0000-0000-00007E070000}"/>
    <cellStyle name="0_6094_REVIEW_APRIL_08 3 5 5 2 2" xfId="1933" xr:uid="{00000000-0005-0000-0000-00007F070000}"/>
    <cellStyle name="0_6094_REVIEW_APRIL_08 3 5 5 3" xfId="1934" xr:uid="{00000000-0005-0000-0000-000080070000}"/>
    <cellStyle name="0_6094_REVIEW_APRIL_08 3 5 5 3 2" xfId="1935" xr:uid="{00000000-0005-0000-0000-000081070000}"/>
    <cellStyle name="0_6094_REVIEW_APRIL_08 3 5 5 4" xfId="1936" xr:uid="{00000000-0005-0000-0000-000082070000}"/>
    <cellStyle name="0_6094_REVIEW_APRIL_08 3 5 6" xfId="1937" xr:uid="{00000000-0005-0000-0000-000083070000}"/>
    <cellStyle name="0_6094_REVIEW_APRIL_08 3 5 6 2" xfId="1938" xr:uid="{00000000-0005-0000-0000-000084070000}"/>
    <cellStyle name="0_6094_REVIEW_APRIL_08 3 5 7" xfId="1939" xr:uid="{00000000-0005-0000-0000-000085070000}"/>
    <cellStyle name="0_6094_REVIEW_APRIL_08 3 5 7 2" xfId="1940" xr:uid="{00000000-0005-0000-0000-000086070000}"/>
    <cellStyle name="0_6094_REVIEW_APRIL_08 3 5 8" xfId="1941" xr:uid="{00000000-0005-0000-0000-000087070000}"/>
    <cellStyle name="0_6094_REVIEW_APRIL_08 3 6" xfId="1942" xr:uid="{00000000-0005-0000-0000-000088070000}"/>
    <cellStyle name="0_6094_REVIEW_APRIL_08 3 6 2" xfId="1943" xr:uid="{00000000-0005-0000-0000-000089070000}"/>
    <cellStyle name="0_6094_REVIEW_APRIL_08 3 6 2 2" xfId="1944" xr:uid="{00000000-0005-0000-0000-00008A070000}"/>
    <cellStyle name="0_6094_REVIEW_APRIL_08 3 6 2 2 2" xfId="1945" xr:uid="{00000000-0005-0000-0000-00008B070000}"/>
    <cellStyle name="0_6094_REVIEW_APRIL_08 3 6 2 2 2 2" xfId="1946" xr:uid="{00000000-0005-0000-0000-00008C070000}"/>
    <cellStyle name="0_6094_REVIEW_APRIL_08 3 6 2 2 3" xfId="1947" xr:uid="{00000000-0005-0000-0000-00008D070000}"/>
    <cellStyle name="0_6094_REVIEW_APRIL_08 3 6 2 2 3 2" xfId="1948" xr:uid="{00000000-0005-0000-0000-00008E070000}"/>
    <cellStyle name="0_6094_REVIEW_APRIL_08 3 6 2 2 4" xfId="1949" xr:uid="{00000000-0005-0000-0000-00008F070000}"/>
    <cellStyle name="0_6094_REVIEW_APRIL_08 3 6 2 3" xfId="1950" xr:uid="{00000000-0005-0000-0000-000090070000}"/>
    <cellStyle name="0_6094_REVIEW_APRIL_08 3 6 2 3 2" xfId="1951" xr:uid="{00000000-0005-0000-0000-000091070000}"/>
    <cellStyle name="0_6094_REVIEW_APRIL_08 3 6 2 3 2 2" xfId="1952" xr:uid="{00000000-0005-0000-0000-000092070000}"/>
    <cellStyle name="0_6094_REVIEW_APRIL_08 3 6 2 3 3" xfId="1953" xr:uid="{00000000-0005-0000-0000-000093070000}"/>
    <cellStyle name="0_6094_REVIEW_APRIL_08 3 6 2 3 3 2" xfId="1954" xr:uid="{00000000-0005-0000-0000-000094070000}"/>
    <cellStyle name="0_6094_REVIEW_APRIL_08 3 6 2 3 4" xfId="1955" xr:uid="{00000000-0005-0000-0000-000095070000}"/>
    <cellStyle name="0_6094_REVIEW_APRIL_08 3 6 2 4" xfId="1956" xr:uid="{00000000-0005-0000-0000-000096070000}"/>
    <cellStyle name="0_6094_REVIEW_APRIL_08 3 6 2 4 2" xfId="1957" xr:uid="{00000000-0005-0000-0000-000097070000}"/>
    <cellStyle name="0_6094_REVIEW_APRIL_08 3 6 2 5" xfId="1958" xr:uid="{00000000-0005-0000-0000-000098070000}"/>
    <cellStyle name="0_6094_REVIEW_APRIL_08 3 6 2 5 2" xfId="1959" xr:uid="{00000000-0005-0000-0000-000099070000}"/>
    <cellStyle name="0_6094_REVIEW_APRIL_08 3 6 2 6" xfId="1960" xr:uid="{00000000-0005-0000-0000-00009A070000}"/>
    <cellStyle name="0_6094_REVIEW_APRIL_08 3 6 3" xfId="1961" xr:uid="{00000000-0005-0000-0000-00009B070000}"/>
    <cellStyle name="0_6094_REVIEW_APRIL_08 3 6 3 2" xfId="1962" xr:uid="{00000000-0005-0000-0000-00009C070000}"/>
    <cellStyle name="0_6094_REVIEW_APRIL_08 3 6 3 2 2" xfId="1963" xr:uid="{00000000-0005-0000-0000-00009D070000}"/>
    <cellStyle name="0_6094_REVIEW_APRIL_08 3 6 3 3" xfId="1964" xr:uid="{00000000-0005-0000-0000-00009E070000}"/>
    <cellStyle name="0_6094_REVIEW_APRIL_08 3 6 3 3 2" xfId="1965" xr:uid="{00000000-0005-0000-0000-00009F070000}"/>
    <cellStyle name="0_6094_REVIEW_APRIL_08 3 6 3 4" xfId="1966" xr:uid="{00000000-0005-0000-0000-0000A0070000}"/>
    <cellStyle name="0_6094_REVIEW_APRIL_08 3 6 4" xfId="1967" xr:uid="{00000000-0005-0000-0000-0000A1070000}"/>
    <cellStyle name="0_6094_REVIEW_APRIL_08 3 6 4 2" xfId="1968" xr:uid="{00000000-0005-0000-0000-0000A2070000}"/>
    <cellStyle name="0_6094_REVIEW_APRIL_08 3 6 4 2 2" xfId="1969" xr:uid="{00000000-0005-0000-0000-0000A3070000}"/>
    <cellStyle name="0_6094_REVIEW_APRIL_08 3 6 4 3" xfId="1970" xr:uid="{00000000-0005-0000-0000-0000A4070000}"/>
    <cellStyle name="0_6094_REVIEW_APRIL_08 3 6 4 3 2" xfId="1971" xr:uid="{00000000-0005-0000-0000-0000A5070000}"/>
    <cellStyle name="0_6094_REVIEW_APRIL_08 3 6 4 4" xfId="1972" xr:uid="{00000000-0005-0000-0000-0000A6070000}"/>
    <cellStyle name="0_6094_REVIEW_APRIL_08 3 6 5" xfId="1973" xr:uid="{00000000-0005-0000-0000-0000A7070000}"/>
    <cellStyle name="0_6094_REVIEW_APRIL_08 3 6 5 2" xfId="1974" xr:uid="{00000000-0005-0000-0000-0000A8070000}"/>
    <cellStyle name="0_6094_REVIEW_APRIL_08 3 6 5 2 2" xfId="1975" xr:uid="{00000000-0005-0000-0000-0000A9070000}"/>
    <cellStyle name="0_6094_REVIEW_APRIL_08 3 6 5 3" xfId="1976" xr:uid="{00000000-0005-0000-0000-0000AA070000}"/>
    <cellStyle name="0_6094_REVIEW_APRIL_08 3 6 5 3 2" xfId="1977" xr:uid="{00000000-0005-0000-0000-0000AB070000}"/>
    <cellStyle name="0_6094_REVIEW_APRIL_08 3 6 5 4" xfId="1978" xr:uid="{00000000-0005-0000-0000-0000AC070000}"/>
    <cellStyle name="0_6094_REVIEW_APRIL_08 3 6 6" xfId="1979" xr:uid="{00000000-0005-0000-0000-0000AD070000}"/>
    <cellStyle name="0_6094_REVIEW_APRIL_08 3 6 6 2" xfId="1980" xr:uid="{00000000-0005-0000-0000-0000AE070000}"/>
    <cellStyle name="0_6094_REVIEW_APRIL_08 3 6 7" xfId="1981" xr:uid="{00000000-0005-0000-0000-0000AF070000}"/>
    <cellStyle name="0_6094_REVIEW_APRIL_08 3 6 7 2" xfId="1982" xr:uid="{00000000-0005-0000-0000-0000B0070000}"/>
    <cellStyle name="0_6094_REVIEW_APRIL_08 3 6 8" xfId="1983" xr:uid="{00000000-0005-0000-0000-0000B1070000}"/>
    <cellStyle name="0_6094_REVIEW_APRIL_08 3 7" xfId="1984" xr:uid="{00000000-0005-0000-0000-0000B2070000}"/>
    <cellStyle name="0_6094_REVIEW_APRIL_08 3 7 2" xfId="1985" xr:uid="{00000000-0005-0000-0000-0000B3070000}"/>
    <cellStyle name="0_6094_REVIEW_APRIL_08 3 7 2 2" xfId="1986" xr:uid="{00000000-0005-0000-0000-0000B4070000}"/>
    <cellStyle name="0_6094_REVIEW_APRIL_08 3 7 2 2 2" xfId="1987" xr:uid="{00000000-0005-0000-0000-0000B5070000}"/>
    <cellStyle name="0_6094_REVIEW_APRIL_08 3 7 2 3" xfId="1988" xr:uid="{00000000-0005-0000-0000-0000B6070000}"/>
    <cellStyle name="0_6094_REVIEW_APRIL_08 3 7 2 3 2" xfId="1989" xr:uid="{00000000-0005-0000-0000-0000B7070000}"/>
    <cellStyle name="0_6094_REVIEW_APRIL_08 3 7 2 4" xfId="1990" xr:uid="{00000000-0005-0000-0000-0000B8070000}"/>
    <cellStyle name="0_6094_REVIEW_APRIL_08 3 7 3" xfId="1991" xr:uid="{00000000-0005-0000-0000-0000B9070000}"/>
    <cellStyle name="0_6094_REVIEW_APRIL_08 3 7 3 2" xfId="1992" xr:uid="{00000000-0005-0000-0000-0000BA070000}"/>
    <cellStyle name="0_6094_REVIEW_APRIL_08 3 7 3 2 2" xfId="1993" xr:uid="{00000000-0005-0000-0000-0000BB070000}"/>
    <cellStyle name="0_6094_REVIEW_APRIL_08 3 7 3 3" xfId="1994" xr:uid="{00000000-0005-0000-0000-0000BC070000}"/>
    <cellStyle name="0_6094_REVIEW_APRIL_08 3 7 3 3 2" xfId="1995" xr:uid="{00000000-0005-0000-0000-0000BD070000}"/>
    <cellStyle name="0_6094_REVIEW_APRIL_08 3 7 3 4" xfId="1996" xr:uid="{00000000-0005-0000-0000-0000BE070000}"/>
    <cellStyle name="0_6094_REVIEW_APRIL_08 3 7 4" xfId="1997" xr:uid="{00000000-0005-0000-0000-0000BF070000}"/>
    <cellStyle name="0_6094_REVIEW_APRIL_08 3 7 4 2" xfId="1998" xr:uid="{00000000-0005-0000-0000-0000C0070000}"/>
    <cellStyle name="0_6094_REVIEW_APRIL_08 3 7 5" xfId="1999" xr:uid="{00000000-0005-0000-0000-0000C1070000}"/>
    <cellStyle name="0_6094_REVIEW_APRIL_08 3 7 5 2" xfId="2000" xr:uid="{00000000-0005-0000-0000-0000C2070000}"/>
    <cellStyle name="0_6094_REVIEW_APRIL_08 3 7 6" xfId="2001" xr:uid="{00000000-0005-0000-0000-0000C3070000}"/>
    <cellStyle name="0_6094_REVIEW_APRIL_08 3 8" xfId="2002" xr:uid="{00000000-0005-0000-0000-0000C4070000}"/>
    <cellStyle name="0_6094_REVIEW_APRIL_08 3 8 2" xfId="2003" xr:uid="{00000000-0005-0000-0000-0000C5070000}"/>
    <cellStyle name="0_6094_REVIEW_APRIL_08 3 8 2 2" xfId="2004" xr:uid="{00000000-0005-0000-0000-0000C6070000}"/>
    <cellStyle name="0_6094_REVIEW_APRIL_08 3 8 3" xfId="2005" xr:uid="{00000000-0005-0000-0000-0000C7070000}"/>
    <cellStyle name="0_6094_REVIEW_APRIL_08 3 8 3 2" xfId="2006" xr:uid="{00000000-0005-0000-0000-0000C8070000}"/>
    <cellStyle name="0_6094_REVIEW_APRIL_08 3 8 4" xfId="2007" xr:uid="{00000000-0005-0000-0000-0000C9070000}"/>
    <cellStyle name="0_6094_REVIEW_APRIL_08 3 9" xfId="2008" xr:uid="{00000000-0005-0000-0000-0000CA070000}"/>
    <cellStyle name="0_6094_REVIEW_APRIL_08 3 9 2" xfId="2009" xr:uid="{00000000-0005-0000-0000-0000CB070000}"/>
    <cellStyle name="0_6094_REVIEW_APRIL_08 3 9 2 2" xfId="2010" xr:uid="{00000000-0005-0000-0000-0000CC070000}"/>
    <cellStyle name="0_6094_REVIEW_APRIL_08 3 9 3" xfId="2011" xr:uid="{00000000-0005-0000-0000-0000CD070000}"/>
    <cellStyle name="0_6094_REVIEW_APRIL_08 3 9 3 2" xfId="2012" xr:uid="{00000000-0005-0000-0000-0000CE070000}"/>
    <cellStyle name="0_6094_REVIEW_APRIL_08 3 9 4" xfId="2013" xr:uid="{00000000-0005-0000-0000-0000CF070000}"/>
    <cellStyle name="0_6094_REVIEW_APRIL_08 4" xfId="2014" xr:uid="{00000000-0005-0000-0000-0000D0070000}"/>
    <cellStyle name="0_6094_REVIEW_APRIL_08 4 10" xfId="2015" xr:uid="{00000000-0005-0000-0000-0000D1070000}"/>
    <cellStyle name="0_6094_REVIEW_APRIL_08 4 10 2" xfId="2016" xr:uid="{00000000-0005-0000-0000-0000D2070000}"/>
    <cellStyle name="0_6094_REVIEW_APRIL_08 4 10 2 2" xfId="2017" xr:uid="{00000000-0005-0000-0000-0000D3070000}"/>
    <cellStyle name="0_6094_REVIEW_APRIL_08 4 10 3" xfId="2018" xr:uid="{00000000-0005-0000-0000-0000D4070000}"/>
    <cellStyle name="0_6094_REVIEW_APRIL_08 4 10 3 2" xfId="2019" xr:uid="{00000000-0005-0000-0000-0000D5070000}"/>
    <cellStyle name="0_6094_REVIEW_APRIL_08 4 10 4" xfId="2020" xr:uid="{00000000-0005-0000-0000-0000D6070000}"/>
    <cellStyle name="0_6094_REVIEW_APRIL_08 4 11" xfId="2021" xr:uid="{00000000-0005-0000-0000-0000D7070000}"/>
    <cellStyle name="0_6094_REVIEW_APRIL_08 4 11 2" xfId="2022" xr:uid="{00000000-0005-0000-0000-0000D8070000}"/>
    <cellStyle name="0_6094_REVIEW_APRIL_08 4 12" xfId="2023" xr:uid="{00000000-0005-0000-0000-0000D9070000}"/>
    <cellStyle name="0_6094_REVIEW_APRIL_08 4 12 2" xfId="2024" xr:uid="{00000000-0005-0000-0000-0000DA070000}"/>
    <cellStyle name="0_6094_REVIEW_APRIL_08 4 13" xfId="2025" xr:uid="{00000000-0005-0000-0000-0000DB070000}"/>
    <cellStyle name="0_6094_REVIEW_APRIL_08 4 2" xfId="2026" xr:uid="{00000000-0005-0000-0000-0000DC070000}"/>
    <cellStyle name="0_6094_REVIEW_APRIL_08 4 2 2" xfId="2027" xr:uid="{00000000-0005-0000-0000-0000DD070000}"/>
    <cellStyle name="0_6094_REVIEW_APRIL_08 4 2 2 2" xfId="2028" xr:uid="{00000000-0005-0000-0000-0000DE070000}"/>
    <cellStyle name="0_6094_REVIEW_APRIL_08 4 2 2 2 2" xfId="2029" xr:uid="{00000000-0005-0000-0000-0000DF070000}"/>
    <cellStyle name="0_6094_REVIEW_APRIL_08 4 2 2 2 2 2" xfId="2030" xr:uid="{00000000-0005-0000-0000-0000E0070000}"/>
    <cellStyle name="0_6094_REVIEW_APRIL_08 4 2 2 2 3" xfId="2031" xr:uid="{00000000-0005-0000-0000-0000E1070000}"/>
    <cellStyle name="0_6094_REVIEW_APRIL_08 4 2 2 2 3 2" xfId="2032" xr:uid="{00000000-0005-0000-0000-0000E2070000}"/>
    <cellStyle name="0_6094_REVIEW_APRIL_08 4 2 2 2 4" xfId="2033" xr:uid="{00000000-0005-0000-0000-0000E3070000}"/>
    <cellStyle name="0_6094_REVIEW_APRIL_08 4 2 2 3" xfId="2034" xr:uid="{00000000-0005-0000-0000-0000E4070000}"/>
    <cellStyle name="0_6094_REVIEW_APRIL_08 4 2 2 3 2" xfId="2035" xr:uid="{00000000-0005-0000-0000-0000E5070000}"/>
    <cellStyle name="0_6094_REVIEW_APRIL_08 4 2 2 3 2 2" xfId="2036" xr:uid="{00000000-0005-0000-0000-0000E6070000}"/>
    <cellStyle name="0_6094_REVIEW_APRIL_08 4 2 2 3 3" xfId="2037" xr:uid="{00000000-0005-0000-0000-0000E7070000}"/>
    <cellStyle name="0_6094_REVIEW_APRIL_08 4 2 2 3 3 2" xfId="2038" xr:uid="{00000000-0005-0000-0000-0000E8070000}"/>
    <cellStyle name="0_6094_REVIEW_APRIL_08 4 2 2 3 4" xfId="2039" xr:uid="{00000000-0005-0000-0000-0000E9070000}"/>
    <cellStyle name="0_6094_REVIEW_APRIL_08 4 2 2 4" xfId="2040" xr:uid="{00000000-0005-0000-0000-0000EA070000}"/>
    <cellStyle name="0_6094_REVIEW_APRIL_08 4 2 2 4 2" xfId="2041" xr:uid="{00000000-0005-0000-0000-0000EB070000}"/>
    <cellStyle name="0_6094_REVIEW_APRIL_08 4 2 2 5" xfId="2042" xr:uid="{00000000-0005-0000-0000-0000EC070000}"/>
    <cellStyle name="0_6094_REVIEW_APRIL_08 4 2 2 5 2" xfId="2043" xr:uid="{00000000-0005-0000-0000-0000ED070000}"/>
    <cellStyle name="0_6094_REVIEW_APRIL_08 4 2 2 6" xfId="2044" xr:uid="{00000000-0005-0000-0000-0000EE070000}"/>
    <cellStyle name="0_6094_REVIEW_APRIL_08 4 2 3" xfId="2045" xr:uid="{00000000-0005-0000-0000-0000EF070000}"/>
    <cellStyle name="0_6094_REVIEW_APRIL_08 4 2 3 2" xfId="2046" xr:uid="{00000000-0005-0000-0000-0000F0070000}"/>
    <cellStyle name="0_6094_REVIEW_APRIL_08 4 2 3 2 2" xfId="2047" xr:uid="{00000000-0005-0000-0000-0000F1070000}"/>
    <cellStyle name="0_6094_REVIEW_APRIL_08 4 2 3 3" xfId="2048" xr:uid="{00000000-0005-0000-0000-0000F2070000}"/>
    <cellStyle name="0_6094_REVIEW_APRIL_08 4 2 3 3 2" xfId="2049" xr:uid="{00000000-0005-0000-0000-0000F3070000}"/>
    <cellStyle name="0_6094_REVIEW_APRIL_08 4 2 3 4" xfId="2050" xr:uid="{00000000-0005-0000-0000-0000F4070000}"/>
    <cellStyle name="0_6094_REVIEW_APRIL_08 4 2 4" xfId="2051" xr:uid="{00000000-0005-0000-0000-0000F5070000}"/>
    <cellStyle name="0_6094_REVIEW_APRIL_08 4 2 4 2" xfId="2052" xr:uid="{00000000-0005-0000-0000-0000F6070000}"/>
    <cellStyle name="0_6094_REVIEW_APRIL_08 4 2 4 2 2" xfId="2053" xr:uid="{00000000-0005-0000-0000-0000F7070000}"/>
    <cellStyle name="0_6094_REVIEW_APRIL_08 4 2 4 3" xfId="2054" xr:uid="{00000000-0005-0000-0000-0000F8070000}"/>
    <cellStyle name="0_6094_REVIEW_APRIL_08 4 2 4 3 2" xfId="2055" xr:uid="{00000000-0005-0000-0000-0000F9070000}"/>
    <cellStyle name="0_6094_REVIEW_APRIL_08 4 2 4 4" xfId="2056" xr:uid="{00000000-0005-0000-0000-0000FA070000}"/>
    <cellStyle name="0_6094_REVIEW_APRIL_08 4 2 5" xfId="2057" xr:uid="{00000000-0005-0000-0000-0000FB070000}"/>
    <cellStyle name="0_6094_REVIEW_APRIL_08 4 2 5 2" xfId="2058" xr:uid="{00000000-0005-0000-0000-0000FC070000}"/>
    <cellStyle name="0_6094_REVIEW_APRIL_08 4 2 5 2 2" xfId="2059" xr:uid="{00000000-0005-0000-0000-0000FD070000}"/>
    <cellStyle name="0_6094_REVIEW_APRIL_08 4 2 5 3" xfId="2060" xr:uid="{00000000-0005-0000-0000-0000FE070000}"/>
    <cellStyle name="0_6094_REVIEW_APRIL_08 4 2 5 3 2" xfId="2061" xr:uid="{00000000-0005-0000-0000-0000FF070000}"/>
    <cellStyle name="0_6094_REVIEW_APRIL_08 4 2 5 4" xfId="2062" xr:uid="{00000000-0005-0000-0000-000000080000}"/>
    <cellStyle name="0_6094_REVIEW_APRIL_08 4 2 6" xfId="2063" xr:uid="{00000000-0005-0000-0000-000001080000}"/>
    <cellStyle name="0_6094_REVIEW_APRIL_08 4 2 6 2" xfId="2064" xr:uid="{00000000-0005-0000-0000-000002080000}"/>
    <cellStyle name="0_6094_REVIEW_APRIL_08 4 2 7" xfId="2065" xr:uid="{00000000-0005-0000-0000-000003080000}"/>
    <cellStyle name="0_6094_REVIEW_APRIL_08 4 2 7 2" xfId="2066" xr:uid="{00000000-0005-0000-0000-000004080000}"/>
    <cellStyle name="0_6094_REVIEW_APRIL_08 4 2 8" xfId="2067" xr:uid="{00000000-0005-0000-0000-000005080000}"/>
    <cellStyle name="0_6094_REVIEW_APRIL_08 4 3" xfId="2068" xr:uid="{00000000-0005-0000-0000-000006080000}"/>
    <cellStyle name="0_6094_REVIEW_APRIL_08 4 3 2" xfId="2069" xr:uid="{00000000-0005-0000-0000-000007080000}"/>
    <cellStyle name="0_6094_REVIEW_APRIL_08 4 3 2 2" xfId="2070" xr:uid="{00000000-0005-0000-0000-000008080000}"/>
    <cellStyle name="0_6094_REVIEW_APRIL_08 4 3 2 2 2" xfId="2071" xr:uid="{00000000-0005-0000-0000-000009080000}"/>
    <cellStyle name="0_6094_REVIEW_APRIL_08 4 3 2 2 2 2" xfId="2072" xr:uid="{00000000-0005-0000-0000-00000A080000}"/>
    <cellStyle name="0_6094_REVIEW_APRIL_08 4 3 2 2 3" xfId="2073" xr:uid="{00000000-0005-0000-0000-00000B080000}"/>
    <cellStyle name="0_6094_REVIEW_APRIL_08 4 3 2 2 3 2" xfId="2074" xr:uid="{00000000-0005-0000-0000-00000C080000}"/>
    <cellStyle name="0_6094_REVIEW_APRIL_08 4 3 2 2 4" xfId="2075" xr:uid="{00000000-0005-0000-0000-00000D080000}"/>
    <cellStyle name="0_6094_REVIEW_APRIL_08 4 3 2 3" xfId="2076" xr:uid="{00000000-0005-0000-0000-00000E080000}"/>
    <cellStyle name="0_6094_REVIEW_APRIL_08 4 3 2 3 2" xfId="2077" xr:uid="{00000000-0005-0000-0000-00000F080000}"/>
    <cellStyle name="0_6094_REVIEW_APRIL_08 4 3 2 3 2 2" xfId="2078" xr:uid="{00000000-0005-0000-0000-000010080000}"/>
    <cellStyle name="0_6094_REVIEW_APRIL_08 4 3 2 3 3" xfId="2079" xr:uid="{00000000-0005-0000-0000-000011080000}"/>
    <cellStyle name="0_6094_REVIEW_APRIL_08 4 3 2 3 3 2" xfId="2080" xr:uid="{00000000-0005-0000-0000-000012080000}"/>
    <cellStyle name="0_6094_REVIEW_APRIL_08 4 3 2 3 4" xfId="2081" xr:uid="{00000000-0005-0000-0000-000013080000}"/>
    <cellStyle name="0_6094_REVIEW_APRIL_08 4 3 2 4" xfId="2082" xr:uid="{00000000-0005-0000-0000-000014080000}"/>
    <cellStyle name="0_6094_REVIEW_APRIL_08 4 3 2 4 2" xfId="2083" xr:uid="{00000000-0005-0000-0000-000015080000}"/>
    <cellStyle name="0_6094_REVIEW_APRIL_08 4 3 2 5" xfId="2084" xr:uid="{00000000-0005-0000-0000-000016080000}"/>
    <cellStyle name="0_6094_REVIEW_APRIL_08 4 3 2 5 2" xfId="2085" xr:uid="{00000000-0005-0000-0000-000017080000}"/>
    <cellStyle name="0_6094_REVIEW_APRIL_08 4 3 2 6" xfId="2086" xr:uid="{00000000-0005-0000-0000-000018080000}"/>
    <cellStyle name="0_6094_REVIEW_APRIL_08 4 3 3" xfId="2087" xr:uid="{00000000-0005-0000-0000-000019080000}"/>
    <cellStyle name="0_6094_REVIEW_APRIL_08 4 3 3 2" xfId="2088" xr:uid="{00000000-0005-0000-0000-00001A080000}"/>
    <cellStyle name="0_6094_REVIEW_APRIL_08 4 3 3 2 2" xfId="2089" xr:uid="{00000000-0005-0000-0000-00001B080000}"/>
    <cellStyle name="0_6094_REVIEW_APRIL_08 4 3 3 3" xfId="2090" xr:uid="{00000000-0005-0000-0000-00001C080000}"/>
    <cellStyle name="0_6094_REVIEW_APRIL_08 4 3 3 3 2" xfId="2091" xr:uid="{00000000-0005-0000-0000-00001D080000}"/>
    <cellStyle name="0_6094_REVIEW_APRIL_08 4 3 3 4" xfId="2092" xr:uid="{00000000-0005-0000-0000-00001E080000}"/>
    <cellStyle name="0_6094_REVIEW_APRIL_08 4 3 4" xfId="2093" xr:uid="{00000000-0005-0000-0000-00001F080000}"/>
    <cellStyle name="0_6094_REVIEW_APRIL_08 4 3 4 2" xfId="2094" xr:uid="{00000000-0005-0000-0000-000020080000}"/>
    <cellStyle name="0_6094_REVIEW_APRIL_08 4 3 4 2 2" xfId="2095" xr:uid="{00000000-0005-0000-0000-000021080000}"/>
    <cellStyle name="0_6094_REVIEW_APRIL_08 4 3 4 3" xfId="2096" xr:uid="{00000000-0005-0000-0000-000022080000}"/>
    <cellStyle name="0_6094_REVIEW_APRIL_08 4 3 4 3 2" xfId="2097" xr:uid="{00000000-0005-0000-0000-000023080000}"/>
    <cellStyle name="0_6094_REVIEW_APRIL_08 4 3 4 4" xfId="2098" xr:uid="{00000000-0005-0000-0000-000024080000}"/>
    <cellStyle name="0_6094_REVIEW_APRIL_08 4 3 5" xfId="2099" xr:uid="{00000000-0005-0000-0000-000025080000}"/>
    <cellStyle name="0_6094_REVIEW_APRIL_08 4 3 5 2" xfId="2100" xr:uid="{00000000-0005-0000-0000-000026080000}"/>
    <cellStyle name="0_6094_REVIEW_APRIL_08 4 3 5 2 2" xfId="2101" xr:uid="{00000000-0005-0000-0000-000027080000}"/>
    <cellStyle name="0_6094_REVIEW_APRIL_08 4 3 5 3" xfId="2102" xr:uid="{00000000-0005-0000-0000-000028080000}"/>
    <cellStyle name="0_6094_REVIEW_APRIL_08 4 3 5 3 2" xfId="2103" xr:uid="{00000000-0005-0000-0000-000029080000}"/>
    <cellStyle name="0_6094_REVIEW_APRIL_08 4 3 5 4" xfId="2104" xr:uid="{00000000-0005-0000-0000-00002A080000}"/>
    <cellStyle name="0_6094_REVIEW_APRIL_08 4 3 6" xfId="2105" xr:uid="{00000000-0005-0000-0000-00002B080000}"/>
    <cellStyle name="0_6094_REVIEW_APRIL_08 4 3 6 2" xfId="2106" xr:uid="{00000000-0005-0000-0000-00002C080000}"/>
    <cellStyle name="0_6094_REVIEW_APRIL_08 4 3 7" xfId="2107" xr:uid="{00000000-0005-0000-0000-00002D080000}"/>
    <cellStyle name="0_6094_REVIEW_APRIL_08 4 3 7 2" xfId="2108" xr:uid="{00000000-0005-0000-0000-00002E080000}"/>
    <cellStyle name="0_6094_REVIEW_APRIL_08 4 3 8" xfId="2109" xr:uid="{00000000-0005-0000-0000-00002F080000}"/>
    <cellStyle name="0_6094_REVIEW_APRIL_08 4 4" xfId="2110" xr:uid="{00000000-0005-0000-0000-000030080000}"/>
    <cellStyle name="0_6094_REVIEW_APRIL_08 4 4 2" xfId="2111" xr:uid="{00000000-0005-0000-0000-000031080000}"/>
    <cellStyle name="0_6094_REVIEW_APRIL_08 4 4 2 2" xfId="2112" xr:uid="{00000000-0005-0000-0000-000032080000}"/>
    <cellStyle name="0_6094_REVIEW_APRIL_08 4 4 2 2 2" xfId="2113" xr:uid="{00000000-0005-0000-0000-000033080000}"/>
    <cellStyle name="0_6094_REVIEW_APRIL_08 4 4 2 2 2 2" xfId="2114" xr:uid="{00000000-0005-0000-0000-000034080000}"/>
    <cellStyle name="0_6094_REVIEW_APRIL_08 4 4 2 2 3" xfId="2115" xr:uid="{00000000-0005-0000-0000-000035080000}"/>
    <cellStyle name="0_6094_REVIEW_APRIL_08 4 4 2 2 3 2" xfId="2116" xr:uid="{00000000-0005-0000-0000-000036080000}"/>
    <cellStyle name="0_6094_REVIEW_APRIL_08 4 4 2 2 4" xfId="2117" xr:uid="{00000000-0005-0000-0000-000037080000}"/>
    <cellStyle name="0_6094_REVIEW_APRIL_08 4 4 2 3" xfId="2118" xr:uid="{00000000-0005-0000-0000-000038080000}"/>
    <cellStyle name="0_6094_REVIEW_APRIL_08 4 4 2 3 2" xfId="2119" xr:uid="{00000000-0005-0000-0000-000039080000}"/>
    <cellStyle name="0_6094_REVIEW_APRIL_08 4 4 2 3 2 2" xfId="2120" xr:uid="{00000000-0005-0000-0000-00003A080000}"/>
    <cellStyle name="0_6094_REVIEW_APRIL_08 4 4 2 3 3" xfId="2121" xr:uid="{00000000-0005-0000-0000-00003B080000}"/>
    <cellStyle name="0_6094_REVIEW_APRIL_08 4 4 2 3 3 2" xfId="2122" xr:uid="{00000000-0005-0000-0000-00003C080000}"/>
    <cellStyle name="0_6094_REVIEW_APRIL_08 4 4 2 3 4" xfId="2123" xr:uid="{00000000-0005-0000-0000-00003D080000}"/>
    <cellStyle name="0_6094_REVIEW_APRIL_08 4 4 2 4" xfId="2124" xr:uid="{00000000-0005-0000-0000-00003E080000}"/>
    <cellStyle name="0_6094_REVIEW_APRIL_08 4 4 2 4 2" xfId="2125" xr:uid="{00000000-0005-0000-0000-00003F080000}"/>
    <cellStyle name="0_6094_REVIEW_APRIL_08 4 4 2 5" xfId="2126" xr:uid="{00000000-0005-0000-0000-000040080000}"/>
    <cellStyle name="0_6094_REVIEW_APRIL_08 4 4 2 5 2" xfId="2127" xr:uid="{00000000-0005-0000-0000-000041080000}"/>
    <cellStyle name="0_6094_REVIEW_APRIL_08 4 4 2 6" xfId="2128" xr:uid="{00000000-0005-0000-0000-000042080000}"/>
    <cellStyle name="0_6094_REVIEW_APRIL_08 4 4 3" xfId="2129" xr:uid="{00000000-0005-0000-0000-000043080000}"/>
    <cellStyle name="0_6094_REVIEW_APRIL_08 4 4 3 2" xfId="2130" xr:uid="{00000000-0005-0000-0000-000044080000}"/>
    <cellStyle name="0_6094_REVIEW_APRIL_08 4 4 3 2 2" xfId="2131" xr:uid="{00000000-0005-0000-0000-000045080000}"/>
    <cellStyle name="0_6094_REVIEW_APRIL_08 4 4 3 3" xfId="2132" xr:uid="{00000000-0005-0000-0000-000046080000}"/>
    <cellStyle name="0_6094_REVIEW_APRIL_08 4 4 3 3 2" xfId="2133" xr:uid="{00000000-0005-0000-0000-000047080000}"/>
    <cellStyle name="0_6094_REVIEW_APRIL_08 4 4 3 4" xfId="2134" xr:uid="{00000000-0005-0000-0000-000048080000}"/>
    <cellStyle name="0_6094_REVIEW_APRIL_08 4 4 4" xfId="2135" xr:uid="{00000000-0005-0000-0000-000049080000}"/>
    <cellStyle name="0_6094_REVIEW_APRIL_08 4 4 4 2" xfId="2136" xr:uid="{00000000-0005-0000-0000-00004A080000}"/>
    <cellStyle name="0_6094_REVIEW_APRIL_08 4 4 4 2 2" xfId="2137" xr:uid="{00000000-0005-0000-0000-00004B080000}"/>
    <cellStyle name="0_6094_REVIEW_APRIL_08 4 4 4 3" xfId="2138" xr:uid="{00000000-0005-0000-0000-00004C080000}"/>
    <cellStyle name="0_6094_REVIEW_APRIL_08 4 4 4 3 2" xfId="2139" xr:uid="{00000000-0005-0000-0000-00004D080000}"/>
    <cellStyle name="0_6094_REVIEW_APRIL_08 4 4 4 4" xfId="2140" xr:uid="{00000000-0005-0000-0000-00004E080000}"/>
    <cellStyle name="0_6094_REVIEW_APRIL_08 4 4 5" xfId="2141" xr:uid="{00000000-0005-0000-0000-00004F080000}"/>
    <cellStyle name="0_6094_REVIEW_APRIL_08 4 4 5 2" xfId="2142" xr:uid="{00000000-0005-0000-0000-000050080000}"/>
    <cellStyle name="0_6094_REVIEW_APRIL_08 4 4 5 2 2" xfId="2143" xr:uid="{00000000-0005-0000-0000-000051080000}"/>
    <cellStyle name="0_6094_REVIEW_APRIL_08 4 4 5 3" xfId="2144" xr:uid="{00000000-0005-0000-0000-000052080000}"/>
    <cellStyle name="0_6094_REVIEW_APRIL_08 4 4 5 3 2" xfId="2145" xr:uid="{00000000-0005-0000-0000-000053080000}"/>
    <cellStyle name="0_6094_REVIEW_APRIL_08 4 4 5 4" xfId="2146" xr:uid="{00000000-0005-0000-0000-000054080000}"/>
    <cellStyle name="0_6094_REVIEW_APRIL_08 4 4 6" xfId="2147" xr:uid="{00000000-0005-0000-0000-000055080000}"/>
    <cellStyle name="0_6094_REVIEW_APRIL_08 4 4 6 2" xfId="2148" xr:uid="{00000000-0005-0000-0000-000056080000}"/>
    <cellStyle name="0_6094_REVIEW_APRIL_08 4 4 7" xfId="2149" xr:uid="{00000000-0005-0000-0000-000057080000}"/>
    <cellStyle name="0_6094_REVIEW_APRIL_08 4 4 7 2" xfId="2150" xr:uid="{00000000-0005-0000-0000-000058080000}"/>
    <cellStyle name="0_6094_REVIEW_APRIL_08 4 4 8" xfId="2151" xr:uid="{00000000-0005-0000-0000-000059080000}"/>
    <cellStyle name="0_6094_REVIEW_APRIL_08 4 5" xfId="2152" xr:uid="{00000000-0005-0000-0000-00005A080000}"/>
    <cellStyle name="0_6094_REVIEW_APRIL_08 4 5 2" xfId="2153" xr:uid="{00000000-0005-0000-0000-00005B080000}"/>
    <cellStyle name="0_6094_REVIEW_APRIL_08 4 5 2 2" xfId="2154" xr:uid="{00000000-0005-0000-0000-00005C080000}"/>
    <cellStyle name="0_6094_REVIEW_APRIL_08 4 5 2 2 2" xfId="2155" xr:uid="{00000000-0005-0000-0000-00005D080000}"/>
    <cellStyle name="0_6094_REVIEW_APRIL_08 4 5 2 2 2 2" xfId="2156" xr:uid="{00000000-0005-0000-0000-00005E080000}"/>
    <cellStyle name="0_6094_REVIEW_APRIL_08 4 5 2 2 3" xfId="2157" xr:uid="{00000000-0005-0000-0000-00005F080000}"/>
    <cellStyle name="0_6094_REVIEW_APRIL_08 4 5 2 2 3 2" xfId="2158" xr:uid="{00000000-0005-0000-0000-000060080000}"/>
    <cellStyle name="0_6094_REVIEW_APRIL_08 4 5 2 2 4" xfId="2159" xr:uid="{00000000-0005-0000-0000-000061080000}"/>
    <cellStyle name="0_6094_REVIEW_APRIL_08 4 5 2 3" xfId="2160" xr:uid="{00000000-0005-0000-0000-000062080000}"/>
    <cellStyle name="0_6094_REVIEW_APRIL_08 4 5 2 3 2" xfId="2161" xr:uid="{00000000-0005-0000-0000-000063080000}"/>
    <cellStyle name="0_6094_REVIEW_APRIL_08 4 5 2 3 2 2" xfId="2162" xr:uid="{00000000-0005-0000-0000-000064080000}"/>
    <cellStyle name="0_6094_REVIEW_APRIL_08 4 5 2 3 3" xfId="2163" xr:uid="{00000000-0005-0000-0000-000065080000}"/>
    <cellStyle name="0_6094_REVIEW_APRIL_08 4 5 2 3 3 2" xfId="2164" xr:uid="{00000000-0005-0000-0000-000066080000}"/>
    <cellStyle name="0_6094_REVIEW_APRIL_08 4 5 2 3 4" xfId="2165" xr:uid="{00000000-0005-0000-0000-000067080000}"/>
    <cellStyle name="0_6094_REVIEW_APRIL_08 4 5 2 4" xfId="2166" xr:uid="{00000000-0005-0000-0000-000068080000}"/>
    <cellStyle name="0_6094_REVIEW_APRIL_08 4 5 2 4 2" xfId="2167" xr:uid="{00000000-0005-0000-0000-000069080000}"/>
    <cellStyle name="0_6094_REVIEW_APRIL_08 4 5 2 5" xfId="2168" xr:uid="{00000000-0005-0000-0000-00006A080000}"/>
    <cellStyle name="0_6094_REVIEW_APRIL_08 4 5 2 5 2" xfId="2169" xr:uid="{00000000-0005-0000-0000-00006B080000}"/>
    <cellStyle name="0_6094_REVIEW_APRIL_08 4 5 2 6" xfId="2170" xr:uid="{00000000-0005-0000-0000-00006C080000}"/>
    <cellStyle name="0_6094_REVIEW_APRIL_08 4 5 3" xfId="2171" xr:uid="{00000000-0005-0000-0000-00006D080000}"/>
    <cellStyle name="0_6094_REVIEW_APRIL_08 4 5 3 2" xfId="2172" xr:uid="{00000000-0005-0000-0000-00006E080000}"/>
    <cellStyle name="0_6094_REVIEW_APRIL_08 4 5 3 2 2" xfId="2173" xr:uid="{00000000-0005-0000-0000-00006F080000}"/>
    <cellStyle name="0_6094_REVIEW_APRIL_08 4 5 3 3" xfId="2174" xr:uid="{00000000-0005-0000-0000-000070080000}"/>
    <cellStyle name="0_6094_REVIEW_APRIL_08 4 5 3 3 2" xfId="2175" xr:uid="{00000000-0005-0000-0000-000071080000}"/>
    <cellStyle name="0_6094_REVIEW_APRIL_08 4 5 3 4" xfId="2176" xr:uid="{00000000-0005-0000-0000-000072080000}"/>
    <cellStyle name="0_6094_REVIEW_APRIL_08 4 5 4" xfId="2177" xr:uid="{00000000-0005-0000-0000-000073080000}"/>
    <cellStyle name="0_6094_REVIEW_APRIL_08 4 5 4 2" xfId="2178" xr:uid="{00000000-0005-0000-0000-000074080000}"/>
    <cellStyle name="0_6094_REVIEW_APRIL_08 4 5 4 2 2" xfId="2179" xr:uid="{00000000-0005-0000-0000-000075080000}"/>
    <cellStyle name="0_6094_REVIEW_APRIL_08 4 5 4 3" xfId="2180" xr:uid="{00000000-0005-0000-0000-000076080000}"/>
    <cellStyle name="0_6094_REVIEW_APRIL_08 4 5 4 3 2" xfId="2181" xr:uid="{00000000-0005-0000-0000-000077080000}"/>
    <cellStyle name="0_6094_REVIEW_APRIL_08 4 5 4 4" xfId="2182" xr:uid="{00000000-0005-0000-0000-000078080000}"/>
    <cellStyle name="0_6094_REVIEW_APRIL_08 4 5 5" xfId="2183" xr:uid="{00000000-0005-0000-0000-000079080000}"/>
    <cellStyle name="0_6094_REVIEW_APRIL_08 4 5 5 2" xfId="2184" xr:uid="{00000000-0005-0000-0000-00007A080000}"/>
    <cellStyle name="0_6094_REVIEW_APRIL_08 4 5 5 2 2" xfId="2185" xr:uid="{00000000-0005-0000-0000-00007B080000}"/>
    <cellStyle name="0_6094_REVIEW_APRIL_08 4 5 5 3" xfId="2186" xr:uid="{00000000-0005-0000-0000-00007C080000}"/>
    <cellStyle name="0_6094_REVIEW_APRIL_08 4 5 5 3 2" xfId="2187" xr:uid="{00000000-0005-0000-0000-00007D080000}"/>
    <cellStyle name="0_6094_REVIEW_APRIL_08 4 5 5 4" xfId="2188" xr:uid="{00000000-0005-0000-0000-00007E080000}"/>
    <cellStyle name="0_6094_REVIEW_APRIL_08 4 5 6" xfId="2189" xr:uid="{00000000-0005-0000-0000-00007F080000}"/>
    <cellStyle name="0_6094_REVIEW_APRIL_08 4 5 6 2" xfId="2190" xr:uid="{00000000-0005-0000-0000-000080080000}"/>
    <cellStyle name="0_6094_REVIEW_APRIL_08 4 5 7" xfId="2191" xr:uid="{00000000-0005-0000-0000-000081080000}"/>
    <cellStyle name="0_6094_REVIEW_APRIL_08 4 5 7 2" xfId="2192" xr:uid="{00000000-0005-0000-0000-000082080000}"/>
    <cellStyle name="0_6094_REVIEW_APRIL_08 4 5 8" xfId="2193" xr:uid="{00000000-0005-0000-0000-000083080000}"/>
    <cellStyle name="0_6094_REVIEW_APRIL_08 4 6" xfId="2194" xr:uid="{00000000-0005-0000-0000-000084080000}"/>
    <cellStyle name="0_6094_REVIEW_APRIL_08 4 6 2" xfId="2195" xr:uid="{00000000-0005-0000-0000-000085080000}"/>
    <cellStyle name="0_6094_REVIEW_APRIL_08 4 6 2 2" xfId="2196" xr:uid="{00000000-0005-0000-0000-000086080000}"/>
    <cellStyle name="0_6094_REVIEW_APRIL_08 4 6 2 2 2" xfId="2197" xr:uid="{00000000-0005-0000-0000-000087080000}"/>
    <cellStyle name="0_6094_REVIEW_APRIL_08 4 6 2 2 2 2" xfId="2198" xr:uid="{00000000-0005-0000-0000-000088080000}"/>
    <cellStyle name="0_6094_REVIEW_APRIL_08 4 6 2 2 3" xfId="2199" xr:uid="{00000000-0005-0000-0000-000089080000}"/>
    <cellStyle name="0_6094_REVIEW_APRIL_08 4 6 2 2 3 2" xfId="2200" xr:uid="{00000000-0005-0000-0000-00008A080000}"/>
    <cellStyle name="0_6094_REVIEW_APRIL_08 4 6 2 2 4" xfId="2201" xr:uid="{00000000-0005-0000-0000-00008B080000}"/>
    <cellStyle name="0_6094_REVIEW_APRIL_08 4 6 2 3" xfId="2202" xr:uid="{00000000-0005-0000-0000-00008C080000}"/>
    <cellStyle name="0_6094_REVIEW_APRIL_08 4 6 2 3 2" xfId="2203" xr:uid="{00000000-0005-0000-0000-00008D080000}"/>
    <cellStyle name="0_6094_REVIEW_APRIL_08 4 6 2 3 2 2" xfId="2204" xr:uid="{00000000-0005-0000-0000-00008E080000}"/>
    <cellStyle name="0_6094_REVIEW_APRIL_08 4 6 2 3 3" xfId="2205" xr:uid="{00000000-0005-0000-0000-00008F080000}"/>
    <cellStyle name="0_6094_REVIEW_APRIL_08 4 6 2 3 3 2" xfId="2206" xr:uid="{00000000-0005-0000-0000-000090080000}"/>
    <cellStyle name="0_6094_REVIEW_APRIL_08 4 6 2 3 4" xfId="2207" xr:uid="{00000000-0005-0000-0000-000091080000}"/>
    <cellStyle name="0_6094_REVIEW_APRIL_08 4 6 2 4" xfId="2208" xr:uid="{00000000-0005-0000-0000-000092080000}"/>
    <cellStyle name="0_6094_REVIEW_APRIL_08 4 6 2 4 2" xfId="2209" xr:uid="{00000000-0005-0000-0000-000093080000}"/>
    <cellStyle name="0_6094_REVIEW_APRIL_08 4 6 2 5" xfId="2210" xr:uid="{00000000-0005-0000-0000-000094080000}"/>
    <cellStyle name="0_6094_REVIEW_APRIL_08 4 6 2 5 2" xfId="2211" xr:uid="{00000000-0005-0000-0000-000095080000}"/>
    <cellStyle name="0_6094_REVIEW_APRIL_08 4 6 2 6" xfId="2212" xr:uid="{00000000-0005-0000-0000-000096080000}"/>
    <cellStyle name="0_6094_REVIEW_APRIL_08 4 6 3" xfId="2213" xr:uid="{00000000-0005-0000-0000-000097080000}"/>
    <cellStyle name="0_6094_REVIEW_APRIL_08 4 6 3 2" xfId="2214" xr:uid="{00000000-0005-0000-0000-000098080000}"/>
    <cellStyle name="0_6094_REVIEW_APRIL_08 4 6 3 2 2" xfId="2215" xr:uid="{00000000-0005-0000-0000-000099080000}"/>
    <cellStyle name="0_6094_REVIEW_APRIL_08 4 6 3 3" xfId="2216" xr:uid="{00000000-0005-0000-0000-00009A080000}"/>
    <cellStyle name="0_6094_REVIEW_APRIL_08 4 6 3 3 2" xfId="2217" xr:uid="{00000000-0005-0000-0000-00009B080000}"/>
    <cellStyle name="0_6094_REVIEW_APRIL_08 4 6 3 4" xfId="2218" xr:uid="{00000000-0005-0000-0000-00009C080000}"/>
    <cellStyle name="0_6094_REVIEW_APRIL_08 4 6 4" xfId="2219" xr:uid="{00000000-0005-0000-0000-00009D080000}"/>
    <cellStyle name="0_6094_REVIEW_APRIL_08 4 6 4 2" xfId="2220" xr:uid="{00000000-0005-0000-0000-00009E080000}"/>
    <cellStyle name="0_6094_REVIEW_APRIL_08 4 6 4 2 2" xfId="2221" xr:uid="{00000000-0005-0000-0000-00009F080000}"/>
    <cellStyle name="0_6094_REVIEW_APRIL_08 4 6 4 3" xfId="2222" xr:uid="{00000000-0005-0000-0000-0000A0080000}"/>
    <cellStyle name="0_6094_REVIEW_APRIL_08 4 6 4 3 2" xfId="2223" xr:uid="{00000000-0005-0000-0000-0000A1080000}"/>
    <cellStyle name="0_6094_REVIEW_APRIL_08 4 6 4 4" xfId="2224" xr:uid="{00000000-0005-0000-0000-0000A2080000}"/>
    <cellStyle name="0_6094_REVIEW_APRIL_08 4 6 5" xfId="2225" xr:uid="{00000000-0005-0000-0000-0000A3080000}"/>
    <cellStyle name="0_6094_REVIEW_APRIL_08 4 6 5 2" xfId="2226" xr:uid="{00000000-0005-0000-0000-0000A4080000}"/>
    <cellStyle name="0_6094_REVIEW_APRIL_08 4 6 5 2 2" xfId="2227" xr:uid="{00000000-0005-0000-0000-0000A5080000}"/>
    <cellStyle name="0_6094_REVIEW_APRIL_08 4 6 5 3" xfId="2228" xr:uid="{00000000-0005-0000-0000-0000A6080000}"/>
    <cellStyle name="0_6094_REVIEW_APRIL_08 4 6 5 3 2" xfId="2229" xr:uid="{00000000-0005-0000-0000-0000A7080000}"/>
    <cellStyle name="0_6094_REVIEW_APRIL_08 4 6 5 4" xfId="2230" xr:uid="{00000000-0005-0000-0000-0000A8080000}"/>
    <cellStyle name="0_6094_REVIEW_APRIL_08 4 6 6" xfId="2231" xr:uid="{00000000-0005-0000-0000-0000A9080000}"/>
    <cellStyle name="0_6094_REVIEW_APRIL_08 4 6 6 2" xfId="2232" xr:uid="{00000000-0005-0000-0000-0000AA080000}"/>
    <cellStyle name="0_6094_REVIEW_APRIL_08 4 6 7" xfId="2233" xr:uid="{00000000-0005-0000-0000-0000AB080000}"/>
    <cellStyle name="0_6094_REVIEW_APRIL_08 4 6 7 2" xfId="2234" xr:uid="{00000000-0005-0000-0000-0000AC080000}"/>
    <cellStyle name="0_6094_REVIEW_APRIL_08 4 6 8" xfId="2235" xr:uid="{00000000-0005-0000-0000-0000AD080000}"/>
    <cellStyle name="0_6094_REVIEW_APRIL_08 4 7" xfId="2236" xr:uid="{00000000-0005-0000-0000-0000AE080000}"/>
    <cellStyle name="0_6094_REVIEW_APRIL_08 4 7 2" xfId="2237" xr:uid="{00000000-0005-0000-0000-0000AF080000}"/>
    <cellStyle name="0_6094_REVIEW_APRIL_08 4 7 2 2" xfId="2238" xr:uid="{00000000-0005-0000-0000-0000B0080000}"/>
    <cellStyle name="0_6094_REVIEW_APRIL_08 4 7 2 2 2" xfId="2239" xr:uid="{00000000-0005-0000-0000-0000B1080000}"/>
    <cellStyle name="0_6094_REVIEW_APRIL_08 4 7 2 3" xfId="2240" xr:uid="{00000000-0005-0000-0000-0000B2080000}"/>
    <cellStyle name="0_6094_REVIEW_APRIL_08 4 7 2 3 2" xfId="2241" xr:uid="{00000000-0005-0000-0000-0000B3080000}"/>
    <cellStyle name="0_6094_REVIEW_APRIL_08 4 7 2 4" xfId="2242" xr:uid="{00000000-0005-0000-0000-0000B4080000}"/>
    <cellStyle name="0_6094_REVIEW_APRIL_08 4 7 3" xfId="2243" xr:uid="{00000000-0005-0000-0000-0000B5080000}"/>
    <cellStyle name="0_6094_REVIEW_APRIL_08 4 7 3 2" xfId="2244" xr:uid="{00000000-0005-0000-0000-0000B6080000}"/>
    <cellStyle name="0_6094_REVIEW_APRIL_08 4 7 3 2 2" xfId="2245" xr:uid="{00000000-0005-0000-0000-0000B7080000}"/>
    <cellStyle name="0_6094_REVIEW_APRIL_08 4 7 3 3" xfId="2246" xr:uid="{00000000-0005-0000-0000-0000B8080000}"/>
    <cellStyle name="0_6094_REVIEW_APRIL_08 4 7 3 3 2" xfId="2247" xr:uid="{00000000-0005-0000-0000-0000B9080000}"/>
    <cellStyle name="0_6094_REVIEW_APRIL_08 4 7 3 4" xfId="2248" xr:uid="{00000000-0005-0000-0000-0000BA080000}"/>
    <cellStyle name="0_6094_REVIEW_APRIL_08 4 7 4" xfId="2249" xr:uid="{00000000-0005-0000-0000-0000BB080000}"/>
    <cellStyle name="0_6094_REVIEW_APRIL_08 4 7 4 2" xfId="2250" xr:uid="{00000000-0005-0000-0000-0000BC080000}"/>
    <cellStyle name="0_6094_REVIEW_APRIL_08 4 7 5" xfId="2251" xr:uid="{00000000-0005-0000-0000-0000BD080000}"/>
    <cellStyle name="0_6094_REVIEW_APRIL_08 4 7 5 2" xfId="2252" xr:uid="{00000000-0005-0000-0000-0000BE080000}"/>
    <cellStyle name="0_6094_REVIEW_APRIL_08 4 7 6" xfId="2253" xr:uid="{00000000-0005-0000-0000-0000BF080000}"/>
    <cellStyle name="0_6094_REVIEW_APRIL_08 4 8" xfId="2254" xr:uid="{00000000-0005-0000-0000-0000C0080000}"/>
    <cellStyle name="0_6094_REVIEW_APRIL_08 4 8 2" xfId="2255" xr:uid="{00000000-0005-0000-0000-0000C1080000}"/>
    <cellStyle name="0_6094_REVIEW_APRIL_08 4 8 2 2" xfId="2256" xr:uid="{00000000-0005-0000-0000-0000C2080000}"/>
    <cellStyle name="0_6094_REVIEW_APRIL_08 4 8 3" xfId="2257" xr:uid="{00000000-0005-0000-0000-0000C3080000}"/>
    <cellStyle name="0_6094_REVIEW_APRIL_08 4 8 3 2" xfId="2258" xr:uid="{00000000-0005-0000-0000-0000C4080000}"/>
    <cellStyle name="0_6094_REVIEW_APRIL_08 4 8 4" xfId="2259" xr:uid="{00000000-0005-0000-0000-0000C5080000}"/>
    <cellStyle name="0_6094_REVIEW_APRIL_08 4 9" xfId="2260" xr:uid="{00000000-0005-0000-0000-0000C6080000}"/>
    <cellStyle name="0_6094_REVIEW_APRIL_08 4 9 2" xfId="2261" xr:uid="{00000000-0005-0000-0000-0000C7080000}"/>
    <cellStyle name="0_6094_REVIEW_APRIL_08 4 9 2 2" xfId="2262" xr:uid="{00000000-0005-0000-0000-0000C8080000}"/>
    <cellStyle name="0_6094_REVIEW_APRIL_08 4 9 3" xfId="2263" xr:uid="{00000000-0005-0000-0000-0000C9080000}"/>
    <cellStyle name="0_6094_REVIEW_APRIL_08 4 9 3 2" xfId="2264" xr:uid="{00000000-0005-0000-0000-0000CA080000}"/>
    <cellStyle name="0_6094_REVIEW_APRIL_08 4 9 4" xfId="2265" xr:uid="{00000000-0005-0000-0000-0000CB080000}"/>
    <cellStyle name="0_6094_REVIEW_APRIL_08 5" xfId="2266" xr:uid="{00000000-0005-0000-0000-0000CC080000}"/>
    <cellStyle name="0_6094_REVIEW_APRIL_08 5 10" xfId="2267" xr:uid="{00000000-0005-0000-0000-0000CD080000}"/>
    <cellStyle name="0_6094_REVIEW_APRIL_08 5 10 2" xfId="2268" xr:uid="{00000000-0005-0000-0000-0000CE080000}"/>
    <cellStyle name="0_6094_REVIEW_APRIL_08 5 10 2 2" xfId="2269" xr:uid="{00000000-0005-0000-0000-0000CF080000}"/>
    <cellStyle name="0_6094_REVIEW_APRIL_08 5 10 3" xfId="2270" xr:uid="{00000000-0005-0000-0000-0000D0080000}"/>
    <cellStyle name="0_6094_REVIEW_APRIL_08 5 10 3 2" xfId="2271" xr:uid="{00000000-0005-0000-0000-0000D1080000}"/>
    <cellStyle name="0_6094_REVIEW_APRIL_08 5 10 4" xfId="2272" xr:uid="{00000000-0005-0000-0000-0000D2080000}"/>
    <cellStyle name="0_6094_REVIEW_APRIL_08 5 11" xfId="2273" xr:uid="{00000000-0005-0000-0000-0000D3080000}"/>
    <cellStyle name="0_6094_REVIEW_APRIL_08 5 11 2" xfId="2274" xr:uid="{00000000-0005-0000-0000-0000D4080000}"/>
    <cellStyle name="0_6094_REVIEW_APRIL_08 5 12" xfId="2275" xr:uid="{00000000-0005-0000-0000-0000D5080000}"/>
    <cellStyle name="0_6094_REVIEW_APRIL_08 5 12 2" xfId="2276" xr:uid="{00000000-0005-0000-0000-0000D6080000}"/>
    <cellStyle name="0_6094_REVIEW_APRIL_08 5 13" xfId="2277" xr:uid="{00000000-0005-0000-0000-0000D7080000}"/>
    <cellStyle name="0_6094_REVIEW_APRIL_08 5 2" xfId="2278" xr:uid="{00000000-0005-0000-0000-0000D8080000}"/>
    <cellStyle name="0_6094_REVIEW_APRIL_08 5 2 2" xfId="2279" xr:uid="{00000000-0005-0000-0000-0000D9080000}"/>
    <cellStyle name="0_6094_REVIEW_APRIL_08 5 2 2 2" xfId="2280" xr:uid="{00000000-0005-0000-0000-0000DA080000}"/>
    <cellStyle name="0_6094_REVIEW_APRIL_08 5 2 2 2 2" xfId="2281" xr:uid="{00000000-0005-0000-0000-0000DB080000}"/>
    <cellStyle name="0_6094_REVIEW_APRIL_08 5 2 2 2 2 2" xfId="2282" xr:uid="{00000000-0005-0000-0000-0000DC080000}"/>
    <cellStyle name="0_6094_REVIEW_APRIL_08 5 2 2 2 3" xfId="2283" xr:uid="{00000000-0005-0000-0000-0000DD080000}"/>
    <cellStyle name="0_6094_REVIEW_APRIL_08 5 2 2 2 3 2" xfId="2284" xr:uid="{00000000-0005-0000-0000-0000DE080000}"/>
    <cellStyle name="0_6094_REVIEW_APRIL_08 5 2 2 2 4" xfId="2285" xr:uid="{00000000-0005-0000-0000-0000DF080000}"/>
    <cellStyle name="0_6094_REVIEW_APRIL_08 5 2 2 3" xfId="2286" xr:uid="{00000000-0005-0000-0000-0000E0080000}"/>
    <cellStyle name="0_6094_REVIEW_APRIL_08 5 2 2 3 2" xfId="2287" xr:uid="{00000000-0005-0000-0000-0000E1080000}"/>
    <cellStyle name="0_6094_REVIEW_APRIL_08 5 2 2 3 2 2" xfId="2288" xr:uid="{00000000-0005-0000-0000-0000E2080000}"/>
    <cellStyle name="0_6094_REVIEW_APRIL_08 5 2 2 3 3" xfId="2289" xr:uid="{00000000-0005-0000-0000-0000E3080000}"/>
    <cellStyle name="0_6094_REVIEW_APRIL_08 5 2 2 3 3 2" xfId="2290" xr:uid="{00000000-0005-0000-0000-0000E4080000}"/>
    <cellStyle name="0_6094_REVIEW_APRIL_08 5 2 2 3 4" xfId="2291" xr:uid="{00000000-0005-0000-0000-0000E5080000}"/>
    <cellStyle name="0_6094_REVIEW_APRIL_08 5 2 2 4" xfId="2292" xr:uid="{00000000-0005-0000-0000-0000E6080000}"/>
    <cellStyle name="0_6094_REVIEW_APRIL_08 5 2 2 4 2" xfId="2293" xr:uid="{00000000-0005-0000-0000-0000E7080000}"/>
    <cellStyle name="0_6094_REVIEW_APRIL_08 5 2 2 5" xfId="2294" xr:uid="{00000000-0005-0000-0000-0000E8080000}"/>
    <cellStyle name="0_6094_REVIEW_APRIL_08 5 2 2 5 2" xfId="2295" xr:uid="{00000000-0005-0000-0000-0000E9080000}"/>
    <cellStyle name="0_6094_REVIEW_APRIL_08 5 2 2 6" xfId="2296" xr:uid="{00000000-0005-0000-0000-0000EA080000}"/>
    <cellStyle name="0_6094_REVIEW_APRIL_08 5 2 3" xfId="2297" xr:uid="{00000000-0005-0000-0000-0000EB080000}"/>
    <cellStyle name="0_6094_REVIEW_APRIL_08 5 2 3 2" xfId="2298" xr:uid="{00000000-0005-0000-0000-0000EC080000}"/>
    <cellStyle name="0_6094_REVIEW_APRIL_08 5 2 3 2 2" xfId="2299" xr:uid="{00000000-0005-0000-0000-0000ED080000}"/>
    <cellStyle name="0_6094_REVIEW_APRIL_08 5 2 3 3" xfId="2300" xr:uid="{00000000-0005-0000-0000-0000EE080000}"/>
    <cellStyle name="0_6094_REVIEW_APRIL_08 5 2 3 3 2" xfId="2301" xr:uid="{00000000-0005-0000-0000-0000EF080000}"/>
    <cellStyle name="0_6094_REVIEW_APRIL_08 5 2 3 4" xfId="2302" xr:uid="{00000000-0005-0000-0000-0000F0080000}"/>
    <cellStyle name="0_6094_REVIEW_APRIL_08 5 2 4" xfId="2303" xr:uid="{00000000-0005-0000-0000-0000F1080000}"/>
    <cellStyle name="0_6094_REVIEW_APRIL_08 5 2 4 2" xfId="2304" xr:uid="{00000000-0005-0000-0000-0000F2080000}"/>
    <cellStyle name="0_6094_REVIEW_APRIL_08 5 2 4 2 2" xfId="2305" xr:uid="{00000000-0005-0000-0000-0000F3080000}"/>
    <cellStyle name="0_6094_REVIEW_APRIL_08 5 2 4 3" xfId="2306" xr:uid="{00000000-0005-0000-0000-0000F4080000}"/>
    <cellStyle name="0_6094_REVIEW_APRIL_08 5 2 4 3 2" xfId="2307" xr:uid="{00000000-0005-0000-0000-0000F5080000}"/>
    <cellStyle name="0_6094_REVIEW_APRIL_08 5 2 4 4" xfId="2308" xr:uid="{00000000-0005-0000-0000-0000F6080000}"/>
    <cellStyle name="0_6094_REVIEW_APRIL_08 5 2 5" xfId="2309" xr:uid="{00000000-0005-0000-0000-0000F7080000}"/>
    <cellStyle name="0_6094_REVIEW_APRIL_08 5 2 5 2" xfId="2310" xr:uid="{00000000-0005-0000-0000-0000F8080000}"/>
    <cellStyle name="0_6094_REVIEW_APRIL_08 5 2 5 2 2" xfId="2311" xr:uid="{00000000-0005-0000-0000-0000F9080000}"/>
    <cellStyle name="0_6094_REVIEW_APRIL_08 5 2 5 3" xfId="2312" xr:uid="{00000000-0005-0000-0000-0000FA080000}"/>
    <cellStyle name="0_6094_REVIEW_APRIL_08 5 2 5 3 2" xfId="2313" xr:uid="{00000000-0005-0000-0000-0000FB080000}"/>
    <cellStyle name="0_6094_REVIEW_APRIL_08 5 2 5 4" xfId="2314" xr:uid="{00000000-0005-0000-0000-0000FC080000}"/>
    <cellStyle name="0_6094_REVIEW_APRIL_08 5 2 6" xfId="2315" xr:uid="{00000000-0005-0000-0000-0000FD080000}"/>
    <cellStyle name="0_6094_REVIEW_APRIL_08 5 2 6 2" xfId="2316" xr:uid="{00000000-0005-0000-0000-0000FE080000}"/>
    <cellStyle name="0_6094_REVIEW_APRIL_08 5 2 7" xfId="2317" xr:uid="{00000000-0005-0000-0000-0000FF080000}"/>
    <cellStyle name="0_6094_REVIEW_APRIL_08 5 2 7 2" xfId="2318" xr:uid="{00000000-0005-0000-0000-000000090000}"/>
    <cellStyle name="0_6094_REVIEW_APRIL_08 5 2 8" xfId="2319" xr:uid="{00000000-0005-0000-0000-000001090000}"/>
    <cellStyle name="0_6094_REVIEW_APRIL_08 5 3" xfId="2320" xr:uid="{00000000-0005-0000-0000-000002090000}"/>
    <cellStyle name="0_6094_REVIEW_APRIL_08 5 3 2" xfId="2321" xr:uid="{00000000-0005-0000-0000-000003090000}"/>
    <cellStyle name="0_6094_REVIEW_APRIL_08 5 3 2 2" xfId="2322" xr:uid="{00000000-0005-0000-0000-000004090000}"/>
    <cellStyle name="0_6094_REVIEW_APRIL_08 5 3 2 2 2" xfId="2323" xr:uid="{00000000-0005-0000-0000-000005090000}"/>
    <cellStyle name="0_6094_REVIEW_APRIL_08 5 3 2 2 2 2" xfId="2324" xr:uid="{00000000-0005-0000-0000-000006090000}"/>
    <cellStyle name="0_6094_REVIEW_APRIL_08 5 3 2 2 3" xfId="2325" xr:uid="{00000000-0005-0000-0000-000007090000}"/>
    <cellStyle name="0_6094_REVIEW_APRIL_08 5 3 2 2 3 2" xfId="2326" xr:uid="{00000000-0005-0000-0000-000008090000}"/>
    <cellStyle name="0_6094_REVIEW_APRIL_08 5 3 2 2 4" xfId="2327" xr:uid="{00000000-0005-0000-0000-000009090000}"/>
    <cellStyle name="0_6094_REVIEW_APRIL_08 5 3 2 3" xfId="2328" xr:uid="{00000000-0005-0000-0000-00000A090000}"/>
    <cellStyle name="0_6094_REVIEW_APRIL_08 5 3 2 3 2" xfId="2329" xr:uid="{00000000-0005-0000-0000-00000B090000}"/>
    <cellStyle name="0_6094_REVIEW_APRIL_08 5 3 2 3 2 2" xfId="2330" xr:uid="{00000000-0005-0000-0000-00000C090000}"/>
    <cellStyle name="0_6094_REVIEW_APRIL_08 5 3 2 3 3" xfId="2331" xr:uid="{00000000-0005-0000-0000-00000D090000}"/>
    <cellStyle name="0_6094_REVIEW_APRIL_08 5 3 2 3 3 2" xfId="2332" xr:uid="{00000000-0005-0000-0000-00000E090000}"/>
    <cellStyle name="0_6094_REVIEW_APRIL_08 5 3 2 3 4" xfId="2333" xr:uid="{00000000-0005-0000-0000-00000F090000}"/>
    <cellStyle name="0_6094_REVIEW_APRIL_08 5 3 2 4" xfId="2334" xr:uid="{00000000-0005-0000-0000-000010090000}"/>
    <cellStyle name="0_6094_REVIEW_APRIL_08 5 3 2 4 2" xfId="2335" xr:uid="{00000000-0005-0000-0000-000011090000}"/>
    <cellStyle name="0_6094_REVIEW_APRIL_08 5 3 2 5" xfId="2336" xr:uid="{00000000-0005-0000-0000-000012090000}"/>
    <cellStyle name="0_6094_REVIEW_APRIL_08 5 3 2 5 2" xfId="2337" xr:uid="{00000000-0005-0000-0000-000013090000}"/>
    <cellStyle name="0_6094_REVIEW_APRIL_08 5 3 2 6" xfId="2338" xr:uid="{00000000-0005-0000-0000-000014090000}"/>
    <cellStyle name="0_6094_REVIEW_APRIL_08 5 3 3" xfId="2339" xr:uid="{00000000-0005-0000-0000-000015090000}"/>
    <cellStyle name="0_6094_REVIEW_APRIL_08 5 3 3 2" xfId="2340" xr:uid="{00000000-0005-0000-0000-000016090000}"/>
    <cellStyle name="0_6094_REVIEW_APRIL_08 5 3 3 2 2" xfId="2341" xr:uid="{00000000-0005-0000-0000-000017090000}"/>
    <cellStyle name="0_6094_REVIEW_APRIL_08 5 3 3 3" xfId="2342" xr:uid="{00000000-0005-0000-0000-000018090000}"/>
    <cellStyle name="0_6094_REVIEW_APRIL_08 5 3 3 3 2" xfId="2343" xr:uid="{00000000-0005-0000-0000-000019090000}"/>
    <cellStyle name="0_6094_REVIEW_APRIL_08 5 3 3 4" xfId="2344" xr:uid="{00000000-0005-0000-0000-00001A090000}"/>
    <cellStyle name="0_6094_REVIEW_APRIL_08 5 3 4" xfId="2345" xr:uid="{00000000-0005-0000-0000-00001B090000}"/>
    <cellStyle name="0_6094_REVIEW_APRIL_08 5 3 4 2" xfId="2346" xr:uid="{00000000-0005-0000-0000-00001C090000}"/>
    <cellStyle name="0_6094_REVIEW_APRIL_08 5 3 4 2 2" xfId="2347" xr:uid="{00000000-0005-0000-0000-00001D090000}"/>
    <cellStyle name="0_6094_REVIEW_APRIL_08 5 3 4 3" xfId="2348" xr:uid="{00000000-0005-0000-0000-00001E090000}"/>
    <cellStyle name="0_6094_REVIEW_APRIL_08 5 3 4 3 2" xfId="2349" xr:uid="{00000000-0005-0000-0000-00001F090000}"/>
    <cellStyle name="0_6094_REVIEW_APRIL_08 5 3 4 4" xfId="2350" xr:uid="{00000000-0005-0000-0000-000020090000}"/>
    <cellStyle name="0_6094_REVIEW_APRIL_08 5 3 5" xfId="2351" xr:uid="{00000000-0005-0000-0000-000021090000}"/>
    <cellStyle name="0_6094_REVIEW_APRIL_08 5 3 5 2" xfId="2352" xr:uid="{00000000-0005-0000-0000-000022090000}"/>
    <cellStyle name="0_6094_REVIEW_APRIL_08 5 3 5 2 2" xfId="2353" xr:uid="{00000000-0005-0000-0000-000023090000}"/>
    <cellStyle name="0_6094_REVIEW_APRIL_08 5 3 5 3" xfId="2354" xr:uid="{00000000-0005-0000-0000-000024090000}"/>
    <cellStyle name="0_6094_REVIEW_APRIL_08 5 3 5 3 2" xfId="2355" xr:uid="{00000000-0005-0000-0000-000025090000}"/>
    <cellStyle name="0_6094_REVIEW_APRIL_08 5 3 5 4" xfId="2356" xr:uid="{00000000-0005-0000-0000-000026090000}"/>
    <cellStyle name="0_6094_REVIEW_APRIL_08 5 3 6" xfId="2357" xr:uid="{00000000-0005-0000-0000-000027090000}"/>
    <cellStyle name="0_6094_REVIEW_APRIL_08 5 3 6 2" xfId="2358" xr:uid="{00000000-0005-0000-0000-000028090000}"/>
    <cellStyle name="0_6094_REVIEW_APRIL_08 5 3 7" xfId="2359" xr:uid="{00000000-0005-0000-0000-000029090000}"/>
    <cellStyle name="0_6094_REVIEW_APRIL_08 5 3 7 2" xfId="2360" xr:uid="{00000000-0005-0000-0000-00002A090000}"/>
    <cellStyle name="0_6094_REVIEW_APRIL_08 5 3 8" xfId="2361" xr:uid="{00000000-0005-0000-0000-00002B090000}"/>
    <cellStyle name="0_6094_REVIEW_APRIL_08 5 4" xfId="2362" xr:uid="{00000000-0005-0000-0000-00002C090000}"/>
    <cellStyle name="0_6094_REVIEW_APRIL_08 5 4 2" xfId="2363" xr:uid="{00000000-0005-0000-0000-00002D090000}"/>
    <cellStyle name="0_6094_REVIEW_APRIL_08 5 4 2 2" xfId="2364" xr:uid="{00000000-0005-0000-0000-00002E090000}"/>
    <cellStyle name="0_6094_REVIEW_APRIL_08 5 4 2 2 2" xfId="2365" xr:uid="{00000000-0005-0000-0000-00002F090000}"/>
    <cellStyle name="0_6094_REVIEW_APRIL_08 5 4 2 2 2 2" xfId="2366" xr:uid="{00000000-0005-0000-0000-000030090000}"/>
    <cellStyle name="0_6094_REVIEW_APRIL_08 5 4 2 2 3" xfId="2367" xr:uid="{00000000-0005-0000-0000-000031090000}"/>
    <cellStyle name="0_6094_REVIEW_APRIL_08 5 4 2 2 3 2" xfId="2368" xr:uid="{00000000-0005-0000-0000-000032090000}"/>
    <cellStyle name="0_6094_REVIEW_APRIL_08 5 4 2 2 4" xfId="2369" xr:uid="{00000000-0005-0000-0000-000033090000}"/>
    <cellStyle name="0_6094_REVIEW_APRIL_08 5 4 2 3" xfId="2370" xr:uid="{00000000-0005-0000-0000-000034090000}"/>
    <cellStyle name="0_6094_REVIEW_APRIL_08 5 4 2 3 2" xfId="2371" xr:uid="{00000000-0005-0000-0000-000035090000}"/>
    <cellStyle name="0_6094_REVIEW_APRIL_08 5 4 2 3 2 2" xfId="2372" xr:uid="{00000000-0005-0000-0000-000036090000}"/>
    <cellStyle name="0_6094_REVIEW_APRIL_08 5 4 2 3 3" xfId="2373" xr:uid="{00000000-0005-0000-0000-000037090000}"/>
    <cellStyle name="0_6094_REVIEW_APRIL_08 5 4 2 3 3 2" xfId="2374" xr:uid="{00000000-0005-0000-0000-000038090000}"/>
    <cellStyle name="0_6094_REVIEW_APRIL_08 5 4 2 3 4" xfId="2375" xr:uid="{00000000-0005-0000-0000-000039090000}"/>
    <cellStyle name="0_6094_REVIEW_APRIL_08 5 4 2 4" xfId="2376" xr:uid="{00000000-0005-0000-0000-00003A090000}"/>
    <cellStyle name="0_6094_REVIEW_APRIL_08 5 4 2 4 2" xfId="2377" xr:uid="{00000000-0005-0000-0000-00003B090000}"/>
    <cellStyle name="0_6094_REVIEW_APRIL_08 5 4 2 5" xfId="2378" xr:uid="{00000000-0005-0000-0000-00003C090000}"/>
    <cellStyle name="0_6094_REVIEW_APRIL_08 5 4 2 5 2" xfId="2379" xr:uid="{00000000-0005-0000-0000-00003D090000}"/>
    <cellStyle name="0_6094_REVIEW_APRIL_08 5 4 2 6" xfId="2380" xr:uid="{00000000-0005-0000-0000-00003E090000}"/>
    <cellStyle name="0_6094_REVIEW_APRIL_08 5 4 3" xfId="2381" xr:uid="{00000000-0005-0000-0000-00003F090000}"/>
    <cellStyle name="0_6094_REVIEW_APRIL_08 5 4 3 2" xfId="2382" xr:uid="{00000000-0005-0000-0000-000040090000}"/>
    <cellStyle name="0_6094_REVIEW_APRIL_08 5 4 3 2 2" xfId="2383" xr:uid="{00000000-0005-0000-0000-000041090000}"/>
    <cellStyle name="0_6094_REVIEW_APRIL_08 5 4 3 3" xfId="2384" xr:uid="{00000000-0005-0000-0000-000042090000}"/>
    <cellStyle name="0_6094_REVIEW_APRIL_08 5 4 3 3 2" xfId="2385" xr:uid="{00000000-0005-0000-0000-000043090000}"/>
    <cellStyle name="0_6094_REVIEW_APRIL_08 5 4 3 4" xfId="2386" xr:uid="{00000000-0005-0000-0000-000044090000}"/>
    <cellStyle name="0_6094_REVIEW_APRIL_08 5 4 4" xfId="2387" xr:uid="{00000000-0005-0000-0000-000045090000}"/>
    <cellStyle name="0_6094_REVIEW_APRIL_08 5 4 4 2" xfId="2388" xr:uid="{00000000-0005-0000-0000-000046090000}"/>
    <cellStyle name="0_6094_REVIEW_APRIL_08 5 4 4 2 2" xfId="2389" xr:uid="{00000000-0005-0000-0000-000047090000}"/>
    <cellStyle name="0_6094_REVIEW_APRIL_08 5 4 4 3" xfId="2390" xr:uid="{00000000-0005-0000-0000-000048090000}"/>
    <cellStyle name="0_6094_REVIEW_APRIL_08 5 4 4 3 2" xfId="2391" xr:uid="{00000000-0005-0000-0000-000049090000}"/>
    <cellStyle name="0_6094_REVIEW_APRIL_08 5 4 4 4" xfId="2392" xr:uid="{00000000-0005-0000-0000-00004A090000}"/>
    <cellStyle name="0_6094_REVIEW_APRIL_08 5 4 5" xfId="2393" xr:uid="{00000000-0005-0000-0000-00004B090000}"/>
    <cellStyle name="0_6094_REVIEW_APRIL_08 5 4 5 2" xfId="2394" xr:uid="{00000000-0005-0000-0000-00004C090000}"/>
    <cellStyle name="0_6094_REVIEW_APRIL_08 5 4 5 2 2" xfId="2395" xr:uid="{00000000-0005-0000-0000-00004D090000}"/>
    <cellStyle name="0_6094_REVIEW_APRIL_08 5 4 5 3" xfId="2396" xr:uid="{00000000-0005-0000-0000-00004E090000}"/>
    <cellStyle name="0_6094_REVIEW_APRIL_08 5 4 5 3 2" xfId="2397" xr:uid="{00000000-0005-0000-0000-00004F090000}"/>
    <cellStyle name="0_6094_REVIEW_APRIL_08 5 4 5 4" xfId="2398" xr:uid="{00000000-0005-0000-0000-000050090000}"/>
    <cellStyle name="0_6094_REVIEW_APRIL_08 5 4 6" xfId="2399" xr:uid="{00000000-0005-0000-0000-000051090000}"/>
    <cellStyle name="0_6094_REVIEW_APRIL_08 5 4 6 2" xfId="2400" xr:uid="{00000000-0005-0000-0000-000052090000}"/>
    <cellStyle name="0_6094_REVIEW_APRIL_08 5 4 7" xfId="2401" xr:uid="{00000000-0005-0000-0000-000053090000}"/>
    <cellStyle name="0_6094_REVIEW_APRIL_08 5 4 7 2" xfId="2402" xr:uid="{00000000-0005-0000-0000-000054090000}"/>
    <cellStyle name="0_6094_REVIEW_APRIL_08 5 4 8" xfId="2403" xr:uid="{00000000-0005-0000-0000-000055090000}"/>
    <cellStyle name="0_6094_REVIEW_APRIL_08 5 5" xfId="2404" xr:uid="{00000000-0005-0000-0000-000056090000}"/>
    <cellStyle name="0_6094_REVIEW_APRIL_08 5 5 2" xfId="2405" xr:uid="{00000000-0005-0000-0000-000057090000}"/>
    <cellStyle name="0_6094_REVIEW_APRIL_08 5 5 2 2" xfId="2406" xr:uid="{00000000-0005-0000-0000-000058090000}"/>
    <cellStyle name="0_6094_REVIEW_APRIL_08 5 5 2 2 2" xfId="2407" xr:uid="{00000000-0005-0000-0000-000059090000}"/>
    <cellStyle name="0_6094_REVIEW_APRIL_08 5 5 2 2 2 2" xfId="2408" xr:uid="{00000000-0005-0000-0000-00005A090000}"/>
    <cellStyle name="0_6094_REVIEW_APRIL_08 5 5 2 2 3" xfId="2409" xr:uid="{00000000-0005-0000-0000-00005B090000}"/>
    <cellStyle name="0_6094_REVIEW_APRIL_08 5 5 2 2 3 2" xfId="2410" xr:uid="{00000000-0005-0000-0000-00005C090000}"/>
    <cellStyle name="0_6094_REVIEW_APRIL_08 5 5 2 2 4" xfId="2411" xr:uid="{00000000-0005-0000-0000-00005D090000}"/>
    <cellStyle name="0_6094_REVIEW_APRIL_08 5 5 2 3" xfId="2412" xr:uid="{00000000-0005-0000-0000-00005E090000}"/>
    <cellStyle name="0_6094_REVIEW_APRIL_08 5 5 2 3 2" xfId="2413" xr:uid="{00000000-0005-0000-0000-00005F090000}"/>
    <cellStyle name="0_6094_REVIEW_APRIL_08 5 5 2 3 2 2" xfId="2414" xr:uid="{00000000-0005-0000-0000-000060090000}"/>
    <cellStyle name="0_6094_REVIEW_APRIL_08 5 5 2 3 3" xfId="2415" xr:uid="{00000000-0005-0000-0000-000061090000}"/>
    <cellStyle name="0_6094_REVIEW_APRIL_08 5 5 2 3 3 2" xfId="2416" xr:uid="{00000000-0005-0000-0000-000062090000}"/>
    <cellStyle name="0_6094_REVIEW_APRIL_08 5 5 2 3 4" xfId="2417" xr:uid="{00000000-0005-0000-0000-000063090000}"/>
    <cellStyle name="0_6094_REVIEW_APRIL_08 5 5 2 4" xfId="2418" xr:uid="{00000000-0005-0000-0000-000064090000}"/>
    <cellStyle name="0_6094_REVIEW_APRIL_08 5 5 2 4 2" xfId="2419" xr:uid="{00000000-0005-0000-0000-000065090000}"/>
    <cellStyle name="0_6094_REVIEW_APRIL_08 5 5 2 5" xfId="2420" xr:uid="{00000000-0005-0000-0000-000066090000}"/>
    <cellStyle name="0_6094_REVIEW_APRIL_08 5 5 2 5 2" xfId="2421" xr:uid="{00000000-0005-0000-0000-000067090000}"/>
    <cellStyle name="0_6094_REVIEW_APRIL_08 5 5 2 6" xfId="2422" xr:uid="{00000000-0005-0000-0000-000068090000}"/>
    <cellStyle name="0_6094_REVIEW_APRIL_08 5 5 3" xfId="2423" xr:uid="{00000000-0005-0000-0000-000069090000}"/>
    <cellStyle name="0_6094_REVIEW_APRIL_08 5 5 3 2" xfId="2424" xr:uid="{00000000-0005-0000-0000-00006A090000}"/>
    <cellStyle name="0_6094_REVIEW_APRIL_08 5 5 3 2 2" xfId="2425" xr:uid="{00000000-0005-0000-0000-00006B090000}"/>
    <cellStyle name="0_6094_REVIEW_APRIL_08 5 5 3 3" xfId="2426" xr:uid="{00000000-0005-0000-0000-00006C090000}"/>
    <cellStyle name="0_6094_REVIEW_APRIL_08 5 5 3 3 2" xfId="2427" xr:uid="{00000000-0005-0000-0000-00006D090000}"/>
    <cellStyle name="0_6094_REVIEW_APRIL_08 5 5 3 4" xfId="2428" xr:uid="{00000000-0005-0000-0000-00006E090000}"/>
    <cellStyle name="0_6094_REVIEW_APRIL_08 5 5 4" xfId="2429" xr:uid="{00000000-0005-0000-0000-00006F090000}"/>
    <cellStyle name="0_6094_REVIEW_APRIL_08 5 5 4 2" xfId="2430" xr:uid="{00000000-0005-0000-0000-000070090000}"/>
    <cellStyle name="0_6094_REVIEW_APRIL_08 5 5 4 2 2" xfId="2431" xr:uid="{00000000-0005-0000-0000-000071090000}"/>
    <cellStyle name="0_6094_REVIEW_APRIL_08 5 5 4 3" xfId="2432" xr:uid="{00000000-0005-0000-0000-000072090000}"/>
    <cellStyle name="0_6094_REVIEW_APRIL_08 5 5 4 3 2" xfId="2433" xr:uid="{00000000-0005-0000-0000-000073090000}"/>
    <cellStyle name="0_6094_REVIEW_APRIL_08 5 5 4 4" xfId="2434" xr:uid="{00000000-0005-0000-0000-000074090000}"/>
    <cellStyle name="0_6094_REVIEW_APRIL_08 5 5 5" xfId="2435" xr:uid="{00000000-0005-0000-0000-000075090000}"/>
    <cellStyle name="0_6094_REVIEW_APRIL_08 5 5 5 2" xfId="2436" xr:uid="{00000000-0005-0000-0000-000076090000}"/>
    <cellStyle name="0_6094_REVIEW_APRIL_08 5 5 5 2 2" xfId="2437" xr:uid="{00000000-0005-0000-0000-000077090000}"/>
    <cellStyle name="0_6094_REVIEW_APRIL_08 5 5 5 3" xfId="2438" xr:uid="{00000000-0005-0000-0000-000078090000}"/>
    <cellStyle name="0_6094_REVIEW_APRIL_08 5 5 5 3 2" xfId="2439" xr:uid="{00000000-0005-0000-0000-000079090000}"/>
    <cellStyle name="0_6094_REVIEW_APRIL_08 5 5 5 4" xfId="2440" xr:uid="{00000000-0005-0000-0000-00007A090000}"/>
    <cellStyle name="0_6094_REVIEW_APRIL_08 5 5 6" xfId="2441" xr:uid="{00000000-0005-0000-0000-00007B090000}"/>
    <cellStyle name="0_6094_REVIEW_APRIL_08 5 5 6 2" xfId="2442" xr:uid="{00000000-0005-0000-0000-00007C090000}"/>
    <cellStyle name="0_6094_REVIEW_APRIL_08 5 5 7" xfId="2443" xr:uid="{00000000-0005-0000-0000-00007D090000}"/>
    <cellStyle name="0_6094_REVIEW_APRIL_08 5 5 7 2" xfId="2444" xr:uid="{00000000-0005-0000-0000-00007E090000}"/>
    <cellStyle name="0_6094_REVIEW_APRIL_08 5 5 8" xfId="2445" xr:uid="{00000000-0005-0000-0000-00007F090000}"/>
    <cellStyle name="0_6094_REVIEW_APRIL_08 5 6" xfId="2446" xr:uid="{00000000-0005-0000-0000-000080090000}"/>
    <cellStyle name="0_6094_REVIEW_APRIL_08 5 6 2" xfId="2447" xr:uid="{00000000-0005-0000-0000-000081090000}"/>
    <cellStyle name="0_6094_REVIEW_APRIL_08 5 6 2 2" xfId="2448" xr:uid="{00000000-0005-0000-0000-000082090000}"/>
    <cellStyle name="0_6094_REVIEW_APRIL_08 5 6 2 2 2" xfId="2449" xr:uid="{00000000-0005-0000-0000-000083090000}"/>
    <cellStyle name="0_6094_REVIEW_APRIL_08 5 6 2 2 2 2" xfId="2450" xr:uid="{00000000-0005-0000-0000-000084090000}"/>
    <cellStyle name="0_6094_REVIEW_APRIL_08 5 6 2 2 3" xfId="2451" xr:uid="{00000000-0005-0000-0000-000085090000}"/>
    <cellStyle name="0_6094_REVIEW_APRIL_08 5 6 2 2 3 2" xfId="2452" xr:uid="{00000000-0005-0000-0000-000086090000}"/>
    <cellStyle name="0_6094_REVIEW_APRIL_08 5 6 2 2 4" xfId="2453" xr:uid="{00000000-0005-0000-0000-000087090000}"/>
    <cellStyle name="0_6094_REVIEW_APRIL_08 5 6 2 3" xfId="2454" xr:uid="{00000000-0005-0000-0000-000088090000}"/>
    <cellStyle name="0_6094_REVIEW_APRIL_08 5 6 2 3 2" xfId="2455" xr:uid="{00000000-0005-0000-0000-000089090000}"/>
    <cellStyle name="0_6094_REVIEW_APRIL_08 5 6 2 3 2 2" xfId="2456" xr:uid="{00000000-0005-0000-0000-00008A090000}"/>
    <cellStyle name="0_6094_REVIEW_APRIL_08 5 6 2 3 3" xfId="2457" xr:uid="{00000000-0005-0000-0000-00008B090000}"/>
    <cellStyle name="0_6094_REVIEW_APRIL_08 5 6 2 3 3 2" xfId="2458" xr:uid="{00000000-0005-0000-0000-00008C090000}"/>
    <cellStyle name="0_6094_REVIEW_APRIL_08 5 6 2 3 4" xfId="2459" xr:uid="{00000000-0005-0000-0000-00008D090000}"/>
    <cellStyle name="0_6094_REVIEW_APRIL_08 5 6 2 4" xfId="2460" xr:uid="{00000000-0005-0000-0000-00008E090000}"/>
    <cellStyle name="0_6094_REVIEW_APRIL_08 5 6 2 4 2" xfId="2461" xr:uid="{00000000-0005-0000-0000-00008F090000}"/>
    <cellStyle name="0_6094_REVIEW_APRIL_08 5 6 2 5" xfId="2462" xr:uid="{00000000-0005-0000-0000-000090090000}"/>
    <cellStyle name="0_6094_REVIEW_APRIL_08 5 6 2 5 2" xfId="2463" xr:uid="{00000000-0005-0000-0000-000091090000}"/>
    <cellStyle name="0_6094_REVIEW_APRIL_08 5 6 2 6" xfId="2464" xr:uid="{00000000-0005-0000-0000-000092090000}"/>
    <cellStyle name="0_6094_REVIEW_APRIL_08 5 6 3" xfId="2465" xr:uid="{00000000-0005-0000-0000-000093090000}"/>
    <cellStyle name="0_6094_REVIEW_APRIL_08 5 6 3 2" xfId="2466" xr:uid="{00000000-0005-0000-0000-000094090000}"/>
    <cellStyle name="0_6094_REVIEW_APRIL_08 5 6 3 2 2" xfId="2467" xr:uid="{00000000-0005-0000-0000-000095090000}"/>
    <cellStyle name="0_6094_REVIEW_APRIL_08 5 6 3 3" xfId="2468" xr:uid="{00000000-0005-0000-0000-000096090000}"/>
    <cellStyle name="0_6094_REVIEW_APRIL_08 5 6 3 3 2" xfId="2469" xr:uid="{00000000-0005-0000-0000-000097090000}"/>
    <cellStyle name="0_6094_REVIEW_APRIL_08 5 6 3 4" xfId="2470" xr:uid="{00000000-0005-0000-0000-000098090000}"/>
    <cellStyle name="0_6094_REVIEW_APRIL_08 5 6 4" xfId="2471" xr:uid="{00000000-0005-0000-0000-000099090000}"/>
    <cellStyle name="0_6094_REVIEW_APRIL_08 5 6 4 2" xfId="2472" xr:uid="{00000000-0005-0000-0000-00009A090000}"/>
    <cellStyle name="0_6094_REVIEW_APRIL_08 5 6 4 2 2" xfId="2473" xr:uid="{00000000-0005-0000-0000-00009B090000}"/>
    <cellStyle name="0_6094_REVIEW_APRIL_08 5 6 4 3" xfId="2474" xr:uid="{00000000-0005-0000-0000-00009C090000}"/>
    <cellStyle name="0_6094_REVIEW_APRIL_08 5 6 4 3 2" xfId="2475" xr:uid="{00000000-0005-0000-0000-00009D090000}"/>
    <cellStyle name="0_6094_REVIEW_APRIL_08 5 6 4 4" xfId="2476" xr:uid="{00000000-0005-0000-0000-00009E090000}"/>
    <cellStyle name="0_6094_REVIEW_APRIL_08 5 6 5" xfId="2477" xr:uid="{00000000-0005-0000-0000-00009F090000}"/>
    <cellStyle name="0_6094_REVIEW_APRIL_08 5 6 5 2" xfId="2478" xr:uid="{00000000-0005-0000-0000-0000A0090000}"/>
    <cellStyle name="0_6094_REVIEW_APRIL_08 5 6 5 2 2" xfId="2479" xr:uid="{00000000-0005-0000-0000-0000A1090000}"/>
    <cellStyle name="0_6094_REVIEW_APRIL_08 5 6 5 3" xfId="2480" xr:uid="{00000000-0005-0000-0000-0000A2090000}"/>
    <cellStyle name="0_6094_REVIEW_APRIL_08 5 6 5 3 2" xfId="2481" xr:uid="{00000000-0005-0000-0000-0000A3090000}"/>
    <cellStyle name="0_6094_REVIEW_APRIL_08 5 6 5 4" xfId="2482" xr:uid="{00000000-0005-0000-0000-0000A4090000}"/>
    <cellStyle name="0_6094_REVIEW_APRIL_08 5 6 6" xfId="2483" xr:uid="{00000000-0005-0000-0000-0000A5090000}"/>
    <cellStyle name="0_6094_REVIEW_APRIL_08 5 6 6 2" xfId="2484" xr:uid="{00000000-0005-0000-0000-0000A6090000}"/>
    <cellStyle name="0_6094_REVIEW_APRIL_08 5 6 7" xfId="2485" xr:uid="{00000000-0005-0000-0000-0000A7090000}"/>
    <cellStyle name="0_6094_REVIEW_APRIL_08 5 6 7 2" xfId="2486" xr:uid="{00000000-0005-0000-0000-0000A8090000}"/>
    <cellStyle name="0_6094_REVIEW_APRIL_08 5 6 8" xfId="2487" xr:uid="{00000000-0005-0000-0000-0000A9090000}"/>
    <cellStyle name="0_6094_REVIEW_APRIL_08 5 7" xfId="2488" xr:uid="{00000000-0005-0000-0000-0000AA090000}"/>
    <cellStyle name="0_6094_REVIEW_APRIL_08 5 7 2" xfId="2489" xr:uid="{00000000-0005-0000-0000-0000AB090000}"/>
    <cellStyle name="0_6094_REVIEW_APRIL_08 5 7 2 2" xfId="2490" xr:uid="{00000000-0005-0000-0000-0000AC090000}"/>
    <cellStyle name="0_6094_REVIEW_APRIL_08 5 7 2 2 2" xfId="2491" xr:uid="{00000000-0005-0000-0000-0000AD090000}"/>
    <cellStyle name="0_6094_REVIEW_APRIL_08 5 7 2 3" xfId="2492" xr:uid="{00000000-0005-0000-0000-0000AE090000}"/>
    <cellStyle name="0_6094_REVIEW_APRIL_08 5 7 2 3 2" xfId="2493" xr:uid="{00000000-0005-0000-0000-0000AF090000}"/>
    <cellStyle name="0_6094_REVIEW_APRIL_08 5 7 2 4" xfId="2494" xr:uid="{00000000-0005-0000-0000-0000B0090000}"/>
    <cellStyle name="0_6094_REVIEW_APRIL_08 5 7 3" xfId="2495" xr:uid="{00000000-0005-0000-0000-0000B1090000}"/>
    <cellStyle name="0_6094_REVIEW_APRIL_08 5 7 3 2" xfId="2496" xr:uid="{00000000-0005-0000-0000-0000B2090000}"/>
    <cellStyle name="0_6094_REVIEW_APRIL_08 5 7 3 2 2" xfId="2497" xr:uid="{00000000-0005-0000-0000-0000B3090000}"/>
    <cellStyle name="0_6094_REVIEW_APRIL_08 5 7 3 3" xfId="2498" xr:uid="{00000000-0005-0000-0000-0000B4090000}"/>
    <cellStyle name="0_6094_REVIEW_APRIL_08 5 7 3 3 2" xfId="2499" xr:uid="{00000000-0005-0000-0000-0000B5090000}"/>
    <cellStyle name="0_6094_REVIEW_APRIL_08 5 7 3 4" xfId="2500" xr:uid="{00000000-0005-0000-0000-0000B6090000}"/>
    <cellStyle name="0_6094_REVIEW_APRIL_08 5 7 4" xfId="2501" xr:uid="{00000000-0005-0000-0000-0000B7090000}"/>
    <cellStyle name="0_6094_REVIEW_APRIL_08 5 7 4 2" xfId="2502" xr:uid="{00000000-0005-0000-0000-0000B8090000}"/>
    <cellStyle name="0_6094_REVIEW_APRIL_08 5 7 5" xfId="2503" xr:uid="{00000000-0005-0000-0000-0000B9090000}"/>
    <cellStyle name="0_6094_REVIEW_APRIL_08 5 7 5 2" xfId="2504" xr:uid="{00000000-0005-0000-0000-0000BA090000}"/>
    <cellStyle name="0_6094_REVIEW_APRIL_08 5 7 6" xfId="2505" xr:uid="{00000000-0005-0000-0000-0000BB090000}"/>
    <cellStyle name="0_6094_REVIEW_APRIL_08 5 8" xfId="2506" xr:uid="{00000000-0005-0000-0000-0000BC090000}"/>
    <cellStyle name="0_6094_REVIEW_APRIL_08 5 8 2" xfId="2507" xr:uid="{00000000-0005-0000-0000-0000BD090000}"/>
    <cellStyle name="0_6094_REVIEW_APRIL_08 5 8 2 2" xfId="2508" xr:uid="{00000000-0005-0000-0000-0000BE090000}"/>
    <cellStyle name="0_6094_REVIEW_APRIL_08 5 8 3" xfId="2509" xr:uid="{00000000-0005-0000-0000-0000BF090000}"/>
    <cellStyle name="0_6094_REVIEW_APRIL_08 5 8 3 2" xfId="2510" xr:uid="{00000000-0005-0000-0000-0000C0090000}"/>
    <cellStyle name="0_6094_REVIEW_APRIL_08 5 8 4" xfId="2511" xr:uid="{00000000-0005-0000-0000-0000C1090000}"/>
    <cellStyle name="0_6094_REVIEW_APRIL_08 5 9" xfId="2512" xr:uid="{00000000-0005-0000-0000-0000C2090000}"/>
    <cellStyle name="0_6094_REVIEW_APRIL_08 5 9 2" xfId="2513" xr:uid="{00000000-0005-0000-0000-0000C3090000}"/>
    <cellStyle name="0_6094_REVIEW_APRIL_08 5 9 2 2" xfId="2514" xr:uid="{00000000-0005-0000-0000-0000C4090000}"/>
    <cellStyle name="0_6094_REVIEW_APRIL_08 5 9 3" xfId="2515" xr:uid="{00000000-0005-0000-0000-0000C5090000}"/>
    <cellStyle name="0_6094_REVIEW_APRIL_08 5 9 3 2" xfId="2516" xr:uid="{00000000-0005-0000-0000-0000C6090000}"/>
    <cellStyle name="0_6094_REVIEW_APRIL_08 5 9 4" xfId="2517" xr:uid="{00000000-0005-0000-0000-0000C7090000}"/>
    <cellStyle name="0_6094_REVIEW_APRIL_08 6" xfId="2518" xr:uid="{00000000-0005-0000-0000-0000C8090000}"/>
    <cellStyle name="0_6094_REVIEW_APRIL_08 6 2" xfId="2519" xr:uid="{00000000-0005-0000-0000-0000C9090000}"/>
    <cellStyle name="0_6094_REVIEW_APRIL_08 6 2 2" xfId="2520" xr:uid="{00000000-0005-0000-0000-0000CA090000}"/>
    <cellStyle name="0_6094_REVIEW_APRIL_08 6 2 2 2" xfId="2521" xr:uid="{00000000-0005-0000-0000-0000CB090000}"/>
    <cellStyle name="0_6094_REVIEW_APRIL_08 6 2 2 2 2" xfId="2522" xr:uid="{00000000-0005-0000-0000-0000CC090000}"/>
    <cellStyle name="0_6094_REVIEW_APRIL_08 6 2 2 3" xfId="2523" xr:uid="{00000000-0005-0000-0000-0000CD090000}"/>
    <cellStyle name="0_6094_REVIEW_APRIL_08 6 2 2 3 2" xfId="2524" xr:uid="{00000000-0005-0000-0000-0000CE090000}"/>
    <cellStyle name="0_6094_REVIEW_APRIL_08 6 2 2 4" xfId="2525" xr:uid="{00000000-0005-0000-0000-0000CF090000}"/>
    <cellStyle name="0_6094_REVIEW_APRIL_08 6 2 3" xfId="2526" xr:uid="{00000000-0005-0000-0000-0000D0090000}"/>
    <cellStyle name="0_6094_REVIEW_APRIL_08 6 2 3 2" xfId="2527" xr:uid="{00000000-0005-0000-0000-0000D1090000}"/>
    <cellStyle name="0_6094_REVIEW_APRIL_08 6 2 3 2 2" xfId="2528" xr:uid="{00000000-0005-0000-0000-0000D2090000}"/>
    <cellStyle name="0_6094_REVIEW_APRIL_08 6 2 3 3" xfId="2529" xr:uid="{00000000-0005-0000-0000-0000D3090000}"/>
    <cellStyle name="0_6094_REVIEW_APRIL_08 6 2 3 3 2" xfId="2530" xr:uid="{00000000-0005-0000-0000-0000D4090000}"/>
    <cellStyle name="0_6094_REVIEW_APRIL_08 6 2 3 4" xfId="2531" xr:uid="{00000000-0005-0000-0000-0000D5090000}"/>
    <cellStyle name="0_6094_REVIEW_APRIL_08 6 2 4" xfId="2532" xr:uid="{00000000-0005-0000-0000-0000D6090000}"/>
    <cellStyle name="0_6094_REVIEW_APRIL_08 6 2 4 2" xfId="2533" xr:uid="{00000000-0005-0000-0000-0000D7090000}"/>
    <cellStyle name="0_6094_REVIEW_APRIL_08 6 2 5" xfId="2534" xr:uid="{00000000-0005-0000-0000-0000D8090000}"/>
    <cellStyle name="0_6094_REVIEW_APRIL_08 6 2 5 2" xfId="2535" xr:uid="{00000000-0005-0000-0000-0000D9090000}"/>
    <cellStyle name="0_6094_REVIEW_APRIL_08 6 2 6" xfId="2536" xr:uid="{00000000-0005-0000-0000-0000DA090000}"/>
    <cellStyle name="0_6094_REVIEW_APRIL_08 6 3" xfId="2537" xr:uid="{00000000-0005-0000-0000-0000DB090000}"/>
    <cellStyle name="0_6094_REVIEW_APRIL_08 6 3 2" xfId="2538" xr:uid="{00000000-0005-0000-0000-0000DC090000}"/>
    <cellStyle name="0_6094_REVIEW_APRIL_08 6 3 2 2" xfId="2539" xr:uid="{00000000-0005-0000-0000-0000DD090000}"/>
    <cellStyle name="0_6094_REVIEW_APRIL_08 6 3 3" xfId="2540" xr:uid="{00000000-0005-0000-0000-0000DE090000}"/>
    <cellStyle name="0_6094_REVIEW_APRIL_08 6 3 3 2" xfId="2541" xr:uid="{00000000-0005-0000-0000-0000DF090000}"/>
    <cellStyle name="0_6094_REVIEW_APRIL_08 6 3 4" xfId="2542" xr:uid="{00000000-0005-0000-0000-0000E0090000}"/>
    <cellStyle name="0_6094_REVIEW_APRIL_08 6 4" xfId="2543" xr:uid="{00000000-0005-0000-0000-0000E1090000}"/>
    <cellStyle name="0_6094_REVIEW_APRIL_08 6 4 2" xfId="2544" xr:uid="{00000000-0005-0000-0000-0000E2090000}"/>
    <cellStyle name="0_6094_REVIEW_APRIL_08 6 4 2 2" xfId="2545" xr:uid="{00000000-0005-0000-0000-0000E3090000}"/>
    <cellStyle name="0_6094_REVIEW_APRIL_08 6 4 3" xfId="2546" xr:uid="{00000000-0005-0000-0000-0000E4090000}"/>
    <cellStyle name="0_6094_REVIEW_APRIL_08 6 4 3 2" xfId="2547" xr:uid="{00000000-0005-0000-0000-0000E5090000}"/>
    <cellStyle name="0_6094_REVIEW_APRIL_08 6 4 4" xfId="2548" xr:uid="{00000000-0005-0000-0000-0000E6090000}"/>
    <cellStyle name="0_6094_REVIEW_APRIL_08 6 5" xfId="2549" xr:uid="{00000000-0005-0000-0000-0000E7090000}"/>
    <cellStyle name="0_6094_REVIEW_APRIL_08 6 5 2" xfId="2550" xr:uid="{00000000-0005-0000-0000-0000E8090000}"/>
    <cellStyle name="0_6094_REVIEW_APRIL_08 6 5 2 2" xfId="2551" xr:uid="{00000000-0005-0000-0000-0000E9090000}"/>
    <cellStyle name="0_6094_REVIEW_APRIL_08 6 5 3" xfId="2552" xr:uid="{00000000-0005-0000-0000-0000EA090000}"/>
    <cellStyle name="0_6094_REVIEW_APRIL_08 6 5 3 2" xfId="2553" xr:uid="{00000000-0005-0000-0000-0000EB090000}"/>
    <cellStyle name="0_6094_REVIEW_APRIL_08 6 5 4" xfId="2554" xr:uid="{00000000-0005-0000-0000-0000EC090000}"/>
    <cellStyle name="0_6094_REVIEW_APRIL_08 6 6" xfId="2555" xr:uid="{00000000-0005-0000-0000-0000ED090000}"/>
    <cellStyle name="0_6094_REVIEW_APRIL_08 6 6 2" xfId="2556" xr:uid="{00000000-0005-0000-0000-0000EE090000}"/>
    <cellStyle name="0_6094_REVIEW_APRIL_08 6 7" xfId="2557" xr:uid="{00000000-0005-0000-0000-0000EF090000}"/>
    <cellStyle name="0_6094_REVIEW_APRIL_08 6 7 2" xfId="2558" xr:uid="{00000000-0005-0000-0000-0000F0090000}"/>
    <cellStyle name="0_6094_REVIEW_APRIL_08 6 8" xfId="2559" xr:uid="{00000000-0005-0000-0000-0000F1090000}"/>
    <cellStyle name="0_6094_REVIEW_APRIL_08 7" xfId="2560" xr:uid="{00000000-0005-0000-0000-0000F2090000}"/>
    <cellStyle name="0_6094_REVIEW_APRIL_08 7 2" xfId="2561" xr:uid="{00000000-0005-0000-0000-0000F3090000}"/>
    <cellStyle name="0_6094_REVIEW_APRIL_08 7 2 2" xfId="2562" xr:uid="{00000000-0005-0000-0000-0000F4090000}"/>
    <cellStyle name="0_6094_REVIEW_APRIL_08 7 2 2 2" xfId="2563" xr:uid="{00000000-0005-0000-0000-0000F5090000}"/>
    <cellStyle name="0_6094_REVIEW_APRIL_08 7 2 3" xfId="2564" xr:uid="{00000000-0005-0000-0000-0000F6090000}"/>
    <cellStyle name="0_6094_REVIEW_APRIL_08 7 2 3 2" xfId="2565" xr:uid="{00000000-0005-0000-0000-0000F7090000}"/>
    <cellStyle name="0_6094_REVIEW_APRIL_08 7 2 4" xfId="2566" xr:uid="{00000000-0005-0000-0000-0000F8090000}"/>
    <cellStyle name="0_6094_REVIEW_APRIL_08 7 3" xfId="2567" xr:uid="{00000000-0005-0000-0000-0000F9090000}"/>
    <cellStyle name="0_6094_REVIEW_APRIL_08 7 3 2" xfId="2568" xr:uid="{00000000-0005-0000-0000-0000FA090000}"/>
    <cellStyle name="0_6094_REVIEW_APRIL_08 7 3 2 2" xfId="2569" xr:uid="{00000000-0005-0000-0000-0000FB090000}"/>
    <cellStyle name="0_6094_REVIEW_APRIL_08 7 3 3" xfId="2570" xr:uid="{00000000-0005-0000-0000-0000FC090000}"/>
    <cellStyle name="0_6094_REVIEW_APRIL_08 7 3 3 2" xfId="2571" xr:uid="{00000000-0005-0000-0000-0000FD090000}"/>
    <cellStyle name="0_6094_REVIEW_APRIL_08 7 3 4" xfId="2572" xr:uid="{00000000-0005-0000-0000-0000FE090000}"/>
    <cellStyle name="0_6094_REVIEW_APRIL_08 7 4" xfId="2573" xr:uid="{00000000-0005-0000-0000-0000FF090000}"/>
    <cellStyle name="0_6094_REVIEW_APRIL_08 7 4 2" xfId="2574" xr:uid="{00000000-0005-0000-0000-0000000A0000}"/>
    <cellStyle name="0_6094_REVIEW_APRIL_08 7 5" xfId="2575" xr:uid="{00000000-0005-0000-0000-0000010A0000}"/>
    <cellStyle name="0_6094_REVIEW_APRIL_08 7 5 2" xfId="2576" xr:uid="{00000000-0005-0000-0000-0000020A0000}"/>
    <cellStyle name="0_6094_REVIEW_APRIL_08 7 6" xfId="2577" xr:uid="{00000000-0005-0000-0000-0000030A0000}"/>
    <cellStyle name="0_6094_REVIEW_APRIL_08 8" xfId="2578" xr:uid="{00000000-0005-0000-0000-0000040A0000}"/>
    <cellStyle name="0_6094_REVIEW_APRIL_08 8 2" xfId="2579" xr:uid="{00000000-0005-0000-0000-0000050A0000}"/>
    <cellStyle name="0_6094_REVIEW_APRIL_08 8 2 2" xfId="2580" xr:uid="{00000000-0005-0000-0000-0000060A0000}"/>
    <cellStyle name="0_6094_REVIEW_APRIL_08 8 2 2 2" xfId="2581" xr:uid="{00000000-0005-0000-0000-0000070A0000}"/>
    <cellStyle name="0_6094_REVIEW_APRIL_08 8 2 3" xfId="2582" xr:uid="{00000000-0005-0000-0000-0000080A0000}"/>
    <cellStyle name="0_6094_REVIEW_APRIL_08 8 2 3 2" xfId="2583" xr:uid="{00000000-0005-0000-0000-0000090A0000}"/>
    <cellStyle name="0_6094_REVIEW_APRIL_08 8 2 4" xfId="2584" xr:uid="{00000000-0005-0000-0000-00000A0A0000}"/>
    <cellStyle name="0_6094_REVIEW_APRIL_08 8 3" xfId="2585" xr:uid="{00000000-0005-0000-0000-00000B0A0000}"/>
    <cellStyle name="0_6094_REVIEW_APRIL_08 8 3 2" xfId="2586" xr:uid="{00000000-0005-0000-0000-00000C0A0000}"/>
    <cellStyle name="0_6094_REVIEW_APRIL_08 8 3 2 2" xfId="2587" xr:uid="{00000000-0005-0000-0000-00000D0A0000}"/>
    <cellStyle name="0_6094_REVIEW_APRIL_08 8 3 3" xfId="2588" xr:uid="{00000000-0005-0000-0000-00000E0A0000}"/>
    <cellStyle name="0_6094_REVIEW_APRIL_08 8 3 3 2" xfId="2589" xr:uid="{00000000-0005-0000-0000-00000F0A0000}"/>
    <cellStyle name="0_6094_REVIEW_APRIL_08 8 3 4" xfId="2590" xr:uid="{00000000-0005-0000-0000-0000100A0000}"/>
    <cellStyle name="0_6094_REVIEW_APRIL_08 8 4" xfId="2591" xr:uid="{00000000-0005-0000-0000-0000110A0000}"/>
    <cellStyle name="0_6094_REVIEW_APRIL_08 8 4 2" xfId="2592" xr:uid="{00000000-0005-0000-0000-0000120A0000}"/>
    <cellStyle name="0_6094_REVIEW_APRIL_08 8 5" xfId="2593" xr:uid="{00000000-0005-0000-0000-0000130A0000}"/>
    <cellStyle name="0_6094_REVIEW_APRIL_08 8 5 2" xfId="2594" xr:uid="{00000000-0005-0000-0000-0000140A0000}"/>
    <cellStyle name="0_6094_REVIEW_APRIL_08 8 6" xfId="2595" xr:uid="{00000000-0005-0000-0000-0000150A0000}"/>
    <cellStyle name="0_6094_REVIEW_APRIL_08 9" xfId="2596" xr:uid="{00000000-0005-0000-0000-0000160A0000}"/>
    <cellStyle name="0_6094_REVIEW_APRIL_08 9 2" xfId="2597" xr:uid="{00000000-0005-0000-0000-0000170A0000}"/>
    <cellStyle name="0_6094_REVIEW_APRIL_08 9 2 2" xfId="2598" xr:uid="{00000000-0005-0000-0000-0000180A0000}"/>
    <cellStyle name="0_6094_REVIEW_APRIL_08 9 3" xfId="2599" xr:uid="{00000000-0005-0000-0000-0000190A0000}"/>
    <cellStyle name="0_6094_REVIEW_APRIL_08 9 3 2" xfId="2600" xr:uid="{00000000-0005-0000-0000-00001A0A0000}"/>
    <cellStyle name="0_6094_REVIEW_APRIL_08 9 4" xfId="2601" xr:uid="{00000000-0005-0000-0000-00001B0A0000}"/>
    <cellStyle name="0_6117 org" xfId="2602" xr:uid="{00000000-0005-0000-0000-00001C0A0000}"/>
    <cellStyle name="0_6117 org 10" xfId="2603" xr:uid="{00000000-0005-0000-0000-00001D0A0000}"/>
    <cellStyle name="0_6117 org 10 2" xfId="2604" xr:uid="{00000000-0005-0000-0000-00001E0A0000}"/>
    <cellStyle name="0_6117 org 10 2 2" xfId="2605" xr:uid="{00000000-0005-0000-0000-00001F0A0000}"/>
    <cellStyle name="0_6117 org 10 3" xfId="2606" xr:uid="{00000000-0005-0000-0000-0000200A0000}"/>
    <cellStyle name="0_6117 org 10 3 2" xfId="2607" xr:uid="{00000000-0005-0000-0000-0000210A0000}"/>
    <cellStyle name="0_6117 org 10 4" xfId="2608" xr:uid="{00000000-0005-0000-0000-0000220A0000}"/>
    <cellStyle name="0_6117 org 11" xfId="2609" xr:uid="{00000000-0005-0000-0000-0000230A0000}"/>
    <cellStyle name="0_6117 org 11 2" xfId="2610" xr:uid="{00000000-0005-0000-0000-0000240A0000}"/>
    <cellStyle name="0_6117 org 11 2 2" xfId="2611" xr:uid="{00000000-0005-0000-0000-0000250A0000}"/>
    <cellStyle name="0_6117 org 11 3" xfId="2612" xr:uid="{00000000-0005-0000-0000-0000260A0000}"/>
    <cellStyle name="0_6117 org 11 3 2" xfId="2613" xr:uid="{00000000-0005-0000-0000-0000270A0000}"/>
    <cellStyle name="0_6117 org 11 4" xfId="2614" xr:uid="{00000000-0005-0000-0000-0000280A0000}"/>
    <cellStyle name="0_6117 org 12" xfId="2615" xr:uid="{00000000-0005-0000-0000-0000290A0000}"/>
    <cellStyle name="0_6117 org 12 2" xfId="2616" xr:uid="{00000000-0005-0000-0000-00002A0A0000}"/>
    <cellStyle name="0_6117 org 13" xfId="2617" xr:uid="{00000000-0005-0000-0000-00002B0A0000}"/>
    <cellStyle name="0_6117 org 13 2" xfId="2618" xr:uid="{00000000-0005-0000-0000-00002C0A0000}"/>
    <cellStyle name="0_6117 org 14" xfId="2619" xr:uid="{00000000-0005-0000-0000-00002D0A0000}"/>
    <cellStyle name="0_6117 org 14 2" xfId="2620" xr:uid="{00000000-0005-0000-0000-00002E0A0000}"/>
    <cellStyle name="0_6117 org 15" xfId="2621" xr:uid="{00000000-0005-0000-0000-00002F0A0000}"/>
    <cellStyle name="0_6117 org 16" xfId="2622" xr:uid="{00000000-0005-0000-0000-0000300A0000}"/>
    <cellStyle name="0_6117 org 17" xfId="2623" xr:uid="{00000000-0005-0000-0000-0000310A0000}"/>
    <cellStyle name="0_6117 org 18" xfId="2624" xr:uid="{00000000-0005-0000-0000-0000320A0000}"/>
    <cellStyle name="0_6117 org 19" xfId="2625" xr:uid="{00000000-0005-0000-0000-0000330A0000}"/>
    <cellStyle name="0_6117 org 2" xfId="2626" xr:uid="{00000000-0005-0000-0000-0000340A0000}"/>
    <cellStyle name="0_6117 org 2 10" xfId="2627" xr:uid="{00000000-0005-0000-0000-0000350A0000}"/>
    <cellStyle name="0_6117 org 2 10 2" xfId="2628" xr:uid="{00000000-0005-0000-0000-0000360A0000}"/>
    <cellStyle name="0_6117 org 2 10 2 2" xfId="2629" xr:uid="{00000000-0005-0000-0000-0000370A0000}"/>
    <cellStyle name="0_6117 org 2 10 3" xfId="2630" xr:uid="{00000000-0005-0000-0000-0000380A0000}"/>
    <cellStyle name="0_6117 org 2 10 3 2" xfId="2631" xr:uid="{00000000-0005-0000-0000-0000390A0000}"/>
    <cellStyle name="0_6117 org 2 10 4" xfId="2632" xr:uid="{00000000-0005-0000-0000-00003A0A0000}"/>
    <cellStyle name="0_6117 org 2 11" xfId="2633" xr:uid="{00000000-0005-0000-0000-00003B0A0000}"/>
    <cellStyle name="0_6117 org 2 11 2" xfId="2634" xr:uid="{00000000-0005-0000-0000-00003C0A0000}"/>
    <cellStyle name="0_6117 org 2 12" xfId="2635" xr:uid="{00000000-0005-0000-0000-00003D0A0000}"/>
    <cellStyle name="0_6117 org 2 12 2" xfId="2636" xr:uid="{00000000-0005-0000-0000-00003E0A0000}"/>
    <cellStyle name="0_6117 org 2 13" xfId="2637" xr:uid="{00000000-0005-0000-0000-00003F0A0000}"/>
    <cellStyle name="0_6117 org 2 14" xfId="2638" xr:uid="{00000000-0005-0000-0000-0000400A0000}"/>
    <cellStyle name="0_6117 org 2 15" xfId="2639" xr:uid="{00000000-0005-0000-0000-0000410A0000}"/>
    <cellStyle name="0_6117 org 2 16" xfId="2640" xr:uid="{00000000-0005-0000-0000-0000420A0000}"/>
    <cellStyle name="0_6117 org 2 2" xfId="2641" xr:uid="{00000000-0005-0000-0000-0000430A0000}"/>
    <cellStyle name="0_6117 org 2 2 2" xfId="2642" xr:uid="{00000000-0005-0000-0000-0000440A0000}"/>
    <cellStyle name="0_6117 org 2 2 2 2" xfId="2643" xr:uid="{00000000-0005-0000-0000-0000450A0000}"/>
    <cellStyle name="0_6117 org 2 2 2 2 2" xfId="2644" xr:uid="{00000000-0005-0000-0000-0000460A0000}"/>
    <cellStyle name="0_6117 org 2 2 2 2 2 2" xfId="2645" xr:uid="{00000000-0005-0000-0000-0000470A0000}"/>
    <cellStyle name="0_6117 org 2 2 2 2 3" xfId="2646" xr:uid="{00000000-0005-0000-0000-0000480A0000}"/>
    <cellStyle name="0_6117 org 2 2 2 2 3 2" xfId="2647" xr:uid="{00000000-0005-0000-0000-0000490A0000}"/>
    <cellStyle name="0_6117 org 2 2 2 2 4" xfId="2648" xr:uid="{00000000-0005-0000-0000-00004A0A0000}"/>
    <cellStyle name="0_6117 org 2 2 2 3" xfId="2649" xr:uid="{00000000-0005-0000-0000-00004B0A0000}"/>
    <cellStyle name="0_6117 org 2 2 2 3 2" xfId="2650" xr:uid="{00000000-0005-0000-0000-00004C0A0000}"/>
    <cellStyle name="0_6117 org 2 2 2 3 2 2" xfId="2651" xr:uid="{00000000-0005-0000-0000-00004D0A0000}"/>
    <cellStyle name="0_6117 org 2 2 2 3 3" xfId="2652" xr:uid="{00000000-0005-0000-0000-00004E0A0000}"/>
    <cellStyle name="0_6117 org 2 2 2 3 3 2" xfId="2653" xr:uid="{00000000-0005-0000-0000-00004F0A0000}"/>
    <cellStyle name="0_6117 org 2 2 2 3 4" xfId="2654" xr:uid="{00000000-0005-0000-0000-0000500A0000}"/>
    <cellStyle name="0_6117 org 2 2 2 4" xfId="2655" xr:uid="{00000000-0005-0000-0000-0000510A0000}"/>
    <cellStyle name="0_6117 org 2 2 2 4 2" xfId="2656" xr:uid="{00000000-0005-0000-0000-0000520A0000}"/>
    <cellStyle name="0_6117 org 2 2 2 5" xfId="2657" xr:uid="{00000000-0005-0000-0000-0000530A0000}"/>
    <cellStyle name="0_6117 org 2 2 2 5 2" xfId="2658" xr:uid="{00000000-0005-0000-0000-0000540A0000}"/>
    <cellStyle name="0_6117 org 2 2 2 6" xfId="2659" xr:uid="{00000000-0005-0000-0000-0000550A0000}"/>
    <cellStyle name="0_6117 org 2 2 3" xfId="2660" xr:uid="{00000000-0005-0000-0000-0000560A0000}"/>
    <cellStyle name="0_6117 org 2 2 3 2" xfId="2661" xr:uid="{00000000-0005-0000-0000-0000570A0000}"/>
    <cellStyle name="0_6117 org 2 2 3 2 2" xfId="2662" xr:uid="{00000000-0005-0000-0000-0000580A0000}"/>
    <cellStyle name="0_6117 org 2 2 3 3" xfId="2663" xr:uid="{00000000-0005-0000-0000-0000590A0000}"/>
    <cellStyle name="0_6117 org 2 2 3 3 2" xfId="2664" xr:uid="{00000000-0005-0000-0000-00005A0A0000}"/>
    <cellStyle name="0_6117 org 2 2 3 4" xfId="2665" xr:uid="{00000000-0005-0000-0000-00005B0A0000}"/>
    <cellStyle name="0_6117 org 2 2 4" xfId="2666" xr:uid="{00000000-0005-0000-0000-00005C0A0000}"/>
    <cellStyle name="0_6117 org 2 2 4 2" xfId="2667" xr:uid="{00000000-0005-0000-0000-00005D0A0000}"/>
    <cellStyle name="0_6117 org 2 2 4 2 2" xfId="2668" xr:uid="{00000000-0005-0000-0000-00005E0A0000}"/>
    <cellStyle name="0_6117 org 2 2 4 3" xfId="2669" xr:uid="{00000000-0005-0000-0000-00005F0A0000}"/>
    <cellStyle name="0_6117 org 2 2 4 3 2" xfId="2670" xr:uid="{00000000-0005-0000-0000-0000600A0000}"/>
    <cellStyle name="0_6117 org 2 2 4 4" xfId="2671" xr:uid="{00000000-0005-0000-0000-0000610A0000}"/>
    <cellStyle name="0_6117 org 2 2 5" xfId="2672" xr:uid="{00000000-0005-0000-0000-0000620A0000}"/>
    <cellStyle name="0_6117 org 2 2 5 2" xfId="2673" xr:uid="{00000000-0005-0000-0000-0000630A0000}"/>
    <cellStyle name="0_6117 org 2 2 5 2 2" xfId="2674" xr:uid="{00000000-0005-0000-0000-0000640A0000}"/>
    <cellStyle name="0_6117 org 2 2 5 3" xfId="2675" xr:uid="{00000000-0005-0000-0000-0000650A0000}"/>
    <cellStyle name="0_6117 org 2 2 5 3 2" xfId="2676" xr:uid="{00000000-0005-0000-0000-0000660A0000}"/>
    <cellStyle name="0_6117 org 2 2 5 4" xfId="2677" xr:uid="{00000000-0005-0000-0000-0000670A0000}"/>
    <cellStyle name="0_6117 org 2 2 6" xfId="2678" xr:uid="{00000000-0005-0000-0000-0000680A0000}"/>
    <cellStyle name="0_6117 org 2 2 6 2" xfId="2679" xr:uid="{00000000-0005-0000-0000-0000690A0000}"/>
    <cellStyle name="0_6117 org 2 2 7" xfId="2680" xr:uid="{00000000-0005-0000-0000-00006A0A0000}"/>
    <cellStyle name="0_6117 org 2 2 7 2" xfId="2681" xr:uid="{00000000-0005-0000-0000-00006B0A0000}"/>
    <cellStyle name="0_6117 org 2 2 8" xfId="2682" xr:uid="{00000000-0005-0000-0000-00006C0A0000}"/>
    <cellStyle name="0_6117 org 2 3" xfId="2683" xr:uid="{00000000-0005-0000-0000-00006D0A0000}"/>
    <cellStyle name="0_6117 org 2 3 2" xfId="2684" xr:uid="{00000000-0005-0000-0000-00006E0A0000}"/>
    <cellStyle name="0_6117 org 2 3 2 2" xfId="2685" xr:uid="{00000000-0005-0000-0000-00006F0A0000}"/>
    <cellStyle name="0_6117 org 2 3 2 2 2" xfId="2686" xr:uid="{00000000-0005-0000-0000-0000700A0000}"/>
    <cellStyle name="0_6117 org 2 3 2 2 2 2" xfId="2687" xr:uid="{00000000-0005-0000-0000-0000710A0000}"/>
    <cellStyle name="0_6117 org 2 3 2 2 3" xfId="2688" xr:uid="{00000000-0005-0000-0000-0000720A0000}"/>
    <cellStyle name="0_6117 org 2 3 2 2 3 2" xfId="2689" xr:uid="{00000000-0005-0000-0000-0000730A0000}"/>
    <cellStyle name="0_6117 org 2 3 2 2 4" xfId="2690" xr:uid="{00000000-0005-0000-0000-0000740A0000}"/>
    <cellStyle name="0_6117 org 2 3 2 3" xfId="2691" xr:uid="{00000000-0005-0000-0000-0000750A0000}"/>
    <cellStyle name="0_6117 org 2 3 2 3 2" xfId="2692" xr:uid="{00000000-0005-0000-0000-0000760A0000}"/>
    <cellStyle name="0_6117 org 2 3 2 3 2 2" xfId="2693" xr:uid="{00000000-0005-0000-0000-0000770A0000}"/>
    <cellStyle name="0_6117 org 2 3 2 3 3" xfId="2694" xr:uid="{00000000-0005-0000-0000-0000780A0000}"/>
    <cellStyle name="0_6117 org 2 3 2 3 3 2" xfId="2695" xr:uid="{00000000-0005-0000-0000-0000790A0000}"/>
    <cellStyle name="0_6117 org 2 3 2 3 4" xfId="2696" xr:uid="{00000000-0005-0000-0000-00007A0A0000}"/>
    <cellStyle name="0_6117 org 2 3 2 4" xfId="2697" xr:uid="{00000000-0005-0000-0000-00007B0A0000}"/>
    <cellStyle name="0_6117 org 2 3 2 4 2" xfId="2698" xr:uid="{00000000-0005-0000-0000-00007C0A0000}"/>
    <cellStyle name="0_6117 org 2 3 2 5" xfId="2699" xr:uid="{00000000-0005-0000-0000-00007D0A0000}"/>
    <cellStyle name="0_6117 org 2 3 2 5 2" xfId="2700" xr:uid="{00000000-0005-0000-0000-00007E0A0000}"/>
    <cellStyle name="0_6117 org 2 3 2 6" xfId="2701" xr:uid="{00000000-0005-0000-0000-00007F0A0000}"/>
    <cellStyle name="0_6117 org 2 3 3" xfId="2702" xr:uid="{00000000-0005-0000-0000-0000800A0000}"/>
    <cellStyle name="0_6117 org 2 3 3 2" xfId="2703" xr:uid="{00000000-0005-0000-0000-0000810A0000}"/>
    <cellStyle name="0_6117 org 2 3 3 2 2" xfId="2704" xr:uid="{00000000-0005-0000-0000-0000820A0000}"/>
    <cellStyle name="0_6117 org 2 3 3 3" xfId="2705" xr:uid="{00000000-0005-0000-0000-0000830A0000}"/>
    <cellStyle name="0_6117 org 2 3 3 3 2" xfId="2706" xr:uid="{00000000-0005-0000-0000-0000840A0000}"/>
    <cellStyle name="0_6117 org 2 3 3 4" xfId="2707" xr:uid="{00000000-0005-0000-0000-0000850A0000}"/>
    <cellStyle name="0_6117 org 2 3 4" xfId="2708" xr:uid="{00000000-0005-0000-0000-0000860A0000}"/>
    <cellStyle name="0_6117 org 2 3 4 2" xfId="2709" xr:uid="{00000000-0005-0000-0000-0000870A0000}"/>
    <cellStyle name="0_6117 org 2 3 4 2 2" xfId="2710" xr:uid="{00000000-0005-0000-0000-0000880A0000}"/>
    <cellStyle name="0_6117 org 2 3 4 3" xfId="2711" xr:uid="{00000000-0005-0000-0000-0000890A0000}"/>
    <cellStyle name="0_6117 org 2 3 4 3 2" xfId="2712" xr:uid="{00000000-0005-0000-0000-00008A0A0000}"/>
    <cellStyle name="0_6117 org 2 3 4 4" xfId="2713" xr:uid="{00000000-0005-0000-0000-00008B0A0000}"/>
    <cellStyle name="0_6117 org 2 3 5" xfId="2714" xr:uid="{00000000-0005-0000-0000-00008C0A0000}"/>
    <cellStyle name="0_6117 org 2 3 5 2" xfId="2715" xr:uid="{00000000-0005-0000-0000-00008D0A0000}"/>
    <cellStyle name="0_6117 org 2 3 5 2 2" xfId="2716" xr:uid="{00000000-0005-0000-0000-00008E0A0000}"/>
    <cellStyle name="0_6117 org 2 3 5 3" xfId="2717" xr:uid="{00000000-0005-0000-0000-00008F0A0000}"/>
    <cellStyle name="0_6117 org 2 3 5 3 2" xfId="2718" xr:uid="{00000000-0005-0000-0000-0000900A0000}"/>
    <cellStyle name="0_6117 org 2 3 5 4" xfId="2719" xr:uid="{00000000-0005-0000-0000-0000910A0000}"/>
    <cellStyle name="0_6117 org 2 3 6" xfId="2720" xr:uid="{00000000-0005-0000-0000-0000920A0000}"/>
    <cellStyle name="0_6117 org 2 3 6 2" xfId="2721" xr:uid="{00000000-0005-0000-0000-0000930A0000}"/>
    <cellStyle name="0_6117 org 2 3 7" xfId="2722" xr:uid="{00000000-0005-0000-0000-0000940A0000}"/>
    <cellStyle name="0_6117 org 2 3 7 2" xfId="2723" xr:uid="{00000000-0005-0000-0000-0000950A0000}"/>
    <cellStyle name="0_6117 org 2 3 8" xfId="2724" xr:uid="{00000000-0005-0000-0000-0000960A0000}"/>
    <cellStyle name="0_6117 org 2 4" xfId="2725" xr:uid="{00000000-0005-0000-0000-0000970A0000}"/>
    <cellStyle name="0_6117 org 2 4 2" xfId="2726" xr:uid="{00000000-0005-0000-0000-0000980A0000}"/>
    <cellStyle name="0_6117 org 2 4 2 2" xfId="2727" xr:uid="{00000000-0005-0000-0000-0000990A0000}"/>
    <cellStyle name="0_6117 org 2 4 2 2 2" xfId="2728" xr:uid="{00000000-0005-0000-0000-00009A0A0000}"/>
    <cellStyle name="0_6117 org 2 4 2 2 2 2" xfId="2729" xr:uid="{00000000-0005-0000-0000-00009B0A0000}"/>
    <cellStyle name="0_6117 org 2 4 2 2 3" xfId="2730" xr:uid="{00000000-0005-0000-0000-00009C0A0000}"/>
    <cellStyle name="0_6117 org 2 4 2 2 3 2" xfId="2731" xr:uid="{00000000-0005-0000-0000-00009D0A0000}"/>
    <cellStyle name="0_6117 org 2 4 2 2 4" xfId="2732" xr:uid="{00000000-0005-0000-0000-00009E0A0000}"/>
    <cellStyle name="0_6117 org 2 4 2 3" xfId="2733" xr:uid="{00000000-0005-0000-0000-00009F0A0000}"/>
    <cellStyle name="0_6117 org 2 4 2 3 2" xfId="2734" xr:uid="{00000000-0005-0000-0000-0000A00A0000}"/>
    <cellStyle name="0_6117 org 2 4 2 3 2 2" xfId="2735" xr:uid="{00000000-0005-0000-0000-0000A10A0000}"/>
    <cellStyle name="0_6117 org 2 4 2 3 3" xfId="2736" xr:uid="{00000000-0005-0000-0000-0000A20A0000}"/>
    <cellStyle name="0_6117 org 2 4 2 3 3 2" xfId="2737" xr:uid="{00000000-0005-0000-0000-0000A30A0000}"/>
    <cellStyle name="0_6117 org 2 4 2 3 4" xfId="2738" xr:uid="{00000000-0005-0000-0000-0000A40A0000}"/>
    <cellStyle name="0_6117 org 2 4 2 4" xfId="2739" xr:uid="{00000000-0005-0000-0000-0000A50A0000}"/>
    <cellStyle name="0_6117 org 2 4 2 4 2" xfId="2740" xr:uid="{00000000-0005-0000-0000-0000A60A0000}"/>
    <cellStyle name="0_6117 org 2 4 2 5" xfId="2741" xr:uid="{00000000-0005-0000-0000-0000A70A0000}"/>
    <cellStyle name="0_6117 org 2 4 2 5 2" xfId="2742" xr:uid="{00000000-0005-0000-0000-0000A80A0000}"/>
    <cellStyle name="0_6117 org 2 4 2 6" xfId="2743" xr:uid="{00000000-0005-0000-0000-0000A90A0000}"/>
    <cellStyle name="0_6117 org 2 4 3" xfId="2744" xr:uid="{00000000-0005-0000-0000-0000AA0A0000}"/>
    <cellStyle name="0_6117 org 2 4 3 2" xfId="2745" xr:uid="{00000000-0005-0000-0000-0000AB0A0000}"/>
    <cellStyle name="0_6117 org 2 4 3 2 2" xfId="2746" xr:uid="{00000000-0005-0000-0000-0000AC0A0000}"/>
    <cellStyle name="0_6117 org 2 4 3 3" xfId="2747" xr:uid="{00000000-0005-0000-0000-0000AD0A0000}"/>
    <cellStyle name="0_6117 org 2 4 3 3 2" xfId="2748" xr:uid="{00000000-0005-0000-0000-0000AE0A0000}"/>
    <cellStyle name="0_6117 org 2 4 3 4" xfId="2749" xr:uid="{00000000-0005-0000-0000-0000AF0A0000}"/>
    <cellStyle name="0_6117 org 2 4 4" xfId="2750" xr:uid="{00000000-0005-0000-0000-0000B00A0000}"/>
    <cellStyle name="0_6117 org 2 4 4 2" xfId="2751" xr:uid="{00000000-0005-0000-0000-0000B10A0000}"/>
    <cellStyle name="0_6117 org 2 4 4 2 2" xfId="2752" xr:uid="{00000000-0005-0000-0000-0000B20A0000}"/>
    <cellStyle name="0_6117 org 2 4 4 3" xfId="2753" xr:uid="{00000000-0005-0000-0000-0000B30A0000}"/>
    <cellStyle name="0_6117 org 2 4 4 3 2" xfId="2754" xr:uid="{00000000-0005-0000-0000-0000B40A0000}"/>
    <cellStyle name="0_6117 org 2 4 4 4" xfId="2755" xr:uid="{00000000-0005-0000-0000-0000B50A0000}"/>
    <cellStyle name="0_6117 org 2 4 5" xfId="2756" xr:uid="{00000000-0005-0000-0000-0000B60A0000}"/>
    <cellStyle name="0_6117 org 2 4 5 2" xfId="2757" xr:uid="{00000000-0005-0000-0000-0000B70A0000}"/>
    <cellStyle name="0_6117 org 2 4 5 2 2" xfId="2758" xr:uid="{00000000-0005-0000-0000-0000B80A0000}"/>
    <cellStyle name="0_6117 org 2 4 5 3" xfId="2759" xr:uid="{00000000-0005-0000-0000-0000B90A0000}"/>
    <cellStyle name="0_6117 org 2 4 5 3 2" xfId="2760" xr:uid="{00000000-0005-0000-0000-0000BA0A0000}"/>
    <cellStyle name="0_6117 org 2 4 5 4" xfId="2761" xr:uid="{00000000-0005-0000-0000-0000BB0A0000}"/>
    <cellStyle name="0_6117 org 2 4 6" xfId="2762" xr:uid="{00000000-0005-0000-0000-0000BC0A0000}"/>
    <cellStyle name="0_6117 org 2 4 6 2" xfId="2763" xr:uid="{00000000-0005-0000-0000-0000BD0A0000}"/>
    <cellStyle name="0_6117 org 2 4 7" xfId="2764" xr:uid="{00000000-0005-0000-0000-0000BE0A0000}"/>
    <cellStyle name="0_6117 org 2 4 7 2" xfId="2765" xr:uid="{00000000-0005-0000-0000-0000BF0A0000}"/>
    <cellStyle name="0_6117 org 2 4 8" xfId="2766" xr:uid="{00000000-0005-0000-0000-0000C00A0000}"/>
    <cellStyle name="0_6117 org 2 5" xfId="2767" xr:uid="{00000000-0005-0000-0000-0000C10A0000}"/>
    <cellStyle name="0_6117 org 2 5 2" xfId="2768" xr:uid="{00000000-0005-0000-0000-0000C20A0000}"/>
    <cellStyle name="0_6117 org 2 5 2 2" xfId="2769" xr:uid="{00000000-0005-0000-0000-0000C30A0000}"/>
    <cellStyle name="0_6117 org 2 5 2 2 2" xfId="2770" xr:uid="{00000000-0005-0000-0000-0000C40A0000}"/>
    <cellStyle name="0_6117 org 2 5 2 2 2 2" xfId="2771" xr:uid="{00000000-0005-0000-0000-0000C50A0000}"/>
    <cellStyle name="0_6117 org 2 5 2 2 3" xfId="2772" xr:uid="{00000000-0005-0000-0000-0000C60A0000}"/>
    <cellStyle name="0_6117 org 2 5 2 2 3 2" xfId="2773" xr:uid="{00000000-0005-0000-0000-0000C70A0000}"/>
    <cellStyle name="0_6117 org 2 5 2 2 4" xfId="2774" xr:uid="{00000000-0005-0000-0000-0000C80A0000}"/>
    <cellStyle name="0_6117 org 2 5 2 3" xfId="2775" xr:uid="{00000000-0005-0000-0000-0000C90A0000}"/>
    <cellStyle name="0_6117 org 2 5 2 3 2" xfId="2776" xr:uid="{00000000-0005-0000-0000-0000CA0A0000}"/>
    <cellStyle name="0_6117 org 2 5 2 3 2 2" xfId="2777" xr:uid="{00000000-0005-0000-0000-0000CB0A0000}"/>
    <cellStyle name="0_6117 org 2 5 2 3 3" xfId="2778" xr:uid="{00000000-0005-0000-0000-0000CC0A0000}"/>
    <cellStyle name="0_6117 org 2 5 2 3 3 2" xfId="2779" xr:uid="{00000000-0005-0000-0000-0000CD0A0000}"/>
    <cellStyle name="0_6117 org 2 5 2 3 4" xfId="2780" xr:uid="{00000000-0005-0000-0000-0000CE0A0000}"/>
    <cellStyle name="0_6117 org 2 5 2 4" xfId="2781" xr:uid="{00000000-0005-0000-0000-0000CF0A0000}"/>
    <cellStyle name="0_6117 org 2 5 2 4 2" xfId="2782" xr:uid="{00000000-0005-0000-0000-0000D00A0000}"/>
    <cellStyle name="0_6117 org 2 5 2 5" xfId="2783" xr:uid="{00000000-0005-0000-0000-0000D10A0000}"/>
    <cellStyle name="0_6117 org 2 5 2 5 2" xfId="2784" xr:uid="{00000000-0005-0000-0000-0000D20A0000}"/>
    <cellStyle name="0_6117 org 2 5 2 6" xfId="2785" xr:uid="{00000000-0005-0000-0000-0000D30A0000}"/>
    <cellStyle name="0_6117 org 2 5 3" xfId="2786" xr:uid="{00000000-0005-0000-0000-0000D40A0000}"/>
    <cellStyle name="0_6117 org 2 5 3 2" xfId="2787" xr:uid="{00000000-0005-0000-0000-0000D50A0000}"/>
    <cellStyle name="0_6117 org 2 5 3 2 2" xfId="2788" xr:uid="{00000000-0005-0000-0000-0000D60A0000}"/>
    <cellStyle name="0_6117 org 2 5 3 3" xfId="2789" xr:uid="{00000000-0005-0000-0000-0000D70A0000}"/>
    <cellStyle name="0_6117 org 2 5 3 3 2" xfId="2790" xr:uid="{00000000-0005-0000-0000-0000D80A0000}"/>
    <cellStyle name="0_6117 org 2 5 3 4" xfId="2791" xr:uid="{00000000-0005-0000-0000-0000D90A0000}"/>
    <cellStyle name="0_6117 org 2 5 4" xfId="2792" xr:uid="{00000000-0005-0000-0000-0000DA0A0000}"/>
    <cellStyle name="0_6117 org 2 5 4 2" xfId="2793" xr:uid="{00000000-0005-0000-0000-0000DB0A0000}"/>
    <cellStyle name="0_6117 org 2 5 4 2 2" xfId="2794" xr:uid="{00000000-0005-0000-0000-0000DC0A0000}"/>
    <cellStyle name="0_6117 org 2 5 4 3" xfId="2795" xr:uid="{00000000-0005-0000-0000-0000DD0A0000}"/>
    <cellStyle name="0_6117 org 2 5 4 3 2" xfId="2796" xr:uid="{00000000-0005-0000-0000-0000DE0A0000}"/>
    <cellStyle name="0_6117 org 2 5 4 4" xfId="2797" xr:uid="{00000000-0005-0000-0000-0000DF0A0000}"/>
    <cellStyle name="0_6117 org 2 5 5" xfId="2798" xr:uid="{00000000-0005-0000-0000-0000E00A0000}"/>
    <cellStyle name="0_6117 org 2 5 5 2" xfId="2799" xr:uid="{00000000-0005-0000-0000-0000E10A0000}"/>
    <cellStyle name="0_6117 org 2 5 5 2 2" xfId="2800" xr:uid="{00000000-0005-0000-0000-0000E20A0000}"/>
    <cellStyle name="0_6117 org 2 5 5 3" xfId="2801" xr:uid="{00000000-0005-0000-0000-0000E30A0000}"/>
    <cellStyle name="0_6117 org 2 5 5 3 2" xfId="2802" xr:uid="{00000000-0005-0000-0000-0000E40A0000}"/>
    <cellStyle name="0_6117 org 2 5 5 4" xfId="2803" xr:uid="{00000000-0005-0000-0000-0000E50A0000}"/>
    <cellStyle name="0_6117 org 2 5 6" xfId="2804" xr:uid="{00000000-0005-0000-0000-0000E60A0000}"/>
    <cellStyle name="0_6117 org 2 5 6 2" xfId="2805" xr:uid="{00000000-0005-0000-0000-0000E70A0000}"/>
    <cellStyle name="0_6117 org 2 5 7" xfId="2806" xr:uid="{00000000-0005-0000-0000-0000E80A0000}"/>
    <cellStyle name="0_6117 org 2 5 7 2" xfId="2807" xr:uid="{00000000-0005-0000-0000-0000E90A0000}"/>
    <cellStyle name="0_6117 org 2 5 8" xfId="2808" xr:uid="{00000000-0005-0000-0000-0000EA0A0000}"/>
    <cellStyle name="0_6117 org 2 6" xfId="2809" xr:uid="{00000000-0005-0000-0000-0000EB0A0000}"/>
    <cellStyle name="0_6117 org 2 6 2" xfId="2810" xr:uid="{00000000-0005-0000-0000-0000EC0A0000}"/>
    <cellStyle name="0_6117 org 2 6 2 2" xfId="2811" xr:uid="{00000000-0005-0000-0000-0000ED0A0000}"/>
    <cellStyle name="0_6117 org 2 6 2 2 2" xfId="2812" xr:uid="{00000000-0005-0000-0000-0000EE0A0000}"/>
    <cellStyle name="0_6117 org 2 6 2 2 2 2" xfId="2813" xr:uid="{00000000-0005-0000-0000-0000EF0A0000}"/>
    <cellStyle name="0_6117 org 2 6 2 2 3" xfId="2814" xr:uid="{00000000-0005-0000-0000-0000F00A0000}"/>
    <cellStyle name="0_6117 org 2 6 2 2 3 2" xfId="2815" xr:uid="{00000000-0005-0000-0000-0000F10A0000}"/>
    <cellStyle name="0_6117 org 2 6 2 2 4" xfId="2816" xr:uid="{00000000-0005-0000-0000-0000F20A0000}"/>
    <cellStyle name="0_6117 org 2 6 2 3" xfId="2817" xr:uid="{00000000-0005-0000-0000-0000F30A0000}"/>
    <cellStyle name="0_6117 org 2 6 2 3 2" xfId="2818" xr:uid="{00000000-0005-0000-0000-0000F40A0000}"/>
    <cellStyle name="0_6117 org 2 6 2 3 2 2" xfId="2819" xr:uid="{00000000-0005-0000-0000-0000F50A0000}"/>
    <cellStyle name="0_6117 org 2 6 2 3 3" xfId="2820" xr:uid="{00000000-0005-0000-0000-0000F60A0000}"/>
    <cellStyle name="0_6117 org 2 6 2 3 3 2" xfId="2821" xr:uid="{00000000-0005-0000-0000-0000F70A0000}"/>
    <cellStyle name="0_6117 org 2 6 2 3 4" xfId="2822" xr:uid="{00000000-0005-0000-0000-0000F80A0000}"/>
    <cellStyle name="0_6117 org 2 6 2 4" xfId="2823" xr:uid="{00000000-0005-0000-0000-0000F90A0000}"/>
    <cellStyle name="0_6117 org 2 6 2 4 2" xfId="2824" xr:uid="{00000000-0005-0000-0000-0000FA0A0000}"/>
    <cellStyle name="0_6117 org 2 6 2 5" xfId="2825" xr:uid="{00000000-0005-0000-0000-0000FB0A0000}"/>
    <cellStyle name="0_6117 org 2 6 2 5 2" xfId="2826" xr:uid="{00000000-0005-0000-0000-0000FC0A0000}"/>
    <cellStyle name="0_6117 org 2 6 2 6" xfId="2827" xr:uid="{00000000-0005-0000-0000-0000FD0A0000}"/>
    <cellStyle name="0_6117 org 2 6 3" xfId="2828" xr:uid="{00000000-0005-0000-0000-0000FE0A0000}"/>
    <cellStyle name="0_6117 org 2 6 3 2" xfId="2829" xr:uid="{00000000-0005-0000-0000-0000FF0A0000}"/>
    <cellStyle name="0_6117 org 2 6 3 2 2" xfId="2830" xr:uid="{00000000-0005-0000-0000-0000000B0000}"/>
    <cellStyle name="0_6117 org 2 6 3 3" xfId="2831" xr:uid="{00000000-0005-0000-0000-0000010B0000}"/>
    <cellStyle name="0_6117 org 2 6 3 3 2" xfId="2832" xr:uid="{00000000-0005-0000-0000-0000020B0000}"/>
    <cellStyle name="0_6117 org 2 6 3 4" xfId="2833" xr:uid="{00000000-0005-0000-0000-0000030B0000}"/>
    <cellStyle name="0_6117 org 2 6 4" xfId="2834" xr:uid="{00000000-0005-0000-0000-0000040B0000}"/>
    <cellStyle name="0_6117 org 2 6 4 2" xfId="2835" xr:uid="{00000000-0005-0000-0000-0000050B0000}"/>
    <cellStyle name="0_6117 org 2 6 4 2 2" xfId="2836" xr:uid="{00000000-0005-0000-0000-0000060B0000}"/>
    <cellStyle name="0_6117 org 2 6 4 3" xfId="2837" xr:uid="{00000000-0005-0000-0000-0000070B0000}"/>
    <cellStyle name="0_6117 org 2 6 4 3 2" xfId="2838" xr:uid="{00000000-0005-0000-0000-0000080B0000}"/>
    <cellStyle name="0_6117 org 2 6 4 4" xfId="2839" xr:uid="{00000000-0005-0000-0000-0000090B0000}"/>
    <cellStyle name="0_6117 org 2 6 5" xfId="2840" xr:uid="{00000000-0005-0000-0000-00000A0B0000}"/>
    <cellStyle name="0_6117 org 2 6 5 2" xfId="2841" xr:uid="{00000000-0005-0000-0000-00000B0B0000}"/>
    <cellStyle name="0_6117 org 2 6 5 2 2" xfId="2842" xr:uid="{00000000-0005-0000-0000-00000C0B0000}"/>
    <cellStyle name="0_6117 org 2 6 5 3" xfId="2843" xr:uid="{00000000-0005-0000-0000-00000D0B0000}"/>
    <cellStyle name="0_6117 org 2 6 5 3 2" xfId="2844" xr:uid="{00000000-0005-0000-0000-00000E0B0000}"/>
    <cellStyle name="0_6117 org 2 6 5 4" xfId="2845" xr:uid="{00000000-0005-0000-0000-00000F0B0000}"/>
    <cellStyle name="0_6117 org 2 6 6" xfId="2846" xr:uid="{00000000-0005-0000-0000-0000100B0000}"/>
    <cellStyle name="0_6117 org 2 6 6 2" xfId="2847" xr:uid="{00000000-0005-0000-0000-0000110B0000}"/>
    <cellStyle name="0_6117 org 2 6 7" xfId="2848" xr:uid="{00000000-0005-0000-0000-0000120B0000}"/>
    <cellStyle name="0_6117 org 2 6 7 2" xfId="2849" xr:uid="{00000000-0005-0000-0000-0000130B0000}"/>
    <cellStyle name="0_6117 org 2 6 8" xfId="2850" xr:uid="{00000000-0005-0000-0000-0000140B0000}"/>
    <cellStyle name="0_6117 org 2 7" xfId="2851" xr:uid="{00000000-0005-0000-0000-0000150B0000}"/>
    <cellStyle name="0_6117 org 2 7 2" xfId="2852" xr:uid="{00000000-0005-0000-0000-0000160B0000}"/>
    <cellStyle name="0_6117 org 2 7 2 2" xfId="2853" xr:uid="{00000000-0005-0000-0000-0000170B0000}"/>
    <cellStyle name="0_6117 org 2 7 2 2 2" xfId="2854" xr:uid="{00000000-0005-0000-0000-0000180B0000}"/>
    <cellStyle name="0_6117 org 2 7 2 3" xfId="2855" xr:uid="{00000000-0005-0000-0000-0000190B0000}"/>
    <cellStyle name="0_6117 org 2 7 2 3 2" xfId="2856" xr:uid="{00000000-0005-0000-0000-00001A0B0000}"/>
    <cellStyle name="0_6117 org 2 7 2 4" xfId="2857" xr:uid="{00000000-0005-0000-0000-00001B0B0000}"/>
    <cellStyle name="0_6117 org 2 7 3" xfId="2858" xr:uid="{00000000-0005-0000-0000-00001C0B0000}"/>
    <cellStyle name="0_6117 org 2 7 3 2" xfId="2859" xr:uid="{00000000-0005-0000-0000-00001D0B0000}"/>
    <cellStyle name="0_6117 org 2 7 3 2 2" xfId="2860" xr:uid="{00000000-0005-0000-0000-00001E0B0000}"/>
    <cellStyle name="0_6117 org 2 7 3 3" xfId="2861" xr:uid="{00000000-0005-0000-0000-00001F0B0000}"/>
    <cellStyle name="0_6117 org 2 7 3 3 2" xfId="2862" xr:uid="{00000000-0005-0000-0000-0000200B0000}"/>
    <cellStyle name="0_6117 org 2 7 3 4" xfId="2863" xr:uid="{00000000-0005-0000-0000-0000210B0000}"/>
    <cellStyle name="0_6117 org 2 7 4" xfId="2864" xr:uid="{00000000-0005-0000-0000-0000220B0000}"/>
    <cellStyle name="0_6117 org 2 7 4 2" xfId="2865" xr:uid="{00000000-0005-0000-0000-0000230B0000}"/>
    <cellStyle name="0_6117 org 2 7 5" xfId="2866" xr:uid="{00000000-0005-0000-0000-0000240B0000}"/>
    <cellStyle name="0_6117 org 2 7 5 2" xfId="2867" xr:uid="{00000000-0005-0000-0000-0000250B0000}"/>
    <cellStyle name="0_6117 org 2 7 6" xfId="2868" xr:uid="{00000000-0005-0000-0000-0000260B0000}"/>
    <cellStyle name="0_6117 org 2 8" xfId="2869" xr:uid="{00000000-0005-0000-0000-0000270B0000}"/>
    <cellStyle name="0_6117 org 2 8 2" xfId="2870" xr:uid="{00000000-0005-0000-0000-0000280B0000}"/>
    <cellStyle name="0_6117 org 2 8 2 2" xfId="2871" xr:uid="{00000000-0005-0000-0000-0000290B0000}"/>
    <cellStyle name="0_6117 org 2 8 3" xfId="2872" xr:uid="{00000000-0005-0000-0000-00002A0B0000}"/>
    <cellStyle name="0_6117 org 2 8 3 2" xfId="2873" xr:uid="{00000000-0005-0000-0000-00002B0B0000}"/>
    <cellStyle name="0_6117 org 2 8 4" xfId="2874" xr:uid="{00000000-0005-0000-0000-00002C0B0000}"/>
    <cellStyle name="0_6117 org 2 9" xfId="2875" xr:uid="{00000000-0005-0000-0000-00002D0B0000}"/>
    <cellStyle name="0_6117 org 2 9 2" xfId="2876" xr:uid="{00000000-0005-0000-0000-00002E0B0000}"/>
    <cellStyle name="0_6117 org 2 9 2 2" xfId="2877" xr:uid="{00000000-0005-0000-0000-00002F0B0000}"/>
    <cellStyle name="0_6117 org 2 9 3" xfId="2878" xr:uid="{00000000-0005-0000-0000-0000300B0000}"/>
    <cellStyle name="0_6117 org 2 9 3 2" xfId="2879" xr:uid="{00000000-0005-0000-0000-0000310B0000}"/>
    <cellStyle name="0_6117 org 2 9 4" xfId="2880" xr:uid="{00000000-0005-0000-0000-0000320B0000}"/>
    <cellStyle name="0_6117 org 20" xfId="2881" xr:uid="{00000000-0005-0000-0000-0000330B0000}"/>
    <cellStyle name="0_6117 org 21" xfId="2882" xr:uid="{00000000-0005-0000-0000-0000340B0000}"/>
    <cellStyle name="0_6117 org 22" xfId="2883" xr:uid="{00000000-0005-0000-0000-0000350B0000}"/>
    <cellStyle name="0_6117 org 3" xfId="2884" xr:uid="{00000000-0005-0000-0000-0000360B0000}"/>
    <cellStyle name="0_6117 org 3 10" xfId="2885" xr:uid="{00000000-0005-0000-0000-0000370B0000}"/>
    <cellStyle name="0_6117 org 3 10 2" xfId="2886" xr:uid="{00000000-0005-0000-0000-0000380B0000}"/>
    <cellStyle name="0_6117 org 3 10 2 2" xfId="2887" xr:uid="{00000000-0005-0000-0000-0000390B0000}"/>
    <cellStyle name="0_6117 org 3 10 3" xfId="2888" xr:uid="{00000000-0005-0000-0000-00003A0B0000}"/>
    <cellStyle name="0_6117 org 3 10 3 2" xfId="2889" xr:uid="{00000000-0005-0000-0000-00003B0B0000}"/>
    <cellStyle name="0_6117 org 3 10 4" xfId="2890" xr:uid="{00000000-0005-0000-0000-00003C0B0000}"/>
    <cellStyle name="0_6117 org 3 11" xfId="2891" xr:uid="{00000000-0005-0000-0000-00003D0B0000}"/>
    <cellStyle name="0_6117 org 3 11 2" xfId="2892" xr:uid="{00000000-0005-0000-0000-00003E0B0000}"/>
    <cellStyle name="0_6117 org 3 12" xfId="2893" xr:uid="{00000000-0005-0000-0000-00003F0B0000}"/>
    <cellStyle name="0_6117 org 3 12 2" xfId="2894" xr:uid="{00000000-0005-0000-0000-0000400B0000}"/>
    <cellStyle name="0_6117 org 3 13" xfId="2895" xr:uid="{00000000-0005-0000-0000-0000410B0000}"/>
    <cellStyle name="0_6117 org 3 2" xfId="2896" xr:uid="{00000000-0005-0000-0000-0000420B0000}"/>
    <cellStyle name="0_6117 org 3 2 2" xfId="2897" xr:uid="{00000000-0005-0000-0000-0000430B0000}"/>
    <cellStyle name="0_6117 org 3 2 2 2" xfId="2898" xr:uid="{00000000-0005-0000-0000-0000440B0000}"/>
    <cellStyle name="0_6117 org 3 2 2 2 2" xfId="2899" xr:uid="{00000000-0005-0000-0000-0000450B0000}"/>
    <cellStyle name="0_6117 org 3 2 2 2 2 2" xfId="2900" xr:uid="{00000000-0005-0000-0000-0000460B0000}"/>
    <cellStyle name="0_6117 org 3 2 2 2 3" xfId="2901" xr:uid="{00000000-0005-0000-0000-0000470B0000}"/>
    <cellStyle name="0_6117 org 3 2 2 2 3 2" xfId="2902" xr:uid="{00000000-0005-0000-0000-0000480B0000}"/>
    <cellStyle name="0_6117 org 3 2 2 2 4" xfId="2903" xr:uid="{00000000-0005-0000-0000-0000490B0000}"/>
    <cellStyle name="0_6117 org 3 2 2 3" xfId="2904" xr:uid="{00000000-0005-0000-0000-00004A0B0000}"/>
    <cellStyle name="0_6117 org 3 2 2 3 2" xfId="2905" xr:uid="{00000000-0005-0000-0000-00004B0B0000}"/>
    <cellStyle name="0_6117 org 3 2 2 3 2 2" xfId="2906" xr:uid="{00000000-0005-0000-0000-00004C0B0000}"/>
    <cellStyle name="0_6117 org 3 2 2 3 3" xfId="2907" xr:uid="{00000000-0005-0000-0000-00004D0B0000}"/>
    <cellStyle name="0_6117 org 3 2 2 3 3 2" xfId="2908" xr:uid="{00000000-0005-0000-0000-00004E0B0000}"/>
    <cellStyle name="0_6117 org 3 2 2 3 4" xfId="2909" xr:uid="{00000000-0005-0000-0000-00004F0B0000}"/>
    <cellStyle name="0_6117 org 3 2 2 4" xfId="2910" xr:uid="{00000000-0005-0000-0000-0000500B0000}"/>
    <cellStyle name="0_6117 org 3 2 2 4 2" xfId="2911" xr:uid="{00000000-0005-0000-0000-0000510B0000}"/>
    <cellStyle name="0_6117 org 3 2 2 5" xfId="2912" xr:uid="{00000000-0005-0000-0000-0000520B0000}"/>
    <cellStyle name="0_6117 org 3 2 2 5 2" xfId="2913" xr:uid="{00000000-0005-0000-0000-0000530B0000}"/>
    <cellStyle name="0_6117 org 3 2 2 6" xfId="2914" xr:uid="{00000000-0005-0000-0000-0000540B0000}"/>
    <cellStyle name="0_6117 org 3 2 3" xfId="2915" xr:uid="{00000000-0005-0000-0000-0000550B0000}"/>
    <cellStyle name="0_6117 org 3 2 3 2" xfId="2916" xr:uid="{00000000-0005-0000-0000-0000560B0000}"/>
    <cellStyle name="0_6117 org 3 2 3 2 2" xfId="2917" xr:uid="{00000000-0005-0000-0000-0000570B0000}"/>
    <cellStyle name="0_6117 org 3 2 3 3" xfId="2918" xr:uid="{00000000-0005-0000-0000-0000580B0000}"/>
    <cellStyle name="0_6117 org 3 2 3 3 2" xfId="2919" xr:uid="{00000000-0005-0000-0000-0000590B0000}"/>
    <cellStyle name="0_6117 org 3 2 3 4" xfId="2920" xr:uid="{00000000-0005-0000-0000-00005A0B0000}"/>
    <cellStyle name="0_6117 org 3 2 4" xfId="2921" xr:uid="{00000000-0005-0000-0000-00005B0B0000}"/>
    <cellStyle name="0_6117 org 3 2 4 2" xfId="2922" xr:uid="{00000000-0005-0000-0000-00005C0B0000}"/>
    <cellStyle name="0_6117 org 3 2 4 2 2" xfId="2923" xr:uid="{00000000-0005-0000-0000-00005D0B0000}"/>
    <cellStyle name="0_6117 org 3 2 4 3" xfId="2924" xr:uid="{00000000-0005-0000-0000-00005E0B0000}"/>
    <cellStyle name="0_6117 org 3 2 4 3 2" xfId="2925" xr:uid="{00000000-0005-0000-0000-00005F0B0000}"/>
    <cellStyle name="0_6117 org 3 2 4 4" xfId="2926" xr:uid="{00000000-0005-0000-0000-0000600B0000}"/>
    <cellStyle name="0_6117 org 3 2 5" xfId="2927" xr:uid="{00000000-0005-0000-0000-0000610B0000}"/>
    <cellStyle name="0_6117 org 3 2 5 2" xfId="2928" xr:uid="{00000000-0005-0000-0000-0000620B0000}"/>
    <cellStyle name="0_6117 org 3 2 5 2 2" xfId="2929" xr:uid="{00000000-0005-0000-0000-0000630B0000}"/>
    <cellStyle name="0_6117 org 3 2 5 3" xfId="2930" xr:uid="{00000000-0005-0000-0000-0000640B0000}"/>
    <cellStyle name="0_6117 org 3 2 5 3 2" xfId="2931" xr:uid="{00000000-0005-0000-0000-0000650B0000}"/>
    <cellStyle name="0_6117 org 3 2 5 4" xfId="2932" xr:uid="{00000000-0005-0000-0000-0000660B0000}"/>
    <cellStyle name="0_6117 org 3 2 6" xfId="2933" xr:uid="{00000000-0005-0000-0000-0000670B0000}"/>
    <cellStyle name="0_6117 org 3 2 6 2" xfId="2934" xr:uid="{00000000-0005-0000-0000-0000680B0000}"/>
    <cellStyle name="0_6117 org 3 2 7" xfId="2935" xr:uid="{00000000-0005-0000-0000-0000690B0000}"/>
    <cellStyle name="0_6117 org 3 2 7 2" xfId="2936" xr:uid="{00000000-0005-0000-0000-00006A0B0000}"/>
    <cellStyle name="0_6117 org 3 2 8" xfId="2937" xr:uid="{00000000-0005-0000-0000-00006B0B0000}"/>
    <cellStyle name="0_6117 org 3 3" xfId="2938" xr:uid="{00000000-0005-0000-0000-00006C0B0000}"/>
    <cellStyle name="0_6117 org 3 3 2" xfId="2939" xr:uid="{00000000-0005-0000-0000-00006D0B0000}"/>
    <cellStyle name="0_6117 org 3 3 2 2" xfId="2940" xr:uid="{00000000-0005-0000-0000-00006E0B0000}"/>
    <cellStyle name="0_6117 org 3 3 2 2 2" xfId="2941" xr:uid="{00000000-0005-0000-0000-00006F0B0000}"/>
    <cellStyle name="0_6117 org 3 3 2 2 2 2" xfId="2942" xr:uid="{00000000-0005-0000-0000-0000700B0000}"/>
    <cellStyle name="0_6117 org 3 3 2 2 3" xfId="2943" xr:uid="{00000000-0005-0000-0000-0000710B0000}"/>
    <cellStyle name="0_6117 org 3 3 2 2 3 2" xfId="2944" xr:uid="{00000000-0005-0000-0000-0000720B0000}"/>
    <cellStyle name="0_6117 org 3 3 2 2 4" xfId="2945" xr:uid="{00000000-0005-0000-0000-0000730B0000}"/>
    <cellStyle name="0_6117 org 3 3 2 3" xfId="2946" xr:uid="{00000000-0005-0000-0000-0000740B0000}"/>
    <cellStyle name="0_6117 org 3 3 2 3 2" xfId="2947" xr:uid="{00000000-0005-0000-0000-0000750B0000}"/>
    <cellStyle name="0_6117 org 3 3 2 3 2 2" xfId="2948" xr:uid="{00000000-0005-0000-0000-0000760B0000}"/>
    <cellStyle name="0_6117 org 3 3 2 3 3" xfId="2949" xr:uid="{00000000-0005-0000-0000-0000770B0000}"/>
    <cellStyle name="0_6117 org 3 3 2 3 3 2" xfId="2950" xr:uid="{00000000-0005-0000-0000-0000780B0000}"/>
    <cellStyle name="0_6117 org 3 3 2 3 4" xfId="2951" xr:uid="{00000000-0005-0000-0000-0000790B0000}"/>
    <cellStyle name="0_6117 org 3 3 2 4" xfId="2952" xr:uid="{00000000-0005-0000-0000-00007A0B0000}"/>
    <cellStyle name="0_6117 org 3 3 2 4 2" xfId="2953" xr:uid="{00000000-0005-0000-0000-00007B0B0000}"/>
    <cellStyle name="0_6117 org 3 3 2 5" xfId="2954" xr:uid="{00000000-0005-0000-0000-00007C0B0000}"/>
    <cellStyle name="0_6117 org 3 3 2 5 2" xfId="2955" xr:uid="{00000000-0005-0000-0000-00007D0B0000}"/>
    <cellStyle name="0_6117 org 3 3 2 6" xfId="2956" xr:uid="{00000000-0005-0000-0000-00007E0B0000}"/>
    <cellStyle name="0_6117 org 3 3 3" xfId="2957" xr:uid="{00000000-0005-0000-0000-00007F0B0000}"/>
    <cellStyle name="0_6117 org 3 3 3 2" xfId="2958" xr:uid="{00000000-0005-0000-0000-0000800B0000}"/>
    <cellStyle name="0_6117 org 3 3 3 2 2" xfId="2959" xr:uid="{00000000-0005-0000-0000-0000810B0000}"/>
    <cellStyle name="0_6117 org 3 3 3 3" xfId="2960" xr:uid="{00000000-0005-0000-0000-0000820B0000}"/>
    <cellStyle name="0_6117 org 3 3 3 3 2" xfId="2961" xr:uid="{00000000-0005-0000-0000-0000830B0000}"/>
    <cellStyle name="0_6117 org 3 3 3 4" xfId="2962" xr:uid="{00000000-0005-0000-0000-0000840B0000}"/>
    <cellStyle name="0_6117 org 3 3 4" xfId="2963" xr:uid="{00000000-0005-0000-0000-0000850B0000}"/>
    <cellStyle name="0_6117 org 3 3 4 2" xfId="2964" xr:uid="{00000000-0005-0000-0000-0000860B0000}"/>
    <cellStyle name="0_6117 org 3 3 4 2 2" xfId="2965" xr:uid="{00000000-0005-0000-0000-0000870B0000}"/>
    <cellStyle name="0_6117 org 3 3 4 3" xfId="2966" xr:uid="{00000000-0005-0000-0000-0000880B0000}"/>
    <cellStyle name="0_6117 org 3 3 4 3 2" xfId="2967" xr:uid="{00000000-0005-0000-0000-0000890B0000}"/>
    <cellStyle name="0_6117 org 3 3 4 4" xfId="2968" xr:uid="{00000000-0005-0000-0000-00008A0B0000}"/>
    <cellStyle name="0_6117 org 3 3 5" xfId="2969" xr:uid="{00000000-0005-0000-0000-00008B0B0000}"/>
    <cellStyle name="0_6117 org 3 3 5 2" xfId="2970" xr:uid="{00000000-0005-0000-0000-00008C0B0000}"/>
    <cellStyle name="0_6117 org 3 3 5 2 2" xfId="2971" xr:uid="{00000000-0005-0000-0000-00008D0B0000}"/>
    <cellStyle name="0_6117 org 3 3 5 3" xfId="2972" xr:uid="{00000000-0005-0000-0000-00008E0B0000}"/>
    <cellStyle name="0_6117 org 3 3 5 3 2" xfId="2973" xr:uid="{00000000-0005-0000-0000-00008F0B0000}"/>
    <cellStyle name="0_6117 org 3 3 5 4" xfId="2974" xr:uid="{00000000-0005-0000-0000-0000900B0000}"/>
    <cellStyle name="0_6117 org 3 3 6" xfId="2975" xr:uid="{00000000-0005-0000-0000-0000910B0000}"/>
    <cellStyle name="0_6117 org 3 3 6 2" xfId="2976" xr:uid="{00000000-0005-0000-0000-0000920B0000}"/>
    <cellStyle name="0_6117 org 3 3 7" xfId="2977" xr:uid="{00000000-0005-0000-0000-0000930B0000}"/>
    <cellStyle name="0_6117 org 3 3 7 2" xfId="2978" xr:uid="{00000000-0005-0000-0000-0000940B0000}"/>
    <cellStyle name="0_6117 org 3 3 8" xfId="2979" xr:uid="{00000000-0005-0000-0000-0000950B0000}"/>
    <cellStyle name="0_6117 org 3 4" xfId="2980" xr:uid="{00000000-0005-0000-0000-0000960B0000}"/>
    <cellStyle name="0_6117 org 3 4 2" xfId="2981" xr:uid="{00000000-0005-0000-0000-0000970B0000}"/>
    <cellStyle name="0_6117 org 3 4 2 2" xfId="2982" xr:uid="{00000000-0005-0000-0000-0000980B0000}"/>
    <cellStyle name="0_6117 org 3 4 2 2 2" xfId="2983" xr:uid="{00000000-0005-0000-0000-0000990B0000}"/>
    <cellStyle name="0_6117 org 3 4 2 2 2 2" xfId="2984" xr:uid="{00000000-0005-0000-0000-00009A0B0000}"/>
    <cellStyle name="0_6117 org 3 4 2 2 3" xfId="2985" xr:uid="{00000000-0005-0000-0000-00009B0B0000}"/>
    <cellStyle name="0_6117 org 3 4 2 2 3 2" xfId="2986" xr:uid="{00000000-0005-0000-0000-00009C0B0000}"/>
    <cellStyle name="0_6117 org 3 4 2 2 4" xfId="2987" xr:uid="{00000000-0005-0000-0000-00009D0B0000}"/>
    <cellStyle name="0_6117 org 3 4 2 3" xfId="2988" xr:uid="{00000000-0005-0000-0000-00009E0B0000}"/>
    <cellStyle name="0_6117 org 3 4 2 3 2" xfId="2989" xr:uid="{00000000-0005-0000-0000-00009F0B0000}"/>
    <cellStyle name="0_6117 org 3 4 2 3 2 2" xfId="2990" xr:uid="{00000000-0005-0000-0000-0000A00B0000}"/>
    <cellStyle name="0_6117 org 3 4 2 3 3" xfId="2991" xr:uid="{00000000-0005-0000-0000-0000A10B0000}"/>
    <cellStyle name="0_6117 org 3 4 2 3 3 2" xfId="2992" xr:uid="{00000000-0005-0000-0000-0000A20B0000}"/>
    <cellStyle name="0_6117 org 3 4 2 3 4" xfId="2993" xr:uid="{00000000-0005-0000-0000-0000A30B0000}"/>
    <cellStyle name="0_6117 org 3 4 2 4" xfId="2994" xr:uid="{00000000-0005-0000-0000-0000A40B0000}"/>
    <cellStyle name="0_6117 org 3 4 2 4 2" xfId="2995" xr:uid="{00000000-0005-0000-0000-0000A50B0000}"/>
    <cellStyle name="0_6117 org 3 4 2 5" xfId="2996" xr:uid="{00000000-0005-0000-0000-0000A60B0000}"/>
    <cellStyle name="0_6117 org 3 4 2 5 2" xfId="2997" xr:uid="{00000000-0005-0000-0000-0000A70B0000}"/>
    <cellStyle name="0_6117 org 3 4 2 6" xfId="2998" xr:uid="{00000000-0005-0000-0000-0000A80B0000}"/>
    <cellStyle name="0_6117 org 3 4 3" xfId="2999" xr:uid="{00000000-0005-0000-0000-0000A90B0000}"/>
    <cellStyle name="0_6117 org 3 4 3 2" xfId="3000" xr:uid="{00000000-0005-0000-0000-0000AA0B0000}"/>
    <cellStyle name="0_6117 org 3 4 3 2 2" xfId="3001" xr:uid="{00000000-0005-0000-0000-0000AB0B0000}"/>
    <cellStyle name="0_6117 org 3 4 3 3" xfId="3002" xr:uid="{00000000-0005-0000-0000-0000AC0B0000}"/>
    <cellStyle name="0_6117 org 3 4 3 3 2" xfId="3003" xr:uid="{00000000-0005-0000-0000-0000AD0B0000}"/>
    <cellStyle name="0_6117 org 3 4 3 4" xfId="3004" xr:uid="{00000000-0005-0000-0000-0000AE0B0000}"/>
    <cellStyle name="0_6117 org 3 4 4" xfId="3005" xr:uid="{00000000-0005-0000-0000-0000AF0B0000}"/>
    <cellStyle name="0_6117 org 3 4 4 2" xfId="3006" xr:uid="{00000000-0005-0000-0000-0000B00B0000}"/>
    <cellStyle name="0_6117 org 3 4 4 2 2" xfId="3007" xr:uid="{00000000-0005-0000-0000-0000B10B0000}"/>
    <cellStyle name="0_6117 org 3 4 4 3" xfId="3008" xr:uid="{00000000-0005-0000-0000-0000B20B0000}"/>
    <cellStyle name="0_6117 org 3 4 4 3 2" xfId="3009" xr:uid="{00000000-0005-0000-0000-0000B30B0000}"/>
    <cellStyle name="0_6117 org 3 4 4 4" xfId="3010" xr:uid="{00000000-0005-0000-0000-0000B40B0000}"/>
    <cellStyle name="0_6117 org 3 4 5" xfId="3011" xr:uid="{00000000-0005-0000-0000-0000B50B0000}"/>
    <cellStyle name="0_6117 org 3 4 5 2" xfId="3012" xr:uid="{00000000-0005-0000-0000-0000B60B0000}"/>
    <cellStyle name="0_6117 org 3 4 5 2 2" xfId="3013" xr:uid="{00000000-0005-0000-0000-0000B70B0000}"/>
    <cellStyle name="0_6117 org 3 4 5 3" xfId="3014" xr:uid="{00000000-0005-0000-0000-0000B80B0000}"/>
    <cellStyle name="0_6117 org 3 4 5 3 2" xfId="3015" xr:uid="{00000000-0005-0000-0000-0000B90B0000}"/>
    <cellStyle name="0_6117 org 3 4 5 4" xfId="3016" xr:uid="{00000000-0005-0000-0000-0000BA0B0000}"/>
    <cellStyle name="0_6117 org 3 4 6" xfId="3017" xr:uid="{00000000-0005-0000-0000-0000BB0B0000}"/>
    <cellStyle name="0_6117 org 3 4 6 2" xfId="3018" xr:uid="{00000000-0005-0000-0000-0000BC0B0000}"/>
    <cellStyle name="0_6117 org 3 4 7" xfId="3019" xr:uid="{00000000-0005-0000-0000-0000BD0B0000}"/>
    <cellStyle name="0_6117 org 3 4 7 2" xfId="3020" xr:uid="{00000000-0005-0000-0000-0000BE0B0000}"/>
    <cellStyle name="0_6117 org 3 4 8" xfId="3021" xr:uid="{00000000-0005-0000-0000-0000BF0B0000}"/>
    <cellStyle name="0_6117 org 3 5" xfId="3022" xr:uid="{00000000-0005-0000-0000-0000C00B0000}"/>
    <cellStyle name="0_6117 org 3 5 2" xfId="3023" xr:uid="{00000000-0005-0000-0000-0000C10B0000}"/>
    <cellStyle name="0_6117 org 3 5 2 2" xfId="3024" xr:uid="{00000000-0005-0000-0000-0000C20B0000}"/>
    <cellStyle name="0_6117 org 3 5 2 2 2" xfId="3025" xr:uid="{00000000-0005-0000-0000-0000C30B0000}"/>
    <cellStyle name="0_6117 org 3 5 2 2 2 2" xfId="3026" xr:uid="{00000000-0005-0000-0000-0000C40B0000}"/>
    <cellStyle name="0_6117 org 3 5 2 2 3" xfId="3027" xr:uid="{00000000-0005-0000-0000-0000C50B0000}"/>
    <cellStyle name="0_6117 org 3 5 2 2 3 2" xfId="3028" xr:uid="{00000000-0005-0000-0000-0000C60B0000}"/>
    <cellStyle name="0_6117 org 3 5 2 2 4" xfId="3029" xr:uid="{00000000-0005-0000-0000-0000C70B0000}"/>
    <cellStyle name="0_6117 org 3 5 2 3" xfId="3030" xr:uid="{00000000-0005-0000-0000-0000C80B0000}"/>
    <cellStyle name="0_6117 org 3 5 2 3 2" xfId="3031" xr:uid="{00000000-0005-0000-0000-0000C90B0000}"/>
    <cellStyle name="0_6117 org 3 5 2 3 2 2" xfId="3032" xr:uid="{00000000-0005-0000-0000-0000CA0B0000}"/>
    <cellStyle name="0_6117 org 3 5 2 3 3" xfId="3033" xr:uid="{00000000-0005-0000-0000-0000CB0B0000}"/>
    <cellStyle name="0_6117 org 3 5 2 3 3 2" xfId="3034" xr:uid="{00000000-0005-0000-0000-0000CC0B0000}"/>
    <cellStyle name="0_6117 org 3 5 2 3 4" xfId="3035" xr:uid="{00000000-0005-0000-0000-0000CD0B0000}"/>
    <cellStyle name="0_6117 org 3 5 2 4" xfId="3036" xr:uid="{00000000-0005-0000-0000-0000CE0B0000}"/>
    <cellStyle name="0_6117 org 3 5 2 4 2" xfId="3037" xr:uid="{00000000-0005-0000-0000-0000CF0B0000}"/>
    <cellStyle name="0_6117 org 3 5 2 5" xfId="3038" xr:uid="{00000000-0005-0000-0000-0000D00B0000}"/>
    <cellStyle name="0_6117 org 3 5 2 5 2" xfId="3039" xr:uid="{00000000-0005-0000-0000-0000D10B0000}"/>
    <cellStyle name="0_6117 org 3 5 2 6" xfId="3040" xr:uid="{00000000-0005-0000-0000-0000D20B0000}"/>
    <cellStyle name="0_6117 org 3 5 3" xfId="3041" xr:uid="{00000000-0005-0000-0000-0000D30B0000}"/>
    <cellStyle name="0_6117 org 3 5 3 2" xfId="3042" xr:uid="{00000000-0005-0000-0000-0000D40B0000}"/>
    <cellStyle name="0_6117 org 3 5 3 2 2" xfId="3043" xr:uid="{00000000-0005-0000-0000-0000D50B0000}"/>
    <cellStyle name="0_6117 org 3 5 3 3" xfId="3044" xr:uid="{00000000-0005-0000-0000-0000D60B0000}"/>
    <cellStyle name="0_6117 org 3 5 3 3 2" xfId="3045" xr:uid="{00000000-0005-0000-0000-0000D70B0000}"/>
    <cellStyle name="0_6117 org 3 5 3 4" xfId="3046" xr:uid="{00000000-0005-0000-0000-0000D80B0000}"/>
    <cellStyle name="0_6117 org 3 5 4" xfId="3047" xr:uid="{00000000-0005-0000-0000-0000D90B0000}"/>
    <cellStyle name="0_6117 org 3 5 4 2" xfId="3048" xr:uid="{00000000-0005-0000-0000-0000DA0B0000}"/>
    <cellStyle name="0_6117 org 3 5 4 2 2" xfId="3049" xr:uid="{00000000-0005-0000-0000-0000DB0B0000}"/>
    <cellStyle name="0_6117 org 3 5 4 3" xfId="3050" xr:uid="{00000000-0005-0000-0000-0000DC0B0000}"/>
    <cellStyle name="0_6117 org 3 5 4 3 2" xfId="3051" xr:uid="{00000000-0005-0000-0000-0000DD0B0000}"/>
    <cellStyle name="0_6117 org 3 5 4 4" xfId="3052" xr:uid="{00000000-0005-0000-0000-0000DE0B0000}"/>
    <cellStyle name="0_6117 org 3 5 5" xfId="3053" xr:uid="{00000000-0005-0000-0000-0000DF0B0000}"/>
    <cellStyle name="0_6117 org 3 5 5 2" xfId="3054" xr:uid="{00000000-0005-0000-0000-0000E00B0000}"/>
    <cellStyle name="0_6117 org 3 5 5 2 2" xfId="3055" xr:uid="{00000000-0005-0000-0000-0000E10B0000}"/>
    <cellStyle name="0_6117 org 3 5 5 3" xfId="3056" xr:uid="{00000000-0005-0000-0000-0000E20B0000}"/>
    <cellStyle name="0_6117 org 3 5 5 3 2" xfId="3057" xr:uid="{00000000-0005-0000-0000-0000E30B0000}"/>
    <cellStyle name="0_6117 org 3 5 5 4" xfId="3058" xr:uid="{00000000-0005-0000-0000-0000E40B0000}"/>
    <cellStyle name="0_6117 org 3 5 6" xfId="3059" xr:uid="{00000000-0005-0000-0000-0000E50B0000}"/>
    <cellStyle name="0_6117 org 3 5 6 2" xfId="3060" xr:uid="{00000000-0005-0000-0000-0000E60B0000}"/>
    <cellStyle name="0_6117 org 3 5 7" xfId="3061" xr:uid="{00000000-0005-0000-0000-0000E70B0000}"/>
    <cellStyle name="0_6117 org 3 5 7 2" xfId="3062" xr:uid="{00000000-0005-0000-0000-0000E80B0000}"/>
    <cellStyle name="0_6117 org 3 5 8" xfId="3063" xr:uid="{00000000-0005-0000-0000-0000E90B0000}"/>
    <cellStyle name="0_6117 org 3 6" xfId="3064" xr:uid="{00000000-0005-0000-0000-0000EA0B0000}"/>
    <cellStyle name="0_6117 org 3 6 2" xfId="3065" xr:uid="{00000000-0005-0000-0000-0000EB0B0000}"/>
    <cellStyle name="0_6117 org 3 6 2 2" xfId="3066" xr:uid="{00000000-0005-0000-0000-0000EC0B0000}"/>
    <cellStyle name="0_6117 org 3 6 2 2 2" xfId="3067" xr:uid="{00000000-0005-0000-0000-0000ED0B0000}"/>
    <cellStyle name="0_6117 org 3 6 2 2 2 2" xfId="3068" xr:uid="{00000000-0005-0000-0000-0000EE0B0000}"/>
    <cellStyle name="0_6117 org 3 6 2 2 3" xfId="3069" xr:uid="{00000000-0005-0000-0000-0000EF0B0000}"/>
    <cellStyle name="0_6117 org 3 6 2 2 3 2" xfId="3070" xr:uid="{00000000-0005-0000-0000-0000F00B0000}"/>
    <cellStyle name="0_6117 org 3 6 2 2 4" xfId="3071" xr:uid="{00000000-0005-0000-0000-0000F10B0000}"/>
    <cellStyle name="0_6117 org 3 6 2 3" xfId="3072" xr:uid="{00000000-0005-0000-0000-0000F20B0000}"/>
    <cellStyle name="0_6117 org 3 6 2 3 2" xfId="3073" xr:uid="{00000000-0005-0000-0000-0000F30B0000}"/>
    <cellStyle name="0_6117 org 3 6 2 3 2 2" xfId="3074" xr:uid="{00000000-0005-0000-0000-0000F40B0000}"/>
    <cellStyle name="0_6117 org 3 6 2 3 3" xfId="3075" xr:uid="{00000000-0005-0000-0000-0000F50B0000}"/>
    <cellStyle name="0_6117 org 3 6 2 3 3 2" xfId="3076" xr:uid="{00000000-0005-0000-0000-0000F60B0000}"/>
    <cellStyle name="0_6117 org 3 6 2 3 4" xfId="3077" xr:uid="{00000000-0005-0000-0000-0000F70B0000}"/>
    <cellStyle name="0_6117 org 3 6 2 4" xfId="3078" xr:uid="{00000000-0005-0000-0000-0000F80B0000}"/>
    <cellStyle name="0_6117 org 3 6 2 4 2" xfId="3079" xr:uid="{00000000-0005-0000-0000-0000F90B0000}"/>
    <cellStyle name="0_6117 org 3 6 2 5" xfId="3080" xr:uid="{00000000-0005-0000-0000-0000FA0B0000}"/>
    <cellStyle name="0_6117 org 3 6 2 5 2" xfId="3081" xr:uid="{00000000-0005-0000-0000-0000FB0B0000}"/>
    <cellStyle name="0_6117 org 3 6 2 6" xfId="3082" xr:uid="{00000000-0005-0000-0000-0000FC0B0000}"/>
    <cellStyle name="0_6117 org 3 6 3" xfId="3083" xr:uid="{00000000-0005-0000-0000-0000FD0B0000}"/>
    <cellStyle name="0_6117 org 3 6 3 2" xfId="3084" xr:uid="{00000000-0005-0000-0000-0000FE0B0000}"/>
    <cellStyle name="0_6117 org 3 6 3 2 2" xfId="3085" xr:uid="{00000000-0005-0000-0000-0000FF0B0000}"/>
    <cellStyle name="0_6117 org 3 6 3 3" xfId="3086" xr:uid="{00000000-0005-0000-0000-0000000C0000}"/>
    <cellStyle name="0_6117 org 3 6 3 3 2" xfId="3087" xr:uid="{00000000-0005-0000-0000-0000010C0000}"/>
    <cellStyle name="0_6117 org 3 6 3 4" xfId="3088" xr:uid="{00000000-0005-0000-0000-0000020C0000}"/>
    <cellStyle name="0_6117 org 3 6 4" xfId="3089" xr:uid="{00000000-0005-0000-0000-0000030C0000}"/>
    <cellStyle name="0_6117 org 3 6 4 2" xfId="3090" xr:uid="{00000000-0005-0000-0000-0000040C0000}"/>
    <cellStyle name="0_6117 org 3 6 4 2 2" xfId="3091" xr:uid="{00000000-0005-0000-0000-0000050C0000}"/>
    <cellStyle name="0_6117 org 3 6 4 3" xfId="3092" xr:uid="{00000000-0005-0000-0000-0000060C0000}"/>
    <cellStyle name="0_6117 org 3 6 4 3 2" xfId="3093" xr:uid="{00000000-0005-0000-0000-0000070C0000}"/>
    <cellStyle name="0_6117 org 3 6 4 4" xfId="3094" xr:uid="{00000000-0005-0000-0000-0000080C0000}"/>
    <cellStyle name="0_6117 org 3 6 5" xfId="3095" xr:uid="{00000000-0005-0000-0000-0000090C0000}"/>
    <cellStyle name="0_6117 org 3 6 5 2" xfId="3096" xr:uid="{00000000-0005-0000-0000-00000A0C0000}"/>
    <cellStyle name="0_6117 org 3 6 5 2 2" xfId="3097" xr:uid="{00000000-0005-0000-0000-00000B0C0000}"/>
    <cellStyle name="0_6117 org 3 6 5 3" xfId="3098" xr:uid="{00000000-0005-0000-0000-00000C0C0000}"/>
    <cellStyle name="0_6117 org 3 6 5 3 2" xfId="3099" xr:uid="{00000000-0005-0000-0000-00000D0C0000}"/>
    <cellStyle name="0_6117 org 3 6 5 4" xfId="3100" xr:uid="{00000000-0005-0000-0000-00000E0C0000}"/>
    <cellStyle name="0_6117 org 3 6 6" xfId="3101" xr:uid="{00000000-0005-0000-0000-00000F0C0000}"/>
    <cellStyle name="0_6117 org 3 6 6 2" xfId="3102" xr:uid="{00000000-0005-0000-0000-0000100C0000}"/>
    <cellStyle name="0_6117 org 3 6 7" xfId="3103" xr:uid="{00000000-0005-0000-0000-0000110C0000}"/>
    <cellStyle name="0_6117 org 3 6 7 2" xfId="3104" xr:uid="{00000000-0005-0000-0000-0000120C0000}"/>
    <cellStyle name="0_6117 org 3 6 8" xfId="3105" xr:uid="{00000000-0005-0000-0000-0000130C0000}"/>
    <cellStyle name="0_6117 org 3 7" xfId="3106" xr:uid="{00000000-0005-0000-0000-0000140C0000}"/>
    <cellStyle name="0_6117 org 3 7 2" xfId="3107" xr:uid="{00000000-0005-0000-0000-0000150C0000}"/>
    <cellStyle name="0_6117 org 3 7 2 2" xfId="3108" xr:uid="{00000000-0005-0000-0000-0000160C0000}"/>
    <cellStyle name="0_6117 org 3 7 2 2 2" xfId="3109" xr:uid="{00000000-0005-0000-0000-0000170C0000}"/>
    <cellStyle name="0_6117 org 3 7 2 3" xfId="3110" xr:uid="{00000000-0005-0000-0000-0000180C0000}"/>
    <cellStyle name="0_6117 org 3 7 2 3 2" xfId="3111" xr:uid="{00000000-0005-0000-0000-0000190C0000}"/>
    <cellStyle name="0_6117 org 3 7 2 4" xfId="3112" xr:uid="{00000000-0005-0000-0000-00001A0C0000}"/>
    <cellStyle name="0_6117 org 3 7 3" xfId="3113" xr:uid="{00000000-0005-0000-0000-00001B0C0000}"/>
    <cellStyle name="0_6117 org 3 7 3 2" xfId="3114" xr:uid="{00000000-0005-0000-0000-00001C0C0000}"/>
    <cellStyle name="0_6117 org 3 7 3 2 2" xfId="3115" xr:uid="{00000000-0005-0000-0000-00001D0C0000}"/>
    <cellStyle name="0_6117 org 3 7 3 3" xfId="3116" xr:uid="{00000000-0005-0000-0000-00001E0C0000}"/>
    <cellStyle name="0_6117 org 3 7 3 3 2" xfId="3117" xr:uid="{00000000-0005-0000-0000-00001F0C0000}"/>
    <cellStyle name="0_6117 org 3 7 3 4" xfId="3118" xr:uid="{00000000-0005-0000-0000-0000200C0000}"/>
    <cellStyle name="0_6117 org 3 7 4" xfId="3119" xr:uid="{00000000-0005-0000-0000-0000210C0000}"/>
    <cellStyle name="0_6117 org 3 7 4 2" xfId="3120" xr:uid="{00000000-0005-0000-0000-0000220C0000}"/>
    <cellStyle name="0_6117 org 3 7 5" xfId="3121" xr:uid="{00000000-0005-0000-0000-0000230C0000}"/>
    <cellStyle name="0_6117 org 3 7 5 2" xfId="3122" xr:uid="{00000000-0005-0000-0000-0000240C0000}"/>
    <cellStyle name="0_6117 org 3 7 6" xfId="3123" xr:uid="{00000000-0005-0000-0000-0000250C0000}"/>
    <cellStyle name="0_6117 org 3 8" xfId="3124" xr:uid="{00000000-0005-0000-0000-0000260C0000}"/>
    <cellStyle name="0_6117 org 3 8 2" xfId="3125" xr:uid="{00000000-0005-0000-0000-0000270C0000}"/>
    <cellStyle name="0_6117 org 3 8 2 2" xfId="3126" xr:uid="{00000000-0005-0000-0000-0000280C0000}"/>
    <cellStyle name="0_6117 org 3 8 3" xfId="3127" xr:uid="{00000000-0005-0000-0000-0000290C0000}"/>
    <cellStyle name="0_6117 org 3 8 3 2" xfId="3128" xr:uid="{00000000-0005-0000-0000-00002A0C0000}"/>
    <cellStyle name="0_6117 org 3 8 4" xfId="3129" xr:uid="{00000000-0005-0000-0000-00002B0C0000}"/>
    <cellStyle name="0_6117 org 3 9" xfId="3130" xr:uid="{00000000-0005-0000-0000-00002C0C0000}"/>
    <cellStyle name="0_6117 org 3 9 2" xfId="3131" xr:uid="{00000000-0005-0000-0000-00002D0C0000}"/>
    <cellStyle name="0_6117 org 3 9 2 2" xfId="3132" xr:uid="{00000000-0005-0000-0000-00002E0C0000}"/>
    <cellStyle name="0_6117 org 3 9 3" xfId="3133" xr:uid="{00000000-0005-0000-0000-00002F0C0000}"/>
    <cellStyle name="0_6117 org 3 9 3 2" xfId="3134" xr:uid="{00000000-0005-0000-0000-0000300C0000}"/>
    <cellStyle name="0_6117 org 3 9 4" xfId="3135" xr:uid="{00000000-0005-0000-0000-0000310C0000}"/>
    <cellStyle name="0_6117 org 4" xfId="3136" xr:uid="{00000000-0005-0000-0000-0000320C0000}"/>
    <cellStyle name="0_6117 org 4 10" xfId="3137" xr:uid="{00000000-0005-0000-0000-0000330C0000}"/>
    <cellStyle name="0_6117 org 4 10 2" xfId="3138" xr:uid="{00000000-0005-0000-0000-0000340C0000}"/>
    <cellStyle name="0_6117 org 4 10 2 2" xfId="3139" xr:uid="{00000000-0005-0000-0000-0000350C0000}"/>
    <cellStyle name="0_6117 org 4 10 3" xfId="3140" xr:uid="{00000000-0005-0000-0000-0000360C0000}"/>
    <cellStyle name="0_6117 org 4 10 3 2" xfId="3141" xr:uid="{00000000-0005-0000-0000-0000370C0000}"/>
    <cellStyle name="0_6117 org 4 10 4" xfId="3142" xr:uid="{00000000-0005-0000-0000-0000380C0000}"/>
    <cellStyle name="0_6117 org 4 11" xfId="3143" xr:uid="{00000000-0005-0000-0000-0000390C0000}"/>
    <cellStyle name="0_6117 org 4 11 2" xfId="3144" xr:uid="{00000000-0005-0000-0000-00003A0C0000}"/>
    <cellStyle name="0_6117 org 4 12" xfId="3145" xr:uid="{00000000-0005-0000-0000-00003B0C0000}"/>
    <cellStyle name="0_6117 org 4 12 2" xfId="3146" xr:uid="{00000000-0005-0000-0000-00003C0C0000}"/>
    <cellStyle name="0_6117 org 4 13" xfId="3147" xr:uid="{00000000-0005-0000-0000-00003D0C0000}"/>
    <cellStyle name="0_6117 org 4 2" xfId="3148" xr:uid="{00000000-0005-0000-0000-00003E0C0000}"/>
    <cellStyle name="0_6117 org 4 2 2" xfId="3149" xr:uid="{00000000-0005-0000-0000-00003F0C0000}"/>
    <cellStyle name="0_6117 org 4 2 2 2" xfId="3150" xr:uid="{00000000-0005-0000-0000-0000400C0000}"/>
    <cellStyle name="0_6117 org 4 2 2 2 2" xfId="3151" xr:uid="{00000000-0005-0000-0000-0000410C0000}"/>
    <cellStyle name="0_6117 org 4 2 2 2 2 2" xfId="3152" xr:uid="{00000000-0005-0000-0000-0000420C0000}"/>
    <cellStyle name="0_6117 org 4 2 2 2 3" xfId="3153" xr:uid="{00000000-0005-0000-0000-0000430C0000}"/>
    <cellStyle name="0_6117 org 4 2 2 2 3 2" xfId="3154" xr:uid="{00000000-0005-0000-0000-0000440C0000}"/>
    <cellStyle name="0_6117 org 4 2 2 2 4" xfId="3155" xr:uid="{00000000-0005-0000-0000-0000450C0000}"/>
    <cellStyle name="0_6117 org 4 2 2 3" xfId="3156" xr:uid="{00000000-0005-0000-0000-0000460C0000}"/>
    <cellStyle name="0_6117 org 4 2 2 3 2" xfId="3157" xr:uid="{00000000-0005-0000-0000-0000470C0000}"/>
    <cellStyle name="0_6117 org 4 2 2 3 2 2" xfId="3158" xr:uid="{00000000-0005-0000-0000-0000480C0000}"/>
    <cellStyle name="0_6117 org 4 2 2 3 3" xfId="3159" xr:uid="{00000000-0005-0000-0000-0000490C0000}"/>
    <cellStyle name="0_6117 org 4 2 2 3 3 2" xfId="3160" xr:uid="{00000000-0005-0000-0000-00004A0C0000}"/>
    <cellStyle name="0_6117 org 4 2 2 3 4" xfId="3161" xr:uid="{00000000-0005-0000-0000-00004B0C0000}"/>
    <cellStyle name="0_6117 org 4 2 2 4" xfId="3162" xr:uid="{00000000-0005-0000-0000-00004C0C0000}"/>
    <cellStyle name="0_6117 org 4 2 2 4 2" xfId="3163" xr:uid="{00000000-0005-0000-0000-00004D0C0000}"/>
    <cellStyle name="0_6117 org 4 2 2 5" xfId="3164" xr:uid="{00000000-0005-0000-0000-00004E0C0000}"/>
    <cellStyle name="0_6117 org 4 2 2 5 2" xfId="3165" xr:uid="{00000000-0005-0000-0000-00004F0C0000}"/>
    <cellStyle name="0_6117 org 4 2 2 6" xfId="3166" xr:uid="{00000000-0005-0000-0000-0000500C0000}"/>
    <cellStyle name="0_6117 org 4 2 3" xfId="3167" xr:uid="{00000000-0005-0000-0000-0000510C0000}"/>
    <cellStyle name="0_6117 org 4 2 3 2" xfId="3168" xr:uid="{00000000-0005-0000-0000-0000520C0000}"/>
    <cellStyle name="0_6117 org 4 2 3 2 2" xfId="3169" xr:uid="{00000000-0005-0000-0000-0000530C0000}"/>
    <cellStyle name="0_6117 org 4 2 3 3" xfId="3170" xr:uid="{00000000-0005-0000-0000-0000540C0000}"/>
    <cellStyle name="0_6117 org 4 2 3 3 2" xfId="3171" xr:uid="{00000000-0005-0000-0000-0000550C0000}"/>
    <cellStyle name="0_6117 org 4 2 3 4" xfId="3172" xr:uid="{00000000-0005-0000-0000-0000560C0000}"/>
    <cellStyle name="0_6117 org 4 2 4" xfId="3173" xr:uid="{00000000-0005-0000-0000-0000570C0000}"/>
    <cellStyle name="0_6117 org 4 2 4 2" xfId="3174" xr:uid="{00000000-0005-0000-0000-0000580C0000}"/>
    <cellStyle name="0_6117 org 4 2 4 2 2" xfId="3175" xr:uid="{00000000-0005-0000-0000-0000590C0000}"/>
    <cellStyle name="0_6117 org 4 2 4 3" xfId="3176" xr:uid="{00000000-0005-0000-0000-00005A0C0000}"/>
    <cellStyle name="0_6117 org 4 2 4 3 2" xfId="3177" xr:uid="{00000000-0005-0000-0000-00005B0C0000}"/>
    <cellStyle name="0_6117 org 4 2 4 4" xfId="3178" xr:uid="{00000000-0005-0000-0000-00005C0C0000}"/>
    <cellStyle name="0_6117 org 4 2 5" xfId="3179" xr:uid="{00000000-0005-0000-0000-00005D0C0000}"/>
    <cellStyle name="0_6117 org 4 2 5 2" xfId="3180" xr:uid="{00000000-0005-0000-0000-00005E0C0000}"/>
    <cellStyle name="0_6117 org 4 2 5 2 2" xfId="3181" xr:uid="{00000000-0005-0000-0000-00005F0C0000}"/>
    <cellStyle name="0_6117 org 4 2 5 3" xfId="3182" xr:uid="{00000000-0005-0000-0000-0000600C0000}"/>
    <cellStyle name="0_6117 org 4 2 5 3 2" xfId="3183" xr:uid="{00000000-0005-0000-0000-0000610C0000}"/>
    <cellStyle name="0_6117 org 4 2 5 4" xfId="3184" xr:uid="{00000000-0005-0000-0000-0000620C0000}"/>
    <cellStyle name="0_6117 org 4 2 6" xfId="3185" xr:uid="{00000000-0005-0000-0000-0000630C0000}"/>
    <cellStyle name="0_6117 org 4 2 6 2" xfId="3186" xr:uid="{00000000-0005-0000-0000-0000640C0000}"/>
    <cellStyle name="0_6117 org 4 2 7" xfId="3187" xr:uid="{00000000-0005-0000-0000-0000650C0000}"/>
    <cellStyle name="0_6117 org 4 2 7 2" xfId="3188" xr:uid="{00000000-0005-0000-0000-0000660C0000}"/>
    <cellStyle name="0_6117 org 4 2 8" xfId="3189" xr:uid="{00000000-0005-0000-0000-0000670C0000}"/>
    <cellStyle name="0_6117 org 4 3" xfId="3190" xr:uid="{00000000-0005-0000-0000-0000680C0000}"/>
    <cellStyle name="0_6117 org 4 3 2" xfId="3191" xr:uid="{00000000-0005-0000-0000-0000690C0000}"/>
    <cellStyle name="0_6117 org 4 3 2 2" xfId="3192" xr:uid="{00000000-0005-0000-0000-00006A0C0000}"/>
    <cellStyle name="0_6117 org 4 3 2 2 2" xfId="3193" xr:uid="{00000000-0005-0000-0000-00006B0C0000}"/>
    <cellStyle name="0_6117 org 4 3 2 2 2 2" xfId="3194" xr:uid="{00000000-0005-0000-0000-00006C0C0000}"/>
    <cellStyle name="0_6117 org 4 3 2 2 3" xfId="3195" xr:uid="{00000000-0005-0000-0000-00006D0C0000}"/>
    <cellStyle name="0_6117 org 4 3 2 2 3 2" xfId="3196" xr:uid="{00000000-0005-0000-0000-00006E0C0000}"/>
    <cellStyle name="0_6117 org 4 3 2 2 4" xfId="3197" xr:uid="{00000000-0005-0000-0000-00006F0C0000}"/>
    <cellStyle name="0_6117 org 4 3 2 3" xfId="3198" xr:uid="{00000000-0005-0000-0000-0000700C0000}"/>
    <cellStyle name="0_6117 org 4 3 2 3 2" xfId="3199" xr:uid="{00000000-0005-0000-0000-0000710C0000}"/>
    <cellStyle name="0_6117 org 4 3 2 3 2 2" xfId="3200" xr:uid="{00000000-0005-0000-0000-0000720C0000}"/>
    <cellStyle name="0_6117 org 4 3 2 3 3" xfId="3201" xr:uid="{00000000-0005-0000-0000-0000730C0000}"/>
    <cellStyle name="0_6117 org 4 3 2 3 3 2" xfId="3202" xr:uid="{00000000-0005-0000-0000-0000740C0000}"/>
    <cellStyle name="0_6117 org 4 3 2 3 4" xfId="3203" xr:uid="{00000000-0005-0000-0000-0000750C0000}"/>
    <cellStyle name="0_6117 org 4 3 2 4" xfId="3204" xr:uid="{00000000-0005-0000-0000-0000760C0000}"/>
    <cellStyle name="0_6117 org 4 3 2 4 2" xfId="3205" xr:uid="{00000000-0005-0000-0000-0000770C0000}"/>
    <cellStyle name="0_6117 org 4 3 2 5" xfId="3206" xr:uid="{00000000-0005-0000-0000-0000780C0000}"/>
    <cellStyle name="0_6117 org 4 3 2 5 2" xfId="3207" xr:uid="{00000000-0005-0000-0000-0000790C0000}"/>
    <cellStyle name="0_6117 org 4 3 2 6" xfId="3208" xr:uid="{00000000-0005-0000-0000-00007A0C0000}"/>
    <cellStyle name="0_6117 org 4 3 3" xfId="3209" xr:uid="{00000000-0005-0000-0000-00007B0C0000}"/>
    <cellStyle name="0_6117 org 4 3 3 2" xfId="3210" xr:uid="{00000000-0005-0000-0000-00007C0C0000}"/>
    <cellStyle name="0_6117 org 4 3 3 2 2" xfId="3211" xr:uid="{00000000-0005-0000-0000-00007D0C0000}"/>
    <cellStyle name="0_6117 org 4 3 3 3" xfId="3212" xr:uid="{00000000-0005-0000-0000-00007E0C0000}"/>
    <cellStyle name="0_6117 org 4 3 3 3 2" xfId="3213" xr:uid="{00000000-0005-0000-0000-00007F0C0000}"/>
    <cellStyle name="0_6117 org 4 3 3 4" xfId="3214" xr:uid="{00000000-0005-0000-0000-0000800C0000}"/>
    <cellStyle name="0_6117 org 4 3 4" xfId="3215" xr:uid="{00000000-0005-0000-0000-0000810C0000}"/>
    <cellStyle name="0_6117 org 4 3 4 2" xfId="3216" xr:uid="{00000000-0005-0000-0000-0000820C0000}"/>
    <cellStyle name="0_6117 org 4 3 4 2 2" xfId="3217" xr:uid="{00000000-0005-0000-0000-0000830C0000}"/>
    <cellStyle name="0_6117 org 4 3 4 3" xfId="3218" xr:uid="{00000000-0005-0000-0000-0000840C0000}"/>
    <cellStyle name="0_6117 org 4 3 4 3 2" xfId="3219" xr:uid="{00000000-0005-0000-0000-0000850C0000}"/>
    <cellStyle name="0_6117 org 4 3 4 4" xfId="3220" xr:uid="{00000000-0005-0000-0000-0000860C0000}"/>
    <cellStyle name="0_6117 org 4 3 5" xfId="3221" xr:uid="{00000000-0005-0000-0000-0000870C0000}"/>
    <cellStyle name="0_6117 org 4 3 5 2" xfId="3222" xr:uid="{00000000-0005-0000-0000-0000880C0000}"/>
    <cellStyle name="0_6117 org 4 3 5 2 2" xfId="3223" xr:uid="{00000000-0005-0000-0000-0000890C0000}"/>
    <cellStyle name="0_6117 org 4 3 5 3" xfId="3224" xr:uid="{00000000-0005-0000-0000-00008A0C0000}"/>
    <cellStyle name="0_6117 org 4 3 5 3 2" xfId="3225" xr:uid="{00000000-0005-0000-0000-00008B0C0000}"/>
    <cellStyle name="0_6117 org 4 3 5 4" xfId="3226" xr:uid="{00000000-0005-0000-0000-00008C0C0000}"/>
    <cellStyle name="0_6117 org 4 3 6" xfId="3227" xr:uid="{00000000-0005-0000-0000-00008D0C0000}"/>
    <cellStyle name="0_6117 org 4 3 6 2" xfId="3228" xr:uid="{00000000-0005-0000-0000-00008E0C0000}"/>
    <cellStyle name="0_6117 org 4 3 7" xfId="3229" xr:uid="{00000000-0005-0000-0000-00008F0C0000}"/>
    <cellStyle name="0_6117 org 4 3 7 2" xfId="3230" xr:uid="{00000000-0005-0000-0000-0000900C0000}"/>
    <cellStyle name="0_6117 org 4 3 8" xfId="3231" xr:uid="{00000000-0005-0000-0000-0000910C0000}"/>
    <cellStyle name="0_6117 org 4 4" xfId="3232" xr:uid="{00000000-0005-0000-0000-0000920C0000}"/>
    <cellStyle name="0_6117 org 4 4 2" xfId="3233" xr:uid="{00000000-0005-0000-0000-0000930C0000}"/>
    <cellStyle name="0_6117 org 4 4 2 2" xfId="3234" xr:uid="{00000000-0005-0000-0000-0000940C0000}"/>
    <cellStyle name="0_6117 org 4 4 2 2 2" xfId="3235" xr:uid="{00000000-0005-0000-0000-0000950C0000}"/>
    <cellStyle name="0_6117 org 4 4 2 2 2 2" xfId="3236" xr:uid="{00000000-0005-0000-0000-0000960C0000}"/>
    <cellStyle name="0_6117 org 4 4 2 2 3" xfId="3237" xr:uid="{00000000-0005-0000-0000-0000970C0000}"/>
    <cellStyle name="0_6117 org 4 4 2 2 3 2" xfId="3238" xr:uid="{00000000-0005-0000-0000-0000980C0000}"/>
    <cellStyle name="0_6117 org 4 4 2 2 4" xfId="3239" xr:uid="{00000000-0005-0000-0000-0000990C0000}"/>
    <cellStyle name="0_6117 org 4 4 2 3" xfId="3240" xr:uid="{00000000-0005-0000-0000-00009A0C0000}"/>
    <cellStyle name="0_6117 org 4 4 2 3 2" xfId="3241" xr:uid="{00000000-0005-0000-0000-00009B0C0000}"/>
    <cellStyle name="0_6117 org 4 4 2 3 2 2" xfId="3242" xr:uid="{00000000-0005-0000-0000-00009C0C0000}"/>
    <cellStyle name="0_6117 org 4 4 2 3 3" xfId="3243" xr:uid="{00000000-0005-0000-0000-00009D0C0000}"/>
    <cellStyle name="0_6117 org 4 4 2 3 3 2" xfId="3244" xr:uid="{00000000-0005-0000-0000-00009E0C0000}"/>
    <cellStyle name="0_6117 org 4 4 2 3 4" xfId="3245" xr:uid="{00000000-0005-0000-0000-00009F0C0000}"/>
    <cellStyle name="0_6117 org 4 4 2 4" xfId="3246" xr:uid="{00000000-0005-0000-0000-0000A00C0000}"/>
    <cellStyle name="0_6117 org 4 4 2 4 2" xfId="3247" xr:uid="{00000000-0005-0000-0000-0000A10C0000}"/>
    <cellStyle name="0_6117 org 4 4 2 5" xfId="3248" xr:uid="{00000000-0005-0000-0000-0000A20C0000}"/>
    <cellStyle name="0_6117 org 4 4 2 5 2" xfId="3249" xr:uid="{00000000-0005-0000-0000-0000A30C0000}"/>
    <cellStyle name="0_6117 org 4 4 2 6" xfId="3250" xr:uid="{00000000-0005-0000-0000-0000A40C0000}"/>
    <cellStyle name="0_6117 org 4 4 3" xfId="3251" xr:uid="{00000000-0005-0000-0000-0000A50C0000}"/>
    <cellStyle name="0_6117 org 4 4 3 2" xfId="3252" xr:uid="{00000000-0005-0000-0000-0000A60C0000}"/>
    <cellStyle name="0_6117 org 4 4 3 2 2" xfId="3253" xr:uid="{00000000-0005-0000-0000-0000A70C0000}"/>
    <cellStyle name="0_6117 org 4 4 3 3" xfId="3254" xr:uid="{00000000-0005-0000-0000-0000A80C0000}"/>
    <cellStyle name="0_6117 org 4 4 3 3 2" xfId="3255" xr:uid="{00000000-0005-0000-0000-0000A90C0000}"/>
    <cellStyle name="0_6117 org 4 4 3 4" xfId="3256" xr:uid="{00000000-0005-0000-0000-0000AA0C0000}"/>
    <cellStyle name="0_6117 org 4 4 4" xfId="3257" xr:uid="{00000000-0005-0000-0000-0000AB0C0000}"/>
    <cellStyle name="0_6117 org 4 4 4 2" xfId="3258" xr:uid="{00000000-0005-0000-0000-0000AC0C0000}"/>
    <cellStyle name="0_6117 org 4 4 4 2 2" xfId="3259" xr:uid="{00000000-0005-0000-0000-0000AD0C0000}"/>
    <cellStyle name="0_6117 org 4 4 4 3" xfId="3260" xr:uid="{00000000-0005-0000-0000-0000AE0C0000}"/>
    <cellStyle name="0_6117 org 4 4 4 3 2" xfId="3261" xr:uid="{00000000-0005-0000-0000-0000AF0C0000}"/>
    <cellStyle name="0_6117 org 4 4 4 4" xfId="3262" xr:uid="{00000000-0005-0000-0000-0000B00C0000}"/>
    <cellStyle name="0_6117 org 4 4 5" xfId="3263" xr:uid="{00000000-0005-0000-0000-0000B10C0000}"/>
    <cellStyle name="0_6117 org 4 4 5 2" xfId="3264" xr:uid="{00000000-0005-0000-0000-0000B20C0000}"/>
    <cellStyle name="0_6117 org 4 4 5 2 2" xfId="3265" xr:uid="{00000000-0005-0000-0000-0000B30C0000}"/>
    <cellStyle name="0_6117 org 4 4 5 3" xfId="3266" xr:uid="{00000000-0005-0000-0000-0000B40C0000}"/>
    <cellStyle name="0_6117 org 4 4 5 3 2" xfId="3267" xr:uid="{00000000-0005-0000-0000-0000B50C0000}"/>
    <cellStyle name="0_6117 org 4 4 5 4" xfId="3268" xr:uid="{00000000-0005-0000-0000-0000B60C0000}"/>
    <cellStyle name="0_6117 org 4 4 6" xfId="3269" xr:uid="{00000000-0005-0000-0000-0000B70C0000}"/>
    <cellStyle name="0_6117 org 4 4 6 2" xfId="3270" xr:uid="{00000000-0005-0000-0000-0000B80C0000}"/>
    <cellStyle name="0_6117 org 4 4 7" xfId="3271" xr:uid="{00000000-0005-0000-0000-0000B90C0000}"/>
    <cellStyle name="0_6117 org 4 4 7 2" xfId="3272" xr:uid="{00000000-0005-0000-0000-0000BA0C0000}"/>
    <cellStyle name="0_6117 org 4 4 8" xfId="3273" xr:uid="{00000000-0005-0000-0000-0000BB0C0000}"/>
    <cellStyle name="0_6117 org 4 5" xfId="3274" xr:uid="{00000000-0005-0000-0000-0000BC0C0000}"/>
    <cellStyle name="0_6117 org 4 5 2" xfId="3275" xr:uid="{00000000-0005-0000-0000-0000BD0C0000}"/>
    <cellStyle name="0_6117 org 4 5 2 2" xfId="3276" xr:uid="{00000000-0005-0000-0000-0000BE0C0000}"/>
    <cellStyle name="0_6117 org 4 5 2 2 2" xfId="3277" xr:uid="{00000000-0005-0000-0000-0000BF0C0000}"/>
    <cellStyle name="0_6117 org 4 5 2 2 2 2" xfId="3278" xr:uid="{00000000-0005-0000-0000-0000C00C0000}"/>
    <cellStyle name="0_6117 org 4 5 2 2 3" xfId="3279" xr:uid="{00000000-0005-0000-0000-0000C10C0000}"/>
    <cellStyle name="0_6117 org 4 5 2 2 3 2" xfId="3280" xr:uid="{00000000-0005-0000-0000-0000C20C0000}"/>
    <cellStyle name="0_6117 org 4 5 2 2 4" xfId="3281" xr:uid="{00000000-0005-0000-0000-0000C30C0000}"/>
    <cellStyle name="0_6117 org 4 5 2 3" xfId="3282" xr:uid="{00000000-0005-0000-0000-0000C40C0000}"/>
    <cellStyle name="0_6117 org 4 5 2 3 2" xfId="3283" xr:uid="{00000000-0005-0000-0000-0000C50C0000}"/>
    <cellStyle name="0_6117 org 4 5 2 3 2 2" xfId="3284" xr:uid="{00000000-0005-0000-0000-0000C60C0000}"/>
    <cellStyle name="0_6117 org 4 5 2 3 3" xfId="3285" xr:uid="{00000000-0005-0000-0000-0000C70C0000}"/>
    <cellStyle name="0_6117 org 4 5 2 3 3 2" xfId="3286" xr:uid="{00000000-0005-0000-0000-0000C80C0000}"/>
    <cellStyle name="0_6117 org 4 5 2 3 4" xfId="3287" xr:uid="{00000000-0005-0000-0000-0000C90C0000}"/>
    <cellStyle name="0_6117 org 4 5 2 4" xfId="3288" xr:uid="{00000000-0005-0000-0000-0000CA0C0000}"/>
    <cellStyle name="0_6117 org 4 5 2 4 2" xfId="3289" xr:uid="{00000000-0005-0000-0000-0000CB0C0000}"/>
    <cellStyle name="0_6117 org 4 5 2 5" xfId="3290" xr:uid="{00000000-0005-0000-0000-0000CC0C0000}"/>
    <cellStyle name="0_6117 org 4 5 2 5 2" xfId="3291" xr:uid="{00000000-0005-0000-0000-0000CD0C0000}"/>
    <cellStyle name="0_6117 org 4 5 2 6" xfId="3292" xr:uid="{00000000-0005-0000-0000-0000CE0C0000}"/>
    <cellStyle name="0_6117 org 4 5 3" xfId="3293" xr:uid="{00000000-0005-0000-0000-0000CF0C0000}"/>
    <cellStyle name="0_6117 org 4 5 3 2" xfId="3294" xr:uid="{00000000-0005-0000-0000-0000D00C0000}"/>
    <cellStyle name="0_6117 org 4 5 3 2 2" xfId="3295" xr:uid="{00000000-0005-0000-0000-0000D10C0000}"/>
    <cellStyle name="0_6117 org 4 5 3 3" xfId="3296" xr:uid="{00000000-0005-0000-0000-0000D20C0000}"/>
    <cellStyle name="0_6117 org 4 5 3 3 2" xfId="3297" xr:uid="{00000000-0005-0000-0000-0000D30C0000}"/>
    <cellStyle name="0_6117 org 4 5 3 4" xfId="3298" xr:uid="{00000000-0005-0000-0000-0000D40C0000}"/>
    <cellStyle name="0_6117 org 4 5 4" xfId="3299" xr:uid="{00000000-0005-0000-0000-0000D50C0000}"/>
    <cellStyle name="0_6117 org 4 5 4 2" xfId="3300" xr:uid="{00000000-0005-0000-0000-0000D60C0000}"/>
    <cellStyle name="0_6117 org 4 5 4 2 2" xfId="3301" xr:uid="{00000000-0005-0000-0000-0000D70C0000}"/>
    <cellStyle name="0_6117 org 4 5 4 3" xfId="3302" xr:uid="{00000000-0005-0000-0000-0000D80C0000}"/>
    <cellStyle name="0_6117 org 4 5 4 3 2" xfId="3303" xr:uid="{00000000-0005-0000-0000-0000D90C0000}"/>
    <cellStyle name="0_6117 org 4 5 4 4" xfId="3304" xr:uid="{00000000-0005-0000-0000-0000DA0C0000}"/>
    <cellStyle name="0_6117 org 4 5 5" xfId="3305" xr:uid="{00000000-0005-0000-0000-0000DB0C0000}"/>
    <cellStyle name="0_6117 org 4 5 5 2" xfId="3306" xr:uid="{00000000-0005-0000-0000-0000DC0C0000}"/>
    <cellStyle name="0_6117 org 4 5 5 2 2" xfId="3307" xr:uid="{00000000-0005-0000-0000-0000DD0C0000}"/>
    <cellStyle name="0_6117 org 4 5 5 3" xfId="3308" xr:uid="{00000000-0005-0000-0000-0000DE0C0000}"/>
    <cellStyle name="0_6117 org 4 5 5 3 2" xfId="3309" xr:uid="{00000000-0005-0000-0000-0000DF0C0000}"/>
    <cellStyle name="0_6117 org 4 5 5 4" xfId="3310" xr:uid="{00000000-0005-0000-0000-0000E00C0000}"/>
    <cellStyle name="0_6117 org 4 5 6" xfId="3311" xr:uid="{00000000-0005-0000-0000-0000E10C0000}"/>
    <cellStyle name="0_6117 org 4 5 6 2" xfId="3312" xr:uid="{00000000-0005-0000-0000-0000E20C0000}"/>
    <cellStyle name="0_6117 org 4 5 7" xfId="3313" xr:uid="{00000000-0005-0000-0000-0000E30C0000}"/>
    <cellStyle name="0_6117 org 4 5 7 2" xfId="3314" xr:uid="{00000000-0005-0000-0000-0000E40C0000}"/>
    <cellStyle name="0_6117 org 4 5 8" xfId="3315" xr:uid="{00000000-0005-0000-0000-0000E50C0000}"/>
    <cellStyle name="0_6117 org 4 6" xfId="3316" xr:uid="{00000000-0005-0000-0000-0000E60C0000}"/>
    <cellStyle name="0_6117 org 4 6 2" xfId="3317" xr:uid="{00000000-0005-0000-0000-0000E70C0000}"/>
    <cellStyle name="0_6117 org 4 6 2 2" xfId="3318" xr:uid="{00000000-0005-0000-0000-0000E80C0000}"/>
    <cellStyle name="0_6117 org 4 6 2 2 2" xfId="3319" xr:uid="{00000000-0005-0000-0000-0000E90C0000}"/>
    <cellStyle name="0_6117 org 4 6 2 2 2 2" xfId="3320" xr:uid="{00000000-0005-0000-0000-0000EA0C0000}"/>
    <cellStyle name="0_6117 org 4 6 2 2 3" xfId="3321" xr:uid="{00000000-0005-0000-0000-0000EB0C0000}"/>
    <cellStyle name="0_6117 org 4 6 2 2 3 2" xfId="3322" xr:uid="{00000000-0005-0000-0000-0000EC0C0000}"/>
    <cellStyle name="0_6117 org 4 6 2 2 4" xfId="3323" xr:uid="{00000000-0005-0000-0000-0000ED0C0000}"/>
    <cellStyle name="0_6117 org 4 6 2 3" xfId="3324" xr:uid="{00000000-0005-0000-0000-0000EE0C0000}"/>
    <cellStyle name="0_6117 org 4 6 2 3 2" xfId="3325" xr:uid="{00000000-0005-0000-0000-0000EF0C0000}"/>
    <cellStyle name="0_6117 org 4 6 2 3 2 2" xfId="3326" xr:uid="{00000000-0005-0000-0000-0000F00C0000}"/>
    <cellStyle name="0_6117 org 4 6 2 3 3" xfId="3327" xr:uid="{00000000-0005-0000-0000-0000F10C0000}"/>
    <cellStyle name="0_6117 org 4 6 2 3 3 2" xfId="3328" xr:uid="{00000000-0005-0000-0000-0000F20C0000}"/>
    <cellStyle name="0_6117 org 4 6 2 3 4" xfId="3329" xr:uid="{00000000-0005-0000-0000-0000F30C0000}"/>
    <cellStyle name="0_6117 org 4 6 2 4" xfId="3330" xr:uid="{00000000-0005-0000-0000-0000F40C0000}"/>
    <cellStyle name="0_6117 org 4 6 2 4 2" xfId="3331" xr:uid="{00000000-0005-0000-0000-0000F50C0000}"/>
    <cellStyle name="0_6117 org 4 6 2 5" xfId="3332" xr:uid="{00000000-0005-0000-0000-0000F60C0000}"/>
    <cellStyle name="0_6117 org 4 6 2 5 2" xfId="3333" xr:uid="{00000000-0005-0000-0000-0000F70C0000}"/>
    <cellStyle name="0_6117 org 4 6 2 6" xfId="3334" xr:uid="{00000000-0005-0000-0000-0000F80C0000}"/>
    <cellStyle name="0_6117 org 4 6 3" xfId="3335" xr:uid="{00000000-0005-0000-0000-0000F90C0000}"/>
    <cellStyle name="0_6117 org 4 6 3 2" xfId="3336" xr:uid="{00000000-0005-0000-0000-0000FA0C0000}"/>
    <cellStyle name="0_6117 org 4 6 3 2 2" xfId="3337" xr:uid="{00000000-0005-0000-0000-0000FB0C0000}"/>
    <cellStyle name="0_6117 org 4 6 3 3" xfId="3338" xr:uid="{00000000-0005-0000-0000-0000FC0C0000}"/>
    <cellStyle name="0_6117 org 4 6 3 3 2" xfId="3339" xr:uid="{00000000-0005-0000-0000-0000FD0C0000}"/>
    <cellStyle name="0_6117 org 4 6 3 4" xfId="3340" xr:uid="{00000000-0005-0000-0000-0000FE0C0000}"/>
    <cellStyle name="0_6117 org 4 6 4" xfId="3341" xr:uid="{00000000-0005-0000-0000-0000FF0C0000}"/>
    <cellStyle name="0_6117 org 4 6 4 2" xfId="3342" xr:uid="{00000000-0005-0000-0000-0000000D0000}"/>
    <cellStyle name="0_6117 org 4 6 4 2 2" xfId="3343" xr:uid="{00000000-0005-0000-0000-0000010D0000}"/>
    <cellStyle name="0_6117 org 4 6 4 3" xfId="3344" xr:uid="{00000000-0005-0000-0000-0000020D0000}"/>
    <cellStyle name="0_6117 org 4 6 4 3 2" xfId="3345" xr:uid="{00000000-0005-0000-0000-0000030D0000}"/>
    <cellStyle name="0_6117 org 4 6 4 4" xfId="3346" xr:uid="{00000000-0005-0000-0000-0000040D0000}"/>
    <cellStyle name="0_6117 org 4 6 5" xfId="3347" xr:uid="{00000000-0005-0000-0000-0000050D0000}"/>
    <cellStyle name="0_6117 org 4 6 5 2" xfId="3348" xr:uid="{00000000-0005-0000-0000-0000060D0000}"/>
    <cellStyle name="0_6117 org 4 6 5 2 2" xfId="3349" xr:uid="{00000000-0005-0000-0000-0000070D0000}"/>
    <cellStyle name="0_6117 org 4 6 5 3" xfId="3350" xr:uid="{00000000-0005-0000-0000-0000080D0000}"/>
    <cellStyle name="0_6117 org 4 6 5 3 2" xfId="3351" xr:uid="{00000000-0005-0000-0000-0000090D0000}"/>
    <cellStyle name="0_6117 org 4 6 5 4" xfId="3352" xr:uid="{00000000-0005-0000-0000-00000A0D0000}"/>
    <cellStyle name="0_6117 org 4 6 6" xfId="3353" xr:uid="{00000000-0005-0000-0000-00000B0D0000}"/>
    <cellStyle name="0_6117 org 4 6 6 2" xfId="3354" xr:uid="{00000000-0005-0000-0000-00000C0D0000}"/>
    <cellStyle name="0_6117 org 4 6 7" xfId="3355" xr:uid="{00000000-0005-0000-0000-00000D0D0000}"/>
    <cellStyle name="0_6117 org 4 6 7 2" xfId="3356" xr:uid="{00000000-0005-0000-0000-00000E0D0000}"/>
    <cellStyle name="0_6117 org 4 6 8" xfId="3357" xr:uid="{00000000-0005-0000-0000-00000F0D0000}"/>
    <cellStyle name="0_6117 org 4 7" xfId="3358" xr:uid="{00000000-0005-0000-0000-0000100D0000}"/>
    <cellStyle name="0_6117 org 4 7 2" xfId="3359" xr:uid="{00000000-0005-0000-0000-0000110D0000}"/>
    <cellStyle name="0_6117 org 4 7 2 2" xfId="3360" xr:uid="{00000000-0005-0000-0000-0000120D0000}"/>
    <cellStyle name="0_6117 org 4 7 2 2 2" xfId="3361" xr:uid="{00000000-0005-0000-0000-0000130D0000}"/>
    <cellStyle name="0_6117 org 4 7 2 3" xfId="3362" xr:uid="{00000000-0005-0000-0000-0000140D0000}"/>
    <cellStyle name="0_6117 org 4 7 2 3 2" xfId="3363" xr:uid="{00000000-0005-0000-0000-0000150D0000}"/>
    <cellStyle name="0_6117 org 4 7 2 4" xfId="3364" xr:uid="{00000000-0005-0000-0000-0000160D0000}"/>
    <cellStyle name="0_6117 org 4 7 3" xfId="3365" xr:uid="{00000000-0005-0000-0000-0000170D0000}"/>
    <cellStyle name="0_6117 org 4 7 3 2" xfId="3366" xr:uid="{00000000-0005-0000-0000-0000180D0000}"/>
    <cellStyle name="0_6117 org 4 7 3 2 2" xfId="3367" xr:uid="{00000000-0005-0000-0000-0000190D0000}"/>
    <cellStyle name="0_6117 org 4 7 3 3" xfId="3368" xr:uid="{00000000-0005-0000-0000-00001A0D0000}"/>
    <cellStyle name="0_6117 org 4 7 3 3 2" xfId="3369" xr:uid="{00000000-0005-0000-0000-00001B0D0000}"/>
    <cellStyle name="0_6117 org 4 7 3 4" xfId="3370" xr:uid="{00000000-0005-0000-0000-00001C0D0000}"/>
    <cellStyle name="0_6117 org 4 7 4" xfId="3371" xr:uid="{00000000-0005-0000-0000-00001D0D0000}"/>
    <cellStyle name="0_6117 org 4 7 4 2" xfId="3372" xr:uid="{00000000-0005-0000-0000-00001E0D0000}"/>
    <cellStyle name="0_6117 org 4 7 5" xfId="3373" xr:uid="{00000000-0005-0000-0000-00001F0D0000}"/>
    <cellStyle name="0_6117 org 4 7 5 2" xfId="3374" xr:uid="{00000000-0005-0000-0000-0000200D0000}"/>
    <cellStyle name="0_6117 org 4 7 6" xfId="3375" xr:uid="{00000000-0005-0000-0000-0000210D0000}"/>
    <cellStyle name="0_6117 org 4 8" xfId="3376" xr:uid="{00000000-0005-0000-0000-0000220D0000}"/>
    <cellStyle name="0_6117 org 4 8 2" xfId="3377" xr:uid="{00000000-0005-0000-0000-0000230D0000}"/>
    <cellStyle name="0_6117 org 4 8 2 2" xfId="3378" xr:uid="{00000000-0005-0000-0000-0000240D0000}"/>
    <cellStyle name="0_6117 org 4 8 3" xfId="3379" xr:uid="{00000000-0005-0000-0000-0000250D0000}"/>
    <cellStyle name="0_6117 org 4 8 3 2" xfId="3380" xr:uid="{00000000-0005-0000-0000-0000260D0000}"/>
    <cellStyle name="0_6117 org 4 8 4" xfId="3381" xr:uid="{00000000-0005-0000-0000-0000270D0000}"/>
    <cellStyle name="0_6117 org 4 9" xfId="3382" xr:uid="{00000000-0005-0000-0000-0000280D0000}"/>
    <cellStyle name="0_6117 org 4 9 2" xfId="3383" xr:uid="{00000000-0005-0000-0000-0000290D0000}"/>
    <cellStyle name="0_6117 org 4 9 2 2" xfId="3384" xr:uid="{00000000-0005-0000-0000-00002A0D0000}"/>
    <cellStyle name="0_6117 org 4 9 3" xfId="3385" xr:uid="{00000000-0005-0000-0000-00002B0D0000}"/>
    <cellStyle name="0_6117 org 4 9 3 2" xfId="3386" xr:uid="{00000000-0005-0000-0000-00002C0D0000}"/>
    <cellStyle name="0_6117 org 4 9 4" xfId="3387" xr:uid="{00000000-0005-0000-0000-00002D0D0000}"/>
    <cellStyle name="0_6117 org 5" xfId="3388" xr:uid="{00000000-0005-0000-0000-00002E0D0000}"/>
    <cellStyle name="0_6117 org 5 10" xfId="3389" xr:uid="{00000000-0005-0000-0000-00002F0D0000}"/>
    <cellStyle name="0_6117 org 5 10 2" xfId="3390" xr:uid="{00000000-0005-0000-0000-0000300D0000}"/>
    <cellStyle name="0_6117 org 5 10 2 2" xfId="3391" xr:uid="{00000000-0005-0000-0000-0000310D0000}"/>
    <cellStyle name="0_6117 org 5 10 3" xfId="3392" xr:uid="{00000000-0005-0000-0000-0000320D0000}"/>
    <cellStyle name="0_6117 org 5 10 3 2" xfId="3393" xr:uid="{00000000-0005-0000-0000-0000330D0000}"/>
    <cellStyle name="0_6117 org 5 10 4" xfId="3394" xr:uid="{00000000-0005-0000-0000-0000340D0000}"/>
    <cellStyle name="0_6117 org 5 11" xfId="3395" xr:uid="{00000000-0005-0000-0000-0000350D0000}"/>
    <cellStyle name="0_6117 org 5 11 2" xfId="3396" xr:uid="{00000000-0005-0000-0000-0000360D0000}"/>
    <cellStyle name="0_6117 org 5 12" xfId="3397" xr:uid="{00000000-0005-0000-0000-0000370D0000}"/>
    <cellStyle name="0_6117 org 5 12 2" xfId="3398" xr:uid="{00000000-0005-0000-0000-0000380D0000}"/>
    <cellStyle name="0_6117 org 5 13" xfId="3399" xr:uid="{00000000-0005-0000-0000-0000390D0000}"/>
    <cellStyle name="0_6117 org 5 2" xfId="3400" xr:uid="{00000000-0005-0000-0000-00003A0D0000}"/>
    <cellStyle name="0_6117 org 5 2 2" xfId="3401" xr:uid="{00000000-0005-0000-0000-00003B0D0000}"/>
    <cellStyle name="0_6117 org 5 2 2 2" xfId="3402" xr:uid="{00000000-0005-0000-0000-00003C0D0000}"/>
    <cellStyle name="0_6117 org 5 2 2 2 2" xfId="3403" xr:uid="{00000000-0005-0000-0000-00003D0D0000}"/>
    <cellStyle name="0_6117 org 5 2 2 2 2 2" xfId="3404" xr:uid="{00000000-0005-0000-0000-00003E0D0000}"/>
    <cellStyle name="0_6117 org 5 2 2 2 3" xfId="3405" xr:uid="{00000000-0005-0000-0000-00003F0D0000}"/>
    <cellStyle name="0_6117 org 5 2 2 2 3 2" xfId="3406" xr:uid="{00000000-0005-0000-0000-0000400D0000}"/>
    <cellStyle name="0_6117 org 5 2 2 2 4" xfId="3407" xr:uid="{00000000-0005-0000-0000-0000410D0000}"/>
    <cellStyle name="0_6117 org 5 2 2 3" xfId="3408" xr:uid="{00000000-0005-0000-0000-0000420D0000}"/>
    <cellStyle name="0_6117 org 5 2 2 3 2" xfId="3409" xr:uid="{00000000-0005-0000-0000-0000430D0000}"/>
    <cellStyle name="0_6117 org 5 2 2 3 2 2" xfId="3410" xr:uid="{00000000-0005-0000-0000-0000440D0000}"/>
    <cellStyle name="0_6117 org 5 2 2 3 3" xfId="3411" xr:uid="{00000000-0005-0000-0000-0000450D0000}"/>
    <cellStyle name="0_6117 org 5 2 2 3 3 2" xfId="3412" xr:uid="{00000000-0005-0000-0000-0000460D0000}"/>
    <cellStyle name="0_6117 org 5 2 2 3 4" xfId="3413" xr:uid="{00000000-0005-0000-0000-0000470D0000}"/>
    <cellStyle name="0_6117 org 5 2 2 4" xfId="3414" xr:uid="{00000000-0005-0000-0000-0000480D0000}"/>
    <cellStyle name="0_6117 org 5 2 2 4 2" xfId="3415" xr:uid="{00000000-0005-0000-0000-0000490D0000}"/>
    <cellStyle name="0_6117 org 5 2 2 5" xfId="3416" xr:uid="{00000000-0005-0000-0000-00004A0D0000}"/>
    <cellStyle name="0_6117 org 5 2 2 5 2" xfId="3417" xr:uid="{00000000-0005-0000-0000-00004B0D0000}"/>
    <cellStyle name="0_6117 org 5 2 2 6" xfId="3418" xr:uid="{00000000-0005-0000-0000-00004C0D0000}"/>
    <cellStyle name="0_6117 org 5 2 3" xfId="3419" xr:uid="{00000000-0005-0000-0000-00004D0D0000}"/>
    <cellStyle name="0_6117 org 5 2 3 2" xfId="3420" xr:uid="{00000000-0005-0000-0000-00004E0D0000}"/>
    <cellStyle name="0_6117 org 5 2 3 2 2" xfId="3421" xr:uid="{00000000-0005-0000-0000-00004F0D0000}"/>
    <cellStyle name="0_6117 org 5 2 3 3" xfId="3422" xr:uid="{00000000-0005-0000-0000-0000500D0000}"/>
    <cellStyle name="0_6117 org 5 2 3 3 2" xfId="3423" xr:uid="{00000000-0005-0000-0000-0000510D0000}"/>
    <cellStyle name="0_6117 org 5 2 3 4" xfId="3424" xr:uid="{00000000-0005-0000-0000-0000520D0000}"/>
    <cellStyle name="0_6117 org 5 2 4" xfId="3425" xr:uid="{00000000-0005-0000-0000-0000530D0000}"/>
    <cellStyle name="0_6117 org 5 2 4 2" xfId="3426" xr:uid="{00000000-0005-0000-0000-0000540D0000}"/>
    <cellStyle name="0_6117 org 5 2 4 2 2" xfId="3427" xr:uid="{00000000-0005-0000-0000-0000550D0000}"/>
    <cellStyle name="0_6117 org 5 2 4 3" xfId="3428" xr:uid="{00000000-0005-0000-0000-0000560D0000}"/>
    <cellStyle name="0_6117 org 5 2 4 3 2" xfId="3429" xr:uid="{00000000-0005-0000-0000-0000570D0000}"/>
    <cellStyle name="0_6117 org 5 2 4 4" xfId="3430" xr:uid="{00000000-0005-0000-0000-0000580D0000}"/>
    <cellStyle name="0_6117 org 5 2 5" xfId="3431" xr:uid="{00000000-0005-0000-0000-0000590D0000}"/>
    <cellStyle name="0_6117 org 5 2 5 2" xfId="3432" xr:uid="{00000000-0005-0000-0000-00005A0D0000}"/>
    <cellStyle name="0_6117 org 5 2 5 2 2" xfId="3433" xr:uid="{00000000-0005-0000-0000-00005B0D0000}"/>
    <cellStyle name="0_6117 org 5 2 5 3" xfId="3434" xr:uid="{00000000-0005-0000-0000-00005C0D0000}"/>
    <cellStyle name="0_6117 org 5 2 5 3 2" xfId="3435" xr:uid="{00000000-0005-0000-0000-00005D0D0000}"/>
    <cellStyle name="0_6117 org 5 2 5 4" xfId="3436" xr:uid="{00000000-0005-0000-0000-00005E0D0000}"/>
    <cellStyle name="0_6117 org 5 2 6" xfId="3437" xr:uid="{00000000-0005-0000-0000-00005F0D0000}"/>
    <cellStyle name="0_6117 org 5 2 6 2" xfId="3438" xr:uid="{00000000-0005-0000-0000-0000600D0000}"/>
    <cellStyle name="0_6117 org 5 2 7" xfId="3439" xr:uid="{00000000-0005-0000-0000-0000610D0000}"/>
    <cellStyle name="0_6117 org 5 2 7 2" xfId="3440" xr:uid="{00000000-0005-0000-0000-0000620D0000}"/>
    <cellStyle name="0_6117 org 5 2 8" xfId="3441" xr:uid="{00000000-0005-0000-0000-0000630D0000}"/>
    <cellStyle name="0_6117 org 5 3" xfId="3442" xr:uid="{00000000-0005-0000-0000-0000640D0000}"/>
    <cellStyle name="0_6117 org 5 3 2" xfId="3443" xr:uid="{00000000-0005-0000-0000-0000650D0000}"/>
    <cellStyle name="0_6117 org 5 3 2 2" xfId="3444" xr:uid="{00000000-0005-0000-0000-0000660D0000}"/>
    <cellStyle name="0_6117 org 5 3 2 2 2" xfId="3445" xr:uid="{00000000-0005-0000-0000-0000670D0000}"/>
    <cellStyle name="0_6117 org 5 3 2 2 2 2" xfId="3446" xr:uid="{00000000-0005-0000-0000-0000680D0000}"/>
    <cellStyle name="0_6117 org 5 3 2 2 3" xfId="3447" xr:uid="{00000000-0005-0000-0000-0000690D0000}"/>
    <cellStyle name="0_6117 org 5 3 2 2 3 2" xfId="3448" xr:uid="{00000000-0005-0000-0000-00006A0D0000}"/>
    <cellStyle name="0_6117 org 5 3 2 2 4" xfId="3449" xr:uid="{00000000-0005-0000-0000-00006B0D0000}"/>
    <cellStyle name="0_6117 org 5 3 2 3" xfId="3450" xr:uid="{00000000-0005-0000-0000-00006C0D0000}"/>
    <cellStyle name="0_6117 org 5 3 2 3 2" xfId="3451" xr:uid="{00000000-0005-0000-0000-00006D0D0000}"/>
    <cellStyle name="0_6117 org 5 3 2 3 2 2" xfId="3452" xr:uid="{00000000-0005-0000-0000-00006E0D0000}"/>
    <cellStyle name="0_6117 org 5 3 2 3 3" xfId="3453" xr:uid="{00000000-0005-0000-0000-00006F0D0000}"/>
    <cellStyle name="0_6117 org 5 3 2 3 3 2" xfId="3454" xr:uid="{00000000-0005-0000-0000-0000700D0000}"/>
    <cellStyle name="0_6117 org 5 3 2 3 4" xfId="3455" xr:uid="{00000000-0005-0000-0000-0000710D0000}"/>
    <cellStyle name="0_6117 org 5 3 2 4" xfId="3456" xr:uid="{00000000-0005-0000-0000-0000720D0000}"/>
    <cellStyle name="0_6117 org 5 3 2 4 2" xfId="3457" xr:uid="{00000000-0005-0000-0000-0000730D0000}"/>
    <cellStyle name="0_6117 org 5 3 2 5" xfId="3458" xr:uid="{00000000-0005-0000-0000-0000740D0000}"/>
    <cellStyle name="0_6117 org 5 3 2 5 2" xfId="3459" xr:uid="{00000000-0005-0000-0000-0000750D0000}"/>
    <cellStyle name="0_6117 org 5 3 2 6" xfId="3460" xr:uid="{00000000-0005-0000-0000-0000760D0000}"/>
    <cellStyle name="0_6117 org 5 3 3" xfId="3461" xr:uid="{00000000-0005-0000-0000-0000770D0000}"/>
    <cellStyle name="0_6117 org 5 3 3 2" xfId="3462" xr:uid="{00000000-0005-0000-0000-0000780D0000}"/>
    <cellStyle name="0_6117 org 5 3 3 2 2" xfId="3463" xr:uid="{00000000-0005-0000-0000-0000790D0000}"/>
    <cellStyle name="0_6117 org 5 3 3 3" xfId="3464" xr:uid="{00000000-0005-0000-0000-00007A0D0000}"/>
    <cellStyle name="0_6117 org 5 3 3 3 2" xfId="3465" xr:uid="{00000000-0005-0000-0000-00007B0D0000}"/>
    <cellStyle name="0_6117 org 5 3 3 4" xfId="3466" xr:uid="{00000000-0005-0000-0000-00007C0D0000}"/>
    <cellStyle name="0_6117 org 5 3 4" xfId="3467" xr:uid="{00000000-0005-0000-0000-00007D0D0000}"/>
    <cellStyle name="0_6117 org 5 3 4 2" xfId="3468" xr:uid="{00000000-0005-0000-0000-00007E0D0000}"/>
    <cellStyle name="0_6117 org 5 3 4 2 2" xfId="3469" xr:uid="{00000000-0005-0000-0000-00007F0D0000}"/>
    <cellStyle name="0_6117 org 5 3 4 3" xfId="3470" xr:uid="{00000000-0005-0000-0000-0000800D0000}"/>
    <cellStyle name="0_6117 org 5 3 4 3 2" xfId="3471" xr:uid="{00000000-0005-0000-0000-0000810D0000}"/>
    <cellStyle name="0_6117 org 5 3 4 4" xfId="3472" xr:uid="{00000000-0005-0000-0000-0000820D0000}"/>
    <cellStyle name="0_6117 org 5 3 5" xfId="3473" xr:uid="{00000000-0005-0000-0000-0000830D0000}"/>
    <cellStyle name="0_6117 org 5 3 5 2" xfId="3474" xr:uid="{00000000-0005-0000-0000-0000840D0000}"/>
    <cellStyle name="0_6117 org 5 3 5 2 2" xfId="3475" xr:uid="{00000000-0005-0000-0000-0000850D0000}"/>
    <cellStyle name="0_6117 org 5 3 5 3" xfId="3476" xr:uid="{00000000-0005-0000-0000-0000860D0000}"/>
    <cellStyle name="0_6117 org 5 3 5 3 2" xfId="3477" xr:uid="{00000000-0005-0000-0000-0000870D0000}"/>
    <cellStyle name="0_6117 org 5 3 5 4" xfId="3478" xr:uid="{00000000-0005-0000-0000-0000880D0000}"/>
    <cellStyle name="0_6117 org 5 3 6" xfId="3479" xr:uid="{00000000-0005-0000-0000-0000890D0000}"/>
    <cellStyle name="0_6117 org 5 3 6 2" xfId="3480" xr:uid="{00000000-0005-0000-0000-00008A0D0000}"/>
    <cellStyle name="0_6117 org 5 3 7" xfId="3481" xr:uid="{00000000-0005-0000-0000-00008B0D0000}"/>
    <cellStyle name="0_6117 org 5 3 7 2" xfId="3482" xr:uid="{00000000-0005-0000-0000-00008C0D0000}"/>
    <cellStyle name="0_6117 org 5 3 8" xfId="3483" xr:uid="{00000000-0005-0000-0000-00008D0D0000}"/>
    <cellStyle name="0_6117 org 5 4" xfId="3484" xr:uid="{00000000-0005-0000-0000-00008E0D0000}"/>
    <cellStyle name="0_6117 org 5 4 2" xfId="3485" xr:uid="{00000000-0005-0000-0000-00008F0D0000}"/>
    <cellStyle name="0_6117 org 5 4 2 2" xfId="3486" xr:uid="{00000000-0005-0000-0000-0000900D0000}"/>
    <cellStyle name="0_6117 org 5 4 2 2 2" xfId="3487" xr:uid="{00000000-0005-0000-0000-0000910D0000}"/>
    <cellStyle name="0_6117 org 5 4 2 2 2 2" xfId="3488" xr:uid="{00000000-0005-0000-0000-0000920D0000}"/>
    <cellStyle name="0_6117 org 5 4 2 2 3" xfId="3489" xr:uid="{00000000-0005-0000-0000-0000930D0000}"/>
    <cellStyle name="0_6117 org 5 4 2 2 3 2" xfId="3490" xr:uid="{00000000-0005-0000-0000-0000940D0000}"/>
    <cellStyle name="0_6117 org 5 4 2 2 4" xfId="3491" xr:uid="{00000000-0005-0000-0000-0000950D0000}"/>
    <cellStyle name="0_6117 org 5 4 2 3" xfId="3492" xr:uid="{00000000-0005-0000-0000-0000960D0000}"/>
    <cellStyle name="0_6117 org 5 4 2 3 2" xfId="3493" xr:uid="{00000000-0005-0000-0000-0000970D0000}"/>
    <cellStyle name="0_6117 org 5 4 2 3 2 2" xfId="3494" xr:uid="{00000000-0005-0000-0000-0000980D0000}"/>
    <cellStyle name="0_6117 org 5 4 2 3 3" xfId="3495" xr:uid="{00000000-0005-0000-0000-0000990D0000}"/>
    <cellStyle name="0_6117 org 5 4 2 3 3 2" xfId="3496" xr:uid="{00000000-0005-0000-0000-00009A0D0000}"/>
    <cellStyle name="0_6117 org 5 4 2 3 4" xfId="3497" xr:uid="{00000000-0005-0000-0000-00009B0D0000}"/>
    <cellStyle name="0_6117 org 5 4 2 4" xfId="3498" xr:uid="{00000000-0005-0000-0000-00009C0D0000}"/>
    <cellStyle name="0_6117 org 5 4 2 4 2" xfId="3499" xr:uid="{00000000-0005-0000-0000-00009D0D0000}"/>
    <cellStyle name="0_6117 org 5 4 2 5" xfId="3500" xr:uid="{00000000-0005-0000-0000-00009E0D0000}"/>
    <cellStyle name="0_6117 org 5 4 2 5 2" xfId="3501" xr:uid="{00000000-0005-0000-0000-00009F0D0000}"/>
    <cellStyle name="0_6117 org 5 4 2 6" xfId="3502" xr:uid="{00000000-0005-0000-0000-0000A00D0000}"/>
    <cellStyle name="0_6117 org 5 4 3" xfId="3503" xr:uid="{00000000-0005-0000-0000-0000A10D0000}"/>
    <cellStyle name="0_6117 org 5 4 3 2" xfId="3504" xr:uid="{00000000-0005-0000-0000-0000A20D0000}"/>
    <cellStyle name="0_6117 org 5 4 3 2 2" xfId="3505" xr:uid="{00000000-0005-0000-0000-0000A30D0000}"/>
    <cellStyle name="0_6117 org 5 4 3 3" xfId="3506" xr:uid="{00000000-0005-0000-0000-0000A40D0000}"/>
    <cellStyle name="0_6117 org 5 4 3 3 2" xfId="3507" xr:uid="{00000000-0005-0000-0000-0000A50D0000}"/>
    <cellStyle name="0_6117 org 5 4 3 4" xfId="3508" xr:uid="{00000000-0005-0000-0000-0000A60D0000}"/>
    <cellStyle name="0_6117 org 5 4 4" xfId="3509" xr:uid="{00000000-0005-0000-0000-0000A70D0000}"/>
    <cellStyle name="0_6117 org 5 4 4 2" xfId="3510" xr:uid="{00000000-0005-0000-0000-0000A80D0000}"/>
    <cellStyle name="0_6117 org 5 4 4 2 2" xfId="3511" xr:uid="{00000000-0005-0000-0000-0000A90D0000}"/>
    <cellStyle name="0_6117 org 5 4 4 3" xfId="3512" xr:uid="{00000000-0005-0000-0000-0000AA0D0000}"/>
    <cellStyle name="0_6117 org 5 4 4 3 2" xfId="3513" xr:uid="{00000000-0005-0000-0000-0000AB0D0000}"/>
    <cellStyle name="0_6117 org 5 4 4 4" xfId="3514" xr:uid="{00000000-0005-0000-0000-0000AC0D0000}"/>
    <cellStyle name="0_6117 org 5 4 5" xfId="3515" xr:uid="{00000000-0005-0000-0000-0000AD0D0000}"/>
    <cellStyle name="0_6117 org 5 4 5 2" xfId="3516" xr:uid="{00000000-0005-0000-0000-0000AE0D0000}"/>
    <cellStyle name="0_6117 org 5 4 5 2 2" xfId="3517" xr:uid="{00000000-0005-0000-0000-0000AF0D0000}"/>
    <cellStyle name="0_6117 org 5 4 5 3" xfId="3518" xr:uid="{00000000-0005-0000-0000-0000B00D0000}"/>
    <cellStyle name="0_6117 org 5 4 5 3 2" xfId="3519" xr:uid="{00000000-0005-0000-0000-0000B10D0000}"/>
    <cellStyle name="0_6117 org 5 4 5 4" xfId="3520" xr:uid="{00000000-0005-0000-0000-0000B20D0000}"/>
    <cellStyle name="0_6117 org 5 4 6" xfId="3521" xr:uid="{00000000-0005-0000-0000-0000B30D0000}"/>
    <cellStyle name="0_6117 org 5 4 6 2" xfId="3522" xr:uid="{00000000-0005-0000-0000-0000B40D0000}"/>
    <cellStyle name="0_6117 org 5 4 7" xfId="3523" xr:uid="{00000000-0005-0000-0000-0000B50D0000}"/>
    <cellStyle name="0_6117 org 5 4 7 2" xfId="3524" xr:uid="{00000000-0005-0000-0000-0000B60D0000}"/>
    <cellStyle name="0_6117 org 5 4 8" xfId="3525" xr:uid="{00000000-0005-0000-0000-0000B70D0000}"/>
    <cellStyle name="0_6117 org 5 5" xfId="3526" xr:uid="{00000000-0005-0000-0000-0000B80D0000}"/>
    <cellStyle name="0_6117 org 5 5 2" xfId="3527" xr:uid="{00000000-0005-0000-0000-0000B90D0000}"/>
    <cellStyle name="0_6117 org 5 5 2 2" xfId="3528" xr:uid="{00000000-0005-0000-0000-0000BA0D0000}"/>
    <cellStyle name="0_6117 org 5 5 2 2 2" xfId="3529" xr:uid="{00000000-0005-0000-0000-0000BB0D0000}"/>
    <cellStyle name="0_6117 org 5 5 2 2 2 2" xfId="3530" xr:uid="{00000000-0005-0000-0000-0000BC0D0000}"/>
    <cellStyle name="0_6117 org 5 5 2 2 3" xfId="3531" xr:uid="{00000000-0005-0000-0000-0000BD0D0000}"/>
    <cellStyle name="0_6117 org 5 5 2 2 3 2" xfId="3532" xr:uid="{00000000-0005-0000-0000-0000BE0D0000}"/>
    <cellStyle name="0_6117 org 5 5 2 2 4" xfId="3533" xr:uid="{00000000-0005-0000-0000-0000BF0D0000}"/>
    <cellStyle name="0_6117 org 5 5 2 3" xfId="3534" xr:uid="{00000000-0005-0000-0000-0000C00D0000}"/>
    <cellStyle name="0_6117 org 5 5 2 3 2" xfId="3535" xr:uid="{00000000-0005-0000-0000-0000C10D0000}"/>
    <cellStyle name="0_6117 org 5 5 2 3 2 2" xfId="3536" xr:uid="{00000000-0005-0000-0000-0000C20D0000}"/>
    <cellStyle name="0_6117 org 5 5 2 3 3" xfId="3537" xr:uid="{00000000-0005-0000-0000-0000C30D0000}"/>
    <cellStyle name="0_6117 org 5 5 2 3 3 2" xfId="3538" xr:uid="{00000000-0005-0000-0000-0000C40D0000}"/>
    <cellStyle name="0_6117 org 5 5 2 3 4" xfId="3539" xr:uid="{00000000-0005-0000-0000-0000C50D0000}"/>
    <cellStyle name="0_6117 org 5 5 2 4" xfId="3540" xr:uid="{00000000-0005-0000-0000-0000C60D0000}"/>
    <cellStyle name="0_6117 org 5 5 2 4 2" xfId="3541" xr:uid="{00000000-0005-0000-0000-0000C70D0000}"/>
    <cellStyle name="0_6117 org 5 5 2 5" xfId="3542" xr:uid="{00000000-0005-0000-0000-0000C80D0000}"/>
    <cellStyle name="0_6117 org 5 5 2 5 2" xfId="3543" xr:uid="{00000000-0005-0000-0000-0000C90D0000}"/>
    <cellStyle name="0_6117 org 5 5 2 6" xfId="3544" xr:uid="{00000000-0005-0000-0000-0000CA0D0000}"/>
    <cellStyle name="0_6117 org 5 5 3" xfId="3545" xr:uid="{00000000-0005-0000-0000-0000CB0D0000}"/>
    <cellStyle name="0_6117 org 5 5 3 2" xfId="3546" xr:uid="{00000000-0005-0000-0000-0000CC0D0000}"/>
    <cellStyle name="0_6117 org 5 5 3 2 2" xfId="3547" xr:uid="{00000000-0005-0000-0000-0000CD0D0000}"/>
    <cellStyle name="0_6117 org 5 5 3 3" xfId="3548" xr:uid="{00000000-0005-0000-0000-0000CE0D0000}"/>
    <cellStyle name="0_6117 org 5 5 3 3 2" xfId="3549" xr:uid="{00000000-0005-0000-0000-0000CF0D0000}"/>
    <cellStyle name="0_6117 org 5 5 3 4" xfId="3550" xr:uid="{00000000-0005-0000-0000-0000D00D0000}"/>
    <cellStyle name="0_6117 org 5 5 4" xfId="3551" xr:uid="{00000000-0005-0000-0000-0000D10D0000}"/>
    <cellStyle name="0_6117 org 5 5 4 2" xfId="3552" xr:uid="{00000000-0005-0000-0000-0000D20D0000}"/>
    <cellStyle name="0_6117 org 5 5 4 2 2" xfId="3553" xr:uid="{00000000-0005-0000-0000-0000D30D0000}"/>
    <cellStyle name="0_6117 org 5 5 4 3" xfId="3554" xr:uid="{00000000-0005-0000-0000-0000D40D0000}"/>
    <cellStyle name="0_6117 org 5 5 4 3 2" xfId="3555" xr:uid="{00000000-0005-0000-0000-0000D50D0000}"/>
    <cellStyle name="0_6117 org 5 5 4 4" xfId="3556" xr:uid="{00000000-0005-0000-0000-0000D60D0000}"/>
    <cellStyle name="0_6117 org 5 5 5" xfId="3557" xr:uid="{00000000-0005-0000-0000-0000D70D0000}"/>
    <cellStyle name="0_6117 org 5 5 5 2" xfId="3558" xr:uid="{00000000-0005-0000-0000-0000D80D0000}"/>
    <cellStyle name="0_6117 org 5 5 5 2 2" xfId="3559" xr:uid="{00000000-0005-0000-0000-0000D90D0000}"/>
    <cellStyle name="0_6117 org 5 5 5 3" xfId="3560" xr:uid="{00000000-0005-0000-0000-0000DA0D0000}"/>
    <cellStyle name="0_6117 org 5 5 5 3 2" xfId="3561" xr:uid="{00000000-0005-0000-0000-0000DB0D0000}"/>
    <cellStyle name="0_6117 org 5 5 5 4" xfId="3562" xr:uid="{00000000-0005-0000-0000-0000DC0D0000}"/>
    <cellStyle name="0_6117 org 5 5 6" xfId="3563" xr:uid="{00000000-0005-0000-0000-0000DD0D0000}"/>
    <cellStyle name="0_6117 org 5 5 6 2" xfId="3564" xr:uid="{00000000-0005-0000-0000-0000DE0D0000}"/>
    <cellStyle name="0_6117 org 5 5 7" xfId="3565" xr:uid="{00000000-0005-0000-0000-0000DF0D0000}"/>
    <cellStyle name="0_6117 org 5 5 7 2" xfId="3566" xr:uid="{00000000-0005-0000-0000-0000E00D0000}"/>
    <cellStyle name="0_6117 org 5 5 8" xfId="3567" xr:uid="{00000000-0005-0000-0000-0000E10D0000}"/>
    <cellStyle name="0_6117 org 5 6" xfId="3568" xr:uid="{00000000-0005-0000-0000-0000E20D0000}"/>
    <cellStyle name="0_6117 org 5 6 2" xfId="3569" xr:uid="{00000000-0005-0000-0000-0000E30D0000}"/>
    <cellStyle name="0_6117 org 5 6 2 2" xfId="3570" xr:uid="{00000000-0005-0000-0000-0000E40D0000}"/>
    <cellStyle name="0_6117 org 5 6 2 2 2" xfId="3571" xr:uid="{00000000-0005-0000-0000-0000E50D0000}"/>
    <cellStyle name="0_6117 org 5 6 2 2 2 2" xfId="3572" xr:uid="{00000000-0005-0000-0000-0000E60D0000}"/>
    <cellStyle name="0_6117 org 5 6 2 2 3" xfId="3573" xr:uid="{00000000-0005-0000-0000-0000E70D0000}"/>
    <cellStyle name="0_6117 org 5 6 2 2 3 2" xfId="3574" xr:uid="{00000000-0005-0000-0000-0000E80D0000}"/>
    <cellStyle name="0_6117 org 5 6 2 2 4" xfId="3575" xr:uid="{00000000-0005-0000-0000-0000E90D0000}"/>
    <cellStyle name="0_6117 org 5 6 2 3" xfId="3576" xr:uid="{00000000-0005-0000-0000-0000EA0D0000}"/>
    <cellStyle name="0_6117 org 5 6 2 3 2" xfId="3577" xr:uid="{00000000-0005-0000-0000-0000EB0D0000}"/>
    <cellStyle name="0_6117 org 5 6 2 3 2 2" xfId="3578" xr:uid="{00000000-0005-0000-0000-0000EC0D0000}"/>
    <cellStyle name="0_6117 org 5 6 2 3 3" xfId="3579" xr:uid="{00000000-0005-0000-0000-0000ED0D0000}"/>
    <cellStyle name="0_6117 org 5 6 2 3 3 2" xfId="3580" xr:uid="{00000000-0005-0000-0000-0000EE0D0000}"/>
    <cellStyle name="0_6117 org 5 6 2 3 4" xfId="3581" xr:uid="{00000000-0005-0000-0000-0000EF0D0000}"/>
    <cellStyle name="0_6117 org 5 6 2 4" xfId="3582" xr:uid="{00000000-0005-0000-0000-0000F00D0000}"/>
    <cellStyle name="0_6117 org 5 6 2 4 2" xfId="3583" xr:uid="{00000000-0005-0000-0000-0000F10D0000}"/>
    <cellStyle name="0_6117 org 5 6 2 5" xfId="3584" xr:uid="{00000000-0005-0000-0000-0000F20D0000}"/>
    <cellStyle name="0_6117 org 5 6 2 5 2" xfId="3585" xr:uid="{00000000-0005-0000-0000-0000F30D0000}"/>
    <cellStyle name="0_6117 org 5 6 2 6" xfId="3586" xr:uid="{00000000-0005-0000-0000-0000F40D0000}"/>
    <cellStyle name="0_6117 org 5 6 3" xfId="3587" xr:uid="{00000000-0005-0000-0000-0000F50D0000}"/>
    <cellStyle name="0_6117 org 5 6 3 2" xfId="3588" xr:uid="{00000000-0005-0000-0000-0000F60D0000}"/>
    <cellStyle name="0_6117 org 5 6 3 2 2" xfId="3589" xr:uid="{00000000-0005-0000-0000-0000F70D0000}"/>
    <cellStyle name="0_6117 org 5 6 3 3" xfId="3590" xr:uid="{00000000-0005-0000-0000-0000F80D0000}"/>
    <cellStyle name="0_6117 org 5 6 3 3 2" xfId="3591" xr:uid="{00000000-0005-0000-0000-0000F90D0000}"/>
    <cellStyle name="0_6117 org 5 6 3 4" xfId="3592" xr:uid="{00000000-0005-0000-0000-0000FA0D0000}"/>
    <cellStyle name="0_6117 org 5 6 4" xfId="3593" xr:uid="{00000000-0005-0000-0000-0000FB0D0000}"/>
    <cellStyle name="0_6117 org 5 6 4 2" xfId="3594" xr:uid="{00000000-0005-0000-0000-0000FC0D0000}"/>
    <cellStyle name="0_6117 org 5 6 4 2 2" xfId="3595" xr:uid="{00000000-0005-0000-0000-0000FD0D0000}"/>
    <cellStyle name="0_6117 org 5 6 4 3" xfId="3596" xr:uid="{00000000-0005-0000-0000-0000FE0D0000}"/>
    <cellStyle name="0_6117 org 5 6 4 3 2" xfId="3597" xr:uid="{00000000-0005-0000-0000-0000FF0D0000}"/>
    <cellStyle name="0_6117 org 5 6 4 4" xfId="3598" xr:uid="{00000000-0005-0000-0000-0000000E0000}"/>
    <cellStyle name="0_6117 org 5 6 5" xfId="3599" xr:uid="{00000000-0005-0000-0000-0000010E0000}"/>
    <cellStyle name="0_6117 org 5 6 5 2" xfId="3600" xr:uid="{00000000-0005-0000-0000-0000020E0000}"/>
    <cellStyle name="0_6117 org 5 6 5 2 2" xfId="3601" xr:uid="{00000000-0005-0000-0000-0000030E0000}"/>
    <cellStyle name="0_6117 org 5 6 5 3" xfId="3602" xr:uid="{00000000-0005-0000-0000-0000040E0000}"/>
    <cellStyle name="0_6117 org 5 6 5 3 2" xfId="3603" xr:uid="{00000000-0005-0000-0000-0000050E0000}"/>
    <cellStyle name="0_6117 org 5 6 5 4" xfId="3604" xr:uid="{00000000-0005-0000-0000-0000060E0000}"/>
    <cellStyle name="0_6117 org 5 6 6" xfId="3605" xr:uid="{00000000-0005-0000-0000-0000070E0000}"/>
    <cellStyle name="0_6117 org 5 6 6 2" xfId="3606" xr:uid="{00000000-0005-0000-0000-0000080E0000}"/>
    <cellStyle name="0_6117 org 5 6 7" xfId="3607" xr:uid="{00000000-0005-0000-0000-0000090E0000}"/>
    <cellStyle name="0_6117 org 5 6 7 2" xfId="3608" xr:uid="{00000000-0005-0000-0000-00000A0E0000}"/>
    <cellStyle name="0_6117 org 5 6 8" xfId="3609" xr:uid="{00000000-0005-0000-0000-00000B0E0000}"/>
    <cellStyle name="0_6117 org 5 7" xfId="3610" xr:uid="{00000000-0005-0000-0000-00000C0E0000}"/>
    <cellStyle name="0_6117 org 5 7 2" xfId="3611" xr:uid="{00000000-0005-0000-0000-00000D0E0000}"/>
    <cellStyle name="0_6117 org 5 7 2 2" xfId="3612" xr:uid="{00000000-0005-0000-0000-00000E0E0000}"/>
    <cellStyle name="0_6117 org 5 7 2 2 2" xfId="3613" xr:uid="{00000000-0005-0000-0000-00000F0E0000}"/>
    <cellStyle name="0_6117 org 5 7 2 3" xfId="3614" xr:uid="{00000000-0005-0000-0000-0000100E0000}"/>
    <cellStyle name="0_6117 org 5 7 2 3 2" xfId="3615" xr:uid="{00000000-0005-0000-0000-0000110E0000}"/>
    <cellStyle name="0_6117 org 5 7 2 4" xfId="3616" xr:uid="{00000000-0005-0000-0000-0000120E0000}"/>
    <cellStyle name="0_6117 org 5 7 3" xfId="3617" xr:uid="{00000000-0005-0000-0000-0000130E0000}"/>
    <cellStyle name="0_6117 org 5 7 3 2" xfId="3618" xr:uid="{00000000-0005-0000-0000-0000140E0000}"/>
    <cellStyle name="0_6117 org 5 7 3 2 2" xfId="3619" xr:uid="{00000000-0005-0000-0000-0000150E0000}"/>
    <cellStyle name="0_6117 org 5 7 3 3" xfId="3620" xr:uid="{00000000-0005-0000-0000-0000160E0000}"/>
    <cellStyle name="0_6117 org 5 7 3 3 2" xfId="3621" xr:uid="{00000000-0005-0000-0000-0000170E0000}"/>
    <cellStyle name="0_6117 org 5 7 3 4" xfId="3622" xr:uid="{00000000-0005-0000-0000-0000180E0000}"/>
    <cellStyle name="0_6117 org 5 7 4" xfId="3623" xr:uid="{00000000-0005-0000-0000-0000190E0000}"/>
    <cellStyle name="0_6117 org 5 7 4 2" xfId="3624" xr:uid="{00000000-0005-0000-0000-00001A0E0000}"/>
    <cellStyle name="0_6117 org 5 7 5" xfId="3625" xr:uid="{00000000-0005-0000-0000-00001B0E0000}"/>
    <cellStyle name="0_6117 org 5 7 5 2" xfId="3626" xr:uid="{00000000-0005-0000-0000-00001C0E0000}"/>
    <cellStyle name="0_6117 org 5 7 6" xfId="3627" xr:uid="{00000000-0005-0000-0000-00001D0E0000}"/>
    <cellStyle name="0_6117 org 5 8" xfId="3628" xr:uid="{00000000-0005-0000-0000-00001E0E0000}"/>
    <cellStyle name="0_6117 org 5 8 2" xfId="3629" xr:uid="{00000000-0005-0000-0000-00001F0E0000}"/>
    <cellStyle name="0_6117 org 5 8 2 2" xfId="3630" xr:uid="{00000000-0005-0000-0000-0000200E0000}"/>
    <cellStyle name="0_6117 org 5 8 3" xfId="3631" xr:uid="{00000000-0005-0000-0000-0000210E0000}"/>
    <cellStyle name="0_6117 org 5 8 3 2" xfId="3632" xr:uid="{00000000-0005-0000-0000-0000220E0000}"/>
    <cellStyle name="0_6117 org 5 8 4" xfId="3633" xr:uid="{00000000-0005-0000-0000-0000230E0000}"/>
    <cellStyle name="0_6117 org 5 9" xfId="3634" xr:uid="{00000000-0005-0000-0000-0000240E0000}"/>
    <cellStyle name="0_6117 org 5 9 2" xfId="3635" xr:uid="{00000000-0005-0000-0000-0000250E0000}"/>
    <cellStyle name="0_6117 org 5 9 2 2" xfId="3636" xr:uid="{00000000-0005-0000-0000-0000260E0000}"/>
    <cellStyle name="0_6117 org 5 9 3" xfId="3637" xr:uid="{00000000-0005-0000-0000-0000270E0000}"/>
    <cellStyle name="0_6117 org 5 9 3 2" xfId="3638" xr:uid="{00000000-0005-0000-0000-0000280E0000}"/>
    <cellStyle name="0_6117 org 5 9 4" xfId="3639" xr:uid="{00000000-0005-0000-0000-0000290E0000}"/>
    <cellStyle name="0_6117 org 6" xfId="3640" xr:uid="{00000000-0005-0000-0000-00002A0E0000}"/>
    <cellStyle name="0_6117 org 6 2" xfId="3641" xr:uid="{00000000-0005-0000-0000-00002B0E0000}"/>
    <cellStyle name="0_6117 org 6 2 2" xfId="3642" xr:uid="{00000000-0005-0000-0000-00002C0E0000}"/>
    <cellStyle name="0_6117 org 6 2 2 2" xfId="3643" xr:uid="{00000000-0005-0000-0000-00002D0E0000}"/>
    <cellStyle name="0_6117 org 6 2 2 2 2" xfId="3644" xr:uid="{00000000-0005-0000-0000-00002E0E0000}"/>
    <cellStyle name="0_6117 org 6 2 2 3" xfId="3645" xr:uid="{00000000-0005-0000-0000-00002F0E0000}"/>
    <cellStyle name="0_6117 org 6 2 2 3 2" xfId="3646" xr:uid="{00000000-0005-0000-0000-0000300E0000}"/>
    <cellStyle name="0_6117 org 6 2 2 4" xfId="3647" xr:uid="{00000000-0005-0000-0000-0000310E0000}"/>
    <cellStyle name="0_6117 org 6 2 3" xfId="3648" xr:uid="{00000000-0005-0000-0000-0000320E0000}"/>
    <cellStyle name="0_6117 org 6 2 3 2" xfId="3649" xr:uid="{00000000-0005-0000-0000-0000330E0000}"/>
    <cellStyle name="0_6117 org 6 2 3 2 2" xfId="3650" xr:uid="{00000000-0005-0000-0000-0000340E0000}"/>
    <cellStyle name="0_6117 org 6 2 3 3" xfId="3651" xr:uid="{00000000-0005-0000-0000-0000350E0000}"/>
    <cellStyle name="0_6117 org 6 2 3 3 2" xfId="3652" xr:uid="{00000000-0005-0000-0000-0000360E0000}"/>
    <cellStyle name="0_6117 org 6 2 3 4" xfId="3653" xr:uid="{00000000-0005-0000-0000-0000370E0000}"/>
    <cellStyle name="0_6117 org 6 2 4" xfId="3654" xr:uid="{00000000-0005-0000-0000-0000380E0000}"/>
    <cellStyle name="0_6117 org 6 2 4 2" xfId="3655" xr:uid="{00000000-0005-0000-0000-0000390E0000}"/>
    <cellStyle name="0_6117 org 6 2 5" xfId="3656" xr:uid="{00000000-0005-0000-0000-00003A0E0000}"/>
    <cellStyle name="0_6117 org 6 2 5 2" xfId="3657" xr:uid="{00000000-0005-0000-0000-00003B0E0000}"/>
    <cellStyle name="0_6117 org 6 2 6" xfId="3658" xr:uid="{00000000-0005-0000-0000-00003C0E0000}"/>
    <cellStyle name="0_6117 org 6 3" xfId="3659" xr:uid="{00000000-0005-0000-0000-00003D0E0000}"/>
    <cellStyle name="0_6117 org 6 3 2" xfId="3660" xr:uid="{00000000-0005-0000-0000-00003E0E0000}"/>
    <cellStyle name="0_6117 org 6 3 2 2" xfId="3661" xr:uid="{00000000-0005-0000-0000-00003F0E0000}"/>
    <cellStyle name="0_6117 org 6 3 3" xfId="3662" xr:uid="{00000000-0005-0000-0000-0000400E0000}"/>
    <cellStyle name="0_6117 org 6 3 3 2" xfId="3663" xr:uid="{00000000-0005-0000-0000-0000410E0000}"/>
    <cellStyle name="0_6117 org 6 3 4" xfId="3664" xr:uid="{00000000-0005-0000-0000-0000420E0000}"/>
    <cellStyle name="0_6117 org 6 4" xfId="3665" xr:uid="{00000000-0005-0000-0000-0000430E0000}"/>
    <cellStyle name="0_6117 org 6 4 2" xfId="3666" xr:uid="{00000000-0005-0000-0000-0000440E0000}"/>
    <cellStyle name="0_6117 org 6 4 2 2" xfId="3667" xr:uid="{00000000-0005-0000-0000-0000450E0000}"/>
    <cellStyle name="0_6117 org 6 4 3" xfId="3668" xr:uid="{00000000-0005-0000-0000-0000460E0000}"/>
    <cellStyle name="0_6117 org 6 4 3 2" xfId="3669" xr:uid="{00000000-0005-0000-0000-0000470E0000}"/>
    <cellStyle name="0_6117 org 6 4 4" xfId="3670" xr:uid="{00000000-0005-0000-0000-0000480E0000}"/>
    <cellStyle name="0_6117 org 6 5" xfId="3671" xr:uid="{00000000-0005-0000-0000-0000490E0000}"/>
    <cellStyle name="0_6117 org 6 5 2" xfId="3672" xr:uid="{00000000-0005-0000-0000-00004A0E0000}"/>
    <cellStyle name="0_6117 org 6 5 2 2" xfId="3673" xr:uid="{00000000-0005-0000-0000-00004B0E0000}"/>
    <cellStyle name="0_6117 org 6 5 3" xfId="3674" xr:uid="{00000000-0005-0000-0000-00004C0E0000}"/>
    <cellStyle name="0_6117 org 6 5 3 2" xfId="3675" xr:uid="{00000000-0005-0000-0000-00004D0E0000}"/>
    <cellStyle name="0_6117 org 6 5 4" xfId="3676" xr:uid="{00000000-0005-0000-0000-00004E0E0000}"/>
    <cellStyle name="0_6117 org 6 6" xfId="3677" xr:uid="{00000000-0005-0000-0000-00004F0E0000}"/>
    <cellStyle name="0_6117 org 6 6 2" xfId="3678" xr:uid="{00000000-0005-0000-0000-0000500E0000}"/>
    <cellStyle name="0_6117 org 6 7" xfId="3679" xr:uid="{00000000-0005-0000-0000-0000510E0000}"/>
    <cellStyle name="0_6117 org 6 7 2" xfId="3680" xr:uid="{00000000-0005-0000-0000-0000520E0000}"/>
    <cellStyle name="0_6117 org 6 8" xfId="3681" xr:uid="{00000000-0005-0000-0000-0000530E0000}"/>
    <cellStyle name="0_6117 org 7" xfId="3682" xr:uid="{00000000-0005-0000-0000-0000540E0000}"/>
    <cellStyle name="0_6117 org 7 2" xfId="3683" xr:uid="{00000000-0005-0000-0000-0000550E0000}"/>
    <cellStyle name="0_6117 org 7 2 2" xfId="3684" xr:uid="{00000000-0005-0000-0000-0000560E0000}"/>
    <cellStyle name="0_6117 org 7 2 2 2" xfId="3685" xr:uid="{00000000-0005-0000-0000-0000570E0000}"/>
    <cellStyle name="0_6117 org 7 2 3" xfId="3686" xr:uid="{00000000-0005-0000-0000-0000580E0000}"/>
    <cellStyle name="0_6117 org 7 2 3 2" xfId="3687" xr:uid="{00000000-0005-0000-0000-0000590E0000}"/>
    <cellStyle name="0_6117 org 7 2 4" xfId="3688" xr:uid="{00000000-0005-0000-0000-00005A0E0000}"/>
    <cellStyle name="0_6117 org 7 3" xfId="3689" xr:uid="{00000000-0005-0000-0000-00005B0E0000}"/>
    <cellStyle name="0_6117 org 7 3 2" xfId="3690" xr:uid="{00000000-0005-0000-0000-00005C0E0000}"/>
    <cellStyle name="0_6117 org 7 3 2 2" xfId="3691" xr:uid="{00000000-0005-0000-0000-00005D0E0000}"/>
    <cellStyle name="0_6117 org 7 3 3" xfId="3692" xr:uid="{00000000-0005-0000-0000-00005E0E0000}"/>
    <cellStyle name="0_6117 org 7 3 3 2" xfId="3693" xr:uid="{00000000-0005-0000-0000-00005F0E0000}"/>
    <cellStyle name="0_6117 org 7 3 4" xfId="3694" xr:uid="{00000000-0005-0000-0000-0000600E0000}"/>
    <cellStyle name="0_6117 org 7 4" xfId="3695" xr:uid="{00000000-0005-0000-0000-0000610E0000}"/>
    <cellStyle name="0_6117 org 7 4 2" xfId="3696" xr:uid="{00000000-0005-0000-0000-0000620E0000}"/>
    <cellStyle name="0_6117 org 7 5" xfId="3697" xr:uid="{00000000-0005-0000-0000-0000630E0000}"/>
    <cellStyle name="0_6117 org 7 5 2" xfId="3698" xr:uid="{00000000-0005-0000-0000-0000640E0000}"/>
    <cellStyle name="0_6117 org 7 6" xfId="3699" xr:uid="{00000000-0005-0000-0000-0000650E0000}"/>
    <cellStyle name="0_6117 org 8" xfId="3700" xr:uid="{00000000-0005-0000-0000-0000660E0000}"/>
    <cellStyle name="0_6117 org 8 2" xfId="3701" xr:uid="{00000000-0005-0000-0000-0000670E0000}"/>
    <cellStyle name="0_6117 org 8 2 2" xfId="3702" xr:uid="{00000000-0005-0000-0000-0000680E0000}"/>
    <cellStyle name="0_6117 org 8 2 2 2" xfId="3703" xr:uid="{00000000-0005-0000-0000-0000690E0000}"/>
    <cellStyle name="0_6117 org 8 2 3" xfId="3704" xr:uid="{00000000-0005-0000-0000-00006A0E0000}"/>
    <cellStyle name="0_6117 org 8 2 3 2" xfId="3705" xr:uid="{00000000-0005-0000-0000-00006B0E0000}"/>
    <cellStyle name="0_6117 org 8 2 4" xfId="3706" xr:uid="{00000000-0005-0000-0000-00006C0E0000}"/>
    <cellStyle name="0_6117 org 8 3" xfId="3707" xr:uid="{00000000-0005-0000-0000-00006D0E0000}"/>
    <cellStyle name="0_6117 org 8 3 2" xfId="3708" xr:uid="{00000000-0005-0000-0000-00006E0E0000}"/>
    <cellStyle name="0_6117 org 8 3 2 2" xfId="3709" xr:uid="{00000000-0005-0000-0000-00006F0E0000}"/>
    <cellStyle name="0_6117 org 8 3 3" xfId="3710" xr:uid="{00000000-0005-0000-0000-0000700E0000}"/>
    <cellStyle name="0_6117 org 8 3 3 2" xfId="3711" xr:uid="{00000000-0005-0000-0000-0000710E0000}"/>
    <cellStyle name="0_6117 org 8 3 4" xfId="3712" xr:uid="{00000000-0005-0000-0000-0000720E0000}"/>
    <cellStyle name="0_6117 org 8 4" xfId="3713" xr:uid="{00000000-0005-0000-0000-0000730E0000}"/>
    <cellStyle name="0_6117 org 8 4 2" xfId="3714" xr:uid="{00000000-0005-0000-0000-0000740E0000}"/>
    <cellStyle name="0_6117 org 8 5" xfId="3715" xr:uid="{00000000-0005-0000-0000-0000750E0000}"/>
    <cellStyle name="0_6117 org 8 5 2" xfId="3716" xr:uid="{00000000-0005-0000-0000-0000760E0000}"/>
    <cellStyle name="0_6117 org 8 6" xfId="3717" xr:uid="{00000000-0005-0000-0000-0000770E0000}"/>
    <cellStyle name="0_6117 org 9" xfId="3718" xr:uid="{00000000-0005-0000-0000-0000780E0000}"/>
    <cellStyle name="0_6117 org 9 2" xfId="3719" xr:uid="{00000000-0005-0000-0000-0000790E0000}"/>
    <cellStyle name="0_6117 org 9 2 2" xfId="3720" xr:uid="{00000000-0005-0000-0000-00007A0E0000}"/>
    <cellStyle name="0_6117 org 9 3" xfId="3721" xr:uid="{00000000-0005-0000-0000-00007B0E0000}"/>
    <cellStyle name="0_6117 org 9 3 2" xfId="3722" xr:uid="{00000000-0005-0000-0000-00007C0E0000}"/>
    <cellStyle name="0_6117 org 9 4" xfId="3723" xr:uid="{00000000-0005-0000-0000-00007D0E0000}"/>
    <cellStyle name="0_6134_BUDGET_27Jan09" xfId="3724" xr:uid="{00000000-0005-0000-0000-00007E0E0000}"/>
    <cellStyle name="0_6134_BUDGET_27Jan09 10" xfId="3725" xr:uid="{00000000-0005-0000-0000-00007F0E0000}"/>
    <cellStyle name="0_6134_BUDGET_27Jan09 10 2" xfId="3726" xr:uid="{00000000-0005-0000-0000-0000800E0000}"/>
    <cellStyle name="0_6134_BUDGET_27Jan09 10 2 2" xfId="3727" xr:uid="{00000000-0005-0000-0000-0000810E0000}"/>
    <cellStyle name="0_6134_BUDGET_27Jan09 10 3" xfId="3728" xr:uid="{00000000-0005-0000-0000-0000820E0000}"/>
    <cellStyle name="0_6134_BUDGET_27Jan09 10 3 2" xfId="3729" xr:uid="{00000000-0005-0000-0000-0000830E0000}"/>
    <cellStyle name="0_6134_BUDGET_27Jan09 10 4" xfId="3730" xr:uid="{00000000-0005-0000-0000-0000840E0000}"/>
    <cellStyle name="0_6134_BUDGET_27Jan09 11" xfId="3731" xr:uid="{00000000-0005-0000-0000-0000850E0000}"/>
    <cellStyle name="0_6134_BUDGET_27Jan09 11 2" xfId="3732" xr:uid="{00000000-0005-0000-0000-0000860E0000}"/>
    <cellStyle name="0_6134_BUDGET_27Jan09 11 2 2" xfId="3733" xr:uid="{00000000-0005-0000-0000-0000870E0000}"/>
    <cellStyle name="0_6134_BUDGET_27Jan09 11 3" xfId="3734" xr:uid="{00000000-0005-0000-0000-0000880E0000}"/>
    <cellStyle name="0_6134_BUDGET_27Jan09 11 3 2" xfId="3735" xr:uid="{00000000-0005-0000-0000-0000890E0000}"/>
    <cellStyle name="0_6134_BUDGET_27Jan09 11 4" xfId="3736" xr:uid="{00000000-0005-0000-0000-00008A0E0000}"/>
    <cellStyle name="0_6134_BUDGET_27Jan09 12" xfId="3737" xr:uid="{00000000-0005-0000-0000-00008B0E0000}"/>
    <cellStyle name="0_6134_BUDGET_27Jan09 12 2" xfId="3738" xr:uid="{00000000-0005-0000-0000-00008C0E0000}"/>
    <cellStyle name="0_6134_BUDGET_27Jan09 13" xfId="3739" xr:uid="{00000000-0005-0000-0000-00008D0E0000}"/>
    <cellStyle name="0_6134_BUDGET_27Jan09 13 2" xfId="3740" xr:uid="{00000000-0005-0000-0000-00008E0E0000}"/>
    <cellStyle name="0_6134_BUDGET_27Jan09 14" xfId="3741" xr:uid="{00000000-0005-0000-0000-00008F0E0000}"/>
    <cellStyle name="0_6134_BUDGET_27Jan09 14 2" xfId="3742" xr:uid="{00000000-0005-0000-0000-0000900E0000}"/>
    <cellStyle name="0_6134_BUDGET_27Jan09 15" xfId="3743" xr:uid="{00000000-0005-0000-0000-0000910E0000}"/>
    <cellStyle name="0_6134_BUDGET_27Jan09 16" xfId="3744" xr:uid="{00000000-0005-0000-0000-0000920E0000}"/>
    <cellStyle name="0_6134_BUDGET_27Jan09 17" xfId="3745" xr:uid="{00000000-0005-0000-0000-0000930E0000}"/>
    <cellStyle name="0_6134_BUDGET_27Jan09 18" xfId="3746" xr:uid="{00000000-0005-0000-0000-0000940E0000}"/>
    <cellStyle name="0_6134_BUDGET_27Jan09 19" xfId="3747" xr:uid="{00000000-0005-0000-0000-0000950E0000}"/>
    <cellStyle name="0_6134_BUDGET_27Jan09 2" xfId="3748" xr:uid="{00000000-0005-0000-0000-0000960E0000}"/>
    <cellStyle name="0_6134_BUDGET_27Jan09 2 10" xfId="3749" xr:uid="{00000000-0005-0000-0000-0000970E0000}"/>
    <cellStyle name="0_6134_BUDGET_27Jan09 2 10 2" xfId="3750" xr:uid="{00000000-0005-0000-0000-0000980E0000}"/>
    <cellStyle name="0_6134_BUDGET_27Jan09 2 10 2 2" xfId="3751" xr:uid="{00000000-0005-0000-0000-0000990E0000}"/>
    <cellStyle name="0_6134_BUDGET_27Jan09 2 10 3" xfId="3752" xr:uid="{00000000-0005-0000-0000-00009A0E0000}"/>
    <cellStyle name="0_6134_BUDGET_27Jan09 2 10 3 2" xfId="3753" xr:uid="{00000000-0005-0000-0000-00009B0E0000}"/>
    <cellStyle name="0_6134_BUDGET_27Jan09 2 10 4" xfId="3754" xr:uid="{00000000-0005-0000-0000-00009C0E0000}"/>
    <cellStyle name="0_6134_BUDGET_27Jan09 2 11" xfId="3755" xr:uid="{00000000-0005-0000-0000-00009D0E0000}"/>
    <cellStyle name="0_6134_BUDGET_27Jan09 2 11 2" xfId="3756" xr:uid="{00000000-0005-0000-0000-00009E0E0000}"/>
    <cellStyle name="0_6134_BUDGET_27Jan09 2 12" xfId="3757" xr:uid="{00000000-0005-0000-0000-00009F0E0000}"/>
    <cellStyle name="0_6134_BUDGET_27Jan09 2 12 2" xfId="3758" xr:uid="{00000000-0005-0000-0000-0000A00E0000}"/>
    <cellStyle name="0_6134_BUDGET_27Jan09 2 13" xfId="3759" xr:uid="{00000000-0005-0000-0000-0000A10E0000}"/>
    <cellStyle name="0_6134_BUDGET_27Jan09 2 14" xfId="3760" xr:uid="{00000000-0005-0000-0000-0000A20E0000}"/>
    <cellStyle name="0_6134_BUDGET_27Jan09 2 15" xfId="3761" xr:uid="{00000000-0005-0000-0000-0000A30E0000}"/>
    <cellStyle name="0_6134_BUDGET_27Jan09 2 16" xfId="3762" xr:uid="{00000000-0005-0000-0000-0000A40E0000}"/>
    <cellStyle name="0_6134_BUDGET_27Jan09 2 2" xfId="3763" xr:uid="{00000000-0005-0000-0000-0000A50E0000}"/>
    <cellStyle name="0_6134_BUDGET_27Jan09 2 2 2" xfId="3764" xr:uid="{00000000-0005-0000-0000-0000A60E0000}"/>
    <cellStyle name="0_6134_BUDGET_27Jan09 2 2 2 2" xfId="3765" xr:uid="{00000000-0005-0000-0000-0000A70E0000}"/>
    <cellStyle name="0_6134_BUDGET_27Jan09 2 2 2 2 2" xfId="3766" xr:uid="{00000000-0005-0000-0000-0000A80E0000}"/>
    <cellStyle name="0_6134_BUDGET_27Jan09 2 2 2 2 2 2" xfId="3767" xr:uid="{00000000-0005-0000-0000-0000A90E0000}"/>
    <cellStyle name="0_6134_BUDGET_27Jan09 2 2 2 2 3" xfId="3768" xr:uid="{00000000-0005-0000-0000-0000AA0E0000}"/>
    <cellStyle name="0_6134_BUDGET_27Jan09 2 2 2 2 3 2" xfId="3769" xr:uid="{00000000-0005-0000-0000-0000AB0E0000}"/>
    <cellStyle name="0_6134_BUDGET_27Jan09 2 2 2 2 4" xfId="3770" xr:uid="{00000000-0005-0000-0000-0000AC0E0000}"/>
    <cellStyle name="0_6134_BUDGET_27Jan09 2 2 2 3" xfId="3771" xr:uid="{00000000-0005-0000-0000-0000AD0E0000}"/>
    <cellStyle name="0_6134_BUDGET_27Jan09 2 2 2 3 2" xfId="3772" xr:uid="{00000000-0005-0000-0000-0000AE0E0000}"/>
    <cellStyle name="0_6134_BUDGET_27Jan09 2 2 2 3 2 2" xfId="3773" xr:uid="{00000000-0005-0000-0000-0000AF0E0000}"/>
    <cellStyle name="0_6134_BUDGET_27Jan09 2 2 2 3 3" xfId="3774" xr:uid="{00000000-0005-0000-0000-0000B00E0000}"/>
    <cellStyle name="0_6134_BUDGET_27Jan09 2 2 2 3 3 2" xfId="3775" xr:uid="{00000000-0005-0000-0000-0000B10E0000}"/>
    <cellStyle name="0_6134_BUDGET_27Jan09 2 2 2 3 4" xfId="3776" xr:uid="{00000000-0005-0000-0000-0000B20E0000}"/>
    <cellStyle name="0_6134_BUDGET_27Jan09 2 2 2 4" xfId="3777" xr:uid="{00000000-0005-0000-0000-0000B30E0000}"/>
    <cellStyle name="0_6134_BUDGET_27Jan09 2 2 2 4 2" xfId="3778" xr:uid="{00000000-0005-0000-0000-0000B40E0000}"/>
    <cellStyle name="0_6134_BUDGET_27Jan09 2 2 2 5" xfId="3779" xr:uid="{00000000-0005-0000-0000-0000B50E0000}"/>
    <cellStyle name="0_6134_BUDGET_27Jan09 2 2 2 5 2" xfId="3780" xr:uid="{00000000-0005-0000-0000-0000B60E0000}"/>
    <cellStyle name="0_6134_BUDGET_27Jan09 2 2 2 6" xfId="3781" xr:uid="{00000000-0005-0000-0000-0000B70E0000}"/>
    <cellStyle name="0_6134_BUDGET_27Jan09 2 2 3" xfId="3782" xr:uid="{00000000-0005-0000-0000-0000B80E0000}"/>
    <cellStyle name="0_6134_BUDGET_27Jan09 2 2 3 2" xfId="3783" xr:uid="{00000000-0005-0000-0000-0000B90E0000}"/>
    <cellStyle name="0_6134_BUDGET_27Jan09 2 2 3 2 2" xfId="3784" xr:uid="{00000000-0005-0000-0000-0000BA0E0000}"/>
    <cellStyle name="0_6134_BUDGET_27Jan09 2 2 3 3" xfId="3785" xr:uid="{00000000-0005-0000-0000-0000BB0E0000}"/>
    <cellStyle name="0_6134_BUDGET_27Jan09 2 2 3 3 2" xfId="3786" xr:uid="{00000000-0005-0000-0000-0000BC0E0000}"/>
    <cellStyle name="0_6134_BUDGET_27Jan09 2 2 3 4" xfId="3787" xr:uid="{00000000-0005-0000-0000-0000BD0E0000}"/>
    <cellStyle name="0_6134_BUDGET_27Jan09 2 2 4" xfId="3788" xr:uid="{00000000-0005-0000-0000-0000BE0E0000}"/>
    <cellStyle name="0_6134_BUDGET_27Jan09 2 2 4 2" xfId="3789" xr:uid="{00000000-0005-0000-0000-0000BF0E0000}"/>
    <cellStyle name="0_6134_BUDGET_27Jan09 2 2 4 2 2" xfId="3790" xr:uid="{00000000-0005-0000-0000-0000C00E0000}"/>
    <cellStyle name="0_6134_BUDGET_27Jan09 2 2 4 3" xfId="3791" xr:uid="{00000000-0005-0000-0000-0000C10E0000}"/>
    <cellStyle name="0_6134_BUDGET_27Jan09 2 2 4 3 2" xfId="3792" xr:uid="{00000000-0005-0000-0000-0000C20E0000}"/>
    <cellStyle name="0_6134_BUDGET_27Jan09 2 2 4 4" xfId="3793" xr:uid="{00000000-0005-0000-0000-0000C30E0000}"/>
    <cellStyle name="0_6134_BUDGET_27Jan09 2 2 5" xfId="3794" xr:uid="{00000000-0005-0000-0000-0000C40E0000}"/>
    <cellStyle name="0_6134_BUDGET_27Jan09 2 2 5 2" xfId="3795" xr:uid="{00000000-0005-0000-0000-0000C50E0000}"/>
    <cellStyle name="0_6134_BUDGET_27Jan09 2 2 5 2 2" xfId="3796" xr:uid="{00000000-0005-0000-0000-0000C60E0000}"/>
    <cellStyle name="0_6134_BUDGET_27Jan09 2 2 5 3" xfId="3797" xr:uid="{00000000-0005-0000-0000-0000C70E0000}"/>
    <cellStyle name="0_6134_BUDGET_27Jan09 2 2 5 3 2" xfId="3798" xr:uid="{00000000-0005-0000-0000-0000C80E0000}"/>
    <cellStyle name="0_6134_BUDGET_27Jan09 2 2 5 4" xfId="3799" xr:uid="{00000000-0005-0000-0000-0000C90E0000}"/>
    <cellStyle name="0_6134_BUDGET_27Jan09 2 2 6" xfId="3800" xr:uid="{00000000-0005-0000-0000-0000CA0E0000}"/>
    <cellStyle name="0_6134_BUDGET_27Jan09 2 2 6 2" xfId="3801" xr:uid="{00000000-0005-0000-0000-0000CB0E0000}"/>
    <cellStyle name="0_6134_BUDGET_27Jan09 2 2 7" xfId="3802" xr:uid="{00000000-0005-0000-0000-0000CC0E0000}"/>
    <cellStyle name="0_6134_BUDGET_27Jan09 2 2 7 2" xfId="3803" xr:uid="{00000000-0005-0000-0000-0000CD0E0000}"/>
    <cellStyle name="0_6134_BUDGET_27Jan09 2 2 8" xfId="3804" xr:uid="{00000000-0005-0000-0000-0000CE0E0000}"/>
    <cellStyle name="0_6134_BUDGET_27Jan09 2 3" xfId="3805" xr:uid="{00000000-0005-0000-0000-0000CF0E0000}"/>
    <cellStyle name="0_6134_BUDGET_27Jan09 2 3 2" xfId="3806" xr:uid="{00000000-0005-0000-0000-0000D00E0000}"/>
    <cellStyle name="0_6134_BUDGET_27Jan09 2 3 2 2" xfId="3807" xr:uid="{00000000-0005-0000-0000-0000D10E0000}"/>
    <cellStyle name="0_6134_BUDGET_27Jan09 2 3 2 2 2" xfId="3808" xr:uid="{00000000-0005-0000-0000-0000D20E0000}"/>
    <cellStyle name="0_6134_BUDGET_27Jan09 2 3 2 2 2 2" xfId="3809" xr:uid="{00000000-0005-0000-0000-0000D30E0000}"/>
    <cellStyle name="0_6134_BUDGET_27Jan09 2 3 2 2 3" xfId="3810" xr:uid="{00000000-0005-0000-0000-0000D40E0000}"/>
    <cellStyle name="0_6134_BUDGET_27Jan09 2 3 2 2 3 2" xfId="3811" xr:uid="{00000000-0005-0000-0000-0000D50E0000}"/>
    <cellStyle name="0_6134_BUDGET_27Jan09 2 3 2 2 4" xfId="3812" xr:uid="{00000000-0005-0000-0000-0000D60E0000}"/>
    <cellStyle name="0_6134_BUDGET_27Jan09 2 3 2 3" xfId="3813" xr:uid="{00000000-0005-0000-0000-0000D70E0000}"/>
    <cellStyle name="0_6134_BUDGET_27Jan09 2 3 2 3 2" xfId="3814" xr:uid="{00000000-0005-0000-0000-0000D80E0000}"/>
    <cellStyle name="0_6134_BUDGET_27Jan09 2 3 2 3 2 2" xfId="3815" xr:uid="{00000000-0005-0000-0000-0000D90E0000}"/>
    <cellStyle name="0_6134_BUDGET_27Jan09 2 3 2 3 3" xfId="3816" xr:uid="{00000000-0005-0000-0000-0000DA0E0000}"/>
    <cellStyle name="0_6134_BUDGET_27Jan09 2 3 2 3 3 2" xfId="3817" xr:uid="{00000000-0005-0000-0000-0000DB0E0000}"/>
    <cellStyle name="0_6134_BUDGET_27Jan09 2 3 2 3 4" xfId="3818" xr:uid="{00000000-0005-0000-0000-0000DC0E0000}"/>
    <cellStyle name="0_6134_BUDGET_27Jan09 2 3 2 4" xfId="3819" xr:uid="{00000000-0005-0000-0000-0000DD0E0000}"/>
    <cellStyle name="0_6134_BUDGET_27Jan09 2 3 2 4 2" xfId="3820" xr:uid="{00000000-0005-0000-0000-0000DE0E0000}"/>
    <cellStyle name="0_6134_BUDGET_27Jan09 2 3 2 5" xfId="3821" xr:uid="{00000000-0005-0000-0000-0000DF0E0000}"/>
    <cellStyle name="0_6134_BUDGET_27Jan09 2 3 2 5 2" xfId="3822" xr:uid="{00000000-0005-0000-0000-0000E00E0000}"/>
    <cellStyle name="0_6134_BUDGET_27Jan09 2 3 2 6" xfId="3823" xr:uid="{00000000-0005-0000-0000-0000E10E0000}"/>
    <cellStyle name="0_6134_BUDGET_27Jan09 2 3 3" xfId="3824" xr:uid="{00000000-0005-0000-0000-0000E20E0000}"/>
    <cellStyle name="0_6134_BUDGET_27Jan09 2 3 3 2" xfId="3825" xr:uid="{00000000-0005-0000-0000-0000E30E0000}"/>
    <cellStyle name="0_6134_BUDGET_27Jan09 2 3 3 2 2" xfId="3826" xr:uid="{00000000-0005-0000-0000-0000E40E0000}"/>
    <cellStyle name="0_6134_BUDGET_27Jan09 2 3 3 3" xfId="3827" xr:uid="{00000000-0005-0000-0000-0000E50E0000}"/>
    <cellStyle name="0_6134_BUDGET_27Jan09 2 3 3 3 2" xfId="3828" xr:uid="{00000000-0005-0000-0000-0000E60E0000}"/>
    <cellStyle name="0_6134_BUDGET_27Jan09 2 3 3 4" xfId="3829" xr:uid="{00000000-0005-0000-0000-0000E70E0000}"/>
    <cellStyle name="0_6134_BUDGET_27Jan09 2 3 4" xfId="3830" xr:uid="{00000000-0005-0000-0000-0000E80E0000}"/>
    <cellStyle name="0_6134_BUDGET_27Jan09 2 3 4 2" xfId="3831" xr:uid="{00000000-0005-0000-0000-0000E90E0000}"/>
    <cellStyle name="0_6134_BUDGET_27Jan09 2 3 4 2 2" xfId="3832" xr:uid="{00000000-0005-0000-0000-0000EA0E0000}"/>
    <cellStyle name="0_6134_BUDGET_27Jan09 2 3 4 3" xfId="3833" xr:uid="{00000000-0005-0000-0000-0000EB0E0000}"/>
    <cellStyle name="0_6134_BUDGET_27Jan09 2 3 4 3 2" xfId="3834" xr:uid="{00000000-0005-0000-0000-0000EC0E0000}"/>
    <cellStyle name="0_6134_BUDGET_27Jan09 2 3 4 4" xfId="3835" xr:uid="{00000000-0005-0000-0000-0000ED0E0000}"/>
    <cellStyle name="0_6134_BUDGET_27Jan09 2 3 5" xfId="3836" xr:uid="{00000000-0005-0000-0000-0000EE0E0000}"/>
    <cellStyle name="0_6134_BUDGET_27Jan09 2 3 5 2" xfId="3837" xr:uid="{00000000-0005-0000-0000-0000EF0E0000}"/>
    <cellStyle name="0_6134_BUDGET_27Jan09 2 3 5 2 2" xfId="3838" xr:uid="{00000000-0005-0000-0000-0000F00E0000}"/>
    <cellStyle name="0_6134_BUDGET_27Jan09 2 3 5 3" xfId="3839" xr:uid="{00000000-0005-0000-0000-0000F10E0000}"/>
    <cellStyle name="0_6134_BUDGET_27Jan09 2 3 5 3 2" xfId="3840" xr:uid="{00000000-0005-0000-0000-0000F20E0000}"/>
    <cellStyle name="0_6134_BUDGET_27Jan09 2 3 5 4" xfId="3841" xr:uid="{00000000-0005-0000-0000-0000F30E0000}"/>
    <cellStyle name="0_6134_BUDGET_27Jan09 2 3 6" xfId="3842" xr:uid="{00000000-0005-0000-0000-0000F40E0000}"/>
    <cellStyle name="0_6134_BUDGET_27Jan09 2 3 6 2" xfId="3843" xr:uid="{00000000-0005-0000-0000-0000F50E0000}"/>
    <cellStyle name="0_6134_BUDGET_27Jan09 2 3 7" xfId="3844" xr:uid="{00000000-0005-0000-0000-0000F60E0000}"/>
    <cellStyle name="0_6134_BUDGET_27Jan09 2 3 7 2" xfId="3845" xr:uid="{00000000-0005-0000-0000-0000F70E0000}"/>
    <cellStyle name="0_6134_BUDGET_27Jan09 2 3 8" xfId="3846" xr:uid="{00000000-0005-0000-0000-0000F80E0000}"/>
    <cellStyle name="0_6134_BUDGET_27Jan09 2 4" xfId="3847" xr:uid="{00000000-0005-0000-0000-0000F90E0000}"/>
    <cellStyle name="0_6134_BUDGET_27Jan09 2 4 2" xfId="3848" xr:uid="{00000000-0005-0000-0000-0000FA0E0000}"/>
    <cellStyle name="0_6134_BUDGET_27Jan09 2 4 2 2" xfId="3849" xr:uid="{00000000-0005-0000-0000-0000FB0E0000}"/>
    <cellStyle name="0_6134_BUDGET_27Jan09 2 4 2 2 2" xfId="3850" xr:uid="{00000000-0005-0000-0000-0000FC0E0000}"/>
    <cellStyle name="0_6134_BUDGET_27Jan09 2 4 2 2 2 2" xfId="3851" xr:uid="{00000000-0005-0000-0000-0000FD0E0000}"/>
    <cellStyle name="0_6134_BUDGET_27Jan09 2 4 2 2 3" xfId="3852" xr:uid="{00000000-0005-0000-0000-0000FE0E0000}"/>
    <cellStyle name="0_6134_BUDGET_27Jan09 2 4 2 2 3 2" xfId="3853" xr:uid="{00000000-0005-0000-0000-0000FF0E0000}"/>
    <cellStyle name="0_6134_BUDGET_27Jan09 2 4 2 2 4" xfId="3854" xr:uid="{00000000-0005-0000-0000-0000000F0000}"/>
    <cellStyle name="0_6134_BUDGET_27Jan09 2 4 2 3" xfId="3855" xr:uid="{00000000-0005-0000-0000-0000010F0000}"/>
    <cellStyle name="0_6134_BUDGET_27Jan09 2 4 2 3 2" xfId="3856" xr:uid="{00000000-0005-0000-0000-0000020F0000}"/>
    <cellStyle name="0_6134_BUDGET_27Jan09 2 4 2 3 2 2" xfId="3857" xr:uid="{00000000-0005-0000-0000-0000030F0000}"/>
    <cellStyle name="0_6134_BUDGET_27Jan09 2 4 2 3 3" xfId="3858" xr:uid="{00000000-0005-0000-0000-0000040F0000}"/>
    <cellStyle name="0_6134_BUDGET_27Jan09 2 4 2 3 3 2" xfId="3859" xr:uid="{00000000-0005-0000-0000-0000050F0000}"/>
    <cellStyle name="0_6134_BUDGET_27Jan09 2 4 2 3 4" xfId="3860" xr:uid="{00000000-0005-0000-0000-0000060F0000}"/>
    <cellStyle name="0_6134_BUDGET_27Jan09 2 4 2 4" xfId="3861" xr:uid="{00000000-0005-0000-0000-0000070F0000}"/>
    <cellStyle name="0_6134_BUDGET_27Jan09 2 4 2 4 2" xfId="3862" xr:uid="{00000000-0005-0000-0000-0000080F0000}"/>
    <cellStyle name="0_6134_BUDGET_27Jan09 2 4 2 5" xfId="3863" xr:uid="{00000000-0005-0000-0000-0000090F0000}"/>
    <cellStyle name="0_6134_BUDGET_27Jan09 2 4 2 5 2" xfId="3864" xr:uid="{00000000-0005-0000-0000-00000A0F0000}"/>
    <cellStyle name="0_6134_BUDGET_27Jan09 2 4 2 6" xfId="3865" xr:uid="{00000000-0005-0000-0000-00000B0F0000}"/>
    <cellStyle name="0_6134_BUDGET_27Jan09 2 4 3" xfId="3866" xr:uid="{00000000-0005-0000-0000-00000C0F0000}"/>
    <cellStyle name="0_6134_BUDGET_27Jan09 2 4 3 2" xfId="3867" xr:uid="{00000000-0005-0000-0000-00000D0F0000}"/>
    <cellStyle name="0_6134_BUDGET_27Jan09 2 4 3 2 2" xfId="3868" xr:uid="{00000000-0005-0000-0000-00000E0F0000}"/>
    <cellStyle name="0_6134_BUDGET_27Jan09 2 4 3 3" xfId="3869" xr:uid="{00000000-0005-0000-0000-00000F0F0000}"/>
    <cellStyle name="0_6134_BUDGET_27Jan09 2 4 3 3 2" xfId="3870" xr:uid="{00000000-0005-0000-0000-0000100F0000}"/>
    <cellStyle name="0_6134_BUDGET_27Jan09 2 4 3 4" xfId="3871" xr:uid="{00000000-0005-0000-0000-0000110F0000}"/>
    <cellStyle name="0_6134_BUDGET_27Jan09 2 4 4" xfId="3872" xr:uid="{00000000-0005-0000-0000-0000120F0000}"/>
    <cellStyle name="0_6134_BUDGET_27Jan09 2 4 4 2" xfId="3873" xr:uid="{00000000-0005-0000-0000-0000130F0000}"/>
    <cellStyle name="0_6134_BUDGET_27Jan09 2 4 4 2 2" xfId="3874" xr:uid="{00000000-0005-0000-0000-0000140F0000}"/>
    <cellStyle name="0_6134_BUDGET_27Jan09 2 4 4 3" xfId="3875" xr:uid="{00000000-0005-0000-0000-0000150F0000}"/>
    <cellStyle name="0_6134_BUDGET_27Jan09 2 4 4 3 2" xfId="3876" xr:uid="{00000000-0005-0000-0000-0000160F0000}"/>
    <cellStyle name="0_6134_BUDGET_27Jan09 2 4 4 4" xfId="3877" xr:uid="{00000000-0005-0000-0000-0000170F0000}"/>
    <cellStyle name="0_6134_BUDGET_27Jan09 2 4 5" xfId="3878" xr:uid="{00000000-0005-0000-0000-0000180F0000}"/>
    <cellStyle name="0_6134_BUDGET_27Jan09 2 4 5 2" xfId="3879" xr:uid="{00000000-0005-0000-0000-0000190F0000}"/>
    <cellStyle name="0_6134_BUDGET_27Jan09 2 4 5 2 2" xfId="3880" xr:uid="{00000000-0005-0000-0000-00001A0F0000}"/>
    <cellStyle name="0_6134_BUDGET_27Jan09 2 4 5 3" xfId="3881" xr:uid="{00000000-0005-0000-0000-00001B0F0000}"/>
    <cellStyle name="0_6134_BUDGET_27Jan09 2 4 5 3 2" xfId="3882" xr:uid="{00000000-0005-0000-0000-00001C0F0000}"/>
    <cellStyle name="0_6134_BUDGET_27Jan09 2 4 5 4" xfId="3883" xr:uid="{00000000-0005-0000-0000-00001D0F0000}"/>
    <cellStyle name="0_6134_BUDGET_27Jan09 2 4 6" xfId="3884" xr:uid="{00000000-0005-0000-0000-00001E0F0000}"/>
    <cellStyle name="0_6134_BUDGET_27Jan09 2 4 6 2" xfId="3885" xr:uid="{00000000-0005-0000-0000-00001F0F0000}"/>
    <cellStyle name="0_6134_BUDGET_27Jan09 2 4 7" xfId="3886" xr:uid="{00000000-0005-0000-0000-0000200F0000}"/>
    <cellStyle name="0_6134_BUDGET_27Jan09 2 4 7 2" xfId="3887" xr:uid="{00000000-0005-0000-0000-0000210F0000}"/>
    <cellStyle name="0_6134_BUDGET_27Jan09 2 4 8" xfId="3888" xr:uid="{00000000-0005-0000-0000-0000220F0000}"/>
    <cellStyle name="0_6134_BUDGET_27Jan09 2 5" xfId="3889" xr:uid="{00000000-0005-0000-0000-0000230F0000}"/>
    <cellStyle name="0_6134_BUDGET_27Jan09 2 5 2" xfId="3890" xr:uid="{00000000-0005-0000-0000-0000240F0000}"/>
    <cellStyle name="0_6134_BUDGET_27Jan09 2 5 2 2" xfId="3891" xr:uid="{00000000-0005-0000-0000-0000250F0000}"/>
    <cellStyle name="0_6134_BUDGET_27Jan09 2 5 2 2 2" xfId="3892" xr:uid="{00000000-0005-0000-0000-0000260F0000}"/>
    <cellStyle name="0_6134_BUDGET_27Jan09 2 5 2 2 2 2" xfId="3893" xr:uid="{00000000-0005-0000-0000-0000270F0000}"/>
    <cellStyle name="0_6134_BUDGET_27Jan09 2 5 2 2 3" xfId="3894" xr:uid="{00000000-0005-0000-0000-0000280F0000}"/>
    <cellStyle name="0_6134_BUDGET_27Jan09 2 5 2 2 3 2" xfId="3895" xr:uid="{00000000-0005-0000-0000-0000290F0000}"/>
    <cellStyle name="0_6134_BUDGET_27Jan09 2 5 2 2 4" xfId="3896" xr:uid="{00000000-0005-0000-0000-00002A0F0000}"/>
    <cellStyle name="0_6134_BUDGET_27Jan09 2 5 2 3" xfId="3897" xr:uid="{00000000-0005-0000-0000-00002B0F0000}"/>
    <cellStyle name="0_6134_BUDGET_27Jan09 2 5 2 3 2" xfId="3898" xr:uid="{00000000-0005-0000-0000-00002C0F0000}"/>
    <cellStyle name="0_6134_BUDGET_27Jan09 2 5 2 3 2 2" xfId="3899" xr:uid="{00000000-0005-0000-0000-00002D0F0000}"/>
    <cellStyle name="0_6134_BUDGET_27Jan09 2 5 2 3 3" xfId="3900" xr:uid="{00000000-0005-0000-0000-00002E0F0000}"/>
    <cellStyle name="0_6134_BUDGET_27Jan09 2 5 2 3 3 2" xfId="3901" xr:uid="{00000000-0005-0000-0000-00002F0F0000}"/>
    <cellStyle name="0_6134_BUDGET_27Jan09 2 5 2 3 4" xfId="3902" xr:uid="{00000000-0005-0000-0000-0000300F0000}"/>
    <cellStyle name="0_6134_BUDGET_27Jan09 2 5 2 4" xfId="3903" xr:uid="{00000000-0005-0000-0000-0000310F0000}"/>
    <cellStyle name="0_6134_BUDGET_27Jan09 2 5 2 4 2" xfId="3904" xr:uid="{00000000-0005-0000-0000-0000320F0000}"/>
    <cellStyle name="0_6134_BUDGET_27Jan09 2 5 2 5" xfId="3905" xr:uid="{00000000-0005-0000-0000-0000330F0000}"/>
    <cellStyle name="0_6134_BUDGET_27Jan09 2 5 2 5 2" xfId="3906" xr:uid="{00000000-0005-0000-0000-0000340F0000}"/>
    <cellStyle name="0_6134_BUDGET_27Jan09 2 5 2 6" xfId="3907" xr:uid="{00000000-0005-0000-0000-0000350F0000}"/>
    <cellStyle name="0_6134_BUDGET_27Jan09 2 5 3" xfId="3908" xr:uid="{00000000-0005-0000-0000-0000360F0000}"/>
    <cellStyle name="0_6134_BUDGET_27Jan09 2 5 3 2" xfId="3909" xr:uid="{00000000-0005-0000-0000-0000370F0000}"/>
    <cellStyle name="0_6134_BUDGET_27Jan09 2 5 3 2 2" xfId="3910" xr:uid="{00000000-0005-0000-0000-0000380F0000}"/>
    <cellStyle name="0_6134_BUDGET_27Jan09 2 5 3 3" xfId="3911" xr:uid="{00000000-0005-0000-0000-0000390F0000}"/>
    <cellStyle name="0_6134_BUDGET_27Jan09 2 5 3 3 2" xfId="3912" xr:uid="{00000000-0005-0000-0000-00003A0F0000}"/>
    <cellStyle name="0_6134_BUDGET_27Jan09 2 5 3 4" xfId="3913" xr:uid="{00000000-0005-0000-0000-00003B0F0000}"/>
    <cellStyle name="0_6134_BUDGET_27Jan09 2 5 4" xfId="3914" xr:uid="{00000000-0005-0000-0000-00003C0F0000}"/>
    <cellStyle name="0_6134_BUDGET_27Jan09 2 5 4 2" xfId="3915" xr:uid="{00000000-0005-0000-0000-00003D0F0000}"/>
    <cellStyle name="0_6134_BUDGET_27Jan09 2 5 4 2 2" xfId="3916" xr:uid="{00000000-0005-0000-0000-00003E0F0000}"/>
    <cellStyle name="0_6134_BUDGET_27Jan09 2 5 4 3" xfId="3917" xr:uid="{00000000-0005-0000-0000-00003F0F0000}"/>
    <cellStyle name="0_6134_BUDGET_27Jan09 2 5 4 3 2" xfId="3918" xr:uid="{00000000-0005-0000-0000-0000400F0000}"/>
    <cellStyle name="0_6134_BUDGET_27Jan09 2 5 4 4" xfId="3919" xr:uid="{00000000-0005-0000-0000-0000410F0000}"/>
    <cellStyle name="0_6134_BUDGET_27Jan09 2 5 5" xfId="3920" xr:uid="{00000000-0005-0000-0000-0000420F0000}"/>
    <cellStyle name="0_6134_BUDGET_27Jan09 2 5 5 2" xfId="3921" xr:uid="{00000000-0005-0000-0000-0000430F0000}"/>
    <cellStyle name="0_6134_BUDGET_27Jan09 2 5 5 2 2" xfId="3922" xr:uid="{00000000-0005-0000-0000-0000440F0000}"/>
    <cellStyle name="0_6134_BUDGET_27Jan09 2 5 5 3" xfId="3923" xr:uid="{00000000-0005-0000-0000-0000450F0000}"/>
    <cellStyle name="0_6134_BUDGET_27Jan09 2 5 5 3 2" xfId="3924" xr:uid="{00000000-0005-0000-0000-0000460F0000}"/>
    <cellStyle name="0_6134_BUDGET_27Jan09 2 5 5 4" xfId="3925" xr:uid="{00000000-0005-0000-0000-0000470F0000}"/>
    <cellStyle name="0_6134_BUDGET_27Jan09 2 5 6" xfId="3926" xr:uid="{00000000-0005-0000-0000-0000480F0000}"/>
    <cellStyle name="0_6134_BUDGET_27Jan09 2 5 6 2" xfId="3927" xr:uid="{00000000-0005-0000-0000-0000490F0000}"/>
    <cellStyle name="0_6134_BUDGET_27Jan09 2 5 7" xfId="3928" xr:uid="{00000000-0005-0000-0000-00004A0F0000}"/>
    <cellStyle name="0_6134_BUDGET_27Jan09 2 5 7 2" xfId="3929" xr:uid="{00000000-0005-0000-0000-00004B0F0000}"/>
    <cellStyle name="0_6134_BUDGET_27Jan09 2 5 8" xfId="3930" xr:uid="{00000000-0005-0000-0000-00004C0F0000}"/>
    <cellStyle name="0_6134_BUDGET_27Jan09 2 6" xfId="3931" xr:uid="{00000000-0005-0000-0000-00004D0F0000}"/>
    <cellStyle name="0_6134_BUDGET_27Jan09 2 6 2" xfId="3932" xr:uid="{00000000-0005-0000-0000-00004E0F0000}"/>
    <cellStyle name="0_6134_BUDGET_27Jan09 2 6 2 2" xfId="3933" xr:uid="{00000000-0005-0000-0000-00004F0F0000}"/>
    <cellStyle name="0_6134_BUDGET_27Jan09 2 6 2 2 2" xfId="3934" xr:uid="{00000000-0005-0000-0000-0000500F0000}"/>
    <cellStyle name="0_6134_BUDGET_27Jan09 2 6 2 2 2 2" xfId="3935" xr:uid="{00000000-0005-0000-0000-0000510F0000}"/>
    <cellStyle name="0_6134_BUDGET_27Jan09 2 6 2 2 3" xfId="3936" xr:uid="{00000000-0005-0000-0000-0000520F0000}"/>
    <cellStyle name="0_6134_BUDGET_27Jan09 2 6 2 2 3 2" xfId="3937" xr:uid="{00000000-0005-0000-0000-0000530F0000}"/>
    <cellStyle name="0_6134_BUDGET_27Jan09 2 6 2 2 4" xfId="3938" xr:uid="{00000000-0005-0000-0000-0000540F0000}"/>
    <cellStyle name="0_6134_BUDGET_27Jan09 2 6 2 3" xfId="3939" xr:uid="{00000000-0005-0000-0000-0000550F0000}"/>
    <cellStyle name="0_6134_BUDGET_27Jan09 2 6 2 3 2" xfId="3940" xr:uid="{00000000-0005-0000-0000-0000560F0000}"/>
    <cellStyle name="0_6134_BUDGET_27Jan09 2 6 2 3 2 2" xfId="3941" xr:uid="{00000000-0005-0000-0000-0000570F0000}"/>
    <cellStyle name="0_6134_BUDGET_27Jan09 2 6 2 3 3" xfId="3942" xr:uid="{00000000-0005-0000-0000-0000580F0000}"/>
    <cellStyle name="0_6134_BUDGET_27Jan09 2 6 2 3 3 2" xfId="3943" xr:uid="{00000000-0005-0000-0000-0000590F0000}"/>
    <cellStyle name="0_6134_BUDGET_27Jan09 2 6 2 3 4" xfId="3944" xr:uid="{00000000-0005-0000-0000-00005A0F0000}"/>
    <cellStyle name="0_6134_BUDGET_27Jan09 2 6 2 4" xfId="3945" xr:uid="{00000000-0005-0000-0000-00005B0F0000}"/>
    <cellStyle name="0_6134_BUDGET_27Jan09 2 6 2 4 2" xfId="3946" xr:uid="{00000000-0005-0000-0000-00005C0F0000}"/>
    <cellStyle name="0_6134_BUDGET_27Jan09 2 6 2 5" xfId="3947" xr:uid="{00000000-0005-0000-0000-00005D0F0000}"/>
    <cellStyle name="0_6134_BUDGET_27Jan09 2 6 2 5 2" xfId="3948" xr:uid="{00000000-0005-0000-0000-00005E0F0000}"/>
    <cellStyle name="0_6134_BUDGET_27Jan09 2 6 2 6" xfId="3949" xr:uid="{00000000-0005-0000-0000-00005F0F0000}"/>
    <cellStyle name="0_6134_BUDGET_27Jan09 2 6 3" xfId="3950" xr:uid="{00000000-0005-0000-0000-0000600F0000}"/>
    <cellStyle name="0_6134_BUDGET_27Jan09 2 6 3 2" xfId="3951" xr:uid="{00000000-0005-0000-0000-0000610F0000}"/>
    <cellStyle name="0_6134_BUDGET_27Jan09 2 6 3 2 2" xfId="3952" xr:uid="{00000000-0005-0000-0000-0000620F0000}"/>
    <cellStyle name="0_6134_BUDGET_27Jan09 2 6 3 3" xfId="3953" xr:uid="{00000000-0005-0000-0000-0000630F0000}"/>
    <cellStyle name="0_6134_BUDGET_27Jan09 2 6 3 3 2" xfId="3954" xr:uid="{00000000-0005-0000-0000-0000640F0000}"/>
    <cellStyle name="0_6134_BUDGET_27Jan09 2 6 3 4" xfId="3955" xr:uid="{00000000-0005-0000-0000-0000650F0000}"/>
    <cellStyle name="0_6134_BUDGET_27Jan09 2 6 4" xfId="3956" xr:uid="{00000000-0005-0000-0000-0000660F0000}"/>
    <cellStyle name="0_6134_BUDGET_27Jan09 2 6 4 2" xfId="3957" xr:uid="{00000000-0005-0000-0000-0000670F0000}"/>
    <cellStyle name="0_6134_BUDGET_27Jan09 2 6 4 2 2" xfId="3958" xr:uid="{00000000-0005-0000-0000-0000680F0000}"/>
    <cellStyle name="0_6134_BUDGET_27Jan09 2 6 4 3" xfId="3959" xr:uid="{00000000-0005-0000-0000-0000690F0000}"/>
    <cellStyle name="0_6134_BUDGET_27Jan09 2 6 4 3 2" xfId="3960" xr:uid="{00000000-0005-0000-0000-00006A0F0000}"/>
    <cellStyle name="0_6134_BUDGET_27Jan09 2 6 4 4" xfId="3961" xr:uid="{00000000-0005-0000-0000-00006B0F0000}"/>
    <cellStyle name="0_6134_BUDGET_27Jan09 2 6 5" xfId="3962" xr:uid="{00000000-0005-0000-0000-00006C0F0000}"/>
    <cellStyle name="0_6134_BUDGET_27Jan09 2 6 5 2" xfId="3963" xr:uid="{00000000-0005-0000-0000-00006D0F0000}"/>
    <cellStyle name="0_6134_BUDGET_27Jan09 2 6 5 2 2" xfId="3964" xr:uid="{00000000-0005-0000-0000-00006E0F0000}"/>
    <cellStyle name="0_6134_BUDGET_27Jan09 2 6 5 3" xfId="3965" xr:uid="{00000000-0005-0000-0000-00006F0F0000}"/>
    <cellStyle name="0_6134_BUDGET_27Jan09 2 6 5 3 2" xfId="3966" xr:uid="{00000000-0005-0000-0000-0000700F0000}"/>
    <cellStyle name="0_6134_BUDGET_27Jan09 2 6 5 4" xfId="3967" xr:uid="{00000000-0005-0000-0000-0000710F0000}"/>
    <cellStyle name="0_6134_BUDGET_27Jan09 2 6 6" xfId="3968" xr:uid="{00000000-0005-0000-0000-0000720F0000}"/>
    <cellStyle name="0_6134_BUDGET_27Jan09 2 6 6 2" xfId="3969" xr:uid="{00000000-0005-0000-0000-0000730F0000}"/>
    <cellStyle name="0_6134_BUDGET_27Jan09 2 6 7" xfId="3970" xr:uid="{00000000-0005-0000-0000-0000740F0000}"/>
    <cellStyle name="0_6134_BUDGET_27Jan09 2 6 7 2" xfId="3971" xr:uid="{00000000-0005-0000-0000-0000750F0000}"/>
    <cellStyle name="0_6134_BUDGET_27Jan09 2 6 8" xfId="3972" xr:uid="{00000000-0005-0000-0000-0000760F0000}"/>
    <cellStyle name="0_6134_BUDGET_27Jan09 2 7" xfId="3973" xr:uid="{00000000-0005-0000-0000-0000770F0000}"/>
    <cellStyle name="0_6134_BUDGET_27Jan09 2 7 2" xfId="3974" xr:uid="{00000000-0005-0000-0000-0000780F0000}"/>
    <cellStyle name="0_6134_BUDGET_27Jan09 2 7 2 2" xfId="3975" xr:uid="{00000000-0005-0000-0000-0000790F0000}"/>
    <cellStyle name="0_6134_BUDGET_27Jan09 2 7 2 2 2" xfId="3976" xr:uid="{00000000-0005-0000-0000-00007A0F0000}"/>
    <cellStyle name="0_6134_BUDGET_27Jan09 2 7 2 3" xfId="3977" xr:uid="{00000000-0005-0000-0000-00007B0F0000}"/>
    <cellStyle name="0_6134_BUDGET_27Jan09 2 7 2 3 2" xfId="3978" xr:uid="{00000000-0005-0000-0000-00007C0F0000}"/>
    <cellStyle name="0_6134_BUDGET_27Jan09 2 7 2 4" xfId="3979" xr:uid="{00000000-0005-0000-0000-00007D0F0000}"/>
    <cellStyle name="0_6134_BUDGET_27Jan09 2 7 3" xfId="3980" xr:uid="{00000000-0005-0000-0000-00007E0F0000}"/>
    <cellStyle name="0_6134_BUDGET_27Jan09 2 7 3 2" xfId="3981" xr:uid="{00000000-0005-0000-0000-00007F0F0000}"/>
    <cellStyle name="0_6134_BUDGET_27Jan09 2 7 3 2 2" xfId="3982" xr:uid="{00000000-0005-0000-0000-0000800F0000}"/>
    <cellStyle name="0_6134_BUDGET_27Jan09 2 7 3 3" xfId="3983" xr:uid="{00000000-0005-0000-0000-0000810F0000}"/>
    <cellStyle name="0_6134_BUDGET_27Jan09 2 7 3 3 2" xfId="3984" xr:uid="{00000000-0005-0000-0000-0000820F0000}"/>
    <cellStyle name="0_6134_BUDGET_27Jan09 2 7 3 4" xfId="3985" xr:uid="{00000000-0005-0000-0000-0000830F0000}"/>
    <cellStyle name="0_6134_BUDGET_27Jan09 2 7 4" xfId="3986" xr:uid="{00000000-0005-0000-0000-0000840F0000}"/>
    <cellStyle name="0_6134_BUDGET_27Jan09 2 7 4 2" xfId="3987" xr:uid="{00000000-0005-0000-0000-0000850F0000}"/>
    <cellStyle name="0_6134_BUDGET_27Jan09 2 7 5" xfId="3988" xr:uid="{00000000-0005-0000-0000-0000860F0000}"/>
    <cellStyle name="0_6134_BUDGET_27Jan09 2 7 5 2" xfId="3989" xr:uid="{00000000-0005-0000-0000-0000870F0000}"/>
    <cellStyle name="0_6134_BUDGET_27Jan09 2 7 6" xfId="3990" xr:uid="{00000000-0005-0000-0000-0000880F0000}"/>
    <cellStyle name="0_6134_BUDGET_27Jan09 2 8" xfId="3991" xr:uid="{00000000-0005-0000-0000-0000890F0000}"/>
    <cellStyle name="0_6134_BUDGET_27Jan09 2 8 2" xfId="3992" xr:uid="{00000000-0005-0000-0000-00008A0F0000}"/>
    <cellStyle name="0_6134_BUDGET_27Jan09 2 8 2 2" xfId="3993" xr:uid="{00000000-0005-0000-0000-00008B0F0000}"/>
    <cellStyle name="0_6134_BUDGET_27Jan09 2 8 3" xfId="3994" xr:uid="{00000000-0005-0000-0000-00008C0F0000}"/>
    <cellStyle name="0_6134_BUDGET_27Jan09 2 8 3 2" xfId="3995" xr:uid="{00000000-0005-0000-0000-00008D0F0000}"/>
    <cellStyle name="0_6134_BUDGET_27Jan09 2 8 4" xfId="3996" xr:uid="{00000000-0005-0000-0000-00008E0F0000}"/>
    <cellStyle name="0_6134_BUDGET_27Jan09 2 9" xfId="3997" xr:uid="{00000000-0005-0000-0000-00008F0F0000}"/>
    <cellStyle name="0_6134_BUDGET_27Jan09 2 9 2" xfId="3998" xr:uid="{00000000-0005-0000-0000-0000900F0000}"/>
    <cellStyle name="0_6134_BUDGET_27Jan09 2 9 2 2" xfId="3999" xr:uid="{00000000-0005-0000-0000-0000910F0000}"/>
    <cellStyle name="0_6134_BUDGET_27Jan09 2 9 3" xfId="4000" xr:uid="{00000000-0005-0000-0000-0000920F0000}"/>
    <cellStyle name="0_6134_BUDGET_27Jan09 2 9 3 2" xfId="4001" xr:uid="{00000000-0005-0000-0000-0000930F0000}"/>
    <cellStyle name="0_6134_BUDGET_27Jan09 2 9 4" xfId="4002" xr:uid="{00000000-0005-0000-0000-0000940F0000}"/>
    <cellStyle name="0_6134_BUDGET_27Jan09 20" xfId="4003" xr:uid="{00000000-0005-0000-0000-0000950F0000}"/>
    <cellStyle name="0_6134_BUDGET_27Jan09 21" xfId="4004" xr:uid="{00000000-0005-0000-0000-0000960F0000}"/>
    <cellStyle name="0_6134_BUDGET_27Jan09 22" xfId="4005" xr:uid="{00000000-0005-0000-0000-0000970F0000}"/>
    <cellStyle name="0_6134_BUDGET_27Jan09 3" xfId="4006" xr:uid="{00000000-0005-0000-0000-0000980F0000}"/>
    <cellStyle name="0_6134_BUDGET_27Jan09 3 10" xfId="4007" xr:uid="{00000000-0005-0000-0000-0000990F0000}"/>
    <cellStyle name="0_6134_BUDGET_27Jan09 3 10 2" xfId="4008" xr:uid="{00000000-0005-0000-0000-00009A0F0000}"/>
    <cellStyle name="0_6134_BUDGET_27Jan09 3 10 2 2" xfId="4009" xr:uid="{00000000-0005-0000-0000-00009B0F0000}"/>
    <cellStyle name="0_6134_BUDGET_27Jan09 3 10 3" xfId="4010" xr:uid="{00000000-0005-0000-0000-00009C0F0000}"/>
    <cellStyle name="0_6134_BUDGET_27Jan09 3 10 3 2" xfId="4011" xr:uid="{00000000-0005-0000-0000-00009D0F0000}"/>
    <cellStyle name="0_6134_BUDGET_27Jan09 3 10 4" xfId="4012" xr:uid="{00000000-0005-0000-0000-00009E0F0000}"/>
    <cellStyle name="0_6134_BUDGET_27Jan09 3 11" xfId="4013" xr:uid="{00000000-0005-0000-0000-00009F0F0000}"/>
    <cellStyle name="0_6134_BUDGET_27Jan09 3 11 2" xfId="4014" xr:uid="{00000000-0005-0000-0000-0000A00F0000}"/>
    <cellStyle name="0_6134_BUDGET_27Jan09 3 12" xfId="4015" xr:uid="{00000000-0005-0000-0000-0000A10F0000}"/>
    <cellStyle name="0_6134_BUDGET_27Jan09 3 12 2" xfId="4016" xr:uid="{00000000-0005-0000-0000-0000A20F0000}"/>
    <cellStyle name="0_6134_BUDGET_27Jan09 3 13" xfId="4017" xr:uid="{00000000-0005-0000-0000-0000A30F0000}"/>
    <cellStyle name="0_6134_BUDGET_27Jan09 3 2" xfId="4018" xr:uid="{00000000-0005-0000-0000-0000A40F0000}"/>
    <cellStyle name="0_6134_BUDGET_27Jan09 3 2 2" xfId="4019" xr:uid="{00000000-0005-0000-0000-0000A50F0000}"/>
    <cellStyle name="0_6134_BUDGET_27Jan09 3 2 2 2" xfId="4020" xr:uid="{00000000-0005-0000-0000-0000A60F0000}"/>
    <cellStyle name="0_6134_BUDGET_27Jan09 3 2 2 2 2" xfId="4021" xr:uid="{00000000-0005-0000-0000-0000A70F0000}"/>
    <cellStyle name="0_6134_BUDGET_27Jan09 3 2 2 2 2 2" xfId="4022" xr:uid="{00000000-0005-0000-0000-0000A80F0000}"/>
    <cellStyle name="0_6134_BUDGET_27Jan09 3 2 2 2 3" xfId="4023" xr:uid="{00000000-0005-0000-0000-0000A90F0000}"/>
    <cellStyle name="0_6134_BUDGET_27Jan09 3 2 2 2 3 2" xfId="4024" xr:uid="{00000000-0005-0000-0000-0000AA0F0000}"/>
    <cellStyle name="0_6134_BUDGET_27Jan09 3 2 2 2 4" xfId="4025" xr:uid="{00000000-0005-0000-0000-0000AB0F0000}"/>
    <cellStyle name="0_6134_BUDGET_27Jan09 3 2 2 3" xfId="4026" xr:uid="{00000000-0005-0000-0000-0000AC0F0000}"/>
    <cellStyle name="0_6134_BUDGET_27Jan09 3 2 2 3 2" xfId="4027" xr:uid="{00000000-0005-0000-0000-0000AD0F0000}"/>
    <cellStyle name="0_6134_BUDGET_27Jan09 3 2 2 3 2 2" xfId="4028" xr:uid="{00000000-0005-0000-0000-0000AE0F0000}"/>
    <cellStyle name="0_6134_BUDGET_27Jan09 3 2 2 3 3" xfId="4029" xr:uid="{00000000-0005-0000-0000-0000AF0F0000}"/>
    <cellStyle name="0_6134_BUDGET_27Jan09 3 2 2 3 3 2" xfId="4030" xr:uid="{00000000-0005-0000-0000-0000B00F0000}"/>
    <cellStyle name="0_6134_BUDGET_27Jan09 3 2 2 3 4" xfId="4031" xr:uid="{00000000-0005-0000-0000-0000B10F0000}"/>
    <cellStyle name="0_6134_BUDGET_27Jan09 3 2 2 4" xfId="4032" xr:uid="{00000000-0005-0000-0000-0000B20F0000}"/>
    <cellStyle name="0_6134_BUDGET_27Jan09 3 2 2 4 2" xfId="4033" xr:uid="{00000000-0005-0000-0000-0000B30F0000}"/>
    <cellStyle name="0_6134_BUDGET_27Jan09 3 2 2 5" xfId="4034" xr:uid="{00000000-0005-0000-0000-0000B40F0000}"/>
    <cellStyle name="0_6134_BUDGET_27Jan09 3 2 2 5 2" xfId="4035" xr:uid="{00000000-0005-0000-0000-0000B50F0000}"/>
    <cellStyle name="0_6134_BUDGET_27Jan09 3 2 2 6" xfId="4036" xr:uid="{00000000-0005-0000-0000-0000B60F0000}"/>
    <cellStyle name="0_6134_BUDGET_27Jan09 3 2 3" xfId="4037" xr:uid="{00000000-0005-0000-0000-0000B70F0000}"/>
    <cellStyle name="0_6134_BUDGET_27Jan09 3 2 3 2" xfId="4038" xr:uid="{00000000-0005-0000-0000-0000B80F0000}"/>
    <cellStyle name="0_6134_BUDGET_27Jan09 3 2 3 2 2" xfId="4039" xr:uid="{00000000-0005-0000-0000-0000B90F0000}"/>
    <cellStyle name="0_6134_BUDGET_27Jan09 3 2 3 3" xfId="4040" xr:uid="{00000000-0005-0000-0000-0000BA0F0000}"/>
    <cellStyle name="0_6134_BUDGET_27Jan09 3 2 3 3 2" xfId="4041" xr:uid="{00000000-0005-0000-0000-0000BB0F0000}"/>
    <cellStyle name="0_6134_BUDGET_27Jan09 3 2 3 4" xfId="4042" xr:uid="{00000000-0005-0000-0000-0000BC0F0000}"/>
    <cellStyle name="0_6134_BUDGET_27Jan09 3 2 4" xfId="4043" xr:uid="{00000000-0005-0000-0000-0000BD0F0000}"/>
    <cellStyle name="0_6134_BUDGET_27Jan09 3 2 4 2" xfId="4044" xr:uid="{00000000-0005-0000-0000-0000BE0F0000}"/>
    <cellStyle name="0_6134_BUDGET_27Jan09 3 2 4 2 2" xfId="4045" xr:uid="{00000000-0005-0000-0000-0000BF0F0000}"/>
    <cellStyle name="0_6134_BUDGET_27Jan09 3 2 4 3" xfId="4046" xr:uid="{00000000-0005-0000-0000-0000C00F0000}"/>
    <cellStyle name="0_6134_BUDGET_27Jan09 3 2 4 3 2" xfId="4047" xr:uid="{00000000-0005-0000-0000-0000C10F0000}"/>
    <cellStyle name="0_6134_BUDGET_27Jan09 3 2 4 4" xfId="4048" xr:uid="{00000000-0005-0000-0000-0000C20F0000}"/>
    <cellStyle name="0_6134_BUDGET_27Jan09 3 2 5" xfId="4049" xr:uid="{00000000-0005-0000-0000-0000C30F0000}"/>
    <cellStyle name="0_6134_BUDGET_27Jan09 3 2 5 2" xfId="4050" xr:uid="{00000000-0005-0000-0000-0000C40F0000}"/>
    <cellStyle name="0_6134_BUDGET_27Jan09 3 2 5 2 2" xfId="4051" xr:uid="{00000000-0005-0000-0000-0000C50F0000}"/>
    <cellStyle name="0_6134_BUDGET_27Jan09 3 2 5 3" xfId="4052" xr:uid="{00000000-0005-0000-0000-0000C60F0000}"/>
    <cellStyle name="0_6134_BUDGET_27Jan09 3 2 5 3 2" xfId="4053" xr:uid="{00000000-0005-0000-0000-0000C70F0000}"/>
    <cellStyle name="0_6134_BUDGET_27Jan09 3 2 5 4" xfId="4054" xr:uid="{00000000-0005-0000-0000-0000C80F0000}"/>
    <cellStyle name="0_6134_BUDGET_27Jan09 3 2 6" xfId="4055" xr:uid="{00000000-0005-0000-0000-0000C90F0000}"/>
    <cellStyle name="0_6134_BUDGET_27Jan09 3 2 6 2" xfId="4056" xr:uid="{00000000-0005-0000-0000-0000CA0F0000}"/>
    <cellStyle name="0_6134_BUDGET_27Jan09 3 2 7" xfId="4057" xr:uid="{00000000-0005-0000-0000-0000CB0F0000}"/>
    <cellStyle name="0_6134_BUDGET_27Jan09 3 2 7 2" xfId="4058" xr:uid="{00000000-0005-0000-0000-0000CC0F0000}"/>
    <cellStyle name="0_6134_BUDGET_27Jan09 3 2 8" xfId="4059" xr:uid="{00000000-0005-0000-0000-0000CD0F0000}"/>
    <cellStyle name="0_6134_BUDGET_27Jan09 3 3" xfId="4060" xr:uid="{00000000-0005-0000-0000-0000CE0F0000}"/>
    <cellStyle name="0_6134_BUDGET_27Jan09 3 3 2" xfId="4061" xr:uid="{00000000-0005-0000-0000-0000CF0F0000}"/>
    <cellStyle name="0_6134_BUDGET_27Jan09 3 3 2 2" xfId="4062" xr:uid="{00000000-0005-0000-0000-0000D00F0000}"/>
    <cellStyle name="0_6134_BUDGET_27Jan09 3 3 2 2 2" xfId="4063" xr:uid="{00000000-0005-0000-0000-0000D10F0000}"/>
    <cellStyle name="0_6134_BUDGET_27Jan09 3 3 2 2 2 2" xfId="4064" xr:uid="{00000000-0005-0000-0000-0000D20F0000}"/>
    <cellStyle name="0_6134_BUDGET_27Jan09 3 3 2 2 3" xfId="4065" xr:uid="{00000000-0005-0000-0000-0000D30F0000}"/>
    <cellStyle name="0_6134_BUDGET_27Jan09 3 3 2 2 3 2" xfId="4066" xr:uid="{00000000-0005-0000-0000-0000D40F0000}"/>
    <cellStyle name="0_6134_BUDGET_27Jan09 3 3 2 2 4" xfId="4067" xr:uid="{00000000-0005-0000-0000-0000D50F0000}"/>
    <cellStyle name="0_6134_BUDGET_27Jan09 3 3 2 3" xfId="4068" xr:uid="{00000000-0005-0000-0000-0000D60F0000}"/>
    <cellStyle name="0_6134_BUDGET_27Jan09 3 3 2 3 2" xfId="4069" xr:uid="{00000000-0005-0000-0000-0000D70F0000}"/>
    <cellStyle name="0_6134_BUDGET_27Jan09 3 3 2 3 2 2" xfId="4070" xr:uid="{00000000-0005-0000-0000-0000D80F0000}"/>
    <cellStyle name="0_6134_BUDGET_27Jan09 3 3 2 3 3" xfId="4071" xr:uid="{00000000-0005-0000-0000-0000D90F0000}"/>
    <cellStyle name="0_6134_BUDGET_27Jan09 3 3 2 3 3 2" xfId="4072" xr:uid="{00000000-0005-0000-0000-0000DA0F0000}"/>
    <cellStyle name="0_6134_BUDGET_27Jan09 3 3 2 3 4" xfId="4073" xr:uid="{00000000-0005-0000-0000-0000DB0F0000}"/>
    <cellStyle name="0_6134_BUDGET_27Jan09 3 3 2 4" xfId="4074" xr:uid="{00000000-0005-0000-0000-0000DC0F0000}"/>
    <cellStyle name="0_6134_BUDGET_27Jan09 3 3 2 4 2" xfId="4075" xr:uid="{00000000-0005-0000-0000-0000DD0F0000}"/>
    <cellStyle name="0_6134_BUDGET_27Jan09 3 3 2 5" xfId="4076" xr:uid="{00000000-0005-0000-0000-0000DE0F0000}"/>
    <cellStyle name="0_6134_BUDGET_27Jan09 3 3 2 5 2" xfId="4077" xr:uid="{00000000-0005-0000-0000-0000DF0F0000}"/>
    <cellStyle name="0_6134_BUDGET_27Jan09 3 3 2 6" xfId="4078" xr:uid="{00000000-0005-0000-0000-0000E00F0000}"/>
    <cellStyle name="0_6134_BUDGET_27Jan09 3 3 3" xfId="4079" xr:uid="{00000000-0005-0000-0000-0000E10F0000}"/>
    <cellStyle name="0_6134_BUDGET_27Jan09 3 3 3 2" xfId="4080" xr:uid="{00000000-0005-0000-0000-0000E20F0000}"/>
    <cellStyle name="0_6134_BUDGET_27Jan09 3 3 3 2 2" xfId="4081" xr:uid="{00000000-0005-0000-0000-0000E30F0000}"/>
    <cellStyle name="0_6134_BUDGET_27Jan09 3 3 3 3" xfId="4082" xr:uid="{00000000-0005-0000-0000-0000E40F0000}"/>
    <cellStyle name="0_6134_BUDGET_27Jan09 3 3 3 3 2" xfId="4083" xr:uid="{00000000-0005-0000-0000-0000E50F0000}"/>
    <cellStyle name="0_6134_BUDGET_27Jan09 3 3 3 4" xfId="4084" xr:uid="{00000000-0005-0000-0000-0000E60F0000}"/>
    <cellStyle name="0_6134_BUDGET_27Jan09 3 3 4" xfId="4085" xr:uid="{00000000-0005-0000-0000-0000E70F0000}"/>
    <cellStyle name="0_6134_BUDGET_27Jan09 3 3 4 2" xfId="4086" xr:uid="{00000000-0005-0000-0000-0000E80F0000}"/>
    <cellStyle name="0_6134_BUDGET_27Jan09 3 3 4 2 2" xfId="4087" xr:uid="{00000000-0005-0000-0000-0000E90F0000}"/>
    <cellStyle name="0_6134_BUDGET_27Jan09 3 3 4 3" xfId="4088" xr:uid="{00000000-0005-0000-0000-0000EA0F0000}"/>
    <cellStyle name="0_6134_BUDGET_27Jan09 3 3 4 3 2" xfId="4089" xr:uid="{00000000-0005-0000-0000-0000EB0F0000}"/>
    <cellStyle name="0_6134_BUDGET_27Jan09 3 3 4 4" xfId="4090" xr:uid="{00000000-0005-0000-0000-0000EC0F0000}"/>
    <cellStyle name="0_6134_BUDGET_27Jan09 3 3 5" xfId="4091" xr:uid="{00000000-0005-0000-0000-0000ED0F0000}"/>
    <cellStyle name="0_6134_BUDGET_27Jan09 3 3 5 2" xfId="4092" xr:uid="{00000000-0005-0000-0000-0000EE0F0000}"/>
    <cellStyle name="0_6134_BUDGET_27Jan09 3 3 5 2 2" xfId="4093" xr:uid="{00000000-0005-0000-0000-0000EF0F0000}"/>
    <cellStyle name="0_6134_BUDGET_27Jan09 3 3 5 3" xfId="4094" xr:uid="{00000000-0005-0000-0000-0000F00F0000}"/>
    <cellStyle name="0_6134_BUDGET_27Jan09 3 3 5 3 2" xfId="4095" xr:uid="{00000000-0005-0000-0000-0000F10F0000}"/>
    <cellStyle name="0_6134_BUDGET_27Jan09 3 3 5 4" xfId="4096" xr:uid="{00000000-0005-0000-0000-0000F20F0000}"/>
    <cellStyle name="0_6134_BUDGET_27Jan09 3 3 6" xfId="4097" xr:uid="{00000000-0005-0000-0000-0000F30F0000}"/>
    <cellStyle name="0_6134_BUDGET_27Jan09 3 3 6 2" xfId="4098" xr:uid="{00000000-0005-0000-0000-0000F40F0000}"/>
    <cellStyle name="0_6134_BUDGET_27Jan09 3 3 7" xfId="4099" xr:uid="{00000000-0005-0000-0000-0000F50F0000}"/>
    <cellStyle name="0_6134_BUDGET_27Jan09 3 3 7 2" xfId="4100" xr:uid="{00000000-0005-0000-0000-0000F60F0000}"/>
    <cellStyle name="0_6134_BUDGET_27Jan09 3 3 8" xfId="4101" xr:uid="{00000000-0005-0000-0000-0000F70F0000}"/>
    <cellStyle name="0_6134_BUDGET_27Jan09 3 4" xfId="4102" xr:uid="{00000000-0005-0000-0000-0000F80F0000}"/>
    <cellStyle name="0_6134_BUDGET_27Jan09 3 4 2" xfId="4103" xr:uid="{00000000-0005-0000-0000-0000F90F0000}"/>
    <cellStyle name="0_6134_BUDGET_27Jan09 3 4 2 2" xfId="4104" xr:uid="{00000000-0005-0000-0000-0000FA0F0000}"/>
    <cellStyle name="0_6134_BUDGET_27Jan09 3 4 2 2 2" xfId="4105" xr:uid="{00000000-0005-0000-0000-0000FB0F0000}"/>
    <cellStyle name="0_6134_BUDGET_27Jan09 3 4 2 2 2 2" xfId="4106" xr:uid="{00000000-0005-0000-0000-0000FC0F0000}"/>
    <cellStyle name="0_6134_BUDGET_27Jan09 3 4 2 2 3" xfId="4107" xr:uid="{00000000-0005-0000-0000-0000FD0F0000}"/>
    <cellStyle name="0_6134_BUDGET_27Jan09 3 4 2 2 3 2" xfId="4108" xr:uid="{00000000-0005-0000-0000-0000FE0F0000}"/>
    <cellStyle name="0_6134_BUDGET_27Jan09 3 4 2 2 4" xfId="4109" xr:uid="{00000000-0005-0000-0000-0000FF0F0000}"/>
    <cellStyle name="0_6134_BUDGET_27Jan09 3 4 2 3" xfId="4110" xr:uid="{00000000-0005-0000-0000-000000100000}"/>
    <cellStyle name="0_6134_BUDGET_27Jan09 3 4 2 3 2" xfId="4111" xr:uid="{00000000-0005-0000-0000-000001100000}"/>
    <cellStyle name="0_6134_BUDGET_27Jan09 3 4 2 3 2 2" xfId="4112" xr:uid="{00000000-0005-0000-0000-000002100000}"/>
    <cellStyle name="0_6134_BUDGET_27Jan09 3 4 2 3 3" xfId="4113" xr:uid="{00000000-0005-0000-0000-000003100000}"/>
    <cellStyle name="0_6134_BUDGET_27Jan09 3 4 2 3 3 2" xfId="4114" xr:uid="{00000000-0005-0000-0000-000004100000}"/>
    <cellStyle name="0_6134_BUDGET_27Jan09 3 4 2 3 4" xfId="4115" xr:uid="{00000000-0005-0000-0000-000005100000}"/>
    <cellStyle name="0_6134_BUDGET_27Jan09 3 4 2 4" xfId="4116" xr:uid="{00000000-0005-0000-0000-000006100000}"/>
    <cellStyle name="0_6134_BUDGET_27Jan09 3 4 2 4 2" xfId="4117" xr:uid="{00000000-0005-0000-0000-000007100000}"/>
    <cellStyle name="0_6134_BUDGET_27Jan09 3 4 2 5" xfId="4118" xr:uid="{00000000-0005-0000-0000-000008100000}"/>
    <cellStyle name="0_6134_BUDGET_27Jan09 3 4 2 5 2" xfId="4119" xr:uid="{00000000-0005-0000-0000-000009100000}"/>
    <cellStyle name="0_6134_BUDGET_27Jan09 3 4 2 6" xfId="4120" xr:uid="{00000000-0005-0000-0000-00000A100000}"/>
    <cellStyle name="0_6134_BUDGET_27Jan09 3 4 3" xfId="4121" xr:uid="{00000000-0005-0000-0000-00000B100000}"/>
    <cellStyle name="0_6134_BUDGET_27Jan09 3 4 3 2" xfId="4122" xr:uid="{00000000-0005-0000-0000-00000C100000}"/>
    <cellStyle name="0_6134_BUDGET_27Jan09 3 4 3 2 2" xfId="4123" xr:uid="{00000000-0005-0000-0000-00000D100000}"/>
    <cellStyle name="0_6134_BUDGET_27Jan09 3 4 3 3" xfId="4124" xr:uid="{00000000-0005-0000-0000-00000E100000}"/>
    <cellStyle name="0_6134_BUDGET_27Jan09 3 4 3 3 2" xfId="4125" xr:uid="{00000000-0005-0000-0000-00000F100000}"/>
    <cellStyle name="0_6134_BUDGET_27Jan09 3 4 3 4" xfId="4126" xr:uid="{00000000-0005-0000-0000-000010100000}"/>
    <cellStyle name="0_6134_BUDGET_27Jan09 3 4 4" xfId="4127" xr:uid="{00000000-0005-0000-0000-000011100000}"/>
    <cellStyle name="0_6134_BUDGET_27Jan09 3 4 4 2" xfId="4128" xr:uid="{00000000-0005-0000-0000-000012100000}"/>
    <cellStyle name="0_6134_BUDGET_27Jan09 3 4 4 2 2" xfId="4129" xr:uid="{00000000-0005-0000-0000-000013100000}"/>
    <cellStyle name="0_6134_BUDGET_27Jan09 3 4 4 3" xfId="4130" xr:uid="{00000000-0005-0000-0000-000014100000}"/>
    <cellStyle name="0_6134_BUDGET_27Jan09 3 4 4 3 2" xfId="4131" xr:uid="{00000000-0005-0000-0000-000015100000}"/>
    <cellStyle name="0_6134_BUDGET_27Jan09 3 4 4 4" xfId="4132" xr:uid="{00000000-0005-0000-0000-000016100000}"/>
    <cellStyle name="0_6134_BUDGET_27Jan09 3 4 5" xfId="4133" xr:uid="{00000000-0005-0000-0000-000017100000}"/>
    <cellStyle name="0_6134_BUDGET_27Jan09 3 4 5 2" xfId="4134" xr:uid="{00000000-0005-0000-0000-000018100000}"/>
    <cellStyle name="0_6134_BUDGET_27Jan09 3 4 5 2 2" xfId="4135" xr:uid="{00000000-0005-0000-0000-000019100000}"/>
    <cellStyle name="0_6134_BUDGET_27Jan09 3 4 5 3" xfId="4136" xr:uid="{00000000-0005-0000-0000-00001A100000}"/>
    <cellStyle name="0_6134_BUDGET_27Jan09 3 4 5 3 2" xfId="4137" xr:uid="{00000000-0005-0000-0000-00001B100000}"/>
    <cellStyle name="0_6134_BUDGET_27Jan09 3 4 5 4" xfId="4138" xr:uid="{00000000-0005-0000-0000-00001C100000}"/>
    <cellStyle name="0_6134_BUDGET_27Jan09 3 4 6" xfId="4139" xr:uid="{00000000-0005-0000-0000-00001D100000}"/>
    <cellStyle name="0_6134_BUDGET_27Jan09 3 4 6 2" xfId="4140" xr:uid="{00000000-0005-0000-0000-00001E100000}"/>
    <cellStyle name="0_6134_BUDGET_27Jan09 3 4 7" xfId="4141" xr:uid="{00000000-0005-0000-0000-00001F100000}"/>
    <cellStyle name="0_6134_BUDGET_27Jan09 3 4 7 2" xfId="4142" xr:uid="{00000000-0005-0000-0000-000020100000}"/>
    <cellStyle name="0_6134_BUDGET_27Jan09 3 4 8" xfId="4143" xr:uid="{00000000-0005-0000-0000-000021100000}"/>
    <cellStyle name="0_6134_BUDGET_27Jan09 3 5" xfId="4144" xr:uid="{00000000-0005-0000-0000-000022100000}"/>
    <cellStyle name="0_6134_BUDGET_27Jan09 3 5 2" xfId="4145" xr:uid="{00000000-0005-0000-0000-000023100000}"/>
    <cellStyle name="0_6134_BUDGET_27Jan09 3 5 2 2" xfId="4146" xr:uid="{00000000-0005-0000-0000-000024100000}"/>
    <cellStyle name="0_6134_BUDGET_27Jan09 3 5 2 2 2" xfId="4147" xr:uid="{00000000-0005-0000-0000-000025100000}"/>
    <cellStyle name="0_6134_BUDGET_27Jan09 3 5 2 2 2 2" xfId="4148" xr:uid="{00000000-0005-0000-0000-000026100000}"/>
    <cellStyle name="0_6134_BUDGET_27Jan09 3 5 2 2 3" xfId="4149" xr:uid="{00000000-0005-0000-0000-000027100000}"/>
    <cellStyle name="0_6134_BUDGET_27Jan09 3 5 2 2 3 2" xfId="4150" xr:uid="{00000000-0005-0000-0000-000028100000}"/>
    <cellStyle name="0_6134_BUDGET_27Jan09 3 5 2 2 4" xfId="4151" xr:uid="{00000000-0005-0000-0000-000029100000}"/>
    <cellStyle name="0_6134_BUDGET_27Jan09 3 5 2 3" xfId="4152" xr:uid="{00000000-0005-0000-0000-00002A100000}"/>
    <cellStyle name="0_6134_BUDGET_27Jan09 3 5 2 3 2" xfId="4153" xr:uid="{00000000-0005-0000-0000-00002B100000}"/>
    <cellStyle name="0_6134_BUDGET_27Jan09 3 5 2 3 2 2" xfId="4154" xr:uid="{00000000-0005-0000-0000-00002C100000}"/>
    <cellStyle name="0_6134_BUDGET_27Jan09 3 5 2 3 3" xfId="4155" xr:uid="{00000000-0005-0000-0000-00002D100000}"/>
    <cellStyle name="0_6134_BUDGET_27Jan09 3 5 2 3 3 2" xfId="4156" xr:uid="{00000000-0005-0000-0000-00002E100000}"/>
    <cellStyle name="0_6134_BUDGET_27Jan09 3 5 2 3 4" xfId="4157" xr:uid="{00000000-0005-0000-0000-00002F100000}"/>
    <cellStyle name="0_6134_BUDGET_27Jan09 3 5 2 4" xfId="4158" xr:uid="{00000000-0005-0000-0000-000030100000}"/>
    <cellStyle name="0_6134_BUDGET_27Jan09 3 5 2 4 2" xfId="4159" xr:uid="{00000000-0005-0000-0000-000031100000}"/>
    <cellStyle name="0_6134_BUDGET_27Jan09 3 5 2 5" xfId="4160" xr:uid="{00000000-0005-0000-0000-000032100000}"/>
    <cellStyle name="0_6134_BUDGET_27Jan09 3 5 2 5 2" xfId="4161" xr:uid="{00000000-0005-0000-0000-000033100000}"/>
    <cellStyle name="0_6134_BUDGET_27Jan09 3 5 2 6" xfId="4162" xr:uid="{00000000-0005-0000-0000-000034100000}"/>
    <cellStyle name="0_6134_BUDGET_27Jan09 3 5 3" xfId="4163" xr:uid="{00000000-0005-0000-0000-000035100000}"/>
    <cellStyle name="0_6134_BUDGET_27Jan09 3 5 3 2" xfId="4164" xr:uid="{00000000-0005-0000-0000-000036100000}"/>
    <cellStyle name="0_6134_BUDGET_27Jan09 3 5 3 2 2" xfId="4165" xr:uid="{00000000-0005-0000-0000-000037100000}"/>
    <cellStyle name="0_6134_BUDGET_27Jan09 3 5 3 3" xfId="4166" xr:uid="{00000000-0005-0000-0000-000038100000}"/>
    <cellStyle name="0_6134_BUDGET_27Jan09 3 5 3 3 2" xfId="4167" xr:uid="{00000000-0005-0000-0000-000039100000}"/>
    <cellStyle name="0_6134_BUDGET_27Jan09 3 5 3 4" xfId="4168" xr:uid="{00000000-0005-0000-0000-00003A100000}"/>
    <cellStyle name="0_6134_BUDGET_27Jan09 3 5 4" xfId="4169" xr:uid="{00000000-0005-0000-0000-00003B100000}"/>
    <cellStyle name="0_6134_BUDGET_27Jan09 3 5 4 2" xfId="4170" xr:uid="{00000000-0005-0000-0000-00003C100000}"/>
    <cellStyle name="0_6134_BUDGET_27Jan09 3 5 4 2 2" xfId="4171" xr:uid="{00000000-0005-0000-0000-00003D100000}"/>
    <cellStyle name="0_6134_BUDGET_27Jan09 3 5 4 3" xfId="4172" xr:uid="{00000000-0005-0000-0000-00003E100000}"/>
    <cellStyle name="0_6134_BUDGET_27Jan09 3 5 4 3 2" xfId="4173" xr:uid="{00000000-0005-0000-0000-00003F100000}"/>
    <cellStyle name="0_6134_BUDGET_27Jan09 3 5 4 4" xfId="4174" xr:uid="{00000000-0005-0000-0000-000040100000}"/>
    <cellStyle name="0_6134_BUDGET_27Jan09 3 5 5" xfId="4175" xr:uid="{00000000-0005-0000-0000-000041100000}"/>
    <cellStyle name="0_6134_BUDGET_27Jan09 3 5 5 2" xfId="4176" xr:uid="{00000000-0005-0000-0000-000042100000}"/>
    <cellStyle name="0_6134_BUDGET_27Jan09 3 5 5 2 2" xfId="4177" xr:uid="{00000000-0005-0000-0000-000043100000}"/>
    <cellStyle name="0_6134_BUDGET_27Jan09 3 5 5 3" xfId="4178" xr:uid="{00000000-0005-0000-0000-000044100000}"/>
    <cellStyle name="0_6134_BUDGET_27Jan09 3 5 5 3 2" xfId="4179" xr:uid="{00000000-0005-0000-0000-000045100000}"/>
    <cellStyle name="0_6134_BUDGET_27Jan09 3 5 5 4" xfId="4180" xr:uid="{00000000-0005-0000-0000-000046100000}"/>
    <cellStyle name="0_6134_BUDGET_27Jan09 3 5 6" xfId="4181" xr:uid="{00000000-0005-0000-0000-000047100000}"/>
    <cellStyle name="0_6134_BUDGET_27Jan09 3 5 6 2" xfId="4182" xr:uid="{00000000-0005-0000-0000-000048100000}"/>
    <cellStyle name="0_6134_BUDGET_27Jan09 3 5 7" xfId="4183" xr:uid="{00000000-0005-0000-0000-000049100000}"/>
    <cellStyle name="0_6134_BUDGET_27Jan09 3 5 7 2" xfId="4184" xr:uid="{00000000-0005-0000-0000-00004A100000}"/>
    <cellStyle name="0_6134_BUDGET_27Jan09 3 5 8" xfId="4185" xr:uid="{00000000-0005-0000-0000-00004B100000}"/>
    <cellStyle name="0_6134_BUDGET_27Jan09 3 6" xfId="4186" xr:uid="{00000000-0005-0000-0000-00004C100000}"/>
    <cellStyle name="0_6134_BUDGET_27Jan09 3 6 2" xfId="4187" xr:uid="{00000000-0005-0000-0000-00004D100000}"/>
    <cellStyle name="0_6134_BUDGET_27Jan09 3 6 2 2" xfId="4188" xr:uid="{00000000-0005-0000-0000-00004E100000}"/>
    <cellStyle name="0_6134_BUDGET_27Jan09 3 6 2 2 2" xfId="4189" xr:uid="{00000000-0005-0000-0000-00004F100000}"/>
    <cellStyle name="0_6134_BUDGET_27Jan09 3 6 2 2 2 2" xfId="4190" xr:uid="{00000000-0005-0000-0000-000050100000}"/>
    <cellStyle name="0_6134_BUDGET_27Jan09 3 6 2 2 3" xfId="4191" xr:uid="{00000000-0005-0000-0000-000051100000}"/>
    <cellStyle name="0_6134_BUDGET_27Jan09 3 6 2 2 3 2" xfId="4192" xr:uid="{00000000-0005-0000-0000-000052100000}"/>
    <cellStyle name="0_6134_BUDGET_27Jan09 3 6 2 2 4" xfId="4193" xr:uid="{00000000-0005-0000-0000-000053100000}"/>
    <cellStyle name="0_6134_BUDGET_27Jan09 3 6 2 3" xfId="4194" xr:uid="{00000000-0005-0000-0000-000054100000}"/>
    <cellStyle name="0_6134_BUDGET_27Jan09 3 6 2 3 2" xfId="4195" xr:uid="{00000000-0005-0000-0000-000055100000}"/>
    <cellStyle name="0_6134_BUDGET_27Jan09 3 6 2 3 2 2" xfId="4196" xr:uid="{00000000-0005-0000-0000-000056100000}"/>
    <cellStyle name="0_6134_BUDGET_27Jan09 3 6 2 3 3" xfId="4197" xr:uid="{00000000-0005-0000-0000-000057100000}"/>
    <cellStyle name="0_6134_BUDGET_27Jan09 3 6 2 3 3 2" xfId="4198" xr:uid="{00000000-0005-0000-0000-000058100000}"/>
    <cellStyle name="0_6134_BUDGET_27Jan09 3 6 2 3 4" xfId="4199" xr:uid="{00000000-0005-0000-0000-000059100000}"/>
    <cellStyle name="0_6134_BUDGET_27Jan09 3 6 2 4" xfId="4200" xr:uid="{00000000-0005-0000-0000-00005A100000}"/>
    <cellStyle name="0_6134_BUDGET_27Jan09 3 6 2 4 2" xfId="4201" xr:uid="{00000000-0005-0000-0000-00005B100000}"/>
    <cellStyle name="0_6134_BUDGET_27Jan09 3 6 2 5" xfId="4202" xr:uid="{00000000-0005-0000-0000-00005C100000}"/>
    <cellStyle name="0_6134_BUDGET_27Jan09 3 6 2 5 2" xfId="4203" xr:uid="{00000000-0005-0000-0000-00005D100000}"/>
    <cellStyle name="0_6134_BUDGET_27Jan09 3 6 2 6" xfId="4204" xr:uid="{00000000-0005-0000-0000-00005E100000}"/>
    <cellStyle name="0_6134_BUDGET_27Jan09 3 6 3" xfId="4205" xr:uid="{00000000-0005-0000-0000-00005F100000}"/>
    <cellStyle name="0_6134_BUDGET_27Jan09 3 6 3 2" xfId="4206" xr:uid="{00000000-0005-0000-0000-000060100000}"/>
    <cellStyle name="0_6134_BUDGET_27Jan09 3 6 3 2 2" xfId="4207" xr:uid="{00000000-0005-0000-0000-000061100000}"/>
    <cellStyle name="0_6134_BUDGET_27Jan09 3 6 3 3" xfId="4208" xr:uid="{00000000-0005-0000-0000-000062100000}"/>
    <cellStyle name="0_6134_BUDGET_27Jan09 3 6 3 3 2" xfId="4209" xr:uid="{00000000-0005-0000-0000-000063100000}"/>
    <cellStyle name="0_6134_BUDGET_27Jan09 3 6 3 4" xfId="4210" xr:uid="{00000000-0005-0000-0000-000064100000}"/>
    <cellStyle name="0_6134_BUDGET_27Jan09 3 6 4" xfId="4211" xr:uid="{00000000-0005-0000-0000-000065100000}"/>
    <cellStyle name="0_6134_BUDGET_27Jan09 3 6 4 2" xfId="4212" xr:uid="{00000000-0005-0000-0000-000066100000}"/>
    <cellStyle name="0_6134_BUDGET_27Jan09 3 6 4 2 2" xfId="4213" xr:uid="{00000000-0005-0000-0000-000067100000}"/>
    <cellStyle name="0_6134_BUDGET_27Jan09 3 6 4 3" xfId="4214" xr:uid="{00000000-0005-0000-0000-000068100000}"/>
    <cellStyle name="0_6134_BUDGET_27Jan09 3 6 4 3 2" xfId="4215" xr:uid="{00000000-0005-0000-0000-000069100000}"/>
    <cellStyle name="0_6134_BUDGET_27Jan09 3 6 4 4" xfId="4216" xr:uid="{00000000-0005-0000-0000-00006A100000}"/>
    <cellStyle name="0_6134_BUDGET_27Jan09 3 6 5" xfId="4217" xr:uid="{00000000-0005-0000-0000-00006B100000}"/>
    <cellStyle name="0_6134_BUDGET_27Jan09 3 6 5 2" xfId="4218" xr:uid="{00000000-0005-0000-0000-00006C100000}"/>
    <cellStyle name="0_6134_BUDGET_27Jan09 3 6 5 2 2" xfId="4219" xr:uid="{00000000-0005-0000-0000-00006D100000}"/>
    <cellStyle name="0_6134_BUDGET_27Jan09 3 6 5 3" xfId="4220" xr:uid="{00000000-0005-0000-0000-00006E100000}"/>
    <cellStyle name="0_6134_BUDGET_27Jan09 3 6 5 3 2" xfId="4221" xr:uid="{00000000-0005-0000-0000-00006F100000}"/>
    <cellStyle name="0_6134_BUDGET_27Jan09 3 6 5 4" xfId="4222" xr:uid="{00000000-0005-0000-0000-000070100000}"/>
    <cellStyle name="0_6134_BUDGET_27Jan09 3 6 6" xfId="4223" xr:uid="{00000000-0005-0000-0000-000071100000}"/>
    <cellStyle name="0_6134_BUDGET_27Jan09 3 6 6 2" xfId="4224" xr:uid="{00000000-0005-0000-0000-000072100000}"/>
    <cellStyle name="0_6134_BUDGET_27Jan09 3 6 7" xfId="4225" xr:uid="{00000000-0005-0000-0000-000073100000}"/>
    <cellStyle name="0_6134_BUDGET_27Jan09 3 6 7 2" xfId="4226" xr:uid="{00000000-0005-0000-0000-000074100000}"/>
    <cellStyle name="0_6134_BUDGET_27Jan09 3 6 8" xfId="4227" xr:uid="{00000000-0005-0000-0000-000075100000}"/>
    <cellStyle name="0_6134_BUDGET_27Jan09 3 7" xfId="4228" xr:uid="{00000000-0005-0000-0000-000076100000}"/>
    <cellStyle name="0_6134_BUDGET_27Jan09 3 7 2" xfId="4229" xr:uid="{00000000-0005-0000-0000-000077100000}"/>
    <cellStyle name="0_6134_BUDGET_27Jan09 3 7 2 2" xfId="4230" xr:uid="{00000000-0005-0000-0000-000078100000}"/>
    <cellStyle name="0_6134_BUDGET_27Jan09 3 7 2 2 2" xfId="4231" xr:uid="{00000000-0005-0000-0000-000079100000}"/>
    <cellStyle name="0_6134_BUDGET_27Jan09 3 7 2 3" xfId="4232" xr:uid="{00000000-0005-0000-0000-00007A100000}"/>
    <cellStyle name="0_6134_BUDGET_27Jan09 3 7 2 3 2" xfId="4233" xr:uid="{00000000-0005-0000-0000-00007B100000}"/>
    <cellStyle name="0_6134_BUDGET_27Jan09 3 7 2 4" xfId="4234" xr:uid="{00000000-0005-0000-0000-00007C100000}"/>
    <cellStyle name="0_6134_BUDGET_27Jan09 3 7 3" xfId="4235" xr:uid="{00000000-0005-0000-0000-00007D100000}"/>
    <cellStyle name="0_6134_BUDGET_27Jan09 3 7 3 2" xfId="4236" xr:uid="{00000000-0005-0000-0000-00007E100000}"/>
    <cellStyle name="0_6134_BUDGET_27Jan09 3 7 3 2 2" xfId="4237" xr:uid="{00000000-0005-0000-0000-00007F100000}"/>
    <cellStyle name="0_6134_BUDGET_27Jan09 3 7 3 3" xfId="4238" xr:uid="{00000000-0005-0000-0000-000080100000}"/>
    <cellStyle name="0_6134_BUDGET_27Jan09 3 7 3 3 2" xfId="4239" xr:uid="{00000000-0005-0000-0000-000081100000}"/>
    <cellStyle name="0_6134_BUDGET_27Jan09 3 7 3 4" xfId="4240" xr:uid="{00000000-0005-0000-0000-000082100000}"/>
    <cellStyle name="0_6134_BUDGET_27Jan09 3 7 4" xfId="4241" xr:uid="{00000000-0005-0000-0000-000083100000}"/>
    <cellStyle name="0_6134_BUDGET_27Jan09 3 7 4 2" xfId="4242" xr:uid="{00000000-0005-0000-0000-000084100000}"/>
    <cellStyle name="0_6134_BUDGET_27Jan09 3 7 5" xfId="4243" xr:uid="{00000000-0005-0000-0000-000085100000}"/>
    <cellStyle name="0_6134_BUDGET_27Jan09 3 7 5 2" xfId="4244" xr:uid="{00000000-0005-0000-0000-000086100000}"/>
    <cellStyle name="0_6134_BUDGET_27Jan09 3 7 6" xfId="4245" xr:uid="{00000000-0005-0000-0000-000087100000}"/>
    <cellStyle name="0_6134_BUDGET_27Jan09 3 8" xfId="4246" xr:uid="{00000000-0005-0000-0000-000088100000}"/>
    <cellStyle name="0_6134_BUDGET_27Jan09 3 8 2" xfId="4247" xr:uid="{00000000-0005-0000-0000-000089100000}"/>
    <cellStyle name="0_6134_BUDGET_27Jan09 3 8 2 2" xfId="4248" xr:uid="{00000000-0005-0000-0000-00008A100000}"/>
    <cellStyle name="0_6134_BUDGET_27Jan09 3 8 3" xfId="4249" xr:uid="{00000000-0005-0000-0000-00008B100000}"/>
    <cellStyle name="0_6134_BUDGET_27Jan09 3 8 3 2" xfId="4250" xr:uid="{00000000-0005-0000-0000-00008C100000}"/>
    <cellStyle name="0_6134_BUDGET_27Jan09 3 8 4" xfId="4251" xr:uid="{00000000-0005-0000-0000-00008D100000}"/>
    <cellStyle name="0_6134_BUDGET_27Jan09 3 9" xfId="4252" xr:uid="{00000000-0005-0000-0000-00008E100000}"/>
    <cellStyle name="0_6134_BUDGET_27Jan09 3 9 2" xfId="4253" xr:uid="{00000000-0005-0000-0000-00008F100000}"/>
    <cellStyle name="0_6134_BUDGET_27Jan09 3 9 2 2" xfId="4254" xr:uid="{00000000-0005-0000-0000-000090100000}"/>
    <cellStyle name="0_6134_BUDGET_27Jan09 3 9 3" xfId="4255" xr:uid="{00000000-0005-0000-0000-000091100000}"/>
    <cellStyle name="0_6134_BUDGET_27Jan09 3 9 3 2" xfId="4256" xr:uid="{00000000-0005-0000-0000-000092100000}"/>
    <cellStyle name="0_6134_BUDGET_27Jan09 3 9 4" xfId="4257" xr:uid="{00000000-0005-0000-0000-000093100000}"/>
    <cellStyle name="0_6134_BUDGET_27Jan09 4" xfId="4258" xr:uid="{00000000-0005-0000-0000-000094100000}"/>
    <cellStyle name="0_6134_BUDGET_27Jan09 4 10" xfId="4259" xr:uid="{00000000-0005-0000-0000-000095100000}"/>
    <cellStyle name="0_6134_BUDGET_27Jan09 4 10 2" xfId="4260" xr:uid="{00000000-0005-0000-0000-000096100000}"/>
    <cellStyle name="0_6134_BUDGET_27Jan09 4 10 2 2" xfId="4261" xr:uid="{00000000-0005-0000-0000-000097100000}"/>
    <cellStyle name="0_6134_BUDGET_27Jan09 4 10 3" xfId="4262" xr:uid="{00000000-0005-0000-0000-000098100000}"/>
    <cellStyle name="0_6134_BUDGET_27Jan09 4 10 3 2" xfId="4263" xr:uid="{00000000-0005-0000-0000-000099100000}"/>
    <cellStyle name="0_6134_BUDGET_27Jan09 4 10 4" xfId="4264" xr:uid="{00000000-0005-0000-0000-00009A100000}"/>
    <cellStyle name="0_6134_BUDGET_27Jan09 4 11" xfId="4265" xr:uid="{00000000-0005-0000-0000-00009B100000}"/>
    <cellStyle name="0_6134_BUDGET_27Jan09 4 11 2" xfId="4266" xr:uid="{00000000-0005-0000-0000-00009C100000}"/>
    <cellStyle name="0_6134_BUDGET_27Jan09 4 12" xfId="4267" xr:uid="{00000000-0005-0000-0000-00009D100000}"/>
    <cellStyle name="0_6134_BUDGET_27Jan09 4 12 2" xfId="4268" xr:uid="{00000000-0005-0000-0000-00009E100000}"/>
    <cellStyle name="0_6134_BUDGET_27Jan09 4 13" xfId="4269" xr:uid="{00000000-0005-0000-0000-00009F100000}"/>
    <cellStyle name="0_6134_BUDGET_27Jan09 4 2" xfId="4270" xr:uid="{00000000-0005-0000-0000-0000A0100000}"/>
    <cellStyle name="0_6134_BUDGET_27Jan09 4 2 2" xfId="4271" xr:uid="{00000000-0005-0000-0000-0000A1100000}"/>
    <cellStyle name="0_6134_BUDGET_27Jan09 4 2 2 2" xfId="4272" xr:uid="{00000000-0005-0000-0000-0000A2100000}"/>
    <cellStyle name="0_6134_BUDGET_27Jan09 4 2 2 2 2" xfId="4273" xr:uid="{00000000-0005-0000-0000-0000A3100000}"/>
    <cellStyle name="0_6134_BUDGET_27Jan09 4 2 2 2 2 2" xfId="4274" xr:uid="{00000000-0005-0000-0000-0000A4100000}"/>
    <cellStyle name="0_6134_BUDGET_27Jan09 4 2 2 2 3" xfId="4275" xr:uid="{00000000-0005-0000-0000-0000A5100000}"/>
    <cellStyle name="0_6134_BUDGET_27Jan09 4 2 2 2 3 2" xfId="4276" xr:uid="{00000000-0005-0000-0000-0000A6100000}"/>
    <cellStyle name="0_6134_BUDGET_27Jan09 4 2 2 2 4" xfId="4277" xr:uid="{00000000-0005-0000-0000-0000A7100000}"/>
    <cellStyle name="0_6134_BUDGET_27Jan09 4 2 2 3" xfId="4278" xr:uid="{00000000-0005-0000-0000-0000A8100000}"/>
    <cellStyle name="0_6134_BUDGET_27Jan09 4 2 2 3 2" xfId="4279" xr:uid="{00000000-0005-0000-0000-0000A9100000}"/>
    <cellStyle name="0_6134_BUDGET_27Jan09 4 2 2 3 2 2" xfId="4280" xr:uid="{00000000-0005-0000-0000-0000AA100000}"/>
    <cellStyle name="0_6134_BUDGET_27Jan09 4 2 2 3 3" xfId="4281" xr:uid="{00000000-0005-0000-0000-0000AB100000}"/>
    <cellStyle name="0_6134_BUDGET_27Jan09 4 2 2 3 3 2" xfId="4282" xr:uid="{00000000-0005-0000-0000-0000AC100000}"/>
    <cellStyle name="0_6134_BUDGET_27Jan09 4 2 2 3 4" xfId="4283" xr:uid="{00000000-0005-0000-0000-0000AD100000}"/>
    <cellStyle name="0_6134_BUDGET_27Jan09 4 2 2 4" xfId="4284" xr:uid="{00000000-0005-0000-0000-0000AE100000}"/>
    <cellStyle name="0_6134_BUDGET_27Jan09 4 2 2 4 2" xfId="4285" xr:uid="{00000000-0005-0000-0000-0000AF100000}"/>
    <cellStyle name="0_6134_BUDGET_27Jan09 4 2 2 5" xfId="4286" xr:uid="{00000000-0005-0000-0000-0000B0100000}"/>
    <cellStyle name="0_6134_BUDGET_27Jan09 4 2 2 5 2" xfId="4287" xr:uid="{00000000-0005-0000-0000-0000B1100000}"/>
    <cellStyle name="0_6134_BUDGET_27Jan09 4 2 2 6" xfId="4288" xr:uid="{00000000-0005-0000-0000-0000B2100000}"/>
    <cellStyle name="0_6134_BUDGET_27Jan09 4 2 3" xfId="4289" xr:uid="{00000000-0005-0000-0000-0000B3100000}"/>
    <cellStyle name="0_6134_BUDGET_27Jan09 4 2 3 2" xfId="4290" xr:uid="{00000000-0005-0000-0000-0000B4100000}"/>
    <cellStyle name="0_6134_BUDGET_27Jan09 4 2 3 2 2" xfId="4291" xr:uid="{00000000-0005-0000-0000-0000B5100000}"/>
    <cellStyle name="0_6134_BUDGET_27Jan09 4 2 3 3" xfId="4292" xr:uid="{00000000-0005-0000-0000-0000B6100000}"/>
    <cellStyle name="0_6134_BUDGET_27Jan09 4 2 3 3 2" xfId="4293" xr:uid="{00000000-0005-0000-0000-0000B7100000}"/>
    <cellStyle name="0_6134_BUDGET_27Jan09 4 2 3 4" xfId="4294" xr:uid="{00000000-0005-0000-0000-0000B8100000}"/>
    <cellStyle name="0_6134_BUDGET_27Jan09 4 2 4" xfId="4295" xr:uid="{00000000-0005-0000-0000-0000B9100000}"/>
    <cellStyle name="0_6134_BUDGET_27Jan09 4 2 4 2" xfId="4296" xr:uid="{00000000-0005-0000-0000-0000BA100000}"/>
    <cellStyle name="0_6134_BUDGET_27Jan09 4 2 4 2 2" xfId="4297" xr:uid="{00000000-0005-0000-0000-0000BB100000}"/>
    <cellStyle name="0_6134_BUDGET_27Jan09 4 2 4 3" xfId="4298" xr:uid="{00000000-0005-0000-0000-0000BC100000}"/>
    <cellStyle name="0_6134_BUDGET_27Jan09 4 2 4 3 2" xfId="4299" xr:uid="{00000000-0005-0000-0000-0000BD100000}"/>
    <cellStyle name="0_6134_BUDGET_27Jan09 4 2 4 4" xfId="4300" xr:uid="{00000000-0005-0000-0000-0000BE100000}"/>
    <cellStyle name="0_6134_BUDGET_27Jan09 4 2 5" xfId="4301" xr:uid="{00000000-0005-0000-0000-0000BF100000}"/>
    <cellStyle name="0_6134_BUDGET_27Jan09 4 2 5 2" xfId="4302" xr:uid="{00000000-0005-0000-0000-0000C0100000}"/>
    <cellStyle name="0_6134_BUDGET_27Jan09 4 2 5 2 2" xfId="4303" xr:uid="{00000000-0005-0000-0000-0000C1100000}"/>
    <cellStyle name="0_6134_BUDGET_27Jan09 4 2 5 3" xfId="4304" xr:uid="{00000000-0005-0000-0000-0000C2100000}"/>
    <cellStyle name="0_6134_BUDGET_27Jan09 4 2 5 3 2" xfId="4305" xr:uid="{00000000-0005-0000-0000-0000C3100000}"/>
    <cellStyle name="0_6134_BUDGET_27Jan09 4 2 5 4" xfId="4306" xr:uid="{00000000-0005-0000-0000-0000C4100000}"/>
    <cellStyle name="0_6134_BUDGET_27Jan09 4 2 6" xfId="4307" xr:uid="{00000000-0005-0000-0000-0000C5100000}"/>
    <cellStyle name="0_6134_BUDGET_27Jan09 4 2 6 2" xfId="4308" xr:uid="{00000000-0005-0000-0000-0000C6100000}"/>
    <cellStyle name="0_6134_BUDGET_27Jan09 4 2 7" xfId="4309" xr:uid="{00000000-0005-0000-0000-0000C7100000}"/>
    <cellStyle name="0_6134_BUDGET_27Jan09 4 2 7 2" xfId="4310" xr:uid="{00000000-0005-0000-0000-0000C8100000}"/>
    <cellStyle name="0_6134_BUDGET_27Jan09 4 2 8" xfId="4311" xr:uid="{00000000-0005-0000-0000-0000C9100000}"/>
    <cellStyle name="0_6134_BUDGET_27Jan09 4 3" xfId="4312" xr:uid="{00000000-0005-0000-0000-0000CA100000}"/>
    <cellStyle name="0_6134_BUDGET_27Jan09 4 3 2" xfId="4313" xr:uid="{00000000-0005-0000-0000-0000CB100000}"/>
    <cellStyle name="0_6134_BUDGET_27Jan09 4 3 2 2" xfId="4314" xr:uid="{00000000-0005-0000-0000-0000CC100000}"/>
    <cellStyle name="0_6134_BUDGET_27Jan09 4 3 2 2 2" xfId="4315" xr:uid="{00000000-0005-0000-0000-0000CD100000}"/>
    <cellStyle name="0_6134_BUDGET_27Jan09 4 3 2 2 2 2" xfId="4316" xr:uid="{00000000-0005-0000-0000-0000CE100000}"/>
    <cellStyle name="0_6134_BUDGET_27Jan09 4 3 2 2 3" xfId="4317" xr:uid="{00000000-0005-0000-0000-0000CF100000}"/>
    <cellStyle name="0_6134_BUDGET_27Jan09 4 3 2 2 3 2" xfId="4318" xr:uid="{00000000-0005-0000-0000-0000D0100000}"/>
    <cellStyle name="0_6134_BUDGET_27Jan09 4 3 2 2 4" xfId="4319" xr:uid="{00000000-0005-0000-0000-0000D1100000}"/>
    <cellStyle name="0_6134_BUDGET_27Jan09 4 3 2 3" xfId="4320" xr:uid="{00000000-0005-0000-0000-0000D2100000}"/>
    <cellStyle name="0_6134_BUDGET_27Jan09 4 3 2 3 2" xfId="4321" xr:uid="{00000000-0005-0000-0000-0000D3100000}"/>
    <cellStyle name="0_6134_BUDGET_27Jan09 4 3 2 3 2 2" xfId="4322" xr:uid="{00000000-0005-0000-0000-0000D4100000}"/>
    <cellStyle name="0_6134_BUDGET_27Jan09 4 3 2 3 3" xfId="4323" xr:uid="{00000000-0005-0000-0000-0000D5100000}"/>
    <cellStyle name="0_6134_BUDGET_27Jan09 4 3 2 3 3 2" xfId="4324" xr:uid="{00000000-0005-0000-0000-0000D6100000}"/>
    <cellStyle name="0_6134_BUDGET_27Jan09 4 3 2 3 4" xfId="4325" xr:uid="{00000000-0005-0000-0000-0000D7100000}"/>
    <cellStyle name="0_6134_BUDGET_27Jan09 4 3 2 4" xfId="4326" xr:uid="{00000000-0005-0000-0000-0000D8100000}"/>
    <cellStyle name="0_6134_BUDGET_27Jan09 4 3 2 4 2" xfId="4327" xr:uid="{00000000-0005-0000-0000-0000D9100000}"/>
    <cellStyle name="0_6134_BUDGET_27Jan09 4 3 2 5" xfId="4328" xr:uid="{00000000-0005-0000-0000-0000DA100000}"/>
    <cellStyle name="0_6134_BUDGET_27Jan09 4 3 2 5 2" xfId="4329" xr:uid="{00000000-0005-0000-0000-0000DB100000}"/>
    <cellStyle name="0_6134_BUDGET_27Jan09 4 3 2 6" xfId="4330" xr:uid="{00000000-0005-0000-0000-0000DC100000}"/>
    <cellStyle name="0_6134_BUDGET_27Jan09 4 3 3" xfId="4331" xr:uid="{00000000-0005-0000-0000-0000DD100000}"/>
    <cellStyle name="0_6134_BUDGET_27Jan09 4 3 3 2" xfId="4332" xr:uid="{00000000-0005-0000-0000-0000DE100000}"/>
    <cellStyle name="0_6134_BUDGET_27Jan09 4 3 3 2 2" xfId="4333" xr:uid="{00000000-0005-0000-0000-0000DF100000}"/>
    <cellStyle name="0_6134_BUDGET_27Jan09 4 3 3 3" xfId="4334" xr:uid="{00000000-0005-0000-0000-0000E0100000}"/>
    <cellStyle name="0_6134_BUDGET_27Jan09 4 3 3 3 2" xfId="4335" xr:uid="{00000000-0005-0000-0000-0000E1100000}"/>
    <cellStyle name="0_6134_BUDGET_27Jan09 4 3 3 4" xfId="4336" xr:uid="{00000000-0005-0000-0000-0000E2100000}"/>
    <cellStyle name="0_6134_BUDGET_27Jan09 4 3 4" xfId="4337" xr:uid="{00000000-0005-0000-0000-0000E3100000}"/>
    <cellStyle name="0_6134_BUDGET_27Jan09 4 3 4 2" xfId="4338" xr:uid="{00000000-0005-0000-0000-0000E4100000}"/>
    <cellStyle name="0_6134_BUDGET_27Jan09 4 3 4 2 2" xfId="4339" xr:uid="{00000000-0005-0000-0000-0000E5100000}"/>
    <cellStyle name="0_6134_BUDGET_27Jan09 4 3 4 3" xfId="4340" xr:uid="{00000000-0005-0000-0000-0000E6100000}"/>
    <cellStyle name="0_6134_BUDGET_27Jan09 4 3 4 3 2" xfId="4341" xr:uid="{00000000-0005-0000-0000-0000E7100000}"/>
    <cellStyle name="0_6134_BUDGET_27Jan09 4 3 4 4" xfId="4342" xr:uid="{00000000-0005-0000-0000-0000E8100000}"/>
    <cellStyle name="0_6134_BUDGET_27Jan09 4 3 5" xfId="4343" xr:uid="{00000000-0005-0000-0000-0000E9100000}"/>
    <cellStyle name="0_6134_BUDGET_27Jan09 4 3 5 2" xfId="4344" xr:uid="{00000000-0005-0000-0000-0000EA100000}"/>
    <cellStyle name="0_6134_BUDGET_27Jan09 4 3 5 2 2" xfId="4345" xr:uid="{00000000-0005-0000-0000-0000EB100000}"/>
    <cellStyle name="0_6134_BUDGET_27Jan09 4 3 5 3" xfId="4346" xr:uid="{00000000-0005-0000-0000-0000EC100000}"/>
    <cellStyle name="0_6134_BUDGET_27Jan09 4 3 5 3 2" xfId="4347" xr:uid="{00000000-0005-0000-0000-0000ED100000}"/>
    <cellStyle name="0_6134_BUDGET_27Jan09 4 3 5 4" xfId="4348" xr:uid="{00000000-0005-0000-0000-0000EE100000}"/>
    <cellStyle name="0_6134_BUDGET_27Jan09 4 3 6" xfId="4349" xr:uid="{00000000-0005-0000-0000-0000EF100000}"/>
    <cellStyle name="0_6134_BUDGET_27Jan09 4 3 6 2" xfId="4350" xr:uid="{00000000-0005-0000-0000-0000F0100000}"/>
    <cellStyle name="0_6134_BUDGET_27Jan09 4 3 7" xfId="4351" xr:uid="{00000000-0005-0000-0000-0000F1100000}"/>
    <cellStyle name="0_6134_BUDGET_27Jan09 4 3 7 2" xfId="4352" xr:uid="{00000000-0005-0000-0000-0000F2100000}"/>
    <cellStyle name="0_6134_BUDGET_27Jan09 4 3 8" xfId="4353" xr:uid="{00000000-0005-0000-0000-0000F3100000}"/>
    <cellStyle name="0_6134_BUDGET_27Jan09 4 4" xfId="4354" xr:uid="{00000000-0005-0000-0000-0000F4100000}"/>
    <cellStyle name="0_6134_BUDGET_27Jan09 4 4 2" xfId="4355" xr:uid="{00000000-0005-0000-0000-0000F5100000}"/>
    <cellStyle name="0_6134_BUDGET_27Jan09 4 4 2 2" xfId="4356" xr:uid="{00000000-0005-0000-0000-0000F6100000}"/>
    <cellStyle name="0_6134_BUDGET_27Jan09 4 4 2 2 2" xfId="4357" xr:uid="{00000000-0005-0000-0000-0000F7100000}"/>
    <cellStyle name="0_6134_BUDGET_27Jan09 4 4 2 2 2 2" xfId="4358" xr:uid="{00000000-0005-0000-0000-0000F8100000}"/>
    <cellStyle name="0_6134_BUDGET_27Jan09 4 4 2 2 3" xfId="4359" xr:uid="{00000000-0005-0000-0000-0000F9100000}"/>
    <cellStyle name="0_6134_BUDGET_27Jan09 4 4 2 2 3 2" xfId="4360" xr:uid="{00000000-0005-0000-0000-0000FA100000}"/>
    <cellStyle name="0_6134_BUDGET_27Jan09 4 4 2 2 4" xfId="4361" xr:uid="{00000000-0005-0000-0000-0000FB100000}"/>
    <cellStyle name="0_6134_BUDGET_27Jan09 4 4 2 3" xfId="4362" xr:uid="{00000000-0005-0000-0000-0000FC100000}"/>
    <cellStyle name="0_6134_BUDGET_27Jan09 4 4 2 3 2" xfId="4363" xr:uid="{00000000-0005-0000-0000-0000FD100000}"/>
    <cellStyle name="0_6134_BUDGET_27Jan09 4 4 2 3 2 2" xfId="4364" xr:uid="{00000000-0005-0000-0000-0000FE100000}"/>
    <cellStyle name="0_6134_BUDGET_27Jan09 4 4 2 3 3" xfId="4365" xr:uid="{00000000-0005-0000-0000-0000FF100000}"/>
    <cellStyle name="0_6134_BUDGET_27Jan09 4 4 2 3 3 2" xfId="4366" xr:uid="{00000000-0005-0000-0000-000000110000}"/>
    <cellStyle name="0_6134_BUDGET_27Jan09 4 4 2 3 4" xfId="4367" xr:uid="{00000000-0005-0000-0000-000001110000}"/>
    <cellStyle name="0_6134_BUDGET_27Jan09 4 4 2 4" xfId="4368" xr:uid="{00000000-0005-0000-0000-000002110000}"/>
    <cellStyle name="0_6134_BUDGET_27Jan09 4 4 2 4 2" xfId="4369" xr:uid="{00000000-0005-0000-0000-000003110000}"/>
    <cellStyle name="0_6134_BUDGET_27Jan09 4 4 2 5" xfId="4370" xr:uid="{00000000-0005-0000-0000-000004110000}"/>
    <cellStyle name="0_6134_BUDGET_27Jan09 4 4 2 5 2" xfId="4371" xr:uid="{00000000-0005-0000-0000-000005110000}"/>
    <cellStyle name="0_6134_BUDGET_27Jan09 4 4 2 6" xfId="4372" xr:uid="{00000000-0005-0000-0000-000006110000}"/>
    <cellStyle name="0_6134_BUDGET_27Jan09 4 4 3" xfId="4373" xr:uid="{00000000-0005-0000-0000-000007110000}"/>
    <cellStyle name="0_6134_BUDGET_27Jan09 4 4 3 2" xfId="4374" xr:uid="{00000000-0005-0000-0000-000008110000}"/>
    <cellStyle name="0_6134_BUDGET_27Jan09 4 4 3 2 2" xfId="4375" xr:uid="{00000000-0005-0000-0000-000009110000}"/>
    <cellStyle name="0_6134_BUDGET_27Jan09 4 4 3 3" xfId="4376" xr:uid="{00000000-0005-0000-0000-00000A110000}"/>
    <cellStyle name="0_6134_BUDGET_27Jan09 4 4 3 3 2" xfId="4377" xr:uid="{00000000-0005-0000-0000-00000B110000}"/>
    <cellStyle name="0_6134_BUDGET_27Jan09 4 4 3 4" xfId="4378" xr:uid="{00000000-0005-0000-0000-00000C110000}"/>
    <cellStyle name="0_6134_BUDGET_27Jan09 4 4 4" xfId="4379" xr:uid="{00000000-0005-0000-0000-00000D110000}"/>
    <cellStyle name="0_6134_BUDGET_27Jan09 4 4 4 2" xfId="4380" xr:uid="{00000000-0005-0000-0000-00000E110000}"/>
    <cellStyle name="0_6134_BUDGET_27Jan09 4 4 4 2 2" xfId="4381" xr:uid="{00000000-0005-0000-0000-00000F110000}"/>
    <cellStyle name="0_6134_BUDGET_27Jan09 4 4 4 3" xfId="4382" xr:uid="{00000000-0005-0000-0000-000010110000}"/>
    <cellStyle name="0_6134_BUDGET_27Jan09 4 4 4 3 2" xfId="4383" xr:uid="{00000000-0005-0000-0000-000011110000}"/>
    <cellStyle name="0_6134_BUDGET_27Jan09 4 4 4 4" xfId="4384" xr:uid="{00000000-0005-0000-0000-000012110000}"/>
    <cellStyle name="0_6134_BUDGET_27Jan09 4 4 5" xfId="4385" xr:uid="{00000000-0005-0000-0000-000013110000}"/>
    <cellStyle name="0_6134_BUDGET_27Jan09 4 4 5 2" xfId="4386" xr:uid="{00000000-0005-0000-0000-000014110000}"/>
    <cellStyle name="0_6134_BUDGET_27Jan09 4 4 5 2 2" xfId="4387" xr:uid="{00000000-0005-0000-0000-000015110000}"/>
    <cellStyle name="0_6134_BUDGET_27Jan09 4 4 5 3" xfId="4388" xr:uid="{00000000-0005-0000-0000-000016110000}"/>
    <cellStyle name="0_6134_BUDGET_27Jan09 4 4 5 3 2" xfId="4389" xr:uid="{00000000-0005-0000-0000-000017110000}"/>
    <cellStyle name="0_6134_BUDGET_27Jan09 4 4 5 4" xfId="4390" xr:uid="{00000000-0005-0000-0000-000018110000}"/>
    <cellStyle name="0_6134_BUDGET_27Jan09 4 4 6" xfId="4391" xr:uid="{00000000-0005-0000-0000-000019110000}"/>
    <cellStyle name="0_6134_BUDGET_27Jan09 4 4 6 2" xfId="4392" xr:uid="{00000000-0005-0000-0000-00001A110000}"/>
    <cellStyle name="0_6134_BUDGET_27Jan09 4 4 7" xfId="4393" xr:uid="{00000000-0005-0000-0000-00001B110000}"/>
    <cellStyle name="0_6134_BUDGET_27Jan09 4 4 7 2" xfId="4394" xr:uid="{00000000-0005-0000-0000-00001C110000}"/>
    <cellStyle name="0_6134_BUDGET_27Jan09 4 4 8" xfId="4395" xr:uid="{00000000-0005-0000-0000-00001D110000}"/>
    <cellStyle name="0_6134_BUDGET_27Jan09 4 5" xfId="4396" xr:uid="{00000000-0005-0000-0000-00001E110000}"/>
    <cellStyle name="0_6134_BUDGET_27Jan09 4 5 2" xfId="4397" xr:uid="{00000000-0005-0000-0000-00001F110000}"/>
    <cellStyle name="0_6134_BUDGET_27Jan09 4 5 2 2" xfId="4398" xr:uid="{00000000-0005-0000-0000-000020110000}"/>
    <cellStyle name="0_6134_BUDGET_27Jan09 4 5 2 2 2" xfId="4399" xr:uid="{00000000-0005-0000-0000-000021110000}"/>
    <cellStyle name="0_6134_BUDGET_27Jan09 4 5 2 2 2 2" xfId="4400" xr:uid="{00000000-0005-0000-0000-000022110000}"/>
    <cellStyle name="0_6134_BUDGET_27Jan09 4 5 2 2 3" xfId="4401" xr:uid="{00000000-0005-0000-0000-000023110000}"/>
    <cellStyle name="0_6134_BUDGET_27Jan09 4 5 2 2 3 2" xfId="4402" xr:uid="{00000000-0005-0000-0000-000024110000}"/>
    <cellStyle name="0_6134_BUDGET_27Jan09 4 5 2 2 4" xfId="4403" xr:uid="{00000000-0005-0000-0000-000025110000}"/>
    <cellStyle name="0_6134_BUDGET_27Jan09 4 5 2 3" xfId="4404" xr:uid="{00000000-0005-0000-0000-000026110000}"/>
    <cellStyle name="0_6134_BUDGET_27Jan09 4 5 2 3 2" xfId="4405" xr:uid="{00000000-0005-0000-0000-000027110000}"/>
    <cellStyle name="0_6134_BUDGET_27Jan09 4 5 2 3 2 2" xfId="4406" xr:uid="{00000000-0005-0000-0000-000028110000}"/>
    <cellStyle name="0_6134_BUDGET_27Jan09 4 5 2 3 3" xfId="4407" xr:uid="{00000000-0005-0000-0000-000029110000}"/>
    <cellStyle name="0_6134_BUDGET_27Jan09 4 5 2 3 3 2" xfId="4408" xr:uid="{00000000-0005-0000-0000-00002A110000}"/>
    <cellStyle name="0_6134_BUDGET_27Jan09 4 5 2 3 4" xfId="4409" xr:uid="{00000000-0005-0000-0000-00002B110000}"/>
    <cellStyle name="0_6134_BUDGET_27Jan09 4 5 2 4" xfId="4410" xr:uid="{00000000-0005-0000-0000-00002C110000}"/>
    <cellStyle name="0_6134_BUDGET_27Jan09 4 5 2 4 2" xfId="4411" xr:uid="{00000000-0005-0000-0000-00002D110000}"/>
    <cellStyle name="0_6134_BUDGET_27Jan09 4 5 2 5" xfId="4412" xr:uid="{00000000-0005-0000-0000-00002E110000}"/>
    <cellStyle name="0_6134_BUDGET_27Jan09 4 5 2 5 2" xfId="4413" xr:uid="{00000000-0005-0000-0000-00002F110000}"/>
    <cellStyle name="0_6134_BUDGET_27Jan09 4 5 2 6" xfId="4414" xr:uid="{00000000-0005-0000-0000-000030110000}"/>
    <cellStyle name="0_6134_BUDGET_27Jan09 4 5 3" xfId="4415" xr:uid="{00000000-0005-0000-0000-000031110000}"/>
    <cellStyle name="0_6134_BUDGET_27Jan09 4 5 3 2" xfId="4416" xr:uid="{00000000-0005-0000-0000-000032110000}"/>
    <cellStyle name="0_6134_BUDGET_27Jan09 4 5 3 2 2" xfId="4417" xr:uid="{00000000-0005-0000-0000-000033110000}"/>
    <cellStyle name="0_6134_BUDGET_27Jan09 4 5 3 3" xfId="4418" xr:uid="{00000000-0005-0000-0000-000034110000}"/>
    <cellStyle name="0_6134_BUDGET_27Jan09 4 5 3 3 2" xfId="4419" xr:uid="{00000000-0005-0000-0000-000035110000}"/>
    <cellStyle name="0_6134_BUDGET_27Jan09 4 5 3 4" xfId="4420" xr:uid="{00000000-0005-0000-0000-000036110000}"/>
    <cellStyle name="0_6134_BUDGET_27Jan09 4 5 4" xfId="4421" xr:uid="{00000000-0005-0000-0000-000037110000}"/>
    <cellStyle name="0_6134_BUDGET_27Jan09 4 5 4 2" xfId="4422" xr:uid="{00000000-0005-0000-0000-000038110000}"/>
    <cellStyle name="0_6134_BUDGET_27Jan09 4 5 4 2 2" xfId="4423" xr:uid="{00000000-0005-0000-0000-000039110000}"/>
    <cellStyle name="0_6134_BUDGET_27Jan09 4 5 4 3" xfId="4424" xr:uid="{00000000-0005-0000-0000-00003A110000}"/>
    <cellStyle name="0_6134_BUDGET_27Jan09 4 5 4 3 2" xfId="4425" xr:uid="{00000000-0005-0000-0000-00003B110000}"/>
    <cellStyle name="0_6134_BUDGET_27Jan09 4 5 4 4" xfId="4426" xr:uid="{00000000-0005-0000-0000-00003C110000}"/>
    <cellStyle name="0_6134_BUDGET_27Jan09 4 5 5" xfId="4427" xr:uid="{00000000-0005-0000-0000-00003D110000}"/>
    <cellStyle name="0_6134_BUDGET_27Jan09 4 5 5 2" xfId="4428" xr:uid="{00000000-0005-0000-0000-00003E110000}"/>
    <cellStyle name="0_6134_BUDGET_27Jan09 4 5 5 2 2" xfId="4429" xr:uid="{00000000-0005-0000-0000-00003F110000}"/>
    <cellStyle name="0_6134_BUDGET_27Jan09 4 5 5 3" xfId="4430" xr:uid="{00000000-0005-0000-0000-000040110000}"/>
    <cellStyle name="0_6134_BUDGET_27Jan09 4 5 5 3 2" xfId="4431" xr:uid="{00000000-0005-0000-0000-000041110000}"/>
    <cellStyle name="0_6134_BUDGET_27Jan09 4 5 5 4" xfId="4432" xr:uid="{00000000-0005-0000-0000-000042110000}"/>
    <cellStyle name="0_6134_BUDGET_27Jan09 4 5 6" xfId="4433" xr:uid="{00000000-0005-0000-0000-000043110000}"/>
    <cellStyle name="0_6134_BUDGET_27Jan09 4 5 6 2" xfId="4434" xr:uid="{00000000-0005-0000-0000-000044110000}"/>
    <cellStyle name="0_6134_BUDGET_27Jan09 4 5 7" xfId="4435" xr:uid="{00000000-0005-0000-0000-000045110000}"/>
    <cellStyle name="0_6134_BUDGET_27Jan09 4 5 7 2" xfId="4436" xr:uid="{00000000-0005-0000-0000-000046110000}"/>
    <cellStyle name="0_6134_BUDGET_27Jan09 4 5 8" xfId="4437" xr:uid="{00000000-0005-0000-0000-000047110000}"/>
    <cellStyle name="0_6134_BUDGET_27Jan09 4 6" xfId="4438" xr:uid="{00000000-0005-0000-0000-000048110000}"/>
    <cellStyle name="0_6134_BUDGET_27Jan09 4 6 2" xfId="4439" xr:uid="{00000000-0005-0000-0000-000049110000}"/>
    <cellStyle name="0_6134_BUDGET_27Jan09 4 6 2 2" xfId="4440" xr:uid="{00000000-0005-0000-0000-00004A110000}"/>
    <cellStyle name="0_6134_BUDGET_27Jan09 4 6 2 2 2" xfId="4441" xr:uid="{00000000-0005-0000-0000-00004B110000}"/>
    <cellStyle name="0_6134_BUDGET_27Jan09 4 6 2 2 2 2" xfId="4442" xr:uid="{00000000-0005-0000-0000-00004C110000}"/>
    <cellStyle name="0_6134_BUDGET_27Jan09 4 6 2 2 3" xfId="4443" xr:uid="{00000000-0005-0000-0000-00004D110000}"/>
    <cellStyle name="0_6134_BUDGET_27Jan09 4 6 2 2 3 2" xfId="4444" xr:uid="{00000000-0005-0000-0000-00004E110000}"/>
    <cellStyle name="0_6134_BUDGET_27Jan09 4 6 2 2 4" xfId="4445" xr:uid="{00000000-0005-0000-0000-00004F110000}"/>
    <cellStyle name="0_6134_BUDGET_27Jan09 4 6 2 3" xfId="4446" xr:uid="{00000000-0005-0000-0000-000050110000}"/>
    <cellStyle name="0_6134_BUDGET_27Jan09 4 6 2 3 2" xfId="4447" xr:uid="{00000000-0005-0000-0000-000051110000}"/>
    <cellStyle name="0_6134_BUDGET_27Jan09 4 6 2 3 2 2" xfId="4448" xr:uid="{00000000-0005-0000-0000-000052110000}"/>
    <cellStyle name="0_6134_BUDGET_27Jan09 4 6 2 3 3" xfId="4449" xr:uid="{00000000-0005-0000-0000-000053110000}"/>
    <cellStyle name="0_6134_BUDGET_27Jan09 4 6 2 3 3 2" xfId="4450" xr:uid="{00000000-0005-0000-0000-000054110000}"/>
    <cellStyle name="0_6134_BUDGET_27Jan09 4 6 2 3 4" xfId="4451" xr:uid="{00000000-0005-0000-0000-000055110000}"/>
    <cellStyle name="0_6134_BUDGET_27Jan09 4 6 2 4" xfId="4452" xr:uid="{00000000-0005-0000-0000-000056110000}"/>
    <cellStyle name="0_6134_BUDGET_27Jan09 4 6 2 4 2" xfId="4453" xr:uid="{00000000-0005-0000-0000-000057110000}"/>
    <cellStyle name="0_6134_BUDGET_27Jan09 4 6 2 5" xfId="4454" xr:uid="{00000000-0005-0000-0000-000058110000}"/>
    <cellStyle name="0_6134_BUDGET_27Jan09 4 6 2 5 2" xfId="4455" xr:uid="{00000000-0005-0000-0000-000059110000}"/>
    <cellStyle name="0_6134_BUDGET_27Jan09 4 6 2 6" xfId="4456" xr:uid="{00000000-0005-0000-0000-00005A110000}"/>
    <cellStyle name="0_6134_BUDGET_27Jan09 4 6 3" xfId="4457" xr:uid="{00000000-0005-0000-0000-00005B110000}"/>
    <cellStyle name="0_6134_BUDGET_27Jan09 4 6 3 2" xfId="4458" xr:uid="{00000000-0005-0000-0000-00005C110000}"/>
    <cellStyle name="0_6134_BUDGET_27Jan09 4 6 3 2 2" xfId="4459" xr:uid="{00000000-0005-0000-0000-00005D110000}"/>
    <cellStyle name="0_6134_BUDGET_27Jan09 4 6 3 3" xfId="4460" xr:uid="{00000000-0005-0000-0000-00005E110000}"/>
    <cellStyle name="0_6134_BUDGET_27Jan09 4 6 3 3 2" xfId="4461" xr:uid="{00000000-0005-0000-0000-00005F110000}"/>
    <cellStyle name="0_6134_BUDGET_27Jan09 4 6 3 4" xfId="4462" xr:uid="{00000000-0005-0000-0000-000060110000}"/>
    <cellStyle name="0_6134_BUDGET_27Jan09 4 6 4" xfId="4463" xr:uid="{00000000-0005-0000-0000-000061110000}"/>
    <cellStyle name="0_6134_BUDGET_27Jan09 4 6 4 2" xfId="4464" xr:uid="{00000000-0005-0000-0000-000062110000}"/>
    <cellStyle name="0_6134_BUDGET_27Jan09 4 6 4 2 2" xfId="4465" xr:uid="{00000000-0005-0000-0000-000063110000}"/>
    <cellStyle name="0_6134_BUDGET_27Jan09 4 6 4 3" xfId="4466" xr:uid="{00000000-0005-0000-0000-000064110000}"/>
    <cellStyle name="0_6134_BUDGET_27Jan09 4 6 4 3 2" xfId="4467" xr:uid="{00000000-0005-0000-0000-000065110000}"/>
    <cellStyle name="0_6134_BUDGET_27Jan09 4 6 4 4" xfId="4468" xr:uid="{00000000-0005-0000-0000-000066110000}"/>
    <cellStyle name="0_6134_BUDGET_27Jan09 4 6 5" xfId="4469" xr:uid="{00000000-0005-0000-0000-000067110000}"/>
    <cellStyle name="0_6134_BUDGET_27Jan09 4 6 5 2" xfId="4470" xr:uid="{00000000-0005-0000-0000-000068110000}"/>
    <cellStyle name="0_6134_BUDGET_27Jan09 4 6 5 2 2" xfId="4471" xr:uid="{00000000-0005-0000-0000-000069110000}"/>
    <cellStyle name="0_6134_BUDGET_27Jan09 4 6 5 3" xfId="4472" xr:uid="{00000000-0005-0000-0000-00006A110000}"/>
    <cellStyle name="0_6134_BUDGET_27Jan09 4 6 5 3 2" xfId="4473" xr:uid="{00000000-0005-0000-0000-00006B110000}"/>
    <cellStyle name="0_6134_BUDGET_27Jan09 4 6 5 4" xfId="4474" xr:uid="{00000000-0005-0000-0000-00006C110000}"/>
    <cellStyle name="0_6134_BUDGET_27Jan09 4 6 6" xfId="4475" xr:uid="{00000000-0005-0000-0000-00006D110000}"/>
    <cellStyle name="0_6134_BUDGET_27Jan09 4 6 6 2" xfId="4476" xr:uid="{00000000-0005-0000-0000-00006E110000}"/>
    <cellStyle name="0_6134_BUDGET_27Jan09 4 6 7" xfId="4477" xr:uid="{00000000-0005-0000-0000-00006F110000}"/>
    <cellStyle name="0_6134_BUDGET_27Jan09 4 6 7 2" xfId="4478" xr:uid="{00000000-0005-0000-0000-000070110000}"/>
    <cellStyle name="0_6134_BUDGET_27Jan09 4 6 8" xfId="4479" xr:uid="{00000000-0005-0000-0000-000071110000}"/>
    <cellStyle name="0_6134_BUDGET_27Jan09 4 7" xfId="4480" xr:uid="{00000000-0005-0000-0000-000072110000}"/>
    <cellStyle name="0_6134_BUDGET_27Jan09 4 7 2" xfId="4481" xr:uid="{00000000-0005-0000-0000-000073110000}"/>
    <cellStyle name="0_6134_BUDGET_27Jan09 4 7 2 2" xfId="4482" xr:uid="{00000000-0005-0000-0000-000074110000}"/>
    <cellStyle name="0_6134_BUDGET_27Jan09 4 7 2 2 2" xfId="4483" xr:uid="{00000000-0005-0000-0000-000075110000}"/>
    <cellStyle name="0_6134_BUDGET_27Jan09 4 7 2 3" xfId="4484" xr:uid="{00000000-0005-0000-0000-000076110000}"/>
    <cellStyle name="0_6134_BUDGET_27Jan09 4 7 2 3 2" xfId="4485" xr:uid="{00000000-0005-0000-0000-000077110000}"/>
    <cellStyle name="0_6134_BUDGET_27Jan09 4 7 2 4" xfId="4486" xr:uid="{00000000-0005-0000-0000-000078110000}"/>
    <cellStyle name="0_6134_BUDGET_27Jan09 4 7 3" xfId="4487" xr:uid="{00000000-0005-0000-0000-000079110000}"/>
    <cellStyle name="0_6134_BUDGET_27Jan09 4 7 3 2" xfId="4488" xr:uid="{00000000-0005-0000-0000-00007A110000}"/>
    <cellStyle name="0_6134_BUDGET_27Jan09 4 7 3 2 2" xfId="4489" xr:uid="{00000000-0005-0000-0000-00007B110000}"/>
    <cellStyle name="0_6134_BUDGET_27Jan09 4 7 3 3" xfId="4490" xr:uid="{00000000-0005-0000-0000-00007C110000}"/>
    <cellStyle name="0_6134_BUDGET_27Jan09 4 7 3 3 2" xfId="4491" xr:uid="{00000000-0005-0000-0000-00007D110000}"/>
    <cellStyle name="0_6134_BUDGET_27Jan09 4 7 3 4" xfId="4492" xr:uid="{00000000-0005-0000-0000-00007E110000}"/>
    <cellStyle name="0_6134_BUDGET_27Jan09 4 7 4" xfId="4493" xr:uid="{00000000-0005-0000-0000-00007F110000}"/>
    <cellStyle name="0_6134_BUDGET_27Jan09 4 7 4 2" xfId="4494" xr:uid="{00000000-0005-0000-0000-000080110000}"/>
    <cellStyle name="0_6134_BUDGET_27Jan09 4 7 5" xfId="4495" xr:uid="{00000000-0005-0000-0000-000081110000}"/>
    <cellStyle name="0_6134_BUDGET_27Jan09 4 7 5 2" xfId="4496" xr:uid="{00000000-0005-0000-0000-000082110000}"/>
    <cellStyle name="0_6134_BUDGET_27Jan09 4 7 6" xfId="4497" xr:uid="{00000000-0005-0000-0000-000083110000}"/>
    <cellStyle name="0_6134_BUDGET_27Jan09 4 8" xfId="4498" xr:uid="{00000000-0005-0000-0000-000084110000}"/>
    <cellStyle name="0_6134_BUDGET_27Jan09 4 8 2" xfId="4499" xr:uid="{00000000-0005-0000-0000-000085110000}"/>
    <cellStyle name="0_6134_BUDGET_27Jan09 4 8 2 2" xfId="4500" xr:uid="{00000000-0005-0000-0000-000086110000}"/>
    <cellStyle name="0_6134_BUDGET_27Jan09 4 8 3" xfId="4501" xr:uid="{00000000-0005-0000-0000-000087110000}"/>
    <cellStyle name="0_6134_BUDGET_27Jan09 4 8 3 2" xfId="4502" xr:uid="{00000000-0005-0000-0000-000088110000}"/>
    <cellStyle name="0_6134_BUDGET_27Jan09 4 8 4" xfId="4503" xr:uid="{00000000-0005-0000-0000-000089110000}"/>
    <cellStyle name="0_6134_BUDGET_27Jan09 4 9" xfId="4504" xr:uid="{00000000-0005-0000-0000-00008A110000}"/>
    <cellStyle name="0_6134_BUDGET_27Jan09 4 9 2" xfId="4505" xr:uid="{00000000-0005-0000-0000-00008B110000}"/>
    <cellStyle name="0_6134_BUDGET_27Jan09 4 9 2 2" xfId="4506" xr:uid="{00000000-0005-0000-0000-00008C110000}"/>
    <cellStyle name="0_6134_BUDGET_27Jan09 4 9 3" xfId="4507" xr:uid="{00000000-0005-0000-0000-00008D110000}"/>
    <cellStyle name="0_6134_BUDGET_27Jan09 4 9 3 2" xfId="4508" xr:uid="{00000000-0005-0000-0000-00008E110000}"/>
    <cellStyle name="0_6134_BUDGET_27Jan09 4 9 4" xfId="4509" xr:uid="{00000000-0005-0000-0000-00008F110000}"/>
    <cellStyle name="0_6134_BUDGET_27Jan09 5" xfId="4510" xr:uid="{00000000-0005-0000-0000-000090110000}"/>
    <cellStyle name="0_6134_BUDGET_27Jan09 5 10" xfId="4511" xr:uid="{00000000-0005-0000-0000-000091110000}"/>
    <cellStyle name="0_6134_BUDGET_27Jan09 5 10 2" xfId="4512" xr:uid="{00000000-0005-0000-0000-000092110000}"/>
    <cellStyle name="0_6134_BUDGET_27Jan09 5 10 2 2" xfId="4513" xr:uid="{00000000-0005-0000-0000-000093110000}"/>
    <cellStyle name="0_6134_BUDGET_27Jan09 5 10 3" xfId="4514" xr:uid="{00000000-0005-0000-0000-000094110000}"/>
    <cellStyle name="0_6134_BUDGET_27Jan09 5 10 3 2" xfId="4515" xr:uid="{00000000-0005-0000-0000-000095110000}"/>
    <cellStyle name="0_6134_BUDGET_27Jan09 5 10 4" xfId="4516" xr:uid="{00000000-0005-0000-0000-000096110000}"/>
    <cellStyle name="0_6134_BUDGET_27Jan09 5 11" xfId="4517" xr:uid="{00000000-0005-0000-0000-000097110000}"/>
    <cellStyle name="0_6134_BUDGET_27Jan09 5 11 2" xfId="4518" xr:uid="{00000000-0005-0000-0000-000098110000}"/>
    <cellStyle name="0_6134_BUDGET_27Jan09 5 12" xfId="4519" xr:uid="{00000000-0005-0000-0000-000099110000}"/>
    <cellStyle name="0_6134_BUDGET_27Jan09 5 12 2" xfId="4520" xr:uid="{00000000-0005-0000-0000-00009A110000}"/>
    <cellStyle name="0_6134_BUDGET_27Jan09 5 13" xfId="4521" xr:uid="{00000000-0005-0000-0000-00009B110000}"/>
    <cellStyle name="0_6134_BUDGET_27Jan09 5 2" xfId="4522" xr:uid="{00000000-0005-0000-0000-00009C110000}"/>
    <cellStyle name="0_6134_BUDGET_27Jan09 5 2 2" xfId="4523" xr:uid="{00000000-0005-0000-0000-00009D110000}"/>
    <cellStyle name="0_6134_BUDGET_27Jan09 5 2 2 2" xfId="4524" xr:uid="{00000000-0005-0000-0000-00009E110000}"/>
    <cellStyle name="0_6134_BUDGET_27Jan09 5 2 2 2 2" xfId="4525" xr:uid="{00000000-0005-0000-0000-00009F110000}"/>
    <cellStyle name="0_6134_BUDGET_27Jan09 5 2 2 2 2 2" xfId="4526" xr:uid="{00000000-0005-0000-0000-0000A0110000}"/>
    <cellStyle name="0_6134_BUDGET_27Jan09 5 2 2 2 3" xfId="4527" xr:uid="{00000000-0005-0000-0000-0000A1110000}"/>
    <cellStyle name="0_6134_BUDGET_27Jan09 5 2 2 2 3 2" xfId="4528" xr:uid="{00000000-0005-0000-0000-0000A2110000}"/>
    <cellStyle name="0_6134_BUDGET_27Jan09 5 2 2 2 4" xfId="4529" xr:uid="{00000000-0005-0000-0000-0000A3110000}"/>
    <cellStyle name="0_6134_BUDGET_27Jan09 5 2 2 3" xfId="4530" xr:uid="{00000000-0005-0000-0000-0000A4110000}"/>
    <cellStyle name="0_6134_BUDGET_27Jan09 5 2 2 3 2" xfId="4531" xr:uid="{00000000-0005-0000-0000-0000A5110000}"/>
    <cellStyle name="0_6134_BUDGET_27Jan09 5 2 2 3 2 2" xfId="4532" xr:uid="{00000000-0005-0000-0000-0000A6110000}"/>
    <cellStyle name="0_6134_BUDGET_27Jan09 5 2 2 3 3" xfId="4533" xr:uid="{00000000-0005-0000-0000-0000A7110000}"/>
    <cellStyle name="0_6134_BUDGET_27Jan09 5 2 2 3 3 2" xfId="4534" xr:uid="{00000000-0005-0000-0000-0000A8110000}"/>
    <cellStyle name="0_6134_BUDGET_27Jan09 5 2 2 3 4" xfId="4535" xr:uid="{00000000-0005-0000-0000-0000A9110000}"/>
    <cellStyle name="0_6134_BUDGET_27Jan09 5 2 2 4" xfId="4536" xr:uid="{00000000-0005-0000-0000-0000AA110000}"/>
    <cellStyle name="0_6134_BUDGET_27Jan09 5 2 2 4 2" xfId="4537" xr:uid="{00000000-0005-0000-0000-0000AB110000}"/>
    <cellStyle name="0_6134_BUDGET_27Jan09 5 2 2 5" xfId="4538" xr:uid="{00000000-0005-0000-0000-0000AC110000}"/>
    <cellStyle name="0_6134_BUDGET_27Jan09 5 2 2 5 2" xfId="4539" xr:uid="{00000000-0005-0000-0000-0000AD110000}"/>
    <cellStyle name="0_6134_BUDGET_27Jan09 5 2 2 6" xfId="4540" xr:uid="{00000000-0005-0000-0000-0000AE110000}"/>
    <cellStyle name="0_6134_BUDGET_27Jan09 5 2 3" xfId="4541" xr:uid="{00000000-0005-0000-0000-0000AF110000}"/>
    <cellStyle name="0_6134_BUDGET_27Jan09 5 2 3 2" xfId="4542" xr:uid="{00000000-0005-0000-0000-0000B0110000}"/>
    <cellStyle name="0_6134_BUDGET_27Jan09 5 2 3 2 2" xfId="4543" xr:uid="{00000000-0005-0000-0000-0000B1110000}"/>
    <cellStyle name="0_6134_BUDGET_27Jan09 5 2 3 3" xfId="4544" xr:uid="{00000000-0005-0000-0000-0000B2110000}"/>
    <cellStyle name="0_6134_BUDGET_27Jan09 5 2 3 3 2" xfId="4545" xr:uid="{00000000-0005-0000-0000-0000B3110000}"/>
    <cellStyle name="0_6134_BUDGET_27Jan09 5 2 3 4" xfId="4546" xr:uid="{00000000-0005-0000-0000-0000B4110000}"/>
    <cellStyle name="0_6134_BUDGET_27Jan09 5 2 4" xfId="4547" xr:uid="{00000000-0005-0000-0000-0000B5110000}"/>
    <cellStyle name="0_6134_BUDGET_27Jan09 5 2 4 2" xfId="4548" xr:uid="{00000000-0005-0000-0000-0000B6110000}"/>
    <cellStyle name="0_6134_BUDGET_27Jan09 5 2 4 2 2" xfId="4549" xr:uid="{00000000-0005-0000-0000-0000B7110000}"/>
    <cellStyle name="0_6134_BUDGET_27Jan09 5 2 4 3" xfId="4550" xr:uid="{00000000-0005-0000-0000-0000B8110000}"/>
    <cellStyle name="0_6134_BUDGET_27Jan09 5 2 4 3 2" xfId="4551" xr:uid="{00000000-0005-0000-0000-0000B9110000}"/>
    <cellStyle name="0_6134_BUDGET_27Jan09 5 2 4 4" xfId="4552" xr:uid="{00000000-0005-0000-0000-0000BA110000}"/>
    <cellStyle name="0_6134_BUDGET_27Jan09 5 2 5" xfId="4553" xr:uid="{00000000-0005-0000-0000-0000BB110000}"/>
    <cellStyle name="0_6134_BUDGET_27Jan09 5 2 5 2" xfId="4554" xr:uid="{00000000-0005-0000-0000-0000BC110000}"/>
    <cellStyle name="0_6134_BUDGET_27Jan09 5 2 5 2 2" xfId="4555" xr:uid="{00000000-0005-0000-0000-0000BD110000}"/>
    <cellStyle name="0_6134_BUDGET_27Jan09 5 2 5 3" xfId="4556" xr:uid="{00000000-0005-0000-0000-0000BE110000}"/>
    <cellStyle name="0_6134_BUDGET_27Jan09 5 2 5 3 2" xfId="4557" xr:uid="{00000000-0005-0000-0000-0000BF110000}"/>
    <cellStyle name="0_6134_BUDGET_27Jan09 5 2 5 4" xfId="4558" xr:uid="{00000000-0005-0000-0000-0000C0110000}"/>
    <cellStyle name="0_6134_BUDGET_27Jan09 5 2 6" xfId="4559" xr:uid="{00000000-0005-0000-0000-0000C1110000}"/>
    <cellStyle name="0_6134_BUDGET_27Jan09 5 2 6 2" xfId="4560" xr:uid="{00000000-0005-0000-0000-0000C2110000}"/>
    <cellStyle name="0_6134_BUDGET_27Jan09 5 2 7" xfId="4561" xr:uid="{00000000-0005-0000-0000-0000C3110000}"/>
    <cellStyle name="0_6134_BUDGET_27Jan09 5 2 7 2" xfId="4562" xr:uid="{00000000-0005-0000-0000-0000C4110000}"/>
    <cellStyle name="0_6134_BUDGET_27Jan09 5 2 8" xfId="4563" xr:uid="{00000000-0005-0000-0000-0000C5110000}"/>
    <cellStyle name="0_6134_BUDGET_27Jan09 5 3" xfId="4564" xr:uid="{00000000-0005-0000-0000-0000C6110000}"/>
    <cellStyle name="0_6134_BUDGET_27Jan09 5 3 2" xfId="4565" xr:uid="{00000000-0005-0000-0000-0000C7110000}"/>
    <cellStyle name="0_6134_BUDGET_27Jan09 5 3 2 2" xfId="4566" xr:uid="{00000000-0005-0000-0000-0000C8110000}"/>
    <cellStyle name="0_6134_BUDGET_27Jan09 5 3 2 2 2" xfId="4567" xr:uid="{00000000-0005-0000-0000-0000C9110000}"/>
    <cellStyle name="0_6134_BUDGET_27Jan09 5 3 2 2 2 2" xfId="4568" xr:uid="{00000000-0005-0000-0000-0000CA110000}"/>
    <cellStyle name="0_6134_BUDGET_27Jan09 5 3 2 2 3" xfId="4569" xr:uid="{00000000-0005-0000-0000-0000CB110000}"/>
    <cellStyle name="0_6134_BUDGET_27Jan09 5 3 2 2 3 2" xfId="4570" xr:uid="{00000000-0005-0000-0000-0000CC110000}"/>
    <cellStyle name="0_6134_BUDGET_27Jan09 5 3 2 2 4" xfId="4571" xr:uid="{00000000-0005-0000-0000-0000CD110000}"/>
    <cellStyle name="0_6134_BUDGET_27Jan09 5 3 2 3" xfId="4572" xr:uid="{00000000-0005-0000-0000-0000CE110000}"/>
    <cellStyle name="0_6134_BUDGET_27Jan09 5 3 2 3 2" xfId="4573" xr:uid="{00000000-0005-0000-0000-0000CF110000}"/>
    <cellStyle name="0_6134_BUDGET_27Jan09 5 3 2 3 2 2" xfId="4574" xr:uid="{00000000-0005-0000-0000-0000D0110000}"/>
    <cellStyle name="0_6134_BUDGET_27Jan09 5 3 2 3 3" xfId="4575" xr:uid="{00000000-0005-0000-0000-0000D1110000}"/>
    <cellStyle name="0_6134_BUDGET_27Jan09 5 3 2 3 3 2" xfId="4576" xr:uid="{00000000-0005-0000-0000-0000D2110000}"/>
    <cellStyle name="0_6134_BUDGET_27Jan09 5 3 2 3 4" xfId="4577" xr:uid="{00000000-0005-0000-0000-0000D3110000}"/>
    <cellStyle name="0_6134_BUDGET_27Jan09 5 3 2 4" xfId="4578" xr:uid="{00000000-0005-0000-0000-0000D4110000}"/>
    <cellStyle name="0_6134_BUDGET_27Jan09 5 3 2 4 2" xfId="4579" xr:uid="{00000000-0005-0000-0000-0000D5110000}"/>
    <cellStyle name="0_6134_BUDGET_27Jan09 5 3 2 5" xfId="4580" xr:uid="{00000000-0005-0000-0000-0000D6110000}"/>
    <cellStyle name="0_6134_BUDGET_27Jan09 5 3 2 5 2" xfId="4581" xr:uid="{00000000-0005-0000-0000-0000D7110000}"/>
    <cellStyle name="0_6134_BUDGET_27Jan09 5 3 2 6" xfId="4582" xr:uid="{00000000-0005-0000-0000-0000D8110000}"/>
    <cellStyle name="0_6134_BUDGET_27Jan09 5 3 3" xfId="4583" xr:uid="{00000000-0005-0000-0000-0000D9110000}"/>
    <cellStyle name="0_6134_BUDGET_27Jan09 5 3 3 2" xfId="4584" xr:uid="{00000000-0005-0000-0000-0000DA110000}"/>
    <cellStyle name="0_6134_BUDGET_27Jan09 5 3 3 2 2" xfId="4585" xr:uid="{00000000-0005-0000-0000-0000DB110000}"/>
    <cellStyle name="0_6134_BUDGET_27Jan09 5 3 3 3" xfId="4586" xr:uid="{00000000-0005-0000-0000-0000DC110000}"/>
    <cellStyle name="0_6134_BUDGET_27Jan09 5 3 3 3 2" xfId="4587" xr:uid="{00000000-0005-0000-0000-0000DD110000}"/>
    <cellStyle name="0_6134_BUDGET_27Jan09 5 3 3 4" xfId="4588" xr:uid="{00000000-0005-0000-0000-0000DE110000}"/>
    <cellStyle name="0_6134_BUDGET_27Jan09 5 3 4" xfId="4589" xr:uid="{00000000-0005-0000-0000-0000DF110000}"/>
    <cellStyle name="0_6134_BUDGET_27Jan09 5 3 4 2" xfId="4590" xr:uid="{00000000-0005-0000-0000-0000E0110000}"/>
    <cellStyle name="0_6134_BUDGET_27Jan09 5 3 4 2 2" xfId="4591" xr:uid="{00000000-0005-0000-0000-0000E1110000}"/>
    <cellStyle name="0_6134_BUDGET_27Jan09 5 3 4 3" xfId="4592" xr:uid="{00000000-0005-0000-0000-0000E2110000}"/>
    <cellStyle name="0_6134_BUDGET_27Jan09 5 3 4 3 2" xfId="4593" xr:uid="{00000000-0005-0000-0000-0000E3110000}"/>
    <cellStyle name="0_6134_BUDGET_27Jan09 5 3 4 4" xfId="4594" xr:uid="{00000000-0005-0000-0000-0000E4110000}"/>
    <cellStyle name="0_6134_BUDGET_27Jan09 5 3 5" xfId="4595" xr:uid="{00000000-0005-0000-0000-0000E5110000}"/>
    <cellStyle name="0_6134_BUDGET_27Jan09 5 3 5 2" xfId="4596" xr:uid="{00000000-0005-0000-0000-0000E6110000}"/>
    <cellStyle name="0_6134_BUDGET_27Jan09 5 3 5 2 2" xfId="4597" xr:uid="{00000000-0005-0000-0000-0000E7110000}"/>
    <cellStyle name="0_6134_BUDGET_27Jan09 5 3 5 3" xfId="4598" xr:uid="{00000000-0005-0000-0000-0000E8110000}"/>
    <cellStyle name="0_6134_BUDGET_27Jan09 5 3 5 3 2" xfId="4599" xr:uid="{00000000-0005-0000-0000-0000E9110000}"/>
    <cellStyle name="0_6134_BUDGET_27Jan09 5 3 5 4" xfId="4600" xr:uid="{00000000-0005-0000-0000-0000EA110000}"/>
    <cellStyle name="0_6134_BUDGET_27Jan09 5 3 6" xfId="4601" xr:uid="{00000000-0005-0000-0000-0000EB110000}"/>
    <cellStyle name="0_6134_BUDGET_27Jan09 5 3 6 2" xfId="4602" xr:uid="{00000000-0005-0000-0000-0000EC110000}"/>
    <cellStyle name="0_6134_BUDGET_27Jan09 5 3 7" xfId="4603" xr:uid="{00000000-0005-0000-0000-0000ED110000}"/>
    <cellStyle name="0_6134_BUDGET_27Jan09 5 3 7 2" xfId="4604" xr:uid="{00000000-0005-0000-0000-0000EE110000}"/>
    <cellStyle name="0_6134_BUDGET_27Jan09 5 3 8" xfId="4605" xr:uid="{00000000-0005-0000-0000-0000EF110000}"/>
    <cellStyle name="0_6134_BUDGET_27Jan09 5 4" xfId="4606" xr:uid="{00000000-0005-0000-0000-0000F0110000}"/>
    <cellStyle name="0_6134_BUDGET_27Jan09 5 4 2" xfId="4607" xr:uid="{00000000-0005-0000-0000-0000F1110000}"/>
    <cellStyle name="0_6134_BUDGET_27Jan09 5 4 2 2" xfId="4608" xr:uid="{00000000-0005-0000-0000-0000F2110000}"/>
    <cellStyle name="0_6134_BUDGET_27Jan09 5 4 2 2 2" xfId="4609" xr:uid="{00000000-0005-0000-0000-0000F3110000}"/>
    <cellStyle name="0_6134_BUDGET_27Jan09 5 4 2 2 2 2" xfId="4610" xr:uid="{00000000-0005-0000-0000-0000F4110000}"/>
    <cellStyle name="0_6134_BUDGET_27Jan09 5 4 2 2 3" xfId="4611" xr:uid="{00000000-0005-0000-0000-0000F5110000}"/>
    <cellStyle name="0_6134_BUDGET_27Jan09 5 4 2 2 3 2" xfId="4612" xr:uid="{00000000-0005-0000-0000-0000F6110000}"/>
    <cellStyle name="0_6134_BUDGET_27Jan09 5 4 2 2 4" xfId="4613" xr:uid="{00000000-0005-0000-0000-0000F7110000}"/>
    <cellStyle name="0_6134_BUDGET_27Jan09 5 4 2 3" xfId="4614" xr:uid="{00000000-0005-0000-0000-0000F8110000}"/>
    <cellStyle name="0_6134_BUDGET_27Jan09 5 4 2 3 2" xfId="4615" xr:uid="{00000000-0005-0000-0000-0000F9110000}"/>
    <cellStyle name="0_6134_BUDGET_27Jan09 5 4 2 3 2 2" xfId="4616" xr:uid="{00000000-0005-0000-0000-0000FA110000}"/>
    <cellStyle name="0_6134_BUDGET_27Jan09 5 4 2 3 3" xfId="4617" xr:uid="{00000000-0005-0000-0000-0000FB110000}"/>
    <cellStyle name="0_6134_BUDGET_27Jan09 5 4 2 3 3 2" xfId="4618" xr:uid="{00000000-0005-0000-0000-0000FC110000}"/>
    <cellStyle name="0_6134_BUDGET_27Jan09 5 4 2 3 4" xfId="4619" xr:uid="{00000000-0005-0000-0000-0000FD110000}"/>
    <cellStyle name="0_6134_BUDGET_27Jan09 5 4 2 4" xfId="4620" xr:uid="{00000000-0005-0000-0000-0000FE110000}"/>
    <cellStyle name="0_6134_BUDGET_27Jan09 5 4 2 4 2" xfId="4621" xr:uid="{00000000-0005-0000-0000-0000FF110000}"/>
    <cellStyle name="0_6134_BUDGET_27Jan09 5 4 2 5" xfId="4622" xr:uid="{00000000-0005-0000-0000-000000120000}"/>
    <cellStyle name="0_6134_BUDGET_27Jan09 5 4 2 5 2" xfId="4623" xr:uid="{00000000-0005-0000-0000-000001120000}"/>
    <cellStyle name="0_6134_BUDGET_27Jan09 5 4 2 6" xfId="4624" xr:uid="{00000000-0005-0000-0000-000002120000}"/>
    <cellStyle name="0_6134_BUDGET_27Jan09 5 4 3" xfId="4625" xr:uid="{00000000-0005-0000-0000-000003120000}"/>
    <cellStyle name="0_6134_BUDGET_27Jan09 5 4 3 2" xfId="4626" xr:uid="{00000000-0005-0000-0000-000004120000}"/>
    <cellStyle name="0_6134_BUDGET_27Jan09 5 4 3 2 2" xfId="4627" xr:uid="{00000000-0005-0000-0000-000005120000}"/>
    <cellStyle name="0_6134_BUDGET_27Jan09 5 4 3 3" xfId="4628" xr:uid="{00000000-0005-0000-0000-000006120000}"/>
    <cellStyle name="0_6134_BUDGET_27Jan09 5 4 3 3 2" xfId="4629" xr:uid="{00000000-0005-0000-0000-000007120000}"/>
    <cellStyle name="0_6134_BUDGET_27Jan09 5 4 3 4" xfId="4630" xr:uid="{00000000-0005-0000-0000-000008120000}"/>
    <cellStyle name="0_6134_BUDGET_27Jan09 5 4 4" xfId="4631" xr:uid="{00000000-0005-0000-0000-000009120000}"/>
    <cellStyle name="0_6134_BUDGET_27Jan09 5 4 4 2" xfId="4632" xr:uid="{00000000-0005-0000-0000-00000A120000}"/>
    <cellStyle name="0_6134_BUDGET_27Jan09 5 4 4 2 2" xfId="4633" xr:uid="{00000000-0005-0000-0000-00000B120000}"/>
    <cellStyle name="0_6134_BUDGET_27Jan09 5 4 4 3" xfId="4634" xr:uid="{00000000-0005-0000-0000-00000C120000}"/>
    <cellStyle name="0_6134_BUDGET_27Jan09 5 4 4 3 2" xfId="4635" xr:uid="{00000000-0005-0000-0000-00000D120000}"/>
    <cellStyle name="0_6134_BUDGET_27Jan09 5 4 4 4" xfId="4636" xr:uid="{00000000-0005-0000-0000-00000E120000}"/>
    <cellStyle name="0_6134_BUDGET_27Jan09 5 4 5" xfId="4637" xr:uid="{00000000-0005-0000-0000-00000F120000}"/>
    <cellStyle name="0_6134_BUDGET_27Jan09 5 4 5 2" xfId="4638" xr:uid="{00000000-0005-0000-0000-000010120000}"/>
    <cellStyle name="0_6134_BUDGET_27Jan09 5 4 5 2 2" xfId="4639" xr:uid="{00000000-0005-0000-0000-000011120000}"/>
    <cellStyle name="0_6134_BUDGET_27Jan09 5 4 5 3" xfId="4640" xr:uid="{00000000-0005-0000-0000-000012120000}"/>
    <cellStyle name="0_6134_BUDGET_27Jan09 5 4 5 3 2" xfId="4641" xr:uid="{00000000-0005-0000-0000-000013120000}"/>
    <cellStyle name="0_6134_BUDGET_27Jan09 5 4 5 4" xfId="4642" xr:uid="{00000000-0005-0000-0000-000014120000}"/>
    <cellStyle name="0_6134_BUDGET_27Jan09 5 4 6" xfId="4643" xr:uid="{00000000-0005-0000-0000-000015120000}"/>
    <cellStyle name="0_6134_BUDGET_27Jan09 5 4 6 2" xfId="4644" xr:uid="{00000000-0005-0000-0000-000016120000}"/>
    <cellStyle name="0_6134_BUDGET_27Jan09 5 4 7" xfId="4645" xr:uid="{00000000-0005-0000-0000-000017120000}"/>
    <cellStyle name="0_6134_BUDGET_27Jan09 5 4 7 2" xfId="4646" xr:uid="{00000000-0005-0000-0000-000018120000}"/>
    <cellStyle name="0_6134_BUDGET_27Jan09 5 4 8" xfId="4647" xr:uid="{00000000-0005-0000-0000-000019120000}"/>
    <cellStyle name="0_6134_BUDGET_27Jan09 5 5" xfId="4648" xr:uid="{00000000-0005-0000-0000-00001A120000}"/>
    <cellStyle name="0_6134_BUDGET_27Jan09 5 5 2" xfId="4649" xr:uid="{00000000-0005-0000-0000-00001B120000}"/>
    <cellStyle name="0_6134_BUDGET_27Jan09 5 5 2 2" xfId="4650" xr:uid="{00000000-0005-0000-0000-00001C120000}"/>
    <cellStyle name="0_6134_BUDGET_27Jan09 5 5 2 2 2" xfId="4651" xr:uid="{00000000-0005-0000-0000-00001D120000}"/>
    <cellStyle name="0_6134_BUDGET_27Jan09 5 5 2 2 2 2" xfId="4652" xr:uid="{00000000-0005-0000-0000-00001E120000}"/>
    <cellStyle name="0_6134_BUDGET_27Jan09 5 5 2 2 3" xfId="4653" xr:uid="{00000000-0005-0000-0000-00001F120000}"/>
    <cellStyle name="0_6134_BUDGET_27Jan09 5 5 2 2 3 2" xfId="4654" xr:uid="{00000000-0005-0000-0000-000020120000}"/>
    <cellStyle name="0_6134_BUDGET_27Jan09 5 5 2 2 4" xfId="4655" xr:uid="{00000000-0005-0000-0000-000021120000}"/>
    <cellStyle name="0_6134_BUDGET_27Jan09 5 5 2 3" xfId="4656" xr:uid="{00000000-0005-0000-0000-000022120000}"/>
    <cellStyle name="0_6134_BUDGET_27Jan09 5 5 2 3 2" xfId="4657" xr:uid="{00000000-0005-0000-0000-000023120000}"/>
    <cellStyle name="0_6134_BUDGET_27Jan09 5 5 2 3 2 2" xfId="4658" xr:uid="{00000000-0005-0000-0000-000024120000}"/>
    <cellStyle name="0_6134_BUDGET_27Jan09 5 5 2 3 3" xfId="4659" xr:uid="{00000000-0005-0000-0000-000025120000}"/>
    <cellStyle name="0_6134_BUDGET_27Jan09 5 5 2 3 3 2" xfId="4660" xr:uid="{00000000-0005-0000-0000-000026120000}"/>
    <cellStyle name="0_6134_BUDGET_27Jan09 5 5 2 3 4" xfId="4661" xr:uid="{00000000-0005-0000-0000-000027120000}"/>
    <cellStyle name="0_6134_BUDGET_27Jan09 5 5 2 4" xfId="4662" xr:uid="{00000000-0005-0000-0000-000028120000}"/>
    <cellStyle name="0_6134_BUDGET_27Jan09 5 5 2 4 2" xfId="4663" xr:uid="{00000000-0005-0000-0000-000029120000}"/>
    <cellStyle name="0_6134_BUDGET_27Jan09 5 5 2 5" xfId="4664" xr:uid="{00000000-0005-0000-0000-00002A120000}"/>
    <cellStyle name="0_6134_BUDGET_27Jan09 5 5 2 5 2" xfId="4665" xr:uid="{00000000-0005-0000-0000-00002B120000}"/>
    <cellStyle name="0_6134_BUDGET_27Jan09 5 5 2 6" xfId="4666" xr:uid="{00000000-0005-0000-0000-00002C120000}"/>
    <cellStyle name="0_6134_BUDGET_27Jan09 5 5 3" xfId="4667" xr:uid="{00000000-0005-0000-0000-00002D120000}"/>
    <cellStyle name="0_6134_BUDGET_27Jan09 5 5 3 2" xfId="4668" xr:uid="{00000000-0005-0000-0000-00002E120000}"/>
    <cellStyle name="0_6134_BUDGET_27Jan09 5 5 3 2 2" xfId="4669" xr:uid="{00000000-0005-0000-0000-00002F120000}"/>
    <cellStyle name="0_6134_BUDGET_27Jan09 5 5 3 3" xfId="4670" xr:uid="{00000000-0005-0000-0000-000030120000}"/>
    <cellStyle name="0_6134_BUDGET_27Jan09 5 5 3 3 2" xfId="4671" xr:uid="{00000000-0005-0000-0000-000031120000}"/>
    <cellStyle name="0_6134_BUDGET_27Jan09 5 5 3 4" xfId="4672" xr:uid="{00000000-0005-0000-0000-000032120000}"/>
    <cellStyle name="0_6134_BUDGET_27Jan09 5 5 4" xfId="4673" xr:uid="{00000000-0005-0000-0000-000033120000}"/>
    <cellStyle name="0_6134_BUDGET_27Jan09 5 5 4 2" xfId="4674" xr:uid="{00000000-0005-0000-0000-000034120000}"/>
    <cellStyle name="0_6134_BUDGET_27Jan09 5 5 4 2 2" xfId="4675" xr:uid="{00000000-0005-0000-0000-000035120000}"/>
    <cellStyle name="0_6134_BUDGET_27Jan09 5 5 4 3" xfId="4676" xr:uid="{00000000-0005-0000-0000-000036120000}"/>
    <cellStyle name="0_6134_BUDGET_27Jan09 5 5 4 3 2" xfId="4677" xr:uid="{00000000-0005-0000-0000-000037120000}"/>
    <cellStyle name="0_6134_BUDGET_27Jan09 5 5 4 4" xfId="4678" xr:uid="{00000000-0005-0000-0000-000038120000}"/>
    <cellStyle name="0_6134_BUDGET_27Jan09 5 5 5" xfId="4679" xr:uid="{00000000-0005-0000-0000-000039120000}"/>
    <cellStyle name="0_6134_BUDGET_27Jan09 5 5 5 2" xfId="4680" xr:uid="{00000000-0005-0000-0000-00003A120000}"/>
    <cellStyle name="0_6134_BUDGET_27Jan09 5 5 5 2 2" xfId="4681" xr:uid="{00000000-0005-0000-0000-00003B120000}"/>
    <cellStyle name="0_6134_BUDGET_27Jan09 5 5 5 3" xfId="4682" xr:uid="{00000000-0005-0000-0000-00003C120000}"/>
    <cellStyle name="0_6134_BUDGET_27Jan09 5 5 5 3 2" xfId="4683" xr:uid="{00000000-0005-0000-0000-00003D120000}"/>
    <cellStyle name="0_6134_BUDGET_27Jan09 5 5 5 4" xfId="4684" xr:uid="{00000000-0005-0000-0000-00003E120000}"/>
    <cellStyle name="0_6134_BUDGET_27Jan09 5 5 6" xfId="4685" xr:uid="{00000000-0005-0000-0000-00003F120000}"/>
    <cellStyle name="0_6134_BUDGET_27Jan09 5 5 6 2" xfId="4686" xr:uid="{00000000-0005-0000-0000-000040120000}"/>
    <cellStyle name="0_6134_BUDGET_27Jan09 5 5 7" xfId="4687" xr:uid="{00000000-0005-0000-0000-000041120000}"/>
    <cellStyle name="0_6134_BUDGET_27Jan09 5 5 7 2" xfId="4688" xr:uid="{00000000-0005-0000-0000-000042120000}"/>
    <cellStyle name="0_6134_BUDGET_27Jan09 5 5 8" xfId="4689" xr:uid="{00000000-0005-0000-0000-000043120000}"/>
    <cellStyle name="0_6134_BUDGET_27Jan09 5 6" xfId="4690" xr:uid="{00000000-0005-0000-0000-000044120000}"/>
    <cellStyle name="0_6134_BUDGET_27Jan09 5 6 2" xfId="4691" xr:uid="{00000000-0005-0000-0000-000045120000}"/>
    <cellStyle name="0_6134_BUDGET_27Jan09 5 6 2 2" xfId="4692" xr:uid="{00000000-0005-0000-0000-000046120000}"/>
    <cellStyle name="0_6134_BUDGET_27Jan09 5 6 2 2 2" xfId="4693" xr:uid="{00000000-0005-0000-0000-000047120000}"/>
    <cellStyle name="0_6134_BUDGET_27Jan09 5 6 2 2 2 2" xfId="4694" xr:uid="{00000000-0005-0000-0000-000048120000}"/>
    <cellStyle name="0_6134_BUDGET_27Jan09 5 6 2 2 3" xfId="4695" xr:uid="{00000000-0005-0000-0000-000049120000}"/>
    <cellStyle name="0_6134_BUDGET_27Jan09 5 6 2 2 3 2" xfId="4696" xr:uid="{00000000-0005-0000-0000-00004A120000}"/>
    <cellStyle name="0_6134_BUDGET_27Jan09 5 6 2 2 4" xfId="4697" xr:uid="{00000000-0005-0000-0000-00004B120000}"/>
    <cellStyle name="0_6134_BUDGET_27Jan09 5 6 2 3" xfId="4698" xr:uid="{00000000-0005-0000-0000-00004C120000}"/>
    <cellStyle name="0_6134_BUDGET_27Jan09 5 6 2 3 2" xfId="4699" xr:uid="{00000000-0005-0000-0000-00004D120000}"/>
    <cellStyle name="0_6134_BUDGET_27Jan09 5 6 2 3 2 2" xfId="4700" xr:uid="{00000000-0005-0000-0000-00004E120000}"/>
    <cellStyle name="0_6134_BUDGET_27Jan09 5 6 2 3 3" xfId="4701" xr:uid="{00000000-0005-0000-0000-00004F120000}"/>
    <cellStyle name="0_6134_BUDGET_27Jan09 5 6 2 3 3 2" xfId="4702" xr:uid="{00000000-0005-0000-0000-000050120000}"/>
    <cellStyle name="0_6134_BUDGET_27Jan09 5 6 2 3 4" xfId="4703" xr:uid="{00000000-0005-0000-0000-000051120000}"/>
    <cellStyle name="0_6134_BUDGET_27Jan09 5 6 2 4" xfId="4704" xr:uid="{00000000-0005-0000-0000-000052120000}"/>
    <cellStyle name="0_6134_BUDGET_27Jan09 5 6 2 4 2" xfId="4705" xr:uid="{00000000-0005-0000-0000-000053120000}"/>
    <cellStyle name="0_6134_BUDGET_27Jan09 5 6 2 5" xfId="4706" xr:uid="{00000000-0005-0000-0000-000054120000}"/>
    <cellStyle name="0_6134_BUDGET_27Jan09 5 6 2 5 2" xfId="4707" xr:uid="{00000000-0005-0000-0000-000055120000}"/>
    <cellStyle name="0_6134_BUDGET_27Jan09 5 6 2 6" xfId="4708" xr:uid="{00000000-0005-0000-0000-000056120000}"/>
    <cellStyle name="0_6134_BUDGET_27Jan09 5 6 3" xfId="4709" xr:uid="{00000000-0005-0000-0000-000057120000}"/>
    <cellStyle name="0_6134_BUDGET_27Jan09 5 6 3 2" xfId="4710" xr:uid="{00000000-0005-0000-0000-000058120000}"/>
    <cellStyle name="0_6134_BUDGET_27Jan09 5 6 3 2 2" xfId="4711" xr:uid="{00000000-0005-0000-0000-000059120000}"/>
    <cellStyle name="0_6134_BUDGET_27Jan09 5 6 3 3" xfId="4712" xr:uid="{00000000-0005-0000-0000-00005A120000}"/>
    <cellStyle name="0_6134_BUDGET_27Jan09 5 6 3 3 2" xfId="4713" xr:uid="{00000000-0005-0000-0000-00005B120000}"/>
    <cellStyle name="0_6134_BUDGET_27Jan09 5 6 3 4" xfId="4714" xr:uid="{00000000-0005-0000-0000-00005C120000}"/>
    <cellStyle name="0_6134_BUDGET_27Jan09 5 6 4" xfId="4715" xr:uid="{00000000-0005-0000-0000-00005D120000}"/>
    <cellStyle name="0_6134_BUDGET_27Jan09 5 6 4 2" xfId="4716" xr:uid="{00000000-0005-0000-0000-00005E120000}"/>
    <cellStyle name="0_6134_BUDGET_27Jan09 5 6 4 2 2" xfId="4717" xr:uid="{00000000-0005-0000-0000-00005F120000}"/>
    <cellStyle name="0_6134_BUDGET_27Jan09 5 6 4 3" xfId="4718" xr:uid="{00000000-0005-0000-0000-000060120000}"/>
    <cellStyle name="0_6134_BUDGET_27Jan09 5 6 4 3 2" xfId="4719" xr:uid="{00000000-0005-0000-0000-000061120000}"/>
    <cellStyle name="0_6134_BUDGET_27Jan09 5 6 4 4" xfId="4720" xr:uid="{00000000-0005-0000-0000-000062120000}"/>
    <cellStyle name="0_6134_BUDGET_27Jan09 5 6 5" xfId="4721" xr:uid="{00000000-0005-0000-0000-000063120000}"/>
    <cellStyle name="0_6134_BUDGET_27Jan09 5 6 5 2" xfId="4722" xr:uid="{00000000-0005-0000-0000-000064120000}"/>
    <cellStyle name="0_6134_BUDGET_27Jan09 5 6 5 2 2" xfId="4723" xr:uid="{00000000-0005-0000-0000-000065120000}"/>
    <cellStyle name="0_6134_BUDGET_27Jan09 5 6 5 3" xfId="4724" xr:uid="{00000000-0005-0000-0000-000066120000}"/>
    <cellStyle name="0_6134_BUDGET_27Jan09 5 6 5 3 2" xfId="4725" xr:uid="{00000000-0005-0000-0000-000067120000}"/>
    <cellStyle name="0_6134_BUDGET_27Jan09 5 6 5 4" xfId="4726" xr:uid="{00000000-0005-0000-0000-000068120000}"/>
    <cellStyle name="0_6134_BUDGET_27Jan09 5 6 6" xfId="4727" xr:uid="{00000000-0005-0000-0000-000069120000}"/>
    <cellStyle name="0_6134_BUDGET_27Jan09 5 6 6 2" xfId="4728" xr:uid="{00000000-0005-0000-0000-00006A120000}"/>
    <cellStyle name="0_6134_BUDGET_27Jan09 5 6 7" xfId="4729" xr:uid="{00000000-0005-0000-0000-00006B120000}"/>
    <cellStyle name="0_6134_BUDGET_27Jan09 5 6 7 2" xfId="4730" xr:uid="{00000000-0005-0000-0000-00006C120000}"/>
    <cellStyle name="0_6134_BUDGET_27Jan09 5 6 8" xfId="4731" xr:uid="{00000000-0005-0000-0000-00006D120000}"/>
    <cellStyle name="0_6134_BUDGET_27Jan09 5 7" xfId="4732" xr:uid="{00000000-0005-0000-0000-00006E120000}"/>
    <cellStyle name="0_6134_BUDGET_27Jan09 5 7 2" xfId="4733" xr:uid="{00000000-0005-0000-0000-00006F120000}"/>
    <cellStyle name="0_6134_BUDGET_27Jan09 5 7 2 2" xfId="4734" xr:uid="{00000000-0005-0000-0000-000070120000}"/>
    <cellStyle name="0_6134_BUDGET_27Jan09 5 7 2 2 2" xfId="4735" xr:uid="{00000000-0005-0000-0000-000071120000}"/>
    <cellStyle name="0_6134_BUDGET_27Jan09 5 7 2 3" xfId="4736" xr:uid="{00000000-0005-0000-0000-000072120000}"/>
    <cellStyle name="0_6134_BUDGET_27Jan09 5 7 2 3 2" xfId="4737" xr:uid="{00000000-0005-0000-0000-000073120000}"/>
    <cellStyle name="0_6134_BUDGET_27Jan09 5 7 2 4" xfId="4738" xr:uid="{00000000-0005-0000-0000-000074120000}"/>
    <cellStyle name="0_6134_BUDGET_27Jan09 5 7 3" xfId="4739" xr:uid="{00000000-0005-0000-0000-000075120000}"/>
    <cellStyle name="0_6134_BUDGET_27Jan09 5 7 3 2" xfId="4740" xr:uid="{00000000-0005-0000-0000-000076120000}"/>
    <cellStyle name="0_6134_BUDGET_27Jan09 5 7 3 2 2" xfId="4741" xr:uid="{00000000-0005-0000-0000-000077120000}"/>
    <cellStyle name="0_6134_BUDGET_27Jan09 5 7 3 3" xfId="4742" xr:uid="{00000000-0005-0000-0000-000078120000}"/>
    <cellStyle name="0_6134_BUDGET_27Jan09 5 7 3 3 2" xfId="4743" xr:uid="{00000000-0005-0000-0000-000079120000}"/>
    <cellStyle name="0_6134_BUDGET_27Jan09 5 7 3 4" xfId="4744" xr:uid="{00000000-0005-0000-0000-00007A120000}"/>
    <cellStyle name="0_6134_BUDGET_27Jan09 5 7 4" xfId="4745" xr:uid="{00000000-0005-0000-0000-00007B120000}"/>
    <cellStyle name="0_6134_BUDGET_27Jan09 5 7 4 2" xfId="4746" xr:uid="{00000000-0005-0000-0000-00007C120000}"/>
    <cellStyle name="0_6134_BUDGET_27Jan09 5 7 5" xfId="4747" xr:uid="{00000000-0005-0000-0000-00007D120000}"/>
    <cellStyle name="0_6134_BUDGET_27Jan09 5 7 5 2" xfId="4748" xr:uid="{00000000-0005-0000-0000-00007E120000}"/>
    <cellStyle name="0_6134_BUDGET_27Jan09 5 7 6" xfId="4749" xr:uid="{00000000-0005-0000-0000-00007F120000}"/>
    <cellStyle name="0_6134_BUDGET_27Jan09 5 8" xfId="4750" xr:uid="{00000000-0005-0000-0000-000080120000}"/>
    <cellStyle name="0_6134_BUDGET_27Jan09 5 8 2" xfId="4751" xr:uid="{00000000-0005-0000-0000-000081120000}"/>
    <cellStyle name="0_6134_BUDGET_27Jan09 5 8 2 2" xfId="4752" xr:uid="{00000000-0005-0000-0000-000082120000}"/>
    <cellStyle name="0_6134_BUDGET_27Jan09 5 8 3" xfId="4753" xr:uid="{00000000-0005-0000-0000-000083120000}"/>
    <cellStyle name="0_6134_BUDGET_27Jan09 5 8 3 2" xfId="4754" xr:uid="{00000000-0005-0000-0000-000084120000}"/>
    <cellStyle name="0_6134_BUDGET_27Jan09 5 8 4" xfId="4755" xr:uid="{00000000-0005-0000-0000-000085120000}"/>
    <cellStyle name="0_6134_BUDGET_27Jan09 5 9" xfId="4756" xr:uid="{00000000-0005-0000-0000-000086120000}"/>
    <cellStyle name="0_6134_BUDGET_27Jan09 5 9 2" xfId="4757" xr:uid="{00000000-0005-0000-0000-000087120000}"/>
    <cellStyle name="0_6134_BUDGET_27Jan09 5 9 2 2" xfId="4758" xr:uid="{00000000-0005-0000-0000-000088120000}"/>
    <cellStyle name="0_6134_BUDGET_27Jan09 5 9 3" xfId="4759" xr:uid="{00000000-0005-0000-0000-000089120000}"/>
    <cellStyle name="0_6134_BUDGET_27Jan09 5 9 3 2" xfId="4760" xr:uid="{00000000-0005-0000-0000-00008A120000}"/>
    <cellStyle name="0_6134_BUDGET_27Jan09 5 9 4" xfId="4761" xr:uid="{00000000-0005-0000-0000-00008B120000}"/>
    <cellStyle name="0_6134_BUDGET_27Jan09 6" xfId="4762" xr:uid="{00000000-0005-0000-0000-00008C120000}"/>
    <cellStyle name="0_6134_BUDGET_27Jan09 6 2" xfId="4763" xr:uid="{00000000-0005-0000-0000-00008D120000}"/>
    <cellStyle name="0_6134_BUDGET_27Jan09 6 2 2" xfId="4764" xr:uid="{00000000-0005-0000-0000-00008E120000}"/>
    <cellStyle name="0_6134_BUDGET_27Jan09 6 2 2 2" xfId="4765" xr:uid="{00000000-0005-0000-0000-00008F120000}"/>
    <cellStyle name="0_6134_BUDGET_27Jan09 6 2 2 2 2" xfId="4766" xr:uid="{00000000-0005-0000-0000-000090120000}"/>
    <cellStyle name="0_6134_BUDGET_27Jan09 6 2 2 3" xfId="4767" xr:uid="{00000000-0005-0000-0000-000091120000}"/>
    <cellStyle name="0_6134_BUDGET_27Jan09 6 2 2 3 2" xfId="4768" xr:uid="{00000000-0005-0000-0000-000092120000}"/>
    <cellStyle name="0_6134_BUDGET_27Jan09 6 2 2 4" xfId="4769" xr:uid="{00000000-0005-0000-0000-000093120000}"/>
    <cellStyle name="0_6134_BUDGET_27Jan09 6 2 3" xfId="4770" xr:uid="{00000000-0005-0000-0000-000094120000}"/>
    <cellStyle name="0_6134_BUDGET_27Jan09 6 2 3 2" xfId="4771" xr:uid="{00000000-0005-0000-0000-000095120000}"/>
    <cellStyle name="0_6134_BUDGET_27Jan09 6 2 3 2 2" xfId="4772" xr:uid="{00000000-0005-0000-0000-000096120000}"/>
    <cellStyle name="0_6134_BUDGET_27Jan09 6 2 3 3" xfId="4773" xr:uid="{00000000-0005-0000-0000-000097120000}"/>
    <cellStyle name="0_6134_BUDGET_27Jan09 6 2 3 3 2" xfId="4774" xr:uid="{00000000-0005-0000-0000-000098120000}"/>
    <cellStyle name="0_6134_BUDGET_27Jan09 6 2 3 4" xfId="4775" xr:uid="{00000000-0005-0000-0000-000099120000}"/>
    <cellStyle name="0_6134_BUDGET_27Jan09 6 2 4" xfId="4776" xr:uid="{00000000-0005-0000-0000-00009A120000}"/>
    <cellStyle name="0_6134_BUDGET_27Jan09 6 2 4 2" xfId="4777" xr:uid="{00000000-0005-0000-0000-00009B120000}"/>
    <cellStyle name="0_6134_BUDGET_27Jan09 6 2 5" xfId="4778" xr:uid="{00000000-0005-0000-0000-00009C120000}"/>
    <cellStyle name="0_6134_BUDGET_27Jan09 6 2 5 2" xfId="4779" xr:uid="{00000000-0005-0000-0000-00009D120000}"/>
    <cellStyle name="0_6134_BUDGET_27Jan09 6 2 6" xfId="4780" xr:uid="{00000000-0005-0000-0000-00009E120000}"/>
    <cellStyle name="0_6134_BUDGET_27Jan09 6 3" xfId="4781" xr:uid="{00000000-0005-0000-0000-00009F120000}"/>
    <cellStyle name="0_6134_BUDGET_27Jan09 6 3 2" xfId="4782" xr:uid="{00000000-0005-0000-0000-0000A0120000}"/>
    <cellStyle name="0_6134_BUDGET_27Jan09 6 3 2 2" xfId="4783" xr:uid="{00000000-0005-0000-0000-0000A1120000}"/>
    <cellStyle name="0_6134_BUDGET_27Jan09 6 3 3" xfId="4784" xr:uid="{00000000-0005-0000-0000-0000A2120000}"/>
    <cellStyle name="0_6134_BUDGET_27Jan09 6 3 3 2" xfId="4785" xr:uid="{00000000-0005-0000-0000-0000A3120000}"/>
    <cellStyle name="0_6134_BUDGET_27Jan09 6 3 4" xfId="4786" xr:uid="{00000000-0005-0000-0000-0000A4120000}"/>
    <cellStyle name="0_6134_BUDGET_27Jan09 6 4" xfId="4787" xr:uid="{00000000-0005-0000-0000-0000A5120000}"/>
    <cellStyle name="0_6134_BUDGET_27Jan09 6 4 2" xfId="4788" xr:uid="{00000000-0005-0000-0000-0000A6120000}"/>
    <cellStyle name="0_6134_BUDGET_27Jan09 6 4 2 2" xfId="4789" xr:uid="{00000000-0005-0000-0000-0000A7120000}"/>
    <cellStyle name="0_6134_BUDGET_27Jan09 6 4 3" xfId="4790" xr:uid="{00000000-0005-0000-0000-0000A8120000}"/>
    <cellStyle name="0_6134_BUDGET_27Jan09 6 4 3 2" xfId="4791" xr:uid="{00000000-0005-0000-0000-0000A9120000}"/>
    <cellStyle name="0_6134_BUDGET_27Jan09 6 4 4" xfId="4792" xr:uid="{00000000-0005-0000-0000-0000AA120000}"/>
    <cellStyle name="0_6134_BUDGET_27Jan09 6 5" xfId="4793" xr:uid="{00000000-0005-0000-0000-0000AB120000}"/>
    <cellStyle name="0_6134_BUDGET_27Jan09 6 5 2" xfId="4794" xr:uid="{00000000-0005-0000-0000-0000AC120000}"/>
    <cellStyle name="0_6134_BUDGET_27Jan09 6 5 2 2" xfId="4795" xr:uid="{00000000-0005-0000-0000-0000AD120000}"/>
    <cellStyle name="0_6134_BUDGET_27Jan09 6 5 3" xfId="4796" xr:uid="{00000000-0005-0000-0000-0000AE120000}"/>
    <cellStyle name="0_6134_BUDGET_27Jan09 6 5 3 2" xfId="4797" xr:uid="{00000000-0005-0000-0000-0000AF120000}"/>
    <cellStyle name="0_6134_BUDGET_27Jan09 6 5 4" xfId="4798" xr:uid="{00000000-0005-0000-0000-0000B0120000}"/>
    <cellStyle name="0_6134_BUDGET_27Jan09 6 6" xfId="4799" xr:uid="{00000000-0005-0000-0000-0000B1120000}"/>
    <cellStyle name="0_6134_BUDGET_27Jan09 6 6 2" xfId="4800" xr:uid="{00000000-0005-0000-0000-0000B2120000}"/>
    <cellStyle name="0_6134_BUDGET_27Jan09 6 7" xfId="4801" xr:uid="{00000000-0005-0000-0000-0000B3120000}"/>
    <cellStyle name="0_6134_BUDGET_27Jan09 6 7 2" xfId="4802" xr:uid="{00000000-0005-0000-0000-0000B4120000}"/>
    <cellStyle name="0_6134_BUDGET_27Jan09 6 8" xfId="4803" xr:uid="{00000000-0005-0000-0000-0000B5120000}"/>
    <cellStyle name="0_6134_BUDGET_27Jan09 7" xfId="4804" xr:uid="{00000000-0005-0000-0000-0000B6120000}"/>
    <cellStyle name="0_6134_BUDGET_27Jan09 7 2" xfId="4805" xr:uid="{00000000-0005-0000-0000-0000B7120000}"/>
    <cellStyle name="0_6134_BUDGET_27Jan09 7 2 2" xfId="4806" xr:uid="{00000000-0005-0000-0000-0000B8120000}"/>
    <cellStyle name="0_6134_BUDGET_27Jan09 7 2 2 2" xfId="4807" xr:uid="{00000000-0005-0000-0000-0000B9120000}"/>
    <cellStyle name="0_6134_BUDGET_27Jan09 7 2 3" xfId="4808" xr:uid="{00000000-0005-0000-0000-0000BA120000}"/>
    <cellStyle name="0_6134_BUDGET_27Jan09 7 2 3 2" xfId="4809" xr:uid="{00000000-0005-0000-0000-0000BB120000}"/>
    <cellStyle name="0_6134_BUDGET_27Jan09 7 2 4" xfId="4810" xr:uid="{00000000-0005-0000-0000-0000BC120000}"/>
    <cellStyle name="0_6134_BUDGET_27Jan09 7 3" xfId="4811" xr:uid="{00000000-0005-0000-0000-0000BD120000}"/>
    <cellStyle name="0_6134_BUDGET_27Jan09 7 3 2" xfId="4812" xr:uid="{00000000-0005-0000-0000-0000BE120000}"/>
    <cellStyle name="0_6134_BUDGET_27Jan09 7 3 2 2" xfId="4813" xr:uid="{00000000-0005-0000-0000-0000BF120000}"/>
    <cellStyle name="0_6134_BUDGET_27Jan09 7 3 3" xfId="4814" xr:uid="{00000000-0005-0000-0000-0000C0120000}"/>
    <cellStyle name="0_6134_BUDGET_27Jan09 7 3 3 2" xfId="4815" xr:uid="{00000000-0005-0000-0000-0000C1120000}"/>
    <cellStyle name="0_6134_BUDGET_27Jan09 7 3 4" xfId="4816" xr:uid="{00000000-0005-0000-0000-0000C2120000}"/>
    <cellStyle name="0_6134_BUDGET_27Jan09 7 4" xfId="4817" xr:uid="{00000000-0005-0000-0000-0000C3120000}"/>
    <cellStyle name="0_6134_BUDGET_27Jan09 7 4 2" xfId="4818" xr:uid="{00000000-0005-0000-0000-0000C4120000}"/>
    <cellStyle name="0_6134_BUDGET_27Jan09 7 5" xfId="4819" xr:uid="{00000000-0005-0000-0000-0000C5120000}"/>
    <cellStyle name="0_6134_BUDGET_27Jan09 7 5 2" xfId="4820" xr:uid="{00000000-0005-0000-0000-0000C6120000}"/>
    <cellStyle name="0_6134_BUDGET_27Jan09 7 6" xfId="4821" xr:uid="{00000000-0005-0000-0000-0000C7120000}"/>
    <cellStyle name="0_6134_BUDGET_27Jan09 8" xfId="4822" xr:uid="{00000000-0005-0000-0000-0000C8120000}"/>
    <cellStyle name="0_6134_BUDGET_27Jan09 8 2" xfId="4823" xr:uid="{00000000-0005-0000-0000-0000C9120000}"/>
    <cellStyle name="0_6134_BUDGET_27Jan09 8 2 2" xfId="4824" xr:uid="{00000000-0005-0000-0000-0000CA120000}"/>
    <cellStyle name="0_6134_BUDGET_27Jan09 8 2 2 2" xfId="4825" xr:uid="{00000000-0005-0000-0000-0000CB120000}"/>
    <cellStyle name="0_6134_BUDGET_27Jan09 8 2 3" xfId="4826" xr:uid="{00000000-0005-0000-0000-0000CC120000}"/>
    <cellStyle name="0_6134_BUDGET_27Jan09 8 2 3 2" xfId="4827" xr:uid="{00000000-0005-0000-0000-0000CD120000}"/>
    <cellStyle name="0_6134_BUDGET_27Jan09 8 2 4" xfId="4828" xr:uid="{00000000-0005-0000-0000-0000CE120000}"/>
    <cellStyle name="0_6134_BUDGET_27Jan09 8 3" xfId="4829" xr:uid="{00000000-0005-0000-0000-0000CF120000}"/>
    <cellStyle name="0_6134_BUDGET_27Jan09 8 3 2" xfId="4830" xr:uid="{00000000-0005-0000-0000-0000D0120000}"/>
    <cellStyle name="0_6134_BUDGET_27Jan09 8 3 2 2" xfId="4831" xr:uid="{00000000-0005-0000-0000-0000D1120000}"/>
    <cellStyle name="0_6134_BUDGET_27Jan09 8 3 3" xfId="4832" xr:uid="{00000000-0005-0000-0000-0000D2120000}"/>
    <cellStyle name="0_6134_BUDGET_27Jan09 8 3 3 2" xfId="4833" xr:uid="{00000000-0005-0000-0000-0000D3120000}"/>
    <cellStyle name="0_6134_BUDGET_27Jan09 8 3 4" xfId="4834" xr:uid="{00000000-0005-0000-0000-0000D4120000}"/>
    <cellStyle name="0_6134_BUDGET_27Jan09 8 4" xfId="4835" xr:uid="{00000000-0005-0000-0000-0000D5120000}"/>
    <cellStyle name="0_6134_BUDGET_27Jan09 8 4 2" xfId="4836" xr:uid="{00000000-0005-0000-0000-0000D6120000}"/>
    <cellStyle name="0_6134_BUDGET_27Jan09 8 5" xfId="4837" xr:uid="{00000000-0005-0000-0000-0000D7120000}"/>
    <cellStyle name="0_6134_BUDGET_27Jan09 8 5 2" xfId="4838" xr:uid="{00000000-0005-0000-0000-0000D8120000}"/>
    <cellStyle name="0_6134_BUDGET_27Jan09 8 6" xfId="4839" xr:uid="{00000000-0005-0000-0000-0000D9120000}"/>
    <cellStyle name="0_6134_BUDGET_27Jan09 9" xfId="4840" xr:uid="{00000000-0005-0000-0000-0000DA120000}"/>
    <cellStyle name="0_6134_BUDGET_27Jan09 9 2" xfId="4841" xr:uid="{00000000-0005-0000-0000-0000DB120000}"/>
    <cellStyle name="0_6134_BUDGET_27Jan09 9 2 2" xfId="4842" xr:uid="{00000000-0005-0000-0000-0000DC120000}"/>
    <cellStyle name="0_6134_BUDGET_27Jan09 9 3" xfId="4843" xr:uid="{00000000-0005-0000-0000-0000DD120000}"/>
    <cellStyle name="0_6134_BUDGET_27Jan09 9 3 2" xfId="4844" xr:uid="{00000000-0005-0000-0000-0000DE120000}"/>
    <cellStyle name="0_6134_BUDGET_27Jan09 9 4" xfId="4845" xr:uid="{00000000-0005-0000-0000-0000DF120000}"/>
    <cellStyle name="0_area wise qty 30.3.08 (1)" xfId="4846" xr:uid="{00000000-0005-0000-0000-0000E0120000}"/>
    <cellStyle name="0_area wise qty 30.3.08 (1) 10" xfId="4847" xr:uid="{00000000-0005-0000-0000-0000E1120000}"/>
    <cellStyle name="0_area wise qty 30.3.08 (1) 10 2" xfId="4848" xr:uid="{00000000-0005-0000-0000-0000E2120000}"/>
    <cellStyle name="0_area wise qty 30.3.08 (1) 10 2 2" xfId="4849" xr:uid="{00000000-0005-0000-0000-0000E3120000}"/>
    <cellStyle name="0_area wise qty 30.3.08 (1) 10 3" xfId="4850" xr:uid="{00000000-0005-0000-0000-0000E4120000}"/>
    <cellStyle name="0_area wise qty 30.3.08 (1) 10 3 2" xfId="4851" xr:uid="{00000000-0005-0000-0000-0000E5120000}"/>
    <cellStyle name="0_area wise qty 30.3.08 (1) 10 4" xfId="4852" xr:uid="{00000000-0005-0000-0000-0000E6120000}"/>
    <cellStyle name="0_area wise qty 30.3.08 (1) 10 5" xfId="4853" xr:uid="{00000000-0005-0000-0000-0000E7120000}"/>
    <cellStyle name="0_area wise qty 30.3.08 (1) 11" xfId="4854" xr:uid="{00000000-0005-0000-0000-0000E8120000}"/>
    <cellStyle name="0_area wise qty 30.3.08 (1) 11 2" xfId="4855" xr:uid="{00000000-0005-0000-0000-0000E9120000}"/>
    <cellStyle name="0_area wise qty 30.3.08 (1) 11 3" xfId="4856" xr:uid="{00000000-0005-0000-0000-0000EA120000}"/>
    <cellStyle name="0_area wise qty 30.3.08 (1) 11 4" xfId="4857" xr:uid="{00000000-0005-0000-0000-0000EB120000}"/>
    <cellStyle name="0_area wise qty 30.3.08 (1) 11 5" xfId="4858" xr:uid="{00000000-0005-0000-0000-0000EC120000}"/>
    <cellStyle name="0_area wise qty 30.3.08 (1) 12" xfId="4859" xr:uid="{00000000-0005-0000-0000-0000ED120000}"/>
    <cellStyle name="0_area wise qty 30.3.08 (1) 12 2" xfId="4860" xr:uid="{00000000-0005-0000-0000-0000EE120000}"/>
    <cellStyle name="0_area wise qty 30.3.08 (1) 13" xfId="4861" xr:uid="{00000000-0005-0000-0000-0000EF120000}"/>
    <cellStyle name="0_area wise qty 30.3.08 (1) 13 2" xfId="4862" xr:uid="{00000000-0005-0000-0000-0000F0120000}"/>
    <cellStyle name="0_area wise qty 30.3.08 (1) 14" xfId="4863" xr:uid="{00000000-0005-0000-0000-0000F1120000}"/>
    <cellStyle name="0_area wise qty 30.3.08 (1) 15" xfId="4864" xr:uid="{00000000-0005-0000-0000-0000F2120000}"/>
    <cellStyle name="0_area wise qty 30.3.08 (1) 16" xfId="4865" xr:uid="{00000000-0005-0000-0000-0000F3120000}"/>
    <cellStyle name="0_area wise qty 30.3.08 (1) 17" xfId="4866" xr:uid="{00000000-0005-0000-0000-0000F4120000}"/>
    <cellStyle name="0_area wise qty 30.3.08 (1) 18" xfId="4867" xr:uid="{00000000-0005-0000-0000-0000F5120000}"/>
    <cellStyle name="0_area wise qty 30.3.08 (1) 19" xfId="4868" xr:uid="{00000000-0005-0000-0000-0000F6120000}"/>
    <cellStyle name="0_area wise qty 30.3.08 (1) 2" xfId="4869" xr:uid="{00000000-0005-0000-0000-0000F7120000}"/>
    <cellStyle name="0_area wise qty 30.3.08 (1) 2 10" xfId="4870" xr:uid="{00000000-0005-0000-0000-0000F8120000}"/>
    <cellStyle name="0_area wise qty 30.3.08 (1) 2 10 2" xfId="4871" xr:uid="{00000000-0005-0000-0000-0000F9120000}"/>
    <cellStyle name="0_area wise qty 30.3.08 (1) 2 11" xfId="4872" xr:uid="{00000000-0005-0000-0000-0000FA120000}"/>
    <cellStyle name="0_area wise qty 30.3.08 (1) 2 11 2" xfId="4873" xr:uid="{00000000-0005-0000-0000-0000FB120000}"/>
    <cellStyle name="0_area wise qty 30.3.08 (1) 2 12" xfId="4874" xr:uid="{00000000-0005-0000-0000-0000FC120000}"/>
    <cellStyle name="0_area wise qty 30.3.08 (1) 2 13" xfId="4875" xr:uid="{00000000-0005-0000-0000-0000FD120000}"/>
    <cellStyle name="0_area wise qty 30.3.08 (1) 2 14" xfId="4876" xr:uid="{00000000-0005-0000-0000-0000FE120000}"/>
    <cellStyle name="0_area wise qty 30.3.08 (1) 2 15" xfId="4877" xr:uid="{00000000-0005-0000-0000-0000FF120000}"/>
    <cellStyle name="0_area wise qty 30.3.08 (1) 2 2" xfId="4878" xr:uid="{00000000-0005-0000-0000-000000130000}"/>
    <cellStyle name="0_area wise qty 30.3.08 (1) 2 2 2" xfId="4879" xr:uid="{00000000-0005-0000-0000-000001130000}"/>
    <cellStyle name="0_area wise qty 30.3.08 (1) 2 2 2 2" xfId="4880" xr:uid="{00000000-0005-0000-0000-000002130000}"/>
    <cellStyle name="0_area wise qty 30.3.08 (1) 2 2 2 2 2" xfId="4881" xr:uid="{00000000-0005-0000-0000-000003130000}"/>
    <cellStyle name="0_area wise qty 30.3.08 (1) 2 2 2 2 2 2" xfId="4882" xr:uid="{00000000-0005-0000-0000-000004130000}"/>
    <cellStyle name="0_area wise qty 30.3.08 (1) 2 2 2 2 3" xfId="4883" xr:uid="{00000000-0005-0000-0000-000005130000}"/>
    <cellStyle name="0_area wise qty 30.3.08 (1) 2 2 2 2 3 2" xfId="4884" xr:uid="{00000000-0005-0000-0000-000006130000}"/>
    <cellStyle name="0_area wise qty 30.3.08 (1) 2 2 2 2 4" xfId="4885" xr:uid="{00000000-0005-0000-0000-000007130000}"/>
    <cellStyle name="0_area wise qty 30.3.08 (1) 2 2 2 3" xfId="4886" xr:uid="{00000000-0005-0000-0000-000008130000}"/>
    <cellStyle name="0_area wise qty 30.3.08 (1) 2 2 2 3 2" xfId="4887" xr:uid="{00000000-0005-0000-0000-000009130000}"/>
    <cellStyle name="0_area wise qty 30.3.08 (1) 2 2 2 3 2 2" xfId="4888" xr:uid="{00000000-0005-0000-0000-00000A130000}"/>
    <cellStyle name="0_area wise qty 30.3.08 (1) 2 2 2 3 3" xfId="4889" xr:uid="{00000000-0005-0000-0000-00000B130000}"/>
    <cellStyle name="0_area wise qty 30.3.08 (1) 2 2 2 3 3 2" xfId="4890" xr:uid="{00000000-0005-0000-0000-00000C130000}"/>
    <cellStyle name="0_area wise qty 30.3.08 (1) 2 2 2 3 4" xfId="4891" xr:uid="{00000000-0005-0000-0000-00000D130000}"/>
    <cellStyle name="0_area wise qty 30.3.08 (1) 2 2 2 4" xfId="4892" xr:uid="{00000000-0005-0000-0000-00000E130000}"/>
    <cellStyle name="0_area wise qty 30.3.08 (1) 2 2 2 4 2" xfId="4893" xr:uid="{00000000-0005-0000-0000-00000F130000}"/>
    <cellStyle name="0_area wise qty 30.3.08 (1) 2 2 2 5" xfId="4894" xr:uid="{00000000-0005-0000-0000-000010130000}"/>
    <cellStyle name="0_area wise qty 30.3.08 (1) 2 2 2 5 2" xfId="4895" xr:uid="{00000000-0005-0000-0000-000011130000}"/>
    <cellStyle name="0_area wise qty 30.3.08 (1) 2 2 2 6" xfId="4896" xr:uid="{00000000-0005-0000-0000-000012130000}"/>
    <cellStyle name="0_area wise qty 30.3.08 (1) 2 2 3" xfId="4897" xr:uid="{00000000-0005-0000-0000-000013130000}"/>
    <cellStyle name="0_area wise qty 30.3.08 (1) 2 2 3 2" xfId="4898" xr:uid="{00000000-0005-0000-0000-000014130000}"/>
    <cellStyle name="0_area wise qty 30.3.08 (1) 2 2 3 2 2" xfId="4899" xr:uid="{00000000-0005-0000-0000-000015130000}"/>
    <cellStyle name="0_area wise qty 30.3.08 (1) 2 2 3 3" xfId="4900" xr:uid="{00000000-0005-0000-0000-000016130000}"/>
    <cellStyle name="0_area wise qty 30.3.08 (1) 2 2 3 3 2" xfId="4901" xr:uid="{00000000-0005-0000-0000-000017130000}"/>
    <cellStyle name="0_area wise qty 30.3.08 (1) 2 2 3 4" xfId="4902" xr:uid="{00000000-0005-0000-0000-000018130000}"/>
    <cellStyle name="0_area wise qty 30.3.08 (1) 2 2 4" xfId="4903" xr:uid="{00000000-0005-0000-0000-000019130000}"/>
    <cellStyle name="0_area wise qty 30.3.08 (1) 2 2 4 2" xfId="4904" xr:uid="{00000000-0005-0000-0000-00001A130000}"/>
    <cellStyle name="0_area wise qty 30.3.08 (1) 2 2 4 2 2" xfId="4905" xr:uid="{00000000-0005-0000-0000-00001B130000}"/>
    <cellStyle name="0_area wise qty 30.3.08 (1) 2 2 4 3" xfId="4906" xr:uid="{00000000-0005-0000-0000-00001C130000}"/>
    <cellStyle name="0_area wise qty 30.3.08 (1) 2 2 4 3 2" xfId="4907" xr:uid="{00000000-0005-0000-0000-00001D130000}"/>
    <cellStyle name="0_area wise qty 30.3.08 (1) 2 2 4 4" xfId="4908" xr:uid="{00000000-0005-0000-0000-00001E130000}"/>
    <cellStyle name="0_area wise qty 30.3.08 (1) 2 2 5" xfId="4909" xr:uid="{00000000-0005-0000-0000-00001F130000}"/>
    <cellStyle name="0_area wise qty 30.3.08 (1) 2 2 5 2" xfId="4910" xr:uid="{00000000-0005-0000-0000-000020130000}"/>
    <cellStyle name="0_area wise qty 30.3.08 (1) 2 2 5 2 2" xfId="4911" xr:uid="{00000000-0005-0000-0000-000021130000}"/>
    <cellStyle name="0_area wise qty 30.3.08 (1) 2 2 5 3" xfId="4912" xr:uid="{00000000-0005-0000-0000-000022130000}"/>
    <cellStyle name="0_area wise qty 30.3.08 (1) 2 2 5 3 2" xfId="4913" xr:uid="{00000000-0005-0000-0000-000023130000}"/>
    <cellStyle name="0_area wise qty 30.3.08 (1) 2 2 5 4" xfId="4914" xr:uid="{00000000-0005-0000-0000-000024130000}"/>
    <cellStyle name="0_area wise qty 30.3.08 (1) 2 2 6" xfId="4915" xr:uid="{00000000-0005-0000-0000-000025130000}"/>
    <cellStyle name="0_area wise qty 30.3.08 (1) 2 2 6 2" xfId="4916" xr:uid="{00000000-0005-0000-0000-000026130000}"/>
    <cellStyle name="0_area wise qty 30.3.08 (1) 2 2 7" xfId="4917" xr:uid="{00000000-0005-0000-0000-000027130000}"/>
    <cellStyle name="0_area wise qty 30.3.08 (1) 2 2 7 2" xfId="4918" xr:uid="{00000000-0005-0000-0000-000028130000}"/>
    <cellStyle name="0_area wise qty 30.3.08 (1) 2 2 8" xfId="4919" xr:uid="{00000000-0005-0000-0000-000029130000}"/>
    <cellStyle name="0_area wise qty 30.3.08 (1) 2 3" xfId="4920" xr:uid="{00000000-0005-0000-0000-00002A130000}"/>
    <cellStyle name="0_area wise qty 30.3.08 (1) 2 3 2" xfId="4921" xr:uid="{00000000-0005-0000-0000-00002B130000}"/>
    <cellStyle name="0_area wise qty 30.3.08 (1) 2 3 2 2" xfId="4922" xr:uid="{00000000-0005-0000-0000-00002C130000}"/>
    <cellStyle name="0_area wise qty 30.3.08 (1) 2 3 2 2 2" xfId="4923" xr:uid="{00000000-0005-0000-0000-00002D130000}"/>
    <cellStyle name="0_area wise qty 30.3.08 (1) 2 3 2 2 2 2" xfId="4924" xr:uid="{00000000-0005-0000-0000-00002E130000}"/>
    <cellStyle name="0_area wise qty 30.3.08 (1) 2 3 2 2 3" xfId="4925" xr:uid="{00000000-0005-0000-0000-00002F130000}"/>
    <cellStyle name="0_area wise qty 30.3.08 (1) 2 3 2 2 3 2" xfId="4926" xr:uid="{00000000-0005-0000-0000-000030130000}"/>
    <cellStyle name="0_area wise qty 30.3.08 (1) 2 3 2 2 4" xfId="4927" xr:uid="{00000000-0005-0000-0000-000031130000}"/>
    <cellStyle name="0_area wise qty 30.3.08 (1) 2 3 2 3" xfId="4928" xr:uid="{00000000-0005-0000-0000-000032130000}"/>
    <cellStyle name="0_area wise qty 30.3.08 (1) 2 3 2 3 2" xfId="4929" xr:uid="{00000000-0005-0000-0000-000033130000}"/>
    <cellStyle name="0_area wise qty 30.3.08 (1) 2 3 2 3 2 2" xfId="4930" xr:uid="{00000000-0005-0000-0000-000034130000}"/>
    <cellStyle name="0_area wise qty 30.3.08 (1) 2 3 2 3 3" xfId="4931" xr:uid="{00000000-0005-0000-0000-000035130000}"/>
    <cellStyle name="0_area wise qty 30.3.08 (1) 2 3 2 3 3 2" xfId="4932" xr:uid="{00000000-0005-0000-0000-000036130000}"/>
    <cellStyle name="0_area wise qty 30.3.08 (1) 2 3 2 3 4" xfId="4933" xr:uid="{00000000-0005-0000-0000-000037130000}"/>
    <cellStyle name="0_area wise qty 30.3.08 (1) 2 3 2 4" xfId="4934" xr:uid="{00000000-0005-0000-0000-000038130000}"/>
    <cellStyle name="0_area wise qty 30.3.08 (1) 2 3 2 4 2" xfId="4935" xr:uid="{00000000-0005-0000-0000-000039130000}"/>
    <cellStyle name="0_area wise qty 30.3.08 (1) 2 3 2 5" xfId="4936" xr:uid="{00000000-0005-0000-0000-00003A130000}"/>
    <cellStyle name="0_area wise qty 30.3.08 (1) 2 3 2 5 2" xfId="4937" xr:uid="{00000000-0005-0000-0000-00003B130000}"/>
    <cellStyle name="0_area wise qty 30.3.08 (1) 2 3 2 6" xfId="4938" xr:uid="{00000000-0005-0000-0000-00003C130000}"/>
    <cellStyle name="0_area wise qty 30.3.08 (1) 2 3 3" xfId="4939" xr:uid="{00000000-0005-0000-0000-00003D130000}"/>
    <cellStyle name="0_area wise qty 30.3.08 (1) 2 3 3 2" xfId="4940" xr:uid="{00000000-0005-0000-0000-00003E130000}"/>
    <cellStyle name="0_area wise qty 30.3.08 (1) 2 3 3 2 2" xfId="4941" xr:uid="{00000000-0005-0000-0000-00003F130000}"/>
    <cellStyle name="0_area wise qty 30.3.08 (1) 2 3 3 3" xfId="4942" xr:uid="{00000000-0005-0000-0000-000040130000}"/>
    <cellStyle name="0_area wise qty 30.3.08 (1) 2 3 3 3 2" xfId="4943" xr:uid="{00000000-0005-0000-0000-000041130000}"/>
    <cellStyle name="0_area wise qty 30.3.08 (1) 2 3 3 4" xfId="4944" xr:uid="{00000000-0005-0000-0000-000042130000}"/>
    <cellStyle name="0_area wise qty 30.3.08 (1) 2 3 4" xfId="4945" xr:uid="{00000000-0005-0000-0000-000043130000}"/>
    <cellStyle name="0_area wise qty 30.3.08 (1) 2 3 4 2" xfId="4946" xr:uid="{00000000-0005-0000-0000-000044130000}"/>
    <cellStyle name="0_area wise qty 30.3.08 (1) 2 3 4 2 2" xfId="4947" xr:uid="{00000000-0005-0000-0000-000045130000}"/>
    <cellStyle name="0_area wise qty 30.3.08 (1) 2 3 4 3" xfId="4948" xr:uid="{00000000-0005-0000-0000-000046130000}"/>
    <cellStyle name="0_area wise qty 30.3.08 (1) 2 3 4 3 2" xfId="4949" xr:uid="{00000000-0005-0000-0000-000047130000}"/>
    <cellStyle name="0_area wise qty 30.3.08 (1) 2 3 4 4" xfId="4950" xr:uid="{00000000-0005-0000-0000-000048130000}"/>
    <cellStyle name="0_area wise qty 30.3.08 (1) 2 3 5" xfId="4951" xr:uid="{00000000-0005-0000-0000-000049130000}"/>
    <cellStyle name="0_area wise qty 30.3.08 (1) 2 3 5 2" xfId="4952" xr:uid="{00000000-0005-0000-0000-00004A130000}"/>
    <cellStyle name="0_area wise qty 30.3.08 (1) 2 3 5 2 2" xfId="4953" xr:uid="{00000000-0005-0000-0000-00004B130000}"/>
    <cellStyle name="0_area wise qty 30.3.08 (1) 2 3 5 3" xfId="4954" xr:uid="{00000000-0005-0000-0000-00004C130000}"/>
    <cellStyle name="0_area wise qty 30.3.08 (1) 2 3 5 3 2" xfId="4955" xr:uid="{00000000-0005-0000-0000-00004D130000}"/>
    <cellStyle name="0_area wise qty 30.3.08 (1) 2 3 5 4" xfId="4956" xr:uid="{00000000-0005-0000-0000-00004E130000}"/>
    <cellStyle name="0_area wise qty 30.3.08 (1) 2 3 6" xfId="4957" xr:uid="{00000000-0005-0000-0000-00004F130000}"/>
    <cellStyle name="0_area wise qty 30.3.08 (1) 2 3 6 2" xfId="4958" xr:uid="{00000000-0005-0000-0000-000050130000}"/>
    <cellStyle name="0_area wise qty 30.3.08 (1) 2 3 7" xfId="4959" xr:uid="{00000000-0005-0000-0000-000051130000}"/>
    <cellStyle name="0_area wise qty 30.3.08 (1) 2 3 7 2" xfId="4960" xr:uid="{00000000-0005-0000-0000-000052130000}"/>
    <cellStyle name="0_area wise qty 30.3.08 (1) 2 3 8" xfId="4961" xr:uid="{00000000-0005-0000-0000-000053130000}"/>
    <cellStyle name="0_area wise qty 30.3.08 (1) 2 4" xfId="4962" xr:uid="{00000000-0005-0000-0000-000054130000}"/>
    <cellStyle name="0_area wise qty 30.3.08 (1) 2 4 2" xfId="4963" xr:uid="{00000000-0005-0000-0000-000055130000}"/>
    <cellStyle name="0_area wise qty 30.3.08 (1) 2 4 2 2" xfId="4964" xr:uid="{00000000-0005-0000-0000-000056130000}"/>
    <cellStyle name="0_area wise qty 30.3.08 (1) 2 4 2 2 2" xfId="4965" xr:uid="{00000000-0005-0000-0000-000057130000}"/>
    <cellStyle name="0_area wise qty 30.3.08 (1) 2 4 2 2 2 2" xfId="4966" xr:uid="{00000000-0005-0000-0000-000058130000}"/>
    <cellStyle name="0_area wise qty 30.3.08 (1) 2 4 2 2 3" xfId="4967" xr:uid="{00000000-0005-0000-0000-000059130000}"/>
    <cellStyle name="0_area wise qty 30.3.08 (1) 2 4 2 2 3 2" xfId="4968" xr:uid="{00000000-0005-0000-0000-00005A130000}"/>
    <cellStyle name="0_area wise qty 30.3.08 (1) 2 4 2 2 4" xfId="4969" xr:uid="{00000000-0005-0000-0000-00005B130000}"/>
    <cellStyle name="0_area wise qty 30.3.08 (1) 2 4 2 3" xfId="4970" xr:uid="{00000000-0005-0000-0000-00005C130000}"/>
    <cellStyle name="0_area wise qty 30.3.08 (1) 2 4 2 3 2" xfId="4971" xr:uid="{00000000-0005-0000-0000-00005D130000}"/>
    <cellStyle name="0_area wise qty 30.3.08 (1) 2 4 2 3 2 2" xfId="4972" xr:uid="{00000000-0005-0000-0000-00005E130000}"/>
    <cellStyle name="0_area wise qty 30.3.08 (1) 2 4 2 3 3" xfId="4973" xr:uid="{00000000-0005-0000-0000-00005F130000}"/>
    <cellStyle name="0_area wise qty 30.3.08 (1) 2 4 2 3 3 2" xfId="4974" xr:uid="{00000000-0005-0000-0000-000060130000}"/>
    <cellStyle name="0_area wise qty 30.3.08 (1) 2 4 2 3 4" xfId="4975" xr:uid="{00000000-0005-0000-0000-000061130000}"/>
    <cellStyle name="0_area wise qty 30.3.08 (1) 2 4 2 4" xfId="4976" xr:uid="{00000000-0005-0000-0000-000062130000}"/>
    <cellStyle name="0_area wise qty 30.3.08 (1) 2 4 2 4 2" xfId="4977" xr:uid="{00000000-0005-0000-0000-000063130000}"/>
    <cellStyle name="0_area wise qty 30.3.08 (1) 2 4 2 5" xfId="4978" xr:uid="{00000000-0005-0000-0000-000064130000}"/>
    <cellStyle name="0_area wise qty 30.3.08 (1) 2 4 2 5 2" xfId="4979" xr:uid="{00000000-0005-0000-0000-000065130000}"/>
    <cellStyle name="0_area wise qty 30.3.08 (1) 2 4 2 6" xfId="4980" xr:uid="{00000000-0005-0000-0000-000066130000}"/>
    <cellStyle name="0_area wise qty 30.3.08 (1) 2 4 3" xfId="4981" xr:uid="{00000000-0005-0000-0000-000067130000}"/>
    <cellStyle name="0_area wise qty 30.3.08 (1) 2 4 3 2" xfId="4982" xr:uid="{00000000-0005-0000-0000-000068130000}"/>
    <cellStyle name="0_area wise qty 30.3.08 (1) 2 4 3 2 2" xfId="4983" xr:uid="{00000000-0005-0000-0000-000069130000}"/>
    <cellStyle name="0_area wise qty 30.3.08 (1) 2 4 3 3" xfId="4984" xr:uid="{00000000-0005-0000-0000-00006A130000}"/>
    <cellStyle name="0_area wise qty 30.3.08 (1) 2 4 3 3 2" xfId="4985" xr:uid="{00000000-0005-0000-0000-00006B130000}"/>
    <cellStyle name="0_area wise qty 30.3.08 (1) 2 4 3 4" xfId="4986" xr:uid="{00000000-0005-0000-0000-00006C130000}"/>
    <cellStyle name="0_area wise qty 30.3.08 (1) 2 4 4" xfId="4987" xr:uid="{00000000-0005-0000-0000-00006D130000}"/>
    <cellStyle name="0_area wise qty 30.3.08 (1) 2 4 4 2" xfId="4988" xr:uid="{00000000-0005-0000-0000-00006E130000}"/>
    <cellStyle name="0_area wise qty 30.3.08 (1) 2 4 4 2 2" xfId="4989" xr:uid="{00000000-0005-0000-0000-00006F130000}"/>
    <cellStyle name="0_area wise qty 30.3.08 (1) 2 4 4 3" xfId="4990" xr:uid="{00000000-0005-0000-0000-000070130000}"/>
    <cellStyle name="0_area wise qty 30.3.08 (1) 2 4 4 3 2" xfId="4991" xr:uid="{00000000-0005-0000-0000-000071130000}"/>
    <cellStyle name="0_area wise qty 30.3.08 (1) 2 4 4 4" xfId="4992" xr:uid="{00000000-0005-0000-0000-000072130000}"/>
    <cellStyle name="0_area wise qty 30.3.08 (1) 2 4 5" xfId="4993" xr:uid="{00000000-0005-0000-0000-000073130000}"/>
    <cellStyle name="0_area wise qty 30.3.08 (1) 2 4 5 2" xfId="4994" xr:uid="{00000000-0005-0000-0000-000074130000}"/>
    <cellStyle name="0_area wise qty 30.3.08 (1) 2 4 5 2 2" xfId="4995" xr:uid="{00000000-0005-0000-0000-000075130000}"/>
    <cellStyle name="0_area wise qty 30.3.08 (1) 2 4 5 3" xfId="4996" xr:uid="{00000000-0005-0000-0000-000076130000}"/>
    <cellStyle name="0_area wise qty 30.3.08 (1) 2 4 5 3 2" xfId="4997" xr:uid="{00000000-0005-0000-0000-000077130000}"/>
    <cellStyle name="0_area wise qty 30.3.08 (1) 2 4 5 4" xfId="4998" xr:uid="{00000000-0005-0000-0000-000078130000}"/>
    <cellStyle name="0_area wise qty 30.3.08 (1) 2 4 6" xfId="4999" xr:uid="{00000000-0005-0000-0000-000079130000}"/>
    <cellStyle name="0_area wise qty 30.3.08 (1) 2 4 6 2" xfId="5000" xr:uid="{00000000-0005-0000-0000-00007A130000}"/>
    <cellStyle name="0_area wise qty 30.3.08 (1) 2 4 7" xfId="5001" xr:uid="{00000000-0005-0000-0000-00007B130000}"/>
    <cellStyle name="0_area wise qty 30.3.08 (1) 2 4 7 2" xfId="5002" xr:uid="{00000000-0005-0000-0000-00007C130000}"/>
    <cellStyle name="0_area wise qty 30.3.08 (1) 2 4 8" xfId="5003" xr:uid="{00000000-0005-0000-0000-00007D130000}"/>
    <cellStyle name="0_area wise qty 30.3.08 (1) 2 5" xfId="5004" xr:uid="{00000000-0005-0000-0000-00007E130000}"/>
    <cellStyle name="0_area wise qty 30.3.08 (1) 2 5 2" xfId="5005" xr:uid="{00000000-0005-0000-0000-00007F130000}"/>
    <cellStyle name="0_area wise qty 30.3.08 (1) 2 5 2 2" xfId="5006" xr:uid="{00000000-0005-0000-0000-000080130000}"/>
    <cellStyle name="0_area wise qty 30.3.08 (1) 2 5 2 2 2" xfId="5007" xr:uid="{00000000-0005-0000-0000-000081130000}"/>
    <cellStyle name="0_area wise qty 30.3.08 (1) 2 5 2 2 2 2" xfId="5008" xr:uid="{00000000-0005-0000-0000-000082130000}"/>
    <cellStyle name="0_area wise qty 30.3.08 (1) 2 5 2 2 3" xfId="5009" xr:uid="{00000000-0005-0000-0000-000083130000}"/>
    <cellStyle name="0_area wise qty 30.3.08 (1) 2 5 2 2 3 2" xfId="5010" xr:uid="{00000000-0005-0000-0000-000084130000}"/>
    <cellStyle name="0_area wise qty 30.3.08 (1) 2 5 2 2 4" xfId="5011" xr:uid="{00000000-0005-0000-0000-000085130000}"/>
    <cellStyle name="0_area wise qty 30.3.08 (1) 2 5 2 3" xfId="5012" xr:uid="{00000000-0005-0000-0000-000086130000}"/>
    <cellStyle name="0_area wise qty 30.3.08 (1) 2 5 2 3 2" xfId="5013" xr:uid="{00000000-0005-0000-0000-000087130000}"/>
    <cellStyle name="0_area wise qty 30.3.08 (1) 2 5 2 3 2 2" xfId="5014" xr:uid="{00000000-0005-0000-0000-000088130000}"/>
    <cellStyle name="0_area wise qty 30.3.08 (1) 2 5 2 3 3" xfId="5015" xr:uid="{00000000-0005-0000-0000-000089130000}"/>
    <cellStyle name="0_area wise qty 30.3.08 (1) 2 5 2 3 3 2" xfId="5016" xr:uid="{00000000-0005-0000-0000-00008A130000}"/>
    <cellStyle name="0_area wise qty 30.3.08 (1) 2 5 2 3 4" xfId="5017" xr:uid="{00000000-0005-0000-0000-00008B130000}"/>
    <cellStyle name="0_area wise qty 30.3.08 (1) 2 5 2 4" xfId="5018" xr:uid="{00000000-0005-0000-0000-00008C130000}"/>
    <cellStyle name="0_area wise qty 30.3.08 (1) 2 5 2 4 2" xfId="5019" xr:uid="{00000000-0005-0000-0000-00008D130000}"/>
    <cellStyle name="0_area wise qty 30.3.08 (1) 2 5 2 5" xfId="5020" xr:uid="{00000000-0005-0000-0000-00008E130000}"/>
    <cellStyle name="0_area wise qty 30.3.08 (1) 2 5 2 5 2" xfId="5021" xr:uid="{00000000-0005-0000-0000-00008F130000}"/>
    <cellStyle name="0_area wise qty 30.3.08 (1) 2 5 2 6" xfId="5022" xr:uid="{00000000-0005-0000-0000-000090130000}"/>
    <cellStyle name="0_area wise qty 30.3.08 (1) 2 5 3" xfId="5023" xr:uid="{00000000-0005-0000-0000-000091130000}"/>
    <cellStyle name="0_area wise qty 30.3.08 (1) 2 5 3 2" xfId="5024" xr:uid="{00000000-0005-0000-0000-000092130000}"/>
    <cellStyle name="0_area wise qty 30.3.08 (1) 2 5 3 2 2" xfId="5025" xr:uid="{00000000-0005-0000-0000-000093130000}"/>
    <cellStyle name="0_area wise qty 30.3.08 (1) 2 5 3 3" xfId="5026" xr:uid="{00000000-0005-0000-0000-000094130000}"/>
    <cellStyle name="0_area wise qty 30.3.08 (1) 2 5 3 3 2" xfId="5027" xr:uid="{00000000-0005-0000-0000-000095130000}"/>
    <cellStyle name="0_area wise qty 30.3.08 (1) 2 5 3 4" xfId="5028" xr:uid="{00000000-0005-0000-0000-000096130000}"/>
    <cellStyle name="0_area wise qty 30.3.08 (1) 2 5 4" xfId="5029" xr:uid="{00000000-0005-0000-0000-000097130000}"/>
    <cellStyle name="0_area wise qty 30.3.08 (1) 2 5 4 2" xfId="5030" xr:uid="{00000000-0005-0000-0000-000098130000}"/>
    <cellStyle name="0_area wise qty 30.3.08 (1) 2 5 4 2 2" xfId="5031" xr:uid="{00000000-0005-0000-0000-000099130000}"/>
    <cellStyle name="0_area wise qty 30.3.08 (1) 2 5 4 3" xfId="5032" xr:uid="{00000000-0005-0000-0000-00009A130000}"/>
    <cellStyle name="0_area wise qty 30.3.08 (1) 2 5 4 3 2" xfId="5033" xr:uid="{00000000-0005-0000-0000-00009B130000}"/>
    <cellStyle name="0_area wise qty 30.3.08 (1) 2 5 4 4" xfId="5034" xr:uid="{00000000-0005-0000-0000-00009C130000}"/>
    <cellStyle name="0_area wise qty 30.3.08 (1) 2 5 5" xfId="5035" xr:uid="{00000000-0005-0000-0000-00009D130000}"/>
    <cellStyle name="0_area wise qty 30.3.08 (1) 2 5 5 2" xfId="5036" xr:uid="{00000000-0005-0000-0000-00009E130000}"/>
    <cellStyle name="0_area wise qty 30.3.08 (1) 2 5 5 2 2" xfId="5037" xr:uid="{00000000-0005-0000-0000-00009F130000}"/>
    <cellStyle name="0_area wise qty 30.3.08 (1) 2 5 5 3" xfId="5038" xr:uid="{00000000-0005-0000-0000-0000A0130000}"/>
    <cellStyle name="0_area wise qty 30.3.08 (1) 2 5 5 3 2" xfId="5039" xr:uid="{00000000-0005-0000-0000-0000A1130000}"/>
    <cellStyle name="0_area wise qty 30.3.08 (1) 2 5 5 4" xfId="5040" xr:uid="{00000000-0005-0000-0000-0000A2130000}"/>
    <cellStyle name="0_area wise qty 30.3.08 (1) 2 5 6" xfId="5041" xr:uid="{00000000-0005-0000-0000-0000A3130000}"/>
    <cellStyle name="0_area wise qty 30.3.08 (1) 2 5 6 2" xfId="5042" xr:uid="{00000000-0005-0000-0000-0000A4130000}"/>
    <cellStyle name="0_area wise qty 30.3.08 (1) 2 5 7" xfId="5043" xr:uid="{00000000-0005-0000-0000-0000A5130000}"/>
    <cellStyle name="0_area wise qty 30.3.08 (1) 2 5 7 2" xfId="5044" xr:uid="{00000000-0005-0000-0000-0000A6130000}"/>
    <cellStyle name="0_area wise qty 30.3.08 (1) 2 5 8" xfId="5045" xr:uid="{00000000-0005-0000-0000-0000A7130000}"/>
    <cellStyle name="0_area wise qty 30.3.08 (1) 2 6" xfId="5046" xr:uid="{00000000-0005-0000-0000-0000A8130000}"/>
    <cellStyle name="0_area wise qty 30.3.08 (1) 2 6 2" xfId="5047" xr:uid="{00000000-0005-0000-0000-0000A9130000}"/>
    <cellStyle name="0_area wise qty 30.3.08 (1) 2 6 2 2" xfId="5048" xr:uid="{00000000-0005-0000-0000-0000AA130000}"/>
    <cellStyle name="0_area wise qty 30.3.08 (1) 2 6 2 2 2" xfId="5049" xr:uid="{00000000-0005-0000-0000-0000AB130000}"/>
    <cellStyle name="0_area wise qty 30.3.08 (1) 2 6 2 2 2 2" xfId="5050" xr:uid="{00000000-0005-0000-0000-0000AC130000}"/>
    <cellStyle name="0_area wise qty 30.3.08 (1) 2 6 2 2 3" xfId="5051" xr:uid="{00000000-0005-0000-0000-0000AD130000}"/>
    <cellStyle name="0_area wise qty 30.3.08 (1) 2 6 2 2 3 2" xfId="5052" xr:uid="{00000000-0005-0000-0000-0000AE130000}"/>
    <cellStyle name="0_area wise qty 30.3.08 (1) 2 6 2 2 4" xfId="5053" xr:uid="{00000000-0005-0000-0000-0000AF130000}"/>
    <cellStyle name="0_area wise qty 30.3.08 (1) 2 6 2 3" xfId="5054" xr:uid="{00000000-0005-0000-0000-0000B0130000}"/>
    <cellStyle name="0_area wise qty 30.3.08 (1) 2 6 2 3 2" xfId="5055" xr:uid="{00000000-0005-0000-0000-0000B1130000}"/>
    <cellStyle name="0_area wise qty 30.3.08 (1) 2 6 2 3 2 2" xfId="5056" xr:uid="{00000000-0005-0000-0000-0000B2130000}"/>
    <cellStyle name="0_area wise qty 30.3.08 (1) 2 6 2 3 3" xfId="5057" xr:uid="{00000000-0005-0000-0000-0000B3130000}"/>
    <cellStyle name="0_area wise qty 30.3.08 (1) 2 6 2 3 3 2" xfId="5058" xr:uid="{00000000-0005-0000-0000-0000B4130000}"/>
    <cellStyle name="0_area wise qty 30.3.08 (1) 2 6 2 3 4" xfId="5059" xr:uid="{00000000-0005-0000-0000-0000B5130000}"/>
    <cellStyle name="0_area wise qty 30.3.08 (1) 2 6 2 4" xfId="5060" xr:uid="{00000000-0005-0000-0000-0000B6130000}"/>
    <cellStyle name="0_area wise qty 30.3.08 (1) 2 6 2 4 2" xfId="5061" xr:uid="{00000000-0005-0000-0000-0000B7130000}"/>
    <cellStyle name="0_area wise qty 30.3.08 (1) 2 6 2 5" xfId="5062" xr:uid="{00000000-0005-0000-0000-0000B8130000}"/>
    <cellStyle name="0_area wise qty 30.3.08 (1) 2 6 2 5 2" xfId="5063" xr:uid="{00000000-0005-0000-0000-0000B9130000}"/>
    <cellStyle name="0_area wise qty 30.3.08 (1) 2 6 2 6" xfId="5064" xr:uid="{00000000-0005-0000-0000-0000BA130000}"/>
    <cellStyle name="0_area wise qty 30.3.08 (1) 2 6 3" xfId="5065" xr:uid="{00000000-0005-0000-0000-0000BB130000}"/>
    <cellStyle name="0_area wise qty 30.3.08 (1) 2 6 3 2" xfId="5066" xr:uid="{00000000-0005-0000-0000-0000BC130000}"/>
    <cellStyle name="0_area wise qty 30.3.08 (1) 2 6 3 2 2" xfId="5067" xr:uid="{00000000-0005-0000-0000-0000BD130000}"/>
    <cellStyle name="0_area wise qty 30.3.08 (1) 2 6 3 3" xfId="5068" xr:uid="{00000000-0005-0000-0000-0000BE130000}"/>
    <cellStyle name="0_area wise qty 30.3.08 (1) 2 6 3 3 2" xfId="5069" xr:uid="{00000000-0005-0000-0000-0000BF130000}"/>
    <cellStyle name="0_area wise qty 30.3.08 (1) 2 6 3 4" xfId="5070" xr:uid="{00000000-0005-0000-0000-0000C0130000}"/>
    <cellStyle name="0_area wise qty 30.3.08 (1) 2 6 4" xfId="5071" xr:uid="{00000000-0005-0000-0000-0000C1130000}"/>
    <cellStyle name="0_area wise qty 30.3.08 (1) 2 6 4 2" xfId="5072" xr:uid="{00000000-0005-0000-0000-0000C2130000}"/>
    <cellStyle name="0_area wise qty 30.3.08 (1) 2 6 4 2 2" xfId="5073" xr:uid="{00000000-0005-0000-0000-0000C3130000}"/>
    <cellStyle name="0_area wise qty 30.3.08 (1) 2 6 4 3" xfId="5074" xr:uid="{00000000-0005-0000-0000-0000C4130000}"/>
    <cellStyle name="0_area wise qty 30.3.08 (1) 2 6 4 3 2" xfId="5075" xr:uid="{00000000-0005-0000-0000-0000C5130000}"/>
    <cellStyle name="0_area wise qty 30.3.08 (1) 2 6 4 4" xfId="5076" xr:uid="{00000000-0005-0000-0000-0000C6130000}"/>
    <cellStyle name="0_area wise qty 30.3.08 (1) 2 6 5" xfId="5077" xr:uid="{00000000-0005-0000-0000-0000C7130000}"/>
    <cellStyle name="0_area wise qty 30.3.08 (1) 2 6 5 2" xfId="5078" xr:uid="{00000000-0005-0000-0000-0000C8130000}"/>
    <cellStyle name="0_area wise qty 30.3.08 (1) 2 6 5 2 2" xfId="5079" xr:uid="{00000000-0005-0000-0000-0000C9130000}"/>
    <cellStyle name="0_area wise qty 30.3.08 (1) 2 6 5 3" xfId="5080" xr:uid="{00000000-0005-0000-0000-0000CA130000}"/>
    <cellStyle name="0_area wise qty 30.3.08 (1) 2 6 5 3 2" xfId="5081" xr:uid="{00000000-0005-0000-0000-0000CB130000}"/>
    <cellStyle name="0_area wise qty 30.3.08 (1) 2 6 5 4" xfId="5082" xr:uid="{00000000-0005-0000-0000-0000CC130000}"/>
    <cellStyle name="0_area wise qty 30.3.08 (1) 2 6 6" xfId="5083" xr:uid="{00000000-0005-0000-0000-0000CD130000}"/>
    <cellStyle name="0_area wise qty 30.3.08 (1) 2 6 6 2" xfId="5084" xr:uid="{00000000-0005-0000-0000-0000CE130000}"/>
    <cellStyle name="0_area wise qty 30.3.08 (1) 2 6 7" xfId="5085" xr:uid="{00000000-0005-0000-0000-0000CF130000}"/>
    <cellStyle name="0_area wise qty 30.3.08 (1) 2 6 7 2" xfId="5086" xr:uid="{00000000-0005-0000-0000-0000D0130000}"/>
    <cellStyle name="0_area wise qty 30.3.08 (1) 2 6 8" xfId="5087" xr:uid="{00000000-0005-0000-0000-0000D1130000}"/>
    <cellStyle name="0_area wise qty 30.3.08 (1) 2 7" xfId="5088" xr:uid="{00000000-0005-0000-0000-0000D2130000}"/>
    <cellStyle name="0_area wise qty 30.3.08 (1) 2 7 2" xfId="5089" xr:uid="{00000000-0005-0000-0000-0000D3130000}"/>
    <cellStyle name="0_area wise qty 30.3.08 (1) 2 7 2 2" xfId="5090" xr:uid="{00000000-0005-0000-0000-0000D4130000}"/>
    <cellStyle name="0_area wise qty 30.3.08 (1) 2 7 2 2 2" xfId="5091" xr:uid="{00000000-0005-0000-0000-0000D5130000}"/>
    <cellStyle name="0_area wise qty 30.3.08 (1) 2 7 2 3" xfId="5092" xr:uid="{00000000-0005-0000-0000-0000D6130000}"/>
    <cellStyle name="0_area wise qty 30.3.08 (1) 2 7 2 3 2" xfId="5093" xr:uid="{00000000-0005-0000-0000-0000D7130000}"/>
    <cellStyle name="0_area wise qty 30.3.08 (1) 2 7 2 4" xfId="5094" xr:uid="{00000000-0005-0000-0000-0000D8130000}"/>
    <cellStyle name="0_area wise qty 30.3.08 (1) 2 7 3" xfId="5095" xr:uid="{00000000-0005-0000-0000-0000D9130000}"/>
    <cellStyle name="0_area wise qty 30.3.08 (1) 2 7 3 2" xfId="5096" xr:uid="{00000000-0005-0000-0000-0000DA130000}"/>
    <cellStyle name="0_area wise qty 30.3.08 (1) 2 7 3 2 2" xfId="5097" xr:uid="{00000000-0005-0000-0000-0000DB130000}"/>
    <cellStyle name="0_area wise qty 30.3.08 (1) 2 7 3 3" xfId="5098" xr:uid="{00000000-0005-0000-0000-0000DC130000}"/>
    <cellStyle name="0_area wise qty 30.3.08 (1) 2 7 3 3 2" xfId="5099" xr:uid="{00000000-0005-0000-0000-0000DD130000}"/>
    <cellStyle name="0_area wise qty 30.3.08 (1) 2 7 3 4" xfId="5100" xr:uid="{00000000-0005-0000-0000-0000DE130000}"/>
    <cellStyle name="0_area wise qty 30.3.08 (1) 2 7 4" xfId="5101" xr:uid="{00000000-0005-0000-0000-0000DF130000}"/>
    <cellStyle name="0_area wise qty 30.3.08 (1) 2 7 4 2" xfId="5102" xr:uid="{00000000-0005-0000-0000-0000E0130000}"/>
    <cellStyle name="0_area wise qty 30.3.08 (1) 2 7 5" xfId="5103" xr:uid="{00000000-0005-0000-0000-0000E1130000}"/>
    <cellStyle name="0_area wise qty 30.3.08 (1) 2 7 5 2" xfId="5104" xr:uid="{00000000-0005-0000-0000-0000E2130000}"/>
    <cellStyle name="0_area wise qty 30.3.08 (1) 2 7 6" xfId="5105" xr:uid="{00000000-0005-0000-0000-0000E3130000}"/>
    <cellStyle name="0_area wise qty 30.3.08 (1) 2 8" xfId="5106" xr:uid="{00000000-0005-0000-0000-0000E4130000}"/>
    <cellStyle name="0_area wise qty 30.3.08 (1) 2 8 2" xfId="5107" xr:uid="{00000000-0005-0000-0000-0000E5130000}"/>
    <cellStyle name="0_area wise qty 30.3.08 (1) 2 8 2 2" xfId="5108" xr:uid="{00000000-0005-0000-0000-0000E6130000}"/>
    <cellStyle name="0_area wise qty 30.3.08 (1) 2 8 3" xfId="5109" xr:uid="{00000000-0005-0000-0000-0000E7130000}"/>
    <cellStyle name="0_area wise qty 30.3.08 (1) 2 8 3 2" xfId="5110" xr:uid="{00000000-0005-0000-0000-0000E8130000}"/>
    <cellStyle name="0_area wise qty 30.3.08 (1) 2 8 4" xfId="5111" xr:uid="{00000000-0005-0000-0000-0000E9130000}"/>
    <cellStyle name="0_area wise qty 30.3.08 (1) 2 9" xfId="5112" xr:uid="{00000000-0005-0000-0000-0000EA130000}"/>
    <cellStyle name="0_area wise qty 30.3.08 (1) 2 9 2" xfId="5113" xr:uid="{00000000-0005-0000-0000-0000EB130000}"/>
    <cellStyle name="0_area wise qty 30.3.08 (1) 2 9 2 2" xfId="5114" xr:uid="{00000000-0005-0000-0000-0000EC130000}"/>
    <cellStyle name="0_area wise qty 30.3.08 (1) 2 9 3" xfId="5115" xr:uid="{00000000-0005-0000-0000-0000ED130000}"/>
    <cellStyle name="0_area wise qty 30.3.08 (1) 2 9 3 2" xfId="5116" xr:uid="{00000000-0005-0000-0000-0000EE130000}"/>
    <cellStyle name="0_area wise qty 30.3.08 (1) 2 9 4" xfId="5117" xr:uid="{00000000-0005-0000-0000-0000EF130000}"/>
    <cellStyle name="0_area wise qty 30.3.08 (1) 20" xfId="5118" xr:uid="{00000000-0005-0000-0000-0000F0130000}"/>
    <cellStyle name="0_area wise qty 30.3.08 (1) 21" xfId="5119" xr:uid="{00000000-0005-0000-0000-0000F1130000}"/>
    <cellStyle name="0_area wise qty 30.3.08 (1) 3" xfId="5120" xr:uid="{00000000-0005-0000-0000-0000F2130000}"/>
    <cellStyle name="0_area wise qty 30.3.08 (1) 3 10" xfId="5121" xr:uid="{00000000-0005-0000-0000-0000F3130000}"/>
    <cellStyle name="0_area wise qty 30.3.08 (1) 3 10 2" xfId="5122" xr:uid="{00000000-0005-0000-0000-0000F4130000}"/>
    <cellStyle name="0_area wise qty 30.3.08 (1) 3 10 2 2" xfId="5123" xr:uid="{00000000-0005-0000-0000-0000F5130000}"/>
    <cellStyle name="0_area wise qty 30.3.08 (1) 3 10 3" xfId="5124" xr:uid="{00000000-0005-0000-0000-0000F6130000}"/>
    <cellStyle name="0_area wise qty 30.3.08 (1) 3 10 3 2" xfId="5125" xr:uid="{00000000-0005-0000-0000-0000F7130000}"/>
    <cellStyle name="0_area wise qty 30.3.08 (1) 3 10 4" xfId="5126" xr:uid="{00000000-0005-0000-0000-0000F8130000}"/>
    <cellStyle name="0_area wise qty 30.3.08 (1) 3 11" xfId="5127" xr:uid="{00000000-0005-0000-0000-0000F9130000}"/>
    <cellStyle name="0_area wise qty 30.3.08 (1) 3 11 2" xfId="5128" xr:uid="{00000000-0005-0000-0000-0000FA130000}"/>
    <cellStyle name="0_area wise qty 30.3.08 (1) 3 12" xfId="5129" xr:uid="{00000000-0005-0000-0000-0000FB130000}"/>
    <cellStyle name="0_area wise qty 30.3.08 (1) 3 12 2" xfId="5130" xr:uid="{00000000-0005-0000-0000-0000FC130000}"/>
    <cellStyle name="0_area wise qty 30.3.08 (1) 3 13" xfId="5131" xr:uid="{00000000-0005-0000-0000-0000FD130000}"/>
    <cellStyle name="0_area wise qty 30.3.08 (1) 3 2" xfId="5132" xr:uid="{00000000-0005-0000-0000-0000FE130000}"/>
    <cellStyle name="0_area wise qty 30.3.08 (1) 3 2 2" xfId="5133" xr:uid="{00000000-0005-0000-0000-0000FF130000}"/>
    <cellStyle name="0_area wise qty 30.3.08 (1) 3 2 2 2" xfId="5134" xr:uid="{00000000-0005-0000-0000-000000140000}"/>
    <cellStyle name="0_area wise qty 30.3.08 (1) 3 2 2 2 2" xfId="5135" xr:uid="{00000000-0005-0000-0000-000001140000}"/>
    <cellStyle name="0_area wise qty 30.3.08 (1) 3 2 2 2 2 2" xfId="5136" xr:uid="{00000000-0005-0000-0000-000002140000}"/>
    <cellStyle name="0_area wise qty 30.3.08 (1) 3 2 2 2 3" xfId="5137" xr:uid="{00000000-0005-0000-0000-000003140000}"/>
    <cellStyle name="0_area wise qty 30.3.08 (1) 3 2 2 2 3 2" xfId="5138" xr:uid="{00000000-0005-0000-0000-000004140000}"/>
    <cellStyle name="0_area wise qty 30.3.08 (1) 3 2 2 2 4" xfId="5139" xr:uid="{00000000-0005-0000-0000-000005140000}"/>
    <cellStyle name="0_area wise qty 30.3.08 (1) 3 2 2 3" xfId="5140" xr:uid="{00000000-0005-0000-0000-000006140000}"/>
    <cellStyle name="0_area wise qty 30.3.08 (1) 3 2 2 3 2" xfId="5141" xr:uid="{00000000-0005-0000-0000-000007140000}"/>
    <cellStyle name="0_area wise qty 30.3.08 (1) 3 2 2 3 2 2" xfId="5142" xr:uid="{00000000-0005-0000-0000-000008140000}"/>
    <cellStyle name="0_area wise qty 30.3.08 (1) 3 2 2 3 3" xfId="5143" xr:uid="{00000000-0005-0000-0000-000009140000}"/>
    <cellStyle name="0_area wise qty 30.3.08 (1) 3 2 2 3 3 2" xfId="5144" xr:uid="{00000000-0005-0000-0000-00000A140000}"/>
    <cellStyle name="0_area wise qty 30.3.08 (1) 3 2 2 3 4" xfId="5145" xr:uid="{00000000-0005-0000-0000-00000B140000}"/>
    <cellStyle name="0_area wise qty 30.3.08 (1) 3 2 2 4" xfId="5146" xr:uid="{00000000-0005-0000-0000-00000C140000}"/>
    <cellStyle name="0_area wise qty 30.3.08 (1) 3 2 2 4 2" xfId="5147" xr:uid="{00000000-0005-0000-0000-00000D140000}"/>
    <cellStyle name="0_area wise qty 30.3.08 (1) 3 2 2 5" xfId="5148" xr:uid="{00000000-0005-0000-0000-00000E140000}"/>
    <cellStyle name="0_area wise qty 30.3.08 (1) 3 2 2 5 2" xfId="5149" xr:uid="{00000000-0005-0000-0000-00000F140000}"/>
    <cellStyle name="0_area wise qty 30.3.08 (1) 3 2 2 6" xfId="5150" xr:uid="{00000000-0005-0000-0000-000010140000}"/>
    <cellStyle name="0_area wise qty 30.3.08 (1) 3 2 3" xfId="5151" xr:uid="{00000000-0005-0000-0000-000011140000}"/>
    <cellStyle name="0_area wise qty 30.3.08 (1) 3 2 3 2" xfId="5152" xr:uid="{00000000-0005-0000-0000-000012140000}"/>
    <cellStyle name="0_area wise qty 30.3.08 (1) 3 2 3 2 2" xfId="5153" xr:uid="{00000000-0005-0000-0000-000013140000}"/>
    <cellStyle name="0_area wise qty 30.3.08 (1) 3 2 3 3" xfId="5154" xr:uid="{00000000-0005-0000-0000-000014140000}"/>
    <cellStyle name="0_area wise qty 30.3.08 (1) 3 2 3 3 2" xfId="5155" xr:uid="{00000000-0005-0000-0000-000015140000}"/>
    <cellStyle name="0_area wise qty 30.3.08 (1) 3 2 3 4" xfId="5156" xr:uid="{00000000-0005-0000-0000-000016140000}"/>
    <cellStyle name="0_area wise qty 30.3.08 (1) 3 2 4" xfId="5157" xr:uid="{00000000-0005-0000-0000-000017140000}"/>
    <cellStyle name="0_area wise qty 30.3.08 (1) 3 2 4 2" xfId="5158" xr:uid="{00000000-0005-0000-0000-000018140000}"/>
    <cellStyle name="0_area wise qty 30.3.08 (1) 3 2 4 2 2" xfId="5159" xr:uid="{00000000-0005-0000-0000-000019140000}"/>
    <cellStyle name="0_area wise qty 30.3.08 (1) 3 2 4 3" xfId="5160" xr:uid="{00000000-0005-0000-0000-00001A140000}"/>
    <cellStyle name="0_area wise qty 30.3.08 (1) 3 2 4 3 2" xfId="5161" xr:uid="{00000000-0005-0000-0000-00001B140000}"/>
    <cellStyle name="0_area wise qty 30.3.08 (1) 3 2 4 4" xfId="5162" xr:uid="{00000000-0005-0000-0000-00001C140000}"/>
    <cellStyle name="0_area wise qty 30.3.08 (1) 3 2 5" xfId="5163" xr:uid="{00000000-0005-0000-0000-00001D140000}"/>
    <cellStyle name="0_area wise qty 30.3.08 (1) 3 2 5 2" xfId="5164" xr:uid="{00000000-0005-0000-0000-00001E140000}"/>
    <cellStyle name="0_area wise qty 30.3.08 (1) 3 2 5 2 2" xfId="5165" xr:uid="{00000000-0005-0000-0000-00001F140000}"/>
    <cellStyle name="0_area wise qty 30.3.08 (1) 3 2 5 3" xfId="5166" xr:uid="{00000000-0005-0000-0000-000020140000}"/>
    <cellStyle name="0_area wise qty 30.3.08 (1) 3 2 5 3 2" xfId="5167" xr:uid="{00000000-0005-0000-0000-000021140000}"/>
    <cellStyle name="0_area wise qty 30.3.08 (1) 3 2 5 4" xfId="5168" xr:uid="{00000000-0005-0000-0000-000022140000}"/>
    <cellStyle name="0_area wise qty 30.3.08 (1) 3 2 6" xfId="5169" xr:uid="{00000000-0005-0000-0000-000023140000}"/>
    <cellStyle name="0_area wise qty 30.3.08 (1) 3 2 6 2" xfId="5170" xr:uid="{00000000-0005-0000-0000-000024140000}"/>
    <cellStyle name="0_area wise qty 30.3.08 (1) 3 2 7" xfId="5171" xr:uid="{00000000-0005-0000-0000-000025140000}"/>
    <cellStyle name="0_area wise qty 30.3.08 (1) 3 2 7 2" xfId="5172" xr:uid="{00000000-0005-0000-0000-000026140000}"/>
    <cellStyle name="0_area wise qty 30.3.08 (1) 3 2 8" xfId="5173" xr:uid="{00000000-0005-0000-0000-000027140000}"/>
    <cellStyle name="0_area wise qty 30.3.08 (1) 3 3" xfId="5174" xr:uid="{00000000-0005-0000-0000-000028140000}"/>
    <cellStyle name="0_area wise qty 30.3.08 (1) 3 3 2" xfId="5175" xr:uid="{00000000-0005-0000-0000-000029140000}"/>
    <cellStyle name="0_area wise qty 30.3.08 (1) 3 3 2 2" xfId="5176" xr:uid="{00000000-0005-0000-0000-00002A140000}"/>
    <cellStyle name="0_area wise qty 30.3.08 (1) 3 3 2 2 2" xfId="5177" xr:uid="{00000000-0005-0000-0000-00002B140000}"/>
    <cellStyle name="0_area wise qty 30.3.08 (1) 3 3 2 2 2 2" xfId="5178" xr:uid="{00000000-0005-0000-0000-00002C140000}"/>
    <cellStyle name="0_area wise qty 30.3.08 (1) 3 3 2 2 3" xfId="5179" xr:uid="{00000000-0005-0000-0000-00002D140000}"/>
    <cellStyle name="0_area wise qty 30.3.08 (1) 3 3 2 2 3 2" xfId="5180" xr:uid="{00000000-0005-0000-0000-00002E140000}"/>
    <cellStyle name="0_area wise qty 30.3.08 (1) 3 3 2 2 4" xfId="5181" xr:uid="{00000000-0005-0000-0000-00002F140000}"/>
    <cellStyle name="0_area wise qty 30.3.08 (1) 3 3 2 3" xfId="5182" xr:uid="{00000000-0005-0000-0000-000030140000}"/>
    <cellStyle name="0_area wise qty 30.3.08 (1) 3 3 2 3 2" xfId="5183" xr:uid="{00000000-0005-0000-0000-000031140000}"/>
    <cellStyle name="0_area wise qty 30.3.08 (1) 3 3 2 3 2 2" xfId="5184" xr:uid="{00000000-0005-0000-0000-000032140000}"/>
    <cellStyle name="0_area wise qty 30.3.08 (1) 3 3 2 3 3" xfId="5185" xr:uid="{00000000-0005-0000-0000-000033140000}"/>
    <cellStyle name="0_area wise qty 30.3.08 (1) 3 3 2 3 3 2" xfId="5186" xr:uid="{00000000-0005-0000-0000-000034140000}"/>
    <cellStyle name="0_area wise qty 30.3.08 (1) 3 3 2 3 4" xfId="5187" xr:uid="{00000000-0005-0000-0000-000035140000}"/>
    <cellStyle name="0_area wise qty 30.3.08 (1) 3 3 2 4" xfId="5188" xr:uid="{00000000-0005-0000-0000-000036140000}"/>
    <cellStyle name="0_area wise qty 30.3.08 (1) 3 3 2 4 2" xfId="5189" xr:uid="{00000000-0005-0000-0000-000037140000}"/>
    <cellStyle name="0_area wise qty 30.3.08 (1) 3 3 2 5" xfId="5190" xr:uid="{00000000-0005-0000-0000-000038140000}"/>
    <cellStyle name="0_area wise qty 30.3.08 (1) 3 3 2 5 2" xfId="5191" xr:uid="{00000000-0005-0000-0000-000039140000}"/>
    <cellStyle name="0_area wise qty 30.3.08 (1) 3 3 2 6" xfId="5192" xr:uid="{00000000-0005-0000-0000-00003A140000}"/>
    <cellStyle name="0_area wise qty 30.3.08 (1) 3 3 3" xfId="5193" xr:uid="{00000000-0005-0000-0000-00003B140000}"/>
    <cellStyle name="0_area wise qty 30.3.08 (1) 3 3 3 2" xfId="5194" xr:uid="{00000000-0005-0000-0000-00003C140000}"/>
    <cellStyle name="0_area wise qty 30.3.08 (1) 3 3 3 2 2" xfId="5195" xr:uid="{00000000-0005-0000-0000-00003D140000}"/>
    <cellStyle name="0_area wise qty 30.3.08 (1) 3 3 3 3" xfId="5196" xr:uid="{00000000-0005-0000-0000-00003E140000}"/>
    <cellStyle name="0_area wise qty 30.3.08 (1) 3 3 3 3 2" xfId="5197" xr:uid="{00000000-0005-0000-0000-00003F140000}"/>
    <cellStyle name="0_area wise qty 30.3.08 (1) 3 3 3 4" xfId="5198" xr:uid="{00000000-0005-0000-0000-000040140000}"/>
    <cellStyle name="0_area wise qty 30.3.08 (1) 3 3 4" xfId="5199" xr:uid="{00000000-0005-0000-0000-000041140000}"/>
    <cellStyle name="0_area wise qty 30.3.08 (1) 3 3 4 2" xfId="5200" xr:uid="{00000000-0005-0000-0000-000042140000}"/>
    <cellStyle name="0_area wise qty 30.3.08 (1) 3 3 4 2 2" xfId="5201" xr:uid="{00000000-0005-0000-0000-000043140000}"/>
    <cellStyle name="0_area wise qty 30.3.08 (1) 3 3 4 3" xfId="5202" xr:uid="{00000000-0005-0000-0000-000044140000}"/>
    <cellStyle name="0_area wise qty 30.3.08 (1) 3 3 4 3 2" xfId="5203" xr:uid="{00000000-0005-0000-0000-000045140000}"/>
    <cellStyle name="0_area wise qty 30.3.08 (1) 3 3 4 4" xfId="5204" xr:uid="{00000000-0005-0000-0000-000046140000}"/>
    <cellStyle name="0_area wise qty 30.3.08 (1) 3 3 5" xfId="5205" xr:uid="{00000000-0005-0000-0000-000047140000}"/>
    <cellStyle name="0_area wise qty 30.3.08 (1) 3 3 5 2" xfId="5206" xr:uid="{00000000-0005-0000-0000-000048140000}"/>
    <cellStyle name="0_area wise qty 30.3.08 (1) 3 3 5 2 2" xfId="5207" xr:uid="{00000000-0005-0000-0000-000049140000}"/>
    <cellStyle name="0_area wise qty 30.3.08 (1) 3 3 5 3" xfId="5208" xr:uid="{00000000-0005-0000-0000-00004A140000}"/>
    <cellStyle name="0_area wise qty 30.3.08 (1) 3 3 5 3 2" xfId="5209" xr:uid="{00000000-0005-0000-0000-00004B140000}"/>
    <cellStyle name="0_area wise qty 30.3.08 (1) 3 3 5 4" xfId="5210" xr:uid="{00000000-0005-0000-0000-00004C140000}"/>
    <cellStyle name="0_area wise qty 30.3.08 (1) 3 3 6" xfId="5211" xr:uid="{00000000-0005-0000-0000-00004D140000}"/>
    <cellStyle name="0_area wise qty 30.3.08 (1) 3 3 6 2" xfId="5212" xr:uid="{00000000-0005-0000-0000-00004E140000}"/>
    <cellStyle name="0_area wise qty 30.3.08 (1) 3 3 7" xfId="5213" xr:uid="{00000000-0005-0000-0000-00004F140000}"/>
    <cellStyle name="0_area wise qty 30.3.08 (1) 3 3 7 2" xfId="5214" xr:uid="{00000000-0005-0000-0000-000050140000}"/>
    <cellStyle name="0_area wise qty 30.3.08 (1) 3 3 8" xfId="5215" xr:uid="{00000000-0005-0000-0000-000051140000}"/>
    <cellStyle name="0_area wise qty 30.3.08 (1) 3 4" xfId="5216" xr:uid="{00000000-0005-0000-0000-000052140000}"/>
    <cellStyle name="0_area wise qty 30.3.08 (1) 3 4 2" xfId="5217" xr:uid="{00000000-0005-0000-0000-000053140000}"/>
    <cellStyle name="0_area wise qty 30.3.08 (1) 3 4 2 2" xfId="5218" xr:uid="{00000000-0005-0000-0000-000054140000}"/>
    <cellStyle name="0_area wise qty 30.3.08 (1) 3 4 2 2 2" xfId="5219" xr:uid="{00000000-0005-0000-0000-000055140000}"/>
    <cellStyle name="0_area wise qty 30.3.08 (1) 3 4 2 2 2 2" xfId="5220" xr:uid="{00000000-0005-0000-0000-000056140000}"/>
    <cellStyle name="0_area wise qty 30.3.08 (1) 3 4 2 2 3" xfId="5221" xr:uid="{00000000-0005-0000-0000-000057140000}"/>
    <cellStyle name="0_area wise qty 30.3.08 (1) 3 4 2 2 3 2" xfId="5222" xr:uid="{00000000-0005-0000-0000-000058140000}"/>
    <cellStyle name="0_area wise qty 30.3.08 (1) 3 4 2 2 4" xfId="5223" xr:uid="{00000000-0005-0000-0000-000059140000}"/>
    <cellStyle name="0_area wise qty 30.3.08 (1) 3 4 2 3" xfId="5224" xr:uid="{00000000-0005-0000-0000-00005A140000}"/>
    <cellStyle name="0_area wise qty 30.3.08 (1) 3 4 2 3 2" xfId="5225" xr:uid="{00000000-0005-0000-0000-00005B140000}"/>
    <cellStyle name="0_area wise qty 30.3.08 (1) 3 4 2 3 2 2" xfId="5226" xr:uid="{00000000-0005-0000-0000-00005C140000}"/>
    <cellStyle name="0_area wise qty 30.3.08 (1) 3 4 2 3 3" xfId="5227" xr:uid="{00000000-0005-0000-0000-00005D140000}"/>
    <cellStyle name="0_area wise qty 30.3.08 (1) 3 4 2 3 3 2" xfId="5228" xr:uid="{00000000-0005-0000-0000-00005E140000}"/>
    <cellStyle name="0_area wise qty 30.3.08 (1) 3 4 2 3 4" xfId="5229" xr:uid="{00000000-0005-0000-0000-00005F140000}"/>
    <cellStyle name="0_area wise qty 30.3.08 (1) 3 4 2 4" xfId="5230" xr:uid="{00000000-0005-0000-0000-000060140000}"/>
    <cellStyle name="0_area wise qty 30.3.08 (1) 3 4 2 4 2" xfId="5231" xr:uid="{00000000-0005-0000-0000-000061140000}"/>
    <cellStyle name="0_area wise qty 30.3.08 (1) 3 4 2 5" xfId="5232" xr:uid="{00000000-0005-0000-0000-000062140000}"/>
    <cellStyle name="0_area wise qty 30.3.08 (1) 3 4 2 5 2" xfId="5233" xr:uid="{00000000-0005-0000-0000-000063140000}"/>
    <cellStyle name="0_area wise qty 30.3.08 (1) 3 4 2 6" xfId="5234" xr:uid="{00000000-0005-0000-0000-000064140000}"/>
    <cellStyle name="0_area wise qty 30.3.08 (1) 3 4 3" xfId="5235" xr:uid="{00000000-0005-0000-0000-000065140000}"/>
    <cellStyle name="0_area wise qty 30.3.08 (1) 3 4 3 2" xfId="5236" xr:uid="{00000000-0005-0000-0000-000066140000}"/>
    <cellStyle name="0_area wise qty 30.3.08 (1) 3 4 3 2 2" xfId="5237" xr:uid="{00000000-0005-0000-0000-000067140000}"/>
    <cellStyle name="0_area wise qty 30.3.08 (1) 3 4 3 3" xfId="5238" xr:uid="{00000000-0005-0000-0000-000068140000}"/>
    <cellStyle name="0_area wise qty 30.3.08 (1) 3 4 3 3 2" xfId="5239" xr:uid="{00000000-0005-0000-0000-000069140000}"/>
    <cellStyle name="0_area wise qty 30.3.08 (1) 3 4 3 4" xfId="5240" xr:uid="{00000000-0005-0000-0000-00006A140000}"/>
    <cellStyle name="0_area wise qty 30.3.08 (1) 3 4 4" xfId="5241" xr:uid="{00000000-0005-0000-0000-00006B140000}"/>
    <cellStyle name="0_area wise qty 30.3.08 (1) 3 4 4 2" xfId="5242" xr:uid="{00000000-0005-0000-0000-00006C140000}"/>
    <cellStyle name="0_area wise qty 30.3.08 (1) 3 4 4 2 2" xfId="5243" xr:uid="{00000000-0005-0000-0000-00006D140000}"/>
    <cellStyle name="0_area wise qty 30.3.08 (1) 3 4 4 3" xfId="5244" xr:uid="{00000000-0005-0000-0000-00006E140000}"/>
    <cellStyle name="0_area wise qty 30.3.08 (1) 3 4 4 3 2" xfId="5245" xr:uid="{00000000-0005-0000-0000-00006F140000}"/>
    <cellStyle name="0_area wise qty 30.3.08 (1) 3 4 4 4" xfId="5246" xr:uid="{00000000-0005-0000-0000-000070140000}"/>
    <cellStyle name="0_area wise qty 30.3.08 (1) 3 4 5" xfId="5247" xr:uid="{00000000-0005-0000-0000-000071140000}"/>
    <cellStyle name="0_area wise qty 30.3.08 (1) 3 4 5 2" xfId="5248" xr:uid="{00000000-0005-0000-0000-000072140000}"/>
    <cellStyle name="0_area wise qty 30.3.08 (1) 3 4 5 2 2" xfId="5249" xr:uid="{00000000-0005-0000-0000-000073140000}"/>
    <cellStyle name="0_area wise qty 30.3.08 (1) 3 4 5 3" xfId="5250" xr:uid="{00000000-0005-0000-0000-000074140000}"/>
    <cellStyle name="0_area wise qty 30.3.08 (1) 3 4 5 3 2" xfId="5251" xr:uid="{00000000-0005-0000-0000-000075140000}"/>
    <cellStyle name="0_area wise qty 30.3.08 (1) 3 4 5 4" xfId="5252" xr:uid="{00000000-0005-0000-0000-000076140000}"/>
    <cellStyle name="0_area wise qty 30.3.08 (1) 3 4 6" xfId="5253" xr:uid="{00000000-0005-0000-0000-000077140000}"/>
    <cellStyle name="0_area wise qty 30.3.08 (1) 3 4 6 2" xfId="5254" xr:uid="{00000000-0005-0000-0000-000078140000}"/>
    <cellStyle name="0_area wise qty 30.3.08 (1) 3 4 7" xfId="5255" xr:uid="{00000000-0005-0000-0000-000079140000}"/>
    <cellStyle name="0_area wise qty 30.3.08 (1) 3 4 7 2" xfId="5256" xr:uid="{00000000-0005-0000-0000-00007A140000}"/>
    <cellStyle name="0_area wise qty 30.3.08 (1) 3 4 8" xfId="5257" xr:uid="{00000000-0005-0000-0000-00007B140000}"/>
    <cellStyle name="0_area wise qty 30.3.08 (1) 3 5" xfId="5258" xr:uid="{00000000-0005-0000-0000-00007C140000}"/>
    <cellStyle name="0_area wise qty 30.3.08 (1) 3 5 2" xfId="5259" xr:uid="{00000000-0005-0000-0000-00007D140000}"/>
    <cellStyle name="0_area wise qty 30.3.08 (1) 3 5 2 2" xfId="5260" xr:uid="{00000000-0005-0000-0000-00007E140000}"/>
    <cellStyle name="0_area wise qty 30.3.08 (1) 3 5 2 2 2" xfId="5261" xr:uid="{00000000-0005-0000-0000-00007F140000}"/>
    <cellStyle name="0_area wise qty 30.3.08 (1) 3 5 2 2 2 2" xfId="5262" xr:uid="{00000000-0005-0000-0000-000080140000}"/>
    <cellStyle name="0_area wise qty 30.3.08 (1) 3 5 2 2 3" xfId="5263" xr:uid="{00000000-0005-0000-0000-000081140000}"/>
    <cellStyle name="0_area wise qty 30.3.08 (1) 3 5 2 2 3 2" xfId="5264" xr:uid="{00000000-0005-0000-0000-000082140000}"/>
    <cellStyle name="0_area wise qty 30.3.08 (1) 3 5 2 2 4" xfId="5265" xr:uid="{00000000-0005-0000-0000-000083140000}"/>
    <cellStyle name="0_area wise qty 30.3.08 (1) 3 5 2 3" xfId="5266" xr:uid="{00000000-0005-0000-0000-000084140000}"/>
    <cellStyle name="0_area wise qty 30.3.08 (1) 3 5 2 3 2" xfId="5267" xr:uid="{00000000-0005-0000-0000-000085140000}"/>
    <cellStyle name="0_area wise qty 30.3.08 (1) 3 5 2 3 2 2" xfId="5268" xr:uid="{00000000-0005-0000-0000-000086140000}"/>
    <cellStyle name="0_area wise qty 30.3.08 (1) 3 5 2 3 3" xfId="5269" xr:uid="{00000000-0005-0000-0000-000087140000}"/>
    <cellStyle name="0_area wise qty 30.3.08 (1) 3 5 2 3 3 2" xfId="5270" xr:uid="{00000000-0005-0000-0000-000088140000}"/>
    <cellStyle name="0_area wise qty 30.3.08 (1) 3 5 2 3 4" xfId="5271" xr:uid="{00000000-0005-0000-0000-000089140000}"/>
    <cellStyle name="0_area wise qty 30.3.08 (1) 3 5 2 4" xfId="5272" xr:uid="{00000000-0005-0000-0000-00008A140000}"/>
    <cellStyle name="0_area wise qty 30.3.08 (1) 3 5 2 4 2" xfId="5273" xr:uid="{00000000-0005-0000-0000-00008B140000}"/>
    <cellStyle name="0_area wise qty 30.3.08 (1) 3 5 2 5" xfId="5274" xr:uid="{00000000-0005-0000-0000-00008C140000}"/>
    <cellStyle name="0_area wise qty 30.3.08 (1) 3 5 2 5 2" xfId="5275" xr:uid="{00000000-0005-0000-0000-00008D140000}"/>
    <cellStyle name="0_area wise qty 30.3.08 (1) 3 5 2 6" xfId="5276" xr:uid="{00000000-0005-0000-0000-00008E140000}"/>
    <cellStyle name="0_area wise qty 30.3.08 (1) 3 5 3" xfId="5277" xr:uid="{00000000-0005-0000-0000-00008F140000}"/>
    <cellStyle name="0_area wise qty 30.3.08 (1) 3 5 3 2" xfId="5278" xr:uid="{00000000-0005-0000-0000-000090140000}"/>
    <cellStyle name="0_area wise qty 30.3.08 (1) 3 5 3 2 2" xfId="5279" xr:uid="{00000000-0005-0000-0000-000091140000}"/>
    <cellStyle name="0_area wise qty 30.3.08 (1) 3 5 3 3" xfId="5280" xr:uid="{00000000-0005-0000-0000-000092140000}"/>
    <cellStyle name="0_area wise qty 30.3.08 (1) 3 5 3 3 2" xfId="5281" xr:uid="{00000000-0005-0000-0000-000093140000}"/>
    <cellStyle name="0_area wise qty 30.3.08 (1) 3 5 3 4" xfId="5282" xr:uid="{00000000-0005-0000-0000-000094140000}"/>
    <cellStyle name="0_area wise qty 30.3.08 (1) 3 5 4" xfId="5283" xr:uid="{00000000-0005-0000-0000-000095140000}"/>
    <cellStyle name="0_area wise qty 30.3.08 (1) 3 5 4 2" xfId="5284" xr:uid="{00000000-0005-0000-0000-000096140000}"/>
    <cellStyle name="0_area wise qty 30.3.08 (1) 3 5 4 2 2" xfId="5285" xr:uid="{00000000-0005-0000-0000-000097140000}"/>
    <cellStyle name="0_area wise qty 30.3.08 (1) 3 5 4 3" xfId="5286" xr:uid="{00000000-0005-0000-0000-000098140000}"/>
    <cellStyle name="0_area wise qty 30.3.08 (1) 3 5 4 3 2" xfId="5287" xr:uid="{00000000-0005-0000-0000-000099140000}"/>
    <cellStyle name="0_area wise qty 30.3.08 (1) 3 5 4 4" xfId="5288" xr:uid="{00000000-0005-0000-0000-00009A140000}"/>
    <cellStyle name="0_area wise qty 30.3.08 (1) 3 5 5" xfId="5289" xr:uid="{00000000-0005-0000-0000-00009B140000}"/>
    <cellStyle name="0_area wise qty 30.3.08 (1) 3 5 5 2" xfId="5290" xr:uid="{00000000-0005-0000-0000-00009C140000}"/>
    <cellStyle name="0_area wise qty 30.3.08 (1) 3 5 5 2 2" xfId="5291" xr:uid="{00000000-0005-0000-0000-00009D140000}"/>
    <cellStyle name="0_area wise qty 30.3.08 (1) 3 5 5 3" xfId="5292" xr:uid="{00000000-0005-0000-0000-00009E140000}"/>
    <cellStyle name="0_area wise qty 30.3.08 (1) 3 5 5 3 2" xfId="5293" xr:uid="{00000000-0005-0000-0000-00009F140000}"/>
    <cellStyle name="0_area wise qty 30.3.08 (1) 3 5 5 4" xfId="5294" xr:uid="{00000000-0005-0000-0000-0000A0140000}"/>
    <cellStyle name="0_area wise qty 30.3.08 (1) 3 5 6" xfId="5295" xr:uid="{00000000-0005-0000-0000-0000A1140000}"/>
    <cellStyle name="0_area wise qty 30.3.08 (1) 3 5 6 2" xfId="5296" xr:uid="{00000000-0005-0000-0000-0000A2140000}"/>
    <cellStyle name="0_area wise qty 30.3.08 (1) 3 5 7" xfId="5297" xr:uid="{00000000-0005-0000-0000-0000A3140000}"/>
    <cellStyle name="0_area wise qty 30.3.08 (1) 3 5 7 2" xfId="5298" xr:uid="{00000000-0005-0000-0000-0000A4140000}"/>
    <cellStyle name="0_area wise qty 30.3.08 (1) 3 5 8" xfId="5299" xr:uid="{00000000-0005-0000-0000-0000A5140000}"/>
    <cellStyle name="0_area wise qty 30.3.08 (1) 3 6" xfId="5300" xr:uid="{00000000-0005-0000-0000-0000A6140000}"/>
    <cellStyle name="0_area wise qty 30.3.08 (1) 3 6 2" xfId="5301" xr:uid="{00000000-0005-0000-0000-0000A7140000}"/>
    <cellStyle name="0_area wise qty 30.3.08 (1) 3 6 2 2" xfId="5302" xr:uid="{00000000-0005-0000-0000-0000A8140000}"/>
    <cellStyle name="0_area wise qty 30.3.08 (1) 3 6 2 2 2" xfId="5303" xr:uid="{00000000-0005-0000-0000-0000A9140000}"/>
    <cellStyle name="0_area wise qty 30.3.08 (1) 3 6 2 2 2 2" xfId="5304" xr:uid="{00000000-0005-0000-0000-0000AA140000}"/>
    <cellStyle name="0_area wise qty 30.3.08 (1) 3 6 2 2 3" xfId="5305" xr:uid="{00000000-0005-0000-0000-0000AB140000}"/>
    <cellStyle name="0_area wise qty 30.3.08 (1) 3 6 2 2 3 2" xfId="5306" xr:uid="{00000000-0005-0000-0000-0000AC140000}"/>
    <cellStyle name="0_area wise qty 30.3.08 (1) 3 6 2 2 4" xfId="5307" xr:uid="{00000000-0005-0000-0000-0000AD140000}"/>
    <cellStyle name="0_area wise qty 30.3.08 (1) 3 6 2 3" xfId="5308" xr:uid="{00000000-0005-0000-0000-0000AE140000}"/>
    <cellStyle name="0_area wise qty 30.3.08 (1) 3 6 2 3 2" xfId="5309" xr:uid="{00000000-0005-0000-0000-0000AF140000}"/>
    <cellStyle name="0_area wise qty 30.3.08 (1) 3 6 2 3 2 2" xfId="5310" xr:uid="{00000000-0005-0000-0000-0000B0140000}"/>
    <cellStyle name="0_area wise qty 30.3.08 (1) 3 6 2 3 3" xfId="5311" xr:uid="{00000000-0005-0000-0000-0000B1140000}"/>
    <cellStyle name="0_area wise qty 30.3.08 (1) 3 6 2 3 3 2" xfId="5312" xr:uid="{00000000-0005-0000-0000-0000B2140000}"/>
    <cellStyle name="0_area wise qty 30.3.08 (1) 3 6 2 3 4" xfId="5313" xr:uid="{00000000-0005-0000-0000-0000B3140000}"/>
    <cellStyle name="0_area wise qty 30.3.08 (1) 3 6 2 4" xfId="5314" xr:uid="{00000000-0005-0000-0000-0000B4140000}"/>
    <cellStyle name="0_area wise qty 30.3.08 (1) 3 6 2 4 2" xfId="5315" xr:uid="{00000000-0005-0000-0000-0000B5140000}"/>
    <cellStyle name="0_area wise qty 30.3.08 (1) 3 6 2 5" xfId="5316" xr:uid="{00000000-0005-0000-0000-0000B6140000}"/>
    <cellStyle name="0_area wise qty 30.3.08 (1) 3 6 2 5 2" xfId="5317" xr:uid="{00000000-0005-0000-0000-0000B7140000}"/>
    <cellStyle name="0_area wise qty 30.3.08 (1) 3 6 2 6" xfId="5318" xr:uid="{00000000-0005-0000-0000-0000B8140000}"/>
    <cellStyle name="0_area wise qty 30.3.08 (1) 3 6 3" xfId="5319" xr:uid="{00000000-0005-0000-0000-0000B9140000}"/>
    <cellStyle name="0_area wise qty 30.3.08 (1) 3 6 3 2" xfId="5320" xr:uid="{00000000-0005-0000-0000-0000BA140000}"/>
    <cellStyle name="0_area wise qty 30.3.08 (1) 3 6 3 2 2" xfId="5321" xr:uid="{00000000-0005-0000-0000-0000BB140000}"/>
    <cellStyle name="0_area wise qty 30.3.08 (1) 3 6 3 3" xfId="5322" xr:uid="{00000000-0005-0000-0000-0000BC140000}"/>
    <cellStyle name="0_area wise qty 30.3.08 (1) 3 6 3 3 2" xfId="5323" xr:uid="{00000000-0005-0000-0000-0000BD140000}"/>
    <cellStyle name="0_area wise qty 30.3.08 (1) 3 6 3 4" xfId="5324" xr:uid="{00000000-0005-0000-0000-0000BE140000}"/>
    <cellStyle name="0_area wise qty 30.3.08 (1) 3 6 4" xfId="5325" xr:uid="{00000000-0005-0000-0000-0000BF140000}"/>
    <cellStyle name="0_area wise qty 30.3.08 (1) 3 6 4 2" xfId="5326" xr:uid="{00000000-0005-0000-0000-0000C0140000}"/>
    <cellStyle name="0_area wise qty 30.3.08 (1) 3 6 4 2 2" xfId="5327" xr:uid="{00000000-0005-0000-0000-0000C1140000}"/>
    <cellStyle name="0_area wise qty 30.3.08 (1) 3 6 4 3" xfId="5328" xr:uid="{00000000-0005-0000-0000-0000C2140000}"/>
    <cellStyle name="0_area wise qty 30.3.08 (1) 3 6 4 3 2" xfId="5329" xr:uid="{00000000-0005-0000-0000-0000C3140000}"/>
    <cellStyle name="0_area wise qty 30.3.08 (1) 3 6 4 4" xfId="5330" xr:uid="{00000000-0005-0000-0000-0000C4140000}"/>
    <cellStyle name="0_area wise qty 30.3.08 (1) 3 6 5" xfId="5331" xr:uid="{00000000-0005-0000-0000-0000C5140000}"/>
    <cellStyle name="0_area wise qty 30.3.08 (1) 3 6 5 2" xfId="5332" xr:uid="{00000000-0005-0000-0000-0000C6140000}"/>
    <cellStyle name="0_area wise qty 30.3.08 (1) 3 6 5 2 2" xfId="5333" xr:uid="{00000000-0005-0000-0000-0000C7140000}"/>
    <cellStyle name="0_area wise qty 30.3.08 (1) 3 6 5 3" xfId="5334" xr:uid="{00000000-0005-0000-0000-0000C8140000}"/>
    <cellStyle name="0_area wise qty 30.3.08 (1) 3 6 5 3 2" xfId="5335" xr:uid="{00000000-0005-0000-0000-0000C9140000}"/>
    <cellStyle name="0_area wise qty 30.3.08 (1) 3 6 5 4" xfId="5336" xr:uid="{00000000-0005-0000-0000-0000CA140000}"/>
    <cellStyle name="0_area wise qty 30.3.08 (1) 3 6 6" xfId="5337" xr:uid="{00000000-0005-0000-0000-0000CB140000}"/>
    <cellStyle name="0_area wise qty 30.3.08 (1) 3 6 6 2" xfId="5338" xr:uid="{00000000-0005-0000-0000-0000CC140000}"/>
    <cellStyle name="0_area wise qty 30.3.08 (1) 3 6 7" xfId="5339" xr:uid="{00000000-0005-0000-0000-0000CD140000}"/>
    <cellStyle name="0_area wise qty 30.3.08 (1) 3 6 7 2" xfId="5340" xr:uid="{00000000-0005-0000-0000-0000CE140000}"/>
    <cellStyle name="0_area wise qty 30.3.08 (1) 3 6 8" xfId="5341" xr:uid="{00000000-0005-0000-0000-0000CF140000}"/>
    <cellStyle name="0_area wise qty 30.3.08 (1) 3 7" xfId="5342" xr:uid="{00000000-0005-0000-0000-0000D0140000}"/>
    <cellStyle name="0_area wise qty 30.3.08 (1) 3 7 2" xfId="5343" xr:uid="{00000000-0005-0000-0000-0000D1140000}"/>
    <cellStyle name="0_area wise qty 30.3.08 (1) 3 7 2 2" xfId="5344" xr:uid="{00000000-0005-0000-0000-0000D2140000}"/>
    <cellStyle name="0_area wise qty 30.3.08 (1) 3 7 2 2 2" xfId="5345" xr:uid="{00000000-0005-0000-0000-0000D3140000}"/>
    <cellStyle name="0_area wise qty 30.3.08 (1) 3 7 2 3" xfId="5346" xr:uid="{00000000-0005-0000-0000-0000D4140000}"/>
    <cellStyle name="0_area wise qty 30.3.08 (1) 3 7 2 3 2" xfId="5347" xr:uid="{00000000-0005-0000-0000-0000D5140000}"/>
    <cellStyle name="0_area wise qty 30.3.08 (1) 3 7 2 4" xfId="5348" xr:uid="{00000000-0005-0000-0000-0000D6140000}"/>
    <cellStyle name="0_area wise qty 30.3.08 (1) 3 7 3" xfId="5349" xr:uid="{00000000-0005-0000-0000-0000D7140000}"/>
    <cellStyle name="0_area wise qty 30.3.08 (1) 3 7 3 2" xfId="5350" xr:uid="{00000000-0005-0000-0000-0000D8140000}"/>
    <cellStyle name="0_area wise qty 30.3.08 (1) 3 7 3 2 2" xfId="5351" xr:uid="{00000000-0005-0000-0000-0000D9140000}"/>
    <cellStyle name="0_area wise qty 30.3.08 (1) 3 7 3 3" xfId="5352" xr:uid="{00000000-0005-0000-0000-0000DA140000}"/>
    <cellStyle name="0_area wise qty 30.3.08 (1) 3 7 3 3 2" xfId="5353" xr:uid="{00000000-0005-0000-0000-0000DB140000}"/>
    <cellStyle name="0_area wise qty 30.3.08 (1) 3 7 3 4" xfId="5354" xr:uid="{00000000-0005-0000-0000-0000DC140000}"/>
    <cellStyle name="0_area wise qty 30.3.08 (1) 3 7 4" xfId="5355" xr:uid="{00000000-0005-0000-0000-0000DD140000}"/>
    <cellStyle name="0_area wise qty 30.3.08 (1) 3 7 4 2" xfId="5356" xr:uid="{00000000-0005-0000-0000-0000DE140000}"/>
    <cellStyle name="0_area wise qty 30.3.08 (1) 3 7 5" xfId="5357" xr:uid="{00000000-0005-0000-0000-0000DF140000}"/>
    <cellStyle name="0_area wise qty 30.3.08 (1) 3 7 5 2" xfId="5358" xr:uid="{00000000-0005-0000-0000-0000E0140000}"/>
    <cellStyle name="0_area wise qty 30.3.08 (1) 3 7 6" xfId="5359" xr:uid="{00000000-0005-0000-0000-0000E1140000}"/>
    <cellStyle name="0_area wise qty 30.3.08 (1) 3 8" xfId="5360" xr:uid="{00000000-0005-0000-0000-0000E2140000}"/>
    <cellStyle name="0_area wise qty 30.3.08 (1) 3 8 2" xfId="5361" xr:uid="{00000000-0005-0000-0000-0000E3140000}"/>
    <cellStyle name="0_area wise qty 30.3.08 (1) 3 8 2 2" xfId="5362" xr:uid="{00000000-0005-0000-0000-0000E4140000}"/>
    <cellStyle name="0_area wise qty 30.3.08 (1) 3 8 3" xfId="5363" xr:uid="{00000000-0005-0000-0000-0000E5140000}"/>
    <cellStyle name="0_area wise qty 30.3.08 (1) 3 8 3 2" xfId="5364" xr:uid="{00000000-0005-0000-0000-0000E6140000}"/>
    <cellStyle name="0_area wise qty 30.3.08 (1) 3 8 4" xfId="5365" xr:uid="{00000000-0005-0000-0000-0000E7140000}"/>
    <cellStyle name="0_area wise qty 30.3.08 (1) 3 9" xfId="5366" xr:uid="{00000000-0005-0000-0000-0000E8140000}"/>
    <cellStyle name="0_area wise qty 30.3.08 (1) 3 9 2" xfId="5367" xr:uid="{00000000-0005-0000-0000-0000E9140000}"/>
    <cellStyle name="0_area wise qty 30.3.08 (1) 3 9 2 2" xfId="5368" xr:uid="{00000000-0005-0000-0000-0000EA140000}"/>
    <cellStyle name="0_area wise qty 30.3.08 (1) 3 9 3" xfId="5369" xr:uid="{00000000-0005-0000-0000-0000EB140000}"/>
    <cellStyle name="0_area wise qty 30.3.08 (1) 3 9 3 2" xfId="5370" xr:uid="{00000000-0005-0000-0000-0000EC140000}"/>
    <cellStyle name="0_area wise qty 30.3.08 (1) 3 9 4" xfId="5371" xr:uid="{00000000-0005-0000-0000-0000ED140000}"/>
    <cellStyle name="0_area wise qty 30.3.08 (1) 4" xfId="5372" xr:uid="{00000000-0005-0000-0000-0000EE140000}"/>
    <cellStyle name="0_area wise qty 30.3.08 (1) 4 10" xfId="5373" xr:uid="{00000000-0005-0000-0000-0000EF140000}"/>
    <cellStyle name="0_area wise qty 30.3.08 (1) 4 10 2" xfId="5374" xr:uid="{00000000-0005-0000-0000-0000F0140000}"/>
    <cellStyle name="0_area wise qty 30.3.08 (1) 4 10 2 2" xfId="5375" xr:uid="{00000000-0005-0000-0000-0000F1140000}"/>
    <cellStyle name="0_area wise qty 30.3.08 (1) 4 10 3" xfId="5376" xr:uid="{00000000-0005-0000-0000-0000F2140000}"/>
    <cellStyle name="0_area wise qty 30.3.08 (1) 4 10 3 2" xfId="5377" xr:uid="{00000000-0005-0000-0000-0000F3140000}"/>
    <cellStyle name="0_area wise qty 30.3.08 (1) 4 10 4" xfId="5378" xr:uid="{00000000-0005-0000-0000-0000F4140000}"/>
    <cellStyle name="0_area wise qty 30.3.08 (1) 4 11" xfId="5379" xr:uid="{00000000-0005-0000-0000-0000F5140000}"/>
    <cellStyle name="0_area wise qty 30.3.08 (1) 4 11 2" xfId="5380" xr:uid="{00000000-0005-0000-0000-0000F6140000}"/>
    <cellStyle name="0_area wise qty 30.3.08 (1) 4 12" xfId="5381" xr:uid="{00000000-0005-0000-0000-0000F7140000}"/>
    <cellStyle name="0_area wise qty 30.3.08 (1) 4 12 2" xfId="5382" xr:uid="{00000000-0005-0000-0000-0000F8140000}"/>
    <cellStyle name="0_area wise qty 30.3.08 (1) 4 13" xfId="5383" xr:uid="{00000000-0005-0000-0000-0000F9140000}"/>
    <cellStyle name="0_area wise qty 30.3.08 (1) 4 2" xfId="5384" xr:uid="{00000000-0005-0000-0000-0000FA140000}"/>
    <cellStyle name="0_area wise qty 30.3.08 (1) 4 2 2" xfId="5385" xr:uid="{00000000-0005-0000-0000-0000FB140000}"/>
    <cellStyle name="0_area wise qty 30.3.08 (1) 4 2 2 2" xfId="5386" xr:uid="{00000000-0005-0000-0000-0000FC140000}"/>
    <cellStyle name="0_area wise qty 30.3.08 (1) 4 2 2 2 2" xfId="5387" xr:uid="{00000000-0005-0000-0000-0000FD140000}"/>
    <cellStyle name="0_area wise qty 30.3.08 (1) 4 2 2 2 2 2" xfId="5388" xr:uid="{00000000-0005-0000-0000-0000FE140000}"/>
    <cellStyle name="0_area wise qty 30.3.08 (1) 4 2 2 2 3" xfId="5389" xr:uid="{00000000-0005-0000-0000-0000FF140000}"/>
    <cellStyle name="0_area wise qty 30.3.08 (1) 4 2 2 2 3 2" xfId="5390" xr:uid="{00000000-0005-0000-0000-000000150000}"/>
    <cellStyle name="0_area wise qty 30.3.08 (1) 4 2 2 2 4" xfId="5391" xr:uid="{00000000-0005-0000-0000-000001150000}"/>
    <cellStyle name="0_area wise qty 30.3.08 (1) 4 2 2 3" xfId="5392" xr:uid="{00000000-0005-0000-0000-000002150000}"/>
    <cellStyle name="0_area wise qty 30.3.08 (1) 4 2 2 3 2" xfId="5393" xr:uid="{00000000-0005-0000-0000-000003150000}"/>
    <cellStyle name="0_area wise qty 30.3.08 (1) 4 2 2 3 2 2" xfId="5394" xr:uid="{00000000-0005-0000-0000-000004150000}"/>
    <cellStyle name="0_area wise qty 30.3.08 (1) 4 2 2 3 3" xfId="5395" xr:uid="{00000000-0005-0000-0000-000005150000}"/>
    <cellStyle name="0_area wise qty 30.3.08 (1) 4 2 2 3 3 2" xfId="5396" xr:uid="{00000000-0005-0000-0000-000006150000}"/>
    <cellStyle name="0_area wise qty 30.3.08 (1) 4 2 2 3 4" xfId="5397" xr:uid="{00000000-0005-0000-0000-000007150000}"/>
    <cellStyle name="0_area wise qty 30.3.08 (1) 4 2 2 4" xfId="5398" xr:uid="{00000000-0005-0000-0000-000008150000}"/>
    <cellStyle name="0_area wise qty 30.3.08 (1) 4 2 2 4 2" xfId="5399" xr:uid="{00000000-0005-0000-0000-000009150000}"/>
    <cellStyle name="0_area wise qty 30.3.08 (1) 4 2 2 5" xfId="5400" xr:uid="{00000000-0005-0000-0000-00000A150000}"/>
    <cellStyle name="0_area wise qty 30.3.08 (1) 4 2 2 5 2" xfId="5401" xr:uid="{00000000-0005-0000-0000-00000B150000}"/>
    <cellStyle name="0_area wise qty 30.3.08 (1) 4 2 2 6" xfId="5402" xr:uid="{00000000-0005-0000-0000-00000C150000}"/>
    <cellStyle name="0_area wise qty 30.3.08 (1) 4 2 3" xfId="5403" xr:uid="{00000000-0005-0000-0000-00000D150000}"/>
    <cellStyle name="0_area wise qty 30.3.08 (1) 4 2 3 2" xfId="5404" xr:uid="{00000000-0005-0000-0000-00000E150000}"/>
    <cellStyle name="0_area wise qty 30.3.08 (1) 4 2 3 2 2" xfId="5405" xr:uid="{00000000-0005-0000-0000-00000F150000}"/>
    <cellStyle name="0_area wise qty 30.3.08 (1) 4 2 3 3" xfId="5406" xr:uid="{00000000-0005-0000-0000-000010150000}"/>
    <cellStyle name="0_area wise qty 30.3.08 (1) 4 2 3 3 2" xfId="5407" xr:uid="{00000000-0005-0000-0000-000011150000}"/>
    <cellStyle name="0_area wise qty 30.3.08 (1) 4 2 3 4" xfId="5408" xr:uid="{00000000-0005-0000-0000-000012150000}"/>
    <cellStyle name="0_area wise qty 30.3.08 (1) 4 2 4" xfId="5409" xr:uid="{00000000-0005-0000-0000-000013150000}"/>
    <cellStyle name="0_area wise qty 30.3.08 (1) 4 2 4 2" xfId="5410" xr:uid="{00000000-0005-0000-0000-000014150000}"/>
    <cellStyle name="0_area wise qty 30.3.08 (1) 4 2 4 2 2" xfId="5411" xr:uid="{00000000-0005-0000-0000-000015150000}"/>
    <cellStyle name="0_area wise qty 30.3.08 (1) 4 2 4 3" xfId="5412" xr:uid="{00000000-0005-0000-0000-000016150000}"/>
    <cellStyle name="0_area wise qty 30.3.08 (1) 4 2 4 3 2" xfId="5413" xr:uid="{00000000-0005-0000-0000-000017150000}"/>
    <cellStyle name="0_area wise qty 30.3.08 (1) 4 2 4 4" xfId="5414" xr:uid="{00000000-0005-0000-0000-000018150000}"/>
    <cellStyle name="0_area wise qty 30.3.08 (1) 4 2 5" xfId="5415" xr:uid="{00000000-0005-0000-0000-000019150000}"/>
    <cellStyle name="0_area wise qty 30.3.08 (1) 4 2 5 2" xfId="5416" xr:uid="{00000000-0005-0000-0000-00001A150000}"/>
    <cellStyle name="0_area wise qty 30.3.08 (1) 4 2 5 2 2" xfId="5417" xr:uid="{00000000-0005-0000-0000-00001B150000}"/>
    <cellStyle name="0_area wise qty 30.3.08 (1) 4 2 5 3" xfId="5418" xr:uid="{00000000-0005-0000-0000-00001C150000}"/>
    <cellStyle name="0_area wise qty 30.3.08 (1) 4 2 5 3 2" xfId="5419" xr:uid="{00000000-0005-0000-0000-00001D150000}"/>
    <cellStyle name="0_area wise qty 30.3.08 (1) 4 2 5 4" xfId="5420" xr:uid="{00000000-0005-0000-0000-00001E150000}"/>
    <cellStyle name="0_area wise qty 30.3.08 (1) 4 2 6" xfId="5421" xr:uid="{00000000-0005-0000-0000-00001F150000}"/>
    <cellStyle name="0_area wise qty 30.3.08 (1) 4 2 6 2" xfId="5422" xr:uid="{00000000-0005-0000-0000-000020150000}"/>
    <cellStyle name="0_area wise qty 30.3.08 (1) 4 2 7" xfId="5423" xr:uid="{00000000-0005-0000-0000-000021150000}"/>
    <cellStyle name="0_area wise qty 30.3.08 (1) 4 2 7 2" xfId="5424" xr:uid="{00000000-0005-0000-0000-000022150000}"/>
    <cellStyle name="0_area wise qty 30.3.08 (1) 4 2 8" xfId="5425" xr:uid="{00000000-0005-0000-0000-000023150000}"/>
    <cellStyle name="0_area wise qty 30.3.08 (1) 4 3" xfId="5426" xr:uid="{00000000-0005-0000-0000-000024150000}"/>
    <cellStyle name="0_area wise qty 30.3.08 (1) 4 3 2" xfId="5427" xr:uid="{00000000-0005-0000-0000-000025150000}"/>
    <cellStyle name="0_area wise qty 30.3.08 (1) 4 3 2 2" xfId="5428" xr:uid="{00000000-0005-0000-0000-000026150000}"/>
    <cellStyle name="0_area wise qty 30.3.08 (1) 4 3 2 2 2" xfId="5429" xr:uid="{00000000-0005-0000-0000-000027150000}"/>
    <cellStyle name="0_area wise qty 30.3.08 (1) 4 3 2 2 2 2" xfId="5430" xr:uid="{00000000-0005-0000-0000-000028150000}"/>
    <cellStyle name="0_area wise qty 30.3.08 (1) 4 3 2 2 3" xfId="5431" xr:uid="{00000000-0005-0000-0000-000029150000}"/>
    <cellStyle name="0_area wise qty 30.3.08 (1) 4 3 2 2 3 2" xfId="5432" xr:uid="{00000000-0005-0000-0000-00002A150000}"/>
    <cellStyle name="0_area wise qty 30.3.08 (1) 4 3 2 2 4" xfId="5433" xr:uid="{00000000-0005-0000-0000-00002B150000}"/>
    <cellStyle name="0_area wise qty 30.3.08 (1) 4 3 2 3" xfId="5434" xr:uid="{00000000-0005-0000-0000-00002C150000}"/>
    <cellStyle name="0_area wise qty 30.3.08 (1) 4 3 2 3 2" xfId="5435" xr:uid="{00000000-0005-0000-0000-00002D150000}"/>
    <cellStyle name="0_area wise qty 30.3.08 (1) 4 3 2 3 2 2" xfId="5436" xr:uid="{00000000-0005-0000-0000-00002E150000}"/>
    <cellStyle name="0_area wise qty 30.3.08 (1) 4 3 2 3 3" xfId="5437" xr:uid="{00000000-0005-0000-0000-00002F150000}"/>
    <cellStyle name="0_area wise qty 30.3.08 (1) 4 3 2 3 3 2" xfId="5438" xr:uid="{00000000-0005-0000-0000-000030150000}"/>
    <cellStyle name="0_area wise qty 30.3.08 (1) 4 3 2 3 4" xfId="5439" xr:uid="{00000000-0005-0000-0000-000031150000}"/>
    <cellStyle name="0_area wise qty 30.3.08 (1) 4 3 2 4" xfId="5440" xr:uid="{00000000-0005-0000-0000-000032150000}"/>
    <cellStyle name="0_area wise qty 30.3.08 (1) 4 3 2 4 2" xfId="5441" xr:uid="{00000000-0005-0000-0000-000033150000}"/>
    <cellStyle name="0_area wise qty 30.3.08 (1) 4 3 2 5" xfId="5442" xr:uid="{00000000-0005-0000-0000-000034150000}"/>
    <cellStyle name="0_area wise qty 30.3.08 (1) 4 3 2 5 2" xfId="5443" xr:uid="{00000000-0005-0000-0000-000035150000}"/>
    <cellStyle name="0_area wise qty 30.3.08 (1) 4 3 2 6" xfId="5444" xr:uid="{00000000-0005-0000-0000-000036150000}"/>
    <cellStyle name="0_area wise qty 30.3.08 (1) 4 3 3" xfId="5445" xr:uid="{00000000-0005-0000-0000-000037150000}"/>
    <cellStyle name="0_area wise qty 30.3.08 (1) 4 3 3 2" xfId="5446" xr:uid="{00000000-0005-0000-0000-000038150000}"/>
    <cellStyle name="0_area wise qty 30.3.08 (1) 4 3 3 2 2" xfId="5447" xr:uid="{00000000-0005-0000-0000-000039150000}"/>
    <cellStyle name="0_area wise qty 30.3.08 (1) 4 3 3 3" xfId="5448" xr:uid="{00000000-0005-0000-0000-00003A150000}"/>
    <cellStyle name="0_area wise qty 30.3.08 (1) 4 3 3 3 2" xfId="5449" xr:uid="{00000000-0005-0000-0000-00003B150000}"/>
    <cellStyle name="0_area wise qty 30.3.08 (1) 4 3 3 4" xfId="5450" xr:uid="{00000000-0005-0000-0000-00003C150000}"/>
    <cellStyle name="0_area wise qty 30.3.08 (1) 4 3 4" xfId="5451" xr:uid="{00000000-0005-0000-0000-00003D150000}"/>
    <cellStyle name="0_area wise qty 30.3.08 (1) 4 3 4 2" xfId="5452" xr:uid="{00000000-0005-0000-0000-00003E150000}"/>
    <cellStyle name="0_area wise qty 30.3.08 (1) 4 3 4 2 2" xfId="5453" xr:uid="{00000000-0005-0000-0000-00003F150000}"/>
    <cellStyle name="0_area wise qty 30.3.08 (1) 4 3 4 3" xfId="5454" xr:uid="{00000000-0005-0000-0000-000040150000}"/>
    <cellStyle name="0_area wise qty 30.3.08 (1) 4 3 4 3 2" xfId="5455" xr:uid="{00000000-0005-0000-0000-000041150000}"/>
    <cellStyle name="0_area wise qty 30.3.08 (1) 4 3 4 4" xfId="5456" xr:uid="{00000000-0005-0000-0000-000042150000}"/>
    <cellStyle name="0_area wise qty 30.3.08 (1) 4 3 5" xfId="5457" xr:uid="{00000000-0005-0000-0000-000043150000}"/>
    <cellStyle name="0_area wise qty 30.3.08 (1) 4 3 5 2" xfId="5458" xr:uid="{00000000-0005-0000-0000-000044150000}"/>
    <cellStyle name="0_area wise qty 30.3.08 (1) 4 3 5 2 2" xfId="5459" xr:uid="{00000000-0005-0000-0000-000045150000}"/>
    <cellStyle name="0_area wise qty 30.3.08 (1) 4 3 5 3" xfId="5460" xr:uid="{00000000-0005-0000-0000-000046150000}"/>
    <cellStyle name="0_area wise qty 30.3.08 (1) 4 3 5 3 2" xfId="5461" xr:uid="{00000000-0005-0000-0000-000047150000}"/>
    <cellStyle name="0_area wise qty 30.3.08 (1) 4 3 5 4" xfId="5462" xr:uid="{00000000-0005-0000-0000-000048150000}"/>
    <cellStyle name="0_area wise qty 30.3.08 (1) 4 3 6" xfId="5463" xr:uid="{00000000-0005-0000-0000-000049150000}"/>
    <cellStyle name="0_area wise qty 30.3.08 (1) 4 3 6 2" xfId="5464" xr:uid="{00000000-0005-0000-0000-00004A150000}"/>
    <cellStyle name="0_area wise qty 30.3.08 (1) 4 3 7" xfId="5465" xr:uid="{00000000-0005-0000-0000-00004B150000}"/>
    <cellStyle name="0_area wise qty 30.3.08 (1) 4 3 7 2" xfId="5466" xr:uid="{00000000-0005-0000-0000-00004C150000}"/>
    <cellStyle name="0_area wise qty 30.3.08 (1) 4 3 8" xfId="5467" xr:uid="{00000000-0005-0000-0000-00004D150000}"/>
    <cellStyle name="0_area wise qty 30.3.08 (1) 4 4" xfId="5468" xr:uid="{00000000-0005-0000-0000-00004E150000}"/>
    <cellStyle name="0_area wise qty 30.3.08 (1) 4 4 2" xfId="5469" xr:uid="{00000000-0005-0000-0000-00004F150000}"/>
    <cellStyle name="0_area wise qty 30.3.08 (1) 4 4 2 2" xfId="5470" xr:uid="{00000000-0005-0000-0000-000050150000}"/>
    <cellStyle name="0_area wise qty 30.3.08 (1) 4 4 2 2 2" xfId="5471" xr:uid="{00000000-0005-0000-0000-000051150000}"/>
    <cellStyle name="0_area wise qty 30.3.08 (1) 4 4 2 2 2 2" xfId="5472" xr:uid="{00000000-0005-0000-0000-000052150000}"/>
    <cellStyle name="0_area wise qty 30.3.08 (1) 4 4 2 2 3" xfId="5473" xr:uid="{00000000-0005-0000-0000-000053150000}"/>
    <cellStyle name="0_area wise qty 30.3.08 (1) 4 4 2 2 3 2" xfId="5474" xr:uid="{00000000-0005-0000-0000-000054150000}"/>
    <cellStyle name="0_area wise qty 30.3.08 (1) 4 4 2 2 4" xfId="5475" xr:uid="{00000000-0005-0000-0000-000055150000}"/>
    <cellStyle name="0_area wise qty 30.3.08 (1) 4 4 2 3" xfId="5476" xr:uid="{00000000-0005-0000-0000-000056150000}"/>
    <cellStyle name="0_area wise qty 30.3.08 (1) 4 4 2 3 2" xfId="5477" xr:uid="{00000000-0005-0000-0000-000057150000}"/>
    <cellStyle name="0_area wise qty 30.3.08 (1) 4 4 2 3 2 2" xfId="5478" xr:uid="{00000000-0005-0000-0000-000058150000}"/>
    <cellStyle name="0_area wise qty 30.3.08 (1) 4 4 2 3 3" xfId="5479" xr:uid="{00000000-0005-0000-0000-000059150000}"/>
    <cellStyle name="0_area wise qty 30.3.08 (1) 4 4 2 3 3 2" xfId="5480" xr:uid="{00000000-0005-0000-0000-00005A150000}"/>
    <cellStyle name="0_area wise qty 30.3.08 (1) 4 4 2 3 4" xfId="5481" xr:uid="{00000000-0005-0000-0000-00005B150000}"/>
    <cellStyle name="0_area wise qty 30.3.08 (1) 4 4 2 4" xfId="5482" xr:uid="{00000000-0005-0000-0000-00005C150000}"/>
    <cellStyle name="0_area wise qty 30.3.08 (1) 4 4 2 4 2" xfId="5483" xr:uid="{00000000-0005-0000-0000-00005D150000}"/>
    <cellStyle name="0_area wise qty 30.3.08 (1) 4 4 2 5" xfId="5484" xr:uid="{00000000-0005-0000-0000-00005E150000}"/>
    <cellStyle name="0_area wise qty 30.3.08 (1) 4 4 2 5 2" xfId="5485" xr:uid="{00000000-0005-0000-0000-00005F150000}"/>
    <cellStyle name="0_area wise qty 30.3.08 (1) 4 4 2 6" xfId="5486" xr:uid="{00000000-0005-0000-0000-000060150000}"/>
    <cellStyle name="0_area wise qty 30.3.08 (1) 4 4 3" xfId="5487" xr:uid="{00000000-0005-0000-0000-000061150000}"/>
    <cellStyle name="0_area wise qty 30.3.08 (1) 4 4 3 2" xfId="5488" xr:uid="{00000000-0005-0000-0000-000062150000}"/>
    <cellStyle name="0_area wise qty 30.3.08 (1) 4 4 3 2 2" xfId="5489" xr:uid="{00000000-0005-0000-0000-000063150000}"/>
    <cellStyle name="0_area wise qty 30.3.08 (1) 4 4 3 3" xfId="5490" xr:uid="{00000000-0005-0000-0000-000064150000}"/>
    <cellStyle name="0_area wise qty 30.3.08 (1) 4 4 3 3 2" xfId="5491" xr:uid="{00000000-0005-0000-0000-000065150000}"/>
    <cellStyle name="0_area wise qty 30.3.08 (1) 4 4 3 4" xfId="5492" xr:uid="{00000000-0005-0000-0000-000066150000}"/>
    <cellStyle name="0_area wise qty 30.3.08 (1) 4 4 4" xfId="5493" xr:uid="{00000000-0005-0000-0000-000067150000}"/>
    <cellStyle name="0_area wise qty 30.3.08 (1) 4 4 4 2" xfId="5494" xr:uid="{00000000-0005-0000-0000-000068150000}"/>
    <cellStyle name="0_area wise qty 30.3.08 (1) 4 4 4 2 2" xfId="5495" xr:uid="{00000000-0005-0000-0000-000069150000}"/>
    <cellStyle name="0_area wise qty 30.3.08 (1) 4 4 4 3" xfId="5496" xr:uid="{00000000-0005-0000-0000-00006A150000}"/>
    <cellStyle name="0_area wise qty 30.3.08 (1) 4 4 4 3 2" xfId="5497" xr:uid="{00000000-0005-0000-0000-00006B150000}"/>
    <cellStyle name="0_area wise qty 30.3.08 (1) 4 4 4 4" xfId="5498" xr:uid="{00000000-0005-0000-0000-00006C150000}"/>
    <cellStyle name="0_area wise qty 30.3.08 (1) 4 4 5" xfId="5499" xr:uid="{00000000-0005-0000-0000-00006D150000}"/>
    <cellStyle name="0_area wise qty 30.3.08 (1) 4 4 5 2" xfId="5500" xr:uid="{00000000-0005-0000-0000-00006E150000}"/>
    <cellStyle name="0_area wise qty 30.3.08 (1) 4 4 5 2 2" xfId="5501" xr:uid="{00000000-0005-0000-0000-00006F150000}"/>
    <cellStyle name="0_area wise qty 30.3.08 (1) 4 4 5 3" xfId="5502" xr:uid="{00000000-0005-0000-0000-000070150000}"/>
    <cellStyle name="0_area wise qty 30.3.08 (1) 4 4 5 3 2" xfId="5503" xr:uid="{00000000-0005-0000-0000-000071150000}"/>
    <cellStyle name="0_area wise qty 30.3.08 (1) 4 4 5 4" xfId="5504" xr:uid="{00000000-0005-0000-0000-000072150000}"/>
    <cellStyle name="0_area wise qty 30.3.08 (1) 4 4 6" xfId="5505" xr:uid="{00000000-0005-0000-0000-000073150000}"/>
    <cellStyle name="0_area wise qty 30.3.08 (1) 4 4 6 2" xfId="5506" xr:uid="{00000000-0005-0000-0000-000074150000}"/>
    <cellStyle name="0_area wise qty 30.3.08 (1) 4 4 7" xfId="5507" xr:uid="{00000000-0005-0000-0000-000075150000}"/>
    <cellStyle name="0_area wise qty 30.3.08 (1) 4 4 7 2" xfId="5508" xr:uid="{00000000-0005-0000-0000-000076150000}"/>
    <cellStyle name="0_area wise qty 30.3.08 (1) 4 4 8" xfId="5509" xr:uid="{00000000-0005-0000-0000-000077150000}"/>
    <cellStyle name="0_area wise qty 30.3.08 (1) 4 5" xfId="5510" xr:uid="{00000000-0005-0000-0000-000078150000}"/>
    <cellStyle name="0_area wise qty 30.3.08 (1) 4 5 2" xfId="5511" xr:uid="{00000000-0005-0000-0000-000079150000}"/>
    <cellStyle name="0_area wise qty 30.3.08 (1) 4 5 2 2" xfId="5512" xr:uid="{00000000-0005-0000-0000-00007A150000}"/>
    <cellStyle name="0_area wise qty 30.3.08 (1) 4 5 2 2 2" xfId="5513" xr:uid="{00000000-0005-0000-0000-00007B150000}"/>
    <cellStyle name="0_area wise qty 30.3.08 (1) 4 5 2 2 2 2" xfId="5514" xr:uid="{00000000-0005-0000-0000-00007C150000}"/>
    <cellStyle name="0_area wise qty 30.3.08 (1) 4 5 2 2 3" xfId="5515" xr:uid="{00000000-0005-0000-0000-00007D150000}"/>
    <cellStyle name="0_area wise qty 30.3.08 (1) 4 5 2 2 3 2" xfId="5516" xr:uid="{00000000-0005-0000-0000-00007E150000}"/>
    <cellStyle name="0_area wise qty 30.3.08 (1) 4 5 2 2 4" xfId="5517" xr:uid="{00000000-0005-0000-0000-00007F150000}"/>
    <cellStyle name="0_area wise qty 30.3.08 (1) 4 5 2 3" xfId="5518" xr:uid="{00000000-0005-0000-0000-000080150000}"/>
    <cellStyle name="0_area wise qty 30.3.08 (1) 4 5 2 3 2" xfId="5519" xr:uid="{00000000-0005-0000-0000-000081150000}"/>
    <cellStyle name="0_area wise qty 30.3.08 (1) 4 5 2 3 2 2" xfId="5520" xr:uid="{00000000-0005-0000-0000-000082150000}"/>
    <cellStyle name="0_area wise qty 30.3.08 (1) 4 5 2 3 3" xfId="5521" xr:uid="{00000000-0005-0000-0000-000083150000}"/>
    <cellStyle name="0_area wise qty 30.3.08 (1) 4 5 2 3 3 2" xfId="5522" xr:uid="{00000000-0005-0000-0000-000084150000}"/>
    <cellStyle name="0_area wise qty 30.3.08 (1) 4 5 2 3 4" xfId="5523" xr:uid="{00000000-0005-0000-0000-000085150000}"/>
    <cellStyle name="0_area wise qty 30.3.08 (1) 4 5 2 4" xfId="5524" xr:uid="{00000000-0005-0000-0000-000086150000}"/>
    <cellStyle name="0_area wise qty 30.3.08 (1) 4 5 2 4 2" xfId="5525" xr:uid="{00000000-0005-0000-0000-000087150000}"/>
    <cellStyle name="0_area wise qty 30.3.08 (1) 4 5 2 5" xfId="5526" xr:uid="{00000000-0005-0000-0000-000088150000}"/>
    <cellStyle name="0_area wise qty 30.3.08 (1) 4 5 2 5 2" xfId="5527" xr:uid="{00000000-0005-0000-0000-000089150000}"/>
    <cellStyle name="0_area wise qty 30.3.08 (1) 4 5 2 6" xfId="5528" xr:uid="{00000000-0005-0000-0000-00008A150000}"/>
    <cellStyle name="0_area wise qty 30.3.08 (1) 4 5 3" xfId="5529" xr:uid="{00000000-0005-0000-0000-00008B150000}"/>
    <cellStyle name="0_area wise qty 30.3.08 (1) 4 5 3 2" xfId="5530" xr:uid="{00000000-0005-0000-0000-00008C150000}"/>
    <cellStyle name="0_area wise qty 30.3.08 (1) 4 5 3 2 2" xfId="5531" xr:uid="{00000000-0005-0000-0000-00008D150000}"/>
    <cellStyle name="0_area wise qty 30.3.08 (1) 4 5 3 3" xfId="5532" xr:uid="{00000000-0005-0000-0000-00008E150000}"/>
    <cellStyle name="0_area wise qty 30.3.08 (1) 4 5 3 3 2" xfId="5533" xr:uid="{00000000-0005-0000-0000-00008F150000}"/>
    <cellStyle name="0_area wise qty 30.3.08 (1) 4 5 3 4" xfId="5534" xr:uid="{00000000-0005-0000-0000-000090150000}"/>
    <cellStyle name="0_area wise qty 30.3.08 (1) 4 5 4" xfId="5535" xr:uid="{00000000-0005-0000-0000-000091150000}"/>
    <cellStyle name="0_area wise qty 30.3.08 (1) 4 5 4 2" xfId="5536" xr:uid="{00000000-0005-0000-0000-000092150000}"/>
    <cellStyle name="0_area wise qty 30.3.08 (1) 4 5 4 2 2" xfId="5537" xr:uid="{00000000-0005-0000-0000-000093150000}"/>
    <cellStyle name="0_area wise qty 30.3.08 (1) 4 5 4 3" xfId="5538" xr:uid="{00000000-0005-0000-0000-000094150000}"/>
    <cellStyle name="0_area wise qty 30.3.08 (1) 4 5 4 3 2" xfId="5539" xr:uid="{00000000-0005-0000-0000-000095150000}"/>
    <cellStyle name="0_area wise qty 30.3.08 (1) 4 5 4 4" xfId="5540" xr:uid="{00000000-0005-0000-0000-000096150000}"/>
    <cellStyle name="0_area wise qty 30.3.08 (1) 4 5 5" xfId="5541" xr:uid="{00000000-0005-0000-0000-000097150000}"/>
    <cellStyle name="0_area wise qty 30.3.08 (1) 4 5 5 2" xfId="5542" xr:uid="{00000000-0005-0000-0000-000098150000}"/>
    <cellStyle name="0_area wise qty 30.3.08 (1) 4 5 5 2 2" xfId="5543" xr:uid="{00000000-0005-0000-0000-000099150000}"/>
    <cellStyle name="0_area wise qty 30.3.08 (1) 4 5 5 3" xfId="5544" xr:uid="{00000000-0005-0000-0000-00009A150000}"/>
    <cellStyle name="0_area wise qty 30.3.08 (1) 4 5 5 3 2" xfId="5545" xr:uid="{00000000-0005-0000-0000-00009B150000}"/>
    <cellStyle name="0_area wise qty 30.3.08 (1) 4 5 5 4" xfId="5546" xr:uid="{00000000-0005-0000-0000-00009C150000}"/>
    <cellStyle name="0_area wise qty 30.3.08 (1) 4 5 6" xfId="5547" xr:uid="{00000000-0005-0000-0000-00009D150000}"/>
    <cellStyle name="0_area wise qty 30.3.08 (1) 4 5 6 2" xfId="5548" xr:uid="{00000000-0005-0000-0000-00009E150000}"/>
    <cellStyle name="0_area wise qty 30.3.08 (1) 4 5 7" xfId="5549" xr:uid="{00000000-0005-0000-0000-00009F150000}"/>
    <cellStyle name="0_area wise qty 30.3.08 (1) 4 5 7 2" xfId="5550" xr:uid="{00000000-0005-0000-0000-0000A0150000}"/>
    <cellStyle name="0_area wise qty 30.3.08 (1) 4 5 8" xfId="5551" xr:uid="{00000000-0005-0000-0000-0000A1150000}"/>
    <cellStyle name="0_area wise qty 30.3.08 (1) 4 6" xfId="5552" xr:uid="{00000000-0005-0000-0000-0000A2150000}"/>
    <cellStyle name="0_area wise qty 30.3.08 (1) 4 6 2" xfId="5553" xr:uid="{00000000-0005-0000-0000-0000A3150000}"/>
    <cellStyle name="0_area wise qty 30.3.08 (1) 4 6 2 2" xfId="5554" xr:uid="{00000000-0005-0000-0000-0000A4150000}"/>
    <cellStyle name="0_area wise qty 30.3.08 (1) 4 6 2 2 2" xfId="5555" xr:uid="{00000000-0005-0000-0000-0000A5150000}"/>
    <cellStyle name="0_area wise qty 30.3.08 (1) 4 6 2 2 2 2" xfId="5556" xr:uid="{00000000-0005-0000-0000-0000A6150000}"/>
    <cellStyle name="0_area wise qty 30.3.08 (1) 4 6 2 2 3" xfId="5557" xr:uid="{00000000-0005-0000-0000-0000A7150000}"/>
    <cellStyle name="0_area wise qty 30.3.08 (1) 4 6 2 2 3 2" xfId="5558" xr:uid="{00000000-0005-0000-0000-0000A8150000}"/>
    <cellStyle name="0_area wise qty 30.3.08 (1) 4 6 2 2 4" xfId="5559" xr:uid="{00000000-0005-0000-0000-0000A9150000}"/>
    <cellStyle name="0_area wise qty 30.3.08 (1) 4 6 2 3" xfId="5560" xr:uid="{00000000-0005-0000-0000-0000AA150000}"/>
    <cellStyle name="0_area wise qty 30.3.08 (1) 4 6 2 3 2" xfId="5561" xr:uid="{00000000-0005-0000-0000-0000AB150000}"/>
    <cellStyle name="0_area wise qty 30.3.08 (1) 4 6 2 3 2 2" xfId="5562" xr:uid="{00000000-0005-0000-0000-0000AC150000}"/>
    <cellStyle name="0_area wise qty 30.3.08 (1) 4 6 2 3 3" xfId="5563" xr:uid="{00000000-0005-0000-0000-0000AD150000}"/>
    <cellStyle name="0_area wise qty 30.3.08 (1) 4 6 2 3 3 2" xfId="5564" xr:uid="{00000000-0005-0000-0000-0000AE150000}"/>
    <cellStyle name="0_area wise qty 30.3.08 (1) 4 6 2 3 4" xfId="5565" xr:uid="{00000000-0005-0000-0000-0000AF150000}"/>
    <cellStyle name="0_area wise qty 30.3.08 (1) 4 6 2 4" xfId="5566" xr:uid="{00000000-0005-0000-0000-0000B0150000}"/>
    <cellStyle name="0_area wise qty 30.3.08 (1) 4 6 2 4 2" xfId="5567" xr:uid="{00000000-0005-0000-0000-0000B1150000}"/>
    <cellStyle name="0_area wise qty 30.3.08 (1) 4 6 2 5" xfId="5568" xr:uid="{00000000-0005-0000-0000-0000B2150000}"/>
    <cellStyle name="0_area wise qty 30.3.08 (1) 4 6 2 5 2" xfId="5569" xr:uid="{00000000-0005-0000-0000-0000B3150000}"/>
    <cellStyle name="0_area wise qty 30.3.08 (1) 4 6 2 6" xfId="5570" xr:uid="{00000000-0005-0000-0000-0000B4150000}"/>
    <cellStyle name="0_area wise qty 30.3.08 (1) 4 6 3" xfId="5571" xr:uid="{00000000-0005-0000-0000-0000B5150000}"/>
    <cellStyle name="0_area wise qty 30.3.08 (1) 4 6 3 2" xfId="5572" xr:uid="{00000000-0005-0000-0000-0000B6150000}"/>
    <cellStyle name="0_area wise qty 30.3.08 (1) 4 6 3 2 2" xfId="5573" xr:uid="{00000000-0005-0000-0000-0000B7150000}"/>
    <cellStyle name="0_area wise qty 30.3.08 (1) 4 6 3 3" xfId="5574" xr:uid="{00000000-0005-0000-0000-0000B8150000}"/>
    <cellStyle name="0_area wise qty 30.3.08 (1) 4 6 3 3 2" xfId="5575" xr:uid="{00000000-0005-0000-0000-0000B9150000}"/>
    <cellStyle name="0_area wise qty 30.3.08 (1) 4 6 3 4" xfId="5576" xr:uid="{00000000-0005-0000-0000-0000BA150000}"/>
    <cellStyle name="0_area wise qty 30.3.08 (1) 4 6 4" xfId="5577" xr:uid="{00000000-0005-0000-0000-0000BB150000}"/>
    <cellStyle name="0_area wise qty 30.3.08 (1) 4 6 4 2" xfId="5578" xr:uid="{00000000-0005-0000-0000-0000BC150000}"/>
    <cellStyle name="0_area wise qty 30.3.08 (1) 4 6 4 2 2" xfId="5579" xr:uid="{00000000-0005-0000-0000-0000BD150000}"/>
    <cellStyle name="0_area wise qty 30.3.08 (1) 4 6 4 3" xfId="5580" xr:uid="{00000000-0005-0000-0000-0000BE150000}"/>
    <cellStyle name="0_area wise qty 30.3.08 (1) 4 6 4 3 2" xfId="5581" xr:uid="{00000000-0005-0000-0000-0000BF150000}"/>
    <cellStyle name="0_area wise qty 30.3.08 (1) 4 6 4 4" xfId="5582" xr:uid="{00000000-0005-0000-0000-0000C0150000}"/>
    <cellStyle name="0_area wise qty 30.3.08 (1) 4 6 5" xfId="5583" xr:uid="{00000000-0005-0000-0000-0000C1150000}"/>
    <cellStyle name="0_area wise qty 30.3.08 (1) 4 6 5 2" xfId="5584" xr:uid="{00000000-0005-0000-0000-0000C2150000}"/>
    <cellStyle name="0_area wise qty 30.3.08 (1) 4 6 5 2 2" xfId="5585" xr:uid="{00000000-0005-0000-0000-0000C3150000}"/>
    <cellStyle name="0_area wise qty 30.3.08 (1) 4 6 5 3" xfId="5586" xr:uid="{00000000-0005-0000-0000-0000C4150000}"/>
    <cellStyle name="0_area wise qty 30.3.08 (1) 4 6 5 3 2" xfId="5587" xr:uid="{00000000-0005-0000-0000-0000C5150000}"/>
    <cellStyle name="0_area wise qty 30.3.08 (1) 4 6 5 4" xfId="5588" xr:uid="{00000000-0005-0000-0000-0000C6150000}"/>
    <cellStyle name="0_area wise qty 30.3.08 (1) 4 6 6" xfId="5589" xr:uid="{00000000-0005-0000-0000-0000C7150000}"/>
    <cellStyle name="0_area wise qty 30.3.08 (1) 4 6 6 2" xfId="5590" xr:uid="{00000000-0005-0000-0000-0000C8150000}"/>
    <cellStyle name="0_area wise qty 30.3.08 (1) 4 6 7" xfId="5591" xr:uid="{00000000-0005-0000-0000-0000C9150000}"/>
    <cellStyle name="0_area wise qty 30.3.08 (1) 4 6 7 2" xfId="5592" xr:uid="{00000000-0005-0000-0000-0000CA150000}"/>
    <cellStyle name="0_area wise qty 30.3.08 (1) 4 6 8" xfId="5593" xr:uid="{00000000-0005-0000-0000-0000CB150000}"/>
    <cellStyle name="0_area wise qty 30.3.08 (1) 4 7" xfId="5594" xr:uid="{00000000-0005-0000-0000-0000CC150000}"/>
    <cellStyle name="0_area wise qty 30.3.08 (1) 4 7 2" xfId="5595" xr:uid="{00000000-0005-0000-0000-0000CD150000}"/>
    <cellStyle name="0_area wise qty 30.3.08 (1) 4 7 2 2" xfId="5596" xr:uid="{00000000-0005-0000-0000-0000CE150000}"/>
    <cellStyle name="0_area wise qty 30.3.08 (1) 4 7 2 2 2" xfId="5597" xr:uid="{00000000-0005-0000-0000-0000CF150000}"/>
    <cellStyle name="0_area wise qty 30.3.08 (1) 4 7 2 3" xfId="5598" xr:uid="{00000000-0005-0000-0000-0000D0150000}"/>
    <cellStyle name="0_area wise qty 30.3.08 (1) 4 7 2 3 2" xfId="5599" xr:uid="{00000000-0005-0000-0000-0000D1150000}"/>
    <cellStyle name="0_area wise qty 30.3.08 (1) 4 7 2 4" xfId="5600" xr:uid="{00000000-0005-0000-0000-0000D2150000}"/>
    <cellStyle name="0_area wise qty 30.3.08 (1) 4 7 3" xfId="5601" xr:uid="{00000000-0005-0000-0000-0000D3150000}"/>
    <cellStyle name="0_area wise qty 30.3.08 (1) 4 7 3 2" xfId="5602" xr:uid="{00000000-0005-0000-0000-0000D4150000}"/>
    <cellStyle name="0_area wise qty 30.3.08 (1) 4 7 3 2 2" xfId="5603" xr:uid="{00000000-0005-0000-0000-0000D5150000}"/>
    <cellStyle name="0_area wise qty 30.3.08 (1) 4 7 3 3" xfId="5604" xr:uid="{00000000-0005-0000-0000-0000D6150000}"/>
    <cellStyle name="0_area wise qty 30.3.08 (1) 4 7 3 3 2" xfId="5605" xr:uid="{00000000-0005-0000-0000-0000D7150000}"/>
    <cellStyle name="0_area wise qty 30.3.08 (1) 4 7 3 4" xfId="5606" xr:uid="{00000000-0005-0000-0000-0000D8150000}"/>
    <cellStyle name="0_area wise qty 30.3.08 (1) 4 7 4" xfId="5607" xr:uid="{00000000-0005-0000-0000-0000D9150000}"/>
    <cellStyle name="0_area wise qty 30.3.08 (1) 4 7 4 2" xfId="5608" xr:uid="{00000000-0005-0000-0000-0000DA150000}"/>
    <cellStyle name="0_area wise qty 30.3.08 (1) 4 7 5" xfId="5609" xr:uid="{00000000-0005-0000-0000-0000DB150000}"/>
    <cellStyle name="0_area wise qty 30.3.08 (1) 4 7 5 2" xfId="5610" xr:uid="{00000000-0005-0000-0000-0000DC150000}"/>
    <cellStyle name="0_area wise qty 30.3.08 (1) 4 7 6" xfId="5611" xr:uid="{00000000-0005-0000-0000-0000DD150000}"/>
    <cellStyle name="0_area wise qty 30.3.08 (1) 4 8" xfId="5612" xr:uid="{00000000-0005-0000-0000-0000DE150000}"/>
    <cellStyle name="0_area wise qty 30.3.08 (1) 4 8 2" xfId="5613" xr:uid="{00000000-0005-0000-0000-0000DF150000}"/>
    <cellStyle name="0_area wise qty 30.3.08 (1) 4 8 2 2" xfId="5614" xr:uid="{00000000-0005-0000-0000-0000E0150000}"/>
    <cellStyle name="0_area wise qty 30.3.08 (1) 4 8 3" xfId="5615" xr:uid="{00000000-0005-0000-0000-0000E1150000}"/>
    <cellStyle name="0_area wise qty 30.3.08 (1) 4 8 3 2" xfId="5616" xr:uid="{00000000-0005-0000-0000-0000E2150000}"/>
    <cellStyle name="0_area wise qty 30.3.08 (1) 4 8 4" xfId="5617" xr:uid="{00000000-0005-0000-0000-0000E3150000}"/>
    <cellStyle name="0_area wise qty 30.3.08 (1) 4 9" xfId="5618" xr:uid="{00000000-0005-0000-0000-0000E4150000}"/>
    <cellStyle name="0_area wise qty 30.3.08 (1) 4 9 2" xfId="5619" xr:uid="{00000000-0005-0000-0000-0000E5150000}"/>
    <cellStyle name="0_area wise qty 30.3.08 (1) 4 9 2 2" xfId="5620" xr:uid="{00000000-0005-0000-0000-0000E6150000}"/>
    <cellStyle name="0_area wise qty 30.3.08 (1) 4 9 3" xfId="5621" xr:uid="{00000000-0005-0000-0000-0000E7150000}"/>
    <cellStyle name="0_area wise qty 30.3.08 (1) 4 9 3 2" xfId="5622" xr:uid="{00000000-0005-0000-0000-0000E8150000}"/>
    <cellStyle name="0_area wise qty 30.3.08 (1) 4 9 4" xfId="5623" xr:uid="{00000000-0005-0000-0000-0000E9150000}"/>
    <cellStyle name="0_area wise qty 30.3.08 (1) 5" xfId="5624" xr:uid="{00000000-0005-0000-0000-0000EA150000}"/>
    <cellStyle name="0_area wise qty 30.3.08 (1) 5 10" xfId="5625" xr:uid="{00000000-0005-0000-0000-0000EB150000}"/>
    <cellStyle name="0_area wise qty 30.3.08 (1) 5 10 2" xfId="5626" xr:uid="{00000000-0005-0000-0000-0000EC150000}"/>
    <cellStyle name="0_area wise qty 30.3.08 (1) 5 10 2 2" xfId="5627" xr:uid="{00000000-0005-0000-0000-0000ED150000}"/>
    <cellStyle name="0_area wise qty 30.3.08 (1) 5 10 3" xfId="5628" xr:uid="{00000000-0005-0000-0000-0000EE150000}"/>
    <cellStyle name="0_area wise qty 30.3.08 (1) 5 10 3 2" xfId="5629" xr:uid="{00000000-0005-0000-0000-0000EF150000}"/>
    <cellStyle name="0_area wise qty 30.3.08 (1) 5 10 4" xfId="5630" xr:uid="{00000000-0005-0000-0000-0000F0150000}"/>
    <cellStyle name="0_area wise qty 30.3.08 (1) 5 11" xfId="5631" xr:uid="{00000000-0005-0000-0000-0000F1150000}"/>
    <cellStyle name="0_area wise qty 30.3.08 (1) 5 11 2" xfId="5632" xr:uid="{00000000-0005-0000-0000-0000F2150000}"/>
    <cellStyle name="0_area wise qty 30.3.08 (1) 5 12" xfId="5633" xr:uid="{00000000-0005-0000-0000-0000F3150000}"/>
    <cellStyle name="0_area wise qty 30.3.08 (1) 5 12 2" xfId="5634" xr:uid="{00000000-0005-0000-0000-0000F4150000}"/>
    <cellStyle name="0_area wise qty 30.3.08 (1) 5 13" xfId="5635" xr:uid="{00000000-0005-0000-0000-0000F5150000}"/>
    <cellStyle name="0_area wise qty 30.3.08 (1) 5 2" xfId="5636" xr:uid="{00000000-0005-0000-0000-0000F6150000}"/>
    <cellStyle name="0_area wise qty 30.3.08 (1) 5 2 2" xfId="5637" xr:uid="{00000000-0005-0000-0000-0000F7150000}"/>
    <cellStyle name="0_area wise qty 30.3.08 (1) 5 2 2 2" xfId="5638" xr:uid="{00000000-0005-0000-0000-0000F8150000}"/>
    <cellStyle name="0_area wise qty 30.3.08 (1) 5 2 2 2 2" xfId="5639" xr:uid="{00000000-0005-0000-0000-0000F9150000}"/>
    <cellStyle name="0_area wise qty 30.3.08 (1) 5 2 2 2 2 2" xfId="5640" xr:uid="{00000000-0005-0000-0000-0000FA150000}"/>
    <cellStyle name="0_area wise qty 30.3.08 (1) 5 2 2 2 3" xfId="5641" xr:uid="{00000000-0005-0000-0000-0000FB150000}"/>
    <cellStyle name="0_area wise qty 30.3.08 (1) 5 2 2 2 3 2" xfId="5642" xr:uid="{00000000-0005-0000-0000-0000FC150000}"/>
    <cellStyle name="0_area wise qty 30.3.08 (1) 5 2 2 2 4" xfId="5643" xr:uid="{00000000-0005-0000-0000-0000FD150000}"/>
    <cellStyle name="0_area wise qty 30.3.08 (1) 5 2 2 3" xfId="5644" xr:uid="{00000000-0005-0000-0000-0000FE150000}"/>
    <cellStyle name="0_area wise qty 30.3.08 (1) 5 2 2 3 2" xfId="5645" xr:uid="{00000000-0005-0000-0000-0000FF150000}"/>
    <cellStyle name="0_area wise qty 30.3.08 (1) 5 2 2 3 2 2" xfId="5646" xr:uid="{00000000-0005-0000-0000-000000160000}"/>
    <cellStyle name="0_area wise qty 30.3.08 (1) 5 2 2 3 3" xfId="5647" xr:uid="{00000000-0005-0000-0000-000001160000}"/>
    <cellStyle name="0_area wise qty 30.3.08 (1) 5 2 2 3 3 2" xfId="5648" xr:uid="{00000000-0005-0000-0000-000002160000}"/>
    <cellStyle name="0_area wise qty 30.3.08 (1) 5 2 2 3 4" xfId="5649" xr:uid="{00000000-0005-0000-0000-000003160000}"/>
    <cellStyle name="0_area wise qty 30.3.08 (1) 5 2 2 4" xfId="5650" xr:uid="{00000000-0005-0000-0000-000004160000}"/>
    <cellStyle name="0_area wise qty 30.3.08 (1) 5 2 2 4 2" xfId="5651" xr:uid="{00000000-0005-0000-0000-000005160000}"/>
    <cellStyle name="0_area wise qty 30.3.08 (1) 5 2 2 5" xfId="5652" xr:uid="{00000000-0005-0000-0000-000006160000}"/>
    <cellStyle name="0_area wise qty 30.3.08 (1) 5 2 2 5 2" xfId="5653" xr:uid="{00000000-0005-0000-0000-000007160000}"/>
    <cellStyle name="0_area wise qty 30.3.08 (1) 5 2 2 6" xfId="5654" xr:uid="{00000000-0005-0000-0000-000008160000}"/>
    <cellStyle name="0_area wise qty 30.3.08 (1) 5 2 3" xfId="5655" xr:uid="{00000000-0005-0000-0000-000009160000}"/>
    <cellStyle name="0_area wise qty 30.3.08 (1) 5 2 3 2" xfId="5656" xr:uid="{00000000-0005-0000-0000-00000A160000}"/>
    <cellStyle name="0_area wise qty 30.3.08 (1) 5 2 3 2 2" xfId="5657" xr:uid="{00000000-0005-0000-0000-00000B160000}"/>
    <cellStyle name="0_area wise qty 30.3.08 (1) 5 2 3 3" xfId="5658" xr:uid="{00000000-0005-0000-0000-00000C160000}"/>
    <cellStyle name="0_area wise qty 30.3.08 (1) 5 2 3 3 2" xfId="5659" xr:uid="{00000000-0005-0000-0000-00000D160000}"/>
    <cellStyle name="0_area wise qty 30.3.08 (1) 5 2 3 4" xfId="5660" xr:uid="{00000000-0005-0000-0000-00000E160000}"/>
    <cellStyle name="0_area wise qty 30.3.08 (1) 5 2 4" xfId="5661" xr:uid="{00000000-0005-0000-0000-00000F160000}"/>
    <cellStyle name="0_area wise qty 30.3.08 (1) 5 2 4 2" xfId="5662" xr:uid="{00000000-0005-0000-0000-000010160000}"/>
    <cellStyle name="0_area wise qty 30.3.08 (1) 5 2 4 2 2" xfId="5663" xr:uid="{00000000-0005-0000-0000-000011160000}"/>
    <cellStyle name="0_area wise qty 30.3.08 (1) 5 2 4 3" xfId="5664" xr:uid="{00000000-0005-0000-0000-000012160000}"/>
    <cellStyle name="0_area wise qty 30.3.08 (1) 5 2 4 3 2" xfId="5665" xr:uid="{00000000-0005-0000-0000-000013160000}"/>
    <cellStyle name="0_area wise qty 30.3.08 (1) 5 2 4 4" xfId="5666" xr:uid="{00000000-0005-0000-0000-000014160000}"/>
    <cellStyle name="0_area wise qty 30.3.08 (1) 5 2 5" xfId="5667" xr:uid="{00000000-0005-0000-0000-000015160000}"/>
    <cellStyle name="0_area wise qty 30.3.08 (1) 5 2 5 2" xfId="5668" xr:uid="{00000000-0005-0000-0000-000016160000}"/>
    <cellStyle name="0_area wise qty 30.3.08 (1) 5 2 5 2 2" xfId="5669" xr:uid="{00000000-0005-0000-0000-000017160000}"/>
    <cellStyle name="0_area wise qty 30.3.08 (1) 5 2 5 3" xfId="5670" xr:uid="{00000000-0005-0000-0000-000018160000}"/>
    <cellStyle name="0_area wise qty 30.3.08 (1) 5 2 5 3 2" xfId="5671" xr:uid="{00000000-0005-0000-0000-000019160000}"/>
    <cellStyle name="0_area wise qty 30.3.08 (1) 5 2 5 4" xfId="5672" xr:uid="{00000000-0005-0000-0000-00001A160000}"/>
    <cellStyle name="0_area wise qty 30.3.08 (1) 5 2 6" xfId="5673" xr:uid="{00000000-0005-0000-0000-00001B160000}"/>
    <cellStyle name="0_area wise qty 30.3.08 (1) 5 2 6 2" xfId="5674" xr:uid="{00000000-0005-0000-0000-00001C160000}"/>
    <cellStyle name="0_area wise qty 30.3.08 (1) 5 2 7" xfId="5675" xr:uid="{00000000-0005-0000-0000-00001D160000}"/>
    <cellStyle name="0_area wise qty 30.3.08 (1) 5 2 7 2" xfId="5676" xr:uid="{00000000-0005-0000-0000-00001E160000}"/>
    <cellStyle name="0_area wise qty 30.3.08 (1) 5 2 8" xfId="5677" xr:uid="{00000000-0005-0000-0000-00001F160000}"/>
    <cellStyle name="0_area wise qty 30.3.08 (1) 5 3" xfId="5678" xr:uid="{00000000-0005-0000-0000-000020160000}"/>
    <cellStyle name="0_area wise qty 30.3.08 (1) 5 3 2" xfId="5679" xr:uid="{00000000-0005-0000-0000-000021160000}"/>
    <cellStyle name="0_area wise qty 30.3.08 (1) 5 3 2 2" xfId="5680" xr:uid="{00000000-0005-0000-0000-000022160000}"/>
    <cellStyle name="0_area wise qty 30.3.08 (1) 5 3 2 2 2" xfId="5681" xr:uid="{00000000-0005-0000-0000-000023160000}"/>
    <cellStyle name="0_area wise qty 30.3.08 (1) 5 3 2 2 2 2" xfId="5682" xr:uid="{00000000-0005-0000-0000-000024160000}"/>
    <cellStyle name="0_area wise qty 30.3.08 (1) 5 3 2 2 3" xfId="5683" xr:uid="{00000000-0005-0000-0000-000025160000}"/>
    <cellStyle name="0_area wise qty 30.3.08 (1) 5 3 2 2 3 2" xfId="5684" xr:uid="{00000000-0005-0000-0000-000026160000}"/>
    <cellStyle name="0_area wise qty 30.3.08 (1) 5 3 2 2 4" xfId="5685" xr:uid="{00000000-0005-0000-0000-000027160000}"/>
    <cellStyle name="0_area wise qty 30.3.08 (1) 5 3 2 3" xfId="5686" xr:uid="{00000000-0005-0000-0000-000028160000}"/>
    <cellStyle name="0_area wise qty 30.3.08 (1) 5 3 2 3 2" xfId="5687" xr:uid="{00000000-0005-0000-0000-000029160000}"/>
    <cellStyle name="0_area wise qty 30.3.08 (1) 5 3 2 3 2 2" xfId="5688" xr:uid="{00000000-0005-0000-0000-00002A160000}"/>
    <cellStyle name="0_area wise qty 30.3.08 (1) 5 3 2 3 3" xfId="5689" xr:uid="{00000000-0005-0000-0000-00002B160000}"/>
    <cellStyle name="0_area wise qty 30.3.08 (1) 5 3 2 3 3 2" xfId="5690" xr:uid="{00000000-0005-0000-0000-00002C160000}"/>
    <cellStyle name="0_area wise qty 30.3.08 (1) 5 3 2 3 4" xfId="5691" xr:uid="{00000000-0005-0000-0000-00002D160000}"/>
    <cellStyle name="0_area wise qty 30.3.08 (1) 5 3 2 4" xfId="5692" xr:uid="{00000000-0005-0000-0000-00002E160000}"/>
    <cellStyle name="0_area wise qty 30.3.08 (1) 5 3 2 4 2" xfId="5693" xr:uid="{00000000-0005-0000-0000-00002F160000}"/>
    <cellStyle name="0_area wise qty 30.3.08 (1) 5 3 2 5" xfId="5694" xr:uid="{00000000-0005-0000-0000-000030160000}"/>
    <cellStyle name="0_area wise qty 30.3.08 (1) 5 3 2 5 2" xfId="5695" xr:uid="{00000000-0005-0000-0000-000031160000}"/>
    <cellStyle name="0_area wise qty 30.3.08 (1) 5 3 2 6" xfId="5696" xr:uid="{00000000-0005-0000-0000-000032160000}"/>
    <cellStyle name="0_area wise qty 30.3.08 (1) 5 3 3" xfId="5697" xr:uid="{00000000-0005-0000-0000-000033160000}"/>
    <cellStyle name="0_area wise qty 30.3.08 (1) 5 3 3 2" xfId="5698" xr:uid="{00000000-0005-0000-0000-000034160000}"/>
    <cellStyle name="0_area wise qty 30.3.08 (1) 5 3 3 2 2" xfId="5699" xr:uid="{00000000-0005-0000-0000-000035160000}"/>
    <cellStyle name="0_area wise qty 30.3.08 (1) 5 3 3 3" xfId="5700" xr:uid="{00000000-0005-0000-0000-000036160000}"/>
    <cellStyle name="0_area wise qty 30.3.08 (1) 5 3 3 3 2" xfId="5701" xr:uid="{00000000-0005-0000-0000-000037160000}"/>
    <cellStyle name="0_area wise qty 30.3.08 (1) 5 3 3 4" xfId="5702" xr:uid="{00000000-0005-0000-0000-000038160000}"/>
    <cellStyle name="0_area wise qty 30.3.08 (1) 5 3 4" xfId="5703" xr:uid="{00000000-0005-0000-0000-000039160000}"/>
    <cellStyle name="0_area wise qty 30.3.08 (1) 5 3 4 2" xfId="5704" xr:uid="{00000000-0005-0000-0000-00003A160000}"/>
    <cellStyle name="0_area wise qty 30.3.08 (1) 5 3 4 2 2" xfId="5705" xr:uid="{00000000-0005-0000-0000-00003B160000}"/>
    <cellStyle name="0_area wise qty 30.3.08 (1) 5 3 4 3" xfId="5706" xr:uid="{00000000-0005-0000-0000-00003C160000}"/>
    <cellStyle name="0_area wise qty 30.3.08 (1) 5 3 4 3 2" xfId="5707" xr:uid="{00000000-0005-0000-0000-00003D160000}"/>
    <cellStyle name="0_area wise qty 30.3.08 (1) 5 3 4 4" xfId="5708" xr:uid="{00000000-0005-0000-0000-00003E160000}"/>
    <cellStyle name="0_area wise qty 30.3.08 (1) 5 3 5" xfId="5709" xr:uid="{00000000-0005-0000-0000-00003F160000}"/>
    <cellStyle name="0_area wise qty 30.3.08 (1) 5 3 5 2" xfId="5710" xr:uid="{00000000-0005-0000-0000-000040160000}"/>
    <cellStyle name="0_area wise qty 30.3.08 (1) 5 3 5 2 2" xfId="5711" xr:uid="{00000000-0005-0000-0000-000041160000}"/>
    <cellStyle name="0_area wise qty 30.3.08 (1) 5 3 5 3" xfId="5712" xr:uid="{00000000-0005-0000-0000-000042160000}"/>
    <cellStyle name="0_area wise qty 30.3.08 (1) 5 3 5 3 2" xfId="5713" xr:uid="{00000000-0005-0000-0000-000043160000}"/>
    <cellStyle name="0_area wise qty 30.3.08 (1) 5 3 5 4" xfId="5714" xr:uid="{00000000-0005-0000-0000-000044160000}"/>
    <cellStyle name="0_area wise qty 30.3.08 (1) 5 3 6" xfId="5715" xr:uid="{00000000-0005-0000-0000-000045160000}"/>
    <cellStyle name="0_area wise qty 30.3.08 (1) 5 3 6 2" xfId="5716" xr:uid="{00000000-0005-0000-0000-000046160000}"/>
    <cellStyle name="0_area wise qty 30.3.08 (1) 5 3 7" xfId="5717" xr:uid="{00000000-0005-0000-0000-000047160000}"/>
    <cellStyle name="0_area wise qty 30.3.08 (1) 5 3 7 2" xfId="5718" xr:uid="{00000000-0005-0000-0000-000048160000}"/>
    <cellStyle name="0_area wise qty 30.3.08 (1) 5 3 8" xfId="5719" xr:uid="{00000000-0005-0000-0000-000049160000}"/>
    <cellStyle name="0_area wise qty 30.3.08 (1) 5 4" xfId="5720" xr:uid="{00000000-0005-0000-0000-00004A160000}"/>
    <cellStyle name="0_area wise qty 30.3.08 (1) 5 4 2" xfId="5721" xr:uid="{00000000-0005-0000-0000-00004B160000}"/>
    <cellStyle name="0_area wise qty 30.3.08 (1) 5 4 2 2" xfId="5722" xr:uid="{00000000-0005-0000-0000-00004C160000}"/>
    <cellStyle name="0_area wise qty 30.3.08 (1) 5 4 2 2 2" xfId="5723" xr:uid="{00000000-0005-0000-0000-00004D160000}"/>
    <cellStyle name="0_area wise qty 30.3.08 (1) 5 4 2 2 2 2" xfId="5724" xr:uid="{00000000-0005-0000-0000-00004E160000}"/>
    <cellStyle name="0_area wise qty 30.3.08 (1) 5 4 2 2 3" xfId="5725" xr:uid="{00000000-0005-0000-0000-00004F160000}"/>
    <cellStyle name="0_area wise qty 30.3.08 (1) 5 4 2 2 3 2" xfId="5726" xr:uid="{00000000-0005-0000-0000-000050160000}"/>
    <cellStyle name="0_area wise qty 30.3.08 (1) 5 4 2 2 4" xfId="5727" xr:uid="{00000000-0005-0000-0000-000051160000}"/>
    <cellStyle name="0_area wise qty 30.3.08 (1) 5 4 2 3" xfId="5728" xr:uid="{00000000-0005-0000-0000-000052160000}"/>
    <cellStyle name="0_area wise qty 30.3.08 (1) 5 4 2 3 2" xfId="5729" xr:uid="{00000000-0005-0000-0000-000053160000}"/>
    <cellStyle name="0_area wise qty 30.3.08 (1) 5 4 2 3 2 2" xfId="5730" xr:uid="{00000000-0005-0000-0000-000054160000}"/>
    <cellStyle name="0_area wise qty 30.3.08 (1) 5 4 2 3 3" xfId="5731" xr:uid="{00000000-0005-0000-0000-000055160000}"/>
    <cellStyle name="0_area wise qty 30.3.08 (1) 5 4 2 3 3 2" xfId="5732" xr:uid="{00000000-0005-0000-0000-000056160000}"/>
    <cellStyle name="0_area wise qty 30.3.08 (1) 5 4 2 3 4" xfId="5733" xr:uid="{00000000-0005-0000-0000-000057160000}"/>
    <cellStyle name="0_area wise qty 30.3.08 (1) 5 4 2 4" xfId="5734" xr:uid="{00000000-0005-0000-0000-000058160000}"/>
    <cellStyle name="0_area wise qty 30.3.08 (1) 5 4 2 4 2" xfId="5735" xr:uid="{00000000-0005-0000-0000-000059160000}"/>
    <cellStyle name="0_area wise qty 30.3.08 (1) 5 4 2 5" xfId="5736" xr:uid="{00000000-0005-0000-0000-00005A160000}"/>
    <cellStyle name="0_area wise qty 30.3.08 (1) 5 4 2 5 2" xfId="5737" xr:uid="{00000000-0005-0000-0000-00005B160000}"/>
    <cellStyle name="0_area wise qty 30.3.08 (1) 5 4 2 6" xfId="5738" xr:uid="{00000000-0005-0000-0000-00005C160000}"/>
    <cellStyle name="0_area wise qty 30.3.08 (1) 5 4 3" xfId="5739" xr:uid="{00000000-0005-0000-0000-00005D160000}"/>
    <cellStyle name="0_area wise qty 30.3.08 (1) 5 4 3 2" xfId="5740" xr:uid="{00000000-0005-0000-0000-00005E160000}"/>
    <cellStyle name="0_area wise qty 30.3.08 (1) 5 4 3 2 2" xfId="5741" xr:uid="{00000000-0005-0000-0000-00005F160000}"/>
    <cellStyle name="0_area wise qty 30.3.08 (1) 5 4 3 3" xfId="5742" xr:uid="{00000000-0005-0000-0000-000060160000}"/>
    <cellStyle name="0_area wise qty 30.3.08 (1) 5 4 3 3 2" xfId="5743" xr:uid="{00000000-0005-0000-0000-000061160000}"/>
    <cellStyle name="0_area wise qty 30.3.08 (1) 5 4 3 4" xfId="5744" xr:uid="{00000000-0005-0000-0000-000062160000}"/>
    <cellStyle name="0_area wise qty 30.3.08 (1) 5 4 4" xfId="5745" xr:uid="{00000000-0005-0000-0000-000063160000}"/>
    <cellStyle name="0_area wise qty 30.3.08 (1) 5 4 4 2" xfId="5746" xr:uid="{00000000-0005-0000-0000-000064160000}"/>
    <cellStyle name="0_area wise qty 30.3.08 (1) 5 4 4 2 2" xfId="5747" xr:uid="{00000000-0005-0000-0000-000065160000}"/>
    <cellStyle name="0_area wise qty 30.3.08 (1) 5 4 4 3" xfId="5748" xr:uid="{00000000-0005-0000-0000-000066160000}"/>
    <cellStyle name="0_area wise qty 30.3.08 (1) 5 4 4 3 2" xfId="5749" xr:uid="{00000000-0005-0000-0000-000067160000}"/>
    <cellStyle name="0_area wise qty 30.3.08 (1) 5 4 4 4" xfId="5750" xr:uid="{00000000-0005-0000-0000-000068160000}"/>
    <cellStyle name="0_area wise qty 30.3.08 (1) 5 4 5" xfId="5751" xr:uid="{00000000-0005-0000-0000-000069160000}"/>
    <cellStyle name="0_area wise qty 30.3.08 (1) 5 4 5 2" xfId="5752" xr:uid="{00000000-0005-0000-0000-00006A160000}"/>
    <cellStyle name="0_area wise qty 30.3.08 (1) 5 4 5 2 2" xfId="5753" xr:uid="{00000000-0005-0000-0000-00006B160000}"/>
    <cellStyle name="0_area wise qty 30.3.08 (1) 5 4 5 3" xfId="5754" xr:uid="{00000000-0005-0000-0000-00006C160000}"/>
    <cellStyle name="0_area wise qty 30.3.08 (1) 5 4 5 3 2" xfId="5755" xr:uid="{00000000-0005-0000-0000-00006D160000}"/>
    <cellStyle name="0_area wise qty 30.3.08 (1) 5 4 5 4" xfId="5756" xr:uid="{00000000-0005-0000-0000-00006E160000}"/>
    <cellStyle name="0_area wise qty 30.3.08 (1) 5 4 6" xfId="5757" xr:uid="{00000000-0005-0000-0000-00006F160000}"/>
    <cellStyle name="0_area wise qty 30.3.08 (1) 5 4 6 2" xfId="5758" xr:uid="{00000000-0005-0000-0000-000070160000}"/>
    <cellStyle name="0_area wise qty 30.3.08 (1) 5 4 7" xfId="5759" xr:uid="{00000000-0005-0000-0000-000071160000}"/>
    <cellStyle name="0_area wise qty 30.3.08 (1) 5 4 7 2" xfId="5760" xr:uid="{00000000-0005-0000-0000-000072160000}"/>
    <cellStyle name="0_area wise qty 30.3.08 (1) 5 4 8" xfId="5761" xr:uid="{00000000-0005-0000-0000-000073160000}"/>
    <cellStyle name="0_area wise qty 30.3.08 (1) 5 5" xfId="5762" xr:uid="{00000000-0005-0000-0000-000074160000}"/>
    <cellStyle name="0_area wise qty 30.3.08 (1) 5 5 2" xfId="5763" xr:uid="{00000000-0005-0000-0000-000075160000}"/>
    <cellStyle name="0_area wise qty 30.3.08 (1) 5 5 2 2" xfId="5764" xr:uid="{00000000-0005-0000-0000-000076160000}"/>
    <cellStyle name="0_area wise qty 30.3.08 (1) 5 5 2 2 2" xfId="5765" xr:uid="{00000000-0005-0000-0000-000077160000}"/>
    <cellStyle name="0_area wise qty 30.3.08 (1) 5 5 2 2 2 2" xfId="5766" xr:uid="{00000000-0005-0000-0000-000078160000}"/>
    <cellStyle name="0_area wise qty 30.3.08 (1) 5 5 2 2 3" xfId="5767" xr:uid="{00000000-0005-0000-0000-000079160000}"/>
    <cellStyle name="0_area wise qty 30.3.08 (1) 5 5 2 2 3 2" xfId="5768" xr:uid="{00000000-0005-0000-0000-00007A160000}"/>
    <cellStyle name="0_area wise qty 30.3.08 (1) 5 5 2 2 4" xfId="5769" xr:uid="{00000000-0005-0000-0000-00007B160000}"/>
    <cellStyle name="0_area wise qty 30.3.08 (1) 5 5 2 3" xfId="5770" xr:uid="{00000000-0005-0000-0000-00007C160000}"/>
    <cellStyle name="0_area wise qty 30.3.08 (1) 5 5 2 3 2" xfId="5771" xr:uid="{00000000-0005-0000-0000-00007D160000}"/>
    <cellStyle name="0_area wise qty 30.3.08 (1) 5 5 2 3 2 2" xfId="5772" xr:uid="{00000000-0005-0000-0000-00007E160000}"/>
    <cellStyle name="0_area wise qty 30.3.08 (1) 5 5 2 3 3" xfId="5773" xr:uid="{00000000-0005-0000-0000-00007F160000}"/>
    <cellStyle name="0_area wise qty 30.3.08 (1) 5 5 2 3 3 2" xfId="5774" xr:uid="{00000000-0005-0000-0000-000080160000}"/>
    <cellStyle name="0_area wise qty 30.3.08 (1) 5 5 2 3 4" xfId="5775" xr:uid="{00000000-0005-0000-0000-000081160000}"/>
    <cellStyle name="0_area wise qty 30.3.08 (1) 5 5 2 4" xfId="5776" xr:uid="{00000000-0005-0000-0000-000082160000}"/>
    <cellStyle name="0_area wise qty 30.3.08 (1) 5 5 2 4 2" xfId="5777" xr:uid="{00000000-0005-0000-0000-000083160000}"/>
    <cellStyle name="0_area wise qty 30.3.08 (1) 5 5 2 5" xfId="5778" xr:uid="{00000000-0005-0000-0000-000084160000}"/>
    <cellStyle name="0_area wise qty 30.3.08 (1) 5 5 2 5 2" xfId="5779" xr:uid="{00000000-0005-0000-0000-000085160000}"/>
    <cellStyle name="0_area wise qty 30.3.08 (1) 5 5 2 6" xfId="5780" xr:uid="{00000000-0005-0000-0000-000086160000}"/>
    <cellStyle name="0_area wise qty 30.3.08 (1) 5 5 3" xfId="5781" xr:uid="{00000000-0005-0000-0000-000087160000}"/>
    <cellStyle name="0_area wise qty 30.3.08 (1) 5 5 3 2" xfId="5782" xr:uid="{00000000-0005-0000-0000-000088160000}"/>
    <cellStyle name="0_area wise qty 30.3.08 (1) 5 5 3 2 2" xfId="5783" xr:uid="{00000000-0005-0000-0000-000089160000}"/>
    <cellStyle name="0_area wise qty 30.3.08 (1) 5 5 3 3" xfId="5784" xr:uid="{00000000-0005-0000-0000-00008A160000}"/>
    <cellStyle name="0_area wise qty 30.3.08 (1) 5 5 3 3 2" xfId="5785" xr:uid="{00000000-0005-0000-0000-00008B160000}"/>
    <cellStyle name="0_area wise qty 30.3.08 (1) 5 5 3 4" xfId="5786" xr:uid="{00000000-0005-0000-0000-00008C160000}"/>
    <cellStyle name="0_area wise qty 30.3.08 (1) 5 5 4" xfId="5787" xr:uid="{00000000-0005-0000-0000-00008D160000}"/>
    <cellStyle name="0_area wise qty 30.3.08 (1) 5 5 4 2" xfId="5788" xr:uid="{00000000-0005-0000-0000-00008E160000}"/>
    <cellStyle name="0_area wise qty 30.3.08 (1) 5 5 4 2 2" xfId="5789" xr:uid="{00000000-0005-0000-0000-00008F160000}"/>
    <cellStyle name="0_area wise qty 30.3.08 (1) 5 5 4 3" xfId="5790" xr:uid="{00000000-0005-0000-0000-000090160000}"/>
    <cellStyle name="0_area wise qty 30.3.08 (1) 5 5 4 3 2" xfId="5791" xr:uid="{00000000-0005-0000-0000-000091160000}"/>
    <cellStyle name="0_area wise qty 30.3.08 (1) 5 5 4 4" xfId="5792" xr:uid="{00000000-0005-0000-0000-000092160000}"/>
    <cellStyle name="0_area wise qty 30.3.08 (1) 5 5 5" xfId="5793" xr:uid="{00000000-0005-0000-0000-000093160000}"/>
    <cellStyle name="0_area wise qty 30.3.08 (1) 5 5 5 2" xfId="5794" xr:uid="{00000000-0005-0000-0000-000094160000}"/>
    <cellStyle name="0_area wise qty 30.3.08 (1) 5 5 5 2 2" xfId="5795" xr:uid="{00000000-0005-0000-0000-000095160000}"/>
    <cellStyle name="0_area wise qty 30.3.08 (1) 5 5 5 3" xfId="5796" xr:uid="{00000000-0005-0000-0000-000096160000}"/>
    <cellStyle name="0_area wise qty 30.3.08 (1) 5 5 5 3 2" xfId="5797" xr:uid="{00000000-0005-0000-0000-000097160000}"/>
    <cellStyle name="0_area wise qty 30.3.08 (1) 5 5 5 4" xfId="5798" xr:uid="{00000000-0005-0000-0000-000098160000}"/>
    <cellStyle name="0_area wise qty 30.3.08 (1) 5 5 6" xfId="5799" xr:uid="{00000000-0005-0000-0000-000099160000}"/>
    <cellStyle name="0_area wise qty 30.3.08 (1) 5 5 6 2" xfId="5800" xr:uid="{00000000-0005-0000-0000-00009A160000}"/>
    <cellStyle name="0_area wise qty 30.3.08 (1) 5 5 7" xfId="5801" xr:uid="{00000000-0005-0000-0000-00009B160000}"/>
    <cellStyle name="0_area wise qty 30.3.08 (1) 5 5 7 2" xfId="5802" xr:uid="{00000000-0005-0000-0000-00009C160000}"/>
    <cellStyle name="0_area wise qty 30.3.08 (1) 5 5 8" xfId="5803" xr:uid="{00000000-0005-0000-0000-00009D160000}"/>
    <cellStyle name="0_area wise qty 30.3.08 (1) 5 6" xfId="5804" xr:uid="{00000000-0005-0000-0000-00009E160000}"/>
    <cellStyle name="0_area wise qty 30.3.08 (1) 5 6 2" xfId="5805" xr:uid="{00000000-0005-0000-0000-00009F160000}"/>
    <cellStyle name="0_area wise qty 30.3.08 (1) 5 6 2 2" xfId="5806" xr:uid="{00000000-0005-0000-0000-0000A0160000}"/>
    <cellStyle name="0_area wise qty 30.3.08 (1) 5 6 2 2 2" xfId="5807" xr:uid="{00000000-0005-0000-0000-0000A1160000}"/>
    <cellStyle name="0_area wise qty 30.3.08 (1) 5 6 2 2 2 2" xfId="5808" xr:uid="{00000000-0005-0000-0000-0000A2160000}"/>
    <cellStyle name="0_area wise qty 30.3.08 (1) 5 6 2 2 3" xfId="5809" xr:uid="{00000000-0005-0000-0000-0000A3160000}"/>
    <cellStyle name="0_area wise qty 30.3.08 (1) 5 6 2 2 3 2" xfId="5810" xr:uid="{00000000-0005-0000-0000-0000A4160000}"/>
    <cellStyle name="0_area wise qty 30.3.08 (1) 5 6 2 2 4" xfId="5811" xr:uid="{00000000-0005-0000-0000-0000A5160000}"/>
    <cellStyle name="0_area wise qty 30.3.08 (1) 5 6 2 3" xfId="5812" xr:uid="{00000000-0005-0000-0000-0000A6160000}"/>
    <cellStyle name="0_area wise qty 30.3.08 (1) 5 6 2 3 2" xfId="5813" xr:uid="{00000000-0005-0000-0000-0000A7160000}"/>
    <cellStyle name="0_area wise qty 30.3.08 (1) 5 6 2 3 2 2" xfId="5814" xr:uid="{00000000-0005-0000-0000-0000A8160000}"/>
    <cellStyle name="0_area wise qty 30.3.08 (1) 5 6 2 3 3" xfId="5815" xr:uid="{00000000-0005-0000-0000-0000A9160000}"/>
    <cellStyle name="0_area wise qty 30.3.08 (1) 5 6 2 3 3 2" xfId="5816" xr:uid="{00000000-0005-0000-0000-0000AA160000}"/>
    <cellStyle name="0_area wise qty 30.3.08 (1) 5 6 2 3 4" xfId="5817" xr:uid="{00000000-0005-0000-0000-0000AB160000}"/>
    <cellStyle name="0_area wise qty 30.3.08 (1) 5 6 2 4" xfId="5818" xr:uid="{00000000-0005-0000-0000-0000AC160000}"/>
    <cellStyle name="0_area wise qty 30.3.08 (1) 5 6 2 4 2" xfId="5819" xr:uid="{00000000-0005-0000-0000-0000AD160000}"/>
    <cellStyle name="0_area wise qty 30.3.08 (1) 5 6 2 5" xfId="5820" xr:uid="{00000000-0005-0000-0000-0000AE160000}"/>
    <cellStyle name="0_area wise qty 30.3.08 (1) 5 6 2 5 2" xfId="5821" xr:uid="{00000000-0005-0000-0000-0000AF160000}"/>
    <cellStyle name="0_area wise qty 30.3.08 (1) 5 6 2 6" xfId="5822" xr:uid="{00000000-0005-0000-0000-0000B0160000}"/>
    <cellStyle name="0_area wise qty 30.3.08 (1) 5 6 3" xfId="5823" xr:uid="{00000000-0005-0000-0000-0000B1160000}"/>
    <cellStyle name="0_area wise qty 30.3.08 (1) 5 6 3 2" xfId="5824" xr:uid="{00000000-0005-0000-0000-0000B2160000}"/>
    <cellStyle name="0_area wise qty 30.3.08 (1) 5 6 3 2 2" xfId="5825" xr:uid="{00000000-0005-0000-0000-0000B3160000}"/>
    <cellStyle name="0_area wise qty 30.3.08 (1) 5 6 3 3" xfId="5826" xr:uid="{00000000-0005-0000-0000-0000B4160000}"/>
    <cellStyle name="0_area wise qty 30.3.08 (1) 5 6 3 3 2" xfId="5827" xr:uid="{00000000-0005-0000-0000-0000B5160000}"/>
    <cellStyle name="0_area wise qty 30.3.08 (1) 5 6 3 4" xfId="5828" xr:uid="{00000000-0005-0000-0000-0000B6160000}"/>
    <cellStyle name="0_area wise qty 30.3.08 (1) 5 6 4" xfId="5829" xr:uid="{00000000-0005-0000-0000-0000B7160000}"/>
    <cellStyle name="0_area wise qty 30.3.08 (1) 5 6 4 2" xfId="5830" xr:uid="{00000000-0005-0000-0000-0000B8160000}"/>
    <cellStyle name="0_area wise qty 30.3.08 (1) 5 6 4 2 2" xfId="5831" xr:uid="{00000000-0005-0000-0000-0000B9160000}"/>
    <cellStyle name="0_area wise qty 30.3.08 (1) 5 6 4 3" xfId="5832" xr:uid="{00000000-0005-0000-0000-0000BA160000}"/>
    <cellStyle name="0_area wise qty 30.3.08 (1) 5 6 4 3 2" xfId="5833" xr:uid="{00000000-0005-0000-0000-0000BB160000}"/>
    <cellStyle name="0_area wise qty 30.3.08 (1) 5 6 4 4" xfId="5834" xr:uid="{00000000-0005-0000-0000-0000BC160000}"/>
    <cellStyle name="0_area wise qty 30.3.08 (1) 5 6 5" xfId="5835" xr:uid="{00000000-0005-0000-0000-0000BD160000}"/>
    <cellStyle name="0_area wise qty 30.3.08 (1) 5 6 5 2" xfId="5836" xr:uid="{00000000-0005-0000-0000-0000BE160000}"/>
    <cellStyle name="0_area wise qty 30.3.08 (1) 5 6 5 2 2" xfId="5837" xr:uid="{00000000-0005-0000-0000-0000BF160000}"/>
    <cellStyle name="0_area wise qty 30.3.08 (1) 5 6 5 3" xfId="5838" xr:uid="{00000000-0005-0000-0000-0000C0160000}"/>
    <cellStyle name="0_area wise qty 30.3.08 (1) 5 6 5 3 2" xfId="5839" xr:uid="{00000000-0005-0000-0000-0000C1160000}"/>
    <cellStyle name="0_area wise qty 30.3.08 (1) 5 6 5 4" xfId="5840" xr:uid="{00000000-0005-0000-0000-0000C2160000}"/>
    <cellStyle name="0_area wise qty 30.3.08 (1) 5 6 6" xfId="5841" xr:uid="{00000000-0005-0000-0000-0000C3160000}"/>
    <cellStyle name="0_area wise qty 30.3.08 (1) 5 6 6 2" xfId="5842" xr:uid="{00000000-0005-0000-0000-0000C4160000}"/>
    <cellStyle name="0_area wise qty 30.3.08 (1) 5 6 7" xfId="5843" xr:uid="{00000000-0005-0000-0000-0000C5160000}"/>
    <cellStyle name="0_area wise qty 30.3.08 (1) 5 6 7 2" xfId="5844" xr:uid="{00000000-0005-0000-0000-0000C6160000}"/>
    <cellStyle name="0_area wise qty 30.3.08 (1) 5 6 8" xfId="5845" xr:uid="{00000000-0005-0000-0000-0000C7160000}"/>
    <cellStyle name="0_area wise qty 30.3.08 (1) 5 7" xfId="5846" xr:uid="{00000000-0005-0000-0000-0000C8160000}"/>
    <cellStyle name="0_area wise qty 30.3.08 (1) 5 7 2" xfId="5847" xr:uid="{00000000-0005-0000-0000-0000C9160000}"/>
    <cellStyle name="0_area wise qty 30.3.08 (1) 5 7 2 2" xfId="5848" xr:uid="{00000000-0005-0000-0000-0000CA160000}"/>
    <cellStyle name="0_area wise qty 30.3.08 (1) 5 7 2 2 2" xfId="5849" xr:uid="{00000000-0005-0000-0000-0000CB160000}"/>
    <cellStyle name="0_area wise qty 30.3.08 (1) 5 7 2 3" xfId="5850" xr:uid="{00000000-0005-0000-0000-0000CC160000}"/>
    <cellStyle name="0_area wise qty 30.3.08 (1) 5 7 2 3 2" xfId="5851" xr:uid="{00000000-0005-0000-0000-0000CD160000}"/>
    <cellStyle name="0_area wise qty 30.3.08 (1) 5 7 2 4" xfId="5852" xr:uid="{00000000-0005-0000-0000-0000CE160000}"/>
    <cellStyle name="0_area wise qty 30.3.08 (1) 5 7 3" xfId="5853" xr:uid="{00000000-0005-0000-0000-0000CF160000}"/>
    <cellStyle name="0_area wise qty 30.3.08 (1) 5 7 3 2" xfId="5854" xr:uid="{00000000-0005-0000-0000-0000D0160000}"/>
    <cellStyle name="0_area wise qty 30.3.08 (1) 5 7 3 2 2" xfId="5855" xr:uid="{00000000-0005-0000-0000-0000D1160000}"/>
    <cellStyle name="0_area wise qty 30.3.08 (1) 5 7 3 3" xfId="5856" xr:uid="{00000000-0005-0000-0000-0000D2160000}"/>
    <cellStyle name="0_area wise qty 30.3.08 (1) 5 7 3 3 2" xfId="5857" xr:uid="{00000000-0005-0000-0000-0000D3160000}"/>
    <cellStyle name="0_area wise qty 30.3.08 (1) 5 7 3 4" xfId="5858" xr:uid="{00000000-0005-0000-0000-0000D4160000}"/>
    <cellStyle name="0_area wise qty 30.3.08 (1) 5 7 4" xfId="5859" xr:uid="{00000000-0005-0000-0000-0000D5160000}"/>
    <cellStyle name="0_area wise qty 30.3.08 (1) 5 7 4 2" xfId="5860" xr:uid="{00000000-0005-0000-0000-0000D6160000}"/>
    <cellStyle name="0_area wise qty 30.3.08 (1) 5 7 5" xfId="5861" xr:uid="{00000000-0005-0000-0000-0000D7160000}"/>
    <cellStyle name="0_area wise qty 30.3.08 (1) 5 7 5 2" xfId="5862" xr:uid="{00000000-0005-0000-0000-0000D8160000}"/>
    <cellStyle name="0_area wise qty 30.3.08 (1) 5 7 6" xfId="5863" xr:uid="{00000000-0005-0000-0000-0000D9160000}"/>
    <cellStyle name="0_area wise qty 30.3.08 (1) 5 8" xfId="5864" xr:uid="{00000000-0005-0000-0000-0000DA160000}"/>
    <cellStyle name="0_area wise qty 30.3.08 (1) 5 8 2" xfId="5865" xr:uid="{00000000-0005-0000-0000-0000DB160000}"/>
    <cellStyle name="0_area wise qty 30.3.08 (1) 5 8 2 2" xfId="5866" xr:uid="{00000000-0005-0000-0000-0000DC160000}"/>
    <cellStyle name="0_area wise qty 30.3.08 (1) 5 8 3" xfId="5867" xr:uid="{00000000-0005-0000-0000-0000DD160000}"/>
    <cellStyle name="0_area wise qty 30.3.08 (1) 5 8 3 2" xfId="5868" xr:uid="{00000000-0005-0000-0000-0000DE160000}"/>
    <cellStyle name="0_area wise qty 30.3.08 (1) 5 8 4" xfId="5869" xr:uid="{00000000-0005-0000-0000-0000DF160000}"/>
    <cellStyle name="0_area wise qty 30.3.08 (1) 5 9" xfId="5870" xr:uid="{00000000-0005-0000-0000-0000E0160000}"/>
    <cellStyle name="0_area wise qty 30.3.08 (1) 5 9 2" xfId="5871" xr:uid="{00000000-0005-0000-0000-0000E1160000}"/>
    <cellStyle name="0_area wise qty 30.3.08 (1) 5 9 2 2" xfId="5872" xr:uid="{00000000-0005-0000-0000-0000E2160000}"/>
    <cellStyle name="0_area wise qty 30.3.08 (1) 5 9 3" xfId="5873" xr:uid="{00000000-0005-0000-0000-0000E3160000}"/>
    <cellStyle name="0_area wise qty 30.3.08 (1) 5 9 3 2" xfId="5874" xr:uid="{00000000-0005-0000-0000-0000E4160000}"/>
    <cellStyle name="0_area wise qty 30.3.08 (1) 5 9 4" xfId="5875" xr:uid="{00000000-0005-0000-0000-0000E5160000}"/>
    <cellStyle name="0_area wise qty 30.3.08 (1) 6" xfId="5876" xr:uid="{00000000-0005-0000-0000-0000E6160000}"/>
    <cellStyle name="0_area wise qty 30.3.08 (1) 6 2" xfId="5877" xr:uid="{00000000-0005-0000-0000-0000E7160000}"/>
    <cellStyle name="0_area wise qty 30.3.08 (1) 6 2 2" xfId="5878" xr:uid="{00000000-0005-0000-0000-0000E8160000}"/>
    <cellStyle name="0_area wise qty 30.3.08 (1) 6 2 2 2" xfId="5879" xr:uid="{00000000-0005-0000-0000-0000E9160000}"/>
    <cellStyle name="0_area wise qty 30.3.08 (1) 6 2 2 2 2" xfId="5880" xr:uid="{00000000-0005-0000-0000-0000EA160000}"/>
    <cellStyle name="0_area wise qty 30.3.08 (1) 6 2 2 3" xfId="5881" xr:uid="{00000000-0005-0000-0000-0000EB160000}"/>
    <cellStyle name="0_area wise qty 30.3.08 (1) 6 2 2 3 2" xfId="5882" xr:uid="{00000000-0005-0000-0000-0000EC160000}"/>
    <cellStyle name="0_area wise qty 30.3.08 (1) 6 2 2 4" xfId="5883" xr:uid="{00000000-0005-0000-0000-0000ED160000}"/>
    <cellStyle name="0_area wise qty 30.3.08 (1) 6 2 3" xfId="5884" xr:uid="{00000000-0005-0000-0000-0000EE160000}"/>
    <cellStyle name="0_area wise qty 30.3.08 (1) 6 2 3 2" xfId="5885" xr:uid="{00000000-0005-0000-0000-0000EF160000}"/>
    <cellStyle name="0_area wise qty 30.3.08 (1) 6 2 3 2 2" xfId="5886" xr:uid="{00000000-0005-0000-0000-0000F0160000}"/>
    <cellStyle name="0_area wise qty 30.3.08 (1) 6 2 3 3" xfId="5887" xr:uid="{00000000-0005-0000-0000-0000F1160000}"/>
    <cellStyle name="0_area wise qty 30.3.08 (1) 6 2 3 3 2" xfId="5888" xr:uid="{00000000-0005-0000-0000-0000F2160000}"/>
    <cellStyle name="0_area wise qty 30.3.08 (1) 6 2 3 4" xfId="5889" xr:uid="{00000000-0005-0000-0000-0000F3160000}"/>
    <cellStyle name="0_area wise qty 30.3.08 (1) 6 2 4" xfId="5890" xr:uid="{00000000-0005-0000-0000-0000F4160000}"/>
    <cellStyle name="0_area wise qty 30.3.08 (1) 6 2 4 2" xfId="5891" xr:uid="{00000000-0005-0000-0000-0000F5160000}"/>
    <cellStyle name="0_area wise qty 30.3.08 (1) 6 2 5" xfId="5892" xr:uid="{00000000-0005-0000-0000-0000F6160000}"/>
    <cellStyle name="0_area wise qty 30.3.08 (1) 6 2 5 2" xfId="5893" xr:uid="{00000000-0005-0000-0000-0000F7160000}"/>
    <cellStyle name="0_area wise qty 30.3.08 (1) 6 2 6" xfId="5894" xr:uid="{00000000-0005-0000-0000-0000F8160000}"/>
    <cellStyle name="0_area wise qty 30.3.08 (1) 6 3" xfId="5895" xr:uid="{00000000-0005-0000-0000-0000F9160000}"/>
    <cellStyle name="0_area wise qty 30.3.08 (1) 6 3 2" xfId="5896" xr:uid="{00000000-0005-0000-0000-0000FA160000}"/>
    <cellStyle name="0_area wise qty 30.3.08 (1) 6 3 2 2" xfId="5897" xr:uid="{00000000-0005-0000-0000-0000FB160000}"/>
    <cellStyle name="0_area wise qty 30.3.08 (1) 6 3 3" xfId="5898" xr:uid="{00000000-0005-0000-0000-0000FC160000}"/>
    <cellStyle name="0_area wise qty 30.3.08 (1) 6 3 3 2" xfId="5899" xr:uid="{00000000-0005-0000-0000-0000FD160000}"/>
    <cellStyle name="0_area wise qty 30.3.08 (1) 6 3 4" xfId="5900" xr:uid="{00000000-0005-0000-0000-0000FE160000}"/>
    <cellStyle name="0_area wise qty 30.3.08 (1) 6 4" xfId="5901" xr:uid="{00000000-0005-0000-0000-0000FF160000}"/>
    <cellStyle name="0_area wise qty 30.3.08 (1) 6 4 2" xfId="5902" xr:uid="{00000000-0005-0000-0000-000000170000}"/>
    <cellStyle name="0_area wise qty 30.3.08 (1) 6 4 2 2" xfId="5903" xr:uid="{00000000-0005-0000-0000-000001170000}"/>
    <cellStyle name="0_area wise qty 30.3.08 (1) 6 4 3" xfId="5904" xr:uid="{00000000-0005-0000-0000-000002170000}"/>
    <cellStyle name="0_area wise qty 30.3.08 (1) 6 4 3 2" xfId="5905" xr:uid="{00000000-0005-0000-0000-000003170000}"/>
    <cellStyle name="0_area wise qty 30.3.08 (1) 6 4 4" xfId="5906" xr:uid="{00000000-0005-0000-0000-000004170000}"/>
    <cellStyle name="0_area wise qty 30.3.08 (1) 6 5" xfId="5907" xr:uid="{00000000-0005-0000-0000-000005170000}"/>
    <cellStyle name="0_area wise qty 30.3.08 (1) 6 5 2" xfId="5908" xr:uid="{00000000-0005-0000-0000-000006170000}"/>
    <cellStyle name="0_area wise qty 30.3.08 (1) 6 5 2 2" xfId="5909" xr:uid="{00000000-0005-0000-0000-000007170000}"/>
    <cellStyle name="0_area wise qty 30.3.08 (1) 6 5 3" xfId="5910" xr:uid="{00000000-0005-0000-0000-000008170000}"/>
    <cellStyle name="0_area wise qty 30.3.08 (1) 6 5 3 2" xfId="5911" xr:uid="{00000000-0005-0000-0000-000009170000}"/>
    <cellStyle name="0_area wise qty 30.3.08 (1) 6 5 4" xfId="5912" xr:uid="{00000000-0005-0000-0000-00000A170000}"/>
    <cellStyle name="0_area wise qty 30.3.08 (1) 6 6" xfId="5913" xr:uid="{00000000-0005-0000-0000-00000B170000}"/>
    <cellStyle name="0_area wise qty 30.3.08 (1) 6 6 2" xfId="5914" xr:uid="{00000000-0005-0000-0000-00000C170000}"/>
    <cellStyle name="0_area wise qty 30.3.08 (1) 6 7" xfId="5915" xr:uid="{00000000-0005-0000-0000-00000D170000}"/>
    <cellStyle name="0_area wise qty 30.3.08 (1) 6 7 2" xfId="5916" xr:uid="{00000000-0005-0000-0000-00000E170000}"/>
    <cellStyle name="0_area wise qty 30.3.08 (1) 6 8" xfId="5917" xr:uid="{00000000-0005-0000-0000-00000F170000}"/>
    <cellStyle name="0_area wise qty 30.3.08 (1) 7" xfId="5918" xr:uid="{00000000-0005-0000-0000-000010170000}"/>
    <cellStyle name="0_area wise qty 30.3.08 (1) 7 2" xfId="5919" xr:uid="{00000000-0005-0000-0000-000011170000}"/>
    <cellStyle name="0_area wise qty 30.3.08 (1) 7 2 2" xfId="5920" xr:uid="{00000000-0005-0000-0000-000012170000}"/>
    <cellStyle name="0_area wise qty 30.3.08 (1) 7 2 2 2" xfId="5921" xr:uid="{00000000-0005-0000-0000-000013170000}"/>
    <cellStyle name="0_area wise qty 30.3.08 (1) 7 2 3" xfId="5922" xr:uid="{00000000-0005-0000-0000-000014170000}"/>
    <cellStyle name="0_area wise qty 30.3.08 (1) 7 2 3 2" xfId="5923" xr:uid="{00000000-0005-0000-0000-000015170000}"/>
    <cellStyle name="0_area wise qty 30.3.08 (1) 7 2 4" xfId="5924" xr:uid="{00000000-0005-0000-0000-000016170000}"/>
    <cellStyle name="0_area wise qty 30.3.08 (1) 7 3" xfId="5925" xr:uid="{00000000-0005-0000-0000-000017170000}"/>
    <cellStyle name="0_area wise qty 30.3.08 (1) 7 3 2" xfId="5926" xr:uid="{00000000-0005-0000-0000-000018170000}"/>
    <cellStyle name="0_area wise qty 30.3.08 (1) 7 3 2 2" xfId="5927" xr:uid="{00000000-0005-0000-0000-000019170000}"/>
    <cellStyle name="0_area wise qty 30.3.08 (1) 7 3 3" xfId="5928" xr:uid="{00000000-0005-0000-0000-00001A170000}"/>
    <cellStyle name="0_area wise qty 30.3.08 (1) 7 3 3 2" xfId="5929" xr:uid="{00000000-0005-0000-0000-00001B170000}"/>
    <cellStyle name="0_area wise qty 30.3.08 (1) 7 3 4" xfId="5930" xr:uid="{00000000-0005-0000-0000-00001C170000}"/>
    <cellStyle name="0_area wise qty 30.3.08 (1) 7 4" xfId="5931" xr:uid="{00000000-0005-0000-0000-00001D170000}"/>
    <cellStyle name="0_area wise qty 30.3.08 (1) 7 4 2" xfId="5932" xr:uid="{00000000-0005-0000-0000-00001E170000}"/>
    <cellStyle name="0_area wise qty 30.3.08 (1) 7 5" xfId="5933" xr:uid="{00000000-0005-0000-0000-00001F170000}"/>
    <cellStyle name="0_area wise qty 30.3.08 (1) 7 5 2" xfId="5934" xr:uid="{00000000-0005-0000-0000-000020170000}"/>
    <cellStyle name="0_area wise qty 30.3.08 (1) 7 6" xfId="5935" xr:uid="{00000000-0005-0000-0000-000021170000}"/>
    <cellStyle name="0_area wise qty 30.3.08 (1) 8" xfId="5936" xr:uid="{00000000-0005-0000-0000-000022170000}"/>
    <cellStyle name="0_area wise qty 30.3.08 (1) 8 2" xfId="5937" xr:uid="{00000000-0005-0000-0000-000023170000}"/>
    <cellStyle name="0_area wise qty 30.3.08 (1) 8 2 2" xfId="5938" xr:uid="{00000000-0005-0000-0000-000024170000}"/>
    <cellStyle name="0_area wise qty 30.3.08 (1) 8 2 2 2" xfId="5939" xr:uid="{00000000-0005-0000-0000-000025170000}"/>
    <cellStyle name="0_area wise qty 30.3.08 (1) 8 2 3" xfId="5940" xr:uid="{00000000-0005-0000-0000-000026170000}"/>
    <cellStyle name="0_area wise qty 30.3.08 (1) 8 2 3 2" xfId="5941" xr:uid="{00000000-0005-0000-0000-000027170000}"/>
    <cellStyle name="0_area wise qty 30.3.08 (1) 8 2 4" xfId="5942" xr:uid="{00000000-0005-0000-0000-000028170000}"/>
    <cellStyle name="0_area wise qty 30.3.08 (1) 8 3" xfId="5943" xr:uid="{00000000-0005-0000-0000-000029170000}"/>
    <cellStyle name="0_area wise qty 30.3.08 (1) 8 3 2" xfId="5944" xr:uid="{00000000-0005-0000-0000-00002A170000}"/>
    <cellStyle name="0_area wise qty 30.3.08 (1) 8 3 2 2" xfId="5945" xr:uid="{00000000-0005-0000-0000-00002B170000}"/>
    <cellStyle name="0_area wise qty 30.3.08 (1) 8 3 3" xfId="5946" xr:uid="{00000000-0005-0000-0000-00002C170000}"/>
    <cellStyle name="0_area wise qty 30.3.08 (1) 8 3 3 2" xfId="5947" xr:uid="{00000000-0005-0000-0000-00002D170000}"/>
    <cellStyle name="0_area wise qty 30.3.08 (1) 8 3 4" xfId="5948" xr:uid="{00000000-0005-0000-0000-00002E170000}"/>
    <cellStyle name="0_area wise qty 30.3.08 (1) 8 4" xfId="5949" xr:uid="{00000000-0005-0000-0000-00002F170000}"/>
    <cellStyle name="0_area wise qty 30.3.08 (1) 8 4 2" xfId="5950" xr:uid="{00000000-0005-0000-0000-000030170000}"/>
    <cellStyle name="0_area wise qty 30.3.08 (1) 8 5" xfId="5951" xr:uid="{00000000-0005-0000-0000-000031170000}"/>
    <cellStyle name="0_area wise qty 30.3.08 (1) 8 5 2" xfId="5952" xr:uid="{00000000-0005-0000-0000-000032170000}"/>
    <cellStyle name="0_area wise qty 30.3.08 (1) 8 6" xfId="5953" xr:uid="{00000000-0005-0000-0000-000033170000}"/>
    <cellStyle name="0_area wise qty 30.3.08 (1) 9" xfId="5954" xr:uid="{00000000-0005-0000-0000-000034170000}"/>
    <cellStyle name="0_area wise qty 30.3.08 (1) 9 2" xfId="5955" xr:uid="{00000000-0005-0000-0000-000035170000}"/>
    <cellStyle name="0_area wise qty 30.3.08 (1) 9 2 2" xfId="5956" xr:uid="{00000000-0005-0000-0000-000036170000}"/>
    <cellStyle name="0_area wise qty 30.3.08 (1) 9 3" xfId="5957" xr:uid="{00000000-0005-0000-0000-000037170000}"/>
    <cellStyle name="0_area wise qty 30.3.08 (1) 9 3 2" xfId="5958" xr:uid="{00000000-0005-0000-0000-000038170000}"/>
    <cellStyle name="0_area wise qty 30.3.08 (1) 9 4" xfId="5959" xr:uid="{00000000-0005-0000-0000-000039170000}"/>
    <cellStyle name="0_area wise qty 30.3.08 (1) 9 5" xfId="5960" xr:uid="{00000000-0005-0000-0000-00003A170000}"/>
    <cellStyle name="0_area wise qty 30.3.08 (1)_6128_organogram" xfId="5961" xr:uid="{00000000-0005-0000-0000-00003B170000}"/>
    <cellStyle name="0_area wise qty 30.3.08 (1)_6128_organogram 10" xfId="5962" xr:uid="{00000000-0005-0000-0000-00003C170000}"/>
    <cellStyle name="0_area wise qty 30.3.08 (1)_6128_organogram 11" xfId="5963" xr:uid="{00000000-0005-0000-0000-00003D170000}"/>
    <cellStyle name="0_area wise qty 30.3.08 (1)_6128_organogram 12" xfId="5964" xr:uid="{00000000-0005-0000-0000-00003E170000}"/>
    <cellStyle name="0_area wise qty 30.3.08 (1)_6128_organogram 2" xfId="5965" xr:uid="{00000000-0005-0000-0000-00003F170000}"/>
    <cellStyle name="0_area wise qty 30.3.08 (1)_6128_organogram 2 2" xfId="5966" xr:uid="{00000000-0005-0000-0000-000040170000}"/>
    <cellStyle name="0_area wise qty 30.3.08 (1)_6128_organogram 2 2 2" xfId="5967" xr:uid="{00000000-0005-0000-0000-000041170000}"/>
    <cellStyle name="0_area wise qty 30.3.08 (1)_6128_organogram 2 2 2 2" xfId="5968" xr:uid="{00000000-0005-0000-0000-000042170000}"/>
    <cellStyle name="0_area wise qty 30.3.08 (1)_6128_organogram 2 2 3" xfId="5969" xr:uid="{00000000-0005-0000-0000-000043170000}"/>
    <cellStyle name="0_area wise qty 30.3.08 (1)_6128_organogram 2 2 3 2" xfId="5970" xr:uid="{00000000-0005-0000-0000-000044170000}"/>
    <cellStyle name="0_area wise qty 30.3.08 (1)_6128_organogram 2 2 4" xfId="5971" xr:uid="{00000000-0005-0000-0000-000045170000}"/>
    <cellStyle name="0_area wise qty 30.3.08 (1)_6128_organogram 2 3" xfId="5972" xr:uid="{00000000-0005-0000-0000-000046170000}"/>
    <cellStyle name="0_area wise qty 30.3.08 (1)_6128_organogram 2 3 2" xfId="5973" xr:uid="{00000000-0005-0000-0000-000047170000}"/>
    <cellStyle name="0_area wise qty 30.3.08 (1)_6128_organogram 2 3 2 2" xfId="5974" xr:uid="{00000000-0005-0000-0000-000048170000}"/>
    <cellStyle name="0_area wise qty 30.3.08 (1)_6128_organogram 2 3 3" xfId="5975" xr:uid="{00000000-0005-0000-0000-000049170000}"/>
    <cellStyle name="0_area wise qty 30.3.08 (1)_6128_organogram 2 3 3 2" xfId="5976" xr:uid="{00000000-0005-0000-0000-00004A170000}"/>
    <cellStyle name="0_area wise qty 30.3.08 (1)_6128_organogram 2 3 4" xfId="5977" xr:uid="{00000000-0005-0000-0000-00004B170000}"/>
    <cellStyle name="0_area wise qty 30.3.08 (1)_6128_organogram 2 4" xfId="5978" xr:uid="{00000000-0005-0000-0000-00004C170000}"/>
    <cellStyle name="0_area wise qty 30.3.08 (1)_6128_organogram 2 4 2" xfId="5979" xr:uid="{00000000-0005-0000-0000-00004D170000}"/>
    <cellStyle name="0_area wise qty 30.3.08 (1)_6128_organogram 2 5" xfId="5980" xr:uid="{00000000-0005-0000-0000-00004E170000}"/>
    <cellStyle name="0_area wise qty 30.3.08 (1)_6128_organogram 2 5 2" xfId="5981" xr:uid="{00000000-0005-0000-0000-00004F170000}"/>
    <cellStyle name="0_area wise qty 30.3.08 (1)_6128_organogram 2 6" xfId="5982" xr:uid="{00000000-0005-0000-0000-000050170000}"/>
    <cellStyle name="0_area wise qty 30.3.08 (1)_6128_organogram 3" xfId="5983" xr:uid="{00000000-0005-0000-0000-000051170000}"/>
    <cellStyle name="0_area wise qty 30.3.08 (1)_6128_organogram 3 2" xfId="5984" xr:uid="{00000000-0005-0000-0000-000052170000}"/>
    <cellStyle name="0_area wise qty 30.3.08 (1)_6128_organogram 3 2 2" xfId="5985" xr:uid="{00000000-0005-0000-0000-000053170000}"/>
    <cellStyle name="0_area wise qty 30.3.08 (1)_6128_organogram 3 3" xfId="5986" xr:uid="{00000000-0005-0000-0000-000054170000}"/>
    <cellStyle name="0_area wise qty 30.3.08 (1)_6128_organogram 3 3 2" xfId="5987" xr:uid="{00000000-0005-0000-0000-000055170000}"/>
    <cellStyle name="0_area wise qty 30.3.08 (1)_6128_organogram 3 4" xfId="5988" xr:uid="{00000000-0005-0000-0000-000056170000}"/>
    <cellStyle name="0_area wise qty 30.3.08 (1)_6128_organogram 3 5" xfId="5989" xr:uid="{00000000-0005-0000-0000-000057170000}"/>
    <cellStyle name="0_area wise qty 30.3.08 (1)_6128_organogram 4" xfId="5990" xr:uid="{00000000-0005-0000-0000-000058170000}"/>
    <cellStyle name="0_area wise qty 30.3.08 (1)_6128_organogram 4 2" xfId="5991" xr:uid="{00000000-0005-0000-0000-000059170000}"/>
    <cellStyle name="0_area wise qty 30.3.08 (1)_6128_organogram 4 2 2" xfId="5992" xr:uid="{00000000-0005-0000-0000-00005A170000}"/>
    <cellStyle name="0_area wise qty 30.3.08 (1)_6128_organogram 4 3" xfId="5993" xr:uid="{00000000-0005-0000-0000-00005B170000}"/>
    <cellStyle name="0_area wise qty 30.3.08 (1)_6128_organogram 4 3 2" xfId="5994" xr:uid="{00000000-0005-0000-0000-00005C170000}"/>
    <cellStyle name="0_area wise qty 30.3.08 (1)_6128_organogram 4 4" xfId="5995" xr:uid="{00000000-0005-0000-0000-00005D170000}"/>
    <cellStyle name="0_area wise qty 30.3.08 (1)_6128_organogram 4 5" xfId="5996" xr:uid="{00000000-0005-0000-0000-00005E170000}"/>
    <cellStyle name="0_area wise qty 30.3.08 (1)_6128_organogram 5" xfId="5997" xr:uid="{00000000-0005-0000-0000-00005F170000}"/>
    <cellStyle name="0_area wise qty 30.3.08 (1)_6128_organogram 5 2" xfId="5998" xr:uid="{00000000-0005-0000-0000-000060170000}"/>
    <cellStyle name="0_area wise qty 30.3.08 (1)_6128_organogram 5 3" xfId="5999" xr:uid="{00000000-0005-0000-0000-000061170000}"/>
    <cellStyle name="0_area wise qty 30.3.08 (1)_6128_organogram 5 4" xfId="6000" xr:uid="{00000000-0005-0000-0000-000062170000}"/>
    <cellStyle name="0_area wise qty 30.3.08 (1)_6128_organogram 5 5" xfId="6001" xr:uid="{00000000-0005-0000-0000-000063170000}"/>
    <cellStyle name="0_area wise qty 30.3.08 (1)_6128_organogram 6" xfId="6002" xr:uid="{00000000-0005-0000-0000-000064170000}"/>
    <cellStyle name="0_area wise qty 30.3.08 (1)_6128_organogram 6 2" xfId="6003" xr:uid="{00000000-0005-0000-0000-000065170000}"/>
    <cellStyle name="0_area wise qty 30.3.08 (1)_6128_organogram 6 3" xfId="6004" xr:uid="{00000000-0005-0000-0000-000066170000}"/>
    <cellStyle name="0_area wise qty 30.3.08 (1)_6128_organogram 6 4" xfId="6005" xr:uid="{00000000-0005-0000-0000-000067170000}"/>
    <cellStyle name="0_area wise qty 30.3.08 (1)_6128_organogram 6 5" xfId="6006" xr:uid="{00000000-0005-0000-0000-000068170000}"/>
    <cellStyle name="0_area wise qty 30.3.08 (1)_6128_organogram 7" xfId="6007" xr:uid="{00000000-0005-0000-0000-000069170000}"/>
    <cellStyle name="0_area wise qty 30.3.08 (1)_6128_organogram 7 2" xfId="6008" xr:uid="{00000000-0005-0000-0000-00006A170000}"/>
    <cellStyle name="0_area wise qty 30.3.08 (1)_6128_organogram 7 3" xfId="6009" xr:uid="{00000000-0005-0000-0000-00006B170000}"/>
    <cellStyle name="0_area wise qty 30.3.08 (1)_6128_organogram 7 4" xfId="6010" xr:uid="{00000000-0005-0000-0000-00006C170000}"/>
    <cellStyle name="0_area wise qty 30.3.08 (1)_6128_organogram 7 5" xfId="6011" xr:uid="{00000000-0005-0000-0000-00006D170000}"/>
    <cellStyle name="0_area wise qty 30.3.08 (1)_6128_organogram 8" xfId="6012" xr:uid="{00000000-0005-0000-0000-00006E170000}"/>
    <cellStyle name="0_area wise qty 30.3.08 (1)_6128_organogram 8 2" xfId="6013" xr:uid="{00000000-0005-0000-0000-00006F170000}"/>
    <cellStyle name="0_area wise qty 30.3.08 (1)_6128_organogram 8 3" xfId="6014" xr:uid="{00000000-0005-0000-0000-000070170000}"/>
    <cellStyle name="0_area wise qty 30.3.08 (1)_6128_organogram 8 4" xfId="6015" xr:uid="{00000000-0005-0000-0000-000071170000}"/>
    <cellStyle name="0_area wise qty 30.3.08 (1)_6128_organogram 8 5" xfId="6016" xr:uid="{00000000-0005-0000-0000-000072170000}"/>
    <cellStyle name="0_area wise qty 30.3.08 (1)_6128_organogram 9" xfId="6017" xr:uid="{00000000-0005-0000-0000-000073170000}"/>
    <cellStyle name="0_area wise qty 30.3.08 (1)_COMODITES option 2" xfId="6018" xr:uid="{00000000-0005-0000-0000-000074170000}"/>
    <cellStyle name="0_area wise qty 30.3.08 (1)_COMODITES option 2 10" xfId="6019" xr:uid="{00000000-0005-0000-0000-000075170000}"/>
    <cellStyle name="0_area wise qty 30.3.08 (1)_COMODITES option 2 10 2" xfId="6020" xr:uid="{00000000-0005-0000-0000-000076170000}"/>
    <cellStyle name="0_area wise qty 30.3.08 (1)_COMODITES option 2 10 2 2" xfId="6021" xr:uid="{00000000-0005-0000-0000-000077170000}"/>
    <cellStyle name="0_area wise qty 30.3.08 (1)_COMODITES option 2 10 3" xfId="6022" xr:uid="{00000000-0005-0000-0000-000078170000}"/>
    <cellStyle name="0_area wise qty 30.3.08 (1)_COMODITES option 2 10 3 2" xfId="6023" xr:uid="{00000000-0005-0000-0000-000079170000}"/>
    <cellStyle name="0_area wise qty 30.3.08 (1)_COMODITES option 2 10 4" xfId="6024" xr:uid="{00000000-0005-0000-0000-00007A170000}"/>
    <cellStyle name="0_area wise qty 30.3.08 (1)_COMODITES option 2 11" xfId="6025" xr:uid="{00000000-0005-0000-0000-00007B170000}"/>
    <cellStyle name="0_area wise qty 30.3.08 (1)_COMODITES option 2 11 2" xfId="6026" xr:uid="{00000000-0005-0000-0000-00007C170000}"/>
    <cellStyle name="0_area wise qty 30.3.08 (1)_COMODITES option 2 11 2 2" xfId="6027" xr:uid="{00000000-0005-0000-0000-00007D170000}"/>
    <cellStyle name="0_area wise qty 30.3.08 (1)_COMODITES option 2 11 3" xfId="6028" xr:uid="{00000000-0005-0000-0000-00007E170000}"/>
    <cellStyle name="0_area wise qty 30.3.08 (1)_COMODITES option 2 11 3 2" xfId="6029" xr:uid="{00000000-0005-0000-0000-00007F170000}"/>
    <cellStyle name="0_area wise qty 30.3.08 (1)_COMODITES option 2 11 4" xfId="6030" xr:uid="{00000000-0005-0000-0000-000080170000}"/>
    <cellStyle name="0_area wise qty 30.3.08 (1)_COMODITES option 2 12" xfId="6031" xr:uid="{00000000-0005-0000-0000-000081170000}"/>
    <cellStyle name="0_area wise qty 30.3.08 (1)_COMODITES option 2 12 2" xfId="6032" xr:uid="{00000000-0005-0000-0000-000082170000}"/>
    <cellStyle name="0_area wise qty 30.3.08 (1)_COMODITES option 2 13" xfId="6033" xr:uid="{00000000-0005-0000-0000-000083170000}"/>
    <cellStyle name="0_area wise qty 30.3.08 (1)_COMODITES option 2 13 2" xfId="6034" xr:uid="{00000000-0005-0000-0000-000084170000}"/>
    <cellStyle name="0_area wise qty 30.3.08 (1)_COMODITES option 2 14" xfId="6035" xr:uid="{00000000-0005-0000-0000-000085170000}"/>
    <cellStyle name="0_area wise qty 30.3.08 (1)_COMODITES option 2 14 2" xfId="6036" xr:uid="{00000000-0005-0000-0000-000086170000}"/>
    <cellStyle name="0_area wise qty 30.3.08 (1)_COMODITES option 2 15" xfId="6037" xr:uid="{00000000-0005-0000-0000-000087170000}"/>
    <cellStyle name="0_area wise qty 30.3.08 (1)_COMODITES option 2 16" xfId="6038" xr:uid="{00000000-0005-0000-0000-000088170000}"/>
    <cellStyle name="0_area wise qty 30.3.08 (1)_COMODITES option 2 17" xfId="6039" xr:uid="{00000000-0005-0000-0000-000089170000}"/>
    <cellStyle name="0_area wise qty 30.3.08 (1)_COMODITES option 2 18" xfId="6040" xr:uid="{00000000-0005-0000-0000-00008A170000}"/>
    <cellStyle name="0_area wise qty 30.3.08 (1)_COMODITES option 2 19" xfId="6041" xr:uid="{00000000-0005-0000-0000-00008B170000}"/>
    <cellStyle name="0_area wise qty 30.3.08 (1)_COMODITES option 2 2" xfId="6042" xr:uid="{00000000-0005-0000-0000-00008C170000}"/>
    <cellStyle name="0_area wise qty 30.3.08 (1)_COMODITES option 2 2 10" xfId="6043" xr:uid="{00000000-0005-0000-0000-00008D170000}"/>
    <cellStyle name="0_area wise qty 30.3.08 (1)_COMODITES option 2 2 10 2" xfId="6044" xr:uid="{00000000-0005-0000-0000-00008E170000}"/>
    <cellStyle name="0_area wise qty 30.3.08 (1)_COMODITES option 2 2 10 2 2" xfId="6045" xr:uid="{00000000-0005-0000-0000-00008F170000}"/>
    <cellStyle name="0_area wise qty 30.3.08 (1)_COMODITES option 2 2 10 3" xfId="6046" xr:uid="{00000000-0005-0000-0000-000090170000}"/>
    <cellStyle name="0_area wise qty 30.3.08 (1)_COMODITES option 2 2 10 3 2" xfId="6047" xr:uid="{00000000-0005-0000-0000-000091170000}"/>
    <cellStyle name="0_area wise qty 30.3.08 (1)_COMODITES option 2 2 10 4" xfId="6048" xr:uid="{00000000-0005-0000-0000-000092170000}"/>
    <cellStyle name="0_area wise qty 30.3.08 (1)_COMODITES option 2 2 11" xfId="6049" xr:uid="{00000000-0005-0000-0000-000093170000}"/>
    <cellStyle name="0_area wise qty 30.3.08 (1)_COMODITES option 2 2 11 2" xfId="6050" xr:uid="{00000000-0005-0000-0000-000094170000}"/>
    <cellStyle name="0_area wise qty 30.3.08 (1)_COMODITES option 2 2 12" xfId="6051" xr:uid="{00000000-0005-0000-0000-000095170000}"/>
    <cellStyle name="0_area wise qty 30.3.08 (1)_COMODITES option 2 2 12 2" xfId="6052" xr:uid="{00000000-0005-0000-0000-000096170000}"/>
    <cellStyle name="0_area wise qty 30.3.08 (1)_COMODITES option 2 2 13" xfId="6053" xr:uid="{00000000-0005-0000-0000-000097170000}"/>
    <cellStyle name="0_area wise qty 30.3.08 (1)_COMODITES option 2 2 14" xfId="6054" xr:uid="{00000000-0005-0000-0000-000098170000}"/>
    <cellStyle name="0_area wise qty 30.3.08 (1)_COMODITES option 2 2 15" xfId="6055" xr:uid="{00000000-0005-0000-0000-000099170000}"/>
    <cellStyle name="0_area wise qty 30.3.08 (1)_COMODITES option 2 2 16" xfId="6056" xr:uid="{00000000-0005-0000-0000-00009A170000}"/>
    <cellStyle name="0_area wise qty 30.3.08 (1)_COMODITES option 2 2 2" xfId="6057" xr:uid="{00000000-0005-0000-0000-00009B170000}"/>
    <cellStyle name="0_area wise qty 30.3.08 (1)_COMODITES option 2 2 2 2" xfId="6058" xr:uid="{00000000-0005-0000-0000-00009C170000}"/>
    <cellStyle name="0_area wise qty 30.3.08 (1)_COMODITES option 2 2 2 2 2" xfId="6059" xr:uid="{00000000-0005-0000-0000-00009D170000}"/>
    <cellStyle name="0_area wise qty 30.3.08 (1)_COMODITES option 2 2 2 2 2 2" xfId="6060" xr:uid="{00000000-0005-0000-0000-00009E170000}"/>
    <cellStyle name="0_area wise qty 30.3.08 (1)_COMODITES option 2 2 2 2 2 2 2" xfId="6061" xr:uid="{00000000-0005-0000-0000-00009F170000}"/>
    <cellStyle name="0_area wise qty 30.3.08 (1)_COMODITES option 2 2 2 2 2 3" xfId="6062" xr:uid="{00000000-0005-0000-0000-0000A0170000}"/>
    <cellStyle name="0_area wise qty 30.3.08 (1)_COMODITES option 2 2 2 2 2 3 2" xfId="6063" xr:uid="{00000000-0005-0000-0000-0000A1170000}"/>
    <cellStyle name="0_area wise qty 30.3.08 (1)_COMODITES option 2 2 2 2 2 4" xfId="6064" xr:uid="{00000000-0005-0000-0000-0000A2170000}"/>
    <cellStyle name="0_area wise qty 30.3.08 (1)_COMODITES option 2 2 2 2 3" xfId="6065" xr:uid="{00000000-0005-0000-0000-0000A3170000}"/>
    <cellStyle name="0_area wise qty 30.3.08 (1)_COMODITES option 2 2 2 2 3 2" xfId="6066" xr:uid="{00000000-0005-0000-0000-0000A4170000}"/>
    <cellStyle name="0_area wise qty 30.3.08 (1)_COMODITES option 2 2 2 2 3 2 2" xfId="6067" xr:uid="{00000000-0005-0000-0000-0000A5170000}"/>
    <cellStyle name="0_area wise qty 30.3.08 (1)_COMODITES option 2 2 2 2 3 3" xfId="6068" xr:uid="{00000000-0005-0000-0000-0000A6170000}"/>
    <cellStyle name="0_area wise qty 30.3.08 (1)_COMODITES option 2 2 2 2 3 3 2" xfId="6069" xr:uid="{00000000-0005-0000-0000-0000A7170000}"/>
    <cellStyle name="0_area wise qty 30.3.08 (1)_COMODITES option 2 2 2 2 3 4" xfId="6070" xr:uid="{00000000-0005-0000-0000-0000A8170000}"/>
    <cellStyle name="0_area wise qty 30.3.08 (1)_COMODITES option 2 2 2 2 4" xfId="6071" xr:uid="{00000000-0005-0000-0000-0000A9170000}"/>
    <cellStyle name="0_area wise qty 30.3.08 (1)_COMODITES option 2 2 2 2 4 2" xfId="6072" xr:uid="{00000000-0005-0000-0000-0000AA170000}"/>
    <cellStyle name="0_area wise qty 30.3.08 (1)_COMODITES option 2 2 2 2 5" xfId="6073" xr:uid="{00000000-0005-0000-0000-0000AB170000}"/>
    <cellStyle name="0_area wise qty 30.3.08 (1)_COMODITES option 2 2 2 2 5 2" xfId="6074" xr:uid="{00000000-0005-0000-0000-0000AC170000}"/>
    <cellStyle name="0_area wise qty 30.3.08 (1)_COMODITES option 2 2 2 2 6" xfId="6075" xr:uid="{00000000-0005-0000-0000-0000AD170000}"/>
    <cellStyle name="0_area wise qty 30.3.08 (1)_COMODITES option 2 2 2 3" xfId="6076" xr:uid="{00000000-0005-0000-0000-0000AE170000}"/>
    <cellStyle name="0_area wise qty 30.3.08 (1)_COMODITES option 2 2 2 3 2" xfId="6077" xr:uid="{00000000-0005-0000-0000-0000AF170000}"/>
    <cellStyle name="0_area wise qty 30.3.08 (1)_COMODITES option 2 2 2 3 2 2" xfId="6078" xr:uid="{00000000-0005-0000-0000-0000B0170000}"/>
    <cellStyle name="0_area wise qty 30.3.08 (1)_COMODITES option 2 2 2 3 3" xfId="6079" xr:uid="{00000000-0005-0000-0000-0000B1170000}"/>
    <cellStyle name="0_area wise qty 30.3.08 (1)_COMODITES option 2 2 2 3 3 2" xfId="6080" xr:uid="{00000000-0005-0000-0000-0000B2170000}"/>
    <cellStyle name="0_area wise qty 30.3.08 (1)_COMODITES option 2 2 2 3 4" xfId="6081" xr:uid="{00000000-0005-0000-0000-0000B3170000}"/>
    <cellStyle name="0_area wise qty 30.3.08 (1)_COMODITES option 2 2 2 4" xfId="6082" xr:uid="{00000000-0005-0000-0000-0000B4170000}"/>
    <cellStyle name="0_area wise qty 30.3.08 (1)_COMODITES option 2 2 2 4 2" xfId="6083" xr:uid="{00000000-0005-0000-0000-0000B5170000}"/>
    <cellStyle name="0_area wise qty 30.3.08 (1)_COMODITES option 2 2 2 4 2 2" xfId="6084" xr:uid="{00000000-0005-0000-0000-0000B6170000}"/>
    <cellStyle name="0_area wise qty 30.3.08 (1)_COMODITES option 2 2 2 4 3" xfId="6085" xr:uid="{00000000-0005-0000-0000-0000B7170000}"/>
    <cellStyle name="0_area wise qty 30.3.08 (1)_COMODITES option 2 2 2 4 3 2" xfId="6086" xr:uid="{00000000-0005-0000-0000-0000B8170000}"/>
    <cellStyle name="0_area wise qty 30.3.08 (1)_COMODITES option 2 2 2 4 4" xfId="6087" xr:uid="{00000000-0005-0000-0000-0000B9170000}"/>
    <cellStyle name="0_area wise qty 30.3.08 (1)_COMODITES option 2 2 2 5" xfId="6088" xr:uid="{00000000-0005-0000-0000-0000BA170000}"/>
    <cellStyle name="0_area wise qty 30.3.08 (1)_COMODITES option 2 2 2 5 2" xfId="6089" xr:uid="{00000000-0005-0000-0000-0000BB170000}"/>
    <cellStyle name="0_area wise qty 30.3.08 (1)_COMODITES option 2 2 2 5 2 2" xfId="6090" xr:uid="{00000000-0005-0000-0000-0000BC170000}"/>
    <cellStyle name="0_area wise qty 30.3.08 (1)_COMODITES option 2 2 2 5 3" xfId="6091" xr:uid="{00000000-0005-0000-0000-0000BD170000}"/>
    <cellStyle name="0_area wise qty 30.3.08 (1)_COMODITES option 2 2 2 5 3 2" xfId="6092" xr:uid="{00000000-0005-0000-0000-0000BE170000}"/>
    <cellStyle name="0_area wise qty 30.3.08 (1)_COMODITES option 2 2 2 5 4" xfId="6093" xr:uid="{00000000-0005-0000-0000-0000BF170000}"/>
    <cellStyle name="0_area wise qty 30.3.08 (1)_COMODITES option 2 2 2 6" xfId="6094" xr:uid="{00000000-0005-0000-0000-0000C0170000}"/>
    <cellStyle name="0_area wise qty 30.3.08 (1)_COMODITES option 2 2 2 6 2" xfId="6095" xr:uid="{00000000-0005-0000-0000-0000C1170000}"/>
    <cellStyle name="0_area wise qty 30.3.08 (1)_COMODITES option 2 2 2 7" xfId="6096" xr:uid="{00000000-0005-0000-0000-0000C2170000}"/>
    <cellStyle name="0_area wise qty 30.3.08 (1)_COMODITES option 2 2 2 7 2" xfId="6097" xr:uid="{00000000-0005-0000-0000-0000C3170000}"/>
    <cellStyle name="0_area wise qty 30.3.08 (1)_COMODITES option 2 2 2 8" xfId="6098" xr:uid="{00000000-0005-0000-0000-0000C4170000}"/>
    <cellStyle name="0_area wise qty 30.3.08 (1)_COMODITES option 2 2 3" xfId="6099" xr:uid="{00000000-0005-0000-0000-0000C5170000}"/>
    <cellStyle name="0_area wise qty 30.3.08 (1)_COMODITES option 2 2 3 2" xfId="6100" xr:uid="{00000000-0005-0000-0000-0000C6170000}"/>
    <cellStyle name="0_area wise qty 30.3.08 (1)_COMODITES option 2 2 3 2 2" xfId="6101" xr:uid="{00000000-0005-0000-0000-0000C7170000}"/>
    <cellStyle name="0_area wise qty 30.3.08 (1)_COMODITES option 2 2 3 2 2 2" xfId="6102" xr:uid="{00000000-0005-0000-0000-0000C8170000}"/>
    <cellStyle name="0_area wise qty 30.3.08 (1)_COMODITES option 2 2 3 2 2 2 2" xfId="6103" xr:uid="{00000000-0005-0000-0000-0000C9170000}"/>
    <cellStyle name="0_area wise qty 30.3.08 (1)_COMODITES option 2 2 3 2 2 3" xfId="6104" xr:uid="{00000000-0005-0000-0000-0000CA170000}"/>
    <cellStyle name="0_area wise qty 30.3.08 (1)_COMODITES option 2 2 3 2 2 3 2" xfId="6105" xr:uid="{00000000-0005-0000-0000-0000CB170000}"/>
    <cellStyle name="0_area wise qty 30.3.08 (1)_COMODITES option 2 2 3 2 2 4" xfId="6106" xr:uid="{00000000-0005-0000-0000-0000CC170000}"/>
    <cellStyle name="0_area wise qty 30.3.08 (1)_COMODITES option 2 2 3 2 3" xfId="6107" xr:uid="{00000000-0005-0000-0000-0000CD170000}"/>
    <cellStyle name="0_area wise qty 30.3.08 (1)_COMODITES option 2 2 3 2 3 2" xfId="6108" xr:uid="{00000000-0005-0000-0000-0000CE170000}"/>
    <cellStyle name="0_area wise qty 30.3.08 (1)_COMODITES option 2 2 3 2 3 2 2" xfId="6109" xr:uid="{00000000-0005-0000-0000-0000CF170000}"/>
    <cellStyle name="0_area wise qty 30.3.08 (1)_COMODITES option 2 2 3 2 3 3" xfId="6110" xr:uid="{00000000-0005-0000-0000-0000D0170000}"/>
    <cellStyle name="0_area wise qty 30.3.08 (1)_COMODITES option 2 2 3 2 3 3 2" xfId="6111" xr:uid="{00000000-0005-0000-0000-0000D1170000}"/>
    <cellStyle name="0_area wise qty 30.3.08 (1)_COMODITES option 2 2 3 2 3 4" xfId="6112" xr:uid="{00000000-0005-0000-0000-0000D2170000}"/>
    <cellStyle name="0_area wise qty 30.3.08 (1)_COMODITES option 2 2 3 2 4" xfId="6113" xr:uid="{00000000-0005-0000-0000-0000D3170000}"/>
    <cellStyle name="0_area wise qty 30.3.08 (1)_COMODITES option 2 2 3 2 4 2" xfId="6114" xr:uid="{00000000-0005-0000-0000-0000D4170000}"/>
    <cellStyle name="0_area wise qty 30.3.08 (1)_COMODITES option 2 2 3 2 5" xfId="6115" xr:uid="{00000000-0005-0000-0000-0000D5170000}"/>
    <cellStyle name="0_area wise qty 30.3.08 (1)_COMODITES option 2 2 3 2 5 2" xfId="6116" xr:uid="{00000000-0005-0000-0000-0000D6170000}"/>
    <cellStyle name="0_area wise qty 30.3.08 (1)_COMODITES option 2 2 3 2 6" xfId="6117" xr:uid="{00000000-0005-0000-0000-0000D7170000}"/>
    <cellStyle name="0_area wise qty 30.3.08 (1)_COMODITES option 2 2 3 3" xfId="6118" xr:uid="{00000000-0005-0000-0000-0000D8170000}"/>
    <cellStyle name="0_area wise qty 30.3.08 (1)_COMODITES option 2 2 3 3 2" xfId="6119" xr:uid="{00000000-0005-0000-0000-0000D9170000}"/>
    <cellStyle name="0_area wise qty 30.3.08 (1)_COMODITES option 2 2 3 3 2 2" xfId="6120" xr:uid="{00000000-0005-0000-0000-0000DA170000}"/>
    <cellStyle name="0_area wise qty 30.3.08 (1)_COMODITES option 2 2 3 3 3" xfId="6121" xr:uid="{00000000-0005-0000-0000-0000DB170000}"/>
    <cellStyle name="0_area wise qty 30.3.08 (1)_COMODITES option 2 2 3 3 3 2" xfId="6122" xr:uid="{00000000-0005-0000-0000-0000DC170000}"/>
    <cellStyle name="0_area wise qty 30.3.08 (1)_COMODITES option 2 2 3 3 4" xfId="6123" xr:uid="{00000000-0005-0000-0000-0000DD170000}"/>
    <cellStyle name="0_area wise qty 30.3.08 (1)_COMODITES option 2 2 3 4" xfId="6124" xr:uid="{00000000-0005-0000-0000-0000DE170000}"/>
    <cellStyle name="0_area wise qty 30.3.08 (1)_COMODITES option 2 2 3 4 2" xfId="6125" xr:uid="{00000000-0005-0000-0000-0000DF170000}"/>
    <cellStyle name="0_area wise qty 30.3.08 (1)_COMODITES option 2 2 3 4 2 2" xfId="6126" xr:uid="{00000000-0005-0000-0000-0000E0170000}"/>
    <cellStyle name="0_area wise qty 30.3.08 (1)_COMODITES option 2 2 3 4 3" xfId="6127" xr:uid="{00000000-0005-0000-0000-0000E1170000}"/>
    <cellStyle name="0_area wise qty 30.3.08 (1)_COMODITES option 2 2 3 4 3 2" xfId="6128" xr:uid="{00000000-0005-0000-0000-0000E2170000}"/>
    <cellStyle name="0_area wise qty 30.3.08 (1)_COMODITES option 2 2 3 4 4" xfId="6129" xr:uid="{00000000-0005-0000-0000-0000E3170000}"/>
    <cellStyle name="0_area wise qty 30.3.08 (1)_COMODITES option 2 2 3 5" xfId="6130" xr:uid="{00000000-0005-0000-0000-0000E4170000}"/>
    <cellStyle name="0_area wise qty 30.3.08 (1)_COMODITES option 2 2 3 5 2" xfId="6131" xr:uid="{00000000-0005-0000-0000-0000E5170000}"/>
    <cellStyle name="0_area wise qty 30.3.08 (1)_COMODITES option 2 2 3 5 2 2" xfId="6132" xr:uid="{00000000-0005-0000-0000-0000E6170000}"/>
    <cellStyle name="0_area wise qty 30.3.08 (1)_COMODITES option 2 2 3 5 3" xfId="6133" xr:uid="{00000000-0005-0000-0000-0000E7170000}"/>
    <cellStyle name="0_area wise qty 30.3.08 (1)_COMODITES option 2 2 3 5 3 2" xfId="6134" xr:uid="{00000000-0005-0000-0000-0000E8170000}"/>
    <cellStyle name="0_area wise qty 30.3.08 (1)_COMODITES option 2 2 3 5 4" xfId="6135" xr:uid="{00000000-0005-0000-0000-0000E9170000}"/>
    <cellStyle name="0_area wise qty 30.3.08 (1)_COMODITES option 2 2 3 6" xfId="6136" xr:uid="{00000000-0005-0000-0000-0000EA170000}"/>
    <cellStyle name="0_area wise qty 30.3.08 (1)_COMODITES option 2 2 3 6 2" xfId="6137" xr:uid="{00000000-0005-0000-0000-0000EB170000}"/>
    <cellStyle name="0_area wise qty 30.3.08 (1)_COMODITES option 2 2 3 7" xfId="6138" xr:uid="{00000000-0005-0000-0000-0000EC170000}"/>
    <cellStyle name="0_area wise qty 30.3.08 (1)_COMODITES option 2 2 3 7 2" xfId="6139" xr:uid="{00000000-0005-0000-0000-0000ED170000}"/>
    <cellStyle name="0_area wise qty 30.3.08 (1)_COMODITES option 2 2 3 8" xfId="6140" xr:uid="{00000000-0005-0000-0000-0000EE170000}"/>
    <cellStyle name="0_area wise qty 30.3.08 (1)_COMODITES option 2 2 4" xfId="6141" xr:uid="{00000000-0005-0000-0000-0000EF170000}"/>
    <cellStyle name="0_area wise qty 30.3.08 (1)_COMODITES option 2 2 4 2" xfId="6142" xr:uid="{00000000-0005-0000-0000-0000F0170000}"/>
    <cellStyle name="0_area wise qty 30.3.08 (1)_COMODITES option 2 2 4 2 2" xfId="6143" xr:uid="{00000000-0005-0000-0000-0000F1170000}"/>
    <cellStyle name="0_area wise qty 30.3.08 (1)_COMODITES option 2 2 4 2 2 2" xfId="6144" xr:uid="{00000000-0005-0000-0000-0000F2170000}"/>
    <cellStyle name="0_area wise qty 30.3.08 (1)_COMODITES option 2 2 4 2 2 2 2" xfId="6145" xr:uid="{00000000-0005-0000-0000-0000F3170000}"/>
    <cellStyle name="0_area wise qty 30.3.08 (1)_COMODITES option 2 2 4 2 2 3" xfId="6146" xr:uid="{00000000-0005-0000-0000-0000F4170000}"/>
    <cellStyle name="0_area wise qty 30.3.08 (1)_COMODITES option 2 2 4 2 2 3 2" xfId="6147" xr:uid="{00000000-0005-0000-0000-0000F5170000}"/>
    <cellStyle name="0_area wise qty 30.3.08 (1)_COMODITES option 2 2 4 2 2 4" xfId="6148" xr:uid="{00000000-0005-0000-0000-0000F6170000}"/>
    <cellStyle name="0_area wise qty 30.3.08 (1)_COMODITES option 2 2 4 2 3" xfId="6149" xr:uid="{00000000-0005-0000-0000-0000F7170000}"/>
    <cellStyle name="0_area wise qty 30.3.08 (1)_COMODITES option 2 2 4 2 3 2" xfId="6150" xr:uid="{00000000-0005-0000-0000-0000F8170000}"/>
    <cellStyle name="0_area wise qty 30.3.08 (1)_COMODITES option 2 2 4 2 3 2 2" xfId="6151" xr:uid="{00000000-0005-0000-0000-0000F9170000}"/>
    <cellStyle name="0_area wise qty 30.3.08 (1)_COMODITES option 2 2 4 2 3 3" xfId="6152" xr:uid="{00000000-0005-0000-0000-0000FA170000}"/>
    <cellStyle name="0_area wise qty 30.3.08 (1)_COMODITES option 2 2 4 2 3 3 2" xfId="6153" xr:uid="{00000000-0005-0000-0000-0000FB170000}"/>
    <cellStyle name="0_area wise qty 30.3.08 (1)_COMODITES option 2 2 4 2 3 4" xfId="6154" xr:uid="{00000000-0005-0000-0000-0000FC170000}"/>
    <cellStyle name="0_area wise qty 30.3.08 (1)_COMODITES option 2 2 4 2 4" xfId="6155" xr:uid="{00000000-0005-0000-0000-0000FD170000}"/>
    <cellStyle name="0_area wise qty 30.3.08 (1)_COMODITES option 2 2 4 2 4 2" xfId="6156" xr:uid="{00000000-0005-0000-0000-0000FE170000}"/>
    <cellStyle name="0_area wise qty 30.3.08 (1)_COMODITES option 2 2 4 2 5" xfId="6157" xr:uid="{00000000-0005-0000-0000-0000FF170000}"/>
    <cellStyle name="0_area wise qty 30.3.08 (1)_COMODITES option 2 2 4 2 5 2" xfId="6158" xr:uid="{00000000-0005-0000-0000-000000180000}"/>
    <cellStyle name="0_area wise qty 30.3.08 (1)_COMODITES option 2 2 4 2 6" xfId="6159" xr:uid="{00000000-0005-0000-0000-000001180000}"/>
    <cellStyle name="0_area wise qty 30.3.08 (1)_COMODITES option 2 2 4 3" xfId="6160" xr:uid="{00000000-0005-0000-0000-000002180000}"/>
    <cellStyle name="0_area wise qty 30.3.08 (1)_COMODITES option 2 2 4 3 2" xfId="6161" xr:uid="{00000000-0005-0000-0000-000003180000}"/>
    <cellStyle name="0_area wise qty 30.3.08 (1)_COMODITES option 2 2 4 3 2 2" xfId="6162" xr:uid="{00000000-0005-0000-0000-000004180000}"/>
    <cellStyle name="0_area wise qty 30.3.08 (1)_COMODITES option 2 2 4 3 3" xfId="6163" xr:uid="{00000000-0005-0000-0000-000005180000}"/>
    <cellStyle name="0_area wise qty 30.3.08 (1)_COMODITES option 2 2 4 3 3 2" xfId="6164" xr:uid="{00000000-0005-0000-0000-000006180000}"/>
    <cellStyle name="0_area wise qty 30.3.08 (1)_COMODITES option 2 2 4 3 4" xfId="6165" xr:uid="{00000000-0005-0000-0000-000007180000}"/>
    <cellStyle name="0_area wise qty 30.3.08 (1)_COMODITES option 2 2 4 4" xfId="6166" xr:uid="{00000000-0005-0000-0000-000008180000}"/>
    <cellStyle name="0_area wise qty 30.3.08 (1)_COMODITES option 2 2 4 4 2" xfId="6167" xr:uid="{00000000-0005-0000-0000-000009180000}"/>
    <cellStyle name="0_area wise qty 30.3.08 (1)_COMODITES option 2 2 4 4 2 2" xfId="6168" xr:uid="{00000000-0005-0000-0000-00000A180000}"/>
    <cellStyle name="0_area wise qty 30.3.08 (1)_COMODITES option 2 2 4 4 3" xfId="6169" xr:uid="{00000000-0005-0000-0000-00000B180000}"/>
    <cellStyle name="0_area wise qty 30.3.08 (1)_COMODITES option 2 2 4 4 3 2" xfId="6170" xr:uid="{00000000-0005-0000-0000-00000C180000}"/>
    <cellStyle name="0_area wise qty 30.3.08 (1)_COMODITES option 2 2 4 4 4" xfId="6171" xr:uid="{00000000-0005-0000-0000-00000D180000}"/>
    <cellStyle name="0_area wise qty 30.3.08 (1)_COMODITES option 2 2 4 5" xfId="6172" xr:uid="{00000000-0005-0000-0000-00000E180000}"/>
    <cellStyle name="0_area wise qty 30.3.08 (1)_COMODITES option 2 2 4 5 2" xfId="6173" xr:uid="{00000000-0005-0000-0000-00000F180000}"/>
    <cellStyle name="0_area wise qty 30.3.08 (1)_COMODITES option 2 2 4 5 2 2" xfId="6174" xr:uid="{00000000-0005-0000-0000-000010180000}"/>
    <cellStyle name="0_area wise qty 30.3.08 (1)_COMODITES option 2 2 4 5 3" xfId="6175" xr:uid="{00000000-0005-0000-0000-000011180000}"/>
    <cellStyle name="0_area wise qty 30.3.08 (1)_COMODITES option 2 2 4 5 3 2" xfId="6176" xr:uid="{00000000-0005-0000-0000-000012180000}"/>
    <cellStyle name="0_area wise qty 30.3.08 (1)_COMODITES option 2 2 4 5 4" xfId="6177" xr:uid="{00000000-0005-0000-0000-000013180000}"/>
    <cellStyle name="0_area wise qty 30.3.08 (1)_COMODITES option 2 2 4 6" xfId="6178" xr:uid="{00000000-0005-0000-0000-000014180000}"/>
    <cellStyle name="0_area wise qty 30.3.08 (1)_COMODITES option 2 2 4 6 2" xfId="6179" xr:uid="{00000000-0005-0000-0000-000015180000}"/>
    <cellStyle name="0_area wise qty 30.3.08 (1)_COMODITES option 2 2 4 7" xfId="6180" xr:uid="{00000000-0005-0000-0000-000016180000}"/>
    <cellStyle name="0_area wise qty 30.3.08 (1)_COMODITES option 2 2 4 7 2" xfId="6181" xr:uid="{00000000-0005-0000-0000-000017180000}"/>
    <cellStyle name="0_area wise qty 30.3.08 (1)_COMODITES option 2 2 4 8" xfId="6182" xr:uid="{00000000-0005-0000-0000-000018180000}"/>
    <cellStyle name="0_area wise qty 30.3.08 (1)_COMODITES option 2 2 5" xfId="6183" xr:uid="{00000000-0005-0000-0000-000019180000}"/>
    <cellStyle name="0_area wise qty 30.3.08 (1)_COMODITES option 2 2 5 2" xfId="6184" xr:uid="{00000000-0005-0000-0000-00001A180000}"/>
    <cellStyle name="0_area wise qty 30.3.08 (1)_COMODITES option 2 2 5 2 2" xfId="6185" xr:uid="{00000000-0005-0000-0000-00001B180000}"/>
    <cellStyle name="0_area wise qty 30.3.08 (1)_COMODITES option 2 2 5 2 2 2" xfId="6186" xr:uid="{00000000-0005-0000-0000-00001C180000}"/>
    <cellStyle name="0_area wise qty 30.3.08 (1)_COMODITES option 2 2 5 2 2 2 2" xfId="6187" xr:uid="{00000000-0005-0000-0000-00001D180000}"/>
    <cellStyle name="0_area wise qty 30.3.08 (1)_COMODITES option 2 2 5 2 2 3" xfId="6188" xr:uid="{00000000-0005-0000-0000-00001E180000}"/>
    <cellStyle name="0_area wise qty 30.3.08 (1)_COMODITES option 2 2 5 2 2 3 2" xfId="6189" xr:uid="{00000000-0005-0000-0000-00001F180000}"/>
    <cellStyle name="0_area wise qty 30.3.08 (1)_COMODITES option 2 2 5 2 2 4" xfId="6190" xr:uid="{00000000-0005-0000-0000-000020180000}"/>
    <cellStyle name="0_area wise qty 30.3.08 (1)_COMODITES option 2 2 5 2 3" xfId="6191" xr:uid="{00000000-0005-0000-0000-000021180000}"/>
    <cellStyle name="0_area wise qty 30.3.08 (1)_COMODITES option 2 2 5 2 3 2" xfId="6192" xr:uid="{00000000-0005-0000-0000-000022180000}"/>
    <cellStyle name="0_area wise qty 30.3.08 (1)_COMODITES option 2 2 5 2 3 2 2" xfId="6193" xr:uid="{00000000-0005-0000-0000-000023180000}"/>
    <cellStyle name="0_area wise qty 30.3.08 (1)_COMODITES option 2 2 5 2 3 3" xfId="6194" xr:uid="{00000000-0005-0000-0000-000024180000}"/>
    <cellStyle name="0_area wise qty 30.3.08 (1)_COMODITES option 2 2 5 2 3 3 2" xfId="6195" xr:uid="{00000000-0005-0000-0000-000025180000}"/>
    <cellStyle name="0_area wise qty 30.3.08 (1)_COMODITES option 2 2 5 2 3 4" xfId="6196" xr:uid="{00000000-0005-0000-0000-000026180000}"/>
    <cellStyle name="0_area wise qty 30.3.08 (1)_COMODITES option 2 2 5 2 4" xfId="6197" xr:uid="{00000000-0005-0000-0000-000027180000}"/>
    <cellStyle name="0_area wise qty 30.3.08 (1)_COMODITES option 2 2 5 2 4 2" xfId="6198" xr:uid="{00000000-0005-0000-0000-000028180000}"/>
    <cellStyle name="0_area wise qty 30.3.08 (1)_COMODITES option 2 2 5 2 5" xfId="6199" xr:uid="{00000000-0005-0000-0000-000029180000}"/>
    <cellStyle name="0_area wise qty 30.3.08 (1)_COMODITES option 2 2 5 2 5 2" xfId="6200" xr:uid="{00000000-0005-0000-0000-00002A180000}"/>
    <cellStyle name="0_area wise qty 30.3.08 (1)_COMODITES option 2 2 5 2 6" xfId="6201" xr:uid="{00000000-0005-0000-0000-00002B180000}"/>
    <cellStyle name="0_area wise qty 30.3.08 (1)_COMODITES option 2 2 5 3" xfId="6202" xr:uid="{00000000-0005-0000-0000-00002C180000}"/>
    <cellStyle name="0_area wise qty 30.3.08 (1)_COMODITES option 2 2 5 3 2" xfId="6203" xr:uid="{00000000-0005-0000-0000-00002D180000}"/>
    <cellStyle name="0_area wise qty 30.3.08 (1)_COMODITES option 2 2 5 3 2 2" xfId="6204" xr:uid="{00000000-0005-0000-0000-00002E180000}"/>
    <cellStyle name="0_area wise qty 30.3.08 (1)_COMODITES option 2 2 5 3 3" xfId="6205" xr:uid="{00000000-0005-0000-0000-00002F180000}"/>
    <cellStyle name="0_area wise qty 30.3.08 (1)_COMODITES option 2 2 5 3 3 2" xfId="6206" xr:uid="{00000000-0005-0000-0000-000030180000}"/>
    <cellStyle name="0_area wise qty 30.3.08 (1)_COMODITES option 2 2 5 3 4" xfId="6207" xr:uid="{00000000-0005-0000-0000-000031180000}"/>
    <cellStyle name="0_area wise qty 30.3.08 (1)_COMODITES option 2 2 5 4" xfId="6208" xr:uid="{00000000-0005-0000-0000-000032180000}"/>
    <cellStyle name="0_area wise qty 30.3.08 (1)_COMODITES option 2 2 5 4 2" xfId="6209" xr:uid="{00000000-0005-0000-0000-000033180000}"/>
    <cellStyle name="0_area wise qty 30.3.08 (1)_COMODITES option 2 2 5 4 2 2" xfId="6210" xr:uid="{00000000-0005-0000-0000-000034180000}"/>
    <cellStyle name="0_area wise qty 30.3.08 (1)_COMODITES option 2 2 5 4 3" xfId="6211" xr:uid="{00000000-0005-0000-0000-000035180000}"/>
    <cellStyle name="0_area wise qty 30.3.08 (1)_COMODITES option 2 2 5 4 3 2" xfId="6212" xr:uid="{00000000-0005-0000-0000-000036180000}"/>
    <cellStyle name="0_area wise qty 30.3.08 (1)_COMODITES option 2 2 5 4 4" xfId="6213" xr:uid="{00000000-0005-0000-0000-000037180000}"/>
    <cellStyle name="0_area wise qty 30.3.08 (1)_COMODITES option 2 2 5 5" xfId="6214" xr:uid="{00000000-0005-0000-0000-000038180000}"/>
    <cellStyle name="0_area wise qty 30.3.08 (1)_COMODITES option 2 2 5 5 2" xfId="6215" xr:uid="{00000000-0005-0000-0000-000039180000}"/>
    <cellStyle name="0_area wise qty 30.3.08 (1)_COMODITES option 2 2 5 5 2 2" xfId="6216" xr:uid="{00000000-0005-0000-0000-00003A180000}"/>
    <cellStyle name="0_area wise qty 30.3.08 (1)_COMODITES option 2 2 5 5 3" xfId="6217" xr:uid="{00000000-0005-0000-0000-00003B180000}"/>
    <cellStyle name="0_area wise qty 30.3.08 (1)_COMODITES option 2 2 5 5 3 2" xfId="6218" xr:uid="{00000000-0005-0000-0000-00003C180000}"/>
    <cellStyle name="0_area wise qty 30.3.08 (1)_COMODITES option 2 2 5 5 4" xfId="6219" xr:uid="{00000000-0005-0000-0000-00003D180000}"/>
    <cellStyle name="0_area wise qty 30.3.08 (1)_COMODITES option 2 2 5 6" xfId="6220" xr:uid="{00000000-0005-0000-0000-00003E180000}"/>
    <cellStyle name="0_area wise qty 30.3.08 (1)_COMODITES option 2 2 5 6 2" xfId="6221" xr:uid="{00000000-0005-0000-0000-00003F180000}"/>
    <cellStyle name="0_area wise qty 30.3.08 (1)_COMODITES option 2 2 5 7" xfId="6222" xr:uid="{00000000-0005-0000-0000-000040180000}"/>
    <cellStyle name="0_area wise qty 30.3.08 (1)_COMODITES option 2 2 5 7 2" xfId="6223" xr:uid="{00000000-0005-0000-0000-000041180000}"/>
    <cellStyle name="0_area wise qty 30.3.08 (1)_COMODITES option 2 2 5 8" xfId="6224" xr:uid="{00000000-0005-0000-0000-000042180000}"/>
    <cellStyle name="0_area wise qty 30.3.08 (1)_COMODITES option 2 2 6" xfId="6225" xr:uid="{00000000-0005-0000-0000-000043180000}"/>
    <cellStyle name="0_area wise qty 30.3.08 (1)_COMODITES option 2 2 6 2" xfId="6226" xr:uid="{00000000-0005-0000-0000-000044180000}"/>
    <cellStyle name="0_area wise qty 30.3.08 (1)_COMODITES option 2 2 6 2 2" xfId="6227" xr:uid="{00000000-0005-0000-0000-000045180000}"/>
    <cellStyle name="0_area wise qty 30.3.08 (1)_COMODITES option 2 2 6 2 2 2" xfId="6228" xr:uid="{00000000-0005-0000-0000-000046180000}"/>
    <cellStyle name="0_area wise qty 30.3.08 (1)_COMODITES option 2 2 6 2 2 2 2" xfId="6229" xr:uid="{00000000-0005-0000-0000-000047180000}"/>
    <cellStyle name="0_area wise qty 30.3.08 (1)_COMODITES option 2 2 6 2 2 3" xfId="6230" xr:uid="{00000000-0005-0000-0000-000048180000}"/>
    <cellStyle name="0_area wise qty 30.3.08 (1)_COMODITES option 2 2 6 2 2 3 2" xfId="6231" xr:uid="{00000000-0005-0000-0000-000049180000}"/>
    <cellStyle name="0_area wise qty 30.3.08 (1)_COMODITES option 2 2 6 2 2 4" xfId="6232" xr:uid="{00000000-0005-0000-0000-00004A180000}"/>
    <cellStyle name="0_area wise qty 30.3.08 (1)_COMODITES option 2 2 6 2 3" xfId="6233" xr:uid="{00000000-0005-0000-0000-00004B180000}"/>
    <cellStyle name="0_area wise qty 30.3.08 (1)_COMODITES option 2 2 6 2 3 2" xfId="6234" xr:uid="{00000000-0005-0000-0000-00004C180000}"/>
    <cellStyle name="0_area wise qty 30.3.08 (1)_COMODITES option 2 2 6 2 3 2 2" xfId="6235" xr:uid="{00000000-0005-0000-0000-00004D180000}"/>
    <cellStyle name="0_area wise qty 30.3.08 (1)_COMODITES option 2 2 6 2 3 3" xfId="6236" xr:uid="{00000000-0005-0000-0000-00004E180000}"/>
    <cellStyle name="0_area wise qty 30.3.08 (1)_COMODITES option 2 2 6 2 3 3 2" xfId="6237" xr:uid="{00000000-0005-0000-0000-00004F180000}"/>
    <cellStyle name="0_area wise qty 30.3.08 (1)_COMODITES option 2 2 6 2 3 4" xfId="6238" xr:uid="{00000000-0005-0000-0000-000050180000}"/>
    <cellStyle name="0_area wise qty 30.3.08 (1)_COMODITES option 2 2 6 2 4" xfId="6239" xr:uid="{00000000-0005-0000-0000-000051180000}"/>
    <cellStyle name="0_area wise qty 30.3.08 (1)_COMODITES option 2 2 6 2 4 2" xfId="6240" xr:uid="{00000000-0005-0000-0000-000052180000}"/>
    <cellStyle name="0_area wise qty 30.3.08 (1)_COMODITES option 2 2 6 2 5" xfId="6241" xr:uid="{00000000-0005-0000-0000-000053180000}"/>
    <cellStyle name="0_area wise qty 30.3.08 (1)_COMODITES option 2 2 6 2 5 2" xfId="6242" xr:uid="{00000000-0005-0000-0000-000054180000}"/>
    <cellStyle name="0_area wise qty 30.3.08 (1)_COMODITES option 2 2 6 2 6" xfId="6243" xr:uid="{00000000-0005-0000-0000-000055180000}"/>
    <cellStyle name="0_area wise qty 30.3.08 (1)_COMODITES option 2 2 6 3" xfId="6244" xr:uid="{00000000-0005-0000-0000-000056180000}"/>
    <cellStyle name="0_area wise qty 30.3.08 (1)_COMODITES option 2 2 6 3 2" xfId="6245" xr:uid="{00000000-0005-0000-0000-000057180000}"/>
    <cellStyle name="0_area wise qty 30.3.08 (1)_COMODITES option 2 2 6 3 2 2" xfId="6246" xr:uid="{00000000-0005-0000-0000-000058180000}"/>
    <cellStyle name="0_area wise qty 30.3.08 (1)_COMODITES option 2 2 6 3 3" xfId="6247" xr:uid="{00000000-0005-0000-0000-000059180000}"/>
    <cellStyle name="0_area wise qty 30.3.08 (1)_COMODITES option 2 2 6 3 3 2" xfId="6248" xr:uid="{00000000-0005-0000-0000-00005A180000}"/>
    <cellStyle name="0_area wise qty 30.3.08 (1)_COMODITES option 2 2 6 3 4" xfId="6249" xr:uid="{00000000-0005-0000-0000-00005B180000}"/>
    <cellStyle name="0_area wise qty 30.3.08 (1)_COMODITES option 2 2 6 4" xfId="6250" xr:uid="{00000000-0005-0000-0000-00005C180000}"/>
    <cellStyle name="0_area wise qty 30.3.08 (1)_COMODITES option 2 2 6 4 2" xfId="6251" xr:uid="{00000000-0005-0000-0000-00005D180000}"/>
    <cellStyle name="0_area wise qty 30.3.08 (1)_COMODITES option 2 2 6 4 2 2" xfId="6252" xr:uid="{00000000-0005-0000-0000-00005E180000}"/>
    <cellStyle name="0_area wise qty 30.3.08 (1)_COMODITES option 2 2 6 4 3" xfId="6253" xr:uid="{00000000-0005-0000-0000-00005F180000}"/>
    <cellStyle name="0_area wise qty 30.3.08 (1)_COMODITES option 2 2 6 4 3 2" xfId="6254" xr:uid="{00000000-0005-0000-0000-000060180000}"/>
    <cellStyle name="0_area wise qty 30.3.08 (1)_COMODITES option 2 2 6 4 4" xfId="6255" xr:uid="{00000000-0005-0000-0000-000061180000}"/>
    <cellStyle name="0_area wise qty 30.3.08 (1)_COMODITES option 2 2 6 5" xfId="6256" xr:uid="{00000000-0005-0000-0000-000062180000}"/>
    <cellStyle name="0_area wise qty 30.3.08 (1)_COMODITES option 2 2 6 5 2" xfId="6257" xr:uid="{00000000-0005-0000-0000-000063180000}"/>
    <cellStyle name="0_area wise qty 30.3.08 (1)_COMODITES option 2 2 6 5 2 2" xfId="6258" xr:uid="{00000000-0005-0000-0000-000064180000}"/>
    <cellStyle name="0_area wise qty 30.3.08 (1)_COMODITES option 2 2 6 5 3" xfId="6259" xr:uid="{00000000-0005-0000-0000-000065180000}"/>
    <cellStyle name="0_area wise qty 30.3.08 (1)_COMODITES option 2 2 6 5 3 2" xfId="6260" xr:uid="{00000000-0005-0000-0000-000066180000}"/>
    <cellStyle name="0_area wise qty 30.3.08 (1)_COMODITES option 2 2 6 5 4" xfId="6261" xr:uid="{00000000-0005-0000-0000-000067180000}"/>
    <cellStyle name="0_area wise qty 30.3.08 (1)_COMODITES option 2 2 6 6" xfId="6262" xr:uid="{00000000-0005-0000-0000-000068180000}"/>
    <cellStyle name="0_area wise qty 30.3.08 (1)_COMODITES option 2 2 6 6 2" xfId="6263" xr:uid="{00000000-0005-0000-0000-000069180000}"/>
    <cellStyle name="0_area wise qty 30.3.08 (1)_COMODITES option 2 2 6 7" xfId="6264" xr:uid="{00000000-0005-0000-0000-00006A180000}"/>
    <cellStyle name="0_area wise qty 30.3.08 (1)_COMODITES option 2 2 6 7 2" xfId="6265" xr:uid="{00000000-0005-0000-0000-00006B180000}"/>
    <cellStyle name="0_area wise qty 30.3.08 (1)_COMODITES option 2 2 6 8" xfId="6266" xr:uid="{00000000-0005-0000-0000-00006C180000}"/>
    <cellStyle name="0_area wise qty 30.3.08 (1)_COMODITES option 2 2 7" xfId="6267" xr:uid="{00000000-0005-0000-0000-00006D180000}"/>
    <cellStyle name="0_area wise qty 30.3.08 (1)_COMODITES option 2 2 7 2" xfId="6268" xr:uid="{00000000-0005-0000-0000-00006E180000}"/>
    <cellStyle name="0_area wise qty 30.3.08 (1)_COMODITES option 2 2 7 2 2" xfId="6269" xr:uid="{00000000-0005-0000-0000-00006F180000}"/>
    <cellStyle name="0_area wise qty 30.3.08 (1)_COMODITES option 2 2 7 2 2 2" xfId="6270" xr:uid="{00000000-0005-0000-0000-000070180000}"/>
    <cellStyle name="0_area wise qty 30.3.08 (1)_COMODITES option 2 2 7 2 3" xfId="6271" xr:uid="{00000000-0005-0000-0000-000071180000}"/>
    <cellStyle name="0_area wise qty 30.3.08 (1)_COMODITES option 2 2 7 2 3 2" xfId="6272" xr:uid="{00000000-0005-0000-0000-000072180000}"/>
    <cellStyle name="0_area wise qty 30.3.08 (1)_COMODITES option 2 2 7 2 4" xfId="6273" xr:uid="{00000000-0005-0000-0000-000073180000}"/>
    <cellStyle name="0_area wise qty 30.3.08 (1)_COMODITES option 2 2 7 3" xfId="6274" xr:uid="{00000000-0005-0000-0000-000074180000}"/>
    <cellStyle name="0_area wise qty 30.3.08 (1)_COMODITES option 2 2 7 3 2" xfId="6275" xr:uid="{00000000-0005-0000-0000-000075180000}"/>
    <cellStyle name="0_area wise qty 30.3.08 (1)_COMODITES option 2 2 7 3 2 2" xfId="6276" xr:uid="{00000000-0005-0000-0000-000076180000}"/>
    <cellStyle name="0_area wise qty 30.3.08 (1)_COMODITES option 2 2 7 3 3" xfId="6277" xr:uid="{00000000-0005-0000-0000-000077180000}"/>
    <cellStyle name="0_area wise qty 30.3.08 (1)_COMODITES option 2 2 7 3 3 2" xfId="6278" xr:uid="{00000000-0005-0000-0000-000078180000}"/>
    <cellStyle name="0_area wise qty 30.3.08 (1)_COMODITES option 2 2 7 3 4" xfId="6279" xr:uid="{00000000-0005-0000-0000-000079180000}"/>
    <cellStyle name="0_area wise qty 30.3.08 (1)_COMODITES option 2 2 7 4" xfId="6280" xr:uid="{00000000-0005-0000-0000-00007A180000}"/>
    <cellStyle name="0_area wise qty 30.3.08 (1)_COMODITES option 2 2 7 4 2" xfId="6281" xr:uid="{00000000-0005-0000-0000-00007B180000}"/>
    <cellStyle name="0_area wise qty 30.3.08 (1)_COMODITES option 2 2 7 5" xfId="6282" xr:uid="{00000000-0005-0000-0000-00007C180000}"/>
    <cellStyle name="0_area wise qty 30.3.08 (1)_COMODITES option 2 2 7 5 2" xfId="6283" xr:uid="{00000000-0005-0000-0000-00007D180000}"/>
    <cellStyle name="0_area wise qty 30.3.08 (1)_COMODITES option 2 2 7 6" xfId="6284" xr:uid="{00000000-0005-0000-0000-00007E180000}"/>
    <cellStyle name="0_area wise qty 30.3.08 (1)_COMODITES option 2 2 8" xfId="6285" xr:uid="{00000000-0005-0000-0000-00007F180000}"/>
    <cellStyle name="0_area wise qty 30.3.08 (1)_COMODITES option 2 2 8 2" xfId="6286" xr:uid="{00000000-0005-0000-0000-000080180000}"/>
    <cellStyle name="0_area wise qty 30.3.08 (1)_COMODITES option 2 2 8 2 2" xfId="6287" xr:uid="{00000000-0005-0000-0000-000081180000}"/>
    <cellStyle name="0_area wise qty 30.3.08 (1)_COMODITES option 2 2 8 3" xfId="6288" xr:uid="{00000000-0005-0000-0000-000082180000}"/>
    <cellStyle name="0_area wise qty 30.3.08 (1)_COMODITES option 2 2 8 3 2" xfId="6289" xr:uid="{00000000-0005-0000-0000-000083180000}"/>
    <cellStyle name="0_area wise qty 30.3.08 (1)_COMODITES option 2 2 8 4" xfId="6290" xr:uid="{00000000-0005-0000-0000-000084180000}"/>
    <cellStyle name="0_area wise qty 30.3.08 (1)_COMODITES option 2 2 9" xfId="6291" xr:uid="{00000000-0005-0000-0000-000085180000}"/>
    <cellStyle name="0_area wise qty 30.3.08 (1)_COMODITES option 2 2 9 2" xfId="6292" xr:uid="{00000000-0005-0000-0000-000086180000}"/>
    <cellStyle name="0_area wise qty 30.3.08 (1)_COMODITES option 2 2 9 2 2" xfId="6293" xr:uid="{00000000-0005-0000-0000-000087180000}"/>
    <cellStyle name="0_area wise qty 30.3.08 (1)_COMODITES option 2 2 9 3" xfId="6294" xr:uid="{00000000-0005-0000-0000-000088180000}"/>
    <cellStyle name="0_area wise qty 30.3.08 (1)_COMODITES option 2 2 9 3 2" xfId="6295" xr:uid="{00000000-0005-0000-0000-000089180000}"/>
    <cellStyle name="0_area wise qty 30.3.08 (1)_COMODITES option 2 2 9 4" xfId="6296" xr:uid="{00000000-0005-0000-0000-00008A180000}"/>
    <cellStyle name="0_area wise qty 30.3.08 (1)_COMODITES option 2 20" xfId="6297" xr:uid="{00000000-0005-0000-0000-00008B180000}"/>
    <cellStyle name="0_area wise qty 30.3.08 (1)_COMODITES option 2 21" xfId="6298" xr:uid="{00000000-0005-0000-0000-00008C180000}"/>
    <cellStyle name="0_area wise qty 30.3.08 (1)_COMODITES option 2 22" xfId="6299" xr:uid="{00000000-0005-0000-0000-00008D180000}"/>
    <cellStyle name="0_area wise qty 30.3.08 (1)_COMODITES option 2 3" xfId="6300" xr:uid="{00000000-0005-0000-0000-00008E180000}"/>
    <cellStyle name="0_area wise qty 30.3.08 (1)_COMODITES option 2 3 10" xfId="6301" xr:uid="{00000000-0005-0000-0000-00008F180000}"/>
    <cellStyle name="0_area wise qty 30.3.08 (1)_COMODITES option 2 3 10 2" xfId="6302" xr:uid="{00000000-0005-0000-0000-000090180000}"/>
    <cellStyle name="0_area wise qty 30.3.08 (1)_COMODITES option 2 3 10 2 2" xfId="6303" xr:uid="{00000000-0005-0000-0000-000091180000}"/>
    <cellStyle name="0_area wise qty 30.3.08 (1)_COMODITES option 2 3 10 3" xfId="6304" xr:uid="{00000000-0005-0000-0000-000092180000}"/>
    <cellStyle name="0_area wise qty 30.3.08 (1)_COMODITES option 2 3 10 3 2" xfId="6305" xr:uid="{00000000-0005-0000-0000-000093180000}"/>
    <cellStyle name="0_area wise qty 30.3.08 (1)_COMODITES option 2 3 10 4" xfId="6306" xr:uid="{00000000-0005-0000-0000-000094180000}"/>
    <cellStyle name="0_area wise qty 30.3.08 (1)_COMODITES option 2 3 11" xfId="6307" xr:uid="{00000000-0005-0000-0000-000095180000}"/>
    <cellStyle name="0_area wise qty 30.3.08 (1)_COMODITES option 2 3 11 2" xfId="6308" xr:uid="{00000000-0005-0000-0000-000096180000}"/>
    <cellStyle name="0_area wise qty 30.3.08 (1)_COMODITES option 2 3 12" xfId="6309" xr:uid="{00000000-0005-0000-0000-000097180000}"/>
    <cellStyle name="0_area wise qty 30.3.08 (1)_COMODITES option 2 3 12 2" xfId="6310" xr:uid="{00000000-0005-0000-0000-000098180000}"/>
    <cellStyle name="0_area wise qty 30.3.08 (1)_COMODITES option 2 3 13" xfId="6311" xr:uid="{00000000-0005-0000-0000-000099180000}"/>
    <cellStyle name="0_area wise qty 30.3.08 (1)_COMODITES option 2 3 2" xfId="6312" xr:uid="{00000000-0005-0000-0000-00009A180000}"/>
    <cellStyle name="0_area wise qty 30.3.08 (1)_COMODITES option 2 3 2 2" xfId="6313" xr:uid="{00000000-0005-0000-0000-00009B180000}"/>
    <cellStyle name="0_area wise qty 30.3.08 (1)_COMODITES option 2 3 2 2 2" xfId="6314" xr:uid="{00000000-0005-0000-0000-00009C180000}"/>
    <cellStyle name="0_area wise qty 30.3.08 (1)_COMODITES option 2 3 2 2 2 2" xfId="6315" xr:uid="{00000000-0005-0000-0000-00009D180000}"/>
    <cellStyle name="0_area wise qty 30.3.08 (1)_COMODITES option 2 3 2 2 2 2 2" xfId="6316" xr:uid="{00000000-0005-0000-0000-00009E180000}"/>
    <cellStyle name="0_area wise qty 30.3.08 (1)_COMODITES option 2 3 2 2 2 3" xfId="6317" xr:uid="{00000000-0005-0000-0000-00009F180000}"/>
    <cellStyle name="0_area wise qty 30.3.08 (1)_COMODITES option 2 3 2 2 2 3 2" xfId="6318" xr:uid="{00000000-0005-0000-0000-0000A0180000}"/>
    <cellStyle name="0_area wise qty 30.3.08 (1)_COMODITES option 2 3 2 2 2 4" xfId="6319" xr:uid="{00000000-0005-0000-0000-0000A1180000}"/>
    <cellStyle name="0_area wise qty 30.3.08 (1)_COMODITES option 2 3 2 2 3" xfId="6320" xr:uid="{00000000-0005-0000-0000-0000A2180000}"/>
    <cellStyle name="0_area wise qty 30.3.08 (1)_COMODITES option 2 3 2 2 3 2" xfId="6321" xr:uid="{00000000-0005-0000-0000-0000A3180000}"/>
    <cellStyle name="0_area wise qty 30.3.08 (1)_COMODITES option 2 3 2 2 3 2 2" xfId="6322" xr:uid="{00000000-0005-0000-0000-0000A4180000}"/>
    <cellStyle name="0_area wise qty 30.3.08 (1)_COMODITES option 2 3 2 2 3 3" xfId="6323" xr:uid="{00000000-0005-0000-0000-0000A5180000}"/>
    <cellStyle name="0_area wise qty 30.3.08 (1)_COMODITES option 2 3 2 2 3 3 2" xfId="6324" xr:uid="{00000000-0005-0000-0000-0000A6180000}"/>
    <cellStyle name="0_area wise qty 30.3.08 (1)_COMODITES option 2 3 2 2 3 4" xfId="6325" xr:uid="{00000000-0005-0000-0000-0000A7180000}"/>
    <cellStyle name="0_area wise qty 30.3.08 (1)_COMODITES option 2 3 2 2 4" xfId="6326" xr:uid="{00000000-0005-0000-0000-0000A8180000}"/>
    <cellStyle name="0_area wise qty 30.3.08 (1)_COMODITES option 2 3 2 2 4 2" xfId="6327" xr:uid="{00000000-0005-0000-0000-0000A9180000}"/>
    <cellStyle name="0_area wise qty 30.3.08 (1)_COMODITES option 2 3 2 2 5" xfId="6328" xr:uid="{00000000-0005-0000-0000-0000AA180000}"/>
    <cellStyle name="0_area wise qty 30.3.08 (1)_COMODITES option 2 3 2 2 5 2" xfId="6329" xr:uid="{00000000-0005-0000-0000-0000AB180000}"/>
    <cellStyle name="0_area wise qty 30.3.08 (1)_COMODITES option 2 3 2 2 6" xfId="6330" xr:uid="{00000000-0005-0000-0000-0000AC180000}"/>
    <cellStyle name="0_area wise qty 30.3.08 (1)_COMODITES option 2 3 2 3" xfId="6331" xr:uid="{00000000-0005-0000-0000-0000AD180000}"/>
    <cellStyle name="0_area wise qty 30.3.08 (1)_COMODITES option 2 3 2 3 2" xfId="6332" xr:uid="{00000000-0005-0000-0000-0000AE180000}"/>
    <cellStyle name="0_area wise qty 30.3.08 (1)_COMODITES option 2 3 2 3 2 2" xfId="6333" xr:uid="{00000000-0005-0000-0000-0000AF180000}"/>
    <cellStyle name="0_area wise qty 30.3.08 (1)_COMODITES option 2 3 2 3 3" xfId="6334" xr:uid="{00000000-0005-0000-0000-0000B0180000}"/>
    <cellStyle name="0_area wise qty 30.3.08 (1)_COMODITES option 2 3 2 3 3 2" xfId="6335" xr:uid="{00000000-0005-0000-0000-0000B1180000}"/>
    <cellStyle name="0_area wise qty 30.3.08 (1)_COMODITES option 2 3 2 3 4" xfId="6336" xr:uid="{00000000-0005-0000-0000-0000B2180000}"/>
    <cellStyle name="0_area wise qty 30.3.08 (1)_COMODITES option 2 3 2 4" xfId="6337" xr:uid="{00000000-0005-0000-0000-0000B3180000}"/>
    <cellStyle name="0_area wise qty 30.3.08 (1)_COMODITES option 2 3 2 4 2" xfId="6338" xr:uid="{00000000-0005-0000-0000-0000B4180000}"/>
    <cellStyle name="0_area wise qty 30.3.08 (1)_COMODITES option 2 3 2 4 2 2" xfId="6339" xr:uid="{00000000-0005-0000-0000-0000B5180000}"/>
    <cellStyle name="0_area wise qty 30.3.08 (1)_COMODITES option 2 3 2 4 3" xfId="6340" xr:uid="{00000000-0005-0000-0000-0000B6180000}"/>
    <cellStyle name="0_area wise qty 30.3.08 (1)_COMODITES option 2 3 2 4 3 2" xfId="6341" xr:uid="{00000000-0005-0000-0000-0000B7180000}"/>
    <cellStyle name="0_area wise qty 30.3.08 (1)_COMODITES option 2 3 2 4 4" xfId="6342" xr:uid="{00000000-0005-0000-0000-0000B8180000}"/>
    <cellStyle name="0_area wise qty 30.3.08 (1)_COMODITES option 2 3 2 5" xfId="6343" xr:uid="{00000000-0005-0000-0000-0000B9180000}"/>
    <cellStyle name="0_area wise qty 30.3.08 (1)_COMODITES option 2 3 2 5 2" xfId="6344" xr:uid="{00000000-0005-0000-0000-0000BA180000}"/>
    <cellStyle name="0_area wise qty 30.3.08 (1)_COMODITES option 2 3 2 5 2 2" xfId="6345" xr:uid="{00000000-0005-0000-0000-0000BB180000}"/>
    <cellStyle name="0_area wise qty 30.3.08 (1)_COMODITES option 2 3 2 5 3" xfId="6346" xr:uid="{00000000-0005-0000-0000-0000BC180000}"/>
    <cellStyle name="0_area wise qty 30.3.08 (1)_COMODITES option 2 3 2 5 3 2" xfId="6347" xr:uid="{00000000-0005-0000-0000-0000BD180000}"/>
    <cellStyle name="0_area wise qty 30.3.08 (1)_COMODITES option 2 3 2 5 4" xfId="6348" xr:uid="{00000000-0005-0000-0000-0000BE180000}"/>
    <cellStyle name="0_area wise qty 30.3.08 (1)_COMODITES option 2 3 2 6" xfId="6349" xr:uid="{00000000-0005-0000-0000-0000BF180000}"/>
    <cellStyle name="0_area wise qty 30.3.08 (1)_COMODITES option 2 3 2 6 2" xfId="6350" xr:uid="{00000000-0005-0000-0000-0000C0180000}"/>
    <cellStyle name="0_area wise qty 30.3.08 (1)_COMODITES option 2 3 2 7" xfId="6351" xr:uid="{00000000-0005-0000-0000-0000C1180000}"/>
    <cellStyle name="0_area wise qty 30.3.08 (1)_COMODITES option 2 3 2 7 2" xfId="6352" xr:uid="{00000000-0005-0000-0000-0000C2180000}"/>
    <cellStyle name="0_area wise qty 30.3.08 (1)_COMODITES option 2 3 2 8" xfId="6353" xr:uid="{00000000-0005-0000-0000-0000C3180000}"/>
    <cellStyle name="0_area wise qty 30.3.08 (1)_COMODITES option 2 3 3" xfId="6354" xr:uid="{00000000-0005-0000-0000-0000C4180000}"/>
    <cellStyle name="0_area wise qty 30.3.08 (1)_COMODITES option 2 3 3 2" xfId="6355" xr:uid="{00000000-0005-0000-0000-0000C5180000}"/>
    <cellStyle name="0_area wise qty 30.3.08 (1)_COMODITES option 2 3 3 2 2" xfId="6356" xr:uid="{00000000-0005-0000-0000-0000C6180000}"/>
    <cellStyle name="0_area wise qty 30.3.08 (1)_COMODITES option 2 3 3 2 2 2" xfId="6357" xr:uid="{00000000-0005-0000-0000-0000C7180000}"/>
    <cellStyle name="0_area wise qty 30.3.08 (1)_COMODITES option 2 3 3 2 2 2 2" xfId="6358" xr:uid="{00000000-0005-0000-0000-0000C8180000}"/>
    <cellStyle name="0_area wise qty 30.3.08 (1)_COMODITES option 2 3 3 2 2 3" xfId="6359" xr:uid="{00000000-0005-0000-0000-0000C9180000}"/>
    <cellStyle name="0_area wise qty 30.3.08 (1)_COMODITES option 2 3 3 2 2 3 2" xfId="6360" xr:uid="{00000000-0005-0000-0000-0000CA180000}"/>
    <cellStyle name="0_area wise qty 30.3.08 (1)_COMODITES option 2 3 3 2 2 4" xfId="6361" xr:uid="{00000000-0005-0000-0000-0000CB180000}"/>
    <cellStyle name="0_area wise qty 30.3.08 (1)_COMODITES option 2 3 3 2 3" xfId="6362" xr:uid="{00000000-0005-0000-0000-0000CC180000}"/>
    <cellStyle name="0_area wise qty 30.3.08 (1)_COMODITES option 2 3 3 2 3 2" xfId="6363" xr:uid="{00000000-0005-0000-0000-0000CD180000}"/>
    <cellStyle name="0_area wise qty 30.3.08 (1)_COMODITES option 2 3 3 2 3 2 2" xfId="6364" xr:uid="{00000000-0005-0000-0000-0000CE180000}"/>
    <cellStyle name="0_area wise qty 30.3.08 (1)_COMODITES option 2 3 3 2 3 3" xfId="6365" xr:uid="{00000000-0005-0000-0000-0000CF180000}"/>
    <cellStyle name="0_area wise qty 30.3.08 (1)_COMODITES option 2 3 3 2 3 3 2" xfId="6366" xr:uid="{00000000-0005-0000-0000-0000D0180000}"/>
    <cellStyle name="0_area wise qty 30.3.08 (1)_COMODITES option 2 3 3 2 3 4" xfId="6367" xr:uid="{00000000-0005-0000-0000-0000D1180000}"/>
    <cellStyle name="0_area wise qty 30.3.08 (1)_COMODITES option 2 3 3 2 4" xfId="6368" xr:uid="{00000000-0005-0000-0000-0000D2180000}"/>
    <cellStyle name="0_area wise qty 30.3.08 (1)_COMODITES option 2 3 3 2 4 2" xfId="6369" xr:uid="{00000000-0005-0000-0000-0000D3180000}"/>
    <cellStyle name="0_area wise qty 30.3.08 (1)_COMODITES option 2 3 3 2 5" xfId="6370" xr:uid="{00000000-0005-0000-0000-0000D4180000}"/>
    <cellStyle name="0_area wise qty 30.3.08 (1)_COMODITES option 2 3 3 2 5 2" xfId="6371" xr:uid="{00000000-0005-0000-0000-0000D5180000}"/>
    <cellStyle name="0_area wise qty 30.3.08 (1)_COMODITES option 2 3 3 2 6" xfId="6372" xr:uid="{00000000-0005-0000-0000-0000D6180000}"/>
    <cellStyle name="0_area wise qty 30.3.08 (1)_COMODITES option 2 3 3 3" xfId="6373" xr:uid="{00000000-0005-0000-0000-0000D7180000}"/>
    <cellStyle name="0_area wise qty 30.3.08 (1)_COMODITES option 2 3 3 3 2" xfId="6374" xr:uid="{00000000-0005-0000-0000-0000D8180000}"/>
    <cellStyle name="0_area wise qty 30.3.08 (1)_COMODITES option 2 3 3 3 2 2" xfId="6375" xr:uid="{00000000-0005-0000-0000-0000D9180000}"/>
    <cellStyle name="0_area wise qty 30.3.08 (1)_COMODITES option 2 3 3 3 3" xfId="6376" xr:uid="{00000000-0005-0000-0000-0000DA180000}"/>
    <cellStyle name="0_area wise qty 30.3.08 (1)_COMODITES option 2 3 3 3 3 2" xfId="6377" xr:uid="{00000000-0005-0000-0000-0000DB180000}"/>
    <cellStyle name="0_area wise qty 30.3.08 (1)_COMODITES option 2 3 3 3 4" xfId="6378" xr:uid="{00000000-0005-0000-0000-0000DC180000}"/>
    <cellStyle name="0_area wise qty 30.3.08 (1)_COMODITES option 2 3 3 4" xfId="6379" xr:uid="{00000000-0005-0000-0000-0000DD180000}"/>
    <cellStyle name="0_area wise qty 30.3.08 (1)_COMODITES option 2 3 3 4 2" xfId="6380" xr:uid="{00000000-0005-0000-0000-0000DE180000}"/>
    <cellStyle name="0_area wise qty 30.3.08 (1)_COMODITES option 2 3 3 4 2 2" xfId="6381" xr:uid="{00000000-0005-0000-0000-0000DF180000}"/>
    <cellStyle name="0_area wise qty 30.3.08 (1)_COMODITES option 2 3 3 4 3" xfId="6382" xr:uid="{00000000-0005-0000-0000-0000E0180000}"/>
    <cellStyle name="0_area wise qty 30.3.08 (1)_COMODITES option 2 3 3 4 3 2" xfId="6383" xr:uid="{00000000-0005-0000-0000-0000E1180000}"/>
    <cellStyle name="0_area wise qty 30.3.08 (1)_COMODITES option 2 3 3 4 4" xfId="6384" xr:uid="{00000000-0005-0000-0000-0000E2180000}"/>
    <cellStyle name="0_area wise qty 30.3.08 (1)_COMODITES option 2 3 3 5" xfId="6385" xr:uid="{00000000-0005-0000-0000-0000E3180000}"/>
    <cellStyle name="0_area wise qty 30.3.08 (1)_COMODITES option 2 3 3 5 2" xfId="6386" xr:uid="{00000000-0005-0000-0000-0000E4180000}"/>
    <cellStyle name="0_area wise qty 30.3.08 (1)_COMODITES option 2 3 3 5 2 2" xfId="6387" xr:uid="{00000000-0005-0000-0000-0000E5180000}"/>
    <cellStyle name="0_area wise qty 30.3.08 (1)_COMODITES option 2 3 3 5 3" xfId="6388" xr:uid="{00000000-0005-0000-0000-0000E6180000}"/>
    <cellStyle name="0_area wise qty 30.3.08 (1)_COMODITES option 2 3 3 5 3 2" xfId="6389" xr:uid="{00000000-0005-0000-0000-0000E7180000}"/>
    <cellStyle name="0_area wise qty 30.3.08 (1)_COMODITES option 2 3 3 5 4" xfId="6390" xr:uid="{00000000-0005-0000-0000-0000E8180000}"/>
    <cellStyle name="0_area wise qty 30.3.08 (1)_COMODITES option 2 3 3 6" xfId="6391" xr:uid="{00000000-0005-0000-0000-0000E9180000}"/>
    <cellStyle name="0_area wise qty 30.3.08 (1)_COMODITES option 2 3 3 6 2" xfId="6392" xr:uid="{00000000-0005-0000-0000-0000EA180000}"/>
    <cellStyle name="0_area wise qty 30.3.08 (1)_COMODITES option 2 3 3 7" xfId="6393" xr:uid="{00000000-0005-0000-0000-0000EB180000}"/>
    <cellStyle name="0_area wise qty 30.3.08 (1)_COMODITES option 2 3 3 7 2" xfId="6394" xr:uid="{00000000-0005-0000-0000-0000EC180000}"/>
    <cellStyle name="0_area wise qty 30.3.08 (1)_COMODITES option 2 3 3 8" xfId="6395" xr:uid="{00000000-0005-0000-0000-0000ED180000}"/>
    <cellStyle name="0_area wise qty 30.3.08 (1)_COMODITES option 2 3 4" xfId="6396" xr:uid="{00000000-0005-0000-0000-0000EE180000}"/>
    <cellStyle name="0_area wise qty 30.3.08 (1)_COMODITES option 2 3 4 2" xfId="6397" xr:uid="{00000000-0005-0000-0000-0000EF180000}"/>
    <cellStyle name="0_area wise qty 30.3.08 (1)_COMODITES option 2 3 4 2 2" xfId="6398" xr:uid="{00000000-0005-0000-0000-0000F0180000}"/>
    <cellStyle name="0_area wise qty 30.3.08 (1)_COMODITES option 2 3 4 2 2 2" xfId="6399" xr:uid="{00000000-0005-0000-0000-0000F1180000}"/>
    <cellStyle name="0_area wise qty 30.3.08 (1)_COMODITES option 2 3 4 2 2 2 2" xfId="6400" xr:uid="{00000000-0005-0000-0000-0000F2180000}"/>
    <cellStyle name="0_area wise qty 30.3.08 (1)_COMODITES option 2 3 4 2 2 3" xfId="6401" xr:uid="{00000000-0005-0000-0000-0000F3180000}"/>
    <cellStyle name="0_area wise qty 30.3.08 (1)_COMODITES option 2 3 4 2 2 3 2" xfId="6402" xr:uid="{00000000-0005-0000-0000-0000F4180000}"/>
    <cellStyle name="0_area wise qty 30.3.08 (1)_COMODITES option 2 3 4 2 2 4" xfId="6403" xr:uid="{00000000-0005-0000-0000-0000F5180000}"/>
    <cellStyle name="0_area wise qty 30.3.08 (1)_COMODITES option 2 3 4 2 3" xfId="6404" xr:uid="{00000000-0005-0000-0000-0000F6180000}"/>
    <cellStyle name="0_area wise qty 30.3.08 (1)_COMODITES option 2 3 4 2 3 2" xfId="6405" xr:uid="{00000000-0005-0000-0000-0000F7180000}"/>
    <cellStyle name="0_area wise qty 30.3.08 (1)_COMODITES option 2 3 4 2 3 2 2" xfId="6406" xr:uid="{00000000-0005-0000-0000-0000F8180000}"/>
    <cellStyle name="0_area wise qty 30.3.08 (1)_COMODITES option 2 3 4 2 3 3" xfId="6407" xr:uid="{00000000-0005-0000-0000-0000F9180000}"/>
    <cellStyle name="0_area wise qty 30.3.08 (1)_COMODITES option 2 3 4 2 3 3 2" xfId="6408" xr:uid="{00000000-0005-0000-0000-0000FA180000}"/>
    <cellStyle name="0_area wise qty 30.3.08 (1)_COMODITES option 2 3 4 2 3 4" xfId="6409" xr:uid="{00000000-0005-0000-0000-0000FB180000}"/>
    <cellStyle name="0_area wise qty 30.3.08 (1)_COMODITES option 2 3 4 2 4" xfId="6410" xr:uid="{00000000-0005-0000-0000-0000FC180000}"/>
    <cellStyle name="0_area wise qty 30.3.08 (1)_COMODITES option 2 3 4 2 4 2" xfId="6411" xr:uid="{00000000-0005-0000-0000-0000FD180000}"/>
    <cellStyle name="0_area wise qty 30.3.08 (1)_COMODITES option 2 3 4 2 5" xfId="6412" xr:uid="{00000000-0005-0000-0000-0000FE180000}"/>
    <cellStyle name="0_area wise qty 30.3.08 (1)_COMODITES option 2 3 4 2 5 2" xfId="6413" xr:uid="{00000000-0005-0000-0000-0000FF180000}"/>
    <cellStyle name="0_area wise qty 30.3.08 (1)_COMODITES option 2 3 4 2 6" xfId="6414" xr:uid="{00000000-0005-0000-0000-000000190000}"/>
    <cellStyle name="0_area wise qty 30.3.08 (1)_COMODITES option 2 3 4 3" xfId="6415" xr:uid="{00000000-0005-0000-0000-000001190000}"/>
    <cellStyle name="0_area wise qty 30.3.08 (1)_COMODITES option 2 3 4 3 2" xfId="6416" xr:uid="{00000000-0005-0000-0000-000002190000}"/>
    <cellStyle name="0_area wise qty 30.3.08 (1)_COMODITES option 2 3 4 3 2 2" xfId="6417" xr:uid="{00000000-0005-0000-0000-000003190000}"/>
    <cellStyle name="0_area wise qty 30.3.08 (1)_COMODITES option 2 3 4 3 3" xfId="6418" xr:uid="{00000000-0005-0000-0000-000004190000}"/>
    <cellStyle name="0_area wise qty 30.3.08 (1)_COMODITES option 2 3 4 3 3 2" xfId="6419" xr:uid="{00000000-0005-0000-0000-000005190000}"/>
    <cellStyle name="0_area wise qty 30.3.08 (1)_COMODITES option 2 3 4 3 4" xfId="6420" xr:uid="{00000000-0005-0000-0000-000006190000}"/>
    <cellStyle name="0_area wise qty 30.3.08 (1)_COMODITES option 2 3 4 4" xfId="6421" xr:uid="{00000000-0005-0000-0000-000007190000}"/>
    <cellStyle name="0_area wise qty 30.3.08 (1)_COMODITES option 2 3 4 4 2" xfId="6422" xr:uid="{00000000-0005-0000-0000-000008190000}"/>
    <cellStyle name="0_area wise qty 30.3.08 (1)_COMODITES option 2 3 4 4 2 2" xfId="6423" xr:uid="{00000000-0005-0000-0000-000009190000}"/>
    <cellStyle name="0_area wise qty 30.3.08 (1)_COMODITES option 2 3 4 4 3" xfId="6424" xr:uid="{00000000-0005-0000-0000-00000A190000}"/>
    <cellStyle name="0_area wise qty 30.3.08 (1)_COMODITES option 2 3 4 4 3 2" xfId="6425" xr:uid="{00000000-0005-0000-0000-00000B190000}"/>
    <cellStyle name="0_area wise qty 30.3.08 (1)_COMODITES option 2 3 4 4 4" xfId="6426" xr:uid="{00000000-0005-0000-0000-00000C190000}"/>
    <cellStyle name="0_area wise qty 30.3.08 (1)_COMODITES option 2 3 4 5" xfId="6427" xr:uid="{00000000-0005-0000-0000-00000D190000}"/>
    <cellStyle name="0_area wise qty 30.3.08 (1)_COMODITES option 2 3 4 5 2" xfId="6428" xr:uid="{00000000-0005-0000-0000-00000E190000}"/>
    <cellStyle name="0_area wise qty 30.3.08 (1)_COMODITES option 2 3 4 5 2 2" xfId="6429" xr:uid="{00000000-0005-0000-0000-00000F190000}"/>
    <cellStyle name="0_area wise qty 30.3.08 (1)_COMODITES option 2 3 4 5 3" xfId="6430" xr:uid="{00000000-0005-0000-0000-000010190000}"/>
    <cellStyle name="0_area wise qty 30.3.08 (1)_COMODITES option 2 3 4 5 3 2" xfId="6431" xr:uid="{00000000-0005-0000-0000-000011190000}"/>
    <cellStyle name="0_area wise qty 30.3.08 (1)_COMODITES option 2 3 4 5 4" xfId="6432" xr:uid="{00000000-0005-0000-0000-000012190000}"/>
    <cellStyle name="0_area wise qty 30.3.08 (1)_COMODITES option 2 3 4 6" xfId="6433" xr:uid="{00000000-0005-0000-0000-000013190000}"/>
    <cellStyle name="0_area wise qty 30.3.08 (1)_COMODITES option 2 3 4 6 2" xfId="6434" xr:uid="{00000000-0005-0000-0000-000014190000}"/>
    <cellStyle name="0_area wise qty 30.3.08 (1)_COMODITES option 2 3 4 7" xfId="6435" xr:uid="{00000000-0005-0000-0000-000015190000}"/>
    <cellStyle name="0_area wise qty 30.3.08 (1)_COMODITES option 2 3 4 7 2" xfId="6436" xr:uid="{00000000-0005-0000-0000-000016190000}"/>
    <cellStyle name="0_area wise qty 30.3.08 (1)_COMODITES option 2 3 4 8" xfId="6437" xr:uid="{00000000-0005-0000-0000-000017190000}"/>
    <cellStyle name="0_area wise qty 30.3.08 (1)_COMODITES option 2 3 5" xfId="6438" xr:uid="{00000000-0005-0000-0000-000018190000}"/>
    <cellStyle name="0_area wise qty 30.3.08 (1)_COMODITES option 2 3 5 2" xfId="6439" xr:uid="{00000000-0005-0000-0000-000019190000}"/>
    <cellStyle name="0_area wise qty 30.3.08 (1)_COMODITES option 2 3 5 2 2" xfId="6440" xr:uid="{00000000-0005-0000-0000-00001A190000}"/>
    <cellStyle name="0_area wise qty 30.3.08 (1)_COMODITES option 2 3 5 2 2 2" xfId="6441" xr:uid="{00000000-0005-0000-0000-00001B190000}"/>
    <cellStyle name="0_area wise qty 30.3.08 (1)_COMODITES option 2 3 5 2 2 2 2" xfId="6442" xr:uid="{00000000-0005-0000-0000-00001C190000}"/>
    <cellStyle name="0_area wise qty 30.3.08 (1)_COMODITES option 2 3 5 2 2 3" xfId="6443" xr:uid="{00000000-0005-0000-0000-00001D190000}"/>
    <cellStyle name="0_area wise qty 30.3.08 (1)_COMODITES option 2 3 5 2 2 3 2" xfId="6444" xr:uid="{00000000-0005-0000-0000-00001E190000}"/>
    <cellStyle name="0_area wise qty 30.3.08 (1)_COMODITES option 2 3 5 2 2 4" xfId="6445" xr:uid="{00000000-0005-0000-0000-00001F190000}"/>
    <cellStyle name="0_area wise qty 30.3.08 (1)_COMODITES option 2 3 5 2 3" xfId="6446" xr:uid="{00000000-0005-0000-0000-000020190000}"/>
    <cellStyle name="0_area wise qty 30.3.08 (1)_COMODITES option 2 3 5 2 3 2" xfId="6447" xr:uid="{00000000-0005-0000-0000-000021190000}"/>
    <cellStyle name="0_area wise qty 30.3.08 (1)_COMODITES option 2 3 5 2 3 2 2" xfId="6448" xr:uid="{00000000-0005-0000-0000-000022190000}"/>
    <cellStyle name="0_area wise qty 30.3.08 (1)_COMODITES option 2 3 5 2 3 3" xfId="6449" xr:uid="{00000000-0005-0000-0000-000023190000}"/>
    <cellStyle name="0_area wise qty 30.3.08 (1)_COMODITES option 2 3 5 2 3 3 2" xfId="6450" xr:uid="{00000000-0005-0000-0000-000024190000}"/>
    <cellStyle name="0_area wise qty 30.3.08 (1)_COMODITES option 2 3 5 2 3 4" xfId="6451" xr:uid="{00000000-0005-0000-0000-000025190000}"/>
    <cellStyle name="0_area wise qty 30.3.08 (1)_COMODITES option 2 3 5 2 4" xfId="6452" xr:uid="{00000000-0005-0000-0000-000026190000}"/>
    <cellStyle name="0_area wise qty 30.3.08 (1)_COMODITES option 2 3 5 2 4 2" xfId="6453" xr:uid="{00000000-0005-0000-0000-000027190000}"/>
    <cellStyle name="0_area wise qty 30.3.08 (1)_COMODITES option 2 3 5 2 5" xfId="6454" xr:uid="{00000000-0005-0000-0000-000028190000}"/>
    <cellStyle name="0_area wise qty 30.3.08 (1)_COMODITES option 2 3 5 2 5 2" xfId="6455" xr:uid="{00000000-0005-0000-0000-000029190000}"/>
    <cellStyle name="0_area wise qty 30.3.08 (1)_COMODITES option 2 3 5 2 6" xfId="6456" xr:uid="{00000000-0005-0000-0000-00002A190000}"/>
    <cellStyle name="0_area wise qty 30.3.08 (1)_COMODITES option 2 3 5 3" xfId="6457" xr:uid="{00000000-0005-0000-0000-00002B190000}"/>
    <cellStyle name="0_area wise qty 30.3.08 (1)_COMODITES option 2 3 5 3 2" xfId="6458" xr:uid="{00000000-0005-0000-0000-00002C190000}"/>
    <cellStyle name="0_area wise qty 30.3.08 (1)_COMODITES option 2 3 5 3 2 2" xfId="6459" xr:uid="{00000000-0005-0000-0000-00002D190000}"/>
    <cellStyle name="0_area wise qty 30.3.08 (1)_COMODITES option 2 3 5 3 3" xfId="6460" xr:uid="{00000000-0005-0000-0000-00002E190000}"/>
    <cellStyle name="0_area wise qty 30.3.08 (1)_COMODITES option 2 3 5 3 3 2" xfId="6461" xr:uid="{00000000-0005-0000-0000-00002F190000}"/>
    <cellStyle name="0_area wise qty 30.3.08 (1)_COMODITES option 2 3 5 3 4" xfId="6462" xr:uid="{00000000-0005-0000-0000-000030190000}"/>
    <cellStyle name="0_area wise qty 30.3.08 (1)_COMODITES option 2 3 5 4" xfId="6463" xr:uid="{00000000-0005-0000-0000-000031190000}"/>
    <cellStyle name="0_area wise qty 30.3.08 (1)_COMODITES option 2 3 5 4 2" xfId="6464" xr:uid="{00000000-0005-0000-0000-000032190000}"/>
    <cellStyle name="0_area wise qty 30.3.08 (1)_COMODITES option 2 3 5 4 2 2" xfId="6465" xr:uid="{00000000-0005-0000-0000-000033190000}"/>
    <cellStyle name="0_area wise qty 30.3.08 (1)_COMODITES option 2 3 5 4 3" xfId="6466" xr:uid="{00000000-0005-0000-0000-000034190000}"/>
    <cellStyle name="0_area wise qty 30.3.08 (1)_COMODITES option 2 3 5 4 3 2" xfId="6467" xr:uid="{00000000-0005-0000-0000-000035190000}"/>
    <cellStyle name="0_area wise qty 30.3.08 (1)_COMODITES option 2 3 5 4 4" xfId="6468" xr:uid="{00000000-0005-0000-0000-000036190000}"/>
    <cellStyle name="0_area wise qty 30.3.08 (1)_COMODITES option 2 3 5 5" xfId="6469" xr:uid="{00000000-0005-0000-0000-000037190000}"/>
    <cellStyle name="0_area wise qty 30.3.08 (1)_COMODITES option 2 3 5 5 2" xfId="6470" xr:uid="{00000000-0005-0000-0000-000038190000}"/>
    <cellStyle name="0_area wise qty 30.3.08 (1)_COMODITES option 2 3 5 5 2 2" xfId="6471" xr:uid="{00000000-0005-0000-0000-000039190000}"/>
    <cellStyle name="0_area wise qty 30.3.08 (1)_COMODITES option 2 3 5 5 3" xfId="6472" xr:uid="{00000000-0005-0000-0000-00003A190000}"/>
    <cellStyle name="0_area wise qty 30.3.08 (1)_COMODITES option 2 3 5 5 3 2" xfId="6473" xr:uid="{00000000-0005-0000-0000-00003B190000}"/>
    <cellStyle name="0_area wise qty 30.3.08 (1)_COMODITES option 2 3 5 5 4" xfId="6474" xr:uid="{00000000-0005-0000-0000-00003C190000}"/>
    <cellStyle name="0_area wise qty 30.3.08 (1)_COMODITES option 2 3 5 6" xfId="6475" xr:uid="{00000000-0005-0000-0000-00003D190000}"/>
    <cellStyle name="0_area wise qty 30.3.08 (1)_COMODITES option 2 3 5 6 2" xfId="6476" xr:uid="{00000000-0005-0000-0000-00003E190000}"/>
    <cellStyle name="0_area wise qty 30.3.08 (1)_COMODITES option 2 3 5 7" xfId="6477" xr:uid="{00000000-0005-0000-0000-00003F190000}"/>
    <cellStyle name="0_area wise qty 30.3.08 (1)_COMODITES option 2 3 5 7 2" xfId="6478" xr:uid="{00000000-0005-0000-0000-000040190000}"/>
    <cellStyle name="0_area wise qty 30.3.08 (1)_COMODITES option 2 3 5 8" xfId="6479" xr:uid="{00000000-0005-0000-0000-000041190000}"/>
    <cellStyle name="0_area wise qty 30.3.08 (1)_COMODITES option 2 3 6" xfId="6480" xr:uid="{00000000-0005-0000-0000-000042190000}"/>
    <cellStyle name="0_area wise qty 30.3.08 (1)_COMODITES option 2 3 6 2" xfId="6481" xr:uid="{00000000-0005-0000-0000-000043190000}"/>
    <cellStyle name="0_area wise qty 30.3.08 (1)_COMODITES option 2 3 6 2 2" xfId="6482" xr:uid="{00000000-0005-0000-0000-000044190000}"/>
    <cellStyle name="0_area wise qty 30.3.08 (1)_COMODITES option 2 3 6 2 2 2" xfId="6483" xr:uid="{00000000-0005-0000-0000-000045190000}"/>
    <cellStyle name="0_area wise qty 30.3.08 (1)_COMODITES option 2 3 6 2 2 2 2" xfId="6484" xr:uid="{00000000-0005-0000-0000-000046190000}"/>
    <cellStyle name="0_area wise qty 30.3.08 (1)_COMODITES option 2 3 6 2 2 3" xfId="6485" xr:uid="{00000000-0005-0000-0000-000047190000}"/>
    <cellStyle name="0_area wise qty 30.3.08 (1)_COMODITES option 2 3 6 2 2 3 2" xfId="6486" xr:uid="{00000000-0005-0000-0000-000048190000}"/>
    <cellStyle name="0_area wise qty 30.3.08 (1)_COMODITES option 2 3 6 2 2 4" xfId="6487" xr:uid="{00000000-0005-0000-0000-000049190000}"/>
    <cellStyle name="0_area wise qty 30.3.08 (1)_COMODITES option 2 3 6 2 3" xfId="6488" xr:uid="{00000000-0005-0000-0000-00004A190000}"/>
    <cellStyle name="0_area wise qty 30.3.08 (1)_COMODITES option 2 3 6 2 3 2" xfId="6489" xr:uid="{00000000-0005-0000-0000-00004B190000}"/>
    <cellStyle name="0_area wise qty 30.3.08 (1)_COMODITES option 2 3 6 2 3 2 2" xfId="6490" xr:uid="{00000000-0005-0000-0000-00004C190000}"/>
    <cellStyle name="0_area wise qty 30.3.08 (1)_COMODITES option 2 3 6 2 3 3" xfId="6491" xr:uid="{00000000-0005-0000-0000-00004D190000}"/>
    <cellStyle name="0_area wise qty 30.3.08 (1)_COMODITES option 2 3 6 2 3 3 2" xfId="6492" xr:uid="{00000000-0005-0000-0000-00004E190000}"/>
    <cellStyle name="0_area wise qty 30.3.08 (1)_COMODITES option 2 3 6 2 3 4" xfId="6493" xr:uid="{00000000-0005-0000-0000-00004F190000}"/>
    <cellStyle name="0_area wise qty 30.3.08 (1)_COMODITES option 2 3 6 2 4" xfId="6494" xr:uid="{00000000-0005-0000-0000-000050190000}"/>
    <cellStyle name="0_area wise qty 30.3.08 (1)_COMODITES option 2 3 6 2 4 2" xfId="6495" xr:uid="{00000000-0005-0000-0000-000051190000}"/>
    <cellStyle name="0_area wise qty 30.3.08 (1)_COMODITES option 2 3 6 2 5" xfId="6496" xr:uid="{00000000-0005-0000-0000-000052190000}"/>
    <cellStyle name="0_area wise qty 30.3.08 (1)_COMODITES option 2 3 6 2 5 2" xfId="6497" xr:uid="{00000000-0005-0000-0000-000053190000}"/>
    <cellStyle name="0_area wise qty 30.3.08 (1)_COMODITES option 2 3 6 2 6" xfId="6498" xr:uid="{00000000-0005-0000-0000-000054190000}"/>
    <cellStyle name="0_area wise qty 30.3.08 (1)_COMODITES option 2 3 6 3" xfId="6499" xr:uid="{00000000-0005-0000-0000-000055190000}"/>
    <cellStyle name="0_area wise qty 30.3.08 (1)_COMODITES option 2 3 6 3 2" xfId="6500" xr:uid="{00000000-0005-0000-0000-000056190000}"/>
    <cellStyle name="0_area wise qty 30.3.08 (1)_COMODITES option 2 3 6 3 2 2" xfId="6501" xr:uid="{00000000-0005-0000-0000-000057190000}"/>
    <cellStyle name="0_area wise qty 30.3.08 (1)_COMODITES option 2 3 6 3 3" xfId="6502" xr:uid="{00000000-0005-0000-0000-000058190000}"/>
    <cellStyle name="0_area wise qty 30.3.08 (1)_COMODITES option 2 3 6 3 3 2" xfId="6503" xr:uid="{00000000-0005-0000-0000-000059190000}"/>
    <cellStyle name="0_area wise qty 30.3.08 (1)_COMODITES option 2 3 6 3 4" xfId="6504" xr:uid="{00000000-0005-0000-0000-00005A190000}"/>
    <cellStyle name="0_area wise qty 30.3.08 (1)_COMODITES option 2 3 6 4" xfId="6505" xr:uid="{00000000-0005-0000-0000-00005B190000}"/>
    <cellStyle name="0_area wise qty 30.3.08 (1)_COMODITES option 2 3 6 4 2" xfId="6506" xr:uid="{00000000-0005-0000-0000-00005C190000}"/>
    <cellStyle name="0_area wise qty 30.3.08 (1)_COMODITES option 2 3 6 4 2 2" xfId="6507" xr:uid="{00000000-0005-0000-0000-00005D190000}"/>
    <cellStyle name="0_area wise qty 30.3.08 (1)_COMODITES option 2 3 6 4 3" xfId="6508" xr:uid="{00000000-0005-0000-0000-00005E190000}"/>
    <cellStyle name="0_area wise qty 30.3.08 (1)_COMODITES option 2 3 6 4 3 2" xfId="6509" xr:uid="{00000000-0005-0000-0000-00005F190000}"/>
    <cellStyle name="0_area wise qty 30.3.08 (1)_COMODITES option 2 3 6 4 4" xfId="6510" xr:uid="{00000000-0005-0000-0000-000060190000}"/>
    <cellStyle name="0_area wise qty 30.3.08 (1)_COMODITES option 2 3 6 5" xfId="6511" xr:uid="{00000000-0005-0000-0000-000061190000}"/>
    <cellStyle name="0_area wise qty 30.3.08 (1)_COMODITES option 2 3 6 5 2" xfId="6512" xr:uid="{00000000-0005-0000-0000-000062190000}"/>
    <cellStyle name="0_area wise qty 30.3.08 (1)_COMODITES option 2 3 6 5 2 2" xfId="6513" xr:uid="{00000000-0005-0000-0000-000063190000}"/>
    <cellStyle name="0_area wise qty 30.3.08 (1)_COMODITES option 2 3 6 5 3" xfId="6514" xr:uid="{00000000-0005-0000-0000-000064190000}"/>
    <cellStyle name="0_area wise qty 30.3.08 (1)_COMODITES option 2 3 6 5 3 2" xfId="6515" xr:uid="{00000000-0005-0000-0000-000065190000}"/>
    <cellStyle name="0_area wise qty 30.3.08 (1)_COMODITES option 2 3 6 5 4" xfId="6516" xr:uid="{00000000-0005-0000-0000-000066190000}"/>
    <cellStyle name="0_area wise qty 30.3.08 (1)_COMODITES option 2 3 6 6" xfId="6517" xr:uid="{00000000-0005-0000-0000-000067190000}"/>
    <cellStyle name="0_area wise qty 30.3.08 (1)_COMODITES option 2 3 6 6 2" xfId="6518" xr:uid="{00000000-0005-0000-0000-000068190000}"/>
    <cellStyle name="0_area wise qty 30.3.08 (1)_COMODITES option 2 3 6 7" xfId="6519" xr:uid="{00000000-0005-0000-0000-000069190000}"/>
    <cellStyle name="0_area wise qty 30.3.08 (1)_COMODITES option 2 3 6 7 2" xfId="6520" xr:uid="{00000000-0005-0000-0000-00006A190000}"/>
    <cellStyle name="0_area wise qty 30.3.08 (1)_COMODITES option 2 3 6 8" xfId="6521" xr:uid="{00000000-0005-0000-0000-00006B190000}"/>
    <cellStyle name="0_area wise qty 30.3.08 (1)_COMODITES option 2 3 7" xfId="6522" xr:uid="{00000000-0005-0000-0000-00006C190000}"/>
    <cellStyle name="0_area wise qty 30.3.08 (1)_COMODITES option 2 3 7 2" xfId="6523" xr:uid="{00000000-0005-0000-0000-00006D190000}"/>
    <cellStyle name="0_area wise qty 30.3.08 (1)_COMODITES option 2 3 7 2 2" xfId="6524" xr:uid="{00000000-0005-0000-0000-00006E190000}"/>
    <cellStyle name="0_area wise qty 30.3.08 (1)_COMODITES option 2 3 7 2 2 2" xfId="6525" xr:uid="{00000000-0005-0000-0000-00006F190000}"/>
    <cellStyle name="0_area wise qty 30.3.08 (1)_COMODITES option 2 3 7 2 3" xfId="6526" xr:uid="{00000000-0005-0000-0000-000070190000}"/>
    <cellStyle name="0_area wise qty 30.3.08 (1)_COMODITES option 2 3 7 2 3 2" xfId="6527" xr:uid="{00000000-0005-0000-0000-000071190000}"/>
    <cellStyle name="0_area wise qty 30.3.08 (1)_COMODITES option 2 3 7 2 4" xfId="6528" xr:uid="{00000000-0005-0000-0000-000072190000}"/>
    <cellStyle name="0_area wise qty 30.3.08 (1)_COMODITES option 2 3 7 3" xfId="6529" xr:uid="{00000000-0005-0000-0000-000073190000}"/>
    <cellStyle name="0_area wise qty 30.3.08 (1)_COMODITES option 2 3 7 3 2" xfId="6530" xr:uid="{00000000-0005-0000-0000-000074190000}"/>
    <cellStyle name="0_area wise qty 30.3.08 (1)_COMODITES option 2 3 7 3 2 2" xfId="6531" xr:uid="{00000000-0005-0000-0000-000075190000}"/>
    <cellStyle name="0_area wise qty 30.3.08 (1)_COMODITES option 2 3 7 3 3" xfId="6532" xr:uid="{00000000-0005-0000-0000-000076190000}"/>
    <cellStyle name="0_area wise qty 30.3.08 (1)_COMODITES option 2 3 7 3 3 2" xfId="6533" xr:uid="{00000000-0005-0000-0000-000077190000}"/>
    <cellStyle name="0_area wise qty 30.3.08 (1)_COMODITES option 2 3 7 3 4" xfId="6534" xr:uid="{00000000-0005-0000-0000-000078190000}"/>
    <cellStyle name="0_area wise qty 30.3.08 (1)_COMODITES option 2 3 7 4" xfId="6535" xr:uid="{00000000-0005-0000-0000-000079190000}"/>
    <cellStyle name="0_area wise qty 30.3.08 (1)_COMODITES option 2 3 7 4 2" xfId="6536" xr:uid="{00000000-0005-0000-0000-00007A190000}"/>
    <cellStyle name="0_area wise qty 30.3.08 (1)_COMODITES option 2 3 7 5" xfId="6537" xr:uid="{00000000-0005-0000-0000-00007B190000}"/>
    <cellStyle name="0_area wise qty 30.3.08 (1)_COMODITES option 2 3 7 5 2" xfId="6538" xr:uid="{00000000-0005-0000-0000-00007C190000}"/>
    <cellStyle name="0_area wise qty 30.3.08 (1)_COMODITES option 2 3 7 6" xfId="6539" xr:uid="{00000000-0005-0000-0000-00007D190000}"/>
    <cellStyle name="0_area wise qty 30.3.08 (1)_COMODITES option 2 3 8" xfId="6540" xr:uid="{00000000-0005-0000-0000-00007E190000}"/>
    <cellStyle name="0_area wise qty 30.3.08 (1)_COMODITES option 2 3 8 2" xfId="6541" xr:uid="{00000000-0005-0000-0000-00007F190000}"/>
    <cellStyle name="0_area wise qty 30.3.08 (1)_COMODITES option 2 3 8 2 2" xfId="6542" xr:uid="{00000000-0005-0000-0000-000080190000}"/>
    <cellStyle name="0_area wise qty 30.3.08 (1)_COMODITES option 2 3 8 3" xfId="6543" xr:uid="{00000000-0005-0000-0000-000081190000}"/>
    <cellStyle name="0_area wise qty 30.3.08 (1)_COMODITES option 2 3 8 3 2" xfId="6544" xr:uid="{00000000-0005-0000-0000-000082190000}"/>
    <cellStyle name="0_area wise qty 30.3.08 (1)_COMODITES option 2 3 8 4" xfId="6545" xr:uid="{00000000-0005-0000-0000-000083190000}"/>
    <cellStyle name="0_area wise qty 30.3.08 (1)_COMODITES option 2 3 9" xfId="6546" xr:uid="{00000000-0005-0000-0000-000084190000}"/>
    <cellStyle name="0_area wise qty 30.3.08 (1)_COMODITES option 2 3 9 2" xfId="6547" xr:uid="{00000000-0005-0000-0000-000085190000}"/>
    <cellStyle name="0_area wise qty 30.3.08 (1)_COMODITES option 2 3 9 2 2" xfId="6548" xr:uid="{00000000-0005-0000-0000-000086190000}"/>
    <cellStyle name="0_area wise qty 30.3.08 (1)_COMODITES option 2 3 9 3" xfId="6549" xr:uid="{00000000-0005-0000-0000-000087190000}"/>
    <cellStyle name="0_area wise qty 30.3.08 (1)_COMODITES option 2 3 9 3 2" xfId="6550" xr:uid="{00000000-0005-0000-0000-000088190000}"/>
    <cellStyle name="0_area wise qty 30.3.08 (1)_COMODITES option 2 3 9 4" xfId="6551" xr:uid="{00000000-0005-0000-0000-000089190000}"/>
    <cellStyle name="0_area wise qty 30.3.08 (1)_COMODITES option 2 4" xfId="6552" xr:uid="{00000000-0005-0000-0000-00008A190000}"/>
    <cellStyle name="0_area wise qty 30.3.08 (1)_COMODITES option 2 4 10" xfId="6553" xr:uid="{00000000-0005-0000-0000-00008B190000}"/>
    <cellStyle name="0_area wise qty 30.3.08 (1)_COMODITES option 2 4 10 2" xfId="6554" xr:uid="{00000000-0005-0000-0000-00008C190000}"/>
    <cellStyle name="0_area wise qty 30.3.08 (1)_COMODITES option 2 4 10 2 2" xfId="6555" xr:uid="{00000000-0005-0000-0000-00008D190000}"/>
    <cellStyle name="0_area wise qty 30.3.08 (1)_COMODITES option 2 4 10 3" xfId="6556" xr:uid="{00000000-0005-0000-0000-00008E190000}"/>
    <cellStyle name="0_area wise qty 30.3.08 (1)_COMODITES option 2 4 10 3 2" xfId="6557" xr:uid="{00000000-0005-0000-0000-00008F190000}"/>
    <cellStyle name="0_area wise qty 30.3.08 (1)_COMODITES option 2 4 10 4" xfId="6558" xr:uid="{00000000-0005-0000-0000-000090190000}"/>
    <cellStyle name="0_area wise qty 30.3.08 (1)_COMODITES option 2 4 11" xfId="6559" xr:uid="{00000000-0005-0000-0000-000091190000}"/>
    <cellStyle name="0_area wise qty 30.3.08 (1)_COMODITES option 2 4 11 2" xfId="6560" xr:uid="{00000000-0005-0000-0000-000092190000}"/>
    <cellStyle name="0_area wise qty 30.3.08 (1)_COMODITES option 2 4 12" xfId="6561" xr:uid="{00000000-0005-0000-0000-000093190000}"/>
    <cellStyle name="0_area wise qty 30.3.08 (1)_COMODITES option 2 4 12 2" xfId="6562" xr:uid="{00000000-0005-0000-0000-000094190000}"/>
    <cellStyle name="0_area wise qty 30.3.08 (1)_COMODITES option 2 4 13" xfId="6563" xr:uid="{00000000-0005-0000-0000-000095190000}"/>
    <cellStyle name="0_area wise qty 30.3.08 (1)_COMODITES option 2 4 2" xfId="6564" xr:uid="{00000000-0005-0000-0000-000096190000}"/>
    <cellStyle name="0_area wise qty 30.3.08 (1)_COMODITES option 2 4 2 2" xfId="6565" xr:uid="{00000000-0005-0000-0000-000097190000}"/>
    <cellStyle name="0_area wise qty 30.3.08 (1)_COMODITES option 2 4 2 2 2" xfId="6566" xr:uid="{00000000-0005-0000-0000-000098190000}"/>
    <cellStyle name="0_area wise qty 30.3.08 (1)_COMODITES option 2 4 2 2 2 2" xfId="6567" xr:uid="{00000000-0005-0000-0000-000099190000}"/>
    <cellStyle name="0_area wise qty 30.3.08 (1)_COMODITES option 2 4 2 2 2 2 2" xfId="6568" xr:uid="{00000000-0005-0000-0000-00009A190000}"/>
    <cellStyle name="0_area wise qty 30.3.08 (1)_COMODITES option 2 4 2 2 2 3" xfId="6569" xr:uid="{00000000-0005-0000-0000-00009B190000}"/>
    <cellStyle name="0_area wise qty 30.3.08 (1)_COMODITES option 2 4 2 2 2 3 2" xfId="6570" xr:uid="{00000000-0005-0000-0000-00009C190000}"/>
    <cellStyle name="0_area wise qty 30.3.08 (1)_COMODITES option 2 4 2 2 2 4" xfId="6571" xr:uid="{00000000-0005-0000-0000-00009D190000}"/>
    <cellStyle name="0_area wise qty 30.3.08 (1)_COMODITES option 2 4 2 2 3" xfId="6572" xr:uid="{00000000-0005-0000-0000-00009E190000}"/>
    <cellStyle name="0_area wise qty 30.3.08 (1)_COMODITES option 2 4 2 2 3 2" xfId="6573" xr:uid="{00000000-0005-0000-0000-00009F190000}"/>
    <cellStyle name="0_area wise qty 30.3.08 (1)_COMODITES option 2 4 2 2 3 2 2" xfId="6574" xr:uid="{00000000-0005-0000-0000-0000A0190000}"/>
    <cellStyle name="0_area wise qty 30.3.08 (1)_COMODITES option 2 4 2 2 3 3" xfId="6575" xr:uid="{00000000-0005-0000-0000-0000A1190000}"/>
    <cellStyle name="0_area wise qty 30.3.08 (1)_COMODITES option 2 4 2 2 3 3 2" xfId="6576" xr:uid="{00000000-0005-0000-0000-0000A2190000}"/>
    <cellStyle name="0_area wise qty 30.3.08 (1)_COMODITES option 2 4 2 2 3 4" xfId="6577" xr:uid="{00000000-0005-0000-0000-0000A3190000}"/>
    <cellStyle name="0_area wise qty 30.3.08 (1)_COMODITES option 2 4 2 2 4" xfId="6578" xr:uid="{00000000-0005-0000-0000-0000A4190000}"/>
    <cellStyle name="0_area wise qty 30.3.08 (1)_COMODITES option 2 4 2 2 4 2" xfId="6579" xr:uid="{00000000-0005-0000-0000-0000A5190000}"/>
    <cellStyle name="0_area wise qty 30.3.08 (1)_COMODITES option 2 4 2 2 5" xfId="6580" xr:uid="{00000000-0005-0000-0000-0000A6190000}"/>
    <cellStyle name="0_area wise qty 30.3.08 (1)_COMODITES option 2 4 2 2 5 2" xfId="6581" xr:uid="{00000000-0005-0000-0000-0000A7190000}"/>
    <cellStyle name="0_area wise qty 30.3.08 (1)_COMODITES option 2 4 2 2 6" xfId="6582" xr:uid="{00000000-0005-0000-0000-0000A8190000}"/>
    <cellStyle name="0_area wise qty 30.3.08 (1)_COMODITES option 2 4 2 3" xfId="6583" xr:uid="{00000000-0005-0000-0000-0000A9190000}"/>
    <cellStyle name="0_area wise qty 30.3.08 (1)_COMODITES option 2 4 2 3 2" xfId="6584" xr:uid="{00000000-0005-0000-0000-0000AA190000}"/>
    <cellStyle name="0_area wise qty 30.3.08 (1)_COMODITES option 2 4 2 3 2 2" xfId="6585" xr:uid="{00000000-0005-0000-0000-0000AB190000}"/>
    <cellStyle name="0_area wise qty 30.3.08 (1)_COMODITES option 2 4 2 3 3" xfId="6586" xr:uid="{00000000-0005-0000-0000-0000AC190000}"/>
    <cellStyle name="0_area wise qty 30.3.08 (1)_COMODITES option 2 4 2 3 3 2" xfId="6587" xr:uid="{00000000-0005-0000-0000-0000AD190000}"/>
    <cellStyle name="0_area wise qty 30.3.08 (1)_COMODITES option 2 4 2 3 4" xfId="6588" xr:uid="{00000000-0005-0000-0000-0000AE190000}"/>
    <cellStyle name="0_area wise qty 30.3.08 (1)_COMODITES option 2 4 2 4" xfId="6589" xr:uid="{00000000-0005-0000-0000-0000AF190000}"/>
    <cellStyle name="0_area wise qty 30.3.08 (1)_COMODITES option 2 4 2 4 2" xfId="6590" xr:uid="{00000000-0005-0000-0000-0000B0190000}"/>
    <cellStyle name="0_area wise qty 30.3.08 (1)_COMODITES option 2 4 2 4 2 2" xfId="6591" xr:uid="{00000000-0005-0000-0000-0000B1190000}"/>
    <cellStyle name="0_area wise qty 30.3.08 (1)_COMODITES option 2 4 2 4 3" xfId="6592" xr:uid="{00000000-0005-0000-0000-0000B2190000}"/>
    <cellStyle name="0_area wise qty 30.3.08 (1)_COMODITES option 2 4 2 4 3 2" xfId="6593" xr:uid="{00000000-0005-0000-0000-0000B3190000}"/>
    <cellStyle name="0_area wise qty 30.3.08 (1)_COMODITES option 2 4 2 4 4" xfId="6594" xr:uid="{00000000-0005-0000-0000-0000B4190000}"/>
    <cellStyle name="0_area wise qty 30.3.08 (1)_COMODITES option 2 4 2 5" xfId="6595" xr:uid="{00000000-0005-0000-0000-0000B5190000}"/>
    <cellStyle name="0_area wise qty 30.3.08 (1)_COMODITES option 2 4 2 5 2" xfId="6596" xr:uid="{00000000-0005-0000-0000-0000B6190000}"/>
    <cellStyle name="0_area wise qty 30.3.08 (1)_COMODITES option 2 4 2 5 2 2" xfId="6597" xr:uid="{00000000-0005-0000-0000-0000B7190000}"/>
    <cellStyle name="0_area wise qty 30.3.08 (1)_COMODITES option 2 4 2 5 3" xfId="6598" xr:uid="{00000000-0005-0000-0000-0000B8190000}"/>
    <cellStyle name="0_area wise qty 30.3.08 (1)_COMODITES option 2 4 2 5 3 2" xfId="6599" xr:uid="{00000000-0005-0000-0000-0000B9190000}"/>
    <cellStyle name="0_area wise qty 30.3.08 (1)_COMODITES option 2 4 2 5 4" xfId="6600" xr:uid="{00000000-0005-0000-0000-0000BA190000}"/>
    <cellStyle name="0_area wise qty 30.3.08 (1)_COMODITES option 2 4 2 6" xfId="6601" xr:uid="{00000000-0005-0000-0000-0000BB190000}"/>
    <cellStyle name="0_area wise qty 30.3.08 (1)_COMODITES option 2 4 2 6 2" xfId="6602" xr:uid="{00000000-0005-0000-0000-0000BC190000}"/>
    <cellStyle name="0_area wise qty 30.3.08 (1)_COMODITES option 2 4 2 7" xfId="6603" xr:uid="{00000000-0005-0000-0000-0000BD190000}"/>
    <cellStyle name="0_area wise qty 30.3.08 (1)_COMODITES option 2 4 2 7 2" xfId="6604" xr:uid="{00000000-0005-0000-0000-0000BE190000}"/>
    <cellStyle name="0_area wise qty 30.3.08 (1)_COMODITES option 2 4 2 8" xfId="6605" xr:uid="{00000000-0005-0000-0000-0000BF190000}"/>
    <cellStyle name="0_area wise qty 30.3.08 (1)_COMODITES option 2 4 3" xfId="6606" xr:uid="{00000000-0005-0000-0000-0000C0190000}"/>
    <cellStyle name="0_area wise qty 30.3.08 (1)_COMODITES option 2 4 3 2" xfId="6607" xr:uid="{00000000-0005-0000-0000-0000C1190000}"/>
    <cellStyle name="0_area wise qty 30.3.08 (1)_COMODITES option 2 4 3 2 2" xfId="6608" xr:uid="{00000000-0005-0000-0000-0000C2190000}"/>
    <cellStyle name="0_area wise qty 30.3.08 (1)_COMODITES option 2 4 3 2 2 2" xfId="6609" xr:uid="{00000000-0005-0000-0000-0000C3190000}"/>
    <cellStyle name="0_area wise qty 30.3.08 (1)_COMODITES option 2 4 3 2 2 2 2" xfId="6610" xr:uid="{00000000-0005-0000-0000-0000C4190000}"/>
    <cellStyle name="0_area wise qty 30.3.08 (1)_COMODITES option 2 4 3 2 2 3" xfId="6611" xr:uid="{00000000-0005-0000-0000-0000C5190000}"/>
    <cellStyle name="0_area wise qty 30.3.08 (1)_COMODITES option 2 4 3 2 2 3 2" xfId="6612" xr:uid="{00000000-0005-0000-0000-0000C6190000}"/>
    <cellStyle name="0_area wise qty 30.3.08 (1)_COMODITES option 2 4 3 2 2 4" xfId="6613" xr:uid="{00000000-0005-0000-0000-0000C7190000}"/>
    <cellStyle name="0_area wise qty 30.3.08 (1)_COMODITES option 2 4 3 2 3" xfId="6614" xr:uid="{00000000-0005-0000-0000-0000C8190000}"/>
    <cellStyle name="0_area wise qty 30.3.08 (1)_COMODITES option 2 4 3 2 3 2" xfId="6615" xr:uid="{00000000-0005-0000-0000-0000C9190000}"/>
    <cellStyle name="0_area wise qty 30.3.08 (1)_COMODITES option 2 4 3 2 3 2 2" xfId="6616" xr:uid="{00000000-0005-0000-0000-0000CA190000}"/>
    <cellStyle name="0_area wise qty 30.3.08 (1)_COMODITES option 2 4 3 2 3 3" xfId="6617" xr:uid="{00000000-0005-0000-0000-0000CB190000}"/>
    <cellStyle name="0_area wise qty 30.3.08 (1)_COMODITES option 2 4 3 2 3 3 2" xfId="6618" xr:uid="{00000000-0005-0000-0000-0000CC190000}"/>
    <cellStyle name="0_area wise qty 30.3.08 (1)_COMODITES option 2 4 3 2 3 4" xfId="6619" xr:uid="{00000000-0005-0000-0000-0000CD190000}"/>
    <cellStyle name="0_area wise qty 30.3.08 (1)_COMODITES option 2 4 3 2 4" xfId="6620" xr:uid="{00000000-0005-0000-0000-0000CE190000}"/>
    <cellStyle name="0_area wise qty 30.3.08 (1)_COMODITES option 2 4 3 2 4 2" xfId="6621" xr:uid="{00000000-0005-0000-0000-0000CF190000}"/>
    <cellStyle name="0_area wise qty 30.3.08 (1)_COMODITES option 2 4 3 2 5" xfId="6622" xr:uid="{00000000-0005-0000-0000-0000D0190000}"/>
    <cellStyle name="0_area wise qty 30.3.08 (1)_COMODITES option 2 4 3 2 5 2" xfId="6623" xr:uid="{00000000-0005-0000-0000-0000D1190000}"/>
    <cellStyle name="0_area wise qty 30.3.08 (1)_COMODITES option 2 4 3 2 6" xfId="6624" xr:uid="{00000000-0005-0000-0000-0000D2190000}"/>
    <cellStyle name="0_area wise qty 30.3.08 (1)_COMODITES option 2 4 3 3" xfId="6625" xr:uid="{00000000-0005-0000-0000-0000D3190000}"/>
    <cellStyle name="0_area wise qty 30.3.08 (1)_COMODITES option 2 4 3 3 2" xfId="6626" xr:uid="{00000000-0005-0000-0000-0000D4190000}"/>
    <cellStyle name="0_area wise qty 30.3.08 (1)_COMODITES option 2 4 3 3 2 2" xfId="6627" xr:uid="{00000000-0005-0000-0000-0000D5190000}"/>
    <cellStyle name="0_area wise qty 30.3.08 (1)_COMODITES option 2 4 3 3 3" xfId="6628" xr:uid="{00000000-0005-0000-0000-0000D6190000}"/>
    <cellStyle name="0_area wise qty 30.3.08 (1)_COMODITES option 2 4 3 3 3 2" xfId="6629" xr:uid="{00000000-0005-0000-0000-0000D7190000}"/>
    <cellStyle name="0_area wise qty 30.3.08 (1)_COMODITES option 2 4 3 3 4" xfId="6630" xr:uid="{00000000-0005-0000-0000-0000D8190000}"/>
    <cellStyle name="0_area wise qty 30.3.08 (1)_COMODITES option 2 4 3 4" xfId="6631" xr:uid="{00000000-0005-0000-0000-0000D9190000}"/>
    <cellStyle name="0_area wise qty 30.3.08 (1)_COMODITES option 2 4 3 4 2" xfId="6632" xr:uid="{00000000-0005-0000-0000-0000DA190000}"/>
    <cellStyle name="0_area wise qty 30.3.08 (1)_COMODITES option 2 4 3 4 2 2" xfId="6633" xr:uid="{00000000-0005-0000-0000-0000DB190000}"/>
    <cellStyle name="0_area wise qty 30.3.08 (1)_COMODITES option 2 4 3 4 3" xfId="6634" xr:uid="{00000000-0005-0000-0000-0000DC190000}"/>
    <cellStyle name="0_area wise qty 30.3.08 (1)_COMODITES option 2 4 3 4 3 2" xfId="6635" xr:uid="{00000000-0005-0000-0000-0000DD190000}"/>
    <cellStyle name="0_area wise qty 30.3.08 (1)_COMODITES option 2 4 3 4 4" xfId="6636" xr:uid="{00000000-0005-0000-0000-0000DE190000}"/>
    <cellStyle name="0_area wise qty 30.3.08 (1)_COMODITES option 2 4 3 5" xfId="6637" xr:uid="{00000000-0005-0000-0000-0000DF190000}"/>
    <cellStyle name="0_area wise qty 30.3.08 (1)_COMODITES option 2 4 3 5 2" xfId="6638" xr:uid="{00000000-0005-0000-0000-0000E0190000}"/>
    <cellStyle name="0_area wise qty 30.3.08 (1)_COMODITES option 2 4 3 5 2 2" xfId="6639" xr:uid="{00000000-0005-0000-0000-0000E1190000}"/>
    <cellStyle name="0_area wise qty 30.3.08 (1)_COMODITES option 2 4 3 5 3" xfId="6640" xr:uid="{00000000-0005-0000-0000-0000E2190000}"/>
    <cellStyle name="0_area wise qty 30.3.08 (1)_COMODITES option 2 4 3 5 3 2" xfId="6641" xr:uid="{00000000-0005-0000-0000-0000E3190000}"/>
    <cellStyle name="0_area wise qty 30.3.08 (1)_COMODITES option 2 4 3 5 4" xfId="6642" xr:uid="{00000000-0005-0000-0000-0000E4190000}"/>
    <cellStyle name="0_area wise qty 30.3.08 (1)_COMODITES option 2 4 3 6" xfId="6643" xr:uid="{00000000-0005-0000-0000-0000E5190000}"/>
    <cellStyle name="0_area wise qty 30.3.08 (1)_COMODITES option 2 4 3 6 2" xfId="6644" xr:uid="{00000000-0005-0000-0000-0000E6190000}"/>
    <cellStyle name="0_area wise qty 30.3.08 (1)_COMODITES option 2 4 3 7" xfId="6645" xr:uid="{00000000-0005-0000-0000-0000E7190000}"/>
    <cellStyle name="0_area wise qty 30.3.08 (1)_COMODITES option 2 4 3 7 2" xfId="6646" xr:uid="{00000000-0005-0000-0000-0000E8190000}"/>
    <cellStyle name="0_area wise qty 30.3.08 (1)_COMODITES option 2 4 3 8" xfId="6647" xr:uid="{00000000-0005-0000-0000-0000E9190000}"/>
    <cellStyle name="0_area wise qty 30.3.08 (1)_COMODITES option 2 4 4" xfId="6648" xr:uid="{00000000-0005-0000-0000-0000EA190000}"/>
    <cellStyle name="0_area wise qty 30.3.08 (1)_COMODITES option 2 4 4 2" xfId="6649" xr:uid="{00000000-0005-0000-0000-0000EB190000}"/>
    <cellStyle name="0_area wise qty 30.3.08 (1)_COMODITES option 2 4 4 2 2" xfId="6650" xr:uid="{00000000-0005-0000-0000-0000EC190000}"/>
    <cellStyle name="0_area wise qty 30.3.08 (1)_COMODITES option 2 4 4 2 2 2" xfId="6651" xr:uid="{00000000-0005-0000-0000-0000ED190000}"/>
    <cellStyle name="0_area wise qty 30.3.08 (1)_COMODITES option 2 4 4 2 2 2 2" xfId="6652" xr:uid="{00000000-0005-0000-0000-0000EE190000}"/>
    <cellStyle name="0_area wise qty 30.3.08 (1)_COMODITES option 2 4 4 2 2 3" xfId="6653" xr:uid="{00000000-0005-0000-0000-0000EF190000}"/>
    <cellStyle name="0_area wise qty 30.3.08 (1)_COMODITES option 2 4 4 2 2 3 2" xfId="6654" xr:uid="{00000000-0005-0000-0000-0000F0190000}"/>
    <cellStyle name="0_area wise qty 30.3.08 (1)_COMODITES option 2 4 4 2 2 4" xfId="6655" xr:uid="{00000000-0005-0000-0000-0000F1190000}"/>
    <cellStyle name="0_area wise qty 30.3.08 (1)_COMODITES option 2 4 4 2 3" xfId="6656" xr:uid="{00000000-0005-0000-0000-0000F2190000}"/>
    <cellStyle name="0_area wise qty 30.3.08 (1)_COMODITES option 2 4 4 2 3 2" xfId="6657" xr:uid="{00000000-0005-0000-0000-0000F3190000}"/>
    <cellStyle name="0_area wise qty 30.3.08 (1)_COMODITES option 2 4 4 2 3 2 2" xfId="6658" xr:uid="{00000000-0005-0000-0000-0000F4190000}"/>
    <cellStyle name="0_area wise qty 30.3.08 (1)_COMODITES option 2 4 4 2 3 3" xfId="6659" xr:uid="{00000000-0005-0000-0000-0000F5190000}"/>
    <cellStyle name="0_area wise qty 30.3.08 (1)_COMODITES option 2 4 4 2 3 3 2" xfId="6660" xr:uid="{00000000-0005-0000-0000-0000F6190000}"/>
    <cellStyle name="0_area wise qty 30.3.08 (1)_COMODITES option 2 4 4 2 3 4" xfId="6661" xr:uid="{00000000-0005-0000-0000-0000F7190000}"/>
    <cellStyle name="0_area wise qty 30.3.08 (1)_COMODITES option 2 4 4 2 4" xfId="6662" xr:uid="{00000000-0005-0000-0000-0000F8190000}"/>
    <cellStyle name="0_area wise qty 30.3.08 (1)_COMODITES option 2 4 4 2 4 2" xfId="6663" xr:uid="{00000000-0005-0000-0000-0000F9190000}"/>
    <cellStyle name="0_area wise qty 30.3.08 (1)_COMODITES option 2 4 4 2 5" xfId="6664" xr:uid="{00000000-0005-0000-0000-0000FA190000}"/>
    <cellStyle name="0_area wise qty 30.3.08 (1)_COMODITES option 2 4 4 2 5 2" xfId="6665" xr:uid="{00000000-0005-0000-0000-0000FB190000}"/>
    <cellStyle name="0_area wise qty 30.3.08 (1)_COMODITES option 2 4 4 2 6" xfId="6666" xr:uid="{00000000-0005-0000-0000-0000FC190000}"/>
    <cellStyle name="0_area wise qty 30.3.08 (1)_COMODITES option 2 4 4 3" xfId="6667" xr:uid="{00000000-0005-0000-0000-0000FD190000}"/>
    <cellStyle name="0_area wise qty 30.3.08 (1)_COMODITES option 2 4 4 3 2" xfId="6668" xr:uid="{00000000-0005-0000-0000-0000FE190000}"/>
    <cellStyle name="0_area wise qty 30.3.08 (1)_COMODITES option 2 4 4 3 2 2" xfId="6669" xr:uid="{00000000-0005-0000-0000-0000FF190000}"/>
    <cellStyle name="0_area wise qty 30.3.08 (1)_COMODITES option 2 4 4 3 3" xfId="6670" xr:uid="{00000000-0005-0000-0000-0000001A0000}"/>
    <cellStyle name="0_area wise qty 30.3.08 (1)_COMODITES option 2 4 4 3 3 2" xfId="6671" xr:uid="{00000000-0005-0000-0000-0000011A0000}"/>
    <cellStyle name="0_area wise qty 30.3.08 (1)_COMODITES option 2 4 4 3 4" xfId="6672" xr:uid="{00000000-0005-0000-0000-0000021A0000}"/>
    <cellStyle name="0_area wise qty 30.3.08 (1)_COMODITES option 2 4 4 4" xfId="6673" xr:uid="{00000000-0005-0000-0000-0000031A0000}"/>
    <cellStyle name="0_area wise qty 30.3.08 (1)_COMODITES option 2 4 4 4 2" xfId="6674" xr:uid="{00000000-0005-0000-0000-0000041A0000}"/>
    <cellStyle name="0_area wise qty 30.3.08 (1)_COMODITES option 2 4 4 4 2 2" xfId="6675" xr:uid="{00000000-0005-0000-0000-0000051A0000}"/>
    <cellStyle name="0_area wise qty 30.3.08 (1)_COMODITES option 2 4 4 4 3" xfId="6676" xr:uid="{00000000-0005-0000-0000-0000061A0000}"/>
    <cellStyle name="0_area wise qty 30.3.08 (1)_COMODITES option 2 4 4 4 3 2" xfId="6677" xr:uid="{00000000-0005-0000-0000-0000071A0000}"/>
    <cellStyle name="0_area wise qty 30.3.08 (1)_COMODITES option 2 4 4 4 4" xfId="6678" xr:uid="{00000000-0005-0000-0000-0000081A0000}"/>
    <cellStyle name="0_area wise qty 30.3.08 (1)_COMODITES option 2 4 4 5" xfId="6679" xr:uid="{00000000-0005-0000-0000-0000091A0000}"/>
    <cellStyle name="0_area wise qty 30.3.08 (1)_COMODITES option 2 4 4 5 2" xfId="6680" xr:uid="{00000000-0005-0000-0000-00000A1A0000}"/>
    <cellStyle name="0_area wise qty 30.3.08 (1)_COMODITES option 2 4 4 5 2 2" xfId="6681" xr:uid="{00000000-0005-0000-0000-00000B1A0000}"/>
    <cellStyle name="0_area wise qty 30.3.08 (1)_COMODITES option 2 4 4 5 3" xfId="6682" xr:uid="{00000000-0005-0000-0000-00000C1A0000}"/>
    <cellStyle name="0_area wise qty 30.3.08 (1)_COMODITES option 2 4 4 5 3 2" xfId="6683" xr:uid="{00000000-0005-0000-0000-00000D1A0000}"/>
    <cellStyle name="0_area wise qty 30.3.08 (1)_COMODITES option 2 4 4 5 4" xfId="6684" xr:uid="{00000000-0005-0000-0000-00000E1A0000}"/>
    <cellStyle name="0_area wise qty 30.3.08 (1)_COMODITES option 2 4 4 6" xfId="6685" xr:uid="{00000000-0005-0000-0000-00000F1A0000}"/>
    <cellStyle name="0_area wise qty 30.3.08 (1)_COMODITES option 2 4 4 6 2" xfId="6686" xr:uid="{00000000-0005-0000-0000-0000101A0000}"/>
    <cellStyle name="0_area wise qty 30.3.08 (1)_COMODITES option 2 4 4 7" xfId="6687" xr:uid="{00000000-0005-0000-0000-0000111A0000}"/>
    <cellStyle name="0_area wise qty 30.3.08 (1)_COMODITES option 2 4 4 7 2" xfId="6688" xr:uid="{00000000-0005-0000-0000-0000121A0000}"/>
    <cellStyle name="0_area wise qty 30.3.08 (1)_COMODITES option 2 4 4 8" xfId="6689" xr:uid="{00000000-0005-0000-0000-0000131A0000}"/>
    <cellStyle name="0_area wise qty 30.3.08 (1)_COMODITES option 2 4 5" xfId="6690" xr:uid="{00000000-0005-0000-0000-0000141A0000}"/>
    <cellStyle name="0_area wise qty 30.3.08 (1)_COMODITES option 2 4 5 2" xfId="6691" xr:uid="{00000000-0005-0000-0000-0000151A0000}"/>
    <cellStyle name="0_area wise qty 30.3.08 (1)_COMODITES option 2 4 5 2 2" xfId="6692" xr:uid="{00000000-0005-0000-0000-0000161A0000}"/>
    <cellStyle name="0_area wise qty 30.3.08 (1)_COMODITES option 2 4 5 2 2 2" xfId="6693" xr:uid="{00000000-0005-0000-0000-0000171A0000}"/>
    <cellStyle name="0_area wise qty 30.3.08 (1)_COMODITES option 2 4 5 2 2 2 2" xfId="6694" xr:uid="{00000000-0005-0000-0000-0000181A0000}"/>
    <cellStyle name="0_area wise qty 30.3.08 (1)_COMODITES option 2 4 5 2 2 3" xfId="6695" xr:uid="{00000000-0005-0000-0000-0000191A0000}"/>
    <cellStyle name="0_area wise qty 30.3.08 (1)_COMODITES option 2 4 5 2 2 3 2" xfId="6696" xr:uid="{00000000-0005-0000-0000-00001A1A0000}"/>
    <cellStyle name="0_area wise qty 30.3.08 (1)_COMODITES option 2 4 5 2 2 4" xfId="6697" xr:uid="{00000000-0005-0000-0000-00001B1A0000}"/>
    <cellStyle name="0_area wise qty 30.3.08 (1)_COMODITES option 2 4 5 2 3" xfId="6698" xr:uid="{00000000-0005-0000-0000-00001C1A0000}"/>
    <cellStyle name="0_area wise qty 30.3.08 (1)_COMODITES option 2 4 5 2 3 2" xfId="6699" xr:uid="{00000000-0005-0000-0000-00001D1A0000}"/>
    <cellStyle name="0_area wise qty 30.3.08 (1)_COMODITES option 2 4 5 2 3 2 2" xfId="6700" xr:uid="{00000000-0005-0000-0000-00001E1A0000}"/>
    <cellStyle name="0_area wise qty 30.3.08 (1)_COMODITES option 2 4 5 2 3 3" xfId="6701" xr:uid="{00000000-0005-0000-0000-00001F1A0000}"/>
    <cellStyle name="0_area wise qty 30.3.08 (1)_COMODITES option 2 4 5 2 3 3 2" xfId="6702" xr:uid="{00000000-0005-0000-0000-0000201A0000}"/>
    <cellStyle name="0_area wise qty 30.3.08 (1)_COMODITES option 2 4 5 2 3 4" xfId="6703" xr:uid="{00000000-0005-0000-0000-0000211A0000}"/>
    <cellStyle name="0_area wise qty 30.3.08 (1)_COMODITES option 2 4 5 2 4" xfId="6704" xr:uid="{00000000-0005-0000-0000-0000221A0000}"/>
    <cellStyle name="0_area wise qty 30.3.08 (1)_COMODITES option 2 4 5 2 4 2" xfId="6705" xr:uid="{00000000-0005-0000-0000-0000231A0000}"/>
    <cellStyle name="0_area wise qty 30.3.08 (1)_COMODITES option 2 4 5 2 5" xfId="6706" xr:uid="{00000000-0005-0000-0000-0000241A0000}"/>
    <cellStyle name="0_area wise qty 30.3.08 (1)_COMODITES option 2 4 5 2 5 2" xfId="6707" xr:uid="{00000000-0005-0000-0000-0000251A0000}"/>
    <cellStyle name="0_area wise qty 30.3.08 (1)_COMODITES option 2 4 5 2 6" xfId="6708" xr:uid="{00000000-0005-0000-0000-0000261A0000}"/>
    <cellStyle name="0_area wise qty 30.3.08 (1)_COMODITES option 2 4 5 3" xfId="6709" xr:uid="{00000000-0005-0000-0000-0000271A0000}"/>
    <cellStyle name="0_area wise qty 30.3.08 (1)_COMODITES option 2 4 5 3 2" xfId="6710" xr:uid="{00000000-0005-0000-0000-0000281A0000}"/>
    <cellStyle name="0_area wise qty 30.3.08 (1)_COMODITES option 2 4 5 3 2 2" xfId="6711" xr:uid="{00000000-0005-0000-0000-0000291A0000}"/>
    <cellStyle name="0_area wise qty 30.3.08 (1)_COMODITES option 2 4 5 3 3" xfId="6712" xr:uid="{00000000-0005-0000-0000-00002A1A0000}"/>
    <cellStyle name="0_area wise qty 30.3.08 (1)_COMODITES option 2 4 5 3 3 2" xfId="6713" xr:uid="{00000000-0005-0000-0000-00002B1A0000}"/>
    <cellStyle name="0_area wise qty 30.3.08 (1)_COMODITES option 2 4 5 3 4" xfId="6714" xr:uid="{00000000-0005-0000-0000-00002C1A0000}"/>
    <cellStyle name="0_area wise qty 30.3.08 (1)_COMODITES option 2 4 5 4" xfId="6715" xr:uid="{00000000-0005-0000-0000-00002D1A0000}"/>
    <cellStyle name="0_area wise qty 30.3.08 (1)_COMODITES option 2 4 5 4 2" xfId="6716" xr:uid="{00000000-0005-0000-0000-00002E1A0000}"/>
    <cellStyle name="0_area wise qty 30.3.08 (1)_COMODITES option 2 4 5 4 2 2" xfId="6717" xr:uid="{00000000-0005-0000-0000-00002F1A0000}"/>
    <cellStyle name="0_area wise qty 30.3.08 (1)_COMODITES option 2 4 5 4 3" xfId="6718" xr:uid="{00000000-0005-0000-0000-0000301A0000}"/>
    <cellStyle name="0_area wise qty 30.3.08 (1)_COMODITES option 2 4 5 4 3 2" xfId="6719" xr:uid="{00000000-0005-0000-0000-0000311A0000}"/>
    <cellStyle name="0_area wise qty 30.3.08 (1)_COMODITES option 2 4 5 4 4" xfId="6720" xr:uid="{00000000-0005-0000-0000-0000321A0000}"/>
    <cellStyle name="0_area wise qty 30.3.08 (1)_COMODITES option 2 4 5 5" xfId="6721" xr:uid="{00000000-0005-0000-0000-0000331A0000}"/>
    <cellStyle name="0_area wise qty 30.3.08 (1)_COMODITES option 2 4 5 5 2" xfId="6722" xr:uid="{00000000-0005-0000-0000-0000341A0000}"/>
    <cellStyle name="0_area wise qty 30.3.08 (1)_COMODITES option 2 4 5 5 2 2" xfId="6723" xr:uid="{00000000-0005-0000-0000-0000351A0000}"/>
    <cellStyle name="0_area wise qty 30.3.08 (1)_COMODITES option 2 4 5 5 3" xfId="6724" xr:uid="{00000000-0005-0000-0000-0000361A0000}"/>
    <cellStyle name="0_area wise qty 30.3.08 (1)_COMODITES option 2 4 5 5 3 2" xfId="6725" xr:uid="{00000000-0005-0000-0000-0000371A0000}"/>
    <cellStyle name="0_area wise qty 30.3.08 (1)_COMODITES option 2 4 5 5 4" xfId="6726" xr:uid="{00000000-0005-0000-0000-0000381A0000}"/>
    <cellStyle name="0_area wise qty 30.3.08 (1)_COMODITES option 2 4 5 6" xfId="6727" xr:uid="{00000000-0005-0000-0000-0000391A0000}"/>
    <cellStyle name="0_area wise qty 30.3.08 (1)_COMODITES option 2 4 5 6 2" xfId="6728" xr:uid="{00000000-0005-0000-0000-00003A1A0000}"/>
    <cellStyle name="0_area wise qty 30.3.08 (1)_COMODITES option 2 4 5 7" xfId="6729" xr:uid="{00000000-0005-0000-0000-00003B1A0000}"/>
    <cellStyle name="0_area wise qty 30.3.08 (1)_COMODITES option 2 4 5 7 2" xfId="6730" xr:uid="{00000000-0005-0000-0000-00003C1A0000}"/>
    <cellStyle name="0_area wise qty 30.3.08 (1)_COMODITES option 2 4 5 8" xfId="6731" xr:uid="{00000000-0005-0000-0000-00003D1A0000}"/>
    <cellStyle name="0_area wise qty 30.3.08 (1)_COMODITES option 2 4 6" xfId="6732" xr:uid="{00000000-0005-0000-0000-00003E1A0000}"/>
    <cellStyle name="0_area wise qty 30.3.08 (1)_COMODITES option 2 4 6 2" xfId="6733" xr:uid="{00000000-0005-0000-0000-00003F1A0000}"/>
    <cellStyle name="0_area wise qty 30.3.08 (1)_COMODITES option 2 4 6 2 2" xfId="6734" xr:uid="{00000000-0005-0000-0000-0000401A0000}"/>
    <cellStyle name="0_area wise qty 30.3.08 (1)_COMODITES option 2 4 6 2 2 2" xfId="6735" xr:uid="{00000000-0005-0000-0000-0000411A0000}"/>
    <cellStyle name="0_area wise qty 30.3.08 (1)_COMODITES option 2 4 6 2 2 2 2" xfId="6736" xr:uid="{00000000-0005-0000-0000-0000421A0000}"/>
    <cellStyle name="0_area wise qty 30.3.08 (1)_COMODITES option 2 4 6 2 2 3" xfId="6737" xr:uid="{00000000-0005-0000-0000-0000431A0000}"/>
    <cellStyle name="0_area wise qty 30.3.08 (1)_COMODITES option 2 4 6 2 2 3 2" xfId="6738" xr:uid="{00000000-0005-0000-0000-0000441A0000}"/>
    <cellStyle name="0_area wise qty 30.3.08 (1)_COMODITES option 2 4 6 2 2 4" xfId="6739" xr:uid="{00000000-0005-0000-0000-0000451A0000}"/>
    <cellStyle name="0_area wise qty 30.3.08 (1)_COMODITES option 2 4 6 2 3" xfId="6740" xr:uid="{00000000-0005-0000-0000-0000461A0000}"/>
    <cellStyle name="0_area wise qty 30.3.08 (1)_COMODITES option 2 4 6 2 3 2" xfId="6741" xr:uid="{00000000-0005-0000-0000-0000471A0000}"/>
    <cellStyle name="0_area wise qty 30.3.08 (1)_COMODITES option 2 4 6 2 3 2 2" xfId="6742" xr:uid="{00000000-0005-0000-0000-0000481A0000}"/>
    <cellStyle name="0_area wise qty 30.3.08 (1)_COMODITES option 2 4 6 2 3 3" xfId="6743" xr:uid="{00000000-0005-0000-0000-0000491A0000}"/>
    <cellStyle name="0_area wise qty 30.3.08 (1)_COMODITES option 2 4 6 2 3 3 2" xfId="6744" xr:uid="{00000000-0005-0000-0000-00004A1A0000}"/>
    <cellStyle name="0_area wise qty 30.3.08 (1)_COMODITES option 2 4 6 2 3 4" xfId="6745" xr:uid="{00000000-0005-0000-0000-00004B1A0000}"/>
    <cellStyle name="0_area wise qty 30.3.08 (1)_COMODITES option 2 4 6 2 4" xfId="6746" xr:uid="{00000000-0005-0000-0000-00004C1A0000}"/>
    <cellStyle name="0_area wise qty 30.3.08 (1)_COMODITES option 2 4 6 2 4 2" xfId="6747" xr:uid="{00000000-0005-0000-0000-00004D1A0000}"/>
    <cellStyle name="0_area wise qty 30.3.08 (1)_COMODITES option 2 4 6 2 5" xfId="6748" xr:uid="{00000000-0005-0000-0000-00004E1A0000}"/>
    <cellStyle name="0_area wise qty 30.3.08 (1)_COMODITES option 2 4 6 2 5 2" xfId="6749" xr:uid="{00000000-0005-0000-0000-00004F1A0000}"/>
    <cellStyle name="0_area wise qty 30.3.08 (1)_COMODITES option 2 4 6 2 6" xfId="6750" xr:uid="{00000000-0005-0000-0000-0000501A0000}"/>
    <cellStyle name="0_area wise qty 30.3.08 (1)_COMODITES option 2 4 6 3" xfId="6751" xr:uid="{00000000-0005-0000-0000-0000511A0000}"/>
    <cellStyle name="0_area wise qty 30.3.08 (1)_COMODITES option 2 4 6 3 2" xfId="6752" xr:uid="{00000000-0005-0000-0000-0000521A0000}"/>
    <cellStyle name="0_area wise qty 30.3.08 (1)_COMODITES option 2 4 6 3 2 2" xfId="6753" xr:uid="{00000000-0005-0000-0000-0000531A0000}"/>
    <cellStyle name="0_area wise qty 30.3.08 (1)_COMODITES option 2 4 6 3 3" xfId="6754" xr:uid="{00000000-0005-0000-0000-0000541A0000}"/>
    <cellStyle name="0_area wise qty 30.3.08 (1)_COMODITES option 2 4 6 3 3 2" xfId="6755" xr:uid="{00000000-0005-0000-0000-0000551A0000}"/>
    <cellStyle name="0_area wise qty 30.3.08 (1)_COMODITES option 2 4 6 3 4" xfId="6756" xr:uid="{00000000-0005-0000-0000-0000561A0000}"/>
    <cellStyle name="0_area wise qty 30.3.08 (1)_COMODITES option 2 4 6 4" xfId="6757" xr:uid="{00000000-0005-0000-0000-0000571A0000}"/>
    <cellStyle name="0_area wise qty 30.3.08 (1)_COMODITES option 2 4 6 4 2" xfId="6758" xr:uid="{00000000-0005-0000-0000-0000581A0000}"/>
    <cellStyle name="0_area wise qty 30.3.08 (1)_COMODITES option 2 4 6 4 2 2" xfId="6759" xr:uid="{00000000-0005-0000-0000-0000591A0000}"/>
    <cellStyle name="0_area wise qty 30.3.08 (1)_COMODITES option 2 4 6 4 3" xfId="6760" xr:uid="{00000000-0005-0000-0000-00005A1A0000}"/>
    <cellStyle name="0_area wise qty 30.3.08 (1)_COMODITES option 2 4 6 4 3 2" xfId="6761" xr:uid="{00000000-0005-0000-0000-00005B1A0000}"/>
    <cellStyle name="0_area wise qty 30.3.08 (1)_COMODITES option 2 4 6 4 4" xfId="6762" xr:uid="{00000000-0005-0000-0000-00005C1A0000}"/>
    <cellStyle name="0_area wise qty 30.3.08 (1)_COMODITES option 2 4 6 5" xfId="6763" xr:uid="{00000000-0005-0000-0000-00005D1A0000}"/>
    <cellStyle name="0_area wise qty 30.3.08 (1)_COMODITES option 2 4 6 5 2" xfId="6764" xr:uid="{00000000-0005-0000-0000-00005E1A0000}"/>
    <cellStyle name="0_area wise qty 30.3.08 (1)_COMODITES option 2 4 6 5 2 2" xfId="6765" xr:uid="{00000000-0005-0000-0000-00005F1A0000}"/>
    <cellStyle name="0_area wise qty 30.3.08 (1)_COMODITES option 2 4 6 5 3" xfId="6766" xr:uid="{00000000-0005-0000-0000-0000601A0000}"/>
    <cellStyle name="0_area wise qty 30.3.08 (1)_COMODITES option 2 4 6 5 3 2" xfId="6767" xr:uid="{00000000-0005-0000-0000-0000611A0000}"/>
    <cellStyle name="0_area wise qty 30.3.08 (1)_COMODITES option 2 4 6 5 4" xfId="6768" xr:uid="{00000000-0005-0000-0000-0000621A0000}"/>
    <cellStyle name="0_area wise qty 30.3.08 (1)_COMODITES option 2 4 6 6" xfId="6769" xr:uid="{00000000-0005-0000-0000-0000631A0000}"/>
    <cellStyle name="0_area wise qty 30.3.08 (1)_COMODITES option 2 4 6 6 2" xfId="6770" xr:uid="{00000000-0005-0000-0000-0000641A0000}"/>
    <cellStyle name="0_area wise qty 30.3.08 (1)_COMODITES option 2 4 6 7" xfId="6771" xr:uid="{00000000-0005-0000-0000-0000651A0000}"/>
    <cellStyle name="0_area wise qty 30.3.08 (1)_COMODITES option 2 4 6 7 2" xfId="6772" xr:uid="{00000000-0005-0000-0000-0000661A0000}"/>
    <cellStyle name="0_area wise qty 30.3.08 (1)_COMODITES option 2 4 6 8" xfId="6773" xr:uid="{00000000-0005-0000-0000-0000671A0000}"/>
    <cellStyle name="0_area wise qty 30.3.08 (1)_COMODITES option 2 4 7" xfId="6774" xr:uid="{00000000-0005-0000-0000-0000681A0000}"/>
    <cellStyle name="0_area wise qty 30.3.08 (1)_COMODITES option 2 4 7 2" xfId="6775" xr:uid="{00000000-0005-0000-0000-0000691A0000}"/>
    <cellStyle name="0_area wise qty 30.3.08 (1)_COMODITES option 2 4 7 2 2" xfId="6776" xr:uid="{00000000-0005-0000-0000-00006A1A0000}"/>
    <cellStyle name="0_area wise qty 30.3.08 (1)_COMODITES option 2 4 7 2 2 2" xfId="6777" xr:uid="{00000000-0005-0000-0000-00006B1A0000}"/>
    <cellStyle name="0_area wise qty 30.3.08 (1)_COMODITES option 2 4 7 2 3" xfId="6778" xr:uid="{00000000-0005-0000-0000-00006C1A0000}"/>
    <cellStyle name="0_area wise qty 30.3.08 (1)_COMODITES option 2 4 7 2 3 2" xfId="6779" xr:uid="{00000000-0005-0000-0000-00006D1A0000}"/>
    <cellStyle name="0_area wise qty 30.3.08 (1)_COMODITES option 2 4 7 2 4" xfId="6780" xr:uid="{00000000-0005-0000-0000-00006E1A0000}"/>
    <cellStyle name="0_area wise qty 30.3.08 (1)_COMODITES option 2 4 7 3" xfId="6781" xr:uid="{00000000-0005-0000-0000-00006F1A0000}"/>
    <cellStyle name="0_area wise qty 30.3.08 (1)_COMODITES option 2 4 7 3 2" xfId="6782" xr:uid="{00000000-0005-0000-0000-0000701A0000}"/>
    <cellStyle name="0_area wise qty 30.3.08 (1)_COMODITES option 2 4 7 3 2 2" xfId="6783" xr:uid="{00000000-0005-0000-0000-0000711A0000}"/>
    <cellStyle name="0_area wise qty 30.3.08 (1)_COMODITES option 2 4 7 3 3" xfId="6784" xr:uid="{00000000-0005-0000-0000-0000721A0000}"/>
    <cellStyle name="0_area wise qty 30.3.08 (1)_COMODITES option 2 4 7 3 3 2" xfId="6785" xr:uid="{00000000-0005-0000-0000-0000731A0000}"/>
    <cellStyle name="0_area wise qty 30.3.08 (1)_COMODITES option 2 4 7 3 4" xfId="6786" xr:uid="{00000000-0005-0000-0000-0000741A0000}"/>
    <cellStyle name="0_area wise qty 30.3.08 (1)_COMODITES option 2 4 7 4" xfId="6787" xr:uid="{00000000-0005-0000-0000-0000751A0000}"/>
    <cellStyle name="0_area wise qty 30.3.08 (1)_COMODITES option 2 4 7 4 2" xfId="6788" xr:uid="{00000000-0005-0000-0000-0000761A0000}"/>
    <cellStyle name="0_area wise qty 30.3.08 (1)_COMODITES option 2 4 7 5" xfId="6789" xr:uid="{00000000-0005-0000-0000-0000771A0000}"/>
    <cellStyle name="0_area wise qty 30.3.08 (1)_COMODITES option 2 4 7 5 2" xfId="6790" xr:uid="{00000000-0005-0000-0000-0000781A0000}"/>
    <cellStyle name="0_area wise qty 30.3.08 (1)_COMODITES option 2 4 7 6" xfId="6791" xr:uid="{00000000-0005-0000-0000-0000791A0000}"/>
    <cellStyle name="0_area wise qty 30.3.08 (1)_COMODITES option 2 4 8" xfId="6792" xr:uid="{00000000-0005-0000-0000-00007A1A0000}"/>
    <cellStyle name="0_area wise qty 30.3.08 (1)_COMODITES option 2 4 8 2" xfId="6793" xr:uid="{00000000-0005-0000-0000-00007B1A0000}"/>
    <cellStyle name="0_area wise qty 30.3.08 (1)_COMODITES option 2 4 8 2 2" xfId="6794" xr:uid="{00000000-0005-0000-0000-00007C1A0000}"/>
    <cellStyle name="0_area wise qty 30.3.08 (1)_COMODITES option 2 4 8 3" xfId="6795" xr:uid="{00000000-0005-0000-0000-00007D1A0000}"/>
    <cellStyle name="0_area wise qty 30.3.08 (1)_COMODITES option 2 4 8 3 2" xfId="6796" xr:uid="{00000000-0005-0000-0000-00007E1A0000}"/>
    <cellStyle name="0_area wise qty 30.3.08 (1)_COMODITES option 2 4 8 4" xfId="6797" xr:uid="{00000000-0005-0000-0000-00007F1A0000}"/>
    <cellStyle name="0_area wise qty 30.3.08 (1)_COMODITES option 2 4 9" xfId="6798" xr:uid="{00000000-0005-0000-0000-0000801A0000}"/>
    <cellStyle name="0_area wise qty 30.3.08 (1)_COMODITES option 2 4 9 2" xfId="6799" xr:uid="{00000000-0005-0000-0000-0000811A0000}"/>
    <cellStyle name="0_area wise qty 30.3.08 (1)_COMODITES option 2 4 9 2 2" xfId="6800" xr:uid="{00000000-0005-0000-0000-0000821A0000}"/>
    <cellStyle name="0_area wise qty 30.3.08 (1)_COMODITES option 2 4 9 3" xfId="6801" xr:uid="{00000000-0005-0000-0000-0000831A0000}"/>
    <cellStyle name="0_area wise qty 30.3.08 (1)_COMODITES option 2 4 9 3 2" xfId="6802" xr:uid="{00000000-0005-0000-0000-0000841A0000}"/>
    <cellStyle name="0_area wise qty 30.3.08 (1)_COMODITES option 2 4 9 4" xfId="6803" xr:uid="{00000000-0005-0000-0000-0000851A0000}"/>
    <cellStyle name="0_area wise qty 30.3.08 (1)_COMODITES option 2 5" xfId="6804" xr:uid="{00000000-0005-0000-0000-0000861A0000}"/>
    <cellStyle name="0_area wise qty 30.3.08 (1)_COMODITES option 2 5 10" xfId="6805" xr:uid="{00000000-0005-0000-0000-0000871A0000}"/>
    <cellStyle name="0_area wise qty 30.3.08 (1)_COMODITES option 2 5 10 2" xfId="6806" xr:uid="{00000000-0005-0000-0000-0000881A0000}"/>
    <cellStyle name="0_area wise qty 30.3.08 (1)_COMODITES option 2 5 10 2 2" xfId="6807" xr:uid="{00000000-0005-0000-0000-0000891A0000}"/>
    <cellStyle name="0_area wise qty 30.3.08 (1)_COMODITES option 2 5 10 3" xfId="6808" xr:uid="{00000000-0005-0000-0000-00008A1A0000}"/>
    <cellStyle name="0_area wise qty 30.3.08 (1)_COMODITES option 2 5 10 3 2" xfId="6809" xr:uid="{00000000-0005-0000-0000-00008B1A0000}"/>
    <cellStyle name="0_area wise qty 30.3.08 (1)_COMODITES option 2 5 10 4" xfId="6810" xr:uid="{00000000-0005-0000-0000-00008C1A0000}"/>
    <cellStyle name="0_area wise qty 30.3.08 (1)_COMODITES option 2 5 11" xfId="6811" xr:uid="{00000000-0005-0000-0000-00008D1A0000}"/>
    <cellStyle name="0_area wise qty 30.3.08 (1)_COMODITES option 2 5 11 2" xfId="6812" xr:uid="{00000000-0005-0000-0000-00008E1A0000}"/>
    <cellStyle name="0_area wise qty 30.3.08 (1)_COMODITES option 2 5 12" xfId="6813" xr:uid="{00000000-0005-0000-0000-00008F1A0000}"/>
    <cellStyle name="0_area wise qty 30.3.08 (1)_COMODITES option 2 5 12 2" xfId="6814" xr:uid="{00000000-0005-0000-0000-0000901A0000}"/>
    <cellStyle name="0_area wise qty 30.3.08 (1)_COMODITES option 2 5 13" xfId="6815" xr:uid="{00000000-0005-0000-0000-0000911A0000}"/>
    <cellStyle name="0_area wise qty 30.3.08 (1)_COMODITES option 2 5 2" xfId="6816" xr:uid="{00000000-0005-0000-0000-0000921A0000}"/>
    <cellStyle name="0_area wise qty 30.3.08 (1)_COMODITES option 2 5 2 2" xfId="6817" xr:uid="{00000000-0005-0000-0000-0000931A0000}"/>
    <cellStyle name="0_area wise qty 30.3.08 (1)_COMODITES option 2 5 2 2 2" xfId="6818" xr:uid="{00000000-0005-0000-0000-0000941A0000}"/>
    <cellStyle name="0_area wise qty 30.3.08 (1)_COMODITES option 2 5 2 2 2 2" xfId="6819" xr:uid="{00000000-0005-0000-0000-0000951A0000}"/>
    <cellStyle name="0_area wise qty 30.3.08 (1)_COMODITES option 2 5 2 2 2 2 2" xfId="6820" xr:uid="{00000000-0005-0000-0000-0000961A0000}"/>
    <cellStyle name="0_area wise qty 30.3.08 (1)_COMODITES option 2 5 2 2 2 3" xfId="6821" xr:uid="{00000000-0005-0000-0000-0000971A0000}"/>
    <cellStyle name="0_area wise qty 30.3.08 (1)_COMODITES option 2 5 2 2 2 3 2" xfId="6822" xr:uid="{00000000-0005-0000-0000-0000981A0000}"/>
    <cellStyle name="0_area wise qty 30.3.08 (1)_COMODITES option 2 5 2 2 2 4" xfId="6823" xr:uid="{00000000-0005-0000-0000-0000991A0000}"/>
    <cellStyle name="0_area wise qty 30.3.08 (1)_COMODITES option 2 5 2 2 3" xfId="6824" xr:uid="{00000000-0005-0000-0000-00009A1A0000}"/>
    <cellStyle name="0_area wise qty 30.3.08 (1)_COMODITES option 2 5 2 2 3 2" xfId="6825" xr:uid="{00000000-0005-0000-0000-00009B1A0000}"/>
    <cellStyle name="0_area wise qty 30.3.08 (1)_COMODITES option 2 5 2 2 3 2 2" xfId="6826" xr:uid="{00000000-0005-0000-0000-00009C1A0000}"/>
    <cellStyle name="0_area wise qty 30.3.08 (1)_COMODITES option 2 5 2 2 3 3" xfId="6827" xr:uid="{00000000-0005-0000-0000-00009D1A0000}"/>
    <cellStyle name="0_area wise qty 30.3.08 (1)_COMODITES option 2 5 2 2 3 3 2" xfId="6828" xr:uid="{00000000-0005-0000-0000-00009E1A0000}"/>
    <cellStyle name="0_area wise qty 30.3.08 (1)_COMODITES option 2 5 2 2 3 4" xfId="6829" xr:uid="{00000000-0005-0000-0000-00009F1A0000}"/>
    <cellStyle name="0_area wise qty 30.3.08 (1)_COMODITES option 2 5 2 2 4" xfId="6830" xr:uid="{00000000-0005-0000-0000-0000A01A0000}"/>
    <cellStyle name="0_area wise qty 30.3.08 (1)_COMODITES option 2 5 2 2 4 2" xfId="6831" xr:uid="{00000000-0005-0000-0000-0000A11A0000}"/>
    <cellStyle name="0_area wise qty 30.3.08 (1)_COMODITES option 2 5 2 2 5" xfId="6832" xr:uid="{00000000-0005-0000-0000-0000A21A0000}"/>
    <cellStyle name="0_area wise qty 30.3.08 (1)_COMODITES option 2 5 2 2 5 2" xfId="6833" xr:uid="{00000000-0005-0000-0000-0000A31A0000}"/>
    <cellStyle name="0_area wise qty 30.3.08 (1)_COMODITES option 2 5 2 2 6" xfId="6834" xr:uid="{00000000-0005-0000-0000-0000A41A0000}"/>
    <cellStyle name="0_area wise qty 30.3.08 (1)_COMODITES option 2 5 2 3" xfId="6835" xr:uid="{00000000-0005-0000-0000-0000A51A0000}"/>
    <cellStyle name="0_area wise qty 30.3.08 (1)_COMODITES option 2 5 2 3 2" xfId="6836" xr:uid="{00000000-0005-0000-0000-0000A61A0000}"/>
    <cellStyle name="0_area wise qty 30.3.08 (1)_COMODITES option 2 5 2 3 2 2" xfId="6837" xr:uid="{00000000-0005-0000-0000-0000A71A0000}"/>
    <cellStyle name="0_area wise qty 30.3.08 (1)_COMODITES option 2 5 2 3 3" xfId="6838" xr:uid="{00000000-0005-0000-0000-0000A81A0000}"/>
    <cellStyle name="0_area wise qty 30.3.08 (1)_COMODITES option 2 5 2 3 3 2" xfId="6839" xr:uid="{00000000-0005-0000-0000-0000A91A0000}"/>
    <cellStyle name="0_area wise qty 30.3.08 (1)_COMODITES option 2 5 2 3 4" xfId="6840" xr:uid="{00000000-0005-0000-0000-0000AA1A0000}"/>
    <cellStyle name="0_area wise qty 30.3.08 (1)_COMODITES option 2 5 2 4" xfId="6841" xr:uid="{00000000-0005-0000-0000-0000AB1A0000}"/>
    <cellStyle name="0_area wise qty 30.3.08 (1)_COMODITES option 2 5 2 4 2" xfId="6842" xr:uid="{00000000-0005-0000-0000-0000AC1A0000}"/>
    <cellStyle name="0_area wise qty 30.3.08 (1)_COMODITES option 2 5 2 4 2 2" xfId="6843" xr:uid="{00000000-0005-0000-0000-0000AD1A0000}"/>
    <cellStyle name="0_area wise qty 30.3.08 (1)_COMODITES option 2 5 2 4 3" xfId="6844" xr:uid="{00000000-0005-0000-0000-0000AE1A0000}"/>
    <cellStyle name="0_area wise qty 30.3.08 (1)_COMODITES option 2 5 2 4 3 2" xfId="6845" xr:uid="{00000000-0005-0000-0000-0000AF1A0000}"/>
    <cellStyle name="0_area wise qty 30.3.08 (1)_COMODITES option 2 5 2 4 4" xfId="6846" xr:uid="{00000000-0005-0000-0000-0000B01A0000}"/>
    <cellStyle name="0_area wise qty 30.3.08 (1)_COMODITES option 2 5 2 5" xfId="6847" xr:uid="{00000000-0005-0000-0000-0000B11A0000}"/>
    <cellStyle name="0_area wise qty 30.3.08 (1)_COMODITES option 2 5 2 5 2" xfId="6848" xr:uid="{00000000-0005-0000-0000-0000B21A0000}"/>
    <cellStyle name="0_area wise qty 30.3.08 (1)_COMODITES option 2 5 2 5 2 2" xfId="6849" xr:uid="{00000000-0005-0000-0000-0000B31A0000}"/>
    <cellStyle name="0_area wise qty 30.3.08 (1)_COMODITES option 2 5 2 5 3" xfId="6850" xr:uid="{00000000-0005-0000-0000-0000B41A0000}"/>
    <cellStyle name="0_area wise qty 30.3.08 (1)_COMODITES option 2 5 2 5 3 2" xfId="6851" xr:uid="{00000000-0005-0000-0000-0000B51A0000}"/>
    <cellStyle name="0_area wise qty 30.3.08 (1)_COMODITES option 2 5 2 5 4" xfId="6852" xr:uid="{00000000-0005-0000-0000-0000B61A0000}"/>
    <cellStyle name="0_area wise qty 30.3.08 (1)_COMODITES option 2 5 2 6" xfId="6853" xr:uid="{00000000-0005-0000-0000-0000B71A0000}"/>
    <cellStyle name="0_area wise qty 30.3.08 (1)_COMODITES option 2 5 2 6 2" xfId="6854" xr:uid="{00000000-0005-0000-0000-0000B81A0000}"/>
    <cellStyle name="0_area wise qty 30.3.08 (1)_COMODITES option 2 5 2 7" xfId="6855" xr:uid="{00000000-0005-0000-0000-0000B91A0000}"/>
    <cellStyle name="0_area wise qty 30.3.08 (1)_COMODITES option 2 5 2 7 2" xfId="6856" xr:uid="{00000000-0005-0000-0000-0000BA1A0000}"/>
    <cellStyle name="0_area wise qty 30.3.08 (1)_COMODITES option 2 5 2 8" xfId="6857" xr:uid="{00000000-0005-0000-0000-0000BB1A0000}"/>
    <cellStyle name="0_area wise qty 30.3.08 (1)_COMODITES option 2 5 3" xfId="6858" xr:uid="{00000000-0005-0000-0000-0000BC1A0000}"/>
    <cellStyle name="0_area wise qty 30.3.08 (1)_COMODITES option 2 5 3 2" xfId="6859" xr:uid="{00000000-0005-0000-0000-0000BD1A0000}"/>
    <cellStyle name="0_area wise qty 30.3.08 (1)_COMODITES option 2 5 3 2 2" xfId="6860" xr:uid="{00000000-0005-0000-0000-0000BE1A0000}"/>
    <cellStyle name="0_area wise qty 30.3.08 (1)_COMODITES option 2 5 3 2 2 2" xfId="6861" xr:uid="{00000000-0005-0000-0000-0000BF1A0000}"/>
    <cellStyle name="0_area wise qty 30.3.08 (1)_COMODITES option 2 5 3 2 2 2 2" xfId="6862" xr:uid="{00000000-0005-0000-0000-0000C01A0000}"/>
    <cellStyle name="0_area wise qty 30.3.08 (1)_COMODITES option 2 5 3 2 2 3" xfId="6863" xr:uid="{00000000-0005-0000-0000-0000C11A0000}"/>
    <cellStyle name="0_area wise qty 30.3.08 (1)_COMODITES option 2 5 3 2 2 3 2" xfId="6864" xr:uid="{00000000-0005-0000-0000-0000C21A0000}"/>
    <cellStyle name="0_area wise qty 30.3.08 (1)_COMODITES option 2 5 3 2 2 4" xfId="6865" xr:uid="{00000000-0005-0000-0000-0000C31A0000}"/>
    <cellStyle name="0_area wise qty 30.3.08 (1)_COMODITES option 2 5 3 2 3" xfId="6866" xr:uid="{00000000-0005-0000-0000-0000C41A0000}"/>
    <cellStyle name="0_area wise qty 30.3.08 (1)_COMODITES option 2 5 3 2 3 2" xfId="6867" xr:uid="{00000000-0005-0000-0000-0000C51A0000}"/>
    <cellStyle name="0_area wise qty 30.3.08 (1)_COMODITES option 2 5 3 2 3 2 2" xfId="6868" xr:uid="{00000000-0005-0000-0000-0000C61A0000}"/>
    <cellStyle name="0_area wise qty 30.3.08 (1)_COMODITES option 2 5 3 2 3 3" xfId="6869" xr:uid="{00000000-0005-0000-0000-0000C71A0000}"/>
    <cellStyle name="0_area wise qty 30.3.08 (1)_COMODITES option 2 5 3 2 3 3 2" xfId="6870" xr:uid="{00000000-0005-0000-0000-0000C81A0000}"/>
    <cellStyle name="0_area wise qty 30.3.08 (1)_COMODITES option 2 5 3 2 3 4" xfId="6871" xr:uid="{00000000-0005-0000-0000-0000C91A0000}"/>
    <cellStyle name="0_area wise qty 30.3.08 (1)_COMODITES option 2 5 3 2 4" xfId="6872" xr:uid="{00000000-0005-0000-0000-0000CA1A0000}"/>
    <cellStyle name="0_area wise qty 30.3.08 (1)_COMODITES option 2 5 3 2 4 2" xfId="6873" xr:uid="{00000000-0005-0000-0000-0000CB1A0000}"/>
    <cellStyle name="0_area wise qty 30.3.08 (1)_COMODITES option 2 5 3 2 5" xfId="6874" xr:uid="{00000000-0005-0000-0000-0000CC1A0000}"/>
    <cellStyle name="0_area wise qty 30.3.08 (1)_COMODITES option 2 5 3 2 5 2" xfId="6875" xr:uid="{00000000-0005-0000-0000-0000CD1A0000}"/>
    <cellStyle name="0_area wise qty 30.3.08 (1)_COMODITES option 2 5 3 2 6" xfId="6876" xr:uid="{00000000-0005-0000-0000-0000CE1A0000}"/>
    <cellStyle name="0_area wise qty 30.3.08 (1)_COMODITES option 2 5 3 3" xfId="6877" xr:uid="{00000000-0005-0000-0000-0000CF1A0000}"/>
    <cellStyle name="0_area wise qty 30.3.08 (1)_COMODITES option 2 5 3 3 2" xfId="6878" xr:uid="{00000000-0005-0000-0000-0000D01A0000}"/>
    <cellStyle name="0_area wise qty 30.3.08 (1)_COMODITES option 2 5 3 3 2 2" xfId="6879" xr:uid="{00000000-0005-0000-0000-0000D11A0000}"/>
    <cellStyle name="0_area wise qty 30.3.08 (1)_COMODITES option 2 5 3 3 3" xfId="6880" xr:uid="{00000000-0005-0000-0000-0000D21A0000}"/>
    <cellStyle name="0_area wise qty 30.3.08 (1)_COMODITES option 2 5 3 3 3 2" xfId="6881" xr:uid="{00000000-0005-0000-0000-0000D31A0000}"/>
    <cellStyle name="0_area wise qty 30.3.08 (1)_COMODITES option 2 5 3 3 4" xfId="6882" xr:uid="{00000000-0005-0000-0000-0000D41A0000}"/>
    <cellStyle name="0_area wise qty 30.3.08 (1)_COMODITES option 2 5 3 4" xfId="6883" xr:uid="{00000000-0005-0000-0000-0000D51A0000}"/>
    <cellStyle name="0_area wise qty 30.3.08 (1)_COMODITES option 2 5 3 4 2" xfId="6884" xr:uid="{00000000-0005-0000-0000-0000D61A0000}"/>
    <cellStyle name="0_area wise qty 30.3.08 (1)_COMODITES option 2 5 3 4 2 2" xfId="6885" xr:uid="{00000000-0005-0000-0000-0000D71A0000}"/>
    <cellStyle name="0_area wise qty 30.3.08 (1)_COMODITES option 2 5 3 4 3" xfId="6886" xr:uid="{00000000-0005-0000-0000-0000D81A0000}"/>
    <cellStyle name="0_area wise qty 30.3.08 (1)_COMODITES option 2 5 3 4 3 2" xfId="6887" xr:uid="{00000000-0005-0000-0000-0000D91A0000}"/>
    <cellStyle name="0_area wise qty 30.3.08 (1)_COMODITES option 2 5 3 4 4" xfId="6888" xr:uid="{00000000-0005-0000-0000-0000DA1A0000}"/>
    <cellStyle name="0_area wise qty 30.3.08 (1)_COMODITES option 2 5 3 5" xfId="6889" xr:uid="{00000000-0005-0000-0000-0000DB1A0000}"/>
    <cellStyle name="0_area wise qty 30.3.08 (1)_COMODITES option 2 5 3 5 2" xfId="6890" xr:uid="{00000000-0005-0000-0000-0000DC1A0000}"/>
    <cellStyle name="0_area wise qty 30.3.08 (1)_COMODITES option 2 5 3 5 2 2" xfId="6891" xr:uid="{00000000-0005-0000-0000-0000DD1A0000}"/>
    <cellStyle name="0_area wise qty 30.3.08 (1)_COMODITES option 2 5 3 5 3" xfId="6892" xr:uid="{00000000-0005-0000-0000-0000DE1A0000}"/>
    <cellStyle name="0_area wise qty 30.3.08 (1)_COMODITES option 2 5 3 5 3 2" xfId="6893" xr:uid="{00000000-0005-0000-0000-0000DF1A0000}"/>
    <cellStyle name="0_area wise qty 30.3.08 (1)_COMODITES option 2 5 3 5 4" xfId="6894" xr:uid="{00000000-0005-0000-0000-0000E01A0000}"/>
    <cellStyle name="0_area wise qty 30.3.08 (1)_COMODITES option 2 5 3 6" xfId="6895" xr:uid="{00000000-0005-0000-0000-0000E11A0000}"/>
    <cellStyle name="0_area wise qty 30.3.08 (1)_COMODITES option 2 5 3 6 2" xfId="6896" xr:uid="{00000000-0005-0000-0000-0000E21A0000}"/>
    <cellStyle name="0_area wise qty 30.3.08 (1)_COMODITES option 2 5 3 7" xfId="6897" xr:uid="{00000000-0005-0000-0000-0000E31A0000}"/>
    <cellStyle name="0_area wise qty 30.3.08 (1)_COMODITES option 2 5 3 7 2" xfId="6898" xr:uid="{00000000-0005-0000-0000-0000E41A0000}"/>
    <cellStyle name="0_area wise qty 30.3.08 (1)_COMODITES option 2 5 3 8" xfId="6899" xr:uid="{00000000-0005-0000-0000-0000E51A0000}"/>
    <cellStyle name="0_area wise qty 30.3.08 (1)_COMODITES option 2 5 4" xfId="6900" xr:uid="{00000000-0005-0000-0000-0000E61A0000}"/>
    <cellStyle name="0_area wise qty 30.3.08 (1)_COMODITES option 2 5 4 2" xfId="6901" xr:uid="{00000000-0005-0000-0000-0000E71A0000}"/>
    <cellStyle name="0_area wise qty 30.3.08 (1)_COMODITES option 2 5 4 2 2" xfId="6902" xr:uid="{00000000-0005-0000-0000-0000E81A0000}"/>
    <cellStyle name="0_area wise qty 30.3.08 (1)_COMODITES option 2 5 4 2 2 2" xfId="6903" xr:uid="{00000000-0005-0000-0000-0000E91A0000}"/>
    <cellStyle name="0_area wise qty 30.3.08 (1)_COMODITES option 2 5 4 2 2 2 2" xfId="6904" xr:uid="{00000000-0005-0000-0000-0000EA1A0000}"/>
    <cellStyle name="0_area wise qty 30.3.08 (1)_COMODITES option 2 5 4 2 2 3" xfId="6905" xr:uid="{00000000-0005-0000-0000-0000EB1A0000}"/>
    <cellStyle name="0_area wise qty 30.3.08 (1)_COMODITES option 2 5 4 2 2 3 2" xfId="6906" xr:uid="{00000000-0005-0000-0000-0000EC1A0000}"/>
    <cellStyle name="0_area wise qty 30.3.08 (1)_COMODITES option 2 5 4 2 2 4" xfId="6907" xr:uid="{00000000-0005-0000-0000-0000ED1A0000}"/>
    <cellStyle name="0_area wise qty 30.3.08 (1)_COMODITES option 2 5 4 2 3" xfId="6908" xr:uid="{00000000-0005-0000-0000-0000EE1A0000}"/>
    <cellStyle name="0_area wise qty 30.3.08 (1)_COMODITES option 2 5 4 2 3 2" xfId="6909" xr:uid="{00000000-0005-0000-0000-0000EF1A0000}"/>
    <cellStyle name="0_area wise qty 30.3.08 (1)_COMODITES option 2 5 4 2 3 2 2" xfId="6910" xr:uid="{00000000-0005-0000-0000-0000F01A0000}"/>
    <cellStyle name="0_area wise qty 30.3.08 (1)_COMODITES option 2 5 4 2 3 3" xfId="6911" xr:uid="{00000000-0005-0000-0000-0000F11A0000}"/>
    <cellStyle name="0_area wise qty 30.3.08 (1)_COMODITES option 2 5 4 2 3 3 2" xfId="6912" xr:uid="{00000000-0005-0000-0000-0000F21A0000}"/>
    <cellStyle name="0_area wise qty 30.3.08 (1)_COMODITES option 2 5 4 2 3 4" xfId="6913" xr:uid="{00000000-0005-0000-0000-0000F31A0000}"/>
    <cellStyle name="0_area wise qty 30.3.08 (1)_COMODITES option 2 5 4 2 4" xfId="6914" xr:uid="{00000000-0005-0000-0000-0000F41A0000}"/>
    <cellStyle name="0_area wise qty 30.3.08 (1)_COMODITES option 2 5 4 2 4 2" xfId="6915" xr:uid="{00000000-0005-0000-0000-0000F51A0000}"/>
    <cellStyle name="0_area wise qty 30.3.08 (1)_COMODITES option 2 5 4 2 5" xfId="6916" xr:uid="{00000000-0005-0000-0000-0000F61A0000}"/>
    <cellStyle name="0_area wise qty 30.3.08 (1)_COMODITES option 2 5 4 2 5 2" xfId="6917" xr:uid="{00000000-0005-0000-0000-0000F71A0000}"/>
    <cellStyle name="0_area wise qty 30.3.08 (1)_COMODITES option 2 5 4 2 6" xfId="6918" xr:uid="{00000000-0005-0000-0000-0000F81A0000}"/>
    <cellStyle name="0_area wise qty 30.3.08 (1)_COMODITES option 2 5 4 3" xfId="6919" xr:uid="{00000000-0005-0000-0000-0000F91A0000}"/>
    <cellStyle name="0_area wise qty 30.3.08 (1)_COMODITES option 2 5 4 3 2" xfId="6920" xr:uid="{00000000-0005-0000-0000-0000FA1A0000}"/>
    <cellStyle name="0_area wise qty 30.3.08 (1)_COMODITES option 2 5 4 3 2 2" xfId="6921" xr:uid="{00000000-0005-0000-0000-0000FB1A0000}"/>
    <cellStyle name="0_area wise qty 30.3.08 (1)_COMODITES option 2 5 4 3 3" xfId="6922" xr:uid="{00000000-0005-0000-0000-0000FC1A0000}"/>
    <cellStyle name="0_area wise qty 30.3.08 (1)_COMODITES option 2 5 4 3 3 2" xfId="6923" xr:uid="{00000000-0005-0000-0000-0000FD1A0000}"/>
    <cellStyle name="0_area wise qty 30.3.08 (1)_COMODITES option 2 5 4 3 4" xfId="6924" xr:uid="{00000000-0005-0000-0000-0000FE1A0000}"/>
    <cellStyle name="0_area wise qty 30.3.08 (1)_COMODITES option 2 5 4 4" xfId="6925" xr:uid="{00000000-0005-0000-0000-0000FF1A0000}"/>
    <cellStyle name="0_area wise qty 30.3.08 (1)_COMODITES option 2 5 4 4 2" xfId="6926" xr:uid="{00000000-0005-0000-0000-0000001B0000}"/>
    <cellStyle name="0_area wise qty 30.3.08 (1)_COMODITES option 2 5 4 4 2 2" xfId="6927" xr:uid="{00000000-0005-0000-0000-0000011B0000}"/>
    <cellStyle name="0_area wise qty 30.3.08 (1)_COMODITES option 2 5 4 4 3" xfId="6928" xr:uid="{00000000-0005-0000-0000-0000021B0000}"/>
    <cellStyle name="0_area wise qty 30.3.08 (1)_COMODITES option 2 5 4 4 3 2" xfId="6929" xr:uid="{00000000-0005-0000-0000-0000031B0000}"/>
    <cellStyle name="0_area wise qty 30.3.08 (1)_COMODITES option 2 5 4 4 4" xfId="6930" xr:uid="{00000000-0005-0000-0000-0000041B0000}"/>
    <cellStyle name="0_area wise qty 30.3.08 (1)_COMODITES option 2 5 4 5" xfId="6931" xr:uid="{00000000-0005-0000-0000-0000051B0000}"/>
    <cellStyle name="0_area wise qty 30.3.08 (1)_COMODITES option 2 5 4 5 2" xfId="6932" xr:uid="{00000000-0005-0000-0000-0000061B0000}"/>
    <cellStyle name="0_area wise qty 30.3.08 (1)_COMODITES option 2 5 4 5 2 2" xfId="6933" xr:uid="{00000000-0005-0000-0000-0000071B0000}"/>
    <cellStyle name="0_area wise qty 30.3.08 (1)_COMODITES option 2 5 4 5 3" xfId="6934" xr:uid="{00000000-0005-0000-0000-0000081B0000}"/>
    <cellStyle name="0_area wise qty 30.3.08 (1)_COMODITES option 2 5 4 5 3 2" xfId="6935" xr:uid="{00000000-0005-0000-0000-0000091B0000}"/>
    <cellStyle name="0_area wise qty 30.3.08 (1)_COMODITES option 2 5 4 5 4" xfId="6936" xr:uid="{00000000-0005-0000-0000-00000A1B0000}"/>
    <cellStyle name="0_area wise qty 30.3.08 (1)_COMODITES option 2 5 4 6" xfId="6937" xr:uid="{00000000-0005-0000-0000-00000B1B0000}"/>
    <cellStyle name="0_area wise qty 30.3.08 (1)_COMODITES option 2 5 4 6 2" xfId="6938" xr:uid="{00000000-0005-0000-0000-00000C1B0000}"/>
    <cellStyle name="0_area wise qty 30.3.08 (1)_COMODITES option 2 5 4 7" xfId="6939" xr:uid="{00000000-0005-0000-0000-00000D1B0000}"/>
    <cellStyle name="0_area wise qty 30.3.08 (1)_COMODITES option 2 5 4 7 2" xfId="6940" xr:uid="{00000000-0005-0000-0000-00000E1B0000}"/>
    <cellStyle name="0_area wise qty 30.3.08 (1)_COMODITES option 2 5 4 8" xfId="6941" xr:uid="{00000000-0005-0000-0000-00000F1B0000}"/>
    <cellStyle name="0_area wise qty 30.3.08 (1)_COMODITES option 2 5 5" xfId="6942" xr:uid="{00000000-0005-0000-0000-0000101B0000}"/>
    <cellStyle name="0_area wise qty 30.3.08 (1)_COMODITES option 2 5 5 2" xfId="6943" xr:uid="{00000000-0005-0000-0000-0000111B0000}"/>
    <cellStyle name="0_area wise qty 30.3.08 (1)_COMODITES option 2 5 5 2 2" xfId="6944" xr:uid="{00000000-0005-0000-0000-0000121B0000}"/>
    <cellStyle name="0_area wise qty 30.3.08 (1)_COMODITES option 2 5 5 2 2 2" xfId="6945" xr:uid="{00000000-0005-0000-0000-0000131B0000}"/>
    <cellStyle name="0_area wise qty 30.3.08 (1)_COMODITES option 2 5 5 2 2 2 2" xfId="6946" xr:uid="{00000000-0005-0000-0000-0000141B0000}"/>
    <cellStyle name="0_area wise qty 30.3.08 (1)_COMODITES option 2 5 5 2 2 3" xfId="6947" xr:uid="{00000000-0005-0000-0000-0000151B0000}"/>
    <cellStyle name="0_area wise qty 30.3.08 (1)_COMODITES option 2 5 5 2 2 3 2" xfId="6948" xr:uid="{00000000-0005-0000-0000-0000161B0000}"/>
    <cellStyle name="0_area wise qty 30.3.08 (1)_COMODITES option 2 5 5 2 2 4" xfId="6949" xr:uid="{00000000-0005-0000-0000-0000171B0000}"/>
    <cellStyle name="0_area wise qty 30.3.08 (1)_COMODITES option 2 5 5 2 3" xfId="6950" xr:uid="{00000000-0005-0000-0000-0000181B0000}"/>
    <cellStyle name="0_area wise qty 30.3.08 (1)_COMODITES option 2 5 5 2 3 2" xfId="6951" xr:uid="{00000000-0005-0000-0000-0000191B0000}"/>
    <cellStyle name="0_area wise qty 30.3.08 (1)_COMODITES option 2 5 5 2 3 2 2" xfId="6952" xr:uid="{00000000-0005-0000-0000-00001A1B0000}"/>
    <cellStyle name="0_area wise qty 30.3.08 (1)_COMODITES option 2 5 5 2 3 3" xfId="6953" xr:uid="{00000000-0005-0000-0000-00001B1B0000}"/>
    <cellStyle name="0_area wise qty 30.3.08 (1)_COMODITES option 2 5 5 2 3 3 2" xfId="6954" xr:uid="{00000000-0005-0000-0000-00001C1B0000}"/>
    <cellStyle name="0_area wise qty 30.3.08 (1)_COMODITES option 2 5 5 2 3 4" xfId="6955" xr:uid="{00000000-0005-0000-0000-00001D1B0000}"/>
    <cellStyle name="0_area wise qty 30.3.08 (1)_COMODITES option 2 5 5 2 4" xfId="6956" xr:uid="{00000000-0005-0000-0000-00001E1B0000}"/>
    <cellStyle name="0_area wise qty 30.3.08 (1)_COMODITES option 2 5 5 2 4 2" xfId="6957" xr:uid="{00000000-0005-0000-0000-00001F1B0000}"/>
    <cellStyle name="0_area wise qty 30.3.08 (1)_COMODITES option 2 5 5 2 5" xfId="6958" xr:uid="{00000000-0005-0000-0000-0000201B0000}"/>
    <cellStyle name="0_area wise qty 30.3.08 (1)_COMODITES option 2 5 5 2 5 2" xfId="6959" xr:uid="{00000000-0005-0000-0000-0000211B0000}"/>
    <cellStyle name="0_area wise qty 30.3.08 (1)_COMODITES option 2 5 5 2 6" xfId="6960" xr:uid="{00000000-0005-0000-0000-0000221B0000}"/>
    <cellStyle name="0_area wise qty 30.3.08 (1)_COMODITES option 2 5 5 3" xfId="6961" xr:uid="{00000000-0005-0000-0000-0000231B0000}"/>
    <cellStyle name="0_area wise qty 30.3.08 (1)_COMODITES option 2 5 5 3 2" xfId="6962" xr:uid="{00000000-0005-0000-0000-0000241B0000}"/>
    <cellStyle name="0_area wise qty 30.3.08 (1)_COMODITES option 2 5 5 3 2 2" xfId="6963" xr:uid="{00000000-0005-0000-0000-0000251B0000}"/>
    <cellStyle name="0_area wise qty 30.3.08 (1)_COMODITES option 2 5 5 3 3" xfId="6964" xr:uid="{00000000-0005-0000-0000-0000261B0000}"/>
    <cellStyle name="0_area wise qty 30.3.08 (1)_COMODITES option 2 5 5 3 3 2" xfId="6965" xr:uid="{00000000-0005-0000-0000-0000271B0000}"/>
    <cellStyle name="0_area wise qty 30.3.08 (1)_COMODITES option 2 5 5 3 4" xfId="6966" xr:uid="{00000000-0005-0000-0000-0000281B0000}"/>
    <cellStyle name="0_area wise qty 30.3.08 (1)_COMODITES option 2 5 5 4" xfId="6967" xr:uid="{00000000-0005-0000-0000-0000291B0000}"/>
    <cellStyle name="0_area wise qty 30.3.08 (1)_COMODITES option 2 5 5 4 2" xfId="6968" xr:uid="{00000000-0005-0000-0000-00002A1B0000}"/>
    <cellStyle name="0_area wise qty 30.3.08 (1)_COMODITES option 2 5 5 4 2 2" xfId="6969" xr:uid="{00000000-0005-0000-0000-00002B1B0000}"/>
    <cellStyle name="0_area wise qty 30.3.08 (1)_COMODITES option 2 5 5 4 3" xfId="6970" xr:uid="{00000000-0005-0000-0000-00002C1B0000}"/>
    <cellStyle name="0_area wise qty 30.3.08 (1)_COMODITES option 2 5 5 4 3 2" xfId="6971" xr:uid="{00000000-0005-0000-0000-00002D1B0000}"/>
    <cellStyle name="0_area wise qty 30.3.08 (1)_COMODITES option 2 5 5 4 4" xfId="6972" xr:uid="{00000000-0005-0000-0000-00002E1B0000}"/>
    <cellStyle name="0_area wise qty 30.3.08 (1)_COMODITES option 2 5 5 5" xfId="6973" xr:uid="{00000000-0005-0000-0000-00002F1B0000}"/>
    <cellStyle name="0_area wise qty 30.3.08 (1)_COMODITES option 2 5 5 5 2" xfId="6974" xr:uid="{00000000-0005-0000-0000-0000301B0000}"/>
    <cellStyle name="0_area wise qty 30.3.08 (1)_COMODITES option 2 5 5 5 2 2" xfId="6975" xr:uid="{00000000-0005-0000-0000-0000311B0000}"/>
    <cellStyle name="0_area wise qty 30.3.08 (1)_COMODITES option 2 5 5 5 3" xfId="6976" xr:uid="{00000000-0005-0000-0000-0000321B0000}"/>
    <cellStyle name="0_area wise qty 30.3.08 (1)_COMODITES option 2 5 5 5 3 2" xfId="6977" xr:uid="{00000000-0005-0000-0000-0000331B0000}"/>
    <cellStyle name="0_area wise qty 30.3.08 (1)_COMODITES option 2 5 5 5 4" xfId="6978" xr:uid="{00000000-0005-0000-0000-0000341B0000}"/>
    <cellStyle name="0_area wise qty 30.3.08 (1)_COMODITES option 2 5 5 6" xfId="6979" xr:uid="{00000000-0005-0000-0000-0000351B0000}"/>
    <cellStyle name="0_area wise qty 30.3.08 (1)_COMODITES option 2 5 5 6 2" xfId="6980" xr:uid="{00000000-0005-0000-0000-0000361B0000}"/>
    <cellStyle name="0_area wise qty 30.3.08 (1)_COMODITES option 2 5 5 7" xfId="6981" xr:uid="{00000000-0005-0000-0000-0000371B0000}"/>
    <cellStyle name="0_area wise qty 30.3.08 (1)_COMODITES option 2 5 5 7 2" xfId="6982" xr:uid="{00000000-0005-0000-0000-0000381B0000}"/>
    <cellStyle name="0_area wise qty 30.3.08 (1)_COMODITES option 2 5 5 8" xfId="6983" xr:uid="{00000000-0005-0000-0000-0000391B0000}"/>
    <cellStyle name="0_area wise qty 30.3.08 (1)_COMODITES option 2 5 6" xfId="6984" xr:uid="{00000000-0005-0000-0000-00003A1B0000}"/>
    <cellStyle name="0_area wise qty 30.3.08 (1)_COMODITES option 2 5 6 2" xfId="6985" xr:uid="{00000000-0005-0000-0000-00003B1B0000}"/>
    <cellStyle name="0_area wise qty 30.3.08 (1)_COMODITES option 2 5 6 2 2" xfId="6986" xr:uid="{00000000-0005-0000-0000-00003C1B0000}"/>
    <cellStyle name="0_area wise qty 30.3.08 (1)_COMODITES option 2 5 6 2 2 2" xfId="6987" xr:uid="{00000000-0005-0000-0000-00003D1B0000}"/>
    <cellStyle name="0_area wise qty 30.3.08 (1)_COMODITES option 2 5 6 2 2 2 2" xfId="6988" xr:uid="{00000000-0005-0000-0000-00003E1B0000}"/>
    <cellStyle name="0_area wise qty 30.3.08 (1)_COMODITES option 2 5 6 2 2 3" xfId="6989" xr:uid="{00000000-0005-0000-0000-00003F1B0000}"/>
    <cellStyle name="0_area wise qty 30.3.08 (1)_COMODITES option 2 5 6 2 2 3 2" xfId="6990" xr:uid="{00000000-0005-0000-0000-0000401B0000}"/>
    <cellStyle name="0_area wise qty 30.3.08 (1)_COMODITES option 2 5 6 2 2 4" xfId="6991" xr:uid="{00000000-0005-0000-0000-0000411B0000}"/>
    <cellStyle name="0_area wise qty 30.3.08 (1)_COMODITES option 2 5 6 2 3" xfId="6992" xr:uid="{00000000-0005-0000-0000-0000421B0000}"/>
    <cellStyle name="0_area wise qty 30.3.08 (1)_COMODITES option 2 5 6 2 3 2" xfId="6993" xr:uid="{00000000-0005-0000-0000-0000431B0000}"/>
    <cellStyle name="0_area wise qty 30.3.08 (1)_COMODITES option 2 5 6 2 3 2 2" xfId="6994" xr:uid="{00000000-0005-0000-0000-0000441B0000}"/>
    <cellStyle name="0_area wise qty 30.3.08 (1)_COMODITES option 2 5 6 2 3 3" xfId="6995" xr:uid="{00000000-0005-0000-0000-0000451B0000}"/>
    <cellStyle name="0_area wise qty 30.3.08 (1)_COMODITES option 2 5 6 2 3 3 2" xfId="6996" xr:uid="{00000000-0005-0000-0000-0000461B0000}"/>
    <cellStyle name="0_area wise qty 30.3.08 (1)_COMODITES option 2 5 6 2 3 4" xfId="6997" xr:uid="{00000000-0005-0000-0000-0000471B0000}"/>
    <cellStyle name="0_area wise qty 30.3.08 (1)_COMODITES option 2 5 6 2 4" xfId="6998" xr:uid="{00000000-0005-0000-0000-0000481B0000}"/>
    <cellStyle name="0_area wise qty 30.3.08 (1)_COMODITES option 2 5 6 2 4 2" xfId="6999" xr:uid="{00000000-0005-0000-0000-0000491B0000}"/>
    <cellStyle name="0_area wise qty 30.3.08 (1)_COMODITES option 2 5 6 2 5" xfId="7000" xr:uid="{00000000-0005-0000-0000-00004A1B0000}"/>
    <cellStyle name="0_area wise qty 30.3.08 (1)_COMODITES option 2 5 6 2 5 2" xfId="7001" xr:uid="{00000000-0005-0000-0000-00004B1B0000}"/>
    <cellStyle name="0_area wise qty 30.3.08 (1)_COMODITES option 2 5 6 2 6" xfId="7002" xr:uid="{00000000-0005-0000-0000-00004C1B0000}"/>
    <cellStyle name="0_area wise qty 30.3.08 (1)_COMODITES option 2 5 6 3" xfId="7003" xr:uid="{00000000-0005-0000-0000-00004D1B0000}"/>
    <cellStyle name="0_area wise qty 30.3.08 (1)_COMODITES option 2 5 6 3 2" xfId="7004" xr:uid="{00000000-0005-0000-0000-00004E1B0000}"/>
    <cellStyle name="0_area wise qty 30.3.08 (1)_COMODITES option 2 5 6 3 2 2" xfId="7005" xr:uid="{00000000-0005-0000-0000-00004F1B0000}"/>
    <cellStyle name="0_area wise qty 30.3.08 (1)_COMODITES option 2 5 6 3 3" xfId="7006" xr:uid="{00000000-0005-0000-0000-0000501B0000}"/>
    <cellStyle name="0_area wise qty 30.3.08 (1)_COMODITES option 2 5 6 3 3 2" xfId="7007" xr:uid="{00000000-0005-0000-0000-0000511B0000}"/>
    <cellStyle name="0_area wise qty 30.3.08 (1)_COMODITES option 2 5 6 3 4" xfId="7008" xr:uid="{00000000-0005-0000-0000-0000521B0000}"/>
    <cellStyle name="0_area wise qty 30.3.08 (1)_COMODITES option 2 5 6 4" xfId="7009" xr:uid="{00000000-0005-0000-0000-0000531B0000}"/>
    <cellStyle name="0_area wise qty 30.3.08 (1)_COMODITES option 2 5 6 4 2" xfId="7010" xr:uid="{00000000-0005-0000-0000-0000541B0000}"/>
    <cellStyle name="0_area wise qty 30.3.08 (1)_COMODITES option 2 5 6 4 2 2" xfId="7011" xr:uid="{00000000-0005-0000-0000-0000551B0000}"/>
    <cellStyle name="0_area wise qty 30.3.08 (1)_COMODITES option 2 5 6 4 3" xfId="7012" xr:uid="{00000000-0005-0000-0000-0000561B0000}"/>
    <cellStyle name="0_area wise qty 30.3.08 (1)_COMODITES option 2 5 6 4 3 2" xfId="7013" xr:uid="{00000000-0005-0000-0000-0000571B0000}"/>
    <cellStyle name="0_area wise qty 30.3.08 (1)_COMODITES option 2 5 6 4 4" xfId="7014" xr:uid="{00000000-0005-0000-0000-0000581B0000}"/>
    <cellStyle name="0_area wise qty 30.3.08 (1)_COMODITES option 2 5 6 5" xfId="7015" xr:uid="{00000000-0005-0000-0000-0000591B0000}"/>
    <cellStyle name="0_area wise qty 30.3.08 (1)_COMODITES option 2 5 6 5 2" xfId="7016" xr:uid="{00000000-0005-0000-0000-00005A1B0000}"/>
    <cellStyle name="0_area wise qty 30.3.08 (1)_COMODITES option 2 5 6 5 2 2" xfId="7017" xr:uid="{00000000-0005-0000-0000-00005B1B0000}"/>
    <cellStyle name="0_area wise qty 30.3.08 (1)_COMODITES option 2 5 6 5 3" xfId="7018" xr:uid="{00000000-0005-0000-0000-00005C1B0000}"/>
    <cellStyle name="0_area wise qty 30.3.08 (1)_COMODITES option 2 5 6 5 3 2" xfId="7019" xr:uid="{00000000-0005-0000-0000-00005D1B0000}"/>
    <cellStyle name="0_area wise qty 30.3.08 (1)_COMODITES option 2 5 6 5 4" xfId="7020" xr:uid="{00000000-0005-0000-0000-00005E1B0000}"/>
    <cellStyle name="0_area wise qty 30.3.08 (1)_COMODITES option 2 5 6 6" xfId="7021" xr:uid="{00000000-0005-0000-0000-00005F1B0000}"/>
    <cellStyle name="0_area wise qty 30.3.08 (1)_COMODITES option 2 5 6 6 2" xfId="7022" xr:uid="{00000000-0005-0000-0000-0000601B0000}"/>
    <cellStyle name="0_area wise qty 30.3.08 (1)_COMODITES option 2 5 6 7" xfId="7023" xr:uid="{00000000-0005-0000-0000-0000611B0000}"/>
    <cellStyle name="0_area wise qty 30.3.08 (1)_COMODITES option 2 5 6 7 2" xfId="7024" xr:uid="{00000000-0005-0000-0000-0000621B0000}"/>
    <cellStyle name="0_area wise qty 30.3.08 (1)_COMODITES option 2 5 6 8" xfId="7025" xr:uid="{00000000-0005-0000-0000-0000631B0000}"/>
    <cellStyle name="0_area wise qty 30.3.08 (1)_COMODITES option 2 5 7" xfId="7026" xr:uid="{00000000-0005-0000-0000-0000641B0000}"/>
    <cellStyle name="0_area wise qty 30.3.08 (1)_COMODITES option 2 5 7 2" xfId="7027" xr:uid="{00000000-0005-0000-0000-0000651B0000}"/>
    <cellStyle name="0_area wise qty 30.3.08 (1)_COMODITES option 2 5 7 2 2" xfId="7028" xr:uid="{00000000-0005-0000-0000-0000661B0000}"/>
    <cellStyle name="0_area wise qty 30.3.08 (1)_COMODITES option 2 5 7 2 2 2" xfId="7029" xr:uid="{00000000-0005-0000-0000-0000671B0000}"/>
    <cellStyle name="0_area wise qty 30.3.08 (1)_COMODITES option 2 5 7 2 3" xfId="7030" xr:uid="{00000000-0005-0000-0000-0000681B0000}"/>
    <cellStyle name="0_area wise qty 30.3.08 (1)_COMODITES option 2 5 7 2 3 2" xfId="7031" xr:uid="{00000000-0005-0000-0000-0000691B0000}"/>
    <cellStyle name="0_area wise qty 30.3.08 (1)_COMODITES option 2 5 7 2 4" xfId="7032" xr:uid="{00000000-0005-0000-0000-00006A1B0000}"/>
    <cellStyle name="0_area wise qty 30.3.08 (1)_COMODITES option 2 5 7 3" xfId="7033" xr:uid="{00000000-0005-0000-0000-00006B1B0000}"/>
    <cellStyle name="0_area wise qty 30.3.08 (1)_COMODITES option 2 5 7 3 2" xfId="7034" xr:uid="{00000000-0005-0000-0000-00006C1B0000}"/>
    <cellStyle name="0_area wise qty 30.3.08 (1)_COMODITES option 2 5 7 3 2 2" xfId="7035" xr:uid="{00000000-0005-0000-0000-00006D1B0000}"/>
    <cellStyle name="0_area wise qty 30.3.08 (1)_COMODITES option 2 5 7 3 3" xfId="7036" xr:uid="{00000000-0005-0000-0000-00006E1B0000}"/>
    <cellStyle name="0_area wise qty 30.3.08 (1)_COMODITES option 2 5 7 3 3 2" xfId="7037" xr:uid="{00000000-0005-0000-0000-00006F1B0000}"/>
    <cellStyle name="0_area wise qty 30.3.08 (1)_COMODITES option 2 5 7 3 4" xfId="7038" xr:uid="{00000000-0005-0000-0000-0000701B0000}"/>
    <cellStyle name="0_area wise qty 30.3.08 (1)_COMODITES option 2 5 7 4" xfId="7039" xr:uid="{00000000-0005-0000-0000-0000711B0000}"/>
    <cellStyle name="0_area wise qty 30.3.08 (1)_COMODITES option 2 5 7 4 2" xfId="7040" xr:uid="{00000000-0005-0000-0000-0000721B0000}"/>
    <cellStyle name="0_area wise qty 30.3.08 (1)_COMODITES option 2 5 7 5" xfId="7041" xr:uid="{00000000-0005-0000-0000-0000731B0000}"/>
    <cellStyle name="0_area wise qty 30.3.08 (1)_COMODITES option 2 5 7 5 2" xfId="7042" xr:uid="{00000000-0005-0000-0000-0000741B0000}"/>
    <cellStyle name="0_area wise qty 30.3.08 (1)_COMODITES option 2 5 7 6" xfId="7043" xr:uid="{00000000-0005-0000-0000-0000751B0000}"/>
    <cellStyle name="0_area wise qty 30.3.08 (1)_COMODITES option 2 5 8" xfId="7044" xr:uid="{00000000-0005-0000-0000-0000761B0000}"/>
    <cellStyle name="0_area wise qty 30.3.08 (1)_COMODITES option 2 5 8 2" xfId="7045" xr:uid="{00000000-0005-0000-0000-0000771B0000}"/>
    <cellStyle name="0_area wise qty 30.3.08 (1)_COMODITES option 2 5 8 2 2" xfId="7046" xr:uid="{00000000-0005-0000-0000-0000781B0000}"/>
    <cellStyle name="0_area wise qty 30.3.08 (1)_COMODITES option 2 5 8 3" xfId="7047" xr:uid="{00000000-0005-0000-0000-0000791B0000}"/>
    <cellStyle name="0_area wise qty 30.3.08 (1)_COMODITES option 2 5 8 3 2" xfId="7048" xr:uid="{00000000-0005-0000-0000-00007A1B0000}"/>
    <cellStyle name="0_area wise qty 30.3.08 (1)_COMODITES option 2 5 8 4" xfId="7049" xr:uid="{00000000-0005-0000-0000-00007B1B0000}"/>
    <cellStyle name="0_area wise qty 30.3.08 (1)_COMODITES option 2 5 9" xfId="7050" xr:uid="{00000000-0005-0000-0000-00007C1B0000}"/>
    <cellStyle name="0_area wise qty 30.3.08 (1)_COMODITES option 2 5 9 2" xfId="7051" xr:uid="{00000000-0005-0000-0000-00007D1B0000}"/>
    <cellStyle name="0_area wise qty 30.3.08 (1)_COMODITES option 2 5 9 2 2" xfId="7052" xr:uid="{00000000-0005-0000-0000-00007E1B0000}"/>
    <cellStyle name="0_area wise qty 30.3.08 (1)_COMODITES option 2 5 9 3" xfId="7053" xr:uid="{00000000-0005-0000-0000-00007F1B0000}"/>
    <cellStyle name="0_area wise qty 30.3.08 (1)_COMODITES option 2 5 9 3 2" xfId="7054" xr:uid="{00000000-0005-0000-0000-0000801B0000}"/>
    <cellStyle name="0_area wise qty 30.3.08 (1)_COMODITES option 2 5 9 4" xfId="7055" xr:uid="{00000000-0005-0000-0000-0000811B0000}"/>
    <cellStyle name="0_area wise qty 30.3.08 (1)_COMODITES option 2 6" xfId="7056" xr:uid="{00000000-0005-0000-0000-0000821B0000}"/>
    <cellStyle name="0_area wise qty 30.3.08 (1)_COMODITES option 2 6 2" xfId="7057" xr:uid="{00000000-0005-0000-0000-0000831B0000}"/>
    <cellStyle name="0_area wise qty 30.3.08 (1)_COMODITES option 2 6 2 2" xfId="7058" xr:uid="{00000000-0005-0000-0000-0000841B0000}"/>
    <cellStyle name="0_area wise qty 30.3.08 (1)_COMODITES option 2 6 2 2 2" xfId="7059" xr:uid="{00000000-0005-0000-0000-0000851B0000}"/>
    <cellStyle name="0_area wise qty 30.3.08 (1)_COMODITES option 2 6 2 2 2 2" xfId="7060" xr:uid="{00000000-0005-0000-0000-0000861B0000}"/>
    <cellStyle name="0_area wise qty 30.3.08 (1)_COMODITES option 2 6 2 2 3" xfId="7061" xr:uid="{00000000-0005-0000-0000-0000871B0000}"/>
    <cellStyle name="0_area wise qty 30.3.08 (1)_COMODITES option 2 6 2 2 3 2" xfId="7062" xr:uid="{00000000-0005-0000-0000-0000881B0000}"/>
    <cellStyle name="0_area wise qty 30.3.08 (1)_COMODITES option 2 6 2 2 4" xfId="7063" xr:uid="{00000000-0005-0000-0000-0000891B0000}"/>
    <cellStyle name="0_area wise qty 30.3.08 (1)_COMODITES option 2 6 2 3" xfId="7064" xr:uid="{00000000-0005-0000-0000-00008A1B0000}"/>
    <cellStyle name="0_area wise qty 30.3.08 (1)_COMODITES option 2 6 2 3 2" xfId="7065" xr:uid="{00000000-0005-0000-0000-00008B1B0000}"/>
    <cellStyle name="0_area wise qty 30.3.08 (1)_COMODITES option 2 6 2 3 2 2" xfId="7066" xr:uid="{00000000-0005-0000-0000-00008C1B0000}"/>
    <cellStyle name="0_area wise qty 30.3.08 (1)_COMODITES option 2 6 2 3 3" xfId="7067" xr:uid="{00000000-0005-0000-0000-00008D1B0000}"/>
    <cellStyle name="0_area wise qty 30.3.08 (1)_COMODITES option 2 6 2 3 3 2" xfId="7068" xr:uid="{00000000-0005-0000-0000-00008E1B0000}"/>
    <cellStyle name="0_area wise qty 30.3.08 (1)_COMODITES option 2 6 2 3 4" xfId="7069" xr:uid="{00000000-0005-0000-0000-00008F1B0000}"/>
    <cellStyle name="0_area wise qty 30.3.08 (1)_COMODITES option 2 6 2 4" xfId="7070" xr:uid="{00000000-0005-0000-0000-0000901B0000}"/>
    <cellStyle name="0_area wise qty 30.3.08 (1)_COMODITES option 2 6 2 4 2" xfId="7071" xr:uid="{00000000-0005-0000-0000-0000911B0000}"/>
    <cellStyle name="0_area wise qty 30.3.08 (1)_COMODITES option 2 6 2 5" xfId="7072" xr:uid="{00000000-0005-0000-0000-0000921B0000}"/>
    <cellStyle name="0_area wise qty 30.3.08 (1)_COMODITES option 2 6 2 5 2" xfId="7073" xr:uid="{00000000-0005-0000-0000-0000931B0000}"/>
    <cellStyle name="0_area wise qty 30.3.08 (1)_COMODITES option 2 6 2 6" xfId="7074" xr:uid="{00000000-0005-0000-0000-0000941B0000}"/>
    <cellStyle name="0_area wise qty 30.3.08 (1)_COMODITES option 2 6 3" xfId="7075" xr:uid="{00000000-0005-0000-0000-0000951B0000}"/>
    <cellStyle name="0_area wise qty 30.3.08 (1)_COMODITES option 2 6 3 2" xfId="7076" xr:uid="{00000000-0005-0000-0000-0000961B0000}"/>
    <cellStyle name="0_area wise qty 30.3.08 (1)_COMODITES option 2 6 3 2 2" xfId="7077" xr:uid="{00000000-0005-0000-0000-0000971B0000}"/>
    <cellStyle name="0_area wise qty 30.3.08 (1)_COMODITES option 2 6 3 3" xfId="7078" xr:uid="{00000000-0005-0000-0000-0000981B0000}"/>
    <cellStyle name="0_area wise qty 30.3.08 (1)_COMODITES option 2 6 3 3 2" xfId="7079" xr:uid="{00000000-0005-0000-0000-0000991B0000}"/>
    <cellStyle name="0_area wise qty 30.3.08 (1)_COMODITES option 2 6 3 4" xfId="7080" xr:uid="{00000000-0005-0000-0000-00009A1B0000}"/>
    <cellStyle name="0_area wise qty 30.3.08 (1)_COMODITES option 2 6 4" xfId="7081" xr:uid="{00000000-0005-0000-0000-00009B1B0000}"/>
    <cellStyle name="0_area wise qty 30.3.08 (1)_COMODITES option 2 6 4 2" xfId="7082" xr:uid="{00000000-0005-0000-0000-00009C1B0000}"/>
    <cellStyle name="0_area wise qty 30.3.08 (1)_COMODITES option 2 6 4 2 2" xfId="7083" xr:uid="{00000000-0005-0000-0000-00009D1B0000}"/>
    <cellStyle name="0_area wise qty 30.3.08 (1)_COMODITES option 2 6 4 3" xfId="7084" xr:uid="{00000000-0005-0000-0000-00009E1B0000}"/>
    <cellStyle name="0_area wise qty 30.3.08 (1)_COMODITES option 2 6 4 3 2" xfId="7085" xr:uid="{00000000-0005-0000-0000-00009F1B0000}"/>
    <cellStyle name="0_area wise qty 30.3.08 (1)_COMODITES option 2 6 4 4" xfId="7086" xr:uid="{00000000-0005-0000-0000-0000A01B0000}"/>
    <cellStyle name="0_area wise qty 30.3.08 (1)_COMODITES option 2 6 5" xfId="7087" xr:uid="{00000000-0005-0000-0000-0000A11B0000}"/>
    <cellStyle name="0_area wise qty 30.3.08 (1)_COMODITES option 2 6 5 2" xfId="7088" xr:uid="{00000000-0005-0000-0000-0000A21B0000}"/>
    <cellStyle name="0_area wise qty 30.3.08 (1)_COMODITES option 2 6 5 2 2" xfId="7089" xr:uid="{00000000-0005-0000-0000-0000A31B0000}"/>
    <cellStyle name="0_area wise qty 30.3.08 (1)_COMODITES option 2 6 5 3" xfId="7090" xr:uid="{00000000-0005-0000-0000-0000A41B0000}"/>
    <cellStyle name="0_area wise qty 30.3.08 (1)_COMODITES option 2 6 5 3 2" xfId="7091" xr:uid="{00000000-0005-0000-0000-0000A51B0000}"/>
    <cellStyle name="0_area wise qty 30.3.08 (1)_COMODITES option 2 6 5 4" xfId="7092" xr:uid="{00000000-0005-0000-0000-0000A61B0000}"/>
    <cellStyle name="0_area wise qty 30.3.08 (1)_COMODITES option 2 6 6" xfId="7093" xr:uid="{00000000-0005-0000-0000-0000A71B0000}"/>
    <cellStyle name="0_area wise qty 30.3.08 (1)_COMODITES option 2 6 6 2" xfId="7094" xr:uid="{00000000-0005-0000-0000-0000A81B0000}"/>
    <cellStyle name="0_area wise qty 30.3.08 (1)_COMODITES option 2 6 7" xfId="7095" xr:uid="{00000000-0005-0000-0000-0000A91B0000}"/>
    <cellStyle name="0_area wise qty 30.3.08 (1)_COMODITES option 2 6 7 2" xfId="7096" xr:uid="{00000000-0005-0000-0000-0000AA1B0000}"/>
    <cellStyle name="0_area wise qty 30.3.08 (1)_COMODITES option 2 6 8" xfId="7097" xr:uid="{00000000-0005-0000-0000-0000AB1B0000}"/>
    <cellStyle name="0_area wise qty 30.3.08 (1)_COMODITES option 2 7" xfId="7098" xr:uid="{00000000-0005-0000-0000-0000AC1B0000}"/>
    <cellStyle name="0_area wise qty 30.3.08 (1)_COMODITES option 2 7 2" xfId="7099" xr:uid="{00000000-0005-0000-0000-0000AD1B0000}"/>
    <cellStyle name="0_area wise qty 30.3.08 (1)_COMODITES option 2 7 2 2" xfId="7100" xr:uid="{00000000-0005-0000-0000-0000AE1B0000}"/>
    <cellStyle name="0_area wise qty 30.3.08 (1)_COMODITES option 2 7 2 2 2" xfId="7101" xr:uid="{00000000-0005-0000-0000-0000AF1B0000}"/>
    <cellStyle name="0_area wise qty 30.3.08 (1)_COMODITES option 2 7 2 3" xfId="7102" xr:uid="{00000000-0005-0000-0000-0000B01B0000}"/>
    <cellStyle name="0_area wise qty 30.3.08 (1)_COMODITES option 2 7 2 3 2" xfId="7103" xr:uid="{00000000-0005-0000-0000-0000B11B0000}"/>
    <cellStyle name="0_area wise qty 30.3.08 (1)_COMODITES option 2 7 2 4" xfId="7104" xr:uid="{00000000-0005-0000-0000-0000B21B0000}"/>
    <cellStyle name="0_area wise qty 30.3.08 (1)_COMODITES option 2 7 3" xfId="7105" xr:uid="{00000000-0005-0000-0000-0000B31B0000}"/>
    <cellStyle name="0_area wise qty 30.3.08 (1)_COMODITES option 2 7 3 2" xfId="7106" xr:uid="{00000000-0005-0000-0000-0000B41B0000}"/>
    <cellStyle name="0_area wise qty 30.3.08 (1)_COMODITES option 2 7 3 2 2" xfId="7107" xr:uid="{00000000-0005-0000-0000-0000B51B0000}"/>
    <cellStyle name="0_area wise qty 30.3.08 (1)_COMODITES option 2 7 3 3" xfId="7108" xr:uid="{00000000-0005-0000-0000-0000B61B0000}"/>
    <cellStyle name="0_area wise qty 30.3.08 (1)_COMODITES option 2 7 3 3 2" xfId="7109" xr:uid="{00000000-0005-0000-0000-0000B71B0000}"/>
    <cellStyle name="0_area wise qty 30.3.08 (1)_COMODITES option 2 7 3 4" xfId="7110" xr:uid="{00000000-0005-0000-0000-0000B81B0000}"/>
    <cellStyle name="0_area wise qty 30.3.08 (1)_COMODITES option 2 7 4" xfId="7111" xr:uid="{00000000-0005-0000-0000-0000B91B0000}"/>
    <cellStyle name="0_area wise qty 30.3.08 (1)_COMODITES option 2 7 4 2" xfId="7112" xr:uid="{00000000-0005-0000-0000-0000BA1B0000}"/>
    <cellStyle name="0_area wise qty 30.3.08 (1)_COMODITES option 2 7 5" xfId="7113" xr:uid="{00000000-0005-0000-0000-0000BB1B0000}"/>
    <cellStyle name="0_area wise qty 30.3.08 (1)_COMODITES option 2 7 5 2" xfId="7114" xr:uid="{00000000-0005-0000-0000-0000BC1B0000}"/>
    <cellStyle name="0_area wise qty 30.3.08 (1)_COMODITES option 2 7 6" xfId="7115" xr:uid="{00000000-0005-0000-0000-0000BD1B0000}"/>
    <cellStyle name="0_area wise qty 30.3.08 (1)_COMODITES option 2 8" xfId="7116" xr:uid="{00000000-0005-0000-0000-0000BE1B0000}"/>
    <cellStyle name="0_area wise qty 30.3.08 (1)_COMODITES option 2 8 2" xfId="7117" xr:uid="{00000000-0005-0000-0000-0000BF1B0000}"/>
    <cellStyle name="0_area wise qty 30.3.08 (1)_COMODITES option 2 8 2 2" xfId="7118" xr:uid="{00000000-0005-0000-0000-0000C01B0000}"/>
    <cellStyle name="0_area wise qty 30.3.08 (1)_COMODITES option 2 8 2 2 2" xfId="7119" xr:uid="{00000000-0005-0000-0000-0000C11B0000}"/>
    <cellStyle name="0_area wise qty 30.3.08 (1)_COMODITES option 2 8 2 3" xfId="7120" xr:uid="{00000000-0005-0000-0000-0000C21B0000}"/>
    <cellStyle name="0_area wise qty 30.3.08 (1)_COMODITES option 2 8 2 3 2" xfId="7121" xr:uid="{00000000-0005-0000-0000-0000C31B0000}"/>
    <cellStyle name="0_area wise qty 30.3.08 (1)_COMODITES option 2 8 2 4" xfId="7122" xr:uid="{00000000-0005-0000-0000-0000C41B0000}"/>
    <cellStyle name="0_area wise qty 30.3.08 (1)_COMODITES option 2 8 3" xfId="7123" xr:uid="{00000000-0005-0000-0000-0000C51B0000}"/>
    <cellStyle name="0_area wise qty 30.3.08 (1)_COMODITES option 2 8 3 2" xfId="7124" xr:uid="{00000000-0005-0000-0000-0000C61B0000}"/>
    <cellStyle name="0_area wise qty 30.3.08 (1)_COMODITES option 2 8 3 2 2" xfId="7125" xr:uid="{00000000-0005-0000-0000-0000C71B0000}"/>
    <cellStyle name="0_area wise qty 30.3.08 (1)_COMODITES option 2 8 3 3" xfId="7126" xr:uid="{00000000-0005-0000-0000-0000C81B0000}"/>
    <cellStyle name="0_area wise qty 30.3.08 (1)_COMODITES option 2 8 3 3 2" xfId="7127" xr:uid="{00000000-0005-0000-0000-0000C91B0000}"/>
    <cellStyle name="0_area wise qty 30.3.08 (1)_COMODITES option 2 8 3 4" xfId="7128" xr:uid="{00000000-0005-0000-0000-0000CA1B0000}"/>
    <cellStyle name="0_area wise qty 30.3.08 (1)_COMODITES option 2 8 4" xfId="7129" xr:uid="{00000000-0005-0000-0000-0000CB1B0000}"/>
    <cellStyle name="0_area wise qty 30.3.08 (1)_COMODITES option 2 8 4 2" xfId="7130" xr:uid="{00000000-0005-0000-0000-0000CC1B0000}"/>
    <cellStyle name="0_area wise qty 30.3.08 (1)_COMODITES option 2 8 5" xfId="7131" xr:uid="{00000000-0005-0000-0000-0000CD1B0000}"/>
    <cellStyle name="0_area wise qty 30.3.08 (1)_COMODITES option 2 8 5 2" xfId="7132" xr:uid="{00000000-0005-0000-0000-0000CE1B0000}"/>
    <cellStyle name="0_area wise qty 30.3.08 (1)_COMODITES option 2 8 6" xfId="7133" xr:uid="{00000000-0005-0000-0000-0000CF1B0000}"/>
    <cellStyle name="0_area wise qty 30.3.08 (1)_COMODITES option 2 9" xfId="7134" xr:uid="{00000000-0005-0000-0000-0000D01B0000}"/>
    <cellStyle name="0_area wise qty 30.3.08 (1)_COMODITES option 2 9 2" xfId="7135" xr:uid="{00000000-0005-0000-0000-0000D11B0000}"/>
    <cellStyle name="0_area wise qty 30.3.08 (1)_COMODITES option 2 9 2 2" xfId="7136" xr:uid="{00000000-0005-0000-0000-0000D21B0000}"/>
    <cellStyle name="0_area wise qty 30.3.08 (1)_COMODITES option 2 9 3" xfId="7137" xr:uid="{00000000-0005-0000-0000-0000D31B0000}"/>
    <cellStyle name="0_area wise qty 30.3.08 (1)_COMODITES option 2 9 3 2" xfId="7138" xr:uid="{00000000-0005-0000-0000-0000D41B0000}"/>
    <cellStyle name="0_area wise qty 30.3.08 (1)_COMODITES option 2 9 4" xfId="7139" xr:uid="{00000000-0005-0000-0000-0000D51B0000}"/>
    <cellStyle name="0_area wise qty 30.3.08 (1)_ORG CHART FOR CEO MEETING" xfId="7140" xr:uid="{00000000-0005-0000-0000-0000D61B0000}"/>
    <cellStyle name="0_area wise qty 30.3.08 (1)_ORG CHART FOR CEO MEETING 10" xfId="7141" xr:uid="{00000000-0005-0000-0000-0000D71B0000}"/>
    <cellStyle name="0_area wise qty 30.3.08 (1)_ORG CHART FOR CEO MEETING 11" xfId="7142" xr:uid="{00000000-0005-0000-0000-0000D81B0000}"/>
    <cellStyle name="0_area wise qty 30.3.08 (1)_ORG CHART FOR CEO MEETING 12" xfId="7143" xr:uid="{00000000-0005-0000-0000-0000D91B0000}"/>
    <cellStyle name="0_area wise qty 30.3.08 (1)_ORG CHART FOR CEO MEETING 2" xfId="7144" xr:uid="{00000000-0005-0000-0000-0000DA1B0000}"/>
    <cellStyle name="0_area wise qty 30.3.08 (1)_ORG CHART FOR CEO MEETING 2 2" xfId="7145" xr:uid="{00000000-0005-0000-0000-0000DB1B0000}"/>
    <cellStyle name="0_area wise qty 30.3.08 (1)_ORG CHART FOR CEO MEETING 2 2 2" xfId="7146" xr:uid="{00000000-0005-0000-0000-0000DC1B0000}"/>
    <cellStyle name="0_area wise qty 30.3.08 (1)_ORG CHART FOR CEO MEETING 2 2 2 2" xfId="7147" xr:uid="{00000000-0005-0000-0000-0000DD1B0000}"/>
    <cellStyle name="0_area wise qty 30.3.08 (1)_ORG CHART FOR CEO MEETING 2 2 3" xfId="7148" xr:uid="{00000000-0005-0000-0000-0000DE1B0000}"/>
    <cellStyle name="0_area wise qty 30.3.08 (1)_ORG CHART FOR CEO MEETING 2 2 3 2" xfId="7149" xr:uid="{00000000-0005-0000-0000-0000DF1B0000}"/>
    <cellStyle name="0_area wise qty 30.3.08 (1)_ORG CHART FOR CEO MEETING 2 2 4" xfId="7150" xr:uid="{00000000-0005-0000-0000-0000E01B0000}"/>
    <cellStyle name="0_area wise qty 30.3.08 (1)_ORG CHART FOR CEO MEETING 2 3" xfId="7151" xr:uid="{00000000-0005-0000-0000-0000E11B0000}"/>
    <cellStyle name="0_area wise qty 30.3.08 (1)_ORG CHART FOR CEO MEETING 2 3 2" xfId="7152" xr:uid="{00000000-0005-0000-0000-0000E21B0000}"/>
    <cellStyle name="0_area wise qty 30.3.08 (1)_ORG CHART FOR CEO MEETING 2 3 2 2" xfId="7153" xr:uid="{00000000-0005-0000-0000-0000E31B0000}"/>
    <cellStyle name="0_area wise qty 30.3.08 (1)_ORG CHART FOR CEO MEETING 2 3 3" xfId="7154" xr:uid="{00000000-0005-0000-0000-0000E41B0000}"/>
    <cellStyle name="0_area wise qty 30.3.08 (1)_ORG CHART FOR CEO MEETING 2 3 3 2" xfId="7155" xr:uid="{00000000-0005-0000-0000-0000E51B0000}"/>
    <cellStyle name="0_area wise qty 30.3.08 (1)_ORG CHART FOR CEO MEETING 2 3 4" xfId="7156" xr:uid="{00000000-0005-0000-0000-0000E61B0000}"/>
    <cellStyle name="0_area wise qty 30.3.08 (1)_ORG CHART FOR CEO MEETING 2 4" xfId="7157" xr:uid="{00000000-0005-0000-0000-0000E71B0000}"/>
    <cellStyle name="0_area wise qty 30.3.08 (1)_ORG CHART FOR CEO MEETING 2 4 2" xfId="7158" xr:uid="{00000000-0005-0000-0000-0000E81B0000}"/>
    <cellStyle name="0_area wise qty 30.3.08 (1)_ORG CHART FOR CEO MEETING 2 5" xfId="7159" xr:uid="{00000000-0005-0000-0000-0000E91B0000}"/>
    <cellStyle name="0_area wise qty 30.3.08 (1)_ORG CHART FOR CEO MEETING 2 5 2" xfId="7160" xr:uid="{00000000-0005-0000-0000-0000EA1B0000}"/>
    <cellStyle name="0_area wise qty 30.3.08 (1)_ORG CHART FOR CEO MEETING 2 6" xfId="7161" xr:uid="{00000000-0005-0000-0000-0000EB1B0000}"/>
    <cellStyle name="0_area wise qty 30.3.08 (1)_ORG CHART FOR CEO MEETING 3" xfId="7162" xr:uid="{00000000-0005-0000-0000-0000EC1B0000}"/>
    <cellStyle name="0_area wise qty 30.3.08 (1)_ORG CHART FOR CEO MEETING 3 2" xfId="7163" xr:uid="{00000000-0005-0000-0000-0000ED1B0000}"/>
    <cellStyle name="0_area wise qty 30.3.08 (1)_ORG CHART FOR CEO MEETING 3 2 2" xfId="7164" xr:uid="{00000000-0005-0000-0000-0000EE1B0000}"/>
    <cellStyle name="0_area wise qty 30.3.08 (1)_ORG CHART FOR CEO MEETING 3 3" xfId="7165" xr:uid="{00000000-0005-0000-0000-0000EF1B0000}"/>
    <cellStyle name="0_area wise qty 30.3.08 (1)_ORG CHART FOR CEO MEETING 3 3 2" xfId="7166" xr:uid="{00000000-0005-0000-0000-0000F01B0000}"/>
    <cellStyle name="0_area wise qty 30.3.08 (1)_ORG CHART FOR CEO MEETING 3 4" xfId="7167" xr:uid="{00000000-0005-0000-0000-0000F11B0000}"/>
    <cellStyle name="0_area wise qty 30.3.08 (1)_ORG CHART FOR CEO MEETING 3 5" xfId="7168" xr:uid="{00000000-0005-0000-0000-0000F21B0000}"/>
    <cellStyle name="0_area wise qty 30.3.08 (1)_ORG CHART FOR CEO MEETING 4" xfId="7169" xr:uid="{00000000-0005-0000-0000-0000F31B0000}"/>
    <cellStyle name="0_area wise qty 30.3.08 (1)_ORG CHART FOR CEO MEETING 4 2" xfId="7170" xr:uid="{00000000-0005-0000-0000-0000F41B0000}"/>
    <cellStyle name="0_area wise qty 30.3.08 (1)_ORG CHART FOR CEO MEETING 4 2 2" xfId="7171" xr:uid="{00000000-0005-0000-0000-0000F51B0000}"/>
    <cellStyle name="0_area wise qty 30.3.08 (1)_ORG CHART FOR CEO MEETING 4 3" xfId="7172" xr:uid="{00000000-0005-0000-0000-0000F61B0000}"/>
    <cellStyle name="0_area wise qty 30.3.08 (1)_ORG CHART FOR CEO MEETING 4 3 2" xfId="7173" xr:uid="{00000000-0005-0000-0000-0000F71B0000}"/>
    <cellStyle name="0_area wise qty 30.3.08 (1)_ORG CHART FOR CEO MEETING 4 4" xfId="7174" xr:uid="{00000000-0005-0000-0000-0000F81B0000}"/>
    <cellStyle name="0_area wise qty 30.3.08 (1)_ORG CHART FOR CEO MEETING 4 5" xfId="7175" xr:uid="{00000000-0005-0000-0000-0000F91B0000}"/>
    <cellStyle name="0_area wise qty 30.3.08 (1)_ORG CHART FOR CEO MEETING 5" xfId="7176" xr:uid="{00000000-0005-0000-0000-0000FA1B0000}"/>
    <cellStyle name="0_area wise qty 30.3.08 (1)_ORG CHART FOR CEO MEETING 5 2" xfId="7177" xr:uid="{00000000-0005-0000-0000-0000FB1B0000}"/>
    <cellStyle name="0_area wise qty 30.3.08 (1)_ORG CHART FOR CEO MEETING 5 3" xfId="7178" xr:uid="{00000000-0005-0000-0000-0000FC1B0000}"/>
    <cellStyle name="0_area wise qty 30.3.08 (1)_ORG CHART FOR CEO MEETING 5 4" xfId="7179" xr:uid="{00000000-0005-0000-0000-0000FD1B0000}"/>
    <cellStyle name="0_area wise qty 30.3.08 (1)_ORG CHART FOR CEO MEETING 5 5" xfId="7180" xr:uid="{00000000-0005-0000-0000-0000FE1B0000}"/>
    <cellStyle name="0_area wise qty 30.3.08 (1)_ORG CHART FOR CEO MEETING 6" xfId="7181" xr:uid="{00000000-0005-0000-0000-0000FF1B0000}"/>
    <cellStyle name="0_area wise qty 30.3.08 (1)_ORG CHART FOR CEO MEETING 6 2" xfId="7182" xr:uid="{00000000-0005-0000-0000-0000001C0000}"/>
    <cellStyle name="0_area wise qty 30.3.08 (1)_ORG CHART FOR CEO MEETING 6 3" xfId="7183" xr:uid="{00000000-0005-0000-0000-0000011C0000}"/>
    <cellStyle name="0_area wise qty 30.3.08 (1)_ORG CHART FOR CEO MEETING 6 4" xfId="7184" xr:uid="{00000000-0005-0000-0000-0000021C0000}"/>
    <cellStyle name="0_area wise qty 30.3.08 (1)_ORG CHART FOR CEO MEETING 6 5" xfId="7185" xr:uid="{00000000-0005-0000-0000-0000031C0000}"/>
    <cellStyle name="0_area wise qty 30.3.08 (1)_ORG CHART FOR CEO MEETING 7" xfId="7186" xr:uid="{00000000-0005-0000-0000-0000041C0000}"/>
    <cellStyle name="0_area wise qty 30.3.08 (1)_ORG CHART FOR CEO MEETING 7 2" xfId="7187" xr:uid="{00000000-0005-0000-0000-0000051C0000}"/>
    <cellStyle name="0_area wise qty 30.3.08 (1)_ORG CHART FOR CEO MEETING 7 3" xfId="7188" xr:uid="{00000000-0005-0000-0000-0000061C0000}"/>
    <cellStyle name="0_area wise qty 30.3.08 (1)_ORG CHART FOR CEO MEETING 7 4" xfId="7189" xr:uid="{00000000-0005-0000-0000-0000071C0000}"/>
    <cellStyle name="0_area wise qty 30.3.08 (1)_ORG CHART FOR CEO MEETING 7 5" xfId="7190" xr:uid="{00000000-0005-0000-0000-0000081C0000}"/>
    <cellStyle name="0_area wise qty 30.3.08 (1)_ORG CHART FOR CEO MEETING 8" xfId="7191" xr:uid="{00000000-0005-0000-0000-0000091C0000}"/>
    <cellStyle name="0_area wise qty 30.3.08 (1)_ORG CHART FOR CEO MEETING 8 2" xfId="7192" xr:uid="{00000000-0005-0000-0000-00000A1C0000}"/>
    <cellStyle name="0_area wise qty 30.3.08 (1)_ORG CHART FOR CEO MEETING 8 3" xfId="7193" xr:uid="{00000000-0005-0000-0000-00000B1C0000}"/>
    <cellStyle name="0_area wise qty 30.3.08 (1)_ORG CHART FOR CEO MEETING 8 4" xfId="7194" xr:uid="{00000000-0005-0000-0000-00000C1C0000}"/>
    <cellStyle name="0_area wise qty 30.3.08 (1)_ORG CHART FOR CEO MEETING 8 5" xfId="7195" xr:uid="{00000000-0005-0000-0000-00000D1C0000}"/>
    <cellStyle name="0_area wise qty 30.3.08 (1)_ORG CHART FOR CEO MEETING 9" xfId="7196" xr:uid="{00000000-0005-0000-0000-00000E1C0000}"/>
    <cellStyle name="0_area wise qty 30.3.08 (1)_PER DEC 09" xfId="7197" xr:uid="{00000000-0005-0000-0000-00000F1C0000}"/>
    <cellStyle name="0_area wise qty 30.3.08 (1)_PER DEC 09 10" xfId="7198" xr:uid="{00000000-0005-0000-0000-0000101C0000}"/>
    <cellStyle name="0_area wise qty 30.3.08 (1)_PER DEC 09 11" xfId="7199" xr:uid="{00000000-0005-0000-0000-0000111C0000}"/>
    <cellStyle name="0_area wise qty 30.3.08 (1)_PER DEC 09 12" xfId="7200" xr:uid="{00000000-0005-0000-0000-0000121C0000}"/>
    <cellStyle name="0_area wise qty 30.3.08 (1)_PER DEC 09 2" xfId="7201" xr:uid="{00000000-0005-0000-0000-0000131C0000}"/>
    <cellStyle name="0_area wise qty 30.3.08 (1)_PER DEC 09 2 2" xfId="7202" xr:uid="{00000000-0005-0000-0000-0000141C0000}"/>
    <cellStyle name="0_area wise qty 30.3.08 (1)_PER DEC 09 2 2 2" xfId="7203" xr:uid="{00000000-0005-0000-0000-0000151C0000}"/>
    <cellStyle name="0_area wise qty 30.3.08 (1)_PER DEC 09 2 2 2 2" xfId="7204" xr:uid="{00000000-0005-0000-0000-0000161C0000}"/>
    <cellStyle name="0_area wise qty 30.3.08 (1)_PER DEC 09 2 2 3" xfId="7205" xr:uid="{00000000-0005-0000-0000-0000171C0000}"/>
    <cellStyle name="0_area wise qty 30.3.08 (1)_PER DEC 09 2 2 3 2" xfId="7206" xr:uid="{00000000-0005-0000-0000-0000181C0000}"/>
    <cellStyle name="0_area wise qty 30.3.08 (1)_PER DEC 09 2 2 4" xfId="7207" xr:uid="{00000000-0005-0000-0000-0000191C0000}"/>
    <cellStyle name="0_area wise qty 30.3.08 (1)_PER DEC 09 2 3" xfId="7208" xr:uid="{00000000-0005-0000-0000-00001A1C0000}"/>
    <cellStyle name="0_area wise qty 30.3.08 (1)_PER DEC 09 2 3 2" xfId="7209" xr:uid="{00000000-0005-0000-0000-00001B1C0000}"/>
    <cellStyle name="0_area wise qty 30.3.08 (1)_PER DEC 09 2 3 2 2" xfId="7210" xr:uid="{00000000-0005-0000-0000-00001C1C0000}"/>
    <cellStyle name="0_area wise qty 30.3.08 (1)_PER DEC 09 2 3 3" xfId="7211" xr:uid="{00000000-0005-0000-0000-00001D1C0000}"/>
    <cellStyle name="0_area wise qty 30.3.08 (1)_PER DEC 09 2 3 3 2" xfId="7212" xr:uid="{00000000-0005-0000-0000-00001E1C0000}"/>
    <cellStyle name="0_area wise qty 30.3.08 (1)_PER DEC 09 2 3 4" xfId="7213" xr:uid="{00000000-0005-0000-0000-00001F1C0000}"/>
    <cellStyle name="0_area wise qty 30.3.08 (1)_PER DEC 09 2 4" xfId="7214" xr:uid="{00000000-0005-0000-0000-0000201C0000}"/>
    <cellStyle name="0_area wise qty 30.3.08 (1)_PER DEC 09 2 4 2" xfId="7215" xr:uid="{00000000-0005-0000-0000-0000211C0000}"/>
    <cellStyle name="0_area wise qty 30.3.08 (1)_PER DEC 09 2 5" xfId="7216" xr:uid="{00000000-0005-0000-0000-0000221C0000}"/>
    <cellStyle name="0_area wise qty 30.3.08 (1)_PER DEC 09 2 5 2" xfId="7217" xr:uid="{00000000-0005-0000-0000-0000231C0000}"/>
    <cellStyle name="0_area wise qty 30.3.08 (1)_PER DEC 09 2 6" xfId="7218" xr:uid="{00000000-0005-0000-0000-0000241C0000}"/>
    <cellStyle name="0_area wise qty 30.3.08 (1)_PER DEC 09 3" xfId="7219" xr:uid="{00000000-0005-0000-0000-0000251C0000}"/>
    <cellStyle name="0_area wise qty 30.3.08 (1)_PER DEC 09 3 2" xfId="7220" xr:uid="{00000000-0005-0000-0000-0000261C0000}"/>
    <cellStyle name="0_area wise qty 30.3.08 (1)_PER DEC 09 3 2 2" xfId="7221" xr:uid="{00000000-0005-0000-0000-0000271C0000}"/>
    <cellStyle name="0_area wise qty 30.3.08 (1)_PER DEC 09 3 3" xfId="7222" xr:uid="{00000000-0005-0000-0000-0000281C0000}"/>
    <cellStyle name="0_area wise qty 30.3.08 (1)_PER DEC 09 3 3 2" xfId="7223" xr:uid="{00000000-0005-0000-0000-0000291C0000}"/>
    <cellStyle name="0_area wise qty 30.3.08 (1)_PER DEC 09 3 4" xfId="7224" xr:uid="{00000000-0005-0000-0000-00002A1C0000}"/>
    <cellStyle name="0_area wise qty 30.3.08 (1)_PER DEC 09 3 5" xfId="7225" xr:uid="{00000000-0005-0000-0000-00002B1C0000}"/>
    <cellStyle name="0_area wise qty 30.3.08 (1)_PER DEC 09 4" xfId="7226" xr:uid="{00000000-0005-0000-0000-00002C1C0000}"/>
    <cellStyle name="0_area wise qty 30.3.08 (1)_PER DEC 09 4 2" xfId="7227" xr:uid="{00000000-0005-0000-0000-00002D1C0000}"/>
    <cellStyle name="0_area wise qty 30.3.08 (1)_PER DEC 09 4 2 2" xfId="7228" xr:uid="{00000000-0005-0000-0000-00002E1C0000}"/>
    <cellStyle name="0_area wise qty 30.3.08 (1)_PER DEC 09 4 3" xfId="7229" xr:uid="{00000000-0005-0000-0000-00002F1C0000}"/>
    <cellStyle name="0_area wise qty 30.3.08 (1)_PER DEC 09 4 3 2" xfId="7230" xr:uid="{00000000-0005-0000-0000-0000301C0000}"/>
    <cellStyle name="0_area wise qty 30.3.08 (1)_PER DEC 09 4 4" xfId="7231" xr:uid="{00000000-0005-0000-0000-0000311C0000}"/>
    <cellStyle name="0_area wise qty 30.3.08 (1)_PER DEC 09 4 5" xfId="7232" xr:uid="{00000000-0005-0000-0000-0000321C0000}"/>
    <cellStyle name="0_area wise qty 30.3.08 (1)_PER DEC 09 5" xfId="7233" xr:uid="{00000000-0005-0000-0000-0000331C0000}"/>
    <cellStyle name="0_area wise qty 30.3.08 (1)_PER DEC 09 5 2" xfId="7234" xr:uid="{00000000-0005-0000-0000-0000341C0000}"/>
    <cellStyle name="0_area wise qty 30.3.08 (1)_PER DEC 09 5 3" xfId="7235" xr:uid="{00000000-0005-0000-0000-0000351C0000}"/>
    <cellStyle name="0_area wise qty 30.3.08 (1)_PER DEC 09 5 4" xfId="7236" xr:uid="{00000000-0005-0000-0000-0000361C0000}"/>
    <cellStyle name="0_area wise qty 30.3.08 (1)_PER DEC 09 5 5" xfId="7237" xr:uid="{00000000-0005-0000-0000-0000371C0000}"/>
    <cellStyle name="0_area wise qty 30.3.08 (1)_PER DEC 09 6" xfId="7238" xr:uid="{00000000-0005-0000-0000-0000381C0000}"/>
    <cellStyle name="0_area wise qty 30.3.08 (1)_PER DEC 09 6 2" xfId="7239" xr:uid="{00000000-0005-0000-0000-0000391C0000}"/>
    <cellStyle name="0_area wise qty 30.3.08 (1)_PER DEC 09 6 3" xfId="7240" xr:uid="{00000000-0005-0000-0000-00003A1C0000}"/>
    <cellStyle name="0_area wise qty 30.3.08 (1)_PER DEC 09 6 4" xfId="7241" xr:uid="{00000000-0005-0000-0000-00003B1C0000}"/>
    <cellStyle name="0_area wise qty 30.3.08 (1)_PER DEC 09 6 5" xfId="7242" xr:uid="{00000000-0005-0000-0000-00003C1C0000}"/>
    <cellStyle name="0_area wise qty 30.3.08 (1)_PER DEC 09 7" xfId="7243" xr:uid="{00000000-0005-0000-0000-00003D1C0000}"/>
    <cellStyle name="0_area wise qty 30.3.08 (1)_PER DEC 09 7 2" xfId="7244" xr:uid="{00000000-0005-0000-0000-00003E1C0000}"/>
    <cellStyle name="0_area wise qty 30.3.08 (1)_PER DEC 09 7 3" xfId="7245" xr:uid="{00000000-0005-0000-0000-00003F1C0000}"/>
    <cellStyle name="0_area wise qty 30.3.08 (1)_PER DEC 09 7 4" xfId="7246" xr:uid="{00000000-0005-0000-0000-0000401C0000}"/>
    <cellStyle name="0_area wise qty 30.3.08 (1)_PER DEC 09 7 5" xfId="7247" xr:uid="{00000000-0005-0000-0000-0000411C0000}"/>
    <cellStyle name="0_area wise qty 30.3.08 (1)_PER DEC 09 8" xfId="7248" xr:uid="{00000000-0005-0000-0000-0000421C0000}"/>
    <cellStyle name="0_area wise qty 30.3.08 (1)_PER DEC 09 8 2" xfId="7249" xr:uid="{00000000-0005-0000-0000-0000431C0000}"/>
    <cellStyle name="0_area wise qty 30.3.08 (1)_PER DEC 09 8 3" xfId="7250" xr:uid="{00000000-0005-0000-0000-0000441C0000}"/>
    <cellStyle name="0_area wise qty 30.3.08 (1)_PER DEC 09 8 4" xfId="7251" xr:uid="{00000000-0005-0000-0000-0000451C0000}"/>
    <cellStyle name="0_area wise qty 30.3.08 (1)_PER DEC 09 8 5" xfId="7252" xr:uid="{00000000-0005-0000-0000-0000461C0000}"/>
    <cellStyle name="0_area wise qty 30.3.08 (1)_PER DEC 09 9" xfId="7253" xr:uid="{00000000-0005-0000-0000-0000471C0000}"/>
    <cellStyle name="0_area wise qty 30.3.08 (1)_S CURVE &amp; ORG CHA" xfId="7254" xr:uid="{00000000-0005-0000-0000-0000481C0000}"/>
    <cellStyle name="0_area wise qty 30.3.08 (1)_S CURVE &amp; ORG CHA 10" xfId="7255" xr:uid="{00000000-0005-0000-0000-0000491C0000}"/>
    <cellStyle name="0_area wise qty 30.3.08 (1)_S CURVE &amp; ORG CHA 11" xfId="7256" xr:uid="{00000000-0005-0000-0000-00004A1C0000}"/>
    <cellStyle name="0_area wise qty 30.3.08 (1)_S CURVE &amp; ORG CHA 12" xfId="7257" xr:uid="{00000000-0005-0000-0000-00004B1C0000}"/>
    <cellStyle name="0_area wise qty 30.3.08 (1)_S CURVE &amp; ORG CHA 2" xfId="7258" xr:uid="{00000000-0005-0000-0000-00004C1C0000}"/>
    <cellStyle name="0_area wise qty 30.3.08 (1)_S CURVE &amp; ORG CHA 2 2" xfId="7259" xr:uid="{00000000-0005-0000-0000-00004D1C0000}"/>
    <cellStyle name="0_area wise qty 30.3.08 (1)_S CURVE &amp; ORG CHA 2 2 2" xfId="7260" xr:uid="{00000000-0005-0000-0000-00004E1C0000}"/>
    <cellStyle name="0_area wise qty 30.3.08 (1)_S CURVE &amp; ORG CHA 2 2 2 2" xfId="7261" xr:uid="{00000000-0005-0000-0000-00004F1C0000}"/>
    <cellStyle name="0_area wise qty 30.3.08 (1)_S CURVE &amp; ORG CHA 2 2 3" xfId="7262" xr:uid="{00000000-0005-0000-0000-0000501C0000}"/>
    <cellStyle name="0_area wise qty 30.3.08 (1)_S CURVE &amp; ORG CHA 2 2 3 2" xfId="7263" xr:uid="{00000000-0005-0000-0000-0000511C0000}"/>
    <cellStyle name="0_area wise qty 30.3.08 (1)_S CURVE &amp; ORG CHA 2 2 4" xfId="7264" xr:uid="{00000000-0005-0000-0000-0000521C0000}"/>
    <cellStyle name="0_area wise qty 30.3.08 (1)_S CURVE &amp; ORG CHA 2 3" xfId="7265" xr:uid="{00000000-0005-0000-0000-0000531C0000}"/>
    <cellStyle name="0_area wise qty 30.3.08 (1)_S CURVE &amp; ORG CHA 2 3 2" xfId="7266" xr:uid="{00000000-0005-0000-0000-0000541C0000}"/>
    <cellStyle name="0_area wise qty 30.3.08 (1)_S CURVE &amp; ORG CHA 2 3 2 2" xfId="7267" xr:uid="{00000000-0005-0000-0000-0000551C0000}"/>
    <cellStyle name="0_area wise qty 30.3.08 (1)_S CURVE &amp; ORG CHA 2 3 3" xfId="7268" xr:uid="{00000000-0005-0000-0000-0000561C0000}"/>
    <cellStyle name="0_area wise qty 30.3.08 (1)_S CURVE &amp; ORG CHA 2 3 3 2" xfId="7269" xr:uid="{00000000-0005-0000-0000-0000571C0000}"/>
    <cellStyle name="0_area wise qty 30.3.08 (1)_S CURVE &amp; ORG CHA 2 3 4" xfId="7270" xr:uid="{00000000-0005-0000-0000-0000581C0000}"/>
    <cellStyle name="0_area wise qty 30.3.08 (1)_S CURVE &amp; ORG CHA 2 4" xfId="7271" xr:uid="{00000000-0005-0000-0000-0000591C0000}"/>
    <cellStyle name="0_area wise qty 30.3.08 (1)_S CURVE &amp; ORG CHA 2 4 2" xfId="7272" xr:uid="{00000000-0005-0000-0000-00005A1C0000}"/>
    <cellStyle name="0_area wise qty 30.3.08 (1)_S CURVE &amp; ORG CHA 2 5" xfId="7273" xr:uid="{00000000-0005-0000-0000-00005B1C0000}"/>
    <cellStyle name="0_area wise qty 30.3.08 (1)_S CURVE &amp; ORG CHA 2 5 2" xfId="7274" xr:uid="{00000000-0005-0000-0000-00005C1C0000}"/>
    <cellStyle name="0_area wise qty 30.3.08 (1)_S CURVE &amp; ORG CHA 2 6" xfId="7275" xr:uid="{00000000-0005-0000-0000-00005D1C0000}"/>
    <cellStyle name="0_area wise qty 30.3.08 (1)_S CURVE &amp; ORG CHA 3" xfId="7276" xr:uid="{00000000-0005-0000-0000-00005E1C0000}"/>
    <cellStyle name="0_area wise qty 30.3.08 (1)_S CURVE &amp; ORG CHA 3 2" xfId="7277" xr:uid="{00000000-0005-0000-0000-00005F1C0000}"/>
    <cellStyle name="0_area wise qty 30.3.08 (1)_S CURVE &amp; ORG CHA 3 2 2" xfId="7278" xr:uid="{00000000-0005-0000-0000-0000601C0000}"/>
    <cellStyle name="0_area wise qty 30.3.08 (1)_S CURVE &amp; ORG CHA 3 3" xfId="7279" xr:uid="{00000000-0005-0000-0000-0000611C0000}"/>
    <cellStyle name="0_area wise qty 30.3.08 (1)_S CURVE &amp; ORG CHA 3 3 2" xfId="7280" xr:uid="{00000000-0005-0000-0000-0000621C0000}"/>
    <cellStyle name="0_area wise qty 30.3.08 (1)_S CURVE &amp; ORG CHA 3 4" xfId="7281" xr:uid="{00000000-0005-0000-0000-0000631C0000}"/>
    <cellStyle name="0_area wise qty 30.3.08 (1)_S CURVE &amp; ORG CHA 3 5" xfId="7282" xr:uid="{00000000-0005-0000-0000-0000641C0000}"/>
    <cellStyle name="0_area wise qty 30.3.08 (1)_S CURVE &amp; ORG CHA 4" xfId="7283" xr:uid="{00000000-0005-0000-0000-0000651C0000}"/>
    <cellStyle name="0_area wise qty 30.3.08 (1)_S CURVE &amp; ORG CHA 4 2" xfId="7284" xr:uid="{00000000-0005-0000-0000-0000661C0000}"/>
    <cellStyle name="0_area wise qty 30.3.08 (1)_S CURVE &amp; ORG CHA 4 2 2" xfId="7285" xr:uid="{00000000-0005-0000-0000-0000671C0000}"/>
    <cellStyle name="0_area wise qty 30.3.08 (1)_S CURVE &amp; ORG CHA 4 3" xfId="7286" xr:uid="{00000000-0005-0000-0000-0000681C0000}"/>
    <cellStyle name="0_area wise qty 30.3.08 (1)_S CURVE &amp; ORG CHA 4 3 2" xfId="7287" xr:uid="{00000000-0005-0000-0000-0000691C0000}"/>
    <cellStyle name="0_area wise qty 30.3.08 (1)_S CURVE &amp; ORG CHA 4 4" xfId="7288" xr:uid="{00000000-0005-0000-0000-00006A1C0000}"/>
    <cellStyle name="0_area wise qty 30.3.08 (1)_S CURVE &amp; ORG CHA 4 5" xfId="7289" xr:uid="{00000000-0005-0000-0000-00006B1C0000}"/>
    <cellStyle name="0_area wise qty 30.3.08 (1)_S CURVE &amp; ORG CHA 5" xfId="7290" xr:uid="{00000000-0005-0000-0000-00006C1C0000}"/>
    <cellStyle name="0_area wise qty 30.3.08 (1)_S CURVE &amp; ORG CHA 5 2" xfId="7291" xr:uid="{00000000-0005-0000-0000-00006D1C0000}"/>
    <cellStyle name="0_area wise qty 30.3.08 (1)_S CURVE &amp; ORG CHA 5 3" xfId="7292" xr:uid="{00000000-0005-0000-0000-00006E1C0000}"/>
    <cellStyle name="0_area wise qty 30.3.08 (1)_S CURVE &amp; ORG CHA 5 4" xfId="7293" xr:uid="{00000000-0005-0000-0000-00006F1C0000}"/>
    <cellStyle name="0_area wise qty 30.3.08 (1)_S CURVE &amp; ORG CHA 5 5" xfId="7294" xr:uid="{00000000-0005-0000-0000-0000701C0000}"/>
    <cellStyle name="0_area wise qty 30.3.08 (1)_S CURVE &amp; ORG CHA 6" xfId="7295" xr:uid="{00000000-0005-0000-0000-0000711C0000}"/>
    <cellStyle name="0_area wise qty 30.3.08 (1)_S CURVE &amp; ORG CHA 6 2" xfId="7296" xr:uid="{00000000-0005-0000-0000-0000721C0000}"/>
    <cellStyle name="0_area wise qty 30.3.08 (1)_S CURVE &amp; ORG CHA 6 3" xfId="7297" xr:uid="{00000000-0005-0000-0000-0000731C0000}"/>
    <cellStyle name="0_area wise qty 30.3.08 (1)_S CURVE &amp; ORG CHA 6 4" xfId="7298" xr:uid="{00000000-0005-0000-0000-0000741C0000}"/>
    <cellStyle name="0_area wise qty 30.3.08 (1)_S CURVE &amp; ORG CHA 6 5" xfId="7299" xr:uid="{00000000-0005-0000-0000-0000751C0000}"/>
    <cellStyle name="0_area wise qty 30.3.08 (1)_S CURVE &amp; ORG CHA 7" xfId="7300" xr:uid="{00000000-0005-0000-0000-0000761C0000}"/>
    <cellStyle name="0_area wise qty 30.3.08 (1)_S CURVE &amp; ORG CHA 7 2" xfId="7301" xr:uid="{00000000-0005-0000-0000-0000771C0000}"/>
    <cellStyle name="0_area wise qty 30.3.08 (1)_S CURVE &amp; ORG CHA 7 3" xfId="7302" xr:uid="{00000000-0005-0000-0000-0000781C0000}"/>
    <cellStyle name="0_area wise qty 30.3.08 (1)_S CURVE &amp; ORG CHA 7 4" xfId="7303" xr:uid="{00000000-0005-0000-0000-0000791C0000}"/>
    <cellStyle name="0_area wise qty 30.3.08 (1)_S CURVE &amp; ORG CHA 7 5" xfId="7304" xr:uid="{00000000-0005-0000-0000-00007A1C0000}"/>
    <cellStyle name="0_area wise qty 30.3.08 (1)_S CURVE &amp; ORG CHA 8" xfId="7305" xr:uid="{00000000-0005-0000-0000-00007B1C0000}"/>
    <cellStyle name="0_area wise qty 30.3.08 (1)_S CURVE &amp; ORG CHA 8 2" xfId="7306" xr:uid="{00000000-0005-0000-0000-00007C1C0000}"/>
    <cellStyle name="0_area wise qty 30.3.08 (1)_S CURVE &amp; ORG CHA 8 3" xfId="7307" xr:uid="{00000000-0005-0000-0000-00007D1C0000}"/>
    <cellStyle name="0_area wise qty 30.3.08 (1)_S CURVE &amp; ORG CHA 8 4" xfId="7308" xr:uid="{00000000-0005-0000-0000-00007E1C0000}"/>
    <cellStyle name="0_area wise qty 30.3.08 (1)_S CURVE &amp; ORG CHA 8 5" xfId="7309" xr:uid="{00000000-0005-0000-0000-00007F1C0000}"/>
    <cellStyle name="0_area wise qty 30.3.08 (1)_S CURVE &amp; ORG CHA 9" xfId="7310" xr:uid="{00000000-0005-0000-0000-0000801C0000}"/>
    <cellStyle name="0_area wise qty 30.3.08 (1)_S CURVE &amp; ORG CHART" xfId="7311" xr:uid="{00000000-0005-0000-0000-0000811C0000}"/>
    <cellStyle name="0_area wise qty 30.3.08 (1)_S CURVE &amp; ORG CHART 10" xfId="7312" xr:uid="{00000000-0005-0000-0000-0000821C0000}"/>
    <cellStyle name="0_area wise qty 30.3.08 (1)_S CURVE &amp; ORG CHART 11" xfId="7313" xr:uid="{00000000-0005-0000-0000-0000831C0000}"/>
    <cellStyle name="0_area wise qty 30.3.08 (1)_S CURVE &amp; ORG CHART 12" xfId="7314" xr:uid="{00000000-0005-0000-0000-0000841C0000}"/>
    <cellStyle name="0_area wise qty 30.3.08 (1)_S CURVE &amp; ORG CHART 2" xfId="7315" xr:uid="{00000000-0005-0000-0000-0000851C0000}"/>
    <cellStyle name="0_area wise qty 30.3.08 (1)_S CURVE &amp; ORG CHART 2 2" xfId="7316" xr:uid="{00000000-0005-0000-0000-0000861C0000}"/>
    <cellStyle name="0_area wise qty 30.3.08 (1)_S CURVE &amp; ORG CHART 2 2 2" xfId="7317" xr:uid="{00000000-0005-0000-0000-0000871C0000}"/>
    <cellStyle name="0_area wise qty 30.3.08 (1)_S CURVE &amp; ORG CHART 2 2 2 2" xfId="7318" xr:uid="{00000000-0005-0000-0000-0000881C0000}"/>
    <cellStyle name="0_area wise qty 30.3.08 (1)_S CURVE &amp; ORG CHART 2 2 3" xfId="7319" xr:uid="{00000000-0005-0000-0000-0000891C0000}"/>
    <cellStyle name="0_area wise qty 30.3.08 (1)_S CURVE &amp; ORG CHART 2 2 3 2" xfId="7320" xr:uid="{00000000-0005-0000-0000-00008A1C0000}"/>
    <cellStyle name="0_area wise qty 30.3.08 (1)_S CURVE &amp; ORG CHART 2 2 4" xfId="7321" xr:uid="{00000000-0005-0000-0000-00008B1C0000}"/>
    <cellStyle name="0_area wise qty 30.3.08 (1)_S CURVE &amp; ORG CHART 2 3" xfId="7322" xr:uid="{00000000-0005-0000-0000-00008C1C0000}"/>
    <cellStyle name="0_area wise qty 30.3.08 (1)_S CURVE &amp; ORG CHART 2 3 2" xfId="7323" xr:uid="{00000000-0005-0000-0000-00008D1C0000}"/>
    <cellStyle name="0_area wise qty 30.3.08 (1)_S CURVE &amp; ORG CHART 2 3 2 2" xfId="7324" xr:uid="{00000000-0005-0000-0000-00008E1C0000}"/>
    <cellStyle name="0_area wise qty 30.3.08 (1)_S CURVE &amp; ORG CHART 2 3 3" xfId="7325" xr:uid="{00000000-0005-0000-0000-00008F1C0000}"/>
    <cellStyle name="0_area wise qty 30.3.08 (1)_S CURVE &amp; ORG CHART 2 3 3 2" xfId="7326" xr:uid="{00000000-0005-0000-0000-0000901C0000}"/>
    <cellStyle name="0_area wise qty 30.3.08 (1)_S CURVE &amp; ORG CHART 2 3 4" xfId="7327" xr:uid="{00000000-0005-0000-0000-0000911C0000}"/>
    <cellStyle name="0_area wise qty 30.3.08 (1)_S CURVE &amp; ORG CHART 2 4" xfId="7328" xr:uid="{00000000-0005-0000-0000-0000921C0000}"/>
    <cellStyle name="0_area wise qty 30.3.08 (1)_S CURVE &amp; ORG CHART 2 4 2" xfId="7329" xr:uid="{00000000-0005-0000-0000-0000931C0000}"/>
    <cellStyle name="0_area wise qty 30.3.08 (1)_S CURVE &amp; ORG CHART 2 5" xfId="7330" xr:uid="{00000000-0005-0000-0000-0000941C0000}"/>
    <cellStyle name="0_area wise qty 30.3.08 (1)_S CURVE &amp; ORG CHART 2 5 2" xfId="7331" xr:uid="{00000000-0005-0000-0000-0000951C0000}"/>
    <cellStyle name="0_area wise qty 30.3.08 (1)_S CURVE &amp; ORG CHART 2 6" xfId="7332" xr:uid="{00000000-0005-0000-0000-0000961C0000}"/>
    <cellStyle name="0_area wise qty 30.3.08 (1)_S CURVE &amp; ORG CHART 3" xfId="7333" xr:uid="{00000000-0005-0000-0000-0000971C0000}"/>
    <cellStyle name="0_area wise qty 30.3.08 (1)_S CURVE &amp; ORG CHART 3 2" xfId="7334" xr:uid="{00000000-0005-0000-0000-0000981C0000}"/>
    <cellStyle name="0_area wise qty 30.3.08 (1)_S CURVE &amp; ORG CHART 3 2 2" xfId="7335" xr:uid="{00000000-0005-0000-0000-0000991C0000}"/>
    <cellStyle name="0_area wise qty 30.3.08 (1)_S CURVE &amp; ORG CHART 3 3" xfId="7336" xr:uid="{00000000-0005-0000-0000-00009A1C0000}"/>
    <cellStyle name="0_area wise qty 30.3.08 (1)_S CURVE &amp; ORG CHART 3 3 2" xfId="7337" xr:uid="{00000000-0005-0000-0000-00009B1C0000}"/>
    <cellStyle name="0_area wise qty 30.3.08 (1)_S CURVE &amp; ORG CHART 3 4" xfId="7338" xr:uid="{00000000-0005-0000-0000-00009C1C0000}"/>
    <cellStyle name="0_area wise qty 30.3.08 (1)_S CURVE &amp; ORG CHART 3 5" xfId="7339" xr:uid="{00000000-0005-0000-0000-00009D1C0000}"/>
    <cellStyle name="0_area wise qty 30.3.08 (1)_S CURVE &amp; ORG CHART 4" xfId="7340" xr:uid="{00000000-0005-0000-0000-00009E1C0000}"/>
    <cellStyle name="0_area wise qty 30.3.08 (1)_S CURVE &amp; ORG CHART 4 2" xfId="7341" xr:uid="{00000000-0005-0000-0000-00009F1C0000}"/>
    <cellStyle name="0_area wise qty 30.3.08 (1)_S CURVE &amp; ORG CHART 4 2 2" xfId="7342" xr:uid="{00000000-0005-0000-0000-0000A01C0000}"/>
    <cellStyle name="0_area wise qty 30.3.08 (1)_S CURVE &amp; ORG CHART 4 3" xfId="7343" xr:uid="{00000000-0005-0000-0000-0000A11C0000}"/>
    <cellStyle name="0_area wise qty 30.3.08 (1)_S CURVE &amp; ORG CHART 4 3 2" xfId="7344" xr:uid="{00000000-0005-0000-0000-0000A21C0000}"/>
    <cellStyle name="0_area wise qty 30.3.08 (1)_S CURVE &amp; ORG CHART 4 4" xfId="7345" xr:uid="{00000000-0005-0000-0000-0000A31C0000}"/>
    <cellStyle name="0_area wise qty 30.3.08 (1)_S CURVE &amp; ORG CHART 4 5" xfId="7346" xr:uid="{00000000-0005-0000-0000-0000A41C0000}"/>
    <cellStyle name="0_area wise qty 30.3.08 (1)_S CURVE &amp; ORG CHART 5" xfId="7347" xr:uid="{00000000-0005-0000-0000-0000A51C0000}"/>
    <cellStyle name="0_area wise qty 30.3.08 (1)_S CURVE &amp; ORG CHART 5 2" xfId="7348" xr:uid="{00000000-0005-0000-0000-0000A61C0000}"/>
    <cellStyle name="0_area wise qty 30.3.08 (1)_S CURVE &amp; ORG CHART 5 3" xfId="7349" xr:uid="{00000000-0005-0000-0000-0000A71C0000}"/>
    <cellStyle name="0_area wise qty 30.3.08 (1)_S CURVE &amp; ORG CHART 5 4" xfId="7350" xr:uid="{00000000-0005-0000-0000-0000A81C0000}"/>
    <cellStyle name="0_area wise qty 30.3.08 (1)_S CURVE &amp; ORG CHART 5 5" xfId="7351" xr:uid="{00000000-0005-0000-0000-0000A91C0000}"/>
    <cellStyle name="0_area wise qty 30.3.08 (1)_S CURVE &amp; ORG CHART 6" xfId="7352" xr:uid="{00000000-0005-0000-0000-0000AA1C0000}"/>
    <cellStyle name="0_area wise qty 30.3.08 (1)_S CURVE &amp; ORG CHART 6 2" xfId="7353" xr:uid="{00000000-0005-0000-0000-0000AB1C0000}"/>
    <cellStyle name="0_area wise qty 30.3.08 (1)_S CURVE &amp; ORG CHART 6 3" xfId="7354" xr:uid="{00000000-0005-0000-0000-0000AC1C0000}"/>
    <cellStyle name="0_area wise qty 30.3.08 (1)_S CURVE &amp; ORG CHART 6 4" xfId="7355" xr:uid="{00000000-0005-0000-0000-0000AD1C0000}"/>
    <cellStyle name="0_area wise qty 30.3.08 (1)_S CURVE &amp; ORG CHART 6 5" xfId="7356" xr:uid="{00000000-0005-0000-0000-0000AE1C0000}"/>
    <cellStyle name="0_area wise qty 30.3.08 (1)_S CURVE &amp; ORG CHART 7" xfId="7357" xr:uid="{00000000-0005-0000-0000-0000AF1C0000}"/>
    <cellStyle name="0_area wise qty 30.3.08 (1)_S CURVE &amp; ORG CHART 7 2" xfId="7358" xr:uid="{00000000-0005-0000-0000-0000B01C0000}"/>
    <cellStyle name="0_area wise qty 30.3.08 (1)_S CURVE &amp; ORG CHART 7 3" xfId="7359" xr:uid="{00000000-0005-0000-0000-0000B11C0000}"/>
    <cellStyle name="0_area wise qty 30.3.08 (1)_S CURVE &amp; ORG CHART 7 4" xfId="7360" xr:uid="{00000000-0005-0000-0000-0000B21C0000}"/>
    <cellStyle name="0_area wise qty 30.3.08 (1)_S CURVE &amp; ORG CHART 7 5" xfId="7361" xr:uid="{00000000-0005-0000-0000-0000B31C0000}"/>
    <cellStyle name="0_area wise qty 30.3.08 (1)_S CURVE &amp; ORG CHART 8" xfId="7362" xr:uid="{00000000-0005-0000-0000-0000B41C0000}"/>
    <cellStyle name="0_area wise qty 30.3.08 (1)_S CURVE &amp; ORG CHART 8 2" xfId="7363" xr:uid="{00000000-0005-0000-0000-0000B51C0000}"/>
    <cellStyle name="0_area wise qty 30.3.08 (1)_S CURVE &amp; ORG CHART 8 3" xfId="7364" xr:uid="{00000000-0005-0000-0000-0000B61C0000}"/>
    <cellStyle name="0_area wise qty 30.3.08 (1)_S CURVE &amp; ORG CHART 8 4" xfId="7365" xr:uid="{00000000-0005-0000-0000-0000B71C0000}"/>
    <cellStyle name="0_area wise qty 30.3.08 (1)_S CURVE &amp; ORG CHART 8 5" xfId="7366" xr:uid="{00000000-0005-0000-0000-0000B81C0000}"/>
    <cellStyle name="0_area wise qty 30.3.08 (1)_S CURVE &amp; ORG CHART 9" xfId="7367" xr:uid="{00000000-0005-0000-0000-0000B91C0000}"/>
    <cellStyle name="0_AUGUST 09 -5" xfId="7368" xr:uid="{00000000-0005-0000-0000-0000BA1C0000}"/>
    <cellStyle name="0_AUGUST 09 -5 10" xfId="7369" xr:uid="{00000000-0005-0000-0000-0000BB1C0000}"/>
    <cellStyle name="0_AUGUST 09 -5 11" xfId="7370" xr:uid="{00000000-0005-0000-0000-0000BC1C0000}"/>
    <cellStyle name="0_AUGUST 09 -5 12" xfId="7371" xr:uid="{00000000-0005-0000-0000-0000BD1C0000}"/>
    <cellStyle name="0_AUGUST 09 -5 2" xfId="7372" xr:uid="{00000000-0005-0000-0000-0000BE1C0000}"/>
    <cellStyle name="0_AUGUST 09 -5 2 2" xfId="7373" xr:uid="{00000000-0005-0000-0000-0000BF1C0000}"/>
    <cellStyle name="0_AUGUST 09 -5 2 2 2" xfId="7374" xr:uid="{00000000-0005-0000-0000-0000C01C0000}"/>
    <cellStyle name="0_AUGUST 09 -5 2 2 2 2" xfId="7375" xr:uid="{00000000-0005-0000-0000-0000C11C0000}"/>
    <cellStyle name="0_AUGUST 09 -5 2 2 3" xfId="7376" xr:uid="{00000000-0005-0000-0000-0000C21C0000}"/>
    <cellStyle name="0_AUGUST 09 -5 2 2 3 2" xfId="7377" xr:uid="{00000000-0005-0000-0000-0000C31C0000}"/>
    <cellStyle name="0_AUGUST 09 -5 2 2 4" xfId="7378" xr:uid="{00000000-0005-0000-0000-0000C41C0000}"/>
    <cellStyle name="0_AUGUST 09 -5 2 3" xfId="7379" xr:uid="{00000000-0005-0000-0000-0000C51C0000}"/>
    <cellStyle name="0_AUGUST 09 -5 2 3 2" xfId="7380" xr:uid="{00000000-0005-0000-0000-0000C61C0000}"/>
    <cellStyle name="0_AUGUST 09 -5 2 3 2 2" xfId="7381" xr:uid="{00000000-0005-0000-0000-0000C71C0000}"/>
    <cellStyle name="0_AUGUST 09 -5 2 3 3" xfId="7382" xr:uid="{00000000-0005-0000-0000-0000C81C0000}"/>
    <cellStyle name="0_AUGUST 09 -5 2 3 3 2" xfId="7383" xr:uid="{00000000-0005-0000-0000-0000C91C0000}"/>
    <cellStyle name="0_AUGUST 09 -5 2 3 4" xfId="7384" xr:uid="{00000000-0005-0000-0000-0000CA1C0000}"/>
    <cellStyle name="0_AUGUST 09 -5 2 4" xfId="7385" xr:uid="{00000000-0005-0000-0000-0000CB1C0000}"/>
    <cellStyle name="0_AUGUST 09 -5 2 4 2" xfId="7386" xr:uid="{00000000-0005-0000-0000-0000CC1C0000}"/>
    <cellStyle name="0_AUGUST 09 -5 2 5" xfId="7387" xr:uid="{00000000-0005-0000-0000-0000CD1C0000}"/>
    <cellStyle name="0_AUGUST 09 -5 2 5 2" xfId="7388" xr:uid="{00000000-0005-0000-0000-0000CE1C0000}"/>
    <cellStyle name="0_AUGUST 09 -5 2 6" xfId="7389" xr:uid="{00000000-0005-0000-0000-0000CF1C0000}"/>
    <cellStyle name="0_AUGUST 09 -5 3" xfId="7390" xr:uid="{00000000-0005-0000-0000-0000D01C0000}"/>
    <cellStyle name="0_AUGUST 09 -5 3 2" xfId="7391" xr:uid="{00000000-0005-0000-0000-0000D11C0000}"/>
    <cellStyle name="0_AUGUST 09 -5 3 2 2" xfId="7392" xr:uid="{00000000-0005-0000-0000-0000D21C0000}"/>
    <cellStyle name="0_AUGUST 09 -5 3 3" xfId="7393" xr:uid="{00000000-0005-0000-0000-0000D31C0000}"/>
    <cellStyle name="0_AUGUST 09 -5 3 3 2" xfId="7394" xr:uid="{00000000-0005-0000-0000-0000D41C0000}"/>
    <cellStyle name="0_AUGUST 09 -5 3 4" xfId="7395" xr:uid="{00000000-0005-0000-0000-0000D51C0000}"/>
    <cellStyle name="0_AUGUST 09 -5 3 5" xfId="7396" xr:uid="{00000000-0005-0000-0000-0000D61C0000}"/>
    <cellStyle name="0_AUGUST 09 -5 4" xfId="7397" xr:uid="{00000000-0005-0000-0000-0000D71C0000}"/>
    <cellStyle name="0_AUGUST 09 -5 4 2" xfId="7398" xr:uid="{00000000-0005-0000-0000-0000D81C0000}"/>
    <cellStyle name="0_AUGUST 09 -5 4 2 2" xfId="7399" xr:uid="{00000000-0005-0000-0000-0000D91C0000}"/>
    <cellStyle name="0_AUGUST 09 -5 4 3" xfId="7400" xr:uid="{00000000-0005-0000-0000-0000DA1C0000}"/>
    <cellStyle name="0_AUGUST 09 -5 4 3 2" xfId="7401" xr:uid="{00000000-0005-0000-0000-0000DB1C0000}"/>
    <cellStyle name="0_AUGUST 09 -5 4 4" xfId="7402" xr:uid="{00000000-0005-0000-0000-0000DC1C0000}"/>
    <cellStyle name="0_AUGUST 09 -5 4 5" xfId="7403" xr:uid="{00000000-0005-0000-0000-0000DD1C0000}"/>
    <cellStyle name="0_AUGUST 09 -5 5" xfId="7404" xr:uid="{00000000-0005-0000-0000-0000DE1C0000}"/>
    <cellStyle name="0_AUGUST 09 -5 5 2" xfId="7405" xr:uid="{00000000-0005-0000-0000-0000DF1C0000}"/>
    <cellStyle name="0_AUGUST 09 -5 5 3" xfId="7406" xr:uid="{00000000-0005-0000-0000-0000E01C0000}"/>
    <cellStyle name="0_AUGUST 09 -5 5 4" xfId="7407" xr:uid="{00000000-0005-0000-0000-0000E11C0000}"/>
    <cellStyle name="0_AUGUST 09 -5 5 5" xfId="7408" xr:uid="{00000000-0005-0000-0000-0000E21C0000}"/>
    <cellStyle name="0_AUGUST 09 -5 6" xfId="7409" xr:uid="{00000000-0005-0000-0000-0000E31C0000}"/>
    <cellStyle name="0_AUGUST 09 -5 6 2" xfId="7410" xr:uid="{00000000-0005-0000-0000-0000E41C0000}"/>
    <cellStyle name="0_AUGUST 09 -5 6 3" xfId="7411" xr:uid="{00000000-0005-0000-0000-0000E51C0000}"/>
    <cellStyle name="0_AUGUST 09 -5 6 4" xfId="7412" xr:uid="{00000000-0005-0000-0000-0000E61C0000}"/>
    <cellStyle name="0_AUGUST 09 -5 6 5" xfId="7413" xr:uid="{00000000-0005-0000-0000-0000E71C0000}"/>
    <cellStyle name="0_AUGUST 09 -5 7" xfId="7414" xr:uid="{00000000-0005-0000-0000-0000E81C0000}"/>
    <cellStyle name="0_AUGUST 09 -5 7 2" xfId="7415" xr:uid="{00000000-0005-0000-0000-0000E91C0000}"/>
    <cellStyle name="0_AUGUST 09 -5 7 3" xfId="7416" xr:uid="{00000000-0005-0000-0000-0000EA1C0000}"/>
    <cellStyle name="0_AUGUST 09 -5 7 4" xfId="7417" xr:uid="{00000000-0005-0000-0000-0000EB1C0000}"/>
    <cellStyle name="0_AUGUST 09 -5 7 5" xfId="7418" xr:uid="{00000000-0005-0000-0000-0000EC1C0000}"/>
    <cellStyle name="0_AUGUST 09 -5 8" xfId="7419" xr:uid="{00000000-0005-0000-0000-0000ED1C0000}"/>
    <cellStyle name="0_AUGUST 09 -5 8 2" xfId="7420" xr:uid="{00000000-0005-0000-0000-0000EE1C0000}"/>
    <cellStyle name="0_AUGUST 09 -5 8 3" xfId="7421" xr:uid="{00000000-0005-0000-0000-0000EF1C0000}"/>
    <cellStyle name="0_AUGUST 09 -5 8 4" xfId="7422" xr:uid="{00000000-0005-0000-0000-0000F01C0000}"/>
    <cellStyle name="0_AUGUST 09 -5 8 5" xfId="7423" xr:uid="{00000000-0005-0000-0000-0000F11C0000}"/>
    <cellStyle name="0_AUGUST 09 -5 9" xfId="7424" xr:uid="{00000000-0005-0000-0000-0000F21C0000}"/>
    <cellStyle name="0_BACKUP1" xfId="7425" xr:uid="{00000000-0005-0000-0000-0000F31C0000}"/>
    <cellStyle name="0_BACKUP1 10" xfId="7426" xr:uid="{00000000-0005-0000-0000-0000F41C0000}"/>
    <cellStyle name="0_BACKUP1 11" xfId="7427" xr:uid="{00000000-0005-0000-0000-0000F51C0000}"/>
    <cellStyle name="0_BACKUP1 12" xfId="7428" xr:uid="{00000000-0005-0000-0000-0000F61C0000}"/>
    <cellStyle name="0_BACKUP1 2" xfId="7429" xr:uid="{00000000-0005-0000-0000-0000F71C0000}"/>
    <cellStyle name="0_BACKUP1 2 2" xfId="7430" xr:uid="{00000000-0005-0000-0000-0000F81C0000}"/>
    <cellStyle name="0_BACKUP1 2 2 2" xfId="7431" xr:uid="{00000000-0005-0000-0000-0000F91C0000}"/>
    <cellStyle name="0_BACKUP1 2 2 2 2" xfId="7432" xr:uid="{00000000-0005-0000-0000-0000FA1C0000}"/>
    <cellStyle name="0_BACKUP1 2 2 3" xfId="7433" xr:uid="{00000000-0005-0000-0000-0000FB1C0000}"/>
    <cellStyle name="0_BACKUP1 2 2 3 2" xfId="7434" xr:uid="{00000000-0005-0000-0000-0000FC1C0000}"/>
    <cellStyle name="0_BACKUP1 2 2 4" xfId="7435" xr:uid="{00000000-0005-0000-0000-0000FD1C0000}"/>
    <cellStyle name="0_BACKUP1 2 3" xfId="7436" xr:uid="{00000000-0005-0000-0000-0000FE1C0000}"/>
    <cellStyle name="0_BACKUP1 2 3 2" xfId="7437" xr:uid="{00000000-0005-0000-0000-0000FF1C0000}"/>
    <cellStyle name="0_BACKUP1 2 3 2 2" xfId="7438" xr:uid="{00000000-0005-0000-0000-0000001D0000}"/>
    <cellStyle name="0_BACKUP1 2 3 3" xfId="7439" xr:uid="{00000000-0005-0000-0000-0000011D0000}"/>
    <cellStyle name="0_BACKUP1 2 3 3 2" xfId="7440" xr:uid="{00000000-0005-0000-0000-0000021D0000}"/>
    <cellStyle name="0_BACKUP1 2 3 4" xfId="7441" xr:uid="{00000000-0005-0000-0000-0000031D0000}"/>
    <cellStyle name="0_BACKUP1 2 4" xfId="7442" xr:uid="{00000000-0005-0000-0000-0000041D0000}"/>
    <cellStyle name="0_BACKUP1 2 4 2" xfId="7443" xr:uid="{00000000-0005-0000-0000-0000051D0000}"/>
    <cellStyle name="0_BACKUP1 2 5" xfId="7444" xr:uid="{00000000-0005-0000-0000-0000061D0000}"/>
    <cellStyle name="0_BACKUP1 2 5 2" xfId="7445" xr:uid="{00000000-0005-0000-0000-0000071D0000}"/>
    <cellStyle name="0_BACKUP1 2 6" xfId="7446" xr:uid="{00000000-0005-0000-0000-0000081D0000}"/>
    <cellStyle name="0_BACKUP1 3" xfId="7447" xr:uid="{00000000-0005-0000-0000-0000091D0000}"/>
    <cellStyle name="0_BACKUP1 3 2" xfId="7448" xr:uid="{00000000-0005-0000-0000-00000A1D0000}"/>
    <cellStyle name="0_BACKUP1 3 2 2" xfId="7449" xr:uid="{00000000-0005-0000-0000-00000B1D0000}"/>
    <cellStyle name="0_BACKUP1 3 3" xfId="7450" xr:uid="{00000000-0005-0000-0000-00000C1D0000}"/>
    <cellStyle name="0_BACKUP1 3 3 2" xfId="7451" xr:uid="{00000000-0005-0000-0000-00000D1D0000}"/>
    <cellStyle name="0_BACKUP1 3 4" xfId="7452" xr:uid="{00000000-0005-0000-0000-00000E1D0000}"/>
    <cellStyle name="0_BACKUP1 3 5" xfId="7453" xr:uid="{00000000-0005-0000-0000-00000F1D0000}"/>
    <cellStyle name="0_BACKUP1 4" xfId="7454" xr:uid="{00000000-0005-0000-0000-0000101D0000}"/>
    <cellStyle name="0_BACKUP1 4 2" xfId="7455" xr:uid="{00000000-0005-0000-0000-0000111D0000}"/>
    <cellStyle name="0_BACKUP1 4 2 2" xfId="7456" xr:uid="{00000000-0005-0000-0000-0000121D0000}"/>
    <cellStyle name="0_BACKUP1 4 3" xfId="7457" xr:uid="{00000000-0005-0000-0000-0000131D0000}"/>
    <cellStyle name="0_BACKUP1 4 3 2" xfId="7458" xr:uid="{00000000-0005-0000-0000-0000141D0000}"/>
    <cellStyle name="0_BACKUP1 4 4" xfId="7459" xr:uid="{00000000-0005-0000-0000-0000151D0000}"/>
    <cellStyle name="0_BACKUP1 4 5" xfId="7460" xr:uid="{00000000-0005-0000-0000-0000161D0000}"/>
    <cellStyle name="0_BACKUP1 5" xfId="7461" xr:uid="{00000000-0005-0000-0000-0000171D0000}"/>
    <cellStyle name="0_BACKUP1 5 2" xfId="7462" xr:uid="{00000000-0005-0000-0000-0000181D0000}"/>
    <cellStyle name="0_BACKUP1 5 3" xfId="7463" xr:uid="{00000000-0005-0000-0000-0000191D0000}"/>
    <cellStyle name="0_BACKUP1 5 4" xfId="7464" xr:uid="{00000000-0005-0000-0000-00001A1D0000}"/>
    <cellStyle name="0_BACKUP1 5 5" xfId="7465" xr:uid="{00000000-0005-0000-0000-00001B1D0000}"/>
    <cellStyle name="0_BACKUP1 6" xfId="7466" xr:uid="{00000000-0005-0000-0000-00001C1D0000}"/>
    <cellStyle name="0_BACKUP1 6 2" xfId="7467" xr:uid="{00000000-0005-0000-0000-00001D1D0000}"/>
    <cellStyle name="0_BACKUP1 6 3" xfId="7468" xr:uid="{00000000-0005-0000-0000-00001E1D0000}"/>
    <cellStyle name="0_BACKUP1 6 4" xfId="7469" xr:uid="{00000000-0005-0000-0000-00001F1D0000}"/>
    <cellStyle name="0_BACKUP1 6 5" xfId="7470" xr:uid="{00000000-0005-0000-0000-0000201D0000}"/>
    <cellStyle name="0_BACKUP1 7" xfId="7471" xr:uid="{00000000-0005-0000-0000-0000211D0000}"/>
    <cellStyle name="0_BACKUP1 7 2" xfId="7472" xr:uid="{00000000-0005-0000-0000-0000221D0000}"/>
    <cellStyle name="0_BACKUP1 7 3" xfId="7473" xr:uid="{00000000-0005-0000-0000-0000231D0000}"/>
    <cellStyle name="0_BACKUP1 7 4" xfId="7474" xr:uid="{00000000-0005-0000-0000-0000241D0000}"/>
    <cellStyle name="0_BACKUP1 7 5" xfId="7475" xr:uid="{00000000-0005-0000-0000-0000251D0000}"/>
    <cellStyle name="0_BACKUP1 8" xfId="7476" xr:uid="{00000000-0005-0000-0000-0000261D0000}"/>
    <cellStyle name="0_BACKUP1 8 2" xfId="7477" xr:uid="{00000000-0005-0000-0000-0000271D0000}"/>
    <cellStyle name="0_BACKUP1 8 3" xfId="7478" xr:uid="{00000000-0005-0000-0000-0000281D0000}"/>
    <cellStyle name="0_BACKUP1 8 4" xfId="7479" xr:uid="{00000000-0005-0000-0000-0000291D0000}"/>
    <cellStyle name="0_BACKUP1 8 5" xfId="7480" xr:uid="{00000000-0005-0000-0000-00002A1D0000}"/>
    <cellStyle name="0_BACKUP1 9" xfId="7481" xr:uid="{00000000-0005-0000-0000-00002B1D0000}"/>
    <cellStyle name="0_Book1" xfId="7482" xr:uid="{00000000-0005-0000-0000-00002C1D0000}"/>
    <cellStyle name="0_Book1 10" xfId="7483" xr:uid="{00000000-0005-0000-0000-00002D1D0000}"/>
    <cellStyle name="0_Book1 11" xfId="7484" xr:uid="{00000000-0005-0000-0000-00002E1D0000}"/>
    <cellStyle name="0_Book1 12" xfId="7485" xr:uid="{00000000-0005-0000-0000-00002F1D0000}"/>
    <cellStyle name="0_Book1 2" xfId="7486" xr:uid="{00000000-0005-0000-0000-0000301D0000}"/>
    <cellStyle name="0_Book1 2 2" xfId="7487" xr:uid="{00000000-0005-0000-0000-0000311D0000}"/>
    <cellStyle name="0_Book1 2 2 2" xfId="7488" xr:uid="{00000000-0005-0000-0000-0000321D0000}"/>
    <cellStyle name="0_Book1 2 2 2 2" xfId="7489" xr:uid="{00000000-0005-0000-0000-0000331D0000}"/>
    <cellStyle name="0_Book1 2 2 3" xfId="7490" xr:uid="{00000000-0005-0000-0000-0000341D0000}"/>
    <cellStyle name="0_Book1 2 2 3 2" xfId="7491" xr:uid="{00000000-0005-0000-0000-0000351D0000}"/>
    <cellStyle name="0_Book1 2 2 4" xfId="7492" xr:uid="{00000000-0005-0000-0000-0000361D0000}"/>
    <cellStyle name="0_Book1 2 3" xfId="7493" xr:uid="{00000000-0005-0000-0000-0000371D0000}"/>
    <cellStyle name="0_Book1 2 3 2" xfId="7494" xr:uid="{00000000-0005-0000-0000-0000381D0000}"/>
    <cellStyle name="0_Book1 2 3 2 2" xfId="7495" xr:uid="{00000000-0005-0000-0000-0000391D0000}"/>
    <cellStyle name="0_Book1 2 3 3" xfId="7496" xr:uid="{00000000-0005-0000-0000-00003A1D0000}"/>
    <cellStyle name="0_Book1 2 3 3 2" xfId="7497" xr:uid="{00000000-0005-0000-0000-00003B1D0000}"/>
    <cellStyle name="0_Book1 2 3 4" xfId="7498" xr:uid="{00000000-0005-0000-0000-00003C1D0000}"/>
    <cellStyle name="0_Book1 2 4" xfId="7499" xr:uid="{00000000-0005-0000-0000-00003D1D0000}"/>
    <cellStyle name="0_Book1 2 4 2" xfId="7500" xr:uid="{00000000-0005-0000-0000-00003E1D0000}"/>
    <cellStyle name="0_Book1 2 5" xfId="7501" xr:uid="{00000000-0005-0000-0000-00003F1D0000}"/>
    <cellStyle name="0_Book1 2 5 2" xfId="7502" xr:uid="{00000000-0005-0000-0000-0000401D0000}"/>
    <cellStyle name="0_Book1 2 6" xfId="7503" xr:uid="{00000000-0005-0000-0000-0000411D0000}"/>
    <cellStyle name="0_Book1 3" xfId="7504" xr:uid="{00000000-0005-0000-0000-0000421D0000}"/>
    <cellStyle name="0_Book1 3 2" xfId="7505" xr:uid="{00000000-0005-0000-0000-0000431D0000}"/>
    <cellStyle name="0_Book1 3 2 2" xfId="7506" xr:uid="{00000000-0005-0000-0000-0000441D0000}"/>
    <cellStyle name="0_Book1 3 3" xfId="7507" xr:uid="{00000000-0005-0000-0000-0000451D0000}"/>
    <cellStyle name="0_Book1 3 3 2" xfId="7508" xr:uid="{00000000-0005-0000-0000-0000461D0000}"/>
    <cellStyle name="0_Book1 3 4" xfId="7509" xr:uid="{00000000-0005-0000-0000-0000471D0000}"/>
    <cellStyle name="0_Book1 3 5" xfId="7510" xr:uid="{00000000-0005-0000-0000-0000481D0000}"/>
    <cellStyle name="0_Book1 4" xfId="7511" xr:uid="{00000000-0005-0000-0000-0000491D0000}"/>
    <cellStyle name="0_Book1 4 2" xfId="7512" xr:uid="{00000000-0005-0000-0000-00004A1D0000}"/>
    <cellStyle name="0_Book1 4 2 2" xfId="7513" xr:uid="{00000000-0005-0000-0000-00004B1D0000}"/>
    <cellStyle name="0_Book1 4 3" xfId="7514" xr:uid="{00000000-0005-0000-0000-00004C1D0000}"/>
    <cellStyle name="0_Book1 4 3 2" xfId="7515" xr:uid="{00000000-0005-0000-0000-00004D1D0000}"/>
    <cellStyle name="0_Book1 4 4" xfId="7516" xr:uid="{00000000-0005-0000-0000-00004E1D0000}"/>
    <cellStyle name="0_Book1 4 5" xfId="7517" xr:uid="{00000000-0005-0000-0000-00004F1D0000}"/>
    <cellStyle name="0_Book1 5" xfId="7518" xr:uid="{00000000-0005-0000-0000-0000501D0000}"/>
    <cellStyle name="0_Book1 5 2" xfId="7519" xr:uid="{00000000-0005-0000-0000-0000511D0000}"/>
    <cellStyle name="0_Book1 5 3" xfId="7520" xr:uid="{00000000-0005-0000-0000-0000521D0000}"/>
    <cellStyle name="0_Book1 5 4" xfId="7521" xr:uid="{00000000-0005-0000-0000-0000531D0000}"/>
    <cellStyle name="0_Book1 5 5" xfId="7522" xr:uid="{00000000-0005-0000-0000-0000541D0000}"/>
    <cellStyle name="0_Book1 6" xfId="7523" xr:uid="{00000000-0005-0000-0000-0000551D0000}"/>
    <cellStyle name="0_Book1 6 2" xfId="7524" xr:uid="{00000000-0005-0000-0000-0000561D0000}"/>
    <cellStyle name="0_Book1 6 3" xfId="7525" xr:uid="{00000000-0005-0000-0000-0000571D0000}"/>
    <cellStyle name="0_Book1 6 4" xfId="7526" xr:uid="{00000000-0005-0000-0000-0000581D0000}"/>
    <cellStyle name="0_Book1 6 5" xfId="7527" xr:uid="{00000000-0005-0000-0000-0000591D0000}"/>
    <cellStyle name="0_Book1 7" xfId="7528" xr:uid="{00000000-0005-0000-0000-00005A1D0000}"/>
    <cellStyle name="0_Book1 7 2" xfId="7529" xr:uid="{00000000-0005-0000-0000-00005B1D0000}"/>
    <cellStyle name="0_Book1 7 3" xfId="7530" xr:uid="{00000000-0005-0000-0000-00005C1D0000}"/>
    <cellStyle name="0_Book1 7 4" xfId="7531" xr:uid="{00000000-0005-0000-0000-00005D1D0000}"/>
    <cellStyle name="0_Book1 7 5" xfId="7532" xr:uid="{00000000-0005-0000-0000-00005E1D0000}"/>
    <cellStyle name="0_Book1 8" xfId="7533" xr:uid="{00000000-0005-0000-0000-00005F1D0000}"/>
    <cellStyle name="0_Book1 8 2" xfId="7534" xr:uid="{00000000-0005-0000-0000-0000601D0000}"/>
    <cellStyle name="0_Book1 8 3" xfId="7535" xr:uid="{00000000-0005-0000-0000-0000611D0000}"/>
    <cellStyle name="0_Book1 8 4" xfId="7536" xr:uid="{00000000-0005-0000-0000-0000621D0000}"/>
    <cellStyle name="0_Book1 8 5" xfId="7537" xr:uid="{00000000-0005-0000-0000-0000631D0000}"/>
    <cellStyle name="0_Book1 9" xfId="7538" xr:uid="{00000000-0005-0000-0000-0000641D0000}"/>
    <cellStyle name="0_Book3" xfId="7539" xr:uid="{00000000-0005-0000-0000-0000651D0000}"/>
    <cellStyle name="0_Book3 10" xfId="7540" xr:uid="{00000000-0005-0000-0000-0000661D0000}"/>
    <cellStyle name="0_Book3 10 2" xfId="7541" xr:uid="{00000000-0005-0000-0000-0000671D0000}"/>
    <cellStyle name="0_Book3 10 2 2" xfId="7542" xr:uid="{00000000-0005-0000-0000-0000681D0000}"/>
    <cellStyle name="0_Book3 10 3" xfId="7543" xr:uid="{00000000-0005-0000-0000-0000691D0000}"/>
    <cellStyle name="0_Book3 10 3 2" xfId="7544" xr:uid="{00000000-0005-0000-0000-00006A1D0000}"/>
    <cellStyle name="0_Book3 10 4" xfId="7545" xr:uid="{00000000-0005-0000-0000-00006B1D0000}"/>
    <cellStyle name="0_Book3 11" xfId="7546" xr:uid="{00000000-0005-0000-0000-00006C1D0000}"/>
    <cellStyle name="0_Book3 11 2" xfId="7547" xr:uid="{00000000-0005-0000-0000-00006D1D0000}"/>
    <cellStyle name="0_Book3 11 2 2" xfId="7548" xr:uid="{00000000-0005-0000-0000-00006E1D0000}"/>
    <cellStyle name="0_Book3 11 3" xfId="7549" xr:uid="{00000000-0005-0000-0000-00006F1D0000}"/>
    <cellStyle name="0_Book3 11 3 2" xfId="7550" xr:uid="{00000000-0005-0000-0000-0000701D0000}"/>
    <cellStyle name="0_Book3 11 4" xfId="7551" xr:uid="{00000000-0005-0000-0000-0000711D0000}"/>
    <cellStyle name="0_Book3 12" xfId="7552" xr:uid="{00000000-0005-0000-0000-0000721D0000}"/>
    <cellStyle name="0_Book3 12 2" xfId="7553" xr:uid="{00000000-0005-0000-0000-0000731D0000}"/>
    <cellStyle name="0_Book3 13" xfId="7554" xr:uid="{00000000-0005-0000-0000-0000741D0000}"/>
    <cellStyle name="0_Book3 13 2" xfId="7555" xr:uid="{00000000-0005-0000-0000-0000751D0000}"/>
    <cellStyle name="0_Book3 14" xfId="7556" xr:uid="{00000000-0005-0000-0000-0000761D0000}"/>
    <cellStyle name="0_Book3 14 2" xfId="7557" xr:uid="{00000000-0005-0000-0000-0000771D0000}"/>
    <cellStyle name="0_Book3 15" xfId="7558" xr:uid="{00000000-0005-0000-0000-0000781D0000}"/>
    <cellStyle name="0_Book3 16" xfId="7559" xr:uid="{00000000-0005-0000-0000-0000791D0000}"/>
    <cellStyle name="0_Book3 17" xfId="7560" xr:uid="{00000000-0005-0000-0000-00007A1D0000}"/>
    <cellStyle name="0_Book3 18" xfId="7561" xr:uid="{00000000-0005-0000-0000-00007B1D0000}"/>
    <cellStyle name="0_Book3 19" xfId="7562" xr:uid="{00000000-0005-0000-0000-00007C1D0000}"/>
    <cellStyle name="0_Book3 2" xfId="7563" xr:uid="{00000000-0005-0000-0000-00007D1D0000}"/>
    <cellStyle name="0_Book3 2 10" xfId="7564" xr:uid="{00000000-0005-0000-0000-00007E1D0000}"/>
    <cellStyle name="0_Book3 2 10 2" xfId="7565" xr:uid="{00000000-0005-0000-0000-00007F1D0000}"/>
    <cellStyle name="0_Book3 2 10 2 2" xfId="7566" xr:uid="{00000000-0005-0000-0000-0000801D0000}"/>
    <cellStyle name="0_Book3 2 10 3" xfId="7567" xr:uid="{00000000-0005-0000-0000-0000811D0000}"/>
    <cellStyle name="0_Book3 2 10 3 2" xfId="7568" xr:uid="{00000000-0005-0000-0000-0000821D0000}"/>
    <cellStyle name="0_Book3 2 10 4" xfId="7569" xr:uid="{00000000-0005-0000-0000-0000831D0000}"/>
    <cellStyle name="0_Book3 2 11" xfId="7570" xr:uid="{00000000-0005-0000-0000-0000841D0000}"/>
    <cellStyle name="0_Book3 2 11 2" xfId="7571" xr:uid="{00000000-0005-0000-0000-0000851D0000}"/>
    <cellStyle name="0_Book3 2 12" xfId="7572" xr:uid="{00000000-0005-0000-0000-0000861D0000}"/>
    <cellStyle name="0_Book3 2 12 2" xfId="7573" xr:uid="{00000000-0005-0000-0000-0000871D0000}"/>
    <cellStyle name="0_Book3 2 13" xfId="7574" xr:uid="{00000000-0005-0000-0000-0000881D0000}"/>
    <cellStyle name="0_Book3 2 14" xfId="7575" xr:uid="{00000000-0005-0000-0000-0000891D0000}"/>
    <cellStyle name="0_Book3 2 15" xfId="7576" xr:uid="{00000000-0005-0000-0000-00008A1D0000}"/>
    <cellStyle name="0_Book3 2 16" xfId="7577" xr:uid="{00000000-0005-0000-0000-00008B1D0000}"/>
    <cellStyle name="0_Book3 2 2" xfId="7578" xr:uid="{00000000-0005-0000-0000-00008C1D0000}"/>
    <cellStyle name="0_Book3 2 2 2" xfId="7579" xr:uid="{00000000-0005-0000-0000-00008D1D0000}"/>
    <cellStyle name="0_Book3 2 2 2 2" xfId="7580" xr:uid="{00000000-0005-0000-0000-00008E1D0000}"/>
    <cellStyle name="0_Book3 2 2 2 2 2" xfId="7581" xr:uid="{00000000-0005-0000-0000-00008F1D0000}"/>
    <cellStyle name="0_Book3 2 2 2 2 2 2" xfId="7582" xr:uid="{00000000-0005-0000-0000-0000901D0000}"/>
    <cellStyle name="0_Book3 2 2 2 2 3" xfId="7583" xr:uid="{00000000-0005-0000-0000-0000911D0000}"/>
    <cellStyle name="0_Book3 2 2 2 2 3 2" xfId="7584" xr:uid="{00000000-0005-0000-0000-0000921D0000}"/>
    <cellStyle name="0_Book3 2 2 2 2 4" xfId="7585" xr:uid="{00000000-0005-0000-0000-0000931D0000}"/>
    <cellStyle name="0_Book3 2 2 2 3" xfId="7586" xr:uid="{00000000-0005-0000-0000-0000941D0000}"/>
    <cellStyle name="0_Book3 2 2 2 3 2" xfId="7587" xr:uid="{00000000-0005-0000-0000-0000951D0000}"/>
    <cellStyle name="0_Book3 2 2 2 3 2 2" xfId="7588" xr:uid="{00000000-0005-0000-0000-0000961D0000}"/>
    <cellStyle name="0_Book3 2 2 2 3 3" xfId="7589" xr:uid="{00000000-0005-0000-0000-0000971D0000}"/>
    <cellStyle name="0_Book3 2 2 2 3 3 2" xfId="7590" xr:uid="{00000000-0005-0000-0000-0000981D0000}"/>
    <cellStyle name="0_Book3 2 2 2 3 4" xfId="7591" xr:uid="{00000000-0005-0000-0000-0000991D0000}"/>
    <cellStyle name="0_Book3 2 2 2 4" xfId="7592" xr:uid="{00000000-0005-0000-0000-00009A1D0000}"/>
    <cellStyle name="0_Book3 2 2 2 4 2" xfId="7593" xr:uid="{00000000-0005-0000-0000-00009B1D0000}"/>
    <cellStyle name="0_Book3 2 2 2 5" xfId="7594" xr:uid="{00000000-0005-0000-0000-00009C1D0000}"/>
    <cellStyle name="0_Book3 2 2 2 5 2" xfId="7595" xr:uid="{00000000-0005-0000-0000-00009D1D0000}"/>
    <cellStyle name="0_Book3 2 2 2 6" xfId="7596" xr:uid="{00000000-0005-0000-0000-00009E1D0000}"/>
    <cellStyle name="0_Book3 2 2 3" xfId="7597" xr:uid="{00000000-0005-0000-0000-00009F1D0000}"/>
    <cellStyle name="0_Book3 2 2 3 2" xfId="7598" xr:uid="{00000000-0005-0000-0000-0000A01D0000}"/>
    <cellStyle name="0_Book3 2 2 3 2 2" xfId="7599" xr:uid="{00000000-0005-0000-0000-0000A11D0000}"/>
    <cellStyle name="0_Book3 2 2 3 3" xfId="7600" xr:uid="{00000000-0005-0000-0000-0000A21D0000}"/>
    <cellStyle name="0_Book3 2 2 3 3 2" xfId="7601" xr:uid="{00000000-0005-0000-0000-0000A31D0000}"/>
    <cellStyle name="0_Book3 2 2 3 4" xfId="7602" xr:uid="{00000000-0005-0000-0000-0000A41D0000}"/>
    <cellStyle name="0_Book3 2 2 4" xfId="7603" xr:uid="{00000000-0005-0000-0000-0000A51D0000}"/>
    <cellStyle name="0_Book3 2 2 4 2" xfId="7604" xr:uid="{00000000-0005-0000-0000-0000A61D0000}"/>
    <cellStyle name="0_Book3 2 2 4 2 2" xfId="7605" xr:uid="{00000000-0005-0000-0000-0000A71D0000}"/>
    <cellStyle name="0_Book3 2 2 4 3" xfId="7606" xr:uid="{00000000-0005-0000-0000-0000A81D0000}"/>
    <cellStyle name="0_Book3 2 2 4 3 2" xfId="7607" xr:uid="{00000000-0005-0000-0000-0000A91D0000}"/>
    <cellStyle name="0_Book3 2 2 4 4" xfId="7608" xr:uid="{00000000-0005-0000-0000-0000AA1D0000}"/>
    <cellStyle name="0_Book3 2 2 5" xfId="7609" xr:uid="{00000000-0005-0000-0000-0000AB1D0000}"/>
    <cellStyle name="0_Book3 2 2 5 2" xfId="7610" xr:uid="{00000000-0005-0000-0000-0000AC1D0000}"/>
    <cellStyle name="0_Book3 2 2 5 2 2" xfId="7611" xr:uid="{00000000-0005-0000-0000-0000AD1D0000}"/>
    <cellStyle name="0_Book3 2 2 5 3" xfId="7612" xr:uid="{00000000-0005-0000-0000-0000AE1D0000}"/>
    <cellStyle name="0_Book3 2 2 5 3 2" xfId="7613" xr:uid="{00000000-0005-0000-0000-0000AF1D0000}"/>
    <cellStyle name="0_Book3 2 2 5 4" xfId="7614" xr:uid="{00000000-0005-0000-0000-0000B01D0000}"/>
    <cellStyle name="0_Book3 2 2 6" xfId="7615" xr:uid="{00000000-0005-0000-0000-0000B11D0000}"/>
    <cellStyle name="0_Book3 2 2 6 2" xfId="7616" xr:uid="{00000000-0005-0000-0000-0000B21D0000}"/>
    <cellStyle name="0_Book3 2 2 7" xfId="7617" xr:uid="{00000000-0005-0000-0000-0000B31D0000}"/>
    <cellStyle name="0_Book3 2 2 7 2" xfId="7618" xr:uid="{00000000-0005-0000-0000-0000B41D0000}"/>
    <cellStyle name="0_Book3 2 2 8" xfId="7619" xr:uid="{00000000-0005-0000-0000-0000B51D0000}"/>
    <cellStyle name="0_Book3 2 3" xfId="7620" xr:uid="{00000000-0005-0000-0000-0000B61D0000}"/>
    <cellStyle name="0_Book3 2 3 2" xfId="7621" xr:uid="{00000000-0005-0000-0000-0000B71D0000}"/>
    <cellStyle name="0_Book3 2 3 2 2" xfId="7622" xr:uid="{00000000-0005-0000-0000-0000B81D0000}"/>
    <cellStyle name="0_Book3 2 3 2 2 2" xfId="7623" xr:uid="{00000000-0005-0000-0000-0000B91D0000}"/>
    <cellStyle name="0_Book3 2 3 2 2 2 2" xfId="7624" xr:uid="{00000000-0005-0000-0000-0000BA1D0000}"/>
    <cellStyle name="0_Book3 2 3 2 2 3" xfId="7625" xr:uid="{00000000-0005-0000-0000-0000BB1D0000}"/>
    <cellStyle name="0_Book3 2 3 2 2 3 2" xfId="7626" xr:uid="{00000000-0005-0000-0000-0000BC1D0000}"/>
    <cellStyle name="0_Book3 2 3 2 2 4" xfId="7627" xr:uid="{00000000-0005-0000-0000-0000BD1D0000}"/>
    <cellStyle name="0_Book3 2 3 2 3" xfId="7628" xr:uid="{00000000-0005-0000-0000-0000BE1D0000}"/>
    <cellStyle name="0_Book3 2 3 2 3 2" xfId="7629" xr:uid="{00000000-0005-0000-0000-0000BF1D0000}"/>
    <cellStyle name="0_Book3 2 3 2 3 2 2" xfId="7630" xr:uid="{00000000-0005-0000-0000-0000C01D0000}"/>
    <cellStyle name="0_Book3 2 3 2 3 3" xfId="7631" xr:uid="{00000000-0005-0000-0000-0000C11D0000}"/>
    <cellStyle name="0_Book3 2 3 2 3 3 2" xfId="7632" xr:uid="{00000000-0005-0000-0000-0000C21D0000}"/>
    <cellStyle name="0_Book3 2 3 2 3 4" xfId="7633" xr:uid="{00000000-0005-0000-0000-0000C31D0000}"/>
    <cellStyle name="0_Book3 2 3 2 4" xfId="7634" xr:uid="{00000000-0005-0000-0000-0000C41D0000}"/>
    <cellStyle name="0_Book3 2 3 2 4 2" xfId="7635" xr:uid="{00000000-0005-0000-0000-0000C51D0000}"/>
    <cellStyle name="0_Book3 2 3 2 5" xfId="7636" xr:uid="{00000000-0005-0000-0000-0000C61D0000}"/>
    <cellStyle name="0_Book3 2 3 2 5 2" xfId="7637" xr:uid="{00000000-0005-0000-0000-0000C71D0000}"/>
    <cellStyle name="0_Book3 2 3 2 6" xfId="7638" xr:uid="{00000000-0005-0000-0000-0000C81D0000}"/>
    <cellStyle name="0_Book3 2 3 3" xfId="7639" xr:uid="{00000000-0005-0000-0000-0000C91D0000}"/>
    <cellStyle name="0_Book3 2 3 3 2" xfId="7640" xr:uid="{00000000-0005-0000-0000-0000CA1D0000}"/>
    <cellStyle name="0_Book3 2 3 3 2 2" xfId="7641" xr:uid="{00000000-0005-0000-0000-0000CB1D0000}"/>
    <cellStyle name="0_Book3 2 3 3 3" xfId="7642" xr:uid="{00000000-0005-0000-0000-0000CC1D0000}"/>
    <cellStyle name="0_Book3 2 3 3 3 2" xfId="7643" xr:uid="{00000000-0005-0000-0000-0000CD1D0000}"/>
    <cellStyle name="0_Book3 2 3 3 4" xfId="7644" xr:uid="{00000000-0005-0000-0000-0000CE1D0000}"/>
    <cellStyle name="0_Book3 2 3 4" xfId="7645" xr:uid="{00000000-0005-0000-0000-0000CF1D0000}"/>
    <cellStyle name="0_Book3 2 3 4 2" xfId="7646" xr:uid="{00000000-0005-0000-0000-0000D01D0000}"/>
    <cellStyle name="0_Book3 2 3 4 2 2" xfId="7647" xr:uid="{00000000-0005-0000-0000-0000D11D0000}"/>
    <cellStyle name="0_Book3 2 3 4 3" xfId="7648" xr:uid="{00000000-0005-0000-0000-0000D21D0000}"/>
    <cellStyle name="0_Book3 2 3 4 3 2" xfId="7649" xr:uid="{00000000-0005-0000-0000-0000D31D0000}"/>
    <cellStyle name="0_Book3 2 3 4 4" xfId="7650" xr:uid="{00000000-0005-0000-0000-0000D41D0000}"/>
    <cellStyle name="0_Book3 2 3 5" xfId="7651" xr:uid="{00000000-0005-0000-0000-0000D51D0000}"/>
    <cellStyle name="0_Book3 2 3 5 2" xfId="7652" xr:uid="{00000000-0005-0000-0000-0000D61D0000}"/>
    <cellStyle name="0_Book3 2 3 5 2 2" xfId="7653" xr:uid="{00000000-0005-0000-0000-0000D71D0000}"/>
    <cellStyle name="0_Book3 2 3 5 3" xfId="7654" xr:uid="{00000000-0005-0000-0000-0000D81D0000}"/>
    <cellStyle name="0_Book3 2 3 5 3 2" xfId="7655" xr:uid="{00000000-0005-0000-0000-0000D91D0000}"/>
    <cellStyle name="0_Book3 2 3 5 4" xfId="7656" xr:uid="{00000000-0005-0000-0000-0000DA1D0000}"/>
    <cellStyle name="0_Book3 2 3 6" xfId="7657" xr:uid="{00000000-0005-0000-0000-0000DB1D0000}"/>
    <cellStyle name="0_Book3 2 3 6 2" xfId="7658" xr:uid="{00000000-0005-0000-0000-0000DC1D0000}"/>
    <cellStyle name="0_Book3 2 3 7" xfId="7659" xr:uid="{00000000-0005-0000-0000-0000DD1D0000}"/>
    <cellStyle name="0_Book3 2 3 7 2" xfId="7660" xr:uid="{00000000-0005-0000-0000-0000DE1D0000}"/>
    <cellStyle name="0_Book3 2 3 8" xfId="7661" xr:uid="{00000000-0005-0000-0000-0000DF1D0000}"/>
    <cellStyle name="0_Book3 2 4" xfId="7662" xr:uid="{00000000-0005-0000-0000-0000E01D0000}"/>
    <cellStyle name="0_Book3 2 4 2" xfId="7663" xr:uid="{00000000-0005-0000-0000-0000E11D0000}"/>
    <cellStyle name="0_Book3 2 4 2 2" xfId="7664" xr:uid="{00000000-0005-0000-0000-0000E21D0000}"/>
    <cellStyle name="0_Book3 2 4 2 2 2" xfId="7665" xr:uid="{00000000-0005-0000-0000-0000E31D0000}"/>
    <cellStyle name="0_Book3 2 4 2 2 2 2" xfId="7666" xr:uid="{00000000-0005-0000-0000-0000E41D0000}"/>
    <cellStyle name="0_Book3 2 4 2 2 3" xfId="7667" xr:uid="{00000000-0005-0000-0000-0000E51D0000}"/>
    <cellStyle name="0_Book3 2 4 2 2 3 2" xfId="7668" xr:uid="{00000000-0005-0000-0000-0000E61D0000}"/>
    <cellStyle name="0_Book3 2 4 2 2 4" xfId="7669" xr:uid="{00000000-0005-0000-0000-0000E71D0000}"/>
    <cellStyle name="0_Book3 2 4 2 3" xfId="7670" xr:uid="{00000000-0005-0000-0000-0000E81D0000}"/>
    <cellStyle name="0_Book3 2 4 2 3 2" xfId="7671" xr:uid="{00000000-0005-0000-0000-0000E91D0000}"/>
    <cellStyle name="0_Book3 2 4 2 3 2 2" xfId="7672" xr:uid="{00000000-0005-0000-0000-0000EA1D0000}"/>
    <cellStyle name="0_Book3 2 4 2 3 3" xfId="7673" xr:uid="{00000000-0005-0000-0000-0000EB1D0000}"/>
    <cellStyle name="0_Book3 2 4 2 3 3 2" xfId="7674" xr:uid="{00000000-0005-0000-0000-0000EC1D0000}"/>
    <cellStyle name="0_Book3 2 4 2 3 4" xfId="7675" xr:uid="{00000000-0005-0000-0000-0000ED1D0000}"/>
    <cellStyle name="0_Book3 2 4 2 4" xfId="7676" xr:uid="{00000000-0005-0000-0000-0000EE1D0000}"/>
    <cellStyle name="0_Book3 2 4 2 4 2" xfId="7677" xr:uid="{00000000-0005-0000-0000-0000EF1D0000}"/>
    <cellStyle name="0_Book3 2 4 2 5" xfId="7678" xr:uid="{00000000-0005-0000-0000-0000F01D0000}"/>
    <cellStyle name="0_Book3 2 4 2 5 2" xfId="7679" xr:uid="{00000000-0005-0000-0000-0000F11D0000}"/>
    <cellStyle name="0_Book3 2 4 2 6" xfId="7680" xr:uid="{00000000-0005-0000-0000-0000F21D0000}"/>
    <cellStyle name="0_Book3 2 4 3" xfId="7681" xr:uid="{00000000-0005-0000-0000-0000F31D0000}"/>
    <cellStyle name="0_Book3 2 4 3 2" xfId="7682" xr:uid="{00000000-0005-0000-0000-0000F41D0000}"/>
    <cellStyle name="0_Book3 2 4 3 2 2" xfId="7683" xr:uid="{00000000-0005-0000-0000-0000F51D0000}"/>
    <cellStyle name="0_Book3 2 4 3 3" xfId="7684" xr:uid="{00000000-0005-0000-0000-0000F61D0000}"/>
    <cellStyle name="0_Book3 2 4 3 3 2" xfId="7685" xr:uid="{00000000-0005-0000-0000-0000F71D0000}"/>
    <cellStyle name="0_Book3 2 4 3 4" xfId="7686" xr:uid="{00000000-0005-0000-0000-0000F81D0000}"/>
    <cellStyle name="0_Book3 2 4 4" xfId="7687" xr:uid="{00000000-0005-0000-0000-0000F91D0000}"/>
    <cellStyle name="0_Book3 2 4 4 2" xfId="7688" xr:uid="{00000000-0005-0000-0000-0000FA1D0000}"/>
    <cellStyle name="0_Book3 2 4 4 2 2" xfId="7689" xr:uid="{00000000-0005-0000-0000-0000FB1D0000}"/>
    <cellStyle name="0_Book3 2 4 4 3" xfId="7690" xr:uid="{00000000-0005-0000-0000-0000FC1D0000}"/>
    <cellStyle name="0_Book3 2 4 4 3 2" xfId="7691" xr:uid="{00000000-0005-0000-0000-0000FD1D0000}"/>
    <cellStyle name="0_Book3 2 4 4 4" xfId="7692" xr:uid="{00000000-0005-0000-0000-0000FE1D0000}"/>
    <cellStyle name="0_Book3 2 4 5" xfId="7693" xr:uid="{00000000-0005-0000-0000-0000FF1D0000}"/>
    <cellStyle name="0_Book3 2 4 5 2" xfId="7694" xr:uid="{00000000-0005-0000-0000-0000001E0000}"/>
    <cellStyle name="0_Book3 2 4 5 2 2" xfId="7695" xr:uid="{00000000-0005-0000-0000-0000011E0000}"/>
    <cellStyle name="0_Book3 2 4 5 3" xfId="7696" xr:uid="{00000000-0005-0000-0000-0000021E0000}"/>
    <cellStyle name="0_Book3 2 4 5 3 2" xfId="7697" xr:uid="{00000000-0005-0000-0000-0000031E0000}"/>
    <cellStyle name="0_Book3 2 4 5 4" xfId="7698" xr:uid="{00000000-0005-0000-0000-0000041E0000}"/>
    <cellStyle name="0_Book3 2 4 6" xfId="7699" xr:uid="{00000000-0005-0000-0000-0000051E0000}"/>
    <cellStyle name="0_Book3 2 4 6 2" xfId="7700" xr:uid="{00000000-0005-0000-0000-0000061E0000}"/>
    <cellStyle name="0_Book3 2 4 7" xfId="7701" xr:uid="{00000000-0005-0000-0000-0000071E0000}"/>
    <cellStyle name="0_Book3 2 4 7 2" xfId="7702" xr:uid="{00000000-0005-0000-0000-0000081E0000}"/>
    <cellStyle name="0_Book3 2 4 8" xfId="7703" xr:uid="{00000000-0005-0000-0000-0000091E0000}"/>
    <cellStyle name="0_Book3 2 5" xfId="7704" xr:uid="{00000000-0005-0000-0000-00000A1E0000}"/>
    <cellStyle name="0_Book3 2 5 2" xfId="7705" xr:uid="{00000000-0005-0000-0000-00000B1E0000}"/>
    <cellStyle name="0_Book3 2 5 2 2" xfId="7706" xr:uid="{00000000-0005-0000-0000-00000C1E0000}"/>
    <cellStyle name="0_Book3 2 5 2 2 2" xfId="7707" xr:uid="{00000000-0005-0000-0000-00000D1E0000}"/>
    <cellStyle name="0_Book3 2 5 2 2 2 2" xfId="7708" xr:uid="{00000000-0005-0000-0000-00000E1E0000}"/>
    <cellStyle name="0_Book3 2 5 2 2 3" xfId="7709" xr:uid="{00000000-0005-0000-0000-00000F1E0000}"/>
    <cellStyle name="0_Book3 2 5 2 2 3 2" xfId="7710" xr:uid="{00000000-0005-0000-0000-0000101E0000}"/>
    <cellStyle name="0_Book3 2 5 2 2 4" xfId="7711" xr:uid="{00000000-0005-0000-0000-0000111E0000}"/>
    <cellStyle name="0_Book3 2 5 2 3" xfId="7712" xr:uid="{00000000-0005-0000-0000-0000121E0000}"/>
    <cellStyle name="0_Book3 2 5 2 3 2" xfId="7713" xr:uid="{00000000-0005-0000-0000-0000131E0000}"/>
    <cellStyle name="0_Book3 2 5 2 3 2 2" xfId="7714" xr:uid="{00000000-0005-0000-0000-0000141E0000}"/>
    <cellStyle name="0_Book3 2 5 2 3 3" xfId="7715" xr:uid="{00000000-0005-0000-0000-0000151E0000}"/>
    <cellStyle name="0_Book3 2 5 2 3 3 2" xfId="7716" xr:uid="{00000000-0005-0000-0000-0000161E0000}"/>
    <cellStyle name="0_Book3 2 5 2 3 4" xfId="7717" xr:uid="{00000000-0005-0000-0000-0000171E0000}"/>
    <cellStyle name="0_Book3 2 5 2 4" xfId="7718" xr:uid="{00000000-0005-0000-0000-0000181E0000}"/>
    <cellStyle name="0_Book3 2 5 2 4 2" xfId="7719" xr:uid="{00000000-0005-0000-0000-0000191E0000}"/>
    <cellStyle name="0_Book3 2 5 2 5" xfId="7720" xr:uid="{00000000-0005-0000-0000-00001A1E0000}"/>
    <cellStyle name="0_Book3 2 5 2 5 2" xfId="7721" xr:uid="{00000000-0005-0000-0000-00001B1E0000}"/>
    <cellStyle name="0_Book3 2 5 2 6" xfId="7722" xr:uid="{00000000-0005-0000-0000-00001C1E0000}"/>
    <cellStyle name="0_Book3 2 5 3" xfId="7723" xr:uid="{00000000-0005-0000-0000-00001D1E0000}"/>
    <cellStyle name="0_Book3 2 5 3 2" xfId="7724" xr:uid="{00000000-0005-0000-0000-00001E1E0000}"/>
    <cellStyle name="0_Book3 2 5 3 2 2" xfId="7725" xr:uid="{00000000-0005-0000-0000-00001F1E0000}"/>
    <cellStyle name="0_Book3 2 5 3 3" xfId="7726" xr:uid="{00000000-0005-0000-0000-0000201E0000}"/>
    <cellStyle name="0_Book3 2 5 3 3 2" xfId="7727" xr:uid="{00000000-0005-0000-0000-0000211E0000}"/>
    <cellStyle name="0_Book3 2 5 3 4" xfId="7728" xr:uid="{00000000-0005-0000-0000-0000221E0000}"/>
    <cellStyle name="0_Book3 2 5 4" xfId="7729" xr:uid="{00000000-0005-0000-0000-0000231E0000}"/>
    <cellStyle name="0_Book3 2 5 4 2" xfId="7730" xr:uid="{00000000-0005-0000-0000-0000241E0000}"/>
    <cellStyle name="0_Book3 2 5 4 2 2" xfId="7731" xr:uid="{00000000-0005-0000-0000-0000251E0000}"/>
    <cellStyle name="0_Book3 2 5 4 3" xfId="7732" xr:uid="{00000000-0005-0000-0000-0000261E0000}"/>
    <cellStyle name="0_Book3 2 5 4 3 2" xfId="7733" xr:uid="{00000000-0005-0000-0000-0000271E0000}"/>
    <cellStyle name="0_Book3 2 5 4 4" xfId="7734" xr:uid="{00000000-0005-0000-0000-0000281E0000}"/>
    <cellStyle name="0_Book3 2 5 5" xfId="7735" xr:uid="{00000000-0005-0000-0000-0000291E0000}"/>
    <cellStyle name="0_Book3 2 5 5 2" xfId="7736" xr:uid="{00000000-0005-0000-0000-00002A1E0000}"/>
    <cellStyle name="0_Book3 2 5 5 2 2" xfId="7737" xr:uid="{00000000-0005-0000-0000-00002B1E0000}"/>
    <cellStyle name="0_Book3 2 5 5 3" xfId="7738" xr:uid="{00000000-0005-0000-0000-00002C1E0000}"/>
    <cellStyle name="0_Book3 2 5 5 3 2" xfId="7739" xr:uid="{00000000-0005-0000-0000-00002D1E0000}"/>
    <cellStyle name="0_Book3 2 5 5 4" xfId="7740" xr:uid="{00000000-0005-0000-0000-00002E1E0000}"/>
    <cellStyle name="0_Book3 2 5 6" xfId="7741" xr:uid="{00000000-0005-0000-0000-00002F1E0000}"/>
    <cellStyle name="0_Book3 2 5 6 2" xfId="7742" xr:uid="{00000000-0005-0000-0000-0000301E0000}"/>
    <cellStyle name="0_Book3 2 5 7" xfId="7743" xr:uid="{00000000-0005-0000-0000-0000311E0000}"/>
    <cellStyle name="0_Book3 2 5 7 2" xfId="7744" xr:uid="{00000000-0005-0000-0000-0000321E0000}"/>
    <cellStyle name="0_Book3 2 5 8" xfId="7745" xr:uid="{00000000-0005-0000-0000-0000331E0000}"/>
    <cellStyle name="0_Book3 2 6" xfId="7746" xr:uid="{00000000-0005-0000-0000-0000341E0000}"/>
    <cellStyle name="0_Book3 2 6 2" xfId="7747" xr:uid="{00000000-0005-0000-0000-0000351E0000}"/>
    <cellStyle name="0_Book3 2 6 2 2" xfId="7748" xr:uid="{00000000-0005-0000-0000-0000361E0000}"/>
    <cellStyle name="0_Book3 2 6 2 2 2" xfId="7749" xr:uid="{00000000-0005-0000-0000-0000371E0000}"/>
    <cellStyle name="0_Book3 2 6 2 2 2 2" xfId="7750" xr:uid="{00000000-0005-0000-0000-0000381E0000}"/>
    <cellStyle name="0_Book3 2 6 2 2 3" xfId="7751" xr:uid="{00000000-0005-0000-0000-0000391E0000}"/>
    <cellStyle name="0_Book3 2 6 2 2 3 2" xfId="7752" xr:uid="{00000000-0005-0000-0000-00003A1E0000}"/>
    <cellStyle name="0_Book3 2 6 2 2 4" xfId="7753" xr:uid="{00000000-0005-0000-0000-00003B1E0000}"/>
    <cellStyle name="0_Book3 2 6 2 3" xfId="7754" xr:uid="{00000000-0005-0000-0000-00003C1E0000}"/>
    <cellStyle name="0_Book3 2 6 2 3 2" xfId="7755" xr:uid="{00000000-0005-0000-0000-00003D1E0000}"/>
    <cellStyle name="0_Book3 2 6 2 3 2 2" xfId="7756" xr:uid="{00000000-0005-0000-0000-00003E1E0000}"/>
    <cellStyle name="0_Book3 2 6 2 3 3" xfId="7757" xr:uid="{00000000-0005-0000-0000-00003F1E0000}"/>
    <cellStyle name="0_Book3 2 6 2 3 3 2" xfId="7758" xr:uid="{00000000-0005-0000-0000-0000401E0000}"/>
    <cellStyle name="0_Book3 2 6 2 3 4" xfId="7759" xr:uid="{00000000-0005-0000-0000-0000411E0000}"/>
    <cellStyle name="0_Book3 2 6 2 4" xfId="7760" xr:uid="{00000000-0005-0000-0000-0000421E0000}"/>
    <cellStyle name="0_Book3 2 6 2 4 2" xfId="7761" xr:uid="{00000000-0005-0000-0000-0000431E0000}"/>
    <cellStyle name="0_Book3 2 6 2 5" xfId="7762" xr:uid="{00000000-0005-0000-0000-0000441E0000}"/>
    <cellStyle name="0_Book3 2 6 2 5 2" xfId="7763" xr:uid="{00000000-0005-0000-0000-0000451E0000}"/>
    <cellStyle name="0_Book3 2 6 2 6" xfId="7764" xr:uid="{00000000-0005-0000-0000-0000461E0000}"/>
    <cellStyle name="0_Book3 2 6 3" xfId="7765" xr:uid="{00000000-0005-0000-0000-0000471E0000}"/>
    <cellStyle name="0_Book3 2 6 3 2" xfId="7766" xr:uid="{00000000-0005-0000-0000-0000481E0000}"/>
    <cellStyle name="0_Book3 2 6 3 2 2" xfId="7767" xr:uid="{00000000-0005-0000-0000-0000491E0000}"/>
    <cellStyle name="0_Book3 2 6 3 3" xfId="7768" xr:uid="{00000000-0005-0000-0000-00004A1E0000}"/>
    <cellStyle name="0_Book3 2 6 3 3 2" xfId="7769" xr:uid="{00000000-0005-0000-0000-00004B1E0000}"/>
    <cellStyle name="0_Book3 2 6 3 4" xfId="7770" xr:uid="{00000000-0005-0000-0000-00004C1E0000}"/>
    <cellStyle name="0_Book3 2 6 4" xfId="7771" xr:uid="{00000000-0005-0000-0000-00004D1E0000}"/>
    <cellStyle name="0_Book3 2 6 4 2" xfId="7772" xr:uid="{00000000-0005-0000-0000-00004E1E0000}"/>
    <cellStyle name="0_Book3 2 6 4 2 2" xfId="7773" xr:uid="{00000000-0005-0000-0000-00004F1E0000}"/>
    <cellStyle name="0_Book3 2 6 4 3" xfId="7774" xr:uid="{00000000-0005-0000-0000-0000501E0000}"/>
    <cellStyle name="0_Book3 2 6 4 3 2" xfId="7775" xr:uid="{00000000-0005-0000-0000-0000511E0000}"/>
    <cellStyle name="0_Book3 2 6 4 4" xfId="7776" xr:uid="{00000000-0005-0000-0000-0000521E0000}"/>
    <cellStyle name="0_Book3 2 6 5" xfId="7777" xr:uid="{00000000-0005-0000-0000-0000531E0000}"/>
    <cellStyle name="0_Book3 2 6 5 2" xfId="7778" xr:uid="{00000000-0005-0000-0000-0000541E0000}"/>
    <cellStyle name="0_Book3 2 6 5 2 2" xfId="7779" xr:uid="{00000000-0005-0000-0000-0000551E0000}"/>
    <cellStyle name="0_Book3 2 6 5 3" xfId="7780" xr:uid="{00000000-0005-0000-0000-0000561E0000}"/>
    <cellStyle name="0_Book3 2 6 5 3 2" xfId="7781" xr:uid="{00000000-0005-0000-0000-0000571E0000}"/>
    <cellStyle name="0_Book3 2 6 5 4" xfId="7782" xr:uid="{00000000-0005-0000-0000-0000581E0000}"/>
    <cellStyle name="0_Book3 2 6 6" xfId="7783" xr:uid="{00000000-0005-0000-0000-0000591E0000}"/>
    <cellStyle name="0_Book3 2 6 6 2" xfId="7784" xr:uid="{00000000-0005-0000-0000-00005A1E0000}"/>
    <cellStyle name="0_Book3 2 6 7" xfId="7785" xr:uid="{00000000-0005-0000-0000-00005B1E0000}"/>
    <cellStyle name="0_Book3 2 6 7 2" xfId="7786" xr:uid="{00000000-0005-0000-0000-00005C1E0000}"/>
    <cellStyle name="0_Book3 2 6 8" xfId="7787" xr:uid="{00000000-0005-0000-0000-00005D1E0000}"/>
    <cellStyle name="0_Book3 2 7" xfId="7788" xr:uid="{00000000-0005-0000-0000-00005E1E0000}"/>
    <cellStyle name="0_Book3 2 7 2" xfId="7789" xr:uid="{00000000-0005-0000-0000-00005F1E0000}"/>
    <cellStyle name="0_Book3 2 7 2 2" xfId="7790" xr:uid="{00000000-0005-0000-0000-0000601E0000}"/>
    <cellStyle name="0_Book3 2 7 2 2 2" xfId="7791" xr:uid="{00000000-0005-0000-0000-0000611E0000}"/>
    <cellStyle name="0_Book3 2 7 2 3" xfId="7792" xr:uid="{00000000-0005-0000-0000-0000621E0000}"/>
    <cellStyle name="0_Book3 2 7 2 3 2" xfId="7793" xr:uid="{00000000-0005-0000-0000-0000631E0000}"/>
    <cellStyle name="0_Book3 2 7 2 4" xfId="7794" xr:uid="{00000000-0005-0000-0000-0000641E0000}"/>
    <cellStyle name="0_Book3 2 7 3" xfId="7795" xr:uid="{00000000-0005-0000-0000-0000651E0000}"/>
    <cellStyle name="0_Book3 2 7 3 2" xfId="7796" xr:uid="{00000000-0005-0000-0000-0000661E0000}"/>
    <cellStyle name="0_Book3 2 7 3 2 2" xfId="7797" xr:uid="{00000000-0005-0000-0000-0000671E0000}"/>
    <cellStyle name="0_Book3 2 7 3 3" xfId="7798" xr:uid="{00000000-0005-0000-0000-0000681E0000}"/>
    <cellStyle name="0_Book3 2 7 3 3 2" xfId="7799" xr:uid="{00000000-0005-0000-0000-0000691E0000}"/>
    <cellStyle name="0_Book3 2 7 3 4" xfId="7800" xr:uid="{00000000-0005-0000-0000-00006A1E0000}"/>
    <cellStyle name="0_Book3 2 7 4" xfId="7801" xr:uid="{00000000-0005-0000-0000-00006B1E0000}"/>
    <cellStyle name="0_Book3 2 7 4 2" xfId="7802" xr:uid="{00000000-0005-0000-0000-00006C1E0000}"/>
    <cellStyle name="0_Book3 2 7 5" xfId="7803" xr:uid="{00000000-0005-0000-0000-00006D1E0000}"/>
    <cellStyle name="0_Book3 2 7 5 2" xfId="7804" xr:uid="{00000000-0005-0000-0000-00006E1E0000}"/>
    <cellStyle name="0_Book3 2 7 6" xfId="7805" xr:uid="{00000000-0005-0000-0000-00006F1E0000}"/>
    <cellStyle name="0_Book3 2 8" xfId="7806" xr:uid="{00000000-0005-0000-0000-0000701E0000}"/>
    <cellStyle name="0_Book3 2 8 2" xfId="7807" xr:uid="{00000000-0005-0000-0000-0000711E0000}"/>
    <cellStyle name="0_Book3 2 8 2 2" xfId="7808" xr:uid="{00000000-0005-0000-0000-0000721E0000}"/>
    <cellStyle name="0_Book3 2 8 3" xfId="7809" xr:uid="{00000000-0005-0000-0000-0000731E0000}"/>
    <cellStyle name="0_Book3 2 8 3 2" xfId="7810" xr:uid="{00000000-0005-0000-0000-0000741E0000}"/>
    <cellStyle name="0_Book3 2 8 4" xfId="7811" xr:uid="{00000000-0005-0000-0000-0000751E0000}"/>
    <cellStyle name="0_Book3 2 9" xfId="7812" xr:uid="{00000000-0005-0000-0000-0000761E0000}"/>
    <cellStyle name="0_Book3 2 9 2" xfId="7813" xr:uid="{00000000-0005-0000-0000-0000771E0000}"/>
    <cellStyle name="0_Book3 2 9 2 2" xfId="7814" xr:uid="{00000000-0005-0000-0000-0000781E0000}"/>
    <cellStyle name="0_Book3 2 9 3" xfId="7815" xr:uid="{00000000-0005-0000-0000-0000791E0000}"/>
    <cellStyle name="0_Book3 2 9 3 2" xfId="7816" xr:uid="{00000000-0005-0000-0000-00007A1E0000}"/>
    <cellStyle name="0_Book3 2 9 4" xfId="7817" xr:uid="{00000000-0005-0000-0000-00007B1E0000}"/>
    <cellStyle name="0_Book3 20" xfId="7818" xr:uid="{00000000-0005-0000-0000-00007C1E0000}"/>
    <cellStyle name="0_Book3 21" xfId="7819" xr:uid="{00000000-0005-0000-0000-00007D1E0000}"/>
    <cellStyle name="0_Book3 3" xfId="7820" xr:uid="{00000000-0005-0000-0000-00007E1E0000}"/>
    <cellStyle name="0_Book3 3 10" xfId="7821" xr:uid="{00000000-0005-0000-0000-00007F1E0000}"/>
    <cellStyle name="0_Book3 3 10 2" xfId="7822" xr:uid="{00000000-0005-0000-0000-0000801E0000}"/>
    <cellStyle name="0_Book3 3 10 2 2" xfId="7823" xr:uid="{00000000-0005-0000-0000-0000811E0000}"/>
    <cellStyle name="0_Book3 3 10 3" xfId="7824" xr:uid="{00000000-0005-0000-0000-0000821E0000}"/>
    <cellStyle name="0_Book3 3 10 3 2" xfId="7825" xr:uid="{00000000-0005-0000-0000-0000831E0000}"/>
    <cellStyle name="0_Book3 3 10 4" xfId="7826" xr:uid="{00000000-0005-0000-0000-0000841E0000}"/>
    <cellStyle name="0_Book3 3 11" xfId="7827" xr:uid="{00000000-0005-0000-0000-0000851E0000}"/>
    <cellStyle name="0_Book3 3 11 2" xfId="7828" xr:uid="{00000000-0005-0000-0000-0000861E0000}"/>
    <cellStyle name="0_Book3 3 12" xfId="7829" xr:uid="{00000000-0005-0000-0000-0000871E0000}"/>
    <cellStyle name="0_Book3 3 12 2" xfId="7830" xr:uid="{00000000-0005-0000-0000-0000881E0000}"/>
    <cellStyle name="0_Book3 3 13" xfId="7831" xr:uid="{00000000-0005-0000-0000-0000891E0000}"/>
    <cellStyle name="0_Book3 3 2" xfId="7832" xr:uid="{00000000-0005-0000-0000-00008A1E0000}"/>
    <cellStyle name="0_Book3 3 2 2" xfId="7833" xr:uid="{00000000-0005-0000-0000-00008B1E0000}"/>
    <cellStyle name="0_Book3 3 2 2 2" xfId="7834" xr:uid="{00000000-0005-0000-0000-00008C1E0000}"/>
    <cellStyle name="0_Book3 3 2 2 2 2" xfId="7835" xr:uid="{00000000-0005-0000-0000-00008D1E0000}"/>
    <cellStyle name="0_Book3 3 2 2 2 2 2" xfId="7836" xr:uid="{00000000-0005-0000-0000-00008E1E0000}"/>
    <cellStyle name="0_Book3 3 2 2 2 3" xfId="7837" xr:uid="{00000000-0005-0000-0000-00008F1E0000}"/>
    <cellStyle name="0_Book3 3 2 2 2 3 2" xfId="7838" xr:uid="{00000000-0005-0000-0000-0000901E0000}"/>
    <cellStyle name="0_Book3 3 2 2 2 4" xfId="7839" xr:uid="{00000000-0005-0000-0000-0000911E0000}"/>
    <cellStyle name="0_Book3 3 2 2 3" xfId="7840" xr:uid="{00000000-0005-0000-0000-0000921E0000}"/>
    <cellStyle name="0_Book3 3 2 2 3 2" xfId="7841" xr:uid="{00000000-0005-0000-0000-0000931E0000}"/>
    <cellStyle name="0_Book3 3 2 2 3 2 2" xfId="7842" xr:uid="{00000000-0005-0000-0000-0000941E0000}"/>
    <cellStyle name="0_Book3 3 2 2 3 3" xfId="7843" xr:uid="{00000000-0005-0000-0000-0000951E0000}"/>
    <cellStyle name="0_Book3 3 2 2 3 3 2" xfId="7844" xr:uid="{00000000-0005-0000-0000-0000961E0000}"/>
    <cellStyle name="0_Book3 3 2 2 3 4" xfId="7845" xr:uid="{00000000-0005-0000-0000-0000971E0000}"/>
    <cellStyle name="0_Book3 3 2 2 4" xfId="7846" xr:uid="{00000000-0005-0000-0000-0000981E0000}"/>
    <cellStyle name="0_Book3 3 2 2 4 2" xfId="7847" xr:uid="{00000000-0005-0000-0000-0000991E0000}"/>
    <cellStyle name="0_Book3 3 2 2 5" xfId="7848" xr:uid="{00000000-0005-0000-0000-00009A1E0000}"/>
    <cellStyle name="0_Book3 3 2 2 5 2" xfId="7849" xr:uid="{00000000-0005-0000-0000-00009B1E0000}"/>
    <cellStyle name="0_Book3 3 2 2 6" xfId="7850" xr:uid="{00000000-0005-0000-0000-00009C1E0000}"/>
    <cellStyle name="0_Book3 3 2 3" xfId="7851" xr:uid="{00000000-0005-0000-0000-00009D1E0000}"/>
    <cellStyle name="0_Book3 3 2 3 2" xfId="7852" xr:uid="{00000000-0005-0000-0000-00009E1E0000}"/>
    <cellStyle name="0_Book3 3 2 3 2 2" xfId="7853" xr:uid="{00000000-0005-0000-0000-00009F1E0000}"/>
    <cellStyle name="0_Book3 3 2 3 3" xfId="7854" xr:uid="{00000000-0005-0000-0000-0000A01E0000}"/>
    <cellStyle name="0_Book3 3 2 3 3 2" xfId="7855" xr:uid="{00000000-0005-0000-0000-0000A11E0000}"/>
    <cellStyle name="0_Book3 3 2 3 4" xfId="7856" xr:uid="{00000000-0005-0000-0000-0000A21E0000}"/>
    <cellStyle name="0_Book3 3 2 4" xfId="7857" xr:uid="{00000000-0005-0000-0000-0000A31E0000}"/>
    <cellStyle name="0_Book3 3 2 4 2" xfId="7858" xr:uid="{00000000-0005-0000-0000-0000A41E0000}"/>
    <cellStyle name="0_Book3 3 2 4 2 2" xfId="7859" xr:uid="{00000000-0005-0000-0000-0000A51E0000}"/>
    <cellStyle name="0_Book3 3 2 4 3" xfId="7860" xr:uid="{00000000-0005-0000-0000-0000A61E0000}"/>
    <cellStyle name="0_Book3 3 2 4 3 2" xfId="7861" xr:uid="{00000000-0005-0000-0000-0000A71E0000}"/>
    <cellStyle name="0_Book3 3 2 4 4" xfId="7862" xr:uid="{00000000-0005-0000-0000-0000A81E0000}"/>
    <cellStyle name="0_Book3 3 2 5" xfId="7863" xr:uid="{00000000-0005-0000-0000-0000A91E0000}"/>
    <cellStyle name="0_Book3 3 2 5 2" xfId="7864" xr:uid="{00000000-0005-0000-0000-0000AA1E0000}"/>
    <cellStyle name="0_Book3 3 2 5 2 2" xfId="7865" xr:uid="{00000000-0005-0000-0000-0000AB1E0000}"/>
    <cellStyle name="0_Book3 3 2 5 3" xfId="7866" xr:uid="{00000000-0005-0000-0000-0000AC1E0000}"/>
    <cellStyle name="0_Book3 3 2 5 3 2" xfId="7867" xr:uid="{00000000-0005-0000-0000-0000AD1E0000}"/>
    <cellStyle name="0_Book3 3 2 5 4" xfId="7868" xr:uid="{00000000-0005-0000-0000-0000AE1E0000}"/>
    <cellStyle name="0_Book3 3 2 6" xfId="7869" xr:uid="{00000000-0005-0000-0000-0000AF1E0000}"/>
    <cellStyle name="0_Book3 3 2 6 2" xfId="7870" xr:uid="{00000000-0005-0000-0000-0000B01E0000}"/>
    <cellStyle name="0_Book3 3 2 7" xfId="7871" xr:uid="{00000000-0005-0000-0000-0000B11E0000}"/>
    <cellStyle name="0_Book3 3 2 7 2" xfId="7872" xr:uid="{00000000-0005-0000-0000-0000B21E0000}"/>
    <cellStyle name="0_Book3 3 2 8" xfId="7873" xr:uid="{00000000-0005-0000-0000-0000B31E0000}"/>
    <cellStyle name="0_Book3 3 3" xfId="7874" xr:uid="{00000000-0005-0000-0000-0000B41E0000}"/>
    <cellStyle name="0_Book3 3 3 2" xfId="7875" xr:uid="{00000000-0005-0000-0000-0000B51E0000}"/>
    <cellStyle name="0_Book3 3 3 2 2" xfId="7876" xr:uid="{00000000-0005-0000-0000-0000B61E0000}"/>
    <cellStyle name="0_Book3 3 3 2 2 2" xfId="7877" xr:uid="{00000000-0005-0000-0000-0000B71E0000}"/>
    <cellStyle name="0_Book3 3 3 2 2 2 2" xfId="7878" xr:uid="{00000000-0005-0000-0000-0000B81E0000}"/>
    <cellStyle name="0_Book3 3 3 2 2 3" xfId="7879" xr:uid="{00000000-0005-0000-0000-0000B91E0000}"/>
    <cellStyle name="0_Book3 3 3 2 2 3 2" xfId="7880" xr:uid="{00000000-0005-0000-0000-0000BA1E0000}"/>
    <cellStyle name="0_Book3 3 3 2 2 4" xfId="7881" xr:uid="{00000000-0005-0000-0000-0000BB1E0000}"/>
    <cellStyle name="0_Book3 3 3 2 3" xfId="7882" xr:uid="{00000000-0005-0000-0000-0000BC1E0000}"/>
    <cellStyle name="0_Book3 3 3 2 3 2" xfId="7883" xr:uid="{00000000-0005-0000-0000-0000BD1E0000}"/>
    <cellStyle name="0_Book3 3 3 2 3 2 2" xfId="7884" xr:uid="{00000000-0005-0000-0000-0000BE1E0000}"/>
    <cellStyle name="0_Book3 3 3 2 3 3" xfId="7885" xr:uid="{00000000-0005-0000-0000-0000BF1E0000}"/>
    <cellStyle name="0_Book3 3 3 2 3 3 2" xfId="7886" xr:uid="{00000000-0005-0000-0000-0000C01E0000}"/>
    <cellStyle name="0_Book3 3 3 2 3 4" xfId="7887" xr:uid="{00000000-0005-0000-0000-0000C11E0000}"/>
    <cellStyle name="0_Book3 3 3 2 4" xfId="7888" xr:uid="{00000000-0005-0000-0000-0000C21E0000}"/>
    <cellStyle name="0_Book3 3 3 2 4 2" xfId="7889" xr:uid="{00000000-0005-0000-0000-0000C31E0000}"/>
    <cellStyle name="0_Book3 3 3 2 5" xfId="7890" xr:uid="{00000000-0005-0000-0000-0000C41E0000}"/>
    <cellStyle name="0_Book3 3 3 2 5 2" xfId="7891" xr:uid="{00000000-0005-0000-0000-0000C51E0000}"/>
    <cellStyle name="0_Book3 3 3 2 6" xfId="7892" xr:uid="{00000000-0005-0000-0000-0000C61E0000}"/>
    <cellStyle name="0_Book3 3 3 3" xfId="7893" xr:uid="{00000000-0005-0000-0000-0000C71E0000}"/>
    <cellStyle name="0_Book3 3 3 3 2" xfId="7894" xr:uid="{00000000-0005-0000-0000-0000C81E0000}"/>
    <cellStyle name="0_Book3 3 3 3 2 2" xfId="7895" xr:uid="{00000000-0005-0000-0000-0000C91E0000}"/>
    <cellStyle name="0_Book3 3 3 3 3" xfId="7896" xr:uid="{00000000-0005-0000-0000-0000CA1E0000}"/>
    <cellStyle name="0_Book3 3 3 3 3 2" xfId="7897" xr:uid="{00000000-0005-0000-0000-0000CB1E0000}"/>
    <cellStyle name="0_Book3 3 3 3 4" xfId="7898" xr:uid="{00000000-0005-0000-0000-0000CC1E0000}"/>
    <cellStyle name="0_Book3 3 3 4" xfId="7899" xr:uid="{00000000-0005-0000-0000-0000CD1E0000}"/>
    <cellStyle name="0_Book3 3 3 4 2" xfId="7900" xr:uid="{00000000-0005-0000-0000-0000CE1E0000}"/>
    <cellStyle name="0_Book3 3 3 4 2 2" xfId="7901" xr:uid="{00000000-0005-0000-0000-0000CF1E0000}"/>
    <cellStyle name="0_Book3 3 3 4 3" xfId="7902" xr:uid="{00000000-0005-0000-0000-0000D01E0000}"/>
    <cellStyle name="0_Book3 3 3 4 3 2" xfId="7903" xr:uid="{00000000-0005-0000-0000-0000D11E0000}"/>
    <cellStyle name="0_Book3 3 3 4 4" xfId="7904" xr:uid="{00000000-0005-0000-0000-0000D21E0000}"/>
    <cellStyle name="0_Book3 3 3 5" xfId="7905" xr:uid="{00000000-0005-0000-0000-0000D31E0000}"/>
    <cellStyle name="0_Book3 3 3 5 2" xfId="7906" xr:uid="{00000000-0005-0000-0000-0000D41E0000}"/>
    <cellStyle name="0_Book3 3 3 5 2 2" xfId="7907" xr:uid="{00000000-0005-0000-0000-0000D51E0000}"/>
    <cellStyle name="0_Book3 3 3 5 3" xfId="7908" xr:uid="{00000000-0005-0000-0000-0000D61E0000}"/>
    <cellStyle name="0_Book3 3 3 5 3 2" xfId="7909" xr:uid="{00000000-0005-0000-0000-0000D71E0000}"/>
    <cellStyle name="0_Book3 3 3 5 4" xfId="7910" xr:uid="{00000000-0005-0000-0000-0000D81E0000}"/>
    <cellStyle name="0_Book3 3 3 6" xfId="7911" xr:uid="{00000000-0005-0000-0000-0000D91E0000}"/>
    <cellStyle name="0_Book3 3 3 6 2" xfId="7912" xr:uid="{00000000-0005-0000-0000-0000DA1E0000}"/>
    <cellStyle name="0_Book3 3 3 7" xfId="7913" xr:uid="{00000000-0005-0000-0000-0000DB1E0000}"/>
    <cellStyle name="0_Book3 3 3 7 2" xfId="7914" xr:uid="{00000000-0005-0000-0000-0000DC1E0000}"/>
    <cellStyle name="0_Book3 3 3 8" xfId="7915" xr:uid="{00000000-0005-0000-0000-0000DD1E0000}"/>
    <cellStyle name="0_Book3 3 4" xfId="7916" xr:uid="{00000000-0005-0000-0000-0000DE1E0000}"/>
    <cellStyle name="0_Book3 3 4 2" xfId="7917" xr:uid="{00000000-0005-0000-0000-0000DF1E0000}"/>
    <cellStyle name="0_Book3 3 4 2 2" xfId="7918" xr:uid="{00000000-0005-0000-0000-0000E01E0000}"/>
    <cellStyle name="0_Book3 3 4 2 2 2" xfId="7919" xr:uid="{00000000-0005-0000-0000-0000E11E0000}"/>
    <cellStyle name="0_Book3 3 4 2 2 2 2" xfId="7920" xr:uid="{00000000-0005-0000-0000-0000E21E0000}"/>
    <cellStyle name="0_Book3 3 4 2 2 3" xfId="7921" xr:uid="{00000000-0005-0000-0000-0000E31E0000}"/>
    <cellStyle name="0_Book3 3 4 2 2 3 2" xfId="7922" xr:uid="{00000000-0005-0000-0000-0000E41E0000}"/>
    <cellStyle name="0_Book3 3 4 2 2 4" xfId="7923" xr:uid="{00000000-0005-0000-0000-0000E51E0000}"/>
    <cellStyle name="0_Book3 3 4 2 3" xfId="7924" xr:uid="{00000000-0005-0000-0000-0000E61E0000}"/>
    <cellStyle name="0_Book3 3 4 2 3 2" xfId="7925" xr:uid="{00000000-0005-0000-0000-0000E71E0000}"/>
    <cellStyle name="0_Book3 3 4 2 3 2 2" xfId="7926" xr:uid="{00000000-0005-0000-0000-0000E81E0000}"/>
    <cellStyle name="0_Book3 3 4 2 3 3" xfId="7927" xr:uid="{00000000-0005-0000-0000-0000E91E0000}"/>
    <cellStyle name="0_Book3 3 4 2 3 3 2" xfId="7928" xr:uid="{00000000-0005-0000-0000-0000EA1E0000}"/>
    <cellStyle name="0_Book3 3 4 2 3 4" xfId="7929" xr:uid="{00000000-0005-0000-0000-0000EB1E0000}"/>
    <cellStyle name="0_Book3 3 4 2 4" xfId="7930" xr:uid="{00000000-0005-0000-0000-0000EC1E0000}"/>
    <cellStyle name="0_Book3 3 4 2 4 2" xfId="7931" xr:uid="{00000000-0005-0000-0000-0000ED1E0000}"/>
    <cellStyle name="0_Book3 3 4 2 5" xfId="7932" xr:uid="{00000000-0005-0000-0000-0000EE1E0000}"/>
    <cellStyle name="0_Book3 3 4 2 5 2" xfId="7933" xr:uid="{00000000-0005-0000-0000-0000EF1E0000}"/>
    <cellStyle name="0_Book3 3 4 2 6" xfId="7934" xr:uid="{00000000-0005-0000-0000-0000F01E0000}"/>
    <cellStyle name="0_Book3 3 4 3" xfId="7935" xr:uid="{00000000-0005-0000-0000-0000F11E0000}"/>
    <cellStyle name="0_Book3 3 4 3 2" xfId="7936" xr:uid="{00000000-0005-0000-0000-0000F21E0000}"/>
    <cellStyle name="0_Book3 3 4 3 2 2" xfId="7937" xr:uid="{00000000-0005-0000-0000-0000F31E0000}"/>
    <cellStyle name="0_Book3 3 4 3 3" xfId="7938" xr:uid="{00000000-0005-0000-0000-0000F41E0000}"/>
    <cellStyle name="0_Book3 3 4 3 3 2" xfId="7939" xr:uid="{00000000-0005-0000-0000-0000F51E0000}"/>
    <cellStyle name="0_Book3 3 4 3 4" xfId="7940" xr:uid="{00000000-0005-0000-0000-0000F61E0000}"/>
    <cellStyle name="0_Book3 3 4 4" xfId="7941" xr:uid="{00000000-0005-0000-0000-0000F71E0000}"/>
    <cellStyle name="0_Book3 3 4 4 2" xfId="7942" xr:uid="{00000000-0005-0000-0000-0000F81E0000}"/>
    <cellStyle name="0_Book3 3 4 4 2 2" xfId="7943" xr:uid="{00000000-0005-0000-0000-0000F91E0000}"/>
    <cellStyle name="0_Book3 3 4 4 3" xfId="7944" xr:uid="{00000000-0005-0000-0000-0000FA1E0000}"/>
    <cellStyle name="0_Book3 3 4 4 3 2" xfId="7945" xr:uid="{00000000-0005-0000-0000-0000FB1E0000}"/>
    <cellStyle name="0_Book3 3 4 4 4" xfId="7946" xr:uid="{00000000-0005-0000-0000-0000FC1E0000}"/>
    <cellStyle name="0_Book3 3 4 5" xfId="7947" xr:uid="{00000000-0005-0000-0000-0000FD1E0000}"/>
    <cellStyle name="0_Book3 3 4 5 2" xfId="7948" xr:uid="{00000000-0005-0000-0000-0000FE1E0000}"/>
    <cellStyle name="0_Book3 3 4 5 2 2" xfId="7949" xr:uid="{00000000-0005-0000-0000-0000FF1E0000}"/>
    <cellStyle name="0_Book3 3 4 5 3" xfId="7950" xr:uid="{00000000-0005-0000-0000-0000001F0000}"/>
    <cellStyle name="0_Book3 3 4 5 3 2" xfId="7951" xr:uid="{00000000-0005-0000-0000-0000011F0000}"/>
    <cellStyle name="0_Book3 3 4 5 4" xfId="7952" xr:uid="{00000000-0005-0000-0000-0000021F0000}"/>
    <cellStyle name="0_Book3 3 4 6" xfId="7953" xr:uid="{00000000-0005-0000-0000-0000031F0000}"/>
    <cellStyle name="0_Book3 3 4 6 2" xfId="7954" xr:uid="{00000000-0005-0000-0000-0000041F0000}"/>
    <cellStyle name="0_Book3 3 4 7" xfId="7955" xr:uid="{00000000-0005-0000-0000-0000051F0000}"/>
    <cellStyle name="0_Book3 3 4 7 2" xfId="7956" xr:uid="{00000000-0005-0000-0000-0000061F0000}"/>
    <cellStyle name="0_Book3 3 4 8" xfId="7957" xr:uid="{00000000-0005-0000-0000-0000071F0000}"/>
    <cellStyle name="0_Book3 3 5" xfId="7958" xr:uid="{00000000-0005-0000-0000-0000081F0000}"/>
    <cellStyle name="0_Book3 3 5 2" xfId="7959" xr:uid="{00000000-0005-0000-0000-0000091F0000}"/>
    <cellStyle name="0_Book3 3 5 2 2" xfId="7960" xr:uid="{00000000-0005-0000-0000-00000A1F0000}"/>
    <cellStyle name="0_Book3 3 5 2 2 2" xfId="7961" xr:uid="{00000000-0005-0000-0000-00000B1F0000}"/>
    <cellStyle name="0_Book3 3 5 2 2 2 2" xfId="7962" xr:uid="{00000000-0005-0000-0000-00000C1F0000}"/>
    <cellStyle name="0_Book3 3 5 2 2 3" xfId="7963" xr:uid="{00000000-0005-0000-0000-00000D1F0000}"/>
    <cellStyle name="0_Book3 3 5 2 2 3 2" xfId="7964" xr:uid="{00000000-0005-0000-0000-00000E1F0000}"/>
    <cellStyle name="0_Book3 3 5 2 2 4" xfId="7965" xr:uid="{00000000-0005-0000-0000-00000F1F0000}"/>
    <cellStyle name="0_Book3 3 5 2 3" xfId="7966" xr:uid="{00000000-0005-0000-0000-0000101F0000}"/>
    <cellStyle name="0_Book3 3 5 2 3 2" xfId="7967" xr:uid="{00000000-0005-0000-0000-0000111F0000}"/>
    <cellStyle name="0_Book3 3 5 2 3 2 2" xfId="7968" xr:uid="{00000000-0005-0000-0000-0000121F0000}"/>
    <cellStyle name="0_Book3 3 5 2 3 3" xfId="7969" xr:uid="{00000000-0005-0000-0000-0000131F0000}"/>
    <cellStyle name="0_Book3 3 5 2 3 3 2" xfId="7970" xr:uid="{00000000-0005-0000-0000-0000141F0000}"/>
    <cellStyle name="0_Book3 3 5 2 3 4" xfId="7971" xr:uid="{00000000-0005-0000-0000-0000151F0000}"/>
    <cellStyle name="0_Book3 3 5 2 4" xfId="7972" xr:uid="{00000000-0005-0000-0000-0000161F0000}"/>
    <cellStyle name="0_Book3 3 5 2 4 2" xfId="7973" xr:uid="{00000000-0005-0000-0000-0000171F0000}"/>
    <cellStyle name="0_Book3 3 5 2 5" xfId="7974" xr:uid="{00000000-0005-0000-0000-0000181F0000}"/>
    <cellStyle name="0_Book3 3 5 2 5 2" xfId="7975" xr:uid="{00000000-0005-0000-0000-0000191F0000}"/>
    <cellStyle name="0_Book3 3 5 2 6" xfId="7976" xr:uid="{00000000-0005-0000-0000-00001A1F0000}"/>
    <cellStyle name="0_Book3 3 5 3" xfId="7977" xr:uid="{00000000-0005-0000-0000-00001B1F0000}"/>
    <cellStyle name="0_Book3 3 5 3 2" xfId="7978" xr:uid="{00000000-0005-0000-0000-00001C1F0000}"/>
    <cellStyle name="0_Book3 3 5 3 2 2" xfId="7979" xr:uid="{00000000-0005-0000-0000-00001D1F0000}"/>
    <cellStyle name="0_Book3 3 5 3 3" xfId="7980" xr:uid="{00000000-0005-0000-0000-00001E1F0000}"/>
    <cellStyle name="0_Book3 3 5 3 3 2" xfId="7981" xr:uid="{00000000-0005-0000-0000-00001F1F0000}"/>
    <cellStyle name="0_Book3 3 5 3 4" xfId="7982" xr:uid="{00000000-0005-0000-0000-0000201F0000}"/>
    <cellStyle name="0_Book3 3 5 4" xfId="7983" xr:uid="{00000000-0005-0000-0000-0000211F0000}"/>
    <cellStyle name="0_Book3 3 5 4 2" xfId="7984" xr:uid="{00000000-0005-0000-0000-0000221F0000}"/>
    <cellStyle name="0_Book3 3 5 4 2 2" xfId="7985" xr:uid="{00000000-0005-0000-0000-0000231F0000}"/>
    <cellStyle name="0_Book3 3 5 4 3" xfId="7986" xr:uid="{00000000-0005-0000-0000-0000241F0000}"/>
    <cellStyle name="0_Book3 3 5 4 3 2" xfId="7987" xr:uid="{00000000-0005-0000-0000-0000251F0000}"/>
    <cellStyle name="0_Book3 3 5 4 4" xfId="7988" xr:uid="{00000000-0005-0000-0000-0000261F0000}"/>
    <cellStyle name="0_Book3 3 5 5" xfId="7989" xr:uid="{00000000-0005-0000-0000-0000271F0000}"/>
    <cellStyle name="0_Book3 3 5 5 2" xfId="7990" xr:uid="{00000000-0005-0000-0000-0000281F0000}"/>
    <cellStyle name="0_Book3 3 5 5 2 2" xfId="7991" xr:uid="{00000000-0005-0000-0000-0000291F0000}"/>
    <cellStyle name="0_Book3 3 5 5 3" xfId="7992" xr:uid="{00000000-0005-0000-0000-00002A1F0000}"/>
    <cellStyle name="0_Book3 3 5 5 3 2" xfId="7993" xr:uid="{00000000-0005-0000-0000-00002B1F0000}"/>
    <cellStyle name="0_Book3 3 5 5 4" xfId="7994" xr:uid="{00000000-0005-0000-0000-00002C1F0000}"/>
    <cellStyle name="0_Book3 3 5 6" xfId="7995" xr:uid="{00000000-0005-0000-0000-00002D1F0000}"/>
    <cellStyle name="0_Book3 3 5 6 2" xfId="7996" xr:uid="{00000000-0005-0000-0000-00002E1F0000}"/>
    <cellStyle name="0_Book3 3 5 7" xfId="7997" xr:uid="{00000000-0005-0000-0000-00002F1F0000}"/>
    <cellStyle name="0_Book3 3 5 7 2" xfId="7998" xr:uid="{00000000-0005-0000-0000-0000301F0000}"/>
    <cellStyle name="0_Book3 3 5 8" xfId="7999" xr:uid="{00000000-0005-0000-0000-0000311F0000}"/>
    <cellStyle name="0_Book3 3 6" xfId="8000" xr:uid="{00000000-0005-0000-0000-0000321F0000}"/>
    <cellStyle name="0_Book3 3 6 2" xfId="8001" xr:uid="{00000000-0005-0000-0000-0000331F0000}"/>
    <cellStyle name="0_Book3 3 6 2 2" xfId="8002" xr:uid="{00000000-0005-0000-0000-0000341F0000}"/>
    <cellStyle name="0_Book3 3 6 2 2 2" xfId="8003" xr:uid="{00000000-0005-0000-0000-0000351F0000}"/>
    <cellStyle name="0_Book3 3 6 2 2 2 2" xfId="8004" xr:uid="{00000000-0005-0000-0000-0000361F0000}"/>
    <cellStyle name="0_Book3 3 6 2 2 3" xfId="8005" xr:uid="{00000000-0005-0000-0000-0000371F0000}"/>
    <cellStyle name="0_Book3 3 6 2 2 3 2" xfId="8006" xr:uid="{00000000-0005-0000-0000-0000381F0000}"/>
    <cellStyle name="0_Book3 3 6 2 2 4" xfId="8007" xr:uid="{00000000-0005-0000-0000-0000391F0000}"/>
    <cellStyle name="0_Book3 3 6 2 3" xfId="8008" xr:uid="{00000000-0005-0000-0000-00003A1F0000}"/>
    <cellStyle name="0_Book3 3 6 2 3 2" xfId="8009" xr:uid="{00000000-0005-0000-0000-00003B1F0000}"/>
    <cellStyle name="0_Book3 3 6 2 3 2 2" xfId="8010" xr:uid="{00000000-0005-0000-0000-00003C1F0000}"/>
    <cellStyle name="0_Book3 3 6 2 3 3" xfId="8011" xr:uid="{00000000-0005-0000-0000-00003D1F0000}"/>
    <cellStyle name="0_Book3 3 6 2 3 3 2" xfId="8012" xr:uid="{00000000-0005-0000-0000-00003E1F0000}"/>
    <cellStyle name="0_Book3 3 6 2 3 4" xfId="8013" xr:uid="{00000000-0005-0000-0000-00003F1F0000}"/>
    <cellStyle name="0_Book3 3 6 2 4" xfId="8014" xr:uid="{00000000-0005-0000-0000-0000401F0000}"/>
    <cellStyle name="0_Book3 3 6 2 4 2" xfId="8015" xr:uid="{00000000-0005-0000-0000-0000411F0000}"/>
    <cellStyle name="0_Book3 3 6 2 5" xfId="8016" xr:uid="{00000000-0005-0000-0000-0000421F0000}"/>
    <cellStyle name="0_Book3 3 6 2 5 2" xfId="8017" xr:uid="{00000000-0005-0000-0000-0000431F0000}"/>
    <cellStyle name="0_Book3 3 6 2 6" xfId="8018" xr:uid="{00000000-0005-0000-0000-0000441F0000}"/>
    <cellStyle name="0_Book3 3 6 3" xfId="8019" xr:uid="{00000000-0005-0000-0000-0000451F0000}"/>
    <cellStyle name="0_Book3 3 6 3 2" xfId="8020" xr:uid="{00000000-0005-0000-0000-0000461F0000}"/>
    <cellStyle name="0_Book3 3 6 3 2 2" xfId="8021" xr:uid="{00000000-0005-0000-0000-0000471F0000}"/>
    <cellStyle name="0_Book3 3 6 3 3" xfId="8022" xr:uid="{00000000-0005-0000-0000-0000481F0000}"/>
    <cellStyle name="0_Book3 3 6 3 3 2" xfId="8023" xr:uid="{00000000-0005-0000-0000-0000491F0000}"/>
    <cellStyle name="0_Book3 3 6 3 4" xfId="8024" xr:uid="{00000000-0005-0000-0000-00004A1F0000}"/>
    <cellStyle name="0_Book3 3 6 4" xfId="8025" xr:uid="{00000000-0005-0000-0000-00004B1F0000}"/>
    <cellStyle name="0_Book3 3 6 4 2" xfId="8026" xr:uid="{00000000-0005-0000-0000-00004C1F0000}"/>
    <cellStyle name="0_Book3 3 6 4 2 2" xfId="8027" xr:uid="{00000000-0005-0000-0000-00004D1F0000}"/>
    <cellStyle name="0_Book3 3 6 4 3" xfId="8028" xr:uid="{00000000-0005-0000-0000-00004E1F0000}"/>
    <cellStyle name="0_Book3 3 6 4 3 2" xfId="8029" xr:uid="{00000000-0005-0000-0000-00004F1F0000}"/>
    <cellStyle name="0_Book3 3 6 4 4" xfId="8030" xr:uid="{00000000-0005-0000-0000-0000501F0000}"/>
    <cellStyle name="0_Book3 3 6 5" xfId="8031" xr:uid="{00000000-0005-0000-0000-0000511F0000}"/>
    <cellStyle name="0_Book3 3 6 5 2" xfId="8032" xr:uid="{00000000-0005-0000-0000-0000521F0000}"/>
    <cellStyle name="0_Book3 3 6 5 2 2" xfId="8033" xr:uid="{00000000-0005-0000-0000-0000531F0000}"/>
    <cellStyle name="0_Book3 3 6 5 3" xfId="8034" xr:uid="{00000000-0005-0000-0000-0000541F0000}"/>
    <cellStyle name="0_Book3 3 6 5 3 2" xfId="8035" xr:uid="{00000000-0005-0000-0000-0000551F0000}"/>
    <cellStyle name="0_Book3 3 6 5 4" xfId="8036" xr:uid="{00000000-0005-0000-0000-0000561F0000}"/>
    <cellStyle name="0_Book3 3 6 6" xfId="8037" xr:uid="{00000000-0005-0000-0000-0000571F0000}"/>
    <cellStyle name="0_Book3 3 6 6 2" xfId="8038" xr:uid="{00000000-0005-0000-0000-0000581F0000}"/>
    <cellStyle name="0_Book3 3 6 7" xfId="8039" xr:uid="{00000000-0005-0000-0000-0000591F0000}"/>
    <cellStyle name="0_Book3 3 6 7 2" xfId="8040" xr:uid="{00000000-0005-0000-0000-00005A1F0000}"/>
    <cellStyle name="0_Book3 3 6 8" xfId="8041" xr:uid="{00000000-0005-0000-0000-00005B1F0000}"/>
    <cellStyle name="0_Book3 3 7" xfId="8042" xr:uid="{00000000-0005-0000-0000-00005C1F0000}"/>
    <cellStyle name="0_Book3 3 7 2" xfId="8043" xr:uid="{00000000-0005-0000-0000-00005D1F0000}"/>
    <cellStyle name="0_Book3 3 7 2 2" xfId="8044" xr:uid="{00000000-0005-0000-0000-00005E1F0000}"/>
    <cellStyle name="0_Book3 3 7 2 2 2" xfId="8045" xr:uid="{00000000-0005-0000-0000-00005F1F0000}"/>
    <cellStyle name="0_Book3 3 7 2 3" xfId="8046" xr:uid="{00000000-0005-0000-0000-0000601F0000}"/>
    <cellStyle name="0_Book3 3 7 2 3 2" xfId="8047" xr:uid="{00000000-0005-0000-0000-0000611F0000}"/>
    <cellStyle name="0_Book3 3 7 2 4" xfId="8048" xr:uid="{00000000-0005-0000-0000-0000621F0000}"/>
    <cellStyle name="0_Book3 3 7 3" xfId="8049" xr:uid="{00000000-0005-0000-0000-0000631F0000}"/>
    <cellStyle name="0_Book3 3 7 3 2" xfId="8050" xr:uid="{00000000-0005-0000-0000-0000641F0000}"/>
    <cellStyle name="0_Book3 3 7 3 2 2" xfId="8051" xr:uid="{00000000-0005-0000-0000-0000651F0000}"/>
    <cellStyle name="0_Book3 3 7 3 3" xfId="8052" xr:uid="{00000000-0005-0000-0000-0000661F0000}"/>
    <cellStyle name="0_Book3 3 7 3 3 2" xfId="8053" xr:uid="{00000000-0005-0000-0000-0000671F0000}"/>
    <cellStyle name="0_Book3 3 7 3 4" xfId="8054" xr:uid="{00000000-0005-0000-0000-0000681F0000}"/>
    <cellStyle name="0_Book3 3 7 4" xfId="8055" xr:uid="{00000000-0005-0000-0000-0000691F0000}"/>
    <cellStyle name="0_Book3 3 7 4 2" xfId="8056" xr:uid="{00000000-0005-0000-0000-00006A1F0000}"/>
    <cellStyle name="0_Book3 3 7 5" xfId="8057" xr:uid="{00000000-0005-0000-0000-00006B1F0000}"/>
    <cellStyle name="0_Book3 3 7 5 2" xfId="8058" xr:uid="{00000000-0005-0000-0000-00006C1F0000}"/>
    <cellStyle name="0_Book3 3 7 6" xfId="8059" xr:uid="{00000000-0005-0000-0000-00006D1F0000}"/>
    <cellStyle name="0_Book3 3 8" xfId="8060" xr:uid="{00000000-0005-0000-0000-00006E1F0000}"/>
    <cellStyle name="0_Book3 3 8 2" xfId="8061" xr:uid="{00000000-0005-0000-0000-00006F1F0000}"/>
    <cellStyle name="0_Book3 3 8 2 2" xfId="8062" xr:uid="{00000000-0005-0000-0000-0000701F0000}"/>
    <cellStyle name="0_Book3 3 8 3" xfId="8063" xr:uid="{00000000-0005-0000-0000-0000711F0000}"/>
    <cellStyle name="0_Book3 3 8 3 2" xfId="8064" xr:uid="{00000000-0005-0000-0000-0000721F0000}"/>
    <cellStyle name="0_Book3 3 8 4" xfId="8065" xr:uid="{00000000-0005-0000-0000-0000731F0000}"/>
    <cellStyle name="0_Book3 3 9" xfId="8066" xr:uid="{00000000-0005-0000-0000-0000741F0000}"/>
    <cellStyle name="0_Book3 3 9 2" xfId="8067" xr:uid="{00000000-0005-0000-0000-0000751F0000}"/>
    <cellStyle name="0_Book3 3 9 2 2" xfId="8068" xr:uid="{00000000-0005-0000-0000-0000761F0000}"/>
    <cellStyle name="0_Book3 3 9 3" xfId="8069" xr:uid="{00000000-0005-0000-0000-0000771F0000}"/>
    <cellStyle name="0_Book3 3 9 3 2" xfId="8070" xr:uid="{00000000-0005-0000-0000-0000781F0000}"/>
    <cellStyle name="0_Book3 3 9 4" xfId="8071" xr:uid="{00000000-0005-0000-0000-0000791F0000}"/>
    <cellStyle name="0_Book3 4" xfId="8072" xr:uid="{00000000-0005-0000-0000-00007A1F0000}"/>
    <cellStyle name="0_Book3 4 10" xfId="8073" xr:uid="{00000000-0005-0000-0000-00007B1F0000}"/>
    <cellStyle name="0_Book3 4 10 2" xfId="8074" xr:uid="{00000000-0005-0000-0000-00007C1F0000}"/>
    <cellStyle name="0_Book3 4 10 2 2" xfId="8075" xr:uid="{00000000-0005-0000-0000-00007D1F0000}"/>
    <cellStyle name="0_Book3 4 10 3" xfId="8076" xr:uid="{00000000-0005-0000-0000-00007E1F0000}"/>
    <cellStyle name="0_Book3 4 10 3 2" xfId="8077" xr:uid="{00000000-0005-0000-0000-00007F1F0000}"/>
    <cellStyle name="0_Book3 4 10 4" xfId="8078" xr:uid="{00000000-0005-0000-0000-0000801F0000}"/>
    <cellStyle name="0_Book3 4 11" xfId="8079" xr:uid="{00000000-0005-0000-0000-0000811F0000}"/>
    <cellStyle name="0_Book3 4 11 2" xfId="8080" xr:uid="{00000000-0005-0000-0000-0000821F0000}"/>
    <cellStyle name="0_Book3 4 12" xfId="8081" xr:uid="{00000000-0005-0000-0000-0000831F0000}"/>
    <cellStyle name="0_Book3 4 12 2" xfId="8082" xr:uid="{00000000-0005-0000-0000-0000841F0000}"/>
    <cellStyle name="0_Book3 4 13" xfId="8083" xr:uid="{00000000-0005-0000-0000-0000851F0000}"/>
    <cellStyle name="0_Book3 4 2" xfId="8084" xr:uid="{00000000-0005-0000-0000-0000861F0000}"/>
    <cellStyle name="0_Book3 4 2 2" xfId="8085" xr:uid="{00000000-0005-0000-0000-0000871F0000}"/>
    <cellStyle name="0_Book3 4 2 2 2" xfId="8086" xr:uid="{00000000-0005-0000-0000-0000881F0000}"/>
    <cellStyle name="0_Book3 4 2 2 2 2" xfId="8087" xr:uid="{00000000-0005-0000-0000-0000891F0000}"/>
    <cellStyle name="0_Book3 4 2 2 2 2 2" xfId="8088" xr:uid="{00000000-0005-0000-0000-00008A1F0000}"/>
    <cellStyle name="0_Book3 4 2 2 2 3" xfId="8089" xr:uid="{00000000-0005-0000-0000-00008B1F0000}"/>
    <cellStyle name="0_Book3 4 2 2 2 3 2" xfId="8090" xr:uid="{00000000-0005-0000-0000-00008C1F0000}"/>
    <cellStyle name="0_Book3 4 2 2 2 4" xfId="8091" xr:uid="{00000000-0005-0000-0000-00008D1F0000}"/>
    <cellStyle name="0_Book3 4 2 2 3" xfId="8092" xr:uid="{00000000-0005-0000-0000-00008E1F0000}"/>
    <cellStyle name="0_Book3 4 2 2 3 2" xfId="8093" xr:uid="{00000000-0005-0000-0000-00008F1F0000}"/>
    <cellStyle name="0_Book3 4 2 2 3 2 2" xfId="8094" xr:uid="{00000000-0005-0000-0000-0000901F0000}"/>
    <cellStyle name="0_Book3 4 2 2 3 3" xfId="8095" xr:uid="{00000000-0005-0000-0000-0000911F0000}"/>
    <cellStyle name="0_Book3 4 2 2 3 3 2" xfId="8096" xr:uid="{00000000-0005-0000-0000-0000921F0000}"/>
    <cellStyle name="0_Book3 4 2 2 3 4" xfId="8097" xr:uid="{00000000-0005-0000-0000-0000931F0000}"/>
    <cellStyle name="0_Book3 4 2 2 4" xfId="8098" xr:uid="{00000000-0005-0000-0000-0000941F0000}"/>
    <cellStyle name="0_Book3 4 2 2 4 2" xfId="8099" xr:uid="{00000000-0005-0000-0000-0000951F0000}"/>
    <cellStyle name="0_Book3 4 2 2 5" xfId="8100" xr:uid="{00000000-0005-0000-0000-0000961F0000}"/>
    <cellStyle name="0_Book3 4 2 2 5 2" xfId="8101" xr:uid="{00000000-0005-0000-0000-0000971F0000}"/>
    <cellStyle name="0_Book3 4 2 2 6" xfId="8102" xr:uid="{00000000-0005-0000-0000-0000981F0000}"/>
    <cellStyle name="0_Book3 4 2 3" xfId="8103" xr:uid="{00000000-0005-0000-0000-0000991F0000}"/>
    <cellStyle name="0_Book3 4 2 3 2" xfId="8104" xr:uid="{00000000-0005-0000-0000-00009A1F0000}"/>
    <cellStyle name="0_Book3 4 2 3 2 2" xfId="8105" xr:uid="{00000000-0005-0000-0000-00009B1F0000}"/>
    <cellStyle name="0_Book3 4 2 3 3" xfId="8106" xr:uid="{00000000-0005-0000-0000-00009C1F0000}"/>
    <cellStyle name="0_Book3 4 2 3 3 2" xfId="8107" xr:uid="{00000000-0005-0000-0000-00009D1F0000}"/>
    <cellStyle name="0_Book3 4 2 3 4" xfId="8108" xr:uid="{00000000-0005-0000-0000-00009E1F0000}"/>
    <cellStyle name="0_Book3 4 2 4" xfId="8109" xr:uid="{00000000-0005-0000-0000-00009F1F0000}"/>
    <cellStyle name="0_Book3 4 2 4 2" xfId="8110" xr:uid="{00000000-0005-0000-0000-0000A01F0000}"/>
    <cellStyle name="0_Book3 4 2 4 2 2" xfId="8111" xr:uid="{00000000-0005-0000-0000-0000A11F0000}"/>
    <cellStyle name="0_Book3 4 2 4 3" xfId="8112" xr:uid="{00000000-0005-0000-0000-0000A21F0000}"/>
    <cellStyle name="0_Book3 4 2 4 3 2" xfId="8113" xr:uid="{00000000-0005-0000-0000-0000A31F0000}"/>
    <cellStyle name="0_Book3 4 2 4 4" xfId="8114" xr:uid="{00000000-0005-0000-0000-0000A41F0000}"/>
    <cellStyle name="0_Book3 4 2 5" xfId="8115" xr:uid="{00000000-0005-0000-0000-0000A51F0000}"/>
    <cellStyle name="0_Book3 4 2 5 2" xfId="8116" xr:uid="{00000000-0005-0000-0000-0000A61F0000}"/>
    <cellStyle name="0_Book3 4 2 5 2 2" xfId="8117" xr:uid="{00000000-0005-0000-0000-0000A71F0000}"/>
    <cellStyle name="0_Book3 4 2 5 3" xfId="8118" xr:uid="{00000000-0005-0000-0000-0000A81F0000}"/>
    <cellStyle name="0_Book3 4 2 5 3 2" xfId="8119" xr:uid="{00000000-0005-0000-0000-0000A91F0000}"/>
    <cellStyle name="0_Book3 4 2 5 4" xfId="8120" xr:uid="{00000000-0005-0000-0000-0000AA1F0000}"/>
    <cellStyle name="0_Book3 4 2 6" xfId="8121" xr:uid="{00000000-0005-0000-0000-0000AB1F0000}"/>
    <cellStyle name="0_Book3 4 2 6 2" xfId="8122" xr:uid="{00000000-0005-0000-0000-0000AC1F0000}"/>
    <cellStyle name="0_Book3 4 2 7" xfId="8123" xr:uid="{00000000-0005-0000-0000-0000AD1F0000}"/>
    <cellStyle name="0_Book3 4 2 7 2" xfId="8124" xr:uid="{00000000-0005-0000-0000-0000AE1F0000}"/>
    <cellStyle name="0_Book3 4 2 8" xfId="8125" xr:uid="{00000000-0005-0000-0000-0000AF1F0000}"/>
    <cellStyle name="0_Book3 4 3" xfId="8126" xr:uid="{00000000-0005-0000-0000-0000B01F0000}"/>
    <cellStyle name="0_Book3 4 3 2" xfId="8127" xr:uid="{00000000-0005-0000-0000-0000B11F0000}"/>
    <cellStyle name="0_Book3 4 3 2 2" xfId="8128" xr:uid="{00000000-0005-0000-0000-0000B21F0000}"/>
    <cellStyle name="0_Book3 4 3 2 2 2" xfId="8129" xr:uid="{00000000-0005-0000-0000-0000B31F0000}"/>
    <cellStyle name="0_Book3 4 3 2 2 2 2" xfId="8130" xr:uid="{00000000-0005-0000-0000-0000B41F0000}"/>
    <cellStyle name="0_Book3 4 3 2 2 3" xfId="8131" xr:uid="{00000000-0005-0000-0000-0000B51F0000}"/>
    <cellStyle name="0_Book3 4 3 2 2 3 2" xfId="8132" xr:uid="{00000000-0005-0000-0000-0000B61F0000}"/>
    <cellStyle name="0_Book3 4 3 2 2 4" xfId="8133" xr:uid="{00000000-0005-0000-0000-0000B71F0000}"/>
    <cellStyle name="0_Book3 4 3 2 3" xfId="8134" xr:uid="{00000000-0005-0000-0000-0000B81F0000}"/>
    <cellStyle name="0_Book3 4 3 2 3 2" xfId="8135" xr:uid="{00000000-0005-0000-0000-0000B91F0000}"/>
    <cellStyle name="0_Book3 4 3 2 3 2 2" xfId="8136" xr:uid="{00000000-0005-0000-0000-0000BA1F0000}"/>
    <cellStyle name="0_Book3 4 3 2 3 3" xfId="8137" xr:uid="{00000000-0005-0000-0000-0000BB1F0000}"/>
    <cellStyle name="0_Book3 4 3 2 3 3 2" xfId="8138" xr:uid="{00000000-0005-0000-0000-0000BC1F0000}"/>
    <cellStyle name="0_Book3 4 3 2 3 4" xfId="8139" xr:uid="{00000000-0005-0000-0000-0000BD1F0000}"/>
    <cellStyle name="0_Book3 4 3 2 4" xfId="8140" xr:uid="{00000000-0005-0000-0000-0000BE1F0000}"/>
    <cellStyle name="0_Book3 4 3 2 4 2" xfId="8141" xr:uid="{00000000-0005-0000-0000-0000BF1F0000}"/>
    <cellStyle name="0_Book3 4 3 2 5" xfId="8142" xr:uid="{00000000-0005-0000-0000-0000C01F0000}"/>
    <cellStyle name="0_Book3 4 3 2 5 2" xfId="8143" xr:uid="{00000000-0005-0000-0000-0000C11F0000}"/>
    <cellStyle name="0_Book3 4 3 2 6" xfId="8144" xr:uid="{00000000-0005-0000-0000-0000C21F0000}"/>
    <cellStyle name="0_Book3 4 3 3" xfId="8145" xr:uid="{00000000-0005-0000-0000-0000C31F0000}"/>
    <cellStyle name="0_Book3 4 3 3 2" xfId="8146" xr:uid="{00000000-0005-0000-0000-0000C41F0000}"/>
    <cellStyle name="0_Book3 4 3 3 2 2" xfId="8147" xr:uid="{00000000-0005-0000-0000-0000C51F0000}"/>
    <cellStyle name="0_Book3 4 3 3 3" xfId="8148" xr:uid="{00000000-0005-0000-0000-0000C61F0000}"/>
    <cellStyle name="0_Book3 4 3 3 3 2" xfId="8149" xr:uid="{00000000-0005-0000-0000-0000C71F0000}"/>
    <cellStyle name="0_Book3 4 3 3 4" xfId="8150" xr:uid="{00000000-0005-0000-0000-0000C81F0000}"/>
    <cellStyle name="0_Book3 4 3 4" xfId="8151" xr:uid="{00000000-0005-0000-0000-0000C91F0000}"/>
    <cellStyle name="0_Book3 4 3 4 2" xfId="8152" xr:uid="{00000000-0005-0000-0000-0000CA1F0000}"/>
    <cellStyle name="0_Book3 4 3 4 2 2" xfId="8153" xr:uid="{00000000-0005-0000-0000-0000CB1F0000}"/>
    <cellStyle name="0_Book3 4 3 4 3" xfId="8154" xr:uid="{00000000-0005-0000-0000-0000CC1F0000}"/>
    <cellStyle name="0_Book3 4 3 4 3 2" xfId="8155" xr:uid="{00000000-0005-0000-0000-0000CD1F0000}"/>
    <cellStyle name="0_Book3 4 3 4 4" xfId="8156" xr:uid="{00000000-0005-0000-0000-0000CE1F0000}"/>
    <cellStyle name="0_Book3 4 3 5" xfId="8157" xr:uid="{00000000-0005-0000-0000-0000CF1F0000}"/>
    <cellStyle name="0_Book3 4 3 5 2" xfId="8158" xr:uid="{00000000-0005-0000-0000-0000D01F0000}"/>
    <cellStyle name="0_Book3 4 3 5 2 2" xfId="8159" xr:uid="{00000000-0005-0000-0000-0000D11F0000}"/>
    <cellStyle name="0_Book3 4 3 5 3" xfId="8160" xr:uid="{00000000-0005-0000-0000-0000D21F0000}"/>
    <cellStyle name="0_Book3 4 3 5 3 2" xfId="8161" xr:uid="{00000000-0005-0000-0000-0000D31F0000}"/>
    <cellStyle name="0_Book3 4 3 5 4" xfId="8162" xr:uid="{00000000-0005-0000-0000-0000D41F0000}"/>
    <cellStyle name="0_Book3 4 3 6" xfId="8163" xr:uid="{00000000-0005-0000-0000-0000D51F0000}"/>
    <cellStyle name="0_Book3 4 3 6 2" xfId="8164" xr:uid="{00000000-0005-0000-0000-0000D61F0000}"/>
    <cellStyle name="0_Book3 4 3 7" xfId="8165" xr:uid="{00000000-0005-0000-0000-0000D71F0000}"/>
    <cellStyle name="0_Book3 4 3 7 2" xfId="8166" xr:uid="{00000000-0005-0000-0000-0000D81F0000}"/>
    <cellStyle name="0_Book3 4 3 8" xfId="8167" xr:uid="{00000000-0005-0000-0000-0000D91F0000}"/>
    <cellStyle name="0_Book3 4 4" xfId="8168" xr:uid="{00000000-0005-0000-0000-0000DA1F0000}"/>
    <cellStyle name="0_Book3 4 4 2" xfId="8169" xr:uid="{00000000-0005-0000-0000-0000DB1F0000}"/>
    <cellStyle name="0_Book3 4 4 2 2" xfId="8170" xr:uid="{00000000-0005-0000-0000-0000DC1F0000}"/>
    <cellStyle name="0_Book3 4 4 2 2 2" xfId="8171" xr:uid="{00000000-0005-0000-0000-0000DD1F0000}"/>
    <cellStyle name="0_Book3 4 4 2 2 2 2" xfId="8172" xr:uid="{00000000-0005-0000-0000-0000DE1F0000}"/>
    <cellStyle name="0_Book3 4 4 2 2 3" xfId="8173" xr:uid="{00000000-0005-0000-0000-0000DF1F0000}"/>
    <cellStyle name="0_Book3 4 4 2 2 3 2" xfId="8174" xr:uid="{00000000-0005-0000-0000-0000E01F0000}"/>
    <cellStyle name="0_Book3 4 4 2 2 4" xfId="8175" xr:uid="{00000000-0005-0000-0000-0000E11F0000}"/>
    <cellStyle name="0_Book3 4 4 2 3" xfId="8176" xr:uid="{00000000-0005-0000-0000-0000E21F0000}"/>
    <cellStyle name="0_Book3 4 4 2 3 2" xfId="8177" xr:uid="{00000000-0005-0000-0000-0000E31F0000}"/>
    <cellStyle name="0_Book3 4 4 2 3 2 2" xfId="8178" xr:uid="{00000000-0005-0000-0000-0000E41F0000}"/>
    <cellStyle name="0_Book3 4 4 2 3 3" xfId="8179" xr:uid="{00000000-0005-0000-0000-0000E51F0000}"/>
    <cellStyle name="0_Book3 4 4 2 3 3 2" xfId="8180" xr:uid="{00000000-0005-0000-0000-0000E61F0000}"/>
    <cellStyle name="0_Book3 4 4 2 3 4" xfId="8181" xr:uid="{00000000-0005-0000-0000-0000E71F0000}"/>
    <cellStyle name="0_Book3 4 4 2 4" xfId="8182" xr:uid="{00000000-0005-0000-0000-0000E81F0000}"/>
    <cellStyle name="0_Book3 4 4 2 4 2" xfId="8183" xr:uid="{00000000-0005-0000-0000-0000E91F0000}"/>
    <cellStyle name="0_Book3 4 4 2 5" xfId="8184" xr:uid="{00000000-0005-0000-0000-0000EA1F0000}"/>
    <cellStyle name="0_Book3 4 4 2 5 2" xfId="8185" xr:uid="{00000000-0005-0000-0000-0000EB1F0000}"/>
    <cellStyle name="0_Book3 4 4 2 6" xfId="8186" xr:uid="{00000000-0005-0000-0000-0000EC1F0000}"/>
    <cellStyle name="0_Book3 4 4 3" xfId="8187" xr:uid="{00000000-0005-0000-0000-0000ED1F0000}"/>
    <cellStyle name="0_Book3 4 4 3 2" xfId="8188" xr:uid="{00000000-0005-0000-0000-0000EE1F0000}"/>
    <cellStyle name="0_Book3 4 4 3 2 2" xfId="8189" xr:uid="{00000000-0005-0000-0000-0000EF1F0000}"/>
    <cellStyle name="0_Book3 4 4 3 3" xfId="8190" xr:uid="{00000000-0005-0000-0000-0000F01F0000}"/>
    <cellStyle name="0_Book3 4 4 3 3 2" xfId="8191" xr:uid="{00000000-0005-0000-0000-0000F11F0000}"/>
    <cellStyle name="0_Book3 4 4 3 4" xfId="8192" xr:uid="{00000000-0005-0000-0000-0000F21F0000}"/>
    <cellStyle name="0_Book3 4 4 4" xfId="8193" xr:uid="{00000000-0005-0000-0000-0000F31F0000}"/>
    <cellStyle name="0_Book3 4 4 4 2" xfId="8194" xr:uid="{00000000-0005-0000-0000-0000F41F0000}"/>
    <cellStyle name="0_Book3 4 4 4 2 2" xfId="8195" xr:uid="{00000000-0005-0000-0000-0000F51F0000}"/>
    <cellStyle name="0_Book3 4 4 4 3" xfId="8196" xr:uid="{00000000-0005-0000-0000-0000F61F0000}"/>
    <cellStyle name="0_Book3 4 4 4 3 2" xfId="8197" xr:uid="{00000000-0005-0000-0000-0000F71F0000}"/>
    <cellStyle name="0_Book3 4 4 4 4" xfId="8198" xr:uid="{00000000-0005-0000-0000-0000F81F0000}"/>
    <cellStyle name="0_Book3 4 4 5" xfId="8199" xr:uid="{00000000-0005-0000-0000-0000F91F0000}"/>
    <cellStyle name="0_Book3 4 4 5 2" xfId="8200" xr:uid="{00000000-0005-0000-0000-0000FA1F0000}"/>
    <cellStyle name="0_Book3 4 4 5 2 2" xfId="8201" xr:uid="{00000000-0005-0000-0000-0000FB1F0000}"/>
    <cellStyle name="0_Book3 4 4 5 3" xfId="8202" xr:uid="{00000000-0005-0000-0000-0000FC1F0000}"/>
    <cellStyle name="0_Book3 4 4 5 3 2" xfId="8203" xr:uid="{00000000-0005-0000-0000-0000FD1F0000}"/>
    <cellStyle name="0_Book3 4 4 5 4" xfId="8204" xr:uid="{00000000-0005-0000-0000-0000FE1F0000}"/>
    <cellStyle name="0_Book3 4 4 6" xfId="8205" xr:uid="{00000000-0005-0000-0000-0000FF1F0000}"/>
    <cellStyle name="0_Book3 4 4 6 2" xfId="8206" xr:uid="{00000000-0005-0000-0000-000000200000}"/>
    <cellStyle name="0_Book3 4 4 7" xfId="8207" xr:uid="{00000000-0005-0000-0000-000001200000}"/>
    <cellStyle name="0_Book3 4 4 7 2" xfId="8208" xr:uid="{00000000-0005-0000-0000-000002200000}"/>
    <cellStyle name="0_Book3 4 4 8" xfId="8209" xr:uid="{00000000-0005-0000-0000-000003200000}"/>
    <cellStyle name="0_Book3 4 5" xfId="8210" xr:uid="{00000000-0005-0000-0000-000004200000}"/>
    <cellStyle name="0_Book3 4 5 2" xfId="8211" xr:uid="{00000000-0005-0000-0000-000005200000}"/>
    <cellStyle name="0_Book3 4 5 2 2" xfId="8212" xr:uid="{00000000-0005-0000-0000-000006200000}"/>
    <cellStyle name="0_Book3 4 5 2 2 2" xfId="8213" xr:uid="{00000000-0005-0000-0000-000007200000}"/>
    <cellStyle name="0_Book3 4 5 2 2 2 2" xfId="8214" xr:uid="{00000000-0005-0000-0000-000008200000}"/>
    <cellStyle name="0_Book3 4 5 2 2 3" xfId="8215" xr:uid="{00000000-0005-0000-0000-000009200000}"/>
    <cellStyle name="0_Book3 4 5 2 2 3 2" xfId="8216" xr:uid="{00000000-0005-0000-0000-00000A200000}"/>
    <cellStyle name="0_Book3 4 5 2 2 4" xfId="8217" xr:uid="{00000000-0005-0000-0000-00000B200000}"/>
    <cellStyle name="0_Book3 4 5 2 3" xfId="8218" xr:uid="{00000000-0005-0000-0000-00000C200000}"/>
    <cellStyle name="0_Book3 4 5 2 3 2" xfId="8219" xr:uid="{00000000-0005-0000-0000-00000D200000}"/>
    <cellStyle name="0_Book3 4 5 2 3 2 2" xfId="8220" xr:uid="{00000000-0005-0000-0000-00000E200000}"/>
    <cellStyle name="0_Book3 4 5 2 3 3" xfId="8221" xr:uid="{00000000-0005-0000-0000-00000F200000}"/>
    <cellStyle name="0_Book3 4 5 2 3 3 2" xfId="8222" xr:uid="{00000000-0005-0000-0000-000010200000}"/>
    <cellStyle name="0_Book3 4 5 2 3 4" xfId="8223" xr:uid="{00000000-0005-0000-0000-000011200000}"/>
    <cellStyle name="0_Book3 4 5 2 4" xfId="8224" xr:uid="{00000000-0005-0000-0000-000012200000}"/>
    <cellStyle name="0_Book3 4 5 2 4 2" xfId="8225" xr:uid="{00000000-0005-0000-0000-000013200000}"/>
    <cellStyle name="0_Book3 4 5 2 5" xfId="8226" xr:uid="{00000000-0005-0000-0000-000014200000}"/>
    <cellStyle name="0_Book3 4 5 2 5 2" xfId="8227" xr:uid="{00000000-0005-0000-0000-000015200000}"/>
    <cellStyle name="0_Book3 4 5 2 6" xfId="8228" xr:uid="{00000000-0005-0000-0000-000016200000}"/>
    <cellStyle name="0_Book3 4 5 3" xfId="8229" xr:uid="{00000000-0005-0000-0000-000017200000}"/>
    <cellStyle name="0_Book3 4 5 3 2" xfId="8230" xr:uid="{00000000-0005-0000-0000-000018200000}"/>
    <cellStyle name="0_Book3 4 5 3 2 2" xfId="8231" xr:uid="{00000000-0005-0000-0000-000019200000}"/>
    <cellStyle name="0_Book3 4 5 3 3" xfId="8232" xr:uid="{00000000-0005-0000-0000-00001A200000}"/>
    <cellStyle name="0_Book3 4 5 3 3 2" xfId="8233" xr:uid="{00000000-0005-0000-0000-00001B200000}"/>
    <cellStyle name="0_Book3 4 5 3 4" xfId="8234" xr:uid="{00000000-0005-0000-0000-00001C200000}"/>
    <cellStyle name="0_Book3 4 5 4" xfId="8235" xr:uid="{00000000-0005-0000-0000-00001D200000}"/>
    <cellStyle name="0_Book3 4 5 4 2" xfId="8236" xr:uid="{00000000-0005-0000-0000-00001E200000}"/>
    <cellStyle name="0_Book3 4 5 4 2 2" xfId="8237" xr:uid="{00000000-0005-0000-0000-00001F200000}"/>
    <cellStyle name="0_Book3 4 5 4 3" xfId="8238" xr:uid="{00000000-0005-0000-0000-000020200000}"/>
    <cellStyle name="0_Book3 4 5 4 3 2" xfId="8239" xr:uid="{00000000-0005-0000-0000-000021200000}"/>
    <cellStyle name="0_Book3 4 5 4 4" xfId="8240" xr:uid="{00000000-0005-0000-0000-000022200000}"/>
    <cellStyle name="0_Book3 4 5 5" xfId="8241" xr:uid="{00000000-0005-0000-0000-000023200000}"/>
    <cellStyle name="0_Book3 4 5 5 2" xfId="8242" xr:uid="{00000000-0005-0000-0000-000024200000}"/>
    <cellStyle name="0_Book3 4 5 5 2 2" xfId="8243" xr:uid="{00000000-0005-0000-0000-000025200000}"/>
    <cellStyle name="0_Book3 4 5 5 3" xfId="8244" xr:uid="{00000000-0005-0000-0000-000026200000}"/>
    <cellStyle name="0_Book3 4 5 5 3 2" xfId="8245" xr:uid="{00000000-0005-0000-0000-000027200000}"/>
    <cellStyle name="0_Book3 4 5 5 4" xfId="8246" xr:uid="{00000000-0005-0000-0000-000028200000}"/>
    <cellStyle name="0_Book3 4 5 6" xfId="8247" xr:uid="{00000000-0005-0000-0000-000029200000}"/>
    <cellStyle name="0_Book3 4 5 6 2" xfId="8248" xr:uid="{00000000-0005-0000-0000-00002A200000}"/>
    <cellStyle name="0_Book3 4 5 7" xfId="8249" xr:uid="{00000000-0005-0000-0000-00002B200000}"/>
    <cellStyle name="0_Book3 4 5 7 2" xfId="8250" xr:uid="{00000000-0005-0000-0000-00002C200000}"/>
    <cellStyle name="0_Book3 4 5 8" xfId="8251" xr:uid="{00000000-0005-0000-0000-00002D200000}"/>
    <cellStyle name="0_Book3 4 6" xfId="8252" xr:uid="{00000000-0005-0000-0000-00002E200000}"/>
    <cellStyle name="0_Book3 4 6 2" xfId="8253" xr:uid="{00000000-0005-0000-0000-00002F200000}"/>
    <cellStyle name="0_Book3 4 6 2 2" xfId="8254" xr:uid="{00000000-0005-0000-0000-000030200000}"/>
    <cellStyle name="0_Book3 4 6 2 2 2" xfId="8255" xr:uid="{00000000-0005-0000-0000-000031200000}"/>
    <cellStyle name="0_Book3 4 6 2 2 2 2" xfId="8256" xr:uid="{00000000-0005-0000-0000-000032200000}"/>
    <cellStyle name="0_Book3 4 6 2 2 3" xfId="8257" xr:uid="{00000000-0005-0000-0000-000033200000}"/>
    <cellStyle name="0_Book3 4 6 2 2 3 2" xfId="8258" xr:uid="{00000000-0005-0000-0000-000034200000}"/>
    <cellStyle name="0_Book3 4 6 2 2 4" xfId="8259" xr:uid="{00000000-0005-0000-0000-000035200000}"/>
    <cellStyle name="0_Book3 4 6 2 3" xfId="8260" xr:uid="{00000000-0005-0000-0000-000036200000}"/>
    <cellStyle name="0_Book3 4 6 2 3 2" xfId="8261" xr:uid="{00000000-0005-0000-0000-000037200000}"/>
    <cellStyle name="0_Book3 4 6 2 3 2 2" xfId="8262" xr:uid="{00000000-0005-0000-0000-000038200000}"/>
    <cellStyle name="0_Book3 4 6 2 3 3" xfId="8263" xr:uid="{00000000-0005-0000-0000-000039200000}"/>
    <cellStyle name="0_Book3 4 6 2 3 3 2" xfId="8264" xr:uid="{00000000-0005-0000-0000-00003A200000}"/>
    <cellStyle name="0_Book3 4 6 2 3 4" xfId="8265" xr:uid="{00000000-0005-0000-0000-00003B200000}"/>
    <cellStyle name="0_Book3 4 6 2 4" xfId="8266" xr:uid="{00000000-0005-0000-0000-00003C200000}"/>
    <cellStyle name="0_Book3 4 6 2 4 2" xfId="8267" xr:uid="{00000000-0005-0000-0000-00003D200000}"/>
    <cellStyle name="0_Book3 4 6 2 5" xfId="8268" xr:uid="{00000000-0005-0000-0000-00003E200000}"/>
    <cellStyle name="0_Book3 4 6 2 5 2" xfId="8269" xr:uid="{00000000-0005-0000-0000-00003F200000}"/>
    <cellStyle name="0_Book3 4 6 2 6" xfId="8270" xr:uid="{00000000-0005-0000-0000-000040200000}"/>
    <cellStyle name="0_Book3 4 6 3" xfId="8271" xr:uid="{00000000-0005-0000-0000-000041200000}"/>
    <cellStyle name="0_Book3 4 6 3 2" xfId="8272" xr:uid="{00000000-0005-0000-0000-000042200000}"/>
    <cellStyle name="0_Book3 4 6 3 2 2" xfId="8273" xr:uid="{00000000-0005-0000-0000-000043200000}"/>
    <cellStyle name="0_Book3 4 6 3 3" xfId="8274" xr:uid="{00000000-0005-0000-0000-000044200000}"/>
    <cellStyle name="0_Book3 4 6 3 3 2" xfId="8275" xr:uid="{00000000-0005-0000-0000-000045200000}"/>
    <cellStyle name="0_Book3 4 6 3 4" xfId="8276" xr:uid="{00000000-0005-0000-0000-000046200000}"/>
    <cellStyle name="0_Book3 4 6 4" xfId="8277" xr:uid="{00000000-0005-0000-0000-000047200000}"/>
    <cellStyle name="0_Book3 4 6 4 2" xfId="8278" xr:uid="{00000000-0005-0000-0000-000048200000}"/>
    <cellStyle name="0_Book3 4 6 4 2 2" xfId="8279" xr:uid="{00000000-0005-0000-0000-000049200000}"/>
    <cellStyle name="0_Book3 4 6 4 3" xfId="8280" xr:uid="{00000000-0005-0000-0000-00004A200000}"/>
    <cellStyle name="0_Book3 4 6 4 3 2" xfId="8281" xr:uid="{00000000-0005-0000-0000-00004B200000}"/>
    <cellStyle name="0_Book3 4 6 4 4" xfId="8282" xr:uid="{00000000-0005-0000-0000-00004C200000}"/>
    <cellStyle name="0_Book3 4 6 5" xfId="8283" xr:uid="{00000000-0005-0000-0000-00004D200000}"/>
    <cellStyle name="0_Book3 4 6 5 2" xfId="8284" xr:uid="{00000000-0005-0000-0000-00004E200000}"/>
    <cellStyle name="0_Book3 4 6 5 2 2" xfId="8285" xr:uid="{00000000-0005-0000-0000-00004F200000}"/>
    <cellStyle name="0_Book3 4 6 5 3" xfId="8286" xr:uid="{00000000-0005-0000-0000-000050200000}"/>
    <cellStyle name="0_Book3 4 6 5 3 2" xfId="8287" xr:uid="{00000000-0005-0000-0000-000051200000}"/>
    <cellStyle name="0_Book3 4 6 5 4" xfId="8288" xr:uid="{00000000-0005-0000-0000-000052200000}"/>
    <cellStyle name="0_Book3 4 6 6" xfId="8289" xr:uid="{00000000-0005-0000-0000-000053200000}"/>
    <cellStyle name="0_Book3 4 6 6 2" xfId="8290" xr:uid="{00000000-0005-0000-0000-000054200000}"/>
    <cellStyle name="0_Book3 4 6 7" xfId="8291" xr:uid="{00000000-0005-0000-0000-000055200000}"/>
    <cellStyle name="0_Book3 4 6 7 2" xfId="8292" xr:uid="{00000000-0005-0000-0000-000056200000}"/>
    <cellStyle name="0_Book3 4 6 8" xfId="8293" xr:uid="{00000000-0005-0000-0000-000057200000}"/>
    <cellStyle name="0_Book3 4 7" xfId="8294" xr:uid="{00000000-0005-0000-0000-000058200000}"/>
    <cellStyle name="0_Book3 4 7 2" xfId="8295" xr:uid="{00000000-0005-0000-0000-000059200000}"/>
    <cellStyle name="0_Book3 4 7 2 2" xfId="8296" xr:uid="{00000000-0005-0000-0000-00005A200000}"/>
    <cellStyle name="0_Book3 4 7 2 2 2" xfId="8297" xr:uid="{00000000-0005-0000-0000-00005B200000}"/>
    <cellStyle name="0_Book3 4 7 2 3" xfId="8298" xr:uid="{00000000-0005-0000-0000-00005C200000}"/>
    <cellStyle name="0_Book3 4 7 2 3 2" xfId="8299" xr:uid="{00000000-0005-0000-0000-00005D200000}"/>
    <cellStyle name="0_Book3 4 7 2 4" xfId="8300" xr:uid="{00000000-0005-0000-0000-00005E200000}"/>
    <cellStyle name="0_Book3 4 7 3" xfId="8301" xr:uid="{00000000-0005-0000-0000-00005F200000}"/>
    <cellStyle name="0_Book3 4 7 3 2" xfId="8302" xr:uid="{00000000-0005-0000-0000-000060200000}"/>
    <cellStyle name="0_Book3 4 7 3 2 2" xfId="8303" xr:uid="{00000000-0005-0000-0000-000061200000}"/>
    <cellStyle name="0_Book3 4 7 3 3" xfId="8304" xr:uid="{00000000-0005-0000-0000-000062200000}"/>
    <cellStyle name="0_Book3 4 7 3 3 2" xfId="8305" xr:uid="{00000000-0005-0000-0000-000063200000}"/>
    <cellStyle name="0_Book3 4 7 3 4" xfId="8306" xr:uid="{00000000-0005-0000-0000-000064200000}"/>
    <cellStyle name="0_Book3 4 7 4" xfId="8307" xr:uid="{00000000-0005-0000-0000-000065200000}"/>
    <cellStyle name="0_Book3 4 7 4 2" xfId="8308" xr:uid="{00000000-0005-0000-0000-000066200000}"/>
    <cellStyle name="0_Book3 4 7 5" xfId="8309" xr:uid="{00000000-0005-0000-0000-000067200000}"/>
    <cellStyle name="0_Book3 4 7 5 2" xfId="8310" xr:uid="{00000000-0005-0000-0000-000068200000}"/>
    <cellStyle name="0_Book3 4 7 6" xfId="8311" xr:uid="{00000000-0005-0000-0000-000069200000}"/>
    <cellStyle name="0_Book3 4 8" xfId="8312" xr:uid="{00000000-0005-0000-0000-00006A200000}"/>
    <cellStyle name="0_Book3 4 8 2" xfId="8313" xr:uid="{00000000-0005-0000-0000-00006B200000}"/>
    <cellStyle name="0_Book3 4 8 2 2" xfId="8314" xr:uid="{00000000-0005-0000-0000-00006C200000}"/>
    <cellStyle name="0_Book3 4 8 3" xfId="8315" xr:uid="{00000000-0005-0000-0000-00006D200000}"/>
    <cellStyle name="0_Book3 4 8 3 2" xfId="8316" xr:uid="{00000000-0005-0000-0000-00006E200000}"/>
    <cellStyle name="0_Book3 4 8 4" xfId="8317" xr:uid="{00000000-0005-0000-0000-00006F200000}"/>
    <cellStyle name="0_Book3 4 9" xfId="8318" xr:uid="{00000000-0005-0000-0000-000070200000}"/>
    <cellStyle name="0_Book3 4 9 2" xfId="8319" xr:uid="{00000000-0005-0000-0000-000071200000}"/>
    <cellStyle name="0_Book3 4 9 2 2" xfId="8320" xr:uid="{00000000-0005-0000-0000-000072200000}"/>
    <cellStyle name="0_Book3 4 9 3" xfId="8321" xr:uid="{00000000-0005-0000-0000-000073200000}"/>
    <cellStyle name="0_Book3 4 9 3 2" xfId="8322" xr:uid="{00000000-0005-0000-0000-000074200000}"/>
    <cellStyle name="0_Book3 4 9 4" xfId="8323" xr:uid="{00000000-0005-0000-0000-000075200000}"/>
    <cellStyle name="0_Book3 5" xfId="8324" xr:uid="{00000000-0005-0000-0000-000076200000}"/>
    <cellStyle name="0_Book3 5 10" xfId="8325" xr:uid="{00000000-0005-0000-0000-000077200000}"/>
    <cellStyle name="0_Book3 5 10 2" xfId="8326" xr:uid="{00000000-0005-0000-0000-000078200000}"/>
    <cellStyle name="0_Book3 5 10 2 2" xfId="8327" xr:uid="{00000000-0005-0000-0000-000079200000}"/>
    <cellStyle name="0_Book3 5 10 3" xfId="8328" xr:uid="{00000000-0005-0000-0000-00007A200000}"/>
    <cellStyle name="0_Book3 5 10 3 2" xfId="8329" xr:uid="{00000000-0005-0000-0000-00007B200000}"/>
    <cellStyle name="0_Book3 5 10 4" xfId="8330" xr:uid="{00000000-0005-0000-0000-00007C200000}"/>
    <cellStyle name="0_Book3 5 11" xfId="8331" xr:uid="{00000000-0005-0000-0000-00007D200000}"/>
    <cellStyle name="0_Book3 5 11 2" xfId="8332" xr:uid="{00000000-0005-0000-0000-00007E200000}"/>
    <cellStyle name="0_Book3 5 12" xfId="8333" xr:uid="{00000000-0005-0000-0000-00007F200000}"/>
    <cellStyle name="0_Book3 5 12 2" xfId="8334" xr:uid="{00000000-0005-0000-0000-000080200000}"/>
    <cellStyle name="0_Book3 5 13" xfId="8335" xr:uid="{00000000-0005-0000-0000-000081200000}"/>
    <cellStyle name="0_Book3 5 2" xfId="8336" xr:uid="{00000000-0005-0000-0000-000082200000}"/>
    <cellStyle name="0_Book3 5 2 2" xfId="8337" xr:uid="{00000000-0005-0000-0000-000083200000}"/>
    <cellStyle name="0_Book3 5 2 2 2" xfId="8338" xr:uid="{00000000-0005-0000-0000-000084200000}"/>
    <cellStyle name="0_Book3 5 2 2 2 2" xfId="8339" xr:uid="{00000000-0005-0000-0000-000085200000}"/>
    <cellStyle name="0_Book3 5 2 2 2 2 2" xfId="8340" xr:uid="{00000000-0005-0000-0000-000086200000}"/>
    <cellStyle name="0_Book3 5 2 2 2 3" xfId="8341" xr:uid="{00000000-0005-0000-0000-000087200000}"/>
    <cellStyle name="0_Book3 5 2 2 2 3 2" xfId="8342" xr:uid="{00000000-0005-0000-0000-000088200000}"/>
    <cellStyle name="0_Book3 5 2 2 2 4" xfId="8343" xr:uid="{00000000-0005-0000-0000-000089200000}"/>
    <cellStyle name="0_Book3 5 2 2 3" xfId="8344" xr:uid="{00000000-0005-0000-0000-00008A200000}"/>
    <cellStyle name="0_Book3 5 2 2 3 2" xfId="8345" xr:uid="{00000000-0005-0000-0000-00008B200000}"/>
    <cellStyle name="0_Book3 5 2 2 3 2 2" xfId="8346" xr:uid="{00000000-0005-0000-0000-00008C200000}"/>
    <cellStyle name="0_Book3 5 2 2 3 3" xfId="8347" xr:uid="{00000000-0005-0000-0000-00008D200000}"/>
    <cellStyle name="0_Book3 5 2 2 3 3 2" xfId="8348" xr:uid="{00000000-0005-0000-0000-00008E200000}"/>
    <cellStyle name="0_Book3 5 2 2 3 4" xfId="8349" xr:uid="{00000000-0005-0000-0000-00008F200000}"/>
    <cellStyle name="0_Book3 5 2 2 4" xfId="8350" xr:uid="{00000000-0005-0000-0000-000090200000}"/>
    <cellStyle name="0_Book3 5 2 2 4 2" xfId="8351" xr:uid="{00000000-0005-0000-0000-000091200000}"/>
    <cellStyle name="0_Book3 5 2 2 5" xfId="8352" xr:uid="{00000000-0005-0000-0000-000092200000}"/>
    <cellStyle name="0_Book3 5 2 2 5 2" xfId="8353" xr:uid="{00000000-0005-0000-0000-000093200000}"/>
    <cellStyle name="0_Book3 5 2 2 6" xfId="8354" xr:uid="{00000000-0005-0000-0000-000094200000}"/>
    <cellStyle name="0_Book3 5 2 3" xfId="8355" xr:uid="{00000000-0005-0000-0000-000095200000}"/>
    <cellStyle name="0_Book3 5 2 3 2" xfId="8356" xr:uid="{00000000-0005-0000-0000-000096200000}"/>
    <cellStyle name="0_Book3 5 2 3 2 2" xfId="8357" xr:uid="{00000000-0005-0000-0000-000097200000}"/>
    <cellStyle name="0_Book3 5 2 3 3" xfId="8358" xr:uid="{00000000-0005-0000-0000-000098200000}"/>
    <cellStyle name="0_Book3 5 2 3 3 2" xfId="8359" xr:uid="{00000000-0005-0000-0000-000099200000}"/>
    <cellStyle name="0_Book3 5 2 3 4" xfId="8360" xr:uid="{00000000-0005-0000-0000-00009A200000}"/>
    <cellStyle name="0_Book3 5 2 4" xfId="8361" xr:uid="{00000000-0005-0000-0000-00009B200000}"/>
    <cellStyle name="0_Book3 5 2 4 2" xfId="8362" xr:uid="{00000000-0005-0000-0000-00009C200000}"/>
    <cellStyle name="0_Book3 5 2 4 2 2" xfId="8363" xr:uid="{00000000-0005-0000-0000-00009D200000}"/>
    <cellStyle name="0_Book3 5 2 4 3" xfId="8364" xr:uid="{00000000-0005-0000-0000-00009E200000}"/>
    <cellStyle name="0_Book3 5 2 4 3 2" xfId="8365" xr:uid="{00000000-0005-0000-0000-00009F200000}"/>
    <cellStyle name="0_Book3 5 2 4 4" xfId="8366" xr:uid="{00000000-0005-0000-0000-0000A0200000}"/>
    <cellStyle name="0_Book3 5 2 5" xfId="8367" xr:uid="{00000000-0005-0000-0000-0000A1200000}"/>
    <cellStyle name="0_Book3 5 2 5 2" xfId="8368" xr:uid="{00000000-0005-0000-0000-0000A2200000}"/>
    <cellStyle name="0_Book3 5 2 5 2 2" xfId="8369" xr:uid="{00000000-0005-0000-0000-0000A3200000}"/>
    <cellStyle name="0_Book3 5 2 5 3" xfId="8370" xr:uid="{00000000-0005-0000-0000-0000A4200000}"/>
    <cellStyle name="0_Book3 5 2 5 3 2" xfId="8371" xr:uid="{00000000-0005-0000-0000-0000A5200000}"/>
    <cellStyle name="0_Book3 5 2 5 4" xfId="8372" xr:uid="{00000000-0005-0000-0000-0000A6200000}"/>
    <cellStyle name="0_Book3 5 2 6" xfId="8373" xr:uid="{00000000-0005-0000-0000-0000A7200000}"/>
    <cellStyle name="0_Book3 5 2 6 2" xfId="8374" xr:uid="{00000000-0005-0000-0000-0000A8200000}"/>
    <cellStyle name="0_Book3 5 2 7" xfId="8375" xr:uid="{00000000-0005-0000-0000-0000A9200000}"/>
    <cellStyle name="0_Book3 5 2 7 2" xfId="8376" xr:uid="{00000000-0005-0000-0000-0000AA200000}"/>
    <cellStyle name="0_Book3 5 2 8" xfId="8377" xr:uid="{00000000-0005-0000-0000-0000AB200000}"/>
    <cellStyle name="0_Book3 5 3" xfId="8378" xr:uid="{00000000-0005-0000-0000-0000AC200000}"/>
    <cellStyle name="0_Book3 5 3 2" xfId="8379" xr:uid="{00000000-0005-0000-0000-0000AD200000}"/>
    <cellStyle name="0_Book3 5 3 2 2" xfId="8380" xr:uid="{00000000-0005-0000-0000-0000AE200000}"/>
    <cellStyle name="0_Book3 5 3 2 2 2" xfId="8381" xr:uid="{00000000-0005-0000-0000-0000AF200000}"/>
    <cellStyle name="0_Book3 5 3 2 2 2 2" xfId="8382" xr:uid="{00000000-0005-0000-0000-0000B0200000}"/>
    <cellStyle name="0_Book3 5 3 2 2 3" xfId="8383" xr:uid="{00000000-0005-0000-0000-0000B1200000}"/>
    <cellStyle name="0_Book3 5 3 2 2 3 2" xfId="8384" xr:uid="{00000000-0005-0000-0000-0000B2200000}"/>
    <cellStyle name="0_Book3 5 3 2 2 4" xfId="8385" xr:uid="{00000000-0005-0000-0000-0000B3200000}"/>
    <cellStyle name="0_Book3 5 3 2 3" xfId="8386" xr:uid="{00000000-0005-0000-0000-0000B4200000}"/>
    <cellStyle name="0_Book3 5 3 2 3 2" xfId="8387" xr:uid="{00000000-0005-0000-0000-0000B5200000}"/>
    <cellStyle name="0_Book3 5 3 2 3 2 2" xfId="8388" xr:uid="{00000000-0005-0000-0000-0000B6200000}"/>
    <cellStyle name="0_Book3 5 3 2 3 3" xfId="8389" xr:uid="{00000000-0005-0000-0000-0000B7200000}"/>
    <cellStyle name="0_Book3 5 3 2 3 3 2" xfId="8390" xr:uid="{00000000-0005-0000-0000-0000B8200000}"/>
    <cellStyle name="0_Book3 5 3 2 3 4" xfId="8391" xr:uid="{00000000-0005-0000-0000-0000B9200000}"/>
    <cellStyle name="0_Book3 5 3 2 4" xfId="8392" xr:uid="{00000000-0005-0000-0000-0000BA200000}"/>
    <cellStyle name="0_Book3 5 3 2 4 2" xfId="8393" xr:uid="{00000000-0005-0000-0000-0000BB200000}"/>
    <cellStyle name="0_Book3 5 3 2 5" xfId="8394" xr:uid="{00000000-0005-0000-0000-0000BC200000}"/>
    <cellStyle name="0_Book3 5 3 2 5 2" xfId="8395" xr:uid="{00000000-0005-0000-0000-0000BD200000}"/>
    <cellStyle name="0_Book3 5 3 2 6" xfId="8396" xr:uid="{00000000-0005-0000-0000-0000BE200000}"/>
    <cellStyle name="0_Book3 5 3 3" xfId="8397" xr:uid="{00000000-0005-0000-0000-0000BF200000}"/>
    <cellStyle name="0_Book3 5 3 3 2" xfId="8398" xr:uid="{00000000-0005-0000-0000-0000C0200000}"/>
    <cellStyle name="0_Book3 5 3 3 2 2" xfId="8399" xr:uid="{00000000-0005-0000-0000-0000C1200000}"/>
    <cellStyle name="0_Book3 5 3 3 3" xfId="8400" xr:uid="{00000000-0005-0000-0000-0000C2200000}"/>
    <cellStyle name="0_Book3 5 3 3 3 2" xfId="8401" xr:uid="{00000000-0005-0000-0000-0000C3200000}"/>
    <cellStyle name="0_Book3 5 3 3 4" xfId="8402" xr:uid="{00000000-0005-0000-0000-0000C4200000}"/>
    <cellStyle name="0_Book3 5 3 4" xfId="8403" xr:uid="{00000000-0005-0000-0000-0000C5200000}"/>
    <cellStyle name="0_Book3 5 3 4 2" xfId="8404" xr:uid="{00000000-0005-0000-0000-0000C6200000}"/>
    <cellStyle name="0_Book3 5 3 4 2 2" xfId="8405" xr:uid="{00000000-0005-0000-0000-0000C7200000}"/>
    <cellStyle name="0_Book3 5 3 4 3" xfId="8406" xr:uid="{00000000-0005-0000-0000-0000C8200000}"/>
    <cellStyle name="0_Book3 5 3 4 3 2" xfId="8407" xr:uid="{00000000-0005-0000-0000-0000C9200000}"/>
    <cellStyle name="0_Book3 5 3 4 4" xfId="8408" xr:uid="{00000000-0005-0000-0000-0000CA200000}"/>
    <cellStyle name="0_Book3 5 3 5" xfId="8409" xr:uid="{00000000-0005-0000-0000-0000CB200000}"/>
    <cellStyle name="0_Book3 5 3 5 2" xfId="8410" xr:uid="{00000000-0005-0000-0000-0000CC200000}"/>
    <cellStyle name="0_Book3 5 3 5 2 2" xfId="8411" xr:uid="{00000000-0005-0000-0000-0000CD200000}"/>
    <cellStyle name="0_Book3 5 3 5 3" xfId="8412" xr:uid="{00000000-0005-0000-0000-0000CE200000}"/>
    <cellStyle name="0_Book3 5 3 5 3 2" xfId="8413" xr:uid="{00000000-0005-0000-0000-0000CF200000}"/>
    <cellStyle name="0_Book3 5 3 5 4" xfId="8414" xr:uid="{00000000-0005-0000-0000-0000D0200000}"/>
    <cellStyle name="0_Book3 5 3 6" xfId="8415" xr:uid="{00000000-0005-0000-0000-0000D1200000}"/>
    <cellStyle name="0_Book3 5 3 6 2" xfId="8416" xr:uid="{00000000-0005-0000-0000-0000D2200000}"/>
    <cellStyle name="0_Book3 5 3 7" xfId="8417" xr:uid="{00000000-0005-0000-0000-0000D3200000}"/>
    <cellStyle name="0_Book3 5 3 7 2" xfId="8418" xr:uid="{00000000-0005-0000-0000-0000D4200000}"/>
    <cellStyle name="0_Book3 5 3 8" xfId="8419" xr:uid="{00000000-0005-0000-0000-0000D5200000}"/>
    <cellStyle name="0_Book3 5 4" xfId="8420" xr:uid="{00000000-0005-0000-0000-0000D6200000}"/>
    <cellStyle name="0_Book3 5 4 2" xfId="8421" xr:uid="{00000000-0005-0000-0000-0000D7200000}"/>
    <cellStyle name="0_Book3 5 4 2 2" xfId="8422" xr:uid="{00000000-0005-0000-0000-0000D8200000}"/>
    <cellStyle name="0_Book3 5 4 2 2 2" xfId="8423" xr:uid="{00000000-0005-0000-0000-0000D9200000}"/>
    <cellStyle name="0_Book3 5 4 2 2 2 2" xfId="8424" xr:uid="{00000000-0005-0000-0000-0000DA200000}"/>
    <cellStyle name="0_Book3 5 4 2 2 3" xfId="8425" xr:uid="{00000000-0005-0000-0000-0000DB200000}"/>
    <cellStyle name="0_Book3 5 4 2 2 3 2" xfId="8426" xr:uid="{00000000-0005-0000-0000-0000DC200000}"/>
    <cellStyle name="0_Book3 5 4 2 2 4" xfId="8427" xr:uid="{00000000-0005-0000-0000-0000DD200000}"/>
    <cellStyle name="0_Book3 5 4 2 3" xfId="8428" xr:uid="{00000000-0005-0000-0000-0000DE200000}"/>
    <cellStyle name="0_Book3 5 4 2 3 2" xfId="8429" xr:uid="{00000000-0005-0000-0000-0000DF200000}"/>
    <cellStyle name="0_Book3 5 4 2 3 2 2" xfId="8430" xr:uid="{00000000-0005-0000-0000-0000E0200000}"/>
    <cellStyle name="0_Book3 5 4 2 3 3" xfId="8431" xr:uid="{00000000-0005-0000-0000-0000E1200000}"/>
    <cellStyle name="0_Book3 5 4 2 3 3 2" xfId="8432" xr:uid="{00000000-0005-0000-0000-0000E2200000}"/>
    <cellStyle name="0_Book3 5 4 2 3 4" xfId="8433" xr:uid="{00000000-0005-0000-0000-0000E3200000}"/>
    <cellStyle name="0_Book3 5 4 2 4" xfId="8434" xr:uid="{00000000-0005-0000-0000-0000E4200000}"/>
    <cellStyle name="0_Book3 5 4 2 4 2" xfId="8435" xr:uid="{00000000-0005-0000-0000-0000E5200000}"/>
    <cellStyle name="0_Book3 5 4 2 5" xfId="8436" xr:uid="{00000000-0005-0000-0000-0000E6200000}"/>
    <cellStyle name="0_Book3 5 4 2 5 2" xfId="8437" xr:uid="{00000000-0005-0000-0000-0000E7200000}"/>
    <cellStyle name="0_Book3 5 4 2 6" xfId="8438" xr:uid="{00000000-0005-0000-0000-0000E8200000}"/>
    <cellStyle name="0_Book3 5 4 3" xfId="8439" xr:uid="{00000000-0005-0000-0000-0000E9200000}"/>
    <cellStyle name="0_Book3 5 4 3 2" xfId="8440" xr:uid="{00000000-0005-0000-0000-0000EA200000}"/>
    <cellStyle name="0_Book3 5 4 3 2 2" xfId="8441" xr:uid="{00000000-0005-0000-0000-0000EB200000}"/>
    <cellStyle name="0_Book3 5 4 3 3" xfId="8442" xr:uid="{00000000-0005-0000-0000-0000EC200000}"/>
    <cellStyle name="0_Book3 5 4 3 3 2" xfId="8443" xr:uid="{00000000-0005-0000-0000-0000ED200000}"/>
    <cellStyle name="0_Book3 5 4 3 4" xfId="8444" xr:uid="{00000000-0005-0000-0000-0000EE200000}"/>
    <cellStyle name="0_Book3 5 4 4" xfId="8445" xr:uid="{00000000-0005-0000-0000-0000EF200000}"/>
    <cellStyle name="0_Book3 5 4 4 2" xfId="8446" xr:uid="{00000000-0005-0000-0000-0000F0200000}"/>
    <cellStyle name="0_Book3 5 4 4 2 2" xfId="8447" xr:uid="{00000000-0005-0000-0000-0000F1200000}"/>
    <cellStyle name="0_Book3 5 4 4 3" xfId="8448" xr:uid="{00000000-0005-0000-0000-0000F2200000}"/>
    <cellStyle name="0_Book3 5 4 4 3 2" xfId="8449" xr:uid="{00000000-0005-0000-0000-0000F3200000}"/>
    <cellStyle name="0_Book3 5 4 4 4" xfId="8450" xr:uid="{00000000-0005-0000-0000-0000F4200000}"/>
    <cellStyle name="0_Book3 5 4 5" xfId="8451" xr:uid="{00000000-0005-0000-0000-0000F5200000}"/>
    <cellStyle name="0_Book3 5 4 5 2" xfId="8452" xr:uid="{00000000-0005-0000-0000-0000F6200000}"/>
    <cellStyle name="0_Book3 5 4 5 2 2" xfId="8453" xr:uid="{00000000-0005-0000-0000-0000F7200000}"/>
    <cellStyle name="0_Book3 5 4 5 3" xfId="8454" xr:uid="{00000000-0005-0000-0000-0000F8200000}"/>
    <cellStyle name="0_Book3 5 4 5 3 2" xfId="8455" xr:uid="{00000000-0005-0000-0000-0000F9200000}"/>
    <cellStyle name="0_Book3 5 4 5 4" xfId="8456" xr:uid="{00000000-0005-0000-0000-0000FA200000}"/>
    <cellStyle name="0_Book3 5 4 6" xfId="8457" xr:uid="{00000000-0005-0000-0000-0000FB200000}"/>
    <cellStyle name="0_Book3 5 4 6 2" xfId="8458" xr:uid="{00000000-0005-0000-0000-0000FC200000}"/>
    <cellStyle name="0_Book3 5 4 7" xfId="8459" xr:uid="{00000000-0005-0000-0000-0000FD200000}"/>
    <cellStyle name="0_Book3 5 4 7 2" xfId="8460" xr:uid="{00000000-0005-0000-0000-0000FE200000}"/>
    <cellStyle name="0_Book3 5 4 8" xfId="8461" xr:uid="{00000000-0005-0000-0000-0000FF200000}"/>
    <cellStyle name="0_Book3 5 5" xfId="8462" xr:uid="{00000000-0005-0000-0000-000000210000}"/>
    <cellStyle name="0_Book3 5 5 2" xfId="8463" xr:uid="{00000000-0005-0000-0000-000001210000}"/>
    <cellStyle name="0_Book3 5 5 2 2" xfId="8464" xr:uid="{00000000-0005-0000-0000-000002210000}"/>
    <cellStyle name="0_Book3 5 5 2 2 2" xfId="8465" xr:uid="{00000000-0005-0000-0000-000003210000}"/>
    <cellStyle name="0_Book3 5 5 2 2 2 2" xfId="8466" xr:uid="{00000000-0005-0000-0000-000004210000}"/>
    <cellStyle name="0_Book3 5 5 2 2 3" xfId="8467" xr:uid="{00000000-0005-0000-0000-000005210000}"/>
    <cellStyle name="0_Book3 5 5 2 2 3 2" xfId="8468" xr:uid="{00000000-0005-0000-0000-000006210000}"/>
    <cellStyle name="0_Book3 5 5 2 2 4" xfId="8469" xr:uid="{00000000-0005-0000-0000-000007210000}"/>
    <cellStyle name="0_Book3 5 5 2 3" xfId="8470" xr:uid="{00000000-0005-0000-0000-000008210000}"/>
    <cellStyle name="0_Book3 5 5 2 3 2" xfId="8471" xr:uid="{00000000-0005-0000-0000-000009210000}"/>
    <cellStyle name="0_Book3 5 5 2 3 2 2" xfId="8472" xr:uid="{00000000-0005-0000-0000-00000A210000}"/>
    <cellStyle name="0_Book3 5 5 2 3 3" xfId="8473" xr:uid="{00000000-0005-0000-0000-00000B210000}"/>
    <cellStyle name="0_Book3 5 5 2 3 3 2" xfId="8474" xr:uid="{00000000-0005-0000-0000-00000C210000}"/>
    <cellStyle name="0_Book3 5 5 2 3 4" xfId="8475" xr:uid="{00000000-0005-0000-0000-00000D210000}"/>
    <cellStyle name="0_Book3 5 5 2 4" xfId="8476" xr:uid="{00000000-0005-0000-0000-00000E210000}"/>
    <cellStyle name="0_Book3 5 5 2 4 2" xfId="8477" xr:uid="{00000000-0005-0000-0000-00000F210000}"/>
    <cellStyle name="0_Book3 5 5 2 5" xfId="8478" xr:uid="{00000000-0005-0000-0000-000010210000}"/>
    <cellStyle name="0_Book3 5 5 2 5 2" xfId="8479" xr:uid="{00000000-0005-0000-0000-000011210000}"/>
    <cellStyle name="0_Book3 5 5 2 6" xfId="8480" xr:uid="{00000000-0005-0000-0000-000012210000}"/>
    <cellStyle name="0_Book3 5 5 3" xfId="8481" xr:uid="{00000000-0005-0000-0000-000013210000}"/>
    <cellStyle name="0_Book3 5 5 3 2" xfId="8482" xr:uid="{00000000-0005-0000-0000-000014210000}"/>
    <cellStyle name="0_Book3 5 5 3 2 2" xfId="8483" xr:uid="{00000000-0005-0000-0000-000015210000}"/>
    <cellStyle name="0_Book3 5 5 3 3" xfId="8484" xr:uid="{00000000-0005-0000-0000-000016210000}"/>
    <cellStyle name="0_Book3 5 5 3 3 2" xfId="8485" xr:uid="{00000000-0005-0000-0000-000017210000}"/>
    <cellStyle name="0_Book3 5 5 3 4" xfId="8486" xr:uid="{00000000-0005-0000-0000-000018210000}"/>
    <cellStyle name="0_Book3 5 5 4" xfId="8487" xr:uid="{00000000-0005-0000-0000-000019210000}"/>
    <cellStyle name="0_Book3 5 5 4 2" xfId="8488" xr:uid="{00000000-0005-0000-0000-00001A210000}"/>
    <cellStyle name="0_Book3 5 5 4 2 2" xfId="8489" xr:uid="{00000000-0005-0000-0000-00001B210000}"/>
    <cellStyle name="0_Book3 5 5 4 3" xfId="8490" xr:uid="{00000000-0005-0000-0000-00001C210000}"/>
    <cellStyle name="0_Book3 5 5 4 3 2" xfId="8491" xr:uid="{00000000-0005-0000-0000-00001D210000}"/>
    <cellStyle name="0_Book3 5 5 4 4" xfId="8492" xr:uid="{00000000-0005-0000-0000-00001E210000}"/>
    <cellStyle name="0_Book3 5 5 5" xfId="8493" xr:uid="{00000000-0005-0000-0000-00001F210000}"/>
    <cellStyle name="0_Book3 5 5 5 2" xfId="8494" xr:uid="{00000000-0005-0000-0000-000020210000}"/>
    <cellStyle name="0_Book3 5 5 5 2 2" xfId="8495" xr:uid="{00000000-0005-0000-0000-000021210000}"/>
    <cellStyle name="0_Book3 5 5 5 3" xfId="8496" xr:uid="{00000000-0005-0000-0000-000022210000}"/>
    <cellStyle name="0_Book3 5 5 5 3 2" xfId="8497" xr:uid="{00000000-0005-0000-0000-000023210000}"/>
    <cellStyle name="0_Book3 5 5 5 4" xfId="8498" xr:uid="{00000000-0005-0000-0000-000024210000}"/>
    <cellStyle name="0_Book3 5 5 6" xfId="8499" xr:uid="{00000000-0005-0000-0000-000025210000}"/>
    <cellStyle name="0_Book3 5 5 6 2" xfId="8500" xr:uid="{00000000-0005-0000-0000-000026210000}"/>
    <cellStyle name="0_Book3 5 5 7" xfId="8501" xr:uid="{00000000-0005-0000-0000-000027210000}"/>
    <cellStyle name="0_Book3 5 5 7 2" xfId="8502" xr:uid="{00000000-0005-0000-0000-000028210000}"/>
    <cellStyle name="0_Book3 5 5 8" xfId="8503" xr:uid="{00000000-0005-0000-0000-000029210000}"/>
    <cellStyle name="0_Book3 5 6" xfId="8504" xr:uid="{00000000-0005-0000-0000-00002A210000}"/>
    <cellStyle name="0_Book3 5 6 2" xfId="8505" xr:uid="{00000000-0005-0000-0000-00002B210000}"/>
    <cellStyle name="0_Book3 5 6 2 2" xfId="8506" xr:uid="{00000000-0005-0000-0000-00002C210000}"/>
    <cellStyle name="0_Book3 5 6 2 2 2" xfId="8507" xr:uid="{00000000-0005-0000-0000-00002D210000}"/>
    <cellStyle name="0_Book3 5 6 2 2 2 2" xfId="8508" xr:uid="{00000000-0005-0000-0000-00002E210000}"/>
    <cellStyle name="0_Book3 5 6 2 2 3" xfId="8509" xr:uid="{00000000-0005-0000-0000-00002F210000}"/>
    <cellStyle name="0_Book3 5 6 2 2 3 2" xfId="8510" xr:uid="{00000000-0005-0000-0000-000030210000}"/>
    <cellStyle name="0_Book3 5 6 2 2 4" xfId="8511" xr:uid="{00000000-0005-0000-0000-000031210000}"/>
    <cellStyle name="0_Book3 5 6 2 3" xfId="8512" xr:uid="{00000000-0005-0000-0000-000032210000}"/>
    <cellStyle name="0_Book3 5 6 2 3 2" xfId="8513" xr:uid="{00000000-0005-0000-0000-000033210000}"/>
    <cellStyle name="0_Book3 5 6 2 3 2 2" xfId="8514" xr:uid="{00000000-0005-0000-0000-000034210000}"/>
    <cellStyle name="0_Book3 5 6 2 3 3" xfId="8515" xr:uid="{00000000-0005-0000-0000-000035210000}"/>
    <cellStyle name="0_Book3 5 6 2 3 3 2" xfId="8516" xr:uid="{00000000-0005-0000-0000-000036210000}"/>
    <cellStyle name="0_Book3 5 6 2 3 4" xfId="8517" xr:uid="{00000000-0005-0000-0000-000037210000}"/>
    <cellStyle name="0_Book3 5 6 2 4" xfId="8518" xr:uid="{00000000-0005-0000-0000-000038210000}"/>
    <cellStyle name="0_Book3 5 6 2 4 2" xfId="8519" xr:uid="{00000000-0005-0000-0000-000039210000}"/>
    <cellStyle name="0_Book3 5 6 2 5" xfId="8520" xr:uid="{00000000-0005-0000-0000-00003A210000}"/>
    <cellStyle name="0_Book3 5 6 2 5 2" xfId="8521" xr:uid="{00000000-0005-0000-0000-00003B210000}"/>
    <cellStyle name="0_Book3 5 6 2 6" xfId="8522" xr:uid="{00000000-0005-0000-0000-00003C210000}"/>
    <cellStyle name="0_Book3 5 6 3" xfId="8523" xr:uid="{00000000-0005-0000-0000-00003D210000}"/>
    <cellStyle name="0_Book3 5 6 3 2" xfId="8524" xr:uid="{00000000-0005-0000-0000-00003E210000}"/>
    <cellStyle name="0_Book3 5 6 3 2 2" xfId="8525" xr:uid="{00000000-0005-0000-0000-00003F210000}"/>
    <cellStyle name="0_Book3 5 6 3 3" xfId="8526" xr:uid="{00000000-0005-0000-0000-000040210000}"/>
    <cellStyle name="0_Book3 5 6 3 3 2" xfId="8527" xr:uid="{00000000-0005-0000-0000-000041210000}"/>
    <cellStyle name="0_Book3 5 6 3 4" xfId="8528" xr:uid="{00000000-0005-0000-0000-000042210000}"/>
    <cellStyle name="0_Book3 5 6 4" xfId="8529" xr:uid="{00000000-0005-0000-0000-000043210000}"/>
    <cellStyle name="0_Book3 5 6 4 2" xfId="8530" xr:uid="{00000000-0005-0000-0000-000044210000}"/>
    <cellStyle name="0_Book3 5 6 4 2 2" xfId="8531" xr:uid="{00000000-0005-0000-0000-000045210000}"/>
    <cellStyle name="0_Book3 5 6 4 3" xfId="8532" xr:uid="{00000000-0005-0000-0000-000046210000}"/>
    <cellStyle name="0_Book3 5 6 4 3 2" xfId="8533" xr:uid="{00000000-0005-0000-0000-000047210000}"/>
    <cellStyle name="0_Book3 5 6 4 4" xfId="8534" xr:uid="{00000000-0005-0000-0000-000048210000}"/>
    <cellStyle name="0_Book3 5 6 5" xfId="8535" xr:uid="{00000000-0005-0000-0000-000049210000}"/>
    <cellStyle name="0_Book3 5 6 5 2" xfId="8536" xr:uid="{00000000-0005-0000-0000-00004A210000}"/>
    <cellStyle name="0_Book3 5 6 5 2 2" xfId="8537" xr:uid="{00000000-0005-0000-0000-00004B210000}"/>
    <cellStyle name="0_Book3 5 6 5 3" xfId="8538" xr:uid="{00000000-0005-0000-0000-00004C210000}"/>
    <cellStyle name="0_Book3 5 6 5 3 2" xfId="8539" xr:uid="{00000000-0005-0000-0000-00004D210000}"/>
    <cellStyle name="0_Book3 5 6 5 4" xfId="8540" xr:uid="{00000000-0005-0000-0000-00004E210000}"/>
    <cellStyle name="0_Book3 5 6 6" xfId="8541" xr:uid="{00000000-0005-0000-0000-00004F210000}"/>
    <cellStyle name="0_Book3 5 6 6 2" xfId="8542" xr:uid="{00000000-0005-0000-0000-000050210000}"/>
    <cellStyle name="0_Book3 5 6 7" xfId="8543" xr:uid="{00000000-0005-0000-0000-000051210000}"/>
    <cellStyle name="0_Book3 5 6 7 2" xfId="8544" xr:uid="{00000000-0005-0000-0000-000052210000}"/>
    <cellStyle name="0_Book3 5 6 8" xfId="8545" xr:uid="{00000000-0005-0000-0000-000053210000}"/>
    <cellStyle name="0_Book3 5 7" xfId="8546" xr:uid="{00000000-0005-0000-0000-000054210000}"/>
    <cellStyle name="0_Book3 5 7 2" xfId="8547" xr:uid="{00000000-0005-0000-0000-000055210000}"/>
    <cellStyle name="0_Book3 5 7 2 2" xfId="8548" xr:uid="{00000000-0005-0000-0000-000056210000}"/>
    <cellStyle name="0_Book3 5 7 2 2 2" xfId="8549" xr:uid="{00000000-0005-0000-0000-000057210000}"/>
    <cellStyle name="0_Book3 5 7 2 3" xfId="8550" xr:uid="{00000000-0005-0000-0000-000058210000}"/>
    <cellStyle name="0_Book3 5 7 2 3 2" xfId="8551" xr:uid="{00000000-0005-0000-0000-000059210000}"/>
    <cellStyle name="0_Book3 5 7 2 4" xfId="8552" xr:uid="{00000000-0005-0000-0000-00005A210000}"/>
    <cellStyle name="0_Book3 5 7 3" xfId="8553" xr:uid="{00000000-0005-0000-0000-00005B210000}"/>
    <cellStyle name="0_Book3 5 7 3 2" xfId="8554" xr:uid="{00000000-0005-0000-0000-00005C210000}"/>
    <cellStyle name="0_Book3 5 7 3 2 2" xfId="8555" xr:uid="{00000000-0005-0000-0000-00005D210000}"/>
    <cellStyle name="0_Book3 5 7 3 3" xfId="8556" xr:uid="{00000000-0005-0000-0000-00005E210000}"/>
    <cellStyle name="0_Book3 5 7 3 3 2" xfId="8557" xr:uid="{00000000-0005-0000-0000-00005F210000}"/>
    <cellStyle name="0_Book3 5 7 3 4" xfId="8558" xr:uid="{00000000-0005-0000-0000-000060210000}"/>
    <cellStyle name="0_Book3 5 7 4" xfId="8559" xr:uid="{00000000-0005-0000-0000-000061210000}"/>
    <cellStyle name="0_Book3 5 7 4 2" xfId="8560" xr:uid="{00000000-0005-0000-0000-000062210000}"/>
    <cellStyle name="0_Book3 5 7 5" xfId="8561" xr:uid="{00000000-0005-0000-0000-000063210000}"/>
    <cellStyle name="0_Book3 5 7 5 2" xfId="8562" xr:uid="{00000000-0005-0000-0000-000064210000}"/>
    <cellStyle name="0_Book3 5 7 6" xfId="8563" xr:uid="{00000000-0005-0000-0000-000065210000}"/>
    <cellStyle name="0_Book3 5 8" xfId="8564" xr:uid="{00000000-0005-0000-0000-000066210000}"/>
    <cellStyle name="0_Book3 5 8 2" xfId="8565" xr:uid="{00000000-0005-0000-0000-000067210000}"/>
    <cellStyle name="0_Book3 5 8 2 2" xfId="8566" xr:uid="{00000000-0005-0000-0000-000068210000}"/>
    <cellStyle name="0_Book3 5 8 3" xfId="8567" xr:uid="{00000000-0005-0000-0000-000069210000}"/>
    <cellStyle name="0_Book3 5 8 3 2" xfId="8568" xr:uid="{00000000-0005-0000-0000-00006A210000}"/>
    <cellStyle name="0_Book3 5 8 4" xfId="8569" xr:uid="{00000000-0005-0000-0000-00006B210000}"/>
    <cellStyle name="0_Book3 5 9" xfId="8570" xr:uid="{00000000-0005-0000-0000-00006C210000}"/>
    <cellStyle name="0_Book3 5 9 2" xfId="8571" xr:uid="{00000000-0005-0000-0000-00006D210000}"/>
    <cellStyle name="0_Book3 5 9 2 2" xfId="8572" xr:uid="{00000000-0005-0000-0000-00006E210000}"/>
    <cellStyle name="0_Book3 5 9 3" xfId="8573" xr:uid="{00000000-0005-0000-0000-00006F210000}"/>
    <cellStyle name="0_Book3 5 9 3 2" xfId="8574" xr:uid="{00000000-0005-0000-0000-000070210000}"/>
    <cellStyle name="0_Book3 5 9 4" xfId="8575" xr:uid="{00000000-0005-0000-0000-000071210000}"/>
    <cellStyle name="0_Book3 6" xfId="8576" xr:uid="{00000000-0005-0000-0000-000072210000}"/>
    <cellStyle name="0_Book3 6 2" xfId="8577" xr:uid="{00000000-0005-0000-0000-000073210000}"/>
    <cellStyle name="0_Book3 6 2 2" xfId="8578" xr:uid="{00000000-0005-0000-0000-000074210000}"/>
    <cellStyle name="0_Book3 6 2 2 2" xfId="8579" xr:uid="{00000000-0005-0000-0000-000075210000}"/>
    <cellStyle name="0_Book3 6 2 2 2 2" xfId="8580" xr:uid="{00000000-0005-0000-0000-000076210000}"/>
    <cellStyle name="0_Book3 6 2 2 3" xfId="8581" xr:uid="{00000000-0005-0000-0000-000077210000}"/>
    <cellStyle name="0_Book3 6 2 2 3 2" xfId="8582" xr:uid="{00000000-0005-0000-0000-000078210000}"/>
    <cellStyle name="0_Book3 6 2 2 4" xfId="8583" xr:uid="{00000000-0005-0000-0000-000079210000}"/>
    <cellStyle name="0_Book3 6 2 3" xfId="8584" xr:uid="{00000000-0005-0000-0000-00007A210000}"/>
    <cellStyle name="0_Book3 6 2 3 2" xfId="8585" xr:uid="{00000000-0005-0000-0000-00007B210000}"/>
    <cellStyle name="0_Book3 6 2 3 2 2" xfId="8586" xr:uid="{00000000-0005-0000-0000-00007C210000}"/>
    <cellStyle name="0_Book3 6 2 3 3" xfId="8587" xr:uid="{00000000-0005-0000-0000-00007D210000}"/>
    <cellStyle name="0_Book3 6 2 3 3 2" xfId="8588" xr:uid="{00000000-0005-0000-0000-00007E210000}"/>
    <cellStyle name="0_Book3 6 2 3 4" xfId="8589" xr:uid="{00000000-0005-0000-0000-00007F210000}"/>
    <cellStyle name="0_Book3 6 2 4" xfId="8590" xr:uid="{00000000-0005-0000-0000-000080210000}"/>
    <cellStyle name="0_Book3 6 2 4 2" xfId="8591" xr:uid="{00000000-0005-0000-0000-000081210000}"/>
    <cellStyle name="0_Book3 6 2 5" xfId="8592" xr:uid="{00000000-0005-0000-0000-000082210000}"/>
    <cellStyle name="0_Book3 6 2 5 2" xfId="8593" xr:uid="{00000000-0005-0000-0000-000083210000}"/>
    <cellStyle name="0_Book3 6 2 6" xfId="8594" xr:uid="{00000000-0005-0000-0000-000084210000}"/>
    <cellStyle name="0_Book3 6 3" xfId="8595" xr:uid="{00000000-0005-0000-0000-000085210000}"/>
    <cellStyle name="0_Book3 6 3 2" xfId="8596" xr:uid="{00000000-0005-0000-0000-000086210000}"/>
    <cellStyle name="0_Book3 6 3 2 2" xfId="8597" xr:uid="{00000000-0005-0000-0000-000087210000}"/>
    <cellStyle name="0_Book3 6 3 3" xfId="8598" xr:uid="{00000000-0005-0000-0000-000088210000}"/>
    <cellStyle name="0_Book3 6 3 3 2" xfId="8599" xr:uid="{00000000-0005-0000-0000-000089210000}"/>
    <cellStyle name="0_Book3 6 3 4" xfId="8600" xr:uid="{00000000-0005-0000-0000-00008A210000}"/>
    <cellStyle name="0_Book3 6 4" xfId="8601" xr:uid="{00000000-0005-0000-0000-00008B210000}"/>
    <cellStyle name="0_Book3 6 4 2" xfId="8602" xr:uid="{00000000-0005-0000-0000-00008C210000}"/>
    <cellStyle name="0_Book3 6 4 2 2" xfId="8603" xr:uid="{00000000-0005-0000-0000-00008D210000}"/>
    <cellStyle name="0_Book3 6 4 3" xfId="8604" xr:uid="{00000000-0005-0000-0000-00008E210000}"/>
    <cellStyle name="0_Book3 6 4 3 2" xfId="8605" xr:uid="{00000000-0005-0000-0000-00008F210000}"/>
    <cellStyle name="0_Book3 6 4 4" xfId="8606" xr:uid="{00000000-0005-0000-0000-000090210000}"/>
    <cellStyle name="0_Book3 6 5" xfId="8607" xr:uid="{00000000-0005-0000-0000-000091210000}"/>
    <cellStyle name="0_Book3 6 5 2" xfId="8608" xr:uid="{00000000-0005-0000-0000-000092210000}"/>
    <cellStyle name="0_Book3 6 5 2 2" xfId="8609" xr:uid="{00000000-0005-0000-0000-000093210000}"/>
    <cellStyle name="0_Book3 6 5 3" xfId="8610" xr:uid="{00000000-0005-0000-0000-000094210000}"/>
    <cellStyle name="0_Book3 6 5 3 2" xfId="8611" xr:uid="{00000000-0005-0000-0000-000095210000}"/>
    <cellStyle name="0_Book3 6 5 4" xfId="8612" xr:uid="{00000000-0005-0000-0000-000096210000}"/>
    <cellStyle name="0_Book3 6 6" xfId="8613" xr:uid="{00000000-0005-0000-0000-000097210000}"/>
    <cellStyle name="0_Book3 6 6 2" xfId="8614" xr:uid="{00000000-0005-0000-0000-000098210000}"/>
    <cellStyle name="0_Book3 6 7" xfId="8615" xr:uid="{00000000-0005-0000-0000-000099210000}"/>
    <cellStyle name="0_Book3 6 7 2" xfId="8616" xr:uid="{00000000-0005-0000-0000-00009A210000}"/>
    <cellStyle name="0_Book3 6 8" xfId="8617" xr:uid="{00000000-0005-0000-0000-00009B210000}"/>
    <cellStyle name="0_Book3 7" xfId="8618" xr:uid="{00000000-0005-0000-0000-00009C210000}"/>
    <cellStyle name="0_Book3 7 2" xfId="8619" xr:uid="{00000000-0005-0000-0000-00009D210000}"/>
    <cellStyle name="0_Book3 7 2 2" xfId="8620" xr:uid="{00000000-0005-0000-0000-00009E210000}"/>
    <cellStyle name="0_Book3 7 2 2 2" xfId="8621" xr:uid="{00000000-0005-0000-0000-00009F210000}"/>
    <cellStyle name="0_Book3 7 2 3" xfId="8622" xr:uid="{00000000-0005-0000-0000-0000A0210000}"/>
    <cellStyle name="0_Book3 7 2 3 2" xfId="8623" xr:uid="{00000000-0005-0000-0000-0000A1210000}"/>
    <cellStyle name="0_Book3 7 2 4" xfId="8624" xr:uid="{00000000-0005-0000-0000-0000A2210000}"/>
    <cellStyle name="0_Book3 7 3" xfId="8625" xr:uid="{00000000-0005-0000-0000-0000A3210000}"/>
    <cellStyle name="0_Book3 7 3 2" xfId="8626" xr:uid="{00000000-0005-0000-0000-0000A4210000}"/>
    <cellStyle name="0_Book3 7 3 2 2" xfId="8627" xr:uid="{00000000-0005-0000-0000-0000A5210000}"/>
    <cellStyle name="0_Book3 7 3 3" xfId="8628" xr:uid="{00000000-0005-0000-0000-0000A6210000}"/>
    <cellStyle name="0_Book3 7 3 3 2" xfId="8629" xr:uid="{00000000-0005-0000-0000-0000A7210000}"/>
    <cellStyle name="0_Book3 7 3 4" xfId="8630" xr:uid="{00000000-0005-0000-0000-0000A8210000}"/>
    <cellStyle name="0_Book3 7 4" xfId="8631" xr:uid="{00000000-0005-0000-0000-0000A9210000}"/>
    <cellStyle name="0_Book3 7 4 2" xfId="8632" xr:uid="{00000000-0005-0000-0000-0000AA210000}"/>
    <cellStyle name="0_Book3 7 5" xfId="8633" xr:uid="{00000000-0005-0000-0000-0000AB210000}"/>
    <cellStyle name="0_Book3 7 5 2" xfId="8634" xr:uid="{00000000-0005-0000-0000-0000AC210000}"/>
    <cellStyle name="0_Book3 7 6" xfId="8635" xr:uid="{00000000-0005-0000-0000-0000AD210000}"/>
    <cellStyle name="0_Book3 8" xfId="8636" xr:uid="{00000000-0005-0000-0000-0000AE210000}"/>
    <cellStyle name="0_Book3 8 2" xfId="8637" xr:uid="{00000000-0005-0000-0000-0000AF210000}"/>
    <cellStyle name="0_Book3 8 2 2" xfId="8638" xr:uid="{00000000-0005-0000-0000-0000B0210000}"/>
    <cellStyle name="0_Book3 8 2 2 2" xfId="8639" xr:uid="{00000000-0005-0000-0000-0000B1210000}"/>
    <cellStyle name="0_Book3 8 2 3" xfId="8640" xr:uid="{00000000-0005-0000-0000-0000B2210000}"/>
    <cellStyle name="0_Book3 8 2 3 2" xfId="8641" xr:uid="{00000000-0005-0000-0000-0000B3210000}"/>
    <cellStyle name="0_Book3 8 2 4" xfId="8642" xr:uid="{00000000-0005-0000-0000-0000B4210000}"/>
    <cellStyle name="0_Book3 8 3" xfId="8643" xr:uid="{00000000-0005-0000-0000-0000B5210000}"/>
    <cellStyle name="0_Book3 8 3 2" xfId="8644" xr:uid="{00000000-0005-0000-0000-0000B6210000}"/>
    <cellStyle name="0_Book3 8 3 2 2" xfId="8645" xr:uid="{00000000-0005-0000-0000-0000B7210000}"/>
    <cellStyle name="0_Book3 8 3 3" xfId="8646" xr:uid="{00000000-0005-0000-0000-0000B8210000}"/>
    <cellStyle name="0_Book3 8 3 3 2" xfId="8647" xr:uid="{00000000-0005-0000-0000-0000B9210000}"/>
    <cellStyle name="0_Book3 8 3 4" xfId="8648" xr:uid="{00000000-0005-0000-0000-0000BA210000}"/>
    <cellStyle name="0_Book3 8 4" xfId="8649" xr:uid="{00000000-0005-0000-0000-0000BB210000}"/>
    <cellStyle name="0_Book3 8 4 2" xfId="8650" xr:uid="{00000000-0005-0000-0000-0000BC210000}"/>
    <cellStyle name="0_Book3 8 5" xfId="8651" xr:uid="{00000000-0005-0000-0000-0000BD210000}"/>
    <cellStyle name="0_Book3 8 5 2" xfId="8652" xr:uid="{00000000-0005-0000-0000-0000BE210000}"/>
    <cellStyle name="0_Book3 8 6" xfId="8653" xr:uid="{00000000-0005-0000-0000-0000BF210000}"/>
    <cellStyle name="0_Book3 9" xfId="8654" xr:uid="{00000000-0005-0000-0000-0000C0210000}"/>
    <cellStyle name="0_Book3 9 2" xfId="8655" xr:uid="{00000000-0005-0000-0000-0000C1210000}"/>
    <cellStyle name="0_Book3 9 2 2" xfId="8656" xr:uid="{00000000-0005-0000-0000-0000C2210000}"/>
    <cellStyle name="0_Book3 9 3" xfId="8657" xr:uid="{00000000-0005-0000-0000-0000C3210000}"/>
    <cellStyle name="0_Book3 9 3 2" xfId="8658" xr:uid="{00000000-0005-0000-0000-0000C4210000}"/>
    <cellStyle name="0_Book3 9 4" xfId="8659" xr:uid="{00000000-0005-0000-0000-0000C5210000}"/>
    <cellStyle name="0_BOUSHER AMERAT III" xfId="8660" xr:uid="{00000000-0005-0000-0000-0000C6210000}"/>
    <cellStyle name="0_BOUSHER AMERAT III 10" xfId="8661" xr:uid="{00000000-0005-0000-0000-0000C7210000}"/>
    <cellStyle name="0_BOUSHER AMERAT III 10 2" xfId="8662" xr:uid="{00000000-0005-0000-0000-0000C8210000}"/>
    <cellStyle name="0_BOUSHER AMERAT III 10 2 2" xfId="8663" xr:uid="{00000000-0005-0000-0000-0000C9210000}"/>
    <cellStyle name="0_BOUSHER AMERAT III 10 3" xfId="8664" xr:uid="{00000000-0005-0000-0000-0000CA210000}"/>
    <cellStyle name="0_BOUSHER AMERAT III 10 3 2" xfId="8665" xr:uid="{00000000-0005-0000-0000-0000CB210000}"/>
    <cellStyle name="0_BOUSHER AMERAT III 10 4" xfId="8666" xr:uid="{00000000-0005-0000-0000-0000CC210000}"/>
    <cellStyle name="0_BOUSHER AMERAT III 10 5" xfId="8667" xr:uid="{00000000-0005-0000-0000-0000CD210000}"/>
    <cellStyle name="0_BOUSHER AMERAT III 11" xfId="8668" xr:uid="{00000000-0005-0000-0000-0000CE210000}"/>
    <cellStyle name="0_BOUSHER AMERAT III 11 2" xfId="8669" xr:uid="{00000000-0005-0000-0000-0000CF210000}"/>
    <cellStyle name="0_BOUSHER AMERAT III 11 3" xfId="8670" xr:uid="{00000000-0005-0000-0000-0000D0210000}"/>
    <cellStyle name="0_BOUSHER AMERAT III 11 4" xfId="8671" xr:uid="{00000000-0005-0000-0000-0000D1210000}"/>
    <cellStyle name="0_BOUSHER AMERAT III 11 5" xfId="8672" xr:uid="{00000000-0005-0000-0000-0000D2210000}"/>
    <cellStyle name="0_BOUSHER AMERAT III 12" xfId="8673" xr:uid="{00000000-0005-0000-0000-0000D3210000}"/>
    <cellStyle name="0_BOUSHER AMERAT III 12 2" xfId="8674" xr:uid="{00000000-0005-0000-0000-0000D4210000}"/>
    <cellStyle name="0_BOUSHER AMERAT III 13" xfId="8675" xr:uid="{00000000-0005-0000-0000-0000D5210000}"/>
    <cellStyle name="0_BOUSHER AMERAT III 13 2" xfId="8676" xr:uid="{00000000-0005-0000-0000-0000D6210000}"/>
    <cellStyle name="0_BOUSHER AMERAT III 14" xfId="8677" xr:uid="{00000000-0005-0000-0000-0000D7210000}"/>
    <cellStyle name="0_BOUSHER AMERAT III 15" xfId="8678" xr:uid="{00000000-0005-0000-0000-0000D8210000}"/>
    <cellStyle name="0_BOUSHER AMERAT III 16" xfId="8679" xr:uid="{00000000-0005-0000-0000-0000D9210000}"/>
    <cellStyle name="0_BOUSHER AMERAT III 17" xfId="8680" xr:uid="{00000000-0005-0000-0000-0000DA210000}"/>
    <cellStyle name="0_BOUSHER AMERAT III 18" xfId="8681" xr:uid="{00000000-0005-0000-0000-0000DB210000}"/>
    <cellStyle name="0_BOUSHER AMERAT III 19" xfId="8682" xr:uid="{00000000-0005-0000-0000-0000DC210000}"/>
    <cellStyle name="0_BOUSHER AMERAT III 2" xfId="8683" xr:uid="{00000000-0005-0000-0000-0000DD210000}"/>
    <cellStyle name="0_BOUSHER AMERAT III 2 10" xfId="8684" xr:uid="{00000000-0005-0000-0000-0000DE210000}"/>
    <cellStyle name="0_BOUSHER AMERAT III 2 10 2" xfId="8685" xr:uid="{00000000-0005-0000-0000-0000DF210000}"/>
    <cellStyle name="0_BOUSHER AMERAT III 2 11" xfId="8686" xr:uid="{00000000-0005-0000-0000-0000E0210000}"/>
    <cellStyle name="0_BOUSHER AMERAT III 2 11 2" xfId="8687" xr:uid="{00000000-0005-0000-0000-0000E1210000}"/>
    <cellStyle name="0_BOUSHER AMERAT III 2 12" xfId="8688" xr:uid="{00000000-0005-0000-0000-0000E2210000}"/>
    <cellStyle name="0_BOUSHER AMERAT III 2 13" xfId="8689" xr:uid="{00000000-0005-0000-0000-0000E3210000}"/>
    <cellStyle name="0_BOUSHER AMERAT III 2 14" xfId="8690" xr:uid="{00000000-0005-0000-0000-0000E4210000}"/>
    <cellStyle name="0_BOUSHER AMERAT III 2 15" xfId="8691" xr:uid="{00000000-0005-0000-0000-0000E5210000}"/>
    <cellStyle name="0_BOUSHER AMERAT III 2 2" xfId="8692" xr:uid="{00000000-0005-0000-0000-0000E6210000}"/>
    <cellStyle name="0_BOUSHER AMERAT III 2 2 2" xfId="8693" xr:uid="{00000000-0005-0000-0000-0000E7210000}"/>
    <cellStyle name="0_BOUSHER AMERAT III 2 2 2 2" xfId="8694" xr:uid="{00000000-0005-0000-0000-0000E8210000}"/>
    <cellStyle name="0_BOUSHER AMERAT III 2 2 2 2 2" xfId="8695" xr:uid="{00000000-0005-0000-0000-0000E9210000}"/>
    <cellStyle name="0_BOUSHER AMERAT III 2 2 2 2 2 2" xfId="8696" xr:uid="{00000000-0005-0000-0000-0000EA210000}"/>
    <cellStyle name="0_BOUSHER AMERAT III 2 2 2 2 3" xfId="8697" xr:uid="{00000000-0005-0000-0000-0000EB210000}"/>
    <cellStyle name="0_BOUSHER AMERAT III 2 2 2 2 3 2" xfId="8698" xr:uid="{00000000-0005-0000-0000-0000EC210000}"/>
    <cellStyle name="0_BOUSHER AMERAT III 2 2 2 2 4" xfId="8699" xr:uid="{00000000-0005-0000-0000-0000ED210000}"/>
    <cellStyle name="0_BOUSHER AMERAT III 2 2 2 3" xfId="8700" xr:uid="{00000000-0005-0000-0000-0000EE210000}"/>
    <cellStyle name="0_BOUSHER AMERAT III 2 2 2 3 2" xfId="8701" xr:uid="{00000000-0005-0000-0000-0000EF210000}"/>
    <cellStyle name="0_BOUSHER AMERAT III 2 2 2 3 2 2" xfId="8702" xr:uid="{00000000-0005-0000-0000-0000F0210000}"/>
    <cellStyle name="0_BOUSHER AMERAT III 2 2 2 3 3" xfId="8703" xr:uid="{00000000-0005-0000-0000-0000F1210000}"/>
    <cellStyle name="0_BOUSHER AMERAT III 2 2 2 3 3 2" xfId="8704" xr:uid="{00000000-0005-0000-0000-0000F2210000}"/>
    <cellStyle name="0_BOUSHER AMERAT III 2 2 2 3 4" xfId="8705" xr:uid="{00000000-0005-0000-0000-0000F3210000}"/>
    <cellStyle name="0_BOUSHER AMERAT III 2 2 2 4" xfId="8706" xr:uid="{00000000-0005-0000-0000-0000F4210000}"/>
    <cellStyle name="0_BOUSHER AMERAT III 2 2 2 4 2" xfId="8707" xr:uid="{00000000-0005-0000-0000-0000F5210000}"/>
    <cellStyle name="0_BOUSHER AMERAT III 2 2 2 5" xfId="8708" xr:uid="{00000000-0005-0000-0000-0000F6210000}"/>
    <cellStyle name="0_BOUSHER AMERAT III 2 2 2 5 2" xfId="8709" xr:uid="{00000000-0005-0000-0000-0000F7210000}"/>
    <cellStyle name="0_BOUSHER AMERAT III 2 2 2 6" xfId="8710" xr:uid="{00000000-0005-0000-0000-0000F8210000}"/>
    <cellStyle name="0_BOUSHER AMERAT III 2 2 3" xfId="8711" xr:uid="{00000000-0005-0000-0000-0000F9210000}"/>
    <cellStyle name="0_BOUSHER AMERAT III 2 2 3 2" xfId="8712" xr:uid="{00000000-0005-0000-0000-0000FA210000}"/>
    <cellStyle name="0_BOUSHER AMERAT III 2 2 3 2 2" xfId="8713" xr:uid="{00000000-0005-0000-0000-0000FB210000}"/>
    <cellStyle name="0_BOUSHER AMERAT III 2 2 3 3" xfId="8714" xr:uid="{00000000-0005-0000-0000-0000FC210000}"/>
    <cellStyle name="0_BOUSHER AMERAT III 2 2 3 3 2" xfId="8715" xr:uid="{00000000-0005-0000-0000-0000FD210000}"/>
    <cellStyle name="0_BOUSHER AMERAT III 2 2 3 4" xfId="8716" xr:uid="{00000000-0005-0000-0000-0000FE210000}"/>
    <cellStyle name="0_BOUSHER AMERAT III 2 2 4" xfId="8717" xr:uid="{00000000-0005-0000-0000-0000FF210000}"/>
    <cellStyle name="0_BOUSHER AMERAT III 2 2 4 2" xfId="8718" xr:uid="{00000000-0005-0000-0000-000000220000}"/>
    <cellStyle name="0_BOUSHER AMERAT III 2 2 4 2 2" xfId="8719" xr:uid="{00000000-0005-0000-0000-000001220000}"/>
    <cellStyle name="0_BOUSHER AMERAT III 2 2 4 3" xfId="8720" xr:uid="{00000000-0005-0000-0000-000002220000}"/>
    <cellStyle name="0_BOUSHER AMERAT III 2 2 4 3 2" xfId="8721" xr:uid="{00000000-0005-0000-0000-000003220000}"/>
    <cellStyle name="0_BOUSHER AMERAT III 2 2 4 4" xfId="8722" xr:uid="{00000000-0005-0000-0000-000004220000}"/>
    <cellStyle name="0_BOUSHER AMERAT III 2 2 5" xfId="8723" xr:uid="{00000000-0005-0000-0000-000005220000}"/>
    <cellStyle name="0_BOUSHER AMERAT III 2 2 5 2" xfId="8724" xr:uid="{00000000-0005-0000-0000-000006220000}"/>
    <cellStyle name="0_BOUSHER AMERAT III 2 2 5 2 2" xfId="8725" xr:uid="{00000000-0005-0000-0000-000007220000}"/>
    <cellStyle name="0_BOUSHER AMERAT III 2 2 5 3" xfId="8726" xr:uid="{00000000-0005-0000-0000-000008220000}"/>
    <cellStyle name="0_BOUSHER AMERAT III 2 2 5 3 2" xfId="8727" xr:uid="{00000000-0005-0000-0000-000009220000}"/>
    <cellStyle name="0_BOUSHER AMERAT III 2 2 5 4" xfId="8728" xr:uid="{00000000-0005-0000-0000-00000A220000}"/>
    <cellStyle name="0_BOUSHER AMERAT III 2 2 6" xfId="8729" xr:uid="{00000000-0005-0000-0000-00000B220000}"/>
    <cellStyle name="0_BOUSHER AMERAT III 2 2 6 2" xfId="8730" xr:uid="{00000000-0005-0000-0000-00000C220000}"/>
    <cellStyle name="0_BOUSHER AMERAT III 2 2 7" xfId="8731" xr:uid="{00000000-0005-0000-0000-00000D220000}"/>
    <cellStyle name="0_BOUSHER AMERAT III 2 2 7 2" xfId="8732" xr:uid="{00000000-0005-0000-0000-00000E220000}"/>
    <cellStyle name="0_BOUSHER AMERAT III 2 2 8" xfId="8733" xr:uid="{00000000-0005-0000-0000-00000F220000}"/>
    <cellStyle name="0_BOUSHER AMERAT III 2 3" xfId="8734" xr:uid="{00000000-0005-0000-0000-000010220000}"/>
    <cellStyle name="0_BOUSHER AMERAT III 2 3 2" xfId="8735" xr:uid="{00000000-0005-0000-0000-000011220000}"/>
    <cellStyle name="0_BOUSHER AMERAT III 2 3 2 2" xfId="8736" xr:uid="{00000000-0005-0000-0000-000012220000}"/>
    <cellStyle name="0_BOUSHER AMERAT III 2 3 2 2 2" xfId="8737" xr:uid="{00000000-0005-0000-0000-000013220000}"/>
    <cellStyle name="0_BOUSHER AMERAT III 2 3 2 2 2 2" xfId="8738" xr:uid="{00000000-0005-0000-0000-000014220000}"/>
    <cellStyle name="0_BOUSHER AMERAT III 2 3 2 2 3" xfId="8739" xr:uid="{00000000-0005-0000-0000-000015220000}"/>
    <cellStyle name="0_BOUSHER AMERAT III 2 3 2 2 3 2" xfId="8740" xr:uid="{00000000-0005-0000-0000-000016220000}"/>
    <cellStyle name="0_BOUSHER AMERAT III 2 3 2 2 4" xfId="8741" xr:uid="{00000000-0005-0000-0000-000017220000}"/>
    <cellStyle name="0_BOUSHER AMERAT III 2 3 2 3" xfId="8742" xr:uid="{00000000-0005-0000-0000-000018220000}"/>
    <cellStyle name="0_BOUSHER AMERAT III 2 3 2 3 2" xfId="8743" xr:uid="{00000000-0005-0000-0000-000019220000}"/>
    <cellStyle name="0_BOUSHER AMERAT III 2 3 2 3 2 2" xfId="8744" xr:uid="{00000000-0005-0000-0000-00001A220000}"/>
    <cellStyle name="0_BOUSHER AMERAT III 2 3 2 3 3" xfId="8745" xr:uid="{00000000-0005-0000-0000-00001B220000}"/>
    <cellStyle name="0_BOUSHER AMERAT III 2 3 2 3 3 2" xfId="8746" xr:uid="{00000000-0005-0000-0000-00001C220000}"/>
    <cellStyle name="0_BOUSHER AMERAT III 2 3 2 3 4" xfId="8747" xr:uid="{00000000-0005-0000-0000-00001D220000}"/>
    <cellStyle name="0_BOUSHER AMERAT III 2 3 2 4" xfId="8748" xr:uid="{00000000-0005-0000-0000-00001E220000}"/>
    <cellStyle name="0_BOUSHER AMERAT III 2 3 2 4 2" xfId="8749" xr:uid="{00000000-0005-0000-0000-00001F220000}"/>
    <cellStyle name="0_BOUSHER AMERAT III 2 3 2 5" xfId="8750" xr:uid="{00000000-0005-0000-0000-000020220000}"/>
    <cellStyle name="0_BOUSHER AMERAT III 2 3 2 5 2" xfId="8751" xr:uid="{00000000-0005-0000-0000-000021220000}"/>
    <cellStyle name="0_BOUSHER AMERAT III 2 3 2 6" xfId="8752" xr:uid="{00000000-0005-0000-0000-000022220000}"/>
    <cellStyle name="0_BOUSHER AMERAT III 2 3 3" xfId="8753" xr:uid="{00000000-0005-0000-0000-000023220000}"/>
    <cellStyle name="0_BOUSHER AMERAT III 2 3 3 2" xfId="8754" xr:uid="{00000000-0005-0000-0000-000024220000}"/>
    <cellStyle name="0_BOUSHER AMERAT III 2 3 3 2 2" xfId="8755" xr:uid="{00000000-0005-0000-0000-000025220000}"/>
    <cellStyle name="0_BOUSHER AMERAT III 2 3 3 3" xfId="8756" xr:uid="{00000000-0005-0000-0000-000026220000}"/>
    <cellStyle name="0_BOUSHER AMERAT III 2 3 3 3 2" xfId="8757" xr:uid="{00000000-0005-0000-0000-000027220000}"/>
    <cellStyle name="0_BOUSHER AMERAT III 2 3 3 4" xfId="8758" xr:uid="{00000000-0005-0000-0000-000028220000}"/>
    <cellStyle name="0_BOUSHER AMERAT III 2 3 4" xfId="8759" xr:uid="{00000000-0005-0000-0000-000029220000}"/>
    <cellStyle name="0_BOUSHER AMERAT III 2 3 4 2" xfId="8760" xr:uid="{00000000-0005-0000-0000-00002A220000}"/>
    <cellStyle name="0_BOUSHER AMERAT III 2 3 4 2 2" xfId="8761" xr:uid="{00000000-0005-0000-0000-00002B220000}"/>
    <cellStyle name="0_BOUSHER AMERAT III 2 3 4 3" xfId="8762" xr:uid="{00000000-0005-0000-0000-00002C220000}"/>
    <cellStyle name="0_BOUSHER AMERAT III 2 3 4 3 2" xfId="8763" xr:uid="{00000000-0005-0000-0000-00002D220000}"/>
    <cellStyle name="0_BOUSHER AMERAT III 2 3 4 4" xfId="8764" xr:uid="{00000000-0005-0000-0000-00002E220000}"/>
    <cellStyle name="0_BOUSHER AMERAT III 2 3 5" xfId="8765" xr:uid="{00000000-0005-0000-0000-00002F220000}"/>
    <cellStyle name="0_BOUSHER AMERAT III 2 3 5 2" xfId="8766" xr:uid="{00000000-0005-0000-0000-000030220000}"/>
    <cellStyle name="0_BOUSHER AMERAT III 2 3 5 2 2" xfId="8767" xr:uid="{00000000-0005-0000-0000-000031220000}"/>
    <cellStyle name="0_BOUSHER AMERAT III 2 3 5 3" xfId="8768" xr:uid="{00000000-0005-0000-0000-000032220000}"/>
    <cellStyle name="0_BOUSHER AMERAT III 2 3 5 3 2" xfId="8769" xr:uid="{00000000-0005-0000-0000-000033220000}"/>
    <cellStyle name="0_BOUSHER AMERAT III 2 3 5 4" xfId="8770" xr:uid="{00000000-0005-0000-0000-000034220000}"/>
    <cellStyle name="0_BOUSHER AMERAT III 2 3 6" xfId="8771" xr:uid="{00000000-0005-0000-0000-000035220000}"/>
    <cellStyle name="0_BOUSHER AMERAT III 2 3 6 2" xfId="8772" xr:uid="{00000000-0005-0000-0000-000036220000}"/>
    <cellStyle name="0_BOUSHER AMERAT III 2 3 7" xfId="8773" xr:uid="{00000000-0005-0000-0000-000037220000}"/>
    <cellStyle name="0_BOUSHER AMERAT III 2 3 7 2" xfId="8774" xr:uid="{00000000-0005-0000-0000-000038220000}"/>
    <cellStyle name="0_BOUSHER AMERAT III 2 3 8" xfId="8775" xr:uid="{00000000-0005-0000-0000-000039220000}"/>
    <cellStyle name="0_BOUSHER AMERAT III 2 4" xfId="8776" xr:uid="{00000000-0005-0000-0000-00003A220000}"/>
    <cellStyle name="0_BOUSHER AMERAT III 2 4 2" xfId="8777" xr:uid="{00000000-0005-0000-0000-00003B220000}"/>
    <cellStyle name="0_BOUSHER AMERAT III 2 4 2 2" xfId="8778" xr:uid="{00000000-0005-0000-0000-00003C220000}"/>
    <cellStyle name="0_BOUSHER AMERAT III 2 4 2 2 2" xfId="8779" xr:uid="{00000000-0005-0000-0000-00003D220000}"/>
    <cellStyle name="0_BOUSHER AMERAT III 2 4 2 2 2 2" xfId="8780" xr:uid="{00000000-0005-0000-0000-00003E220000}"/>
    <cellStyle name="0_BOUSHER AMERAT III 2 4 2 2 3" xfId="8781" xr:uid="{00000000-0005-0000-0000-00003F220000}"/>
    <cellStyle name="0_BOUSHER AMERAT III 2 4 2 2 3 2" xfId="8782" xr:uid="{00000000-0005-0000-0000-000040220000}"/>
    <cellStyle name="0_BOUSHER AMERAT III 2 4 2 2 4" xfId="8783" xr:uid="{00000000-0005-0000-0000-000041220000}"/>
    <cellStyle name="0_BOUSHER AMERAT III 2 4 2 3" xfId="8784" xr:uid="{00000000-0005-0000-0000-000042220000}"/>
    <cellStyle name="0_BOUSHER AMERAT III 2 4 2 3 2" xfId="8785" xr:uid="{00000000-0005-0000-0000-000043220000}"/>
    <cellStyle name="0_BOUSHER AMERAT III 2 4 2 3 2 2" xfId="8786" xr:uid="{00000000-0005-0000-0000-000044220000}"/>
    <cellStyle name="0_BOUSHER AMERAT III 2 4 2 3 3" xfId="8787" xr:uid="{00000000-0005-0000-0000-000045220000}"/>
    <cellStyle name="0_BOUSHER AMERAT III 2 4 2 3 3 2" xfId="8788" xr:uid="{00000000-0005-0000-0000-000046220000}"/>
    <cellStyle name="0_BOUSHER AMERAT III 2 4 2 3 4" xfId="8789" xr:uid="{00000000-0005-0000-0000-000047220000}"/>
    <cellStyle name="0_BOUSHER AMERAT III 2 4 2 4" xfId="8790" xr:uid="{00000000-0005-0000-0000-000048220000}"/>
    <cellStyle name="0_BOUSHER AMERAT III 2 4 2 4 2" xfId="8791" xr:uid="{00000000-0005-0000-0000-000049220000}"/>
    <cellStyle name="0_BOUSHER AMERAT III 2 4 2 5" xfId="8792" xr:uid="{00000000-0005-0000-0000-00004A220000}"/>
    <cellStyle name="0_BOUSHER AMERAT III 2 4 2 5 2" xfId="8793" xr:uid="{00000000-0005-0000-0000-00004B220000}"/>
    <cellStyle name="0_BOUSHER AMERAT III 2 4 2 6" xfId="8794" xr:uid="{00000000-0005-0000-0000-00004C220000}"/>
    <cellStyle name="0_BOUSHER AMERAT III 2 4 3" xfId="8795" xr:uid="{00000000-0005-0000-0000-00004D220000}"/>
    <cellStyle name="0_BOUSHER AMERAT III 2 4 3 2" xfId="8796" xr:uid="{00000000-0005-0000-0000-00004E220000}"/>
    <cellStyle name="0_BOUSHER AMERAT III 2 4 3 2 2" xfId="8797" xr:uid="{00000000-0005-0000-0000-00004F220000}"/>
    <cellStyle name="0_BOUSHER AMERAT III 2 4 3 3" xfId="8798" xr:uid="{00000000-0005-0000-0000-000050220000}"/>
    <cellStyle name="0_BOUSHER AMERAT III 2 4 3 3 2" xfId="8799" xr:uid="{00000000-0005-0000-0000-000051220000}"/>
    <cellStyle name="0_BOUSHER AMERAT III 2 4 3 4" xfId="8800" xr:uid="{00000000-0005-0000-0000-000052220000}"/>
    <cellStyle name="0_BOUSHER AMERAT III 2 4 4" xfId="8801" xr:uid="{00000000-0005-0000-0000-000053220000}"/>
    <cellStyle name="0_BOUSHER AMERAT III 2 4 4 2" xfId="8802" xr:uid="{00000000-0005-0000-0000-000054220000}"/>
    <cellStyle name="0_BOUSHER AMERAT III 2 4 4 2 2" xfId="8803" xr:uid="{00000000-0005-0000-0000-000055220000}"/>
    <cellStyle name="0_BOUSHER AMERAT III 2 4 4 3" xfId="8804" xr:uid="{00000000-0005-0000-0000-000056220000}"/>
    <cellStyle name="0_BOUSHER AMERAT III 2 4 4 3 2" xfId="8805" xr:uid="{00000000-0005-0000-0000-000057220000}"/>
    <cellStyle name="0_BOUSHER AMERAT III 2 4 4 4" xfId="8806" xr:uid="{00000000-0005-0000-0000-000058220000}"/>
    <cellStyle name="0_BOUSHER AMERAT III 2 4 5" xfId="8807" xr:uid="{00000000-0005-0000-0000-000059220000}"/>
    <cellStyle name="0_BOUSHER AMERAT III 2 4 5 2" xfId="8808" xr:uid="{00000000-0005-0000-0000-00005A220000}"/>
    <cellStyle name="0_BOUSHER AMERAT III 2 4 5 2 2" xfId="8809" xr:uid="{00000000-0005-0000-0000-00005B220000}"/>
    <cellStyle name="0_BOUSHER AMERAT III 2 4 5 3" xfId="8810" xr:uid="{00000000-0005-0000-0000-00005C220000}"/>
    <cellStyle name="0_BOUSHER AMERAT III 2 4 5 3 2" xfId="8811" xr:uid="{00000000-0005-0000-0000-00005D220000}"/>
    <cellStyle name="0_BOUSHER AMERAT III 2 4 5 4" xfId="8812" xr:uid="{00000000-0005-0000-0000-00005E220000}"/>
    <cellStyle name="0_BOUSHER AMERAT III 2 4 6" xfId="8813" xr:uid="{00000000-0005-0000-0000-00005F220000}"/>
    <cellStyle name="0_BOUSHER AMERAT III 2 4 6 2" xfId="8814" xr:uid="{00000000-0005-0000-0000-000060220000}"/>
    <cellStyle name="0_BOUSHER AMERAT III 2 4 7" xfId="8815" xr:uid="{00000000-0005-0000-0000-000061220000}"/>
    <cellStyle name="0_BOUSHER AMERAT III 2 4 7 2" xfId="8816" xr:uid="{00000000-0005-0000-0000-000062220000}"/>
    <cellStyle name="0_BOUSHER AMERAT III 2 4 8" xfId="8817" xr:uid="{00000000-0005-0000-0000-000063220000}"/>
    <cellStyle name="0_BOUSHER AMERAT III 2 5" xfId="8818" xr:uid="{00000000-0005-0000-0000-000064220000}"/>
    <cellStyle name="0_BOUSHER AMERAT III 2 5 2" xfId="8819" xr:uid="{00000000-0005-0000-0000-000065220000}"/>
    <cellStyle name="0_BOUSHER AMERAT III 2 5 2 2" xfId="8820" xr:uid="{00000000-0005-0000-0000-000066220000}"/>
    <cellStyle name="0_BOUSHER AMERAT III 2 5 2 2 2" xfId="8821" xr:uid="{00000000-0005-0000-0000-000067220000}"/>
    <cellStyle name="0_BOUSHER AMERAT III 2 5 2 2 2 2" xfId="8822" xr:uid="{00000000-0005-0000-0000-000068220000}"/>
    <cellStyle name="0_BOUSHER AMERAT III 2 5 2 2 3" xfId="8823" xr:uid="{00000000-0005-0000-0000-000069220000}"/>
    <cellStyle name="0_BOUSHER AMERAT III 2 5 2 2 3 2" xfId="8824" xr:uid="{00000000-0005-0000-0000-00006A220000}"/>
    <cellStyle name="0_BOUSHER AMERAT III 2 5 2 2 4" xfId="8825" xr:uid="{00000000-0005-0000-0000-00006B220000}"/>
    <cellStyle name="0_BOUSHER AMERAT III 2 5 2 3" xfId="8826" xr:uid="{00000000-0005-0000-0000-00006C220000}"/>
    <cellStyle name="0_BOUSHER AMERAT III 2 5 2 3 2" xfId="8827" xr:uid="{00000000-0005-0000-0000-00006D220000}"/>
    <cellStyle name="0_BOUSHER AMERAT III 2 5 2 3 2 2" xfId="8828" xr:uid="{00000000-0005-0000-0000-00006E220000}"/>
    <cellStyle name="0_BOUSHER AMERAT III 2 5 2 3 3" xfId="8829" xr:uid="{00000000-0005-0000-0000-00006F220000}"/>
    <cellStyle name="0_BOUSHER AMERAT III 2 5 2 3 3 2" xfId="8830" xr:uid="{00000000-0005-0000-0000-000070220000}"/>
    <cellStyle name="0_BOUSHER AMERAT III 2 5 2 3 4" xfId="8831" xr:uid="{00000000-0005-0000-0000-000071220000}"/>
    <cellStyle name="0_BOUSHER AMERAT III 2 5 2 4" xfId="8832" xr:uid="{00000000-0005-0000-0000-000072220000}"/>
    <cellStyle name="0_BOUSHER AMERAT III 2 5 2 4 2" xfId="8833" xr:uid="{00000000-0005-0000-0000-000073220000}"/>
    <cellStyle name="0_BOUSHER AMERAT III 2 5 2 5" xfId="8834" xr:uid="{00000000-0005-0000-0000-000074220000}"/>
    <cellStyle name="0_BOUSHER AMERAT III 2 5 2 5 2" xfId="8835" xr:uid="{00000000-0005-0000-0000-000075220000}"/>
    <cellStyle name="0_BOUSHER AMERAT III 2 5 2 6" xfId="8836" xr:uid="{00000000-0005-0000-0000-000076220000}"/>
    <cellStyle name="0_BOUSHER AMERAT III 2 5 3" xfId="8837" xr:uid="{00000000-0005-0000-0000-000077220000}"/>
    <cellStyle name="0_BOUSHER AMERAT III 2 5 3 2" xfId="8838" xr:uid="{00000000-0005-0000-0000-000078220000}"/>
    <cellStyle name="0_BOUSHER AMERAT III 2 5 3 2 2" xfId="8839" xr:uid="{00000000-0005-0000-0000-000079220000}"/>
    <cellStyle name="0_BOUSHER AMERAT III 2 5 3 3" xfId="8840" xr:uid="{00000000-0005-0000-0000-00007A220000}"/>
    <cellStyle name="0_BOUSHER AMERAT III 2 5 3 3 2" xfId="8841" xr:uid="{00000000-0005-0000-0000-00007B220000}"/>
    <cellStyle name="0_BOUSHER AMERAT III 2 5 3 4" xfId="8842" xr:uid="{00000000-0005-0000-0000-00007C220000}"/>
    <cellStyle name="0_BOUSHER AMERAT III 2 5 4" xfId="8843" xr:uid="{00000000-0005-0000-0000-00007D220000}"/>
    <cellStyle name="0_BOUSHER AMERAT III 2 5 4 2" xfId="8844" xr:uid="{00000000-0005-0000-0000-00007E220000}"/>
    <cellStyle name="0_BOUSHER AMERAT III 2 5 4 2 2" xfId="8845" xr:uid="{00000000-0005-0000-0000-00007F220000}"/>
    <cellStyle name="0_BOUSHER AMERAT III 2 5 4 3" xfId="8846" xr:uid="{00000000-0005-0000-0000-000080220000}"/>
    <cellStyle name="0_BOUSHER AMERAT III 2 5 4 3 2" xfId="8847" xr:uid="{00000000-0005-0000-0000-000081220000}"/>
    <cellStyle name="0_BOUSHER AMERAT III 2 5 4 4" xfId="8848" xr:uid="{00000000-0005-0000-0000-000082220000}"/>
    <cellStyle name="0_BOUSHER AMERAT III 2 5 5" xfId="8849" xr:uid="{00000000-0005-0000-0000-000083220000}"/>
    <cellStyle name="0_BOUSHER AMERAT III 2 5 5 2" xfId="8850" xr:uid="{00000000-0005-0000-0000-000084220000}"/>
    <cellStyle name="0_BOUSHER AMERAT III 2 5 5 2 2" xfId="8851" xr:uid="{00000000-0005-0000-0000-000085220000}"/>
    <cellStyle name="0_BOUSHER AMERAT III 2 5 5 3" xfId="8852" xr:uid="{00000000-0005-0000-0000-000086220000}"/>
    <cellStyle name="0_BOUSHER AMERAT III 2 5 5 3 2" xfId="8853" xr:uid="{00000000-0005-0000-0000-000087220000}"/>
    <cellStyle name="0_BOUSHER AMERAT III 2 5 5 4" xfId="8854" xr:uid="{00000000-0005-0000-0000-000088220000}"/>
    <cellStyle name="0_BOUSHER AMERAT III 2 5 6" xfId="8855" xr:uid="{00000000-0005-0000-0000-000089220000}"/>
    <cellStyle name="0_BOUSHER AMERAT III 2 5 6 2" xfId="8856" xr:uid="{00000000-0005-0000-0000-00008A220000}"/>
    <cellStyle name="0_BOUSHER AMERAT III 2 5 7" xfId="8857" xr:uid="{00000000-0005-0000-0000-00008B220000}"/>
    <cellStyle name="0_BOUSHER AMERAT III 2 5 7 2" xfId="8858" xr:uid="{00000000-0005-0000-0000-00008C220000}"/>
    <cellStyle name="0_BOUSHER AMERAT III 2 5 8" xfId="8859" xr:uid="{00000000-0005-0000-0000-00008D220000}"/>
    <cellStyle name="0_BOUSHER AMERAT III 2 6" xfId="8860" xr:uid="{00000000-0005-0000-0000-00008E220000}"/>
    <cellStyle name="0_BOUSHER AMERAT III 2 6 2" xfId="8861" xr:uid="{00000000-0005-0000-0000-00008F220000}"/>
    <cellStyle name="0_BOUSHER AMERAT III 2 6 2 2" xfId="8862" xr:uid="{00000000-0005-0000-0000-000090220000}"/>
    <cellStyle name="0_BOUSHER AMERAT III 2 6 2 2 2" xfId="8863" xr:uid="{00000000-0005-0000-0000-000091220000}"/>
    <cellStyle name="0_BOUSHER AMERAT III 2 6 2 2 2 2" xfId="8864" xr:uid="{00000000-0005-0000-0000-000092220000}"/>
    <cellStyle name="0_BOUSHER AMERAT III 2 6 2 2 3" xfId="8865" xr:uid="{00000000-0005-0000-0000-000093220000}"/>
    <cellStyle name="0_BOUSHER AMERAT III 2 6 2 2 3 2" xfId="8866" xr:uid="{00000000-0005-0000-0000-000094220000}"/>
    <cellStyle name="0_BOUSHER AMERAT III 2 6 2 2 4" xfId="8867" xr:uid="{00000000-0005-0000-0000-000095220000}"/>
    <cellStyle name="0_BOUSHER AMERAT III 2 6 2 3" xfId="8868" xr:uid="{00000000-0005-0000-0000-000096220000}"/>
    <cellStyle name="0_BOUSHER AMERAT III 2 6 2 3 2" xfId="8869" xr:uid="{00000000-0005-0000-0000-000097220000}"/>
    <cellStyle name="0_BOUSHER AMERAT III 2 6 2 3 2 2" xfId="8870" xr:uid="{00000000-0005-0000-0000-000098220000}"/>
    <cellStyle name="0_BOUSHER AMERAT III 2 6 2 3 3" xfId="8871" xr:uid="{00000000-0005-0000-0000-000099220000}"/>
    <cellStyle name="0_BOUSHER AMERAT III 2 6 2 3 3 2" xfId="8872" xr:uid="{00000000-0005-0000-0000-00009A220000}"/>
    <cellStyle name="0_BOUSHER AMERAT III 2 6 2 3 4" xfId="8873" xr:uid="{00000000-0005-0000-0000-00009B220000}"/>
    <cellStyle name="0_BOUSHER AMERAT III 2 6 2 4" xfId="8874" xr:uid="{00000000-0005-0000-0000-00009C220000}"/>
    <cellStyle name="0_BOUSHER AMERAT III 2 6 2 4 2" xfId="8875" xr:uid="{00000000-0005-0000-0000-00009D220000}"/>
    <cellStyle name="0_BOUSHER AMERAT III 2 6 2 5" xfId="8876" xr:uid="{00000000-0005-0000-0000-00009E220000}"/>
    <cellStyle name="0_BOUSHER AMERAT III 2 6 2 5 2" xfId="8877" xr:uid="{00000000-0005-0000-0000-00009F220000}"/>
    <cellStyle name="0_BOUSHER AMERAT III 2 6 2 6" xfId="8878" xr:uid="{00000000-0005-0000-0000-0000A0220000}"/>
    <cellStyle name="0_BOUSHER AMERAT III 2 6 3" xfId="8879" xr:uid="{00000000-0005-0000-0000-0000A1220000}"/>
    <cellStyle name="0_BOUSHER AMERAT III 2 6 3 2" xfId="8880" xr:uid="{00000000-0005-0000-0000-0000A2220000}"/>
    <cellStyle name="0_BOUSHER AMERAT III 2 6 3 2 2" xfId="8881" xr:uid="{00000000-0005-0000-0000-0000A3220000}"/>
    <cellStyle name="0_BOUSHER AMERAT III 2 6 3 3" xfId="8882" xr:uid="{00000000-0005-0000-0000-0000A4220000}"/>
    <cellStyle name="0_BOUSHER AMERAT III 2 6 3 3 2" xfId="8883" xr:uid="{00000000-0005-0000-0000-0000A5220000}"/>
    <cellStyle name="0_BOUSHER AMERAT III 2 6 3 4" xfId="8884" xr:uid="{00000000-0005-0000-0000-0000A6220000}"/>
    <cellStyle name="0_BOUSHER AMERAT III 2 6 4" xfId="8885" xr:uid="{00000000-0005-0000-0000-0000A7220000}"/>
    <cellStyle name="0_BOUSHER AMERAT III 2 6 4 2" xfId="8886" xr:uid="{00000000-0005-0000-0000-0000A8220000}"/>
    <cellStyle name="0_BOUSHER AMERAT III 2 6 4 2 2" xfId="8887" xr:uid="{00000000-0005-0000-0000-0000A9220000}"/>
    <cellStyle name="0_BOUSHER AMERAT III 2 6 4 3" xfId="8888" xr:uid="{00000000-0005-0000-0000-0000AA220000}"/>
    <cellStyle name="0_BOUSHER AMERAT III 2 6 4 3 2" xfId="8889" xr:uid="{00000000-0005-0000-0000-0000AB220000}"/>
    <cellStyle name="0_BOUSHER AMERAT III 2 6 4 4" xfId="8890" xr:uid="{00000000-0005-0000-0000-0000AC220000}"/>
    <cellStyle name="0_BOUSHER AMERAT III 2 6 5" xfId="8891" xr:uid="{00000000-0005-0000-0000-0000AD220000}"/>
    <cellStyle name="0_BOUSHER AMERAT III 2 6 5 2" xfId="8892" xr:uid="{00000000-0005-0000-0000-0000AE220000}"/>
    <cellStyle name="0_BOUSHER AMERAT III 2 6 5 2 2" xfId="8893" xr:uid="{00000000-0005-0000-0000-0000AF220000}"/>
    <cellStyle name="0_BOUSHER AMERAT III 2 6 5 3" xfId="8894" xr:uid="{00000000-0005-0000-0000-0000B0220000}"/>
    <cellStyle name="0_BOUSHER AMERAT III 2 6 5 3 2" xfId="8895" xr:uid="{00000000-0005-0000-0000-0000B1220000}"/>
    <cellStyle name="0_BOUSHER AMERAT III 2 6 5 4" xfId="8896" xr:uid="{00000000-0005-0000-0000-0000B2220000}"/>
    <cellStyle name="0_BOUSHER AMERAT III 2 6 6" xfId="8897" xr:uid="{00000000-0005-0000-0000-0000B3220000}"/>
    <cellStyle name="0_BOUSHER AMERAT III 2 6 6 2" xfId="8898" xr:uid="{00000000-0005-0000-0000-0000B4220000}"/>
    <cellStyle name="0_BOUSHER AMERAT III 2 6 7" xfId="8899" xr:uid="{00000000-0005-0000-0000-0000B5220000}"/>
    <cellStyle name="0_BOUSHER AMERAT III 2 6 7 2" xfId="8900" xr:uid="{00000000-0005-0000-0000-0000B6220000}"/>
    <cellStyle name="0_BOUSHER AMERAT III 2 6 8" xfId="8901" xr:uid="{00000000-0005-0000-0000-0000B7220000}"/>
    <cellStyle name="0_BOUSHER AMERAT III 2 7" xfId="8902" xr:uid="{00000000-0005-0000-0000-0000B8220000}"/>
    <cellStyle name="0_BOUSHER AMERAT III 2 7 2" xfId="8903" xr:uid="{00000000-0005-0000-0000-0000B9220000}"/>
    <cellStyle name="0_BOUSHER AMERAT III 2 7 2 2" xfId="8904" xr:uid="{00000000-0005-0000-0000-0000BA220000}"/>
    <cellStyle name="0_BOUSHER AMERAT III 2 7 2 2 2" xfId="8905" xr:uid="{00000000-0005-0000-0000-0000BB220000}"/>
    <cellStyle name="0_BOUSHER AMERAT III 2 7 2 3" xfId="8906" xr:uid="{00000000-0005-0000-0000-0000BC220000}"/>
    <cellStyle name="0_BOUSHER AMERAT III 2 7 2 3 2" xfId="8907" xr:uid="{00000000-0005-0000-0000-0000BD220000}"/>
    <cellStyle name="0_BOUSHER AMERAT III 2 7 2 4" xfId="8908" xr:uid="{00000000-0005-0000-0000-0000BE220000}"/>
    <cellStyle name="0_BOUSHER AMERAT III 2 7 3" xfId="8909" xr:uid="{00000000-0005-0000-0000-0000BF220000}"/>
    <cellStyle name="0_BOUSHER AMERAT III 2 7 3 2" xfId="8910" xr:uid="{00000000-0005-0000-0000-0000C0220000}"/>
    <cellStyle name="0_BOUSHER AMERAT III 2 7 3 2 2" xfId="8911" xr:uid="{00000000-0005-0000-0000-0000C1220000}"/>
    <cellStyle name="0_BOUSHER AMERAT III 2 7 3 3" xfId="8912" xr:uid="{00000000-0005-0000-0000-0000C2220000}"/>
    <cellStyle name="0_BOUSHER AMERAT III 2 7 3 3 2" xfId="8913" xr:uid="{00000000-0005-0000-0000-0000C3220000}"/>
    <cellStyle name="0_BOUSHER AMERAT III 2 7 3 4" xfId="8914" xr:uid="{00000000-0005-0000-0000-0000C4220000}"/>
    <cellStyle name="0_BOUSHER AMERAT III 2 7 4" xfId="8915" xr:uid="{00000000-0005-0000-0000-0000C5220000}"/>
    <cellStyle name="0_BOUSHER AMERAT III 2 7 4 2" xfId="8916" xr:uid="{00000000-0005-0000-0000-0000C6220000}"/>
    <cellStyle name="0_BOUSHER AMERAT III 2 7 5" xfId="8917" xr:uid="{00000000-0005-0000-0000-0000C7220000}"/>
    <cellStyle name="0_BOUSHER AMERAT III 2 7 5 2" xfId="8918" xr:uid="{00000000-0005-0000-0000-0000C8220000}"/>
    <cellStyle name="0_BOUSHER AMERAT III 2 7 6" xfId="8919" xr:uid="{00000000-0005-0000-0000-0000C9220000}"/>
    <cellStyle name="0_BOUSHER AMERAT III 2 8" xfId="8920" xr:uid="{00000000-0005-0000-0000-0000CA220000}"/>
    <cellStyle name="0_BOUSHER AMERAT III 2 8 2" xfId="8921" xr:uid="{00000000-0005-0000-0000-0000CB220000}"/>
    <cellStyle name="0_BOUSHER AMERAT III 2 8 2 2" xfId="8922" xr:uid="{00000000-0005-0000-0000-0000CC220000}"/>
    <cellStyle name="0_BOUSHER AMERAT III 2 8 3" xfId="8923" xr:uid="{00000000-0005-0000-0000-0000CD220000}"/>
    <cellStyle name="0_BOUSHER AMERAT III 2 8 3 2" xfId="8924" xr:uid="{00000000-0005-0000-0000-0000CE220000}"/>
    <cellStyle name="0_BOUSHER AMERAT III 2 8 4" xfId="8925" xr:uid="{00000000-0005-0000-0000-0000CF220000}"/>
    <cellStyle name="0_BOUSHER AMERAT III 2 9" xfId="8926" xr:uid="{00000000-0005-0000-0000-0000D0220000}"/>
    <cellStyle name="0_BOUSHER AMERAT III 2 9 2" xfId="8927" xr:uid="{00000000-0005-0000-0000-0000D1220000}"/>
    <cellStyle name="0_BOUSHER AMERAT III 2 9 2 2" xfId="8928" xr:uid="{00000000-0005-0000-0000-0000D2220000}"/>
    <cellStyle name="0_BOUSHER AMERAT III 2 9 3" xfId="8929" xr:uid="{00000000-0005-0000-0000-0000D3220000}"/>
    <cellStyle name="0_BOUSHER AMERAT III 2 9 3 2" xfId="8930" xr:uid="{00000000-0005-0000-0000-0000D4220000}"/>
    <cellStyle name="0_BOUSHER AMERAT III 2 9 4" xfId="8931" xr:uid="{00000000-0005-0000-0000-0000D5220000}"/>
    <cellStyle name="0_BOUSHER AMERAT III 20" xfId="8932" xr:uid="{00000000-0005-0000-0000-0000D6220000}"/>
    <cellStyle name="0_BOUSHER AMERAT III 21" xfId="8933" xr:uid="{00000000-0005-0000-0000-0000D7220000}"/>
    <cellStyle name="0_BOUSHER AMERAT III 3" xfId="8934" xr:uid="{00000000-0005-0000-0000-0000D8220000}"/>
    <cellStyle name="0_BOUSHER AMERAT III 3 10" xfId="8935" xr:uid="{00000000-0005-0000-0000-0000D9220000}"/>
    <cellStyle name="0_BOUSHER AMERAT III 3 10 2" xfId="8936" xr:uid="{00000000-0005-0000-0000-0000DA220000}"/>
    <cellStyle name="0_BOUSHER AMERAT III 3 10 2 2" xfId="8937" xr:uid="{00000000-0005-0000-0000-0000DB220000}"/>
    <cellStyle name="0_BOUSHER AMERAT III 3 10 3" xfId="8938" xr:uid="{00000000-0005-0000-0000-0000DC220000}"/>
    <cellStyle name="0_BOUSHER AMERAT III 3 10 3 2" xfId="8939" xr:uid="{00000000-0005-0000-0000-0000DD220000}"/>
    <cellStyle name="0_BOUSHER AMERAT III 3 10 4" xfId="8940" xr:uid="{00000000-0005-0000-0000-0000DE220000}"/>
    <cellStyle name="0_BOUSHER AMERAT III 3 11" xfId="8941" xr:uid="{00000000-0005-0000-0000-0000DF220000}"/>
    <cellStyle name="0_BOUSHER AMERAT III 3 11 2" xfId="8942" xr:uid="{00000000-0005-0000-0000-0000E0220000}"/>
    <cellStyle name="0_BOUSHER AMERAT III 3 12" xfId="8943" xr:uid="{00000000-0005-0000-0000-0000E1220000}"/>
    <cellStyle name="0_BOUSHER AMERAT III 3 12 2" xfId="8944" xr:uid="{00000000-0005-0000-0000-0000E2220000}"/>
    <cellStyle name="0_BOUSHER AMERAT III 3 13" xfId="8945" xr:uid="{00000000-0005-0000-0000-0000E3220000}"/>
    <cellStyle name="0_BOUSHER AMERAT III 3 2" xfId="8946" xr:uid="{00000000-0005-0000-0000-0000E4220000}"/>
    <cellStyle name="0_BOUSHER AMERAT III 3 2 2" xfId="8947" xr:uid="{00000000-0005-0000-0000-0000E5220000}"/>
    <cellStyle name="0_BOUSHER AMERAT III 3 2 2 2" xfId="8948" xr:uid="{00000000-0005-0000-0000-0000E6220000}"/>
    <cellStyle name="0_BOUSHER AMERAT III 3 2 2 2 2" xfId="8949" xr:uid="{00000000-0005-0000-0000-0000E7220000}"/>
    <cellStyle name="0_BOUSHER AMERAT III 3 2 2 2 2 2" xfId="8950" xr:uid="{00000000-0005-0000-0000-0000E8220000}"/>
    <cellStyle name="0_BOUSHER AMERAT III 3 2 2 2 3" xfId="8951" xr:uid="{00000000-0005-0000-0000-0000E9220000}"/>
    <cellStyle name="0_BOUSHER AMERAT III 3 2 2 2 3 2" xfId="8952" xr:uid="{00000000-0005-0000-0000-0000EA220000}"/>
    <cellStyle name="0_BOUSHER AMERAT III 3 2 2 2 4" xfId="8953" xr:uid="{00000000-0005-0000-0000-0000EB220000}"/>
    <cellStyle name="0_BOUSHER AMERAT III 3 2 2 3" xfId="8954" xr:uid="{00000000-0005-0000-0000-0000EC220000}"/>
    <cellStyle name="0_BOUSHER AMERAT III 3 2 2 3 2" xfId="8955" xr:uid="{00000000-0005-0000-0000-0000ED220000}"/>
    <cellStyle name="0_BOUSHER AMERAT III 3 2 2 3 2 2" xfId="8956" xr:uid="{00000000-0005-0000-0000-0000EE220000}"/>
    <cellStyle name="0_BOUSHER AMERAT III 3 2 2 3 3" xfId="8957" xr:uid="{00000000-0005-0000-0000-0000EF220000}"/>
    <cellStyle name="0_BOUSHER AMERAT III 3 2 2 3 3 2" xfId="8958" xr:uid="{00000000-0005-0000-0000-0000F0220000}"/>
    <cellStyle name="0_BOUSHER AMERAT III 3 2 2 3 4" xfId="8959" xr:uid="{00000000-0005-0000-0000-0000F1220000}"/>
    <cellStyle name="0_BOUSHER AMERAT III 3 2 2 4" xfId="8960" xr:uid="{00000000-0005-0000-0000-0000F2220000}"/>
    <cellStyle name="0_BOUSHER AMERAT III 3 2 2 4 2" xfId="8961" xr:uid="{00000000-0005-0000-0000-0000F3220000}"/>
    <cellStyle name="0_BOUSHER AMERAT III 3 2 2 5" xfId="8962" xr:uid="{00000000-0005-0000-0000-0000F4220000}"/>
    <cellStyle name="0_BOUSHER AMERAT III 3 2 2 5 2" xfId="8963" xr:uid="{00000000-0005-0000-0000-0000F5220000}"/>
    <cellStyle name="0_BOUSHER AMERAT III 3 2 2 6" xfId="8964" xr:uid="{00000000-0005-0000-0000-0000F6220000}"/>
    <cellStyle name="0_BOUSHER AMERAT III 3 2 3" xfId="8965" xr:uid="{00000000-0005-0000-0000-0000F7220000}"/>
    <cellStyle name="0_BOUSHER AMERAT III 3 2 3 2" xfId="8966" xr:uid="{00000000-0005-0000-0000-0000F8220000}"/>
    <cellStyle name="0_BOUSHER AMERAT III 3 2 3 2 2" xfId="8967" xr:uid="{00000000-0005-0000-0000-0000F9220000}"/>
    <cellStyle name="0_BOUSHER AMERAT III 3 2 3 3" xfId="8968" xr:uid="{00000000-0005-0000-0000-0000FA220000}"/>
    <cellStyle name="0_BOUSHER AMERAT III 3 2 3 3 2" xfId="8969" xr:uid="{00000000-0005-0000-0000-0000FB220000}"/>
    <cellStyle name="0_BOUSHER AMERAT III 3 2 3 4" xfId="8970" xr:uid="{00000000-0005-0000-0000-0000FC220000}"/>
    <cellStyle name="0_BOUSHER AMERAT III 3 2 4" xfId="8971" xr:uid="{00000000-0005-0000-0000-0000FD220000}"/>
    <cellStyle name="0_BOUSHER AMERAT III 3 2 4 2" xfId="8972" xr:uid="{00000000-0005-0000-0000-0000FE220000}"/>
    <cellStyle name="0_BOUSHER AMERAT III 3 2 4 2 2" xfId="8973" xr:uid="{00000000-0005-0000-0000-0000FF220000}"/>
    <cellStyle name="0_BOUSHER AMERAT III 3 2 4 3" xfId="8974" xr:uid="{00000000-0005-0000-0000-000000230000}"/>
    <cellStyle name="0_BOUSHER AMERAT III 3 2 4 3 2" xfId="8975" xr:uid="{00000000-0005-0000-0000-000001230000}"/>
    <cellStyle name="0_BOUSHER AMERAT III 3 2 4 4" xfId="8976" xr:uid="{00000000-0005-0000-0000-000002230000}"/>
    <cellStyle name="0_BOUSHER AMERAT III 3 2 5" xfId="8977" xr:uid="{00000000-0005-0000-0000-000003230000}"/>
    <cellStyle name="0_BOUSHER AMERAT III 3 2 5 2" xfId="8978" xr:uid="{00000000-0005-0000-0000-000004230000}"/>
    <cellStyle name="0_BOUSHER AMERAT III 3 2 5 2 2" xfId="8979" xr:uid="{00000000-0005-0000-0000-000005230000}"/>
    <cellStyle name="0_BOUSHER AMERAT III 3 2 5 3" xfId="8980" xr:uid="{00000000-0005-0000-0000-000006230000}"/>
    <cellStyle name="0_BOUSHER AMERAT III 3 2 5 3 2" xfId="8981" xr:uid="{00000000-0005-0000-0000-000007230000}"/>
    <cellStyle name="0_BOUSHER AMERAT III 3 2 5 4" xfId="8982" xr:uid="{00000000-0005-0000-0000-000008230000}"/>
    <cellStyle name="0_BOUSHER AMERAT III 3 2 6" xfId="8983" xr:uid="{00000000-0005-0000-0000-000009230000}"/>
    <cellStyle name="0_BOUSHER AMERAT III 3 2 6 2" xfId="8984" xr:uid="{00000000-0005-0000-0000-00000A230000}"/>
    <cellStyle name="0_BOUSHER AMERAT III 3 2 7" xfId="8985" xr:uid="{00000000-0005-0000-0000-00000B230000}"/>
    <cellStyle name="0_BOUSHER AMERAT III 3 2 7 2" xfId="8986" xr:uid="{00000000-0005-0000-0000-00000C230000}"/>
    <cellStyle name="0_BOUSHER AMERAT III 3 2 8" xfId="8987" xr:uid="{00000000-0005-0000-0000-00000D230000}"/>
    <cellStyle name="0_BOUSHER AMERAT III 3 3" xfId="8988" xr:uid="{00000000-0005-0000-0000-00000E230000}"/>
    <cellStyle name="0_BOUSHER AMERAT III 3 3 2" xfId="8989" xr:uid="{00000000-0005-0000-0000-00000F230000}"/>
    <cellStyle name="0_BOUSHER AMERAT III 3 3 2 2" xfId="8990" xr:uid="{00000000-0005-0000-0000-000010230000}"/>
    <cellStyle name="0_BOUSHER AMERAT III 3 3 2 2 2" xfId="8991" xr:uid="{00000000-0005-0000-0000-000011230000}"/>
    <cellStyle name="0_BOUSHER AMERAT III 3 3 2 2 2 2" xfId="8992" xr:uid="{00000000-0005-0000-0000-000012230000}"/>
    <cellStyle name="0_BOUSHER AMERAT III 3 3 2 2 3" xfId="8993" xr:uid="{00000000-0005-0000-0000-000013230000}"/>
    <cellStyle name="0_BOUSHER AMERAT III 3 3 2 2 3 2" xfId="8994" xr:uid="{00000000-0005-0000-0000-000014230000}"/>
    <cellStyle name="0_BOUSHER AMERAT III 3 3 2 2 4" xfId="8995" xr:uid="{00000000-0005-0000-0000-000015230000}"/>
    <cellStyle name="0_BOUSHER AMERAT III 3 3 2 3" xfId="8996" xr:uid="{00000000-0005-0000-0000-000016230000}"/>
    <cellStyle name="0_BOUSHER AMERAT III 3 3 2 3 2" xfId="8997" xr:uid="{00000000-0005-0000-0000-000017230000}"/>
    <cellStyle name="0_BOUSHER AMERAT III 3 3 2 3 2 2" xfId="8998" xr:uid="{00000000-0005-0000-0000-000018230000}"/>
    <cellStyle name="0_BOUSHER AMERAT III 3 3 2 3 3" xfId="8999" xr:uid="{00000000-0005-0000-0000-000019230000}"/>
    <cellStyle name="0_BOUSHER AMERAT III 3 3 2 3 3 2" xfId="9000" xr:uid="{00000000-0005-0000-0000-00001A230000}"/>
    <cellStyle name="0_BOUSHER AMERAT III 3 3 2 3 4" xfId="9001" xr:uid="{00000000-0005-0000-0000-00001B230000}"/>
    <cellStyle name="0_BOUSHER AMERAT III 3 3 2 4" xfId="9002" xr:uid="{00000000-0005-0000-0000-00001C230000}"/>
    <cellStyle name="0_BOUSHER AMERAT III 3 3 2 4 2" xfId="9003" xr:uid="{00000000-0005-0000-0000-00001D230000}"/>
    <cellStyle name="0_BOUSHER AMERAT III 3 3 2 5" xfId="9004" xr:uid="{00000000-0005-0000-0000-00001E230000}"/>
    <cellStyle name="0_BOUSHER AMERAT III 3 3 2 5 2" xfId="9005" xr:uid="{00000000-0005-0000-0000-00001F230000}"/>
    <cellStyle name="0_BOUSHER AMERAT III 3 3 2 6" xfId="9006" xr:uid="{00000000-0005-0000-0000-000020230000}"/>
    <cellStyle name="0_BOUSHER AMERAT III 3 3 3" xfId="9007" xr:uid="{00000000-0005-0000-0000-000021230000}"/>
    <cellStyle name="0_BOUSHER AMERAT III 3 3 3 2" xfId="9008" xr:uid="{00000000-0005-0000-0000-000022230000}"/>
    <cellStyle name="0_BOUSHER AMERAT III 3 3 3 2 2" xfId="9009" xr:uid="{00000000-0005-0000-0000-000023230000}"/>
    <cellStyle name="0_BOUSHER AMERAT III 3 3 3 3" xfId="9010" xr:uid="{00000000-0005-0000-0000-000024230000}"/>
    <cellStyle name="0_BOUSHER AMERAT III 3 3 3 3 2" xfId="9011" xr:uid="{00000000-0005-0000-0000-000025230000}"/>
    <cellStyle name="0_BOUSHER AMERAT III 3 3 3 4" xfId="9012" xr:uid="{00000000-0005-0000-0000-000026230000}"/>
    <cellStyle name="0_BOUSHER AMERAT III 3 3 4" xfId="9013" xr:uid="{00000000-0005-0000-0000-000027230000}"/>
    <cellStyle name="0_BOUSHER AMERAT III 3 3 4 2" xfId="9014" xr:uid="{00000000-0005-0000-0000-000028230000}"/>
    <cellStyle name="0_BOUSHER AMERAT III 3 3 4 2 2" xfId="9015" xr:uid="{00000000-0005-0000-0000-000029230000}"/>
    <cellStyle name="0_BOUSHER AMERAT III 3 3 4 3" xfId="9016" xr:uid="{00000000-0005-0000-0000-00002A230000}"/>
    <cellStyle name="0_BOUSHER AMERAT III 3 3 4 3 2" xfId="9017" xr:uid="{00000000-0005-0000-0000-00002B230000}"/>
    <cellStyle name="0_BOUSHER AMERAT III 3 3 4 4" xfId="9018" xr:uid="{00000000-0005-0000-0000-00002C230000}"/>
    <cellStyle name="0_BOUSHER AMERAT III 3 3 5" xfId="9019" xr:uid="{00000000-0005-0000-0000-00002D230000}"/>
    <cellStyle name="0_BOUSHER AMERAT III 3 3 5 2" xfId="9020" xr:uid="{00000000-0005-0000-0000-00002E230000}"/>
    <cellStyle name="0_BOUSHER AMERAT III 3 3 5 2 2" xfId="9021" xr:uid="{00000000-0005-0000-0000-00002F230000}"/>
    <cellStyle name="0_BOUSHER AMERAT III 3 3 5 3" xfId="9022" xr:uid="{00000000-0005-0000-0000-000030230000}"/>
    <cellStyle name="0_BOUSHER AMERAT III 3 3 5 3 2" xfId="9023" xr:uid="{00000000-0005-0000-0000-000031230000}"/>
    <cellStyle name="0_BOUSHER AMERAT III 3 3 5 4" xfId="9024" xr:uid="{00000000-0005-0000-0000-000032230000}"/>
    <cellStyle name="0_BOUSHER AMERAT III 3 3 6" xfId="9025" xr:uid="{00000000-0005-0000-0000-000033230000}"/>
    <cellStyle name="0_BOUSHER AMERAT III 3 3 6 2" xfId="9026" xr:uid="{00000000-0005-0000-0000-000034230000}"/>
    <cellStyle name="0_BOUSHER AMERAT III 3 3 7" xfId="9027" xr:uid="{00000000-0005-0000-0000-000035230000}"/>
    <cellStyle name="0_BOUSHER AMERAT III 3 3 7 2" xfId="9028" xr:uid="{00000000-0005-0000-0000-000036230000}"/>
    <cellStyle name="0_BOUSHER AMERAT III 3 3 8" xfId="9029" xr:uid="{00000000-0005-0000-0000-000037230000}"/>
    <cellStyle name="0_BOUSHER AMERAT III 3 4" xfId="9030" xr:uid="{00000000-0005-0000-0000-000038230000}"/>
    <cellStyle name="0_BOUSHER AMERAT III 3 4 2" xfId="9031" xr:uid="{00000000-0005-0000-0000-000039230000}"/>
    <cellStyle name="0_BOUSHER AMERAT III 3 4 2 2" xfId="9032" xr:uid="{00000000-0005-0000-0000-00003A230000}"/>
    <cellStyle name="0_BOUSHER AMERAT III 3 4 2 2 2" xfId="9033" xr:uid="{00000000-0005-0000-0000-00003B230000}"/>
    <cellStyle name="0_BOUSHER AMERAT III 3 4 2 2 2 2" xfId="9034" xr:uid="{00000000-0005-0000-0000-00003C230000}"/>
    <cellStyle name="0_BOUSHER AMERAT III 3 4 2 2 3" xfId="9035" xr:uid="{00000000-0005-0000-0000-00003D230000}"/>
    <cellStyle name="0_BOUSHER AMERAT III 3 4 2 2 3 2" xfId="9036" xr:uid="{00000000-0005-0000-0000-00003E230000}"/>
    <cellStyle name="0_BOUSHER AMERAT III 3 4 2 2 4" xfId="9037" xr:uid="{00000000-0005-0000-0000-00003F230000}"/>
    <cellStyle name="0_BOUSHER AMERAT III 3 4 2 3" xfId="9038" xr:uid="{00000000-0005-0000-0000-000040230000}"/>
    <cellStyle name="0_BOUSHER AMERAT III 3 4 2 3 2" xfId="9039" xr:uid="{00000000-0005-0000-0000-000041230000}"/>
    <cellStyle name="0_BOUSHER AMERAT III 3 4 2 3 2 2" xfId="9040" xr:uid="{00000000-0005-0000-0000-000042230000}"/>
    <cellStyle name="0_BOUSHER AMERAT III 3 4 2 3 3" xfId="9041" xr:uid="{00000000-0005-0000-0000-000043230000}"/>
    <cellStyle name="0_BOUSHER AMERAT III 3 4 2 3 3 2" xfId="9042" xr:uid="{00000000-0005-0000-0000-000044230000}"/>
    <cellStyle name="0_BOUSHER AMERAT III 3 4 2 3 4" xfId="9043" xr:uid="{00000000-0005-0000-0000-000045230000}"/>
    <cellStyle name="0_BOUSHER AMERAT III 3 4 2 4" xfId="9044" xr:uid="{00000000-0005-0000-0000-000046230000}"/>
    <cellStyle name="0_BOUSHER AMERAT III 3 4 2 4 2" xfId="9045" xr:uid="{00000000-0005-0000-0000-000047230000}"/>
    <cellStyle name="0_BOUSHER AMERAT III 3 4 2 5" xfId="9046" xr:uid="{00000000-0005-0000-0000-000048230000}"/>
    <cellStyle name="0_BOUSHER AMERAT III 3 4 2 5 2" xfId="9047" xr:uid="{00000000-0005-0000-0000-000049230000}"/>
    <cellStyle name="0_BOUSHER AMERAT III 3 4 2 6" xfId="9048" xr:uid="{00000000-0005-0000-0000-00004A230000}"/>
    <cellStyle name="0_BOUSHER AMERAT III 3 4 3" xfId="9049" xr:uid="{00000000-0005-0000-0000-00004B230000}"/>
    <cellStyle name="0_BOUSHER AMERAT III 3 4 3 2" xfId="9050" xr:uid="{00000000-0005-0000-0000-00004C230000}"/>
    <cellStyle name="0_BOUSHER AMERAT III 3 4 3 2 2" xfId="9051" xr:uid="{00000000-0005-0000-0000-00004D230000}"/>
    <cellStyle name="0_BOUSHER AMERAT III 3 4 3 3" xfId="9052" xr:uid="{00000000-0005-0000-0000-00004E230000}"/>
    <cellStyle name="0_BOUSHER AMERAT III 3 4 3 3 2" xfId="9053" xr:uid="{00000000-0005-0000-0000-00004F230000}"/>
    <cellStyle name="0_BOUSHER AMERAT III 3 4 3 4" xfId="9054" xr:uid="{00000000-0005-0000-0000-000050230000}"/>
    <cellStyle name="0_BOUSHER AMERAT III 3 4 4" xfId="9055" xr:uid="{00000000-0005-0000-0000-000051230000}"/>
    <cellStyle name="0_BOUSHER AMERAT III 3 4 4 2" xfId="9056" xr:uid="{00000000-0005-0000-0000-000052230000}"/>
    <cellStyle name="0_BOUSHER AMERAT III 3 4 4 2 2" xfId="9057" xr:uid="{00000000-0005-0000-0000-000053230000}"/>
    <cellStyle name="0_BOUSHER AMERAT III 3 4 4 3" xfId="9058" xr:uid="{00000000-0005-0000-0000-000054230000}"/>
    <cellStyle name="0_BOUSHER AMERAT III 3 4 4 3 2" xfId="9059" xr:uid="{00000000-0005-0000-0000-000055230000}"/>
    <cellStyle name="0_BOUSHER AMERAT III 3 4 4 4" xfId="9060" xr:uid="{00000000-0005-0000-0000-000056230000}"/>
    <cellStyle name="0_BOUSHER AMERAT III 3 4 5" xfId="9061" xr:uid="{00000000-0005-0000-0000-000057230000}"/>
    <cellStyle name="0_BOUSHER AMERAT III 3 4 5 2" xfId="9062" xr:uid="{00000000-0005-0000-0000-000058230000}"/>
    <cellStyle name="0_BOUSHER AMERAT III 3 4 5 2 2" xfId="9063" xr:uid="{00000000-0005-0000-0000-000059230000}"/>
    <cellStyle name="0_BOUSHER AMERAT III 3 4 5 3" xfId="9064" xr:uid="{00000000-0005-0000-0000-00005A230000}"/>
    <cellStyle name="0_BOUSHER AMERAT III 3 4 5 3 2" xfId="9065" xr:uid="{00000000-0005-0000-0000-00005B230000}"/>
    <cellStyle name="0_BOUSHER AMERAT III 3 4 5 4" xfId="9066" xr:uid="{00000000-0005-0000-0000-00005C230000}"/>
    <cellStyle name="0_BOUSHER AMERAT III 3 4 6" xfId="9067" xr:uid="{00000000-0005-0000-0000-00005D230000}"/>
    <cellStyle name="0_BOUSHER AMERAT III 3 4 6 2" xfId="9068" xr:uid="{00000000-0005-0000-0000-00005E230000}"/>
    <cellStyle name="0_BOUSHER AMERAT III 3 4 7" xfId="9069" xr:uid="{00000000-0005-0000-0000-00005F230000}"/>
    <cellStyle name="0_BOUSHER AMERAT III 3 4 7 2" xfId="9070" xr:uid="{00000000-0005-0000-0000-000060230000}"/>
    <cellStyle name="0_BOUSHER AMERAT III 3 4 8" xfId="9071" xr:uid="{00000000-0005-0000-0000-000061230000}"/>
    <cellStyle name="0_BOUSHER AMERAT III 3 5" xfId="9072" xr:uid="{00000000-0005-0000-0000-000062230000}"/>
    <cellStyle name="0_BOUSHER AMERAT III 3 5 2" xfId="9073" xr:uid="{00000000-0005-0000-0000-000063230000}"/>
    <cellStyle name="0_BOUSHER AMERAT III 3 5 2 2" xfId="9074" xr:uid="{00000000-0005-0000-0000-000064230000}"/>
    <cellStyle name="0_BOUSHER AMERAT III 3 5 2 2 2" xfId="9075" xr:uid="{00000000-0005-0000-0000-000065230000}"/>
    <cellStyle name="0_BOUSHER AMERAT III 3 5 2 2 2 2" xfId="9076" xr:uid="{00000000-0005-0000-0000-000066230000}"/>
    <cellStyle name="0_BOUSHER AMERAT III 3 5 2 2 3" xfId="9077" xr:uid="{00000000-0005-0000-0000-000067230000}"/>
    <cellStyle name="0_BOUSHER AMERAT III 3 5 2 2 3 2" xfId="9078" xr:uid="{00000000-0005-0000-0000-000068230000}"/>
    <cellStyle name="0_BOUSHER AMERAT III 3 5 2 2 4" xfId="9079" xr:uid="{00000000-0005-0000-0000-000069230000}"/>
    <cellStyle name="0_BOUSHER AMERAT III 3 5 2 3" xfId="9080" xr:uid="{00000000-0005-0000-0000-00006A230000}"/>
    <cellStyle name="0_BOUSHER AMERAT III 3 5 2 3 2" xfId="9081" xr:uid="{00000000-0005-0000-0000-00006B230000}"/>
    <cellStyle name="0_BOUSHER AMERAT III 3 5 2 3 2 2" xfId="9082" xr:uid="{00000000-0005-0000-0000-00006C230000}"/>
    <cellStyle name="0_BOUSHER AMERAT III 3 5 2 3 3" xfId="9083" xr:uid="{00000000-0005-0000-0000-00006D230000}"/>
    <cellStyle name="0_BOUSHER AMERAT III 3 5 2 3 3 2" xfId="9084" xr:uid="{00000000-0005-0000-0000-00006E230000}"/>
    <cellStyle name="0_BOUSHER AMERAT III 3 5 2 3 4" xfId="9085" xr:uid="{00000000-0005-0000-0000-00006F230000}"/>
    <cellStyle name="0_BOUSHER AMERAT III 3 5 2 4" xfId="9086" xr:uid="{00000000-0005-0000-0000-000070230000}"/>
    <cellStyle name="0_BOUSHER AMERAT III 3 5 2 4 2" xfId="9087" xr:uid="{00000000-0005-0000-0000-000071230000}"/>
    <cellStyle name="0_BOUSHER AMERAT III 3 5 2 5" xfId="9088" xr:uid="{00000000-0005-0000-0000-000072230000}"/>
    <cellStyle name="0_BOUSHER AMERAT III 3 5 2 5 2" xfId="9089" xr:uid="{00000000-0005-0000-0000-000073230000}"/>
    <cellStyle name="0_BOUSHER AMERAT III 3 5 2 6" xfId="9090" xr:uid="{00000000-0005-0000-0000-000074230000}"/>
    <cellStyle name="0_BOUSHER AMERAT III 3 5 3" xfId="9091" xr:uid="{00000000-0005-0000-0000-000075230000}"/>
    <cellStyle name="0_BOUSHER AMERAT III 3 5 3 2" xfId="9092" xr:uid="{00000000-0005-0000-0000-000076230000}"/>
    <cellStyle name="0_BOUSHER AMERAT III 3 5 3 2 2" xfId="9093" xr:uid="{00000000-0005-0000-0000-000077230000}"/>
    <cellStyle name="0_BOUSHER AMERAT III 3 5 3 3" xfId="9094" xr:uid="{00000000-0005-0000-0000-000078230000}"/>
    <cellStyle name="0_BOUSHER AMERAT III 3 5 3 3 2" xfId="9095" xr:uid="{00000000-0005-0000-0000-000079230000}"/>
    <cellStyle name="0_BOUSHER AMERAT III 3 5 3 4" xfId="9096" xr:uid="{00000000-0005-0000-0000-00007A230000}"/>
    <cellStyle name="0_BOUSHER AMERAT III 3 5 4" xfId="9097" xr:uid="{00000000-0005-0000-0000-00007B230000}"/>
    <cellStyle name="0_BOUSHER AMERAT III 3 5 4 2" xfId="9098" xr:uid="{00000000-0005-0000-0000-00007C230000}"/>
    <cellStyle name="0_BOUSHER AMERAT III 3 5 4 2 2" xfId="9099" xr:uid="{00000000-0005-0000-0000-00007D230000}"/>
    <cellStyle name="0_BOUSHER AMERAT III 3 5 4 3" xfId="9100" xr:uid="{00000000-0005-0000-0000-00007E230000}"/>
    <cellStyle name="0_BOUSHER AMERAT III 3 5 4 3 2" xfId="9101" xr:uid="{00000000-0005-0000-0000-00007F230000}"/>
    <cellStyle name="0_BOUSHER AMERAT III 3 5 4 4" xfId="9102" xr:uid="{00000000-0005-0000-0000-000080230000}"/>
    <cellStyle name="0_BOUSHER AMERAT III 3 5 5" xfId="9103" xr:uid="{00000000-0005-0000-0000-000081230000}"/>
    <cellStyle name="0_BOUSHER AMERAT III 3 5 5 2" xfId="9104" xr:uid="{00000000-0005-0000-0000-000082230000}"/>
    <cellStyle name="0_BOUSHER AMERAT III 3 5 5 2 2" xfId="9105" xr:uid="{00000000-0005-0000-0000-000083230000}"/>
    <cellStyle name="0_BOUSHER AMERAT III 3 5 5 3" xfId="9106" xr:uid="{00000000-0005-0000-0000-000084230000}"/>
    <cellStyle name="0_BOUSHER AMERAT III 3 5 5 3 2" xfId="9107" xr:uid="{00000000-0005-0000-0000-000085230000}"/>
    <cellStyle name="0_BOUSHER AMERAT III 3 5 5 4" xfId="9108" xr:uid="{00000000-0005-0000-0000-000086230000}"/>
    <cellStyle name="0_BOUSHER AMERAT III 3 5 6" xfId="9109" xr:uid="{00000000-0005-0000-0000-000087230000}"/>
    <cellStyle name="0_BOUSHER AMERAT III 3 5 6 2" xfId="9110" xr:uid="{00000000-0005-0000-0000-000088230000}"/>
    <cellStyle name="0_BOUSHER AMERAT III 3 5 7" xfId="9111" xr:uid="{00000000-0005-0000-0000-000089230000}"/>
    <cellStyle name="0_BOUSHER AMERAT III 3 5 7 2" xfId="9112" xr:uid="{00000000-0005-0000-0000-00008A230000}"/>
    <cellStyle name="0_BOUSHER AMERAT III 3 5 8" xfId="9113" xr:uid="{00000000-0005-0000-0000-00008B230000}"/>
    <cellStyle name="0_BOUSHER AMERAT III 3 6" xfId="9114" xr:uid="{00000000-0005-0000-0000-00008C230000}"/>
    <cellStyle name="0_BOUSHER AMERAT III 3 6 2" xfId="9115" xr:uid="{00000000-0005-0000-0000-00008D230000}"/>
    <cellStyle name="0_BOUSHER AMERAT III 3 6 2 2" xfId="9116" xr:uid="{00000000-0005-0000-0000-00008E230000}"/>
    <cellStyle name="0_BOUSHER AMERAT III 3 6 2 2 2" xfId="9117" xr:uid="{00000000-0005-0000-0000-00008F230000}"/>
    <cellStyle name="0_BOUSHER AMERAT III 3 6 2 2 2 2" xfId="9118" xr:uid="{00000000-0005-0000-0000-000090230000}"/>
    <cellStyle name="0_BOUSHER AMERAT III 3 6 2 2 3" xfId="9119" xr:uid="{00000000-0005-0000-0000-000091230000}"/>
    <cellStyle name="0_BOUSHER AMERAT III 3 6 2 2 3 2" xfId="9120" xr:uid="{00000000-0005-0000-0000-000092230000}"/>
    <cellStyle name="0_BOUSHER AMERAT III 3 6 2 2 4" xfId="9121" xr:uid="{00000000-0005-0000-0000-000093230000}"/>
    <cellStyle name="0_BOUSHER AMERAT III 3 6 2 3" xfId="9122" xr:uid="{00000000-0005-0000-0000-000094230000}"/>
    <cellStyle name="0_BOUSHER AMERAT III 3 6 2 3 2" xfId="9123" xr:uid="{00000000-0005-0000-0000-000095230000}"/>
    <cellStyle name="0_BOUSHER AMERAT III 3 6 2 3 2 2" xfId="9124" xr:uid="{00000000-0005-0000-0000-000096230000}"/>
    <cellStyle name="0_BOUSHER AMERAT III 3 6 2 3 3" xfId="9125" xr:uid="{00000000-0005-0000-0000-000097230000}"/>
    <cellStyle name="0_BOUSHER AMERAT III 3 6 2 3 3 2" xfId="9126" xr:uid="{00000000-0005-0000-0000-000098230000}"/>
    <cellStyle name="0_BOUSHER AMERAT III 3 6 2 3 4" xfId="9127" xr:uid="{00000000-0005-0000-0000-000099230000}"/>
    <cellStyle name="0_BOUSHER AMERAT III 3 6 2 4" xfId="9128" xr:uid="{00000000-0005-0000-0000-00009A230000}"/>
    <cellStyle name="0_BOUSHER AMERAT III 3 6 2 4 2" xfId="9129" xr:uid="{00000000-0005-0000-0000-00009B230000}"/>
    <cellStyle name="0_BOUSHER AMERAT III 3 6 2 5" xfId="9130" xr:uid="{00000000-0005-0000-0000-00009C230000}"/>
    <cellStyle name="0_BOUSHER AMERAT III 3 6 2 5 2" xfId="9131" xr:uid="{00000000-0005-0000-0000-00009D230000}"/>
    <cellStyle name="0_BOUSHER AMERAT III 3 6 2 6" xfId="9132" xr:uid="{00000000-0005-0000-0000-00009E230000}"/>
    <cellStyle name="0_BOUSHER AMERAT III 3 6 3" xfId="9133" xr:uid="{00000000-0005-0000-0000-00009F230000}"/>
    <cellStyle name="0_BOUSHER AMERAT III 3 6 3 2" xfId="9134" xr:uid="{00000000-0005-0000-0000-0000A0230000}"/>
    <cellStyle name="0_BOUSHER AMERAT III 3 6 3 2 2" xfId="9135" xr:uid="{00000000-0005-0000-0000-0000A1230000}"/>
    <cellStyle name="0_BOUSHER AMERAT III 3 6 3 3" xfId="9136" xr:uid="{00000000-0005-0000-0000-0000A2230000}"/>
    <cellStyle name="0_BOUSHER AMERAT III 3 6 3 3 2" xfId="9137" xr:uid="{00000000-0005-0000-0000-0000A3230000}"/>
    <cellStyle name="0_BOUSHER AMERAT III 3 6 3 4" xfId="9138" xr:uid="{00000000-0005-0000-0000-0000A4230000}"/>
    <cellStyle name="0_BOUSHER AMERAT III 3 6 4" xfId="9139" xr:uid="{00000000-0005-0000-0000-0000A5230000}"/>
    <cellStyle name="0_BOUSHER AMERAT III 3 6 4 2" xfId="9140" xr:uid="{00000000-0005-0000-0000-0000A6230000}"/>
    <cellStyle name="0_BOUSHER AMERAT III 3 6 4 2 2" xfId="9141" xr:uid="{00000000-0005-0000-0000-0000A7230000}"/>
    <cellStyle name="0_BOUSHER AMERAT III 3 6 4 3" xfId="9142" xr:uid="{00000000-0005-0000-0000-0000A8230000}"/>
    <cellStyle name="0_BOUSHER AMERAT III 3 6 4 3 2" xfId="9143" xr:uid="{00000000-0005-0000-0000-0000A9230000}"/>
    <cellStyle name="0_BOUSHER AMERAT III 3 6 4 4" xfId="9144" xr:uid="{00000000-0005-0000-0000-0000AA230000}"/>
    <cellStyle name="0_BOUSHER AMERAT III 3 6 5" xfId="9145" xr:uid="{00000000-0005-0000-0000-0000AB230000}"/>
    <cellStyle name="0_BOUSHER AMERAT III 3 6 5 2" xfId="9146" xr:uid="{00000000-0005-0000-0000-0000AC230000}"/>
    <cellStyle name="0_BOUSHER AMERAT III 3 6 5 2 2" xfId="9147" xr:uid="{00000000-0005-0000-0000-0000AD230000}"/>
    <cellStyle name="0_BOUSHER AMERAT III 3 6 5 3" xfId="9148" xr:uid="{00000000-0005-0000-0000-0000AE230000}"/>
    <cellStyle name="0_BOUSHER AMERAT III 3 6 5 3 2" xfId="9149" xr:uid="{00000000-0005-0000-0000-0000AF230000}"/>
    <cellStyle name="0_BOUSHER AMERAT III 3 6 5 4" xfId="9150" xr:uid="{00000000-0005-0000-0000-0000B0230000}"/>
    <cellStyle name="0_BOUSHER AMERAT III 3 6 6" xfId="9151" xr:uid="{00000000-0005-0000-0000-0000B1230000}"/>
    <cellStyle name="0_BOUSHER AMERAT III 3 6 6 2" xfId="9152" xr:uid="{00000000-0005-0000-0000-0000B2230000}"/>
    <cellStyle name="0_BOUSHER AMERAT III 3 6 7" xfId="9153" xr:uid="{00000000-0005-0000-0000-0000B3230000}"/>
    <cellStyle name="0_BOUSHER AMERAT III 3 6 7 2" xfId="9154" xr:uid="{00000000-0005-0000-0000-0000B4230000}"/>
    <cellStyle name="0_BOUSHER AMERAT III 3 6 8" xfId="9155" xr:uid="{00000000-0005-0000-0000-0000B5230000}"/>
    <cellStyle name="0_BOUSHER AMERAT III 3 7" xfId="9156" xr:uid="{00000000-0005-0000-0000-0000B6230000}"/>
    <cellStyle name="0_BOUSHER AMERAT III 3 7 2" xfId="9157" xr:uid="{00000000-0005-0000-0000-0000B7230000}"/>
    <cellStyle name="0_BOUSHER AMERAT III 3 7 2 2" xfId="9158" xr:uid="{00000000-0005-0000-0000-0000B8230000}"/>
    <cellStyle name="0_BOUSHER AMERAT III 3 7 2 2 2" xfId="9159" xr:uid="{00000000-0005-0000-0000-0000B9230000}"/>
    <cellStyle name="0_BOUSHER AMERAT III 3 7 2 3" xfId="9160" xr:uid="{00000000-0005-0000-0000-0000BA230000}"/>
    <cellStyle name="0_BOUSHER AMERAT III 3 7 2 3 2" xfId="9161" xr:uid="{00000000-0005-0000-0000-0000BB230000}"/>
    <cellStyle name="0_BOUSHER AMERAT III 3 7 2 4" xfId="9162" xr:uid="{00000000-0005-0000-0000-0000BC230000}"/>
    <cellStyle name="0_BOUSHER AMERAT III 3 7 3" xfId="9163" xr:uid="{00000000-0005-0000-0000-0000BD230000}"/>
    <cellStyle name="0_BOUSHER AMERAT III 3 7 3 2" xfId="9164" xr:uid="{00000000-0005-0000-0000-0000BE230000}"/>
    <cellStyle name="0_BOUSHER AMERAT III 3 7 3 2 2" xfId="9165" xr:uid="{00000000-0005-0000-0000-0000BF230000}"/>
    <cellStyle name="0_BOUSHER AMERAT III 3 7 3 3" xfId="9166" xr:uid="{00000000-0005-0000-0000-0000C0230000}"/>
    <cellStyle name="0_BOUSHER AMERAT III 3 7 3 3 2" xfId="9167" xr:uid="{00000000-0005-0000-0000-0000C1230000}"/>
    <cellStyle name="0_BOUSHER AMERAT III 3 7 3 4" xfId="9168" xr:uid="{00000000-0005-0000-0000-0000C2230000}"/>
    <cellStyle name="0_BOUSHER AMERAT III 3 7 4" xfId="9169" xr:uid="{00000000-0005-0000-0000-0000C3230000}"/>
    <cellStyle name="0_BOUSHER AMERAT III 3 7 4 2" xfId="9170" xr:uid="{00000000-0005-0000-0000-0000C4230000}"/>
    <cellStyle name="0_BOUSHER AMERAT III 3 7 5" xfId="9171" xr:uid="{00000000-0005-0000-0000-0000C5230000}"/>
    <cellStyle name="0_BOUSHER AMERAT III 3 7 5 2" xfId="9172" xr:uid="{00000000-0005-0000-0000-0000C6230000}"/>
    <cellStyle name="0_BOUSHER AMERAT III 3 7 6" xfId="9173" xr:uid="{00000000-0005-0000-0000-0000C7230000}"/>
    <cellStyle name="0_BOUSHER AMERAT III 3 8" xfId="9174" xr:uid="{00000000-0005-0000-0000-0000C8230000}"/>
    <cellStyle name="0_BOUSHER AMERAT III 3 8 2" xfId="9175" xr:uid="{00000000-0005-0000-0000-0000C9230000}"/>
    <cellStyle name="0_BOUSHER AMERAT III 3 8 2 2" xfId="9176" xr:uid="{00000000-0005-0000-0000-0000CA230000}"/>
    <cellStyle name="0_BOUSHER AMERAT III 3 8 3" xfId="9177" xr:uid="{00000000-0005-0000-0000-0000CB230000}"/>
    <cellStyle name="0_BOUSHER AMERAT III 3 8 3 2" xfId="9178" xr:uid="{00000000-0005-0000-0000-0000CC230000}"/>
    <cellStyle name="0_BOUSHER AMERAT III 3 8 4" xfId="9179" xr:uid="{00000000-0005-0000-0000-0000CD230000}"/>
    <cellStyle name="0_BOUSHER AMERAT III 3 9" xfId="9180" xr:uid="{00000000-0005-0000-0000-0000CE230000}"/>
    <cellStyle name="0_BOUSHER AMERAT III 3 9 2" xfId="9181" xr:uid="{00000000-0005-0000-0000-0000CF230000}"/>
    <cellStyle name="0_BOUSHER AMERAT III 3 9 2 2" xfId="9182" xr:uid="{00000000-0005-0000-0000-0000D0230000}"/>
    <cellStyle name="0_BOUSHER AMERAT III 3 9 3" xfId="9183" xr:uid="{00000000-0005-0000-0000-0000D1230000}"/>
    <cellStyle name="0_BOUSHER AMERAT III 3 9 3 2" xfId="9184" xr:uid="{00000000-0005-0000-0000-0000D2230000}"/>
    <cellStyle name="0_BOUSHER AMERAT III 3 9 4" xfId="9185" xr:uid="{00000000-0005-0000-0000-0000D3230000}"/>
    <cellStyle name="0_BOUSHER AMERAT III 4" xfId="9186" xr:uid="{00000000-0005-0000-0000-0000D4230000}"/>
    <cellStyle name="0_BOUSHER AMERAT III 4 10" xfId="9187" xr:uid="{00000000-0005-0000-0000-0000D5230000}"/>
    <cellStyle name="0_BOUSHER AMERAT III 4 10 2" xfId="9188" xr:uid="{00000000-0005-0000-0000-0000D6230000}"/>
    <cellStyle name="0_BOUSHER AMERAT III 4 10 2 2" xfId="9189" xr:uid="{00000000-0005-0000-0000-0000D7230000}"/>
    <cellStyle name="0_BOUSHER AMERAT III 4 10 3" xfId="9190" xr:uid="{00000000-0005-0000-0000-0000D8230000}"/>
    <cellStyle name="0_BOUSHER AMERAT III 4 10 3 2" xfId="9191" xr:uid="{00000000-0005-0000-0000-0000D9230000}"/>
    <cellStyle name="0_BOUSHER AMERAT III 4 10 4" xfId="9192" xr:uid="{00000000-0005-0000-0000-0000DA230000}"/>
    <cellStyle name="0_BOUSHER AMERAT III 4 11" xfId="9193" xr:uid="{00000000-0005-0000-0000-0000DB230000}"/>
    <cellStyle name="0_BOUSHER AMERAT III 4 11 2" xfId="9194" xr:uid="{00000000-0005-0000-0000-0000DC230000}"/>
    <cellStyle name="0_BOUSHER AMERAT III 4 12" xfId="9195" xr:uid="{00000000-0005-0000-0000-0000DD230000}"/>
    <cellStyle name="0_BOUSHER AMERAT III 4 12 2" xfId="9196" xr:uid="{00000000-0005-0000-0000-0000DE230000}"/>
    <cellStyle name="0_BOUSHER AMERAT III 4 13" xfId="9197" xr:uid="{00000000-0005-0000-0000-0000DF230000}"/>
    <cellStyle name="0_BOUSHER AMERAT III 4 2" xfId="9198" xr:uid="{00000000-0005-0000-0000-0000E0230000}"/>
    <cellStyle name="0_BOUSHER AMERAT III 4 2 2" xfId="9199" xr:uid="{00000000-0005-0000-0000-0000E1230000}"/>
    <cellStyle name="0_BOUSHER AMERAT III 4 2 2 2" xfId="9200" xr:uid="{00000000-0005-0000-0000-0000E2230000}"/>
    <cellStyle name="0_BOUSHER AMERAT III 4 2 2 2 2" xfId="9201" xr:uid="{00000000-0005-0000-0000-0000E3230000}"/>
    <cellStyle name="0_BOUSHER AMERAT III 4 2 2 2 2 2" xfId="9202" xr:uid="{00000000-0005-0000-0000-0000E4230000}"/>
    <cellStyle name="0_BOUSHER AMERAT III 4 2 2 2 3" xfId="9203" xr:uid="{00000000-0005-0000-0000-0000E5230000}"/>
    <cellStyle name="0_BOUSHER AMERAT III 4 2 2 2 3 2" xfId="9204" xr:uid="{00000000-0005-0000-0000-0000E6230000}"/>
    <cellStyle name="0_BOUSHER AMERAT III 4 2 2 2 4" xfId="9205" xr:uid="{00000000-0005-0000-0000-0000E7230000}"/>
    <cellStyle name="0_BOUSHER AMERAT III 4 2 2 3" xfId="9206" xr:uid="{00000000-0005-0000-0000-0000E8230000}"/>
    <cellStyle name="0_BOUSHER AMERAT III 4 2 2 3 2" xfId="9207" xr:uid="{00000000-0005-0000-0000-0000E9230000}"/>
    <cellStyle name="0_BOUSHER AMERAT III 4 2 2 3 2 2" xfId="9208" xr:uid="{00000000-0005-0000-0000-0000EA230000}"/>
    <cellStyle name="0_BOUSHER AMERAT III 4 2 2 3 3" xfId="9209" xr:uid="{00000000-0005-0000-0000-0000EB230000}"/>
    <cellStyle name="0_BOUSHER AMERAT III 4 2 2 3 3 2" xfId="9210" xr:uid="{00000000-0005-0000-0000-0000EC230000}"/>
    <cellStyle name="0_BOUSHER AMERAT III 4 2 2 3 4" xfId="9211" xr:uid="{00000000-0005-0000-0000-0000ED230000}"/>
    <cellStyle name="0_BOUSHER AMERAT III 4 2 2 4" xfId="9212" xr:uid="{00000000-0005-0000-0000-0000EE230000}"/>
    <cellStyle name="0_BOUSHER AMERAT III 4 2 2 4 2" xfId="9213" xr:uid="{00000000-0005-0000-0000-0000EF230000}"/>
    <cellStyle name="0_BOUSHER AMERAT III 4 2 2 5" xfId="9214" xr:uid="{00000000-0005-0000-0000-0000F0230000}"/>
    <cellStyle name="0_BOUSHER AMERAT III 4 2 2 5 2" xfId="9215" xr:uid="{00000000-0005-0000-0000-0000F1230000}"/>
    <cellStyle name="0_BOUSHER AMERAT III 4 2 2 6" xfId="9216" xr:uid="{00000000-0005-0000-0000-0000F2230000}"/>
    <cellStyle name="0_BOUSHER AMERAT III 4 2 3" xfId="9217" xr:uid="{00000000-0005-0000-0000-0000F3230000}"/>
    <cellStyle name="0_BOUSHER AMERAT III 4 2 3 2" xfId="9218" xr:uid="{00000000-0005-0000-0000-0000F4230000}"/>
    <cellStyle name="0_BOUSHER AMERAT III 4 2 3 2 2" xfId="9219" xr:uid="{00000000-0005-0000-0000-0000F5230000}"/>
    <cellStyle name="0_BOUSHER AMERAT III 4 2 3 3" xfId="9220" xr:uid="{00000000-0005-0000-0000-0000F6230000}"/>
    <cellStyle name="0_BOUSHER AMERAT III 4 2 3 3 2" xfId="9221" xr:uid="{00000000-0005-0000-0000-0000F7230000}"/>
    <cellStyle name="0_BOUSHER AMERAT III 4 2 3 4" xfId="9222" xr:uid="{00000000-0005-0000-0000-0000F8230000}"/>
    <cellStyle name="0_BOUSHER AMERAT III 4 2 4" xfId="9223" xr:uid="{00000000-0005-0000-0000-0000F9230000}"/>
    <cellStyle name="0_BOUSHER AMERAT III 4 2 4 2" xfId="9224" xr:uid="{00000000-0005-0000-0000-0000FA230000}"/>
    <cellStyle name="0_BOUSHER AMERAT III 4 2 4 2 2" xfId="9225" xr:uid="{00000000-0005-0000-0000-0000FB230000}"/>
    <cellStyle name="0_BOUSHER AMERAT III 4 2 4 3" xfId="9226" xr:uid="{00000000-0005-0000-0000-0000FC230000}"/>
    <cellStyle name="0_BOUSHER AMERAT III 4 2 4 3 2" xfId="9227" xr:uid="{00000000-0005-0000-0000-0000FD230000}"/>
    <cellStyle name="0_BOUSHER AMERAT III 4 2 4 4" xfId="9228" xr:uid="{00000000-0005-0000-0000-0000FE230000}"/>
    <cellStyle name="0_BOUSHER AMERAT III 4 2 5" xfId="9229" xr:uid="{00000000-0005-0000-0000-0000FF230000}"/>
    <cellStyle name="0_BOUSHER AMERAT III 4 2 5 2" xfId="9230" xr:uid="{00000000-0005-0000-0000-000000240000}"/>
    <cellStyle name="0_BOUSHER AMERAT III 4 2 5 2 2" xfId="9231" xr:uid="{00000000-0005-0000-0000-000001240000}"/>
    <cellStyle name="0_BOUSHER AMERAT III 4 2 5 3" xfId="9232" xr:uid="{00000000-0005-0000-0000-000002240000}"/>
    <cellStyle name="0_BOUSHER AMERAT III 4 2 5 3 2" xfId="9233" xr:uid="{00000000-0005-0000-0000-000003240000}"/>
    <cellStyle name="0_BOUSHER AMERAT III 4 2 5 4" xfId="9234" xr:uid="{00000000-0005-0000-0000-000004240000}"/>
    <cellStyle name="0_BOUSHER AMERAT III 4 2 6" xfId="9235" xr:uid="{00000000-0005-0000-0000-000005240000}"/>
    <cellStyle name="0_BOUSHER AMERAT III 4 2 6 2" xfId="9236" xr:uid="{00000000-0005-0000-0000-000006240000}"/>
    <cellStyle name="0_BOUSHER AMERAT III 4 2 7" xfId="9237" xr:uid="{00000000-0005-0000-0000-000007240000}"/>
    <cellStyle name="0_BOUSHER AMERAT III 4 2 7 2" xfId="9238" xr:uid="{00000000-0005-0000-0000-000008240000}"/>
    <cellStyle name="0_BOUSHER AMERAT III 4 2 8" xfId="9239" xr:uid="{00000000-0005-0000-0000-000009240000}"/>
    <cellStyle name="0_BOUSHER AMERAT III 4 3" xfId="9240" xr:uid="{00000000-0005-0000-0000-00000A240000}"/>
    <cellStyle name="0_BOUSHER AMERAT III 4 3 2" xfId="9241" xr:uid="{00000000-0005-0000-0000-00000B240000}"/>
    <cellStyle name="0_BOUSHER AMERAT III 4 3 2 2" xfId="9242" xr:uid="{00000000-0005-0000-0000-00000C240000}"/>
    <cellStyle name="0_BOUSHER AMERAT III 4 3 2 2 2" xfId="9243" xr:uid="{00000000-0005-0000-0000-00000D240000}"/>
    <cellStyle name="0_BOUSHER AMERAT III 4 3 2 2 2 2" xfId="9244" xr:uid="{00000000-0005-0000-0000-00000E240000}"/>
    <cellStyle name="0_BOUSHER AMERAT III 4 3 2 2 3" xfId="9245" xr:uid="{00000000-0005-0000-0000-00000F240000}"/>
    <cellStyle name="0_BOUSHER AMERAT III 4 3 2 2 3 2" xfId="9246" xr:uid="{00000000-0005-0000-0000-000010240000}"/>
    <cellStyle name="0_BOUSHER AMERAT III 4 3 2 2 4" xfId="9247" xr:uid="{00000000-0005-0000-0000-000011240000}"/>
    <cellStyle name="0_BOUSHER AMERAT III 4 3 2 3" xfId="9248" xr:uid="{00000000-0005-0000-0000-000012240000}"/>
    <cellStyle name="0_BOUSHER AMERAT III 4 3 2 3 2" xfId="9249" xr:uid="{00000000-0005-0000-0000-000013240000}"/>
    <cellStyle name="0_BOUSHER AMERAT III 4 3 2 3 2 2" xfId="9250" xr:uid="{00000000-0005-0000-0000-000014240000}"/>
    <cellStyle name="0_BOUSHER AMERAT III 4 3 2 3 3" xfId="9251" xr:uid="{00000000-0005-0000-0000-000015240000}"/>
    <cellStyle name="0_BOUSHER AMERAT III 4 3 2 3 3 2" xfId="9252" xr:uid="{00000000-0005-0000-0000-000016240000}"/>
    <cellStyle name="0_BOUSHER AMERAT III 4 3 2 3 4" xfId="9253" xr:uid="{00000000-0005-0000-0000-000017240000}"/>
    <cellStyle name="0_BOUSHER AMERAT III 4 3 2 4" xfId="9254" xr:uid="{00000000-0005-0000-0000-000018240000}"/>
    <cellStyle name="0_BOUSHER AMERAT III 4 3 2 4 2" xfId="9255" xr:uid="{00000000-0005-0000-0000-000019240000}"/>
    <cellStyle name="0_BOUSHER AMERAT III 4 3 2 5" xfId="9256" xr:uid="{00000000-0005-0000-0000-00001A240000}"/>
    <cellStyle name="0_BOUSHER AMERAT III 4 3 2 5 2" xfId="9257" xr:uid="{00000000-0005-0000-0000-00001B240000}"/>
    <cellStyle name="0_BOUSHER AMERAT III 4 3 2 6" xfId="9258" xr:uid="{00000000-0005-0000-0000-00001C240000}"/>
    <cellStyle name="0_BOUSHER AMERAT III 4 3 3" xfId="9259" xr:uid="{00000000-0005-0000-0000-00001D240000}"/>
    <cellStyle name="0_BOUSHER AMERAT III 4 3 3 2" xfId="9260" xr:uid="{00000000-0005-0000-0000-00001E240000}"/>
    <cellStyle name="0_BOUSHER AMERAT III 4 3 3 2 2" xfId="9261" xr:uid="{00000000-0005-0000-0000-00001F240000}"/>
    <cellStyle name="0_BOUSHER AMERAT III 4 3 3 3" xfId="9262" xr:uid="{00000000-0005-0000-0000-000020240000}"/>
    <cellStyle name="0_BOUSHER AMERAT III 4 3 3 3 2" xfId="9263" xr:uid="{00000000-0005-0000-0000-000021240000}"/>
    <cellStyle name="0_BOUSHER AMERAT III 4 3 3 4" xfId="9264" xr:uid="{00000000-0005-0000-0000-000022240000}"/>
    <cellStyle name="0_BOUSHER AMERAT III 4 3 4" xfId="9265" xr:uid="{00000000-0005-0000-0000-000023240000}"/>
    <cellStyle name="0_BOUSHER AMERAT III 4 3 4 2" xfId="9266" xr:uid="{00000000-0005-0000-0000-000024240000}"/>
    <cellStyle name="0_BOUSHER AMERAT III 4 3 4 2 2" xfId="9267" xr:uid="{00000000-0005-0000-0000-000025240000}"/>
    <cellStyle name="0_BOUSHER AMERAT III 4 3 4 3" xfId="9268" xr:uid="{00000000-0005-0000-0000-000026240000}"/>
    <cellStyle name="0_BOUSHER AMERAT III 4 3 4 3 2" xfId="9269" xr:uid="{00000000-0005-0000-0000-000027240000}"/>
    <cellStyle name="0_BOUSHER AMERAT III 4 3 4 4" xfId="9270" xr:uid="{00000000-0005-0000-0000-000028240000}"/>
    <cellStyle name="0_BOUSHER AMERAT III 4 3 5" xfId="9271" xr:uid="{00000000-0005-0000-0000-000029240000}"/>
    <cellStyle name="0_BOUSHER AMERAT III 4 3 5 2" xfId="9272" xr:uid="{00000000-0005-0000-0000-00002A240000}"/>
    <cellStyle name="0_BOUSHER AMERAT III 4 3 5 2 2" xfId="9273" xr:uid="{00000000-0005-0000-0000-00002B240000}"/>
    <cellStyle name="0_BOUSHER AMERAT III 4 3 5 3" xfId="9274" xr:uid="{00000000-0005-0000-0000-00002C240000}"/>
    <cellStyle name="0_BOUSHER AMERAT III 4 3 5 3 2" xfId="9275" xr:uid="{00000000-0005-0000-0000-00002D240000}"/>
    <cellStyle name="0_BOUSHER AMERAT III 4 3 5 4" xfId="9276" xr:uid="{00000000-0005-0000-0000-00002E240000}"/>
    <cellStyle name="0_BOUSHER AMERAT III 4 3 6" xfId="9277" xr:uid="{00000000-0005-0000-0000-00002F240000}"/>
    <cellStyle name="0_BOUSHER AMERAT III 4 3 6 2" xfId="9278" xr:uid="{00000000-0005-0000-0000-000030240000}"/>
    <cellStyle name="0_BOUSHER AMERAT III 4 3 7" xfId="9279" xr:uid="{00000000-0005-0000-0000-000031240000}"/>
    <cellStyle name="0_BOUSHER AMERAT III 4 3 7 2" xfId="9280" xr:uid="{00000000-0005-0000-0000-000032240000}"/>
    <cellStyle name="0_BOUSHER AMERAT III 4 3 8" xfId="9281" xr:uid="{00000000-0005-0000-0000-000033240000}"/>
    <cellStyle name="0_BOUSHER AMERAT III 4 4" xfId="9282" xr:uid="{00000000-0005-0000-0000-000034240000}"/>
    <cellStyle name="0_BOUSHER AMERAT III 4 4 2" xfId="9283" xr:uid="{00000000-0005-0000-0000-000035240000}"/>
    <cellStyle name="0_BOUSHER AMERAT III 4 4 2 2" xfId="9284" xr:uid="{00000000-0005-0000-0000-000036240000}"/>
    <cellStyle name="0_BOUSHER AMERAT III 4 4 2 2 2" xfId="9285" xr:uid="{00000000-0005-0000-0000-000037240000}"/>
    <cellStyle name="0_BOUSHER AMERAT III 4 4 2 2 2 2" xfId="9286" xr:uid="{00000000-0005-0000-0000-000038240000}"/>
    <cellStyle name="0_BOUSHER AMERAT III 4 4 2 2 3" xfId="9287" xr:uid="{00000000-0005-0000-0000-000039240000}"/>
    <cellStyle name="0_BOUSHER AMERAT III 4 4 2 2 3 2" xfId="9288" xr:uid="{00000000-0005-0000-0000-00003A240000}"/>
    <cellStyle name="0_BOUSHER AMERAT III 4 4 2 2 4" xfId="9289" xr:uid="{00000000-0005-0000-0000-00003B240000}"/>
    <cellStyle name="0_BOUSHER AMERAT III 4 4 2 3" xfId="9290" xr:uid="{00000000-0005-0000-0000-00003C240000}"/>
    <cellStyle name="0_BOUSHER AMERAT III 4 4 2 3 2" xfId="9291" xr:uid="{00000000-0005-0000-0000-00003D240000}"/>
    <cellStyle name="0_BOUSHER AMERAT III 4 4 2 3 2 2" xfId="9292" xr:uid="{00000000-0005-0000-0000-00003E240000}"/>
    <cellStyle name="0_BOUSHER AMERAT III 4 4 2 3 3" xfId="9293" xr:uid="{00000000-0005-0000-0000-00003F240000}"/>
    <cellStyle name="0_BOUSHER AMERAT III 4 4 2 3 3 2" xfId="9294" xr:uid="{00000000-0005-0000-0000-000040240000}"/>
    <cellStyle name="0_BOUSHER AMERAT III 4 4 2 3 4" xfId="9295" xr:uid="{00000000-0005-0000-0000-000041240000}"/>
    <cellStyle name="0_BOUSHER AMERAT III 4 4 2 4" xfId="9296" xr:uid="{00000000-0005-0000-0000-000042240000}"/>
    <cellStyle name="0_BOUSHER AMERAT III 4 4 2 4 2" xfId="9297" xr:uid="{00000000-0005-0000-0000-000043240000}"/>
    <cellStyle name="0_BOUSHER AMERAT III 4 4 2 5" xfId="9298" xr:uid="{00000000-0005-0000-0000-000044240000}"/>
    <cellStyle name="0_BOUSHER AMERAT III 4 4 2 5 2" xfId="9299" xr:uid="{00000000-0005-0000-0000-000045240000}"/>
    <cellStyle name="0_BOUSHER AMERAT III 4 4 2 6" xfId="9300" xr:uid="{00000000-0005-0000-0000-000046240000}"/>
    <cellStyle name="0_BOUSHER AMERAT III 4 4 3" xfId="9301" xr:uid="{00000000-0005-0000-0000-000047240000}"/>
    <cellStyle name="0_BOUSHER AMERAT III 4 4 3 2" xfId="9302" xr:uid="{00000000-0005-0000-0000-000048240000}"/>
    <cellStyle name="0_BOUSHER AMERAT III 4 4 3 2 2" xfId="9303" xr:uid="{00000000-0005-0000-0000-000049240000}"/>
    <cellStyle name="0_BOUSHER AMERAT III 4 4 3 3" xfId="9304" xr:uid="{00000000-0005-0000-0000-00004A240000}"/>
    <cellStyle name="0_BOUSHER AMERAT III 4 4 3 3 2" xfId="9305" xr:uid="{00000000-0005-0000-0000-00004B240000}"/>
    <cellStyle name="0_BOUSHER AMERAT III 4 4 3 4" xfId="9306" xr:uid="{00000000-0005-0000-0000-00004C240000}"/>
    <cellStyle name="0_BOUSHER AMERAT III 4 4 4" xfId="9307" xr:uid="{00000000-0005-0000-0000-00004D240000}"/>
    <cellStyle name="0_BOUSHER AMERAT III 4 4 4 2" xfId="9308" xr:uid="{00000000-0005-0000-0000-00004E240000}"/>
    <cellStyle name="0_BOUSHER AMERAT III 4 4 4 2 2" xfId="9309" xr:uid="{00000000-0005-0000-0000-00004F240000}"/>
    <cellStyle name="0_BOUSHER AMERAT III 4 4 4 3" xfId="9310" xr:uid="{00000000-0005-0000-0000-000050240000}"/>
    <cellStyle name="0_BOUSHER AMERAT III 4 4 4 3 2" xfId="9311" xr:uid="{00000000-0005-0000-0000-000051240000}"/>
    <cellStyle name="0_BOUSHER AMERAT III 4 4 4 4" xfId="9312" xr:uid="{00000000-0005-0000-0000-000052240000}"/>
    <cellStyle name="0_BOUSHER AMERAT III 4 4 5" xfId="9313" xr:uid="{00000000-0005-0000-0000-000053240000}"/>
    <cellStyle name="0_BOUSHER AMERAT III 4 4 5 2" xfId="9314" xr:uid="{00000000-0005-0000-0000-000054240000}"/>
    <cellStyle name="0_BOUSHER AMERAT III 4 4 5 2 2" xfId="9315" xr:uid="{00000000-0005-0000-0000-000055240000}"/>
    <cellStyle name="0_BOUSHER AMERAT III 4 4 5 3" xfId="9316" xr:uid="{00000000-0005-0000-0000-000056240000}"/>
    <cellStyle name="0_BOUSHER AMERAT III 4 4 5 3 2" xfId="9317" xr:uid="{00000000-0005-0000-0000-000057240000}"/>
    <cellStyle name="0_BOUSHER AMERAT III 4 4 5 4" xfId="9318" xr:uid="{00000000-0005-0000-0000-000058240000}"/>
    <cellStyle name="0_BOUSHER AMERAT III 4 4 6" xfId="9319" xr:uid="{00000000-0005-0000-0000-000059240000}"/>
    <cellStyle name="0_BOUSHER AMERAT III 4 4 6 2" xfId="9320" xr:uid="{00000000-0005-0000-0000-00005A240000}"/>
    <cellStyle name="0_BOUSHER AMERAT III 4 4 7" xfId="9321" xr:uid="{00000000-0005-0000-0000-00005B240000}"/>
    <cellStyle name="0_BOUSHER AMERAT III 4 4 7 2" xfId="9322" xr:uid="{00000000-0005-0000-0000-00005C240000}"/>
    <cellStyle name="0_BOUSHER AMERAT III 4 4 8" xfId="9323" xr:uid="{00000000-0005-0000-0000-00005D240000}"/>
    <cellStyle name="0_BOUSHER AMERAT III 4 5" xfId="9324" xr:uid="{00000000-0005-0000-0000-00005E240000}"/>
    <cellStyle name="0_BOUSHER AMERAT III 4 5 2" xfId="9325" xr:uid="{00000000-0005-0000-0000-00005F240000}"/>
    <cellStyle name="0_BOUSHER AMERAT III 4 5 2 2" xfId="9326" xr:uid="{00000000-0005-0000-0000-000060240000}"/>
    <cellStyle name="0_BOUSHER AMERAT III 4 5 2 2 2" xfId="9327" xr:uid="{00000000-0005-0000-0000-000061240000}"/>
    <cellStyle name="0_BOUSHER AMERAT III 4 5 2 2 2 2" xfId="9328" xr:uid="{00000000-0005-0000-0000-000062240000}"/>
    <cellStyle name="0_BOUSHER AMERAT III 4 5 2 2 3" xfId="9329" xr:uid="{00000000-0005-0000-0000-000063240000}"/>
    <cellStyle name="0_BOUSHER AMERAT III 4 5 2 2 3 2" xfId="9330" xr:uid="{00000000-0005-0000-0000-000064240000}"/>
    <cellStyle name="0_BOUSHER AMERAT III 4 5 2 2 4" xfId="9331" xr:uid="{00000000-0005-0000-0000-000065240000}"/>
    <cellStyle name="0_BOUSHER AMERAT III 4 5 2 3" xfId="9332" xr:uid="{00000000-0005-0000-0000-000066240000}"/>
    <cellStyle name="0_BOUSHER AMERAT III 4 5 2 3 2" xfId="9333" xr:uid="{00000000-0005-0000-0000-000067240000}"/>
    <cellStyle name="0_BOUSHER AMERAT III 4 5 2 3 2 2" xfId="9334" xr:uid="{00000000-0005-0000-0000-000068240000}"/>
    <cellStyle name="0_BOUSHER AMERAT III 4 5 2 3 3" xfId="9335" xr:uid="{00000000-0005-0000-0000-000069240000}"/>
    <cellStyle name="0_BOUSHER AMERAT III 4 5 2 3 3 2" xfId="9336" xr:uid="{00000000-0005-0000-0000-00006A240000}"/>
    <cellStyle name="0_BOUSHER AMERAT III 4 5 2 3 4" xfId="9337" xr:uid="{00000000-0005-0000-0000-00006B240000}"/>
    <cellStyle name="0_BOUSHER AMERAT III 4 5 2 4" xfId="9338" xr:uid="{00000000-0005-0000-0000-00006C240000}"/>
    <cellStyle name="0_BOUSHER AMERAT III 4 5 2 4 2" xfId="9339" xr:uid="{00000000-0005-0000-0000-00006D240000}"/>
    <cellStyle name="0_BOUSHER AMERAT III 4 5 2 5" xfId="9340" xr:uid="{00000000-0005-0000-0000-00006E240000}"/>
    <cellStyle name="0_BOUSHER AMERAT III 4 5 2 5 2" xfId="9341" xr:uid="{00000000-0005-0000-0000-00006F240000}"/>
    <cellStyle name="0_BOUSHER AMERAT III 4 5 2 6" xfId="9342" xr:uid="{00000000-0005-0000-0000-000070240000}"/>
    <cellStyle name="0_BOUSHER AMERAT III 4 5 3" xfId="9343" xr:uid="{00000000-0005-0000-0000-000071240000}"/>
    <cellStyle name="0_BOUSHER AMERAT III 4 5 3 2" xfId="9344" xr:uid="{00000000-0005-0000-0000-000072240000}"/>
    <cellStyle name="0_BOUSHER AMERAT III 4 5 3 2 2" xfId="9345" xr:uid="{00000000-0005-0000-0000-000073240000}"/>
    <cellStyle name="0_BOUSHER AMERAT III 4 5 3 3" xfId="9346" xr:uid="{00000000-0005-0000-0000-000074240000}"/>
    <cellStyle name="0_BOUSHER AMERAT III 4 5 3 3 2" xfId="9347" xr:uid="{00000000-0005-0000-0000-000075240000}"/>
    <cellStyle name="0_BOUSHER AMERAT III 4 5 3 4" xfId="9348" xr:uid="{00000000-0005-0000-0000-000076240000}"/>
    <cellStyle name="0_BOUSHER AMERAT III 4 5 4" xfId="9349" xr:uid="{00000000-0005-0000-0000-000077240000}"/>
    <cellStyle name="0_BOUSHER AMERAT III 4 5 4 2" xfId="9350" xr:uid="{00000000-0005-0000-0000-000078240000}"/>
    <cellStyle name="0_BOUSHER AMERAT III 4 5 4 2 2" xfId="9351" xr:uid="{00000000-0005-0000-0000-000079240000}"/>
    <cellStyle name="0_BOUSHER AMERAT III 4 5 4 3" xfId="9352" xr:uid="{00000000-0005-0000-0000-00007A240000}"/>
    <cellStyle name="0_BOUSHER AMERAT III 4 5 4 3 2" xfId="9353" xr:uid="{00000000-0005-0000-0000-00007B240000}"/>
    <cellStyle name="0_BOUSHER AMERAT III 4 5 4 4" xfId="9354" xr:uid="{00000000-0005-0000-0000-00007C240000}"/>
    <cellStyle name="0_BOUSHER AMERAT III 4 5 5" xfId="9355" xr:uid="{00000000-0005-0000-0000-00007D240000}"/>
    <cellStyle name="0_BOUSHER AMERAT III 4 5 5 2" xfId="9356" xr:uid="{00000000-0005-0000-0000-00007E240000}"/>
    <cellStyle name="0_BOUSHER AMERAT III 4 5 5 2 2" xfId="9357" xr:uid="{00000000-0005-0000-0000-00007F240000}"/>
    <cellStyle name="0_BOUSHER AMERAT III 4 5 5 3" xfId="9358" xr:uid="{00000000-0005-0000-0000-000080240000}"/>
    <cellStyle name="0_BOUSHER AMERAT III 4 5 5 3 2" xfId="9359" xr:uid="{00000000-0005-0000-0000-000081240000}"/>
    <cellStyle name="0_BOUSHER AMERAT III 4 5 5 4" xfId="9360" xr:uid="{00000000-0005-0000-0000-000082240000}"/>
    <cellStyle name="0_BOUSHER AMERAT III 4 5 6" xfId="9361" xr:uid="{00000000-0005-0000-0000-000083240000}"/>
    <cellStyle name="0_BOUSHER AMERAT III 4 5 6 2" xfId="9362" xr:uid="{00000000-0005-0000-0000-000084240000}"/>
    <cellStyle name="0_BOUSHER AMERAT III 4 5 7" xfId="9363" xr:uid="{00000000-0005-0000-0000-000085240000}"/>
    <cellStyle name="0_BOUSHER AMERAT III 4 5 7 2" xfId="9364" xr:uid="{00000000-0005-0000-0000-000086240000}"/>
    <cellStyle name="0_BOUSHER AMERAT III 4 5 8" xfId="9365" xr:uid="{00000000-0005-0000-0000-000087240000}"/>
    <cellStyle name="0_BOUSHER AMERAT III 4 6" xfId="9366" xr:uid="{00000000-0005-0000-0000-000088240000}"/>
    <cellStyle name="0_BOUSHER AMERAT III 4 6 2" xfId="9367" xr:uid="{00000000-0005-0000-0000-000089240000}"/>
    <cellStyle name="0_BOUSHER AMERAT III 4 6 2 2" xfId="9368" xr:uid="{00000000-0005-0000-0000-00008A240000}"/>
    <cellStyle name="0_BOUSHER AMERAT III 4 6 2 2 2" xfId="9369" xr:uid="{00000000-0005-0000-0000-00008B240000}"/>
    <cellStyle name="0_BOUSHER AMERAT III 4 6 2 2 2 2" xfId="9370" xr:uid="{00000000-0005-0000-0000-00008C240000}"/>
    <cellStyle name="0_BOUSHER AMERAT III 4 6 2 2 3" xfId="9371" xr:uid="{00000000-0005-0000-0000-00008D240000}"/>
    <cellStyle name="0_BOUSHER AMERAT III 4 6 2 2 3 2" xfId="9372" xr:uid="{00000000-0005-0000-0000-00008E240000}"/>
    <cellStyle name="0_BOUSHER AMERAT III 4 6 2 2 4" xfId="9373" xr:uid="{00000000-0005-0000-0000-00008F240000}"/>
    <cellStyle name="0_BOUSHER AMERAT III 4 6 2 3" xfId="9374" xr:uid="{00000000-0005-0000-0000-000090240000}"/>
    <cellStyle name="0_BOUSHER AMERAT III 4 6 2 3 2" xfId="9375" xr:uid="{00000000-0005-0000-0000-000091240000}"/>
    <cellStyle name="0_BOUSHER AMERAT III 4 6 2 3 2 2" xfId="9376" xr:uid="{00000000-0005-0000-0000-000092240000}"/>
    <cellStyle name="0_BOUSHER AMERAT III 4 6 2 3 3" xfId="9377" xr:uid="{00000000-0005-0000-0000-000093240000}"/>
    <cellStyle name="0_BOUSHER AMERAT III 4 6 2 3 3 2" xfId="9378" xr:uid="{00000000-0005-0000-0000-000094240000}"/>
    <cellStyle name="0_BOUSHER AMERAT III 4 6 2 3 4" xfId="9379" xr:uid="{00000000-0005-0000-0000-000095240000}"/>
    <cellStyle name="0_BOUSHER AMERAT III 4 6 2 4" xfId="9380" xr:uid="{00000000-0005-0000-0000-000096240000}"/>
    <cellStyle name="0_BOUSHER AMERAT III 4 6 2 4 2" xfId="9381" xr:uid="{00000000-0005-0000-0000-000097240000}"/>
    <cellStyle name="0_BOUSHER AMERAT III 4 6 2 5" xfId="9382" xr:uid="{00000000-0005-0000-0000-000098240000}"/>
    <cellStyle name="0_BOUSHER AMERAT III 4 6 2 5 2" xfId="9383" xr:uid="{00000000-0005-0000-0000-000099240000}"/>
    <cellStyle name="0_BOUSHER AMERAT III 4 6 2 6" xfId="9384" xr:uid="{00000000-0005-0000-0000-00009A240000}"/>
    <cellStyle name="0_BOUSHER AMERAT III 4 6 3" xfId="9385" xr:uid="{00000000-0005-0000-0000-00009B240000}"/>
    <cellStyle name="0_BOUSHER AMERAT III 4 6 3 2" xfId="9386" xr:uid="{00000000-0005-0000-0000-00009C240000}"/>
    <cellStyle name="0_BOUSHER AMERAT III 4 6 3 2 2" xfId="9387" xr:uid="{00000000-0005-0000-0000-00009D240000}"/>
    <cellStyle name="0_BOUSHER AMERAT III 4 6 3 3" xfId="9388" xr:uid="{00000000-0005-0000-0000-00009E240000}"/>
    <cellStyle name="0_BOUSHER AMERAT III 4 6 3 3 2" xfId="9389" xr:uid="{00000000-0005-0000-0000-00009F240000}"/>
    <cellStyle name="0_BOUSHER AMERAT III 4 6 3 4" xfId="9390" xr:uid="{00000000-0005-0000-0000-0000A0240000}"/>
    <cellStyle name="0_BOUSHER AMERAT III 4 6 4" xfId="9391" xr:uid="{00000000-0005-0000-0000-0000A1240000}"/>
    <cellStyle name="0_BOUSHER AMERAT III 4 6 4 2" xfId="9392" xr:uid="{00000000-0005-0000-0000-0000A2240000}"/>
    <cellStyle name="0_BOUSHER AMERAT III 4 6 4 2 2" xfId="9393" xr:uid="{00000000-0005-0000-0000-0000A3240000}"/>
    <cellStyle name="0_BOUSHER AMERAT III 4 6 4 3" xfId="9394" xr:uid="{00000000-0005-0000-0000-0000A4240000}"/>
    <cellStyle name="0_BOUSHER AMERAT III 4 6 4 3 2" xfId="9395" xr:uid="{00000000-0005-0000-0000-0000A5240000}"/>
    <cellStyle name="0_BOUSHER AMERAT III 4 6 4 4" xfId="9396" xr:uid="{00000000-0005-0000-0000-0000A6240000}"/>
    <cellStyle name="0_BOUSHER AMERAT III 4 6 5" xfId="9397" xr:uid="{00000000-0005-0000-0000-0000A7240000}"/>
    <cellStyle name="0_BOUSHER AMERAT III 4 6 5 2" xfId="9398" xr:uid="{00000000-0005-0000-0000-0000A8240000}"/>
    <cellStyle name="0_BOUSHER AMERAT III 4 6 5 2 2" xfId="9399" xr:uid="{00000000-0005-0000-0000-0000A9240000}"/>
    <cellStyle name="0_BOUSHER AMERAT III 4 6 5 3" xfId="9400" xr:uid="{00000000-0005-0000-0000-0000AA240000}"/>
    <cellStyle name="0_BOUSHER AMERAT III 4 6 5 3 2" xfId="9401" xr:uid="{00000000-0005-0000-0000-0000AB240000}"/>
    <cellStyle name="0_BOUSHER AMERAT III 4 6 5 4" xfId="9402" xr:uid="{00000000-0005-0000-0000-0000AC240000}"/>
    <cellStyle name="0_BOUSHER AMERAT III 4 6 6" xfId="9403" xr:uid="{00000000-0005-0000-0000-0000AD240000}"/>
    <cellStyle name="0_BOUSHER AMERAT III 4 6 6 2" xfId="9404" xr:uid="{00000000-0005-0000-0000-0000AE240000}"/>
    <cellStyle name="0_BOUSHER AMERAT III 4 6 7" xfId="9405" xr:uid="{00000000-0005-0000-0000-0000AF240000}"/>
    <cellStyle name="0_BOUSHER AMERAT III 4 6 7 2" xfId="9406" xr:uid="{00000000-0005-0000-0000-0000B0240000}"/>
    <cellStyle name="0_BOUSHER AMERAT III 4 6 8" xfId="9407" xr:uid="{00000000-0005-0000-0000-0000B1240000}"/>
    <cellStyle name="0_BOUSHER AMERAT III 4 7" xfId="9408" xr:uid="{00000000-0005-0000-0000-0000B2240000}"/>
    <cellStyle name="0_BOUSHER AMERAT III 4 7 2" xfId="9409" xr:uid="{00000000-0005-0000-0000-0000B3240000}"/>
    <cellStyle name="0_BOUSHER AMERAT III 4 7 2 2" xfId="9410" xr:uid="{00000000-0005-0000-0000-0000B4240000}"/>
    <cellStyle name="0_BOUSHER AMERAT III 4 7 2 2 2" xfId="9411" xr:uid="{00000000-0005-0000-0000-0000B5240000}"/>
    <cellStyle name="0_BOUSHER AMERAT III 4 7 2 3" xfId="9412" xr:uid="{00000000-0005-0000-0000-0000B6240000}"/>
    <cellStyle name="0_BOUSHER AMERAT III 4 7 2 3 2" xfId="9413" xr:uid="{00000000-0005-0000-0000-0000B7240000}"/>
    <cellStyle name="0_BOUSHER AMERAT III 4 7 2 4" xfId="9414" xr:uid="{00000000-0005-0000-0000-0000B8240000}"/>
    <cellStyle name="0_BOUSHER AMERAT III 4 7 3" xfId="9415" xr:uid="{00000000-0005-0000-0000-0000B9240000}"/>
    <cellStyle name="0_BOUSHER AMERAT III 4 7 3 2" xfId="9416" xr:uid="{00000000-0005-0000-0000-0000BA240000}"/>
    <cellStyle name="0_BOUSHER AMERAT III 4 7 3 2 2" xfId="9417" xr:uid="{00000000-0005-0000-0000-0000BB240000}"/>
    <cellStyle name="0_BOUSHER AMERAT III 4 7 3 3" xfId="9418" xr:uid="{00000000-0005-0000-0000-0000BC240000}"/>
    <cellStyle name="0_BOUSHER AMERAT III 4 7 3 3 2" xfId="9419" xr:uid="{00000000-0005-0000-0000-0000BD240000}"/>
    <cellStyle name="0_BOUSHER AMERAT III 4 7 3 4" xfId="9420" xr:uid="{00000000-0005-0000-0000-0000BE240000}"/>
    <cellStyle name="0_BOUSHER AMERAT III 4 7 4" xfId="9421" xr:uid="{00000000-0005-0000-0000-0000BF240000}"/>
    <cellStyle name="0_BOUSHER AMERAT III 4 7 4 2" xfId="9422" xr:uid="{00000000-0005-0000-0000-0000C0240000}"/>
    <cellStyle name="0_BOUSHER AMERAT III 4 7 5" xfId="9423" xr:uid="{00000000-0005-0000-0000-0000C1240000}"/>
    <cellStyle name="0_BOUSHER AMERAT III 4 7 5 2" xfId="9424" xr:uid="{00000000-0005-0000-0000-0000C2240000}"/>
    <cellStyle name="0_BOUSHER AMERAT III 4 7 6" xfId="9425" xr:uid="{00000000-0005-0000-0000-0000C3240000}"/>
    <cellStyle name="0_BOUSHER AMERAT III 4 8" xfId="9426" xr:uid="{00000000-0005-0000-0000-0000C4240000}"/>
    <cellStyle name="0_BOUSHER AMERAT III 4 8 2" xfId="9427" xr:uid="{00000000-0005-0000-0000-0000C5240000}"/>
    <cellStyle name="0_BOUSHER AMERAT III 4 8 2 2" xfId="9428" xr:uid="{00000000-0005-0000-0000-0000C6240000}"/>
    <cellStyle name="0_BOUSHER AMERAT III 4 8 3" xfId="9429" xr:uid="{00000000-0005-0000-0000-0000C7240000}"/>
    <cellStyle name="0_BOUSHER AMERAT III 4 8 3 2" xfId="9430" xr:uid="{00000000-0005-0000-0000-0000C8240000}"/>
    <cellStyle name="0_BOUSHER AMERAT III 4 8 4" xfId="9431" xr:uid="{00000000-0005-0000-0000-0000C9240000}"/>
    <cellStyle name="0_BOUSHER AMERAT III 4 9" xfId="9432" xr:uid="{00000000-0005-0000-0000-0000CA240000}"/>
    <cellStyle name="0_BOUSHER AMERAT III 4 9 2" xfId="9433" xr:uid="{00000000-0005-0000-0000-0000CB240000}"/>
    <cellStyle name="0_BOUSHER AMERAT III 4 9 2 2" xfId="9434" xr:uid="{00000000-0005-0000-0000-0000CC240000}"/>
    <cellStyle name="0_BOUSHER AMERAT III 4 9 3" xfId="9435" xr:uid="{00000000-0005-0000-0000-0000CD240000}"/>
    <cellStyle name="0_BOUSHER AMERAT III 4 9 3 2" xfId="9436" xr:uid="{00000000-0005-0000-0000-0000CE240000}"/>
    <cellStyle name="0_BOUSHER AMERAT III 4 9 4" xfId="9437" xr:uid="{00000000-0005-0000-0000-0000CF240000}"/>
    <cellStyle name="0_BOUSHER AMERAT III 5" xfId="9438" xr:uid="{00000000-0005-0000-0000-0000D0240000}"/>
    <cellStyle name="0_BOUSHER AMERAT III 5 10" xfId="9439" xr:uid="{00000000-0005-0000-0000-0000D1240000}"/>
    <cellStyle name="0_BOUSHER AMERAT III 5 10 2" xfId="9440" xr:uid="{00000000-0005-0000-0000-0000D2240000}"/>
    <cellStyle name="0_BOUSHER AMERAT III 5 10 2 2" xfId="9441" xr:uid="{00000000-0005-0000-0000-0000D3240000}"/>
    <cellStyle name="0_BOUSHER AMERAT III 5 10 3" xfId="9442" xr:uid="{00000000-0005-0000-0000-0000D4240000}"/>
    <cellStyle name="0_BOUSHER AMERAT III 5 10 3 2" xfId="9443" xr:uid="{00000000-0005-0000-0000-0000D5240000}"/>
    <cellStyle name="0_BOUSHER AMERAT III 5 10 4" xfId="9444" xr:uid="{00000000-0005-0000-0000-0000D6240000}"/>
    <cellStyle name="0_BOUSHER AMERAT III 5 11" xfId="9445" xr:uid="{00000000-0005-0000-0000-0000D7240000}"/>
    <cellStyle name="0_BOUSHER AMERAT III 5 11 2" xfId="9446" xr:uid="{00000000-0005-0000-0000-0000D8240000}"/>
    <cellStyle name="0_BOUSHER AMERAT III 5 12" xfId="9447" xr:uid="{00000000-0005-0000-0000-0000D9240000}"/>
    <cellStyle name="0_BOUSHER AMERAT III 5 12 2" xfId="9448" xr:uid="{00000000-0005-0000-0000-0000DA240000}"/>
    <cellStyle name="0_BOUSHER AMERAT III 5 13" xfId="9449" xr:uid="{00000000-0005-0000-0000-0000DB240000}"/>
    <cellStyle name="0_BOUSHER AMERAT III 5 2" xfId="9450" xr:uid="{00000000-0005-0000-0000-0000DC240000}"/>
    <cellStyle name="0_BOUSHER AMERAT III 5 2 2" xfId="9451" xr:uid="{00000000-0005-0000-0000-0000DD240000}"/>
    <cellStyle name="0_BOUSHER AMERAT III 5 2 2 2" xfId="9452" xr:uid="{00000000-0005-0000-0000-0000DE240000}"/>
    <cellStyle name="0_BOUSHER AMERAT III 5 2 2 2 2" xfId="9453" xr:uid="{00000000-0005-0000-0000-0000DF240000}"/>
    <cellStyle name="0_BOUSHER AMERAT III 5 2 2 2 2 2" xfId="9454" xr:uid="{00000000-0005-0000-0000-0000E0240000}"/>
    <cellStyle name="0_BOUSHER AMERAT III 5 2 2 2 3" xfId="9455" xr:uid="{00000000-0005-0000-0000-0000E1240000}"/>
    <cellStyle name="0_BOUSHER AMERAT III 5 2 2 2 3 2" xfId="9456" xr:uid="{00000000-0005-0000-0000-0000E2240000}"/>
    <cellStyle name="0_BOUSHER AMERAT III 5 2 2 2 4" xfId="9457" xr:uid="{00000000-0005-0000-0000-0000E3240000}"/>
    <cellStyle name="0_BOUSHER AMERAT III 5 2 2 3" xfId="9458" xr:uid="{00000000-0005-0000-0000-0000E4240000}"/>
    <cellStyle name="0_BOUSHER AMERAT III 5 2 2 3 2" xfId="9459" xr:uid="{00000000-0005-0000-0000-0000E5240000}"/>
    <cellStyle name="0_BOUSHER AMERAT III 5 2 2 3 2 2" xfId="9460" xr:uid="{00000000-0005-0000-0000-0000E6240000}"/>
    <cellStyle name="0_BOUSHER AMERAT III 5 2 2 3 3" xfId="9461" xr:uid="{00000000-0005-0000-0000-0000E7240000}"/>
    <cellStyle name="0_BOUSHER AMERAT III 5 2 2 3 3 2" xfId="9462" xr:uid="{00000000-0005-0000-0000-0000E8240000}"/>
    <cellStyle name="0_BOUSHER AMERAT III 5 2 2 3 4" xfId="9463" xr:uid="{00000000-0005-0000-0000-0000E9240000}"/>
    <cellStyle name="0_BOUSHER AMERAT III 5 2 2 4" xfId="9464" xr:uid="{00000000-0005-0000-0000-0000EA240000}"/>
    <cellStyle name="0_BOUSHER AMERAT III 5 2 2 4 2" xfId="9465" xr:uid="{00000000-0005-0000-0000-0000EB240000}"/>
    <cellStyle name="0_BOUSHER AMERAT III 5 2 2 5" xfId="9466" xr:uid="{00000000-0005-0000-0000-0000EC240000}"/>
    <cellStyle name="0_BOUSHER AMERAT III 5 2 2 5 2" xfId="9467" xr:uid="{00000000-0005-0000-0000-0000ED240000}"/>
    <cellStyle name="0_BOUSHER AMERAT III 5 2 2 6" xfId="9468" xr:uid="{00000000-0005-0000-0000-0000EE240000}"/>
    <cellStyle name="0_BOUSHER AMERAT III 5 2 3" xfId="9469" xr:uid="{00000000-0005-0000-0000-0000EF240000}"/>
    <cellStyle name="0_BOUSHER AMERAT III 5 2 3 2" xfId="9470" xr:uid="{00000000-0005-0000-0000-0000F0240000}"/>
    <cellStyle name="0_BOUSHER AMERAT III 5 2 3 2 2" xfId="9471" xr:uid="{00000000-0005-0000-0000-0000F1240000}"/>
    <cellStyle name="0_BOUSHER AMERAT III 5 2 3 3" xfId="9472" xr:uid="{00000000-0005-0000-0000-0000F2240000}"/>
    <cellStyle name="0_BOUSHER AMERAT III 5 2 3 3 2" xfId="9473" xr:uid="{00000000-0005-0000-0000-0000F3240000}"/>
    <cellStyle name="0_BOUSHER AMERAT III 5 2 3 4" xfId="9474" xr:uid="{00000000-0005-0000-0000-0000F4240000}"/>
    <cellStyle name="0_BOUSHER AMERAT III 5 2 4" xfId="9475" xr:uid="{00000000-0005-0000-0000-0000F5240000}"/>
    <cellStyle name="0_BOUSHER AMERAT III 5 2 4 2" xfId="9476" xr:uid="{00000000-0005-0000-0000-0000F6240000}"/>
    <cellStyle name="0_BOUSHER AMERAT III 5 2 4 2 2" xfId="9477" xr:uid="{00000000-0005-0000-0000-0000F7240000}"/>
    <cellStyle name="0_BOUSHER AMERAT III 5 2 4 3" xfId="9478" xr:uid="{00000000-0005-0000-0000-0000F8240000}"/>
    <cellStyle name="0_BOUSHER AMERAT III 5 2 4 3 2" xfId="9479" xr:uid="{00000000-0005-0000-0000-0000F9240000}"/>
    <cellStyle name="0_BOUSHER AMERAT III 5 2 4 4" xfId="9480" xr:uid="{00000000-0005-0000-0000-0000FA240000}"/>
    <cellStyle name="0_BOUSHER AMERAT III 5 2 5" xfId="9481" xr:uid="{00000000-0005-0000-0000-0000FB240000}"/>
    <cellStyle name="0_BOUSHER AMERAT III 5 2 5 2" xfId="9482" xr:uid="{00000000-0005-0000-0000-0000FC240000}"/>
    <cellStyle name="0_BOUSHER AMERAT III 5 2 5 2 2" xfId="9483" xr:uid="{00000000-0005-0000-0000-0000FD240000}"/>
    <cellStyle name="0_BOUSHER AMERAT III 5 2 5 3" xfId="9484" xr:uid="{00000000-0005-0000-0000-0000FE240000}"/>
    <cellStyle name="0_BOUSHER AMERAT III 5 2 5 3 2" xfId="9485" xr:uid="{00000000-0005-0000-0000-0000FF240000}"/>
    <cellStyle name="0_BOUSHER AMERAT III 5 2 5 4" xfId="9486" xr:uid="{00000000-0005-0000-0000-000000250000}"/>
    <cellStyle name="0_BOUSHER AMERAT III 5 2 6" xfId="9487" xr:uid="{00000000-0005-0000-0000-000001250000}"/>
    <cellStyle name="0_BOUSHER AMERAT III 5 2 6 2" xfId="9488" xr:uid="{00000000-0005-0000-0000-000002250000}"/>
    <cellStyle name="0_BOUSHER AMERAT III 5 2 7" xfId="9489" xr:uid="{00000000-0005-0000-0000-000003250000}"/>
    <cellStyle name="0_BOUSHER AMERAT III 5 2 7 2" xfId="9490" xr:uid="{00000000-0005-0000-0000-000004250000}"/>
    <cellStyle name="0_BOUSHER AMERAT III 5 2 8" xfId="9491" xr:uid="{00000000-0005-0000-0000-000005250000}"/>
    <cellStyle name="0_BOUSHER AMERAT III 5 3" xfId="9492" xr:uid="{00000000-0005-0000-0000-000006250000}"/>
    <cellStyle name="0_BOUSHER AMERAT III 5 3 2" xfId="9493" xr:uid="{00000000-0005-0000-0000-000007250000}"/>
    <cellStyle name="0_BOUSHER AMERAT III 5 3 2 2" xfId="9494" xr:uid="{00000000-0005-0000-0000-000008250000}"/>
    <cellStyle name="0_BOUSHER AMERAT III 5 3 2 2 2" xfId="9495" xr:uid="{00000000-0005-0000-0000-000009250000}"/>
    <cellStyle name="0_BOUSHER AMERAT III 5 3 2 2 2 2" xfId="9496" xr:uid="{00000000-0005-0000-0000-00000A250000}"/>
    <cellStyle name="0_BOUSHER AMERAT III 5 3 2 2 3" xfId="9497" xr:uid="{00000000-0005-0000-0000-00000B250000}"/>
    <cellStyle name="0_BOUSHER AMERAT III 5 3 2 2 3 2" xfId="9498" xr:uid="{00000000-0005-0000-0000-00000C250000}"/>
    <cellStyle name="0_BOUSHER AMERAT III 5 3 2 2 4" xfId="9499" xr:uid="{00000000-0005-0000-0000-00000D250000}"/>
    <cellStyle name="0_BOUSHER AMERAT III 5 3 2 3" xfId="9500" xr:uid="{00000000-0005-0000-0000-00000E250000}"/>
    <cellStyle name="0_BOUSHER AMERAT III 5 3 2 3 2" xfId="9501" xr:uid="{00000000-0005-0000-0000-00000F250000}"/>
    <cellStyle name="0_BOUSHER AMERAT III 5 3 2 3 2 2" xfId="9502" xr:uid="{00000000-0005-0000-0000-000010250000}"/>
    <cellStyle name="0_BOUSHER AMERAT III 5 3 2 3 3" xfId="9503" xr:uid="{00000000-0005-0000-0000-000011250000}"/>
    <cellStyle name="0_BOUSHER AMERAT III 5 3 2 3 3 2" xfId="9504" xr:uid="{00000000-0005-0000-0000-000012250000}"/>
    <cellStyle name="0_BOUSHER AMERAT III 5 3 2 3 4" xfId="9505" xr:uid="{00000000-0005-0000-0000-000013250000}"/>
    <cellStyle name="0_BOUSHER AMERAT III 5 3 2 4" xfId="9506" xr:uid="{00000000-0005-0000-0000-000014250000}"/>
    <cellStyle name="0_BOUSHER AMERAT III 5 3 2 4 2" xfId="9507" xr:uid="{00000000-0005-0000-0000-000015250000}"/>
    <cellStyle name="0_BOUSHER AMERAT III 5 3 2 5" xfId="9508" xr:uid="{00000000-0005-0000-0000-000016250000}"/>
    <cellStyle name="0_BOUSHER AMERAT III 5 3 2 5 2" xfId="9509" xr:uid="{00000000-0005-0000-0000-000017250000}"/>
    <cellStyle name="0_BOUSHER AMERAT III 5 3 2 6" xfId="9510" xr:uid="{00000000-0005-0000-0000-000018250000}"/>
    <cellStyle name="0_BOUSHER AMERAT III 5 3 3" xfId="9511" xr:uid="{00000000-0005-0000-0000-000019250000}"/>
    <cellStyle name="0_BOUSHER AMERAT III 5 3 3 2" xfId="9512" xr:uid="{00000000-0005-0000-0000-00001A250000}"/>
    <cellStyle name="0_BOUSHER AMERAT III 5 3 3 2 2" xfId="9513" xr:uid="{00000000-0005-0000-0000-00001B250000}"/>
    <cellStyle name="0_BOUSHER AMERAT III 5 3 3 3" xfId="9514" xr:uid="{00000000-0005-0000-0000-00001C250000}"/>
    <cellStyle name="0_BOUSHER AMERAT III 5 3 3 3 2" xfId="9515" xr:uid="{00000000-0005-0000-0000-00001D250000}"/>
    <cellStyle name="0_BOUSHER AMERAT III 5 3 3 4" xfId="9516" xr:uid="{00000000-0005-0000-0000-00001E250000}"/>
    <cellStyle name="0_BOUSHER AMERAT III 5 3 4" xfId="9517" xr:uid="{00000000-0005-0000-0000-00001F250000}"/>
    <cellStyle name="0_BOUSHER AMERAT III 5 3 4 2" xfId="9518" xr:uid="{00000000-0005-0000-0000-000020250000}"/>
    <cellStyle name="0_BOUSHER AMERAT III 5 3 4 2 2" xfId="9519" xr:uid="{00000000-0005-0000-0000-000021250000}"/>
    <cellStyle name="0_BOUSHER AMERAT III 5 3 4 3" xfId="9520" xr:uid="{00000000-0005-0000-0000-000022250000}"/>
    <cellStyle name="0_BOUSHER AMERAT III 5 3 4 3 2" xfId="9521" xr:uid="{00000000-0005-0000-0000-000023250000}"/>
    <cellStyle name="0_BOUSHER AMERAT III 5 3 4 4" xfId="9522" xr:uid="{00000000-0005-0000-0000-000024250000}"/>
    <cellStyle name="0_BOUSHER AMERAT III 5 3 5" xfId="9523" xr:uid="{00000000-0005-0000-0000-000025250000}"/>
    <cellStyle name="0_BOUSHER AMERAT III 5 3 5 2" xfId="9524" xr:uid="{00000000-0005-0000-0000-000026250000}"/>
    <cellStyle name="0_BOUSHER AMERAT III 5 3 5 2 2" xfId="9525" xr:uid="{00000000-0005-0000-0000-000027250000}"/>
    <cellStyle name="0_BOUSHER AMERAT III 5 3 5 3" xfId="9526" xr:uid="{00000000-0005-0000-0000-000028250000}"/>
    <cellStyle name="0_BOUSHER AMERAT III 5 3 5 3 2" xfId="9527" xr:uid="{00000000-0005-0000-0000-000029250000}"/>
    <cellStyle name="0_BOUSHER AMERAT III 5 3 5 4" xfId="9528" xr:uid="{00000000-0005-0000-0000-00002A250000}"/>
    <cellStyle name="0_BOUSHER AMERAT III 5 3 6" xfId="9529" xr:uid="{00000000-0005-0000-0000-00002B250000}"/>
    <cellStyle name="0_BOUSHER AMERAT III 5 3 6 2" xfId="9530" xr:uid="{00000000-0005-0000-0000-00002C250000}"/>
    <cellStyle name="0_BOUSHER AMERAT III 5 3 7" xfId="9531" xr:uid="{00000000-0005-0000-0000-00002D250000}"/>
    <cellStyle name="0_BOUSHER AMERAT III 5 3 7 2" xfId="9532" xr:uid="{00000000-0005-0000-0000-00002E250000}"/>
    <cellStyle name="0_BOUSHER AMERAT III 5 3 8" xfId="9533" xr:uid="{00000000-0005-0000-0000-00002F250000}"/>
    <cellStyle name="0_BOUSHER AMERAT III 5 4" xfId="9534" xr:uid="{00000000-0005-0000-0000-000030250000}"/>
    <cellStyle name="0_BOUSHER AMERAT III 5 4 2" xfId="9535" xr:uid="{00000000-0005-0000-0000-000031250000}"/>
    <cellStyle name="0_BOUSHER AMERAT III 5 4 2 2" xfId="9536" xr:uid="{00000000-0005-0000-0000-000032250000}"/>
    <cellStyle name="0_BOUSHER AMERAT III 5 4 2 2 2" xfId="9537" xr:uid="{00000000-0005-0000-0000-000033250000}"/>
    <cellStyle name="0_BOUSHER AMERAT III 5 4 2 2 2 2" xfId="9538" xr:uid="{00000000-0005-0000-0000-000034250000}"/>
    <cellStyle name="0_BOUSHER AMERAT III 5 4 2 2 3" xfId="9539" xr:uid="{00000000-0005-0000-0000-000035250000}"/>
    <cellStyle name="0_BOUSHER AMERAT III 5 4 2 2 3 2" xfId="9540" xr:uid="{00000000-0005-0000-0000-000036250000}"/>
    <cellStyle name="0_BOUSHER AMERAT III 5 4 2 2 4" xfId="9541" xr:uid="{00000000-0005-0000-0000-000037250000}"/>
    <cellStyle name="0_BOUSHER AMERAT III 5 4 2 3" xfId="9542" xr:uid="{00000000-0005-0000-0000-000038250000}"/>
    <cellStyle name="0_BOUSHER AMERAT III 5 4 2 3 2" xfId="9543" xr:uid="{00000000-0005-0000-0000-000039250000}"/>
    <cellStyle name="0_BOUSHER AMERAT III 5 4 2 3 2 2" xfId="9544" xr:uid="{00000000-0005-0000-0000-00003A250000}"/>
    <cellStyle name="0_BOUSHER AMERAT III 5 4 2 3 3" xfId="9545" xr:uid="{00000000-0005-0000-0000-00003B250000}"/>
    <cellStyle name="0_BOUSHER AMERAT III 5 4 2 3 3 2" xfId="9546" xr:uid="{00000000-0005-0000-0000-00003C250000}"/>
    <cellStyle name="0_BOUSHER AMERAT III 5 4 2 3 4" xfId="9547" xr:uid="{00000000-0005-0000-0000-00003D250000}"/>
    <cellStyle name="0_BOUSHER AMERAT III 5 4 2 4" xfId="9548" xr:uid="{00000000-0005-0000-0000-00003E250000}"/>
    <cellStyle name="0_BOUSHER AMERAT III 5 4 2 4 2" xfId="9549" xr:uid="{00000000-0005-0000-0000-00003F250000}"/>
    <cellStyle name="0_BOUSHER AMERAT III 5 4 2 5" xfId="9550" xr:uid="{00000000-0005-0000-0000-000040250000}"/>
    <cellStyle name="0_BOUSHER AMERAT III 5 4 2 5 2" xfId="9551" xr:uid="{00000000-0005-0000-0000-000041250000}"/>
    <cellStyle name="0_BOUSHER AMERAT III 5 4 2 6" xfId="9552" xr:uid="{00000000-0005-0000-0000-000042250000}"/>
    <cellStyle name="0_BOUSHER AMERAT III 5 4 3" xfId="9553" xr:uid="{00000000-0005-0000-0000-000043250000}"/>
    <cellStyle name="0_BOUSHER AMERAT III 5 4 3 2" xfId="9554" xr:uid="{00000000-0005-0000-0000-000044250000}"/>
    <cellStyle name="0_BOUSHER AMERAT III 5 4 3 2 2" xfId="9555" xr:uid="{00000000-0005-0000-0000-000045250000}"/>
    <cellStyle name="0_BOUSHER AMERAT III 5 4 3 3" xfId="9556" xr:uid="{00000000-0005-0000-0000-000046250000}"/>
    <cellStyle name="0_BOUSHER AMERAT III 5 4 3 3 2" xfId="9557" xr:uid="{00000000-0005-0000-0000-000047250000}"/>
    <cellStyle name="0_BOUSHER AMERAT III 5 4 3 4" xfId="9558" xr:uid="{00000000-0005-0000-0000-000048250000}"/>
    <cellStyle name="0_BOUSHER AMERAT III 5 4 4" xfId="9559" xr:uid="{00000000-0005-0000-0000-000049250000}"/>
    <cellStyle name="0_BOUSHER AMERAT III 5 4 4 2" xfId="9560" xr:uid="{00000000-0005-0000-0000-00004A250000}"/>
    <cellStyle name="0_BOUSHER AMERAT III 5 4 4 2 2" xfId="9561" xr:uid="{00000000-0005-0000-0000-00004B250000}"/>
    <cellStyle name="0_BOUSHER AMERAT III 5 4 4 3" xfId="9562" xr:uid="{00000000-0005-0000-0000-00004C250000}"/>
    <cellStyle name="0_BOUSHER AMERAT III 5 4 4 3 2" xfId="9563" xr:uid="{00000000-0005-0000-0000-00004D250000}"/>
    <cellStyle name="0_BOUSHER AMERAT III 5 4 4 4" xfId="9564" xr:uid="{00000000-0005-0000-0000-00004E250000}"/>
    <cellStyle name="0_BOUSHER AMERAT III 5 4 5" xfId="9565" xr:uid="{00000000-0005-0000-0000-00004F250000}"/>
    <cellStyle name="0_BOUSHER AMERAT III 5 4 5 2" xfId="9566" xr:uid="{00000000-0005-0000-0000-000050250000}"/>
    <cellStyle name="0_BOUSHER AMERAT III 5 4 5 2 2" xfId="9567" xr:uid="{00000000-0005-0000-0000-000051250000}"/>
    <cellStyle name="0_BOUSHER AMERAT III 5 4 5 3" xfId="9568" xr:uid="{00000000-0005-0000-0000-000052250000}"/>
    <cellStyle name="0_BOUSHER AMERAT III 5 4 5 3 2" xfId="9569" xr:uid="{00000000-0005-0000-0000-000053250000}"/>
    <cellStyle name="0_BOUSHER AMERAT III 5 4 5 4" xfId="9570" xr:uid="{00000000-0005-0000-0000-000054250000}"/>
    <cellStyle name="0_BOUSHER AMERAT III 5 4 6" xfId="9571" xr:uid="{00000000-0005-0000-0000-000055250000}"/>
    <cellStyle name="0_BOUSHER AMERAT III 5 4 6 2" xfId="9572" xr:uid="{00000000-0005-0000-0000-000056250000}"/>
    <cellStyle name="0_BOUSHER AMERAT III 5 4 7" xfId="9573" xr:uid="{00000000-0005-0000-0000-000057250000}"/>
    <cellStyle name="0_BOUSHER AMERAT III 5 4 7 2" xfId="9574" xr:uid="{00000000-0005-0000-0000-000058250000}"/>
    <cellStyle name="0_BOUSHER AMERAT III 5 4 8" xfId="9575" xr:uid="{00000000-0005-0000-0000-000059250000}"/>
    <cellStyle name="0_BOUSHER AMERAT III 5 5" xfId="9576" xr:uid="{00000000-0005-0000-0000-00005A250000}"/>
    <cellStyle name="0_BOUSHER AMERAT III 5 5 2" xfId="9577" xr:uid="{00000000-0005-0000-0000-00005B250000}"/>
    <cellStyle name="0_BOUSHER AMERAT III 5 5 2 2" xfId="9578" xr:uid="{00000000-0005-0000-0000-00005C250000}"/>
    <cellStyle name="0_BOUSHER AMERAT III 5 5 2 2 2" xfId="9579" xr:uid="{00000000-0005-0000-0000-00005D250000}"/>
    <cellStyle name="0_BOUSHER AMERAT III 5 5 2 2 2 2" xfId="9580" xr:uid="{00000000-0005-0000-0000-00005E250000}"/>
    <cellStyle name="0_BOUSHER AMERAT III 5 5 2 2 3" xfId="9581" xr:uid="{00000000-0005-0000-0000-00005F250000}"/>
    <cellStyle name="0_BOUSHER AMERAT III 5 5 2 2 3 2" xfId="9582" xr:uid="{00000000-0005-0000-0000-000060250000}"/>
    <cellStyle name="0_BOUSHER AMERAT III 5 5 2 2 4" xfId="9583" xr:uid="{00000000-0005-0000-0000-000061250000}"/>
    <cellStyle name="0_BOUSHER AMERAT III 5 5 2 3" xfId="9584" xr:uid="{00000000-0005-0000-0000-000062250000}"/>
    <cellStyle name="0_BOUSHER AMERAT III 5 5 2 3 2" xfId="9585" xr:uid="{00000000-0005-0000-0000-000063250000}"/>
    <cellStyle name="0_BOUSHER AMERAT III 5 5 2 3 2 2" xfId="9586" xr:uid="{00000000-0005-0000-0000-000064250000}"/>
    <cellStyle name="0_BOUSHER AMERAT III 5 5 2 3 3" xfId="9587" xr:uid="{00000000-0005-0000-0000-000065250000}"/>
    <cellStyle name="0_BOUSHER AMERAT III 5 5 2 3 3 2" xfId="9588" xr:uid="{00000000-0005-0000-0000-000066250000}"/>
    <cellStyle name="0_BOUSHER AMERAT III 5 5 2 3 4" xfId="9589" xr:uid="{00000000-0005-0000-0000-000067250000}"/>
    <cellStyle name="0_BOUSHER AMERAT III 5 5 2 4" xfId="9590" xr:uid="{00000000-0005-0000-0000-000068250000}"/>
    <cellStyle name="0_BOUSHER AMERAT III 5 5 2 4 2" xfId="9591" xr:uid="{00000000-0005-0000-0000-000069250000}"/>
    <cellStyle name="0_BOUSHER AMERAT III 5 5 2 5" xfId="9592" xr:uid="{00000000-0005-0000-0000-00006A250000}"/>
    <cellStyle name="0_BOUSHER AMERAT III 5 5 2 5 2" xfId="9593" xr:uid="{00000000-0005-0000-0000-00006B250000}"/>
    <cellStyle name="0_BOUSHER AMERAT III 5 5 2 6" xfId="9594" xr:uid="{00000000-0005-0000-0000-00006C250000}"/>
    <cellStyle name="0_BOUSHER AMERAT III 5 5 3" xfId="9595" xr:uid="{00000000-0005-0000-0000-00006D250000}"/>
    <cellStyle name="0_BOUSHER AMERAT III 5 5 3 2" xfId="9596" xr:uid="{00000000-0005-0000-0000-00006E250000}"/>
    <cellStyle name="0_BOUSHER AMERAT III 5 5 3 2 2" xfId="9597" xr:uid="{00000000-0005-0000-0000-00006F250000}"/>
    <cellStyle name="0_BOUSHER AMERAT III 5 5 3 3" xfId="9598" xr:uid="{00000000-0005-0000-0000-000070250000}"/>
    <cellStyle name="0_BOUSHER AMERAT III 5 5 3 3 2" xfId="9599" xr:uid="{00000000-0005-0000-0000-000071250000}"/>
    <cellStyle name="0_BOUSHER AMERAT III 5 5 3 4" xfId="9600" xr:uid="{00000000-0005-0000-0000-000072250000}"/>
    <cellStyle name="0_BOUSHER AMERAT III 5 5 4" xfId="9601" xr:uid="{00000000-0005-0000-0000-000073250000}"/>
    <cellStyle name="0_BOUSHER AMERAT III 5 5 4 2" xfId="9602" xr:uid="{00000000-0005-0000-0000-000074250000}"/>
    <cellStyle name="0_BOUSHER AMERAT III 5 5 4 2 2" xfId="9603" xr:uid="{00000000-0005-0000-0000-000075250000}"/>
    <cellStyle name="0_BOUSHER AMERAT III 5 5 4 3" xfId="9604" xr:uid="{00000000-0005-0000-0000-000076250000}"/>
    <cellStyle name="0_BOUSHER AMERAT III 5 5 4 3 2" xfId="9605" xr:uid="{00000000-0005-0000-0000-000077250000}"/>
    <cellStyle name="0_BOUSHER AMERAT III 5 5 4 4" xfId="9606" xr:uid="{00000000-0005-0000-0000-000078250000}"/>
    <cellStyle name="0_BOUSHER AMERAT III 5 5 5" xfId="9607" xr:uid="{00000000-0005-0000-0000-000079250000}"/>
    <cellStyle name="0_BOUSHER AMERAT III 5 5 5 2" xfId="9608" xr:uid="{00000000-0005-0000-0000-00007A250000}"/>
    <cellStyle name="0_BOUSHER AMERAT III 5 5 5 2 2" xfId="9609" xr:uid="{00000000-0005-0000-0000-00007B250000}"/>
    <cellStyle name="0_BOUSHER AMERAT III 5 5 5 3" xfId="9610" xr:uid="{00000000-0005-0000-0000-00007C250000}"/>
    <cellStyle name="0_BOUSHER AMERAT III 5 5 5 3 2" xfId="9611" xr:uid="{00000000-0005-0000-0000-00007D250000}"/>
    <cellStyle name="0_BOUSHER AMERAT III 5 5 5 4" xfId="9612" xr:uid="{00000000-0005-0000-0000-00007E250000}"/>
    <cellStyle name="0_BOUSHER AMERAT III 5 5 6" xfId="9613" xr:uid="{00000000-0005-0000-0000-00007F250000}"/>
    <cellStyle name="0_BOUSHER AMERAT III 5 5 6 2" xfId="9614" xr:uid="{00000000-0005-0000-0000-000080250000}"/>
    <cellStyle name="0_BOUSHER AMERAT III 5 5 7" xfId="9615" xr:uid="{00000000-0005-0000-0000-000081250000}"/>
    <cellStyle name="0_BOUSHER AMERAT III 5 5 7 2" xfId="9616" xr:uid="{00000000-0005-0000-0000-000082250000}"/>
    <cellStyle name="0_BOUSHER AMERAT III 5 5 8" xfId="9617" xr:uid="{00000000-0005-0000-0000-000083250000}"/>
    <cellStyle name="0_BOUSHER AMERAT III 5 6" xfId="9618" xr:uid="{00000000-0005-0000-0000-000084250000}"/>
    <cellStyle name="0_BOUSHER AMERAT III 5 6 2" xfId="9619" xr:uid="{00000000-0005-0000-0000-000085250000}"/>
    <cellStyle name="0_BOUSHER AMERAT III 5 6 2 2" xfId="9620" xr:uid="{00000000-0005-0000-0000-000086250000}"/>
    <cellStyle name="0_BOUSHER AMERAT III 5 6 2 2 2" xfId="9621" xr:uid="{00000000-0005-0000-0000-000087250000}"/>
    <cellStyle name="0_BOUSHER AMERAT III 5 6 2 2 2 2" xfId="9622" xr:uid="{00000000-0005-0000-0000-000088250000}"/>
    <cellStyle name="0_BOUSHER AMERAT III 5 6 2 2 3" xfId="9623" xr:uid="{00000000-0005-0000-0000-000089250000}"/>
    <cellStyle name="0_BOUSHER AMERAT III 5 6 2 2 3 2" xfId="9624" xr:uid="{00000000-0005-0000-0000-00008A250000}"/>
    <cellStyle name="0_BOUSHER AMERAT III 5 6 2 2 4" xfId="9625" xr:uid="{00000000-0005-0000-0000-00008B250000}"/>
    <cellStyle name="0_BOUSHER AMERAT III 5 6 2 3" xfId="9626" xr:uid="{00000000-0005-0000-0000-00008C250000}"/>
    <cellStyle name="0_BOUSHER AMERAT III 5 6 2 3 2" xfId="9627" xr:uid="{00000000-0005-0000-0000-00008D250000}"/>
    <cellStyle name="0_BOUSHER AMERAT III 5 6 2 3 2 2" xfId="9628" xr:uid="{00000000-0005-0000-0000-00008E250000}"/>
    <cellStyle name="0_BOUSHER AMERAT III 5 6 2 3 3" xfId="9629" xr:uid="{00000000-0005-0000-0000-00008F250000}"/>
    <cellStyle name="0_BOUSHER AMERAT III 5 6 2 3 3 2" xfId="9630" xr:uid="{00000000-0005-0000-0000-000090250000}"/>
    <cellStyle name="0_BOUSHER AMERAT III 5 6 2 3 4" xfId="9631" xr:uid="{00000000-0005-0000-0000-000091250000}"/>
    <cellStyle name="0_BOUSHER AMERAT III 5 6 2 4" xfId="9632" xr:uid="{00000000-0005-0000-0000-000092250000}"/>
    <cellStyle name="0_BOUSHER AMERAT III 5 6 2 4 2" xfId="9633" xr:uid="{00000000-0005-0000-0000-000093250000}"/>
    <cellStyle name="0_BOUSHER AMERAT III 5 6 2 5" xfId="9634" xr:uid="{00000000-0005-0000-0000-000094250000}"/>
    <cellStyle name="0_BOUSHER AMERAT III 5 6 2 5 2" xfId="9635" xr:uid="{00000000-0005-0000-0000-000095250000}"/>
    <cellStyle name="0_BOUSHER AMERAT III 5 6 2 6" xfId="9636" xr:uid="{00000000-0005-0000-0000-000096250000}"/>
    <cellStyle name="0_BOUSHER AMERAT III 5 6 3" xfId="9637" xr:uid="{00000000-0005-0000-0000-000097250000}"/>
    <cellStyle name="0_BOUSHER AMERAT III 5 6 3 2" xfId="9638" xr:uid="{00000000-0005-0000-0000-000098250000}"/>
    <cellStyle name="0_BOUSHER AMERAT III 5 6 3 2 2" xfId="9639" xr:uid="{00000000-0005-0000-0000-000099250000}"/>
    <cellStyle name="0_BOUSHER AMERAT III 5 6 3 3" xfId="9640" xr:uid="{00000000-0005-0000-0000-00009A250000}"/>
    <cellStyle name="0_BOUSHER AMERAT III 5 6 3 3 2" xfId="9641" xr:uid="{00000000-0005-0000-0000-00009B250000}"/>
    <cellStyle name="0_BOUSHER AMERAT III 5 6 3 4" xfId="9642" xr:uid="{00000000-0005-0000-0000-00009C250000}"/>
    <cellStyle name="0_BOUSHER AMERAT III 5 6 4" xfId="9643" xr:uid="{00000000-0005-0000-0000-00009D250000}"/>
    <cellStyle name="0_BOUSHER AMERAT III 5 6 4 2" xfId="9644" xr:uid="{00000000-0005-0000-0000-00009E250000}"/>
    <cellStyle name="0_BOUSHER AMERAT III 5 6 4 2 2" xfId="9645" xr:uid="{00000000-0005-0000-0000-00009F250000}"/>
    <cellStyle name="0_BOUSHER AMERAT III 5 6 4 3" xfId="9646" xr:uid="{00000000-0005-0000-0000-0000A0250000}"/>
    <cellStyle name="0_BOUSHER AMERAT III 5 6 4 3 2" xfId="9647" xr:uid="{00000000-0005-0000-0000-0000A1250000}"/>
    <cellStyle name="0_BOUSHER AMERAT III 5 6 4 4" xfId="9648" xr:uid="{00000000-0005-0000-0000-0000A2250000}"/>
    <cellStyle name="0_BOUSHER AMERAT III 5 6 5" xfId="9649" xr:uid="{00000000-0005-0000-0000-0000A3250000}"/>
    <cellStyle name="0_BOUSHER AMERAT III 5 6 5 2" xfId="9650" xr:uid="{00000000-0005-0000-0000-0000A4250000}"/>
    <cellStyle name="0_BOUSHER AMERAT III 5 6 5 2 2" xfId="9651" xr:uid="{00000000-0005-0000-0000-0000A5250000}"/>
    <cellStyle name="0_BOUSHER AMERAT III 5 6 5 3" xfId="9652" xr:uid="{00000000-0005-0000-0000-0000A6250000}"/>
    <cellStyle name="0_BOUSHER AMERAT III 5 6 5 3 2" xfId="9653" xr:uid="{00000000-0005-0000-0000-0000A7250000}"/>
    <cellStyle name="0_BOUSHER AMERAT III 5 6 5 4" xfId="9654" xr:uid="{00000000-0005-0000-0000-0000A8250000}"/>
    <cellStyle name="0_BOUSHER AMERAT III 5 6 6" xfId="9655" xr:uid="{00000000-0005-0000-0000-0000A9250000}"/>
    <cellStyle name="0_BOUSHER AMERAT III 5 6 6 2" xfId="9656" xr:uid="{00000000-0005-0000-0000-0000AA250000}"/>
    <cellStyle name="0_BOUSHER AMERAT III 5 6 7" xfId="9657" xr:uid="{00000000-0005-0000-0000-0000AB250000}"/>
    <cellStyle name="0_BOUSHER AMERAT III 5 6 7 2" xfId="9658" xr:uid="{00000000-0005-0000-0000-0000AC250000}"/>
    <cellStyle name="0_BOUSHER AMERAT III 5 6 8" xfId="9659" xr:uid="{00000000-0005-0000-0000-0000AD250000}"/>
    <cellStyle name="0_BOUSHER AMERAT III 5 7" xfId="9660" xr:uid="{00000000-0005-0000-0000-0000AE250000}"/>
    <cellStyle name="0_BOUSHER AMERAT III 5 7 2" xfId="9661" xr:uid="{00000000-0005-0000-0000-0000AF250000}"/>
    <cellStyle name="0_BOUSHER AMERAT III 5 7 2 2" xfId="9662" xr:uid="{00000000-0005-0000-0000-0000B0250000}"/>
    <cellStyle name="0_BOUSHER AMERAT III 5 7 2 2 2" xfId="9663" xr:uid="{00000000-0005-0000-0000-0000B1250000}"/>
    <cellStyle name="0_BOUSHER AMERAT III 5 7 2 3" xfId="9664" xr:uid="{00000000-0005-0000-0000-0000B2250000}"/>
    <cellStyle name="0_BOUSHER AMERAT III 5 7 2 3 2" xfId="9665" xr:uid="{00000000-0005-0000-0000-0000B3250000}"/>
    <cellStyle name="0_BOUSHER AMERAT III 5 7 2 4" xfId="9666" xr:uid="{00000000-0005-0000-0000-0000B4250000}"/>
    <cellStyle name="0_BOUSHER AMERAT III 5 7 3" xfId="9667" xr:uid="{00000000-0005-0000-0000-0000B5250000}"/>
    <cellStyle name="0_BOUSHER AMERAT III 5 7 3 2" xfId="9668" xr:uid="{00000000-0005-0000-0000-0000B6250000}"/>
    <cellStyle name="0_BOUSHER AMERAT III 5 7 3 2 2" xfId="9669" xr:uid="{00000000-0005-0000-0000-0000B7250000}"/>
    <cellStyle name="0_BOUSHER AMERAT III 5 7 3 3" xfId="9670" xr:uid="{00000000-0005-0000-0000-0000B8250000}"/>
    <cellStyle name="0_BOUSHER AMERAT III 5 7 3 3 2" xfId="9671" xr:uid="{00000000-0005-0000-0000-0000B9250000}"/>
    <cellStyle name="0_BOUSHER AMERAT III 5 7 3 4" xfId="9672" xr:uid="{00000000-0005-0000-0000-0000BA250000}"/>
    <cellStyle name="0_BOUSHER AMERAT III 5 7 4" xfId="9673" xr:uid="{00000000-0005-0000-0000-0000BB250000}"/>
    <cellStyle name="0_BOUSHER AMERAT III 5 7 4 2" xfId="9674" xr:uid="{00000000-0005-0000-0000-0000BC250000}"/>
    <cellStyle name="0_BOUSHER AMERAT III 5 7 5" xfId="9675" xr:uid="{00000000-0005-0000-0000-0000BD250000}"/>
    <cellStyle name="0_BOUSHER AMERAT III 5 7 5 2" xfId="9676" xr:uid="{00000000-0005-0000-0000-0000BE250000}"/>
    <cellStyle name="0_BOUSHER AMERAT III 5 7 6" xfId="9677" xr:uid="{00000000-0005-0000-0000-0000BF250000}"/>
    <cellStyle name="0_BOUSHER AMERAT III 5 8" xfId="9678" xr:uid="{00000000-0005-0000-0000-0000C0250000}"/>
    <cellStyle name="0_BOUSHER AMERAT III 5 8 2" xfId="9679" xr:uid="{00000000-0005-0000-0000-0000C1250000}"/>
    <cellStyle name="0_BOUSHER AMERAT III 5 8 2 2" xfId="9680" xr:uid="{00000000-0005-0000-0000-0000C2250000}"/>
    <cellStyle name="0_BOUSHER AMERAT III 5 8 3" xfId="9681" xr:uid="{00000000-0005-0000-0000-0000C3250000}"/>
    <cellStyle name="0_BOUSHER AMERAT III 5 8 3 2" xfId="9682" xr:uid="{00000000-0005-0000-0000-0000C4250000}"/>
    <cellStyle name="0_BOUSHER AMERAT III 5 8 4" xfId="9683" xr:uid="{00000000-0005-0000-0000-0000C5250000}"/>
    <cellStyle name="0_BOUSHER AMERAT III 5 9" xfId="9684" xr:uid="{00000000-0005-0000-0000-0000C6250000}"/>
    <cellStyle name="0_BOUSHER AMERAT III 5 9 2" xfId="9685" xr:uid="{00000000-0005-0000-0000-0000C7250000}"/>
    <cellStyle name="0_BOUSHER AMERAT III 5 9 2 2" xfId="9686" xr:uid="{00000000-0005-0000-0000-0000C8250000}"/>
    <cellStyle name="0_BOUSHER AMERAT III 5 9 3" xfId="9687" xr:uid="{00000000-0005-0000-0000-0000C9250000}"/>
    <cellStyle name="0_BOUSHER AMERAT III 5 9 3 2" xfId="9688" xr:uid="{00000000-0005-0000-0000-0000CA250000}"/>
    <cellStyle name="0_BOUSHER AMERAT III 5 9 4" xfId="9689" xr:uid="{00000000-0005-0000-0000-0000CB250000}"/>
    <cellStyle name="0_BOUSHER AMERAT III 6" xfId="9690" xr:uid="{00000000-0005-0000-0000-0000CC250000}"/>
    <cellStyle name="0_BOUSHER AMERAT III 6 2" xfId="9691" xr:uid="{00000000-0005-0000-0000-0000CD250000}"/>
    <cellStyle name="0_BOUSHER AMERAT III 6 2 2" xfId="9692" xr:uid="{00000000-0005-0000-0000-0000CE250000}"/>
    <cellStyle name="0_BOUSHER AMERAT III 6 2 2 2" xfId="9693" xr:uid="{00000000-0005-0000-0000-0000CF250000}"/>
    <cellStyle name="0_BOUSHER AMERAT III 6 2 2 2 2" xfId="9694" xr:uid="{00000000-0005-0000-0000-0000D0250000}"/>
    <cellStyle name="0_BOUSHER AMERAT III 6 2 2 3" xfId="9695" xr:uid="{00000000-0005-0000-0000-0000D1250000}"/>
    <cellStyle name="0_BOUSHER AMERAT III 6 2 2 3 2" xfId="9696" xr:uid="{00000000-0005-0000-0000-0000D2250000}"/>
    <cellStyle name="0_BOUSHER AMERAT III 6 2 2 4" xfId="9697" xr:uid="{00000000-0005-0000-0000-0000D3250000}"/>
    <cellStyle name="0_BOUSHER AMERAT III 6 2 3" xfId="9698" xr:uid="{00000000-0005-0000-0000-0000D4250000}"/>
    <cellStyle name="0_BOUSHER AMERAT III 6 2 3 2" xfId="9699" xr:uid="{00000000-0005-0000-0000-0000D5250000}"/>
    <cellStyle name="0_BOUSHER AMERAT III 6 2 3 2 2" xfId="9700" xr:uid="{00000000-0005-0000-0000-0000D6250000}"/>
    <cellStyle name="0_BOUSHER AMERAT III 6 2 3 3" xfId="9701" xr:uid="{00000000-0005-0000-0000-0000D7250000}"/>
    <cellStyle name="0_BOUSHER AMERAT III 6 2 3 3 2" xfId="9702" xr:uid="{00000000-0005-0000-0000-0000D8250000}"/>
    <cellStyle name="0_BOUSHER AMERAT III 6 2 3 4" xfId="9703" xr:uid="{00000000-0005-0000-0000-0000D9250000}"/>
    <cellStyle name="0_BOUSHER AMERAT III 6 2 4" xfId="9704" xr:uid="{00000000-0005-0000-0000-0000DA250000}"/>
    <cellStyle name="0_BOUSHER AMERAT III 6 2 4 2" xfId="9705" xr:uid="{00000000-0005-0000-0000-0000DB250000}"/>
    <cellStyle name="0_BOUSHER AMERAT III 6 2 5" xfId="9706" xr:uid="{00000000-0005-0000-0000-0000DC250000}"/>
    <cellStyle name="0_BOUSHER AMERAT III 6 2 5 2" xfId="9707" xr:uid="{00000000-0005-0000-0000-0000DD250000}"/>
    <cellStyle name="0_BOUSHER AMERAT III 6 2 6" xfId="9708" xr:uid="{00000000-0005-0000-0000-0000DE250000}"/>
    <cellStyle name="0_BOUSHER AMERAT III 6 3" xfId="9709" xr:uid="{00000000-0005-0000-0000-0000DF250000}"/>
    <cellStyle name="0_BOUSHER AMERAT III 6 3 2" xfId="9710" xr:uid="{00000000-0005-0000-0000-0000E0250000}"/>
    <cellStyle name="0_BOUSHER AMERAT III 6 3 2 2" xfId="9711" xr:uid="{00000000-0005-0000-0000-0000E1250000}"/>
    <cellStyle name="0_BOUSHER AMERAT III 6 3 3" xfId="9712" xr:uid="{00000000-0005-0000-0000-0000E2250000}"/>
    <cellStyle name="0_BOUSHER AMERAT III 6 3 3 2" xfId="9713" xr:uid="{00000000-0005-0000-0000-0000E3250000}"/>
    <cellStyle name="0_BOUSHER AMERAT III 6 3 4" xfId="9714" xr:uid="{00000000-0005-0000-0000-0000E4250000}"/>
    <cellStyle name="0_BOUSHER AMERAT III 6 4" xfId="9715" xr:uid="{00000000-0005-0000-0000-0000E5250000}"/>
    <cellStyle name="0_BOUSHER AMERAT III 6 4 2" xfId="9716" xr:uid="{00000000-0005-0000-0000-0000E6250000}"/>
    <cellStyle name="0_BOUSHER AMERAT III 6 4 2 2" xfId="9717" xr:uid="{00000000-0005-0000-0000-0000E7250000}"/>
    <cellStyle name="0_BOUSHER AMERAT III 6 4 3" xfId="9718" xr:uid="{00000000-0005-0000-0000-0000E8250000}"/>
    <cellStyle name="0_BOUSHER AMERAT III 6 4 3 2" xfId="9719" xr:uid="{00000000-0005-0000-0000-0000E9250000}"/>
    <cellStyle name="0_BOUSHER AMERAT III 6 4 4" xfId="9720" xr:uid="{00000000-0005-0000-0000-0000EA250000}"/>
    <cellStyle name="0_BOUSHER AMERAT III 6 5" xfId="9721" xr:uid="{00000000-0005-0000-0000-0000EB250000}"/>
    <cellStyle name="0_BOUSHER AMERAT III 6 5 2" xfId="9722" xr:uid="{00000000-0005-0000-0000-0000EC250000}"/>
    <cellStyle name="0_BOUSHER AMERAT III 6 5 2 2" xfId="9723" xr:uid="{00000000-0005-0000-0000-0000ED250000}"/>
    <cellStyle name="0_BOUSHER AMERAT III 6 5 3" xfId="9724" xr:uid="{00000000-0005-0000-0000-0000EE250000}"/>
    <cellStyle name="0_BOUSHER AMERAT III 6 5 3 2" xfId="9725" xr:uid="{00000000-0005-0000-0000-0000EF250000}"/>
    <cellStyle name="0_BOUSHER AMERAT III 6 5 4" xfId="9726" xr:uid="{00000000-0005-0000-0000-0000F0250000}"/>
    <cellStyle name="0_BOUSHER AMERAT III 6 6" xfId="9727" xr:uid="{00000000-0005-0000-0000-0000F1250000}"/>
    <cellStyle name="0_BOUSHER AMERAT III 6 6 2" xfId="9728" xr:uid="{00000000-0005-0000-0000-0000F2250000}"/>
    <cellStyle name="0_BOUSHER AMERAT III 6 7" xfId="9729" xr:uid="{00000000-0005-0000-0000-0000F3250000}"/>
    <cellStyle name="0_BOUSHER AMERAT III 6 7 2" xfId="9730" xr:uid="{00000000-0005-0000-0000-0000F4250000}"/>
    <cellStyle name="0_BOUSHER AMERAT III 6 8" xfId="9731" xr:uid="{00000000-0005-0000-0000-0000F5250000}"/>
    <cellStyle name="0_BOUSHER AMERAT III 7" xfId="9732" xr:uid="{00000000-0005-0000-0000-0000F6250000}"/>
    <cellStyle name="0_BOUSHER AMERAT III 7 2" xfId="9733" xr:uid="{00000000-0005-0000-0000-0000F7250000}"/>
    <cellStyle name="0_BOUSHER AMERAT III 7 2 2" xfId="9734" xr:uid="{00000000-0005-0000-0000-0000F8250000}"/>
    <cellStyle name="0_BOUSHER AMERAT III 7 2 2 2" xfId="9735" xr:uid="{00000000-0005-0000-0000-0000F9250000}"/>
    <cellStyle name="0_BOUSHER AMERAT III 7 2 3" xfId="9736" xr:uid="{00000000-0005-0000-0000-0000FA250000}"/>
    <cellStyle name="0_BOUSHER AMERAT III 7 2 3 2" xfId="9737" xr:uid="{00000000-0005-0000-0000-0000FB250000}"/>
    <cellStyle name="0_BOUSHER AMERAT III 7 2 4" xfId="9738" xr:uid="{00000000-0005-0000-0000-0000FC250000}"/>
    <cellStyle name="0_BOUSHER AMERAT III 7 3" xfId="9739" xr:uid="{00000000-0005-0000-0000-0000FD250000}"/>
    <cellStyle name="0_BOUSHER AMERAT III 7 3 2" xfId="9740" xr:uid="{00000000-0005-0000-0000-0000FE250000}"/>
    <cellStyle name="0_BOUSHER AMERAT III 7 3 2 2" xfId="9741" xr:uid="{00000000-0005-0000-0000-0000FF250000}"/>
    <cellStyle name="0_BOUSHER AMERAT III 7 3 3" xfId="9742" xr:uid="{00000000-0005-0000-0000-000000260000}"/>
    <cellStyle name="0_BOUSHER AMERAT III 7 3 3 2" xfId="9743" xr:uid="{00000000-0005-0000-0000-000001260000}"/>
    <cellStyle name="0_BOUSHER AMERAT III 7 3 4" xfId="9744" xr:uid="{00000000-0005-0000-0000-000002260000}"/>
    <cellStyle name="0_BOUSHER AMERAT III 7 4" xfId="9745" xr:uid="{00000000-0005-0000-0000-000003260000}"/>
    <cellStyle name="0_BOUSHER AMERAT III 7 4 2" xfId="9746" xr:uid="{00000000-0005-0000-0000-000004260000}"/>
    <cellStyle name="0_BOUSHER AMERAT III 7 5" xfId="9747" xr:uid="{00000000-0005-0000-0000-000005260000}"/>
    <cellStyle name="0_BOUSHER AMERAT III 7 5 2" xfId="9748" xr:uid="{00000000-0005-0000-0000-000006260000}"/>
    <cellStyle name="0_BOUSHER AMERAT III 7 6" xfId="9749" xr:uid="{00000000-0005-0000-0000-000007260000}"/>
    <cellStyle name="0_BOUSHER AMERAT III 8" xfId="9750" xr:uid="{00000000-0005-0000-0000-000008260000}"/>
    <cellStyle name="0_BOUSHER AMERAT III 8 2" xfId="9751" xr:uid="{00000000-0005-0000-0000-000009260000}"/>
    <cellStyle name="0_BOUSHER AMERAT III 8 2 2" xfId="9752" xr:uid="{00000000-0005-0000-0000-00000A260000}"/>
    <cellStyle name="0_BOUSHER AMERAT III 8 2 2 2" xfId="9753" xr:uid="{00000000-0005-0000-0000-00000B260000}"/>
    <cellStyle name="0_BOUSHER AMERAT III 8 2 3" xfId="9754" xr:uid="{00000000-0005-0000-0000-00000C260000}"/>
    <cellStyle name="0_BOUSHER AMERAT III 8 2 3 2" xfId="9755" xr:uid="{00000000-0005-0000-0000-00000D260000}"/>
    <cellStyle name="0_BOUSHER AMERAT III 8 2 4" xfId="9756" xr:uid="{00000000-0005-0000-0000-00000E260000}"/>
    <cellStyle name="0_BOUSHER AMERAT III 8 3" xfId="9757" xr:uid="{00000000-0005-0000-0000-00000F260000}"/>
    <cellStyle name="0_BOUSHER AMERAT III 8 3 2" xfId="9758" xr:uid="{00000000-0005-0000-0000-000010260000}"/>
    <cellStyle name="0_BOUSHER AMERAT III 8 3 2 2" xfId="9759" xr:uid="{00000000-0005-0000-0000-000011260000}"/>
    <cellStyle name="0_BOUSHER AMERAT III 8 3 3" xfId="9760" xr:uid="{00000000-0005-0000-0000-000012260000}"/>
    <cellStyle name="0_BOUSHER AMERAT III 8 3 3 2" xfId="9761" xr:uid="{00000000-0005-0000-0000-000013260000}"/>
    <cellStyle name="0_BOUSHER AMERAT III 8 3 4" xfId="9762" xr:uid="{00000000-0005-0000-0000-000014260000}"/>
    <cellStyle name="0_BOUSHER AMERAT III 8 4" xfId="9763" xr:uid="{00000000-0005-0000-0000-000015260000}"/>
    <cellStyle name="0_BOUSHER AMERAT III 8 4 2" xfId="9764" xr:uid="{00000000-0005-0000-0000-000016260000}"/>
    <cellStyle name="0_BOUSHER AMERAT III 8 5" xfId="9765" xr:uid="{00000000-0005-0000-0000-000017260000}"/>
    <cellStyle name="0_BOUSHER AMERAT III 8 5 2" xfId="9766" xr:uid="{00000000-0005-0000-0000-000018260000}"/>
    <cellStyle name="0_BOUSHER AMERAT III 8 6" xfId="9767" xr:uid="{00000000-0005-0000-0000-000019260000}"/>
    <cellStyle name="0_BOUSHER AMERAT III 9" xfId="9768" xr:uid="{00000000-0005-0000-0000-00001A260000}"/>
    <cellStyle name="0_BOUSHER AMERAT III 9 2" xfId="9769" xr:uid="{00000000-0005-0000-0000-00001B260000}"/>
    <cellStyle name="0_BOUSHER AMERAT III 9 2 2" xfId="9770" xr:uid="{00000000-0005-0000-0000-00001C260000}"/>
    <cellStyle name="0_BOUSHER AMERAT III 9 3" xfId="9771" xr:uid="{00000000-0005-0000-0000-00001D260000}"/>
    <cellStyle name="0_BOUSHER AMERAT III 9 3 2" xfId="9772" xr:uid="{00000000-0005-0000-0000-00001E260000}"/>
    <cellStyle name="0_BOUSHER AMERAT III 9 4" xfId="9773" xr:uid="{00000000-0005-0000-0000-00001F260000}"/>
    <cellStyle name="0_BOUSHER AMERAT III 9 5" xfId="9774" xr:uid="{00000000-0005-0000-0000-000020260000}"/>
    <cellStyle name="0_BOUSHER AMERAT III_6128_organogram" xfId="9775" xr:uid="{00000000-0005-0000-0000-000021260000}"/>
    <cellStyle name="0_BOUSHER AMERAT III_6128_organogram 10" xfId="9776" xr:uid="{00000000-0005-0000-0000-000022260000}"/>
    <cellStyle name="0_BOUSHER AMERAT III_6128_organogram 11" xfId="9777" xr:uid="{00000000-0005-0000-0000-000023260000}"/>
    <cellStyle name="0_BOUSHER AMERAT III_6128_organogram 12" xfId="9778" xr:uid="{00000000-0005-0000-0000-000024260000}"/>
    <cellStyle name="0_BOUSHER AMERAT III_6128_organogram 2" xfId="9779" xr:uid="{00000000-0005-0000-0000-000025260000}"/>
    <cellStyle name="0_BOUSHER AMERAT III_6128_organogram 2 2" xfId="9780" xr:uid="{00000000-0005-0000-0000-000026260000}"/>
    <cellStyle name="0_BOUSHER AMERAT III_6128_organogram 2 2 2" xfId="9781" xr:uid="{00000000-0005-0000-0000-000027260000}"/>
    <cellStyle name="0_BOUSHER AMERAT III_6128_organogram 2 2 2 2" xfId="9782" xr:uid="{00000000-0005-0000-0000-000028260000}"/>
    <cellStyle name="0_BOUSHER AMERAT III_6128_organogram 2 2 3" xfId="9783" xr:uid="{00000000-0005-0000-0000-000029260000}"/>
    <cellStyle name="0_BOUSHER AMERAT III_6128_organogram 2 2 3 2" xfId="9784" xr:uid="{00000000-0005-0000-0000-00002A260000}"/>
    <cellStyle name="0_BOUSHER AMERAT III_6128_organogram 2 2 4" xfId="9785" xr:uid="{00000000-0005-0000-0000-00002B260000}"/>
    <cellStyle name="0_BOUSHER AMERAT III_6128_organogram 2 3" xfId="9786" xr:uid="{00000000-0005-0000-0000-00002C260000}"/>
    <cellStyle name="0_BOUSHER AMERAT III_6128_organogram 2 3 2" xfId="9787" xr:uid="{00000000-0005-0000-0000-00002D260000}"/>
    <cellStyle name="0_BOUSHER AMERAT III_6128_organogram 2 3 2 2" xfId="9788" xr:uid="{00000000-0005-0000-0000-00002E260000}"/>
    <cellStyle name="0_BOUSHER AMERAT III_6128_organogram 2 3 3" xfId="9789" xr:uid="{00000000-0005-0000-0000-00002F260000}"/>
    <cellStyle name="0_BOUSHER AMERAT III_6128_organogram 2 3 3 2" xfId="9790" xr:uid="{00000000-0005-0000-0000-000030260000}"/>
    <cellStyle name="0_BOUSHER AMERAT III_6128_organogram 2 3 4" xfId="9791" xr:uid="{00000000-0005-0000-0000-000031260000}"/>
    <cellStyle name="0_BOUSHER AMERAT III_6128_organogram 2 4" xfId="9792" xr:uid="{00000000-0005-0000-0000-000032260000}"/>
    <cellStyle name="0_BOUSHER AMERAT III_6128_organogram 2 4 2" xfId="9793" xr:uid="{00000000-0005-0000-0000-000033260000}"/>
    <cellStyle name="0_BOUSHER AMERAT III_6128_organogram 2 5" xfId="9794" xr:uid="{00000000-0005-0000-0000-000034260000}"/>
    <cellStyle name="0_BOUSHER AMERAT III_6128_organogram 2 5 2" xfId="9795" xr:uid="{00000000-0005-0000-0000-000035260000}"/>
    <cellStyle name="0_BOUSHER AMERAT III_6128_organogram 2 6" xfId="9796" xr:uid="{00000000-0005-0000-0000-000036260000}"/>
    <cellStyle name="0_BOUSHER AMERAT III_6128_organogram 3" xfId="9797" xr:uid="{00000000-0005-0000-0000-000037260000}"/>
    <cellStyle name="0_BOUSHER AMERAT III_6128_organogram 3 2" xfId="9798" xr:uid="{00000000-0005-0000-0000-000038260000}"/>
    <cellStyle name="0_BOUSHER AMERAT III_6128_organogram 3 2 2" xfId="9799" xr:uid="{00000000-0005-0000-0000-000039260000}"/>
    <cellStyle name="0_BOUSHER AMERAT III_6128_organogram 3 3" xfId="9800" xr:uid="{00000000-0005-0000-0000-00003A260000}"/>
    <cellStyle name="0_BOUSHER AMERAT III_6128_organogram 3 3 2" xfId="9801" xr:uid="{00000000-0005-0000-0000-00003B260000}"/>
    <cellStyle name="0_BOUSHER AMERAT III_6128_organogram 3 4" xfId="9802" xr:uid="{00000000-0005-0000-0000-00003C260000}"/>
    <cellStyle name="0_BOUSHER AMERAT III_6128_organogram 3 5" xfId="9803" xr:uid="{00000000-0005-0000-0000-00003D260000}"/>
    <cellStyle name="0_BOUSHER AMERAT III_6128_organogram 4" xfId="9804" xr:uid="{00000000-0005-0000-0000-00003E260000}"/>
    <cellStyle name="0_BOUSHER AMERAT III_6128_organogram 4 2" xfId="9805" xr:uid="{00000000-0005-0000-0000-00003F260000}"/>
    <cellStyle name="0_BOUSHER AMERAT III_6128_organogram 4 2 2" xfId="9806" xr:uid="{00000000-0005-0000-0000-000040260000}"/>
    <cellStyle name="0_BOUSHER AMERAT III_6128_organogram 4 3" xfId="9807" xr:uid="{00000000-0005-0000-0000-000041260000}"/>
    <cellStyle name="0_BOUSHER AMERAT III_6128_organogram 4 3 2" xfId="9808" xr:uid="{00000000-0005-0000-0000-000042260000}"/>
    <cellStyle name="0_BOUSHER AMERAT III_6128_organogram 4 4" xfId="9809" xr:uid="{00000000-0005-0000-0000-000043260000}"/>
    <cellStyle name="0_BOUSHER AMERAT III_6128_organogram 4 5" xfId="9810" xr:uid="{00000000-0005-0000-0000-000044260000}"/>
    <cellStyle name="0_BOUSHER AMERAT III_6128_organogram 5" xfId="9811" xr:uid="{00000000-0005-0000-0000-000045260000}"/>
    <cellStyle name="0_BOUSHER AMERAT III_6128_organogram 5 2" xfId="9812" xr:uid="{00000000-0005-0000-0000-000046260000}"/>
    <cellStyle name="0_BOUSHER AMERAT III_6128_organogram 5 3" xfId="9813" xr:uid="{00000000-0005-0000-0000-000047260000}"/>
    <cellStyle name="0_BOUSHER AMERAT III_6128_organogram 5 4" xfId="9814" xr:uid="{00000000-0005-0000-0000-000048260000}"/>
    <cellStyle name="0_BOUSHER AMERAT III_6128_organogram 5 5" xfId="9815" xr:uid="{00000000-0005-0000-0000-000049260000}"/>
    <cellStyle name="0_BOUSHER AMERAT III_6128_organogram 6" xfId="9816" xr:uid="{00000000-0005-0000-0000-00004A260000}"/>
    <cellStyle name="0_BOUSHER AMERAT III_6128_organogram 6 2" xfId="9817" xr:uid="{00000000-0005-0000-0000-00004B260000}"/>
    <cellStyle name="0_BOUSHER AMERAT III_6128_organogram 6 3" xfId="9818" xr:uid="{00000000-0005-0000-0000-00004C260000}"/>
    <cellStyle name="0_BOUSHER AMERAT III_6128_organogram 6 4" xfId="9819" xr:uid="{00000000-0005-0000-0000-00004D260000}"/>
    <cellStyle name="0_BOUSHER AMERAT III_6128_organogram 6 5" xfId="9820" xr:uid="{00000000-0005-0000-0000-00004E260000}"/>
    <cellStyle name="0_BOUSHER AMERAT III_6128_organogram 7" xfId="9821" xr:uid="{00000000-0005-0000-0000-00004F260000}"/>
    <cellStyle name="0_BOUSHER AMERAT III_6128_organogram 7 2" xfId="9822" xr:uid="{00000000-0005-0000-0000-000050260000}"/>
    <cellStyle name="0_BOUSHER AMERAT III_6128_organogram 7 3" xfId="9823" xr:uid="{00000000-0005-0000-0000-000051260000}"/>
    <cellStyle name="0_BOUSHER AMERAT III_6128_organogram 7 4" xfId="9824" xr:uid="{00000000-0005-0000-0000-000052260000}"/>
    <cellStyle name="0_BOUSHER AMERAT III_6128_organogram 7 5" xfId="9825" xr:uid="{00000000-0005-0000-0000-000053260000}"/>
    <cellStyle name="0_BOUSHER AMERAT III_6128_organogram 8" xfId="9826" xr:uid="{00000000-0005-0000-0000-000054260000}"/>
    <cellStyle name="0_BOUSHER AMERAT III_6128_organogram 8 2" xfId="9827" xr:uid="{00000000-0005-0000-0000-000055260000}"/>
    <cellStyle name="0_BOUSHER AMERAT III_6128_organogram 8 3" xfId="9828" xr:uid="{00000000-0005-0000-0000-000056260000}"/>
    <cellStyle name="0_BOUSHER AMERAT III_6128_organogram 8 4" xfId="9829" xr:uid="{00000000-0005-0000-0000-000057260000}"/>
    <cellStyle name="0_BOUSHER AMERAT III_6128_organogram 8 5" xfId="9830" xr:uid="{00000000-0005-0000-0000-000058260000}"/>
    <cellStyle name="0_BOUSHER AMERAT III_6128_organogram 9" xfId="9831" xr:uid="{00000000-0005-0000-0000-000059260000}"/>
    <cellStyle name="0_BOUSHER AMERAT III_COMODITES option 2" xfId="9832" xr:uid="{00000000-0005-0000-0000-00005A260000}"/>
    <cellStyle name="0_BOUSHER AMERAT III_COMODITES option 2 10" xfId="9833" xr:uid="{00000000-0005-0000-0000-00005B260000}"/>
    <cellStyle name="0_BOUSHER AMERAT III_COMODITES option 2 10 2" xfId="9834" xr:uid="{00000000-0005-0000-0000-00005C260000}"/>
    <cellStyle name="0_BOUSHER AMERAT III_COMODITES option 2 10 2 2" xfId="9835" xr:uid="{00000000-0005-0000-0000-00005D260000}"/>
    <cellStyle name="0_BOUSHER AMERAT III_COMODITES option 2 10 3" xfId="9836" xr:uid="{00000000-0005-0000-0000-00005E260000}"/>
    <cellStyle name="0_BOUSHER AMERAT III_COMODITES option 2 10 3 2" xfId="9837" xr:uid="{00000000-0005-0000-0000-00005F260000}"/>
    <cellStyle name="0_BOUSHER AMERAT III_COMODITES option 2 10 4" xfId="9838" xr:uid="{00000000-0005-0000-0000-000060260000}"/>
    <cellStyle name="0_BOUSHER AMERAT III_COMODITES option 2 11" xfId="9839" xr:uid="{00000000-0005-0000-0000-000061260000}"/>
    <cellStyle name="0_BOUSHER AMERAT III_COMODITES option 2 11 2" xfId="9840" xr:uid="{00000000-0005-0000-0000-000062260000}"/>
    <cellStyle name="0_BOUSHER AMERAT III_COMODITES option 2 11 2 2" xfId="9841" xr:uid="{00000000-0005-0000-0000-000063260000}"/>
    <cellStyle name="0_BOUSHER AMERAT III_COMODITES option 2 11 3" xfId="9842" xr:uid="{00000000-0005-0000-0000-000064260000}"/>
    <cellStyle name="0_BOUSHER AMERAT III_COMODITES option 2 11 3 2" xfId="9843" xr:uid="{00000000-0005-0000-0000-000065260000}"/>
    <cellStyle name="0_BOUSHER AMERAT III_COMODITES option 2 11 4" xfId="9844" xr:uid="{00000000-0005-0000-0000-000066260000}"/>
    <cellStyle name="0_BOUSHER AMERAT III_COMODITES option 2 12" xfId="9845" xr:uid="{00000000-0005-0000-0000-000067260000}"/>
    <cellStyle name="0_BOUSHER AMERAT III_COMODITES option 2 12 2" xfId="9846" xr:uid="{00000000-0005-0000-0000-000068260000}"/>
    <cellStyle name="0_BOUSHER AMERAT III_COMODITES option 2 13" xfId="9847" xr:uid="{00000000-0005-0000-0000-000069260000}"/>
    <cellStyle name="0_BOUSHER AMERAT III_COMODITES option 2 13 2" xfId="9848" xr:uid="{00000000-0005-0000-0000-00006A260000}"/>
    <cellStyle name="0_BOUSHER AMERAT III_COMODITES option 2 14" xfId="9849" xr:uid="{00000000-0005-0000-0000-00006B260000}"/>
    <cellStyle name="0_BOUSHER AMERAT III_COMODITES option 2 14 2" xfId="9850" xr:uid="{00000000-0005-0000-0000-00006C260000}"/>
    <cellStyle name="0_BOUSHER AMERAT III_COMODITES option 2 15" xfId="9851" xr:uid="{00000000-0005-0000-0000-00006D260000}"/>
    <cellStyle name="0_BOUSHER AMERAT III_COMODITES option 2 16" xfId="9852" xr:uid="{00000000-0005-0000-0000-00006E260000}"/>
    <cellStyle name="0_BOUSHER AMERAT III_COMODITES option 2 17" xfId="9853" xr:uid="{00000000-0005-0000-0000-00006F260000}"/>
    <cellStyle name="0_BOUSHER AMERAT III_COMODITES option 2 18" xfId="9854" xr:uid="{00000000-0005-0000-0000-000070260000}"/>
    <cellStyle name="0_BOUSHER AMERAT III_COMODITES option 2 19" xfId="9855" xr:uid="{00000000-0005-0000-0000-000071260000}"/>
    <cellStyle name="0_BOUSHER AMERAT III_COMODITES option 2 2" xfId="9856" xr:uid="{00000000-0005-0000-0000-000072260000}"/>
    <cellStyle name="0_BOUSHER AMERAT III_COMODITES option 2 2 10" xfId="9857" xr:uid="{00000000-0005-0000-0000-000073260000}"/>
    <cellStyle name="0_BOUSHER AMERAT III_COMODITES option 2 2 10 2" xfId="9858" xr:uid="{00000000-0005-0000-0000-000074260000}"/>
    <cellStyle name="0_BOUSHER AMERAT III_COMODITES option 2 2 10 2 2" xfId="9859" xr:uid="{00000000-0005-0000-0000-000075260000}"/>
    <cellStyle name="0_BOUSHER AMERAT III_COMODITES option 2 2 10 3" xfId="9860" xr:uid="{00000000-0005-0000-0000-000076260000}"/>
    <cellStyle name="0_BOUSHER AMERAT III_COMODITES option 2 2 10 3 2" xfId="9861" xr:uid="{00000000-0005-0000-0000-000077260000}"/>
    <cellStyle name="0_BOUSHER AMERAT III_COMODITES option 2 2 10 4" xfId="9862" xr:uid="{00000000-0005-0000-0000-000078260000}"/>
    <cellStyle name="0_BOUSHER AMERAT III_COMODITES option 2 2 11" xfId="9863" xr:uid="{00000000-0005-0000-0000-000079260000}"/>
    <cellStyle name="0_BOUSHER AMERAT III_COMODITES option 2 2 11 2" xfId="9864" xr:uid="{00000000-0005-0000-0000-00007A260000}"/>
    <cellStyle name="0_BOUSHER AMERAT III_COMODITES option 2 2 12" xfId="9865" xr:uid="{00000000-0005-0000-0000-00007B260000}"/>
    <cellStyle name="0_BOUSHER AMERAT III_COMODITES option 2 2 12 2" xfId="9866" xr:uid="{00000000-0005-0000-0000-00007C260000}"/>
    <cellStyle name="0_BOUSHER AMERAT III_COMODITES option 2 2 13" xfId="9867" xr:uid="{00000000-0005-0000-0000-00007D260000}"/>
    <cellStyle name="0_BOUSHER AMERAT III_COMODITES option 2 2 14" xfId="9868" xr:uid="{00000000-0005-0000-0000-00007E260000}"/>
    <cellStyle name="0_BOUSHER AMERAT III_COMODITES option 2 2 15" xfId="9869" xr:uid="{00000000-0005-0000-0000-00007F260000}"/>
    <cellStyle name="0_BOUSHER AMERAT III_COMODITES option 2 2 16" xfId="9870" xr:uid="{00000000-0005-0000-0000-000080260000}"/>
    <cellStyle name="0_BOUSHER AMERAT III_COMODITES option 2 2 2" xfId="9871" xr:uid="{00000000-0005-0000-0000-000081260000}"/>
    <cellStyle name="0_BOUSHER AMERAT III_COMODITES option 2 2 2 2" xfId="9872" xr:uid="{00000000-0005-0000-0000-000082260000}"/>
    <cellStyle name="0_BOUSHER AMERAT III_COMODITES option 2 2 2 2 2" xfId="9873" xr:uid="{00000000-0005-0000-0000-000083260000}"/>
    <cellStyle name="0_BOUSHER AMERAT III_COMODITES option 2 2 2 2 2 2" xfId="9874" xr:uid="{00000000-0005-0000-0000-000084260000}"/>
    <cellStyle name="0_BOUSHER AMERAT III_COMODITES option 2 2 2 2 2 2 2" xfId="9875" xr:uid="{00000000-0005-0000-0000-000085260000}"/>
    <cellStyle name="0_BOUSHER AMERAT III_COMODITES option 2 2 2 2 2 3" xfId="9876" xr:uid="{00000000-0005-0000-0000-000086260000}"/>
    <cellStyle name="0_BOUSHER AMERAT III_COMODITES option 2 2 2 2 2 3 2" xfId="9877" xr:uid="{00000000-0005-0000-0000-000087260000}"/>
    <cellStyle name="0_BOUSHER AMERAT III_COMODITES option 2 2 2 2 2 4" xfId="9878" xr:uid="{00000000-0005-0000-0000-000088260000}"/>
    <cellStyle name="0_BOUSHER AMERAT III_COMODITES option 2 2 2 2 3" xfId="9879" xr:uid="{00000000-0005-0000-0000-000089260000}"/>
    <cellStyle name="0_BOUSHER AMERAT III_COMODITES option 2 2 2 2 3 2" xfId="9880" xr:uid="{00000000-0005-0000-0000-00008A260000}"/>
    <cellStyle name="0_BOUSHER AMERAT III_COMODITES option 2 2 2 2 3 2 2" xfId="9881" xr:uid="{00000000-0005-0000-0000-00008B260000}"/>
    <cellStyle name="0_BOUSHER AMERAT III_COMODITES option 2 2 2 2 3 3" xfId="9882" xr:uid="{00000000-0005-0000-0000-00008C260000}"/>
    <cellStyle name="0_BOUSHER AMERAT III_COMODITES option 2 2 2 2 3 3 2" xfId="9883" xr:uid="{00000000-0005-0000-0000-00008D260000}"/>
    <cellStyle name="0_BOUSHER AMERAT III_COMODITES option 2 2 2 2 3 4" xfId="9884" xr:uid="{00000000-0005-0000-0000-00008E260000}"/>
    <cellStyle name="0_BOUSHER AMERAT III_COMODITES option 2 2 2 2 4" xfId="9885" xr:uid="{00000000-0005-0000-0000-00008F260000}"/>
    <cellStyle name="0_BOUSHER AMERAT III_COMODITES option 2 2 2 2 4 2" xfId="9886" xr:uid="{00000000-0005-0000-0000-000090260000}"/>
    <cellStyle name="0_BOUSHER AMERAT III_COMODITES option 2 2 2 2 5" xfId="9887" xr:uid="{00000000-0005-0000-0000-000091260000}"/>
    <cellStyle name="0_BOUSHER AMERAT III_COMODITES option 2 2 2 2 5 2" xfId="9888" xr:uid="{00000000-0005-0000-0000-000092260000}"/>
    <cellStyle name="0_BOUSHER AMERAT III_COMODITES option 2 2 2 2 6" xfId="9889" xr:uid="{00000000-0005-0000-0000-000093260000}"/>
    <cellStyle name="0_BOUSHER AMERAT III_COMODITES option 2 2 2 3" xfId="9890" xr:uid="{00000000-0005-0000-0000-000094260000}"/>
    <cellStyle name="0_BOUSHER AMERAT III_COMODITES option 2 2 2 3 2" xfId="9891" xr:uid="{00000000-0005-0000-0000-000095260000}"/>
    <cellStyle name="0_BOUSHER AMERAT III_COMODITES option 2 2 2 3 2 2" xfId="9892" xr:uid="{00000000-0005-0000-0000-000096260000}"/>
    <cellStyle name="0_BOUSHER AMERAT III_COMODITES option 2 2 2 3 3" xfId="9893" xr:uid="{00000000-0005-0000-0000-000097260000}"/>
    <cellStyle name="0_BOUSHER AMERAT III_COMODITES option 2 2 2 3 3 2" xfId="9894" xr:uid="{00000000-0005-0000-0000-000098260000}"/>
    <cellStyle name="0_BOUSHER AMERAT III_COMODITES option 2 2 2 3 4" xfId="9895" xr:uid="{00000000-0005-0000-0000-000099260000}"/>
    <cellStyle name="0_BOUSHER AMERAT III_COMODITES option 2 2 2 4" xfId="9896" xr:uid="{00000000-0005-0000-0000-00009A260000}"/>
    <cellStyle name="0_BOUSHER AMERAT III_COMODITES option 2 2 2 4 2" xfId="9897" xr:uid="{00000000-0005-0000-0000-00009B260000}"/>
    <cellStyle name="0_BOUSHER AMERAT III_COMODITES option 2 2 2 4 2 2" xfId="9898" xr:uid="{00000000-0005-0000-0000-00009C260000}"/>
    <cellStyle name="0_BOUSHER AMERAT III_COMODITES option 2 2 2 4 3" xfId="9899" xr:uid="{00000000-0005-0000-0000-00009D260000}"/>
    <cellStyle name="0_BOUSHER AMERAT III_COMODITES option 2 2 2 4 3 2" xfId="9900" xr:uid="{00000000-0005-0000-0000-00009E260000}"/>
    <cellStyle name="0_BOUSHER AMERAT III_COMODITES option 2 2 2 4 4" xfId="9901" xr:uid="{00000000-0005-0000-0000-00009F260000}"/>
    <cellStyle name="0_BOUSHER AMERAT III_COMODITES option 2 2 2 5" xfId="9902" xr:uid="{00000000-0005-0000-0000-0000A0260000}"/>
    <cellStyle name="0_BOUSHER AMERAT III_COMODITES option 2 2 2 5 2" xfId="9903" xr:uid="{00000000-0005-0000-0000-0000A1260000}"/>
    <cellStyle name="0_BOUSHER AMERAT III_COMODITES option 2 2 2 5 2 2" xfId="9904" xr:uid="{00000000-0005-0000-0000-0000A2260000}"/>
    <cellStyle name="0_BOUSHER AMERAT III_COMODITES option 2 2 2 5 3" xfId="9905" xr:uid="{00000000-0005-0000-0000-0000A3260000}"/>
    <cellStyle name="0_BOUSHER AMERAT III_COMODITES option 2 2 2 5 3 2" xfId="9906" xr:uid="{00000000-0005-0000-0000-0000A4260000}"/>
    <cellStyle name="0_BOUSHER AMERAT III_COMODITES option 2 2 2 5 4" xfId="9907" xr:uid="{00000000-0005-0000-0000-0000A5260000}"/>
    <cellStyle name="0_BOUSHER AMERAT III_COMODITES option 2 2 2 6" xfId="9908" xr:uid="{00000000-0005-0000-0000-0000A6260000}"/>
    <cellStyle name="0_BOUSHER AMERAT III_COMODITES option 2 2 2 6 2" xfId="9909" xr:uid="{00000000-0005-0000-0000-0000A7260000}"/>
    <cellStyle name="0_BOUSHER AMERAT III_COMODITES option 2 2 2 7" xfId="9910" xr:uid="{00000000-0005-0000-0000-0000A8260000}"/>
    <cellStyle name="0_BOUSHER AMERAT III_COMODITES option 2 2 2 7 2" xfId="9911" xr:uid="{00000000-0005-0000-0000-0000A9260000}"/>
    <cellStyle name="0_BOUSHER AMERAT III_COMODITES option 2 2 2 8" xfId="9912" xr:uid="{00000000-0005-0000-0000-0000AA260000}"/>
    <cellStyle name="0_BOUSHER AMERAT III_COMODITES option 2 2 3" xfId="9913" xr:uid="{00000000-0005-0000-0000-0000AB260000}"/>
    <cellStyle name="0_BOUSHER AMERAT III_COMODITES option 2 2 3 2" xfId="9914" xr:uid="{00000000-0005-0000-0000-0000AC260000}"/>
    <cellStyle name="0_BOUSHER AMERAT III_COMODITES option 2 2 3 2 2" xfId="9915" xr:uid="{00000000-0005-0000-0000-0000AD260000}"/>
    <cellStyle name="0_BOUSHER AMERAT III_COMODITES option 2 2 3 2 2 2" xfId="9916" xr:uid="{00000000-0005-0000-0000-0000AE260000}"/>
    <cellStyle name="0_BOUSHER AMERAT III_COMODITES option 2 2 3 2 2 2 2" xfId="9917" xr:uid="{00000000-0005-0000-0000-0000AF260000}"/>
    <cellStyle name="0_BOUSHER AMERAT III_COMODITES option 2 2 3 2 2 3" xfId="9918" xr:uid="{00000000-0005-0000-0000-0000B0260000}"/>
    <cellStyle name="0_BOUSHER AMERAT III_COMODITES option 2 2 3 2 2 3 2" xfId="9919" xr:uid="{00000000-0005-0000-0000-0000B1260000}"/>
    <cellStyle name="0_BOUSHER AMERAT III_COMODITES option 2 2 3 2 2 4" xfId="9920" xr:uid="{00000000-0005-0000-0000-0000B2260000}"/>
    <cellStyle name="0_BOUSHER AMERAT III_COMODITES option 2 2 3 2 3" xfId="9921" xr:uid="{00000000-0005-0000-0000-0000B3260000}"/>
    <cellStyle name="0_BOUSHER AMERAT III_COMODITES option 2 2 3 2 3 2" xfId="9922" xr:uid="{00000000-0005-0000-0000-0000B4260000}"/>
    <cellStyle name="0_BOUSHER AMERAT III_COMODITES option 2 2 3 2 3 2 2" xfId="9923" xr:uid="{00000000-0005-0000-0000-0000B5260000}"/>
    <cellStyle name="0_BOUSHER AMERAT III_COMODITES option 2 2 3 2 3 3" xfId="9924" xr:uid="{00000000-0005-0000-0000-0000B6260000}"/>
    <cellStyle name="0_BOUSHER AMERAT III_COMODITES option 2 2 3 2 3 3 2" xfId="9925" xr:uid="{00000000-0005-0000-0000-0000B7260000}"/>
    <cellStyle name="0_BOUSHER AMERAT III_COMODITES option 2 2 3 2 3 4" xfId="9926" xr:uid="{00000000-0005-0000-0000-0000B8260000}"/>
    <cellStyle name="0_BOUSHER AMERAT III_COMODITES option 2 2 3 2 4" xfId="9927" xr:uid="{00000000-0005-0000-0000-0000B9260000}"/>
    <cellStyle name="0_BOUSHER AMERAT III_COMODITES option 2 2 3 2 4 2" xfId="9928" xr:uid="{00000000-0005-0000-0000-0000BA260000}"/>
    <cellStyle name="0_BOUSHER AMERAT III_COMODITES option 2 2 3 2 5" xfId="9929" xr:uid="{00000000-0005-0000-0000-0000BB260000}"/>
    <cellStyle name="0_BOUSHER AMERAT III_COMODITES option 2 2 3 2 5 2" xfId="9930" xr:uid="{00000000-0005-0000-0000-0000BC260000}"/>
    <cellStyle name="0_BOUSHER AMERAT III_COMODITES option 2 2 3 2 6" xfId="9931" xr:uid="{00000000-0005-0000-0000-0000BD260000}"/>
    <cellStyle name="0_BOUSHER AMERAT III_COMODITES option 2 2 3 3" xfId="9932" xr:uid="{00000000-0005-0000-0000-0000BE260000}"/>
    <cellStyle name="0_BOUSHER AMERAT III_COMODITES option 2 2 3 3 2" xfId="9933" xr:uid="{00000000-0005-0000-0000-0000BF260000}"/>
    <cellStyle name="0_BOUSHER AMERAT III_COMODITES option 2 2 3 3 2 2" xfId="9934" xr:uid="{00000000-0005-0000-0000-0000C0260000}"/>
    <cellStyle name="0_BOUSHER AMERAT III_COMODITES option 2 2 3 3 3" xfId="9935" xr:uid="{00000000-0005-0000-0000-0000C1260000}"/>
    <cellStyle name="0_BOUSHER AMERAT III_COMODITES option 2 2 3 3 3 2" xfId="9936" xr:uid="{00000000-0005-0000-0000-0000C2260000}"/>
    <cellStyle name="0_BOUSHER AMERAT III_COMODITES option 2 2 3 3 4" xfId="9937" xr:uid="{00000000-0005-0000-0000-0000C3260000}"/>
    <cellStyle name="0_BOUSHER AMERAT III_COMODITES option 2 2 3 4" xfId="9938" xr:uid="{00000000-0005-0000-0000-0000C4260000}"/>
    <cellStyle name="0_BOUSHER AMERAT III_COMODITES option 2 2 3 4 2" xfId="9939" xr:uid="{00000000-0005-0000-0000-0000C5260000}"/>
    <cellStyle name="0_BOUSHER AMERAT III_COMODITES option 2 2 3 4 2 2" xfId="9940" xr:uid="{00000000-0005-0000-0000-0000C6260000}"/>
    <cellStyle name="0_BOUSHER AMERAT III_COMODITES option 2 2 3 4 3" xfId="9941" xr:uid="{00000000-0005-0000-0000-0000C7260000}"/>
    <cellStyle name="0_BOUSHER AMERAT III_COMODITES option 2 2 3 4 3 2" xfId="9942" xr:uid="{00000000-0005-0000-0000-0000C8260000}"/>
    <cellStyle name="0_BOUSHER AMERAT III_COMODITES option 2 2 3 4 4" xfId="9943" xr:uid="{00000000-0005-0000-0000-0000C9260000}"/>
    <cellStyle name="0_BOUSHER AMERAT III_COMODITES option 2 2 3 5" xfId="9944" xr:uid="{00000000-0005-0000-0000-0000CA260000}"/>
    <cellStyle name="0_BOUSHER AMERAT III_COMODITES option 2 2 3 5 2" xfId="9945" xr:uid="{00000000-0005-0000-0000-0000CB260000}"/>
    <cellStyle name="0_BOUSHER AMERAT III_COMODITES option 2 2 3 5 2 2" xfId="9946" xr:uid="{00000000-0005-0000-0000-0000CC260000}"/>
    <cellStyle name="0_BOUSHER AMERAT III_COMODITES option 2 2 3 5 3" xfId="9947" xr:uid="{00000000-0005-0000-0000-0000CD260000}"/>
    <cellStyle name="0_BOUSHER AMERAT III_COMODITES option 2 2 3 5 3 2" xfId="9948" xr:uid="{00000000-0005-0000-0000-0000CE260000}"/>
    <cellStyle name="0_BOUSHER AMERAT III_COMODITES option 2 2 3 5 4" xfId="9949" xr:uid="{00000000-0005-0000-0000-0000CF260000}"/>
    <cellStyle name="0_BOUSHER AMERAT III_COMODITES option 2 2 3 6" xfId="9950" xr:uid="{00000000-0005-0000-0000-0000D0260000}"/>
    <cellStyle name="0_BOUSHER AMERAT III_COMODITES option 2 2 3 6 2" xfId="9951" xr:uid="{00000000-0005-0000-0000-0000D1260000}"/>
    <cellStyle name="0_BOUSHER AMERAT III_COMODITES option 2 2 3 7" xfId="9952" xr:uid="{00000000-0005-0000-0000-0000D2260000}"/>
    <cellStyle name="0_BOUSHER AMERAT III_COMODITES option 2 2 3 7 2" xfId="9953" xr:uid="{00000000-0005-0000-0000-0000D3260000}"/>
    <cellStyle name="0_BOUSHER AMERAT III_COMODITES option 2 2 3 8" xfId="9954" xr:uid="{00000000-0005-0000-0000-0000D4260000}"/>
    <cellStyle name="0_BOUSHER AMERAT III_COMODITES option 2 2 4" xfId="9955" xr:uid="{00000000-0005-0000-0000-0000D5260000}"/>
    <cellStyle name="0_BOUSHER AMERAT III_COMODITES option 2 2 4 2" xfId="9956" xr:uid="{00000000-0005-0000-0000-0000D6260000}"/>
    <cellStyle name="0_BOUSHER AMERAT III_COMODITES option 2 2 4 2 2" xfId="9957" xr:uid="{00000000-0005-0000-0000-0000D7260000}"/>
    <cellStyle name="0_BOUSHER AMERAT III_COMODITES option 2 2 4 2 2 2" xfId="9958" xr:uid="{00000000-0005-0000-0000-0000D8260000}"/>
    <cellStyle name="0_BOUSHER AMERAT III_COMODITES option 2 2 4 2 2 2 2" xfId="9959" xr:uid="{00000000-0005-0000-0000-0000D9260000}"/>
    <cellStyle name="0_BOUSHER AMERAT III_COMODITES option 2 2 4 2 2 3" xfId="9960" xr:uid="{00000000-0005-0000-0000-0000DA260000}"/>
    <cellStyle name="0_BOUSHER AMERAT III_COMODITES option 2 2 4 2 2 3 2" xfId="9961" xr:uid="{00000000-0005-0000-0000-0000DB260000}"/>
    <cellStyle name="0_BOUSHER AMERAT III_COMODITES option 2 2 4 2 2 4" xfId="9962" xr:uid="{00000000-0005-0000-0000-0000DC260000}"/>
    <cellStyle name="0_BOUSHER AMERAT III_COMODITES option 2 2 4 2 3" xfId="9963" xr:uid="{00000000-0005-0000-0000-0000DD260000}"/>
    <cellStyle name="0_BOUSHER AMERAT III_COMODITES option 2 2 4 2 3 2" xfId="9964" xr:uid="{00000000-0005-0000-0000-0000DE260000}"/>
    <cellStyle name="0_BOUSHER AMERAT III_COMODITES option 2 2 4 2 3 2 2" xfId="9965" xr:uid="{00000000-0005-0000-0000-0000DF260000}"/>
    <cellStyle name="0_BOUSHER AMERAT III_COMODITES option 2 2 4 2 3 3" xfId="9966" xr:uid="{00000000-0005-0000-0000-0000E0260000}"/>
    <cellStyle name="0_BOUSHER AMERAT III_COMODITES option 2 2 4 2 3 3 2" xfId="9967" xr:uid="{00000000-0005-0000-0000-0000E1260000}"/>
    <cellStyle name="0_BOUSHER AMERAT III_COMODITES option 2 2 4 2 3 4" xfId="9968" xr:uid="{00000000-0005-0000-0000-0000E2260000}"/>
    <cellStyle name="0_BOUSHER AMERAT III_COMODITES option 2 2 4 2 4" xfId="9969" xr:uid="{00000000-0005-0000-0000-0000E3260000}"/>
    <cellStyle name="0_BOUSHER AMERAT III_COMODITES option 2 2 4 2 4 2" xfId="9970" xr:uid="{00000000-0005-0000-0000-0000E4260000}"/>
    <cellStyle name="0_BOUSHER AMERAT III_COMODITES option 2 2 4 2 5" xfId="9971" xr:uid="{00000000-0005-0000-0000-0000E5260000}"/>
    <cellStyle name="0_BOUSHER AMERAT III_COMODITES option 2 2 4 2 5 2" xfId="9972" xr:uid="{00000000-0005-0000-0000-0000E6260000}"/>
    <cellStyle name="0_BOUSHER AMERAT III_COMODITES option 2 2 4 2 6" xfId="9973" xr:uid="{00000000-0005-0000-0000-0000E7260000}"/>
    <cellStyle name="0_BOUSHER AMERAT III_COMODITES option 2 2 4 3" xfId="9974" xr:uid="{00000000-0005-0000-0000-0000E8260000}"/>
    <cellStyle name="0_BOUSHER AMERAT III_COMODITES option 2 2 4 3 2" xfId="9975" xr:uid="{00000000-0005-0000-0000-0000E9260000}"/>
    <cellStyle name="0_BOUSHER AMERAT III_COMODITES option 2 2 4 3 2 2" xfId="9976" xr:uid="{00000000-0005-0000-0000-0000EA260000}"/>
    <cellStyle name="0_BOUSHER AMERAT III_COMODITES option 2 2 4 3 3" xfId="9977" xr:uid="{00000000-0005-0000-0000-0000EB260000}"/>
    <cellStyle name="0_BOUSHER AMERAT III_COMODITES option 2 2 4 3 3 2" xfId="9978" xr:uid="{00000000-0005-0000-0000-0000EC260000}"/>
    <cellStyle name="0_BOUSHER AMERAT III_COMODITES option 2 2 4 3 4" xfId="9979" xr:uid="{00000000-0005-0000-0000-0000ED260000}"/>
    <cellStyle name="0_BOUSHER AMERAT III_COMODITES option 2 2 4 4" xfId="9980" xr:uid="{00000000-0005-0000-0000-0000EE260000}"/>
    <cellStyle name="0_BOUSHER AMERAT III_COMODITES option 2 2 4 4 2" xfId="9981" xr:uid="{00000000-0005-0000-0000-0000EF260000}"/>
    <cellStyle name="0_BOUSHER AMERAT III_COMODITES option 2 2 4 4 2 2" xfId="9982" xr:uid="{00000000-0005-0000-0000-0000F0260000}"/>
    <cellStyle name="0_BOUSHER AMERAT III_COMODITES option 2 2 4 4 3" xfId="9983" xr:uid="{00000000-0005-0000-0000-0000F1260000}"/>
    <cellStyle name="0_BOUSHER AMERAT III_COMODITES option 2 2 4 4 3 2" xfId="9984" xr:uid="{00000000-0005-0000-0000-0000F2260000}"/>
    <cellStyle name="0_BOUSHER AMERAT III_COMODITES option 2 2 4 4 4" xfId="9985" xr:uid="{00000000-0005-0000-0000-0000F3260000}"/>
    <cellStyle name="0_BOUSHER AMERAT III_COMODITES option 2 2 4 5" xfId="9986" xr:uid="{00000000-0005-0000-0000-0000F4260000}"/>
    <cellStyle name="0_BOUSHER AMERAT III_COMODITES option 2 2 4 5 2" xfId="9987" xr:uid="{00000000-0005-0000-0000-0000F5260000}"/>
    <cellStyle name="0_BOUSHER AMERAT III_COMODITES option 2 2 4 5 2 2" xfId="9988" xr:uid="{00000000-0005-0000-0000-0000F6260000}"/>
    <cellStyle name="0_BOUSHER AMERAT III_COMODITES option 2 2 4 5 3" xfId="9989" xr:uid="{00000000-0005-0000-0000-0000F7260000}"/>
    <cellStyle name="0_BOUSHER AMERAT III_COMODITES option 2 2 4 5 3 2" xfId="9990" xr:uid="{00000000-0005-0000-0000-0000F8260000}"/>
    <cellStyle name="0_BOUSHER AMERAT III_COMODITES option 2 2 4 5 4" xfId="9991" xr:uid="{00000000-0005-0000-0000-0000F9260000}"/>
    <cellStyle name="0_BOUSHER AMERAT III_COMODITES option 2 2 4 6" xfId="9992" xr:uid="{00000000-0005-0000-0000-0000FA260000}"/>
    <cellStyle name="0_BOUSHER AMERAT III_COMODITES option 2 2 4 6 2" xfId="9993" xr:uid="{00000000-0005-0000-0000-0000FB260000}"/>
    <cellStyle name="0_BOUSHER AMERAT III_COMODITES option 2 2 4 7" xfId="9994" xr:uid="{00000000-0005-0000-0000-0000FC260000}"/>
    <cellStyle name="0_BOUSHER AMERAT III_COMODITES option 2 2 4 7 2" xfId="9995" xr:uid="{00000000-0005-0000-0000-0000FD260000}"/>
    <cellStyle name="0_BOUSHER AMERAT III_COMODITES option 2 2 4 8" xfId="9996" xr:uid="{00000000-0005-0000-0000-0000FE260000}"/>
    <cellStyle name="0_BOUSHER AMERAT III_COMODITES option 2 2 5" xfId="9997" xr:uid="{00000000-0005-0000-0000-0000FF260000}"/>
    <cellStyle name="0_BOUSHER AMERAT III_COMODITES option 2 2 5 2" xfId="9998" xr:uid="{00000000-0005-0000-0000-000000270000}"/>
    <cellStyle name="0_BOUSHER AMERAT III_COMODITES option 2 2 5 2 2" xfId="9999" xr:uid="{00000000-0005-0000-0000-000001270000}"/>
    <cellStyle name="0_BOUSHER AMERAT III_COMODITES option 2 2 5 2 2 2" xfId="10000" xr:uid="{00000000-0005-0000-0000-000002270000}"/>
    <cellStyle name="0_BOUSHER AMERAT III_COMODITES option 2 2 5 2 2 2 2" xfId="10001" xr:uid="{00000000-0005-0000-0000-000003270000}"/>
    <cellStyle name="0_BOUSHER AMERAT III_COMODITES option 2 2 5 2 2 3" xfId="10002" xr:uid="{00000000-0005-0000-0000-000004270000}"/>
    <cellStyle name="0_BOUSHER AMERAT III_COMODITES option 2 2 5 2 2 3 2" xfId="10003" xr:uid="{00000000-0005-0000-0000-000005270000}"/>
    <cellStyle name="0_BOUSHER AMERAT III_COMODITES option 2 2 5 2 2 4" xfId="10004" xr:uid="{00000000-0005-0000-0000-000006270000}"/>
    <cellStyle name="0_BOUSHER AMERAT III_COMODITES option 2 2 5 2 3" xfId="10005" xr:uid="{00000000-0005-0000-0000-000007270000}"/>
    <cellStyle name="0_BOUSHER AMERAT III_COMODITES option 2 2 5 2 3 2" xfId="10006" xr:uid="{00000000-0005-0000-0000-000008270000}"/>
    <cellStyle name="0_BOUSHER AMERAT III_COMODITES option 2 2 5 2 3 2 2" xfId="10007" xr:uid="{00000000-0005-0000-0000-000009270000}"/>
    <cellStyle name="0_BOUSHER AMERAT III_COMODITES option 2 2 5 2 3 3" xfId="10008" xr:uid="{00000000-0005-0000-0000-00000A270000}"/>
    <cellStyle name="0_BOUSHER AMERAT III_COMODITES option 2 2 5 2 3 3 2" xfId="10009" xr:uid="{00000000-0005-0000-0000-00000B270000}"/>
    <cellStyle name="0_BOUSHER AMERAT III_COMODITES option 2 2 5 2 3 4" xfId="10010" xr:uid="{00000000-0005-0000-0000-00000C270000}"/>
    <cellStyle name="0_BOUSHER AMERAT III_COMODITES option 2 2 5 2 4" xfId="10011" xr:uid="{00000000-0005-0000-0000-00000D270000}"/>
    <cellStyle name="0_BOUSHER AMERAT III_COMODITES option 2 2 5 2 4 2" xfId="10012" xr:uid="{00000000-0005-0000-0000-00000E270000}"/>
    <cellStyle name="0_BOUSHER AMERAT III_COMODITES option 2 2 5 2 5" xfId="10013" xr:uid="{00000000-0005-0000-0000-00000F270000}"/>
    <cellStyle name="0_BOUSHER AMERAT III_COMODITES option 2 2 5 2 5 2" xfId="10014" xr:uid="{00000000-0005-0000-0000-000010270000}"/>
    <cellStyle name="0_BOUSHER AMERAT III_COMODITES option 2 2 5 2 6" xfId="10015" xr:uid="{00000000-0005-0000-0000-000011270000}"/>
    <cellStyle name="0_BOUSHER AMERAT III_COMODITES option 2 2 5 3" xfId="10016" xr:uid="{00000000-0005-0000-0000-000012270000}"/>
    <cellStyle name="0_BOUSHER AMERAT III_COMODITES option 2 2 5 3 2" xfId="10017" xr:uid="{00000000-0005-0000-0000-000013270000}"/>
    <cellStyle name="0_BOUSHER AMERAT III_COMODITES option 2 2 5 3 2 2" xfId="10018" xr:uid="{00000000-0005-0000-0000-000014270000}"/>
    <cellStyle name="0_BOUSHER AMERAT III_COMODITES option 2 2 5 3 3" xfId="10019" xr:uid="{00000000-0005-0000-0000-000015270000}"/>
    <cellStyle name="0_BOUSHER AMERAT III_COMODITES option 2 2 5 3 3 2" xfId="10020" xr:uid="{00000000-0005-0000-0000-000016270000}"/>
    <cellStyle name="0_BOUSHER AMERAT III_COMODITES option 2 2 5 3 4" xfId="10021" xr:uid="{00000000-0005-0000-0000-000017270000}"/>
    <cellStyle name="0_BOUSHER AMERAT III_COMODITES option 2 2 5 4" xfId="10022" xr:uid="{00000000-0005-0000-0000-000018270000}"/>
    <cellStyle name="0_BOUSHER AMERAT III_COMODITES option 2 2 5 4 2" xfId="10023" xr:uid="{00000000-0005-0000-0000-000019270000}"/>
    <cellStyle name="0_BOUSHER AMERAT III_COMODITES option 2 2 5 4 2 2" xfId="10024" xr:uid="{00000000-0005-0000-0000-00001A270000}"/>
    <cellStyle name="0_BOUSHER AMERAT III_COMODITES option 2 2 5 4 3" xfId="10025" xr:uid="{00000000-0005-0000-0000-00001B270000}"/>
    <cellStyle name="0_BOUSHER AMERAT III_COMODITES option 2 2 5 4 3 2" xfId="10026" xr:uid="{00000000-0005-0000-0000-00001C270000}"/>
    <cellStyle name="0_BOUSHER AMERAT III_COMODITES option 2 2 5 4 4" xfId="10027" xr:uid="{00000000-0005-0000-0000-00001D270000}"/>
    <cellStyle name="0_BOUSHER AMERAT III_COMODITES option 2 2 5 5" xfId="10028" xr:uid="{00000000-0005-0000-0000-00001E270000}"/>
    <cellStyle name="0_BOUSHER AMERAT III_COMODITES option 2 2 5 5 2" xfId="10029" xr:uid="{00000000-0005-0000-0000-00001F270000}"/>
    <cellStyle name="0_BOUSHER AMERAT III_COMODITES option 2 2 5 5 2 2" xfId="10030" xr:uid="{00000000-0005-0000-0000-000020270000}"/>
    <cellStyle name="0_BOUSHER AMERAT III_COMODITES option 2 2 5 5 3" xfId="10031" xr:uid="{00000000-0005-0000-0000-000021270000}"/>
    <cellStyle name="0_BOUSHER AMERAT III_COMODITES option 2 2 5 5 3 2" xfId="10032" xr:uid="{00000000-0005-0000-0000-000022270000}"/>
    <cellStyle name="0_BOUSHER AMERAT III_COMODITES option 2 2 5 5 4" xfId="10033" xr:uid="{00000000-0005-0000-0000-000023270000}"/>
    <cellStyle name="0_BOUSHER AMERAT III_COMODITES option 2 2 5 6" xfId="10034" xr:uid="{00000000-0005-0000-0000-000024270000}"/>
    <cellStyle name="0_BOUSHER AMERAT III_COMODITES option 2 2 5 6 2" xfId="10035" xr:uid="{00000000-0005-0000-0000-000025270000}"/>
    <cellStyle name="0_BOUSHER AMERAT III_COMODITES option 2 2 5 7" xfId="10036" xr:uid="{00000000-0005-0000-0000-000026270000}"/>
    <cellStyle name="0_BOUSHER AMERAT III_COMODITES option 2 2 5 7 2" xfId="10037" xr:uid="{00000000-0005-0000-0000-000027270000}"/>
    <cellStyle name="0_BOUSHER AMERAT III_COMODITES option 2 2 5 8" xfId="10038" xr:uid="{00000000-0005-0000-0000-000028270000}"/>
    <cellStyle name="0_BOUSHER AMERAT III_COMODITES option 2 2 6" xfId="10039" xr:uid="{00000000-0005-0000-0000-000029270000}"/>
    <cellStyle name="0_BOUSHER AMERAT III_COMODITES option 2 2 6 2" xfId="10040" xr:uid="{00000000-0005-0000-0000-00002A270000}"/>
    <cellStyle name="0_BOUSHER AMERAT III_COMODITES option 2 2 6 2 2" xfId="10041" xr:uid="{00000000-0005-0000-0000-00002B270000}"/>
    <cellStyle name="0_BOUSHER AMERAT III_COMODITES option 2 2 6 2 2 2" xfId="10042" xr:uid="{00000000-0005-0000-0000-00002C270000}"/>
    <cellStyle name="0_BOUSHER AMERAT III_COMODITES option 2 2 6 2 2 2 2" xfId="10043" xr:uid="{00000000-0005-0000-0000-00002D270000}"/>
    <cellStyle name="0_BOUSHER AMERAT III_COMODITES option 2 2 6 2 2 3" xfId="10044" xr:uid="{00000000-0005-0000-0000-00002E270000}"/>
    <cellStyle name="0_BOUSHER AMERAT III_COMODITES option 2 2 6 2 2 3 2" xfId="10045" xr:uid="{00000000-0005-0000-0000-00002F270000}"/>
    <cellStyle name="0_BOUSHER AMERAT III_COMODITES option 2 2 6 2 2 4" xfId="10046" xr:uid="{00000000-0005-0000-0000-000030270000}"/>
    <cellStyle name="0_BOUSHER AMERAT III_COMODITES option 2 2 6 2 3" xfId="10047" xr:uid="{00000000-0005-0000-0000-000031270000}"/>
    <cellStyle name="0_BOUSHER AMERAT III_COMODITES option 2 2 6 2 3 2" xfId="10048" xr:uid="{00000000-0005-0000-0000-000032270000}"/>
    <cellStyle name="0_BOUSHER AMERAT III_COMODITES option 2 2 6 2 3 2 2" xfId="10049" xr:uid="{00000000-0005-0000-0000-000033270000}"/>
    <cellStyle name="0_BOUSHER AMERAT III_COMODITES option 2 2 6 2 3 3" xfId="10050" xr:uid="{00000000-0005-0000-0000-000034270000}"/>
    <cellStyle name="0_BOUSHER AMERAT III_COMODITES option 2 2 6 2 3 3 2" xfId="10051" xr:uid="{00000000-0005-0000-0000-000035270000}"/>
    <cellStyle name="0_BOUSHER AMERAT III_COMODITES option 2 2 6 2 3 4" xfId="10052" xr:uid="{00000000-0005-0000-0000-000036270000}"/>
    <cellStyle name="0_BOUSHER AMERAT III_COMODITES option 2 2 6 2 4" xfId="10053" xr:uid="{00000000-0005-0000-0000-000037270000}"/>
    <cellStyle name="0_BOUSHER AMERAT III_COMODITES option 2 2 6 2 4 2" xfId="10054" xr:uid="{00000000-0005-0000-0000-000038270000}"/>
    <cellStyle name="0_BOUSHER AMERAT III_COMODITES option 2 2 6 2 5" xfId="10055" xr:uid="{00000000-0005-0000-0000-000039270000}"/>
    <cellStyle name="0_BOUSHER AMERAT III_COMODITES option 2 2 6 2 5 2" xfId="10056" xr:uid="{00000000-0005-0000-0000-00003A270000}"/>
    <cellStyle name="0_BOUSHER AMERAT III_COMODITES option 2 2 6 2 6" xfId="10057" xr:uid="{00000000-0005-0000-0000-00003B270000}"/>
    <cellStyle name="0_BOUSHER AMERAT III_COMODITES option 2 2 6 3" xfId="10058" xr:uid="{00000000-0005-0000-0000-00003C270000}"/>
    <cellStyle name="0_BOUSHER AMERAT III_COMODITES option 2 2 6 3 2" xfId="10059" xr:uid="{00000000-0005-0000-0000-00003D270000}"/>
    <cellStyle name="0_BOUSHER AMERAT III_COMODITES option 2 2 6 3 2 2" xfId="10060" xr:uid="{00000000-0005-0000-0000-00003E270000}"/>
    <cellStyle name="0_BOUSHER AMERAT III_COMODITES option 2 2 6 3 3" xfId="10061" xr:uid="{00000000-0005-0000-0000-00003F270000}"/>
    <cellStyle name="0_BOUSHER AMERAT III_COMODITES option 2 2 6 3 3 2" xfId="10062" xr:uid="{00000000-0005-0000-0000-000040270000}"/>
    <cellStyle name="0_BOUSHER AMERAT III_COMODITES option 2 2 6 3 4" xfId="10063" xr:uid="{00000000-0005-0000-0000-000041270000}"/>
    <cellStyle name="0_BOUSHER AMERAT III_COMODITES option 2 2 6 4" xfId="10064" xr:uid="{00000000-0005-0000-0000-000042270000}"/>
    <cellStyle name="0_BOUSHER AMERAT III_COMODITES option 2 2 6 4 2" xfId="10065" xr:uid="{00000000-0005-0000-0000-000043270000}"/>
    <cellStyle name="0_BOUSHER AMERAT III_COMODITES option 2 2 6 4 2 2" xfId="10066" xr:uid="{00000000-0005-0000-0000-000044270000}"/>
    <cellStyle name="0_BOUSHER AMERAT III_COMODITES option 2 2 6 4 3" xfId="10067" xr:uid="{00000000-0005-0000-0000-000045270000}"/>
    <cellStyle name="0_BOUSHER AMERAT III_COMODITES option 2 2 6 4 3 2" xfId="10068" xr:uid="{00000000-0005-0000-0000-000046270000}"/>
    <cellStyle name="0_BOUSHER AMERAT III_COMODITES option 2 2 6 4 4" xfId="10069" xr:uid="{00000000-0005-0000-0000-000047270000}"/>
    <cellStyle name="0_BOUSHER AMERAT III_COMODITES option 2 2 6 5" xfId="10070" xr:uid="{00000000-0005-0000-0000-000048270000}"/>
    <cellStyle name="0_BOUSHER AMERAT III_COMODITES option 2 2 6 5 2" xfId="10071" xr:uid="{00000000-0005-0000-0000-000049270000}"/>
    <cellStyle name="0_BOUSHER AMERAT III_COMODITES option 2 2 6 5 2 2" xfId="10072" xr:uid="{00000000-0005-0000-0000-00004A270000}"/>
    <cellStyle name="0_BOUSHER AMERAT III_COMODITES option 2 2 6 5 3" xfId="10073" xr:uid="{00000000-0005-0000-0000-00004B270000}"/>
    <cellStyle name="0_BOUSHER AMERAT III_COMODITES option 2 2 6 5 3 2" xfId="10074" xr:uid="{00000000-0005-0000-0000-00004C270000}"/>
    <cellStyle name="0_BOUSHER AMERAT III_COMODITES option 2 2 6 5 4" xfId="10075" xr:uid="{00000000-0005-0000-0000-00004D270000}"/>
    <cellStyle name="0_BOUSHER AMERAT III_COMODITES option 2 2 6 6" xfId="10076" xr:uid="{00000000-0005-0000-0000-00004E270000}"/>
    <cellStyle name="0_BOUSHER AMERAT III_COMODITES option 2 2 6 6 2" xfId="10077" xr:uid="{00000000-0005-0000-0000-00004F270000}"/>
    <cellStyle name="0_BOUSHER AMERAT III_COMODITES option 2 2 6 7" xfId="10078" xr:uid="{00000000-0005-0000-0000-000050270000}"/>
    <cellStyle name="0_BOUSHER AMERAT III_COMODITES option 2 2 6 7 2" xfId="10079" xr:uid="{00000000-0005-0000-0000-000051270000}"/>
    <cellStyle name="0_BOUSHER AMERAT III_COMODITES option 2 2 6 8" xfId="10080" xr:uid="{00000000-0005-0000-0000-000052270000}"/>
    <cellStyle name="0_BOUSHER AMERAT III_COMODITES option 2 2 7" xfId="10081" xr:uid="{00000000-0005-0000-0000-000053270000}"/>
    <cellStyle name="0_BOUSHER AMERAT III_COMODITES option 2 2 7 2" xfId="10082" xr:uid="{00000000-0005-0000-0000-000054270000}"/>
    <cellStyle name="0_BOUSHER AMERAT III_COMODITES option 2 2 7 2 2" xfId="10083" xr:uid="{00000000-0005-0000-0000-000055270000}"/>
    <cellStyle name="0_BOUSHER AMERAT III_COMODITES option 2 2 7 2 2 2" xfId="10084" xr:uid="{00000000-0005-0000-0000-000056270000}"/>
    <cellStyle name="0_BOUSHER AMERAT III_COMODITES option 2 2 7 2 3" xfId="10085" xr:uid="{00000000-0005-0000-0000-000057270000}"/>
    <cellStyle name="0_BOUSHER AMERAT III_COMODITES option 2 2 7 2 3 2" xfId="10086" xr:uid="{00000000-0005-0000-0000-000058270000}"/>
    <cellStyle name="0_BOUSHER AMERAT III_COMODITES option 2 2 7 2 4" xfId="10087" xr:uid="{00000000-0005-0000-0000-000059270000}"/>
    <cellStyle name="0_BOUSHER AMERAT III_COMODITES option 2 2 7 3" xfId="10088" xr:uid="{00000000-0005-0000-0000-00005A270000}"/>
    <cellStyle name="0_BOUSHER AMERAT III_COMODITES option 2 2 7 3 2" xfId="10089" xr:uid="{00000000-0005-0000-0000-00005B270000}"/>
    <cellStyle name="0_BOUSHER AMERAT III_COMODITES option 2 2 7 3 2 2" xfId="10090" xr:uid="{00000000-0005-0000-0000-00005C270000}"/>
    <cellStyle name="0_BOUSHER AMERAT III_COMODITES option 2 2 7 3 3" xfId="10091" xr:uid="{00000000-0005-0000-0000-00005D270000}"/>
    <cellStyle name="0_BOUSHER AMERAT III_COMODITES option 2 2 7 3 3 2" xfId="10092" xr:uid="{00000000-0005-0000-0000-00005E270000}"/>
    <cellStyle name="0_BOUSHER AMERAT III_COMODITES option 2 2 7 3 4" xfId="10093" xr:uid="{00000000-0005-0000-0000-00005F270000}"/>
    <cellStyle name="0_BOUSHER AMERAT III_COMODITES option 2 2 7 4" xfId="10094" xr:uid="{00000000-0005-0000-0000-000060270000}"/>
    <cellStyle name="0_BOUSHER AMERAT III_COMODITES option 2 2 7 4 2" xfId="10095" xr:uid="{00000000-0005-0000-0000-000061270000}"/>
    <cellStyle name="0_BOUSHER AMERAT III_COMODITES option 2 2 7 5" xfId="10096" xr:uid="{00000000-0005-0000-0000-000062270000}"/>
    <cellStyle name="0_BOUSHER AMERAT III_COMODITES option 2 2 7 5 2" xfId="10097" xr:uid="{00000000-0005-0000-0000-000063270000}"/>
    <cellStyle name="0_BOUSHER AMERAT III_COMODITES option 2 2 7 6" xfId="10098" xr:uid="{00000000-0005-0000-0000-000064270000}"/>
    <cellStyle name="0_BOUSHER AMERAT III_COMODITES option 2 2 8" xfId="10099" xr:uid="{00000000-0005-0000-0000-000065270000}"/>
    <cellStyle name="0_BOUSHER AMERAT III_COMODITES option 2 2 8 2" xfId="10100" xr:uid="{00000000-0005-0000-0000-000066270000}"/>
    <cellStyle name="0_BOUSHER AMERAT III_COMODITES option 2 2 8 2 2" xfId="10101" xr:uid="{00000000-0005-0000-0000-000067270000}"/>
    <cellStyle name="0_BOUSHER AMERAT III_COMODITES option 2 2 8 3" xfId="10102" xr:uid="{00000000-0005-0000-0000-000068270000}"/>
    <cellStyle name="0_BOUSHER AMERAT III_COMODITES option 2 2 8 3 2" xfId="10103" xr:uid="{00000000-0005-0000-0000-000069270000}"/>
    <cellStyle name="0_BOUSHER AMERAT III_COMODITES option 2 2 8 4" xfId="10104" xr:uid="{00000000-0005-0000-0000-00006A270000}"/>
    <cellStyle name="0_BOUSHER AMERAT III_COMODITES option 2 2 9" xfId="10105" xr:uid="{00000000-0005-0000-0000-00006B270000}"/>
    <cellStyle name="0_BOUSHER AMERAT III_COMODITES option 2 2 9 2" xfId="10106" xr:uid="{00000000-0005-0000-0000-00006C270000}"/>
    <cellStyle name="0_BOUSHER AMERAT III_COMODITES option 2 2 9 2 2" xfId="10107" xr:uid="{00000000-0005-0000-0000-00006D270000}"/>
    <cellStyle name="0_BOUSHER AMERAT III_COMODITES option 2 2 9 3" xfId="10108" xr:uid="{00000000-0005-0000-0000-00006E270000}"/>
    <cellStyle name="0_BOUSHER AMERAT III_COMODITES option 2 2 9 3 2" xfId="10109" xr:uid="{00000000-0005-0000-0000-00006F270000}"/>
    <cellStyle name="0_BOUSHER AMERAT III_COMODITES option 2 2 9 4" xfId="10110" xr:uid="{00000000-0005-0000-0000-000070270000}"/>
    <cellStyle name="0_BOUSHER AMERAT III_COMODITES option 2 20" xfId="10111" xr:uid="{00000000-0005-0000-0000-000071270000}"/>
    <cellStyle name="0_BOUSHER AMERAT III_COMODITES option 2 21" xfId="10112" xr:uid="{00000000-0005-0000-0000-000072270000}"/>
    <cellStyle name="0_BOUSHER AMERAT III_COMODITES option 2 22" xfId="10113" xr:uid="{00000000-0005-0000-0000-000073270000}"/>
    <cellStyle name="0_BOUSHER AMERAT III_COMODITES option 2 3" xfId="10114" xr:uid="{00000000-0005-0000-0000-000074270000}"/>
    <cellStyle name="0_BOUSHER AMERAT III_COMODITES option 2 3 10" xfId="10115" xr:uid="{00000000-0005-0000-0000-000075270000}"/>
    <cellStyle name="0_BOUSHER AMERAT III_COMODITES option 2 3 10 2" xfId="10116" xr:uid="{00000000-0005-0000-0000-000076270000}"/>
    <cellStyle name="0_BOUSHER AMERAT III_COMODITES option 2 3 10 2 2" xfId="10117" xr:uid="{00000000-0005-0000-0000-000077270000}"/>
    <cellStyle name="0_BOUSHER AMERAT III_COMODITES option 2 3 10 3" xfId="10118" xr:uid="{00000000-0005-0000-0000-000078270000}"/>
    <cellStyle name="0_BOUSHER AMERAT III_COMODITES option 2 3 10 3 2" xfId="10119" xr:uid="{00000000-0005-0000-0000-000079270000}"/>
    <cellStyle name="0_BOUSHER AMERAT III_COMODITES option 2 3 10 4" xfId="10120" xr:uid="{00000000-0005-0000-0000-00007A270000}"/>
    <cellStyle name="0_BOUSHER AMERAT III_COMODITES option 2 3 11" xfId="10121" xr:uid="{00000000-0005-0000-0000-00007B270000}"/>
    <cellStyle name="0_BOUSHER AMERAT III_COMODITES option 2 3 11 2" xfId="10122" xr:uid="{00000000-0005-0000-0000-00007C270000}"/>
    <cellStyle name="0_BOUSHER AMERAT III_COMODITES option 2 3 12" xfId="10123" xr:uid="{00000000-0005-0000-0000-00007D270000}"/>
    <cellStyle name="0_BOUSHER AMERAT III_COMODITES option 2 3 12 2" xfId="10124" xr:uid="{00000000-0005-0000-0000-00007E270000}"/>
    <cellStyle name="0_BOUSHER AMERAT III_COMODITES option 2 3 13" xfId="10125" xr:uid="{00000000-0005-0000-0000-00007F270000}"/>
    <cellStyle name="0_BOUSHER AMERAT III_COMODITES option 2 3 2" xfId="10126" xr:uid="{00000000-0005-0000-0000-000080270000}"/>
    <cellStyle name="0_BOUSHER AMERAT III_COMODITES option 2 3 2 2" xfId="10127" xr:uid="{00000000-0005-0000-0000-000081270000}"/>
    <cellStyle name="0_BOUSHER AMERAT III_COMODITES option 2 3 2 2 2" xfId="10128" xr:uid="{00000000-0005-0000-0000-000082270000}"/>
    <cellStyle name="0_BOUSHER AMERAT III_COMODITES option 2 3 2 2 2 2" xfId="10129" xr:uid="{00000000-0005-0000-0000-000083270000}"/>
    <cellStyle name="0_BOUSHER AMERAT III_COMODITES option 2 3 2 2 2 2 2" xfId="10130" xr:uid="{00000000-0005-0000-0000-000084270000}"/>
    <cellStyle name="0_BOUSHER AMERAT III_COMODITES option 2 3 2 2 2 3" xfId="10131" xr:uid="{00000000-0005-0000-0000-000085270000}"/>
    <cellStyle name="0_BOUSHER AMERAT III_COMODITES option 2 3 2 2 2 3 2" xfId="10132" xr:uid="{00000000-0005-0000-0000-000086270000}"/>
    <cellStyle name="0_BOUSHER AMERAT III_COMODITES option 2 3 2 2 2 4" xfId="10133" xr:uid="{00000000-0005-0000-0000-000087270000}"/>
    <cellStyle name="0_BOUSHER AMERAT III_COMODITES option 2 3 2 2 3" xfId="10134" xr:uid="{00000000-0005-0000-0000-000088270000}"/>
    <cellStyle name="0_BOUSHER AMERAT III_COMODITES option 2 3 2 2 3 2" xfId="10135" xr:uid="{00000000-0005-0000-0000-000089270000}"/>
    <cellStyle name="0_BOUSHER AMERAT III_COMODITES option 2 3 2 2 3 2 2" xfId="10136" xr:uid="{00000000-0005-0000-0000-00008A270000}"/>
    <cellStyle name="0_BOUSHER AMERAT III_COMODITES option 2 3 2 2 3 3" xfId="10137" xr:uid="{00000000-0005-0000-0000-00008B270000}"/>
    <cellStyle name="0_BOUSHER AMERAT III_COMODITES option 2 3 2 2 3 3 2" xfId="10138" xr:uid="{00000000-0005-0000-0000-00008C270000}"/>
    <cellStyle name="0_BOUSHER AMERAT III_COMODITES option 2 3 2 2 3 4" xfId="10139" xr:uid="{00000000-0005-0000-0000-00008D270000}"/>
    <cellStyle name="0_BOUSHER AMERAT III_COMODITES option 2 3 2 2 4" xfId="10140" xr:uid="{00000000-0005-0000-0000-00008E270000}"/>
    <cellStyle name="0_BOUSHER AMERAT III_COMODITES option 2 3 2 2 4 2" xfId="10141" xr:uid="{00000000-0005-0000-0000-00008F270000}"/>
    <cellStyle name="0_BOUSHER AMERAT III_COMODITES option 2 3 2 2 5" xfId="10142" xr:uid="{00000000-0005-0000-0000-000090270000}"/>
    <cellStyle name="0_BOUSHER AMERAT III_COMODITES option 2 3 2 2 5 2" xfId="10143" xr:uid="{00000000-0005-0000-0000-000091270000}"/>
    <cellStyle name="0_BOUSHER AMERAT III_COMODITES option 2 3 2 2 6" xfId="10144" xr:uid="{00000000-0005-0000-0000-000092270000}"/>
    <cellStyle name="0_BOUSHER AMERAT III_COMODITES option 2 3 2 3" xfId="10145" xr:uid="{00000000-0005-0000-0000-000093270000}"/>
    <cellStyle name="0_BOUSHER AMERAT III_COMODITES option 2 3 2 3 2" xfId="10146" xr:uid="{00000000-0005-0000-0000-000094270000}"/>
    <cellStyle name="0_BOUSHER AMERAT III_COMODITES option 2 3 2 3 2 2" xfId="10147" xr:uid="{00000000-0005-0000-0000-000095270000}"/>
    <cellStyle name="0_BOUSHER AMERAT III_COMODITES option 2 3 2 3 3" xfId="10148" xr:uid="{00000000-0005-0000-0000-000096270000}"/>
    <cellStyle name="0_BOUSHER AMERAT III_COMODITES option 2 3 2 3 3 2" xfId="10149" xr:uid="{00000000-0005-0000-0000-000097270000}"/>
    <cellStyle name="0_BOUSHER AMERAT III_COMODITES option 2 3 2 3 4" xfId="10150" xr:uid="{00000000-0005-0000-0000-000098270000}"/>
    <cellStyle name="0_BOUSHER AMERAT III_COMODITES option 2 3 2 4" xfId="10151" xr:uid="{00000000-0005-0000-0000-000099270000}"/>
    <cellStyle name="0_BOUSHER AMERAT III_COMODITES option 2 3 2 4 2" xfId="10152" xr:uid="{00000000-0005-0000-0000-00009A270000}"/>
    <cellStyle name="0_BOUSHER AMERAT III_COMODITES option 2 3 2 4 2 2" xfId="10153" xr:uid="{00000000-0005-0000-0000-00009B270000}"/>
    <cellStyle name="0_BOUSHER AMERAT III_COMODITES option 2 3 2 4 3" xfId="10154" xr:uid="{00000000-0005-0000-0000-00009C270000}"/>
    <cellStyle name="0_BOUSHER AMERAT III_COMODITES option 2 3 2 4 3 2" xfId="10155" xr:uid="{00000000-0005-0000-0000-00009D270000}"/>
    <cellStyle name="0_BOUSHER AMERAT III_COMODITES option 2 3 2 4 4" xfId="10156" xr:uid="{00000000-0005-0000-0000-00009E270000}"/>
    <cellStyle name="0_BOUSHER AMERAT III_COMODITES option 2 3 2 5" xfId="10157" xr:uid="{00000000-0005-0000-0000-00009F270000}"/>
    <cellStyle name="0_BOUSHER AMERAT III_COMODITES option 2 3 2 5 2" xfId="10158" xr:uid="{00000000-0005-0000-0000-0000A0270000}"/>
    <cellStyle name="0_BOUSHER AMERAT III_COMODITES option 2 3 2 5 2 2" xfId="10159" xr:uid="{00000000-0005-0000-0000-0000A1270000}"/>
    <cellStyle name="0_BOUSHER AMERAT III_COMODITES option 2 3 2 5 3" xfId="10160" xr:uid="{00000000-0005-0000-0000-0000A2270000}"/>
    <cellStyle name="0_BOUSHER AMERAT III_COMODITES option 2 3 2 5 3 2" xfId="10161" xr:uid="{00000000-0005-0000-0000-0000A3270000}"/>
    <cellStyle name="0_BOUSHER AMERAT III_COMODITES option 2 3 2 5 4" xfId="10162" xr:uid="{00000000-0005-0000-0000-0000A4270000}"/>
    <cellStyle name="0_BOUSHER AMERAT III_COMODITES option 2 3 2 6" xfId="10163" xr:uid="{00000000-0005-0000-0000-0000A5270000}"/>
    <cellStyle name="0_BOUSHER AMERAT III_COMODITES option 2 3 2 6 2" xfId="10164" xr:uid="{00000000-0005-0000-0000-0000A6270000}"/>
    <cellStyle name="0_BOUSHER AMERAT III_COMODITES option 2 3 2 7" xfId="10165" xr:uid="{00000000-0005-0000-0000-0000A7270000}"/>
    <cellStyle name="0_BOUSHER AMERAT III_COMODITES option 2 3 2 7 2" xfId="10166" xr:uid="{00000000-0005-0000-0000-0000A8270000}"/>
    <cellStyle name="0_BOUSHER AMERAT III_COMODITES option 2 3 2 8" xfId="10167" xr:uid="{00000000-0005-0000-0000-0000A9270000}"/>
    <cellStyle name="0_BOUSHER AMERAT III_COMODITES option 2 3 3" xfId="10168" xr:uid="{00000000-0005-0000-0000-0000AA270000}"/>
    <cellStyle name="0_BOUSHER AMERAT III_COMODITES option 2 3 3 2" xfId="10169" xr:uid="{00000000-0005-0000-0000-0000AB270000}"/>
    <cellStyle name="0_BOUSHER AMERAT III_COMODITES option 2 3 3 2 2" xfId="10170" xr:uid="{00000000-0005-0000-0000-0000AC270000}"/>
    <cellStyle name="0_BOUSHER AMERAT III_COMODITES option 2 3 3 2 2 2" xfId="10171" xr:uid="{00000000-0005-0000-0000-0000AD270000}"/>
    <cellStyle name="0_BOUSHER AMERAT III_COMODITES option 2 3 3 2 2 2 2" xfId="10172" xr:uid="{00000000-0005-0000-0000-0000AE270000}"/>
    <cellStyle name="0_BOUSHER AMERAT III_COMODITES option 2 3 3 2 2 3" xfId="10173" xr:uid="{00000000-0005-0000-0000-0000AF270000}"/>
    <cellStyle name="0_BOUSHER AMERAT III_COMODITES option 2 3 3 2 2 3 2" xfId="10174" xr:uid="{00000000-0005-0000-0000-0000B0270000}"/>
    <cellStyle name="0_BOUSHER AMERAT III_COMODITES option 2 3 3 2 2 4" xfId="10175" xr:uid="{00000000-0005-0000-0000-0000B1270000}"/>
    <cellStyle name="0_BOUSHER AMERAT III_COMODITES option 2 3 3 2 3" xfId="10176" xr:uid="{00000000-0005-0000-0000-0000B2270000}"/>
    <cellStyle name="0_BOUSHER AMERAT III_COMODITES option 2 3 3 2 3 2" xfId="10177" xr:uid="{00000000-0005-0000-0000-0000B3270000}"/>
    <cellStyle name="0_BOUSHER AMERAT III_COMODITES option 2 3 3 2 3 2 2" xfId="10178" xr:uid="{00000000-0005-0000-0000-0000B4270000}"/>
    <cellStyle name="0_BOUSHER AMERAT III_COMODITES option 2 3 3 2 3 3" xfId="10179" xr:uid="{00000000-0005-0000-0000-0000B5270000}"/>
    <cellStyle name="0_BOUSHER AMERAT III_COMODITES option 2 3 3 2 3 3 2" xfId="10180" xr:uid="{00000000-0005-0000-0000-0000B6270000}"/>
    <cellStyle name="0_BOUSHER AMERAT III_COMODITES option 2 3 3 2 3 4" xfId="10181" xr:uid="{00000000-0005-0000-0000-0000B7270000}"/>
    <cellStyle name="0_BOUSHER AMERAT III_COMODITES option 2 3 3 2 4" xfId="10182" xr:uid="{00000000-0005-0000-0000-0000B8270000}"/>
    <cellStyle name="0_BOUSHER AMERAT III_COMODITES option 2 3 3 2 4 2" xfId="10183" xr:uid="{00000000-0005-0000-0000-0000B9270000}"/>
    <cellStyle name="0_BOUSHER AMERAT III_COMODITES option 2 3 3 2 5" xfId="10184" xr:uid="{00000000-0005-0000-0000-0000BA270000}"/>
    <cellStyle name="0_BOUSHER AMERAT III_COMODITES option 2 3 3 2 5 2" xfId="10185" xr:uid="{00000000-0005-0000-0000-0000BB270000}"/>
    <cellStyle name="0_BOUSHER AMERAT III_COMODITES option 2 3 3 2 6" xfId="10186" xr:uid="{00000000-0005-0000-0000-0000BC270000}"/>
    <cellStyle name="0_BOUSHER AMERAT III_COMODITES option 2 3 3 3" xfId="10187" xr:uid="{00000000-0005-0000-0000-0000BD270000}"/>
    <cellStyle name="0_BOUSHER AMERAT III_COMODITES option 2 3 3 3 2" xfId="10188" xr:uid="{00000000-0005-0000-0000-0000BE270000}"/>
    <cellStyle name="0_BOUSHER AMERAT III_COMODITES option 2 3 3 3 2 2" xfId="10189" xr:uid="{00000000-0005-0000-0000-0000BF270000}"/>
    <cellStyle name="0_BOUSHER AMERAT III_COMODITES option 2 3 3 3 3" xfId="10190" xr:uid="{00000000-0005-0000-0000-0000C0270000}"/>
    <cellStyle name="0_BOUSHER AMERAT III_COMODITES option 2 3 3 3 3 2" xfId="10191" xr:uid="{00000000-0005-0000-0000-0000C1270000}"/>
    <cellStyle name="0_BOUSHER AMERAT III_COMODITES option 2 3 3 3 4" xfId="10192" xr:uid="{00000000-0005-0000-0000-0000C2270000}"/>
    <cellStyle name="0_BOUSHER AMERAT III_COMODITES option 2 3 3 4" xfId="10193" xr:uid="{00000000-0005-0000-0000-0000C3270000}"/>
    <cellStyle name="0_BOUSHER AMERAT III_COMODITES option 2 3 3 4 2" xfId="10194" xr:uid="{00000000-0005-0000-0000-0000C4270000}"/>
    <cellStyle name="0_BOUSHER AMERAT III_COMODITES option 2 3 3 4 2 2" xfId="10195" xr:uid="{00000000-0005-0000-0000-0000C5270000}"/>
    <cellStyle name="0_BOUSHER AMERAT III_COMODITES option 2 3 3 4 3" xfId="10196" xr:uid="{00000000-0005-0000-0000-0000C6270000}"/>
    <cellStyle name="0_BOUSHER AMERAT III_COMODITES option 2 3 3 4 3 2" xfId="10197" xr:uid="{00000000-0005-0000-0000-0000C7270000}"/>
    <cellStyle name="0_BOUSHER AMERAT III_COMODITES option 2 3 3 4 4" xfId="10198" xr:uid="{00000000-0005-0000-0000-0000C8270000}"/>
    <cellStyle name="0_BOUSHER AMERAT III_COMODITES option 2 3 3 5" xfId="10199" xr:uid="{00000000-0005-0000-0000-0000C9270000}"/>
    <cellStyle name="0_BOUSHER AMERAT III_COMODITES option 2 3 3 5 2" xfId="10200" xr:uid="{00000000-0005-0000-0000-0000CA270000}"/>
    <cellStyle name="0_BOUSHER AMERAT III_COMODITES option 2 3 3 5 2 2" xfId="10201" xr:uid="{00000000-0005-0000-0000-0000CB270000}"/>
    <cellStyle name="0_BOUSHER AMERAT III_COMODITES option 2 3 3 5 3" xfId="10202" xr:uid="{00000000-0005-0000-0000-0000CC270000}"/>
    <cellStyle name="0_BOUSHER AMERAT III_COMODITES option 2 3 3 5 3 2" xfId="10203" xr:uid="{00000000-0005-0000-0000-0000CD270000}"/>
    <cellStyle name="0_BOUSHER AMERAT III_COMODITES option 2 3 3 5 4" xfId="10204" xr:uid="{00000000-0005-0000-0000-0000CE270000}"/>
    <cellStyle name="0_BOUSHER AMERAT III_COMODITES option 2 3 3 6" xfId="10205" xr:uid="{00000000-0005-0000-0000-0000CF270000}"/>
    <cellStyle name="0_BOUSHER AMERAT III_COMODITES option 2 3 3 6 2" xfId="10206" xr:uid="{00000000-0005-0000-0000-0000D0270000}"/>
    <cellStyle name="0_BOUSHER AMERAT III_COMODITES option 2 3 3 7" xfId="10207" xr:uid="{00000000-0005-0000-0000-0000D1270000}"/>
    <cellStyle name="0_BOUSHER AMERAT III_COMODITES option 2 3 3 7 2" xfId="10208" xr:uid="{00000000-0005-0000-0000-0000D2270000}"/>
    <cellStyle name="0_BOUSHER AMERAT III_COMODITES option 2 3 3 8" xfId="10209" xr:uid="{00000000-0005-0000-0000-0000D3270000}"/>
    <cellStyle name="0_BOUSHER AMERAT III_COMODITES option 2 3 4" xfId="10210" xr:uid="{00000000-0005-0000-0000-0000D4270000}"/>
    <cellStyle name="0_BOUSHER AMERAT III_COMODITES option 2 3 4 2" xfId="10211" xr:uid="{00000000-0005-0000-0000-0000D5270000}"/>
    <cellStyle name="0_BOUSHER AMERAT III_COMODITES option 2 3 4 2 2" xfId="10212" xr:uid="{00000000-0005-0000-0000-0000D6270000}"/>
    <cellStyle name="0_BOUSHER AMERAT III_COMODITES option 2 3 4 2 2 2" xfId="10213" xr:uid="{00000000-0005-0000-0000-0000D7270000}"/>
    <cellStyle name="0_BOUSHER AMERAT III_COMODITES option 2 3 4 2 2 2 2" xfId="10214" xr:uid="{00000000-0005-0000-0000-0000D8270000}"/>
    <cellStyle name="0_BOUSHER AMERAT III_COMODITES option 2 3 4 2 2 3" xfId="10215" xr:uid="{00000000-0005-0000-0000-0000D9270000}"/>
    <cellStyle name="0_BOUSHER AMERAT III_COMODITES option 2 3 4 2 2 3 2" xfId="10216" xr:uid="{00000000-0005-0000-0000-0000DA270000}"/>
    <cellStyle name="0_BOUSHER AMERAT III_COMODITES option 2 3 4 2 2 4" xfId="10217" xr:uid="{00000000-0005-0000-0000-0000DB270000}"/>
    <cellStyle name="0_BOUSHER AMERAT III_COMODITES option 2 3 4 2 3" xfId="10218" xr:uid="{00000000-0005-0000-0000-0000DC270000}"/>
    <cellStyle name="0_BOUSHER AMERAT III_COMODITES option 2 3 4 2 3 2" xfId="10219" xr:uid="{00000000-0005-0000-0000-0000DD270000}"/>
    <cellStyle name="0_BOUSHER AMERAT III_COMODITES option 2 3 4 2 3 2 2" xfId="10220" xr:uid="{00000000-0005-0000-0000-0000DE270000}"/>
    <cellStyle name="0_BOUSHER AMERAT III_COMODITES option 2 3 4 2 3 3" xfId="10221" xr:uid="{00000000-0005-0000-0000-0000DF270000}"/>
    <cellStyle name="0_BOUSHER AMERAT III_COMODITES option 2 3 4 2 3 3 2" xfId="10222" xr:uid="{00000000-0005-0000-0000-0000E0270000}"/>
    <cellStyle name="0_BOUSHER AMERAT III_COMODITES option 2 3 4 2 3 4" xfId="10223" xr:uid="{00000000-0005-0000-0000-0000E1270000}"/>
    <cellStyle name="0_BOUSHER AMERAT III_COMODITES option 2 3 4 2 4" xfId="10224" xr:uid="{00000000-0005-0000-0000-0000E2270000}"/>
    <cellStyle name="0_BOUSHER AMERAT III_COMODITES option 2 3 4 2 4 2" xfId="10225" xr:uid="{00000000-0005-0000-0000-0000E3270000}"/>
    <cellStyle name="0_BOUSHER AMERAT III_COMODITES option 2 3 4 2 5" xfId="10226" xr:uid="{00000000-0005-0000-0000-0000E4270000}"/>
    <cellStyle name="0_BOUSHER AMERAT III_COMODITES option 2 3 4 2 5 2" xfId="10227" xr:uid="{00000000-0005-0000-0000-0000E5270000}"/>
    <cellStyle name="0_BOUSHER AMERAT III_COMODITES option 2 3 4 2 6" xfId="10228" xr:uid="{00000000-0005-0000-0000-0000E6270000}"/>
    <cellStyle name="0_BOUSHER AMERAT III_COMODITES option 2 3 4 3" xfId="10229" xr:uid="{00000000-0005-0000-0000-0000E7270000}"/>
    <cellStyle name="0_BOUSHER AMERAT III_COMODITES option 2 3 4 3 2" xfId="10230" xr:uid="{00000000-0005-0000-0000-0000E8270000}"/>
    <cellStyle name="0_BOUSHER AMERAT III_COMODITES option 2 3 4 3 2 2" xfId="10231" xr:uid="{00000000-0005-0000-0000-0000E9270000}"/>
    <cellStyle name="0_BOUSHER AMERAT III_COMODITES option 2 3 4 3 3" xfId="10232" xr:uid="{00000000-0005-0000-0000-0000EA270000}"/>
    <cellStyle name="0_BOUSHER AMERAT III_COMODITES option 2 3 4 3 3 2" xfId="10233" xr:uid="{00000000-0005-0000-0000-0000EB270000}"/>
    <cellStyle name="0_BOUSHER AMERAT III_COMODITES option 2 3 4 3 4" xfId="10234" xr:uid="{00000000-0005-0000-0000-0000EC270000}"/>
    <cellStyle name="0_BOUSHER AMERAT III_COMODITES option 2 3 4 4" xfId="10235" xr:uid="{00000000-0005-0000-0000-0000ED270000}"/>
    <cellStyle name="0_BOUSHER AMERAT III_COMODITES option 2 3 4 4 2" xfId="10236" xr:uid="{00000000-0005-0000-0000-0000EE270000}"/>
    <cellStyle name="0_BOUSHER AMERAT III_COMODITES option 2 3 4 4 2 2" xfId="10237" xr:uid="{00000000-0005-0000-0000-0000EF270000}"/>
    <cellStyle name="0_BOUSHER AMERAT III_COMODITES option 2 3 4 4 3" xfId="10238" xr:uid="{00000000-0005-0000-0000-0000F0270000}"/>
    <cellStyle name="0_BOUSHER AMERAT III_COMODITES option 2 3 4 4 3 2" xfId="10239" xr:uid="{00000000-0005-0000-0000-0000F1270000}"/>
    <cellStyle name="0_BOUSHER AMERAT III_COMODITES option 2 3 4 4 4" xfId="10240" xr:uid="{00000000-0005-0000-0000-0000F2270000}"/>
    <cellStyle name="0_BOUSHER AMERAT III_COMODITES option 2 3 4 5" xfId="10241" xr:uid="{00000000-0005-0000-0000-0000F3270000}"/>
    <cellStyle name="0_BOUSHER AMERAT III_COMODITES option 2 3 4 5 2" xfId="10242" xr:uid="{00000000-0005-0000-0000-0000F4270000}"/>
    <cellStyle name="0_BOUSHER AMERAT III_COMODITES option 2 3 4 5 2 2" xfId="10243" xr:uid="{00000000-0005-0000-0000-0000F5270000}"/>
    <cellStyle name="0_BOUSHER AMERAT III_COMODITES option 2 3 4 5 3" xfId="10244" xr:uid="{00000000-0005-0000-0000-0000F6270000}"/>
    <cellStyle name="0_BOUSHER AMERAT III_COMODITES option 2 3 4 5 3 2" xfId="10245" xr:uid="{00000000-0005-0000-0000-0000F7270000}"/>
    <cellStyle name="0_BOUSHER AMERAT III_COMODITES option 2 3 4 5 4" xfId="10246" xr:uid="{00000000-0005-0000-0000-0000F8270000}"/>
    <cellStyle name="0_BOUSHER AMERAT III_COMODITES option 2 3 4 6" xfId="10247" xr:uid="{00000000-0005-0000-0000-0000F9270000}"/>
    <cellStyle name="0_BOUSHER AMERAT III_COMODITES option 2 3 4 6 2" xfId="10248" xr:uid="{00000000-0005-0000-0000-0000FA270000}"/>
    <cellStyle name="0_BOUSHER AMERAT III_COMODITES option 2 3 4 7" xfId="10249" xr:uid="{00000000-0005-0000-0000-0000FB270000}"/>
    <cellStyle name="0_BOUSHER AMERAT III_COMODITES option 2 3 4 7 2" xfId="10250" xr:uid="{00000000-0005-0000-0000-0000FC270000}"/>
    <cellStyle name="0_BOUSHER AMERAT III_COMODITES option 2 3 4 8" xfId="10251" xr:uid="{00000000-0005-0000-0000-0000FD270000}"/>
    <cellStyle name="0_BOUSHER AMERAT III_COMODITES option 2 3 5" xfId="10252" xr:uid="{00000000-0005-0000-0000-0000FE270000}"/>
    <cellStyle name="0_BOUSHER AMERAT III_COMODITES option 2 3 5 2" xfId="10253" xr:uid="{00000000-0005-0000-0000-0000FF270000}"/>
    <cellStyle name="0_BOUSHER AMERAT III_COMODITES option 2 3 5 2 2" xfId="10254" xr:uid="{00000000-0005-0000-0000-000000280000}"/>
    <cellStyle name="0_BOUSHER AMERAT III_COMODITES option 2 3 5 2 2 2" xfId="10255" xr:uid="{00000000-0005-0000-0000-000001280000}"/>
    <cellStyle name="0_BOUSHER AMERAT III_COMODITES option 2 3 5 2 2 2 2" xfId="10256" xr:uid="{00000000-0005-0000-0000-000002280000}"/>
    <cellStyle name="0_BOUSHER AMERAT III_COMODITES option 2 3 5 2 2 3" xfId="10257" xr:uid="{00000000-0005-0000-0000-000003280000}"/>
    <cellStyle name="0_BOUSHER AMERAT III_COMODITES option 2 3 5 2 2 3 2" xfId="10258" xr:uid="{00000000-0005-0000-0000-000004280000}"/>
    <cellStyle name="0_BOUSHER AMERAT III_COMODITES option 2 3 5 2 2 4" xfId="10259" xr:uid="{00000000-0005-0000-0000-000005280000}"/>
    <cellStyle name="0_BOUSHER AMERAT III_COMODITES option 2 3 5 2 3" xfId="10260" xr:uid="{00000000-0005-0000-0000-000006280000}"/>
    <cellStyle name="0_BOUSHER AMERAT III_COMODITES option 2 3 5 2 3 2" xfId="10261" xr:uid="{00000000-0005-0000-0000-000007280000}"/>
    <cellStyle name="0_BOUSHER AMERAT III_COMODITES option 2 3 5 2 3 2 2" xfId="10262" xr:uid="{00000000-0005-0000-0000-000008280000}"/>
    <cellStyle name="0_BOUSHER AMERAT III_COMODITES option 2 3 5 2 3 3" xfId="10263" xr:uid="{00000000-0005-0000-0000-000009280000}"/>
    <cellStyle name="0_BOUSHER AMERAT III_COMODITES option 2 3 5 2 3 3 2" xfId="10264" xr:uid="{00000000-0005-0000-0000-00000A280000}"/>
    <cellStyle name="0_BOUSHER AMERAT III_COMODITES option 2 3 5 2 3 4" xfId="10265" xr:uid="{00000000-0005-0000-0000-00000B280000}"/>
    <cellStyle name="0_BOUSHER AMERAT III_COMODITES option 2 3 5 2 4" xfId="10266" xr:uid="{00000000-0005-0000-0000-00000C280000}"/>
    <cellStyle name="0_BOUSHER AMERAT III_COMODITES option 2 3 5 2 4 2" xfId="10267" xr:uid="{00000000-0005-0000-0000-00000D280000}"/>
    <cellStyle name="0_BOUSHER AMERAT III_COMODITES option 2 3 5 2 5" xfId="10268" xr:uid="{00000000-0005-0000-0000-00000E280000}"/>
    <cellStyle name="0_BOUSHER AMERAT III_COMODITES option 2 3 5 2 5 2" xfId="10269" xr:uid="{00000000-0005-0000-0000-00000F280000}"/>
    <cellStyle name="0_BOUSHER AMERAT III_COMODITES option 2 3 5 2 6" xfId="10270" xr:uid="{00000000-0005-0000-0000-000010280000}"/>
    <cellStyle name="0_BOUSHER AMERAT III_COMODITES option 2 3 5 3" xfId="10271" xr:uid="{00000000-0005-0000-0000-000011280000}"/>
    <cellStyle name="0_BOUSHER AMERAT III_COMODITES option 2 3 5 3 2" xfId="10272" xr:uid="{00000000-0005-0000-0000-000012280000}"/>
    <cellStyle name="0_BOUSHER AMERAT III_COMODITES option 2 3 5 3 2 2" xfId="10273" xr:uid="{00000000-0005-0000-0000-000013280000}"/>
    <cellStyle name="0_BOUSHER AMERAT III_COMODITES option 2 3 5 3 3" xfId="10274" xr:uid="{00000000-0005-0000-0000-000014280000}"/>
    <cellStyle name="0_BOUSHER AMERAT III_COMODITES option 2 3 5 3 3 2" xfId="10275" xr:uid="{00000000-0005-0000-0000-000015280000}"/>
    <cellStyle name="0_BOUSHER AMERAT III_COMODITES option 2 3 5 3 4" xfId="10276" xr:uid="{00000000-0005-0000-0000-000016280000}"/>
    <cellStyle name="0_BOUSHER AMERAT III_COMODITES option 2 3 5 4" xfId="10277" xr:uid="{00000000-0005-0000-0000-000017280000}"/>
    <cellStyle name="0_BOUSHER AMERAT III_COMODITES option 2 3 5 4 2" xfId="10278" xr:uid="{00000000-0005-0000-0000-000018280000}"/>
    <cellStyle name="0_BOUSHER AMERAT III_COMODITES option 2 3 5 4 2 2" xfId="10279" xr:uid="{00000000-0005-0000-0000-000019280000}"/>
    <cellStyle name="0_BOUSHER AMERAT III_COMODITES option 2 3 5 4 3" xfId="10280" xr:uid="{00000000-0005-0000-0000-00001A280000}"/>
    <cellStyle name="0_BOUSHER AMERAT III_COMODITES option 2 3 5 4 3 2" xfId="10281" xr:uid="{00000000-0005-0000-0000-00001B280000}"/>
    <cellStyle name="0_BOUSHER AMERAT III_COMODITES option 2 3 5 4 4" xfId="10282" xr:uid="{00000000-0005-0000-0000-00001C280000}"/>
    <cellStyle name="0_BOUSHER AMERAT III_COMODITES option 2 3 5 5" xfId="10283" xr:uid="{00000000-0005-0000-0000-00001D280000}"/>
    <cellStyle name="0_BOUSHER AMERAT III_COMODITES option 2 3 5 5 2" xfId="10284" xr:uid="{00000000-0005-0000-0000-00001E280000}"/>
    <cellStyle name="0_BOUSHER AMERAT III_COMODITES option 2 3 5 5 2 2" xfId="10285" xr:uid="{00000000-0005-0000-0000-00001F280000}"/>
    <cellStyle name="0_BOUSHER AMERAT III_COMODITES option 2 3 5 5 3" xfId="10286" xr:uid="{00000000-0005-0000-0000-000020280000}"/>
    <cellStyle name="0_BOUSHER AMERAT III_COMODITES option 2 3 5 5 3 2" xfId="10287" xr:uid="{00000000-0005-0000-0000-000021280000}"/>
    <cellStyle name="0_BOUSHER AMERAT III_COMODITES option 2 3 5 5 4" xfId="10288" xr:uid="{00000000-0005-0000-0000-000022280000}"/>
    <cellStyle name="0_BOUSHER AMERAT III_COMODITES option 2 3 5 6" xfId="10289" xr:uid="{00000000-0005-0000-0000-000023280000}"/>
    <cellStyle name="0_BOUSHER AMERAT III_COMODITES option 2 3 5 6 2" xfId="10290" xr:uid="{00000000-0005-0000-0000-000024280000}"/>
    <cellStyle name="0_BOUSHER AMERAT III_COMODITES option 2 3 5 7" xfId="10291" xr:uid="{00000000-0005-0000-0000-000025280000}"/>
    <cellStyle name="0_BOUSHER AMERAT III_COMODITES option 2 3 5 7 2" xfId="10292" xr:uid="{00000000-0005-0000-0000-000026280000}"/>
    <cellStyle name="0_BOUSHER AMERAT III_COMODITES option 2 3 5 8" xfId="10293" xr:uid="{00000000-0005-0000-0000-000027280000}"/>
    <cellStyle name="0_BOUSHER AMERAT III_COMODITES option 2 3 6" xfId="10294" xr:uid="{00000000-0005-0000-0000-000028280000}"/>
    <cellStyle name="0_BOUSHER AMERAT III_COMODITES option 2 3 6 2" xfId="10295" xr:uid="{00000000-0005-0000-0000-000029280000}"/>
    <cellStyle name="0_BOUSHER AMERAT III_COMODITES option 2 3 6 2 2" xfId="10296" xr:uid="{00000000-0005-0000-0000-00002A280000}"/>
    <cellStyle name="0_BOUSHER AMERAT III_COMODITES option 2 3 6 2 2 2" xfId="10297" xr:uid="{00000000-0005-0000-0000-00002B280000}"/>
    <cellStyle name="0_BOUSHER AMERAT III_COMODITES option 2 3 6 2 2 2 2" xfId="10298" xr:uid="{00000000-0005-0000-0000-00002C280000}"/>
    <cellStyle name="0_BOUSHER AMERAT III_COMODITES option 2 3 6 2 2 3" xfId="10299" xr:uid="{00000000-0005-0000-0000-00002D280000}"/>
    <cellStyle name="0_BOUSHER AMERAT III_COMODITES option 2 3 6 2 2 3 2" xfId="10300" xr:uid="{00000000-0005-0000-0000-00002E280000}"/>
    <cellStyle name="0_BOUSHER AMERAT III_COMODITES option 2 3 6 2 2 4" xfId="10301" xr:uid="{00000000-0005-0000-0000-00002F280000}"/>
    <cellStyle name="0_BOUSHER AMERAT III_COMODITES option 2 3 6 2 3" xfId="10302" xr:uid="{00000000-0005-0000-0000-000030280000}"/>
    <cellStyle name="0_BOUSHER AMERAT III_COMODITES option 2 3 6 2 3 2" xfId="10303" xr:uid="{00000000-0005-0000-0000-000031280000}"/>
    <cellStyle name="0_BOUSHER AMERAT III_COMODITES option 2 3 6 2 3 2 2" xfId="10304" xr:uid="{00000000-0005-0000-0000-000032280000}"/>
    <cellStyle name="0_BOUSHER AMERAT III_COMODITES option 2 3 6 2 3 3" xfId="10305" xr:uid="{00000000-0005-0000-0000-000033280000}"/>
    <cellStyle name="0_BOUSHER AMERAT III_COMODITES option 2 3 6 2 3 3 2" xfId="10306" xr:uid="{00000000-0005-0000-0000-000034280000}"/>
    <cellStyle name="0_BOUSHER AMERAT III_COMODITES option 2 3 6 2 3 4" xfId="10307" xr:uid="{00000000-0005-0000-0000-000035280000}"/>
    <cellStyle name="0_BOUSHER AMERAT III_COMODITES option 2 3 6 2 4" xfId="10308" xr:uid="{00000000-0005-0000-0000-000036280000}"/>
    <cellStyle name="0_BOUSHER AMERAT III_COMODITES option 2 3 6 2 4 2" xfId="10309" xr:uid="{00000000-0005-0000-0000-000037280000}"/>
    <cellStyle name="0_BOUSHER AMERAT III_COMODITES option 2 3 6 2 5" xfId="10310" xr:uid="{00000000-0005-0000-0000-000038280000}"/>
    <cellStyle name="0_BOUSHER AMERAT III_COMODITES option 2 3 6 2 5 2" xfId="10311" xr:uid="{00000000-0005-0000-0000-000039280000}"/>
    <cellStyle name="0_BOUSHER AMERAT III_COMODITES option 2 3 6 2 6" xfId="10312" xr:uid="{00000000-0005-0000-0000-00003A280000}"/>
    <cellStyle name="0_BOUSHER AMERAT III_COMODITES option 2 3 6 3" xfId="10313" xr:uid="{00000000-0005-0000-0000-00003B280000}"/>
    <cellStyle name="0_BOUSHER AMERAT III_COMODITES option 2 3 6 3 2" xfId="10314" xr:uid="{00000000-0005-0000-0000-00003C280000}"/>
    <cellStyle name="0_BOUSHER AMERAT III_COMODITES option 2 3 6 3 2 2" xfId="10315" xr:uid="{00000000-0005-0000-0000-00003D280000}"/>
    <cellStyle name="0_BOUSHER AMERAT III_COMODITES option 2 3 6 3 3" xfId="10316" xr:uid="{00000000-0005-0000-0000-00003E280000}"/>
    <cellStyle name="0_BOUSHER AMERAT III_COMODITES option 2 3 6 3 3 2" xfId="10317" xr:uid="{00000000-0005-0000-0000-00003F280000}"/>
    <cellStyle name="0_BOUSHER AMERAT III_COMODITES option 2 3 6 3 4" xfId="10318" xr:uid="{00000000-0005-0000-0000-000040280000}"/>
    <cellStyle name="0_BOUSHER AMERAT III_COMODITES option 2 3 6 4" xfId="10319" xr:uid="{00000000-0005-0000-0000-000041280000}"/>
    <cellStyle name="0_BOUSHER AMERAT III_COMODITES option 2 3 6 4 2" xfId="10320" xr:uid="{00000000-0005-0000-0000-000042280000}"/>
    <cellStyle name="0_BOUSHER AMERAT III_COMODITES option 2 3 6 4 2 2" xfId="10321" xr:uid="{00000000-0005-0000-0000-000043280000}"/>
    <cellStyle name="0_BOUSHER AMERAT III_COMODITES option 2 3 6 4 3" xfId="10322" xr:uid="{00000000-0005-0000-0000-000044280000}"/>
    <cellStyle name="0_BOUSHER AMERAT III_COMODITES option 2 3 6 4 3 2" xfId="10323" xr:uid="{00000000-0005-0000-0000-000045280000}"/>
    <cellStyle name="0_BOUSHER AMERAT III_COMODITES option 2 3 6 4 4" xfId="10324" xr:uid="{00000000-0005-0000-0000-000046280000}"/>
    <cellStyle name="0_BOUSHER AMERAT III_COMODITES option 2 3 6 5" xfId="10325" xr:uid="{00000000-0005-0000-0000-000047280000}"/>
    <cellStyle name="0_BOUSHER AMERAT III_COMODITES option 2 3 6 5 2" xfId="10326" xr:uid="{00000000-0005-0000-0000-000048280000}"/>
    <cellStyle name="0_BOUSHER AMERAT III_COMODITES option 2 3 6 5 2 2" xfId="10327" xr:uid="{00000000-0005-0000-0000-000049280000}"/>
    <cellStyle name="0_BOUSHER AMERAT III_COMODITES option 2 3 6 5 3" xfId="10328" xr:uid="{00000000-0005-0000-0000-00004A280000}"/>
    <cellStyle name="0_BOUSHER AMERAT III_COMODITES option 2 3 6 5 3 2" xfId="10329" xr:uid="{00000000-0005-0000-0000-00004B280000}"/>
    <cellStyle name="0_BOUSHER AMERAT III_COMODITES option 2 3 6 5 4" xfId="10330" xr:uid="{00000000-0005-0000-0000-00004C280000}"/>
    <cellStyle name="0_BOUSHER AMERAT III_COMODITES option 2 3 6 6" xfId="10331" xr:uid="{00000000-0005-0000-0000-00004D280000}"/>
    <cellStyle name="0_BOUSHER AMERAT III_COMODITES option 2 3 6 6 2" xfId="10332" xr:uid="{00000000-0005-0000-0000-00004E280000}"/>
    <cellStyle name="0_BOUSHER AMERAT III_COMODITES option 2 3 6 7" xfId="10333" xr:uid="{00000000-0005-0000-0000-00004F280000}"/>
    <cellStyle name="0_BOUSHER AMERAT III_COMODITES option 2 3 6 7 2" xfId="10334" xr:uid="{00000000-0005-0000-0000-000050280000}"/>
    <cellStyle name="0_BOUSHER AMERAT III_COMODITES option 2 3 6 8" xfId="10335" xr:uid="{00000000-0005-0000-0000-000051280000}"/>
    <cellStyle name="0_BOUSHER AMERAT III_COMODITES option 2 3 7" xfId="10336" xr:uid="{00000000-0005-0000-0000-000052280000}"/>
    <cellStyle name="0_BOUSHER AMERAT III_COMODITES option 2 3 7 2" xfId="10337" xr:uid="{00000000-0005-0000-0000-000053280000}"/>
    <cellStyle name="0_BOUSHER AMERAT III_COMODITES option 2 3 7 2 2" xfId="10338" xr:uid="{00000000-0005-0000-0000-000054280000}"/>
    <cellStyle name="0_BOUSHER AMERAT III_COMODITES option 2 3 7 2 2 2" xfId="10339" xr:uid="{00000000-0005-0000-0000-000055280000}"/>
    <cellStyle name="0_BOUSHER AMERAT III_COMODITES option 2 3 7 2 3" xfId="10340" xr:uid="{00000000-0005-0000-0000-000056280000}"/>
    <cellStyle name="0_BOUSHER AMERAT III_COMODITES option 2 3 7 2 3 2" xfId="10341" xr:uid="{00000000-0005-0000-0000-000057280000}"/>
    <cellStyle name="0_BOUSHER AMERAT III_COMODITES option 2 3 7 2 4" xfId="10342" xr:uid="{00000000-0005-0000-0000-000058280000}"/>
    <cellStyle name="0_BOUSHER AMERAT III_COMODITES option 2 3 7 3" xfId="10343" xr:uid="{00000000-0005-0000-0000-000059280000}"/>
    <cellStyle name="0_BOUSHER AMERAT III_COMODITES option 2 3 7 3 2" xfId="10344" xr:uid="{00000000-0005-0000-0000-00005A280000}"/>
    <cellStyle name="0_BOUSHER AMERAT III_COMODITES option 2 3 7 3 2 2" xfId="10345" xr:uid="{00000000-0005-0000-0000-00005B280000}"/>
    <cellStyle name="0_BOUSHER AMERAT III_COMODITES option 2 3 7 3 3" xfId="10346" xr:uid="{00000000-0005-0000-0000-00005C280000}"/>
    <cellStyle name="0_BOUSHER AMERAT III_COMODITES option 2 3 7 3 3 2" xfId="10347" xr:uid="{00000000-0005-0000-0000-00005D280000}"/>
    <cellStyle name="0_BOUSHER AMERAT III_COMODITES option 2 3 7 3 4" xfId="10348" xr:uid="{00000000-0005-0000-0000-00005E280000}"/>
    <cellStyle name="0_BOUSHER AMERAT III_COMODITES option 2 3 7 4" xfId="10349" xr:uid="{00000000-0005-0000-0000-00005F280000}"/>
    <cellStyle name="0_BOUSHER AMERAT III_COMODITES option 2 3 7 4 2" xfId="10350" xr:uid="{00000000-0005-0000-0000-000060280000}"/>
    <cellStyle name="0_BOUSHER AMERAT III_COMODITES option 2 3 7 5" xfId="10351" xr:uid="{00000000-0005-0000-0000-000061280000}"/>
    <cellStyle name="0_BOUSHER AMERAT III_COMODITES option 2 3 7 5 2" xfId="10352" xr:uid="{00000000-0005-0000-0000-000062280000}"/>
    <cellStyle name="0_BOUSHER AMERAT III_COMODITES option 2 3 7 6" xfId="10353" xr:uid="{00000000-0005-0000-0000-000063280000}"/>
    <cellStyle name="0_BOUSHER AMERAT III_COMODITES option 2 3 8" xfId="10354" xr:uid="{00000000-0005-0000-0000-000064280000}"/>
    <cellStyle name="0_BOUSHER AMERAT III_COMODITES option 2 3 8 2" xfId="10355" xr:uid="{00000000-0005-0000-0000-000065280000}"/>
    <cellStyle name="0_BOUSHER AMERAT III_COMODITES option 2 3 8 2 2" xfId="10356" xr:uid="{00000000-0005-0000-0000-000066280000}"/>
    <cellStyle name="0_BOUSHER AMERAT III_COMODITES option 2 3 8 3" xfId="10357" xr:uid="{00000000-0005-0000-0000-000067280000}"/>
    <cellStyle name="0_BOUSHER AMERAT III_COMODITES option 2 3 8 3 2" xfId="10358" xr:uid="{00000000-0005-0000-0000-000068280000}"/>
    <cellStyle name="0_BOUSHER AMERAT III_COMODITES option 2 3 8 4" xfId="10359" xr:uid="{00000000-0005-0000-0000-000069280000}"/>
    <cellStyle name="0_BOUSHER AMERAT III_COMODITES option 2 3 9" xfId="10360" xr:uid="{00000000-0005-0000-0000-00006A280000}"/>
    <cellStyle name="0_BOUSHER AMERAT III_COMODITES option 2 3 9 2" xfId="10361" xr:uid="{00000000-0005-0000-0000-00006B280000}"/>
    <cellStyle name="0_BOUSHER AMERAT III_COMODITES option 2 3 9 2 2" xfId="10362" xr:uid="{00000000-0005-0000-0000-00006C280000}"/>
    <cellStyle name="0_BOUSHER AMERAT III_COMODITES option 2 3 9 3" xfId="10363" xr:uid="{00000000-0005-0000-0000-00006D280000}"/>
    <cellStyle name="0_BOUSHER AMERAT III_COMODITES option 2 3 9 3 2" xfId="10364" xr:uid="{00000000-0005-0000-0000-00006E280000}"/>
    <cellStyle name="0_BOUSHER AMERAT III_COMODITES option 2 3 9 4" xfId="10365" xr:uid="{00000000-0005-0000-0000-00006F280000}"/>
    <cellStyle name="0_BOUSHER AMERAT III_COMODITES option 2 4" xfId="10366" xr:uid="{00000000-0005-0000-0000-000070280000}"/>
    <cellStyle name="0_BOUSHER AMERAT III_COMODITES option 2 4 10" xfId="10367" xr:uid="{00000000-0005-0000-0000-000071280000}"/>
    <cellStyle name="0_BOUSHER AMERAT III_COMODITES option 2 4 10 2" xfId="10368" xr:uid="{00000000-0005-0000-0000-000072280000}"/>
    <cellStyle name="0_BOUSHER AMERAT III_COMODITES option 2 4 10 2 2" xfId="10369" xr:uid="{00000000-0005-0000-0000-000073280000}"/>
    <cellStyle name="0_BOUSHER AMERAT III_COMODITES option 2 4 10 3" xfId="10370" xr:uid="{00000000-0005-0000-0000-000074280000}"/>
    <cellStyle name="0_BOUSHER AMERAT III_COMODITES option 2 4 10 3 2" xfId="10371" xr:uid="{00000000-0005-0000-0000-000075280000}"/>
    <cellStyle name="0_BOUSHER AMERAT III_COMODITES option 2 4 10 4" xfId="10372" xr:uid="{00000000-0005-0000-0000-000076280000}"/>
    <cellStyle name="0_BOUSHER AMERAT III_COMODITES option 2 4 11" xfId="10373" xr:uid="{00000000-0005-0000-0000-000077280000}"/>
    <cellStyle name="0_BOUSHER AMERAT III_COMODITES option 2 4 11 2" xfId="10374" xr:uid="{00000000-0005-0000-0000-000078280000}"/>
    <cellStyle name="0_BOUSHER AMERAT III_COMODITES option 2 4 12" xfId="10375" xr:uid="{00000000-0005-0000-0000-000079280000}"/>
    <cellStyle name="0_BOUSHER AMERAT III_COMODITES option 2 4 12 2" xfId="10376" xr:uid="{00000000-0005-0000-0000-00007A280000}"/>
    <cellStyle name="0_BOUSHER AMERAT III_COMODITES option 2 4 13" xfId="10377" xr:uid="{00000000-0005-0000-0000-00007B280000}"/>
    <cellStyle name="0_BOUSHER AMERAT III_COMODITES option 2 4 2" xfId="10378" xr:uid="{00000000-0005-0000-0000-00007C280000}"/>
    <cellStyle name="0_BOUSHER AMERAT III_COMODITES option 2 4 2 2" xfId="10379" xr:uid="{00000000-0005-0000-0000-00007D280000}"/>
    <cellStyle name="0_BOUSHER AMERAT III_COMODITES option 2 4 2 2 2" xfId="10380" xr:uid="{00000000-0005-0000-0000-00007E280000}"/>
    <cellStyle name="0_BOUSHER AMERAT III_COMODITES option 2 4 2 2 2 2" xfId="10381" xr:uid="{00000000-0005-0000-0000-00007F280000}"/>
    <cellStyle name="0_BOUSHER AMERAT III_COMODITES option 2 4 2 2 2 2 2" xfId="10382" xr:uid="{00000000-0005-0000-0000-000080280000}"/>
    <cellStyle name="0_BOUSHER AMERAT III_COMODITES option 2 4 2 2 2 3" xfId="10383" xr:uid="{00000000-0005-0000-0000-000081280000}"/>
    <cellStyle name="0_BOUSHER AMERAT III_COMODITES option 2 4 2 2 2 3 2" xfId="10384" xr:uid="{00000000-0005-0000-0000-000082280000}"/>
    <cellStyle name="0_BOUSHER AMERAT III_COMODITES option 2 4 2 2 2 4" xfId="10385" xr:uid="{00000000-0005-0000-0000-000083280000}"/>
    <cellStyle name="0_BOUSHER AMERAT III_COMODITES option 2 4 2 2 3" xfId="10386" xr:uid="{00000000-0005-0000-0000-000084280000}"/>
    <cellStyle name="0_BOUSHER AMERAT III_COMODITES option 2 4 2 2 3 2" xfId="10387" xr:uid="{00000000-0005-0000-0000-000085280000}"/>
    <cellStyle name="0_BOUSHER AMERAT III_COMODITES option 2 4 2 2 3 2 2" xfId="10388" xr:uid="{00000000-0005-0000-0000-000086280000}"/>
    <cellStyle name="0_BOUSHER AMERAT III_COMODITES option 2 4 2 2 3 3" xfId="10389" xr:uid="{00000000-0005-0000-0000-000087280000}"/>
    <cellStyle name="0_BOUSHER AMERAT III_COMODITES option 2 4 2 2 3 3 2" xfId="10390" xr:uid="{00000000-0005-0000-0000-000088280000}"/>
    <cellStyle name="0_BOUSHER AMERAT III_COMODITES option 2 4 2 2 3 4" xfId="10391" xr:uid="{00000000-0005-0000-0000-000089280000}"/>
    <cellStyle name="0_BOUSHER AMERAT III_COMODITES option 2 4 2 2 4" xfId="10392" xr:uid="{00000000-0005-0000-0000-00008A280000}"/>
    <cellStyle name="0_BOUSHER AMERAT III_COMODITES option 2 4 2 2 4 2" xfId="10393" xr:uid="{00000000-0005-0000-0000-00008B280000}"/>
    <cellStyle name="0_BOUSHER AMERAT III_COMODITES option 2 4 2 2 5" xfId="10394" xr:uid="{00000000-0005-0000-0000-00008C280000}"/>
    <cellStyle name="0_BOUSHER AMERAT III_COMODITES option 2 4 2 2 5 2" xfId="10395" xr:uid="{00000000-0005-0000-0000-00008D280000}"/>
    <cellStyle name="0_BOUSHER AMERAT III_COMODITES option 2 4 2 2 6" xfId="10396" xr:uid="{00000000-0005-0000-0000-00008E280000}"/>
    <cellStyle name="0_BOUSHER AMERAT III_COMODITES option 2 4 2 3" xfId="10397" xr:uid="{00000000-0005-0000-0000-00008F280000}"/>
    <cellStyle name="0_BOUSHER AMERAT III_COMODITES option 2 4 2 3 2" xfId="10398" xr:uid="{00000000-0005-0000-0000-000090280000}"/>
    <cellStyle name="0_BOUSHER AMERAT III_COMODITES option 2 4 2 3 2 2" xfId="10399" xr:uid="{00000000-0005-0000-0000-000091280000}"/>
    <cellStyle name="0_BOUSHER AMERAT III_COMODITES option 2 4 2 3 3" xfId="10400" xr:uid="{00000000-0005-0000-0000-000092280000}"/>
    <cellStyle name="0_BOUSHER AMERAT III_COMODITES option 2 4 2 3 3 2" xfId="10401" xr:uid="{00000000-0005-0000-0000-000093280000}"/>
    <cellStyle name="0_BOUSHER AMERAT III_COMODITES option 2 4 2 3 4" xfId="10402" xr:uid="{00000000-0005-0000-0000-000094280000}"/>
    <cellStyle name="0_BOUSHER AMERAT III_COMODITES option 2 4 2 4" xfId="10403" xr:uid="{00000000-0005-0000-0000-000095280000}"/>
    <cellStyle name="0_BOUSHER AMERAT III_COMODITES option 2 4 2 4 2" xfId="10404" xr:uid="{00000000-0005-0000-0000-000096280000}"/>
    <cellStyle name="0_BOUSHER AMERAT III_COMODITES option 2 4 2 4 2 2" xfId="10405" xr:uid="{00000000-0005-0000-0000-000097280000}"/>
    <cellStyle name="0_BOUSHER AMERAT III_COMODITES option 2 4 2 4 3" xfId="10406" xr:uid="{00000000-0005-0000-0000-000098280000}"/>
    <cellStyle name="0_BOUSHER AMERAT III_COMODITES option 2 4 2 4 3 2" xfId="10407" xr:uid="{00000000-0005-0000-0000-000099280000}"/>
    <cellStyle name="0_BOUSHER AMERAT III_COMODITES option 2 4 2 4 4" xfId="10408" xr:uid="{00000000-0005-0000-0000-00009A280000}"/>
    <cellStyle name="0_BOUSHER AMERAT III_COMODITES option 2 4 2 5" xfId="10409" xr:uid="{00000000-0005-0000-0000-00009B280000}"/>
    <cellStyle name="0_BOUSHER AMERAT III_COMODITES option 2 4 2 5 2" xfId="10410" xr:uid="{00000000-0005-0000-0000-00009C280000}"/>
    <cellStyle name="0_BOUSHER AMERAT III_COMODITES option 2 4 2 5 2 2" xfId="10411" xr:uid="{00000000-0005-0000-0000-00009D280000}"/>
    <cellStyle name="0_BOUSHER AMERAT III_COMODITES option 2 4 2 5 3" xfId="10412" xr:uid="{00000000-0005-0000-0000-00009E280000}"/>
    <cellStyle name="0_BOUSHER AMERAT III_COMODITES option 2 4 2 5 3 2" xfId="10413" xr:uid="{00000000-0005-0000-0000-00009F280000}"/>
    <cellStyle name="0_BOUSHER AMERAT III_COMODITES option 2 4 2 5 4" xfId="10414" xr:uid="{00000000-0005-0000-0000-0000A0280000}"/>
    <cellStyle name="0_BOUSHER AMERAT III_COMODITES option 2 4 2 6" xfId="10415" xr:uid="{00000000-0005-0000-0000-0000A1280000}"/>
    <cellStyle name="0_BOUSHER AMERAT III_COMODITES option 2 4 2 6 2" xfId="10416" xr:uid="{00000000-0005-0000-0000-0000A2280000}"/>
    <cellStyle name="0_BOUSHER AMERAT III_COMODITES option 2 4 2 7" xfId="10417" xr:uid="{00000000-0005-0000-0000-0000A3280000}"/>
    <cellStyle name="0_BOUSHER AMERAT III_COMODITES option 2 4 2 7 2" xfId="10418" xr:uid="{00000000-0005-0000-0000-0000A4280000}"/>
    <cellStyle name="0_BOUSHER AMERAT III_COMODITES option 2 4 2 8" xfId="10419" xr:uid="{00000000-0005-0000-0000-0000A5280000}"/>
    <cellStyle name="0_BOUSHER AMERAT III_COMODITES option 2 4 3" xfId="10420" xr:uid="{00000000-0005-0000-0000-0000A6280000}"/>
    <cellStyle name="0_BOUSHER AMERAT III_COMODITES option 2 4 3 2" xfId="10421" xr:uid="{00000000-0005-0000-0000-0000A7280000}"/>
    <cellStyle name="0_BOUSHER AMERAT III_COMODITES option 2 4 3 2 2" xfId="10422" xr:uid="{00000000-0005-0000-0000-0000A8280000}"/>
    <cellStyle name="0_BOUSHER AMERAT III_COMODITES option 2 4 3 2 2 2" xfId="10423" xr:uid="{00000000-0005-0000-0000-0000A9280000}"/>
    <cellStyle name="0_BOUSHER AMERAT III_COMODITES option 2 4 3 2 2 2 2" xfId="10424" xr:uid="{00000000-0005-0000-0000-0000AA280000}"/>
    <cellStyle name="0_BOUSHER AMERAT III_COMODITES option 2 4 3 2 2 3" xfId="10425" xr:uid="{00000000-0005-0000-0000-0000AB280000}"/>
    <cellStyle name="0_BOUSHER AMERAT III_COMODITES option 2 4 3 2 2 3 2" xfId="10426" xr:uid="{00000000-0005-0000-0000-0000AC280000}"/>
    <cellStyle name="0_BOUSHER AMERAT III_COMODITES option 2 4 3 2 2 4" xfId="10427" xr:uid="{00000000-0005-0000-0000-0000AD280000}"/>
    <cellStyle name="0_BOUSHER AMERAT III_COMODITES option 2 4 3 2 3" xfId="10428" xr:uid="{00000000-0005-0000-0000-0000AE280000}"/>
    <cellStyle name="0_BOUSHER AMERAT III_COMODITES option 2 4 3 2 3 2" xfId="10429" xr:uid="{00000000-0005-0000-0000-0000AF280000}"/>
    <cellStyle name="0_BOUSHER AMERAT III_COMODITES option 2 4 3 2 3 2 2" xfId="10430" xr:uid="{00000000-0005-0000-0000-0000B0280000}"/>
    <cellStyle name="0_BOUSHER AMERAT III_COMODITES option 2 4 3 2 3 3" xfId="10431" xr:uid="{00000000-0005-0000-0000-0000B1280000}"/>
    <cellStyle name="0_BOUSHER AMERAT III_COMODITES option 2 4 3 2 3 3 2" xfId="10432" xr:uid="{00000000-0005-0000-0000-0000B2280000}"/>
    <cellStyle name="0_BOUSHER AMERAT III_COMODITES option 2 4 3 2 3 4" xfId="10433" xr:uid="{00000000-0005-0000-0000-0000B3280000}"/>
    <cellStyle name="0_BOUSHER AMERAT III_COMODITES option 2 4 3 2 4" xfId="10434" xr:uid="{00000000-0005-0000-0000-0000B4280000}"/>
    <cellStyle name="0_BOUSHER AMERAT III_COMODITES option 2 4 3 2 4 2" xfId="10435" xr:uid="{00000000-0005-0000-0000-0000B5280000}"/>
    <cellStyle name="0_BOUSHER AMERAT III_COMODITES option 2 4 3 2 5" xfId="10436" xr:uid="{00000000-0005-0000-0000-0000B6280000}"/>
    <cellStyle name="0_BOUSHER AMERAT III_COMODITES option 2 4 3 2 5 2" xfId="10437" xr:uid="{00000000-0005-0000-0000-0000B7280000}"/>
    <cellStyle name="0_BOUSHER AMERAT III_COMODITES option 2 4 3 2 6" xfId="10438" xr:uid="{00000000-0005-0000-0000-0000B8280000}"/>
    <cellStyle name="0_BOUSHER AMERAT III_COMODITES option 2 4 3 3" xfId="10439" xr:uid="{00000000-0005-0000-0000-0000B9280000}"/>
    <cellStyle name="0_BOUSHER AMERAT III_COMODITES option 2 4 3 3 2" xfId="10440" xr:uid="{00000000-0005-0000-0000-0000BA280000}"/>
    <cellStyle name="0_BOUSHER AMERAT III_COMODITES option 2 4 3 3 2 2" xfId="10441" xr:uid="{00000000-0005-0000-0000-0000BB280000}"/>
    <cellStyle name="0_BOUSHER AMERAT III_COMODITES option 2 4 3 3 3" xfId="10442" xr:uid="{00000000-0005-0000-0000-0000BC280000}"/>
    <cellStyle name="0_BOUSHER AMERAT III_COMODITES option 2 4 3 3 3 2" xfId="10443" xr:uid="{00000000-0005-0000-0000-0000BD280000}"/>
    <cellStyle name="0_BOUSHER AMERAT III_COMODITES option 2 4 3 3 4" xfId="10444" xr:uid="{00000000-0005-0000-0000-0000BE280000}"/>
    <cellStyle name="0_BOUSHER AMERAT III_COMODITES option 2 4 3 4" xfId="10445" xr:uid="{00000000-0005-0000-0000-0000BF280000}"/>
    <cellStyle name="0_BOUSHER AMERAT III_COMODITES option 2 4 3 4 2" xfId="10446" xr:uid="{00000000-0005-0000-0000-0000C0280000}"/>
    <cellStyle name="0_BOUSHER AMERAT III_COMODITES option 2 4 3 4 2 2" xfId="10447" xr:uid="{00000000-0005-0000-0000-0000C1280000}"/>
    <cellStyle name="0_BOUSHER AMERAT III_COMODITES option 2 4 3 4 3" xfId="10448" xr:uid="{00000000-0005-0000-0000-0000C2280000}"/>
    <cellStyle name="0_BOUSHER AMERAT III_COMODITES option 2 4 3 4 3 2" xfId="10449" xr:uid="{00000000-0005-0000-0000-0000C3280000}"/>
    <cellStyle name="0_BOUSHER AMERAT III_COMODITES option 2 4 3 4 4" xfId="10450" xr:uid="{00000000-0005-0000-0000-0000C4280000}"/>
    <cellStyle name="0_BOUSHER AMERAT III_COMODITES option 2 4 3 5" xfId="10451" xr:uid="{00000000-0005-0000-0000-0000C5280000}"/>
    <cellStyle name="0_BOUSHER AMERAT III_COMODITES option 2 4 3 5 2" xfId="10452" xr:uid="{00000000-0005-0000-0000-0000C6280000}"/>
    <cellStyle name="0_BOUSHER AMERAT III_COMODITES option 2 4 3 5 2 2" xfId="10453" xr:uid="{00000000-0005-0000-0000-0000C7280000}"/>
    <cellStyle name="0_BOUSHER AMERAT III_COMODITES option 2 4 3 5 3" xfId="10454" xr:uid="{00000000-0005-0000-0000-0000C8280000}"/>
    <cellStyle name="0_BOUSHER AMERAT III_COMODITES option 2 4 3 5 3 2" xfId="10455" xr:uid="{00000000-0005-0000-0000-0000C9280000}"/>
    <cellStyle name="0_BOUSHER AMERAT III_COMODITES option 2 4 3 5 4" xfId="10456" xr:uid="{00000000-0005-0000-0000-0000CA280000}"/>
    <cellStyle name="0_BOUSHER AMERAT III_COMODITES option 2 4 3 6" xfId="10457" xr:uid="{00000000-0005-0000-0000-0000CB280000}"/>
    <cellStyle name="0_BOUSHER AMERAT III_COMODITES option 2 4 3 6 2" xfId="10458" xr:uid="{00000000-0005-0000-0000-0000CC280000}"/>
    <cellStyle name="0_BOUSHER AMERAT III_COMODITES option 2 4 3 7" xfId="10459" xr:uid="{00000000-0005-0000-0000-0000CD280000}"/>
    <cellStyle name="0_BOUSHER AMERAT III_COMODITES option 2 4 3 7 2" xfId="10460" xr:uid="{00000000-0005-0000-0000-0000CE280000}"/>
    <cellStyle name="0_BOUSHER AMERAT III_COMODITES option 2 4 3 8" xfId="10461" xr:uid="{00000000-0005-0000-0000-0000CF280000}"/>
    <cellStyle name="0_BOUSHER AMERAT III_COMODITES option 2 4 4" xfId="10462" xr:uid="{00000000-0005-0000-0000-0000D0280000}"/>
    <cellStyle name="0_BOUSHER AMERAT III_COMODITES option 2 4 4 2" xfId="10463" xr:uid="{00000000-0005-0000-0000-0000D1280000}"/>
    <cellStyle name="0_BOUSHER AMERAT III_COMODITES option 2 4 4 2 2" xfId="10464" xr:uid="{00000000-0005-0000-0000-0000D2280000}"/>
    <cellStyle name="0_BOUSHER AMERAT III_COMODITES option 2 4 4 2 2 2" xfId="10465" xr:uid="{00000000-0005-0000-0000-0000D3280000}"/>
    <cellStyle name="0_BOUSHER AMERAT III_COMODITES option 2 4 4 2 2 2 2" xfId="10466" xr:uid="{00000000-0005-0000-0000-0000D4280000}"/>
    <cellStyle name="0_BOUSHER AMERAT III_COMODITES option 2 4 4 2 2 3" xfId="10467" xr:uid="{00000000-0005-0000-0000-0000D5280000}"/>
    <cellStyle name="0_BOUSHER AMERAT III_COMODITES option 2 4 4 2 2 3 2" xfId="10468" xr:uid="{00000000-0005-0000-0000-0000D6280000}"/>
    <cellStyle name="0_BOUSHER AMERAT III_COMODITES option 2 4 4 2 2 4" xfId="10469" xr:uid="{00000000-0005-0000-0000-0000D7280000}"/>
    <cellStyle name="0_BOUSHER AMERAT III_COMODITES option 2 4 4 2 3" xfId="10470" xr:uid="{00000000-0005-0000-0000-0000D8280000}"/>
    <cellStyle name="0_BOUSHER AMERAT III_COMODITES option 2 4 4 2 3 2" xfId="10471" xr:uid="{00000000-0005-0000-0000-0000D9280000}"/>
    <cellStyle name="0_BOUSHER AMERAT III_COMODITES option 2 4 4 2 3 2 2" xfId="10472" xr:uid="{00000000-0005-0000-0000-0000DA280000}"/>
    <cellStyle name="0_BOUSHER AMERAT III_COMODITES option 2 4 4 2 3 3" xfId="10473" xr:uid="{00000000-0005-0000-0000-0000DB280000}"/>
    <cellStyle name="0_BOUSHER AMERAT III_COMODITES option 2 4 4 2 3 3 2" xfId="10474" xr:uid="{00000000-0005-0000-0000-0000DC280000}"/>
    <cellStyle name="0_BOUSHER AMERAT III_COMODITES option 2 4 4 2 3 4" xfId="10475" xr:uid="{00000000-0005-0000-0000-0000DD280000}"/>
    <cellStyle name="0_BOUSHER AMERAT III_COMODITES option 2 4 4 2 4" xfId="10476" xr:uid="{00000000-0005-0000-0000-0000DE280000}"/>
    <cellStyle name="0_BOUSHER AMERAT III_COMODITES option 2 4 4 2 4 2" xfId="10477" xr:uid="{00000000-0005-0000-0000-0000DF280000}"/>
    <cellStyle name="0_BOUSHER AMERAT III_COMODITES option 2 4 4 2 5" xfId="10478" xr:uid="{00000000-0005-0000-0000-0000E0280000}"/>
    <cellStyle name="0_BOUSHER AMERAT III_COMODITES option 2 4 4 2 5 2" xfId="10479" xr:uid="{00000000-0005-0000-0000-0000E1280000}"/>
    <cellStyle name="0_BOUSHER AMERAT III_COMODITES option 2 4 4 2 6" xfId="10480" xr:uid="{00000000-0005-0000-0000-0000E2280000}"/>
    <cellStyle name="0_BOUSHER AMERAT III_COMODITES option 2 4 4 3" xfId="10481" xr:uid="{00000000-0005-0000-0000-0000E3280000}"/>
    <cellStyle name="0_BOUSHER AMERAT III_COMODITES option 2 4 4 3 2" xfId="10482" xr:uid="{00000000-0005-0000-0000-0000E4280000}"/>
    <cellStyle name="0_BOUSHER AMERAT III_COMODITES option 2 4 4 3 2 2" xfId="10483" xr:uid="{00000000-0005-0000-0000-0000E5280000}"/>
    <cellStyle name="0_BOUSHER AMERAT III_COMODITES option 2 4 4 3 3" xfId="10484" xr:uid="{00000000-0005-0000-0000-0000E6280000}"/>
    <cellStyle name="0_BOUSHER AMERAT III_COMODITES option 2 4 4 3 3 2" xfId="10485" xr:uid="{00000000-0005-0000-0000-0000E7280000}"/>
    <cellStyle name="0_BOUSHER AMERAT III_COMODITES option 2 4 4 3 4" xfId="10486" xr:uid="{00000000-0005-0000-0000-0000E8280000}"/>
    <cellStyle name="0_BOUSHER AMERAT III_COMODITES option 2 4 4 4" xfId="10487" xr:uid="{00000000-0005-0000-0000-0000E9280000}"/>
    <cellStyle name="0_BOUSHER AMERAT III_COMODITES option 2 4 4 4 2" xfId="10488" xr:uid="{00000000-0005-0000-0000-0000EA280000}"/>
    <cellStyle name="0_BOUSHER AMERAT III_COMODITES option 2 4 4 4 2 2" xfId="10489" xr:uid="{00000000-0005-0000-0000-0000EB280000}"/>
    <cellStyle name="0_BOUSHER AMERAT III_COMODITES option 2 4 4 4 3" xfId="10490" xr:uid="{00000000-0005-0000-0000-0000EC280000}"/>
    <cellStyle name="0_BOUSHER AMERAT III_COMODITES option 2 4 4 4 3 2" xfId="10491" xr:uid="{00000000-0005-0000-0000-0000ED280000}"/>
    <cellStyle name="0_BOUSHER AMERAT III_COMODITES option 2 4 4 4 4" xfId="10492" xr:uid="{00000000-0005-0000-0000-0000EE280000}"/>
    <cellStyle name="0_BOUSHER AMERAT III_COMODITES option 2 4 4 5" xfId="10493" xr:uid="{00000000-0005-0000-0000-0000EF280000}"/>
    <cellStyle name="0_BOUSHER AMERAT III_COMODITES option 2 4 4 5 2" xfId="10494" xr:uid="{00000000-0005-0000-0000-0000F0280000}"/>
    <cellStyle name="0_BOUSHER AMERAT III_COMODITES option 2 4 4 5 2 2" xfId="10495" xr:uid="{00000000-0005-0000-0000-0000F1280000}"/>
    <cellStyle name="0_BOUSHER AMERAT III_COMODITES option 2 4 4 5 3" xfId="10496" xr:uid="{00000000-0005-0000-0000-0000F2280000}"/>
    <cellStyle name="0_BOUSHER AMERAT III_COMODITES option 2 4 4 5 3 2" xfId="10497" xr:uid="{00000000-0005-0000-0000-0000F3280000}"/>
    <cellStyle name="0_BOUSHER AMERAT III_COMODITES option 2 4 4 5 4" xfId="10498" xr:uid="{00000000-0005-0000-0000-0000F4280000}"/>
    <cellStyle name="0_BOUSHER AMERAT III_COMODITES option 2 4 4 6" xfId="10499" xr:uid="{00000000-0005-0000-0000-0000F5280000}"/>
    <cellStyle name="0_BOUSHER AMERAT III_COMODITES option 2 4 4 6 2" xfId="10500" xr:uid="{00000000-0005-0000-0000-0000F6280000}"/>
    <cellStyle name="0_BOUSHER AMERAT III_COMODITES option 2 4 4 7" xfId="10501" xr:uid="{00000000-0005-0000-0000-0000F7280000}"/>
    <cellStyle name="0_BOUSHER AMERAT III_COMODITES option 2 4 4 7 2" xfId="10502" xr:uid="{00000000-0005-0000-0000-0000F8280000}"/>
    <cellStyle name="0_BOUSHER AMERAT III_COMODITES option 2 4 4 8" xfId="10503" xr:uid="{00000000-0005-0000-0000-0000F9280000}"/>
    <cellStyle name="0_BOUSHER AMERAT III_COMODITES option 2 4 5" xfId="10504" xr:uid="{00000000-0005-0000-0000-0000FA280000}"/>
    <cellStyle name="0_BOUSHER AMERAT III_COMODITES option 2 4 5 2" xfId="10505" xr:uid="{00000000-0005-0000-0000-0000FB280000}"/>
    <cellStyle name="0_BOUSHER AMERAT III_COMODITES option 2 4 5 2 2" xfId="10506" xr:uid="{00000000-0005-0000-0000-0000FC280000}"/>
    <cellStyle name="0_BOUSHER AMERAT III_COMODITES option 2 4 5 2 2 2" xfId="10507" xr:uid="{00000000-0005-0000-0000-0000FD280000}"/>
    <cellStyle name="0_BOUSHER AMERAT III_COMODITES option 2 4 5 2 2 2 2" xfId="10508" xr:uid="{00000000-0005-0000-0000-0000FE280000}"/>
    <cellStyle name="0_BOUSHER AMERAT III_COMODITES option 2 4 5 2 2 3" xfId="10509" xr:uid="{00000000-0005-0000-0000-0000FF280000}"/>
    <cellStyle name="0_BOUSHER AMERAT III_COMODITES option 2 4 5 2 2 3 2" xfId="10510" xr:uid="{00000000-0005-0000-0000-000000290000}"/>
    <cellStyle name="0_BOUSHER AMERAT III_COMODITES option 2 4 5 2 2 4" xfId="10511" xr:uid="{00000000-0005-0000-0000-000001290000}"/>
    <cellStyle name="0_BOUSHER AMERAT III_COMODITES option 2 4 5 2 3" xfId="10512" xr:uid="{00000000-0005-0000-0000-000002290000}"/>
    <cellStyle name="0_BOUSHER AMERAT III_COMODITES option 2 4 5 2 3 2" xfId="10513" xr:uid="{00000000-0005-0000-0000-000003290000}"/>
    <cellStyle name="0_BOUSHER AMERAT III_COMODITES option 2 4 5 2 3 2 2" xfId="10514" xr:uid="{00000000-0005-0000-0000-000004290000}"/>
    <cellStyle name="0_BOUSHER AMERAT III_COMODITES option 2 4 5 2 3 3" xfId="10515" xr:uid="{00000000-0005-0000-0000-000005290000}"/>
    <cellStyle name="0_BOUSHER AMERAT III_COMODITES option 2 4 5 2 3 3 2" xfId="10516" xr:uid="{00000000-0005-0000-0000-000006290000}"/>
    <cellStyle name="0_BOUSHER AMERAT III_COMODITES option 2 4 5 2 3 4" xfId="10517" xr:uid="{00000000-0005-0000-0000-000007290000}"/>
    <cellStyle name="0_BOUSHER AMERAT III_COMODITES option 2 4 5 2 4" xfId="10518" xr:uid="{00000000-0005-0000-0000-000008290000}"/>
    <cellStyle name="0_BOUSHER AMERAT III_COMODITES option 2 4 5 2 4 2" xfId="10519" xr:uid="{00000000-0005-0000-0000-000009290000}"/>
    <cellStyle name="0_BOUSHER AMERAT III_COMODITES option 2 4 5 2 5" xfId="10520" xr:uid="{00000000-0005-0000-0000-00000A290000}"/>
    <cellStyle name="0_BOUSHER AMERAT III_COMODITES option 2 4 5 2 5 2" xfId="10521" xr:uid="{00000000-0005-0000-0000-00000B290000}"/>
    <cellStyle name="0_BOUSHER AMERAT III_COMODITES option 2 4 5 2 6" xfId="10522" xr:uid="{00000000-0005-0000-0000-00000C290000}"/>
    <cellStyle name="0_BOUSHER AMERAT III_COMODITES option 2 4 5 3" xfId="10523" xr:uid="{00000000-0005-0000-0000-00000D290000}"/>
    <cellStyle name="0_BOUSHER AMERAT III_COMODITES option 2 4 5 3 2" xfId="10524" xr:uid="{00000000-0005-0000-0000-00000E290000}"/>
    <cellStyle name="0_BOUSHER AMERAT III_COMODITES option 2 4 5 3 2 2" xfId="10525" xr:uid="{00000000-0005-0000-0000-00000F290000}"/>
    <cellStyle name="0_BOUSHER AMERAT III_COMODITES option 2 4 5 3 3" xfId="10526" xr:uid="{00000000-0005-0000-0000-000010290000}"/>
    <cellStyle name="0_BOUSHER AMERAT III_COMODITES option 2 4 5 3 3 2" xfId="10527" xr:uid="{00000000-0005-0000-0000-000011290000}"/>
    <cellStyle name="0_BOUSHER AMERAT III_COMODITES option 2 4 5 3 4" xfId="10528" xr:uid="{00000000-0005-0000-0000-000012290000}"/>
    <cellStyle name="0_BOUSHER AMERAT III_COMODITES option 2 4 5 4" xfId="10529" xr:uid="{00000000-0005-0000-0000-000013290000}"/>
    <cellStyle name="0_BOUSHER AMERAT III_COMODITES option 2 4 5 4 2" xfId="10530" xr:uid="{00000000-0005-0000-0000-000014290000}"/>
    <cellStyle name="0_BOUSHER AMERAT III_COMODITES option 2 4 5 4 2 2" xfId="10531" xr:uid="{00000000-0005-0000-0000-000015290000}"/>
    <cellStyle name="0_BOUSHER AMERAT III_COMODITES option 2 4 5 4 3" xfId="10532" xr:uid="{00000000-0005-0000-0000-000016290000}"/>
    <cellStyle name="0_BOUSHER AMERAT III_COMODITES option 2 4 5 4 3 2" xfId="10533" xr:uid="{00000000-0005-0000-0000-000017290000}"/>
    <cellStyle name="0_BOUSHER AMERAT III_COMODITES option 2 4 5 4 4" xfId="10534" xr:uid="{00000000-0005-0000-0000-000018290000}"/>
    <cellStyle name="0_BOUSHER AMERAT III_COMODITES option 2 4 5 5" xfId="10535" xr:uid="{00000000-0005-0000-0000-000019290000}"/>
    <cellStyle name="0_BOUSHER AMERAT III_COMODITES option 2 4 5 5 2" xfId="10536" xr:uid="{00000000-0005-0000-0000-00001A290000}"/>
    <cellStyle name="0_BOUSHER AMERAT III_COMODITES option 2 4 5 5 2 2" xfId="10537" xr:uid="{00000000-0005-0000-0000-00001B290000}"/>
    <cellStyle name="0_BOUSHER AMERAT III_COMODITES option 2 4 5 5 3" xfId="10538" xr:uid="{00000000-0005-0000-0000-00001C290000}"/>
    <cellStyle name="0_BOUSHER AMERAT III_COMODITES option 2 4 5 5 3 2" xfId="10539" xr:uid="{00000000-0005-0000-0000-00001D290000}"/>
    <cellStyle name="0_BOUSHER AMERAT III_COMODITES option 2 4 5 5 4" xfId="10540" xr:uid="{00000000-0005-0000-0000-00001E290000}"/>
    <cellStyle name="0_BOUSHER AMERAT III_COMODITES option 2 4 5 6" xfId="10541" xr:uid="{00000000-0005-0000-0000-00001F290000}"/>
    <cellStyle name="0_BOUSHER AMERAT III_COMODITES option 2 4 5 6 2" xfId="10542" xr:uid="{00000000-0005-0000-0000-000020290000}"/>
    <cellStyle name="0_BOUSHER AMERAT III_COMODITES option 2 4 5 7" xfId="10543" xr:uid="{00000000-0005-0000-0000-000021290000}"/>
    <cellStyle name="0_BOUSHER AMERAT III_COMODITES option 2 4 5 7 2" xfId="10544" xr:uid="{00000000-0005-0000-0000-000022290000}"/>
    <cellStyle name="0_BOUSHER AMERAT III_COMODITES option 2 4 5 8" xfId="10545" xr:uid="{00000000-0005-0000-0000-000023290000}"/>
    <cellStyle name="0_BOUSHER AMERAT III_COMODITES option 2 4 6" xfId="10546" xr:uid="{00000000-0005-0000-0000-000024290000}"/>
    <cellStyle name="0_BOUSHER AMERAT III_COMODITES option 2 4 6 2" xfId="10547" xr:uid="{00000000-0005-0000-0000-000025290000}"/>
    <cellStyle name="0_BOUSHER AMERAT III_COMODITES option 2 4 6 2 2" xfId="10548" xr:uid="{00000000-0005-0000-0000-000026290000}"/>
    <cellStyle name="0_BOUSHER AMERAT III_COMODITES option 2 4 6 2 2 2" xfId="10549" xr:uid="{00000000-0005-0000-0000-000027290000}"/>
    <cellStyle name="0_BOUSHER AMERAT III_COMODITES option 2 4 6 2 2 2 2" xfId="10550" xr:uid="{00000000-0005-0000-0000-000028290000}"/>
    <cellStyle name="0_BOUSHER AMERAT III_COMODITES option 2 4 6 2 2 3" xfId="10551" xr:uid="{00000000-0005-0000-0000-000029290000}"/>
    <cellStyle name="0_BOUSHER AMERAT III_COMODITES option 2 4 6 2 2 3 2" xfId="10552" xr:uid="{00000000-0005-0000-0000-00002A290000}"/>
    <cellStyle name="0_BOUSHER AMERAT III_COMODITES option 2 4 6 2 2 4" xfId="10553" xr:uid="{00000000-0005-0000-0000-00002B290000}"/>
    <cellStyle name="0_BOUSHER AMERAT III_COMODITES option 2 4 6 2 3" xfId="10554" xr:uid="{00000000-0005-0000-0000-00002C290000}"/>
    <cellStyle name="0_BOUSHER AMERAT III_COMODITES option 2 4 6 2 3 2" xfId="10555" xr:uid="{00000000-0005-0000-0000-00002D290000}"/>
    <cellStyle name="0_BOUSHER AMERAT III_COMODITES option 2 4 6 2 3 2 2" xfId="10556" xr:uid="{00000000-0005-0000-0000-00002E290000}"/>
    <cellStyle name="0_BOUSHER AMERAT III_COMODITES option 2 4 6 2 3 3" xfId="10557" xr:uid="{00000000-0005-0000-0000-00002F290000}"/>
    <cellStyle name="0_BOUSHER AMERAT III_COMODITES option 2 4 6 2 3 3 2" xfId="10558" xr:uid="{00000000-0005-0000-0000-000030290000}"/>
    <cellStyle name="0_BOUSHER AMERAT III_COMODITES option 2 4 6 2 3 4" xfId="10559" xr:uid="{00000000-0005-0000-0000-000031290000}"/>
    <cellStyle name="0_BOUSHER AMERAT III_COMODITES option 2 4 6 2 4" xfId="10560" xr:uid="{00000000-0005-0000-0000-000032290000}"/>
    <cellStyle name="0_BOUSHER AMERAT III_COMODITES option 2 4 6 2 4 2" xfId="10561" xr:uid="{00000000-0005-0000-0000-000033290000}"/>
    <cellStyle name="0_BOUSHER AMERAT III_COMODITES option 2 4 6 2 5" xfId="10562" xr:uid="{00000000-0005-0000-0000-000034290000}"/>
    <cellStyle name="0_BOUSHER AMERAT III_COMODITES option 2 4 6 2 5 2" xfId="10563" xr:uid="{00000000-0005-0000-0000-000035290000}"/>
    <cellStyle name="0_BOUSHER AMERAT III_COMODITES option 2 4 6 2 6" xfId="10564" xr:uid="{00000000-0005-0000-0000-000036290000}"/>
    <cellStyle name="0_BOUSHER AMERAT III_COMODITES option 2 4 6 3" xfId="10565" xr:uid="{00000000-0005-0000-0000-000037290000}"/>
    <cellStyle name="0_BOUSHER AMERAT III_COMODITES option 2 4 6 3 2" xfId="10566" xr:uid="{00000000-0005-0000-0000-000038290000}"/>
    <cellStyle name="0_BOUSHER AMERAT III_COMODITES option 2 4 6 3 2 2" xfId="10567" xr:uid="{00000000-0005-0000-0000-000039290000}"/>
    <cellStyle name="0_BOUSHER AMERAT III_COMODITES option 2 4 6 3 3" xfId="10568" xr:uid="{00000000-0005-0000-0000-00003A290000}"/>
    <cellStyle name="0_BOUSHER AMERAT III_COMODITES option 2 4 6 3 3 2" xfId="10569" xr:uid="{00000000-0005-0000-0000-00003B290000}"/>
    <cellStyle name="0_BOUSHER AMERAT III_COMODITES option 2 4 6 3 4" xfId="10570" xr:uid="{00000000-0005-0000-0000-00003C290000}"/>
    <cellStyle name="0_BOUSHER AMERAT III_COMODITES option 2 4 6 4" xfId="10571" xr:uid="{00000000-0005-0000-0000-00003D290000}"/>
    <cellStyle name="0_BOUSHER AMERAT III_COMODITES option 2 4 6 4 2" xfId="10572" xr:uid="{00000000-0005-0000-0000-00003E290000}"/>
    <cellStyle name="0_BOUSHER AMERAT III_COMODITES option 2 4 6 4 2 2" xfId="10573" xr:uid="{00000000-0005-0000-0000-00003F290000}"/>
    <cellStyle name="0_BOUSHER AMERAT III_COMODITES option 2 4 6 4 3" xfId="10574" xr:uid="{00000000-0005-0000-0000-000040290000}"/>
    <cellStyle name="0_BOUSHER AMERAT III_COMODITES option 2 4 6 4 3 2" xfId="10575" xr:uid="{00000000-0005-0000-0000-000041290000}"/>
    <cellStyle name="0_BOUSHER AMERAT III_COMODITES option 2 4 6 4 4" xfId="10576" xr:uid="{00000000-0005-0000-0000-000042290000}"/>
    <cellStyle name="0_BOUSHER AMERAT III_COMODITES option 2 4 6 5" xfId="10577" xr:uid="{00000000-0005-0000-0000-000043290000}"/>
    <cellStyle name="0_BOUSHER AMERAT III_COMODITES option 2 4 6 5 2" xfId="10578" xr:uid="{00000000-0005-0000-0000-000044290000}"/>
    <cellStyle name="0_BOUSHER AMERAT III_COMODITES option 2 4 6 5 2 2" xfId="10579" xr:uid="{00000000-0005-0000-0000-000045290000}"/>
    <cellStyle name="0_BOUSHER AMERAT III_COMODITES option 2 4 6 5 3" xfId="10580" xr:uid="{00000000-0005-0000-0000-000046290000}"/>
    <cellStyle name="0_BOUSHER AMERAT III_COMODITES option 2 4 6 5 3 2" xfId="10581" xr:uid="{00000000-0005-0000-0000-000047290000}"/>
    <cellStyle name="0_BOUSHER AMERAT III_COMODITES option 2 4 6 5 4" xfId="10582" xr:uid="{00000000-0005-0000-0000-000048290000}"/>
    <cellStyle name="0_BOUSHER AMERAT III_COMODITES option 2 4 6 6" xfId="10583" xr:uid="{00000000-0005-0000-0000-000049290000}"/>
    <cellStyle name="0_BOUSHER AMERAT III_COMODITES option 2 4 6 6 2" xfId="10584" xr:uid="{00000000-0005-0000-0000-00004A290000}"/>
    <cellStyle name="0_BOUSHER AMERAT III_COMODITES option 2 4 6 7" xfId="10585" xr:uid="{00000000-0005-0000-0000-00004B290000}"/>
    <cellStyle name="0_BOUSHER AMERAT III_COMODITES option 2 4 6 7 2" xfId="10586" xr:uid="{00000000-0005-0000-0000-00004C290000}"/>
    <cellStyle name="0_BOUSHER AMERAT III_COMODITES option 2 4 6 8" xfId="10587" xr:uid="{00000000-0005-0000-0000-00004D290000}"/>
    <cellStyle name="0_BOUSHER AMERAT III_COMODITES option 2 4 7" xfId="10588" xr:uid="{00000000-0005-0000-0000-00004E290000}"/>
    <cellStyle name="0_BOUSHER AMERAT III_COMODITES option 2 4 7 2" xfId="10589" xr:uid="{00000000-0005-0000-0000-00004F290000}"/>
    <cellStyle name="0_BOUSHER AMERAT III_COMODITES option 2 4 7 2 2" xfId="10590" xr:uid="{00000000-0005-0000-0000-000050290000}"/>
    <cellStyle name="0_BOUSHER AMERAT III_COMODITES option 2 4 7 2 2 2" xfId="10591" xr:uid="{00000000-0005-0000-0000-000051290000}"/>
    <cellStyle name="0_BOUSHER AMERAT III_COMODITES option 2 4 7 2 3" xfId="10592" xr:uid="{00000000-0005-0000-0000-000052290000}"/>
    <cellStyle name="0_BOUSHER AMERAT III_COMODITES option 2 4 7 2 3 2" xfId="10593" xr:uid="{00000000-0005-0000-0000-000053290000}"/>
    <cellStyle name="0_BOUSHER AMERAT III_COMODITES option 2 4 7 2 4" xfId="10594" xr:uid="{00000000-0005-0000-0000-000054290000}"/>
    <cellStyle name="0_BOUSHER AMERAT III_COMODITES option 2 4 7 3" xfId="10595" xr:uid="{00000000-0005-0000-0000-000055290000}"/>
    <cellStyle name="0_BOUSHER AMERAT III_COMODITES option 2 4 7 3 2" xfId="10596" xr:uid="{00000000-0005-0000-0000-000056290000}"/>
    <cellStyle name="0_BOUSHER AMERAT III_COMODITES option 2 4 7 3 2 2" xfId="10597" xr:uid="{00000000-0005-0000-0000-000057290000}"/>
    <cellStyle name="0_BOUSHER AMERAT III_COMODITES option 2 4 7 3 3" xfId="10598" xr:uid="{00000000-0005-0000-0000-000058290000}"/>
    <cellStyle name="0_BOUSHER AMERAT III_COMODITES option 2 4 7 3 3 2" xfId="10599" xr:uid="{00000000-0005-0000-0000-000059290000}"/>
    <cellStyle name="0_BOUSHER AMERAT III_COMODITES option 2 4 7 3 4" xfId="10600" xr:uid="{00000000-0005-0000-0000-00005A290000}"/>
    <cellStyle name="0_BOUSHER AMERAT III_COMODITES option 2 4 7 4" xfId="10601" xr:uid="{00000000-0005-0000-0000-00005B290000}"/>
    <cellStyle name="0_BOUSHER AMERAT III_COMODITES option 2 4 7 4 2" xfId="10602" xr:uid="{00000000-0005-0000-0000-00005C290000}"/>
    <cellStyle name="0_BOUSHER AMERAT III_COMODITES option 2 4 7 5" xfId="10603" xr:uid="{00000000-0005-0000-0000-00005D290000}"/>
    <cellStyle name="0_BOUSHER AMERAT III_COMODITES option 2 4 7 5 2" xfId="10604" xr:uid="{00000000-0005-0000-0000-00005E290000}"/>
    <cellStyle name="0_BOUSHER AMERAT III_COMODITES option 2 4 7 6" xfId="10605" xr:uid="{00000000-0005-0000-0000-00005F290000}"/>
    <cellStyle name="0_BOUSHER AMERAT III_COMODITES option 2 4 8" xfId="10606" xr:uid="{00000000-0005-0000-0000-000060290000}"/>
    <cellStyle name="0_BOUSHER AMERAT III_COMODITES option 2 4 8 2" xfId="10607" xr:uid="{00000000-0005-0000-0000-000061290000}"/>
    <cellStyle name="0_BOUSHER AMERAT III_COMODITES option 2 4 8 2 2" xfId="10608" xr:uid="{00000000-0005-0000-0000-000062290000}"/>
    <cellStyle name="0_BOUSHER AMERAT III_COMODITES option 2 4 8 3" xfId="10609" xr:uid="{00000000-0005-0000-0000-000063290000}"/>
    <cellStyle name="0_BOUSHER AMERAT III_COMODITES option 2 4 8 3 2" xfId="10610" xr:uid="{00000000-0005-0000-0000-000064290000}"/>
    <cellStyle name="0_BOUSHER AMERAT III_COMODITES option 2 4 8 4" xfId="10611" xr:uid="{00000000-0005-0000-0000-000065290000}"/>
    <cellStyle name="0_BOUSHER AMERAT III_COMODITES option 2 4 9" xfId="10612" xr:uid="{00000000-0005-0000-0000-000066290000}"/>
    <cellStyle name="0_BOUSHER AMERAT III_COMODITES option 2 4 9 2" xfId="10613" xr:uid="{00000000-0005-0000-0000-000067290000}"/>
    <cellStyle name="0_BOUSHER AMERAT III_COMODITES option 2 4 9 2 2" xfId="10614" xr:uid="{00000000-0005-0000-0000-000068290000}"/>
    <cellStyle name="0_BOUSHER AMERAT III_COMODITES option 2 4 9 3" xfId="10615" xr:uid="{00000000-0005-0000-0000-000069290000}"/>
    <cellStyle name="0_BOUSHER AMERAT III_COMODITES option 2 4 9 3 2" xfId="10616" xr:uid="{00000000-0005-0000-0000-00006A290000}"/>
    <cellStyle name="0_BOUSHER AMERAT III_COMODITES option 2 4 9 4" xfId="10617" xr:uid="{00000000-0005-0000-0000-00006B290000}"/>
    <cellStyle name="0_BOUSHER AMERAT III_COMODITES option 2 5" xfId="10618" xr:uid="{00000000-0005-0000-0000-00006C290000}"/>
    <cellStyle name="0_BOUSHER AMERAT III_COMODITES option 2 5 10" xfId="10619" xr:uid="{00000000-0005-0000-0000-00006D290000}"/>
    <cellStyle name="0_BOUSHER AMERAT III_COMODITES option 2 5 10 2" xfId="10620" xr:uid="{00000000-0005-0000-0000-00006E290000}"/>
    <cellStyle name="0_BOUSHER AMERAT III_COMODITES option 2 5 10 2 2" xfId="10621" xr:uid="{00000000-0005-0000-0000-00006F290000}"/>
    <cellStyle name="0_BOUSHER AMERAT III_COMODITES option 2 5 10 3" xfId="10622" xr:uid="{00000000-0005-0000-0000-000070290000}"/>
    <cellStyle name="0_BOUSHER AMERAT III_COMODITES option 2 5 10 3 2" xfId="10623" xr:uid="{00000000-0005-0000-0000-000071290000}"/>
    <cellStyle name="0_BOUSHER AMERAT III_COMODITES option 2 5 10 4" xfId="10624" xr:uid="{00000000-0005-0000-0000-000072290000}"/>
    <cellStyle name="0_BOUSHER AMERAT III_COMODITES option 2 5 11" xfId="10625" xr:uid="{00000000-0005-0000-0000-000073290000}"/>
    <cellStyle name="0_BOUSHER AMERAT III_COMODITES option 2 5 11 2" xfId="10626" xr:uid="{00000000-0005-0000-0000-000074290000}"/>
    <cellStyle name="0_BOUSHER AMERAT III_COMODITES option 2 5 12" xfId="10627" xr:uid="{00000000-0005-0000-0000-000075290000}"/>
    <cellStyle name="0_BOUSHER AMERAT III_COMODITES option 2 5 12 2" xfId="10628" xr:uid="{00000000-0005-0000-0000-000076290000}"/>
    <cellStyle name="0_BOUSHER AMERAT III_COMODITES option 2 5 13" xfId="10629" xr:uid="{00000000-0005-0000-0000-000077290000}"/>
    <cellStyle name="0_BOUSHER AMERAT III_COMODITES option 2 5 2" xfId="10630" xr:uid="{00000000-0005-0000-0000-000078290000}"/>
    <cellStyle name="0_BOUSHER AMERAT III_COMODITES option 2 5 2 2" xfId="10631" xr:uid="{00000000-0005-0000-0000-000079290000}"/>
    <cellStyle name="0_BOUSHER AMERAT III_COMODITES option 2 5 2 2 2" xfId="10632" xr:uid="{00000000-0005-0000-0000-00007A290000}"/>
    <cellStyle name="0_BOUSHER AMERAT III_COMODITES option 2 5 2 2 2 2" xfId="10633" xr:uid="{00000000-0005-0000-0000-00007B290000}"/>
    <cellStyle name="0_BOUSHER AMERAT III_COMODITES option 2 5 2 2 2 2 2" xfId="10634" xr:uid="{00000000-0005-0000-0000-00007C290000}"/>
    <cellStyle name="0_BOUSHER AMERAT III_COMODITES option 2 5 2 2 2 3" xfId="10635" xr:uid="{00000000-0005-0000-0000-00007D290000}"/>
    <cellStyle name="0_BOUSHER AMERAT III_COMODITES option 2 5 2 2 2 3 2" xfId="10636" xr:uid="{00000000-0005-0000-0000-00007E290000}"/>
    <cellStyle name="0_BOUSHER AMERAT III_COMODITES option 2 5 2 2 2 4" xfId="10637" xr:uid="{00000000-0005-0000-0000-00007F290000}"/>
    <cellStyle name="0_BOUSHER AMERAT III_COMODITES option 2 5 2 2 3" xfId="10638" xr:uid="{00000000-0005-0000-0000-000080290000}"/>
    <cellStyle name="0_BOUSHER AMERAT III_COMODITES option 2 5 2 2 3 2" xfId="10639" xr:uid="{00000000-0005-0000-0000-000081290000}"/>
    <cellStyle name="0_BOUSHER AMERAT III_COMODITES option 2 5 2 2 3 2 2" xfId="10640" xr:uid="{00000000-0005-0000-0000-000082290000}"/>
    <cellStyle name="0_BOUSHER AMERAT III_COMODITES option 2 5 2 2 3 3" xfId="10641" xr:uid="{00000000-0005-0000-0000-000083290000}"/>
    <cellStyle name="0_BOUSHER AMERAT III_COMODITES option 2 5 2 2 3 3 2" xfId="10642" xr:uid="{00000000-0005-0000-0000-000084290000}"/>
    <cellStyle name="0_BOUSHER AMERAT III_COMODITES option 2 5 2 2 3 4" xfId="10643" xr:uid="{00000000-0005-0000-0000-000085290000}"/>
    <cellStyle name="0_BOUSHER AMERAT III_COMODITES option 2 5 2 2 4" xfId="10644" xr:uid="{00000000-0005-0000-0000-000086290000}"/>
    <cellStyle name="0_BOUSHER AMERAT III_COMODITES option 2 5 2 2 4 2" xfId="10645" xr:uid="{00000000-0005-0000-0000-000087290000}"/>
    <cellStyle name="0_BOUSHER AMERAT III_COMODITES option 2 5 2 2 5" xfId="10646" xr:uid="{00000000-0005-0000-0000-000088290000}"/>
    <cellStyle name="0_BOUSHER AMERAT III_COMODITES option 2 5 2 2 5 2" xfId="10647" xr:uid="{00000000-0005-0000-0000-000089290000}"/>
    <cellStyle name="0_BOUSHER AMERAT III_COMODITES option 2 5 2 2 6" xfId="10648" xr:uid="{00000000-0005-0000-0000-00008A290000}"/>
    <cellStyle name="0_BOUSHER AMERAT III_COMODITES option 2 5 2 3" xfId="10649" xr:uid="{00000000-0005-0000-0000-00008B290000}"/>
    <cellStyle name="0_BOUSHER AMERAT III_COMODITES option 2 5 2 3 2" xfId="10650" xr:uid="{00000000-0005-0000-0000-00008C290000}"/>
    <cellStyle name="0_BOUSHER AMERAT III_COMODITES option 2 5 2 3 2 2" xfId="10651" xr:uid="{00000000-0005-0000-0000-00008D290000}"/>
    <cellStyle name="0_BOUSHER AMERAT III_COMODITES option 2 5 2 3 3" xfId="10652" xr:uid="{00000000-0005-0000-0000-00008E290000}"/>
    <cellStyle name="0_BOUSHER AMERAT III_COMODITES option 2 5 2 3 3 2" xfId="10653" xr:uid="{00000000-0005-0000-0000-00008F290000}"/>
    <cellStyle name="0_BOUSHER AMERAT III_COMODITES option 2 5 2 3 4" xfId="10654" xr:uid="{00000000-0005-0000-0000-000090290000}"/>
    <cellStyle name="0_BOUSHER AMERAT III_COMODITES option 2 5 2 4" xfId="10655" xr:uid="{00000000-0005-0000-0000-000091290000}"/>
    <cellStyle name="0_BOUSHER AMERAT III_COMODITES option 2 5 2 4 2" xfId="10656" xr:uid="{00000000-0005-0000-0000-000092290000}"/>
    <cellStyle name="0_BOUSHER AMERAT III_COMODITES option 2 5 2 4 2 2" xfId="10657" xr:uid="{00000000-0005-0000-0000-000093290000}"/>
    <cellStyle name="0_BOUSHER AMERAT III_COMODITES option 2 5 2 4 3" xfId="10658" xr:uid="{00000000-0005-0000-0000-000094290000}"/>
    <cellStyle name="0_BOUSHER AMERAT III_COMODITES option 2 5 2 4 3 2" xfId="10659" xr:uid="{00000000-0005-0000-0000-000095290000}"/>
    <cellStyle name="0_BOUSHER AMERAT III_COMODITES option 2 5 2 4 4" xfId="10660" xr:uid="{00000000-0005-0000-0000-000096290000}"/>
    <cellStyle name="0_BOUSHER AMERAT III_COMODITES option 2 5 2 5" xfId="10661" xr:uid="{00000000-0005-0000-0000-000097290000}"/>
    <cellStyle name="0_BOUSHER AMERAT III_COMODITES option 2 5 2 5 2" xfId="10662" xr:uid="{00000000-0005-0000-0000-000098290000}"/>
    <cellStyle name="0_BOUSHER AMERAT III_COMODITES option 2 5 2 5 2 2" xfId="10663" xr:uid="{00000000-0005-0000-0000-000099290000}"/>
    <cellStyle name="0_BOUSHER AMERAT III_COMODITES option 2 5 2 5 3" xfId="10664" xr:uid="{00000000-0005-0000-0000-00009A290000}"/>
    <cellStyle name="0_BOUSHER AMERAT III_COMODITES option 2 5 2 5 3 2" xfId="10665" xr:uid="{00000000-0005-0000-0000-00009B290000}"/>
    <cellStyle name="0_BOUSHER AMERAT III_COMODITES option 2 5 2 5 4" xfId="10666" xr:uid="{00000000-0005-0000-0000-00009C290000}"/>
    <cellStyle name="0_BOUSHER AMERAT III_COMODITES option 2 5 2 6" xfId="10667" xr:uid="{00000000-0005-0000-0000-00009D290000}"/>
    <cellStyle name="0_BOUSHER AMERAT III_COMODITES option 2 5 2 6 2" xfId="10668" xr:uid="{00000000-0005-0000-0000-00009E290000}"/>
    <cellStyle name="0_BOUSHER AMERAT III_COMODITES option 2 5 2 7" xfId="10669" xr:uid="{00000000-0005-0000-0000-00009F290000}"/>
    <cellStyle name="0_BOUSHER AMERAT III_COMODITES option 2 5 2 7 2" xfId="10670" xr:uid="{00000000-0005-0000-0000-0000A0290000}"/>
    <cellStyle name="0_BOUSHER AMERAT III_COMODITES option 2 5 2 8" xfId="10671" xr:uid="{00000000-0005-0000-0000-0000A1290000}"/>
    <cellStyle name="0_BOUSHER AMERAT III_COMODITES option 2 5 3" xfId="10672" xr:uid="{00000000-0005-0000-0000-0000A2290000}"/>
    <cellStyle name="0_BOUSHER AMERAT III_COMODITES option 2 5 3 2" xfId="10673" xr:uid="{00000000-0005-0000-0000-0000A3290000}"/>
    <cellStyle name="0_BOUSHER AMERAT III_COMODITES option 2 5 3 2 2" xfId="10674" xr:uid="{00000000-0005-0000-0000-0000A4290000}"/>
    <cellStyle name="0_BOUSHER AMERAT III_COMODITES option 2 5 3 2 2 2" xfId="10675" xr:uid="{00000000-0005-0000-0000-0000A5290000}"/>
    <cellStyle name="0_BOUSHER AMERAT III_COMODITES option 2 5 3 2 2 2 2" xfId="10676" xr:uid="{00000000-0005-0000-0000-0000A6290000}"/>
    <cellStyle name="0_BOUSHER AMERAT III_COMODITES option 2 5 3 2 2 3" xfId="10677" xr:uid="{00000000-0005-0000-0000-0000A7290000}"/>
    <cellStyle name="0_BOUSHER AMERAT III_COMODITES option 2 5 3 2 2 3 2" xfId="10678" xr:uid="{00000000-0005-0000-0000-0000A8290000}"/>
    <cellStyle name="0_BOUSHER AMERAT III_COMODITES option 2 5 3 2 2 4" xfId="10679" xr:uid="{00000000-0005-0000-0000-0000A9290000}"/>
    <cellStyle name="0_BOUSHER AMERAT III_COMODITES option 2 5 3 2 3" xfId="10680" xr:uid="{00000000-0005-0000-0000-0000AA290000}"/>
    <cellStyle name="0_BOUSHER AMERAT III_COMODITES option 2 5 3 2 3 2" xfId="10681" xr:uid="{00000000-0005-0000-0000-0000AB290000}"/>
    <cellStyle name="0_BOUSHER AMERAT III_COMODITES option 2 5 3 2 3 2 2" xfId="10682" xr:uid="{00000000-0005-0000-0000-0000AC290000}"/>
    <cellStyle name="0_BOUSHER AMERAT III_COMODITES option 2 5 3 2 3 3" xfId="10683" xr:uid="{00000000-0005-0000-0000-0000AD290000}"/>
    <cellStyle name="0_BOUSHER AMERAT III_COMODITES option 2 5 3 2 3 3 2" xfId="10684" xr:uid="{00000000-0005-0000-0000-0000AE290000}"/>
    <cellStyle name="0_BOUSHER AMERAT III_COMODITES option 2 5 3 2 3 4" xfId="10685" xr:uid="{00000000-0005-0000-0000-0000AF290000}"/>
    <cellStyle name="0_BOUSHER AMERAT III_COMODITES option 2 5 3 2 4" xfId="10686" xr:uid="{00000000-0005-0000-0000-0000B0290000}"/>
    <cellStyle name="0_BOUSHER AMERAT III_COMODITES option 2 5 3 2 4 2" xfId="10687" xr:uid="{00000000-0005-0000-0000-0000B1290000}"/>
    <cellStyle name="0_BOUSHER AMERAT III_COMODITES option 2 5 3 2 5" xfId="10688" xr:uid="{00000000-0005-0000-0000-0000B2290000}"/>
    <cellStyle name="0_BOUSHER AMERAT III_COMODITES option 2 5 3 2 5 2" xfId="10689" xr:uid="{00000000-0005-0000-0000-0000B3290000}"/>
    <cellStyle name="0_BOUSHER AMERAT III_COMODITES option 2 5 3 2 6" xfId="10690" xr:uid="{00000000-0005-0000-0000-0000B4290000}"/>
    <cellStyle name="0_BOUSHER AMERAT III_COMODITES option 2 5 3 3" xfId="10691" xr:uid="{00000000-0005-0000-0000-0000B5290000}"/>
    <cellStyle name="0_BOUSHER AMERAT III_COMODITES option 2 5 3 3 2" xfId="10692" xr:uid="{00000000-0005-0000-0000-0000B6290000}"/>
    <cellStyle name="0_BOUSHER AMERAT III_COMODITES option 2 5 3 3 2 2" xfId="10693" xr:uid="{00000000-0005-0000-0000-0000B7290000}"/>
    <cellStyle name="0_BOUSHER AMERAT III_COMODITES option 2 5 3 3 3" xfId="10694" xr:uid="{00000000-0005-0000-0000-0000B8290000}"/>
    <cellStyle name="0_BOUSHER AMERAT III_COMODITES option 2 5 3 3 3 2" xfId="10695" xr:uid="{00000000-0005-0000-0000-0000B9290000}"/>
    <cellStyle name="0_BOUSHER AMERAT III_COMODITES option 2 5 3 3 4" xfId="10696" xr:uid="{00000000-0005-0000-0000-0000BA290000}"/>
    <cellStyle name="0_BOUSHER AMERAT III_COMODITES option 2 5 3 4" xfId="10697" xr:uid="{00000000-0005-0000-0000-0000BB290000}"/>
    <cellStyle name="0_BOUSHER AMERAT III_COMODITES option 2 5 3 4 2" xfId="10698" xr:uid="{00000000-0005-0000-0000-0000BC290000}"/>
    <cellStyle name="0_BOUSHER AMERAT III_COMODITES option 2 5 3 4 2 2" xfId="10699" xr:uid="{00000000-0005-0000-0000-0000BD290000}"/>
    <cellStyle name="0_BOUSHER AMERAT III_COMODITES option 2 5 3 4 3" xfId="10700" xr:uid="{00000000-0005-0000-0000-0000BE290000}"/>
    <cellStyle name="0_BOUSHER AMERAT III_COMODITES option 2 5 3 4 3 2" xfId="10701" xr:uid="{00000000-0005-0000-0000-0000BF290000}"/>
    <cellStyle name="0_BOUSHER AMERAT III_COMODITES option 2 5 3 4 4" xfId="10702" xr:uid="{00000000-0005-0000-0000-0000C0290000}"/>
    <cellStyle name="0_BOUSHER AMERAT III_COMODITES option 2 5 3 5" xfId="10703" xr:uid="{00000000-0005-0000-0000-0000C1290000}"/>
    <cellStyle name="0_BOUSHER AMERAT III_COMODITES option 2 5 3 5 2" xfId="10704" xr:uid="{00000000-0005-0000-0000-0000C2290000}"/>
    <cellStyle name="0_BOUSHER AMERAT III_COMODITES option 2 5 3 5 2 2" xfId="10705" xr:uid="{00000000-0005-0000-0000-0000C3290000}"/>
    <cellStyle name="0_BOUSHER AMERAT III_COMODITES option 2 5 3 5 3" xfId="10706" xr:uid="{00000000-0005-0000-0000-0000C4290000}"/>
    <cellStyle name="0_BOUSHER AMERAT III_COMODITES option 2 5 3 5 3 2" xfId="10707" xr:uid="{00000000-0005-0000-0000-0000C5290000}"/>
    <cellStyle name="0_BOUSHER AMERAT III_COMODITES option 2 5 3 5 4" xfId="10708" xr:uid="{00000000-0005-0000-0000-0000C6290000}"/>
    <cellStyle name="0_BOUSHER AMERAT III_COMODITES option 2 5 3 6" xfId="10709" xr:uid="{00000000-0005-0000-0000-0000C7290000}"/>
    <cellStyle name="0_BOUSHER AMERAT III_COMODITES option 2 5 3 6 2" xfId="10710" xr:uid="{00000000-0005-0000-0000-0000C8290000}"/>
    <cellStyle name="0_BOUSHER AMERAT III_COMODITES option 2 5 3 7" xfId="10711" xr:uid="{00000000-0005-0000-0000-0000C9290000}"/>
    <cellStyle name="0_BOUSHER AMERAT III_COMODITES option 2 5 3 7 2" xfId="10712" xr:uid="{00000000-0005-0000-0000-0000CA290000}"/>
    <cellStyle name="0_BOUSHER AMERAT III_COMODITES option 2 5 3 8" xfId="10713" xr:uid="{00000000-0005-0000-0000-0000CB290000}"/>
    <cellStyle name="0_BOUSHER AMERAT III_COMODITES option 2 5 4" xfId="10714" xr:uid="{00000000-0005-0000-0000-0000CC290000}"/>
    <cellStyle name="0_BOUSHER AMERAT III_COMODITES option 2 5 4 2" xfId="10715" xr:uid="{00000000-0005-0000-0000-0000CD290000}"/>
    <cellStyle name="0_BOUSHER AMERAT III_COMODITES option 2 5 4 2 2" xfId="10716" xr:uid="{00000000-0005-0000-0000-0000CE290000}"/>
    <cellStyle name="0_BOUSHER AMERAT III_COMODITES option 2 5 4 2 2 2" xfId="10717" xr:uid="{00000000-0005-0000-0000-0000CF290000}"/>
    <cellStyle name="0_BOUSHER AMERAT III_COMODITES option 2 5 4 2 2 2 2" xfId="10718" xr:uid="{00000000-0005-0000-0000-0000D0290000}"/>
    <cellStyle name="0_BOUSHER AMERAT III_COMODITES option 2 5 4 2 2 3" xfId="10719" xr:uid="{00000000-0005-0000-0000-0000D1290000}"/>
    <cellStyle name="0_BOUSHER AMERAT III_COMODITES option 2 5 4 2 2 3 2" xfId="10720" xr:uid="{00000000-0005-0000-0000-0000D2290000}"/>
    <cellStyle name="0_BOUSHER AMERAT III_COMODITES option 2 5 4 2 2 4" xfId="10721" xr:uid="{00000000-0005-0000-0000-0000D3290000}"/>
    <cellStyle name="0_BOUSHER AMERAT III_COMODITES option 2 5 4 2 3" xfId="10722" xr:uid="{00000000-0005-0000-0000-0000D4290000}"/>
    <cellStyle name="0_BOUSHER AMERAT III_COMODITES option 2 5 4 2 3 2" xfId="10723" xr:uid="{00000000-0005-0000-0000-0000D5290000}"/>
    <cellStyle name="0_BOUSHER AMERAT III_COMODITES option 2 5 4 2 3 2 2" xfId="10724" xr:uid="{00000000-0005-0000-0000-0000D6290000}"/>
    <cellStyle name="0_BOUSHER AMERAT III_COMODITES option 2 5 4 2 3 3" xfId="10725" xr:uid="{00000000-0005-0000-0000-0000D7290000}"/>
    <cellStyle name="0_BOUSHER AMERAT III_COMODITES option 2 5 4 2 3 3 2" xfId="10726" xr:uid="{00000000-0005-0000-0000-0000D8290000}"/>
    <cellStyle name="0_BOUSHER AMERAT III_COMODITES option 2 5 4 2 3 4" xfId="10727" xr:uid="{00000000-0005-0000-0000-0000D9290000}"/>
    <cellStyle name="0_BOUSHER AMERAT III_COMODITES option 2 5 4 2 4" xfId="10728" xr:uid="{00000000-0005-0000-0000-0000DA290000}"/>
    <cellStyle name="0_BOUSHER AMERAT III_COMODITES option 2 5 4 2 4 2" xfId="10729" xr:uid="{00000000-0005-0000-0000-0000DB290000}"/>
    <cellStyle name="0_BOUSHER AMERAT III_COMODITES option 2 5 4 2 5" xfId="10730" xr:uid="{00000000-0005-0000-0000-0000DC290000}"/>
    <cellStyle name="0_BOUSHER AMERAT III_COMODITES option 2 5 4 2 5 2" xfId="10731" xr:uid="{00000000-0005-0000-0000-0000DD290000}"/>
    <cellStyle name="0_BOUSHER AMERAT III_COMODITES option 2 5 4 2 6" xfId="10732" xr:uid="{00000000-0005-0000-0000-0000DE290000}"/>
    <cellStyle name="0_BOUSHER AMERAT III_COMODITES option 2 5 4 3" xfId="10733" xr:uid="{00000000-0005-0000-0000-0000DF290000}"/>
    <cellStyle name="0_BOUSHER AMERAT III_COMODITES option 2 5 4 3 2" xfId="10734" xr:uid="{00000000-0005-0000-0000-0000E0290000}"/>
    <cellStyle name="0_BOUSHER AMERAT III_COMODITES option 2 5 4 3 2 2" xfId="10735" xr:uid="{00000000-0005-0000-0000-0000E1290000}"/>
    <cellStyle name="0_BOUSHER AMERAT III_COMODITES option 2 5 4 3 3" xfId="10736" xr:uid="{00000000-0005-0000-0000-0000E2290000}"/>
    <cellStyle name="0_BOUSHER AMERAT III_COMODITES option 2 5 4 3 3 2" xfId="10737" xr:uid="{00000000-0005-0000-0000-0000E3290000}"/>
    <cellStyle name="0_BOUSHER AMERAT III_COMODITES option 2 5 4 3 4" xfId="10738" xr:uid="{00000000-0005-0000-0000-0000E4290000}"/>
    <cellStyle name="0_BOUSHER AMERAT III_COMODITES option 2 5 4 4" xfId="10739" xr:uid="{00000000-0005-0000-0000-0000E5290000}"/>
    <cellStyle name="0_BOUSHER AMERAT III_COMODITES option 2 5 4 4 2" xfId="10740" xr:uid="{00000000-0005-0000-0000-0000E6290000}"/>
    <cellStyle name="0_BOUSHER AMERAT III_COMODITES option 2 5 4 4 2 2" xfId="10741" xr:uid="{00000000-0005-0000-0000-0000E7290000}"/>
    <cellStyle name="0_BOUSHER AMERAT III_COMODITES option 2 5 4 4 3" xfId="10742" xr:uid="{00000000-0005-0000-0000-0000E8290000}"/>
    <cellStyle name="0_BOUSHER AMERAT III_COMODITES option 2 5 4 4 3 2" xfId="10743" xr:uid="{00000000-0005-0000-0000-0000E9290000}"/>
    <cellStyle name="0_BOUSHER AMERAT III_COMODITES option 2 5 4 4 4" xfId="10744" xr:uid="{00000000-0005-0000-0000-0000EA290000}"/>
    <cellStyle name="0_BOUSHER AMERAT III_COMODITES option 2 5 4 5" xfId="10745" xr:uid="{00000000-0005-0000-0000-0000EB290000}"/>
    <cellStyle name="0_BOUSHER AMERAT III_COMODITES option 2 5 4 5 2" xfId="10746" xr:uid="{00000000-0005-0000-0000-0000EC290000}"/>
    <cellStyle name="0_BOUSHER AMERAT III_COMODITES option 2 5 4 5 2 2" xfId="10747" xr:uid="{00000000-0005-0000-0000-0000ED290000}"/>
    <cellStyle name="0_BOUSHER AMERAT III_COMODITES option 2 5 4 5 3" xfId="10748" xr:uid="{00000000-0005-0000-0000-0000EE290000}"/>
    <cellStyle name="0_BOUSHER AMERAT III_COMODITES option 2 5 4 5 3 2" xfId="10749" xr:uid="{00000000-0005-0000-0000-0000EF290000}"/>
    <cellStyle name="0_BOUSHER AMERAT III_COMODITES option 2 5 4 5 4" xfId="10750" xr:uid="{00000000-0005-0000-0000-0000F0290000}"/>
    <cellStyle name="0_BOUSHER AMERAT III_COMODITES option 2 5 4 6" xfId="10751" xr:uid="{00000000-0005-0000-0000-0000F1290000}"/>
    <cellStyle name="0_BOUSHER AMERAT III_COMODITES option 2 5 4 6 2" xfId="10752" xr:uid="{00000000-0005-0000-0000-0000F2290000}"/>
    <cellStyle name="0_BOUSHER AMERAT III_COMODITES option 2 5 4 7" xfId="10753" xr:uid="{00000000-0005-0000-0000-0000F3290000}"/>
    <cellStyle name="0_BOUSHER AMERAT III_COMODITES option 2 5 4 7 2" xfId="10754" xr:uid="{00000000-0005-0000-0000-0000F4290000}"/>
    <cellStyle name="0_BOUSHER AMERAT III_COMODITES option 2 5 4 8" xfId="10755" xr:uid="{00000000-0005-0000-0000-0000F5290000}"/>
    <cellStyle name="0_BOUSHER AMERAT III_COMODITES option 2 5 5" xfId="10756" xr:uid="{00000000-0005-0000-0000-0000F6290000}"/>
    <cellStyle name="0_BOUSHER AMERAT III_COMODITES option 2 5 5 2" xfId="10757" xr:uid="{00000000-0005-0000-0000-0000F7290000}"/>
    <cellStyle name="0_BOUSHER AMERAT III_COMODITES option 2 5 5 2 2" xfId="10758" xr:uid="{00000000-0005-0000-0000-0000F8290000}"/>
    <cellStyle name="0_BOUSHER AMERAT III_COMODITES option 2 5 5 2 2 2" xfId="10759" xr:uid="{00000000-0005-0000-0000-0000F9290000}"/>
    <cellStyle name="0_BOUSHER AMERAT III_COMODITES option 2 5 5 2 2 2 2" xfId="10760" xr:uid="{00000000-0005-0000-0000-0000FA290000}"/>
    <cellStyle name="0_BOUSHER AMERAT III_COMODITES option 2 5 5 2 2 3" xfId="10761" xr:uid="{00000000-0005-0000-0000-0000FB290000}"/>
    <cellStyle name="0_BOUSHER AMERAT III_COMODITES option 2 5 5 2 2 3 2" xfId="10762" xr:uid="{00000000-0005-0000-0000-0000FC290000}"/>
    <cellStyle name="0_BOUSHER AMERAT III_COMODITES option 2 5 5 2 2 4" xfId="10763" xr:uid="{00000000-0005-0000-0000-0000FD290000}"/>
    <cellStyle name="0_BOUSHER AMERAT III_COMODITES option 2 5 5 2 3" xfId="10764" xr:uid="{00000000-0005-0000-0000-0000FE290000}"/>
    <cellStyle name="0_BOUSHER AMERAT III_COMODITES option 2 5 5 2 3 2" xfId="10765" xr:uid="{00000000-0005-0000-0000-0000FF290000}"/>
    <cellStyle name="0_BOUSHER AMERAT III_COMODITES option 2 5 5 2 3 2 2" xfId="10766" xr:uid="{00000000-0005-0000-0000-0000002A0000}"/>
    <cellStyle name="0_BOUSHER AMERAT III_COMODITES option 2 5 5 2 3 3" xfId="10767" xr:uid="{00000000-0005-0000-0000-0000012A0000}"/>
    <cellStyle name="0_BOUSHER AMERAT III_COMODITES option 2 5 5 2 3 3 2" xfId="10768" xr:uid="{00000000-0005-0000-0000-0000022A0000}"/>
    <cellStyle name="0_BOUSHER AMERAT III_COMODITES option 2 5 5 2 3 4" xfId="10769" xr:uid="{00000000-0005-0000-0000-0000032A0000}"/>
    <cellStyle name="0_BOUSHER AMERAT III_COMODITES option 2 5 5 2 4" xfId="10770" xr:uid="{00000000-0005-0000-0000-0000042A0000}"/>
    <cellStyle name="0_BOUSHER AMERAT III_COMODITES option 2 5 5 2 4 2" xfId="10771" xr:uid="{00000000-0005-0000-0000-0000052A0000}"/>
    <cellStyle name="0_BOUSHER AMERAT III_COMODITES option 2 5 5 2 5" xfId="10772" xr:uid="{00000000-0005-0000-0000-0000062A0000}"/>
    <cellStyle name="0_BOUSHER AMERAT III_COMODITES option 2 5 5 2 5 2" xfId="10773" xr:uid="{00000000-0005-0000-0000-0000072A0000}"/>
    <cellStyle name="0_BOUSHER AMERAT III_COMODITES option 2 5 5 2 6" xfId="10774" xr:uid="{00000000-0005-0000-0000-0000082A0000}"/>
    <cellStyle name="0_BOUSHER AMERAT III_COMODITES option 2 5 5 3" xfId="10775" xr:uid="{00000000-0005-0000-0000-0000092A0000}"/>
    <cellStyle name="0_BOUSHER AMERAT III_COMODITES option 2 5 5 3 2" xfId="10776" xr:uid="{00000000-0005-0000-0000-00000A2A0000}"/>
    <cellStyle name="0_BOUSHER AMERAT III_COMODITES option 2 5 5 3 2 2" xfId="10777" xr:uid="{00000000-0005-0000-0000-00000B2A0000}"/>
    <cellStyle name="0_BOUSHER AMERAT III_COMODITES option 2 5 5 3 3" xfId="10778" xr:uid="{00000000-0005-0000-0000-00000C2A0000}"/>
    <cellStyle name="0_BOUSHER AMERAT III_COMODITES option 2 5 5 3 3 2" xfId="10779" xr:uid="{00000000-0005-0000-0000-00000D2A0000}"/>
    <cellStyle name="0_BOUSHER AMERAT III_COMODITES option 2 5 5 3 4" xfId="10780" xr:uid="{00000000-0005-0000-0000-00000E2A0000}"/>
    <cellStyle name="0_BOUSHER AMERAT III_COMODITES option 2 5 5 4" xfId="10781" xr:uid="{00000000-0005-0000-0000-00000F2A0000}"/>
    <cellStyle name="0_BOUSHER AMERAT III_COMODITES option 2 5 5 4 2" xfId="10782" xr:uid="{00000000-0005-0000-0000-0000102A0000}"/>
    <cellStyle name="0_BOUSHER AMERAT III_COMODITES option 2 5 5 4 2 2" xfId="10783" xr:uid="{00000000-0005-0000-0000-0000112A0000}"/>
    <cellStyle name="0_BOUSHER AMERAT III_COMODITES option 2 5 5 4 3" xfId="10784" xr:uid="{00000000-0005-0000-0000-0000122A0000}"/>
    <cellStyle name="0_BOUSHER AMERAT III_COMODITES option 2 5 5 4 3 2" xfId="10785" xr:uid="{00000000-0005-0000-0000-0000132A0000}"/>
    <cellStyle name="0_BOUSHER AMERAT III_COMODITES option 2 5 5 4 4" xfId="10786" xr:uid="{00000000-0005-0000-0000-0000142A0000}"/>
    <cellStyle name="0_BOUSHER AMERAT III_COMODITES option 2 5 5 5" xfId="10787" xr:uid="{00000000-0005-0000-0000-0000152A0000}"/>
    <cellStyle name="0_BOUSHER AMERAT III_COMODITES option 2 5 5 5 2" xfId="10788" xr:uid="{00000000-0005-0000-0000-0000162A0000}"/>
    <cellStyle name="0_BOUSHER AMERAT III_COMODITES option 2 5 5 5 2 2" xfId="10789" xr:uid="{00000000-0005-0000-0000-0000172A0000}"/>
    <cellStyle name="0_BOUSHER AMERAT III_COMODITES option 2 5 5 5 3" xfId="10790" xr:uid="{00000000-0005-0000-0000-0000182A0000}"/>
    <cellStyle name="0_BOUSHER AMERAT III_COMODITES option 2 5 5 5 3 2" xfId="10791" xr:uid="{00000000-0005-0000-0000-0000192A0000}"/>
    <cellStyle name="0_BOUSHER AMERAT III_COMODITES option 2 5 5 5 4" xfId="10792" xr:uid="{00000000-0005-0000-0000-00001A2A0000}"/>
    <cellStyle name="0_BOUSHER AMERAT III_COMODITES option 2 5 5 6" xfId="10793" xr:uid="{00000000-0005-0000-0000-00001B2A0000}"/>
    <cellStyle name="0_BOUSHER AMERAT III_COMODITES option 2 5 5 6 2" xfId="10794" xr:uid="{00000000-0005-0000-0000-00001C2A0000}"/>
    <cellStyle name="0_BOUSHER AMERAT III_COMODITES option 2 5 5 7" xfId="10795" xr:uid="{00000000-0005-0000-0000-00001D2A0000}"/>
    <cellStyle name="0_BOUSHER AMERAT III_COMODITES option 2 5 5 7 2" xfId="10796" xr:uid="{00000000-0005-0000-0000-00001E2A0000}"/>
    <cellStyle name="0_BOUSHER AMERAT III_COMODITES option 2 5 5 8" xfId="10797" xr:uid="{00000000-0005-0000-0000-00001F2A0000}"/>
    <cellStyle name="0_BOUSHER AMERAT III_COMODITES option 2 5 6" xfId="10798" xr:uid="{00000000-0005-0000-0000-0000202A0000}"/>
    <cellStyle name="0_BOUSHER AMERAT III_COMODITES option 2 5 6 2" xfId="10799" xr:uid="{00000000-0005-0000-0000-0000212A0000}"/>
    <cellStyle name="0_BOUSHER AMERAT III_COMODITES option 2 5 6 2 2" xfId="10800" xr:uid="{00000000-0005-0000-0000-0000222A0000}"/>
    <cellStyle name="0_BOUSHER AMERAT III_COMODITES option 2 5 6 2 2 2" xfId="10801" xr:uid="{00000000-0005-0000-0000-0000232A0000}"/>
    <cellStyle name="0_BOUSHER AMERAT III_COMODITES option 2 5 6 2 2 2 2" xfId="10802" xr:uid="{00000000-0005-0000-0000-0000242A0000}"/>
    <cellStyle name="0_BOUSHER AMERAT III_COMODITES option 2 5 6 2 2 3" xfId="10803" xr:uid="{00000000-0005-0000-0000-0000252A0000}"/>
    <cellStyle name="0_BOUSHER AMERAT III_COMODITES option 2 5 6 2 2 3 2" xfId="10804" xr:uid="{00000000-0005-0000-0000-0000262A0000}"/>
    <cellStyle name="0_BOUSHER AMERAT III_COMODITES option 2 5 6 2 2 4" xfId="10805" xr:uid="{00000000-0005-0000-0000-0000272A0000}"/>
    <cellStyle name="0_BOUSHER AMERAT III_COMODITES option 2 5 6 2 3" xfId="10806" xr:uid="{00000000-0005-0000-0000-0000282A0000}"/>
    <cellStyle name="0_BOUSHER AMERAT III_COMODITES option 2 5 6 2 3 2" xfId="10807" xr:uid="{00000000-0005-0000-0000-0000292A0000}"/>
    <cellStyle name="0_BOUSHER AMERAT III_COMODITES option 2 5 6 2 3 2 2" xfId="10808" xr:uid="{00000000-0005-0000-0000-00002A2A0000}"/>
    <cellStyle name="0_BOUSHER AMERAT III_COMODITES option 2 5 6 2 3 3" xfId="10809" xr:uid="{00000000-0005-0000-0000-00002B2A0000}"/>
    <cellStyle name="0_BOUSHER AMERAT III_COMODITES option 2 5 6 2 3 3 2" xfId="10810" xr:uid="{00000000-0005-0000-0000-00002C2A0000}"/>
    <cellStyle name="0_BOUSHER AMERAT III_COMODITES option 2 5 6 2 3 4" xfId="10811" xr:uid="{00000000-0005-0000-0000-00002D2A0000}"/>
    <cellStyle name="0_BOUSHER AMERAT III_COMODITES option 2 5 6 2 4" xfId="10812" xr:uid="{00000000-0005-0000-0000-00002E2A0000}"/>
    <cellStyle name="0_BOUSHER AMERAT III_COMODITES option 2 5 6 2 4 2" xfId="10813" xr:uid="{00000000-0005-0000-0000-00002F2A0000}"/>
    <cellStyle name="0_BOUSHER AMERAT III_COMODITES option 2 5 6 2 5" xfId="10814" xr:uid="{00000000-0005-0000-0000-0000302A0000}"/>
    <cellStyle name="0_BOUSHER AMERAT III_COMODITES option 2 5 6 2 5 2" xfId="10815" xr:uid="{00000000-0005-0000-0000-0000312A0000}"/>
    <cellStyle name="0_BOUSHER AMERAT III_COMODITES option 2 5 6 2 6" xfId="10816" xr:uid="{00000000-0005-0000-0000-0000322A0000}"/>
    <cellStyle name="0_BOUSHER AMERAT III_COMODITES option 2 5 6 3" xfId="10817" xr:uid="{00000000-0005-0000-0000-0000332A0000}"/>
    <cellStyle name="0_BOUSHER AMERAT III_COMODITES option 2 5 6 3 2" xfId="10818" xr:uid="{00000000-0005-0000-0000-0000342A0000}"/>
    <cellStyle name="0_BOUSHER AMERAT III_COMODITES option 2 5 6 3 2 2" xfId="10819" xr:uid="{00000000-0005-0000-0000-0000352A0000}"/>
    <cellStyle name="0_BOUSHER AMERAT III_COMODITES option 2 5 6 3 3" xfId="10820" xr:uid="{00000000-0005-0000-0000-0000362A0000}"/>
    <cellStyle name="0_BOUSHER AMERAT III_COMODITES option 2 5 6 3 3 2" xfId="10821" xr:uid="{00000000-0005-0000-0000-0000372A0000}"/>
    <cellStyle name="0_BOUSHER AMERAT III_COMODITES option 2 5 6 3 4" xfId="10822" xr:uid="{00000000-0005-0000-0000-0000382A0000}"/>
    <cellStyle name="0_BOUSHER AMERAT III_COMODITES option 2 5 6 4" xfId="10823" xr:uid="{00000000-0005-0000-0000-0000392A0000}"/>
    <cellStyle name="0_BOUSHER AMERAT III_COMODITES option 2 5 6 4 2" xfId="10824" xr:uid="{00000000-0005-0000-0000-00003A2A0000}"/>
    <cellStyle name="0_BOUSHER AMERAT III_COMODITES option 2 5 6 4 2 2" xfId="10825" xr:uid="{00000000-0005-0000-0000-00003B2A0000}"/>
    <cellStyle name="0_BOUSHER AMERAT III_COMODITES option 2 5 6 4 3" xfId="10826" xr:uid="{00000000-0005-0000-0000-00003C2A0000}"/>
    <cellStyle name="0_BOUSHER AMERAT III_COMODITES option 2 5 6 4 3 2" xfId="10827" xr:uid="{00000000-0005-0000-0000-00003D2A0000}"/>
    <cellStyle name="0_BOUSHER AMERAT III_COMODITES option 2 5 6 4 4" xfId="10828" xr:uid="{00000000-0005-0000-0000-00003E2A0000}"/>
    <cellStyle name="0_BOUSHER AMERAT III_COMODITES option 2 5 6 5" xfId="10829" xr:uid="{00000000-0005-0000-0000-00003F2A0000}"/>
    <cellStyle name="0_BOUSHER AMERAT III_COMODITES option 2 5 6 5 2" xfId="10830" xr:uid="{00000000-0005-0000-0000-0000402A0000}"/>
    <cellStyle name="0_BOUSHER AMERAT III_COMODITES option 2 5 6 5 2 2" xfId="10831" xr:uid="{00000000-0005-0000-0000-0000412A0000}"/>
    <cellStyle name="0_BOUSHER AMERAT III_COMODITES option 2 5 6 5 3" xfId="10832" xr:uid="{00000000-0005-0000-0000-0000422A0000}"/>
    <cellStyle name="0_BOUSHER AMERAT III_COMODITES option 2 5 6 5 3 2" xfId="10833" xr:uid="{00000000-0005-0000-0000-0000432A0000}"/>
    <cellStyle name="0_BOUSHER AMERAT III_COMODITES option 2 5 6 5 4" xfId="10834" xr:uid="{00000000-0005-0000-0000-0000442A0000}"/>
    <cellStyle name="0_BOUSHER AMERAT III_COMODITES option 2 5 6 6" xfId="10835" xr:uid="{00000000-0005-0000-0000-0000452A0000}"/>
    <cellStyle name="0_BOUSHER AMERAT III_COMODITES option 2 5 6 6 2" xfId="10836" xr:uid="{00000000-0005-0000-0000-0000462A0000}"/>
    <cellStyle name="0_BOUSHER AMERAT III_COMODITES option 2 5 6 7" xfId="10837" xr:uid="{00000000-0005-0000-0000-0000472A0000}"/>
    <cellStyle name="0_BOUSHER AMERAT III_COMODITES option 2 5 6 7 2" xfId="10838" xr:uid="{00000000-0005-0000-0000-0000482A0000}"/>
    <cellStyle name="0_BOUSHER AMERAT III_COMODITES option 2 5 6 8" xfId="10839" xr:uid="{00000000-0005-0000-0000-0000492A0000}"/>
    <cellStyle name="0_BOUSHER AMERAT III_COMODITES option 2 5 7" xfId="10840" xr:uid="{00000000-0005-0000-0000-00004A2A0000}"/>
    <cellStyle name="0_BOUSHER AMERAT III_COMODITES option 2 5 7 2" xfId="10841" xr:uid="{00000000-0005-0000-0000-00004B2A0000}"/>
    <cellStyle name="0_BOUSHER AMERAT III_COMODITES option 2 5 7 2 2" xfId="10842" xr:uid="{00000000-0005-0000-0000-00004C2A0000}"/>
    <cellStyle name="0_BOUSHER AMERAT III_COMODITES option 2 5 7 2 2 2" xfId="10843" xr:uid="{00000000-0005-0000-0000-00004D2A0000}"/>
    <cellStyle name="0_BOUSHER AMERAT III_COMODITES option 2 5 7 2 3" xfId="10844" xr:uid="{00000000-0005-0000-0000-00004E2A0000}"/>
    <cellStyle name="0_BOUSHER AMERAT III_COMODITES option 2 5 7 2 3 2" xfId="10845" xr:uid="{00000000-0005-0000-0000-00004F2A0000}"/>
    <cellStyle name="0_BOUSHER AMERAT III_COMODITES option 2 5 7 2 4" xfId="10846" xr:uid="{00000000-0005-0000-0000-0000502A0000}"/>
    <cellStyle name="0_BOUSHER AMERAT III_COMODITES option 2 5 7 3" xfId="10847" xr:uid="{00000000-0005-0000-0000-0000512A0000}"/>
    <cellStyle name="0_BOUSHER AMERAT III_COMODITES option 2 5 7 3 2" xfId="10848" xr:uid="{00000000-0005-0000-0000-0000522A0000}"/>
    <cellStyle name="0_BOUSHER AMERAT III_COMODITES option 2 5 7 3 2 2" xfId="10849" xr:uid="{00000000-0005-0000-0000-0000532A0000}"/>
    <cellStyle name="0_BOUSHER AMERAT III_COMODITES option 2 5 7 3 3" xfId="10850" xr:uid="{00000000-0005-0000-0000-0000542A0000}"/>
    <cellStyle name="0_BOUSHER AMERAT III_COMODITES option 2 5 7 3 3 2" xfId="10851" xr:uid="{00000000-0005-0000-0000-0000552A0000}"/>
    <cellStyle name="0_BOUSHER AMERAT III_COMODITES option 2 5 7 3 4" xfId="10852" xr:uid="{00000000-0005-0000-0000-0000562A0000}"/>
    <cellStyle name="0_BOUSHER AMERAT III_COMODITES option 2 5 7 4" xfId="10853" xr:uid="{00000000-0005-0000-0000-0000572A0000}"/>
    <cellStyle name="0_BOUSHER AMERAT III_COMODITES option 2 5 7 4 2" xfId="10854" xr:uid="{00000000-0005-0000-0000-0000582A0000}"/>
    <cellStyle name="0_BOUSHER AMERAT III_COMODITES option 2 5 7 5" xfId="10855" xr:uid="{00000000-0005-0000-0000-0000592A0000}"/>
    <cellStyle name="0_BOUSHER AMERAT III_COMODITES option 2 5 7 5 2" xfId="10856" xr:uid="{00000000-0005-0000-0000-00005A2A0000}"/>
    <cellStyle name="0_BOUSHER AMERAT III_COMODITES option 2 5 7 6" xfId="10857" xr:uid="{00000000-0005-0000-0000-00005B2A0000}"/>
    <cellStyle name="0_BOUSHER AMERAT III_COMODITES option 2 5 8" xfId="10858" xr:uid="{00000000-0005-0000-0000-00005C2A0000}"/>
    <cellStyle name="0_BOUSHER AMERAT III_COMODITES option 2 5 8 2" xfId="10859" xr:uid="{00000000-0005-0000-0000-00005D2A0000}"/>
    <cellStyle name="0_BOUSHER AMERAT III_COMODITES option 2 5 8 2 2" xfId="10860" xr:uid="{00000000-0005-0000-0000-00005E2A0000}"/>
    <cellStyle name="0_BOUSHER AMERAT III_COMODITES option 2 5 8 3" xfId="10861" xr:uid="{00000000-0005-0000-0000-00005F2A0000}"/>
    <cellStyle name="0_BOUSHER AMERAT III_COMODITES option 2 5 8 3 2" xfId="10862" xr:uid="{00000000-0005-0000-0000-0000602A0000}"/>
    <cellStyle name="0_BOUSHER AMERAT III_COMODITES option 2 5 8 4" xfId="10863" xr:uid="{00000000-0005-0000-0000-0000612A0000}"/>
    <cellStyle name="0_BOUSHER AMERAT III_COMODITES option 2 5 9" xfId="10864" xr:uid="{00000000-0005-0000-0000-0000622A0000}"/>
    <cellStyle name="0_BOUSHER AMERAT III_COMODITES option 2 5 9 2" xfId="10865" xr:uid="{00000000-0005-0000-0000-0000632A0000}"/>
    <cellStyle name="0_BOUSHER AMERAT III_COMODITES option 2 5 9 2 2" xfId="10866" xr:uid="{00000000-0005-0000-0000-0000642A0000}"/>
    <cellStyle name="0_BOUSHER AMERAT III_COMODITES option 2 5 9 3" xfId="10867" xr:uid="{00000000-0005-0000-0000-0000652A0000}"/>
    <cellStyle name="0_BOUSHER AMERAT III_COMODITES option 2 5 9 3 2" xfId="10868" xr:uid="{00000000-0005-0000-0000-0000662A0000}"/>
    <cellStyle name="0_BOUSHER AMERAT III_COMODITES option 2 5 9 4" xfId="10869" xr:uid="{00000000-0005-0000-0000-0000672A0000}"/>
    <cellStyle name="0_BOUSHER AMERAT III_COMODITES option 2 6" xfId="10870" xr:uid="{00000000-0005-0000-0000-0000682A0000}"/>
    <cellStyle name="0_BOUSHER AMERAT III_COMODITES option 2 6 2" xfId="10871" xr:uid="{00000000-0005-0000-0000-0000692A0000}"/>
    <cellStyle name="0_BOUSHER AMERAT III_COMODITES option 2 6 2 2" xfId="10872" xr:uid="{00000000-0005-0000-0000-00006A2A0000}"/>
    <cellStyle name="0_BOUSHER AMERAT III_COMODITES option 2 6 2 2 2" xfId="10873" xr:uid="{00000000-0005-0000-0000-00006B2A0000}"/>
    <cellStyle name="0_BOUSHER AMERAT III_COMODITES option 2 6 2 2 2 2" xfId="10874" xr:uid="{00000000-0005-0000-0000-00006C2A0000}"/>
    <cellStyle name="0_BOUSHER AMERAT III_COMODITES option 2 6 2 2 3" xfId="10875" xr:uid="{00000000-0005-0000-0000-00006D2A0000}"/>
    <cellStyle name="0_BOUSHER AMERAT III_COMODITES option 2 6 2 2 3 2" xfId="10876" xr:uid="{00000000-0005-0000-0000-00006E2A0000}"/>
    <cellStyle name="0_BOUSHER AMERAT III_COMODITES option 2 6 2 2 4" xfId="10877" xr:uid="{00000000-0005-0000-0000-00006F2A0000}"/>
    <cellStyle name="0_BOUSHER AMERAT III_COMODITES option 2 6 2 3" xfId="10878" xr:uid="{00000000-0005-0000-0000-0000702A0000}"/>
    <cellStyle name="0_BOUSHER AMERAT III_COMODITES option 2 6 2 3 2" xfId="10879" xr:uid="{00000000-0005-0000-0000-0000712A0000}"/>
    <cellStyle name="0_BOUSHER AMERAT III_COMODITES option 2 6 2 3 2 2" xfId="10880" xr:uid="{00000000-0005-0000-0000-0000722A0000}"/>
    <cellStyle name="0_BOUSHER AMERAT III_COMODITES option 2 6 2 3 3" xfId="10881" xr:uid="{00000000-0005-0000-0000-0000732A0000}"/>
    <cellStyle name="0_BOUSHER AMERAT III_COMODITES option 2 6 2 3 3 2" xfId="10882" xr:uid="{00000000-0005-0000-0000-0000742A0000}"/>
    <cellStyle name="0_BOUSHER AMERAT III_COMODITES option 2 6 2 3 4" xfId="10883" xr:uid="{00000000-0005-0000-0000-0000752A0000}"/>
    <cellStyle name="0_BOUSHER AMERAT III_COMODITES option 2 6 2 4" xfId="10884" xr:uid="{00000000-0005-0000-0000-0000762A0000}"/>
    <cellStyle name="0_BOUSHER AMERAT III_COMODITES option 2 6 2 4 2" xfId="10885" xr:uid="{00000000-0005-0000-0000-0000772A0000}"/>
    <cellStyle name="0_BOUSHER AMERAT III_COMODITES option 2 6 2 5" xfId="10886" xr:uid="{00000000-0005-0000-0000-0000782A0000}"/>
    <cellStyle name="0_BOUSHER AMERAT III_COMODITES option 2 6 2 5 2" xfId="10887" xr:uid="{00000000-0005-0000-0000-0000792A0000}"/>
    <cellStyle name="0_BOUSHER AMERAT III_COMODITES option 2 6 2 6" xfId="10888" xr:uid="{00000000-0005-0000-0000-00007A2A0000}"/>
    <cellStyle name="0_BOUSHER AMERAT III_COMODITES option 2 6 3" xfId="10889" xr:uid="{00000000-0005-0000-0000-00007B2A0000}"/>
    <cellStyle name="0_BOUSHER AMERAT III_COMODITES option 2 6 3 2" xfId="10890" xr:uid="{00000000-0005-0000-0000-00007C2A0000}"/>
    <cellStyle name="0_BOUSHER AMERAT III_COMODITES option 2 6 3 2 2" xfId="10891" xr:uid="{00000000-0005-0000-0000-00007D2A0000}"/>
    <cellStyle name="0_BOUSHER AMERAT III_COMODITES option 2 6 3 3" xfId="10892" xr:uid="{00000000-0005-0000-0000-00007E2A0000}"/>
    <cellStyle name="0_BOUSHER AMERAT III_COMODITES option 2 6 3 3 2" xfId="10893" xr:uid="{00000000-0005-0000-0000-00007F2A0000}"/>
    <cellStyle name="0_BOUSHER AMERAT III_COMODITES option 2 6 3 4" xfId="10894" xr:uid="{00000000-0005-0000-0000-0000802A0000}"/>
    <cellStyle name="0_BOUSHER AMERAT III_COMODITES option 2 6 4" xfId="10895" xr:uid="{00000000-0005-0000-0000-0000812A0000}"/>
    <cellStyle name="0_BOUSHER AMERAT III_COMODITES option 2 6 4 2" xfId="10896" xr:uid="{00000000-0005-0000-0000-0000822A0000}"/>
    <cellStyle name="0_BOUSHER AMERAT III_COMODITES option 2 6 4 2 2" xfId="10897" xr:uid="{00000000-0005-0000-0000-0000832A0000}"/>
    <cellStyle name="0_BOUSHER AMERAT III_COMODITES option 2 6 4 3" xfId="10898" xr:uid="{00000000-0005-0000-0000-0000842A0000}"/>
    <cellStyle name="0_BOUSHER AMERAT III_COMODITES option 2 6 4 3 2" xfId="10899" xr:uid="{00000000-0005-0000-0000-0000852A0000}"/>
    <cellStyle name="0_BOUSHER AMERAT III_COMODITES option 2 6 4 4" xfId="10900" xr:uid="{00000000-0005-0000-0000-0000862A0000}"/>
    <cellStyle name="0_BOUSHER AMERAT III_COMODITES option 2 6 5" xfId="10901" xr:uid="{00000000-0005-0000-0000-0000872A0000}"/>
    <cellStyle name="0_BOUSHER AMERAT III_COMODITES option 2 6 5 2" xfId="10902" xr:uid="{00000000-0005-0000-0000-0000882A0000}"/>
    <cellStyle name="0_BOUSHER AMERAT III_COMODITES option 2 6 5 2 2" xfId="10903" xr:uid="{00000000-0005-0000-0000-0000892A0000}"/>
    <cellStyle name="0_BOUSHER AMERAT III_COMODITES option 2 6 5 3" xfId="10904" xr:uid="{00000000-0005-0000-0000-00008A2A0000}"/>
    <cellStyle name="0_BOUSHER AMERAT III_COMODITES option 2 6 5 3 2" xfId="10905" xr:uid="{00000000-0005-0000-0000-00008B2A0000}"/>
    <cellStyle name="0_BOUSHER AMERAT III_COMODITES option 2 6 5 4" xfId="10906" xr:uid="{00000000-0005-0000-0000-00008C2A0000}"/>
    <cellStyle name="0_BOUSHER AMERAT III_COMODITES option 2 6 6" xfId="10907" xr:uid="{00000000-0005-0000-0000-00008D2A0000}"/>
    <cellStyle name="0_BOUSHER AMERAT III_COMODITES option 2 6 6 2" xfId="10908" xr:uid="{00000000-0005-0000-0000-00008E2A0000}"/>
    <cellStyle name="0_BOUSHER AMERAT III_COMODITES option 2 6 7" xfId="10909" xr:uid="{00000000-0005-0000-0000-00008F2A0000}"/>
    <cellStyle name="0_BOUSHER AMERAT III_COMODITES option 2 6 7 2" xfId="10910" xr:uid="{00000000-0005-0000-0000-0000902A0000}"/>
    <cellStyle name="0_BOUSHER AMERAT III_COMODITES option 2 6 8" xfId="10911" xr:uid="{00000000-0005-0000-0000-0000912A0000}"/>
    <cellStyle name="0_BOUSHER AMERAT III_COMODITES option 2 7" xfId="10912" xr:uid="{00000000-0005-0000-0000-0000922A0000}"/>
    <cellStyle name="0_BOUSHER AMERAT III_COMODITES option 2 7 2" xfId="10913" xr:uid="{00000000-0005-0000-0000-0000932A0000}"/>
    <cellStyle name="0_BOUSHER AMERAT III_COMODITES option 2 7 2 2" xfId="10914" xr:uid="{00000000-0005-0000-0000-0000942A0000}"/>
    <cellStyle name="0_BOUSHER AMERAT III_COMODITES option 2 7 2 2 2" xfId="10915" xr:uid="{00000000-0005-0000-0000-0000952A0000}"/>
    <cellStyle name="0_BOUSHER AMERAT III_COMODITES option 2 7 2 3" xfId="10916" xr:uid="{00000000-0005-0000-0000-0000962A0000}"/>
    <cellStyle name="0_BOUSHER AMERAT III_COMODITES option 2 7 2 3 2" xfId="10917" xr:uid="{00000000-0005-0000-0000-0000972A0000}"/>
    <cellStyle name="0_BOUSHER AMERAT III_COMODITES option 2 7 2 4" xfId="10918" xr:uid="{00000000-0005-0000-0000-0000982A0000}"/>
    <cellStyle name="0_BOUSHER AMERAT III_COMODITES option 2 7 3" xfId="10919" xr:uid="{00000000-0005-0000-0000-0000992A0000}"/>
    <cellStyle name="0_BOUSHER AMERAT III_COMODITES option 2 7 3 2" xfId="10920" xr:uid="{00000000-0005-0000-0000-00009A2A0000}"/>
    <cellStyle name="0_BOUSHER AMERAT III_COMODITES option 2 7 3 2 2" xfId="10921" xr:uid="{00000000-0005-0000-0000-00009B2A0000}"/>
    <cellStyle name="0_BOUSHER AMERAT III_COMODITES option 2 7 3 3" xfId="10922" xr:uid="{00000000-0005-0000-0000-00009C2A0000}"/>
    <cellStyle name="0_BOUSHER AMERAT III_COMODITES option 2 7 3 3 2" xfId="10923" xr:uid="{00000000-0005-0000-0000-00009D2A0000}"/>
    <cellStyle name="0_BOUSHER AMERAT III_COMODITES option 2 7 3 4" xfId="10924" xr:uid="{00000000-0005-0000-0000-00009E2A0000}"/>
    <cellStyle name="0_BOUSHER AMERAT III_COMODITES option 2 7 4" xfId="10925" xr:uid="{00000000-0005-0000-0000-00009F2A0000}"/>
    <cellStyle name="0_BOUSHER AMERAT III_COMODITES option 2 7 4 2" xfId="10926" xr:uid="{00000000-0005-0000-0000-0000A02A0000}"/>
    <cellStyle name="0_BOUSHER AMERAT III_COMODITES option 2 7 5" xfId="10927" xr:uid="{00000000-0005-0000-0000-0000A12A0000}"/>
    <cellStyle name="0_BOUSHER AMERAT III_COMODITES option 2 7 5 2" xfId="10928" xr:uid="{00000000-0005-0000-0000-0000A22A0000}"/>
    <cellStyle name="0_BOUSHER AMERAT III_COMODITES option 2 7 6" xfId="10929" xr:uid="{00000000-0005-0000-0000-0000A32A0000}"/>
    <cellStyle name="0_BOUSHER AMERAT III_COMODITES option 2 8" xfId="10930" xr:uid="{00000000-0005-0000-0000-0000A42A0000}"/>
    <cellStyle name="0_BOUSHER AMERAT III_COMODITES option 2 8 2" xfId="10931" xr:uid="{00000000-0005-0000-0000-0000A52A0000}"/>
    <cellStyle name="0_BOUSHER AMERAT III_COMODITES option 2 8 2 2" xfId="10932" xr:uid="{00000000-0005-0000-0000-0000A62A0000}"/>
    <cellStyle name="0_BOUSHER AMERAT III_COMODITES option 2 8 2 2 2" xfId="10933" xr:uid="{00000000-0005-0000-0000-0000A72A0000}"/>
    <cellStyle name="0_BOUSHER AMERAT III_COMODITES option 2 8 2 3" xfId="10934" xr:uid="{00000000-0005-0000-0000-0000A82A0000}"/>
    <cellStyle name="0_BOUSHER AMERAT III_COMODITES option 2 8 2 3 2" xfId="10935" xr:uid="{00000000-0005-0000-0000-0000A92A0000}"/>
    <cellStyle name="0_BOUSHER AMERAT III_COMODITES option 2 8 2 4" xfId="10936" xr:uid="{00000000-0005-0000-0000-0000AA2A0000}"/>
    <cellStyle name="0_BOUSHER AMERAT III_COMODITES option 2 8 3" xfId="10937" xr:uid="{00000000-0005-0000-0000-0000AB2A0000}"/>
    <cellStyle name="0_BOUSHER AMERAT III_COMODITES option 2 8 3 2" xfId="10938" xr:uid="{00000000-0005-0000-0000-0000AC2A0000}"/>
    <cellStyle name="0_BOUSHER AMERAT III_COMODITES option 2 8 3 2 2" xfId="10939" xr:uid="{00000000-0005-0000-0000-0000AD2A0000}"/>
    <cellStyle name="0_BOUSHER AMERAT III_COMODITES option 2 8 3 3" xfId="10940" xr:uid="{00000000-0005-0000-0000-0000AE2A0000}"/>
    <cellStyle name="0_BOUSHER AMERAT III_COMODITES option 2 8 3 3 2" xfId="10941" xr:uid="{00000000-0005-0000-0000-0000AF2A0000}"/>
    <cellStyle name="0_BOUSHER AMERAT III_COMODITES option 2 8 3 4" xfId="10942" xr:uid="{00000000-0005-0000-0000-0000B02A0000}"/>
    <cellStyle name="0_BOUSHER AMERAT III_COMODITES option 2 8 4" xfId="10943" xr:uid="{00000000-0005-0000-0000-0000B12A0000}"/>
    <cellStyle name="0_BOUSHER AMERAT III_COMODITES option 2 8 4 2" xfId="10944" xr:uid="{00000000-0005-0000-0000-0000B22A0000}"/>
    <cellStyle name="0_BOUSHER AMERAT III_COMODITES option 2 8 5" xfId="10945" xr:uid="{00000000-0005-0000-0000-0000B32A0000}"/>
    <cellStyle name="0_BOUSHER AMERAT III_COMODITES option 2 8 5 2" xfId="10946" xr:uid="{00000000-0005-0000-0000-0000B42A0000}"/>
    <cellStyle name="0_BOUSHER AMERAT III_COMODITES option 2 8 6" xfId="10947" xr:uid="{00000000-0005-0000-0000-0000B52A0000}"/>
    <cellStyle name="0_BOUSHER AMERAT III_COMODITES option 2 9" xfId="10948" xr:uid="{00000000-0005-0000-0000-0000B62A0000}"/>
    <cellStyle name="0_BOUSHER AMERAT III_COMODITES option 2 9 2" xfId="10949" xr:uid="{00000000-0005-0000-0000-0000B72A0000}"/>
    <cellStyle name="0_BOUSHER AMERAT III_COMODITES option 2 9 2 2" xfId="10950" xr:uid="{00000000-0005-0000-0000-0000B82A0000}"/>
    <cellStyle name="0_BOUSHER AMERAT III_COMODITES option 2 9 3" xfId="10951" xr:uid="{00000000-0005-0000-0000-0000B92A0000}"/>
    <cellStyle name="0_BOUSHER AMERAT III_COMODITES option 2 9 3 2" xfId="10952" xr:uid="{00000000-0005-0000-0000-0000BA2A0000}"/>
    <cellStyle name="0_BOUSHER AMERAT III_COMODITES option 2 9 4" xfId="10953" xr:uid="{00000000-0005-0000-0000-0000BB2A0000}"/>
    <cellStyle name="0_BOUSHER AMERAT III_ORG CHART FOR CEO MEETING" xfId="10954" xr:uid="{00000000-0005-0000-0000-0000BC2A0000}"/>
    <cellStyle name="0_BOUSHER AMERAT III_ORG CHART FOR CEO MEETING 10" xfId="10955" xr:uid="{00000000-0005-0000-0000-0000BD2A0000}"/>
    <cellStyle name="0_BOUSHER AMERAT III_ORG CHART FOR CEO MEETING 11" xfId="10956" xr:uid="{00000000-0005-0000-0000-0000BE2A0000}"/>
    <cellStyle name="0_BOUSHER AMERAT III_ORG CHART FOR CEO MEETING 12" xfId="10957" xr:uid="{00000000-0005-0000-0000-0000BF2A0000}"/>
    <cellStyle name="0_BOUSHER AMERAT III_ORG CHART FOR CEO MEETING 2" xfId="10958" xr:uid="{00000000-0005-0000-0000-0000C02A0000}"/>
    <cellStyle name="0_BOUSHER AMERAT III_ORG CHART FOR CEO MEETING 2 2" xfId="10959" xr:uid="{00000000-0005-0000-0000-0000C12A0000}"/>
    <cellStyle name="0_BOUSHER AMERAT III_ORG CHART FOR CEO MEETING 2 2 2" xfId="10960" xr:uid="{00000000-0005-0000-0000-0000C22A0000}"/>
    <cellStyle name="0_BOUSHER AMERAT III_ORG CHART FOR CEO MEETING 2 2 2 2" xfId="10961" xr:uid="{00000000-0005-0000-0000-0000C32A0000}"/>
    <cellStyle name="0_BOUSHER AMERAT III_ORG CHART FOR CEO MEETING 2 2 3" xfId="10962" xr:uid="{00000000-0005-0000-0000-0000C42A0000}"/>
    <cellStyle name="0_BOUSHER AMERAT III_ORG CHART FOR CEO MEETING 2 2 3 2" xfId="10963" xr:uid="{00000000-0005-0000-0000-0000C52A0000}"/>
    <cellStyle name="0_BOUSHER AMERAT III_ORG CHART FOR CEO MEETING 2 2 4" xfId="10964" xr:uid="{00000000-0005-0000-0000-0000C62A0000}"/>
    <cellStyle name="0_BOUSHER AMERAT III_ORG CHART FOR CEO MEETING 2 3" xfId="10965" xr:uid="{00000000-0005-0000-0000-0000C72A0000}"/>
    <cellStyle name="0_BOUSHER AMERAT III_ORG CHART FOR CEO MEETING 2 3 2" xfId="10966" xr:uid="{00000000-0005-0000-0000-0000C82A0000}"/>
    <cellStyle name="0_BOUSHER AMERAT III_ORG CHART FOR CEO MEETING 2 3 2 2" xfId="10967" xr:uid="{00000000-0005-0000-0000-0000C92A0000}"/>
    <cellStyle name="0_BOUSHER AMERAT III_ORG CHART FOR CEO MEETING 2 3 3" xfId="10968" xr:uid="{00000000-0005-0000-0000-0000CA2A0000}"/>
    <cellStyle name="0_BOUSHER AMERAT III_ORG CHART FOR CEO MEETING 2 3 3 2" xfId="10969" xr:uid="{00000000-0005-0000-0000-0000CB2A0000}"/>
    <cellStyle name="0_BOUSHER AMERAT III_ORG CHART FOR CEO MEETING 2 3 4" xfId="10970" xr:uid="{00000000-0005-0000-0000-0000CC2A0000}"/>
    <cellStyle name="0_BOUSHER AMERAT III_ORG CHART FOR CEO MEETING 2 4" xfId="10971" xr:uid="{00000000-0005-0000-0000-0000CD2A0000}"/>
    <cellStyle name="0_BOUSHER AMERAT III_ORG CHART FOR CEO MEETING 2 4 2" xfId="10972" xr:uid="{00000000-0005-0000-0000-0000CE2A0000}"/>
    <cellStyle name="0_BOUSHER AMERAT III_ORG CHART FOR CEO MEETING 2 5" xfId="10973" xr:uid="{00000000-0005-0000-0000-0000CF2A0000}"/>
    <cellStyle name="0_BOUSHER AMERAT III_ORG CHART FOR CEO MEETING 2 5 2" xfId="10974" xr:uid="{00000000-0005-0000-0000-0000D02A0000}"/>
    <cellStyle name="0_BOUSHER AMERAT III_ORG CHART FOR CEO MEETING 2 6" xfId="10975" xr:uid="{00000000-0005-0000-0000-0000D12A0000}"/>
    <cellStyle name="0_BOUSHER AMERAT III_ORG CHART FOR CEO MEETING 3" xfId="10976" xr:uid="{00000000-0005-0000-0000-0000D22A0000}"/>
    <cellStyle name="0_BOUSHER AMERAT III_ORG CHART FOR CEO MEETING 3 2" xfId="10977" xr:uid="{00000000-0005-0000-0000-0000D32A0000}"/>
    <cellStyle name="0_BOUSHER AMERAT III_ORG CHART FOR CEO MEETING 3 2 2" xfId="10978" xr:uid="{00000000-0005-0000-0000-0000D42A0000}"/>
    <cellStyle name="0_BOUSHER AMERAT III_ORG CHART FOR CEO MEETING 3 3" xfId="10979" xr:uid="{00000000-0005-0000-0000-0000D52A0000}"/>
    <cellStyle name="0_BOUSHER AMERAT III_ORG CHART FOR CEO MEETING 3 3 2" xfId="10980" xr:uid="{00000000-0005-0000-0000-0000D62A0000}"/>
    <cellStyle name="0_BOUSHER AMERAT III_ORG CHART FOR CEO MEETING 3 4" xfId="10981" xr:uid="{00000000-0005-0000-0000-0000D72A0000}"/>
    <cellStyle name="0_BOUSHER AMERAT III_ORG CHART FOR CEO MEETING 3 5" xfId="10982" xr:uid="{00000000-0005-0000-0000-0000D82A0000}"/>
    <cellStyle name="0_BOUSHER AMERAT III_ORG CHART FOR CEO MEETING 4" xfId="10983" xr:uid="{00000000-0005-0000-0000-0000D92A0000}"/>
    <cellStyle name="0_BOUSHER AMERAT III_ORG CHART FOR CEO MEETING 4 2" xfId="10984" xr:uid="{00000000-0005-0000-0000-0000DA2A0000}"/>
    <cellStyle name="0_BOUSHER AMERAT III_ORG CHART FOR CEO MEETING 4 2 2" xfId="10985" xr:uid="{00000000-0005-0000-0000-0000DB2A0000}"/>
    <cellStyle name="0_BOUSHER AMERAT III_ORG CHART FOR CEO MEETING 4 3" xfId="10986" xr:uid="{00000000-0005-0000-0000-0000DC2A0000}"/>
    <cellStyle name="0_BOUSHER AMERAT III_ORG CHART FOR CEO MEETING 4 3 2" xfId="10987" xr:uid="{00000000-0005-0000-0000-0000DD2A0000}"/>
    <cellStyle name="0_BOUSHER AMERAT III_ORG CHART FOR CEO MEETING 4 4" xfId="10988" xr:uid="{00000000-0005-0000-0000-0000DE2A0000}"/>
    <cellStyle name="0_BOUSHER AMERAT III_ORG CHART FOR CEO MEETING 4 5" xfId="10989" xr:uid="{00000000-0005-0000-0000-0000DF2A0000}"/>
    <cellStyle name="0_BOUSHER AMERAT III_ORG CHART FOR CEO MEETING 5" xfId="10990" xr:uid="{00000000-0005-0000-0000-0000E02A0000}"/>
    <cellStyle name="0_BOUSHER AMERAT III_ORG CHART FOR CEO MEETING 5 2" xfId="10991" xr:uid="{00000000-0005-0000-0000-0000E12A0000}"/>
    <cellStyle name="0_BOUSHER AMERAT III_ORG CHART FOR CEO MEETING 5 3" xfId="10992" xr:uid="{00000000-0005-0000-0000-0000E22A0000}"/>
    <cellStyle name="0_BOUSHER AMERAT III_ORG CHART FOR CEO MEETING 5 4" xfId="10993" xr:uid="{00000000-0005-0000-0000-0000E32A0000}"/>
    <cellStyle name="0_BOUSHER AMERAT III_ORG CHART FOR CEO MEETING 5 5" xfId="10994" xr:uid="{00000000-0005-0000-0000-0000E42A0000}"/>
    <cellStyle name="0_BOUSHER AMERAT III_ORG CHART FOR CEO MEETING 6" xfId="10995" xr:uid="{00000000-0005-0000-0000-0000E52A0000}"/>
    <cellStyle name="0_BOUSHER AMERAT III_ORG CHART FOR CEO MEETING 6 2" xfId="10996" xr:uid="{00000000-0005-0000-0000-0000E62A0000}"/>
    <cellStyle name="0_BOUSHER AMERAT III_ORG CHART FOR CEO MEETING 6 3" xfId="10997" xr:uid="{00000000-0005-0000-0000-0000E72A0000}"/>
    <cellStyle name="0_BOUSHER AMERAT III_ORG CHART FOR CEO MEETING 6 4" xfId="10998" xr:uid="{00000000-0005-0000-0000-0000E82A0000}"/>
    <cellStyle name="0_BOUSHER AMERAT III_ORG CHART FOR CEO MEETING 6 5" xfId="10999" xr:uid="{00000000-0005-0000-0000-0000E92A0000}"/>
    <cellStyle name="0_BOUSHER AMERAT III_ORG CHART FOR CEO MEETING 7" xfId="11000" xr:uid="{00000000-0005-0000-0000-0000EA2A0000}"/>
    <cellStyle name="0_BOUSHER AMERAT III_ORG CHART FOR CEO MEETING 7 2" xfId="11001" xr:uid="{00000000-0005-0000-0000-0000EB2A0000}"/>
    <cellStyle name="0_BOUSHER AMERAT III_ORG CHART FOR CEO MEETING 7 3" xfId="11002" xr:uid="{00000000-0005-0000-0000-0000EC2A0000}"/>
    <cellStyle name="0_BOUSHER AMERAT III_ORG CHART FOR CEO MEETING 7 4" xfId="11003" xr:uid="{00000000-0005-0000-0000-0000ED2A0000}"/>
    <cellStyle name="0_BOUSHER AMERAT III_ORG CHART FOR CEO MEETING 7 5" xfId="11004" xr:uid="{00000000-0005-0000-0000-0000EE2A0000}"/>
    <cellStyle name="0_BOUSHER AMERAT III_ORG CHART FOR CEO MEETING 8" xfId="11005" xr:uid="{00000000-0005-0000-0000-0000EF2A0000}"/>
    <cellStyle name="0_BOUSHER AMERAT III_ORG CHART FOR CEO MEETING 8 2" xfId="11006" xr:uid="{00000000-0005-0000-0000-0000F02A0000}"/>
    <cellStyle name="0_BOUSHER AMERAT III_ORG CHART FOR CEO MEETING 8 3" xfId="11007" xr:uid="{00000000-0005-0000-0000-0000F12A0000}"/>
    <cellStyle name="0_BOUSHER AMERAT III_ORG CHART FOR CEO MEETING 8 4" xfId="11008" xr:uid="{00000000-0005-0000-0000-0000F22A0000}"/>
    <cellStyle name="0_BOUSHER AMERAT III_ORG CHART FOR CEO MEETING 8 5" xfId="11009" xr:uid="{00000000-0005-0000-0000-0000F32A0000}"/>
    <cellStyle name="0_BOUSHER AMERAT III_ORG CHART FOR CEO MEETING 9" xfId="11010" xr:uid="{00000000-0005-0000-0000-0000F42A0000}"/>
    <cellStyle name="0_BOUSHER AMERAT III_PER DEC 09" xfId="11011" xr:uid="{00000000-0005-0000-0000-0000F52A0000}"/>
    <cellStyle name="0_BOUSHER AMERAT III_PER DEC 09 10" xfId="11012" xr:uid="{00000000-0005-0000-0000-0000F62A0000}"/>
    <cellStyle name="0_BOUSHER AMERAT III_PER DEC 09 11" xfId="11013" xr:uid="{00000000-0005-0000-0000-0000F72A0000}"/>
    <cellStyle name="0_BOUSHER AMERAT III_PER DEC 09 12" xfId="11014" xr:uid="{00000000-0005-0000-0000-0000F82A0000}"/>
    <cellStyle name="0_BOUSHER AMERAT III_PER DEC 09 2" xfId="11015" xr:uid="{00000000-0005-0000-0000-0000F92A0000}"/>
    <cellStyle name="0_BOUSHER AMERAT III_PER DEC 09 2 2" xfId="11016" xr:uid="{00000000-0005-0000-0000-0000FA2A0000}"/>
    <cellStyle name="0_BOUSHER AMERAT III_PER DEC 09 2 2 2" xfId="11017" xr:uid="{00000000-0005-0000-0000-0000FB2A0000}"/>
    <cellStyle name="0_BOUSHER AMERAT III_PER DEC 09 2 2 2 2" xfId="11018" xr:uid="{00000000-0005-0000-0000-0000FC2A0000}"/>
    <cellStyle name="0_BOUSHER AMERAT III_PER DEC 09 2 2 3" xfId="11019" xr:uid="{00000000-0005-0000-0000-0000FD2A0000}"/>
    <cellStyle name="0_BOUSHER AMERAT III_PER DEC 09 2 2 3 2" xfId="11020" xr:uid="{00000000-0005-0000-0000-0000FE2A0000}"/>
    <cellStyle name="0_BOUSHER AMERAT III_PER DEC 09 2 2 4" xfId="11021" xr:uid="{00000000-0005-0000-0000-0000FF2A0000}"/>
    <cellStyle name="0_BOUSHER AMERAT III_PER DEC 09 2 3" xfId="11022" xr:uid="{00000000-0005-0000-0000-0000002B0000}"/>
    <cellStyle name="0_BOUSHER AMERAT III_PER DEC 09 2 3 2" xfId="11023" xr:uid="{00000000-0005-0000-0000-0000012B0000}"/>
    <cellStyle name="0_BOUSHER AMERAT III_PER DEC 09 2 3 2 2" xfId="11024" xr:uid="{00000000-0005-0000-0000-0000022B0000}"/>
    <cellStyle name="0_BOUSHER AMERAT III_PER DEC 09 2 3 3" xfId="11025" xr:uid="{00000000-0005-0000-0000-0000032B0000}"/>
    <cellStyle name="0_BOUSHER AMERAT III_PER DEC 09 2 3 3 2" xfId="11026" xr:uid="{00000000-0005-0000-0000-0000042B0000}"/>
    <cellStyle name="0_BOUSHER AMERAT III_PER DEC 09 2 3 4" xfId="11027" xr:uid="{00000000-0005-0000-0000-0000052B0000}"/>
    <cellStyle name="0_BOUSHER AMERAT III_PER DEC 09 2 4" xfId="11028" xr:uid="{00000000-0005-0000-0000-0000062B0000}"/>
    <cellStyle name="0_BOUSHER AMERAT III_PER DEC 09 2 4 2" xfId="11029" xr:uid="{00000000-0005-0000-0000-0000072B0000}"/>
    <cellStyle name="0_BOUSHER AMERAT III_PER DEC 09 2 5" xfId="11030" xr:uid="{00000000-0005-0000-0000-0000082B0000}"/>
    <cellStyle name="0_BOUSHER AMERAT III_PER DEC 09 2 5 2" xfId="11031" xr:uid="{00000000-0005-0000-0000-0000092B0000}"/>
    <cellStyle name="0_BOUSHER AMERAT III_PER DEC 09 2 6" xfId="11032" xr:uid="{00000000-0005-0000-0000-00000A2B0000}"/>
    <cellStyle name="0_BOUSHER AMERAT III_PER DEC 09 3" xfId="11033" xr:uid="{00000000-0005-0000-0000-00000B2B0000}"/>
    <cellStyle name="0_BOUSHER AMERAT III_PER DEC 09 3 2" xfId="11034" xr:uid="{00000000-0005-0000-0000-00000C2B0000}"/>
    <cellStyle name="0_BOUSHER AMERAT III_PER DEC 09 3 2 2" xfId="11035" xr:uid="{00000000-0005-0000-0000-00000D2B0000}"/>
    <cellStyle name="0_BOUSHER AMERAT III_PER DEC 09 3 3" xfId="11036" xr:uid="{00000000-0005-0000-0000-00000E2B0000}"/>
    <cellStyle name="0_BOUSHER AMERAT III_PER DEC 09 3 3 2" xfId="11037" xr:uid="{00000000-0005-0000-0000-00000F2B0000}"/>
    <cellStyle name="0_BOUSHER AMERAT III_PER DEC 09 3 4" xfId="11038" xr:uid="{00000000-0005-0000-0000-0000102B0000}"/>
    <cellStyle name="0_BOUSHER AMERAT III_PER DEC 09 3 5" xfId="11039" xr:uid="{00000000-0005-0000-0000-0000112B0000}"/>
    <cellStyle name="0_BOUSHER AMERAT III_PER DEC 09 4" xfId="11040" xr:uid="{00000000-0005-0000-0000-0000122B0000}"/>
    <cellStyle name="0_BOUSHER AMERAT III_PER DEC 09 4 2" xfId="11041" xr:uid="{00000000-0005-0000-0000-0000132B0000}"/>
    <cellStyle name="0_BOUSHER AMERAT III_PER DEC 09 4 2 2" xfId="11042" xr:uid="{00000000-0005-0000-0000-0000142B0000}"/>
    <cellStyle name="0_BOUSHER AMERAT III_PER DEC 09 4 3" xfId="11043" xr:uid="{00000000-0005-0000-0000-0000152B0000}"/>
    <cellStyle name="0_BOUSHER AMERAT III_PER DEC 09 4 3 2" xfId="11044" xr:uid="{00000000-0005-0000-0000-0000162B0000}"/>
    <cellStyle name="0_BOUSHER AMERAT III_PER DEC 09 4 4" xfId="11045" xr:uid="{00000000-0005-0000-0000-0000172B0000}"/>
    <cellStyle name="0_BOUSHER AMERAT III_PER DEC 09 4 5" xfId="11046" xr:uid="{00000000-0005-0000-0000-0000182B0000}"/>
    <cellStyle name="0_BOUSHER AMERAT III_PER DEC 09 5" xfId="11047" xr:uid="{00000000-0005-0000-0000-0000192B0000}"/>
    <cellStyle name="0_BOUSHER AMERAT III_PER DEC 09 5 2" xfId="11048" xr:uid="{00000000-0005-0000-0000-00001A2B0000}"/>
    <cellStyle name="0_BOUSHER AMERAT III_PER DEC 09 5 3" xfId="11049" xr:uid="{00000000-0005-0000-0000-00001B2B0000}"/>
    <cellStyle name="0_BOUSHER AMERAT III_PER DEC 09 5 4" xfId="11050" xr:uid="{00000000-0005-0000-0000-00001C2B0000}"/>
    <cellStyle name="0_BOUSHER AMERAT III_PER DEC 09 5 5" xfId="11051" xr:uid="{00000000-0005-0000-0000-00001D2B0000}"/>
    <cellStyle name="0_BOUSHER AMERAT III_PER DEC 09 6" xfId="11052" xr:uid="{00000000-0005-0000-0000-00001E2B0000}"/>
    <cellStyle name="0_BOUSHER AMERAT III_PER DEC 09 6 2" xfId="11053" xr:uid="{00000000-0005-0000-0000-00001F2B0000}"/>
    <cellStyle name="0_BOUSHER AMERAT III_PER DEC 09 6 3" xfId="11054" xr:uid="{00000000-0005-0000-0000-0000202B0000}"/>
    <cellStyle name="0_BOUSHER AMERAT III_PER DEC 09 6 4" xfId="11055" xr:uid="{00000000-0005-0000-0000-0000212B0000}"/>
    <cellStyle name="0_BOUSHER AMERAT III_PER DEC 09 6 5" xfId="11056" xr:uid="{00000000-0005-0000-0000-0000222B0000}"/>
    <cellStyle name="0_BOUSHER AMERAT III_PER DEC 09 7" xfId="11057" xr:uid="{00000000-0005-0000-0000-0000232B0000}"/>
    <cellStyle name="0_BOUSHER AMERAT III_PER DEC 09 7 2" xfId="11058" xr:uid="{00000000-0005-0000-0000-0000242B0000}"/>
    <cellStyle name="0_BOUSHER AMERAT III_PER DEC 09 7 3" xfId="11059" xr:uid="{00000000-0005-0000-0000-0000252B0000}"/>
    <cellStyle name="0_BOUSHER AMERAT III_PER DEC 09 7 4" xfId="11060" xr:uid="{00000000-0005-0000-0000-0000262B0000}"/>
    <cellStyle name="0_BOUSHER AMERAT III_PER DEC 09 7 5" xfId="11061" xr:uid="{00000000-0005-0000-0000-0000272B0000}"/>
    <cellStyle name="0_BOUSHER AMERAT III_PER DEC 09 8" xfId="11062" xr:uid="{00000000-0005-0000-0000-0000282B0000}"/>
    <cellStyle name="0_BOUSHER AMERAT III_PER DEC 09 8 2" xfId="11063" xr:uid="{00000000-0005-0000-0000-0000292B0000}"/>
    <cellStyle name="0_BOUSHER AMERAT III_PER DEC 09 8 3" xfId="11064" xr:uid="{00000000-0005-0000-0000-00002A2B0000}"/>
    <cellStyle name="0_BOUSHER AMERAT III_PER DEC 09 8 4" xfId="11065" xr:uid="{00000000-0005-0000-0000-00002B2B0000}"/>
    <cellStyle name="0_BOUSHER AMERAT III_PER DEC 09 8 5" xfId="11066" xr:uid="{00000000-0005-0000-0000-00002C2B0000}"/>
    <cellStyle name="0_BOUSHER AMERAT III_PER DEC 09 9" xfId="11067" xr:uid="{00000000-0005-0000-0000-00002D2B0000}"/>
    <cellStyle name="0_BOUSHER AMERAT III_S CURVE &amp; ORG CHA" xfId="11068" xr:uid="{00000000-0005-0000-0000-00002E2B0000}"/>
    <cellStyle name="0_BOUSHER AMERAT III_S CURVE &amp; ORG CHA 10" xfId="11069" xr:uid="{00000000-0005-0000-0000-00002F2B0000}"/>
    <cellStyle name="0_BOUSHER AMERAT III_S CURVE &amp; ORG CHA 11" xfId="11070" xr:uid="{00000000-0005-0000-0000-0000302B0000}"/>
    <cellStyle name="0_BOUSHER AMERAT III_S CURVE &amp; ORG CHA 12" xfId="11071" xr:uid="{00000000-0005-0000-0000-0000312B0000}"/>
    <cellStyle name="0_BOUSHER AMERAT III_S CURVE &amp; ORG CHA 2" xfId="11072" xr:uid="{00000000-0005-0000-0000-0000322B0000}"/>
    <cellStyle name="0_BOUSHER AMERAT III_S CURVE &amp; ORG CHA 2 2" xfId="11073" xr:uid="{00000000-0005-0000-0000-0000332B0000}"/>
    <cellStyle name="0_BOUSHER AMERAT III_S CURVE &amp; ORG CHA 2 2 2" xfId="11074" xr:uid="{00000000-0005-0000-0000-0000342B0000}"/>
    <cellStyle name="0_BOUSHER AMERAT III_S CURVE &amp; ORG CHA 2 2 2 2" xfId="11075" xr:uid="{00000000-0005-0000-0000-0000352B0000}"/>
    <cellStyle name="0_BOUSHER AMERAT III_S CURVE &amp; ORG CHA 2 2 3" xfId="11076" xr:uid="{00000000-0005-0000-0000-0000362B0000}"/>
    <cellStyle name="0_BOUSHER AMERAT III_S CURVE &amp; ORG CHA 2 2 3 2" xfId="11077" xr:uid="{00000000-0005-0000-0000-0000372B0000}"/>
    <cellStyle name="0_BOUSHER AMERAT III_S CURVE &amp; ORG CHA 2 2 4" xfId="11078" xr:uid="{00000000-0005-0000-0000-0000382B0000}"/>
    <cellStyle name="0_BOUSHER AMERAT III_S CURVE &amp; ORG CHA 2 3" xfId="11079" xr:uid="{00000000-0005-0000-0000-0000392B0000}"/>
    <cellStyle name="0_BOUSHER AMERAT III_S CURVE &amp; ORG CHA 2 3 2" xfId="11080" xr:uid="{00000000-0005-0000-0000-00003A2B0000}"/>
    <cellStyle name="0_BOUSHER AMERAT III_S CURVE &amp; ORG CHA 2 3 2 2" xfId="11081" xr:uid="{00000000-0005-0000-0000-00003B2B0000}"/>
    <cellStyle name="0_BOUSHER AMERAT III_S CURVE &amp; ORG CHA 2 3 3" xfId="11082" xr:uid="{00000000-0005-0000-0000-00003C2B0000}"/>
    <cellStyle name="0_BOUSHER AMERAT III_S CURVE &amp; ORG CHA 2 3 3 2" xfId="11083" xr:uid="{00000000-0005-0000-0000-00003D2B0000}"/>
    <cellStyle name="0_BOUSHER AMERAT III_S CURVE &amp; ORG CHA 2 3 4" xfId="11084" xr:uid="{00000000-0005-0000-0000-00003E2B0000}"/>
    <cellStyle name="0_BOUSHER AMERAT III_S CURVE &amp; ORG CHA 2 4" xfId="11085" xr:uid="{00000000-0005-0000-0000-00003F2B0000}"/>
    <cellStyle name="0_BOUSHER AMERAT III_S CURVE &amp; ORG CHA 2 4 2" xfId="11086" xr:uid="{00000000-0005-0000-0000-0000402B0000}"/>
    <cellStyle name="0_BOUSHER AMERAT III_S CURVE &amp; ORG CHA 2 5" xfId="11087" xr:uid="{00000000-0005-0000-0000-0000412B0000}"/>
    <cellStyle name="0_BOUSHER AMERAT III_S CURVE &amp; ORG CHA 2 5 2" xfId="11088" xr:uid="{00000000-0005-0000-0000-0000422B0000}"/>
    <cellStyle name="0_BOUSHER AMERAT III_S CURVE &amp; ORG CHA 2 6" xfId="11089" xr:uid="{00000000-0005-0000-0000-0000432B0000}"/>
    <cellStyle name="0_BOUSHER AMERAT III_S CURVE &amp; ORG CHA 3" xfId="11090" xr:uid="{00000000-0005-0000-0000-0000442B0000}"/>
    <cellStyle name="0_BOUSHER AMERAT III_S CURVE &amp; ORG CHA 3 2" xfId="11091" xr:uid="{00000000-0005-0000-0000-0000452B0000}"/>
    <cellStyle name="0_BOUSHER AMERAT III_S CURVE &amp; ORG CHA 3 2 2" xfId="11092" xr:uid="{00000000-0005-0000-0000-0000462B0000}"/>
    <cellStyle name="0_BOUSHER AMERAT III_S CURVE &amp; ORG CHA 3 3" xfId="11093" xr:uid="{00000000-0005-0000-0000-0000472B0000}"/>
    <cellStyle name="0_BOUSHER AMERAT III_S CURVE &amp; ORG CHA 3 3 2" xfId="11094" xr:uid="{00000000-0005-0000-0000-0000482B0000}"/>
    <cellStyle name="0_BOUSHER AMERAT III_S CURVE &amp; ORG CHA 3 4" xfId="11095" xr:uid="{00000000-0005-0000-0000-0000492B0000}"/>
    <cellStyle name="0_BOUSHER AMERAT III_S CURVE &amp; ORG CHA 3 5" xfId="11096" xr:uid="{00000000-0005-0000-0000-00004A2B0000}"/>
    <cellStyle name="0_BOUSHER AMERAT III_S CURVE &amp; ORG CHA 4" xfId="11097" xr:uid="{00000000-0005-0000-0000-00004B2B0000}"/>
    <cellStyle name="0_BOUSHER AMERAT III_S CURVE &amp; ORG CHA 4 2" xfId="11098" xr:uid="{00000000-0005-0000-0000-00004C2B0000}"/>
    <cellStyle name="0_BOUSHER AMERAT III_S CURVE &amp; ORG CHA 4 2 2" xfId="11099" xr:uid="{00000000-0005-0000-0000-00004D2B0000}"/>
    <cellStyle name="0_BOUSHER AMERAT III_S CURVE &amp; ORG CHA 4 3" xfId="11100" xr:uid="{00000000-0005-0000-0000-00004E2B0000}"/>
    <cellStyle name="0_BOUSHER AMERAT III_S CURVE &amp; ORG CHA 4 3 2" xfId="11101" xr:uid="{00000000-0005-0000-0000-00004F2B0000}"/>
    <cellStyle name="0_BOUSHER AMERAT III_S CURVE &amp; ORG CHA 4 4" xfId="11102" xr:uid="{00000000-0005-0000-0000-0000502B0000}"/>
    <cellStyle name="0_BOUSHER AMERAT III_S CURVE &amp; ORG CHA 4 5" xfId="11103" xr:uid="{00000000-0005-0000-0000-0000512B0000}"/>
    <cellStyle name="0_BOUSHER AMERAT III_S CURVE &amp; ORG CHA 5" xfId="11104" xr:uid="{00000000-0005-0000-0000-0000522B0000}"/>
    <cellStyle name="0_BOUSHER AMERAT III_S CURVE &amp; ORG CHA 5 2" xfId="11105" xr:uid="{00000000-0005-0000-0000-0000532B0000}"/>
    <cellStyle name="0_BOUSHER AMERAT III_S CURVE &amp; ORG CHA 5 3" xfId="11106" xr:uid="{00000000-0005-0000-0000-0000542B0000}"/>
    <cellStyle name="0_BOUSHER AMERAT III_S CURVE &amp; ORG CHA 5 4" xfId="11107" xr:uid="{00000000-0005-0000-0000-0000552B0000}"/>
    <cellStyle name="0_BOUSHER AMERAT III_S CURVE &amp; ORG CHA 5 5" xfId="11108" xr:uid="{00000000-0005-0000-0000-0000562B0000}"/>
    <cellStyle name="0_BOUSHER AMERAT III_S CURVE &amp; ORG CHA 6" xfId="11109" xr:uid="{00000000-0005-0000-0000-0000572B0000}"/>
    <cellStyle name="0_BOUSHER AMERAT III_S CURVE &amp; ORG CHA 6 2" xfId="11110" xr:uid="{00000000-0005-0000-0000-0000582B0000}"/>
    <cellStyle name="0_BOUSHER AMERAT III_S CURVE &amp; ORG CHA 6 3" xfId="11111" xr:uid="{00000000-0005-0000-0000-0000592B0000}"/>
    <cellStyle name="0_BOUSHER AMERAT III_S CURVE &amp; ORG CHA 6 4" xfId="11112" xr:uid="{00000000-0005-0000-0000-00005A2B0000}"/>
    <cellStyle name="0_BOUSHER AMERAT III_S CURVE &amp; ORG CHA 6 5" xfId="11113" xr:uid="{00000000-0005-0000-0000-00005B2B0000}"/>
    <cellStyle name="0_BOUSHER AMERAT III_S CURVE &amp; ORG CHA 7" xfId="11114" xr:uid="{00000000-0005-0000-0000-00005C2B0000}"/>
    <cellStyle name="0_BOUSHER AMERAT III_S CURVE &amp; ORG CHA 7 2" xfId="11115" xr:uid="{00000000-0005-0000-0000-00005D2B0000}"/>
    <cellStyle name="0_BOUSHER AMERAT III_S CURVE &amp; ORG CHA 7 3" xfId="11116" xr:uid="{00000000-0005-0000-0000-00005E2B0000}"/>
    <cellStyle name="0_BOUSHER AMERAT III_S CURVE &amp; ORG CHA 7 4" xfId="11117" xr:uid="{00000000-0005-0000-0000-00005F2B0000}"/>
    <cellStyle name="0_BOUSHER AMERAT III_S CURVE &amp; ORG CHA 7 5" xfId="11118" xr:uid="{00000000-0005-0000-0000-0000602B0000}"/>
    <cellStyle name="0_BOUSHER AMERAT III_S CURVE &amp; ORG CHA 8" xfId="11119" xr:uid="{00000000-0005-0000-0000-0000612B0000}"/>
    <cellStyle name="0_BOUSHER AMERAT III_S CURVE &amp; ORG CHA 8 2" xfId="11120" xr:uid="{00000000-0005-0000-0000-0000622B0000}"/>
    <cellStyle name="0_BOUSHER AMERAT III_S CURVE &amp; ORG CHA 8 3" xfId="11121" xr:uid="{00000000-0005-0000-0000-0000632B0000}"/>
    <cellStyle name="0_BOUSHER AMERAT III_S CURVE &amp; ORG CHA 8 4" xfId="11122" xr:uid="{00000000-0005-0000-0000-0000642B0000}"/>
    <cellStyle name="0_BOUSHER AMERAT III_S CURVE &amp; ORG CHA 8 5" xfId="11123" xr:uid="{00000000-0005-0000-0000-0000652B0000}"/>
    <cellStyle name="0_BOUSHER AMERAT III_S CURVE &amp; ORG CHA 9" xfId="11124" xr:uid="{00000000-0005-0000-0000-0000662B0000}"/>
    <cellStyle name="0_BOUSHER AMERAT III_S CURVE &amp; ORG CHART" xfId="11125" xr:uid="{00000000-0005-0000-0000-0000672B0000}"/>
    <cellStyle name="0_BOUSHER AMERAT III_S CURVE &amp; ORG CHART 10" xfId="11126" xr:uid="{00000000-0005-0000-0000-0000682B0000}"/>
    <cellStyle name="0_BOUSHER AMERAT III_S CURVE &amp; ORG CHART 11" xfId="11127" xr:uid="{00000000-0005-0000-0000-0000692B0000}"/>
    <cellStyle name="0_BOUSHER AMERAT III_S CURVE &amp; ORG CHART 12" xfId="11128" xr:uid="{00000000-0005-0000-0000-00006A2B0000}"/>
    <cellStyle name="0_BOUSHER AMERAT III_S CURVE &amp; ORG CHART 2" xfId="11129" xr:uid="{00000000-0005-0000-0000-00006B2B0000}"/>
    <cellStyle name="0_BOUSHER AMERAT III_S CURVE &amp; ORG CHART 2 2" xfId="11130" xr:uid="{00000000-0005-0000-0000-00006C2B0000}"/>
    <cellStyle name="0_BOUSHER AMERAT III_S CURVE &amp; ORG CHART 2 2 2" xfId="11131" xr:uid="{00000000-0005-0000-0000-00006D2B0000}"/>
    <cellStyle name="0_BOUSHER AMERAT III_S CURVE &amp; ORG CHART 2 2 2 2" xfId="11132" xr:uid="{00000000-0005-0000-0000-00006E2B0000}"/>
    <cellStyle name="0_BOUSHER AMERAT III_S CURVE &amp; ORG CHART 2 2 3" xfId="11133" xr:uid="{00000000-0005-0000-0000-00006F2B0000}"/>
    <cellStyle name="0_BOUSHER AMERAT III_S CURVE &amp; ORG CHART 2 2 3 2" xfId="11134" xr:uid="{00000000-0005-0000-0000-0000702B0000}"/>
    <cellStyle name="0_BOUSHER AMERAT III_S CURVE &amp; ORG CHART 2 2 4" xfId="11135" xr:uid="{00000000-0005-0000-0000-0000712B0000}"/>
    <cellStyle name="0_BOUSHER AMERAT III_S CURVE &amp; ORG CHART 2 3" xfId="11136" xr:uid="{00000000-0005-0000-0000-0000722B0000}"/>
    <cellStyle name="0_BOUSHER AMERAT III_S CURVE &amp; ORG CHART 2 3 2" xfId="11137" xr:uid="{00000000-0005-0000-0000-0000732B0000}"/>
    <cellStyle name="0_BOUSHER AMERAT III_S CURVE &amp; ORG CHART 2 3 2 2" xfId="11138" xr:uid="{00000000-0005-0000-0000-0000742B0000}"/>
    <cellStyle name="0_BOUSHER AMERAT III_S CURVE &amp; ORG CHART 2 3 3" xfId="11139" xr:uid="{00000000-0005-0000-0000-0000752B0000}"/>
    <cellStyle name="0_BOUSHER AMERAT III_S CURVE &amp; ORG CHART 2 3 3 2" xfId="11140" xr:uid="{00000000-0005-0000-0000-0000762B0000}"/>
    <cellStyle name="0_BOUSHER AMERAT III_S CURVE &amp; ORG CHART 2 3 4" xfId="11141" xr:uid="{00000000-0005-0000-0000-0000772B0000}"/>
    <cellStyle name="0_BOUSHER AMERAT III_S CURVE &amp; ORG CHART 2 4" xfId="11142" xr:uid="{00000000-0005-0000-0000-0000782B0000}"/>
    <cellStyle name="0_BOUSHER AMERAT III_S CURVE &amp; ORG CHART 2 4 2" xfId="11143" xr:uid="{00000000-0005-0000-0000-0000792B0000}"/>
    <cellStyle name="0_BOUSHER AMERAT III_S CURVE &amp; ORG CHART 2 5" xfId="11144" xr:uid="{00000000-0005-0000-0000-00007A2B0000}"/>
    <cellStyle name="0_BOUSHER AMERAT III_S CURVE &amp; ORG CHART 2 5 2" xfId="11145" xr:uid="{00000000-0005-0000-0000-00007B2B0000}"/>
    <cellStyle name="0_BOUSHER AMERAT III_S CURVE &amp; ORG CHART 2 6" xfId="11146" xr:uid="{00000000-0005-0000-0000-00007C2B0000}"/>
    <cellStyle name="0_BOUSHER AMERAT III_S CURVE &amp; ORG CHART 3" xfId="11147" xr:uid="{00000000-0005-0000-0000-00007D2B0000}"/>
    <cellStyle name="0_BOUSHER AMERAT III_S CURVE &amp; ORG CHART 3 2" xfId="11148" xr:uid="{00000000-0005-0000-0000-00007E2B0000}"/>
    <cellStyle name="0_BOUSHER AMERAT III_S CURVE &amp; ORG CHART 3 2 2" xfId="11149" xr:uid="{00000000-0005-0000-0000-00007F2B0000}"/>
    <cellStyle name="0_BOUSHER AMERAT III_S CURVE &amp; ORG CHART 3 3" xfId="11150" xr:uid="{00000000-0005-0000-0000-0000802B0000}"/>
    <cellStyle name="0_BOUSHER AMERAT III_S CURVE &amp; ORG CHART 3 3 2" xfId="11151" xr:uid="{00000000-0005-0000-0000-0000812B0000}"/>
    <cellStyle name="0_BOUSHER AMERAT III_S CURVE &amp; ORG CHART 3 4" xfId="11152" xr:uid="{00000000-0005-0000-0000-0000822B0000}"/>
    <cellStyle name="0_BOUSHER AMERAT III_S CURVE &amp; ORG CHART 3 5" xfId="11153" xr:uid="{00000000-0005-0000-0000-0000832B0000}"/>
    <cellStyle name="0_BOUSHER AMERAT III_S CURVE &amp; ORG CHART 4" xfId="11154" xr:uid="{00000000-0005-0000-0000-0000842B0000}"/>
    <cellStyle name="0_BOUSHER AMERAT III_S CURVE &amp; ORG CHART 4 2" xfId="11155" xr:uid="{00000000-0005-0000-0000-0000852B0000}"/>
    <cellStyle name="0_BOUSHER AMERAT III_S CURVE &amp; ORG CHART 4 2 2" xfId="11156" xr:uid="{00000000-0005-0000-0000-0000862B0000}"/>
    <cellStyle name="0_BOUSHER AMERAT III_S CURVE &amp; ORG CHART 4 3" xfId="11157" xr:uid="{00000000-0005-0000-0000-0000872B0000}"/>
    <cellStyle name="0_BOUSHER AMERAT III_S CURVE &amp; ORG CHART 4 3 2" xfId="11158" xr:uid="{00000000-0005-0000-0000-0000882B0000}"/>
    <cellStyle name="0_BOUSHER AMERAT III_S CURVE &amp; ORG CHART 4 4" xfId="11159" xr:uid="{00000000-0005-0000-0000-0000892B0000}"/>
    <cellStyle name="0_BOUSHER AMERAT III_S CURVE &amp; ORG CHART 4 5" xfId="11160" xr:uid="{00000000-0005-0000-0000-00008A2B0000}"/>
    <cellStyle name="0_BOUSHER AMERAT III_S CURVE &amp; ORG CHART 5" xfId="11161" xr:uid="{00000000-0005-0000-0000-00008B2B0000}"/>
    <cellStyle name="0_BOUSHER AMERAT III_S CURVE &amp; ORG CHART 5 2" xfId="11162" xr:uid="{00000000-0005-0000-0000-00008C2B0000}"/>
    <cellStyle name="0_BOUSHER AMERAT III_S CURVE &amp; ORG CHART 5 3" xfId="11163" xr:uid="{00000000-0005-0000-0000-00008D2B0000}"/>
    <cellStyle name="0_BOUSHER AMERAT III_S CURVE &amp; ORG CHART 5 4" xfId="11164" xr:uid="{00000000-0005-0000-0000-00008E2B0000}"/>
    <cellStyle name="0_BOUSHER AMERAT III_S CURVE &amp; ORG CHART 5 5" xfId="11165" xr:uid="{00000000-0005-0000-0000-00008F2B0000}"/>
    <cellStyle name="0_BOUSHER AMERAT III_S CURVE &amp; ORG CHART 6" xfId="11166" xr:uid="{00000000-0005-0000-0000-0000902B0000}"/>
    <cellStyle name="0_BOUSHER AMERAT III_S CURVE &amp; ORG CHART 6 2" xfId="11167" xr:uid="{00000000-0005-0000-0000-0000912B0000}"/>
    <cellStyle name="0_BOUSHER AMERAT III_S CURVE &amp; ORG CHART 6 3" xfId="11168" xr:uid="{00000000-0005-0000-0000-0000922B0000}"/>
    <cellStyle name="0_BOUSHER AMERAT III_S CURVE &amp; ORG CHART 6 4" xfId="11169" xr:uid="{00000000-0005-0000-0000-0000932B0000}"/>
    <cellStyle name="0_BOUSHER AMERAT III_S CURVE &amp; ORG CHART 6 5" xfId="11170" xr:uid="{00000000-0005-0000-0000-0000942B0000}"/>
    <cellStyle name="0_BOUSHER AMERAT III_S CURVE &amp; ORG CHART 7" xfId="11171" xr:uid="{00000000-0005-0000-0000-0000952B0000}"/>
    <cellStyle name="0_BOUSHER AMERAT III_S CURVE &amp; ORG CHART 7 2" xfId="11172" xr:uid="{00000000-0005-0000-0000-0000962B0000}"/>
    <cellStyle name="0_BOUSHER AMERAT III_S CURVE &amp; ORG CHART 7 3" xfId="11173" xr:uid="{00000000-0005-0000-0000-0000972B0000}"/>
    <cellStyle name="0_BOUSHER AMERAT III_S CURVE &amp; ORG CHART 7 4" xfId="11174" xr:uid="{00000000-0005-0000-0000-0000982B0000}"/>
    <cellStyle name="0_BOUSHER AMERAT III_S CURVE &amp; ORG CHART 7 5" xfId="11175" xr:uid="{00000000-0005-0000-0000-0000992B0000}"/>
    <cellStyle name="0_BOUSHER AMERAT III_S CURVE &amp; ORG CHART 8" xfId="11176" xr:uid="{00000000-0005-0000-0000-00009A2B0000}"/>
    <cellStyle name="0_BOUSHER AMERAT III_S CURVE &amp; ORG CHART 8 2" xfId="11177" xr:uid="{00000000-0005-0000-0000-00009B2B0000}"/>
    <cellStyle name="0_BOUSHER AMERAT III_S CURVE &amp; ORG CHART 8 3" xfId="11178" xr:uid="{00000000-0005-0000-0000-00009C2B0000}"/>
    <cellStyle name="0_BOUSHER AMERAT III_S CURVE &amp; ORG CHART 8 4" xfId="11179" xr:uid="{00000000-0005-0000-0000-00009D2B0000}"/>
    <cellStyle name="0_BOUSHER AMERAT III_S CURVE &amp; ORG CHART 8 5" xfId="11180" xr:uid="{00000000-0005-0000-0000-00009E2B0000}"/>
    <cellStyle name="0_BOUSHER AMERAT III_S CURVE &amp; ORG CHART 9" xfId="11181" xr:uid="{00000000-0005-0000-0000-00009F2B0000}"/>
    <cellStyle name="0_BP FORMATS 6128" xfId="11182" xr:uid="{00000000-0005-0000-0000-0000A02B0000}"/>
    <cellStyle name="0_BP FORMATS 6128 10" xfId="11183" xr:uid="{00000000-0005-0000-0000-0000A12B0000}"/>
    <cellStyle name="0_BP FORMATS 6128 11" xfId="11184" xr:uid="{00000000-0005-0000-0000-0000A22B0000}"/>
    <cellStyle name="0_BP FORMATS 6128 12" xfId="11185" xr:uid="{00000000-0005-0000-0000-0000A32B0000}"/>
    <cellStyle name="0_BP FORMATS 6128 2" xfId="11186" xr:uid="{00000000-0005-0000-0000-0000A42B0000}"/>
    <cellStyle name="0_BP FORMATS 6128 2 2" xfId="11187" xr:uid="{00000000-0005-0000-0000-0000A52B0000}"/>
    <cellStyle name="0_BP FORMATS 6128 2 2 2" xfId="11188" xr:uid="{00000000-0005-0000-0000-0000A62B0000}"/>
    <cellStyle name="0_BP FORMATS 6128 2 2 2 2" xfId="11189" xr:uid="{00000000-0005-0000-0000-0000A72B0000}"/>
    <cellStyle name="0_BP FORMATS 6128 2 2 3" xfId="11190" xr:uid="{00000000-0005-0000-0000-0000A82B0000}"/>
    <cellStyle name="0_BP FORMATS 6128 2 2 3 2" xfId="11191" xr:uid="{00000000-0005-0000-0000-0000A92B0000}"/>
    <cellStyle name="0_BP FORMATS 6128 2 2 4" xfId="11192" xr:uid="{00000000-0005-0000-0000-0000AA2B0000}"/>
    <cellStyle name="0_BP FORMATS 6128 2 3" xfId="11193" xr:uid="{00000000-0005-0000-0000-0000AB2B0000}"/>
    <cellStyle name="0_BP FORMATS 6128 2 3 2" xfId="11194" xr:uid="{00000000-0005-0000-0000-0000AC2B0000}"/>
    <cellStyle name="0_BP FORMATS 6128 2 3 2 2" xfId="11195" xr:uid="{00000000-0005-0000-0000-0000AD2B0000}"/>
    <cellStyle name="0_BP FORMATS 6128 2 3 3" xfId="11196" xr:uid="{00000000-0005-0000-0000-0000AE2B0000}"/>
    <cellStyle name="0_BP FORMATS 6128 2 3 3 2" xfId="11197" xr:uid="{00000000-0005-0000-0000-0000AF2B0000}"/>
    <cellStyle name="0_BP FORMATS 6128 2 3 4" xfId="11198" xr:uid="{00000000-0005-0000-0000-0000B02B0000}"/>
    <cellStyle name="0_BP FORMATS 6128 2 4" xfId="11199" xr:uid="{00000000-0005-0000-0000-0000B12B0000}"/>
    <cellStyle name="0_BP FORMATS 6128 2 4 2" xfId="11200" xr:uid="{00000000-0005-0000-0000-0000B22B0000}"/>
    <cellStyle name="0_BP FORMATS 6128 2 5" xfId="11201" xr:uid="{00000000-0005-0000-0000-0000B32B0000}"/>
    <cellStyle name="0_BP FORMATS 6128 2 5 2" xfId="11202" xr:uid="{00000000-0005-0000-0000-0000B42B0000}"/>
    <cellStyle name="0_BP FORMATS 6128 2 6" xfId="11203" xr:uid="{00000000-0005-0000-0000-0000B52B0000}"/>
    <cellStyle name="0_BP FORMATS 6128 3" xfId="11204" xr:uid="{00000000-0005-0000-0000-0000B62B0000}"/>
    <cellStyle name="0_BP FORMATS 6128 3 2" xfId="11205" xr:uid="{00000000-0005-0000-0000-0000B72B0000}"/>
    <cellStyle name="0_BP FORMATS 6128 3 2 2" xfId="11206" xr:uid="{00000000-0005-0000-0000-0000B82B0000}"/>
    <cellStyle name="0_BP FORMATS 6128 3 3" xfId="11207" xr:uid="{00000000-0005-0000-0000-0000B92B0000}"/>
    <cellStyle name="0_BP FORMATS 6128 3 3 2" xfId="11208" xr:uid="{00000000-0005-0000-0000-0000BA2B0000}"/>
    <cellStyle name="0_BP FORMATS 6128 3 4" xfId="11209" xr:uid="{00000000-0005-0000-0000-0000BB2B0000}"/>
    <cellStyle name="0_BP FORMATS 6128 3 5" xfId="11210" xr:uid="{00000000-0005-0000-0000-0000BC2B0000}"/>
    <cellStyle name="0_BP FORMATS 6128 4" xfId="11211" xr:uid="{00000000-0005-0000-0000-0000BD2B0000}"/>
    <cellStyle name="0_BP FORMATS 6128 4 2" xfId="11212" xr:uid="{00000000-0005-0000-0000-0000BE2B0000}"/>
    <cellStyle name="0_BP FORMATS 6128 4 2 2" xfId="11213" xr:uid="{00000000-0005-0000-0000-0000BF2B0000}"/>
    <cellStyle name="0_BP FORMATS 6128 4 3" xfId="11214" xr:uid="{00000000-0005-0000-0000-0000C02B0000}"/>
    <cellStyle name="0_BP FORMATS 6128 4 3 2" xfId="11215" xr:uid="{00000000-0005-0000-0000-0000C12B0000}"/>
    <cellStyle name="0_BP FORMATS 6128 4 4" xfId="11216" xr:uid="{00000000-0005-0000-0000-0000C22B0000}"/>
    <cellStyle name="0_BP FORMATS 6128 4 5" xfId="11217" xr:uid="{00000000-0005-0000-0000-0000C32B0000}"/>
    <cellStyle name="0_BP FORMATS 6128 5" xfId="11218" xr:uid="{00000000-0005-0000-0000-0000C42B0000}"/>
    <cellStyle name="0_BP FORMATS 6128 5 2" xfId="11219" xr:uid="{00000000-0005-0000-0000-0000C52B0000}"/>
    <cellStyle name="0_BP FORMATS 6128 5 3" xfId="11220" xr:uid="{00000000-0005-0000-0000-0000C62B0000}"/>
    <cellStyle name="0_BP FORMATS 6128 5 4" xfId="11221" xr:uid="{00000000-0005-0000-0000-0000C72B0000}"/>
    <cellStyle name="0_BP FORMATS 6128 5 5" xfId="11222" xr:uid="{00000000-0005-0000-0000-0000C82B0000}"/>
    <cellStyle name="0_BP FORMATS 6128 6" xfId="11223" xr:uid="{00000000-0005-0000-0000-0000C92B0000}"/>
    <cellStyle name="0_BP FORMATS 6128 6 2" xfId="11224" xr:uid="{00000000-0005-0000-0000-0000CA2B0000}"/>
    <cellStyle name="0_BP FORMATS 6128 6 3" xfId="11225" xr:uid="{00000000-0005-0000-0000-0000CB2B0000}"/>
    <cellStyle name="0_BP FORMATS 6128 6 4" xfId="11226" xr:uid="{00000000-0005-0000-0000-0000CC2B0000}"/>
    <cellStyle name="0_BP FORMATS 6128 6 5" xfId="11227" xr:uid="{00000000-0005-0000-0000-0000CD2B0000}"/>
    <cellStyle name="0_BP FORMATS 6128 7" xfId="11228" xr:uid="{00000000-0005-0000-0000-0000CE2B0000}"/>
    <cellStyle name="0_BP FORMATS 6128 7 2" xfId="11229" xr:uid="{00000000-0005-0000-0000-0000CF2B0000}"/>
    <cellStyle name="0_BP FORMATS 6128 7 3" xfId="11230" xr:uid="{00000000-0005-0000-0000-0000D02B0000}"/>
    <cellStyle name="0_BP FORMATS 6128 7 4" xfId="11231" xr:uid="{00000000-0005-0000-0000-0000D12B0000}"/>
    <cellStyle name="0_BP FORMATS 6128 7 5" xfId="11232" xr:uid="{00000000-0005-0000-0000-0000D22B0000}"/>
    <cellStyle name="0_BP FORMATS 6128 8" xfId="11233" xr:uid="{00000000-0005-0000-0000-0000D32B0000}"/>
    <cellStyle name="0_BP FORMATS 6128 8 2" xfId="11234" xr:uid="{00000000-0005-0000-0000-0000D42B0000}"/>
    <cellStyle name="0_BP FORMATS 6128 8 3" xfId="11235" xr:uid="{00000000-0005-0000-0000-0000D52B0000}"/>
    <cellStyle name="0_BP FORMATS 6128 8 4" xfId="11236" xr:uid="{00000000-0005-0000-0000-0000D62B0000}"/>
    <cellStyle name="0_BP FORMATS 6128 8 5" xfId="11237" xr:uid="{00000000-0005-0000-0000-0000D72B0000}"/>
    <cellStyle name="0_BP FORMATS 6128 9" xfId="11238" xr:uid="{00000000-0005-0000-0000-0000D82B0000}"/>
    <cellStyle name="0_BP Formats-2009" xfId="11239" xr:uid="{00000000-0005-0000-0000-0000D92B0000}"/>
    <cellStyle name="0_BP Formats-2009 2" xfId="11240" xr:uid="{00000000-0005-0000-0000-0000DA2B0000}"/>
    <cellStyle name="0_BP Formats-2009 2 2" xfId="11241" xr:uid="{00000000-0005-0000-0000-0000DB2B0000}"/>
    <cellStyle name="0_BP Formats-2009 2 2 2" xfId="11242" xr:uid="{00000000-0005-0000-0000-0000DC2B0000}"/>
    <cellStyle name="0_BP Formats-2009 2 3" xfId="11243" xr:uid="{00000000-0005-0000-0000-0000DD2B0000}"/>
    <cellStyle name="0_BP Formats-2009 2 3 2" xfId="11244" xr:uid="{00000000-0005-0000-0000-0000DE2B0000}"/>
    <cellStyle name="0_BP Formats-2009 2 4" xfId="11245" xr:uid="{00000000-0005-0000-0000-0000DF2B0000}"/>
    <cellStyle name="0_BP Formats-2009 2 4 2" xfId="11246" xr:uid="{00000000-0005-0000-0000-0000E02B0000}"/>
    <cellStyle name="0_BP Formats-2009 2 5" xfId="11247" xr:uid="{00000000-0005-0000-0000-0000E12B0000}"/>
    <cellStyle name="0_BP Formats-2009 2 6" xfId="11248" xr:uid="{00000000-0005-0000-0000-0000E22B0000}"/>
    <cellStyle name="0_BP Formats-2009 2 7" xfId="11249" xr:uid="{00000000-0005-0000-0000-0000E32B0000}"/>
    <cellStyle name="0_BP Formats-2009 3" xfId="11250" xr:uid="{00000000-0005-0000-0000-0000E42B0000}"/>
    <cellStyle name="0_BP Formats-2009 3 2" xfId="11251" xr:uid="{00000000-0005-0000-0000-0000E52B0000}"/>
    <cellStyle name="0_BP Formats-2009 4" xfId="11252" xr:uid="{00000000-0005-0000-0000-0000E62B0000}"/>
    <cellStyle name="0_BP Formats-2009 5" xfId="11253" xr:uid="{00000000-0005-0000-0000-0000E72B0000}"/>
    <cellStyle name="0_BP Formats-2009 6" xfId="11254" xr:uid="{00000000-0005-0000-0000-0000E82B0000}"/>
    <cellStyle name="0_BP Formats-2009 7" xfId="11255" xr:uid="{00000000-0005-0000-0000-0000E92B0000}"/>
    <cellStyle name="0_BP Formats-2009 8" xfId="11256" xr:uid="{00000000-0005-0000-0000-0000EA2B0000}"/>
    <cellStyle name="0_BP Formats-2009 9" xfId="11257" xr:uid="{00000000-0005-0000-0000-0000EB2B0000}"/>
    <cellStyle name="0_BP Formats-2009_4012_BP 2009 Rev.01" xfId="11258" xr:uid="{00000000-0005-0000-0000-0000EC2B0000}"/>
    <cellStyle name="0_BP Formats-2009_4012_BP 2009 Rev.01 2" xfId="11259" xr:uid="{00000000-0005-0000-0000-0000ED2B0000}"/>
    <cellStyle name="0_BP Formats-2009_4012_BP 2009 Rev.01 2 2" xfId="11260" xr:uid="{00000000-0005-0000-0000-0000EE2B0000}"/>
    <cellStyle name="0_BP Formats-2009_4012_BP 2009 Rev.01 2 2 2" xfId="11261" xr:uid="{00000000-0005-0000-0000-0000EF2B0000}"/>
    <cellStyle name="0_BP Formats-2009_4012_BP 2009 Rev.01 2 3" xfId="11262" xr:uid="{00000000-0005-0000-0000-0000F02B0000}"/>
    <cellStyle name="0_BP Formats-2009_4012_BP 2009 Rev.01 2 3 2" xfId="11263" xr:uid="{00000000-0005-0000-0000-0000F12B0000}"/>
    <cellStyle name="0_BP Formats-2009_4012_BP 2009 Rev.01 2 4" xfId="11264" xr:uid="{00000000-0005-0000-0000-0000F22B0000}"/>
    <cellStyle name="0_BP Formats-2009_4012_BP 2009 Rev.01 2 4 2" xfId="11265" xr:uid="{00000000-0005-0000-0000-0000F32B0000}"/>
    <cellStyle name="0_BP Formats-2009_4012_BP 2009 Rev.01 2 5" xfId="11266" xr:uid="{00000000-0005-0000-0000-0000F42B0000}"/>
    <cellStyle name="0_BP Formats-2009_4012_BP 2009 Rev.01 2 6" xfId="11267" xr:uid="{00000000-0005-0000-0000-0000F52B0000}"/>
    <cellStyle name="0_BP Formats-2009_4012_BP 2009 Rev.01 2 7" xfId="11268" xr:uid="{00000000-0005-0000-0000-0000F62B0000}"/>
    <cellStyle name="0_BP Formats-2009_4012_BP 2009 Rev.01 3" xfId="11269" xr:uid="{00000000-0005-0000-0000-0000F72B0000}"/>
    <cellStyle name="0_BP Formats-2009_4012_BP 2009 Rev.01 3 2" xfId="11270" xr:uid="{00000000-0005-0000-0000-0000F82B0000}"/>
    <cellStyle name="0_BP Formats-2009_4012_BP 2009 Rev.01 4" xfId="11271" xr:uid="{00000000-0005-0000-0000-0000F92B0000}"/>
    <cellStyle name="0_BP Formats-2009_4012_BP 2009 Rev.01 5" xfId="11272" xr:uid="{00000000-0005-0000-0000-0000FA2B0000}"/>
    <cellStyle name="0_BP Formats-2009_4012_BP 2009 Rev.01 6" xfId="11273" xr:uid="{00000000-0005-0000-0000-0000FB2B0000}"/>
    <cellStyle name="0_BP Formats-2009_4012_BP 2009 Rev.01 7" xfId="11274" xr:uid="{00000000-0005-0000-0000-0000FC2B0000}"/>
    <cellStyle name="0_BP Formats-2009_4012_BP 2009 Rev.01 8" xfId="11275" xr:uid="{00000000-0005-0000-0000-0000FD2B0000}"/>
    <cellStyle name="0_BP Formats-2009_4012_BP 2009 Rev.01 9" xfId="11276" xr:uid="{00000000-0005-0000-0000-0000FE2B0000}"/>
    <cellStyle name="0_BP Formats-2009_Risk &amp; Mitigation" xfId="11277" xr:uid="{00000000-0005-0000-0000-0000FF2B0000}"/>
    <cellStyle name="0_BP Formats-2009_Risk &amp; Mitigation 2" xfId="11278" xr:uid="{00000000-0005-0000-0000-0000002C0000}"/>
    <cellStyle name="0_BP Formats-2009_Risk &amp; Mitigation 2 2" xfId="11279" xr:uid="{00000000-0005-0000-0000-0000012C0000}"/>
    <cellStyle name="0_BP Formats-2009_Risk &amp; Mitigation 2 2 2" xfId="11280" xr:uid="{00000000-0005-0000-0000-0000022C0000}"/>
    <cellStyle name="0_BP Formats-2009_Risk &amp; Mitigation 2 3" xfId="11281" xr:uid="{00000000-0005-0000-0000-0000032C0000}"/>
    <cellStyle name="0_BP Formats-2009_Risk &amp; Mitigation 2 3 2" xfId="11282" xr:uid="{00000000-0005-0000-0000-0000042C0000}"/>
    <cellStyle name="0_BP Formats-2009_Risk &amp; Mitigation 2 4" xfId="11283" xr:uid="{00000000-0005-0000-0000-0000052C0000}"/>
    <cellStyle name="0_BP Formats-2009_Risk &amp; Mitigation 2 4 2" xfId="11284" xr:uid="{00000000-0005-0000-0000-0000062C0000}"/>
    <cellStyle name="0_BP Formats-2009_Risk &amp; Mitigation 2 5" xfId="11285" xr:uid="{00000000-0005-0000-0000-0000072C0000}"/>
    <cellStyle name="0_BP Formats-2009_Risk &amp; Mitigation 2 6" xfId="11286" xr:uid="{00000000-0005-0000-0000-0000082C0000}"/>
    <cellStyle name="0_BP Formats-2009_Risk &amp; Mitigation 2 7" xfId="11287" xr:uid="{00000000-0005-0000-0000-0000092C0000}"/>
    <cellStyle name="0_BP Formats-2009_Risk &amp; Mitigation 3" xfId="11288" xr:uid="{00000000-0005-0000-0000-00000A2C0000}"/>
    <cellStyle name="0_BP Formats-2009_Risk &amp; Mitigation 3 2" xfId="11289" xr:uid="{00000000-0005-0000-0000-00000B2C0000}"/>
    <cellStyle name="0_BP Formats-2009_Risk &amp; Mitigation 4" xfId="11290" xr:uid="{00000000-0005-0000-0000-00000C2C0000}"/>
    <cellStyle name="0_BP Formats-2009_Risk &amp; Mitigation 5" xfId="11291" xr:uid="{00000000-0005-0000-0000-00000D2C0000}"/>
    <cellStyle name="0_BP Formats-2009_Risk &amp; Mitigation 6" xfId="11292" xr:uid="{00000000-0005-0000-0000-00000E2C0000}"/>
    <cellStyle name="0_BP Formats-2009_Risk &amp; Mitigation 7" xfId="11293" xr:uid="{00000000-0005-0000-0000-00000F2C0000}"/>
    <cellStyle name="0_BP Formats-2009_Risk &amp; Mitigation 8" xfId="11294" xr:uid="{00000000-0005-0000-0000-0000102C0000}"/>
    <cellStyle name="0_BP Formats-2009_Risk &amp; Mitigation 9" xfId="11295" xr:uid="{00000000-0005-0000-0000-0000112C0000}"/>
    <cellStyle name="0_BP -Q2-09 Duqm -supporting dcmnts" xfId="11296" xr:uid="{00000000-0005-0000-0000-0000122C0000}"/>
    <cellStyle name="0_BP -Q2-09 Duqm -supporting dcmnts 2" xfId="11297" xr:uid="{00000000-0005-0000-0000-0000132C0000}"/>
    <cellStyle name="0_BP -Q2-09 Duqm -supporting dcmnts 2 2" xfId="11298" xr:uid="{00000000-0005-0000-0000-0000142C0000}"/>
    <cellStyle name="0_BP -Q2-09 Duqm -supporting dcmnts 2 2 2" xfId="11299" xr:uid="{00000000-0005-0000-0000-0000152C0000}"/>
    <cellStyle name="0_BP -Q2-09 Duqm -supporting dcmnts 2 3" xfId="11300" xr:uid="{00000000-0005-0000-0000-0000162C0000}"/>
    <cellStyle name="0_BP -Q2-09 Duqm -supporting dcmnts 2 3 2" xfId="11301" xr:uid="{00000000-0005-0000-0000-0000172C0000}"/>
    <cellStyle name="0_BP -Q2-09 Duqm -supporting dcmnts 2 4" xfId="11302" xr:uid="{00000000-0005-0000-0000-0000182C0000}"/>
    <cellStyle name="0_BP -Q2-09 Duqm -supporting dcmnts 2 4 2" xfId="11303" xr:uid="{00000000-0005-0000-0000-0000192C0000}"/>
    <cellStyle name="0_BP -Q2-09 Duqm -supporting dcmnts 2 5" xfId="11304" xr:uid="{00000000-0005-0000-0000-00001A2C0000}"/>
    <cellStyle name="0_BP -Q2-09 Duqm -supporting dcmnts 2 6" xfId="11305" xr:uid="{00000000-0005-0000-0000-00001B2C0000}"/>
    <cellStyle name="0_BP -Q2-09 Duqm -supporting dcmnts 2 7" xfId="11306" xr:uid="{00000000-0005-0000-0000-00001C2C0000}"/>
    <cellStyle name="0_BP -Q2-09 Duqm -supporting dcmnts 3" xfId="11307" xr:uid="{00000000-0005-0000-0000-00001D2C0000}"/>
    <cellStyle name="0_BP -Q2-09 Duqm -supporting dcmnts 3 2" xfId="11308" xr:uid="{00000000-0005-0000-0000-00001E2C0000}"/>
    <cellStyle name="0_BP -Q2-09 Duqm -supporting dcmnts 4" xfId="11309" xr:uid="{00000000-0005-0000-0000-00001F2C0000}"/>
    <cellStyle name="0_BP -Q2-09 Duqm -supporting dcmnts 5" xfId="11310" xr:uid="{00000000-0005-0000-0000-0000202C0000}"/>
    <cellStyle name="0_BP -Q2-09 Duqm -supporting dcmnts 6" xfId="11311" xr:uid="{00000000-0005-0000-0000-0000212C0000}"/>
    <cellStyle name="0_BP -Q2-09 Duqm -supporting dcmnts 7" xfId="11312" xr:uid="{00000000-0005-0000-0000-0000222C0000}"/>
    <cellStyle name="0_BP -Q2-09 Duqm -supporting dcmnts 8" xfId="11313" xr:uid="{00000000-0005-0000-0000-0000232C0000}"/>
    <cellStyle name="0_BP -Q2-09 Duqm -supporting dcmnts 9" xfId="11314" xr:uid="{00000000-0005-0000-0000-0000242C0000}"/>
    <cellStyle name="0_BP_Formats 6117" xfId="11315" xr:uid="{00000000-0005-0000-0000-0000252C0000}"/>
    <cellStyle name="0_BP_Formats 6117 10" xfId="11316" xr:uid="{00000000-0005-0000-0000-0000262C0000}"/>
    <cellStyle name="0_BP_Formats 6117 10 2" xfId="11317" xr:uid="{00000000-0005-0000-0000-0000272C0000}"/>
    <cellStyle name="0_BP_Formats 6117 10 2 2" xfId="11318" xr:uid="{00000000-0005-0000-0000-0000282C0000}"/>
    <cellStyle name="0_BP_Formats 6117 10 3" xfId="11319" xr:uid="{00000000-0005-0000-0000-0000292C0000}"/>
    <cellStyle name="0_BP_Formats 6117 10 3 2" xfId="11320" xr:uid="{00000000-0005-0000-0000-00002A2C0000}"/>
    <cellStyle name="0_BP_Formats 6117 10 4" xfId="11321" xr:uid="{00000000-0005-0000-0000-00002B2C0000}"/>
    <cellStyle name="0_BP_Formats 6117 11" xfId="11322" xr:uid="{00000000-0005-0000-0000-00002C2C0000}"/>
    <cellStyle name="0_BP_Formats 6117 11 2" xfId="11323" xr:uid="{00000000-0005-0000-0000-00002D2C0000}"/>
    <cellStyle name="0_BP_Formats 6117 11 2 2" xfId="11324" xr:uid="{00000000-0005-0000-0000-00002E2C0000}"/>
    <cellStyle name="0_BP_Formats 6117 11 3" xfId="11325" xr:uid="{00000000-0005-0000-0000-00002F2C0000}"/>
    <cellStyle name="0_BP_Formats 6117 11 3 2" xfId="11326" xr:uid="{00000000-0005-0000-0000-0000302C0000}"/>
    <cellStyle name="0_BP_Formats 6117 11 4" xfId="11327" xr:uid="{00000000-0005-0000-0000-0000312C0000}"/>
    <cellStyle name="0_BP_Formats 6117 12" xfId="11328" xr:uid="{00000000-0005-0000-0000-0000322C0000}"/>
    <cellStyle name="0_BP_Formats 6117 12 2" xfId="11329" xr:uid="{00000000-0005-0000-0000-0000332C0000}"/>
    <cellStyle name="0_BP_Formats 6117 13" xfId="11330" xr:uid="{00000000-0005-0000-0000-0000342C0000}"/>
    <cellStyle name="0_BP_Formats 6117 13 2" xfId="11331" xr:uid="{00000000-0005-0000-0000-0000352C0000}"/>
    <cellStyle name="0_BP_Formats 6117 14" xfId="11332" xr:uid="{00000000-0005-0000-0000-0000362C0000}"/>
    <cellStyle name="0_BP_Formats 6117 14 2" xfId="11333" xr:uid="{00000000-0005-0000-0000-0000372C0000}"/>
    <cellStyle name="0_BP_Formats 6117 15" xfId="11334" xr:uid="{00000000-0005-0000-0000-0000382C0000}"/>
    <cellStyle name="0_BP_Formats 6117 16" xfId="11335" xr:uid="{00000000-0005-0000-0000-0000392C0000}"/>
    <cellStyle name="0_BP_Formats 6117 17" xfId="11336" xr:uid="{00000000-0005-0000-0000-00003A2C0000}"/>
    <cellStyle name="0_BP_Formats 6117 18" xfId="11337" xr:uid="{00000000-0005-0000-0000-00003B2C0000}"/>
    <cellStyle name="0_BP_Formats 6117 19" xfId="11338" xr:uid="{00000000-0005-0000-0000-00003C2C0000}"/>
    <cellStyle name="0_BP_Formats 6117 2" xfId="11339" xr:uid="{00000000-0005-0000-0000-00003D2C0000}"/>
    <cellStyle name="0_BP_Formats 6117 2 10" xfId="11340" xr:uid="{00000000-0005-0000-0000-00003E2C0000}"/>
    <cellStyle name="0_BP_Formats 6117 2 10 2" xfId="11341" xr:uid="{00000000-0005-0000-0000-00003F2C0000}"/>
    <cellStyle name="0_BP_Formats 6117 2 10 2 2" xfId="11342" xr:uid="{00000000-0005-0000-0000-0000402C0000}"/>
    <cellStyle name="0_BP_Formats 6117 2 10 3" xfId="11343" xr:uid="{00000000-0005-0000-0000-0000412C0000}"/>
    <cellStyle name="0_BP_Formats 6117 2 10 3 2" xfId="11344" xr:uid="{00000000-0005-0000-0000-0000422C0000}"/>
    <cellStyle name="0_BP_Formats 6117 2 10 4" xfId="11345" xr:uid="{00000000-0005-0000-0000-0000432C0000}"/>
    <cellStyle name="0_BP_Formats 6117 2 11" xfId="11346" xr:uid="{00000000-0005-0000-0000-0000442C0000}"/>
    <cellStyle name="0_BP_Formats 6117 2 11 2" xfId="11347" xr:uid="{00000000-0005-0000-0000-0000452C0000}"/>
    <cellStyle name="0_BP_Formats 6117 2 12" xfId="11348" xr:uid="{00000000-0005-0000-0000-0000462C0000}"/>
    <cellStyle name="0_BP_Formats 6117 2 12 2" xfId="11349" xr:uid="{00000000-0005-0000-0000-0000472C0000}"/>
    <cellStyle name="0_BP_Formats 6117 2 13" xfId="11350" xr:uid="{00000000-0005-0000-0000-0000482C0000}"/>
    <cellStyle name="0_BP_Formats 6117 2 14" xfId="11351" xr:uid="{00000000-0005-0000-0000-0000492C0000}"/>
    <cellStyle name="0_BP_Formats 6117 2 15" xfId="11352" xr:uid="{00000000-0005-0000-0000-00004A2C0000}"/>
    <cellStyle name="0_BP_Formats 6117 2 16" xfId="11353" xr:uid="{00000000-0005-0000-0000-00004B2C0000}"/>
    <cellStyle name="0_BP_Formats 6117 2 2" xfId="11354" xr:uid="{00000000-0005-0000-0000-00004C2C0000}"/>
    <cellStyle name="0_BP_Formats 6117 2 2 2" xfId="11355" xr:uid="{00000000-0005-0000-0000-00004D2C0000}"/>
    <cellStyle name="0_BP_Formats 6117 2 2 2 2" xfId="11356" xr:uid="{00000000-0005-0000-0000-00004E2C0000}"/>
    <cellStyle name="0_BP_Formats 6117 2 2 2 2 2" xfId="11357" xr:uid="{00000000-0005-0000-0000-00004F2C0000}"/>
    <cellStyle name="0_BP_Formats 6117 2 2 2 2 2 2" xfId="11358" xr:uid="{00000000-0005-0000-0000-0000502C0000}"/>
    <cellStyle name="0_BP_Formats 6117 2 2 2 2 3" xfId="11359" xr:uid="{00000000-0005-0000-0000-0000512C0000}"/>
    <cellStyle name="0_BP_Formats 6117 2 2 2 2 3 2" xfId="11360" xr:uid="{00000000-0005-0000-0000-0000522C0000}"/>
    <cellStyle name="0_BP_Formats 6117 2 2 2 2 4" xfId="11361" xr:uid="{00000000-0005-0000-0000-0000532C0000}"/>
    <cellStyle name="0_BP_Formats 6117 2 2 2 3" xfId="11362" xr:uid="{00000000-0005-0000-0000-0000542C0000}"/>
    <cellStyle name="0_BP_Formats 6117 2 2 2 3 2" xfId="11363" xr:uid="{00000000-0005-0000-0000-0000552C0000}"/>
    <cellStyle name="0_BP_Formats 6117 2 2 2 3 2 2" xfId="11364" xr:uid="{00000000-0005-0000-0000-0000562C0000}"/>
    <cellStyle name="0_BP_Formats 6117 2 2 2 3 3" xfId="11365" xr:uid="{00000000-0005-0000-0000-0000572C0000}"/>
    <cellStyle name="0_BP_Formats 6117 2 2 2 3 3 2" xfId="11366" xr:uid="{00000000-0005-0000-0000-0000582C0000}"/>
    <cellStyle name="0_BP_Formats 6117 2 2 2 3 4" xfId="11367" xr:uid="{00000000-0005-0000-0000-0000592C0000}"/>
    <cellStyle name="0_BP_Formats 6117 2 2 2 4" xfId="11368" xr:uid="{00000000-0005-0000-0000-00005A2C0000}"/>
    <cellStyle name="0_BP_Formats 6117 2 2 2 4 2" xfId="11369" xr:uid="{00000000-0005-0000-0000-00005B2C0000}"/>
    <cellStyle name="0_BP_Formats 6117 2 2 2 5" xfId="11370" xr:uid="{00000000-0005-0000-0000-00005C2C0000}"/>
    <cellStyle name="0_BP_Formats 6117 2 2 2 5 2" xfId="11371" xr:uid="{00000000-0005-0000-0000-00005D2C0000}"/>
    <cellStyle name="0_BP_Formats 6117 2 2 2 6" xfId="11372" xr:uid="{00000000-0005-0000-0000-00005E2C0000}"/>
    <cellStyle name="0_BP_Formats 6117 2 2 3" xfId="11373" xr:uid="{00000000-0005-0000-0000-00005F2C0000}"/>
    <cellStyle name="0_BP_Formats 6117 2 2 3 2" xfId="11374" xr:uid="{00000000-0005-0000-0000-0000602C0000}"/>
    <cellStyle name="0_BP_Formats 6117 2 2 3 2 2" xfId="11375" xr:uid="{00000000-0005-0000-0000-0000612C0000}"/>
    <cellStyle name="0_BP_Formats 6117 2 2 3 3" xfId="11376" xr:uid="{00000000-0005-0000-0000-0000622C0000}"/>
    <cellStyle name="0_BP_Formats 6117 2 2 3 3 2" xfId="11377" xr:uid="{00000000-0005-0000-0000-0000632C0000}"/>
    <cellStyle name="0_BP_Formats 6117 2 2 3 4" xfId="11378" xr:uid="{00000000-0005-0000-0000-0000642C0000}"/>
    <cellStyle name="0_BP_Formats 6117 2 2 4" xfId="11379" xr:uid="{00000000-0005-0000-0000-0000652C0000}"/>
    <cellStyle name="0_BP_Formats 6117 2 2 4 2" xfId="11380" xr:uid="{00000000-0005-0000-0000-0000662C0000}"/>
    <cellStyle name="0_BP_Formats 6117 2 2 4 2 2" xfId="11381" xr:uid="{00000000-0005-0000-0000-0000672C0000}"/>
    <cellStyle name="0_BP_Formats 6117 2 2 4 3" xfId="11382" xr:uid="{00000000-0005-0000-0000-0000682C0000}"/>
    <cellStyle name="0_BP_Formats 6117 2 2 4 3 2" xfId="11383" xr:uid="{00000000-0005-0000-0000-0000692C0000}"/>
    <cellStyle name="0_BP_Formats 6117 2 2 4 4" xfId="11384" xr:uid="{00000000-0005-0000-0000-00006A2C0000}"/>
    <cellStyle name="0_BP_Formats 6117 2 2 5" xfId="11385" xr:uid="{00000000-0005-0000-0000-00006B2C0000}"/>
    <cellStyle name="0_BP_Formats 6117 2 2 5 2" xfId="11386" xr:uid="{00000000-0005-0000-0000-00006C2C0000}"/>
    <cellStyle name="0_BP_Formats 6117 2 2 5 2 2" xfId="11387" xr:uid="{00000000-0005-0000-0000-00006D2C0000}"/>
    <cellStyle name="0_BP_Formats 6117 2 2 5 3" xfId="11388" xr:uid="{00000000-0005-0000-0000-00006E2C0000}"/>
    <cellStyle name="0_BP_Formats 6117 2 2 5 3 2" xfId="11389" xr:uid="{00000000-0005-0000-0000-00006F2C0000}"/>
    <cellStyle name="0_BP_Formats 6117 2 2 5 4" xfId="11390" xr:uid="{00000000-0005-0000-0000-0000702C0000}"/>
    <cellStyle name="0_BP_Formats 6117 2 2 6" xfId="11391" xr:uid="{00000000-0005-0000-0000-0000712C0000}"/>
    <cellStyle name="0_BP_Formats 6117 2 2 6 2" xfId="11392" xr:uid="{00000000-0005-0000-0000-0000722C0000}"/>
    <cellStyle name="0_BP_Formats 6117 2 2 7" xfId="11393" xr:uid="{00000000-0005-0000-0000-0000732C0000}"/>
    <cellStyle name="0_BP_Formats 6117 2 2 7 2" xfId="11394" xr:uid="{00000000-0005-0000-0000-0000742C0000}"/>
    <cellStyle name="0_BP_Formats 6117 2 2 8" xfId="11395" xr:uid="{00000000-0005-0000-0000-0000752C0000}"/>
    <cellStyle name="0_BP_Formats 6117 2 3" xfId="11396" xr:uid="{00000000-0005-0000-0000-0000762C0000}"/>
    <cellStyle name="0_BP_Formats 6117 2 3 2" xfId="11397" xr:uid="{00000000-0005-0000-0000-0000772C0000}"/>
    <cellStyle name="0_BP_Formats 6117 2 3 2 2" xfId="11398" xr:uid="{00000000-0005-0000-0000-0000782C0000}"/>
    <cellStyle name="0_BP_Formats 6117 2 3 2 2 2" xfId="11399" xr:uid="{00000000-0005-0000-0000-0000792C0000}"/>
    <cellStyle name="0_BP_Formats 6117 2 3 2 2 2 2" xfId="11400" xr:uid="{00000000-0005-0000-0000-00007A2C0000}"/>
    <cellStyle name="0_BP_Formats 6117 2 3 2 2 3" xfId="11401" xr:uid="{00000000-0005-0000-0000-00007B2C0000}"/>
    <cellStyle name="0_BP_Formats 6117 2 3 2 2 3 2" xfId="11402" xr:uid="{00000000-0005-0000-0000-00007C2C0000}"/>
    <cellStyle name="0_BP_Formats 6117 2 3 2 2 4" xfId="11403" xr:uid="{00000000-0005-0000-0000-00007D2C0000}"/>
    <cellStyle name="0_BP_Formats 6117 2 3 2 3" xfId="11404" xr:uid="{00000000-0005-0000-0000-00007E2C0000}"/>
    <cellStyle name="0_BP_Formats 6117 2 3 2 3 2" xfId="11405" xr:uid="{00000000-0005-0000-0000-00007F2C0000}"/>
    <cellStyle name="0_BP_Formats 6117 2 3 2 3 2 2" xfId="11406" xr:uid="{00000000-0005-0000-0000-0000802C0000}"/>
    <cellStyle name="0_BP_Formats 6117 2 3 2 3 3" xfId="11407" xr:uid="{00000000-0005-0000-0000-0000812C0000}"/>
    <cellStyle name="0_BP_Formats 6117 2 3 2 3 3 2" xfId="11408" xr:uid="{00000000-0005-0000-0000-0000822C0000}"/>
    <cellStyle name="0_BP_Formats 6117 2 3 2 3 4" xfId="11409" xr:uid="{00000000-0005-0000-0000-0000832C0000}"/>
    <cellStyle name="0_BP_Formats 6117 2 3 2 4" xfId="11410" xr:uid="{00000000-0005-0000-0000-0000842C0000}"/>
    <cellStyle name="0_BP_Formats 6117 2 3 2 4 2" xfId="11411" xr:uid="{00000000-0005-0000-0000-0000852C0000}"/>
    <cellStyle name="0_BP_Formats 6117 2 3 2 5" xfId="11412" xr:uid="{00000000-0005-0000-0000-0000862C0000}"/>
    <cellStyle name="0_BP_Formats 6117 2 3 2 5 2" xfId="11413" xr:uid="{00000000-0005-0000-0000-0000872C0000}"/>
    <cellStyle name="0_BP_Formats 6117 2 3 2 6" xfId="11414" xr:uid="{00000000-0005-0000-0000-0000882C0000}"/>
    <cellStyle name="0_BP_Formats 6117 2 3 3" xfId="11415" xr:uid="{00000000-0005-0000-0000-0000892C0000}"/>
    <cellStyle name="0_BP_Formats 6117 2 3 3 2" xfId="11416" xr:uid="{00000000-0005-0000-0000-00008A2C0000}"/>
    <cellStyle name="0_BP_Formats 6117 2 3 3 2 2" xfId="11417" xr:uid="{00000000-0005-0000-0000-00008B2C0000}"/>
    <cellStyle name="0_BP_Formats 6117 2 3 3 3" xfId="11418" xr:uid="{00000000-0005-0000-0000-00008C2C0000}"/>
    <cellStyle name="0_BP_Formats 6117 2 3 3 3 2" xfId="11419" xr:uid="{00000000-0005-0000-0000-00008D2C0000}"/>
    <cellStyle name="0_BP_Formats 6117 2 3 3 4" xfId="11420" xr:uid="{00000000-0005-0000-0000-00008E2C0000}"/>
    <cellStyle name="0_BP_Formats 6117 2 3 4" xfId="11421" xr:uid="{00000000-0005-0000-0000-00008F2C0000}"/>
    <cellStyle name="0_BP_Formats 6117 2 3 4 2" xfId="11422" xr:uid="{00000000-0005-0000-0000-0000902C0000}"/>
    <cellStyle name="0_BP_Formats 6117 2 3 4 2 2" xfId="11423" xr:uid="{00000000-0005-0000-0000-0000912C0000}"/>
    <cellStyle name="0_BP_Formats 6117 2 3 4 3" xfId="11424" xr:uid="{00000000-0005-0000-0000-0000922C0000}"/>
    <cellStyle name="0_BP_Formats 6117 2 3 4 3 2" xfId="11425" xr:uid="{00000000-0005-0000-0000-0000932C0000}"/>
    <cellStyle name="0_BP_Formats 6117 2 3 4 4" xfId="11426" xr:uid="{00000000-0005-0000-0000-0000942C0000}"/>
    <cellStyle name="0_BP_Formats 6117 2 3 5" xfId="11427" xr:uid="{00000000-0005-0000-0000-0000952C0000}"/>
    <cellStyle name="0_BP_Formats 6117 2 3 5 2" xfId="11428" xr:uid="{00000000-0005-0000-0000-0000962C0000}"/>
    <cellStyle name="0_BP_Formats 6117 2 3 5 2 2" xfId="11429" xr:uid="{00000000-0005-0000-0000-0000972C0000}"/>
    <cellStyle name="0_BP_Formats 6117 2 3 5 3" xfId="11430" xr:uid="{00000000-0005-0000-0000-0000982C0000}"/>
    <cellStyle name="0_BP_Formats 6117 2 3 5 3 2" xfId="11431" xr:uid="{00000000-0005-0000-0000-0000992C0000}"/>
    <cellStyle name="0_BP_Formats 6117 2 3 5 4" xfId="11432" xr:uid="{00000000-0005-0000-0000-00009A2C0000}"/>
    <cellStyle name="0_BP_Formats 6117 2 3 6" xfId="11433" xr:uid="{00000000-0005-0000-0000-00009B2C0000}"/>
    <cellStyle name="0_BP_Formats 6117 2 3 6 2" xfId="11434" xr:uid="{00000000-0005-0000-0000-00009C2C0000}"/>
    <cellStyle name="0_BP_Formats 6117 2 3 7" xfId="11435" xr:uid="{00000000-0005-0000-0000-00009D2C0000}"/>
    <cellStyle name="0_BP_Formats 6117 2 3 7 2" xfId="11436" xr:uid="{00000000-0005-0000-0000-00009E2C0000}"/>
    <cellStyle name="0_BP_Formats 6117 2 3 8" xfId="11437" xr:uid="{00000000-0005-0000-0000-00009F2C0000}"/>
    <cellStyle name="0_BP_Formats 6117 2 4" xfId="11438" xr:uid="{00000000-0005-0000-0000-0000A02C0000}"/>
    <cellStyle name="0_BP_Formats 6117 2 4 2" xfId="11439" xr:uid="{00000000-0005-0000-0000-0000A12C0000}"/>
    <cellStyle name="0_BP_Formats 6117 2 4 2 2" xfId="11440" xr:uid="{00000000-0005-0000-0000-0000A22C0000}"/>
    <cellStyle name="0_BP_Formats 6117 2 4 2 2 2" xfId="11441" xr:uid="{00000000-0005-0000-0000-0000A32C0000}"/>
    <cellStyle name="0_BP_Formats 6117 2 4 2 2 2 2" xfId="11442" xr:uid="{00000000-0005-0000-0000-0000A42C0000}"/>
    <cellStyle name="0_BP_Formats 6117 2 4 2 2 3" xfId="11443" xr:uid="{00000000-0005-0000-0000-0000A52C0000}"/>
    <cellStyle name="0_BP_Formats 6117 2 4 2 2 3 2" xfId="11444" xr:uid="{00000000-0005-0000-0000-0000A62C0000}"/>
    <cellStyle name="0_BP_Formats 6117 2 4 2 2 4" xfId="11445" xr:uid="{00000000-0005-0000-0000-0000A72C0000}"/>
    <cellStyle name="0_BP_Formats 6117 2 4 2 3" xfId="11446" xr:uid="{00000000-0005-0000-0000-0000A82C0000}"/>
    <cellStyle name="0_BP_Formats 6117 2 4 2 3 2" xfId="11447" xr:uid="{00000000-0005-0000-0000-0000A92C0000}"/>
    <cellStyle name="0_BP_Formats 6117 2 4 2 3 2 2" xfId="11448" xr:uid="{00000000-0005-0000-0000-0000AA2C0000}"/>
    <cellStyle name="0_BP_Formats 6117 2 4 2 3 3" xfId="11449" xr:uid="{00000000-0005-0000-0000-0000AB2C0000}"/>
    <cellStyle name="0_BP_Formats 6117 2 4 2 3 3 2" xfId="11450" xr:uid="{00000000-0005-0000-0000-0000AC2C0000}"/>
    <cellStyle name="0_BP_Formats 6117 2 4 2 3 4" xfId="11451" xr:uid="{00000000-0005-0000-0000-0000AD2C0000}"/>
    <cellStyle name="0_BP_Formats 6117 2 4 2 4" xfId="11452" xr:uid="{00000000-0005-0000-0000-0000AE2C0000}"/>
    <cellStyle name="0_BP_Formats 6117 2 4 2 4 2" xfId="11453" xr:uid="{00000000-0005-0000-0000-0000AF2C0000}"/>
    <cellStyle name="0_BP_Formats 6117 2 4 2 5" xfId="11454" xr:uid="{00000000-0005-0000-0000-0000B02C0000}"/>
    <cellStyle name="0_BP_Formats 6117 2 4 2 5 2" xfId="11455" xr:uid="{00000000-0005-0000-0000-0000B12C0000}"/>
    <cellStyle name="0_BP_Formats 6117 2 4 2 6" xfId="11456" xr:uid="{00000000-0005-0000-0000-0000B22C0000}"/>
    <cellStyle name="0_BP_Formats 6117 2 4 3" xfId="11457" xr:uid="{00000000-0005-0000-0000-0000B32C0000}"/>
    <cellStyle name="0_BP_Formats 6117 2 4 3 2" xfId="11458" xr:uid="{00000000-0005-0000-0000-0000B42C0000}"/>
    <cellStyle name="0_BP_Formats 6117 2 4 3 2 2" xfId="11459" xr:uid="{00000000-0005-0000-0000-0000B52C0000}"/>
    <cellStyle name="0_BP_Formats 6117 2 4 3 3" xfId="11460" xr:uid="{00000000-0005-0000-0000-0000B62C0000}"/>
    <cellStyle name="0_BP_Formats 6117 2 4 3 3 2" xfId="11461" xr:uid="{00000000-0005-0000-0000-0000B72C0000}"/>
    <cellStyle name="0_BP_Formats 6117 2 4 3 4" xfId="11462" xr:uid="{00000000-0005-0000-0000-0000B82C0000}"/>
    <cellStyle name="0_BP_Formats 6117 2 4 4" xfId="11463" xr:uid="{00000000-0005-0000-0000-0000B92C0000}"/>
    <cellStyle name="0_BP_Formats 6117 2 4 4 2" xfId="11464" xr:uid="{00000000-0005-0000-0000-0000BA2C0000}"/>
    <cellStyle name="0_BP_Formats 6117 2 4 4 2 2" xfId="11465" xr:uid="{00000000-0005-0000-0000-0000BB2C0000}"/>
    <cellStyle name="0_BP_Formats 6117 2 4 4 3" xfId="11466" xr:uid="{00000000-0005-0000-0000-0000BC2C0000}"/>
    <cellStyle name="0_BP_Formats 6117 2 4 4 3 2" xfId="11467" xr:uid="{00000000-0005-0000-0000-0000BD2C0000}"/>
    <cellStyle name="0_BP_Formats 6117 2 4 4 4" xfId="11468" xr:uid="{00000000-0005-0000-0000-0000BE2C0000}"/>
    <cellStyle name="0_BP_Formats 6117 2 4 5" xfId="11469" xr:uid="{00000000-0005-0000-0000-0000BF2C0000}"/>
    <cellStyle name="0_BP_Formats 6117 2 4 5 2" xfId="11470" xr:uid="{00000000-0005-0000-0000-0000C02C0000}"/>
    <cellStyle name="0_BP_Formats 6117 2 4 5 2 2" xfId="11471" xr:uid="{00000000-0005-0000-0000-0000C12C0000}"/>
    <cellStyle name="0_BP_Formats 6117 2 4 5 3" xfId="11472" xr:uid="{00000000-0005-0000-0000-0000C22C0000}"/>
    <cellStyle name="0_BP_Formats 6117 2 4 5 3 2" xfId="11473" xr:uid="{00000000-0005-0000-0000-0000C32C0000}"/>
    <cellStyle name="0_BP_Formats 6117 2 4 5 4" xfId="11474" xr:uid="{00000000-0005-0000-0000-0000C42C0000}"/>
    <cellStyle name="0_BP_Formats 6117 2 4 6" xfId="11475" xr:uid="{00000000-0005-0000-0000-0000C52C0000}"/>
    <cellStyle name="0_BP_Formats 6117 2 4 6 2" xfId="11476" xr:uid="{00000000-0005-0000-0000-0000C62C0000}"/>
    <cellStyle name="0_BP_Formats 6117 2 4 7" xfId="11477" xr:uid="{00000000-0005-0000-0000-0000C72C0000}"/>
    <cellStyle name="0_BP_Formats 6117 2 4 7 2" xfId="11478" xr:uid="{00000000-0005-0000-0000-0000C82C0000}"/>
    <cellStyle name="0_BP_Formats 6117 2 4 8" xfId="11479" xr:uid="{00000000-0005-0000-0000-0000C92C0000}"/>
    <cellStyle name="0_BP_Formats 6117 2 5" xfId="11480" xr:uid="{00000000-0005-0000-0000-0000CA2C0000}"/>
    <cellStyle name="0_BP_Formats 6117 2 5 2" xfId="11481" xr:uid="{00000000-0005-0000-0000-0000CB2C0000}"/>
    <cellStyle name="0_BP_Formats 6117 2 5 2 2" xfId="11482" xr:uid="{00000000-0005-0000-0000-0000CC2C0000}"/>
    <cellStyle name="0_BP_Formats 6117 2 5 2 2 2" xfId="11483" xr:uid="{00000000-0005-0000-0000-0000CD2C0000}"/>
    <cellStyle name="0_BP_Formats 6117 2 5 2 2 2 2" xfId="11484" xr:uid="{00000000-0005-0000-0000-0000CE2C0000}"/>
    <cellStyle name="0_BP_Formats 6117 2 5 2 2 3" xfId="11485" xr:uid="{00000000-0005-0000-0000-0000CF2C0000}"/>
    <cellStyle name="0_BP_Formats 6117 2 5 2 2 3 2" xfId="11486" xr:uid="{00000000-0005-0000-0000-0000D02C0000}"/>
    <cellStyle name="0_BP_Formats 6117 2 5 2 2 4" xfId="11487" xr:uid="{00000000-0005-0000-0000-0000D12C0000}"/>
    <cellStyle name="0_BP_Formats 6117 2 5 2 3" xfId="11488" xr:uid="{00000000-0005-0000-0000-0000D22C0000}"/>
    <cellStyle name="0_BP_Formats 6117 2 5 2 3 2" xfId="11489" xr:uid="{00000000-0005-0000-0000-0000D32C0000}"/>
    <cellStyle name="0_BP_Formats 6117 2 5 2 3 2 2" xfId="11490" xr:uid="{00000000-0005-0000-0000-0000D42C0000}"/>
    <cellStyle name="0_BP_Formats 6117 2 5 2 3 3" xfId="11491" xr:uid="{00000000-0005-0000-0000-0000D52C0000}"/>
    <cellStyle name="0_BP_Formats 6117 2 5 2 3 3 2" xfId="11492" xr:uid="{00000000-0005-0000-0000-0000D62C0000}"/>
    <cellStyle name="0_BP_Formats 6117 2 5 2 3 4" xfId="11493" xr:uid="{00000000-0005-0000-0000-0000D72C0000}"/>
    <cellStyle name="0_BP_Formats 6117 2 5 2 4" xfId="11494" xr:uid="{00000000-0005-0000-0000-0000D82C0000}"/>
    <cellStyle name="0_BP_Formats 6117 2 5 2 4 2" xfId="11495" xr:uid="{00000000-0005-0000-0000-0000D92C0000}"/>
    <cellStyle name="0_BP_Formats 6117 2 5 2 5" xfId="11496" xr:uid="{00000000-0005-0000-0000-0000DA2C0000}"/>
    <cellStyle name="0_BP_Formats 6117 2 5 2 5 2" xfId="11497" xr:uid="{00000000-0005-0000-0000-0000DB2C0000}"/>
    <cellStyle name="0_BP_Formats 6117 2 5 2 6" xfId="11498" xr:uid="{00000000-0005-0000-0000-0000DC2C0000}"/>
    <cellStyle name="0_BP_Formats 6117 2 5 3" xfId="11499" xr:uid="{00000000-0005-0000-0000-0000DD2C0000}"/>
    <cellStyle name="0_BP_Formats 6117 2 5 3 2" xfId="11500" xr:uid="{00000000-0005-0000-0000-0000DE2C0000}"/>
    <cellStyle name="0_BP_Formats 6117 2 5 3 2 2" xfId="11501" xr:uid="{00000000-0005-0000-0000-0000DF2C0000}"/>
    <cellStyle name="0_BP_Formats 6117 2 5 3 3" xfId="11502" xr:uid="{00000000-0005-0000-0000-0000E02C0000}"/>
    <cellStyle name="0_BP_Formats 6117 2 5 3 3 2" xfId="11503" xr:uid="{00000000-0005-0000-0000-0000E12C0000}"/>
    <cellStyle name="0_BP_Formats 6117 2 5 3 4" xfId="11504" xr:uid="{00000000-0005-0000-0000-0000E22C0000}"/>
    <cellStyle name="0_BP_Formats 6117 2 5 4" xfId="11505" xr:uid="{00000000-0005-0000-0000-0000E32C0000}"/>
    <cellStyle name="0_BP_Formats 6117 2 5 4 2" xfId="11506" xr:uid="{00000000-0005-0000-0000-0000E42C0000}"/>
    <cellStyle name="0_BP_Formats 6117 2 5 4 2 2" xfId="11507" xr:uid="{00000000-0005-0000-0000-0000E52C0000}"/>
    <cellStyle name="0_BP_Formats 6117 2 5 4 3" xfId="11508" xr:uid="{00000000-0005-0000-0000-0000E62C0000}"/>
    <cellStyle name="0_BP_Formats 6117 2 5 4 3 2" xfId="11509" xr:uid="{00000000-0005-0000-0000-0000E72C0000}"/>
    <cellStyle name="0_BP_Formats 6117 2 5 4 4" xfId="11510" xr:uid="{00000000-0005-0000-0000-0000E82C0000}"/>
    <cellStyle name="0_BP_Formats 6117 2 5 5" xfId="11511" xr:uid="{00000000-0005-0000-0000-0000E92C0000}"/>
    <cellStyle name="0_BP_Formats 6117 2 5 5 2" xfId="11512" xr:uid="{00000000-0005-0000-0000-0000EA2C0000}"/>
    <cellStyle name="0_BP_Formats 6117 2 5 5 2 2" xfId="11513" xr:uid="{00000000-0005-0000-0000-0000EB2C0000}"/>
    <cellStyle name="0_BP_Formats 6117 2 5 5 3" xfId="11514" xr:uid="{00000000-0005-0000-0000-0000EC2C0000}"/>
    <cellStyle name="0_BP_Formats 6117 2 5 5 3 2" xfId="11515" xr:uid="{00000000-0005-0000-0000-0000ED2C0000}"/>
    <cellStyle name="0_BP_Formats 6117 2 5 5 4" xfId="11516" xr:uid="{00000000-0005-0000-0000-0000EE2C0000}"/>
    <cellStyle name="0_BP_Formats 6117 2 5 6" xfId="11517" xr:uid="{00000000-0005-0000-0000-0000EF2C0000}"/>
    <cellStyle name="0_BP_Formats 6117 2 5 6 2" xfId="11518" xr:uid="{00000000-0005-0000-0000-0000F02C0000}"/>
    <cellStyle name="0_BP_Formats 6117 2 5 7" xfId="11519" xr:uid="{00000000-0005-0000-0000-0000F12C0000}"/>
    <cellStyle name="0_BP_Formats 6117 2 5 7 2" xfId="11520" xr:uid="{00000000-0005-0000-0000-0000F22C0000}"/>
    <cellStyle name="0_BP_Formats 6117 2 5 8" xfId="11521" xr:uid="{00000000-0005-0000-0000-0000F32C0000}"/>
    <cellStyle name="0_BP_Formats 6117 2 6" xfId="11522" xr:uid="{00000000-0005-0000-0000-0000F42C0000}"/>
    <cellStyle name="0_BP_Formats 6117 2 6 2" xfId="11523" xr:uid="{00000000-0005-0000-0000-0000F52C0000}"/>
    <cellStyle name="0_BP_Formats 6117 2 6 2 2" xfId="11524" xr:uid="{00000000-0005-0000-0000-0000F62C0000}"/>
    <cellStyle name="0_BP_Formats 6117 2 6 2 2 2" xfId="11525" xr:uid="{00000000-0005-0000-0000-0000F72C0000}"/>
    <cellStyle name="0_BP_Formats 6117 2 6 2 2 2 2" xfId="11526" xr:uid="{00000000-0005-0000-0000-0000F82C0000}"/>
    <cellStyle name="0_BP_Formats 6117 2 6 2 2 3" xfId="11527" xr:uid="{00000000-0005-0000-0000-0000F92C0000}"/>
    <cellStyle name="0_BP_Formats 6117 2 6 2 2 3 2" xfId="11528" xr:uid="{00000000-0005-0000-0000-0000FA2C0000}"/>
    <cellStyle name="0_BP_Formats 6117 2 6 2 2 4" xfId="11529" xr:uid="{00000000-0005-0000-0000-0000FB2C0000}"/>
    <cellStyle name="0_BP_Formats 6117 2 6 2 3" xfId="11530" xr:uid="{00000000-0005-0000-0000-0000FC2C0000}"/>
    <cellStyle name="0_BP_Formats 6117 2 6 2 3 2" xfId="11531" xr:uid="{00000000-0005-0000-0000-0000FD2C0000}"/>
    <cellStyle name="0_BP_Formats 6117 2 6 2 3 2 2" xfId="11532" xr:uid="{00000000-0005-0000-0000-0000FE2C0000}"/>
    <cellStyle name="0_BP_Formats 6117 2 6 2 3 3" xfId="11533" xr:uid="{00000000-0005-0000-0000-0000FF2C0000}"/>
    <cellStyle name="0_BP_Formats 6117 2 6 2 3 3 2" xfId="11534" xr:uid="{00000000-0005-0000-0000-0000002D0000}"/>
    <cellStyle name="0_BP_Formats 6117 2 6 2 3 4" xfId="11535" xr:uid="{00000000-0005-0000-0000-0000012D0000}"/>
    <cellStyle name="0_BP_Formats 6117 2 6 2 4" xfId="11536" xr:uid="{00000000-0005-0000-0000-0000022D0000}"/>
    <cellStyle name="0_BP_Formats 6117 2 6 2 4 2" xfId="11537" xr:uid="{00000000-0005-0000-0000-0000032D0000}"/>
    <cellStyle name="0_BP_Formats 6117 2 6 2 5" xfId="11538" xr:uid="{00000000-0005-0000-0000-0000042D0000}"/>
    <cellStyle name="0_BP_Formats 6117 2 6 2 5 2" xfId="11539" xr:uid="{00000000-0005-0000-0000-0000052D0000}"/>
    <cellStyle name="0_BP_Formats 6117 2 6 2 6" xfId="11540" xr:uid="{00000000-0005-0000-0000-0000062D0000}"/>
    <cellStyle name="0_BP_Formats 6117 2 6 3" xfId="11541" xr:uid="{00000000-0005-0000-0000-0000072D0000}"/>
    <cellStyle name="0_BP_Formats 6117 2 6 3 2" xfId="11542" xr:uid="{00000000-0005-0000-0000-0000082D0000}"/>
    <cellStyle name="0_BP_Formats 6117 2 6 3 2 2" xfId="11543" xr:uid="{00000000-0005-0000-0000-0000092D0000}"/>
    <cellStyle name="0_BP_Formats 6117 2 6 3 3" xfId="11544" xr:uid="{00000000-0005-0000-0000-00000A2D0000}"/>
    <cellStyle name="0_BP_Formats 6117 2 6 3 3 2" xfId="11545" xr:uid="{00000000-0005-0000-0000-00000B2D0000}"/>
    <cellStyle name="0_BP_Formats 6117 2 6 3 4" xfId="11546" xr:uid="{00000000-0005-0000-0000-00000C2D0000}"/>
    <cellStyle name="0_BP_Formats 6117 2 6 4" xfId="11547" xr:uid="{00000000-0005-0000-0000-00000D2D0000}"/>
    <cellStyle name="0_BP_Formats 6117 2 6 4 2" xfId="11548" xr:uid="{00000000-0005-0000-0000-00000E2D0000}"/>
    <cellStyle name="0_BP_Formats 6117 2 6 4 2 2" xfId="11549" xr:uid="{00000000-0005-0000-0000-00000F2D0000}"/>
    <cellStyle name="0_BP_Formats 6117 2 6 4 3" xfId="11550" xr:uid="{00000000-0005-0000-0000-0000102D0000}"/>
    <cellStyle name="0_BP_Formats 6117 2 6 4 3 2" xfId="11551" xr:uid="{00000000-0005-0000-0000-0000112D0000}"/>
    <cellStyle name="0_BP_Formats 6117 2 6 4 4" xfId="11552" xr:uid="{00000000-0005-0000-0000-0000122D0000}"/>
    <cellStyle name="0_BP_Formats 6117 2 6 5" xfId="11553" xr:uid="{00000000-0005-0000-0000-0000132D0000}"/>
    <cellStyle name="0_BP_Formats 6117 2 6 5 2" xfId="11554" xr:uid="{00000000-0005-0000-0000-0000142D0000}"/>
    <cellStyle name="0_BP_Formats 6117 2 6 5 2 2" xfId="11555" xr:uid="{00000000-0005-0000-0000-0000152D0000}"/>
    <cellStyle name="0_BP_Formats 6117 2 6 5 3" xfId="11556" xr:uid="{00000000-0005-0000-0000-0000162D0000}"/>
    <cellStyle name="0_BP_Formats 6117 2 6 5 3 2" xfId="11557" xr:uid="{00000000-0005-0000-0000-0000172D0000}"/>
    <cellStyle name="0_BP_Formats 6117 2 6 5 4" xfId="11558" xr:uid="{00000000-0005-0000-0000-0000182D0000}"/>
    <cellStyle name="0_BP_Formats 6117 2 6 6" xfId="11559" xr:uid="{00000000-0005-0000-0000-0000192D0000}"/>
    <cellStyle name="0_BP_Formats 6117 2 6 6 2" xfId="11560" xr:uid="{00000000-0005-0000-0000-00001A2D0000}"/>
    <cellStyle name="0_BP_Formats 6117 2 6 7" xfId="11561" xr:uid="{00000000-0005-0000-0000-00001B2D0000}"/>
    <cellStyle name="0_BP_Formats 6117 2 6 7 2" xfId="11562" xr:uid="{00000000-0005-0000-0000-00001C2D0000}"/>
    <cellStyle name="0_BP_Formats 6117 2 6 8" xfId="11563" xr:uid="{00000000-0005-0000-0000-00001D2D0000}"/>
    <cellStyle name="0_BP_Formats 6117 2 7" xfId="11564" xr:uid="{00000000-0005-0000-0000-00001E2D0000}"/>
    <cellStyle name="0_BP_Formats 6117 2 7 2" xfId="11565" xr:uid="{00000000-0005-0000-0000-00001F2D0000}"/>
    <cellStyle name="0_BP_Formats 6117 2 7 2 2" xfId="11566" xr:uid="{00000000-0005-0000-0000-0000202D0000}"/>
    <cellStyle name="0_BP_Formats 6117 2 7 2 2 2" xfId="11567" xr:uid="{00000000-0005-0000-0000-0000212D0000}"/>
    <cellStyle name="0_BP_Formats 6117 2 7 2 3" xfId="11568" xr:uid="{00000000-0005-0000-0000-0000222D0000}"/>
    <cellStyle name="0_BP_Formats 6117 2 7 2 3 2" xfId="11569" xr:uid="{00000000-0005-0000-0000-0000232D0000}"/>
    <cellStyle name="0_BP_Formats 6117 2 7 2 4" xfId="11570" xr:uid="{00000000-0005-0000-0000-0000242D0000}"/>
    <cellStyle name="0_BP_Formats 6117 2 7 3" xfId="11571" xr:uid="{00000000-0005-0000-0000-0000252D0000}"/>
    <cellStyle name="0_BP_Formats 6117 2 7 3 2" xfId="11572" xr:uid="{00000000-0005-0000-0000-0000262D0000}"/>
    <cellStyle name="0_BP_Formats 6117 2 7 3 2 2" xfId="11573" xr:uid="{00000000-0005-0000-0000-0000272D0000}"/>
    <cellStyle name="0_BP_Formats 6117 2 7 3 3" xfId="11574" xr:uid="{00000000-0005-0000-0000-0000282D0000}"/>
    <cellStyle name="0_BP_Formats 6117 2 7 3 3 2" xfId="11575" xr:uid="{00000000-0005-0000-0000-0000292D0000}"/>
    <cellStyle name="0_BP_Formats 6117 2 7 3 4" xfId="11576" xr:uid="{00000000-0005-0000-0000-00002A2D0000}"/>
    <cellStyle name="0_BP_Formats 6117 2 7 4" xfId="11577" xr:uid="{00000000-0005-0000-0000-00002B2D0000}"/>
    <cellStyle name="0_BP_Formats 6117 2 7 4 2" xfId="11578" xr:uid="{00000000-0005-0000-0000-00002C2D0000}"/>
    <cellStyle name="0_BP_Formats 6117 2 7 5" xfId="11579" xr:uid="{00000000-0005-0000-0000-00002D2D0000}"/>
    <cellStyle name="0_BP_Formats 6117 2 7 5 2" xfId="11580" xr:uid="{00000000-0005-0000-0000-00002E2D0000}"/>
    <cellStyle name="0_BP_Formats 6117 2 7 6" xfId="11581" xr:uid="{00000000-0005-0000-0000-00002F2D0000}"/>
    <cellStyle name="0_BP_Formats 6117 2 8" xfId="11582" xr:uid="{00000000-0005-0000-0000-0000302D0000}"/>
    <cellStyle name="0_BP_Formats 6117 2 8 2" xfId="11583" xr:uid="{00000000-0005-0000-0000-0000312D0000}"/>
    <cellStyle name="0_BP_Formats 6117 2 8 2 2" xfId="11584" xr:uid="{00000000-0005-0000-0000-0000322D0000}"/>
    <cellStyle name="0_BP_Formats 6117 2 8 3" xfId="11585" xr:uid="{00000000-0005-0000-0000-0000332D0000}"/>
    <cellStyle name="0_BP_Formats 6117 2 8 3 2" xfId="11586" xr:uid="{00000000-0005-0000-0000-0000342D0000}"/>
    <cellStyle name="0_BP_Formats 6117 2 8 4" xfId="11587" xr:uid="{00000000-0005-0000-0000-0000352D0000}"/>
    <cellStyle name="0_BP_Formats 6117 2 9" xfId="11588" xr:uid="{00000000-0005-0000-0000-0000362D0000}"/>
    <cellStyle name="0_BP_Formats 6117 2 9 2" xfId="11589" xr:uid="{00000000-0005-0000-0000-0000372D0000}"/>
    <cellStyle name="0_BP_Formats 6117 2 9 2 2" xfId="11590" xr:uid="{00000000-0005-0000-0000-0000382D0000}"/>
    <cellStyle name="0_BP_Formats 6117 2 9 3" xfId="11591" xr:uid="{00000000-0005-0000-0000-0000392D0000}"/>
    <cellStyle name="0_BP_Formats 6117 2 9 3 2" xfId="11592" xr:uid="{00000000-0005-0000-0000-00003A2D0000}"/>
    <cellStyle name="0_BP_Formats 6117 2 9 4" xfId="11593" xr:uid="{00000000-0005-0000-0000-00003B2D0000}"/>
    <cellStyle name="0_BP_Formats 6117 20" xfId="11594" xr:uid="{00000000-0005-0000-0000-00003C2D0000}"/>
    <cellStyle name="0_BP_Formats 6117 21" xfId="11595" xr:uid="{00000000-0005-0000-0000-00003D2D0000}"/>
    <cellStyle name="0_BP_Formats 6117 22" xfId="11596" xr:uid="{00000000-0005-0000-0000-00003E2D0000}"/>
    <cellStyle name="0_BP_Formats 6117 3" xfId="11597" xr:uid="{00000000-0005-0000-0000-00003F2D0000}"/>
    <cellStyle name="0_BP_Formats 6117 3 10" xfId="11598" xr:uid="{00000000-0005-0000-0000-0000402D0000}"/>
    <cellStyle name="0_BP_Formats 6117 3 10 2" xfId="11599" xr:uid="{00000000-0005-0000-0000-0000412D0000}"/>
    <cellStyle name="0_BP_Formats 6117 3 10 2 2" xfId="11600" xr:uid="{00000000-0005-0000-0000-0000422D0000}"/>
    <cellStyle name="0_BP_Formats 6117 3 10 3" xfId="11601" xr:uid="{00000000-0005-0000-0000-0000432D0000}"/>
    <cellStyle name="0_BP_Formats 6117 3 10 3 2" xfId="11602" xr:uid="{00000000-0005-0000-0000-0000442D0000}"/>
    <cellStyle name="0_BP_Formats 6117 3 10 4" xfId="11603" xr:uid="{00000000-0005-0000-0000-0000452D0000}"/>
    <cellStyle name="0_BP_Formats 6117 3 11" xfId="11604" xr:uid="{00000000-0005-0000-0000-0000462D0000}"/>
    <cellStyle name="0_BP_Formats 6117 3 11 2" xfId="11605" xr:uid="{00000000-0005-0000-0000-0000472D0000}"/>
    <cellStyle name="0_BP_Formats 6117 3 12" xfId="11606" xr:uid="{00000000-0005-0000-0000-0000482D0000}"/>
    <cellStyle name="0_BP_Formats 6117 3 12 2" xfId="11607" xr:uid="{00000000-0005-0000-0000-0000492D0000}"/>
    <cellStyle name="0_BP_Formats 6117 3 13" xfId="11608" xr:uid="{00000000-0005-0000-0000-00004A2D0000}"/>
    <cellStyle name="0_BP_Formats 6117 3 2" xfId="11609" xr:uid="{00000000-0005-0000-0000-00004B2D0000}"/>
    <cellStyle name="0_BP_Formats 6117 3 2 2" xfId="11610" xr:uid="{00000000-0005-0000-0000-00004C2D0000}"/>
    <cellStyle name="0_BP_Formats 6117 3 2 2 2" xfId="11611" xr:uid="{00000000-0005-0000-0000-00004D2D0000}"/>
    <cellStyle name="0_BP_Formats 6117 3 2 2 2 2" xfId="11612" xr:uid="{00000000-0005-0000-0000-00004E2D0000}"/>
    <cellStyle name="0_BP_Formats 6117 3 2 2 2 2 2" xfId="11613" xr:uid="{00000000-0005-0000-0000-00004F2D0000}"/>
    <cellStyle name="0_BP_Formats 6117 3 2 2 2 3" xfId="11614" xr:uid="{00000000-0005-0000-0000-0000502D0000}"/>
    <cellStyle name="0_BP_Formats 6117 3 2 2 2 3 2" xfId="11615" xr:uid="{00000000-0005-0000-0000-0000512D0000}"/>
    <cellStyle name="0_BP_Formats 6117 3 2 2 2 4" xfId="11616" xr:uid="{00000000-0005-0000-0000-0000522D0000}"/>
    <cellStyle name="0_BP_Formats 6117 3 2 2 3" xfId="11617" xr:uid="{00000000-0005-0000-0000-0000532D0000}"/>
    <cellStyle name="0_BP_Formats 6117 3 2 2 3 2" xfId="11618" xr:uid="{00000000-0005-0000-0000-0000542D0000}"/>
    <cellStyle name="0_BP_Formats 6117 3 2 2 3 2 2" xfId="11619" xr:uid="{00000000-0005-0000-0000-0000552D0000}"/>
    <cellStyle name="0_BP_Formats 6117 3 2 2 3 3" xfId="11620" xr:uid="{00000000-0005-0000-0000-0000562D0000}"/>
    <cellStyle name="0_BP_Formats 6117 3 2 2 3 3 2" xfId="11621" xr:uid="{00000000-0005-0000-0000-0000572D0000}"/>
    <cellStyle name="0_BP_Formats 6117 3 2 2 3 4" xfId="11622" xr:uid="{00000000-0005-0000-0000-0000582D0000}"/>
    <cellStyle name="0_BP_Formats 6117 3 2 2 4" xfId="11623" xr:uid="{00000000-0005-0000-0000-0000592D0000}"/>
    <cellStyle name="0_BP_Formats 6117 3 2 2 4 2" xfId="11624" xr:uid="{00000000-0005-0000-0000-00005A2D0000}"/>
    <cellStyle name="0_BP_Formats 6117 3 2 2 5" xfId="11625" xr:uid="{00000000-0005-0000-0000-00005B2D0000}"/>
    <cellStyle name="0_BP_Formats 6117 3 2 2 5 2" xfId="11626" xr:uid="{00000000-0005-0000-0000-00005C2D0000}"/>
    <cellStyle name="0_BP_Formats 6117 3 2 2 6" xfId="11627" xr:uid="{00000000-0005-0000-0000-00005D2D0000}"/>
    <cellStyle name="0_BP_Formats 6117 3 2 3" xfId="11628" xr:uid="{00000000-0005-0000-0000-00005E2D0000}"/>
    <cellStyle name="0_BP_Formats 6117 3 2 3 2" xfId="11629" xr:uid="{00000000-0005-0000-0000-00005F2D0000}"/>
    <cellStyle name="0_BP_Formats 6117 3 2 3 2 2" xfId="11630" xr:uid="{00000000-0005-0000-0000-0000602D0000}"/>
    <cellStyle name="0_BP_Formats 6117 3 2 3 3" xfId="11631" xr:uid="{00000000-0005-0000-0000-0000612D0000}"/>
    <cellStyle name="0_BP_Formats 6117 3 2 3 3 2" xfId="11632" xr:uid="{00000000-0005-0000-0000-0000622D0000}"/>
    <cellStyle name="0_BP_Formats 6117 3 2 3 4" xfId="11633" xr:uid="{00000000-0005-0000-0000-0000632D0000}"/>
    <cellStyle name="0_BP_Formats 6117 3 2 4" xfId="11634" xr:uid="{00000000-0005-0000-0000-0000642D0000}"/>
    <cellStyle name="0_BP_Formats 6117 3 2 4 2" xfId="11635" xr:uid="{00000000-0005-0000-0000-0000652D0000}"/>
    <cellStyle name="0_BP_Formats 6117 3 2 4 2 2" xfId="11636" xr:uid="{00000000-0005-0000-0000-0000662D0000}"/>
    <cellStyle name="0_BP_Formats 6117 3 2 4 3" xfId="11637" xr:uid="{00000000-0005-0000-0000-0000672D0000}"/>
    <cellStyle name="0_BP_Formats 6117 3 2 4 3 2" xfId="11638" xr:uid="{00000000-0005-0000-0000-0000682D0000}"/>
    <cellStyle name="0_BP_Formats 6117 3 2 4 4" xfId="11639" xr:uid="{00000000-0005-0000-0000-0000692D0000}"/>
    <cellStyle name="0_BP_Formats 6117 3 2 5" xfId="11640" xr:uid="{00000000-0005-0000-0000-00006A2D0000}"/>
    <cellStyle name="0_BP_Formats 6117 3 2 5 2" xfId="11641" xr:uid="{00000000-0005-0000-0000-00006B2D0000}"/>
    <cellStyle name="0_BP_Formats 6117 3 2 5 2 2" xfId="11642" xr:uid="{00000000-0005-0000-0000-00006C2D0000}"/>
    <cellStyle name="0_BP_Formats 6117 3 2 5 3" xfId="11643" xr:uid="{00000000-0005-0000-0000-00006D2D0000}"/>
    <cellStyle name="0_BP_Formats 6117 3 2 5 3 2" xfId="11644" xr:uid="{00000000-0005-0000-0000-00006E2D0000}"/>
    <cellStyle name="0_BP_Formats 6117 3 2 5 4" xfId="11645" xr:uid="{00000000-0005-0000-0000-00006F2D0000}"/>
    <cellStyle name="0_BP_Formats 6117 3 2 6" xfId="11646" xr:uid="{00000000-0005-0000-0000-0000702D0000}"/>
    <cellStyle name="0_BP_Formats 6117 3 2 6 2" xfId="11647" xr:uid="{00000000-0005-0000-0000-0000712D0000}"/>
    <cellStyle name="0_BP_Formats 6117 3 2 7" xfId="11648" xr:uid="{00000000-0005-0000-0000-0000722D0000}"/>
    <cellStyle name="0_BP_Formats 6117 3 2 7 2" xfId="11649" xr:uid="{00000000-0005-0000-0000-0000732D0000}"/>
    <cellStyle name="0_BP_Formats 6117 3 2 8" xfId="11650" xr:uid="{00000000-0005-0000-0000-0000742D0000}"/>
    <cellStyle name="0_BP_Formats 6117 3 3" xfId="11651" xr:uid="{00000000-0005-0000-0000-0000752D0000}"/>
    <cellStyle name="0_BP_Formats 6117 3 3 2" xfId="11652" xr:uid="{00000000-0005-0000-0000-0000762D0000}"/>
    <cellStyle name="0_BP_Formats 6117 3 3 2 2" xfId="11653" xr:uid="{00000000-0005-0000-0000-0000772D0000}"/>
    <cellStyle name="0_BP_Formats 6117 3 3 2 2 2" xfId="11654" xr:uid="{00000000-0005-0000-0000-0000782D0000}"/>
    <cellStyle name="0_BP_Formats 6117 3 3 2 2 2 2" xfId="11655" xr:uid="{00000000-0005-0000-0000-0000792D0000}"/>
    <cellStyle name="0_BP_Formats 6117 3 3 2 2 3" xfId="11656" xr:uid="{00000000-0005-0000-0000-00007A2D0000}"/>
    <cellStyle name="0_BP_Formats 6117 3 3 2 2 3 2" xfId="11657" xr:uid="{00000000-0005-0000-0000-00007B2D0000}"/>
    <cellStyle name="0_BP_Formats 6117 3 3 2 2 4" xfId="11658" xr:uid="{00000000-0005-0000-0000-00007C2D0000}"/>
    <cellStyle name="0_BP_Formats 6117 3 3 2 3" xfId="11659" xr:uid="{00000000-0005-0000-0000-00007D2D0000}"/>
    <cellStyle name="0_BP_Formats 6117 3 3 2 3 2" xfId="11660" xr:uid="{00000000-0005-0000-0000-00007E2D0000}"/>
    <cellStyle name="0_BP_Formats 6117 3 3 2 3 2 2" xfId="11661" xr:uid="{00000000-0005-0000-0000-00007F2D0000}"/>
    <cellStyle name="0_BP_Formats 6117 3 3 2 3 3" xfId="11662" xr:uid="{00000000-0005-0000-0000-0000802D0000}"/>
    <cellStyle name="0_BP_Formats 6117 3 3 2 3 3 2" xfId="11663" xr:uid="{00000000-0005-0000-0000-0000812D0000}"/>
    <cellStyle name="0_BP_Formats 6117 3 3 2 3 4" xfId="11664" xr:uid="{00000000-0005-0000-0000-0000822D0000}"/>
    <cellStyle name="0_BP_Formats 6117 3 3 2 4" xfId="11665" xr:uid="{00000000-0005-0000-0000-0000832D0000}"/>
    <cellStyle name="0_BP_Formats 6117 3 3 2 4 2" xfId="11666" xr:uid="{00000000-0005-0000-0000-0000842D0000}"/>
    <cellStyle name="0_BP_Formats 6117 3 3 2 5" xfId="11667" xr:uid="{00000000-0005-0000-0000-0000852D0000}"/>
    <cellStyle name="0_BP_Formats 6117 3 3 2 5 2" xfId="11668" xr:uid="{00000000-0005-0000-0000-0000862D0000}"/>
    <cellStyle name="0_BP_Formats 6117 3 3 2 6" xfId="11669" xr:uid="{00000000-0005-0000-0000-0000872D0000}"/>
    <cellStyle name="0_BP_Formats 6117 3 3 3" xfId="11670" xr:uid="{00000000-0005-0000-0000-0000882D0000}"/>
    <cellStyle name="0_BP_Formats 6117 3 3 3 2" xfId="11671" xr:uid="{00000000-0005-0000-0000-0000892D0000}"/>
    <cellStyle name="0_BP_Formats 6117 3 3 3 2 2" xfId="11672" xr:uid="{00000000-0005-0000-0000-00008A2D0000}"/>
    <cellStyle name="0_BP_Formats 6117 3 3 3 3" xfId="11673" xr:uid="{00000000-0005-0000-0000-00008B2D0000}"/>
    <cellStyle name="0_BP_Formats 6117 3 3 3 3 2" xfId="11674" xr:uid="{00000000-0005-0000-0000-00008C2D0000}"/>
    <cellStyle name="0_BP_Formats 6117 3 3 3 4" xfId="11675" xr:uid="{00000000-0005-0000-0000-00008D2D0000}"/>
    <cellStyle name="0_BP_Formats 6117 3 3 4" xfId="11676" xr:uid="{00000000-0005-0000-0000-00008E2D0000}"/>
    <cellStyle name="0_BP_Formats 6117 3 3 4 2" xfId="11677" xr:uid="{00000000-0005-0000-0000-00008F2D0000}"/>
    <cellStyle name="0_BP_Formats 6117 3 3 4 2 2" xfId="11678" xr:uid="{00000000-0005-0000-0000-0000902D0000}"/>
    <cellStyle name="0_BP_Formats 6117 3 3 4 3" xfId="11679" xr:uid="{00000000-0005-0000-0000-0000912D0000}"/>
    <cellStyle name="0_BP_Formats 6117 3 3 4 3 2" xfId="11680" xr:uid="{00000000-0005-0000-0000-0000922D0000}"/>
    <cellStyle name="0_BP_Formats 6117 3 3 4 4" xfId="11681" xr:uid="{00000000-0005-0000-0000-0000932D0000}"/>
    <cellStyle name="0_BP_Formats 6117 3 3 5" xfId="11682" xr:uid="{00000000-0005-0000-0000-0000942D0000}"/>
    <cellStyle name="0_BP_Formats 6117 3 3 5 2" xfId="11683" xr:uid="{00000000-0005-0000-0000-0000952D0000}"/>
    <cellStyle name="0_BP_Formats 6117 3 3 5 2 2" xfId="11684" xr:uid="{00000000-0005-0000-0000-0000962D0000}"/>
    <cellStyle name="0_BP_Formats 6117 3 3 5 3" xfId="11685" xr:uid="{00000000-0005-0000-0000-0000972D0000}"/>
    <cellStyle name="0_BP_Formats 6117 3 3 5 3 2" xfId="11686" xr:uid="{00000000-0005-0000-0000-0000982D0000}"/>
    <cellStyle name="0_BP_Formats 6117 3 3 5 4" xfId="11687" xr:uid="{00000000-0005-0000-0000-0000992D0000}"/>
    <cellStyle name="0_BP_Formats 6117 3 3 6" xfId="11688" xr:uid="{00000000-0005-0000-0000-00009A2D0000}"/>
    <cellStyle name="0_BP_Formats 6117 3 3 6 2" xfId="11689" xr:uid="{00000000-0005-0000-0000-00009B2D0000}"/>
    <cellStyle name="0_BP_Formats 6117 3 3 7" xfId="11690" xr:uid="{00000000-0005-0000-0000-00009C2D0000}"/>
    <cellStyle name="0_BP_Formats 6117 3 3 7 2" xfId="11691" xr:uid="{00000000-0005-0000-0000-00009D2D0000}"/>
    <cellStyle name="0_BP_Formats 6117 3 3 8" xfId="11692" xr:uid="{00000000-0005-0000-0000-00009E2D0000}"/>
    <cellStyle name="0_BP_Formats 6117 3 4" xfId="11693" xr:uid="{00000000-0005-0000-0000-00009F2D0000}"/>
    <cellStyle name="0_BP_Formats 6117 3 4 2" xfId="11694" xr:uid="{00000000-0005-0000-0000-0000A02D0000}"/>
    <cellStyle name="0_BP_Formats 6117 3 4 2 2" xfId="11695" xr:uid="{00000000-0005-0000-0000-0000A12D0000}"/>
    <cellStyle name="0_BP_Formats 6117 3 4 2 2 2" xfId="11696" xr:uid="{00000000-0005-0000-0000-0000A22D0000}"/>
    <cellStyle name="0_BP_Formats 6117 3 4 2 2 2 2" xfId="11697" xr:uid="{00000000-0005-0000-0000-0000A32D0000}"/>
    <cellStyle name="0_BP_Formats 6117 3 4 2 2 3" xfId="11698" xr:uid="{00000000-0005-0000-0000-0000A42D0000}"/>
    <cellStyle name="0_BP_Formats 6117 3 4 2 2 3 2" xfId="11699" xr:uid="{00000000-0005-0000-0000-0000A52D0000}"/>
    <cellStyle name="0_BP_Formats 6117 3 4 2 2 4" xfId="11700" xr:uid="{00000000-0005-0000-0000-0000A62D0000}"/>
    <cellStyle name="0_BP_Formats 6117 3 4 2 3" xfId="11701" xr:uid="{00000000-0005-0000-0000-0000A72D0000}"/>
    <cellStyle name="0_BP_Formats 6117 3 4 2 3 2" xfId="11702" xr:uid="{00000000-0005-0000-0000-0000A82D0000}"/>
    <cellStyle name="0_BP_Formats 6117 3 4 2 3 2 2" xfId="11703" xr:uid="{00000000-0005-0000-0000-0000A92D0000}"/>
    <cellStyle name="0_BP_Formats 6117 3 4 2 3 3" xfId="11704" xr:uid="{00000000-0005-0000-0000-0000AA2D0000}"/>
    <cellStyle name="0_BP_Formats 6117 3 4 2 3 3 2" xfId="11705" xr:uid="{00000000-0005-0000-0000-0000AB2D0000}"/>
    <cellStyle name="0_BP_Formats 6117 3 4 2 3 4" xfId="11706" xr:uid="{00000000-0005-0000-0000-0000AC2D0000}"/>
    <cellStyle name="0_BP_Formats 6117 3 4 2 4" xfId="11707" xr:uid="{00000000-0005-0000-0000-0000AD2D0000}"/>
    <cellStyle name="0_BP_Formats 6117 3 4 2 4 2" xfId="11708" xr:uid="{00000000-0005-0000-0000-0000AE2D0000}"/>
    <cellStyle name="0_BP_Formats 6117 3 4 2 5" xfId="11709" xr:uid="{00000000-0005-0000-0000-0000AF2D0000}"/>
    <cellStyle name="0_BP_Formats 6117 3 4 2 5 2" xfId="11710" xr:uid="{00000000-0005-0000-0000-0000B02D0000}"/>
    <cellStyle name="0_BP_Formats 6117 3 4 2 6" xfId="11711" xr:uid="{00000000-0005-0000-0000-0000B12D0000}"/>
    <cellStyle name="0_BP_Formats 6117 3 4 3" xfId="11712" xr:uid="{00000000-0005-0000-0000-0000B22D0000}"/>
    <cellStyle name="0_BP_Formats 6117 3 4 3 2" xfId="11713" xr:uid="{00000000-0005-0000-0000-0000B32D0000}"/>
    <cellStyle name="0_BP_Formats 6117 3 4 3 2 2" xfId="11714" xr:uid="{00000000-0005-0000-0000-0000B42D0000}"/>
    <cellStyle name="0_BP_Formats 6117 3 4 3 3" xfId="11715" xr:uid="{00000000-0005-0000-0000-0000B52D0000}"/>
    <cellStyle name="0_BP_Formats 6117 3 4 3 3 2" xfId="11716" xr:uid="{00000000-0005-0000-0000-0000B62D0000}"/>
    <cellStyle name="0_BP_Formats 6117 3 4 3 4" xfId="11717" xr:uid="{00000000-0005-0000-0000-0000B72D0000}"/>
    <cellStyle name="0_BP_Formats 6117 3 4 4" xfId="11718" xr:uid="{00000000-0005-0000-0000-0000B82D0000}"/>
    <cellStyle name="0_BP_Formats 6117 3 4 4 2" xfId="11719" xr:uid="{00000000-0005-0000-0000-0000B92D0000}"/>
    <cellStyle name="0_BP_Formats 6117 3 4 4 2 2" xfId="11720" xr:uid="{00000000-0005-0000-0000-0000BA2D0000}"/>
    <cellStyle name="0_BP_Formats 6117 3 4 4 3" xfId="11721" xr:uid="{00000000-0005-0000-0000-0000BB2D0000}"/>
    <cellStyle name="0_BP_Formats 6117 3 4 4 3 2" xfId="11722" xr:uid="{00000000-0005-0000-0000-0000BC2D0000}"/>
    <cellStyle name="0_BP_Formats 6117 3 4 4 4" xfId="11723" xr:uid="{00000000-0005-0000-0000-0000BD2D0000}"/>
    <cellStyle name="0_BP_Formats 6117 3 4 5" xfId="11724" xr:uid="{00000000-0005-0000-0000-0000BE2D0000}"/>
    <cellStyle name="0_BP_Formats 6117 3 4 5 2" xfId="11725" xr:uid="{00000000-0005-0000-0000-0000BF2D0000}"/>
    <cellStyle name="0_BP_Formats 6117 3 4 5 2 2" xfId="11726" xr:uid="{00000000-0005-0000-0000-0000C02D0000}"/>
    <cellStyle name="0_BP_Formats 6117 3 4 5 3" xfId="11727" xr:uid="{00000000-0005-0000-0000-0000C12D0000}"/>
    <cellStyle name="0_BP_Formats 6117 3 4 5 3 2" xfId="11728" xr:uid="{00000000-0005-0000-0000-0000C22D0000}"/>
    <cellStyle name="0_BP_Formats 6117 3 4 5 4" xfId="11729" xr:uid="{00000000-0005-0000-0000-0000C32D0000}"/>
    <cellStyle name="0_BP_Formats 6117 3 4 6" xfId="11730" xr:uid="{00000000-0005-0000-0000-0000C42D0000}"/>
    <cellStyle name="0_BP_Formats 6117 3 4 6 2" xfId="11731" xr:uid="{00000000-0005-0000-0000-0000C52D0000}"/>
    <cellStyle name="0_BP_Formats 6117 3 4 7" xfId="11732" xr:uid="{00000000-0005-0000-0000-0000C62D0000}"/>
    <cellStyle name="0_BP_Formats 6117 3 4 7 2" xfId="11733" xr:uid="{00000000-0005-0000-0000-0000C72D0000}"/>
    <cellStyle name="0_BP_Formats 6117 3 4 8" xfId="11734" xr:uid="{00000000-0005-0000-0000-0000C82D0000}"/>
    <cellStyle name="0_BP_Formats 6117 3 5" xfId="11735" xr:uid="{00000000-0005-0000-0000-0000C92D0000}"/>
    <cellStyle name="0_BP_Formats 6117 3 5 2" xfId="11736" xr:uid="{00000000-0005-0000-0000-0000CA2D0000}"/>
    <cellStyle name="0_BP_Formats 6117 3 5 2 2" xfId="11737" xr:uid="{00000000-0005-0000-0000-0000CB2D0000}"/>
    <cellStyle name="0_BP_Formats 6117 3 5 2 2 2" xfId="11738" xr:uid="{00000000-0005-0000-0000-0000CC2D0000}"/>
    <cellStyle name="0_BP_Formats 6117 3 5 2 2 2 2" xfId="11739" xr:uid="{00000000-0005-0000-0000-0000CD2D0000}"/>
    <cellStyle name="0_BP_Formats 6117 3 5 2 2 3" xfId="11740" xr:uid="{00000000-0005-0000-0000-0000CE2D0000}"/>
    <cellStyle name="0_BP_Formats 6117 3 5 2 2 3 2" xfId="11741" xr:uid="{00000000-0005-0000-0000-0000CF2D0000}"/>
    <cellStyle name="0_BP_Formats 6117 3 5 2 2 4" xfId="11742" xr:uid="{00000000-0005-0000-0000-0000D02D0000}"/>
    <cellStyle name="0_BP_Formats 6117 3 5 2 3" xfId="11743" xr:uid="{00000000-0005-0000-0000-0000D12D0000}"/>
    <cellStyle name="0_BP_Formats 6117 3 5 2 3 2" xfId="11744" xr:uid="{00000000-0005-0000-0000-0000D22D0000}"/>
    <cellStyle name="0_BP_Formats 6117 3 5 2 3 2 2" xfId="11745" xr:uid="{00000000-0005-0000-0000-0000D32D0000}"/>
    <cellStyle name="0_BP_Formats 6117 3 5 2 3 3" xfId="11746" xr:uid="{00000000-0005-0000-0000-0000D42D0000}"/>
    <cellStyle name="0_BP_Formats 6117 3 5 2 3 3 2" xfId="11747" xr:uid="{00000000-0005-0000-0000-0000D52D0000}"/>
    <cellStyle name="0_BP_Formats 6117 3 5 2 3 4" xfId="11748" xr:uid="{00000000-0005-0000-0000-0000D62D0000}"/>
    <cellStyle name="0_BP_Formats 6117 3 5 2 4" xfId="11749" xr:uid="{00000000-0005-0000-0000-0000D72D0000}"/>
    <cellStyle name="0_BP_Formats 6117 3 5 2 4 2" xfId="11750" xr:uid="{00000000-0005-0000-0000-0000D82D0000}"/>
    <cellStyle name="0_BP_Formats 6117 3 5 2 5" xfId="11751" xr:uid="{00000000-0005-0000-0000-0000D92D0000}"/>
    <cellStyle name="0_BP_Formats 6117 3 5 2 5 2" xfId="11752" xr:uid="{00000000-0005-0000-0000-0000DA2D0000}"/>
    <cellStyle name="0_BP_Formats 6117 3 5 2 6" xfId="11753" xr:uid="{00000000-0005-0000-0000-0000DB2D0000}"/>
    <cellStyle name="0_BP_Formats 6117 3 5 3" xfId="11754" xr:uid="{00000000-0005-0000-0000-0000DC2D0000}"/>
    <cellStyle name="0_BP_Formats 6117 3 5 3 2" xfId="11755" xr:uid="{00000000-0005-0000-0000-0000DD2D0000}"/>
    <cellStyle name="0_BP_Formats 6117 3 5 3 2 2" xfId="11756" xr:uid="{00000000-0005-0000-0000-0000DE2D0000}"/>
    <cellStyle name="0_BP_Formats 6117 3 5 3 3" xfId="11757" xr:uid="{00000000-0005-0000-0000-0000DF2D0000}"/>
    <cellStyle name="0_BP_Formats 6117 3 5 3 3 2" xfId="11758" xr:uid="{00000000-0005-0000-0000-0000E02D0000}"/>
    <cellStyle name="0_BP_Formats 6117 3 5 3 4" xfId="11759" xr:uid="{00000000-0005-0000-0000-0000E12D0000}"/>
    <cellStyle name="0_BP_Formats 6117 3 5 4" xfId="11760" xr:uid="{00000000-0005-0000-0000-0000E22D0000}"/>
    <cellStyle name="0_BP_Formats 6117 3 5 4 2" xfId="11761" xr:uid="{00000000-0005-0000-0000-0000E32D0000}"/>
    <cellStyle name="0_BP_Formats 6117 3 5 4 2 2" xfId="11762" xr:uid="{00000000-0005-0000-0000-0000E42D0000}"/>
    <cellStyle name="0_BP_Formats 6117 3 5 4 3" xfId="11763" xr:uid="{00000000-0005-0000-0000-0000E52D0000}"/>
    <cellStyle name="0_BP_Formats 6117 3 5 4 3 2" xfId="11764" xr:uid="{00000000-0005-0000-0000-0000E62D0000}"/>
    <cellStyle name="0_BP_Formats 6117 3 5 4 4" xfId="11765" xr:uid="{00000000-0005-0000-0000-0000E72D0000}"/>
    <cellStyle name="0_BP_Formats 6117 3 5 5" xfId="11766" xr:uid="{00000000-0005-0000-0000-0000E82D0000}"/>
    <cellStyle name="0_BP_Formats 6117 3 5 5 2" xfId="11767" xr:uid="{00000000-0005-0000-0000-0000E92D0000}"/>
    <cellStyle name="0_BP_Formats 6117 3 5 5 2 2" xfId="11768" xr:uid="{00000000-0005-0000-0000-0000EA2D0000}"/>
    <cellStyle name="0_BP_Formats 6117 3 5 5 3" xfId="11769" xr:uid="{00000000-0005-0000-0000-0000EB2D0000}"/>
    <cellStyle name="0_BP_Formats 6117 3 5 5 3 2" xfId="11770" xr:uid="{00000000-0005-0000-0000-0000EC2D0000}"/>
    <cellStyle name="0_BP_Formats 6117 3 5 5 4" xfId="11771" xr:uid="{00000000-0005-0000-0000-0000ED2D0000}"/>
    <cellStyle name="0_BP_Formats 6117 3 5 6" xfId="11772" xr:uid="{00000000-0005-0000-0000-0000EE2D0000}"/>
    <cellStyle name="0_BP_Formats 6117 3 5 6 2" xfId="11773" xr:uid="{00000000-0005-0000-0000-0000EF2D0000}"/>
    <cellStyle name="0_BP_Formats 6117 3 5 7" xfId="11774" xr:uid="{00000000-0005-0000-0000-0000F02D0000}"/>
    <cellStyle name="0_BP_Formats 6117 3 5 7 2" xfId="11775" xr:uid="{00000000-0005-0000-0000-0000F12D0000}"/>
    <cellStyle name="0_BP_Formats 6117 3 5 8" xfId="11776" xr:uid="{00000000-0005-0000-0000-0000F22D0000}"/>
    <cellStyle name="0_BP_Formats 6117 3 6" xfId="11777" xr:uid="{00000000-0005-0000-0000-0000F32D0000}"/>
    <cellStyle name="0_BP_Formats 6117 3 6 2" xfId="11778" xr:uid="{00000000-0005-0000-0000-0000F42D0000}"/>
    <cellStyle name="0_BP_Formats 6117 3 6 2 2" xfId="11779" xr:uid="{00000000-0005-0000-0000-0000F52D0000}"/>
    <cellStyle name="0_BP_Formats 6117 3 6 2 2 2" xfId="11780" xr:uid="{00000000-0005-0000-0000-0000F62D0000}"/>
    <cellStyle name="0_BP_Formats 6117 3 6 2 2 2 2" xfId="11781" xr:uid="{00000000-0005-0000-0000-0000F72D0000}"/>
    <cellStyle name="0_BP_Formats 6117 3 6 2 2 3" xfId="11782" xr:uid="{00000000-0005-0000-0000-0000F82D0000}"/>
    <cellStyle name="0_BP_Formats 6117 3 6 2 2 3 2" xfId="11783" xr:uid="{00000000-0005-0000-0000-0000F92D0000}"/>
    <cellStyle name="0_BP_Formats 6117 3 6 2 2 4" xfId="11784" xr:uid="{00000000-0005-0000-0000-0000FA2D0000}"/>
    <cellStyle name="0_BP_Formats 6117 3 6 2 3" xfId="11785" xr:uid="{00000000-0005-0000-0000-0000FB2D0000}"/>
    <cellStyle name="0_BP_Formats 6117 3 6 2 3 2" xfId="11786" xr:uid="{00000000-0005-0000-0000-0000FC2D0000}"/>
    <cellStyle name="0_BP_Formats 6117 3 6 2 3 2 2" xfId="11787" xr:uid="{00000000-0005-0000-0000-0000FD2D0000}"/>
    <cellStyle name="0_BP_Formats 6117 3 6 2 3 3" xfId="11788" xr:uid="{00000000-0005-0000-0000-0000FE2D0000}"/>
    <cellStyle name="0_BP_Formats 6117 3 6 2 3 3 2" xfId="11789" xr:uid="{00000000-0005-0000-0000-0000FF2D0000}"/>
    <cellStyle name="0_BP_Formats 6117 3 6 2 3 4" xfId="11790" xr:uid="{00000000-0005-0000-0000-0000002E0000}"/>
    <cellStyle name="0_BP_Formats 6117 3 6 2 4" xfId="11791" xr:uid="{00000000-0005-0000-0000-0000012E0000}"/>
    <cellStyle name="0_BP_Formats 6117 3 6 2 4 2" xfId="11792" xr:uid="{00000000-0005-0000-0000-0000022E0000}"/>
    <cellStyle name="0_BP_Formats 6117 3 6 2 5" xfId="11793" xr:uid="{00000000-0005-0000-0000-0000032E0000}"/>
    <cellStyle name="0_BP_Formats 6117 3 6 2 5 2" xfId="11794" xr:uid="{00000000-0005-0000-0000-0000042E0000}"/>
    <cellStyle name="0_BP_Formats 6117 3 6 2 6" xfId="11795" xr:uid="{00000000-0005-0000-0000-0000052E0000}"/>
    <cellStyle name="0_BP_Formats 6117 3 6 3" xfId="11796" xr:uid="{00000000-0005-0000-0000-0000062E0000}"/>
    <cellStyle name="0_BP_Formats 6117 3 6 3 2" xfId="11797" xr:uid="{00000000-0005-0000-0000-0000072E0000}"/>
    <cellStyle name="0_BP_Formats 6117 3 6 3 2 2" xfId="11798" xr:uid="{00000000-0005-0000-0000-0000082E0000}"/>
    <cellStyle name="0_BP_Formats 6117 3 6 3 3" xfId="11799" xr:uid="{00000000-0005-0000-0000-0000092E0000}"/>
    <cellStyle name="0_BP_Formats 6117 3 6 3 3 2" xfId="11800" xr:uid="{00000000-0005-0000-0000-00000A2E0000}"/>
    <cellStyle name="0_BP_Formats 6117 3 6 3 4" xfId="11801" xr:uid="{00000000-0005-0000-0000-00000B2E0000}"/>
    <cellStyle name="0_BP_Formats 6117 3 6 4" xfId="11802" xr:uid="{00000000-0005-0000-0000-00000C2E0000}"/>
    <cellStyle name="0_BP_Formats 6117 3 6 4 2" xfId="11803" xr:uid="{00000000-0005-0000-0000-00000D2E0000}"/>
    <cellStyle name="0_BP_Formats 6117 3 6 4 2 2" xfId="11804" xr:uid="{00000000-0005-0000-0000-00000E2E0000}"/>
    <cellStyle name="0_BP_Formats 6117 3 6 4 3" xfId="11805" xr:uid="{00000000-0005-0000-0000-00000F2E0000}"/>
    <cellStyle name="0_BP_Formats 6117 3 6 4 3 2" xfId="11806" xr:uid="{00000000-0005-0000-0000-0000102E0000}"/>
    <cellStyle name="0_BP_Formats 6117 3 6 4 4" xfId="11807" xr:uid="{00000000-0005-0000-0000-0000112E0000}"/>
    <cellStyle name="0_BP_Formats 6117 3 6 5" xfId="11808" xr:uid="{00000000-0005-0000-0000-0000122E0000}"/>
    <cellStyle name="0_BP_Formats 6117 3 6 5 2" xfId="11809" xr:uid="{00000000-0005-0000-0000-0000132E0000}"/>
    <cellStyle name="0_BP_Formats 6117 3 6 5 2 2" xfId="11810" xr:uid="{00000000-0005-0000-0000-0000142E0000}"/>
    <cellStyle name="0_BP_Formats 6117 3 6 5 3" xfId="11811" xr:uid="{00000000-0005-0000-0000-0000152E0000}"/>
    <cellStyle name="0_BP_Formats 6117 3 6 5 3 2" xfId="11812" xr:uid="{00000000-0005-0000-0000-0000162E0000}"/>
    <cellStyle name="0_BP_Formats 6117 3 6 5 4" xfId="11813" xr:uid="{00000000-0005-0000-0000-0000172E0000}"/>
    <cellStyle name="0_BP_Formats 6117 3 6 6" xfId="11814" xr:uid="{00000000-0005-0000-0000-0000182E0000}"/>
    <cellStyle name="0_BP_Formats 6117 3 6 6 2" xfId="11815" xr:uid="{00000000-0005-0000-0000-0000192E0000}"/>
    <cellStyle name="0_BP_Formats 6117 3 6 7" xfId="11816" xr:uid="{00000000-0005-0000-0000-00001A2E0000}"/>
    <cellStyle name="0_BP_Formats 6117 3 6 7 2" xfId="11817" xr:uid="{00000000-0005-0000-0000-00001B2E0000}"/>
    <cellStyle name="0_BP_Formats 6117 3 6 8" xfId="11818" xr:uid="{00000000-0005-0000-0000-00001C2E0000}"/>
    <cellStyle name="0_BP_Formats 6117 3 7" xfId="11819" xr:uid="{00000000-0005-0000-0000-00001D2E0000}"/>
    <cellStyle name="0_BP_Formats 6117 3 7 2" xfId="11820" xr:uid="{00000000-0005-0000-0000-00001E2E0000}"/>
    <cellStyle name="0_BP_Formats 6117 3 7 2 2" xfId="11821" xr:uid="{00000000-0005-0000-0000-00001F2E0000}"/>
    <cellStyle name="0_BP_Formats 6117 3 7 2 2 2" xfId="11822" xr:uid="{00000000-0005-0000-0000-0000202E0000}"/>
    <cellStyle name="0_BP_Formats 6117 3 7 2 3" xfId="11823" xr:uid="{00000000-0005-0000-0000-0000212E0000}"/>
    <cellStyle name="0_BP_Formats 6117 3 7 2 3 2" xfId="11824" xr:uid="{00000000-0005-0000-0000-0000222E0000}"/>
    <cellStyle name="0_BP_Formats 6117 3 7 2 4" xfId="11825" xr:uid="{00000000-0005-0000-0000-0000232E0000}"/>
    <cellStyle name="0_BP_Formats 6117 3 7 3" xfId="11826" xr:uid="{00000000-0005-0000-0000-0000242E0000}"/>
    <cellStyle name="0_BP_Formats 6117 3 7 3 2" xfId="11827" xr:uid="{00000000-0005-0000-0000-0000252E0000}"/>
    <cellStyle name="0_BP_Formats 6117 3 7 3 2 2" xfId="11828" xr:uid="{00000000-0005-0000-0000-0000262E0000}"/>
    <cellStyle name="0_BP_Formats 6117 3 7 3 3" xfId="11829" xr:uid="{00000000-0005-0000-0000-0000272E0000}"/>
    <cellStyle name="0_BP_Formats 6117 3 7 3 3 2" xfId="11830" xr:uid="{00000000-0005-0000-0000-0000282E0000}"/>
    <cellStyle name="0_BP_Formats 6117 3 7 3 4" xfId="11831" xr:uid="{00000000-0005-0000-0000-0000292E0000}"/>
    <cellStyle name="0_BP_Formats 6117 3 7 4" xfId="11832" xr:uid="{00000000-0005-0000-0000-00002A2E0000}"/>
    <cellStyle name="0_BP_Formats 6117 3 7 4 2" xfId="11833" xr:uid="{00000000-0005-0000-0000-00002B2E0000}"/>
    <cellStyle name="0_BP_Formats 6117 3 7 5" xfId="11834" xr:uid="{00000000-0005-0000-0000-00002C2E0000}"/>
    <cellStyle name="0_BP_Formats 6117 3 7 5 2" xfId="11835" xr:uid="{00000000-0005-0000-0000-00002D2E0000}"/>
    <cellStyle name="0_BP_Formats 6117 3 7 6" xfId="11836" xr:uid="{00000000-0005-0000-0000-00002E2E0000}"/>
    <cellStyle name="0_BP_Formats 6117 3 8" xfId="11837" xr:uid="{00000000-0005-0000-0000-00002F2E0000}"/>
    <cellStyle name="0_BP_Formats 6117 3 8 2" xfId="11838" xr:uid="{00000000-0005-0000-0000-0000302E0000}"/>
    <cellStyle name="0_BP_Formats 6117 3 8 2 2" xfId="11839" xr:uid="{00000000-0005-0000-0000-0000312E0000}"/>
    <cellStyle name="0_BP_Formats 6117 3 8 3" xfId="11840" xr:uid="{00000000-0005-0000-0000-0000322E0000}"/>
    <cellStyle name="0_BP_Formats 6117 3 8 3 2" xfId="11841" xr:uid="{00000000-0005-0000-0000-0000332E0000}"/>
    <cellStyle name="0_BP_Formats 6117 3 8 4" xfId="11842" xr:uid="{00000000-0005-0000-0000-0000342E0000}"/>
    <cellStyle name="0_BP_Formats 6117 3 9" xfId="11843" xr:uid="{00000000-0005-0000-0000-0000352E0000}"/>
    <cellStyle name="0_BP_Formats 6117 3 9 2" xfId="11844" xr:uid="{00000000-0005-0000-0000-0000362E0000}"/>
    <cellStyle name="0_BP_Formats 6117 3 9 2 2" xfId="11845" xr:uid="{00000000-0005-0000-0000-0000372E0000}"/>
    <cellStyle name="0_BP_Formats 6117 3 9 3" xfId="11846" xr:uid="{00000000-0005-0000-0000-0000382E0000}"/>
    <cellStyle name="0_BP_Formats 6117 3 9 3 2" xfId="11847" xr:uid="{00000000-0005-0000-0000-0000392E0000}"/>
    <cellStyle name="0_BP_Formats 6117 3 9 4" xfId="11848" xr:uid="{00000000-0005-0000-0000-00003A2E0000}"/>
    <cellStyle name="0_BP_Formats 6117 4" xfId="11849" xr:uid="{00000000-0005-0000-0000-00003B2E0000}"/>
    <cellStyle name="0_BP_Formats 6117 4 10" xfId="11850" xr:uid="{00000000-0005-0000-0000-00003C2E0000}"/>
    <cellStyle name="0_BP_Formats 6117 4 10 2" xfId="11851" xr:uid="{00000000-0005-0000-0000-00003D2E0000}"/>
    <cellStyle name="0_BP_Formats 6117 4 10 2 2" xfId="11852" xr:uid="{00000000-0005-0000-0000-00003E2E0000}"/>
    <cellStyle name="0_BP_Formats 6117 4 10 3" xfId="11853" xr:uid="{00000000-0005-0000-0000-00003F2E0000}"/>
    <cellStyle name="0_BP_Formats 6117 4 10 3 2" xfId="11854" xr:uid="{00000000-0005-0000-0000-0000402E0000}"/>
    <cellStyle name="0_BP_Formats 6117 4 10 4" xfId="11855" xr:uid="{00000000-0005-0000-0000-0000412E0000}"/>
    <cellStyle name="0_BP_Formats 6117 4 11" xfId="11856" xr:uid="{00000000-0005-0000-0000-0000422E0000}"/>
    <cellStyle name="0_BP_Formats 6117 4 11 2" xfId="11857" xr:uid="{00000000-0005-0000-0000-0000432E0000}"/>
    <cellStyle name="0_BP_Formats 6117 4 12" xfId="11858" xr:uid="{00000000-0005-0000-0000-0000442E0000}"/>
    <cellStyle name="0_BP_Formats 6117 4 12 2" xfId="11859" xr:uid="{00000000-0005-0000-0000-0000452E0000}"/>
    <cellStyle name="0_BP_Formats 6117 4 13" xfId="11860" xr:uid="{00000000-0005-0000-0000-0000462E0000}"/>
    <cellStyle name="0_BP_Formats 6117 4 2" xfId="11861" xr:uid="{00000000-0005-0000-0000-0000472E0000}"/>
    <cellStyle name="0_BP_Formats 6117 4 2 2" xfId="11862" xr:uid="{00000000-0005-0000-0000-0000482E0000}"/>
    <cellStyle name="0_BP_Formats 6117 4 2 2 2" xfId="11863" xr:uid="{00000000-0005-0000-0000-0000492E0000}"/>
    <cellStyle name="0_BP_Formats 6117 4 2 2 2 2" xfId="11864" xr:uid="{00000000-0005-0000-0000-00004A2E0000}"/>
    <cellStyle name="0_BP_Formats 6117 4 2 2 2 2 2" xfId="11865" xr:uid="{00000000-0005-0000-0000-00004B2E0000}"/>
    <cellStyle name="0_BP_Formats 6117 4 2 2 2 3" xfId="11866" xr:uid="{00000000-0005-0000-0000-00004C2E0000}"/>
    <cellStyle name="0_BP_Formats 6117 4 2 2 2 3 2" xfId="11867" xr:uid="{00000000-0005-0000-0000-00004D2E0000}"/>
    <cellStyle name="0_BP_Formats 6117 4 2 2 2 4" xfId="11868" xr:uid="{00000000-0005-0000-0000-00004E2E0000}"/>
    <cellStyle name="0_BP_Formats 6117 4 2 2 3" xfId="11869" xr:uid="{00000000-0005-0000-0000-00004F2E0000}"/>
    <cellStyle name="0_BP_Formats 6117 4 2 2 3 2" xfId="11870" xr:uid="{00000000-0005-0000-0000-0000502E0000}"/>
    <cellStyle name="0_BP_Formats 6117 4 2 2 3 2 2" xfId="11871" xr:uid="{00000000-0005-0000-0000-0000512E0000}"/>
    <cellStyle name="0_BP_Formats 6117 4 2 2 3 3" xfId="11872" xr:uid="{00000000-0005-0000-0000-0000522E0000}"/>
    <cellStyle name="0_BP_Formats 6117 4 2 2 3 3 2" xfId="11873" xr:uid="{00000000-0005-0000-0000-0000532E0000}"/>
    <cellStyle name="0_BP_Formats 6117 4 2 2 3 4" xfId="11874" xr:uid="{00000000-0005-0000-0000-0000542E0000}"/>
    <cellStyle name="0_BP_Formats 6117 4 2 2 4" xfId="11875" xr:uid="{00000000-0005-0000-0000-0000552E0000}"/>
    <cellStyle name="0_BP_Formats 6117 4 2 2 4 2" xfId="11876" xr:uid="{00000000-0005-0000-0000-0000562E0000}"/>
    <cellStyle name="0_BP_Formats 6117 4 2 2 5" xfId="11877" xr:uid="{00000000-0005-0000-0000-0000572E0000}"/>
    <cellStyle name="0_BP_Formats 6117 4 2 2 5 2" xfId="11878" xr:uid="{00000000-0005-0000-0000-0000582E0000}"/>
    <cellStyle name="0_BP_Formats 6117 4 2 2 6" xfId="11879" xr:uid="{00000000-0005-0000-0000-0000592E0000}"/>
    <cellStyle name="0_BP_Formats 6117 4 2 3" xfId="11880" xr:uid="{00000000-0005-0000-0000-00005A2E0000}"/>
    <cellStyle name="0_BP_Formats 6117 4 2 3 2" xfId="11881" xr:uid="{00000000-0005-0000-0000-00005B2E0000}"/>
    <cellStyle name="0_BP_Formats 6117 4 2 3 2 2" xfId="11882" xr:uid="{00000000-0005-0000-0000-00005C2E0000}"/>
    <cellStyle name="0_BP_Formats 6117 4 2 3 3" xfId="11883" xr:uid="{00000000-0005-0000-0000-00005D2E0000}"/>
    <cellStyle name="0_BP_Formats 6117 4 2 3 3 2" xfId="11884" xr:uid="{00000000-0005-0000-0000-00005E2E0000}"/>
    <cellStyle name="0_BP_Formats 6117 4 2 3 4" xfId="11885" xr:uid="{00000000-0005-0000-0000-00005F2E0000}"/>
    <cellStyle name="0_BP_Formats 6117 4 2 4" xfId="11886" xr:uid="{00000000-0005-0000-0000-0000602E0000}"/>
    <cellStyle name="0_BP_Formats 6117 4 2 4 2" xfId="11887" xr:uid="{00000000-0005-0000-0000-0000612E0000}"/>
    <cellStyle name="0_BP_Formats 6117 4 2 4 2 2" xfId="11888" xr:uid="{00000000-0005-0000-0000-0000622E0000}"/>
    <cellStyle name="0_BP_Formats 6117 4 2 4 3" xfId="11889" xr:uid="{00000000-0005-0000-0000-0000632E0000}"/>
    <cellStyle name="0_BP_Formats 6117 4 2 4 3 2" xfId="11890" xr:uid="{00000000-0005-0000-0000-0000642E0000}"/>
    <cellStyle name="0_BP_Formats 6117 4 2 4 4" xfId="11891" xr:uid="{00000000-0005-0000-0000-0000652E0000}"/>
    <cellStyle name="0_BP_Formats 6117 4 2 5" xfId="11892" xr:uid="{00000000-0005-0000-0000-0000662E0000}"/>
    <cellStyle name="0_BP_Formats 6117 4 2 5 2" xfId="11893" xr:uid="{00000000-0005-0000-0000-0000672E0000}"/>
    <cellStyle name="0_BP_Formats 6117 4 2 5 2 2" xfId="11894" xr:uid="{00000000-0005-0000-0000-0000682E0000}"/>
    <cellStyle name="0_BP_Formats 6117 4 2 5 3" xfId="11895" xr:uid="{00000000-0005-0000-0000-0000692E0000}"/>
    <cellStyle name="0_BP_Formats 6117 4 2 5 3 2" xfId="11896" xr:uid="{00000000-0005-0000-0000-00006A2E0000}"/>
    <cellStyle name="0_BP_Formats 6117 4 2 5 4" xfId="11897" xr:uid="{00000000-0005-0000-0000-00006B2E0000}"/>
    <cellStyle name="0_BP_Formats 6117 4 2 6" xfId="11898" xr:uid="{00000000-0005-0000-0000-00006C2E0000}"/>
    <cellStyle name="0_BP_Formats 6117 4 2 6 2" xfId="11899" xr:uid="{00000000-0005-0000-0000-00006D2E0000}"/>
    <cellStyle name="0_BP_Formats 6117 4 2 7" xfId="11900" xr:uid="{00000000-0005-0000-0000-00006E2E0000}"/>
    <cellStyle name="0_BP_Formats 6117 4 2 7 2" xfId="11901" xr:uid="{00000000-0005-0000-0000-00006F2E0000}"/>
    <cellStyle name="0_BP_Formats 6117 4 2 8" xfId="11902" xr:uid="{00000000-0005-0000-0000-0000702E0000}"/>
    <cellStyle name="0_BP_Formats 6117 4 3" xfId="11903" xr:uid="{00000000-0005-0000-0000-0000712E0000}"/>
    <cellStyle name="0_BP_Formats 6117 4 3 2" xfId="11904" xr:uid="{00000000-0005-0000-0000-0000722E0000}"/>
    <cellStyle name="0_BP_Formats 6117 4 3 2 2" xfId="11905" xr:uid="{00000000-0005-0000-0000-0000732E0000}"/>
    <cellStyle name="0_BP_Formats 6117 4 3 2 2 2" xfId="11906" xr:uid="{00000000-0005-0000-0000-0000742E0000}"/>
    <cellStyle name="0_BP_Formats 6117 4 3 2 2 2 2" xfId="11907" xr:uid="{00000000-0005-0000-0000-0000752E0000}"/>
    <cellStyle name="0_BP_Formats 6117 4 3 2 2 3" xfId="11908" xr:uid="{00000000-0005-0000-0000-0000762E0000}"/>
    <cellStyle name="0_BP_Formats 6117 4 3 2 2 3 2" xfId="11909" xr:uid="{00000000-0005-0000-0000-0000772E0000}"/>
    <cellStyle name="0_BP_Formats 6117 4 3 2 2 4" xfId="11910" xr:uid="{00000000-0005-0000-0000-0000782E0000}"/>
    <cellStyle name="0_BP_Formats 6117 4 3 2 3" xfId="11911" xr:uid="{00000000-0005-0000-0000-0000792E0000}"/>
    <cellStyle name="0_BP_Formats 6117 4 3 2 3 2" xfId="11912" xr:uid="{00000000-0005-0000-0000-00007A2E0000}"/>
    <cellStyle name="0_BP_Formats 6117 4 3 2 3 2 2" xfId="11913" xr:uid="{00000000-0005-0000-0000-00007B2E0000}"/>
    <cellStyle name="0_BP_Formats 6117 4 3 2 3 3" xfId="11914" xr:uid="{00000000-0005-0000-0000-00007C2E0000}"/>
    <cellStyle name="0_BP_Formats 6117 4 3 2 3 3 2" xfId="11915" xr:uid="{00000000-0005-0000-0000-00007D2E0000}"/>
    <cellStyle name="0_BP_Formats 6117 4 3 2 3 4" xfId="11916" xr:uid="{00000000-0005-0000-0000-00007E2E0000}"/>
    <cellStyle name="0_BP_Formats 6117 4 3 2 4" xfId="11917" xr:uid="{00000000-0005-0000-0000-00007F2E0000}"/>
    <cellStyle name="0_BP_Formats 6117 4 3 2 4 2" xfId="11918" xr:uid="{00000000-0005-0000-0000-0000802E0000}"/>
    <cellStyle name="0_BP_Formats 6117 4 3 2 5" xfId="11919" xr:uid="{00000000-0005-0000-0000-0000812E0000}"/>
    <cellStyle name="0_BP_Formats 6117 4 3 2 5 2" xfId="11920" xr:uid="{00000000-0005-0000-0000-0000822E0000}"/>
    <cellStyle name="0_BP_Formats 6117 4 3 2 6" xfId="11921" xr:uid="{00000000-0005-0000-0000-0000832E0000}"/>
    <cellStyle name="0_BP_Formats 6117 4 3 3" xfId="11922" xr:uid="{00000000-0005-0000-0000-0000842E0000}"/>
    <cellStyle name="0_BP_Formats 6117 4 3 3 2" xfId="11923" xr:uid="{00000000-0005-0000-0000-0000852E0000}"/>
    <cellStyle name="0_BP_Formats 6117 4 3 3 2 2" xfId="11924" xr:uid="{00000000-0005-0000-0000-0000862E0000}"/>
    <cellStyle name="0_BP_Formats 6117 4 3 3 3" xfId="11925" xr:uid="{00000000-0005-0000-0000-0000872E0000}"/>
    <cellStyle name="0_BP_Formats 6117 4 3 3 3 2" xfId="11926" xr:uid="{00000000-0005-0000-0000-0000882E0000}"/>
    <cellStyle name="0_BP_Formats 6117 4 3 3 4" xfId="11927" xr:uid="{00000000-0005-0000-0000-0000892E0000}"/>
    <cellStyle name="0_BP_Formats 6117 4 3 4" xfId="11928" xr:uid="{00000000-0005-0000-0000-00008A2E0000}"/>
    <cellStyle name="0_BP_Formats 6117 4 3 4 2" xfId="11929" xr:uid="{00000000-0005-0000-0000-00008B2E0000}"/>
    <cellStyle name="0_BP_Formats 6117 4 3 4 2 2" xfId="11930" xr:uid="{00000000-0005-0000-0000-00008C2E0000}"/>
    <cellStyle name="0_BP_Formats 6117 4 3 4 3" xfId="11931" xr:uid="{00000000-0005-0000-0000-00008D2E0000}"/>
    <cellStyle name="0_BP_Formats 6117 4 3 4 3 2" xfId="11932" xr:uid="{00000000-0005-0000-0000-00008E2E0000}"/>
    <cellStyle name="0_BP_Formats 6117 4 3 4 4" xfId="11933" xr:uid="{00000000-0005-0000-0000-00008F2E0000}"/>
    <cellStyle name="0_BP_Formats 6117 4 3 5" xfId="11934" xr:uid="{00000000-0005-0000-0000-0000902E0000}"/>
    <cellStyle name="0_BP_Formats 6117 4 3 5 2" xfId="11935" xr:uid="{00000000-0005-0000-0000-0000912E0000}"/>
    <cellStyle name="0_BP_Formats 6117 4 3 5 2 2" xfId="11936" xr:uid="{00000000-0005-0000-0000-0000922E0000}"/>
    <cellStyle name="0_BP_Formats 6117 4 3 5 3" xfId="11937" xr:uid="{00000000-0005-0000-0000-0000932E0000}"/>
    <cellStyle name="0_BP_Formats 6117 4 3 5 3 2" xfId="11938" xr:uid="{00000000-0005-0000-0000-0000942E0000}"/>
    <cellStyle name="0_BP_Formats 6117 4 3 5 4" xfId="11939" xr:uid="{00000000-0005-0000-0000-0000952E0000}"/>
    <cellStyle name="0_BP_Formats 6117 4 3 6" xfId="11940" xr:uid="{00000000-0005-0000-0000-0000962E0000}"/>
    <cellStyle name="0_BP_Formats 6117 4 3 6 2" xfId="11941" xr:uid="{00000000-0005-0000-0000-0000972E0000}"/>
    <cellStyle name="0_BP_Formats 6117 4 3 7" xfId="11942" xr:uid="{00000000-0005-0000-0000-0000982E0000}"/>
    <cellStyle name="0_BP_Formats 6117 4 3 7 2" xfId="11943" xr:uid="{00000000-0005-0000-0000-0000992E0000}"/>
    <cellStyle name="0_BP_Formats 6117 4 3 8" xfId="11944" xr:uid="{00000000-0005-0000-0000-00009A2E0000}"/>
    <cellStyle name="0_BP_Formats 6117 4 4" xfId="11945" xr:uid="{00000000-0005-0000-0000-00009B2E0000}"/>
    <cellStyle name="0_BP_Formats 6117 4 4 2" xfId="11946" xr:uid="{00000000-0005-0000-0000-00009C2E0000}"/>
    <cellStyle name="0_BP_Formats 6117 4 4 2 2" xfId="11947" xr:uid="{00000000-0005-0000-0000-00009D2E0000}"/>
    <cellStyle name="0_BP_Formats 6117 4 4 2 2 2" xfId="11948" xr:uid="{00000000-0005-0000-0000-00009E2E0000}"/>
    <cellStyle name="0_BP_Formats 6117 4 4 2 2 2 2" xfId="11949" xr:uid="{00000000-0005-0000-0000-00009F2E0000}"/>
    <cellStyle name="0_BP_Formats 6117 4 4 2 2 3" xfId="11950" xr:uid="{00000000-0005-0000-0000-0000A02E0000}"/>
    <cellStyle name="0_BP_Formats 6117 4 4 2 2 3 2" xfId="11951" xr:uid="{00000000-0005-0000-0000-0000A12E0000}"/>
    <cellStyle name="0_BP_Formats 6117 4 4 2 2 4" xfId="11952" xr:uid="{00000000-0005-0000-0000-0000A22E0000}"/>
    <cellStyle name="0_BP_Formats 6117 4 4 2 3" xfId="11953" xr:uid="{00000000-0005-0000-0000-0000A32E0000}"/>
    <cellStyle name="0_BP_Formats 6117 4 4 2 3 2" xfId="11954" xr:uid="{00000000-0005-0000-0000-0000A42E0000}"/>
    <cellStyle name="0_BP_Formats 6117 4 4 2 3 2 2" xfId="11955" xr:uid="{00000000-0005-0000-0000-0000A52E0000}"/>
    <cellStyle name="0_BP_Formats 6117 4 4 2 3 3" xfId="11956" xr:uid="{00000000-0005-0000-0000-0000A62E0000}"/>
    <cellStyle name="0_BP_Formats 6117 4 4 2 3 3 2" xfId="11957" xr:uid="{00000000-0005-0000-0000-0000A72E0000}"/>
    <cellStyle name="0_BP_Formats 6117 4 4 2 3 4" xfId="11958" xr:uid="{00000000-0005-0000-0000-0000A82E0000}"/>
    <cellStyle name="0_BP_Formats 6117 4 4 2 4" xfId="11959" xr:uid="{00000000-0005-0000-0000-0000A92E0000}"/>
    <cellStyle name="0_BP_Formats 6117 4 4 2 4 2" xfId="11960" xr:uid="{00000000-0005-0000-0000-0000AA2E0000}"/>
    <cellStyle name="0_BP_Formats 6117 4 4 2 5" xfId="11961" xr:uid="{00000000-0005-0000-0000-0000AB2E0000}"/>
    <cellStyle name="0_BP_Formats 6117 4 4 2 5 2" xfId="11962" xr:uid="{00000000-0005-0000-0000-0000AC2E0000}"/>
    <cellStyle name="0_BP_Formats 6117 4 4 2 6" xfId="11963" xr:uid="{00000000-0005-0000-0000-0000AD2E0000}"/>
    <cellStyle name="0_BP_Formats 6117 4 4 3" xfId="11964" xr:uid="{00000000-0005-0000-0000-0000AE2E0000}"/>
    <cellStyle name="0_BP_Formats 6117 4 4 3 2" xfId="11965" xr:uid="{00000000-0005-0000-0000-0000AF2E0000}"/>
    <cellStyle name="0_BP_Formats 6117 4 4 3 2 2" xfId="11966" xr:uid="{00000000-0005-0000-0000-0000B02E0000}"/>
    <cellStyle name="0_BP_Formats 6117 4 4 3 3" xfId="11967" xr:uid="{00000000-0005-0000-0000-0000B12E0000}"/>
    <cellStyle name="0_BP_Formats 6117 4 4 3 3 2" xfId="11968" xr:uid="{00000000-0005-0000-0000-0000B22E0000}"/>
    <cellStyle name="0_BP_Formats 6117 4 4 3 4" xfId="11969" xr:uid="{00000000-0005-0000-0000-0000B32E0000}"/>
    <cellStyle name="0_BP_Formats 6117 4 4 4" xfId="11970" xr:uid="{00000000-0005-0000-0000-0000B42E0000}"/>
    <cellStyle name="0_BP_Formats 6117 4 4 4 2" xfId="11971" xr:uid="{00000000-0005-0000-0000-0000B52E0000}"/>
    <cellStyle name="0_BP_Formats 6117 4 4 4 2 2" xfId="11972" xr:uid="{00000000-0005-0000-0000-0000B62E0000}"/>
    <cellStyle name="0_BP_Formats 6117 4 4 4 3" xfId="11973" xr:uid="{00000000-0005-0000-0000-0000B72E0000}"/>
    <cellStyle name="0_BP_Formats 6117 4 4 4 3 2" xfId="11974" xr:uid="{00000000-0005-0000-0000-0000B82E0000}"/>
    <cellStyle name="0_BP_Formats 6117 4 4 4 4" xfId="11975" xr:uid="{00000000-0005-0000-0000-0000B92E0000}"/>
    <cellStyle name="0_BP_Formats 6117 4 4 5" xfId="11976" xr:uid="{00000000-0005-0000-0000-0000BA2E0000}"/>
    <cellStyle name="0_BP_Formats 6117 4 4 5 2" xfId="11977" xr:uid="{00000000-0005-0000-0000-0000BB2E0000}"/>
    <cellStyle name="0_BP_Formats 6117 4 4 5 2 2" xfId="11978" xr:uid="{00000000-0005-0000-0000-0000BC2E0000}"/>
    <cellStyle name="0_BP_Formats 6117 4 4 5 3" xfId="11979" xr:uid="{00000000-0005-0000-0000-0000BD2E0000}"/>
    <cellStyle name="0_BP_Formats 6117 4 4 5 3 2" xfId="11980" xr:uid="{00000000-0005-0000-0000-0000BE2E0000}"/>
    <cellStyle name="0_BP_Formats 6117 4 4 5 4" xfId="11981" xr:uid="{00000000-0005-0000-0000-0000BF2E0000}"/>
    <cellStyle name="0_BP_Formats 6117 4 4 6" xfId="11982" xr:uid="{00000000-0005-0000-0000-0000C02E0000}"/>
    <cellStyle name="0_BP_Formats 6117 4 4 6 2" xfId="11983" xr:uid="{00000000-0005-0000-0000-0000C12E0000}"/>
    <cellStyle name="0_BP_Formats 6117 4 4 7" xfId="11984" xr:uid="{00000000-0005-0000-0000-0000C22E0000}"/>
    <cellStyle name="0_BP_Formats 6117 4 4 7 2" xfId="11985" xr:uid="{00000000-0005-0000-0000-0000C32E0000}"/>
    <cellStyle name="0_BP_Formats 6117 4 4 8" xfId="11986" xr:uid="{00000000-0005-0000-0000-0000C42E0000}"/>
    <cellStyle name="0_BP_Formats 6117 4 5" xfId="11987" xr:uid="{00000000-0005-0000-0000-0000C52E0000}"/>
    <cellStyle name="0_BP_Formats 6117 4 5 2" xfId="11988" xr:uid="{00000000-0005-0000-0000-0000C62E0000}"/>
    <cellStyle name="0_BP_Formats 6117 4 5 2 2" xfId="11989" xr:uid="{00000000-0005-0000-0000-0000C72E0000}"/>
    <cellStyle name="0_BP_Formats 6117 4 5 2 2 2" xfId="11990" xr:uid="{00000000-0005-0000-0000-0000C82E0000}"/>
    <cellStyle name="0_BP_Formats 6117 4 5 2 2 2 2" xfId="11991" xr:uid="{00000000-0005-0000-0000-0000C92E0000}"/>
    <cellStyle name="0_BP_Formats 6117 4 5 2 2 3" xfId="11992" xr:uid="{00000000-0005-0000-0000-0000CA2E0000}"/>
    <cellStyle name="0_BP_Formats 6117 4 5 2 2 3 2" xfId="11993" xr:uid="{00000000-0005-0000-0000-0000CB2E0000}"/>
    <cellStyle name="0_BP_Formats 6117 4 5 2 2 4" xfId="11994" xr:uid="{00000000-0005-0000-0000-0000CC2E0000}"/>
    <cellStyle name="0_BP_Formats 6117 4 5 2 3" xfId="11995" xr:uid="{00000000-0005-0000-0000-0000CD2E0000}"/>
    <cellStyle name="0_BP_Formats 6117 4 5 2 3 2" xfId="11996" xr:uid="{00000000-0005-0000-0000-0000CE2E0000}"/>
    <cellStyle name="0_BP_Formats 6117 4 5 2 3 2 2" xfId="11997" xr:uid="{00000000-0005-0000-0000-0000CF2E0000}"/>
    <cellStyle name="0_BP_Formats 6117 4 5 2 3 3" xfId="11998" xr:uid="{00000000-0005-0000-0000-0000D02E0000}"/>
    <cellStyle name="0_BP_Formats 6117 4 5 2 3 3 2" xfId="11999" xr:uid="{00000000-0005-0000-0000-0000D12E0000}"/>
    <cellStyle name="0_BP_Formats 6117 4 5 2 3 4" xfId="12000" xr:uid="{00000000-0005-0000-0000-0000D22E0000}"/>
    <cellStyle name="0_BP_Formats 6117 4 5 2 4" xfId="12001" xr:uid="{00000000-0005-0000-0000-0000D32E0000}"/>
    <cellStyle name="0_BP_Formats 6117 4 5 2 4 2" xfId="12002" xr:uid="{00000000-0005-0000-0000-0000D42E0000}"/>
    <cellStyle name="0_BP_Formats 6117 4 5 2 5" xfId="12003" xr:uid="{00000000-0005-0000-0000-0000D52E0000}"/>
    <cellStyle name="0_BP_Formats 6117 4 5 2 5 2" xfId="12004" xr:uid="{00000000-0005-0000-0000-0000D62E0000}"/>
    <cellStyle name="0_BP_Formats 6117 4 5 2 6" xfId="12005" xr:uid="{00000000-0005-0000-0000-0000D72E0000}"/>
    <cellStyle name="0_BP_Formats 6117 4 5 3" xfId="12006" xr:uid="{00000000-0005-0000-0000-0000D82E0000}"/>
    <cellStyle name="0_BP_Formats 6117 4 5 3 2" xfId="12007" xr:uid="{00000000-0005-0000-0000-0000D92E0000}"/>
    <cellStyle name="0_BP_Formats 6117 4 5 3 2 2" xfId="12008" xr:uid="{00000000-0005-0000-0000-0000DA2E0000}"/>
    <cellStyle name="0_BP_Formats 6117 4 5 3 3" xfId="12009" xr:uid="{00000000-0005-0000-0000-0000DB2E0000}"/>
    <cellStyle name="0_BP_Formats 6117 4 5 3 3 2" xfId="12010" xr:uid="{00000000-0005-0000-0000-0000DC2E0000}"/>
    <cellStyle name="0_BP_Formats 6117 4 5 3 4" xfId="12011" xr:uid="{00000000-0005-0000-0000-0000DD2E0000}"/>
    <cellStyle name="0_BP_Formats 6117 4 5 4" xfId="12012" xr:uid="{00000000-0005-0000-0000-0000DE2E0000}"/>
    <cellStyle name="0_BP_Formats 6117 4 5 4 2" xfId="12013" xr:uid="{00000000-0005-0000-0000-0000DF2E0000}"/>
    <cellStyle name="0_BP_Formats 6117 4 5 4 2 2" xfId="12014" xr:uid="{00000000-0005-0000-0000-0000E02E0000}"/>
    <cellStyle name="0_BP_Formats 6117 4 5 4 3" xfId="12015" xr:uid="{00000000-0005-0000-0000-0000E12E0000}"/>
    <cellStyle name="0_BP_Formats 6117 4 5 4 3 2" xfId="12016" xr:uid="{00000000-0005-0000-0000-0000E22E0000}"/>
    <cellStyle name="0_BP_Formats 6117 4 5 4 4" xfId="12017" xr:uid="{00000000-0005-0000-0000-0000E32E0000}"/>
    <cellStyle name="0_BP_Formats 6117 4 5 5" xfId="12018" xr:uid="{00000000-0005-0000-0000-0000E42E0000}"/>
    <cellStyle name="0_BP_Formats 6117 4 5 5 2" xfId="12019" xr:uid="{00000000-0005-0000-0000-0000E52E0000}"/>
    <cellStyle name="0_BP_Formats 6117 4 5 5 2 2" xfId="12020" xr:uid="{00000000-0005-0000-0000-0000E62E0000}"/>
    <cellStyle name="0_BP_Formats 6117 4 5 5 3" xfId="12021" xr:uid="{00000000-0005-0000-0000-0000E72E0000}"/>
    <cellStyle name="0_BP_Formats 6117 4 5 5 3 2" xfId="12022" xr:uid="{00000000-0005-0000-0000-0000E82E0000}"/>
    <cellStyle name="0_BP_Formats 6117 4 5 5 4" xfId="12023" xr:uid="{00000000-0005-0000-0000-0000E92E0000}"/>
    <cellStyle name="0_BP_Formats 6117 4 5 6" xfId="12024" xr:uid="{00000000-0005-0000-0000-0000EA2E0000}"/>
    <cellStyle name="0_BP_Formats 6117 4 5 6 2" xfId="12025" xr:uid="{00000000-0005-0000-0000-0000EB2E0000}"/>
    <cellStyle name="0_BP_Formats 6117 4 5 7" xfId="12026" xr:uid="{00000000-0005-0000-0000-0000EC2E0000}"/>
    <cellStyle name="0_BP_Formats 6117 4 5 7 2" xfId="12027" xr:uid="{00000000-0005-0000-0000-0000ED2E0000}"/>
    <cellStyle name="0_BP_Formats 6117 4 5 8" xfId="12028" xr:uid="{00000000-0005-0000-0000-0000EE2E0000}"/>
    <cellStyle name="0_BP_Formats 6117 4 6" xfId="12029" xr:uid="{00000000-0005-0000-0000-0000EF2E0000}"/>
    <cellStyle name="0_BP_Formats 6117 4 6 2" xfId="12030" xr:uid="{00000000-0005-0000-0000-0000F02E0000}"/>
    <cellStyle name="0_BP_Formats 6117 4 6 2 2" xfId="12031" xr:uid="{00000000-0005-0000-0000-0000F12E0000}"/>
    <cellStyle name="0_BP_Formats 6117 4 6 2 2 2" xfId="12032" xr:uid="{00000000-0005-0000-0000-0000F22E0000}"/>
    <cellStyle name="0_BP_Formats 6117 4 6 2 2 2 2" xfId="12033" xr:uid="{00000000-0005-0000-0000-0000F32E0000}"/>
    <cellStyle name="0_BP_Formats 6117 4 6 2 2 3" xfId="12034" xr:uid="{00000000-0005-0000-0000-0000F42E0000}"/>
    <cellStyle name="0_BP_Formats 6117 4 6 2 2 3 2" xfId="12035" xr:uid="{00000000-0005-0000-0000-0000F52E0000}"/>
    <cellStyle name="0_BP_Formats 6117 4 6 2 2 4" xfId="12036" xr:uid="{00000000-0005-0000-0000-0000F62E0000}"/>
    <cellStyle name="0_BP_Formats 6117 4 6 2 3" xfId="12037" xr:uid="{00000000-0005-0000-0000-0000F72E0000}"/>
    <cellStyle name="0_BP_Formats 6117 4 6 2 3 2" xfId="12038" xr:uid="{00000000-0005-0000-0000-0000F82E0000}"/>
    <cellStyle name="0_BP_Formats 6117 4 6 2 3 2 2" xfId="12039" xr:uid="{00000000-0005-0000-0000-0000F92E0000}"/>
    <cellStyle name="0_BP_Formats 6117 4 6 2 3 3" xfId="12040" xr:uid="{00000000-0005-0000-0000-0000FA2E0000}"/>
    <cellStyle name="0_BP_Formats 6117 4 6 2 3 3 2" xfId="12041" xr:uid="{00000000-0005-0000-0000-0000FB2E0000}"/>
    <cellStyle name="0_BP_Formats 6117 4 6 2 3 4" xfId="12042" xr:uid="{00000000-0005-0000-0000-0000FC2E0000}"/>
    <cellStyle name="0_BP_Formats 6117 4 6 2 4" xfId="12043" xr:uid="{00000000-0005-0000-0000-0000FD2E0000}"/>
    <cellStyle name="0_BP_Formats 6117 4 6 2 4 2" xfId="12044" xr:uid="{00000000-0005-0000-0000-0000FE2E0000}"/>
    <cellStyle name="0_BP_Formats 6117 4 6 2 5" xfId="12045" xr:uid="{00000000-0005-0000-0000-0000FF2E0000}"/>
    <cellStyle name="0_BP_Formats 6117 4 6 2 5 2" xfId="12046" xr:uid="{00000000-0005-0000-0000-0000002F0000}"/>
    <cellStyle name="0_BP_Formats 6117 4 6 2 6" xfId="12047" xr:uid="{00000000-0005-0000-0000-0000012F0000}"/>
    <cellStyle name="0_BP_Formats 6117 4 6 3" xfId="12048" xr:uid="{00000000-0005-0000-0000-0000022F0000}"/>
    <cellStyle name="0_BP_Formats 6117 4 6 3 2" xfId="12049" xr:uid="{00000000-0005-0000-0000-0000032F0000}"/>
    <cellStyle name="0_BP_Formats 6117 4 6 3 2 2" xfId="12050" xr:uid="{00000000-0005-0000-0000-0000042F0000}"/>
    <cellStyle name="0_BP_Formats 6117 4 6 3 3" xfId="12051" xr:uid="{00000000-0005-0000-0000-0000052F0000}"/>
    <cellStyle name="0_BP_Formats 6117 4 6 3 3 2" xfId="12052" xr:uid="{00000000-0005-0000-0000-0000062F0000}"/>
    <cellStyle name="0_BP_Formats 6117 4 6 3 4" xfId="12053" xr:uid="{00000000-0005-0000-0000-0000072F0000}"/>
    <cellStyle name="0_BP_Formats 6117 4 6 4" xfId="12054" xr:uid="{00000000-0005-0000-0000-0000082F0000}"/>
    <cellStyle name="0_BP_Formats 6117 4 6 4 2" xfId="12055" xr:uid="{00000000-0005-0000-0000-0000092F0000}"/>
    <cellStyle name="0_BP_Formats 6117 4 6 4 2 2" xfId="12056" xr:uid="{00000000-0005-0000-0000-00000A2F0000}"/>
    <cellStyle name="0_BP_Formats 6117 4 6 4 3" xfId="12057" xr:uid="{00000000-0005-0000-0000-00000B2F0000}"/>
    <cellStyle name="0_BP_Formats 6117 4 6 4 3 2" xfId="12058" xr:uid="{00000000-0005-0000-0000-00000C2F0000}"/>
    <cellStyle name="0_BP_Formats 6117 4 6 4 4" xfId="12059" xr:uid="{00000000-0005-0000-0000-00000D2F0000}"/>
    <cellStyle name="0_BP_Formats 6117 4 6 5" xfId="12060" xr:uid="{00000000-0005-0000-0000-00000E2F0000}"/>
    <cellStyle name="0_BP_Formats 6117 4 6 5 2" xfId="12061" xr:uid="{00000000-0005-0000-0000-00000F2F0000}"/>
    <cellStyle name="0_BP_Formats 6117 4 6 5 2 2" xfId="12062" xr:uid="{00000000-0005-0000-0000-0000102F0000}"/>
    <cellStyle name="0_BP_Formats 6117 4 6 5 3" xfId="12063" xr:uid="{00000000-0005-0000-0000-0000112F0000}"/>
    <cellStyle name="0_BP_Formats 6117 4 6 5 3 2" xfId="12064" xr:uid="{00000000-0005-0000-0000-0000122F0000}"/>
    <cellStyle name="0_BP_Formats 6117 4 6 5 4" xfId="12065" xr:uid="{00000000-0005-0000-0000-0000132F0000}"/>
    <cellStyle name="0_BP_Formats 6117 4 6 6" xfId="12066" xr:uid="{00000000-0005-0000-0000-0000142F0000}"/>
    <cellStyle name="0_BP_Formats 6117 4 6 6 2" xfId="12067" xr:uid="{00000000-0005-0000-0000-0000152F0000}"/>
    <cellStyle name="0_BP_Formats 6117 4 6 7" xfId="12068" xr:uid="{00000000-0005-0000-0000-0000162F0000}"/>
    <cellStyle name="0_BP_Formats 6117 4 6 7 2" xfId="12069" xr:uid="{00000000-0005-0000-0000-0000172F0000}"/>
    <cellStyle name="0_BP_Formats 6117 4 6 8" xfId="12070" xr:uid="{00000000-0005-0000-0000-0000182F0000}"/>
    <cellStyle name="0_BP_Formats 6117 4 7" xfId="12071" xr:uid="{00000000-0005-0000-0000-0000192F0000}"/>
    <cellStyle name="0_BP_Formats 6117 4 7 2" xfId="12072" xr:uid="{00000000-0005-0000-0000-00001A2F0000}"/>
    <cellStyle name="0_BP_Formats 6117 4 7 2 2" xfId="12073" xr:uid="{00000000-0005-0000-0000-00001B2F0000}"/>
    <cellStyle name="0_BP_Formats 6117 4 7 2 2 2" xfId="12074" xr:uid="{00000000-0005-0000-0000-00001C2F0000}"/>
    <cellStyle name="0_BP_Formats 6117 4 7 2 3" xfId="12075" xr:uid="{00000000-0005-0000-0000-00001D2F0000}"/>
    <cellStyle name="0_BP_Formats 6117 4 7 2 3 2" xfId="12076" xr:uid="{00000000-0005-0000-0000-00001E2F0000}"/>
    <cellStyle name="0_BP_Formats 6117 4 7 2 4" xfId="12077" xr:uid="{00000000-0005-0000-0000-00001F2F0000}"/>
    <cellStyle name="0_BP_Formats 6117 4 7 3" xfId="12078" xr:uid="{00000000-0005-0000-0000-0000202F0000}"/>
    <cellStyle name="0_BP_Formats 6117 4 7 3 2" xfId="12079" xr:uid="{00000000-0005-0000-0000-0000212F0000}"/>
    <cellStyle name="0_BP_Formats 6117 4 7 3 2 2" xfId="12080" xr:uid="{00000000-0005-0000-0000-0000222F0000}"/>
    <cellStyle name="0_BP_Formats 6117 4 7 3 3" xfId="12081" xr:uid="{00000000-0005-0000-0000-0000232F0000}"/>
    <cellStyle name="0_BP_Formats 6117 4 7 3 3 2" xfId="12082" xr:uid="{00000000-0005-0000-0000-0000242F0000}"/>
    <cellStyle name="0_BP_Formats 6117 4 7 3 4" xfId="12083" xr:uid="{00000000-0005-0000-0000-0000252F0000}"/>
    <cellStyle name="0_BP_Formats 6117 4 7 4" xfId="12084" xr:uid="{00000000-0005-0000-0000-0000262F0000}"/>
    <cellStyle name="0_BP_Formats 6117 4 7 4 2" xfId="12085" xr:uid="{00000000-0005-0000-0000-0000272F0000}"/>
    <cellStyle name="0_BP_Formats 6117 4 7 5" xfId="12086" xr:uid="{00000000-0005-0000-0000-0000282F0000}"/>
    <cellStyle name="0_BP_Formats 6117 4 7 5 2" xfId="12087" xr:uid="{00000000-0005-0000-0000-0000292F0000}"/>
    <cellStyle name="0_BP_Formats 6117 4 7 6" xfId="12088" xr:uid="{00000000-0005-0000-0000-00002A2F0000}"/>
    <cellStyle name="0_BP_Formats 6117 4 8" xfId="12089" xr:uid="{00000000-0005-0000-0000-00002B2F0000}"/>
    <cellStyle name="0_BP_Formats 6117 4 8 2" xfId="12090" xr:uid="{00000000-0005-0000-0000-00002C2F0000}"/>
    <cellStyle name="0_BP_Formats 6117 4 8 2 2" xfId="12091" xr:uid="{00000000-0005-0000-0000-00002D2F0000}"/>
    <cellStyle name="0_BP_Formats 6117 4 8 3" xfId="12092" xr:uid="{00000000-0005-0000-0000-00002E2F0000}"/>
    <cellStyle name="0_BP_Formats 6117 4 8 3 2" xfId="12093" xr:uid="{00000000-0005-0000-0000-00002F2F0000}"/>
    <cellStyle name="0_BP_Formats 6117 4 8 4" xfId="12094" xr:uid="{00000000-0005-0000-0000-0000302F0000}"/>
    <cellStyle name="0_BP_Formats 6117 4 9" xfId="12095" xr:uid="{00000000-0005-0000-0000-0000312F0000}"/>
    <cellStyle name="0_BP_Formats 6117 4 9 2" xfId="12096" xr:uid="{00000000-0005-0000-0000-0000322F0000}"/>
    <cellStyle name="0_BP_Formats 6117 4 9 2 2" xfId="12097" xr:uid="{00000000-0005-0000-0000-0000332F0000}"/>
    <cellStyle name="0_BP_Formats 6117 4 9 3" xfId="12098" xr:uid="{00000000-0005-0000-0000-0000342F0000}"/>
    <cellStyle name="0_BP_Formats 6117 4 9 3 2" xfId="12099" xr:uid="{00000000-0005-0000-0000-0000352F0000}"/>
    <cellStyle name="0_BP_Formats 6117 4 9 4" xfId="12100" xr:uid="{00000000-0005-0000-0000-0000362F0000}"/>
    <cellStyle name="0_BP_Formats 6117 5" xfId="12101" xr:uid="{00000000-0005-0000-0000-0000372F0000}"/>
    <cellStyle name="0_BP_Formats 6117 5 10" xfId="12102" xr:uid="{00000000-0005-0000-0000-0000382F0000}"/>
    <cellStyle name="0_BP_Formats 6117 5 10 2" xfId="12103" xr:uid="{00000000-0005-0000-0000-0000392F0000}"/>
    <cellStyle name="0_BP_Formats 6117 5 10 2 2" xfId="12104" xr:uid="{00000000-0005-0000-0000-00003A2F0000}"/>
    <cellStyle name="0_BP_Formats 6117 5 10 3" xfId="12105" xr:uid="{00000000-0005-0000-0000-00003B2F0000}"/>
    <cellStyle name="0_BP_Formats 6117 5 10 3 2" xfId="12106" xr:uid="{00000000-0005-0000-0000-00003C2F0000}"/>
    <cellStyle name="0_BP_Formats 6117 5 10 4" xfId="12107" xr:uid="{00000000-0005-0000-0000-00003D2F0000}"/>
    <cellStyle name="0_BP_Formats 6117 5 11" xfId="12108" xr:uid="{00000000-0005-0000-0000-00003E2F0000}"/>
    <cellStyle name="0_BP_Formats 6117 5 11 2" xfId="12109" xr:uid="{00000000-0005-0000-0000-00003F2F0000}"/>
    <cellStyle name="0_BP_Formats 6117 5 12" xfId="12110" xr:uid="{00000000-0005-0000-0000-0000402F0000}"/>
    <cellStyle name="0_BP_Formats 6117 5 12 2" xfId="12111" xr:uid="{00000000-0005-0000-0000-0000412F0000}"/>
    <cellStyle name="0_BP_Formats 6117 5 13" xfId="12112" xr:uid="{00000000-0005-0000-0000-0000422F0000}"/>
    <cellStyle name="0_BP_Formats 6117 5 2" xfId="12113" xr:uid="{00000000-0005-0000-0000-0000432F0000}"/>
    <cellStyle name="0_BP_Formats 6117 5 2 2" xfId="12114" xr:uid="{00000000-0005-0000-0000-0000442F0000}"/>
    <cellStyle name="0_BP_Formats 6117 5 2 2 2" xfId="12115" xr:uid="{00000000-0005-0000-0000-0000452F0000}"/>
    <cellStyle name="0_BP_Formats 6117 5 2 2 2 2" xfId="12116" xr:uid="{00000000-0005-0000-0000-0000462F0000}"/>
    <cellStyle name="0_BP_Formats 6117 5 2 2 2 2 2" xfId="12117" xr:uid="{00000000-0005-0000-0000-0000472F0000}"/>
    <cellStyle name="0_BP_Formats 6117 5 2 2 2 3" xfId="12118" xr:uid="{00000000-0005-0000-0000-0000482F0000}"/>
    <cellStyle name="0_BP_Formats 6117 5 2 2 2 3 2" xfId="12119" xr:uid="{00000000-0005-0000-0000-0000492F0000}"/>
    <cellStyle name="0_BP_Formats 6117 5 2 2 2 4" xfId="12120" xr:uid="{00000000-0005-0000-0000-00004A2F0000}"/>
    <cellStyle name="0_BP_Formats 6117 5 2 2 3" xfId="12121" xr:uid="{00000000-0005-0000-0000-00004B2F0000}"/>
    <cellStyle name="0_BP_Formats 6117 5 2 2 3 2" xfId="12122" xr:uid="{00000000-0005-0000-0000-00004C2F0000}"/>
    <cellStyle name="0_BP_Formats 6117 5 2 2 3 2 2" xfId="12123" xr:uid="{00000000-0005-0000-0000-00004D2F0000}"/>
    <cellStyle name="0_BP_Formats 6117 5 2 2 3 3" xfId="12124" xr:uid="{00000000-0005-0000-0000-00004E2F0000}"/>
    <cellStyle name="0_BP_Formats 6117 5 2 2 3 3 2" xfId="12125" xr:uid="{00000000-0005-0000-0000-00004F2F0000}"/>
    <cellStyle name="0_BP_Formats 6117 5 2 2 3 4" xfId="12126" xr:uid="{00000000-0005-0000-0000-0000502F0000}"/>
    <cellStyle name="0_BP_Formats 6117 5 2 2 4" xfId="12127" xr:uid="{00000000-0005-0000-0000-0000512F0000}"/>
    <cellStyle name="0_BP_Formats 6117 5 2 2 4 2" xfId="12128" xr:uid="{00000000-0005-0000-0000-0000522F0000}"/>
    <cellStyle name="0_BP_Formats 6117 5 2 2 5" xfId="12129" xr:uid="{00000000-0005-0000-0000-0000532F0000}"/>
    <cellStyle name="0_BP_Formats 6117 5 2 2 5 2" xfId="12130" xr:uid="{00000000-0005-0000-0000-0000542F0000}"/>
    <cellStyle name="0_BP_Formats 6117 5 2 2 6" xfId="12131" xr:uid="{00000000-0005-0000-0000-0000552F0000}"/>
    <cellStyle name="0_BP_Formats 6117 5 2 3" xfId="12132" xr:uid="{00000000-0005-0000-0000-0000562F0000}"/>
    <cellStyle name="0_BP_Formats 6117 5 2 3 2" xfId="12133" xr:uid="{00000000-0005-0000-0000-0000572F0000}"/>
    <cellStyle name="0_BP_Formats 6117 5 2 3 2 2" xfId="12134" xr:uid="{00000000-0005-0000-0000-0000582F0000}"/>
    <cellStyle name="0_BP_Formats 6117 5 2 3 3" xfId="12135" xr:uid="{00000000-0005-0000-0000-0000592F0000}"/>
    <cellStyle name="0_BP_Formats 6117 5 2 3 3 2" xfId="12136" xr:uid="{00000000-0005-0000-0000-00005A2F0000}"/>
    <cellStyle name="0_BP_Formats 6117 5 2 3 4" xfId="12137" xr:uid="{00000000-0005-0000-0000-00005B2F0000}"/>
    <cellStyle name="0_BP_Formats 6117 5 2 4" xfId="12138" xr:uid="{00000000-0005-0000-0000-00005C2F0000}"/>
    <cellStyle name="0_BP_Formats 6117 5 2 4 2" xfId="12139" xr:uid="{00000000-0005-0000-0000-00005D2F0000}"/>
    <cellStyle name="0_BP_Formats 6117 5 2 4 2 2" xfId="12140" xr:uid="{00000000-0005-0000-0000-00005E2F0000}"/>
    <cellStyle name="0_BP_Formats 6117 5 2 4 3" xfId="12141" xr:uid="{00000000-0005-0000-0000-00005F2F0000}"/>
    <cellStyle name="0_BP_Formats 6117 5 2 4 3 2" xfId="12142" xr:uid="{00000000-0005-0000-0000-0000602F0000}"/>
    <cellStyle name="0_BP_Formats 6117 5 2 4 4" xfId="12143" xr:uid="{00000000-0005-0000-0000-0000612F0000}"/>
    <cellStyle name="0_BP_Formats 6117 5 2 5" xfId="12144" xr:uid="{00000000-0005-0000-0000-0000622F0000}"/>
    <cellStyle name="0_BP_Formats 6117 5 2 5 2" xfId="12145" xr:uid="{00000000-0005-0000-0000-0000632F0000}"/>
    <cellStyle name="0_BP_Formats 6117 5 2 5 2 2" xfId="12146" xr:uid="{00000000-0005-0000-0000-0000642F0000}"/>
    <cellStyle name="0_BP_Formats 6117 5 2 5 3" xfId="12147" xr:uid="{00000000-0005-0000-0000-0000652F0000}"/>
    <cellStyle name="0_BP_Formats 6117 5 2 5 3 2" xfId="12148" xr:uid="{00000000-0005-0000-0000-0000662F0000}"/>
    <cellStyle name="0_BP_Formats 6117 5 2 5 4" xfId="12149" xr:uid="{00000000-0005-0000-0000-0000672F0000}"/>
    <cellStyle name="0_BP_Formats 6117 5 2 6" xfId="12150" xr:uid="{00000000-0005-0000-0000-0000682F0000}"/>
    <cellStyle name="0_BP_Formats 6117 5 2 6 2" xfId="12151" xr:uid="{00000000-0005-0000-0000-0000692F0000}"/>
    <cellStyle name="0_BP_Formats 6117 5 2 7" xfId="12152" xr:uid="{00000000-0005-0000-0000-00006A2F0000}"/>
    <cellStyle name="0_BP_Formats 6117 5 2 7 2" xfId="12153" xr:uid="{00000000-0005-0000-0000-00006B2F0000}"/>
    <cellStyle name="0_BP_Formats 6117 5 2 8" xfId="12154" xr:uid="{00000000-0005-0000-0000-00006C2F0000}"/>
    <cellStyle name="0_BP_Formats 6117 5 3" xfId="12155" xr:uid="{00000000-0005-0000-0000-00006D2F0000}"/>
    <cellStyle name="0_BP_Formats 6117 5 3 2" xfId="12156" xr:uid="{00000000-0005-0000-0000-00006E2F0000}"/>
    <cellStyle name="0_BP_Formats 6117 5 3 2 2" xfId="12157" xr:uid="{00000000-0005-0000-0000-00006F2F0000}"/>
    <cellStyle name="0_BP_Formats 6117 5 3 2 2 2" xfId="12158" xr:uid="{00000000-0005-0000-0000-0000702F0000}"/>
    <cellStyle name="0_BP_Formats 6117 5 3 2 2 2 2" xfId="12159" xr:uid="{00000000-0005-0000-0000-0000712F0000}"/>
    <cellStyle name="0_BP_Formats 6117 5 3 2 2 3" xfId="12160" xr:uid="{00000000-0005-0000-0000-0000722F0000}"/>
    <cellStyle name="0_BP_Formats 6117 5 3 2 2 3 2" xfId="12161" xr:uid="{00000000-0005-0000-0000-0000732F0000}"/>
    <cellStyle name="0_BP_Formats 6117 5 3 2 2 4" xfId="12162" xr:uid="{00000000-0005-0000-0000-0000742F0000}"/>
    <cellStyle name="0_BP_Formats 6117 5 3 2 3" xfId="12163" xr:uid="{00000000-0005-0000-0000-0000752F0000}"/>
    <cellStyle name="0_BP_Formats 6117 5 3 2 3 2" xfId="12164" xr:uid="{00000000-0005-0000-0000-0000762F0000}"/>
    <cellStyle name="0_BP_Formats 6117 5 3 2 3 2 2" xfId="12165" xr:uid="{00000000-0005-0000-0000-0000772F0000}"/>
    <cellStyle name="0_BP_Formats 6117 5 3 2 3 3" xfId="12166" xr:uid="{00000000-0005-0000-0000-0000782F0000}"/>
    <cellStyle name="0_BP_Formats 6117 5 3 2 3 3 2" xfId="12167" xr:uid="{00000000-0005-0000-0000-0000792F0000}"/>
    <cellStyle name="0_BP_Formats 6117 5 3 2 3 4" xfId="12168" xr:uid="{00000000-0005-0000-0000-00007A2F0000}"/>
    <cellStyle name="0_BP_Formats 6117 5 3 2 4" xfId="12169" xr:uid="{00000000-0005-0000-0000-00007B2F0000}"/>
    <cellStyle name="0_BP_Formats 6117 5 3 2 4 2" xfId="12170" xr:uid="{00000000-0005-0000-0000-00007C2F0000}"/>
    <cellStyle name="0_BP_Formats 6117 5 3 2 5" xfId="12171" xr:uid="{00000000-0005-0000-0000-00007D2F0000}"/>
    <cellStyle name="0_BP_Formats 6117 5 3 2 5 2" xfId="12172" xr:uid="{00000000-0005-0000-0000-00007E2F0000}"/>
    <cellStyle name="0_BP_Formats 6117 5 3 2 6" xfId="12173" xr:uid="{00000000-0005-0000-0000-00007F2F0000}"/>
    <cellStyle name="0_BP_Formats 6117 5 3 3" xfId="12174" xr:uid="{00000000-0005-0000-0000-0000802F0000}"/>
    <cellStyle name="0_BP_Formats 6117 5 3 3 2" xfId="12175" xr:uid="{00000000-0005-0000-0000-0000812F0000}"/>
    <cellStyle name="0_BP_Formats 6117 5 3 3 2 2" xfId="12176" xr:uid="{00000000-0005-0000-0000-0000822F0000}"/>
    <cellStyle name="0_BP_Formats 6117 5 3 3 3" xfId="12177" xr:uid="{00000000-0005-0000-0000-0000832F0000}"/>
    <cellStyle name="0_BP_Formats 6117 5 3 3 3 2" xfId="12178" xr:uid="{00000000-0005-0000-0000-0000842F0000}"/>
    <cellStyle name="0_BP_Formats 6117 5 3 3 4" xfId="12179" xr:uid="{00000000-0005-0000-0000-0000852F0000}"/>
    <cellStyle name="0_BP_Formats 6117 5 3 4" xfId="12180" xr:uid="{00000000-0005-0000-0000-0000862F0000}"/>
    <cellStyle name="0_BP_Formats 6117 5 3 4 2" xfId="12181" xr:uid="{00000000-0005-0000-0000-0000872F0000}"/>
    <cellStyle name="0_BP_Formats 6117 5 3 4 2 2" xfId="12182" xr:uid="{00000000-0005-0000-0000-0000882F0000}"/>
    <cellStyle name="0_BP_Formats 6117 5 3 4 3" xfId="12183" xr:uid="{00000000-0005-0000-0000-0000892F0000}"/>
    <cellStyle name="0_BP_Formats 6117 5 3 4 3 2" xfId="12184" xr:uid="{00000000-0005-0000-0000-00008A2F0000}"/>
    <cellStyle name="0_BP_Formats 6117 5 3 4 4" xfId="12185" xr:uid="{00000000-0005-0000-0000-00008B2F0000}"/>
    <cellStyle name="0_BP_Formats 6117 5 3 5" xfId="12186" xr:uid="{00000000-0005-0000-0000-00008C2F0000}"/>
    <cellStyle name="0_BP_Formats 6117 5 3 5 2" xfId="12187" xr:uid="{00000000-0005-0000-0000-00008D2F0000}"/>
    <cellStyle name="0_BP_Formats 6117 5 3 5 2 2" xfId="12188" xr:uid="{00000000-0005-0000-0000-00008E2F0000}"/>
    <cellStyle name="0_BP_Formats 6117 5 3 5 3" xfId="12189" xr:uid="{00000000-0005-0000-0000-00008F2F0000}"/>
    <cellStyle name="0_BP_Formats 6117 5 3 5 3 2" xfId="12190" xr:uid="{00000000-0005-0000-0000-0000902F0000}"/>
    <cellStyle name="0_BP_Formats 6117 5 3 5 4" xfId="12191" xr:uid="{00000000-0005-0000-0000-0000912F0000}"/>
    <cellStyle name="0_BP_Formats 6117 5 3 6" xfId="12192" xr:uid="{00000000-0005-0000-0000-0000922F0000}"/>
    <cellStyle name="0_BP_Formats 6117 5 3 6 2" xfId="12193" xr:uid="{00000000-0005-0000-0000-0000932F0000}"/>
    <cellStyle name="0_BP_Formats 6117 5 3 7" xfId="12194" xr:uid="{00000000-0005-0000-0000-0000942F0000}"/>
    <cellStyle name="0_BP_Formats 6117 5 3 7 2" xfId="12195" xr:uid="{00000000-0005-0000-0000-0000952F0000}"/>
    <cellStyle name="0_BP_Formats 6117 5 3 8" xfId="12196" xr:uid="{00000000-0005-0000-0000-0000962F0000}"/>
    <cellStyle name="0_BP_Formats 6117 5 4" xfId="12197" xr:uid="{00000000-0005-0000-0000-0000972F0000}"/>
    <cellStyle name="0_BP_Formats 6117 5 4 2" xfId="12198" xr:uid="{00000000-0005-0000-0000-0000982F0000}"/>
    <cellStyle name="0_BP_Formats 6117 5 4 2 2" xfId="12199" xr:uid="{00000000-0005-0000-0000-0000992F0000}"/>
    <cellStyle name="0_BP_Formats 6117 5 4 2 2 2" xfId="12200" xr:uid="{00000000-0005-0000-0000-00009A2F0000}"/>
    <cellStyle name="0_BP_Formats 6117 5 4 2 2 2 2" xfId="12201" xr:uid="{00000000-0005-0000-0000-00009B2F0000}"/>
    <cellStyle name="0_BP_Formats 6117 5 4 2 2 3" xfId="12202" xr:uid="{00000000-0005-0000-0000-00009C2F0000}"/>
    <cellStyle name="0_BP_Formats 6117 5 4 2 2 3 2" xfId="12203" xr:uid="{00000000-0005-0000-0000-00009D2F0000}"/>
    <cellStyle name="0_BP_Formats 6117 5 4 2 2 4" xfId="12204" xr:uid="{00000000-0005-0000-0000-00009E2F0000}"/>
    <cellStyle name="0_BP_Formats 6117 5 4 2 3" xfId="12205" xr:uid="{00000000-0005-0000-0000-00009F2F0000}"/>
    <cellStyle name="0_BP_Formats 6117 5 4 2 3 2" xfId="12206" xr:uid="{00000000-0005-0000-0000-0000A02F0000}"/>
    <cellStyle name="0_BP_Formats 6117 5 4 2 3 2 2" xfId="12207" xr:uid="{00000000-0005-0000-0000-0000A12F0000}"/>
    <cellStyle name="0_BP_Formats 6117 5 4 2 3 3" xfId="12208" xr:uid="{00000000-0005-0000-0000-0000A22F0000}"/>
    <cellStyle name="0_BP_Formats 6117 5 4 2 3 3 2" xfId="12209" xr:uid="{00000000-0005-0000-0000-0000A32F0000}"/>
    <cellStyle name="0_BP_Formats 6117 5 4 2 3 4" xfId="12210" xr:uid="{00000000-0005-0000-0000-0000A42F0000}"/>
    <cellStyle name="0_BP_Formats 6117 5 4 2 4" xfId="12211" xr:uid="{00000000-0005-0000-0000-0000A52F0000}"/>
    <cellStyle name="0_BP_Formats 6117 5 4 2 4 2" xfId="12212" xr:uid="{00000000-0005-0000-0000-0000A62F0000}"/>
    <cellStyle name="0_BP_Formats 6117 5 4 2 5" xfId="12213" xr:uid="{00000000-0005-0000-0000-0000A72F0000}"/>
    <cellStyle name="0_BP_Formats 6117 5 4 2 5 2" xfId="12214" xr:uid="{00000000-0005-0000-0000-0000A82F0000}"/>
    <cellStyle name="0_BP_Formats 6117 5 4 2 6" xfId="12215" xr:uid="{00000000-0005-0000-0000-0000A92F0000}"/>
    <cellStyle name="0_BP_Formats 6117 5 4 3" xfId="12216" xr:uid="{00000000-0005-0000-0000-0000AA2F0000}"/>
    <cellStyle name="0_BP_Formats 6117 5 4 3 2" xfId="12217" xr:uid="{00000000-0005-0000-0000-0000AB2F0000}"/>
    <cellStyle name="0_BP_Formats 6117 5 4 3 2 2" xfId="12218" xr:uid="{00000000-0005-0000-0000-0000AC2F0000}"/>
    <cellStyle name="0_BP_Formats 6117 5 4 3 3" xfId="12219" xr:uid="{00000000-0005-0000-0000-0000AD2F0000}"/>
    <cellStyle name="0_BP_Formats 6117 5 4 3 3 2" xfId="12220" xr:uid="{00000000-0005-0000-0000-0000AE2F0000}"/>
    <cellStyle name="0_BP_Formats 6117 5 4 3 4" xfId="12221" xr:uid="{00000000-0005-0000-0000-0000AF2F0000}"/>
    <cellStyle name="0_BP_Formats 6117 5 4 4" xfId="12222" xr:uid="{00000000-0005-0000-0000-0000B02F0000}"/>
    <cellStyle name="0_BP_Formats 6117 5 4 4 2" xfId="12223" xr:uid="{00000000-0005-0000-0000-0000B12F0000}"/>
    <cellStyle name="0_BP_Formats 6117 5 4 4 2 2" xfId="12224" xr:uid="{00000000-0005-0000-0000-0000B22F0000}"/>
    <cellStyle name="0_BP_Formats 6117 5 4 4 3" xfId="12225" xr:uid="{00000000-0005-0000-0000-0000B32F0000}"/>
    <cellStyle name="0_BP_Formats 6117 5 4 4 3 2" xfId="12226" xr:uid="{00000000-0005-0000-0000-0000B42F0000}"/>
    <cellStyle name="0_BP_Formats 6117 5 4 4 4" xfId="12227" xr:uid="{00000000-0005-0000-0000-0000B52F0000}"/>
    <cellStyle name="0_BP_Formats 6117 5 4 5" xfId="12228" xr:uid="{00000000-0005-0000-0000-0000B62F0000}"/>
    <cellStyle name="0_BP_Formats 6117 5 4 5 2" xfId="12229" xr:uid="{00000000-0005-0000-0000-0000B72F0000}"/>
    <cellStyle name="0_BP_Formats 6117 5 4 5 2 2" xfId="12230" xr:uid="{00000000-0005-0000-0000-0000B82F0000}"/>
    <cellStyle name="0_BP_Formats 6117 5 4 5 3" xfId="12231" xr:uid="{00000000-0005-0000-0000-0000B92F0000}"/>
    <cellStyle name="0_BP_Formats 6117 5 4 5 3 2" xfId="12232" xr:uid="{00000000-0005-0000-0000-0000BA2F0000}"/>
    <cellStyle name="0_BP_Formats 6117 5 4 5 4" xfId="12233" xr:uid="{00000000-0005-0000-0000-0000BB2F0000}"/>
    <cellStyle name="0_BP_Formats 6117 5 4 6" xfId="12234" xr:uid="{00000000-0005-0000-0000-0000BC2F0000}"/>
    <cellStyle name="0_BP_Formats 6117 5 4 6 2" xfId="12235" xr:uid="{00000000-0005-0000-0000-0000BD2F0000}"/>
    <cellStyle name="0_BP_Formats 6117 5 4 7" xfId="12236" xr:uid="{00000000-0005-0000-0000-0000BE2F0000}"/>
    <cellStyle name="0_BP_Formats 6117 5 4 7 2" xfId="12237" xr:uid="{00000000-0005-0000-0000-0000BF2F0000}"/>
    <cellStyle name="0_BP_Formats 6117 5 4 8" xfId="12238" xr:uid="{00000000-0005-0000-0000-0000C02F0000}"/>
    <cellStyle name="0_BP_Formats 6117 5 5" xfId="12239" xr:uid="{00000000-0005-0000-0000-0000C12F0000}"/>
    <cellStyle name="0_BP_Formats 6117 5 5 2" xfId="12240" xr:uid="{00000000-0005-0000-0000-0000C22F0000}"/>
    <cellStyle name="0_BP_Formats 6117 5 5 2 2" xfId="12241" xr:uid="{00000000-0005-0000-0000-0000C32F0000}"/>
    <cellStyle name="0_BP_Formats 6117 5 5 2 2 2" xfId="12242" xr:uid="{00000000-0005-0000-0000-0000C42F0000}"/>
    <cellStyle name="0_BP_Formats 6117 5 5 2 2 2 2" xfId="12243" xr:uid="{00000000-0005-0000-0000-0000C52F0000}"/>
    <cellStyle name="0_BP_Formats 6117 5 5 2 2 3" xfId="12244" xr:uid="{00000000-0005-0000-0000-0000C62F0000}"/>
    <cellStyle name="0_BP_Formats 6117 5 5 2 2 3 2" xfId="12245" xr:uid="{00000000-0005-0000-0000-0000C72F0000}"/>
    <cellStyle name="0_BP_Formats 6117 5 5 2 2 4" xfId="12246" xr:uid="{00000000-0005-0000-0000-0000C82F0000}"/>
    <cellStyle name="0_BP_Formats 6117 5 5 2 3" xfId="12247" xr:uid="{00000000-0005-0000-0000-0000C92F0000}"/>
    <cellStyle name="0_BP_Formats 6117 5 5 2 3 2" xfId="12248" xr:uid="{00000000-0005-0000-0000-0000CA2F0000}"/>
    <cellStyle name="0_BP_Formats 6117 5 5 2 3 2 2" xfId="12249" xr:uid="{00000000-0005-0000-0000-0000CB2F0000}"/>
    <cellStyle name="0_BP_Formats 6117 5 5 2 3 3" xfId="12250" xr:uid="{00000000-0005-0000-0000-0000CC2F0000}"/>
    <cellStyle name="0_BP_Formats 6117 5 5 2 3 3 2" xfId="12251" xr:uid="{00000000-0005-0000-0000-0000CD2F0000}"/>
    <cellStyle name="0_BP_Formats 6117 5 5 2 3 4" xfId="12252" xr:uid="{00000000-0005-0000-0000-0000CE2F0000}"/>
    <cellStyle name="0_BP_Formats 6117 5 5 2 4" xfId="12253" xr:uid="{00000000-0005-0000-0000-0000CF2F0000}"/>
    <cellStyle name="0_BP_Formats 6117 5 5 2 4 2" xfId="12254" xr:uid="{00000000-0005-0000-0000-0000D02F0000}"/>
    <cellStyle name="0_BP_Formats 6117 5 5 2 5" xfId="12255" xr:uid="{00000000-0005-0000-0000-0000D12F0000}"/>
    <cellStyle name="0_BP_Formats 6117 5 5 2 5 2" xfId="12256" xr:uid="{00000000-0005-0000-0000-0000D22F0000}"/>
    <cellStyle name="0_BP_Formats 6117 5 5 2 6" xfId="12257" xr:uid="{00000000-0005-0000-0000-0000D32F0000}"/>
    <cellStyle name="0_BP_Formats 6117 5 5 3" xfId="12258" xr:uid="{00000000-0005-0000-0000-0000D42F0000}"/>
    <cellStyle name="0_BP_Formats 6117 5 5 3 2" xfId="12259" xr:uid="{00000000-0005-0000-0000-0000D52F0000}"/>
    <cellStyle name="0_BP_Formats 6117 5 5 3 2 2" xfId="12260" xr:uid="{00000000-0005-0000-0000-0000D62F0000}"/>
    <cellStyle name="0_BP_Formats 6117 5 5 3 3" xfId="12261" xr:uid="{00000000-0005-0000-0000-0000D72F0000}"/>
    <cellStyle name="0_BP_Formats 6117 5 5 3 3 2" xfId="12262" xr:uid="{00000000-0005-0000-0000-0000D82F0000}"/>
    <cellStyle name="0_BP_Formats 6117 5 5 3 4" xfId="12263" xr:uid="{00000000-0005-0000-0000-0000D92F0000}"/>
    <cellStyle name="0_BP_Formats 6117 5 5 4" xfId="12264" xr:uid="{00000000-0005-0000-0000-0000DA2F0000}"/>
    <cellStyle name="0_BP_Formats 6117 5 5 4 2" xfId="12265" xr:uid="{00000000-0005-0000-0000-0000DB2F0000}"/>
    <cellStyle name="0_BP_Formats 6117 5 5 4 2 2" xfId="12266" xr:uid="{00000000-0005-0000-0000-0000DC2F0000}"/>
    <cellStyle name="0_BP_Formats 6117 5 5 4 3" xfId="12267" xr:uid="{00000000-0005-0000-0000-0000DD2F0000}"/>
    <cellStyle name="0_BP_Formats 6117 5 5 4 3 2" xfId="12268" xr:uid="{00000000-0005-0000-0000-0000DE2F0000}"/>
    <cellStyle name="0_BP_Formats 6117 5 5 4 4" xfId="12269" xr:uid="{00000000-0005-0000-0000-0000DF2F0000}"/>
    <cellStyle name="0_BP_Formats 6117 5 5 5" xfId="12270" xr:uid="{00000000-0005-0000-0000-0000E02F0000}"/>
    <cellStyle name="0_BP_Formats 6117 5 5 5 2" xfId="12271" xr:uid="{00000000-0005-0000-0000-0000E12F0000}"/>
    <cellStyle name="0_BP_Formats 6117 5 5 5 2 2" xfId="12272" xr:uid="{00000000-0005-0000-0000-0000E22F0000}"/>
    <cellStyle name="0_BP_Formats 6117 5 5 5 3" xfId="12273" xr:uid="{00000000-0005-0000-0000-0000E32F0000}"/>
    <cellStyle name="0_BP_Formats 6117 5 5 5 3 2" xfId="12274" xr:uid="{00000000-0005-0000-0000-0000E42F0000}"/>
    <cellStyle name="0_BP_Formats 6117 5 5 5 4" xfId="12275" xr:uid="{00000000-0005-0000-0000-0000E52F0000}"/>
    <cellStyle name="0_BP_Formats 6117 5 5 6" xfId="12276" xr:uid="{00000000-0005-0000-0000-0000E62F0000}"/>
    <cellStyle name="0_BP_Formats 6117 5 5 6 2" xfId="12277" xr:uid="{00000000-0005-0000-0000-0000E72F0000}"/>
    <cellStyle name="0_BP_Formats 6117 5 5 7" xfId="12278" xr:uid="{00000000-0005-0000-0000-0000E82F0000}"/>
    <cellStyle name="0_BP_Formats 6117 5 5 7 2" xfId="12279" xr:uid="{00000000-0005-0000-0000-0000E92F0000}"/>
    <cellStyle name="0_BP_Formats 6117 5 5 8" xfId="12280" xr:uid="{00000000-0005-0000-0000-0000EA2F0000}"/>
    <cellStyle name="0_BP_Formats 6117 5 6" xfId="12281" xr:uid="{00000000-0005-0000-0000-0000EB2F0000}"/>
    <cellStyle name="0_BP_Formats 6117 5 6 2" xfId="12282" xr:uid="{00000000-0005-0000-0000-0000EC2F0000}"/>
    <cellStyle name="0_BP_Formats 6117 5 6 2 2" xfId="12283" xr:uid="{00000000-0005-0000-0000-0000ED2F0000}"/>
    <cellStyle name="0_BP_Formats 6117 5 6 2 2 2" xfId="12284" xr:uid="{00000000-0005-0000-0000-0000EE2F0000}"/>
    <cellStyle name="0_BP_Formats 6117 5 6 2 2 2 2" xfId="12285" xr:uid="{00000000-0005-0000-0000-0000EF2F0000}"/>
    <cellStyle name="0_BP_Formats 6117 5 6 2 2 3" xfId="12286" xr:uid="{00000000-0005-0000-0000-0000F02F0000}"/>
    <cellStyle name="0_BP_Formats 6117 5 6 2 2 3 2" xfId="12287" xr:uid="{00000000-0005-0000-0000-0000F12F0000}"/>
    <cellStyle name="0_BP_Formats 6117 5 6 2 2 4" xfId="12288" xr:uid="{00000000-0005-0000-0000-0000F22F0000}"/>
    <cellStyle name="0_BP_Formats 6117 5 6 2 3" xfId="12289" xr:uid="{00000000-0005-0000-0000-0000F32F0000}"/>
    <cellStyle name="0_BP_Formats 6117 5 6 2 3 2" xfId="12290" xr:uid="{00000000-0005-0000-0000-0000F42F0000}"/>
    <cellStyle name="0_BP_Formats 6117 5 6 2 3 2 2" xfId="12291" xr:uid="{00000000-0005-0000-0000-0000F52F0000}"/>
    <cellStyle name="0_BP_Formats 6117 5 6 2 3 3" xfId="12292" xr:uid="{00000000-0005-0000-0000-0000F62F0000}"/>
    <cellStyle name="0_BP_Formats 6117 5 6 2 3 3 2" xfId="12293" xr:uid="{00000000-0005-0000-0000-0000F72F0000}"/>
    <cellStyle name="0_BP_Formats 6117 5 6 2 3 4" xfId="12294" xr:uid="{00000000-0005-0000-0000-0000F82F0000}"/>
    <cellStyle name="0_BP_Formats 6117 5 6 2 4" xfId="12295" xr:uid="{00000000-0005-0000-0000-0000F92F0000}"/>
    <cellStyle name="0_BP_Formats 6117 5 6 2 4 2" xfId="12296" xr:uid="{00000000-0005-0000-0000-0000FA2F0000}"/>
    <cellStyle name="0_BP_Formats 6117 5 6 2 5" xfId="12297" xr:uid="{00000000-0005-0000-0000-0000FB2F0000}"/>
    <cellStyle name="0_BP_Formats 6117 5 6 2 5 2" xfId="12298" xr:uid="{00000000-0005-0000-0000-0000FC2F0000}"/>
    <cellStyle name="0_BP_Formats 6117 5 6 2 6" xfId="12299" xr:uid="{00000000-0005-0000-0000-0000FD2F0000}"/>
    <cellStyle name="0_BP_Formats 6117 5 6 3" xfId="12300" xr:uid="{00000000-0005-0000-0000-0000FE2F0000}"/>
    <cellStyle name="0_BP_Formats 6117 5 6 3 2" xfId="12301" xr:uid="{00000000-0005-0000-0000-0000FF2F0000}"/>
    <cellStyle name="0_BP_Formats 6117 5 6 3 2 2" xfId="12302" xr:uid="{00000000-0005-0000-0000-000000300000}"/>
    <cellStyle name="0_BP_Formats 6117 5 6 3 3" xfId="12303" xr:uid="{00000000-0005-0000-0000-000001300000}"/>
    <cellStyle name="0_BP_Formats 6117 5 6 3 3 2" xfId="12304" xr:uid="{00000000-0005-0000-0000-000002300000}"/>
    <cellStyle name="0_BP_Formats 6117 5 6 3 4" xfId="12305" xr:uid="{00000000-0005-0000-0000-000003300000}"/>
    <cellStyle name="0_BP_Formats 6117 5 6 4" xfId="12306" xr:uid="{00000000-0005-0000-0000-000004300000}"/>
    <cellStyle name="0_BP_Formats 6117 5 6 4 2" xfId="12307" xr:uid="{00000000-0005-0000-0000-000005300000}"/>
    <cellStyle name="0_BP_Formats 6117 5 6 4 2 2" xfId="12308" xr:uid="{00000000-0005-0000-0000-000006300000}"/>
    <cellStyle name="0_BP_Formats 6117 5 6 4 3" xfId="12309" xr:uid="{00000000-0005-0000-0000-000007300000}"/>
    <cellStyle name="0_BP_Formats 6117 5 6 4 3 2" xfId="12310" xr:uid="{00000000-0005-0000-0000-000008300000}"/>
    <cellStyle name="0_BP_Formats 6117 5 6 4 4" xfId="12311" xr:uid="{00000000-0005-0000-0000-000009300000}"/>
    <cellStyle name="0_BP_Formats 6117 5 6 5" xfId="12312" xr:uid="{00000000-0005-0000-0000-00000A300000}"/>
    <cellStyle name="0_BP_Formats 6117 5 6 5 2" xfId="12313" xr:uid="{00000000-0005-0000-0000-00000B300000}"/>
    <cellStyle name="0_BP_Formats 6117 5 6 5 2 2" xfId="12314" xr:uid="{00000000-0005-0000-0000-00000C300000}"/>
    <cellStyle name="0_BP_Formats 6117 5 6 5 3" xfId="12315" xr:uid="{00000000-0005-0000-0000-00000D300000}"/>
    <cellStyle name="0_BP_Formats 6117 5 6 5 3 2" xfId="12316" xr:uid="{00000000-0005-0000-0000-00000E300000}"/>
    <cellStyle name="0_BP_Formats 6117 5 6 5 4" xfId="12317" xr:uid="{00000000-0005-0000-0000-00000F300000}"/>
    <cellStyle name="0_BP_Formats 6117 5 6 6" xfId="12318" xr:uid="{00000000-0005-0000-0000-000010300000}"/>
    <cellStyle name="0_BP_Formats 6117 5 6 6 2" xfId="12319" xr:uid="{00000000-0005-0000-0000-000011300000}"/>
    <cellStyle name="0_BP_Formats 6117 5 6 7" xfId="12320" xr:uid="{00000000-0005-0000-0000-000012300000}"/>
    <cellStyle name="0_BP_Formats 6117 5 6 7 2" xfId="12321" xr:uid="{00000000-0005-0000-0000-000013300000}"/>
    <cellStyle name="0_BP_Formats 6117 5 6 8" xfId="12322" xr:uid="{00000000-0005-0000-0000-000014300000}"/>
    <cellStyle name="0_BP_Formats 6117 5 7" xfId="12323" xr:uid="{00000000-0005-0000-0000-000015300000}"/>
    <cellStyle name="0_BP_Formats 6117 5 7 2" xfId="12324" xr:uid="{00000000-0005-0000-0000-000016300000}"/>
    <cellStyle name="0_BP_Formats 6117 5 7 2 2" xfId="12325" xr:uid="{00000000-0005-0000-0000-000017300000}"/>
    <cellStyle name="0_BP_Formats 6117 5 7 2 2 2" xfId="12326" xr:uid="{00000000-0005-0000-0000-000018300000}"/>
    <cellStyle name="0_BP_Formats 6117 5 7 2 3" xfId="12327" xr:uid="{00000000-0005-0000-0000-000019300000}"/>
    <cellStyle name="0_BP_Formats 6117 5 7 2 3 2" xfId="12328" xr:uid="{00000000-0005-0000-0000-00001A300000}"/>
    <cellStyle name="0_BP_Formats 6117 5 7 2 4" xfId="12329" xr:uid="{00000000-0005-0000-0000-00001B300000}"/>
    <cellStyle name="0_BP_Formats 6117 5 7 3" xfId="12330" xr:uid="{00000000-0005-0000-0000-00001C300000}"/>
    <cellStyle name="0_BP_Formats 6117 5 7 3 2" xfId="12331" xr:uid="{00000000-0005-0000-0000-00001D300000}"/>
    <cellStyle name="0_BP_Formats 6117 5 7 3 2 2" xfId="12332" xr:uid="{00000000-0005-0000-0000-00001E300000}"/>
    <cellStyle name="0_BP_Formats 6117 5 7 3 3" xfId="12333" xr:uid="{00000000-0005-0000-0000-00001F300000}"/>
    <cellStyle name="0_BP_Formats 6117 5 7 3 3 2" xfId="12334" xr:uid="{00000000-0005-0000-0000-000020300000}"/>
    <cellStyle name="0_BP_Formats 6117 5 7 3 4" xfId="12335" xr:uid="{00000000-0005-0000-0000-000021300000}"/>
    <cellStyle name="0_BP_Formats 6117 5 7 4" xfId="12336" xr:uid="{00000000-0005-0000-0000-000022300000}"/>
    <cellStyle name="0_BP_Formats 6117 5 7 4 2" xfId="12337" xr:uid="{00000000-0005-0000-0000-000023300000}"/>
    <cellStyle name="0_BP_Formats 6117 5 7 5" xfId="12338" xr:uid="{00000000-0005-0000-0000-000024300000}"/>
    <cellStyle name="0_BP_Formats 6117 5 7 5 2" xfId="12339" xr:uid="{00000000-0005-0000-0000-000025300000}"/>
    <cellStyle name="0_BP_Formats 6117 5 7 6" xfId="12340" xr:uid="{00000000-0005-0000-0000-000026300000}"/>
    <cellStyle name="0_BP_Formats 6117 5 8" xfId="12341" xr:uid="{00000000-0005-0000-0000-000027300000}"/>
    <cellStyle name="0_BP_Formats 6117 5 8 2" xfId="12342" xr:uid="{00000000-0005-0000-0000-000028300000}"/>
    <cellStyle name="0_BP_Formats 6117 5 8 2 2" xfId="12343" xr:uid="{00000000-0005-0000-0000-000029300000}"/>
    <cellStyle name="0_BP_Formats 6117 5 8 3" xfId="12344" xr:uid="{00000000-0005-0000-0000-00002A300000}"/>
    <cellStyle name="0_BP_Formats 6117 5 8 3 2" xfId="12345" xr:uid="{00000000-0005-0000-0000-00002B300000}"/>
    <cellStyle name="0_BP_Formats 6117 5 8 4" xfId="12346" xr:uid="{00000000-0005-0000-0000-00002C300000}"/>
    <cellStyle name="0_BP_Formats 6117 5 9" xfId="12347" xr:uid="{00000000-0005-0000-0000-00002D300000}"/>
    <cellStyle name="0_BP_Formats 6117 5 9 2" xfId="12348" xr:uid="{00000000-0005-0000-0000-00002E300000}"/>
    <cellStyle name="0_BP_Formats 6117 5 9 2 2" xfId="12349" xr:uid="{00000000-0005-0000-0000-00002F300000}"/>
    <cellStyle name="0_BP_Formats 6117 5 9 3" xfId="12350" xr:uid="{00000000-0005-0000-0000-000030300000}"/>
    <cellStyle name="0_BP_Formats 6117 5 9 3 2" xfId="12351" xr:uid="{00000000-0005-0000-0000-000031300000}"/>
    <cellStyle name="0_BP_Formats 6117 5 9 4" xfId="12352" xr:uid="{00000000-0005-0000-0000-000032300000}"/>
    <cellStyle name="0_BP_Formats 6117 6" xfId="12353" xr:uid="{00000000-0005-0000-0000-000033300000}"/>
    <cellStyle name="0_BP_Formats 6117 6 2" xfId="12354" xr:uid="{00000000-0005-0000-0000-000034300000}"/>
    <cellStyle name="0_BP_Formats 6117 6 2 2" xfId="12355" xr:uid="{00000000-0005-0000-0000-000035300000}"/>
    <cellStyle name="0_BP_Formats 6117 6 2 2 2" xfId="12356" xr:uid="{00000000-0005-0000-0000-000036300000}"/>
    <cellStyle name="0_BP_Formats 6117 6 2 2 2 2" xfId="12357" xr:uid="{00000000-0005-0000-0000-000037300000}"/>
    <cellStyle name="0_BP_Formats 6117 6 2 2 3" xfId="12358" xr:uid="{00000000-0005-0000-0000-000038300000}"/>
    <cellStyle name="0_BP_Formats 6117 6 2 2 3 2" xfId="12359" xr:uid="{00000000-0005-0000-0000-000039300000}"/>
    <cellStyle name="0_BP_Formats 6117 6 2 2 4" xfId="12360" xr:uid="{00000000-0005-0000-0000-00003A300000}"/>
    <cellStyle name="0_BP_Formats 6117 6 2 3" xfId="12361" xr:uid="{00000000-0005-0000-0000-00003B300000}"/>
    <cellStyle name="0_BP_Formats 6117 6 2 3 2" xfId="12362" xr:uid="{00000000-0005-0000-0000-00003C300000}"/>
    <cellStyle name="0_BP_Formats 6117 6 2 3 2 2" xfId="12363" xr:uid="{00000000-0005-0000-0000-00003D300000}"/>
    <cellStyle name="0_BP_Formats 6117 6 2 3 3" xfId="12364" xr:uid="{00000000-0005-0000-0000-00003E300000}"/>
    <cellStyle name="0_BP_Formats 6117 6 2 3 3 2" xfId="12365" xr:uid="{00000000-0005-0000-0000-00003F300000}"/>
    <cellStyle name="0_BP_Formats 6117 6 2 3 4" xfId="12366" xr:uid="{00000000-0005-0000-0000-000040300000}"/>
    <cellStyle name="0_BP_Formats 6117 6 2 4" xfId="12367" xr:uid="{00000000-0005-0000-0000-000041300000}"/>
    <cellStyle name="0_BP_Formats 6117 6 2 4 2" xfId="12368" xr:uid="{00000000-0005-0000-0000-000042300000}"/>
    <cellStyle name="0_BP_Formats 6117 6 2 5" xfId="12369" xr:uid="{00000000-0005-0000-0000-000043300000}"/>
    <cellStyle name="0_BP_Formats 6117 6 2 5 2" xfId="12370" xr:uid="{00000000-0005-0000-0000-000044300000}"/>
    <cellStyle name="0_BP_Formats 6117 6 2 6" xfId="12371" xr:uid="{00000000-0005-0000-0000-000045300000}"/>
    <cellStyle name="0_BP_Formats 6117 6 3" xfId="12372" xr:uid="{00000000-0005-0000-0000-000046300000}"/>
    <cellStyle name="0_BP_Formats 6117 6 3 2" xfId="12373" xr:uid="{00000000-0005-0000-0000-000047300000}"/>
    <cellStyle name="0_BP_Formats 6117 6 3 2 2" xfId="12374" xr:uid="{00000000-0005-0000-0000-000048300000}"/>
    <cellStyle name="0_BP_Formats 6117 6 3 3" xfId="12375" xr:uid="{00000000-0005-0000-0000-000049300000}"/>
    <cellStyle name="0_BP_Formats 6117 6 3 3 2" xfId="12376" xr:uid="{00000000-0005-0000-0000-00004A300000}"/>
    <cellStyle name="0_BP_Formats 6117 6 3 4" xfId="12377" xr:uid="{00000000-0005-0000-0000-00004B300000}"/>
    <cellStyle name="0_BP_Formats 6117 6 4" xfId="12378" xr:uid="{00000000-0005-0000-0000-00004C300000}"/>
    <cellStyle name="0_BP_Formats 6117 6 4 2" xfId="12379" xr:uid="{00000000-0005-0000-0000-00004D300000}"/>
    <cellStyle name="0_BP_Formats 6117 6 4 2 2" xfId="12380" xr:uid="{00000000-0005-0000-0000-00004E300000}"/>
    <cellStyle name="0_BP_Formats 6117 6 4 3" xfId="12381" xr:uid="{00000000-0005-0000-0000-00004F300000}"/>
    <cellStyle name="0_BP_Formats 6117 6 4 3 2" xfId="12382" xr:uid="{00000000-0005-0000-0000-000050300000}"/>
    <cellStyle name="0_BP_Formats 6117 6 4 4" xfId="12383" xr:uid="{00000000-0005-0000-0000-000051300000}"/>
    <cellStyle name="0_BP_Formats 6117 6 5" xfId="12384" xr:uid="{00000000-0005-0000-0000-000052300000}"/>
    <cellStyle name="0_BP_Formats 6117 6 5 2" xfId="12385" xr:uid="{00000000-0005-0000-0000-000053300000}"/>
    <cellStyle name="0_BP_Formats 6117 6 5 2 2" xfId="12386" xr:uid="{00000000-0005-0000-0000-000054300000}"/>
    <cellStyle name="0_BP_Formats 6117 6 5 3" xfId="12387" xr:uid="{00000000-0005-0000-0000-000055300000}"/>
    <cellStyle name="0_BP_Formats 6117 6 5 3 2" xfId="12388" xr:uid="{00000000-0005-0000-0000-000056300000}"/>
    <cellStyle name="0_BP_Formats 6117 6 5 4" xfId="12389" xr:uid="{00000000-0005-0000-0000-000057300000}"/>
    <cellStyle name="0_BP_Formats 6117 6 6" xfId="12390" xr:uid="{00000000-0005-0000-0000-000058300000}"/>
    <cellStyle name="0_BP_Formats 6117 6 6 2" xfId="12391" xr:uid="{00000000-0005-0000-0000-000059300000}"/>
    <cellStyle name="0_BP_Formats 6117 6 7" xfId="12392" xr:uid="{00000000-0005-0000-0000-00005A300000}"/>
    <cellStyle name="0_BP_Formats 6117 6 7 2" xfId="12393" xr:uid="{00000000-0005-0000-0000-00005B300000}"/>
    <cellStyle name="0_BP_Formats 6117 6 8" xfId="12394" xr:uid="{00000000-0005-0000-0000-00005C300000}"/>
    <cellStyle name="0_BP_Formats 6117 7" xfId="12395" xr:uid="{00000000-0005-0000-0000-00005D300000}"/>
    <cellStyle name="0_BP_Formats 6117 7 2" xfId="12396" xr:uid="{00000000-0005-0000-0000-00005E300000}"/>
    <cellStyle name="0_BP_Formats 6117 7 2 2" xfId="12397" xr:uid="{00000000-0005-0000-0000-00005F300000}"/>
    <cellStyle name="0_BP_Formats 6117 7 2 2 2" xfId="12398" xr:uid="{00000000-0005-0000-0000-000060300000}"/>
    <cellStyle name="0_BP_Formats 6117 7 2 3" xfId="12399" xr:uid="{00000000-0005-0000-0000-000061300000}"/>
    <cellStyle name="0_BP_Formats 6117 7 2 3 2" xfId="12400" xr:uid="{00000000-0005-0000-0000-000062300000}"/>
    <cellStyle name="0_BP_Formats 6117 7 2 4" xfId="12401" xr:uid="{00000000-0005-0000-0000-000063300000}"/>
    <cellStyle name="0_BP_Formats 6117 7 3" xfId="12402" xr:uid="{00000000-0005-0000-0000-000064300000}"/>
    <cellStyle name="0_BP_Formats 6117 7 3 2" xfId="12403" xr:uid="{00000000-0005-0000-0000-000065300000}"/>
    <cellStyle name="0_BP_Formats 6117 7 3 2 2" xfId="12404" xr:uid="{00000000-0005-0000-0000-000066300000}"/>
    <cellStyle name="0_BP_Formats 6117 7 3 3" xfId="12405" xr:uid="{00000000-0005-0000-0000-000067300000}"/>
    <cellStyle name="0_BP_Formats 6117 7 3 3 2" xfId="12406" xr:uid="{00000000-0005-0000-0000-000068300000}"/>
    <cellStyle name="0_BP_Formats 6117 7 3 4" xfId="12407" xr:uid="{00000000-0005-0000-0000-000069300000}"/>
    <cellStyle name="0_BP_Formats 6117 7 4" xfId="12408" xr:uid="{00000000-0005-0000-0000-00006A300000}"/>
    <cellStyle name="0_BP_Formats 6117 7 4 2" xfId="12409" xr:uid="{00000000-0005-0000-0000-00006B300000}"/>
    <cellStyle name="0_BP_Formats 6117 7 5" xfId="12410" xr:uid="{00000000-0005-0000-0000-00006C300000}"/>
    <cellStyle name="0_BP_Formats 6117 7 5 2" xfId="12411" xr:uid="{00000000-0005-0000-0000-00006D300000}"/>
    <cellStyle name="0_BP_Formats 6117 7 6" xfId="12412" xr:uid="{00000000-0005-0000-0000-00006E300000}"/>
    <cellStyle name="0_BP_Formats 6117 8" xfId="12413" xr:uid="{00000000-0005-0000-0000-00006F300000}"/>
    <cellStyle name="0_BP_Formats 6117 8 2" xfId="12414" xr:uid="{00000000-0005-0000-0000-000070300000}"/>
    <cellStyle name="0_BP_Formats 6117 8 2 2" xfId="12415" xr:uid="{00000000-0005-0000-0000-000071300000}"/>
    <cellStyle name="0_BP_Formats 6117 8 2 2 2" xfId="12416" xr:uid="{00000000-0005-0000-0000-000072300000}"/>
    <cellStyle name="0_BP_Formats 6117 8 2 3" xfId="12417" xr:uid="{00000000-0005-0000-0000-000073300000}"/>
    <cellStyle name="0_BP_Formats 6117 8 2 3 2" xfId="12418" xr:uid="{00000000-0005-0000-0000-000074300000}"/>
    <cellStyle name="0_BP_Formats 6117 8 2 4" xfId="12419" xr:uid="{00000000-0005-0000-0000-000075300000}"/>
    <cellStyle name="0_BP_Formats 6117 8 3" xfId="12420" xr:uid="{00000000-0005-0000-0000-000076300000}"/>
    <cellStyle name="0_BP_Formats 6117 8 3 2" xfId="12421" xr:uid="{00000000-0005-0000-0000-000077300000}"/>
    <cellStyle name="0_BP_Formats 6117 8 3 2 2" xfId="12422" xr:uid="{00000000-0005-0000-0000-000078300000}"/>
    <cellStyle name="0_BP_Formats 6117 8 3 3" xfId="12423" xr:uid="{00000000-0005-0000-0000-000079300000}"/>
    <cellStyle name="0_BP_Formats 6117 8 3 3 2" xfId="12424" xr:uid="{00000000-0005-0000-0000-00007A300000}"/>
    <cellStyle name="0_BP_Formats 6117 8 3 4" xfId="12425" xr:uid="{00000000-0005-0000-0000-00007B300000}"/>
    <cellStyle name="0_BP_Formats 6117 8 4" xfId="12426" xr:uid="{00000000-0005-0000-0000-00007C300000}"/>
    <cellStyle name="0_BP_Formats 6117 8 4 2" xfId="12427" xr:uid="{00000000-0005-0000-0000-00007D300000}"/>
    <cellStyle name="0_BP_Formats 6117 8 5" xfId="12428" xr:uid="{00000000-0005-0000-0000-00007E300000}"/>
    <cellStyle name="0_BP_Formats 6117 8 5 2" xfId="12429" xr:uid="{00000000-0005-0000-0000-00007F300000}"/>
    <cellStyle name="0_BP_Formats 6117 8 6" xfId="12430" xr:uid="{00000000-0005-0000-0000-000080300000}"/>
    <cellStyle name="0_BP_Formats 6117 9" xfId="12431" xr:uid="{00000000-0005-0000-0000-000081300000}"/>
    <cellStyle name="0_BP_Formats 6117 9 2" xfId="12432" xr:uid="{00000000-0005-0000-0000-000082300000}"/>
    <cellStyle name="0_BP_Formats 6117 9 2 2" xfId="12433" xr:uid="{00000000-0005-0000-0000-000083300000}"/>
    <cellStyle name="0_BP_Formats 6117 9 3" xfId="12434" xr:uid="{00000000-0005-0000-0000-000084300000}"/>
    <cellStyle name="0_BP_Formats 6117 9 3 2" xfId="12435" xr:uid="{00000000-0005-0000-0000-000085300000}"/>
    <cellStyle name="0_BP_Formats 6117 9 4" xfId="12436" xr:uid="{00000000-0005-0000-0000-000086300000}"/>
    <cellStyle name="0_BP2008 Rev.2 - corrected by GM" xfId="12437" xr:uid="{00000000-0005-0000-0000-000087300000}"/>
    <cellStyle name="0_BP2008 Rev.2 - corrected by GM 2" xfId="12438" xr:uid="{00000000-0005-0000-0000-000088300000}"/>
    <cellStyle name="0_BP2008 Rev.2 - corrected by GM 2 2" xfId="12439" xr:uid="{00000000-0005-0000-0000-000089300000}"/>
    <cellStyle name="0_BP2008 Rev.2 - corrected by GM 2 2 2" xfId="12440" xr:uid="{00000000-0005-0000-0000-00008A300000}"/>
    <cellStyle name="0_BP2008 Rev.2 - corrected by GM 2 3" xfId="12441" xr:uid="{00000000-0005-0000-0000-00008B300000}"/>
    <cellStyle name="0_BP2008 Rev.2 - corrected by GM 2 3 2" xfId="12442" xr:uid="{00000000-0005-0000-0000-00008C300000}"/>
    <cellStyle name="0_BP2008 Rev.2 - corrected by GM 2 4" xfId="12443" xr:uid="{00000000-0005-0000-0000-00008D300000}"/>
    <cellStyle name="0_BP2008 Rev.2 - corrected by GM 2 4 2" xfId="12444" xr:uid="{00000000-0005-0000-0000-00008E300000}"/>
    <cellStyle name="0_BP2008 Rev.2 - corrected by GM 2 5" xfId="12445" xr:uid="{00000000-0005-0000-0000-00008F300000}"/>
    <cellStyle name="0_BP2008 Rev.2 - corrected by GM 2 6" xfId="12446" xr:uid="{00000000-0005-0000-0000-000090300000}"/>
    <cellStyle name="0_BP2008 Rev.2 - corrected by GM 2 7" xfId="12447" xr:uid="{00000000-0005-0000-0000-000091300000}"/>
    <cellStyle name="0_BP2008 Rev.2 - corrected by GM 3" xfId="12448" xr:uid="{00000000-0005-0000-0000-000092300000}"/>
    <cellStyle name="0_BP2008 Rev.2 - corrected by GM 3 2" xfId="12449" xr:uid="{00000000-0005-0000-0000-000093300000}"/>
    <cellStyle name="0_BP2008 Rev.2 - corrected by GM 4" xfId="12450" xr:uid="{00000000-0005-0000-0000-000094300000}"/>
    <cellStyle name="0_BP2008 Rev.2 - corrected by GM 5" xfId="12451" xr:uid="{00000000-0005-0000-0000-000095300000}"/>
    <cellStyle name="0_BP2008 Rev.2 - corrected by GM 6" xfId="12452" xr:uid="{00000000-0005-0000-0000-000096300000}"/>
    <cellStyle name="0_BP2008 Rev.2 - corrected by GM 7" xfId="12453" xr:uid="{00000000-0005-0000-0000-000097300000}"/>
    <cellStyle name="0_BP2008 Rev.2 - corrected by GM 8" xfId="12454" xr:uid="{00000000-0005-0000-0000-000098300000}"/>
    <cellStyle name="0_BP2008 Rev.2 - corrected by GM 9" xfId="12455" xr:uid="{00000000-0005-0000-0000-000099300000}"/>
    <cellStyle name="0_BP-6131_Reports_2009_Q3" xfId="12456" xr:uid="{00000000-0005-0000-0000-00009A300000}"/>
    <cellStyle name="0_BP-6131_Reports_2009_Q3 10" xfId="12457" xr:uid="{00000000-0005-0000-0000-00009B300000}"/>
    <cellStyle name="0_BP-6131_Reports_2009_Q3 10 2" xfId="12458" xr:uid="{00000000-0005-0000-0000-00009C300000}"/>
    <cellStyle name="0_BP-6131_Reports_2009_Q3 10 2 2" xfId="12459" xr:uid="{00000000-0005-0000-0000-00009D300000}"/>
    <cellStyle name="0_BP-6131_Reports_2009_Q3 10 3" xfId="12460" xr:uid="{00000000-0005-0000-0000-00009E300000}"/>
    <cellStyle name="0_BP-6131_Reports_2009_Q3 10 3 2" xfId="12461" xr:uid="{00000000-0005-0000-0000-00009F300000}"/>
    <cellStyle name="0_BP-6131_Reports_2009_Q3 10 4" xfId="12462" xr:uid="{00000000-0005-0000-0000-0000A0300000}"/>
    <cellStyle name="0_BP-6131_Reports_2009_Q3 11" xfId="12463" xr:uid="{00000000-0005-0000-0000-0000A1300000}"/>
    <cellStyle name="0_BP-6131_Reports_2009_Q3 11 2" xfId="12464" xr:uid="{00000000-0005-0000-0000-0000A2300000}"/>
    <cellStyle name="0_BP-6131_Reports_2009_Q3 11 2 2" xfId="12465" xr:uid="{00000000-0005-0000-0000-0000A3300000}"/>
    <cellStyle name="0_BP-6131_Reports_2009_Q3 11 3" xfId="12466" xr:uid="{00000000-0005-0000-0000-0000A4300000}"/>
    <cellStyle name="0_BP-6131_Reports_2009_Q3 11 3 2" xfId="12467" xr:uid="{00000000-0005-0000-0000-0000A5300000}"/>
    <cellStyle name="0_BP-6131_Reports_2009_Q3 11 4" xfId="12468" xr:uid="{00000000-0005-0000-0000-0000A6300000}"/>
    <cellStyle name="0_BP-6131_Reports_2009_Q3 12" xfId="12469" xr:uid="{00000000-0005-0000-0000-0000A7300000}"/>
    <cellStyle name="0_BP-6131_Reports_2009_Q3 12 2" xfId="12470" xr:uid="{00000000-0005-0000-0000-0000A8300000}"/>
    <cellStyle name="0_BP-6131_Reports_2009_Q3 13" xfId="12471" xr:uid="{00000000-0005-0000-0000-0000A9300000}"/>
    <cellStyle name="0_BP-6131_Reports_2009_Q3 13 2" xfId="12472" xr:uid="{00000000-0005-0000-0000-0000AA300000}"/>
    <cellStyle name="0_BP-6131_Reports_2009_Q3 14" xfId="12473" xr:uid="{00000000-0005-0000-0000-0000AB300000}"/>
    <cellStyle name="0_BP-6131_Reports_2009_Q3 14 2" xfId="12474" xr:uid="{00000000-0005-0000-0000-0000AC300000}"/>
    <cellStyle name="0_BP-6131_Reports_2009_Q3 15" xfId="12475" xr:uid="{00000000-0005-0000-0000-0000AD300000}"/>
    <cellStyle name="0_BP-6131_Reports_2009_Q3 16" xfId="12476" xr:uid="{00000000-0005-0000-0000-0000AE300000}"/>
    <cellStyle name="0_BP-6131_Reports_2009_Q3 17" xfId="12477" xr:uid="{00000000-0005-0000-0000-0000AF300000}"/>
    <cellStyle name="0_BP-6131_Reports_2009_Q3 18" xfId="12478" xr:uid="{00000000-0005-0000-0000-0000B0300000}"/>
    <cellStyle name="0_BP-6131_Reports_2009_Q3 19" xfId="12479" xr:uid="{00000000-0005-0000-0000-0000B1300000}"/>
    <cellStyle name="0_BP-6131_Reports_2009_Q3 2" xfId="12480" xr:uid="{00000000-0005-0000-0000-0000B2300000}"/>
    <cellStyle name="0_BP-6131_Reports_2009_Q3 2 10" xfId="12481" xr:uid="{00000000-0005-0000-0000-0000B3300000}"/>
    <cellStyle name="0_BP-6131_Reports_2009_Q3 2 10 2" xfId="12482" xr:uid="{00000000-0005-0000-0000-0000B4300000}"/>
    <cellStyle name="0_BP-6131_Reports_2009_Q3 2 10 2 2" xfId="12483" xr:uid="{00000000-0005-0000-0000-0000B5300000}"/>
    <cellStyle name="0_BP-6131_Reports_2009_Q3 2 10 3" xfId="12484" xr:uid="{00000000-0005-0000-0000-0000B6300000}"/>
    <cellStyle name="0_BP-6131_Reports_2009_Q3 2 10 3 2" xfId="12485" xr:uid="{00000000-0005-0000-0000-0000B7300000}"/>
    <cellStyle name="0_BP-6131_Reports_2009_Q3 2 10 4" xfId="12486" xr:uid="{00000000-0005-0000-0000-0000B8300000}"/>
    <cellStyle name="0_BP-6131_Reports_2009_Q3 2 11" xfId="12487" xr:uid="{00000000-0005-0000-0000-0000B9300000}"/>
    <cellStyle name="0_BP-6131_Reports_2009_Q3 2 11 2" xfId="12488" xr:uid="{00000000-0005-0000-0000-0000BA300000}"/>
    <cellStyle name="0_BP-6131_Reports_2009_Q3 2 12" xfId="12489" xr:uid="{00000000-0005-0000-0000-0000BB300000}"/>
    <cellStyle name="0_BP-6131_Reports_2009_Q3 2 12 2" xfId="12490" xr:uid="{00000000-0005-0000-0000-0000BC300000}"/>
    <cellStyle name="0_BP-6131_Reports_2009_Q3 2 13" xfId="12491" xr:uid="{00000000-0005-0000-0000-0000BD300000}"/>
    <cellStyle name="0_BP-6131_Reports_2009_Q3 2 14" xfId="12492" xr:uid="{00000000-0005-0000-0000-0000BE300000}"/>
    <cellStyle name="0_BP-6131_Reports_2009_Q3 2 15" xfId="12493" xr:uid="{00000000-0005-0000-0000-0000BF300000}"/>
    <cellStyle name="0_BP-6131_Reports_2009_Q3 2 16" xfId="12494" xr:uid="{00000000-0005-0000-0000-0000C0300000}"/>
    <cellStyle name="0_BP-6131_Reports_2009_Q3 2 2" xfId="12495" xr:uid="{00000000-0005-0000-0000-0000C1300000}"/>
    <cellStyle name="0_BP-6131_Reports_2009_Q3 2 2 2" xfId="12496" xr:uid="{00000000-0005-0000-0000-0000C2300000}"/>
    <cellStyle name="0_BP-6131_Reports_2009_Q3 2 2 2 2" xfId="12497" xr:uid="{00000000-0005-0000-0000-0000C3300000}"/>
    <cellStyle name="0_BP-6131_Reports_2009_Q3 2 2 2 2 2" xfId="12498" xr:uid="{00000000-0005-0000-0000-0000C4300000}"/>
    <cellStyle name="0_BP-6131_Reports_2009_Q3 2 2 2 2 2 2" xfId="12499" xr:uid="{00000000-0005-0000-0000-0000C5300000}"/>
    <cellStyle name="0_BP-6131_Reports_2009_Q3 2 2 2 2 3" xfId="12500" xr:uid="{00000000-0005-0000-0000-0000C6300000}"/>
    <cellStyle name="0_BP-6131_Reports_2009_Q3 2 2 2 2 3 2" xfId="12501" xr:uid="{00000000-0005-0000-0000-0000C7300000}"/>
    <cellStyle name="0_BP-6131_Reports_2009_Q3 2 2 2 2 4" xfId="12502" xr:uid="{00000000-0005-0000-0000-0000C8300000}"/>
    <cellStyle name="0_BP-6131_Reports_2009_Q3 2 2 2 3" xfId="12503" xr:uid="{00000000-0005-0000-0000-0000C9300000}"/>
    <cellStyle name="0_BP-6131_Reports_2009_Q3 2 2 2 3 2" xfId="12504" xr:uid="{00000000-0005-0000-0000-0000CA300000}"/>
    <cellStyle name="0_BP-6131_Reports_2009_Q3 2 2 2 3 2 2" xfId="12505" xr:uid="{00000000-0005-0000-0000-0000CB300000}"/>
    <cellStyle name="0_BP-6131_Reports_2009_Q3 2 2 2 3 3" xfId="12506" xr:uid="{00000000-0005-0000-0000-0000CC300000}"/>
    <cellStyle name="0_BP-6131_Reports_2009_Q3 2 2 2 3 3 2" xfId="12507" xr:uid="{00000000-0005-0000-0000-0000CD300000}"/>
    <cellStyle name="0_BP-6131_Reports_2009_Q3 2 2 2 3 4" xfId="12508" xr:uid="{00000000-0005-0000-0000-0000CE300000}"/>
    <cellStyle name="0_BP-6131_Reports_2009_Q3 2 2 2 4" xfId="12509" xr:uid="{00000000-0005-0000-0000-0000CF300000}"/>
    <cellStyle name="0_BP-6131_Reports_2009_Q3 2 2 2 4 2" xfId="12510" xr:uid="{00000000-0005-0000-0000-0000D0300000}"/>
    <cellStyle name="0_BP-6131_Reports_2009_Q3 2 2 2 5" xfId="12511" xr:uid="{00000000-0005-0000-0000-0000D1300000}"/>
    <cellStyle name="0_BP-6131_Reports_2009_Q3 2 2 2 5 2" xfId="12512" xr:uid="{00000000-0005-0000-0000-0000D2300000}"/>
    <cellStyle name="0_BP-6131_Reports_2009_Q3 2 2 2 6" xfId="12513" xr:uid="{00000000-0005-0000-0000-0000D3300000}"/>
    <cellStyle name="0_BP-6131_Reports_2009_Q3 2 2 3" xfId="12514" xr:uid="{00000000-0005-0000-0000-0000D4300000}"/>
    <cellStyle name="0_BP-6131_Reports_2009_Q3 2 2 3 2" xfId="12515" xr:uid="{00000000-0005-0000-0000-0000D5300000}"/>
    <cellStyle name="0_BP-6131_Reports_2009_Q3 2 2 3 2 2" xfId="12516" xr:uid="{00000000-0005-0000-0000-0000D6300000}"/>
    <cellStyle name="0_BP-6131_Reports_2009_Q3 2 2 3 3" xfId="12517" xr:uid="{00000000-0005-0000-0000-0000D7300000}"/>
    <cellStyle name="0_BP-6131_Reports_2009_Q3 2 2 3 3 2" xfId="12518" xr:uid="{00000000-0005-0000-0000-0000D8300000}"/>
    <cellStyle name="0_BP-6131_Reports_2009_Q3 2 2 3 4" xfId="12519" xr:uid="{00000000-0005-0000-0000-0000D9300000}"/>
    <cellStyle name="0_BP-6131_Reports_2009_Q3 2 2 4" xfId="12520" xr:uid="{00000000-0005-0000-0000-0000DA300000}"/>
    <cellStyle name="0_BP-6131_Reports_2009_Q3 2 2 4 2" xfId="12521" xr:uid="{00000000-0005-0000-0000-0000DB300000}"/>
    <cellStyle name="0_BP-6131_Reports_2009_Q3 2 2 4 2 2" xfId="12522" xr:uid="{00000000-0005-0000-0000-0000DC300000}"/>
    <cellStyle name="0_BP-6131_Reports_2009_Q3 2 2 4 3" xfId="12523" xr:uid="{00000000-0005-0000-0000-0000DD300000}"/>
    <cellStyle name="0_BP-6131_Reports_2009_Q3 2 2 4 3 2" xfId="12524" xr:uid="{00000000-0005-0000-0000-0000DE300000}"/>
    <cellStyle name="0_BP-6131_Reports_2009_Q3 2 2 4 4" xfId="12525" xr:uid="{00000000-0005-0000-0000-0000DF300000}"/>
    <cellStyle name="0_BP-6131_Reports_2009_Q3 2 2 5" xfId="12526" xr:uid="{00000000-0005-0000-0000-0000E0300000}"/>
    <cellStyle name="0_BP-6131_Reports_2009_Q3 2 2 5 2" xfId="12527" xr:uid="{00000000-0005-0000-0000-0000E1300000}"/>
    <cellStyle name="0_BP-6131_Reports_2009_Q3 2 2 5 2 2" xfId="12528" xr:uid="{00000000-0005-0000-0000-0000E2300000}"/>
    <cellStyle name="0_BP-6131_Reports_2009_Q3 2 2 5 3" xfId="12529" xr:uid="{00000000-0005-0000-0000-0000E3300000}"/>
    <cellStyle name="0_BP-6131_Reports_2009_Q3 2 2 5 3 2" xfId="12530" xr:uid="{00000000-0005-0000-0000-0000E4300000}"/>
    <cellStyle name="0_BP-6131_Reports_2009_Q3 2 2 5 4" xfId="12531" xr:uid="{00000000-0005-0000-0000-0000E5300000}"/>
    <cellStyle name="0_BP-6131_Reports_2009_Q3 2 2 6" xfId="12532" xr:uid="{00000000-0005-0000-0000-0000E6300000}"/>
    <cellStyle name="0_BP-6131_Reports_2009_Q3 2 2 6 2" xfId="12533" xr:uid="{00000000-0005-0000-0000-0000E7300000}"/>
    <cellStyle name="0_BP-6131_Reports_2009_Q3 2 2 7" xfId="12534" xr:uid="{00000000-0005-0000-0000-0000E8300000}"/>
    <cellStyle name="0_BP-6131_Reports_2009_Q3 2 2 7 2" xfId="12535" xr:uid="{00000000-0005-0000-0000-0000E9300000}"/>
    <cellStyle name="0_BP-6131_Reports_2009_Q3 2 2 8" xfId="12536" xr:uid="{00000000-0005-0000-0000-0000EA300000}"/>
    <cellStyle name="0_BP-6131_Reports_2009_Q3 2 3" xfId="12537" xr:uid="{00000000-0005-0000-0000-0000EB300000}"/>
    <cellStyle name="0_BP-6131_Reports_2009_Q3 2 3 2" xfId="12538" xr:uid="{00000000-0005-0000-0000-0000EC300000}"/>
    <cellStyle name="0_BP-6131_Reports_2009_Q3 2 3 2 2" xfId="12539" xr:uid="{00000000-0005-0000-0000-0000ED300000}"/>
    <cellStyle name="0_BP-6131_Reports_2009_Q3 2 3 2 2 2" xfId="12540" xr:uid="{00000000-0005-0000-0000-0000EE300000}"/>
    <cellStyle name="0_BP-6131_Reports_2009_Q3 2 3 2 2 2 2" xfId="12541" xr:uid="{00000000-0005-0000-0000-0000EF300000}"/>
    <cellStyle name="0_BP-6131_Reports_2009_Q3 2 3 2 2 3" xfId="12542" xr:uid="{00000000-0005-0000-0000-0000F0300000}"/>
    <cellStyle name="0_BP-6131_Reports_2009_Q3 2 3 2 2 3 2" xfId="12543" xr:uid="{00000000-0005-0000-0000-0000F1300000}"/>
    <cellStyle name="0_BP-6131_Reports_2009_Q3 2 3 2 2 4" xfId="12544" xr:uid="{00000000-0005-0000-0000-0000F2300000}"/>
    <cellStyle name="0_BP-6131_Reports_2009_Q3 2 3 2 3" xfId="12545" xr:uid="{00000000-0005-0000-0000-0000F3300000}"/>
    <cellStyle name="0_BP-6131_Reports_2009_Q3 2 3 2 3 2" xfId="12546" xr:uid="{00000000-0005-0000-0000-0000F4300000}"/>
    <cellStyle name="0_BP-6131_Reports_2009_Q3 2 3 2 3 2 2" xfId="12547" xr:uid="{00000000-0005-0000-0000-0000F5300000}"/>
    <cellStyle name="0_BP-6131_Reports_2009_Q3 2 3 2 3 3" xfId="12548" xr:uid="{00000000-0005-0000-0000-0000F6300000}"/>
    <cellStyle name="0_BP-6131_Reports_2009_Q3 2 3 2 3 3 2" xfId="12549" xr:uid="{00000000-0005-0000-0000-0000F7300000}"/>
    <cellStyle name="0_BP-6131_Reports_2009_Q3 2 3 2 3 4" xfId="12550" xr:uid="{00000000-0005-0000-0000-0000F8300000}"/>
    <cellStyle name="0_BP-6131_Reports_2009_Q3 2 3 2 4" xfId="12551" xr:uid="{00000000-0005-0000-0000-0000F9300000}"/>
    <cellStyle name="0_BP-6131_Reports_2009_Q3 2 3 2 4 2" xfId="12552" xr:uid="{00000000-0005-0000-0000-0000FA300000}"/>
    <cellStyle name="0_BP-6131_Reports_2009_Q3 2 3 2 5" xfId="12553" xr:uid="{00000000-0005-0000-0000-0000FB300000}"/>
    <cellStyle name="0_BP-6131_Reports_2009_Q3 2 3 2 5 2" xfId="12554" xr:uid="{00000000-0005-0000-0000-0000FC300000}"/>
    <cellStyle name="0_BP-6131_Reports_2009_Q3 2 3 2 6" xfId="12555" xr:uid="{00000000-0005-0000-0000-0000FD300000}"/>
    <cellStyle name="0_BP-6131_Reports_2009_Q3 2 3 3" xfId="12556" xr:uid="{00000000-0005-0000-0000-0000FE300000}"/>
    <cellStyle name="0_BP-6131_Reports_2009_Q3 2 3 3 2" xfId="12557" xr:uid="{00000000-0005-0000-0000-0000FF300000}"/>
    <cellStyle name="0_BP-6131_Reports_2009_Q3 2 3 3 2 2" xfId="12558" xr:uid="{00000000-0005-0000-0000-000000310000}"/>
    <cellStyle name="0_BP-6131_Reports_2009_Q3 2 3 3 3" xfId="12559" xr:uid="{00000000-0005-0000-0000-000001310000}"/>
    <cellStyle name="0_BP-6131_Reports_2009_Q3 2 3 3 3 2" xfId="12560" xr:uid="{00000000-0005-0000-0000-000002310000}"/>
    <cellStyle name="0_BP-6131_Reports_2009_Q3 2 3 3 4" xfId="12561" xr:uid="{00000000-0005-0000-0000-000003310000}"/>
    <cellStyle name="0_BP-6131_Reports_2009_Q3 2 3 4" xfId="12562" xr:uid="{00000000-0005-0000-0000-000004310000}"/>
    <cellStyle name="0_BP-6131_Reports_2009_Q3 2 3 4 2" xfId="12563" xr:uid="{00000000-0005-0000-0000-000005310000}"/>
    <cellStyle name="0_BP-6131_Reports_2009_Q3 2 3 4 2 2" xfId="12564" xr:uid="{00000000-0005-0000-0000-000006310000}"/>
    <cellStyle name="0_BP-6131_Reports_2009_Q3 2 3 4 3" xfId="12565" xr:uid="{00000000-0005-0000-0000-000007310000}"/>
    <cellStyle name="0_BP-6131_Reports_2009_Q3 2 3 4 3 2" xfId="12566" xr:uid="{00000000-0005-0000-0000-000008310000}"/>
    <cellStyle name="0_BP-6131_Reports_2009_Q3 2 3 4 4" xfId="12567" xr:uid="{00000000-0005-0000-0000-000009310000}"/>
    <cellStyle name="0_BP-6131_Reports_2009_Q3 2 3 5" xfId="12568" xr:uid="{00000000-0005-0000-0000-00000A310000}"/>
    <cellStyle name="0_BP-6131_Reports_2009_Q3 2 3 5 2" xfId="12569" xr:uid="{00000000-0005-0000-0000-00000B310000}"/>
    <cellStyle name="0_BP-6131_Reports_2009_Q3 2 3 5 2 2" xfId="12570" xr:uid="{00000000-0005-0000-0000-00000C310000}"/>
    <cellStyle name="0_BP-6131_Reports_2009_Q3 2 3 5 3" xfId="12571" xr:uid="{00000000-0005-0000-0000-00000D310000}"/>
    <cellStyle name="0_BP-6131_Reports_2009_Q3 2 3 5 3 2" xfId="12572" xr:uid="{00000000-0005-0000-0000-00000E310000}"/>
    <cellStyle name="0_BP-6131_Reports_2009_Q3 2 3 5 4" xfId="12573" xr:uid="{00000000-0005-0000-0000-00000F310000}"/>
    <cellStyle name="0_BP-6131_Reports_2009_Q3 2 3 6" xfId="12574" xr:uid="{00000000-0005-0000-0000-000010310000}"/>
    <cellStyle name="0_BP-6131_Reports_2009_Q3 2 3 6 2" xfId="12575" xr:uid="{00000000-0005-0000-0000-000011310000}"/>
    <cellStyle name="0_BP-6131_Reports_2009_Q3 2 3 7" xfId="12576" xr:uid="{00000000-0005-0000-0000-000012310000}"/>
    <cellStyle name="0_BP-6131_Reports_2009_Q3 2 3 7 2" xfId="12577" xr:uid="{00000000-0005-0000-0000-000013310000}"/>
    <cellStyle name="0_BP-6131_Reports_2009_Q3 2 3 8" xfId="12578" xr:uid="{00000000-0005-0000-0000-000014310000}"/>
    <cellStyle name="0_BP-6131_Reports_2009_Q3 2 4" xfId="12579" xr:uid="{00000000-0005-0000-0000-000015310000}"/>
    <cellStyle name="0_BP-6131_Reports_2009_Q3 2 4 2" xfId="12580" xr:uid="{00000000-0005-0000-0000-000016310000}"/>
    <cellStyle name="0_BP-6131_Reports_2009_Q3 2 4 2 2" xfId="12581" xr:uid="{00000000-0005-0000-0000-000017310000}"/>
    <cellStyle name="0_BP-6131_Reports_2009_Q3 2 4 2 2 2" xfId="12582" xr:uid="{00000000-0005-0000-0000-000018310000}"/>
    <cellStyle name="0_BP-6131_Reports_2009_Q3 2 4 2 2 2 2" xfId="12583" xr:uid="{00000000-0005-0000-0000-000019310000}"/>
    <cellStyle name="0_BP-6131_Reports_2009_Q3 2 4 2 2 3" xfId="12584" xr:uid="{00000000-0005-0000-0000-00001A310000}"/>
    <cellStyle name="0_BP-6131_Reports_2009_Q3 2 4 2 2 3 2" xfId="12585" xr:uid="{00000000-0005-0000-0000-00001B310000}"/>
    <cellStyle name="0_BP-6131_Reports_2009_Q3 2 4 2 2 4" xfId="12586" xr:uid="{00000000-0005-0000-0000-00001C310000}"/>
    <cellStyle name="0_BP-6131_Reports_2009_Q3 2 4 2 3" xfId="12587" xr:uid="{00000000-0005-0000-0000-00001D310000}"/>
    <cellStyle name="0_BP-6131_Reports_2009_Q3 2 4 2 3 2" xfId="12588" xr:uid="{00000000-0005-0000-0000-00001E310000}"/>
    <cellStyle name="0_BP-6131_Reports_2009_Q3 2 4 2 3 2 2" xfId="12589" xr:uid="{00000000-0005-0000-0000-00001F310000}"/>
    <cellStyle name="0_BP-6131_Reports_2009_Q3 2 4 2 3 3" xfId="12590" xr:uid="{00000000-0005-0000-0000-000020310000}"/>
    <cellStyle name="0_BP-6131_Reports_2009_Q3 2 4 2 3 3 2" xfId="12591" xr:uid="{00000000-0005-0000-0000-000021310000}"/>
    <cellStyle name="0_BP-6131_Reports_2009_Q3 2 4 2 3 4" xfId="12592" xr:uid="{00000000-0005-0000-0000-000022310000}"/>
    <cellStyle name="0_BP-6131_Reports_2009_Q3 2 4 2 4" xfId="12593" xr:uid="{00000000-0005-0000-0000-000023310000}"/>
    <cellStyle name="0_BP-6131_Reports_2009_Q3 2 4 2 4 2" xfId="12594" xr:uid="{00000000-0005-0000-0000-000024310000}"/>
    <cellStyle name="0_BP-6131_Reports_2009_Q3 2 4 2 5" xfId="12595" xr:uid="{00000000-0005-0000-0000-000025310000}"/>
    <cellStyle name="0_BP-6131_Reports_2009_Q3 2 4 2 5 2" xfId="12596" xr:uid="{00000000-0005-0000-0000-000026310000}"/>
    <cellStyle name="0_BP-6131_Reports_2009_Q3 2 4 2 6" xfId="12597" xr:uid="{00000000-0005-0000-0000-000027310000}"/>
    <cellStyle name="0_BP-6131_Reports_2009_Q3 2 4 3" xfId="12598" xr:uid="{00000000-0005-0000-0000-000028310000}"/>
    <cellStyle name="0_BP-6131_Reports_2009_Q3 2 4 3 2" xfId="12599" xr:uid="{00000000-0005-0000-0000-000029310000}"/>
    <cellStyle name="0_BP-6131_Reports_2009_Q3 2 4 3 2 2" xfId="12600" xr:uid="{00000000-0005-0000-0000-00002A310000}"/>
    <cellStyle name="0_BP-6131_Reports_2009_Q3 2 4 3 3" xfId="12601" xr:uid="{00000000-0005-0000-0000-00002B310000}"/>
    <cellStyle name="0_BP-6131_Reports_2009_Q3 2 4 3 3 2" xfId="12602" xr:uid="{00000000-0005-0000-0000-00002C310000}"/>
    <cellStyle name="0_BP-6131_Reports_2009_Q3 2 4 3 4" xfId="12603" xr:uid="{00000000-0005-0000-0000-00002D310000}"/>
    <cellStyle name="0_BP-6131_Reports_2009_Q3 2 4 4" xfId="12604" xr:uid="{00000000-0005-0000-0000-00002E310000}"/>
    <cellStyle name="0_BP-6131_Reports_2009_Q3 2 4 4 2" xfId="12605" xr:uid="{00000000-0005-0000-0000-00002F310000}"/>
    <cellStyle name="0_BP-6131_Reports_2009_Q3 2 4 4 2 2" xfId="12606" xr:uid="{00000000-0005-0000-0000-000030310000}"/>
    <cellStyle name="0_BP-6131_Reports_2009_Q3 2 4 4 3" xfId="12607" xr:uid="{00000000-0005-0000-0000-000031310000}"/>
    <cellStyle name="0_BP-6131_Reports_2009_Q3 2 4 4 3 2" xfId="12608" xr:uid="{00000000-0005-0000-0000-000032310000}"/>
    <cellStyle name="0_BP-6131_Reports_2009_Q3 2 4 4 4" xfId="12609" xr:uid="{00000000-0005-0000-0000-000033310000}"/>
    <cellStyle name="0_BP-6131_Reports_2009_Q3 2 4 5" xfId="12610" xr:uid="{00000000-0005-0000-0000-000034310000}"/>
    <cellStyle name="0_BP-6131_Reports_2009_Q3 2 4 5 2" xfId="12611" xr:uid="{00000000-0005-0000-0000-000035310000}"/>
    <cellStyle name="0_BP-6131_Reports_2009_Q3 2 4 5 2 2" xfId="12612" xr:uid="{00000000-0005-0000-0000-000036310000}"/>
    <cellStyle name="0_BP-6131_Reports_2009_Q3 2 4 5 3" xfId="12613" xr:uid="{00000000-0005-0000-0000-000037310000}"/>
    <cellStyle name="0_BP-6131_Reports_2009_Q3 2 4 5 3 2" xfId="12614" xr:uid="{00000000-0005-0000-0000-000038310000}"/>
    <cellStyle name="0_BP-6131_Reports_2009_Q3 2 4 5 4" xfId="12615" xr:uid="{00000000-0005-0000-0000-000039310000}"/>
    <cellStyle name="0_BP-6131_Reports_2009_Q3 2 4 6" xfId="12616" xr:uid="{00000000-0005-0000-0000-00003A310000}"/>
    <cellStyle name="0_BP-6131_Reports_2009_Q3 2 4 6 2" xfId="12617" xr:uid="{00000000-0005-0000-0000-00003B310000}"/>
    <cellStyle name="0_BP-6131_Reports_2009_Q3 2 4 7" xfId="12618" xr:uid="{00000000-0005-0000-0000-00003C310000}"/>
    <cellStyle name="0_BP-6131_Reports_2009_Q3 2 4 7 2" xfId="12619" xr:uid="{00000000-0005-0000-0000-00003D310000}"/>
    <cellStyle name="0_BP-6131_Reports_2009_Q3 2 4 8" xfId="12620" xr:uid="{00000000-0005-0000-0000-00003E310000}"/>
    <cellStyle name="0_BP-6131_Reports_2009_Q3 2 5" xfId="12621" xr:uid="{00000000-0005-0000-0000-00003F310000}"/>
    <cellStyle name="0_BP-6131_Reports_2009_Q3 2 5 2" xfId="12622" xr:uid="{00000000-0005-0000-0000-000040310000}"/>
    <cellStyle name="0_BP-6131_Reports_2009_Q3 2 5 2 2" xfId="12623" xr:uid="{00000000-0005-0000-0000-000041310000}"/>
    <cellStyle name="0_BP-6131_Reports_2009_Q3 2 5 2 2 2" xfId="12624" xr:uid="{00000000-0005-0000-0000-000042310000}"/>
    <cellStyle name="0_BP-6131_Reports_2009_Q3 2 5 2 2 2 2" xfId="12625" xr:uid="{00000000-0005-0000-0000-000043310000}"/>
    <cellStyle name="0_BP-6131_Reports_2009_Q3 2 5 2 2 3" xfId="12626" xr:uid="{00000000-0005-0000-0000-000044310000}"/>
    <cellStyle name="0_BP-6131_Reports_2009_Q3 2 5 2 2 3 2" xfId="12627" xr:uid="{00000000-0005-0000-0000-000045310000}"/>
    <cellStyle name="0_BP-6131_Reports_2009_Q3 2 5 2 2 4" xfId="12628" xr:uid="{00000000-0005-0000-0000-000046310000}"/>
    <cellStyle name="0_BP-6131_Reports_2009_Q3 2 5 2 3" xfId="12629" xr:uid="{00000000-0005-0000-0000-000047310000}"/>
    <cellStyle name="0_BP-6131_Reports_2009_Q3 2 5 2 3 2" xfId="12630" xr:uid="{00000000-0005-0000-0000-000048310000}"/>
    <cellStyle name="0_BP-6131_Reports_2009_Q3 2 5 2 3 2 2" xfId="12631" xr:uid="{00000000-0005-0000-0000-000049310000}"/>
    <cellStyle name="0_BP-6131_Reports_2009_Q3 2 5 2 3 3" xfId="12632" xr:uid="{00000000-0005-0000-0000-00004A310000}"/>
    <cellStyle name="0_BP-6131_Reports_2009_Q3 2 5 2 3 3 2" xfId="12633" xr:uid="{00000000-0005-0000-0000-00004B310000}"/>
    <cellStyle name="0_BP-6131_Reports_2009_Q3 2 5 2 3 4" xfId="12634" xr:uid="{00000000-0005-0000-0000-00004C310000}"/>
    <cellStyle name="0_BP-6131_Reports_2009_Q3 2 5 2 4" xfId="12635" xr:uid="{00000000-0005-0000-0000-00004D310000}"/>
    <cellStyle name="0_BP-6131_Reports_2009_Q3 2 5 2 4 2" xfId="12636" xr:uid="{00000000-0005-0000-0000-00004E310000}"/>
    <cellStyle name="0_BP-6131_Reports_2009_Q3 2 5 2 5" xfId="12637" xr:uid="{00000000-0005-0000-0000-00004F310000}"/>
    <cellStyle name="0_BP-6131_Reports_2009_Q3 2 5 2 5 2" xfId="12638" xr:uid="{00000000-0005-0000-0000-000050310000}"/>
    <cellStyle name="0_BP-6131_Reports_2009_Q3 2 5 2 6" xfId="12639" xr:uid="{00000000-0005-0000-0000-000051310000}"/>
    <cellStyle name="0_BP-6131_Reports_2009_Q3 2 5 3" xfId="12640" xr:uid="{00000000-0005-0000-0000-000052310000}"/>
    <cellStyle name="0_BP-6131_Reports_2009_Q3 2 5 3 2" xfId="12641" xr:uid="{00000000-0005-0000-0000-000053310000}"/>
    <cellStyle name="0_BP-6131_Reports_2009_Q3 2 5 3 2 2" xfId="12642" xr:uid="{00000000-0005-0000-0000-000054310000}"/>
    <cellStyle name="0_BP-6131_Reports_2009_Q3 2 5 3 3" xfId="12643" xr:uid="{00000000-0005-0000-0000-000055310000}"/>
    <cellStyle name="0_BP-6131_Reports_2009_Q3 2 5 3 3 2" xfId="12644" xr:uid="{00000000-0005-0000-0000-000056310000}"/>
    <cellStyle name="0_BP-6131_Reports_2009_Q3 2 5 3 4" xfId="12645" xr:uid="{00000000-0005-0000-0000-000057310000}"/>
    <cellStyle name="0_BP-6131_Reports_2009_Q3 2 5 4" xfId="12646" xr:uid="{00000000-0005-0000-0000-000058310000}"/>
    <cellStyle name="0_BP-6131_Reports_2009_Q3 2 5 4 2" xfId="12647" xr:uid="{00000000-0005-0000-0000-000059310000}"/>
    <cellStyle name="0_BP-6131_Reports_2009_Q3 2 5 4 2 2" xfId="12648" xr:uid="{00000000-0005-0000-0000-00005A310000}"/>
    <cellStyle name="0_BP-6131_Reports_2009_Q3 2 5 4 3" xfId="12649" xr:uid="{00000000-0005-0000-0000-00005B310000}"/>
    <cellStyle name="0_BP-6131_Reports_2009_Q3 2 5 4 3 2" xfId="12650" xr:uid="{00000000-0005-0000-0000-00005C310000}"/>
    <cellStyle name="0_BP-6131_Reports_2009_Q3 2 5 4 4" xfId="12651" xr:uid="{00000000-0005-0000-0000-00005D310000}"/>
    <cellStyle name="0_BP-6131_Reports_2009_Q3 2 5 5" xfId="12652" xr:uid="{00000000-0005-0000-0000-00005E310000}"/>
    <cellStyle name="0_BP-6131_Reports_2009_Q3 2 5 5 2" xfId="12653" xr:uid="{00000000-0005-0000-0000-00005F310000}"/>
    <cellStyle name="0_BP-6131_Reports_2009_Q3 2 5 5 2 2" xfId="12654" xr:uid="{00000000-0005-0000-0000-000060310000}"/>
    <cellStyle name="0_BP-6131_Reports_2009_Q3 2 5 5 3" xfId="12655" xr:uid="{00000000-0005-0000-0000-000061310000}"/>
    <cellStyle name="0_BP-6131_Reports_2009_Q3 2 5 5 3 2" xfId="12656" xr:uid="{00000000-0005-0000-0000-000062310000}"/>
    <cellStyle name="0_BP-6131_Reports_2009_Q3 2 5 5 4" xfId="12657" xr:uid="{00000000-0005-0000-0000-000063310000}"/>
    <cellStyle name="0_BP-6131_Reports_2009_Q3 2 5 6" xfId="12658" xr:uid="{00000000-0005-0000-0000-000064310000}"/>
    <cellStyle name="0_BP-6131_Reports_2009_Q3 2 5 6 2" xfId="12659" xr:uid="{00000000-0005-0000-0000-000065310000}"/>
    <cellStyle name="0_BP-6131_Reports_2009_Q3 2 5 7" xfId="12660" xr:uid="{00000000-0005-0000-0000-000066310000}"/>
    <cellStyle name="0_BP-6131_Reports_2009_Q3 2 5 7 2" xfId="12661" xr:uid="{00000000-0005-0000-0000-000067310000}"/>
    <cellStyle name="0_BP-6131_Reports_2009_Q3 2 5 8" xfId="12662" xr:uid="{00000000-0005-0000-0000-000068310000}"/>
    <cellStyle name="0_BP-6131_Reports_2009_Q3 2 6" xfId="12663" xr:uid="{00000000-0005-0000-0000-000069310000}"/>
    <cellStyle name="0_BP-6131_Reports_2009_Q3 2 6 2" xfId="12664" xr:uid="{00000000-0005-0000-0000-00006A310000}"/>
    <cellStyle name="0_BP-6131_Reports_2009_Q3 2 6 2 2" xfId="12665" xr:uid="{00000000-0005-0000-0000-00006B310000}"/>
    <cellStyle name="0_BP-6131_Reports_2009_Q3 2 6 2 2 2" xfId="12666" xr:uid="{00000000-0005-0000-0000-00006C310000}"/>
    <cellStyle name="0_BP-6131_Reports_2009_Q3 2 6 2 2 2 2" xfId="12667" xr:uid="{00000000-0005-0000-0000-00006D310000}"/>
    <cellStyle name="0_BP-6131_Reports_2009_Q3 2 6 2 2 3" xfId="12668" xr:uid="{00000000-0005-0000-0000-00006E310000}"/>
    <cellStyle name="0_BP-6131_Reports_2009_Q3 2 6 2 2 3 2" xfId="12669" xr:uid="{00000000-0005-0000-0000-00006F310000}"/>
    <cellStyle name="0_BP-6131_Reports_2009_Q3 2 6 2 2 4" xfId="12670" xr:uid="{00000000-0005-0000-0000-000070310000}"/>
    <cellStyle name="0_BP-6131_Reports_2009_Q3 2 6 2 3" xfId="12671" xr:uid="{00000000-0005-0000-0000-000071310000}"/>
    <cellStyle name="0_BP-6131_Reports_2009_Q3 2 6 2 3 2" xfId="12672" xr:uid="{00000000-0005-0000-0000-000072310000}"/>
    <cellStyle name="0_BP-6131_Reports_2009_Q3 2 6 2 3 2 2" xfId="12673" xr:uid="{00000000-0005-0000-0000-000073310000}"/>
    <cellStyle name="0_BP-6131_Reports_2009_Q3 2 6 2 3 3" xfId="12674" xr:uid="{00000000-0005-0000-0000-000074310000}"/>
    <cellStyle name="0_BP-6131_Reports_2009_Q3 2 6 2 3 3 2" xfId="12675" xr:uid="{00000000-0005-0000-0000-000075310000}"/>
    <cellStyle name="0_BP-6131_Reports_2009_Q3 2 6 2 3 4" xfId="12676" xr:uid="{00000000-0005-0000-0000-000076310000}"/>
    <cellStyle name="0_BP-6131_Reports_2009_Q3 2 6 2 4" xfId="12677" xr:uid="{00000000-0005-0000-0000-000077310000}"/>
    <cellStyle name="0_BP-6131_Reports_2009_Q3 2 6 2 4 2" xfId="12678" xr:uid="{00000000-0005-0000-0000-000078310000}"/>
    <cellStyle name="0_BP-6131_Reports_2009_Q3 2 6 2 5" xfId="12679" xr:uid="{00000000-0005-0000-0000-000079310000}"/>
    <cellStyle name="0_BP-6131_Reports_2009_Q3 2 6 2 5 2" xfId="12680" xr:uid="{00000000-0005-0000-0000-00007A310000}"/>
    <cellStyle name="0_BP-6131_Reports_2009_Q3 2 6 2 6" xfId="12681" xr:uid="{00000000-0005-0000-0000-00007B310000}"/>
    <cellStyle name="0_BP-6131_Reports_2009_Q3 2 6 3" xfId="12682" xr:uid="{00000000-0005-0000-0000-00007C310000}"/>
    <cellStyle name="0_BP-6131_Reports_2009_Q3 2 6 3 2" xfId="12683" xr:uid="{00000000-0005-0000-0000-00007D310000}"/>
    <cellStyle name="0_BP-6131_Reports_2009_Q3 2 6 3 2 2" xfId="12684" xr:uid="{00000000-0005-0000-0000-00007E310000}"/>
    <cellStyle name="0_BP-6131_Reports_2009_Q3 2 6 3 3" xfId="12685" xr:uid="{00000000-0005-0000-0000-00007F310000}"/>
    <cellStyle name="0_BP-6131_Reports_2009_Q3 2 6 3 3 2" xfId="12686" xr:uid="{00000000-0005-0000-0000-000080310000}"/>
    <cellStyle name="0_BP-6131_Reports_2009_Q3 2 6 3 4" xfId="12687" xr:uid="{00000000-0005-0000-0000-000081310000}"/>
    <cellStyle name="0_BP-6131_Reports_2009_Q3 2 6 4" xfId="12688" xr:uid="{00000000-0005-0000-0000-000082310000}"/>
    <cellStyle name="0_BP-6131_Reports_2009_Q3 2 6 4 2" xfId="12689" xr:uid="{00000000-0005-0000-0000-000083310000}"/>
    <cellStyle name="0_BP-6131_Reports_2009_Q3 2 6 4 2 2" xfId="12690" xr:uid="{00000000-0005-0000-0000-000084310000}"/>
    <cellStyle name="0_BP-6131_Reports_2009_Q3 2 6 4 3" xfId="12691" xr:uid="{00000000-0005-0000-0000-000085310000}"/>
    <cellStyle name="0_BP-6131_Reports_2009_Q3 2 6 4 3 2" xfId="12692" xr:uid="{00000000-0005-0000-0000-000086310000}"/>
    <cellStyle name="0_BP-6131_Reports_2009_Q3 2 6 4 4" xfId="12693" xr:uid="{00000000-0005-0000-0000-000087310000}"/>
    <cellStyle name="0_BP-6131_Reports_2009_Q3 2 6 5" xfId="12694" xr:uid="{00000000-0005-0000-0000-000088310000}"/>
    <cellStyle name="0_BP-6131_Reports_2009_Q3 2 6 5 2" xfId="12695" xr:uid="{00000000-0005-0000-0000-000089310000}"/>
    <cellStyle name="0_BP-6131_Reports_2009_Q3 2 6 5 2 2" xfId="12696" xr:uid="{00000000-0005-0000-0000-00008A310000}"/>
    <cellStyle name="0_BP-6131_Reports_2009_Q3 2 6 5 3" xfId="12697" xr:uid="{00000000-0005-0000-0000-00008B310000}"/>
    <cellStyle name="0_BP-6131_Reports_2009_Q3 2 6 5 3 2" xfId="12698" xr:uid="{00000000-0005-0000-0000-00008C310000}"/>
    <cellStyle name="0_BP-6131_Reports_2009_Q3 2 6 5 4" xfId="12699" xr:uid="{00000000-0005-0000-0000-00008D310000}"/>
    <cellStyle name="0_BP-6131_Reports_2009_Q3 2 6 6" xfId="12700" xr:uid="{00000000-0005-0000-0000-00008E310000}"/>
    <cellStyle name="0_BP-6131_Reports_2009_Q3 2 6 6 2" xfId="12701" xr:uid="{00000000-0005-0000-0000-00008F310000}"/>
    <cellStyle name="0_BP-6131_Reports_2009_Q3 2 6 7" xfId="12702" xr:uid="{00000000-0005-0000-0000-000090310000}"/>
    <cellStyle name="0_BP-6131_Reports_2009_Q3 2 6 7 2" xfId="12703" xr:uid="{00000000-0005-0000-0000-000091310000}"/>
    <cellStyle name="0_BP-6131_Reports_2009_Q3 2 6 8" xfId="12704" xr:uid="{00000000-0005-0000-0000-000092310000}"/>
    <cellStyle name="0_BP-6131_Reports_2009_Q3 2 7" xfId="12705" xr:uid="{00000000-0005-0000-0000-000093310000}"/>
    <cellStyle name="0_BP-6131_Reports_2009_Q3 2 7 2" xfId="12706" xr:uid="{00000000-0005-0000-0000-000094310000}"/>
    <cellStyle name="0_BP-6131_Reports_2009_Q3 2 7 2 2" xfId="12707" xr:uid="{00000000-0005-0000-0000-000095310000}"/>
    <cellStyle name="0_BP-6131_Reports_2009_Q3 2 7 2 2 2" xfId="12708" xr:uid="{00000000-0005-0000-0000-000096310000}"/>
    <cellStyle name="0_BP-6131_Reports_2009_Q3 2 7 2 3" xfId="12709" xr:uid="{00000000-0005-0000-0000-000097310000}"/>
    <cellStyle name="0_BP-6131_Reports_2009_Q3 2 7 2 3 2" xfId="12710" xr:uid="{00000000-0005-0000-0000-000098310000}"/>
    <cellStyle name="0_BP-6131_Reports_2009_Q3 2 7 2 4" xfId="12711" xr:uid="{00000000-0005-0000-0000-000099310000}"/>
    <cellStyle name="0_BP-6131_Reports_2009_Q3 2 7 3" xfId="12712" xr:uid="{00000000-0005-0000-0000-00009A310000}"/>
    <cellStyle name="0_BP-6131_Reports_2009_Q3 2 7 3 2" xfId="12713" xr:uid="{00000000-0005-0000-0000-00009B310000}"/>
    <cellStyle name="0_BP-6131_Reports_2009_Q3 2 7 3 2 2" xfId="12714" xr:uid="{00000000-0005-0000-0000-00009C310000}"/>
    <cellStyle name="0_BP-6131_Reports_2009_Q3 2 7 3 3" xfId="12715" xr:uid="{00000000-0005-0000-0000-00009D310000}"/>
    <cellStyle name="0_BP-6131_Reports_2009_Q3 2 7 3 3 2" xfId="12716" xr:uid="{00000000-0005-0000-0000-00009E310000}"/>
    <cellStyle name="0_BP-6131_Reports_2009_Q3 2 7 3 4" xfId="12717" xr:uid="{00000000-0005-0000-0000-00009F310000}"/>
    <cellStyle name="0_BP-6131_Reports_2009_Q3 2 7 4" xfId="12718" xr:uid="{00000000-0005-0000-0000-0000A0310000}"/>
    <cellStyle name="0_BP-6131_Reports_2009_Q3 2 7 4 2" xfId="12719" xr:uid="{00000000-0005-0000-0000-0000A1310000}"/>
    <cellStyle name="0_BP-6131_Reports_2009_Q3 2 7 5" xfId="12720" xr:uid="{00000000-0005-0000-0000-0000A2310000}"/>
    <cellStyle name="0_BP-6131_Reports_2009_Q3 2 7 5 2" xfId="12721" xr:uid="{00000000-0005-0000-0000-0000A3310000}"/>
    <cellStyle name="0_BP-6131_Reports_2009_Q3 2 7 6" xfId="12722" xr:uid="{00000000-0005-0000-0000-0000A4310000}"/>
    <cellStyle name="0_BP-6131_Reports_2009_Q3 2 8" xfId="12723" xr:uid="{00000000-0005-0000-0000-0000A5310000}"/>
    <cellStyle name="0_BP-6131_Reports_2009_Q3 2 8 2" xfId="12724" xr:uid="{00000000-0005-0000-0000-0000A6310000}"/>
    <cellStyle name="0_BP-6131_Reports_2009_Q3 2 8 2 2" xfId="12725" xr:uid="{00000000-0005-0000-0000-0000A7310000}"/>
    <cellStyle name="0_BP-6131_Reports_2009_Q3 2 8 3" xfId="12726" xr:uid="{00000000-0005-0000-0000-0000A8310000}"/>
    <cellStyle name="0_BP-6131_Reports_2009_Q3 2 8 3 2" xfId="12727" xr:uid="{00000000-0005-0000-0000-0000A9310000}"/>
    <cellStyle name="0_BP-6131_Reports_2009_Q3 2 8 4" xfId="12728" xr:uid="{00000000-0005-0000-0000-0000AA310000}"/>
    <cellStyle name="0_BP-6131_Reports_2009_Q3 2 9" xfId="12729" xr:uid="{00000000-0005-0000-0000-0000AB310000}"/>
    <cellStyle name="0_BP-6131_Reports_2009_Q3 2 9 2" xfId="12730" xr:uid="{00000000-0005-0000-0000-0000AC310000}"/>
    <cellStyle name="0_BP-6131_Reports_2009_Q3 2 9 2 2" xfId="12731" xr:uid="{00000000-0005-0000-0000-0000AD310000}"/>
    <cellStyle name="0_BP-6131_Reports_2009_Q3 2 9 3" xfId="12732" xr:uid="{00000000-0005-0000-0000-0000AE310000}"/>
    <cellStyle name="0_BP-6131_Reports_2009_Q3 2 9 3 2" xfId="12733" xr:uid="{00000000-0005-0000-0000-0000AF310000}"/>
    <cellStyle name="0_BP-6131_Reports_2009_Q3 2 9 4" xfId="12734" xr:uid="{00000000-0005-0000-0000-0000B0310000}"/>
    <cellStyle name="0_BP-6131_Reports_2009_Q3 20" xfId="12735" xr:uid="{00000000-0005-0000-0000-0000B1310000}"/>
    <cellStyle name="0_BP-6131_Reports_2009_Q3 21" xfId="12736" xr:uid="{00000000-0005-0000-0000-0000B2310000}"/>
    <cellStyle name="0_BP-6131_Reports_2009_Q3 22" xfId="12737" xr:uid="{00000000-0005-0000-0000-0000B3310000}"/>
    <cellStyle name="0_BP-6131_Reports_2009_Q3 3" xfId="12738" xr:uid="{00000000-0005-0000-0000-0000B4310000}"/>
    <cellStyle name="0_BP-6131_Reports_2009_Q3 3 10" xfId="12739" xr:uid="{00000000-0005-0000-0000-0000B5310000}"/>
    <cellStyle name="0_BP-6131_Reports_2009_Q3 3 10 2" xfId="12740" xr:uid="{00000000-0005-0000-0000-0000B6310000}"/>
    <cellStyle name="0_BP-6131_Reports_2009_Q3 3 10 2 2" xfId="12741" xr:uid="{00000000-0005-0000-0000-0000B7310000}"/>
    <cellStyle name="0_BP-6131_Reports_2009_Q3 3 10 3" xfId="12742" xr:uid="{00000000-0005-0000-0000-0000B8310000}"/>
    <cellStyle name="0_BP-6131_Reports_2009_Q3 3 10 3 2" xfId="12743" xr:uid="{00000000-0005-0000-0000-0000B9310000}"/>
    <cellStyle name="0_BP-6131_Reports_2009_Q3 3 10 4" xfId="12744" xr:uid="{00000000-0005-0000-0000-0000BA310000}"/>
    <cellStyle name="0_BP-6131_Reports_2009_Q3 3 11" xfId="12745" xr:uid="{00000000-0005-0000-0000-0000BB310000}"/>
    <cellStyle name="0_BP-6131_Reports_2009_Q3 3 11 2" xfId="12746" xr:uid="{00000000-0005-0000-0000-0000BC310000}"/>
    <cellStyle name="0_BP-6131_Reports_2009_Q3 3 12" xfId="12747" xr:uid="{00000000-0005-0000-0000-0000BD310000}"/>
    <cellStyle name="0_BP-6131_Reports_2009_Q3 3 12 2" xfId="12748" xr:uid="{00000000-0005-0000-0000-0000BE310000}"/>
    <cellStyle name="0_BP-6131_Reports_2009_Q3 3 13" xfId="12749" xr:uid="{00000000-0005-0000-0000-0000BF310000}"/>
    <cellStyle name="0_BP-6131_Reports_2009_Q3 3 2" xfId="12750" xr:uid="{00000000-0005-0000-0000-0000C0310000}"/>
    <cellStyle name="0_BP-6131_Reports_2009_Q3 3 2 2" xfId="12751" xr:uid="{00000000-0005-0000-0000-0000C1310000}"/>
    <cellStyle name="0_BP-6131_Reports_2009_Q3 3 2 2 2" xfId="12752" xr:uid="{00000000-0005-0000-0000-0000C2310000}"/>
    <cellStyle name="0_BP-6131_Reports_2009_Q3 3 2 2 2 2" xfId="12753" xr:uid="{00000000-0005-0000-0000-0000C3310000}"/>
    <cellStyle name="0_BP-6131_Reports_2009_Q3 3 2 2 2 2 2" xfId="12754" xr:uid="{00000000-0005-0000-0000-0000C4310000}"/>
    <cellStyle name="0_BP-6131_Reports_2009_Q3 3 2 2 2 3" xfId="12755" xr:uid="{00000000-0005-0000-0000-0000C5310000}"/>
    <cellStyle name="0_BP-6131_Reports_2009_Q3 3 2 2 2 3 2" xfId="12756" xr:uid="{00000000-0005-0000-0000-0000C6310000}"/>
    <cellStyle name="0_BP-6131_Reports_2009_Q3 3 2 2 2 4" xfId="12757" xr:uid="{00000000-0005-0000-0000-0000C7310000}"/>
    <cellStyle name="0_BP-6131_Reports_2009_Q3 3 2 2 3" xfId="12758" xr:uid="{00000000-0005-0000-0000-0000C8310000}"/>
    <cellStyle name="0_BP-6131_Reports_2009_Q3 3 2 2 3 2" xfId="12759" xr:uid="{00000000-0005-0000-0000-0000C9310000}"/>
    <cellStyle name="0_BP-6131_Reports_2009_Q3 3 2 2 3 2 2" xfId="12760" xr:uid="{00000000-0005-0000-0000-0000CA310000}"/>
    <cellStyle name="0_BP-6131_Reports_2009_Q3 3 2 2 3 3" xfId="12761" xr:uid="{00000000-0005-0000-0000-0000CB310000}"/>
    <cellStyle name="0_BP-6131_Reports_2009_Q3 3 2 2 3 3 2" xfId="12762" xr:uid="{00000000-0005-0000-0000-0000CC310000}"/>
    <cellStyle name="0_BP-6131_Reports_2009_Q3 3 2 2 3 4" xfId="12763" xr:uid="{00000000-0005-0000-0000-0000CD310000}"/>
    <cellStyle name="0_BP-6131_Reports_2009_Q3 3 2 2 4" xfId="12764" xr:uid="{00000000-0005-0000-0000-0000CE310000}"/>
    <cellStyle name="0_BP-6131_Reports_2009_Q3 3 2 2 4 2" xfId="12765" xr:uid="{00000000-0005-0000-0000-0000CF310000}"/>
    <cellStyle name="0_BP-6131_Reports_2009_Q3 3 2 2 5" xfId="12766" xr:uid="{00000000-0005-0000-0000-0000D0310000}"/>
    <cellStyle name="0_BP-6131_Reports_2009_Q3 3 2 2 5 2" xfId="12767" xr:uid="{00000000-0005-0000-0000-0000D1310000}"/>
    <cellStyle name="0_BP-6131_Reports_2009_Q3 3 2 2 6" xfId="12768" xr:uid="{00000000-0005-0000-0000-0000D2310000}"/>
    <cellStyle name="0_BP-6131_Reports_2009_Q3 3 2 3" xfId="12769" xr:uid="{00000000-0005-0000-0000-0000D3310000}"/>
    <cellStyle name="0_BP-6131_Reports_2009_Q3 3 2 3 2" xfId="12770" xr:uid="{00000000-0005-0000-0000-0000D4310000}"/>
    <cellStyle name="0_BP-6131_Reports_2009_Q3 3 2 3 2 2" xfId="12771" xr:uid="{00000000-0005-0000-0000-0000D5310000}"/>
    <cellStyle name="0_BP-6131_Reports_2009_Q3 3 2 3 3" xfId="12772" xr:uid="{00000000-0005-0000-0000-0000D6310000}"/>
    <cellStyle name="0_BP-6131_Reports_2009_Q3 3 2 3 3 2" xfId="12773" xr:uid="{00000000-0005-0000-0000-0000D7310000}"/>
    <cellStyle name="0_BP-6131_Reports_2009_Q3 3 2 3 4" xfId="12774" xr:uid="{00000000-0005-0000-0000-0000D8310000}"/>
    <cellStyle name="0_BP-6131_Reports_2009_Q3 3 2 4" xfId="12775" xr:uid="{00000000-0005-0000-0000-0000D9310000}"/>
    <cellStyle name="0_BP-6131_Reports_2009_Q3 3 2 4 2" xfId="12776" xr:uid="{00000000-0005-0000-0000-0000DA310000}"/>
    <cellStyle name="0_BP-6131_Reports_2009_Q3 3 2 4 2 2" xfId="12777" xr:uid="{00000000-0005-0000-0000-0000DB310000}"/>
    <cellStyle name="0_BP-6131_Reports_2009_Q3 3 2 4 3" xfId="12778" xr:uid="{00000000-0005-0000-0000-0000DC310000}"/>
    <cellStyle name="0_BP-6131_Reports_2009_Q3 3 2 4 3 2" xfId="12779" xr:uid="{00000000-0005-0000-0000-0000DD310000}"/>
    <cellStyle name="0_BP-6131_Reports_2009_Q3 3 2 4 4" xfId="12780" xr:uid="{00000000-0005-0000-0000-0000DE310000}"/>
    <cellStyle name="0_BP-6131_Reports_2009_Q3 3 2 5" xfId="12781" xr:uid="{00000000-0005-0000-0000-0000DF310000}"/>
    <cellStyle name="0_BP-6131_Reports_2009_Q3 3 2 5 2" xfId="12782" xr:uid="{00000000-0005-0000-0000-0000E0310000}"/>
    <cellStyle name="0_BP-6131_Reports_2009_Q3 3 2 5 2 2" xfId="12783" xr:uid="{00000000-0005-0000-0000-0000E1310000}"/>
    <cellStyle name="0_BP-6131_Reports_2009_Q3 3 2 5 3" xfId="12784" xr:uid="{00000000-0005-0000-0000-0000E2310000}"/>
    <cellStyle name="0_BP-6131_Reports_2009_Q3 3 2 5 3 2" xfId="12785" xr:uid="{00000000-0005-0000-0000-0000E3310000}"/>
    <cellStyle name="0_BP-6131_Reports_2009_Q3 3 2 5 4" xfId="12786" xr:uid="{00000000-0005-0000-0000-0000E4310000}"/>
    <cellStyle name="0_BP-6131_Reports_2009_Q3 3 2 6" xfId="12787" xr:uid="{00000000-0005-0000-0000-0000E5310000}"/>
    <cellStyle name="0_BP-6131_Reports_2009_Q3 3 2 6 2" xfId="12788" xr:uid="{00000000-0005-0000-0000-0000E6310000}"/>
    <cellStyle name="0_BP-6131_Reports_2009_Q3 3 2 7" xfId="12789" xr:uid="{00000000-0005-0000-0000-0000E7310000}"/>
    <cellStyle name="0_BP-6131_Reports_2009_Q3 3 2 7 2" xfId="12790" xr:uid="{00000000-0005-0000-0000-0000E8310000}"/>
    <cellStyle name="0_BP-6131_Reports_2009_Q3 3 2 8" xfId="12791" xr:uid="{00000000-0005-0000-0000-0000E9310000}"/>
    <cellStyle name="0_BP-6131_Reports_2009_Q3 3 3" xfId="12792" xr:uid="{00000000-0005-0000-0000-0000EA310000}"/>
    <cellStyle name="0_BP-6131_Reports_2009_Q3 3 3 2" xfId="12793" xr:uid="{00000000-0005-0000-0000-0000EB310000}"/>
    <cellStyle name="0_BP-6131_Reports_2009_Q3 3 3 2 2" xfId="12794" xr:uid="{00000000-0005-0000-0000-0000EC310000}"/>
    <cellStyle name="0_BP-6131_Reports_2009_Q3 3 3 2 2 2" xfId="12795" xr:uid="{00000000-0005-0000-0000-0000ED310000}"/>
    <cellStyle name="0_BP-6131_Reports_2009_Q3 3 3 2 2 2 2" xfId="12796" xr:uid="{00000000-0005-0000-0000-0000EE310000}"/>
    <cellStyle name="0_BP-6131_Reports_2009_Q3 3 3 2 2 3" xfId="12797" xr:uid="{00000000-0005-0000-0000-0000EF310000}"/>
    <cellStyle name="0_BP-6131_Reports_2009_Q3 3 3 2 2 3 2" xfId="12798" xr:uid="{00000000-0005-0000-0000-0000F0310000}"/>
    <cellStyle name="0_BP-6131_Reports_2009_Q3 3 3 2 2 4" xfId="12799" xr:uid="{00000000-0005-0000-0000-0000F1310000}"/>
    <cellStyle name="0_BP-6131_Reports_2009_Q3 3 3 2 3" xfId="12800" xr:uid="{00000000-0005-0000-0000-0000F2310000}"/>
    <cellStyle name="0_BP-6131_Reports_2009_Q3 3 3 2 3 2" xfId="12801" xr:uid="{00000000-0005-0000-0000-0000F3310000}"/>
    <cellStyle name="0_BP-6131_Reports_2009_Q3 3 3 2 3 2 2" xfId="12802" xr:uid="{00000000-0005-0000-0000-0000F4310000}"/>
    <cellStyle name="0_BP-6131_Reports_2009_Q3 3 3 2 3 3" xfId="12803" xr:uid="{00000000-0005-0000-0000-0000F5310000}"/>
    <cellStyle name="0_BP-6131_Reports_2009_Q3 3 3 2 3 3 2" xfId="12804" xr:uid="{00000000-0005-0000-0000-0000F6310000}"/>
    <cellStyle name="0_BP-6131_Reports_2009_Q3 3 3 2 3 4" xfId="12805" xr:uid="{00000000-0005-0000-0000-0000F7310000}"/>
    <cellStyle name="0_BP-6131_Reports_2009_Q3 3 3 2 4" xfId="12806" xr:uid="{00000000-0005-0000-0000-0000F8310000}"/>
    <cellStyle name="0_BP-6131_Reports_2009_Q3 3 3 2 4 2" xfId="12807" xr:uid="{00000000-0005-0000-0000-0000F9310000}"/>
    <cellStyle name="0_BP-6131_Reports_2009_Q3 3 3 2 5" xfId="12808" xr:uid="{00000000-0005-0000-0000-0000FA310000}"/>
    <cellStyle name="0_BP-6131_Reports_2009_Q3 3 3 2 5 2" xfId="12809" xr:uid="{00000000-0005-0000-0000-0000FB310000}"/>
    <cellStyle name="0_BP-6131_Reports_2009_Q3 3 3 2 6" xfId="12810" xr:uid="{00000000-0005-0000-0000-0000FC310000}"/>
    <cellStyle name="0_BP-6131_Reports_2009_Q3 3 3 3" xfId="12811" xr:uid="{00000000-0005-0000-0000-0000FD310000}"/>
    <cellStyle name="0_BP-6131_Reports_2009_Q3 3 3 3 2" xfId="12812" xr:uid="{00000000-0005-0000-0000-0000FE310000}"/>
    <cellStyle name="0_BP-6131_Reports_2009_Q3 3 3 3 2 2" xfId="12813" xr:uid="{00000000-0005-0000-0000-0000FF310000}"/>
    <cellStyle name="0_BP-6131_Reports_2009_Q3 3 3 3 3" xfId="12814" xr:uid="{00000000-0005-0000-0000-000000320000}"/>
    <cellStyle name="0_BP-6131_Reports_2009_Q3 3 3 3 3 2" xfId="12815" xr:uid="{00000000-0005-0000-0000-000001320000}"/>
    <cellStyle name="0_BP-6131_Reports_2009_Q3 3 3 3 4" xfId="12816" xr:uid="{00000000-0005-0000-0000-000002320000}"/>
    <cellStyle name="0_BP-6131_Reports_2009_Q3 3 3 4" xfId="12817" xr:uid="{00000000-0005-0000-0000-000003320000}"/>
    <cellStyle name="0_BP-6131_Reports_2009_Q3 3 3 4 2" xfId="12818" xr:uid="{00000000-0005-0000-0000-000004320000}"/>
    <cellStyle name="0_BP-6131_Reports_2009_Q3 3 3 4 2 2" xfId="12819" xr:uid="{00000000-0005-0000-0000-000005320000}"/>
    <cellStyle name="0_BP-6131_Reports_2009_Q3 3 3 4 3" xfId="12820" xr:uid="{00000000-0005-0000-0000-000006320000}"/>
    <cellStyle name="0_BP-6131_Reports_2009_Q3 3 3 4 3 2" xfId="12821" xr:uid="{00000000-0005-0000-0000-000007320000}"/>
    <cellStyle name="0_BP-6131_Reports_2009_Q3 3 3 4 4" xfId="12822" xr:uid="{00000000-0005-0000-0000-000008320000}"/>
    <cellStyle name="0_BP-6131_Reports_2009_Q3 3 3 5" xfId="12823" xr:uid="{00000000-0005-0000-0000-000009320000}"/>
    <cellStyle name="0_BP-6131_Reports_2009_Q3 3 3 5 2" xfId="12824" xr:uid="{00000000-0005-0000-0000-00000A320000}"/>
    <cellStyle name="0_BP-6131_Reports_2009_Q3 3 3 5 2 2" xfId="12825" xr:uid="{00000000-0005-0000-0000-00000B320000}"/>
    <cellStyle name="0_BP-6131_Reports_2009_Q3 3 3 5 3" xfId="12826" xr:uid="{00000000-0005-0000-0000-00000C320000}"/>
    <cellStyle name="0_BP-6131_Reports_2009_Q3 3 3 5 3 2" xfId="12827" xr:uid="{00000000-0005-0000-0000-00000D320000}"/>
    <cellStyle name="0_BP-6131_Reports_2009_Q3 3 3 5 4" xfId="12828" xr:uid="{00000000-0005-0000-0000-00000E320000}"/>
    <cellStyle name="0_BP-6131_Reports_2009_Q3 3 3 6" xfId="12829" xr:uid="{00000000-0005-0000-0000-00000F320000}"/>
    <cellStyle name="0_BP-6131_Reports_2009_Q3 3 3 6 2" xfId="12830" xr:uid="{00000000-0005-0000-0000-000010320000}"/>
    <cellStyle name="0_BP-6131_Reports_2009_Q3 3 3 7" xfId="12831" xr:uid="{00000000-0005-0000-0000-000011320000}"/>
    <cellStyle name="0_BP-6131_Reports_2009_Q3 3 3 7 2" xfId="12832" xr:uid="{00000000-0005-0000-0000-000012320000}"/>
    <cellStyle name="0_BP-6131_Reports_2009_Q3 3 3 8" xfId="12833" xr:uid="{00000000-0005-0000-0000-000013320000}"/>
    <cellStyle name="0_BP-6131_Reports_2009_Q3 3 4" xfId="12834" xr:uid="{00000000-0005-0000-0000-000014320000}"/>
    <cellStyle name="0_BP-6131_Reports_2009_Q3 3 4 2" xfId="12835" xr:uid="{00000000-0005-0000-0000-000015320000}"/>
    <cellStyle name="0_BP-6131_Reports_2009_Q3 3 4 2 2" xfId="12836" xr:uid="{00000000-0005-0000-0000-000016320000}"/>
    <cellStyle name="0_BP-6131_Reports_2009_Q3 3 4 2 2 2" xfId="12837" xr:uid="{00000000-0005-0000-0000-000017320000}"/>
    <cellStyle name="0_BP-6131_Reports_2009_Q3 3 4 2 2 2 2" xfId="12838" xr:uid="{00000000-0005-0000-0000-000018320000}"/>
    <cellStyle name="0_BP-6131_Reports_2009_Q3 3 4 2 2 3" xfId="12839" xr:uid="{00000000-0005-0000-0000-000019320000}"/>
    <cellStyle name="0_BP-6131_Reports_2009_Q3 3 4 2 2 3 2" xfId="12840" xr:uid="{00000000-0005-0000-0000-00001A320000}"/>
    <cellStyle name="0_BP-6131_Reports_2009_Q3 3 4 2 2 4" xfId="12841" xr:uid="{00000000-0005-0000-0000-00001B320000}"/>
    <cellStyle name="0_BP-6131_Reports_2009_Q3 3 4 2 3" xfId="12842" xr:uid="{00000000-0005-0000-0000-00001C320000}"/>
    <cellStyle name="0_BP-6131_Reports_2009_Q3 3 4 2 3 2" xfId="12843" xr:uid="{00000000-0005-0000-0000-00001D320000}"/>
    <cellStyle name="0_BP-6131_Reports_2009_Q3 3 4 2 3 2 2" xfId="12844" xr:uid="{00000000-0005-0000-0000-00001E320000}"/>
    <cellStyle name="0_BP-6131_Reports_2009_Q3 3 4 2 3 3" xfId="12845" xr:uid="{00000000-0005-0000-0000-00001F320000}"/>
    <cellStyle name="0_BP-6131_Reports_2009_Q3 3 4 2 3 3 2" xfId="12846" xr:uid="{00000000-0005-0000-0000-000020320000}"/>
    <cellStyle name="0_BP-6131_Reports_2009_Q3 3 4 2 3 4" xfId="12847" xr:uid="{00000000-0005-0000-0000-000021320000}"/>
    <cellStyle name="0_BP-6131_Reports_2009_Q3 3 4 2 4" xfId="12848" xr:uid="{00000000-0005-0000-0000-000022320000}"/>
    <cellStyle name="0_BP-6131_Reports_2009_Q3 3 4 2 4 2" xfId="12849" xr:uid="{00000000-0005-0000-0000-000023320000}"/>
    <cellStyle name="0_BP-6131_Reports_2009_Q3 3 4 2 5" xfId="12850" xr:uid="{00000000-0005-0000-0000-000024320000}"/>
    <cellStyle name="0_BP-6131_Reports_2009_Q3 3 4 2 5 2" xfId="12851" xr:uid="{00000000-0005-0000-0000-000025320000}"/>
    <cellStyle name="0_BP-6131_Reports_2009_Q3 3 4 2 6" xfId="12852" xr:uid="{00000000-0005-0000-0000-000026320000}"/>
    <cellStyle name="0_BP-6131_Reports_2009_Q3 3 4 3" xfId="12853" xr:uid="{00000000-0005-0000-0000-000027320000}"/>
    <cellStyle name="0_BP-6131_Reports_2009_Q3 3 4 3 2" xfId="12854" xr:uid="{00000000-0005-0000-0000-000028320000}"/>
    <cellStyle name="0_BP-6131_Reports_2009_Q3 3 4 3 2 2" xfId="12855" xr:uid="{00000000-0005-0000-0000-000029320000}"/>
    <cellStyle name="0_BP-6131_Reports_2009_Q3 3 4 3 3" xfId="12856" xr:uid="{00000000-0005-0000-0000-00002A320000}"/>
    <cellStyle name="0_BP-6131_Reports_2009_Q3 3 4 3 3 2" xfId="12857" xr:uid="{00000000-0005-0000-0000-00002B320000}"/>
    <cellStyle name="0_BP-6131_Reports_2009_Q3 3 4 3 4" xfId="12858" xr:uid="{00000000-0005-0000-0000-00002C320000}"/>
    <cellStyle name="0_BP-6131_Reports_2009_Q3 3 4 4" xfId="12859" xr:uid="{00000000-0005-0000-0000-00002D320000}"/>
    <cellStyle name="0_BP-6131_Reports_2009_Q3 3 4 4 2" xfId="12860" xr:uid="{00000000-0005-0000-0000-00002E320000}"/>
    <cellStyle name="0_BP-6131_Reports_2009_Q3 3 4 4 2 2" xfId="12861" xr:uid="{00000000-0005-0000-0000-00002F320000}"/>
    <cellStyle name="0_BP-6131_Reports_2009_Q3 3 4 4 3" xfId="12862" xr:uid="{00000000-0005-0000-0000-000030320000}"/>
    <cellStyle name="0_BP-6131_Reports_2009_Q3 3 4 4 3 2" xfId="12863" xr:uid="{00000000-0005-0000-0000-000031320000}"/>
    <cellStyle name="0_BP-6131_Reports_2009_Q3 3 4 4 4" xfId="12864" xr:uid="{00000000-0005-0000-0000-000032320000}"/>
    <cellStyle name="0_BP-6131_Reports_2009_Q3 3 4 5" xfId="12865" xr:uid="{00000000-0005-0000-0000-000033320000}"/>
    <cellStyle name="0_BP-6131_Reports_2009_Q3 3 4 5 2" xfId="12866" xr:uid="{00000000-0005-0000-0000-000034320000}"/>
    <cellStyle name="0_BP-6131_Reports_2009_Q3 3 4 5 2 2" xfId="12867" xr:uid="{00000000-0005-0000-0000-000035320000}"/>
    <cellStyle name="0_BP-6131_Reports_2009_Q3 3 4 5 3" xfId="12868" xr:uid="{00000000-0005-0000-0000-000036320000}"/>
    <cellStyle name="0_BP-6131_Reports_2009_Q3 3 4 5 3 2" xfId="12869" xr:uid="{00000000-0005-0000-0000-000037320000}"/>
    <cellStyle name="0_BP-6131_Reports_2009_Q3 3 4 5 4" xfId="12870" xr:uid="{00000000-0005-0000-0000-000038320000}"/>
    <cellStyle name="0_BP-6131_Reports_2009_Q3 3 4 6" xfId="12871" xr:uid="{00000000-0005-0000-0000-000039320000}"/>
    <cellStyle name="0_BP-6131_Reports_2009_Q3 3 4 6 2" xfId="12872" xr:uid="{00000000-0005-0000-0000-00003A320000}"/>
    <cellStyle name="0_BP-6131_Reports_2009_Q3 3 4 7" xfId="12873" xr:uid="{00000000-0005-0000-0000-00003B320000}"/>
    <cellStyle name="0_BP-6131_Reports_2009_Q3 3 4 7 2" xfId="12874" xr:uid="{00000000-0005-0000-0000-00003C320000}"/>
    <cellStyle name="0_BP-6131_Reports_2009_Q3 3 4 8" xfId="12875" xr:uid="{00000000-0005-0000-0000-00003D320000}"/>
    <cellStyle name="0_BP-6131_Reports_2009_Q3 3 5" xfId="12876" xr:uid="{00000000-0005-0000-0000-00003E320000}"/>
    <cellStyle name="0_BP-6131_Reports_2009_Q3 3 5 2" xfId="12877" xr:uid="{00000000-0005-0000-0000-00003F320000}"/>
    <cellStyle name="0_BP-6131_Reports_2009_Q3 3 5 2 2" xfId="12878" xr:uid="{00000000-0005-0000-0000-000040320000}"/>
    <cellStyle name="0_BP-6131_Reports_2009_Q3 3 5 2 2 2" xfId="12879" xr:uid="{00000000-0005-0000-0000-000041320000}"/>
    <cellStyle name="0_BP-6131_Reports_2009_Q3 3 5 2 2 2 2" xfId="12880" xr:uid="{00000000-0005-0000-0000-000042320000}"/>
    <cellStyle name="0_BP-6131_Reports_2009_Q3 3 5 2 2 3" xfId="12881" xr:uid="{00000000-0005-0000-0000-000043320000}"/>
    <cellStyle name="0_BP-6131_Reports_2009_Q3 3 5 2 2 3 2" xfId="12882" xr:uid="{00000000-0005-0000-0000-000044320000}"/>
    <cellStyle name="0_BP-6131_Reports_2009_Q3 3 5 2 2 4" xfId="12883" xr:uid="{00000000-0005-0000-0000-000045320000}"/>
    <cellStyle name="0_BP-6131_Reports_2009_Q3 3 5 2 3" xfId="12884" xr:uid="{00000000-0005-0000-0000-000046320000}"/>
    <cellStyle name="0_BP-6131_Reports_2009_Q3 3 5 2 3 2" xfId="12885" xr:uid="{00000000-0005-0000-0000-000047320000}"/>
    <cellStyle name="0_BP-6131_Reports_2009_Q3 3 5 2 3 2 2" xfId="12886" xr:uid="{00000000-0005-0000-0000-000048320000}"/>
    <cellStyle name="0_BP-6131_Reports_2009_Q3 3 5 2 3 3" xfId="12887" xr:uid="{00000000-0005-0000-0000-000049320000}"/>
    <cellStyle name="0_BP-6131_Reports_2009_Q3 3 5 2 3 3 2" xfId="12888" xr:uid="{00000000-0005-0000-0000-00004A320000}"/>
    <cellStyle name="0_BP-6131_Reports_2009_Q3 3 5 2 3 4" xfId="12889" xr:uid="{00000000-0005-0000-0000-00004B320000}"/>
    <cellStyle name="0_BP-6131_Reports_2009_Q3 3 5 2 4" xfId="12890" xr:uid="{00000000-0005-0000-0000-00004C320000}"/>
    <cellStyle name="0_BP-6131_Reports_2009_Q3 3 5 2 4 2" xfId="12891" xr:uid="{00000000-0005-0000-0000-00004D320000}"/>
    <cellStyle name="0_BP-6131_Reports_2009_Q3 3 5 2 5" xfId="12892" xr:uid="{00000000-0005-0000-0000-00004E320000}"/>
    <cellStyle name="0_BP-6131_Reports_2009_Q3 3 5 2 5 2" xfId="12893" xr:uid="{00000000-0005-0000-0000-00004F320000}"/>
    <cellStyle name="0_BP-6131_Reports_2009_Q3 3 5 2 6" xfId="12894" xr:uid="{00000000-0005-0000-0000-000050320000}"/>
    <cellStyle name="0_BP-6131_Reports_2009_Q3 3 5 3" xfId="12895" xr:uid="{00000000-0005-0000-0000-000051320000}"/>
    <cellStyle name="0_BP-6131_Reports_2009_Q3 3 5 3 2" xfId="12896" xr:uid="{00000000-0005-0000-0000-000052320000}"/>
    <cellStyle name="0_BP-6131_Reports_2009_Q3 3 5 3 2 2" xfId="12897" xr:uid="{00000000-0005-0000-0000-000053320000}"/>
    <cellStyle name="0_BP-6131_Reports_2009_Q3 3 5 3 3" xfId="12898" xr:uid="{00000000-0005-0000-0000-000054320000}"/>
    <cellStyle name="0_BP-6131_Reports_2009_Q3 3 5 3 3 2" xfId="12899" xr:uid="{00000000-0005-0000-0000-000055320000}"/>
    <cellStyle name="0_BP-6131_Reports_2009_Q3 3 5 3 4" xfId="12900" xr:uid="{00000000-0005-0000-0000-000056320000}"/>
    <cellStyle name="0_BP-6131_Reports_2009_Q3 3 5 4" xfId="12901" xr:uid="{00000000-0005-0000-0000-000057320000}"/>
    <cellStyle name="0_BP-6131_Reports_2009_Q3 3 5 4 2" xfId="12902" xr:uid="{00000000-0005-0000-0000-000058320000}"/>
    <cellStyle name="0_BP-6131_Reports_2009_Q3 3 5 4 2 2" xfId="12903" xr:uid="{00000000-0005-0000-0000-000059320000}"/>
    <cellStyle name="0_BP-6131_Reports_2009_Q3 3 5 4 3" xfId="12904" xr:uid="{00000000-0005-0000-0000-00005A320000}"/>
    <cellStyle name="0_BP-6131_Reports_2009_Q3 3 5 4 3 2" xfId="12905" xr:uid="{00000000-0005-0000-0000-00005B320000}"/>
    <cellStyle name="0_BP-6131_Reports_2009_Q3 3 5 4 4" xfId="12906" xr:uid="{00000000-0005-0000-0000-00005C320000}"/>
    <cellStyle name="0_BP-6131_Reports_2009_Q3 3 5 5" xfId="12907" xr:uid="{00000000-0005-0000-0000-00005D320000}"/>
    <cellStyle name="0_BP-6131_Reports_2009_Q3 3 5 5 2" xfId="12908" xr:uid="{00000000-0005-0000-0000-00005E320000}"/>
    <cellStyle name="0_BP-6131_Reports_2009_Q3 3 5 5 2 2" xfId="12909" xr:uid="{00000000-0005-0000-0000-00005F320000}"/>
    <cellStyle name="0_BP-6131_Reports_2009_Q3 3 5 5 3" xfId="12910" xr:uid="{00000000-0005-0000-0000-000060320000}"/>
    <cellStyle name="0_BP-6131_Reports_2009_Q3 3 5 5 3 2" xfId="12911" xr:uid="{00000000-0005-0000-0000-000061320000}"/>
    <cellStyle name="0_BP-6131_Reports_2009_Q3 3 5 5 4" xfId="12912" xr:uid="{00000000-0005-0000-0000-000062320000}"/>
    <cellStyle name="0_BP-6131_Reports_2009_Q3 3 5 6" xfId="12913" xr:uid="{00000000-0005-0000-0000-000063320000}"/>
    <cellStyle name="0_BP-6131_Reports_2009_Q3 3 5 6 2" xfId="12914" xr:uid="{00000000-0005-0000-0000-000064320000}"/>
    <cellStyle name="0_BP-6131_Reports_2009_Q3 3 5 7" xfId="12915" xr:uid="{00000000-0005-0000-0000-000065320000}"/>
    <cellStyle name="0_BP-6131_Reports_2009_Q3 3 5 7 2" xfId="12916" xr:uid="{00000000-0005-0000-0000-000066320000}"/>
    <cellStyle name="0_BP-6131_Reports_2009_Q3 3 5 8" xfId="12917" xr:uid="{00000000-0005-0000-0000-000067320000}"/>
    <cellStyle name="0_BP-6131_Reports_2009_Q3 3 6" xfId="12918" xr:uid="{00000000-0005-0000-0000-000068320000}"/>
    <cellStyle name="0_BP-6131_Reports_2009_Q3 3 6 2" xfId="12919" xr:uid="{00000000-0005-0000-0000-000069320000}"/>
    <cellStyle name="0_BP-6131_Reports_2009_Q3 3 6 2 2" xfId="12920" xr:uid="{00000000-0005-0000-0000-00006A320000}"/>
    <cellStyle name="0_BP-6131_Reports_2009_Q3 3 6 2 2 2" xfId="12921" xr:uid="{00000000-0005-0000-0000-00006B320000}"/>
    <cellStyle name="0_BP-6131_Reports_2009_Q3 3 6 2 2 2 2" xfId="12922" xr:uid="{00000000-0005-0000-0000-00006C320000}"/>
    <cellStyle name="0_BP-6131_Reports_2009_Q3 3 6 2 2 3" xfId="12923" xr:uid="{00000000-0005-0000-0000-00006D320000}"/>
    <cellStyle name="0_BP-6131_Reports_2009_Q3 3 6 2 2 3 2" xfId="12924" xr:uid="{00000000-0005-0000-0000-00006E320000}"/>
    <cellStyle name="0_BP-6131_Reports_2009_Q3 3 6 2 2 4" xfId="12925" xr:uid="{00000000-0005-0000-0000-00006F320000}"/>
    <cellStyle name="0_BP-6131_Reports_2009_Q3 3 6 2 3" xfId="12926" xr:uid="{00000000-0005-0000-0000-000070320000}"/>
    <cellStyle name="0_BP-6131_Reports_2009_Q3 3 6 2 3 2" xfId="12927" xr:uid="{00000000-0005-0000-0000-000071320000}"/>
    <cellStyle name="0_BP-6131_Reports_2009_Q3 3 6 2 3 2 2" xfId="12928" xr:uid="{00000000-0005-0000-0000-000072320000}"/>
    <cellStyle name="0_BP-6131_Reports_2009_Q3 3 6 2 3 3" xfId="12929" xr:uid="{00000000-0005-0000-0000-000073320000}"/>
    <cellStyle name="0_BP-6131_Reports_2009_Q3 3 6 2 3 3 2" xfId="12930" xr:uid="{00000000-0005-0000-0000-000074320000}"/>
    <cellStyle name="0_BP-6131_Reports_2009_Q3 3 6 2 3 4" xfId="12931" xr:uid="{00000000-0005-0000-0000-000075320000}"/>
    <cellStyle name="0_BP-6131_Reports_2009_Q3 3 6 2 4" xfId="12932" xr:uid="{00000000-0005-0000-0000-000076320000}"/>
    <cellStyle name="0_BP-6131_Reports_2009_Q3 3 6 2 4 2" xfId="12933" xr:uid="{00000000-0005-0000-0000-000077320000}"/>
    <cellStyle name="0_BP-6131_Reports_2009_Q3 3 6 2 5" xfId="12934" xr:uid="{00000000-0005-0000-0000-000078320000}"/>
    <cellStyle name="0_BP-6131_Reports_2009_Q3 3 6 2 5 2" xfId="12935" xr:uid="{00000000-0005-0000-0000-000079320000}"/>
    <cellStyle name="0_BP-6131_Reports_2009_Q3 3 6 2 6" xfId="12936" xr:uid="{00000000-0005-0000-0000-00007A320000}"/>
    <cellStyle name="0_BP-6131_Reports_2009_Q3 3 6 3" xfId="12937" xr:uid="{00000000-0005-0000-0000-00007B320000}"/>
    <cellStyle name="0_BP-6131_Reports_2009_Q3 3 6 3 2" xfId="12938" xr:uid="{00000000-0005-0000-0000-00007C320000}"/>
    <cellStyle name="0_BP-6131_Reports_2009_Q3 3 6 3 2 2" xfId="12939" xr:uid="{00000000-0005-0000-0000-00007D320000}"/>
    <cellStyle name="0_BP-6131_Reports_2009_Q3 3 6 3 3" xfId="12940" xr:uid="{00000000-0005-0000-0000-00007E320000}"/>
    <cellStyle name="0_BP-6131_Reports_2009_Q3 3 6 3 3 2" xfId="12941" xr:uid="{00000000-0005-0000-0000-00007F320000}"/>
    <cellStyle name="0_BP-6131_Reports_2009_Q3 3 6 3 4" xfId="12942" xr:uid="{00000000-0005-0000-0000-000080320000}"/>
    <cellStyle name="0_BP-6131_Reports_2009_Q3 3 6 4" xfId="12943" xr:uid="{00000000-0005-0000-0000-000081320000}"/>
    <cellStyle name="0_BP-6131_Reports_2009_Q3 3 6 4 2" xfId="12944" xr:uid="{00000000-0005-0000-0000-000082320000}"/>
    <cellStyle name="0_BP-6131_Reports_2009_Q3 3 6 4 2 2" xfId="12945" xr:uid="{00000000-0005-0000-0000-000083320000}"/>
    <cellStyle name="0_BP-6131_Reports_2009_Q3 3 6 4 3" xfId="12946" xr:uid="{00000000-0005-0000-0000-000084320000}"/>
    <cellStyle name="0_BP-6131_Reports_2009_Q3 3 6 4 3 2" xfId="12947" xr:uid="{00000000-0005-0000-0000-000085320000}"/>
    <cellStyle name="0_BP-6131_Reports_2009_Q3 3 6 4 4" xfId="12948" xr:uid="{00000000-0005-0000-0000-000086320000}"/>
    <cellStyle name="0_BP-6131_Reports_2009_Q3 3 6 5" xfId="12949" xr:uid="{00000000-0005-0000-0000-000087320000}"/>
    <cellStyle name="0_BP-6131_Reports_2009_Q3 3 6 5 2" xfId="12950" xr:uid="{00000000-0005-0000-0000-000088320000}"/>
    <cellStyle name="0_BP-6131_Reports_2009_Q3 3 6 5 2 2" xfId="12951" xr:uid="{00000000-0005-0000-0000-000089320000}"/>
    <cellStyle name="0_BP-6131_Reports_2009_Q3 3 6 5 3" xfId="12952" xr:uid="{00000000-0005-0000-0000-00008A320000}"/>
    <cellStyle name="0_BP-6131_Reports_2009_Q3 3 6 5 3 2" xfId="12953" xr:uid="{00000000-0005-0000-0000-00008B320000}"/>
    <cellStyle name="0_BP-6131_Reports_2009_Q3 3 6 5 4" xfId="12954" xr:uid="{00000000-0005-0000-0000-00008C320000}"/>
    <cellStyle name="0_BP-6131_Reports_2009_Q3 3 6 6" xfId="12955" xr:uid="{00000000-0005-0000-0000-00008D320000}"/>
    <cellStyle name="0_BP-6131_Reports_2009_Q3 3 6 6 2" xfId="12956" xr:uid="{00000000-0005-0000-0000-00008E320000}"/>
    <cellStyle name="0_BP-6131_Reports_2009_Q3 3 6 7" xfId="12957" xr:uid="{00000000-0005-0000-0000-00008F320000}"/>
    <cellStyle name="0_BP-6131_Reports_2009_Q3 3 6 7 2" xfId="12958" xr:uid="{00000000-0005-0000-0000-000090320000}"/>
    <cellStyle name="0_BP-6131_Reports_2009_Q3 3 6 8" xfId="12959" xr:uid="{00000000-0005-0000-0000-000091320000}"/>
    <cellStyle name="0_BP-6131_Reports_2009_Q3 3 7" xfId="12960" xr:uid="{00000000-0005-0000-0000-000092320000}"/>
    <cellStyle name="0_BP-6131_Reports_2009_Q3 3 7 2" xfId="12961" xr:uid="{00000000-0005-0000-0000-000093320000}"/>
    <cellStyle name="0_BP-6131_Reports_2009_Q3 3 7 2 2" xfId="12962" xr:uid="{00000000-0005-0000-0000-000094320000}"/>
    <cellStyle name="0_BP-6131_Reports_2009_Q3 3 7 2 2 2" xfId="12963" xr:uid="{00000000-0005-0000-0000-000095320000}"/>
    <cellStyle name="0_BP-6131_Reports_2009_Q3 3 7 2 3" xfId="12964" xr:uid="{00000000-0005-0000-0000-000096320000}"/>
    <cellStyle name="0_BP-6131_Reports_2009_Q3 3 7 2 3 2" xfId="12965" xr:uid="{00000000-0005-0000-0000-000097320000}"/>
    <cellStyle name="0_BP-6131_Reports_2009_Q3 3 7 2 4" xfId="12966" xr:uid="{00000000-0005-0000-0000-000098320000}"/>
    <cellStyle name="0_BP-6131_Reports_2009_Q3 3 7 3" xfId="12967" xr:uid="{00000000-0005-0000-0000-000099320000}"/>
    <cellStyle name="0_BP-6131_Reports_2009_Q3 3 7 3 2" xfId="12968" xr:uid="{00000000-0005-0000-0000-00009A320000}"/>
    <cellStyle name="0_BP-6131_Reports_2009_Q3 3 7 3 2 2" xfId="12969" xr:uid="{00000000-0005-0000-0000-00009B320000}"/>
    <cellStyle name="0_BP-6131_Reports_2009_Q3 3 7 3 3" xfId="12970" xr:uid="{00000000-0005-0000-0000-00009C320000}"/>
    <cellStyle name="0_BP-6131_Reports_2009_Q3 3 7 3 3 2" xfId="12971" xr:uid="{00000000-0005-0000-0000-00009D320000}"/>
    <cellStyle name="0_BP-6131_Reports_2009_Q3 3 7 3 4" xfId="12972" xr:uid="{00000000-0005-0000-0000-00009E320000}"/>
    <cellStyle name="0_BP-6131_Reports_2009_Q3 3 7 4" xfId="12973" xr:uid="{00000000-0005-0000-0000-00009F320000}"/>
    <cellStyle name="0_BP-6131_Reports_2009_Q3 3 7 4 2" xfId="12974" xr:uid="{00000000-0005-0000-0000-0000A0320000}"/>
    <cellStyle name="0_BP-6131_Reports_2009_Q3 3 7 5" xfId="12975" xr:uid="{00000000-0005-0000-0000-0000A1320000}"/>
    <cellStyle name="0_BP-6131_Reports_2009_Q3 3 7 5 2" xfId="12976" xr:uid="{00000000-0005-0000-0000-0000A2320000}"/>
    <cellStyle name="0_BP-6131_Reports_2009_Q3 3 7 6" xfId="12977" xr:uid="{00000000-0005-0000-0000-0000A3320000}"/>
    <cellStyle name="0_BP-6131_Reports_2009_Q3 3 8" xfId="12978" xr:uid="{00000000-0005-0000-0000-0000A4320000}"/>
    <cellStyle name="0_BP-6131_Reports_2009_Q3 3 8 2" xfId="12979" xr:uid="{00000000-0005-0000-0000-0000A5320000}"/>
    <cellStyle name="0_BP-6131_Reports_2009_Q3 3 8 2 2" xfId="12980" xr:uid="{00000000-0005-0000-0000-0000A6320000}"/>
    <cellStyle name="0_BP-6131_Reports_2009_Q3 3 8 3" xfId="12981" xr:uid="{00000000-0005-0000-0000-0000A7320000}"/>
    <cellStyle name="0_BP-6131_Reports_2009_Q3 3 8 3 2" xfId="12982" xr:uid="{00000000-0005-0000-0000-0000A8320000}"/>
    <cellStyle name="0_BP-6131_Reports_2009_Q3 3 8 4" xfId="12983" xr:uid="{00000000-0005-0000-0000-0000A9320000}"/>
    <cellStyle name="0_BP-6131_Reports_2009_Q3 3 9" xfId="12984" xr:uid="{00000000-0005-0000-0000-0000AA320000}"/>
    <cellStyle name="0_BP-6131_Reports_2009_Q3 3 9 2" xfId="12985" xr:uid="{00000000-0005-0000-0000-0000AB320000}"/>
    <cellStyle name="0_BP-6131_Reports_2009_Q3 3 9 2 2" xfId="12986" xr:uid="{00000000-0005-0000-0000-0000AC320000}"/>
    <cellStyle name="0_BP-6131_Reports_2009_Q3 3 9 3" xfId="12987" xr:uid="{00000000-0005-0000-0000-0000AD320000}"/>
    <cellStyle name="0_BP-6131_Reports_2009_Q3 3 9 3 2" xfId="12988" xr:uid="{00000000-0005-0000-0000-0000AE320000}"/>
    <cellStyle name="0_BP-6131_Reports_2009_Q3 3 9 4" xfId="12989" xr:uid="{00000000-0005-0000-0000-0000AF320000}"/>
    <cellStyle name="0_BP-6131_Reports_2009_Q3 4" xfId="12990" xr:uid="{00000000-0005-0000-0000-0000B0320000}"/>
    <cellStyle name="0_BP-6131_Reports_2009_Q3 4 10" xfId="12991" xr:uid="{00000000-0005-0000-0000-0000B1320000}"/>
    <cellStyle name="0_BP-6131_Reports_2009_Q3 4 10 2" xfId="12992" xr:uid="{00000000-0005-0000-0000-0000B2320000}"/>
    <cellStyle name="0_BP-6131_Reports_2009_Q3 4 10 2 2" xfId="12993" xr:uid="{00000000-0005-0000-0000-0000B3320000}"/>
    <cellStyle name="0_BP-6131_Reports_2009_Q3 4 10 3" xfId="12994" xr:uid="{00000000-0005-0000-0000-0000B4320000}"/>
    <cellStyle name="0_BP-6131_Reports_2009_Q3 4 10 3 2" xfId="12995" xr:uid="{00000000-0005-0000-0000-0000B5320000}"/>
    <cellStyle name="0_BP-6131_Reports_2009_Q3 4 10 4" xfId="12996" xr:uid="{00000000-0005-0000-0000-0000B6320000}"/>
    <cellStyle name="0_BP-6131_Reports_2009_Q3 4 11" xfId="12997" xr:uid="{00000000-0005-0000-0000-0000B7320000}"/>
    <cellStyle name="0_BP-6131_Reports_2009_Q3 4 11 2" xfId="12998" xr:uid="{00000000-0005-0000-0000-0000B8320000}"/>
    <cellStyle name="0_BP-6131_Reports_2009_Q3 4 12" xfId="12999" xr:uid="{00000000-0005-0000-0000-0000B9320000}"/>
    <cellStyle name="0_BP-6131_Reports_2009_Q3 4 12 2" xfId="13000" xr:uid="{00000000-0005-0000-0000-0000BA320000}"/>
    <cellStyle name="0_BP-6131_Reports_2009_Q3 4 13" xfId="13001" xr:uid="{00000000-0005-0000-0000-0000BB320000}"/>
    <cellStyle name="0_BP-6131_Reports_2009_Q3 4 2" xfId="13002" xr:uid="{00000000-0005-0000-0000-0000BC320000}"/>
    <cellStyle name="0_BP-6131_Reports_2009_Q3 4 2 2" xfId="13003" xr:uid="{00000000-0005-0000-0000-0000BD320000}"/>
    <cellStyle name="0_BP-6131_Reports_2009_Q3 4 2 2 2" xfId="13004" xr:uid="{00000000-0005-0000-0000-0000BE320000}"/>
    <cellStyle name="0_BP-6131_Reports_2009_Q3 4 2 2 2 2" xfId="13005" xr:uid="{00000000-0005-0000-0000-0000BF320000}"/>
    <cellStyle name="0_BP-6131_Reports_2009_Q3 4 2 2 2 2 2" xfId="13006" xr:uid="{00000000-0005-0000-0000-0000C0320000}"/>
    <cellStyle name="0_BP-6131_Reports_2009_Q3 4 2 2 2 3" xfId="13007" xr:uid="{00000000-0005-0000-0000-0000C1320000}"/>
    <cellStyle name="0_BP-6131_Reports_2009_Q3 4 2 2 2 3 2" xfId="13008" xr:uid="{00000000-0005-0000-0000-0000C2320000}"/>
    <cellStyle name="0_BP-6131_Reports_2009_Q3 4 2 2 2 4" xfId="13009" xr:uid="{00000000-0005-0000-0000-0000C3320000}"/>
    <cellStyle name="0_BP-6131_Reports_2009_Q3 4 2 2 3" xfId="13010" xr:uid="{00000000-0005-0000-0000-0000C4320000}"/>
    <cellStyle name="0_BP-6131_Reports_2009_Q3 4 2 2 3 2" xfId="13011" xr:uid="{00000000-0005-0000-0000-0000C5320000}"/>
    <cellStyle name="0_BP-6131_Reports_2009_Q3 4 2 2 3 2 2" xfId="13012" xr:uid="{00000000-0005-0000-0000-0000C6320000}"/>
    <cellStyle name="0_BP-6131_Reports_2009_Q3 4 2 2 3 3" xfId="13013" xr:uid="{00000000-0005-0000-0000-0000C7320000}"/>
    <cellStyle name="0_BP-6131_Reports_2009_Q3 4 2 2 3 3 2" xfId="13014" xr:uid="{00000000-0005-0000-0000-0000C8320000}"/>
    <cellStyle name="0_BP-6131_Reports_2009_Q3 4 2 2 3 4" xfId="13015" xr:uid="{00000000-0005-0000-0000-0000C9320000}"/>
    <cellStyle name="0_BP-6131_Reports_2009_Q3 4 2 2 4" xfId="13016" xr:uid="{00000000-0005-0000-0000-0000CA320000}"/>
    <cellStyle name="0_BP-6131_Reports_2009_Q3 4 2 2 4 2" xfId="13017" xr:uid="{00000000-0005-0000-0000-0000CB320000}"/>
    <cellStyle name="0_BP-6131_Reports_2009_Q3 4 2 2 5" xfId="13018" xr:uid="{00000000-0005-0000-0000-0000CC320000}"/>
    <cellStyle name="0_BP-6131_Reports_2009_Q3 4 2 2 5 2" xfId="13019" xr:uid="{00000000-0005-0000-0000-0000CD320000}"/>
    <cellStyle name="0_BP-6131_Reports_2009_Q3 4 2 2 6" xfId="13020" xr:uid="{00000000-0005-0000-0000-0000CE320000}"/>
    <cellStyle name="0_BP-6131_Reports_2009_Q3 4 2 3" xfId="13021" xr:uid="{00000000-0005-0000-0000-0000CF320000}"/>
    <cellStyle name="0_BP-6131_Reports_2009_Q3 4 2 3 2" xfId="13022" xr:uid="{00000000-0005-0000-0000-0000D0320000}"/>
    <cellStyle name="0_BP-6131_Reports_2009_Q3 4 2 3 2 2" xfId="13023" xr:uid="{00000000-0005-0000-0000-0000D1320000}"/>
    <cellStyle name="0_BP-6131_Reports_2009_Q3 4 2 3 3" xfId="13024" xr:uid="{00000000-0005-0000-0000-0000D2320000}"/>
    <cellStyle name="0_BP-6131_Reports_2009_Q3 4 2 3 3 2" xfId="13025" xr:uid="{00000000-0005-0000-0000-0000D3320000}"/>
    <cellStyle name="0_BP-6131_Reports_2009_Q3 4 2 3 4" xfId="13026" xr:uid="{00000000-0005-0000-0000-0000D4320000}"/>
    <cellStyle name="0_BP-6131_Reports_2009_Q3 4 2 4" xfId="13027" xr:uid="{00000000-0005-0000-0000-0000D5320000}"/>
    <cellStyle name="0_BP-6131_Reports_2009_Q3 4 2 4 2" xfId="13028" xr:uid="{00000000-0005-0000-0000-0000D6320000}"/>
    <cellStyle name="0_BP-6131_Reports_2009_Q3 4 2 4 2 2" xfId="13029" xr:uid="{00000000-0005-0000-0000-0000D7320000}"/>
    <cellStyle name="0_BP-6131_Reports_2009_Q3 4 2 4 3" xfId="13030" xr:uid="{00000000-0005-0000-0000-0000D8320000}"/>
    <cellStyle name="0_BP-6131_Reports_2009_Q3 4 2 4 3 2" xfId="13031" xr:uid="{00000000-0005-0000-0000-0000D9320000}"/>
    <cellStyle name="0_BP-6131_Reports_2009_Q3 4 2 4 4" xfId="13032" xr:uid="{00000000-0005-0000-0000-0000DA320000}"/>
    <cellStyle name="0_BP-6131_Reports_2009_Q3 4 2 5" xfId="13033" xr:uid="{00000000-0005-0000-0000-0000DB320000}"/>
    <cellStyle name="0_BP-6131_Reports_2009_Q3 4 2 5 2" xfId="13034" xr:uid="{00000000-0005-0000-0000-0000DC320000}"/>
    <cellStyle name="0_BP-6131_Reports_2009_Q3 4 2 5 2 2" xfId="13035" xr:uid="{00000000-0005-0000-0000-0000DD320000}"/>
    <cellStyle name="0_BP-6131_Reports_2009_Q3 4 2 5 3" xfId="13036" xr:uid="{00000000-0005-0000-0000-0000DE320000}"/>
    <cellStyle name="0_BP-6131_Reports_2009_Q3 4 2 5 3 2" xfId="13037" xr:uid="{00000000-0005-0000-0000-0000DF320000}"/>
    <cellStyle name="0_BP-6131_Reports_2009_Q3 4 2 5 4" xfId="13038" xr:uid="{00000000-0005-0000-0000-0000E0320000}"/>
    <cellStyle name="0_BP-6131_Reports_2009_Q3 4 2 6" xfId="13039" xr:uid="{00000000-0005-0000-0000-0000E1320000}"/>
    <cellStyle name="0_BP-6131_Reports_2009_Q3 4 2 6 2" xfId="13040" xr:uid="{00000000-0005-0000-0000-0000E2320000}"/>
    <cellStyle name="0_BP-6131_Reports_2009_Q3 4 2 7" xfId="13041" xr:uid="{00000000-0005-0000-0000-0000E3320000}"/>
    <cellStyle name="0_BP-6131_Reports_2009_Q3 4 2 7 2" xfId="13042" xr:uid="{00000000-0005-0000-0000-0000E4320000}"/>
    <cellStyle name="0_BP-6131_Reports_2009_Q3 4 2 8" xfId="13043" xr:uid="{00000000-0005-0000-0000-0000E5320000}"/>
    <cellStyle name="0_BP-6131_Reports_2009_Q3 4 3" xfId="13044" xr:uid="{00000000-0005-0000-0000-0000E6320000}"/>
    <cellStyle name="0_BP-6131_Reports_2009_Q3 4 3 2" xfId="13045" xr:uid="{00000000-0005-0000-0000-0000E7320000}"/>
    <cellStyle name="0_BP-6131_Reports_2009_Q3 4 3 2 2" xfId="13046" xr:uid="{00000000-0005-0000-0000-0000E8320000}"/>
    <cellStyle name="0_BP-6131_Reports_2009_Q3 4 3 2 2 2" xfId="13047" xr:uid="{00000000-0005-0000-0000-0000E9320000}"/>
    <cellStyle name="0_BP-6131_Reports_2009_Q3 4 3 2 2 2 2" xfId="13048" xr:uid="{00000000-0005-0000-0000-0000EA320000}"/>
    <cellStyle name="0_BP-6131_Reports_2009_Q3 4 3 2 2 3" xfId="13049" xr:uid="{00000000-0005-0000-0000-0000EB320000}"/>
    <cellStyle name="0_BP-6131_Reports_2009_Q3 4 3 2 2 3 2" xfId="13050" xr:uid="{00000000-0005-0000-0000-0000EC320000}"/>
    <cellStyle name="0_BP-6131_Reports_2009_Q3 4 3 2 2 4" xfId="13051" xr:uid="{00000000-0005-0000-0000-0000ED320000}"/>
    <cellStyle name="0_BP-6131_Reports_2009_Q3 4 3 2 3" xfId="13052" xr:uid="{00000000-0005-0000-0000-0000EE320000}"/>
    <cellStyle name="0_BP-6131_Reports_2009_Q3 4 3 2 3 2" xfId="13053" xr:uid="{00000000-0005-0000-0000-0000EF320000}"/>
    <cellStyle name="0_BP-6131_Reports_2009_Q3 4 3 2 3 2 2" xfId="13054" xr:uid="{00000000-0005-0000-0000-0000F0320000}"/>
    <cellStyle name="0_BP-6131_Reports_2009_Q3 4 3 2 3 3" xfId="13055" xr:uid="{00000000-0005-0000-0000-0000F1320000}"/>
    <cellStyle name="0_BP-6131_Reports_2009_Q3 4 3 2 3 3 2" xfId="13056" xr:uid="{00000000-0005-0000-0000-0000F2320000}"/>
    <cellStyle name="0_BP-6131_Reports_2009_Q3 4 3 2 3 4" xfId="13057" xr:uid="{00000000-0005-0000-0000-0000F3320000}"/>
    <cellStyle name="0_BP-6131_Reports_2009_Q3 4 3 2 4" xfId="13058" xr:uid="{00000000-0005-0000-0000-0000F4320000}"/>
    <cellStyle name="0_BP-6131_Reports_2009_Q3 4 3 2 4 2" xfId="13059" xr:uid="{00000000-0005-0000-0000-0000F5320000}"/>
    <cellStyle name="0_BP-6131_Reports_2009_Q3 4 3 2 5" xfId="13060" xr:uid="{00000000-0005-0000-0000-0000F6320000}"/>
    <cellStyle name="0_BP-6131_Reports_2009_Q3 4 3 2 5 2" xfId="13061" xr:uid="{00000000-0005-0000-0000-0000F7320000}"/>
    <cellStyle name="0_BP-6131_Reports_2009_Q3 4 3 2 6" xfId="13062" xr:uid="{00000000-0005-0000-0000-0000F8320000}"/>
    <cellStyle name="0_BP-6131_Reports_2009_Q3 4 3 3" xfId="13063" xr:uid="{00000000-0005-0000-0000-0000F9320000}"/>
    <cellStyle name="0_BP-6131_Reports_2009_Q3 4 3 3 2" xfId="13064" xr:uid="{00000000-0005-0000-0000-0000FA320000}"/>
    <cellStyle name="0_BP-6131_Reports_2009_Q3 4 3 3 2 2" xfId="13065" xr:uid="{00000000-0005-0000-0000-0000FB320000}"/>
    <cellStyle name="0_BP-6131_Reports_2009_Q3 4 3 3 3" xfId="13066" xr:uid="{00000000-0005-0000-0000-0000FC320000}"/>
    <cellStyle name="0_BP-6131_Reports_2009_Q3 4 3 3 3 2" xfId="13067" xr:uid="{00000000-0005-0000-0000-0000FD320000}"/>
    <cellStyle name="0_BP-6131_Reports_2009_Q3 4 3 3 4" xfId="13068" xr:uid="{00000000-0005-0000-0000-0000FE320000}"/>
    <cellStyle name="0_BP-6131_Reports_2009_Q3 4 3 4" xfId="13069" xr:uid="{00000000-0005-0000-0000-0000FF320000}"/>
    <cellStyle name="0_BP-6131_Reports_2009_Q3 4 3 4 2" xfId="13070" xr:uid="{00000000-0005-0000-0000-000000330000}"/>
    <cellStyle name="0_BP-6131_Reports_2009_Q3 4 3 4 2 2" xfId="13071" xr:uid="{00000000-0005-0000-0000-000001330000}"/>
    <cellStyle name="0_BP-6131_Reports_2009_Q3 4 3 4 3" xfId="13072" xr:uid="{00000000-0005-0000-0000-000002330000}"/>
    <cellStyle name="0_BP-6131_Reports_2009_Q3 4 3 4 3 2" xfId="13073" xr:uid="{00000000-0005-0000-0000-000003330000}"/>
    <cellStyle name="0_BP-6131_Reports_2009_Q3 4 3 4 4" xfId="13074" xr:uid="{00000000-0005-0000-0000-000004330000}"/>
    <cellStyle name="0_BP-6131_Reports_2009_Q3 4 3 5" xfId="13075" xr:uid="{00000000-0005-0000-0000-000005330000}"/>
    <cellStyle name="0_BP-6131_Reports_2009_Q3 4 3 5 2" xfId="13076" xr:uid="{00000000-0005-0000-0000-000006330000}"/>
    <cellStyle name="0_BP-6131_Reports_2009_Q3 4 3 5 2 2" xfId="13077" xr:uid="{00000000-0005-0000-0000-000007330000}"/>
    <cellStyle name="0_BP-6131_Reports_2009_Q3 4 3 5 3" xfId="13078" xr:uid="{00000000-0005-0000-0000-000008330000}"/>
    <cellStyle name="0_BP-6131_Reports_2009_Q3 4 3 5 3 2" xfId="13079" xr:uid="{00000000-0005-0000-0000-000009330000}"/>
    <cellStyle name="0_BP-6131_Reports_2009_Q3 4 3 5 4" xfId="13080" xr:uid="{00000000-0005-0000-0000-00000A330000}"/>
    <cellStyle name="0_BP-6131_Reports_2009_Q3 4 3 6" xfId="13081" xr:uid="{00000000-0005-0000-0000-00000B330000}"/>
    <cellStyle name="0_BP-6131_Reports_2009_Q3 4 3 6 2" xfId="13082" xr:uid="{00000000-0005-0000-0000-00000C330000}"/>
    <cellStyle name="0_BP-6131_Reports_2009_Q3 4 3 7" xfId="13083" xr:uid="{00000000-0005-0000-0000-00000D330000}"/>
    <cellStyle name="0_BP-6131_Reports_2009_Q3 4 3 7 2" xfId="13084" xr:uid="{00000000-0005-0000-0000-00000E330000}"/>
    <cellStyle name="0_BP-6131_Reports_2009_Q3 4 3 8" xfId="13085" xr:uid="{00000000-0005-0000-0000-00000F330000}"/>
    <cellStyle name="0_BP-6131_Reports_2009_Q3 4 4" xfId="13086" xr:uid="{00000000-0005-0000-0000-000010330000}"/>
    <cellStyle name="0_BP-6131_Reports_2009_Q3 4 4 2" xfId="13087" xr:uid="{00000000-0005-0000-0000-000011330000}"/>
    <cellStyle name="0_BP-6131_Reports_2009_Q3 4 4 2 2" xfId="13088" xr:uid="{00000000-0005-0000-0000-000012330000}"/>
    <cellStyle name="0_BP-6131_Reports_2009_Q3 4 4 2 2 2" xfId="13089" xr:uid="{00000000-0005-0000-0000-000013330000}"/>
    <cellStyle name="0_BP-6131_Reports_2009_Q3 4 4 2 2 2 2" xfId="13090" xr:uid="{00000000-0005-0000-0000-000014330000}"/>
    <cellStyle name="0_BP-6131_Reports_2009_Q3 4 4 2 2 3" xfId="13091" xr:uid="{00000000-0005-0000-0000-000015330000}"/>
    <cellStyle name="0_BP-6131_Reports_2009_Q3 4 4 2 2 3 2" xfId="13092" xr:uid="{00000000-0005-0000-0000-000016330000}"/>
    <cellStyle name="0_BP-6131_Reports_2009_Q3 4 4 2 2 4" xfId="13093" xr:uid="{00000000-0005-0000-0000-000017330000}"/>
    <cellStyle name="0_BP-6131_Reports_2009_Q3 4 4 2 3" xfId="13094" xr:uid="{00000000-0005-0000-0000-000018330000}"/>
    <cellStyle name="0_BP-6131_Reports_2009_Q3 4 4 2 3 2" xfId="13095" xr:uid="{00000000-0005-0000-0000-000019330000}"/>
    <cellStyle name="0_BP-6131_Reports_2009_Q3 4 4 2 3 2 2" xfId="13096" xr:uid="{00000000-0005-0000-0000-00001A330000}"/>
    <cellStyle name="0_BP-6131_Reports_2009_Q3 4 4 2 3 3" xfId="13097" xr:uid="{00000000-0005-0000-0000-00001B330000}"/>
    <cellStyle name="0_BP-6131_Reports_2009_Q3 4 4 2 3 3 2" xfId="13098" xr:uid="{00000000-0005-0000-0000-00001C330000}"/>
    <cellStyle name="0_BP-6131_Reports_2009_Q3 4 4 2 3 4" xfId="13099" xr:uid="{00000000-0005-0000-0000-00001D330000}"/>
    <cellStyle name="0_BP-6131_Reports_2009_Q3 4 4 2 4" xfId="13100" xr:uid="{00000000-0005-0000-0000-00001E330000}"/>
    <cellStyle name="0_BP-6131_Reports_2009_Q3 4 4 2 4 2" xfId="13101" xr:uid="{00000000-0005-0000-0000-00001F330000}"/>
    <cellStyle name="0_BP-6131_Reports_2009_Q3 4 4 2 5" xfId="13102" xr:uid="{00000000-0005-0000-0000-000020330000}"/>
    <cellStyle name="0_BP-6131_Reports_2009_Q3 4 4 2 5 2" xfId="13103" xr:uid="{00000000-0005-0000-0000-000021330000}"/>
    <cellStyle name="0_BP-6131_Reports_2009_Q3 4 4 2 6" xfId="13104" xr:uid="{00000000-0005-0000-0000-000022330000}"/>
    <cellStyle name="0_BP-6131_Reports_2009_Q3 4 4 3" xfId="13105" xr:uid="{00000000-0005-0000-0000-000023330000}"/>
    <cellStyle name="0_BP-6131_Reports_2009_Q3 4 4 3 2" xfId="13106" xr:uid="{00000000-0005-0000-0000-000024330000}"/>
    <cellStyle name="0_BP-6131_Reports_2009_Q3 4 4 3 2 2" xfId="13107" xr:uid="{00000000-0005-0000-0000-000025330000}"/>
    <cellStyle name="0_BP-6131_Reports_2009_Q3 4 4 3 3" xfId="13108" xr:uid="{00000000-0005-0000-0000-000026330000}"/>
    <cellStyle name="0_BP-6131_Reports_2009_Q3 4 4 3 3 2" xfId="13109" xr:uid="{00000000-0005-0000-0000-000027330000}"/>
    <cellStyle name="0_BP-6131_Reports_2009_Q3 4 4 3 4" xfId="13110" xr:uid="{00000000-0005-0000-0000-000028330000}"/>
    <cellStyle name="0_BP-6131_Reports_2009_Q3 4 4 4" xfId="13111" xr:uid="{00000000-0005-0000-0000-000029330000}"/>
    <cellStyle name="0_BP-6131_Reports_2009_Q3 4 4 4 2" xfId="13112" xr:uid="{00000000-0005-0000-0000-00002A330000}"/>
    <cellStyle name="0_BP-6131_Reports_2009_Q3 4 4 4 2 2" xfId="13113" xr:uid="{00000000-0005-0000-0000-00002B330000}"/>
    <cellStyle name="0_BP-6131_Reports_2009_Q3 4 4 4 3" xfId="13114" xr:uid="{00000000-0005-0000-0000-00002C330000}"/>
    <cellStyle name="0_BP-6131_Reports_2009_Q3 4 4 4 3 2" xfId="13115" xr:uid="{00000000-0005-0000-0000-00002D330000}"/>
    <cellStyle name="0_BP-6131_Reports_2009_Q3 4 4 4 4" xfId="13116" xr:uid="{00000000-0005-0000-0000-00002E330000}"/>
    <cellStyle name="0_BP-6131_Reports_2009_Q3 4 4 5" xfId="13117" xr:uid="{00000000-0005-0000-0000-00002F330000}"/>
    <cellStyle name="0_BP-6131_Reports_2009_Q3 4 4 5 2" xfId="13118" xr:uid="{00000000-0005-0000-0000-000030330000}"/>
    <cellStyle name="0_BP-6131_Reports_2009_Q3 4 4 5 2 2" xfId="13119" xr:uid="{00000000-0005-0000-0000-000031330000}"/>
    <cellStyle name="0_BP-6131_Reports_2009_Q3 4 4 5 3" xfId="13120" xr:uid="{00000000-0005-0000-0000-000032330000}"/>
    <cellStyle name="0_BP-6131_Reports_2009_Q3 4 4 5 3 2" xfId="13121" xr:uid="{00000000-0005-0000-0000-000033330000}"/>
    <cellStyle name="0_BP-6131_Reports_2009_Q3 4 4 5 4" xfId="13122" xr:uid="{00000000-0005-0000-0000-000034330000}"/>
    <cellStyle name="0_BP-6131_Reports_2009_Q3 4 4 6" xfId="13123" xr:uid="{00000000-0005-0000-0000-000035330000}"/>
    <cellStyle name="0_BP-6131_Reports_2009_Q3 4 4 6 2" xfId="13124" xr:uid="{00000000-0005-0000-0000-000036330000}"/>
    <cellStyle name="0_BP-6131_Reports_2009_Q3 4 4 7" xfId="13125" xr:uid="{00000000-0005-0000-0000-000037330000}"/>
    <cellStyle name="0_BP-6131_Reports_2009_Q3 4 4 7 2" xfId="13126" xr:uid="{00000000-0005-0000-0000-000038330000}"/>
    <cellStyle name="0_BP-6131_Reports_2009_Q3 4 4 8" xfId="13127" xr:uid="{00000000-0005-0000-0000-000039330000}"/>
    <cellStyle name="0_BP-6131_Reports_2009_Q3 4 5" xfId="13128" xr:uid="{00000000-0005-0000-0000-00003A330000}"/>
    <cellStyle name="0_BP-6131_Reports_2009_Q3 4 5 2" xfId="13129" xr:uid="{00000000-0005-0000-0000-00003B330000}"/>
    <cellStyle name="0_BP-6131_Reports_2009_Q3 4 5 2 2" xfId="13130" xr:uid="{00000000-0005-0000-0000-00003C330000}"/>
    <cellStyle name="0_BP-6131_Reports_2009_Q3 4 5 2 2 2" xfId="13131" xr:uid="{00000000-0005-0000-0000-00003D330000}"/>
    <cellStyle name="0_BP-6131_Reports_2009_Q3 4 5 2 2 2 2" xfId="13132" xr:uid="{00000000-0005-0000-0000-00003E330000}"/>
    <cellStyle name="0_BP-6131_Reports_2009_Q3 4 5 2 2 3" xfId="13133" xr:uid="{00000000-0005-0000-0000-00003F330000}"/>
    <cellStyle name="0_BP-6131_Reports_2009_Q3 4 5 2 2 3 2" xfId="13134" xr:uid="{00000000-0005-0000-0000-000040330000}"/>
    <cellStyle name="0_BP-6131_Reports_2009_Q3 4 5 2 2 4" xfId="13135" xr:uid="{00000000-0005-0000-0000-000041330000}"/>
    <cellStyle name="0_BP-6131_Reports_2009_Q3 4 5 2 3" xfId="13136" xr:uid="{00000000-0005-0000-0000-000042330000}"/>
    <cellStyle name="0_BP-6131_Reports_2009_Q3 4 5 2 3 2" xfId="13137" xr:uid="{00000000-0005-0000-0000-000043330000}"/>
    <cellStyle name="0_BP-6131_Reports_2009_Q3 4 5 2 3 2 2" xfId="13138" xr:uid="{00000000-0005-0000-0000-000044330000}"/>
    <cellStyle name="0_BP-6131_Reports_2009_Q3 4 5 2 3 3" xfId="13139" xr:uid="{00000000-0005-0000-0000-000045330000}"/>
    <cellStyle name="0_BP-6131_Reports_2009_Q3 4 5 2 3 3 2" xfId="13140" xr:uid="{00000000-0005-0000-0000-000046330000}"/>
    <cellStyle name="0_BP-6131_Reports_2009_Q3 4 5 2 3 4" xfId="13141" xr:uid="{00000000-0005-0000-0000-000047330000}"/>
    <cellStyle name="0_BP-6131_Reports_2009_Q3 4 5 2 4" xfId="13142" xr:uid="{00000000-0005-0000-0000-000048330000}"/>
    <cellStyle name="0_BP-6131_Reports_2009_Q3 4 5 2 4 2" xfId="13143" xr:uid="{00000000-0005-0000-0000-000049330000}"/>
    <cellStyle name="0_BP-6131_Reports_2009_Q3 4 5 2 5" xfId="13144" xr:uid="{00000000-0005-0000-0000-00004A330000}"/>
    <cellStyle name="0_BP-6131_Reports_2009_Q3 4 5 2 5 2" xfId="13145" xr:uid="{00000000-0005-0000-0000-00004B330000}"/>
    <cellStyle name="0_BP-6131_Reports_2009_Q3 4 5 2 6" xfId="13146" xr:uid="{00000000-0005-0000-0000-00004C330000}"/>
    <cellStyle name="0_BP-6131_Reports_2009_Q3 4 5 3" xfId="13147" xr:uid="{00000000-0005-0000-0000-00004D330000}"/>
    <cellStyle name="0_BP-6131_Reports_2009_Q3 4 5 3 2" xfId="13148" xr:uid="{00000000-0005-0000-0000-00004E330000}"/>
    <cellStyle name="0_BP-6131_Reports_2009_Q3 4 5 3 2 2" xfId="13149" xr:uid="{00000000-0005-0000-0000-00004F330000}"/>
    <cellStyle name="0_BP-6131_Reports_2009_Q3 4 5 3 3" xfId="13150" xr:uid="{00000000-0005-0000-0000-000050330000}"/>
    <cellStyle name="0_BP-6131_Reports_2009_Q3 4 5 3 3 2" xfId="13151" xr:uid="{00000000-0005-0000-0000-000051330000}"/>
    <cellStyle name="0_BP-6131_Reports_2009_Q3 4 5 3 4" xfId="13152" xr:uid="{00000000-0005-0000-0000-000052330000}"/>
    <cellStyle name="0_BP-6131_Reports_2009_Q3 4 5 4" xfId="13153" xr:uid="{00000000-0005-0000-0000-000053330000}"/>
    <cellStyle name="0_BP-6131_Reports_2009_Q3 4 5 4 2" xfId="13154" xr:uid="{00000000-0005-0000-0000-000054330000}"/>
    <cellStyle name="0_BP-6131_Reports_2009_Q3 4 5 4 2 2" xfId="13155" xr:uid="{00000000-0005-0000-0000-000055330000}"/>
    <cellStyle name="0_BP-6131_Reports_2009_Q3 4 5 4 3" xfId="13156" xr:uid="{00000000-0005-0000-0000-000056330000}"/>
    <cellStyle name="0_BP-6131_Reports_2009_Q3 4 5 4 3 2" xfId="13157" xr:uid="{00000000-0005-0000-0000-000057330000}"/>
    <cellStyle name="0_BP-6131_Reports_2009_Q3 4 5 4 4" xfId="13158" xr:uid="{00000000-0005-0000-0000-000058330000}"/>
    <cellStyle name="0_BP-6131_Reports_2009_Q3 4 5 5" xfId="13159" xr:uid="{00000000-0005-0000-0000-000059330000}"/>
    <cellStyle name="0_BP-6131_Reports_2009_Q3 4 5 5 2" xfId="13160" xr:uid="{00000000-0005-0000-0000-00005A330000}"/>
    <cellStyle name="0_BP-6131_Reports_2009_Q3 4 5 5 2 2" xfId="13161" xr:uid="{00000000-0005-0000-0000-00005B330000}"/>
    <cellStyle name="0_BP-6131_Reports_2009_Q3 4 5 5 3" xfId="13162" xr:uid="{00000000-0005-0000-0000-00005C330000}"/>
    <cellStyle name="0_BP-6131_Reports_2009_Q3 4 5 5 3 2" xfId="13163" xr:uid="{00000000-0005-0000-0000-00005D330000}"/>
    <cellStyle name="0_BP-6131_Reports_2009_Q3 4 5 5 4" xfId="13164" xr:uid="{00000000-0005-0000-0000-00005E330000}"/>
    <cellStyle name="0_BP-6131_Reports_2009_Q3 4 5 6" xfId="13165" xr:uid="{00000000-0005-0000-0000-00005F330000}"/>
    <cellStyle name="0_BP-6131_Reports_2009_Q3 4 5 6 2" xfId="13166" xr:uid="{00000000-0005-0000-0000-000060330000}"/>
    <cellStyle name="0_BP-6131_Reports_2009_Q3 4 5 7" xfId="13167" xr:uid="{00000000-0005-0000-0000-000061330000}"/>
    <cellStyle name="0_BP-6131_Reports_2009_Q3 4 5 7 2" xfId="13168" xr:uid="{00000000-0005-0000-0000-000062330000}"/>
    <cellStyle name="0_BP-6131_Reports_2009_Q3 4 5 8" xfId="13169" xr:uid="{00000000-0005-0000-0000-000063330000}"/>
    <cellStyle name="0_BP-6131_Reports_2009_Q3 4 6" xfId="13170" xr:uid="{00000000-0005-0000-0000-000064330000}"/>
    <cellStyle name="0_BP-6131_Reports_2009_Q3 4 6 2" xfId="13171" xr:uid="{00000000-0005-0000-0000-000065330000}"/>
    <cellStyle name="0_BP-6131_Reports_2009_Q3 4 6 2 2" xfId="13172" xr:uid="{00000000-0005-0000-0000-000066330000}"/>
    <cellStyle name="0_BP-6131_Reports_2009_Q3 4 6 2 2 2" xfId="13173" xr:uid="{00000000-0005-0000-0000-000067330000}"/>
    <cellStyle name="0_BP-6131_Reports_2009_Q3 4 6 2 2 2 2" xfId="13174" xr:uid="{00000000-0005-0000-0000-000068330000}"/>
    <cellStyle name="0_BP-6131_Reports_2009_Q3 4 6 2 2 3" xfId="13175" xr:uid="{00000000-0005-0000-0000-000069330000}"/>
    <cellStyle name="0_BP-6131_Reports_2009_Q3 4 6 2 2 3 2" xfId="13176" xr:uid="{00000000-0005-0000-0000-00006A330000}"/>
    <cellStyle name="0_BP-6131_Reports_2009_Q3 4 6 2 2 4" xfId="13177" xr:uid="{00000000-0005-0000-0000-00006B330000}"/>
    <cellStyle name="0_BP-6131_Reports_2009_Q3 4 6 2 3" xfId="13178" xr:uid="{00000000-0005-0000-0000-00006C330000}"/>
    <cellStyle name="0_BP-6131_Reports_2009_Q3 4 6 2 3 2" xfId="13179" xr:uid="{00000000-0005-0000-0000-00006D330000}"/>
    <cellStyle name="0_BP-6131_Reports_2009_Q3 4 6 2 3 2 2" xfId="13180" xr:uid="{00000000-0005-0000-0000-00006E330000}"/>
    <cellStyle name="0_BP-6131_Reports_2009_Q3 4 6 2 3 3" xfId="13181" xr:uid="{00000000-0005-0000-0000-00006F330000}"/>
    <cellStyle name="0_BP-6131_Reports_2009_Q3 4 6 2 3 3 2" xfId="13182" xr:uid="{00000000-0005-0000-0000-000070330000}"/>
    <cellStyle name="0_BP-6131_Reports_2009_Q3 4 6 2 3 4" xfId="13183" xr:uid="{00000000-0005-0000-0000-000071330000}"/>
    <cellStyle name="0_BP-6131_Reports_2009_Q3 4 6 2 4" xfId="13184" xr:uid="{00000000-0005-0000-0000-000072330000}"/>
    <cellStyle name="0_BP-6131_Reports_2009_Q3 4 6 2 4 2" xfId="13185" xr:uid="{00000000-0005-0000-0000-000073330000}"/>
    <cellStyle name="0_BP-6131_Reports_2009_Q3 4 6 2 5" xfId="13186" xr:uid="{00000000-0005-0000-0000-000074330000}"/>
    <cellStyle name="0_BP-6131_Reports_2009_Q3 4 6 2 5 2" xfId="13187" xr:uid="{00000000-0005-0000-0000-000075330000}"/>
    <cellStyle name="0_BP-6131_Reports_2009_Q3 4 6 2 6" xfId="13188" xr:uid="{00000000-0005-0000-0000-000076330000}"/>
    <cellStyle name="0_BP-6131_Reports_2009_Q3 4 6 3" xfId="13189" xr:uid="{00000000-0005-0000-0000-000077330000}"/>
    <cellStyle name="0_BP-6131_Reports_2009_Q3 4 6 3 2" xfId="13190" xr:uid="{00000000-0005-0000-0000-000078330000}"/>
    <cellStyle name="0_BP-6131_Reports_2009_Q3 4 6 3 2 2" xfId="13191" xr:uid="{00000000-0005-0000-0000-000079330000}"/>
    <cellStyle name="0_BP-6131_Reports_2009_Q3 4 6 3 3" xfId="13192" xr:uid="{00000000-0005-0000-0000-00007A330000}"/>
    <cellStyle name="0_BP-6131_Reports_2009_Q3 4 6 3 3 2" xfId="13193" xr:uid="{00000000-0005-0000-0000-00007B330000}"/>
    <cellStyle name="0_BP-6131_Reports_2009_Q3 4 6 3 4" xfId="13194" xr:uid="{00000000-0005-0000-0000-00007C330000}"/>
    <cellStyle name="0_BP-6131_Reports_2009_Q3 4 6 4" xfId="13195" xr:uid="{00000000-0005-0000-0000-00007D330000}"/>
    <cellStyle name="0_BP-6131_Reports_2009_Q3 4 6 4 2" xfId="13196" xr:uid="{00000000-0005-0000-0000-00007E330000}"/>
    <cellStyle name="0_BP-6131_Reports_2009_Q3 4 6 4 2 2" xfId="13197" xr:uid="{00000000-0005-0000-0000-00007F330000}"/>
    <cellStyle name="0_BP-6131_Reports_2009_Q3 4 6 4 3" xfId="13198" xr:uid="{00000000-0005-0000-0000-000080330000}"/>
    <cellStyle name="0_BP-6131_Reports_2009_Q3 4 6 4 3 2" xfId="13199" xr:uid="{00000000-0005-0000-0000-000081330000}"/>
    <cellStyle name="0_BP-6131_Reports_2009_Q3 4 6 4 4" xfId="13200" xr:uid="{00000000-0005-0000-0000-000082330000}"/>
    <cellStyle name="0_BP-6131_Reports_2009_Q3 4 6 5" xfId="13201" xr:uid="{00000000-0005-0000-0000-000083330000}"/>
    <cellStyle name="0_BP-6131_Reports_2009_Q3 4 6 5 2" xfId="13202" xr:uid="{00000000-0005-0000-0000-000084330000}"/>
    <cellStyle name="0_BP-6131_Reports_2009_Q3 4 6 5 2 2" xfId="13203" xr:uid="{00000000-0005-0000-0000-000085330000}"/>
    <cellStyle name="0_BP-6131_Reports_2009_Q3 4 6 5 3" xfId="13204" xr:uid="{00000000-0005-0000-0000-000086330000}"/>
    <cellStyle name="0_BP-6131_Reports_2009_Q3 4 6 5 3 2" xfId="13205" xr:uid="{00000000-0005-0000-0000-000087330000}"/>
    <cellStyle name="0_BP-6131_Reports_2009_Q3 4 6 5 4" xfId="13206" xr:uid="{00000000-0005-0000-0000-000088330000}"/>
    <cellStyle name="0_BP-6131_Reports_2009_Q3 4 6 6" xfId="13207" xr:uid="{00000000-0005-0000-0000-000089330000}"/>
    <cellStyle name="0_BP-6131_Reports_2009_Q3 4 6 6 2" xfId="13208" xr:uid="{00000000-0005-0000-0000-00008A330000}"/>
    <cellStyle name="0_BP-6131_Reports_2009_Q3 4 6 7" xfId="13209" xr:uid="{00000000-0005-0000-0000-00008B330000}"/>
    <cellStyle name="0_BP-6131_Reports_2009_Q3 4 6 7 2" xfId="13210" xr:uid="{00000000-0005-0000-0000-00008C330000}"/>
    <cellStyle name="0_BP-6131_Reports_2009_Q3 4 6 8" xfId="13211" xr:uid="{00000000-0005-0000-0000-00008D330000}"/>
    <cellStyle name="0_BP-6131_Reports_2009_Q3 4 7" xfId="13212" xr:uid="{00000000-0005-0000-0000-00008E330000}"/>
    <cellStyle name="0_BP-6131_Reports_2009_Q3 4 7 2" xfId="13213" xr:uid="{00000000-0005-0000-0000-00008F330000}"/>
    <cellStyle name="0_BP-6131_Reports_2009_Q3 4 7 2 2" xfId="13214" xr:uid="{00000000-0005-0000-0000-000090330000}"/>
    <cellStyle name="0_BP-6131_Reports_2009_Q3 4 7 2 2 2" xfId="13215" xr:uid="{00000000-0005-0000-0000-000091330000}"/>
    <cellStyle name="0_BP-6131_Reports_2009_Q3 4 7 2 3" xfId="13216" xr:uid="{00000000-0005-0000-0000-000092330000}"/>
    <cellStyle name="0_BP-6131_Reports_2009_Q3 4 7 2 3 2" xfId="13217" xr:uid="{00000000-0005-0000-0000-000093330000}"/>
    <cellStyle name="0_BP-6131_Reports_2009_Q3 4 7 2 4" xfId="13218" xr:uid="{00000000-0005-0000-0000-000094330000}"/>
    <cellStyle name="0_BP-6131_Reports_2009_Q3 4 7 3" xfId="13219" xr:uid="{00000000-0005-0000-0000-000095330000}"/>
    <cellStyle name="0_BP-6131_Reports_2009_Q3 4 7 3 2" xfId="13220" xr:uid="{00000000-0005-0000-0000-000096330000}"/>
    <cellStyle name="0_BP-6131_Reports_2009_Q3 4 7 3 2 2" xfId="13221" xr:uid="{00000000-0005-0000-0000-000097330000}"/>
    <cellStyle name="0_BP-6131_Reports_2009_Q3 4 7 3 3" xfId="13222" xr:uid="{00000000-0005-0000-0000-000098330000}"/>
    <cellStyle name="0_BP-6131_Reports_2009_Q3 4 7 3 3 2" xfId="13223" xr:uid="{00000000-0005-0000-0000-000099330000}"/>
    <cellStyle name="0_BP-6131_Reports_2009_Q3 4 7 3 4" xfId="13224" xr:uid="{00000000-0005-0000-0000-00009A330000}"/>
    <cellStyle name="0_BP-6131_Reports_2009_Q3 4 7 4" xfId="13225" xr:uid="{00000000-0005-0000-0000-00009B330000}"/>
    <cellStyle name="0_BP-6131_Reports_2009_Q3 4 7 4 2" xfId="13226" xr:uid="{00000000-0005-0000-0000-00009C330000}"/>
    <cellStyle name="0_BP-6131_Reports_2009_Q3 4 7 5" xfId="13227" xr:uid="{00000000-0005-0000-0000-00009D330000}"/>
    <cellStyle name="0_BP-6131_Reports_2009_Q3 4 7 5 2" xfId="13228" xr:uid="{00000000-0005-0000-0000-00009E330000}"/>
    <cellStyle name="0_BP-6131_Reports_2009_Q3 4 7 6" xfId="13229" xr:uid="{00000000-0005-0000-0000-00009F330000}"/>
    <cellStyle name="0_BP-6131_Reports_2009_Q3 4 8" xfId="13230" xr:uid="{00000000-0005-0000-0000-0000A0330000}"/>
    <cellStyle name="0_BP-6131_Reports_2009_Q3 4 8 2" xfId="13231" xr:uid="{00000000-0005-0000-0000-0000A1330000}"/>
    <cellStyle name="0_BP-6131_Reports_2009_Q3 4 8 2 2" xfId="13232" xr:uid="{00000000-0005-0000-0000-0000A2330000}"/>
    <cellStyle name="0_BP-6131_Reports_2009_Q3 4 8 3" xfId="13233" xr:uid="{00000000-0005-0000-0000-0000A3330000}"/>
    <cellStyle name="0_BP-6131_Reports_2009_Q3 4 8 3 2" xfId="13234" xr:uid="{00000000-0005-0000-0000-0000A4330000}"/>
    <cellStyle name="0_BP-6131_Reports_2009_Q3 4 8 4" xfId="13235" xr:uid="{00000000-0005-0000-0000-0000A5330000}"/>
    <cellStyle name="0_BP-6131_Reports_2009_Q3 4 9" xfId="13236" xr:uid="{00000000-0005-0000-0000-0000A6330000}"/>
    <cellStyle name="0_BP-6131_Reports_2009_Q3 4 9 2" xfId="13237" xr:uid="{00000000-0005-0000-0000-0000A7330000}"/>
    <cellStyle name="0_BP-6131_Reports_2009_Q3 4 9 2 2" xfId="13238" xr:uid="{00000000-0005-0000-0000-0000A8330000}"/>
    <cellStyle name="0_BP-6131_Reports_2009_Q3 4 9 3" xfId="13239" xr:uid="{00000000-0005-0000-0000-0000A9330000}"/>
    <cellStyle name="0_BP-6131_Reports_2009_Q3 4 9 3 2" xfId="13240" xr:uid="{00000000-0005-0000-0000-0000AA330000}"/>
    <cellStyle name="0_BP-6131_Reports_2009_Q3 4 9 4" xfId="13241" xr:uid="{00000000-0005-0000-0000-0000AB330000}"/>
    <cellStyle name="0_BP-6131_Reports_2009_Q3 5" xfId="13242" xr:uid="{00000000-0005-0000-0000-0000AC330000}"/>
    <cellStyle name="0_BP-6131_Reports_2009_Q3 5 10" xfId="13243" xr:uid="{00000000-0005-0000-0000-0000AD330000}"/>
    <cellStyle name="0_BP-6131_Reports_2009_Q3 5 10 2" xfId="13244" xr:uid="{00000000-0005-0000-0000-0000AE330000}"/>
    <cellStyle name="0_BP-6131_Reports_2009_Q3 5 10 2 2" xfId="13245" xr:uid="{00000000-0005-0000-0000-0000AF330000}"/>
    <cellStyle name="0_BP-6131_Reports_2009_Q3 5 10 3" xfId="13246" xr:uid="{00000000-0005-0000-0000-0000B0330000}"/>
    <cellStyle name="0_BP-6131_Reports_2009_Q3 5 10 3 2" xfId="13247" xr:uid="{00000000-0005-0000-0000-0000B1330000}"/>
    <cellStyle name="0_BP-6131_Reports_2009_Q3 5 10 4" xfId="13248" xr:uid="{00000000-0005-0000-0000-0000B2330000}"/>
    <cellStyle name="0_BP-6131_Reports_2009_Q3 5 11" xfId="13249" xr:uid="{00000000-0005-0000-0000-0000B3330000}"/>
    <cellStyle name="0_BP-6131_Reports_2009_Q3 5 11 2" xfId="13250" xr:uid="{00000000-0005-0000-0000-0000B4330000}"/>
    <cellStyle name="0_BP-6131_Reports_2009_Q3 5 12" xfId="13251" xr:uid="{00000000-0005-0000-0000-0000B5330000}"/>
    <cellStyle name="0_BP-6131_Reports_2009_Q3 5 12 2" xfId="13252" xr:uid="{00000000-0005-0000-0000-0000B6330000}"/>
    <cellStyle name="0_BP-6131_Reports_2009_Q3 5 13" xfId="13253" xr:uid="{00000000-0005-0000-0000-0000B7330000}"/>
    <cellStyle name="0_BP-6131_Reports_2009_Q3 5 2" xfId="13254" xr:uid="{00000000-0005-0000-0000-0000B8330000}"/>
    <cellStyle name="0_BP-6131_Reports_2009_Q3 5 2 2" xfId="13255" xr:uid="{00000000-0005-0000-0000-0000B9330000}"/>
    <cellStyle name="0_BP-6131_Reports_2009_Q3 5 2 2 2" xfId="13256" xr:uid="{00000000-0005-0000-0000-0000BA330000}"/>
    <cellStyle name="0_BP-6131_Reports_2009_Q3 5 2 2 2 2" xfId="13257" xr:uid="{00000000-0005-0000-0000-0000BB330000}"/>
    <cellStyle name="0_BP-6131_Reports_2009_Q3 5 2 2 2 2 2" xfId="13258" xr:uid="{00000000-0005-0000-0000-0000BC330000}"/>
    <cellStyle name="0_BP-6131_Reports_2009_Q3 5 2 2 2 3" xfId="13259" xr:uid="{00000000-0005-0000-0000-0000BD330000}"/>
    <cellStyle name="0_BP-6131_Reports_2009_Q3 5 2 2 2 3 2" xfId="13260" xr:uid="{00000000-0005-0000-0000-0000BE330000}"/>
    <cellStyle name="0_BP-6131_Reports_2009_Q3 5 2 2 2 4" xfId="13261" xr:uid="{00000000-0005-0000-0000-0000BF330000}"/>
    <cellStyle name="0_BP-6131_Reports_2009_Q3 5 2 2 3" xfId="13262" xr:uid="{00000000-0005-0000-0000-0000C0330000}"/>
    <cellStyle name="0_BP-6131_Reports_2009_Q3 5 2 2 3 2" xfId="13263" xr:uid="{00000000-0005-0000-0000-0000C1330000}"/>
    <cellStyle name="0_BP-6131_Reports_2009_Q3 5 2 2 3 2 2" xfId="13264" xr:uid="{00000000-0005-0000-0000-0000C2330000}"/>
    <cellStyle name="0_BP-6131_Reports_2009_Q3 5 2 2 3 3" xfId="13265" xr:uid="{00000000-0005-0000-0000-0000C3330000}"/>
    <cellStyle name="0_BP-6131_Reports_2009_Q3 5 2 2 3 3 2" xfId="13266" xr:uid="{00000000-0005-0000-0000-0000C4330000}"/>
    <cellStyle name="0_BP-6131_Reports_2009_Q3 5 2 2 3 4" xfId="13267" xr:uid="{00000000-0005-0000-0000-0000C5330000}"/>
    <cellStyle name="0_BP-6131_Reports_2009_Q3 5 2 2 4" xfId="13268" xr:uid="{00000000-0005-0000-0000-0000C6330000}"/>
    <cellStyle name="0_BP-6131_Reports_2009_Q3 5 2 2 4 2" xfId="13269" xr:uid="{00000000-0005-0000-0000-0000C7330000}"/>
    <cellStyle name="0_BP-6131_Reports_2009_Q3 5 2 2 5" xfId="13270" xr:uid="{00000000-0005-0000-0000-0000C8330000}"/>
    <cellStyle name="0_BP-6131_Reports_2009_Q3 5 2 2 5 2" xfId="13271" xr:uid="{00000000-0005-0000-0000-0000C9330000}"/>
    <cellStyle name="0_BP-6131_Reports_2009_Q3 5 2 2 6" xfId="13272" xr:uid="{00000000-0005-0000-0000-0000CA330000}"/>
    <cellStyle name="0_BP-6131_Reports_2009_Q3 5 2 3" xfId="13273" xr:uid="{00000000-0005-0000-0000-0000CB330000}"/>
    <cellStyle name="0_BP-6131_Reports_2009_Q3 5 2 3 2" xfId="13274" xr:uid="{00000000-0005-0000-0000-0000CC330000}"/>
    <cellStyle name="0_BP-6131_Reports_2009_Q3 5 2 3 2 2" xfId="13275" xr:uid="{00000000-0005-0000-0000-0000CD330000}"/>
    <cellStyle name="0_BP-6131_Reports_2009_Q3 5 2 3 3" xfId="13276" xr:uid="{00000000-0005-0000-0000-0000CE330000}"/>
    <cellStyle name="0_BP-6131_Reports_2009_Q3 5 2 3 3 2" xfId="13277" xr:uid="{00000000-0005-0000-0000-0000CF330000}"/>
    <cellStyle name="0_BP-6131_Reports_2009_Q3 5 2 3 4" xfId="13278" xr:uid="{00000000-0005-0000-0000-0000D0330000}"/>
    <cellStyle name="0_BP-6131_Reports_2009_Q3 5 2 4" xfId="13279" xr:uid="{00000000-0005-0000-0000-0000D1330000}"/>
    <cellStyle name="0_BP-6131_Reports_2009_Q3 5 2 4 2" xfId="13280" xr:uid="{00000000-0005-0000-0000-0000D2330000}"/>
    <cellStyle name="0_BP-6131_Reports_2009_Q3 5 2 4 2 2" xfId="13281" xr:uid="{00000000-0005-0000-0000-0000D3330000}"/>
    <cellStyle name="0_BP-6131_Reports_2009_Q3 5 2 4 3" xfId="13282" xr:uid="{00000000-0005-0000-0000-0000D4330000}"/>
    <cellStyle name="0_BP-6131_Reports_2009_Q3 5 2 4 3 2" xfId="13283" xr:uid="{00000000-0005-0000-0000-0000D5330000}"/>
    <cellStyle name="0_BP-6131_Reports_2009_Q3 5 2 4 4" xfId="13284" xr:uid="{00000000-0005-0000-0000-0000D6330000}"/>
    <cellStyle name="0_BP-6131_Reports_2009_Q3 5 2 5" xfId="13285" xr:uid="{00000000-0005-0000-0000-0000D7330000}"/>
    <cellStyle name="0_BP-6131_Reports_2009_Q3 5 2 5 2" xfId="13286" xr:uid="{00000000-0005-0000-0000-0000D8330000}"/>
    <cellStyle name="0_BP-6131_Reports_2009_Q3 5 2 5 2 2" xfId="13287" xr:uid="{00000000-0005-0000-0000-0000D9330000}"/>
    <cellStyle name="0_BP-6131_Reports_2009_Q3 5 2 5 3" xfId="13288" xr:uid="{00000000-0005-0000-0000-0000DA330000}"/>
    <cellStyle name="0_BP-6131_Reports_2009_Q3 5 2 5 3 2" xfId="13289" xr:uid="{00000000-0005-0000-0000-0000DB330000}"/>
    <cellStyle name="0_BP-6131_Reports_2009_Q3 5 2 5 4" xfId="13290" xr:uid="{00000000-0005-0000-0000-0000DC330000}"/>
    <cellStyle name="0_BP-6131_Reports_2009_Q3 5 2 6" xfId="13291" xr:uid="{00000000-0005-0000-0000-0000DD330000}"/>
    <cellStyle name="0_BP-6131_Reports_2009_Q3 5 2 6 2" xfId="13292" xr:uid="{00000000-0005-0000-0000-0000DE330000}"/>
    <cellStyle name="0_BP-6131_Reports_2009_Q3 5 2 7" xfId="13293" xr:uid="{00000000-0005-0000-0000-0000DF330000}"/>
    <cellStyle name="0_BP-6131_Reports_2009_Q3 5 2 7 2" xfId="13294" xr:uid="{00000000-0005-0000-0000-0000E0330000}"/>
    <cellStyle name="0_BP-6131_Reports_2009_Q3 5 2 8" xfId="13295" xr:uid="{00000000-0005-0000-0000-0000E1330000}"/>
    <cellStyle name="0_BP-6131_Reports_2009_Q3 5 3" xfId="13296" xr:uid="{00000000-0005-0000-0000-0000E2330000}"/>
    <cellStyle name="0_BP-6131_Reports_2009_Q3 5 3 2" xfId="13297" xr:uid="{00000000-0005-0000-0000-0000E3330000}"/>
    <cellStyle name="0_BP-6131_Reports_2009_Q3 5 3 2 2" xfId="13298" xr:uid="{00000000-0005-0000-0000-0000E4330000}"/>
    <cellStyle name="0_BP-6131_Reports_2009_Q3 5 3 2 2 2" xfId="13299" xr:uid="{00000000-0005-0000-0000-0000E5330000}"/>
    <cellStyle name="0_BP-6131_Reports_2009_Q3 5 3 2 2 2 2" xfId="13300" xr:uid="{00000000-0005-0000-0000-0000E6330000}"/>
    <cellStyle name="0_BP-6131_Reports_2009_Q3 5 3 2 2 3" xfId="13301" xr:uid="{00000000-0005-0000-0000-0000E7330000}"/>
    <cellStyle name="0_BP-6131_Reports_2009_Q3 5 3 2 2 3 2" xfId="13302" xr:uid="{00000000-0005-0000-0000-0000E8330000}"/>
    <cellStyle name="0_BP-6131_Reports_2009_Q3 5 3 2 2 4" xfId="13303" xr:uid="{00000000-0005-0000-0000-0000E9330000}"/>
    <cellStyle name="0_BP-6131_Reports_2009_Q3 5 3 2 3" xfId="13304" xr:uid="{00000000-0005-0000-0000-0000EA330000}"/>
    <cellStyle name="0_BP-6131_Reports_2009_Q3 5 3 2 3 2" xfId="13305" xr:uid="{00000000-0005-0000-0000-0000EB330000}"/>
    <cellStyle name="0_BP-6131_Reports_2009_Q3 5 3 2 3 2 2" xfId="13306" xr:uid="{00000000-0005-0000-0000-0000EC330000}"/>
    <cellStyle name="0_BP-6131_Reports_2009_Q3 5 3 2 3 3" xfId="13307" xr:uid="{00000000-0005-0000-0000-0000ED330000}"/>
    <cellStyle name="0_BP-6131_Reports_2009_Q3 5 3 2 3 3 2" xfId="13308" xr:uid="{00000000-0005-0000-0000-0000EE330000}"/>
    <cellStyle name="0_BP-6131_Reports_2009_Q3 5 3 2 3 4" xfId="13309" xr:uid="{00000000-0005-0000-0000-0000EF330000}"/>
    <cellStyle name="0_BP-6131_Reports_2009_Q3 5 3 2 4" xfId="13310" xr:uid="{00000000-0005-0000-0000-0000F0330000}"/>
    <cellStyle name="0_BP-6131_Reports_2009_Q3 5 3 2 4 2" xfId="13311" xr:uid="{00000000-0005-0000-0000-0000F1330000}"/>
    <cellStyle name="0_BP-6131_Reports_2009_Q3 5 3 2 5" xfId="13312" xr:uid="{00000000-0005-0000-0000-0000F2330000}"/>
    <cellStyle name="0_BP-6131_Reports_2009_Q3 5 3 2 5 2" xfId="13313" xr:uid="{00000000-0005-0000-0000-0000F3330000}"/>
    <cellStyle name="0_BP-6131_Reports_2009_Q3 5 3 2 6" xfId="13314" xr:uid="{00000000-0005-0000-0000-0000F4330000}"/>
    <cellStyle name="0_BP-6131_Reports_2009_Q3 5 3 3" xfId="13315" xr:uid="{00000000-0005-0000-0000-0000F5330000}"/>
    <cellStyle name="0_BP-6131_Reports_2009_Q3 5 3 3 2" xfId="13316" xr:uid="{00000000-0005-0000-0000-0000F6330000}"/>
    <cellStyle name="0_BP-6131_Reports_2009_Q3 5 3 3 2 2" xfId="13317" xr:uid="{00000000-0005-0000-0000-0000F7330000}"/>
    <cellStyle name="0_BP-6131_Reports_2009_Q3 5 3 3 3" xfId="13318" xr:uid="{00000000-0005-0000-0000-0000F8330000}"/>
    <cellStyle name="0_BP-6131_Reports_2009_Q3 5 3 3 3 2" xfId="13319" xr:uid="{00000000-0005-0000-0000-0000F9330000}"/>
    <cellStyle name="0_BP-6131_Reports_2009_Q3 5 3 3 4" xfId="13320" xr:uid="{00000000-0005-0000-0000-0000FA330000}"/>
    <cellStyle name="0_BP-6131_Reports_2009_Q3 5 3 4" xfId="13321" xr:uid="{00000000-0005-0000-0000-0000FB330000}"/>
    <cellStyle name="0_BP-6131_Reports_2009_Q3 5 3 4 2" xfId="13322" xr:uid="{00000000-0005-0000-0000-0000FC330000}"/>
    <cellStyle name="0_BP-6131_Reports_2009_Q3 5 3 4 2 2" xfId="13323" xr:uid="{00000000-0005-0000-0000-0000FD330000}"/>
    <cellStyle name="0_BP-6131_Reports_2009_Q3 5 3 4 3" xfId="13324" xr:uid="{00000000-0005-0000-0000-0000FE330000}"/>
    <cellStyle name="0_BP-6131_Reports_2009_Q3 5 3 4 3 2" xfId="13325" xr:uid="{00000000-0005-0000-0000-0000FF330000}"/>
    <cellStyle name="0_BP-6131_Reports_2009_Q3 5 3 4 4" xfId="13326" xr:uid="{00000000-0005-0000-0000-000000340000}"/>
    <cellStyle name="0_BP-6131_Reports_2009_Q3 5 3 5" xfId="13327" xr:uid="{00000000-0005-0000-0000-000001340000}"/>
    <cellStyle name="0_BP-6131_Reports_2009_Q3 5 3 5 2" xfId="13328" xr:uid="{00000000-0005-0000-0000-000002340000}"/>
    <cellStyle name="0_BP-6131_Reports_2009_Q3 5 3 5 2 2" xfId="13329" xr:uid="{00000000-0005-0000-0000-000003340000}"/>
    <cellStyle name="0_BP-6131_Reports_2009_Q3 5 3 5 3" xfId="13330" xr:uid="{00000000-0005-0000-0000-000004340000}"/>
    <cellStyle name="0_BP-6131_Reports_2009_Q3 5 3 5 3 2" xfId="13331" xr:uid="{00000000-0005-0000-0000-000005340000}"/>
    <cellStyle name="0_BP-6131_Reports_2009_Q3 5 3 5 4" xfId="13332" xr:uid="{00000000-0005-0000-0000-000006340000}"/>
    <cellStyle name="0_BP-6131_Reports_2009_Q3 5 3 6" xfId="13333" xr:uid="{00000000-0005-0000-0000-000007340000}"/>
    <cellStyle name="0_BP-6131_Reports_2009_Q3 5 3 6 2" xfId="13334" xr:uid="{00000000-0005-0000-0000-000008340000}"/>
    <cellStyle name="0_BP-6131_Reports_2009_Q3 5 3 7" xfId="13335" xr:uid="{00000000-0005-0000-0000-000009340000}"/>
    <cellStyle name="0_BP-6131_Reports_2009_Q3 5 3 7 2" xfId="13336" xr:uid="{00000000-0005-0000-0000-00000A340000}"/>
    <cellStyle name="0_BP-6131_Reports_2009_Q3 5 3 8" xfId="13337" xr:uid="{00000000-0005-0000-0000-00000B340000}"/>
    <cellStyle name="0_BP-6131_Reports_2009_Q3 5 4" xfId="13338" xr:uid="{00000000-0005-0000-0000-00000C340000}"/>
    <cellStyle name="0_BP-6131_Reports_2009_Q3 5 4 2" xfId="13339" xr:uid="{00000000-0005-0000-0000-00000D340000}"/>
    <cellStyle name="0_BP-6131_Reports_2009_Q3 5 4 2 2" xfId="13340" xr:uid="{00000000-0005-0000-0000-00000E340000}"/>
    <cellStyle name="0_BP-6131_Reports_2009_Q3 5 4 2 2 2" xfId="13341" xr:uid="{00000000-0005-0000-0000-00000F340000}"/>
    <cellStyle name="0_BP-6131_Reports_2009_Q3 5 4 2 2 2 2" xfId="13342" xr:uid="{00000000-0005-0000-0000-000010340000}"/>
    <cellStyle name="0_BP-6131_Reports_2009_Q3 5 4 2 2 3" xfId="13343" xr:uid="{00000000-0005-0000-0000-000011340000}"/>
    <cellStyle name="0_BP-6131_Reports_2009_Q3 5 4 2 2 3 2" xfId="13344" xr:uid="{00000000-0005-0000-0000-000012340000}"/>
    <cellStyle name="0_BP-6131_Reports_2009_Q3 5 4 2 2 4" xfId="13345" xr:uid="{00000000-0005-0000-0000-000013340000}"/>
    <cellStyle name="0_BP-6131_Reports_2009_Q3 5 4 2 3" xfId="13346" xr:uid="{00000000-0005-0000-0000-000014340000}"/>
    <cellStyle name="0_BP-6131_Reports_2009_Q3 5 4 2 3 2" xfId="13347" xr:uid="{00000000-0005-0000-0000-000015340000}"/>
    <cellStyle name="0_BP-6131_Reports_2009_Q3 5 4 2 3 2 2" xfId="13348" xr:uid="{00000000-0005-0000-0000-000016340000}"/>
    <cellStyle name="0_BP-6131_Reports_2009_Q3 5 4 2 3 3" xfId="13349" xr:uid="{00000000-0005-0000-0000-000017340000}"/>
    <cellStyle name="0_BP-6131_Reports_2009_Q3 5 4 2 3 3 2" xfId="13350" xr:uid="{00000000-0005-0000-0000-000018340000}"/>
    <cellStyle name="0_BP-6131_Reports_2009_Q3 5 4 2 3 4" xfId="13351" xr:uid="{00000000-0005-0000-0000-000019340000}"/>
    <cellStyle name="0_BP-6131_Reports_2009_Q3 5 4 2 4" xfId="13352" xr:uid="{00000000-0005-0000-0000-00001A340000}"/>
    <cellStyle name="0_BP-6131_Reports_2009_Q3 5 4 2 4 2" xfId="13353" xr:uid="{00000000-0005-0000-0000-00001B340000}"/>
    <cellStyle name="0_BP-6131_Reports_2009_Q3 5 4 2 5" xfId="13354" xr:uid="{00000000-0005-0000-0000-00001C340000}"/>
    <cellStyle name="0_BP-6131_Reports_2009_Q3 5 4 2 5 2" xfId="13355" xr:uid="{00000000-0005-0000-0000-00001D340000}"/>
    <cellStyle name="0_BP-6131_Reports_2009_Q3 5 4 2 6" xfId="13356" xr:uid="{00000000-0005-0000-0000-00001E340000}"/>
    <cellStyle name="0_BP-6131_Reports_2009_Q3 5 4 3" xfId="13357" xr:uid="{00000000-0005-0000-0000-00001F340000}"/>
    <cellStyle name="0_BP-6131_Reports_2009_Q3 5 4 3 2" xfId="13358" xr:uid="{00000000-0005-0000-0000-000020340000}"/>
    <cellStyle name="0_BP-6131_Reports_2009_Q3 5 4 3 2 2" xfId="13359" xr:uid="{00000000-0005-0000-0000-000021340000}"/>
    <cellStyle name="0_BP-6131_Reports_2009_Q3 5 4 3 3" xfId="13360" xr:uid="{00000000-0005-0000-0000-000022340000}"/>
    <cellStyle name="0_BP-6131_Reports_2009_Q3 5 4 3 3 2" xfId="13361" xr:uid="{00000000-0005-0000-0000-000023340000}"/>
    <cellStyle name="0_BP-6131_Reports_2009_Q3 5 4 3 4" xfId="13362" xr:uid="{00000000-0005-0000-0000-000024340000}"/>
    <cellStyle name="0_BP-6131_Reports_2009_Q3 5 4 4" xfId="13363" xr:uid="{00000000-0005-0000-0000-000025340000}"/>
    <cellStyle name="0_BP-6131_Reports_2009_Q3 5 4 4 2" xfId="13364" xr:uid="{00000000-0005-0000-0000-000026340000}"/>
    <cellStyle name="0_BP-6131_Reports_2009_Q3 5 4 4 2 2" xfId="13365" xr:uid="{00000000-0005-0000-0000-000027340000}"/>
    <cellStyle name="0_BP-6131_Reports_2009_Q3 5 4 4 3" xfId="13366" xr:uid="{00000000-0005-0000-0000-000028340000}"/>
    <cellStyle name="0_BP-6131_Reports_2009_Q3 5 4 4 3 2" xfId="13367" xr:uid="{00000000-0005-0000-0000-000029340000}"/>
    <cellStyle name="0_BP-6131_Reports_2009_Q3 5 4 4 4" xfId="13368" xr:uid="{00000000-0005-0000-0000-00002A340000}"/>
    <cellStyle name="0_BP-6131_Reports_2009_Q3 5 4 5" xfId="13369" xr:uid="{00000000-0005-0000-0000-00002B340000}"/>
    <cellStyle name="0_BP-6131_Reports_2009_Q3 5 4 5 2" xfId="13370" xr:uid="{00000000-0005-0000-0000-00002C340000}"/>
    <cellStyle name="0_BP-6131_Reports_2009_Q3 5 4 5 2 2" xfId="13371" xr:uid="{00000000-0005-0000-0000-00002D340000}"/>
    <cellStyle name="0_BP-6131_Reports_2009_Q3 5 4 5 3" xfId="13372" xr:uid="{00000000-0005-0000-0000-00002E340000}"/>
    <cellStyle name="0_BP-6131_Reports_2009_Q3 5 4 5 3 2" xfId="13373" xr:uid="{00000000-0005-0000-0000-00002F340000}"/>
    <cellStyle name="0_BP-6131_Reports_2009_Q3 5 4 5 4" xfId="13374" xr:uid="{00000000-0005-0000-0000-000030340000}"/>
    <cellStyle name="0_BP-6131_Reports_2009_Q3 5 4 6" xfId="13375" xr:uid="{00000000-0005-0000-0000-000031340000}"/>
    <cellStyle name="0_BP-6131_Reports_2009_Q3 5 4 6 2" xfId="13376" xr:uid="{00000000-0005-0000-0000-000032340000}"/>
    <cellStyle name="0_BP-6131_Reports_2009_Q3 5 4 7" xfId="13377" xr:uid="{00000000-0005-0000-0000-000033340000}"/>
    <cellStyle name="0_BP-6131_Reports_2009_Q3 5 4 7 2" xfId="13378" xr:uid="{00000000-0005-0000-0000-000034340000}"/>
    <cellStyle name="0_BP-6131_Reports_2009_Q3 5 4 8" xfId="13379" xr:uid="{00000000-0005-0000-0000-000035340000}"/>
    <cellStyle name="0_BP-6131_Reports_2009_Q3 5 5" xfId="13380" xr:uid="{00000000-0005-0000-0000-000036340000}"/>
    <cellStyle name="0_BP-6131_Reports_2009_Q3 5 5 2" xfId="13381" xr:uid="{00000000-0005-0000-0000-000037340000}"/>
    <cellStyle name="0_BP-6131_Reports_2009_Q3 5 5 2 2" xfId="13382" xr:uid="{00000000-0005-0000-0000-000038340000}"/>
    <cellStyle name="0_BP-6131_Reports_2009_Q3 5 5 2 2 2" xfId="13383" xr:uid="{00000000-0005-0000-0000-000039340000}"/>
    <cellStyle name="0_BP-6131_Reports_2009_Q3 5 5 2 2 2 2" xfId="13384" xr:uid="{00000000-0005-0000-0000-00003A340000}"/>
    <cellStyle name="0_BP-6131_Reports_2009_Q3 5 5 2 2 3" xfId="13385" xr:uid="{00000000-0005-0000-0000-00003B340000}"/>
    <cellStyle name="0_BP-6131_Reports_2009_Q3 5 5 2 2 3 2" xfId="13386" xr:uid="{00000000-0005-0000-0000-00003C340000}"/>
    <cellStyle name="0_BP-6131_Reports_2009_Q3 5 5 2 2 4" xfId="13387" xr:uid="{00000000-0005-0000-0000-00003D340000}"/>
    <cellStyle name="0_BP-6131_Reports_2009_Q3 5 5 2 3" xfId="13388" xr:uid="{00000000-0005-0000-0000-00003E340000}"/>
    <cellStyle name="0_BP-6131_Reports_2009_Q3 5 5 2 3 2" xfId="13389" xr:uid="{00000000-0005-0000-0000-00003F340000}"/>
    <cellStyle name="0_BP-6131_Reports_2009_Q3 5 5 2 3 2 2" xfId="13390" xr:uid="{00000000-0005-0000-0000-000040340000}"/>
    <cellStyle name="0_BP-6131_Reports_2009_Q3 5 5 2 3 3" xfId="13391" xr:uid="{00000000-0005-0000-0000-000041340000}"/>
    <cellStyle name="0_BP-6131_Reports_2009_Q3 5 5 2 3 3 2" xfId="13392" xr:uid="{00000000-0005-0000-0000-000042340000}"/>
    <cellStyle name="0_BP-6131_Reports_2009_Q3 5 5 2 3 4" xfId="13393" xr:uid="{00000000-0005-0000-0000-000043340000}"/>
    <cellStyle name="0_BP-6131_Reports_2009_Q3 5 5 2 4" xfId="13394" xr:uid="{00000000-0005-0000-0000-000044340000}"/>
    <cellStyle name="0_BP-6131_Reports_2009_Q3 5 5 2 4 2" xfId="13395" xr:uid="{00000000-0005-0000-0000-000045340000}"/>
    <cellStyle name="0_BP-6131_Reports_2009_Q3 5 5 2 5" xfId="13396" xr:uid="{00000000-0005-0000-0000-000046340000}"/>
    <cellStyle name="0_BP-6131_Reports_2009_Q3 5 5 2 5 2" xfId="13397" xr:uid="{00000000-0005-0000-0000-000047340000}"/>
    <cellStyle name="0_BP-6131_Reports_2009_Q3 5 5 2 6" xfId="13398" xr:uid="{00000000-0005-0000-0000-000048340000}"/>
    <cellStyle name="0_BP-6131_Reports_2009_Q3 5 5 3" xfId="13399" xr:uid="{00000000-0005-0000-0000-000049340000}"/>
    <cellStyle name="0_BP-6131_Reports_2009_Q3 5 5 3 2" xfId="13400" xr:uid="{00000000-0005-0000-0000-00004A340000}"/>
    <cellStyle name="0_BP-6131_Reports_2009_Q3 5 5 3 2 2" xfId="13401" xr:uid="{00000000-0005-0000-0000-00004B340000}"/>
    <cellStyle name="0_BP-6131_Reports_2009_Q3 5 5 3 3" xfId="13402" xr:uid="{00000000-0005-0000-0000-00004C340000}"/>
    <cellStyle name="0_BP-6131_Reports_2009_Q3 5 5 3 3 2" xfId="13403" xr:uid="{00000000-0005-0000-0000-00004D340000}"/>
    <cellStyle name="0_BP-6131_Reports_2009_Q3 5 5 3 4" xfId="13404" xr:uid="{00000000-0005-0000-0000-00004E340000}"/>
    <cellStyle name="0_BP-6131_Reports_2009_Q3 5 5 4" xfId="13405" xr:uid="{00000000-0005-0000-0000-00004F340000}"/>
    <cellStyle name="0_BP-6131_Reports_2009_Q3 5 5 4 2" xfId="13406" xr:uid="{00000000-0005-0000-0000-000050340000}"/>
    <cellStyle name="0_BP-6131_Reports_2009_Q3 5 5 4 2 2" xfId="13407" xr:uid="{00000000-0005-0000-0000-000051340000}"/>
    <cellStyle name="0_BP-6131_Reports_2009_Q3 5 5 4 3" xfId="13408" xr:uid="{00000000-0005-0000-0000-000052340000}"/>
    <cellStyle name="0_BP-6131_Reports_2009_Q3 5 5 4 3 2" xfId="13409" xr:uid="{00000000-0005-0000-0000-000053340000}"/>
    <cellStyle name="0_BP-6131_Reports_2009_Q3 5 5 4 4" xfId="13410" xr:uid="{00000000-0005-0000-0000-000054340000}"/>
    <cellStyle name="0_BP-6131_Reports_2009_Q3 5 5 5" xfId="13411" xr:uid="{00000000-0005-0000-0000-000055340000}"/>
    <cellStyle name="0_BP-6131_Reports_2009_Q3 5 5 5 2" xfId="13412" xr:uid="{00000000-0005-0000-0000-000056340000}"/>
    <cellStyle name="0_BP-6131_Reports_2009_Q3 5 5 5 2 2" xfId="13413" xr:uid="{00000000-0005-0000-0000-000057340000}"/>
    <cellStyle name="0_BP-6131_Reports_2009_Q3 5 5 5 3" xfId="13414" xr:uid="{00000000-0005-0000-0000-000058340000}"/>
    <cellStyle name="0_BP-6131_Reports_2009_Q3 5 5 5 3 2" xfId="13415" xr:uid="{00000000-0005-0000-0000-000059340000}"/>
    <cellStyle name="0_BP-6131_Reports_2009_Q3 5 5 5 4" xfId="13416" xr:uid="{00000000-0005-0000-0000-00005A340000}"/>
    <cellStyle name="0_BP-6131_Reports_2009_Q3 5 5 6" xfId="13417" xr:uid="{00000000-0005-0000-0000-00005B340000}"/>
    <cellStyle name="0_BP-6131_Reports_2009_Q3 5 5 6 2" xfId="13418" xr:uid="{00000000-0005-0000-0000-00005C340000}"/>
    <cellStyle name="0_BP-6131_Reports_2009_Q3 5 5 7" xfId="13419" xr:uid="{00000000-0005-0000-0000-00005D340000}"/>
    <cellStyle name="0_BP-6131_Reports_2009_Q3 5 5 7 2" xfId="13420" xr:uid="{00000000-0005-0000-0000-00005E340000}"/>
    <cellStyle name="0_BP-6131_Reports_2009_Q3 5 5 8" xfId="13421" xr:uid="{00000000-0005-0000-0000-00005F340000}"/>
    <cellStyle name="0_BP-6131_Reports_2009_Q3 5 6" xfId="13422" xr:uid="{00000000-0005-0000-0000-000060340000}"/>
    <cellStyle name="0_BP-6131_Reports_2009_Q3 5 6 2" xfId="13423" xr:uid="{00000000-0005-0000-0000-000061340000}"/>
    <cellStyle name="0_BP-6131_Reports_2009_Q3 5 6 2 2" xfId="13424" xr:uid="{00000000-0005-0000-0000-000062340000}"/>
    <cellStyle name="0_BP-6131_Reports_2009_Q3 5 6 2 2 2" xfId="13425" xr:uid="{00000000-0005-0000-0000-000063340000}"/>
    <cellStyle name="0_BP-6131_Reports_2009_Q3 5 6 2 2 2 2" xfId="13426" xr:uid="{00000000-0005-0000-0000-000064340000}"/>
    <cellStyle name="0_BP-6131_Reports_2009_Q3 5 6 2 2 3" xfId="13427" xr:uid="{00000000-0005-0000-0000-000065340000}"/>
    <cellStyle name="0_BP-6131_Reports_2009_Q3 5 6 2 2 3 2" xfId="13428" xr:uid="{00000000-0005-0000-0000-000066340000}"/>
    <cellStyle name="0_BP-6131_Reports_2009_Q3 5 6 2 2 4" xfId="13429" xr:uid="{00000000-0005-0000-0000-000067340000}"/>
    <cellStyle name="0_BP-6131_Reports_2009_Q3 5 6 2 3" xfId="13430" xr:uid="{00000000-0005-0000-0000-000068340000}"/>
    <cellStyle name="0_BP-6131_Reports_2009_Q3 5 6 2 3 2" xfId="13431" xr:uid="{00000000-0005-0000-0000-000069340000}"/>
    <cellStyle name="0_BP-6131_Reports_2009_Q3 5 6 2 3 2 2" xfId="13432" xr:uid="{00000000-0005-0000-0000-00006A340000}"/>
    <cellStyle name="0_BP-6131_Reports_2009_Q3 5 6 2 3 3" xfId="13433" xr:uid="{00000000-0005-0000-0000-00006B340000}"/>
    <cellStyle name="0_BP-6131_Reports_2009_Q3 5 6 2 3 3 2" xfId="13434" xr:uid="{00000000-0005-0000-0000-00006C340000}"/>
    <cellStyle name="0_BP-6131_Reports_2009_Q3 5 6 2 3 4" xfId="13435" xr:uid="{00000000-0005-0000-0000-00006D340000}"/>
    <cellStyle name="0_BP-6131_Reports_2009_Q3 5 6 2 4" xfId="13436" xr:uid="{00000000-0005-0000-0000-00006E340000}"/>
    <cellStyle name="0_BP-6131_Reports_2009_Q3 5 6 2 4 2" xfId="13437" xr:uid="{00000000-0005-0000-0000-00006F340000}"/>
    <cellStyle name="0_BP-6131_Reports_2009_Q3 5 6 2 5" xfId="13438" xr:uid="{00000000-0005-0000-0000-000070340000}"/>
    <cellStyle name="0_BP-6131_Reports_2009_Q3 5 6 2 5 2" xfId="13439" xr:uid="{00000000-0005-0000-0000-000071340000}"/>
    <cellStyle name="0_BP-6131_Reports_2009_Q3 5 6 2 6" xfId="13440" xr:uid="{00000000-0005-0000-0000-000072340000}"/>
    <cellStyle name="0_BP-6131_Reports_2009_Q3 5 6 3" xfId="13441" xr:uid="{00000000-0005-0000-0000-000073340000}"/>
    <cellStyle name="0_BP-6131_Reports_2009_Q3 5 6 3 2" xfId="13442" xr:uid="{00000000-0005-0000-0000-000074340000}"/>
    <cellStyle name="0_BP-6131_Reports_2009_Q3 5 6 3 2 2" xfId="13443" xr:uid="{00000000-0005-0000-0000-000075340000}"/>
    <cellStyle name="0_BP-6131_Reports_2009_Q3 5 6 3 3" xfId="13444" xr:uid="{00000000-0005-0000-0000-000076340000}"/>
    <cellStyle name="0_BP-6131_Reports_2009_Q3 5 6 3 3 2" xfId="13445" xr:uid="{00000000-0005-0000-0000-000077340000}"/>
    <cellStyle name="0_BP-6131_Reports_2009_Q3 5 6 3 4" xfId="13446" xr:uid="{00000000-0005-0000-0000-000078340000}"/>
    <cellStyle name="0_BP-6131_Reports_2009_Q3 5 6 4" xfId="13447" xr:uid="{00000000-0005-0000-0000-000079340000}"/>
    <cellStyle name="0_BP-6131_Reports_2009_Q3 5 6 4 2" xfId="13448" xr:uid="{00000000-0005-0000-0000-00007A340000}"/>
    <cellStyle name="0_BP-6131_Reports_2009_Q3 5 6 4 2 2" xfId="13449" xr:uid="{00000000-0005-0000-0000-00007B340000}"/>
    <cellStyle name="0_BP-6131_Reports_2009_Q3 5 6 4 3" xfId="13450" xr:uid="{00000000-0005-0000-0000-00007C340000}"/>
    <cellStyle name="0_BP-6131_Reports_2009_Q3 5 6 4 3 2" xfId="13451" xr:uid="{00000000-0005-0000-0000-00007D340000}"/>
    <cellStyle name="0_BP-6131_Reports_2009_Q3 5 6 4 4" xfId="13452" xr:uid="{00000000-0005-0000-0000-00007E340000}"/>
    <cellStyle name="0_BP-6131_Reports_2009_Q3 5 6 5" xfId="13453" xr:uid="{00000000-0005-0000-0000-00007F340000}"/>
    <cellStyle name="0_BP-6131_Reports_2009_Q3 5 6 5 2" xfId="13454" xr:uid="{00000000-0005-0000-0000-000080340000}"/>
    <cellStyle name="0_BP-6131_Reports_2009_Q3 5 6 5 2 2" xfId="13455" xr:uid="{00000000-0005-0000-0000-000081340000}"/>
    <cellStyle name="0_BP-6131_Reports_2009_Q3 5 6 5 3" xfId="13456" xr:uid="{00000000-0005-0000-0000-000082340000}"/>
    <cellStyle name="0_BP-6131_Reports_2009_Q3 5 6 5 3 2" xfId="13457" xr:uid="{00000000-0005-0000-0000-000083340000}"/>
    <cellStyle name="0_BP-6131_Reports_2009_Q3 5 6 5 4" xfId="13458" xr:uid="{00000000-0005-0000-0000-000084340000}"/>
    <cellStyle name="0_BP-6131_Reports_2009_Q3 5 6 6" xfId="13459" xr:uid="{00000000-0005-0000-0000-000085340000}"/>
    <cellStyle name="0_BP-6131_Reports_2009_Q3 5 6 6 2" xfId="13460" xr:uid="{00000000-0005-0000-0000-000086340000}"/>
    <cellStyle name="0_BP-6131_Reports_2009_Q3 5 6 7" xfId="13461" xr:uid="{00000000-0005-0000-0000-000087340000}"/>
    <cellStyle name="0_BP-6131_Reports_2009_Q3 5 6 7 2" xfId="13462" xr:uid="{00000000-0005-0000-0000-000088340000}"/>
    <cellStyle name="0_BP-6131_Reports_2009_Q3 5 6 8" xfId="13463" xr:uid="{00000000-0005-0000-0000-000089340000}"/>
    <cellStyle name="0_BP-6131_Reports_2009_Q3 5 7" xfId="13464" xr:uid="{00000000-0005-0000-0000-00008A340000}"/>
    <cellStyle name="0_BP-6131_Reports_2009_Q3 5 7 2" xfId="13465" xr:uid="{00000000-0005-0000-0000-00008B340000}"/>
    <cellStyle name="0_BP-6131_Reports_2009_Q3 5 7 2 2" xfId="13466" xr:uid="{00000000-0005-0000-0000-00008C340000}"/>
    <cellStyle name="0_BP-6131_Reports_2009_Q3 5 7 2 2 2" xfId="13467" xr:uid="{00000000-0005-0000-0000-00008D340000}"/>
    <cellStyle name="0_BP-6131_Reports_2009_Q3 5 7 2 3" xfId="13468" xr:uid="{00000000-0005-0000-0000-00008E340000}"/>
    <cellStyle name="0_BP-6131_Reports_2009_Q3 5 7 2 3 2" xfId="13469" xr:uid="{00000000-0005-0000-0000-00008F340000}"/>
    <cellStyle name="0_BP-6131_Reports_2009_Q3 5 7 2 4" xfId="13470" xr:uid="{00000000-0005-0000-0000-000090340000}"/>
    <cellStyle name="0_BP-6131_Reports_2009_Q3 5 7 3" xfId="13471" xr:uid="{00000000-0005-0000-0000-000091340000}"/>
    <cellStyle name="0_BP-6131_Reports_2009_Q3 5 7 3 2" xfId="13472" xr:uid="{00000000-0005-0000-0000-000092340000}"/>
    <cellStyle name="0_BP-6131_Reports_2009_Q3 5 7 3 2 2" xfId="13473" xr:uid="{00000000-0005-0000-0000-000093340000}"/>
    <cellStyle name="0_BP-6131_Reports_2009_Q3 5 7 3 3" xfId="13474" xr:uid="{00000000-0005-0000-0000-000094340000}"/>
    <cellStyle name="0_BP-6131_Reports_2009_Q3 5 7 3 3 2" xfId="13475" xr:uid="{00000000-0005-0000-0000-000095340000}"/>
    <cellStyle name="0_BP-6131_Reports_2009_Q3 5 7 3 4" xfId="13476" xr:uid="{00000000-0005-0000-0000-000096340000}"/>
    <cellStyle name="0_BP-6131_Reports_2009_Q3 5 7 4" xfId="13477" xr:uid="{00000000-0005-0000-0000-000097340000}"/>
    <cellStyle name="0_BP-6131_Reports_2009_Q3 5 7 4 2" xfId="13478" xr:uid="{00000000-0005-0000-0000-000098340000}"/>
    <cellStyle name="0_BP-6131_Reports_2009_Q3 5 7 5" xfId="13479" xr:uid="{00000000-0005-0000-0000-000099340000}"/>
    <cellStyle name="0_BP-6131_Reports_2009_Q3 5 7 5 2" xfId="13480" xr:uid="{00000000-0005-0000-0000-00009A340000}"/>
    <cellStyle name="0_BP-6131_Reports_2009_Q3 5 7 6" xfId="13481" xr:uid="{00000000-0005-0000-0000-00009B340000}"/>
    <cellStyle name="0_BP-6131_Reports_2009_Q3 5 8" xfId="13482" xr:uid="{00000000-0005-0000-0000-00009C340000}"/>
    <cellStyle name="0_BP-6131_Reports_2009_Q3 5 8 2" xfId="13483" xr:uid="{00000000-0005-0000-0000-00009D340000}"/>
    <cellStyle name="0_BP-6131_Reports_2009_Q3 5 8 2 2" xfId="13484" xr:uid="{00000000-0005-0000-0000-00009E340000}"/>
    <cellStyle name="0_BP-6131_Reports_2009_Q3 5 8 3" xfId="13485" xr:uid="{00000000-0005-0000-0000-00009F340000}"/>
    <cellStyle name="0_BP-6131_Reports_2009_Q3 5 8 3 2" xfId="13486" xr:uid="{00000000-0005-0000-0000-0000A0340000}"/>
    <cellStyle name="0_BP-6131_Reports_2009_Q3 5 8 4" xfId="13487" xr:uid="{00000000-0005-0000-0000-0000A1340000}"/>
    <cellStyle name="0_BP-6131_Reports_2009_Q3 5 9" xfId="13488" xr:uid="{00000000-0005-0000-0000-0000A2340000}"/>
    <cellStyle name="0_BP-6131_Reports_2009_Q3 5 9 2" xfId="13489" xr:uid="{00000000-0005-0000-0000-0000A3340000}"/>
    <cellStyle name="0_BP-6131_Reports_2009_Q3 5 9 2 2" xfId="13490" xr:uid="{00000000-0005-0000-0000-0000A4340000}"/>
    <cellStyle name="0_BP-6131_Reports_2009_Q3 5 9 3" xfId="13491" xr:uid="{00000000-0005-0000-0000-0000A5340000}"/>
    <cellStyle name="0_BP-6131_Reports_2009_Q3 5 9 3 2" xfId="13492" xr:uid="{00000000-0005-0000-0000-0000A6340000}"/>
    <cellStyle name="0_BP-6131_Reports_2009_Q3 5 9 4" xfId="13493" xr:uid="{00000000-0005-0000-0000-0000A7340000}"/>
    <cellStyle name="0_BP-6131_Reports_2009_Q3 6" xfId="13494" xr:uid="{00000000-0005-0000-0000-0000A8340000}"/>
    <cellStyle name="0_BP-6131_Reports_2009_Q3 6 2" xfId="13495" xr:uid="{00000000-0005-0000-0000-0000A9340000}"/>
    <cellStyle name="0_BP-6131_Reports_2009_Q3 6 2 2" xfId="13496" xr:uid="{00000000-0005-0000-0000-0000AA340000}"/>
    <cellStyle name="0_BP-6131_Reports_2009_Q3 6 2 2 2" xfId="13497" xr:uid="{00000000-0005-0000-0000-0000AB340000}"/>
    <cellStyle name="0_BP-6131_Reports_2009_Q3 6 2 2 2 2" xfId="13498" xr:uid="{00000000-0005-0000-0000-0000AC340000}"/>
    <cellStyle name="0_BP-6131_Reports_2009_Q3 6 2 2 3" xfId="13499" xr:uid="{00000000-0005-0000-0000-0000AD340000}"/>
    <cellStyle name="0_BP-6131_Reports_2009_Q3 6 2 2 3 2" xfId="13500" xr:uid="{00000000-0005-0000-0000-0000AE340000}"/>
    <cellStyle name="0_BP-6131_Reports_2009_Q3 6 2 2 4" xfId="13501" xr:uid="{00000000-0005-0000-0000-0000AF340000}"/>
    <cellStyle name="0_BP-6131_Reports_2009_Q3 6 2 3" xfId="13502" xr:uid="{00000000-0005-0000-0000-0000B0340000}"/>
    <cellStyle name="0_BP-6131_Reports_2009_Q3 6 2 3 2" xfId="13503" xr:uid="{00000000-0005-0000-0000-0000B1340000}"/>
    <cellStyle name="0_BP-6131_Reports_2009_Q3 6 2 3 2 2" xfId="13504" xr:uid="{00000000-0005-0000-0000-0000B2340000}"/>
    <cellStyle name="0_BP-6131_Reports_2009_Q3 6 2 3 3" xfId="13505" xr:uid="{00000000-0005-0000-0000-0000B3340000}"/>
    <cellStyle name="0_BP-6131_Reports_2009_Q3 6 2 3 3 2" xfId="13506" xr:uid="{00000000-0005-0000-0000-0000B4340000}"/>
    <cellStyle name="0_BP-6131_Reports_2009_Q3 6 2 3 4" xfId="13507" xr:uid="{00000000-0005-0000-0000-0000B5340000}"/>
    <cellStyle name="0_BP-6131_Reports_2009_Q3 6 2 4" xfId="13508" xr:uid="{00000000-0005-0000-0000-0000B6340000}"/>
    <cellStyle name="0_BP-6131_Reports_2009_Q3 6 2 4 2" xfId="13509" xr:uid="{00000000-0005-0000-0000-0000B7340000}"/>
    <cellStyle name="0_BP-6131_Reports_2009_Q3 6 2 5" xfId="13510" xr:uid="{00000000-0005-0000-0000-0000B8340000}"/>
    <cellStyle name="0_BP-6131_Reports_2009_Q3 6 2 5 2" xfId="13511" xr:uid="{00000000-0005-0000-0000-0000B9340000}"/>
    <cellStyle name="0_BP-6131_Reports_2009_Q3 6 2 6" xfId="13512" xr:uid="{00000000-0005-0000-0000-0000BA340000}"/>
    <cellStyle name="0_BP-6131_Reports_2009_Q3 6 3" xfId="13513" xr:uid="{00000000-0005-0000-0000-0000BB340000}"/>
    <cellStyle name="0_BP-6131_Reports_2009_Q3 6 3 2" xfId="13514" xr:uid="{00000000-0005-0000-0000-0000BC340000}"/>
    <cellStyle name="0_BP-6131_Reports_2009_Q3 6 3 2 2" xfId="13515" xr:uid="{00000000-0005-0000-0000-0000BD340000}"/>
    <cellStyle name="0_BP-6131_Reports_2009_Q3 6 3 3" xfId="13516" xr:uid="{00000000-0005-0000-0000-0000BE340000}"/>
    <cellStyle name="0_BP-6131_Reports_2009_Q3 6 3 3 2" xfId="13517" xr:uid="{00000000-0005-0000-0000-0000BF340000}"/>
    <cellStyle name="0_BP-6131_Reports_2009_Q3 6 3 4" xfId="13518" xr:uid="{00000000-0005-0000-0000-0000C0340000}"/>
    <cellStyle name="0_BP-6131_Reports_2009_Q3 6 4" xfId="13519" xr:uid="{00000000-0005-0000-0000-0000C1340000}"/>
    <cellStyle name="0_BP-6131_Reports_2009_Q3 6 4 2" xfId="13520" xr:uid="{00000000-0005-0000-0000-0000C2340000}"/>
    <cellStyle name="0_BP-6131_Reports_2009_Q3 6 4 2 2" xfId="13521" xr:uid="{00000000-0005-0000-0000-0000C3340000}"/>
    <cellStyle name="0_BP-6131_Reports_2009_Q3 6 4 3" xfId="13522" xr:uid="{00000000-0005-0000-0000-0000C4340000}"/>
    <cellStyle name="0_BP-6131_Reports_2009_Q3 6 4 3 2" xfId="13523" xr:uid="{00000000-0005-0000-0000-0000C5340000}"/>
    <cellStyle name="0_BP-6131_Reports_2009_Q3 6 4 4" xfId="13524" xr:uid="{00000000-0005-0000-0000-0000C6340000}"/>
    <cellStyle name="0_BP-6131_Reports_2009_Q3 6 5" xfId="13525" xr:uid="{00000000-0005-0000-0000-0000C7340000}"/>
    <cellStyle name="0_BP-6131_Reports_2009_Q3 6 5 2" xfId="13526" xr:uid="{00000000-0005-0000-0000-0000C8340000}"/>
    <cellStyle name="0_BP-6131_Reports_2009_Q3 6 5 2 2" xfId="13527" xr:uid="{00000000-0005-0000-0000-0000C9340000}"/>
    <cellStyle name="0_BP-6131_Reports_2009_Q3 6 5 3" xfId="13528" xr:uid="{00000000-0005-0000-0000-0000CA340000}"/>
    <cellStyle name="0_BP-6131_Reports_2009_Q3 6 5 3 2" xfId="13529" xr:uid="{00000000-0005-0000-0000-0000CB340000}"/>
    <cellStyle name="0_BP-6131_Reports_2009_Q3 6 5 4" xfId="13530" xr:uid="{00000000-0005-0000-0000-0000CC340000}"/>
    <cellStyle name="0_BP-6131_Reports_2009_Q3 6 6" xfId="13531" xr:uid="{00000000-0005-0000-0000-0000CD340000}"/>
    <cellStyle name="0_BP-6131_Reports_2009_Q3 6 6 2" xfId="13532" xr:uid="{00000000-0005-0000-0000-0000CE340000}"/>
    <cellStyle name="0_BP-6131_Reports_2009_Q3 6 7" xfId="13533" xr:uid="{00000000-0005-0000-0000-0000CF340000}"/>
    <cellStyle name="0_BP-6131_Reports_2009_Q3 6 7 2" xfId="13534" xr:uid="{00000000-0005-0000-0000-0000D0340000}"/>
    <cellStyle name="0_BP-6131_Reports_2009_Q3 6 8" xfId="13535" xr:uid="{00000000-0005-0000-0000-0000D1340000}"/>
    <cellStyle name="0_BP-6131_Reports_2009_Q3 7" xfId="13536" xr:uid="{00000000-0005-0000-0000-0000D2340000}"/>
    <cellStyle name="0_BP-6131_Reports_2009_Q3 7 2" xfId="13537" xr:uid="{00000000-0005-0000-0000-0000D3340000}"/>
    <cellStyle name="0_BP-6131_Reports_2009_Q3 7 2 2" xfId="13538" xr:uid="{00000000-0005-0000-0000-0000D4340000}"/>
    <cellStyle name="0_BP-6131_Reports_2009_Q3 7 2 2 2" xfId="13539" xr:uid="{00000000-0005-0000-0000-0000D5340000}"/>
    <cellStyle name="0_BP-6131_Reports_2009_Q3 7 2 3" xfId="13540" xr:uid="{00000000-0005-0000-0000-0000D6340000}"/>
    <cellStyle name="0_BP-6131_Reports_2009_Q3 7 2 3 2" xfId="13541" xr:uid="{00000000-0005-0000-0000-0000D7340000}"/>
    <cellStyle name="0_BP-6131_Reports_2009_Q3 7 2 4" xfId="13542" xr:uid="{00000000-0005-0000-0000-0000D8340000}"/>
    <cellStyle name="0_BP-6131_Reports_2009_Q3 7 3" xfId="13543" xr:uid="{00000000-0005-0000-0000-0000D9340000}"/>
    <cellStyle name="0_BP-6131_Reports_2009_Q3 7 3 2" xfId="13544" xr:uid="{00000000-0005-0000-0000-0000DA340000}"/>
    <cellStyle name="0_BP-6131_Reports_2009_Q3 7 3 2 2" xfId="13545" xr:uid="{00000000-0005-0000-0000-0000DB340000}"/>
    <cellStyle name="0_BP-6131_Reports_2009_Q3 7 3 3" xfId="13546" xr:uid="{00000000-0005-0000-0000-0000DC340000}"/>
    <cellStyle name="0_BP-6131_Reports_2009_Q3 7 3 3 2" xfId="13547" xr:uid="{00000000-0005-0000-0000-0000DD340000}"/>
    <cellStyle name="0_BP-6131_Reports_2009_Q3 7 3 4" xfId="13548" xr:uid="{00000000-0005-0000-0000-0000DE340000}"/>
    <cellStyle name="0_BP-6131_Reports_2009_Q3 7 4" xfId="13549" xr:uid="{00000000-0005-0000-0000-0000DF340000}"/>
    <cellStyle name="0_BP-6131_Reports_2009_Q3 7 4 2" xfId="13550" xr:uid="{00000000-0005-0000-0000-0000E0340000}"/>
    <cellStyle name="0_BP-6131_Reports_2009_Q3 7 5" xfId="13551" xr:uid="{00000000-0005-0000-0000-0000E1340000}"/>
    <cellStyle name="0_BP-6131_Reports_2009_Q3 7 5 2" xfId="13552" xr:uid="{00000000-0005-0000-0000-0000E2340000}"/>
    <cellStyle name="0_BP-6131_Reports_2009_Q3 7 6" xfId="13553" xr:uid="{00000000-0005-0000-0000-0000E3340000}"/>
    <cellStyle name="0_BP-6131_Reports_2009_Q3 8" xfId="13554" xr:uid="{00000000-0005-0000-0000-0000E4340000}"/>
    <cellStyle name="0_BP-6131_Reports_2009_Q3 8 2" xfId="13555" xr:uid="{00000000-0005-0000-0000-0000E5340000}"/>
    <cellStyle name="0_BP-6131_Reports_2009_Q3 8 2 2" xfId="13556" xr:uid="{00000000-0005-0000-0000-0000E6340000}"/>
    <cellStyle name="0_BP-6131_Reports_2009_Q3 8 2 2 2" xfId="13557" xr:uid="{00000000-0005-0000-0000-0000E7340000}"/>
    <cellStyle name="0_BP-6131_Reports_2009_Q3 8 2 3" xfId="13558" xr:uid="{00000000-0005-0000-0000-0000E8340000}"/>
    <cellStyle name="0_BP-6131_Reports_2009_Q3 8 2 3 2" xfId="13559" xr:uid="{00000000-0005-0000-0000-0000E9340000}"/>
    <cellStyle name="0_BP-6131_Reports_2009_Q3 8 2 4" xfId="13560" xr:uid="{00000000-0005-0000-0000-0000EA340000}"/>
    <cellStyle name="0_BP-6131_Reports_2009_Q3 8 3" xfId="13561" xr:uid="{00000000-0005-0000-0000-0000EB340000}"/>
    <cellStyle name="0_BP-6131_Reports_2009_Q3 8 3 2" xfId="13562" xr:uid="{00000000-0005-0000-0000-0000EC340000}"/>
    <cellStyle name="0_BP-6131_Reports_2009_Q3 8 3 2 2" xfId="13563" xr:uid="{00000000-0005-0000-0000-0000ED340000}"/>
    <cellStyle name="0_BP-6131_Reports_2009_Q3 8 3 3" xfId="13564" xr:uid="{00000000-0005-0000-0000-0000EE340000}"/>
    <cellStyle name="0_BP-6131_Reports_2009_Q3 8 3 3 2" xfId="13565" xr:uid="{00000000-0005-0000-0000-0000EF340000}"/>
    <cellStyle name="0_BP-6131_Reports_2009_Q3 8 3 4" xfId="13566" xr:uid="{00000000-0005-0000-0000-0000F0340000}"/>
    <cellStyle name="0_BP-6131_Reports_2009_Q3 8 4" xfId="13567" xr:uid="{00000000-0005-0000-0000-0000F1340000}"/>
    <cellStyle name="0_BP-6131_Reports_2009_Q3 8 4 2" xfId="13568" xr:uid="{00000000-0005-0000-0000-0000F2340000}"/>
    <cellStyle name="0_BP-6131_Reports_2009_Q3 8 5" xfId="13569" xr:uid="{00000000-0005-0000-0000-0000F3340000}"/>
    <cellStyle name="0_BP-6131_Reports_2009_Q3 8 5 2" xfId="13570" xr:uid="{00000000-0005-0000-0000-0000F4340000}"/>
    <cellStyle name="0_BP-6131_Reports_2009_Q3 8 6" xfId="13571" xr:uid="{00000000-0005-0000-0000-0000F5340000}"/>
    <cellStyle name="0_BP-6131_Reports_2009_Q3 9" xfId="13572" xr:uid="{00000000-0005-0000-0000-0000F6340000}"/>
    <cellStyle name="0_BP-6131_Reports_2009_Q3 9 2" xfId="13573" xr:uid="{00000000-0005-0000-0000-0000F7340000}"/>
    <cellStyle name="0_BP-6131_Reports_2009_Q3 9 2 2" xfId="13574" xr:uid="{00000000-0005-0000-0000-0000F8340000}"/>
    <cellStyle name="0_BP-6131_Reports_2009_Q3 9 3" xfId="13575" xr:uid="{00000000-0005-0000-0000-0000F9340000}"/>
    <cellStyle name="0_BP-6131_Reports_2009_Q3 9 3 2" xfId="13576" xr:uid="{00000000-0005-0000-0000-0000FA340000}"/>
    <cellStyle name="0_BP-6131_Reports_2009_Q3 9 4" xfId="13577" xr:uid="{00000000-0005-0000-0000-0000FB340000}"/>
    <cellStyle name="0_Capacity Utilisation_planned Manpower (26-07-08)" xfId="13578" xr:uid="{00000000-0005-0000-0000-0000FC340000}"/>
    <cellStyle name="0_Capacity Utilisation_planned Manpower (26-07-08) 2" xfId="13579" xr:uid="{00000000-0005-0000-0000-0000FD340000}"/>
    <cellStyle name="0_Capacity Utilisation_planned Manpower (26-07-08) 2 2" xfId="13580" xr:uid="{00000000-0005-0000-0000-0000FE340000}"/>
    <cellStyle name="0_Capacity Utilisation_planned Manpower (26-07-08) 2 2 2" xfId="13581" xr:uid="{00000000-0005-0000-0000-0000FF340000}"/>
    <cellStyle name="0_Capacity Utilisation_planned Manpower (26-07-08) 2 3" xfId="13582" xr:uid="{00000000-0005-0000-0000-000000350000}"/>
    <cellStyle name="0_Capacity Utilisation_planned Manpower (26-07-08) 2 3 2" xfId="13583" xr:uid="{00000000-0005-0000-0000-000001350000}"/>
    <cellStyle name="0_Capacity Utilisation_planned Manpower (26-07-08) 2 4" xfId="13584" xr:uid="{00000000-0005-0000-0000-000002350000}"/>
    <cellStyle name="0_Capacity Utilisation_planned Manpower (26-07-08) 2 4 2" xfId="13585" xr:uid="{00000000-0005-0000-0000-000003350000}"/>
    <cellStyle name="0_Capacity Utilisation_planned Manpower (26-07-08) 2 5" xfId="13586" xr:uid="{00000000-0005-0000-0000-000004350000}"/>
    <cellStyle name="0_Capacity Utilisation_planned Manpower (26-07-08) 2 6" xfId="13587" xr:uid="{00000000-0005-0000-0000-000005350000}"/>
    <cellStyle name="0_Capacity Utilisation_planned Manpower (26-07-08) 2 7" xfId="13588" xr:uid="{00000000-0005-0000-0000-000006350000}"/>
    <cellStyle name="0_Capacity Utilisation_planned Manpower (26-07-08) 3" xfId="13589" xr:uid="{00000000-0005-0000-0000-000007350000}"/>
    <cellStyle name="0_Capacity Utilisation_planned Manpower (26-07-08) 3 2" xfId="13590" xr:uid="{00000000-0005-0000-0000-000008350000}"/>
    <cellStyle name="0_Capacity Utilisation_planned Manpower (26-07-08) 4" xfId="13591" xr:uid="{00000000-0005-0000-0000-000009350000}"/>
    <cellStyle name="0_Capacity Utilisation_planned Manpower (26-07-08) 5" xfId="13592" xr:uid="{00000000-0005-0000-0000-00000A350000}"/>
    <cellStyle name="0_Capacity Utilisation_planned Manpower (26-07-08) 6" xfId="13593" xr:uid="{00000000-0005-0000-0000-00000B350000}"/>
    <cellStyle name="0_Capacity Utilisation_planned Manpower (26-07-08) 7" xfId="13594" xr:uid="{00000000-0005-0000-0000-00000C350000}"/>
    <cellStyle name="0_Capacity Utilisation_planned Manpower (26-07-08) 8" xfId="13595" xr:uid="{00000000-0005-0000-0000-00000D350000}"/>
    <cellStyle name="0_Capacity Utilisation_planned Manpower (26-07-08) 9" xfId="13596" xr:uid="{00000000-0005-0000-0000-00000E350000}"/>
    <cellStyle name="0_Capacity Utilisation_planned Manpower (26-07-08)_4012_BP 2009 Rev.01" xfId="13597" xr:uid="{00000000-0005-0000-0000-00000F350000}"/>
    <cellStyle name="0_Capacity Utilisation_planned Manpower (26-07-08)_4012_BP 2009 Rev.01 2" xfId="13598" xr:uid="{00000000-0005-0000-0000-000010350000}"/>
    <cellStyle name="0_Capacity Utilisation_planned Manpower (26-07-08)_4012_BP 2009 Rev.01 2 2" xfId="13599" xr:uid="{00000000-0005-0000-0000-000011350000}"/>
    <cellStyle name="0_Capacity Utilisation_planned Manpower (26-07-08)_4012_BP 2009 Rev.01 2 2 2" xfId="13600" xr:uid="{00000000-0005-0000-0000-000012350000}"/>
    <cellStyle name="0_Capacity Utilisation_planned Manpower (26-07-08)_4012_BP 2009 Rev.01 2 3" xfId="13601" xr:uid="{00000000-0005-0000-0000-000013350000}"/>
    <cellStyle name="0_Capacity Utilisation_planned Manpower (26-07-08)_4012_BP 2009 Rev.01 2 3 2" xfId="13602" xr:uid="{00000000-0005-0000-0000-000014350000}"/>
    <cellStyle name="0_Capacity Utilisation_planned Manpower (26-07-08)_4012_BP 2009 Rev.01 2 4" xfId="13603" xr:uid="{00000000-0005-0000-0000-000015350000}"/>
    <cellStyle name="0_Capacity Utilisation_planned Manpower (26-07-08)_4012_BP 2009 Rev.01 2 4 2" xfId="13604" xr:uid="{00000000-0005-0000-0000-000016350000}"/>
    <cellStyle name="0_Capacity Utilisation_planned Manpower (26-07-08)_4012_BP 2009 Rev.01 2 5" xfId="13605" xr:uid="{00000000-0005-0000-0000-000017350000}"/>
    <cellStyle name="0_Capacity Utilisation_planned Manpower (26-07-08)_4012_BP 2009 Rev.01 2 6" xfId="13606" xr:uid="{00000000-0005-0000-0000-000018350000}"/>
    <cellStyle name="0_Capacity Utilisation_planned Manpower (26-07-08)_4012_BP 2009 Rev.01 2 7" xfId="13607" xr:uid="{00000000-0005-0000-0000-000019350000}"/>
    <cellStyle name="0_Capacity Utilisation_planned Manpower (26-07-08)_4012_BP 2009 Rev.01 3" xfId="13608" xr:uid="{00000000-0005-0000-0000-00001A350000}"/>
    <cellStyle name="0_Capacity Utilisation_planned Manpower (26-07-08)_4012_BP 2009 Rev.01 3 2" xfId="13609" xr:uid="{00000000-0005-0000-0000-00001B350000}"/>
    <cellStyle name="0_Capacity Utilisation_planned Manpower (26-07-08)_4012_BP 2009 Rev.01 4" xfId="13610" xr:uid="{00000000-0005-0000-0000-00001C350000}"/>
    <cellStyle name="0_Capacity Utilisation_planned Manpower (26-07-08)_4012_BP 2009 Rev.01 5" xfId="13611" xr:uid="{00000000-0005-0000-0000-00001D350000}"/>
    <cellStyle name="0_Capacity Utilisation_planned Manpower (26-07-08)_4012_BP 2009 Rev.01 6" xfId="13612" xr:uid="{00000000-0005-0000-0000-00001E350000}"/>
    <cellStyle name="0_Capacity Utilisation_planned Manpower (26-07-08)_4012_BP 2009 Rev.01 7" xfId="13613" xr:uid="{00000000-0005-0000-0000-00001F350000}"/>
    <cellStyle name="0_Capacity Utilisation_planned Manpower (26-07-08)_4012_BP 2009 Rev.01 8" xfId="13614" xr:uid="{00000000-0005-0000-0000-000020350000}"/>
    <cellStyle name="0_Capacity Utilisation_planned Manpower (26-07-08)_4012_BP 2009 Rev.01 9" xfId="13615" xr:uid="{00000000-0005-0000-0000-000021350000}"/>
    <cellStyle name="0_Capacity Utilisation_planned Manpower (26-07-08)_BP 2009 Rev2- 40.4012" xfId="13616" xr:uid="{00000000-0005-0000-0000-000022350000}"/>
    <cellStyle name="0_Capacity Utilisation_planned Manpower (26-07-08)_BP 2009 Rev2- 40.4012 2" xfId="13617" xr:uid="{00000000-0005-0000-0000-000023350000}"/>
    <cellStyle name="0_Capacity Utilisation_planned Manpower (26-07-08)_BP 2009 Rev2- 40.4012 2 2" xfId="13618" xr:uid="{00000000-0005-0000-0000-000024350000}"/>
    <cellStyle name="0_Capacity Utilisation_planned Manpower (26-07-08)_BP 2009 Rev2- 40.4012 2 2 2" xfId="13619" xr:uid="{00000000-0005-0000-0000-000025350000}"/>
    <cellStyle name="0_Capacity Utilisation_planned Manpower (26-07-08)_BP 2009 Rev2- 40.4012 2 3" xfId="13620" xr:uid="{00000000-0005-0000-0000-000026350000}"/>
    <cellStyle name="0_Capacity Utilisation_planned Manpower (26-07-08)_BP 2009 Rev2- 40.4012 2 3 2" xfId="13621" xr:uid="{00000000-0005-0000-0000-000027350000}"/>
    <cellStyle name="0_Capacity Utilisation_planned Manpower (26-07-08)_BP 2009 Rev2- 40.4012 2 4" xfId="13622" xr:uid="{00000000-0005-0000-0000-000028350000}"/>
    <cellStyle name="0_Capacity Utilisation_planned Manpower (26-07-08)_BP 2009 Rev2- 40.4012 2 4 2" xfId="13623" xr:uid="{00000000-0005-0000-0000-000029350000}"/>
    <cellStyle name="0_Capacity Utilisation_planned Manpower (26-07-08)_BP 2009 Rev2- 40.4012 2 5" xfId="13624" xr:uid="{00000000-0005-0000-0000-00002A350000}"/>
    <cellStyle name="0_Capacity Utilisation_planned Manpower (26-07-08)_BP 2009 Rev2- 40.4012 2 6" xfId="13625" xr:uid="{00000000-0005-0000-0000-00002B350000}"/>
    <cellStyle name="0_Capacity Utilisation_planned Manpower (26-07-08)_BP 2009 Rev2- 40.4012 2 7" xfId="13626" xr:uid="{00000000-0005-0000-0000-00002C350000}"/>
    <cellStyle name="0_Capacity Utilisation_planned Manpower (26-07-08)_BP 2009 Rev2- 40.4012 3" xfId="13627" xr:uid="{00000000-0005-0000-0000-00002D350000}"/>
    <cellStyle name="0_Capacity Utilisation_planned Manpower (26-07-08)_BP 2009 Rev2- 40.4012 3 2" xfId="13628" xr:uid="{00000000-0005-0000-0000-00002E350000}"/>
    <cellStyle name="0_Capacity Utilisation_planned Manpower (26-07-08)_BP 2009 Rev2- 40.4012 4" xfId="13629" xr:uid="{00000000-0005-0000-0000-00002F350000}"/>
    <cellStyle name="0_Capacity Utilisation_planned Manpower (26-07-08)_BP 2009 Rev2- 40.4012 5" xfId="13630" xr:uid="{00000000-0005-0000-0000-000030350000}"/>
    <cellStyle name="0_Capacity Utilisation_planned Manpower (26-07-08)_BP 2009 Rev2- 40.4012 6" xfId="13631" xr:uid="{00000000-0005-0000-0000-000031350000}"/>
    <cellStyle name="0_Capacity Utilisation_planned Manpower (26-07-08)_BP 2009 Rev2- 40.4012 7" xfId="13632" xr:uid="{00000000-0005-0000-0000-000032350000}"/>
    <cellStyle name="0_Capacity Utilisation_planned Manpower (26-07-08)_BP 2009 Rev2- 40.4012 8" xfId="13633" xr:uid="{00000000-0005-0000-0000-000033350000}"/>
    <cellStyle name="0_Capacity Utilisation_planned Manpower (26-07-08)_BP 2009 Rev2- 40.4012 9" xfId="13634" xr:uid="{00000000-0005-0000-0000-000034350000}"/>
    <cellStyle name="0_Capacity Utilisation_planned Manpower (26-07-08)_Risk &amp; Mitigation" xfId="13635" xr:uid="{00000000-0005-0000-0000-000035350000}"/>
    <cellStyle name="0_Capacity Utilisation_planned Manpower (26-07-08)_Risk &amp; Mitigation 2" xfId="13636" xr:uid="{00000000-0005-0000-0000-000036350000}"/>
    <cellStyle name="0_Capacity Utilisation_planned Manpower (26-07-08)_Risk &amp; Mitigation 2 2" xfId="13637" xr:uid="{00000000-0005-0000-0000-000037350000}"/>
    <cellStyle name="0_Capacity Utilisation_planned Manpower (26-07-08)_Risk &amp; Mitigation 2 2 2" xfId="13638" xr:uid="{00000000-0005-0000-0000-000038350000}"/>
    <cellStyle name="0_Capacity Utilisation_planned Manpower (26-07-08)_Risk &amp; Mitigation 2 3" xfId="13639" xr:uid="{00000000-0005-0000-0000-000039350000}"/>
    <cellStyle name="0_Capacity Utilisation_planned Manpower (26-07-08)_Risk &amp; Mitigation 2 3 2" xfId="13640" xr:uid="{00000000-0005-0000-0000-00003A350000}"/>
    <cellStyle name="0_Capacity Utilisation_planned Manpower (26-07-08)_Risk &amp; Mitigation 2 4" xfId="13641" xr:uid="{00000000-0005-0000-0000-00003B350000}"/>
    <cellStyle name="0_Capacity Utilisation_planned Manpower (26-07-08)_Risk &amp; Mitigation 2 4 2" xfId="13642" xr:uid="{00000000-0005-0000-0000-00003C350000}"/>
    <cellStyle name="0_Capacity Utilisation_planned Manpower (26-07-08)_Risk &amp; Mitigation 2 5" xfId="13643" xr:uid="{00000000-0005-0000-0000-00003D350000}"/>
    <cellStyle name="0_Capacity Utilisation_planned Manpower (26-07-08)_Risk &amp; Mitigation 2 6" xfId="13644" xr:uid="{00000000-0005-0000-0000-00003E350000}"/>
    <cellStyle name="0_Capacity Utilisation_planned Manpower (26-07-08)_Risk &amp; Mitigation 2 7" xfId="13645" xr:uid="{00000000-0005-0000-0000-00003F350000}"/>
    <cellStyle name="0_Capacity Utilisation_planned Manpower (26-07-08)_Risk &amp; Mitigation 3" xfId="13646" xr:uid="{00000000-0005-0000-0000-000040350000}"/>
    <cellStyle name="0_Capacity Utilisation_planned Manpower (26-07-08)_Risk &amp; Mitigation 3 2" xfId="13647" xr:uid="{00000000-0005-0000-0000-000041350000}"/>
    <cellStyle name="0_Capacity Utilisation_planned Manpower (26-07-08)_Risk &amp; Mitigation 4" xfId="13648" xr:uid="{00000000-0005-0000-0000-000042350000}"/>
    <cellStyle name="0_Capacity Utilisation_planned Manpower (26-07-08)_Risk &amp; Mitigation 5" xfId="13649" xr:uid="{00000000-0005-0000-0000-000043350000}"/>
    <cellStyle name="0_Capacity Utilisation_planned Manpower (26-07-08)_Risk &amp; Mitigation 6" xfId="13650" xr:uid="{00000000-0005-0000-0000-000044350000}"/>
    <cellStyle name="0_Capacity Utilisation_planned Manpower (26-07-08)_Risk &amp; Mitigation 7" xfId="13651" xr:uid="{00000000-0005-0000-0000-000045350000}"/>
    <cellStyle name="0_Capacity Utilisation_planned Manpower (26-07-08)_Risk &amp; Mitigation 8" xfId="13652" xr:uid="{00000000-0005-0000-0000-000046350000}"/>
    <cellStyle name="0_Capacity Utilisation_planned Manpower (26-07-08)_Risk &amp; Mitigation 9" xfId="13653" xr:uid="{00000000-0005-0000-0000-000047350000}"/>
    <cellStyle name="0_capex_Hasik_Shuwaimiyah_6118" xfId="13654" xr:uid="{00000000-0005-0000-0000-000048350000}"/>
    <cellStyle name="0_capex_Hasik_Shuwaimiyah_6118 10" xfId="13655" xr:uid="{00000000-0005-0000-0000-000049350000}"/>
    <cellStyle name="0_capex_Hasik_Shuwaimiyah_6118 10 2" xfId="13656" xr:uid="{00000000-0005-0000-0000-00004A350000}"/>
    <cellStyle name="0_capex_Hasik_Shuwaimiyah_6118 10 2 2" xfId="13657" xr:uid="{00000000-0005-0000-0000-00004B350000}"/>
    <cellStyle name="0_capex_Hasik_Shuwaimiyah_6118 10 3" xfId="13658" xr:uid="{00000000-0005-0000-0000-00004C350000}"/>
    <cellStyle name="0_capex_Hasik_Shuwaimiyah_6118 10 3 2" xfId="13659" xr:uid="{00000000-0005-0000-0000-00004D350000}"/>
    <cellStyle name="0_capex_Hasik_Shuwaimiyah_6118 10 4" xfId="13660" xr:uid="{00000000-0005-0000-0000-00004E350000}"/>
    <cellStyle name="0_capex_Hasik_Shuwaimiyah_6118 11" xfId="13661" xr:uid="{00000000-0005-0000-0000-00004F350000}"/>
    <cellStyle name="0_capex_Hasik_Shuwaimiyah_6118 11 2" xfId="13662" xr:uid="{00000000-0005-0000-0000-000050350000}"/>
    <cellStyle name="0_capex_Hasik_Shuwaimiyah_6118 11 2 2" xfId="13663" xr:uid="{00000000-0005-0000-0000-000051350000}"/>
    <cellStyle name="0_capex_Hasik_Shuwaimiyah_6118 11 3" xfId="13664" xr:uid="{00000000-0005-0000-0000-000052350000}"/>
    <cellStyle name="0_capex_Hasik_Shuwaimiyah_6118 11 3 2" xfId="13665" xr:uid="{00000000-0005-0000-0000-000053350000}"/>
    <cellStyle name="0_capex_Hasik_Shuwaimiyah_6118 11 4" xfId="13666" xr:uid="{00000000-0005-0000-0000-000054350000}"/>
    <cellStyle name="0_capex_Hasik_Shuwaimiyah_6118 12" xfId="13667" xr:uid="{00000000-0005-0000-0000-000055350000}"/>
    <cellStyle name="0_capex_Hasik_Shuwaimiyah_6118 12 2" xfId="13668" xr:uid="{00000000-0005-0000-0000-000056350000}"/>
    <cellStyle name="0_capex_Hasik_Shuwaimiyah_6118 13" xfId="13669" xr:uid="{00000000-0005-0000-0000-000057350000}"/>
    <cellStyle name="0_capex_Hasik_Shuwaimiyah_6118 13 2" xfId="13670" xr:uid="{00000000-0005-0000-0000-000058350000}"/>
    <cellStyle name="0_capex_Hasik_Shuwaimiyah_6118 14" xfId="13671" xr:uid="{00000000-0005-0000-0000-000059350000}"/>
    <cellStyle name="0_capex_Hasik_Shuwaimiyah_6118 14 2" xfId="13672" xr:uid="{00000000-0005-0000-0000-00005A350000}"/>
    <cellStyle name="0_capex_Hasik_Shuwaimiyah_6118 15" xfId="13673" xr:uid="{00000000-0005-0000-0000-00005B350000}"/>
    <cellStyle name="0_capex_Hasik_Shuwaimiyah_6118 16" xfId="13674" xr:uid="{00000000-0005-0000-0000-00005C350000}"/>
    <cellStyle name="0_capex_Hasik_Shuwaimiyah_6118 17" xfId="13675" xr:uid="{00000000-0005-0000-0000-00005D350000}"/>
    <cellStyle name="0_capex_Hasik_Shuwaimiyah_6118 18" xfId="13676" xr:uid="{00000000-0005-0000-0000-00005E350000}"/>
    <cellStyle name="0_capex_Hasik_Shuwaimiyah_6118 19" xfId="13677" xr:uid="{00000000-0005-0000-0000-00005F350000}"/>
    <cellStyle name="0_capex_Hasik_Shuwaimiyah_6118 2" xfId="13678" xr:uid="{00000000-0005-0000-0000-000060350000}"/>
    <cellStyle name="0_capex_Hasik_Shuwaimiyah_6118 2 10" xfId="13679" xr:uid="{00000000-0005-0000-0000-000061350000}"/>
    <cellStyle name="0_capex_Hasik_Shuwaimiyah_6118 2 10 2" xfId="13680" xr:uid="{00000000-0005-0000-0000-000062350000}"/>
    <cellStyle name="0_capex_Hasik_Shuwaimiyah_6118 2 10 2 2" xfId="13681" xr:uid="{00000000-0005-0000-0000-000063350000}"/>
    <cellStyle name="0_capex_Hasik_Shuwaimiyah_6118 2 10 3" xfId="13682" xr:uid="{00000000-0005-0000-0000-000064350000}"/>
    <cellStyle name="0_capex_Hasik_Shuwaimiyah_6118 2 10 3 2" xfId="13683" xr:uid="{00000000-0005-0000-0000-000065350000}"/>
    <cellStyle name="0_capex_Hasik_Shuwaimiyah_6118 2 10 4" xfId="13684" xr:uid="{00000000-0005-0000-0000-000066350000}"/>
    <cellStyle name="0_capex_Hasik_Shuwaimiyah_6118 2 11" xfId="13685" xr:uid="{00000000-0005-0000-0000-000067350000}"/>
    <cellStyle name="0_capex_Hasik_Shuwaimiyah_6118 2 11 2" xfId="13686" xr:uid="{00000000-0005-0000-0000-000068350000}"/>
    <cellStyle name="0_capex_Hasik_Shuwaimiyah_6118 2 12" xfId="13687" xr:uid="{00000000-0005-0000-0000-000069350000}"/>
    <cellStyle name="0_capex_Hasik_Shuwaimiyah_6118 2 12 2" xfId="13688" xr:uid="{00000000-0005-0000-0000-00006A350000}"/>
    <cellStyle name="0_capex_Hasik_Shuwaimiyah_6118 2 13" xfId="13689" xr:uid="{00000000-0005-0000-0000-00006B350000}"/>
    <cellStyle name="0_capex_Hasik_Shuwaimiyah_6118 2 14" xfId="13690" xr:uid="{00000000-0005-0000-0000-00006C350000}"/>
    <cellStyle name="0_capex_Hasik_Shuwaimiyah_6118 2 15" xfId="13691" xr:uid="{00000000-0005-0000-0000-00006D350000}"/>
    <cellStyle name="0_capex_Hasik_Shuwaimiyah_6118 2 16" xfId="13692" xr:uid="{00000000-0005-0000-0000-00006E350000}"/>
    <cellStyle name="0_capex_Hasik_Shuwaimiyah_6118 2 2" xfId="13693" xr:uid="{00000000-0005-0000-0000-00006F350000}"/>
    <cellStyle name="0_capex_Hasik_Shuwaimiyah_6118 2 2 2" xfId="13694" xr:uid="{00000000-0005-0000-0000-000070350000}"/>
    <cellStyle name="0_capex_Hasik_Shuwaimiyah_6118 2 2 2 2" xfId="13695" xr:uid="{00000000-0005-0000-0000-000071350000}"/>
    <cellStyle name="0_capex_Hasik_Shuwaimiyah_6118 2 2 2 2 2" xfId="13696" xr:uid="{00000000-0005-0000-0000-000072350000}"/>
    <cellStyle name="0_capex_Hasik_Shuwaimiyah_6118 2 2 2 2 2 2" xfId="13697" xr:uid="{00000000-0005-0000-0000-000073350000}"/>
    <cellStyle name="0_capex_Hasik_Shuwaimiyah_6118 2 2 2 2 3" xfId="13698" xr:uid="{00000000-0005-0000-0000-000074350000}"/>
    <cellStyle name="0_capex_Hasik_Shuwaimiyah_6118 2 2 2 2 3 2" xfId="13699" xr:uid="{00000000-0005-0000-0000-000075350000}"/>
    <cellStyle name="0_capex_Hasik_Shuwaimiyah_6118 2 2 2 2 4" xfId="13700" xr:uid="{00000000-0005-0000-0000-000076350000}"/>
    <cellStyle name="0_capex_Hasik_Shuwaimiyah_6118 2 2 2 3" xfId="13701" xr:uid="{00000000-0005-0000-0000-000077350000}"/>
    <cellStyle name="0_capex_Hasik_Shuwaimiyah_6118 2 2 2 3 2" xfId="13702" xr:uid="{00000000-0005-0000-0000-000078350000}"/>
    <cellStyle name="0_capex_Hasik_Shuwaimiyah_6118 2 2 2 3 2 2" xfId="13703" xr:uid="{00000000-0005-0000-0000-000079350000}"/>
    <cellStyle name="0_capex_Hasik_Shuwaimiyah_6118 2 2 2 3 3" xfId="13704" xr:uid="{00000000-0005-0000-0000-00007A350000}"/>
    <cellStyle name="0_capex_Hasik_Shuwaimiyah_6118 2 2 2 3 3 2" xfId="13705" xr:uid="{00000000-0005-0000-0000-00007B350000}"/>
    <cellStyle name="0_capex_Hasik_Shuwaimiyah_6118 2 2 2 3 4" xfId="13706" xr:uid="{00000000-0005-0000-0000-00007C350000}"/>
    <cellStyle name="0_capex_Hasik_Shuwaimiyah_6118 2 2 2 4" xfId="13707" xr:uid="{00000000-0005-0000-0000-00007D350000}"/>
    <cellStyle name="0_capex_Hasik_Shuwaimiyah_6118 2 2 2 4 2" xfId="13708" xr:uid="{00000000-0005-0000-0000-00007E350000}"/>
    <cellStyle name="0_capex_Hasik_Shuwaimiyah_6118 2 2 2 5" xfId="13709" xr:uid="{00000000-0005-0000-0000-00007F350000}"/>
    <cellStyle name="0_capex_Hasik_Shuwaimiyah_6118 2 2 2 5 2" xfId="13710" xr:uid="{00000000-0005-0000-0000-000080350000}"/>
    <cellStyle name="0_capex_Hasik_Shuwaimiyah_6118 2 2 2 6" xfId="13711" xr:uid="{00000000-0005-0000-0000-000081350000}"/>
    <cellStyle name="0_capex_Hasik_Shuwaimiyah_6118 2 2 3" xfId="13712" xr:uid="{00000000-0005-0000-0000-000082350000}"/>
    <cellStyle name="0_capex_Hasik_Shuwaimiyah_6118 2 2 3 2" xfId="13713" xr:uid="{00000000-0005-0000-0000-000083350000}"/>
    <cellStyle name="0_capex_Hasik_Shuwaimiyah_6118 2 2 3 2 2" xfId="13714" xr:uid="{00000000-0005-0000-0000-000084350000}"/>
    <cellStyle name="0_capex_Hasik_Shuwaimiyah_6118 2 2 3 3" xfId="13715" xr:uid="{00000000-0005-0000-0000-000085350000}"/>
    <cellStyle name="0_capex_Hasik_Shuwaimiyah_6118 2 2 3 3 2" xfId="13716" xr:uid="{00000000-0005-0000-0000-000086350000}"/>
    <cellStyle name="0_capex_Hasik_Shuwaimiyah_6118 2 2 3 4" xfId="13717" xr:uid="{00000000-0005-0000-0000-000087350000}"/>
    <cellStyle name="0_capex_Hasik_Shuwaimiyah_6118 2 2 4" xfId="13718" xr:uid="{00000000-0005-0000-0000-000088350000}"/>
    <cellStyle name="0_capex_Hasik_Shuwaimiyah_6118 2 2 4 2" xfId="13719" xr:uid="{00000000-0005-0000-0000-000089350000}"/>
    <cellStyle name="0_capex_Hasik_Shuwaimiyah_6118 2 2 4 2 2" xfId="13720" xr:uid="{00000000-0005-0000-0000-00008A350000}"/>
    <cellStyle name="0_capex_Hasik_Shuwaimiyah_6118 2 2 4 3" xfId="13721" xr:uid="{00000000-0005-0000-0000-00008B350000}"/>
    <cellStyle name="0_capex_Hasik_Shuwaimiyah_6118 2 2 4 3 2" xfId="13722" xr:uid="{00000000-0005-0000-0000-00008C350000}"/>
    <cellStyle name="0_capex_Hasik_Shuwaimiyah_6118 2 2 4 4" xfId="13723" xr:uid="{00000000-0005-0000-0000-00008D350000}"/>
    <cellStyle name="0_capex_Hasik_Shuwaimiyah_6118 2 2 5" xfId="13724" xr:uid="{00000000-0005-0000-0000-00008E350000}"/>
    <cellStyle name="0_capex_Hasik_Shuwaimiyah_6118 2 2 5 2" xfId="13725" xr:uid="{00000000-0005-0000-0000-00008F350000}"/>
    <cellStyle name="0_capex_Hasik_Shuwaimiyah_6118 2 2 5 2 2" xfId="13726" xr:uid="{00000000-0005-0000-0000-000090350000}"/>
    <cellStyle name="0_capex_Hasik_Shuwaimiyah_6118 2 2 5 3" xfId="13727" xr:uid="{00000000-0005-0000-0000-000091350000}"/>
    <cellStyle name="0_capex_Hasik_Shuwaimiyah_6118 2 2 5 3 2" xfId="13728" xr:uid="{00000000-0005-0000-0000-000092350000}"/>
    <cellStyle name="0_capex_Hasik_Shuwaimiyah_6118 2 2 5 4" xfId="13729" xr:uid="{00000000-0005-0000-0000-000093350000}"/>
    <cellStyle name="0_capex_Hasik_Shuwaimiyah_6118 2 2 6" xfId="13730" xr:uid="{00000000-0005-0000-0000-000094350000}"/>
    <cellStyle name="0_capex_Hasik_Shuwaimiyah_6118 2 2 6 2" xfId="13731" xr:uid="{00000000-0005-0000-0000-000095350000}"/>
    <cellStyle name="0_capex_Hasik_Shuwaimiyah_6118 2 2 7" xfId="13732" xr:uid="{00000000-0005-0000-0000-000096350000}"/>
    <cellStyle name="0_capex_Hasik_Shuwaimiyah_6118 2 2 7 2" xfId="13733" xr:uid="{00000000-0005-0000-0000-000097350000}"/>
    <cellStyle name="0_capex_Hasik_Shuwaimiyah_6118 2 2 8" xfId="13734" xr:uid="{00000000-0005-0000-0000-000098350000}"/>
    <cellStyle name="0_capex_Hasik_Shuwaimiyah_6118 2 3" xfId="13735" xr:uid="{00000000-0005-0000-0000-000099350000}"/>
    <cellStyle name="0_capex_Hasik_Shuwaimiyah_6118 2 3 2" xfId="13736" xr:uid="{00000000-0005-0000-0000-00009A350000}"/>
    <cellStyle name="0_capex_Hasik_Shuwaimiyah_6118 2 3 2 2" xfId="13737" xr:uid="{00000000-0005-0000-0000-00009B350000}"/>
    <cellStyle name="0_capex_Hasik_Shuwaimiyah_6118 2 3 2 2 2" xfId="13738" xr:uid="{00000000-0005-0000-0000-00009C350000}"/>
    <cellStyle name="0_capex_Hasik_Shuwaimiyah_6118 2 3 2 2 2 2" xfId="13739" xr:uid="{00000000-0005-0000-0000-00009D350000}"/>
    <cellStyle name="0_capex_Hasik_Shuwaimiyah_6118 2 3 2 2 3" xfId="13740" xr:uid="{00000000-0005-0000-0000-00009E350000}"/>
    <cellStyle name="0_capex_Hasik_Shuwaimiyah_6118 2 3 2 2 3 2" xfId="13741" xr:uid="{00000000-0005-0000-0000-00009F350000}"/>
    <cellStyle name="0_capex_Hasik_Shuwaimiyah_6118 2 3 2 2 4" xfId="13742" xr:uid="{00000000-0005-0000-0000-0000A0350000}"/>
    <cellStyle name="0_capex_Hasik_Shuwaimiyah_6118 2 3 2 3" xfId="13743" xr:uid="{00000000-0005-0000-0000-0000A1350000}"/>
    <cellStyle name="0_capex_Hasik_Shuwaimiyah_6118 2 3 2 3 2" xfId="13744" xr:uid="{00000000-0005-0000-0000-0000A2350000}"/>
    <cellStyle name="0_capex_Hasik_Shuwaimiyah_6118 2 3 2 3 2 2" xfId="13745" xr:uid="{00000000-0005-0000-0000-0000A3350000}"/>
    <cellStyle name="0_capex_Hasik_Shuwaimiyah_6118 2 3 2 3 3" xfId="13746" xr:uid="{00000000-0005-0000-0000-0000A4350000}"/>
    <cellStyle name="0_capex_Hasik_Shuwaimiyah_6118 2 3 2 3 3 2" xfId="13747" xr:uid="{00000000-0005-0000-0000-0000A5350000}"/>
    <cellStyle name="0_capex_Hasik_Shuwaimiyah_6118 2 3 2 3 4" xfId="13748" xr:uid="{00000000-0005-0000-0000-0000A6350000}"/>
    <cellStyle name="0_capex_Hasik_Shuwaimiyah_6118 2 3 2 4" xfId="13749" xr:uid="{00000000-0005-0000-0000-0000A7350000}"/>
    <cellStyle name="0_capex_Hasik_Shuwaimiyah_6118 2 3 2 4 2" xfId="13750" xr:uid="{00000000-0005-0000-0000-0000A8350000}"/>
    <cellStyle name="0_capex_Hasik_Shuwaimiyah_6118 2 3 2 5" xfId="13751" xr:uid="{00000000-0005-0000-0000-0000A9350000}"/>
    <cellStyle name="0_capex_Hasik_Shuwaimiyah_6118 2 3 2 5 2" xfId="13752" xr:uid="{00000000-0005-0000-0000-0000AA350000}"/>
    <cellStyle name="0_capex_Hasik_Shuwaimiyah_6118 2 3 2 6" xfId="13753" xr:uid="{00000000-0005-0000-0000-0000AB350000}"/>
    <cellStyle name="0_capex_Hasik_Shuwaimiyah_6118 2 3 3" xfId="13754" xr:uid="{00000000-0005-0000-0000-0000AC350000}"/>
    <cellStyle name="0_capex_Hasik_Shuwaimiyah_6118 2 3 3 2" xfId="13755" xr:uid="{00000000-0005-0000-0000-0000AD350000}"/>
    <cellStyle name="0_capex_Hasik_Shuwaimiyah_6118 2 3 3 2 2" xfId="13756" xr:uid="{00000000-0005-0000-0000-0000AE350000}"/>
    <cellStyle name="0_capex_Hasik_Shuwaimiyah_6118 2 3 3 3" xfId="13757" xr:uid="{00000000-0005-0000-0000-0000AF350000}"/>
    <cellStyle name="0_capex_Hasik_Shuwaimiyah_6118 2 3 3 3 2" xfId="13758" xr:uid="{00000000-0005-0000-0000-0000B0350000}"/>
    <cellStyle name="0_capex_Hasik_Shuwaimiyah_6118 2 3 3 4" xfId="13759" xr:uid="{00000000-0005-0000-0000-0000B1350000}"/>
    <cellStyle name="0_capex_Hasik_Shuwaimiyah_6118 2 3 4" xfId="13760" xr:uid="{00000000-0005-0000-0000-0000B2350000}"/>
    <cellStyle name="0_capex_Hasik_Shuwaimiyah_6118 2 3 4 2" xfId="13761" xr:uid="{00000000-0005-0000-0000-0000B3350000}"/>
    <cellStyle name="0_capex_Hasik_Shuwaimiyah_6118 2 3 4 2 2" xfId="13762" xr:uid="{00000000-0005-0000-0000-0000B4350000}"/>
    <cellStyle name="0_capex_Hasik_Shuwaimiyah_6118 2 3 4 3" xfId="13763" xr:uid="{00000000-0005-0000-0000-0000B5350000}"/>
    <cellStyle name="0_capex_Hasik_Shuwaimiyah_6118 2 3 4 3 2" xfId="13764" xr:uid="{00000000-0005-0000-0000-0000B6350000}"/>
    <cellStyle name="0_capex_Hasik_Shuwaimiyah_6118 2 3 4 4" xfId="13765" xr:uid="{00000000-0005-0000-0000-0000B7350000}"/>
    <cellStyle name="0_capex_Hasik_Shuwaimiyah_6118 2 3 5" xfId="13766" xr:uid="{00000000-0005-0000-0000-0000B8350000}"/>
    <cellStyle name="0_capex_Hasik_Shuwaimiyah_6118 2 3 5 2" xfId="13767" xr:uid="{00000000-0005-0000-0000-0000B9350000}"/>
    <cellStyle name="0_capex_Hasik_Shuwaimiyah_6118 2 3 5 2 2" xfId="13768" xr:uid="{00000000-0005-0000-0000-0000BA350000}"/>
    <cellStyle name="0_capex_Hasik_Shuwaimiyah_6118 2 3 5 3" xfId="13769" xr:uid="{00000000-0005-0000-0000-0000BB350000}"/>
    <cellStyle name="0_capex_Hasik_Shuwaimiyah_6118 2 3 5 3 2" xfId="13770" xr:uid="{00000000-0005-0000-0000-0000BC350000}"/>
    <cellStyle name="0_capex_Hasik_Shuwaimiyah_6118 2 3 5 4" xfId="13771" xr:uid="{00000000-0005-0000-0000-0000BD350000}"/>
    <cellStyle name="0_capex_Hasik_Shuwaimiyah_6118 2 3 6" xfId="13772" xr:uid="{00000000-0005-0000-0000-0000BE350000}"/>
    <cellStyle name="0_capex_Hasik_Shuwaimiyah_6118 2 3 6 2" xfId="13773" xr:uid="{00000000-0005-0000-0000-0000BF350000}"/>
    <cellStyle name="0_capex_Hasik_Shuwaimiyah_6118 2 3 7" xfId="13774" xr:uid="{00000000-0005-0000-0000-0000C0350000}"/>
    <cellStyle name="0_capex_Hasik_Shuwaimiyah_6118 2 3 7 2" xfId="13775" xr:uid="{00000000-0005-0000-0000-0000C1350000}"/>
    <cellStyle name="0_capex_Hasik_Shuwaimiyah_6118 2 3 8" xfId="13776" xr:uid="{00000000-0005-0000-0000-0000C2350000}"/>
    <cellStyle name="0_capex_Hasik_Shuwaimiyah_6118 2 4" xfId="13777" xr:uid="{00000000-0005-0000-0000-0000C3350000}"/>
    <cellStyle name="0_capex_Hasik_Shuwaimiyah_6118 2 4 2" xfId="13778" xr:uid="{00000000-0005-0000-0000-0000C4350000}"/>
    <cellStyle name="0_capex_Hasik_Shuwaimiyah_6118 2 4 2 2" xfId="13779" xr:uid="{00000000-0005-0000-0000-0000C5350000}"/>
    <cellStyle name="0_capex_Hasik_Shuwaimiyah_6118 2 4 2 2 2" xfId="13780" xr:uid="{00000000-0005-0000-0000-0000C6350000}"/>
    <cellStyle name="0_capex_Hasik_Shuwaimiyah_6118 2 4 2 2 2 2" xfId="13781" xr:uid="{00000000-0005-0000-0000-0000C7350000}"/>
    <cellStyle name="0_capex_Hasik_Shuwaimiyah_6118 2 4 2 2 3" xfId="13782" xr:uid="{00000000-0005-0000-0000-0000C8350000}"/>
    <cellStyle name="0_capex_Hasik_Shuwaimiyah_6118 2 4 2 2 3 2" xfId="13783" xr:uid="{00000000-0005-0000-0000-0000C9350000}"/>
    <cellStyle name="0_capex_Hasik_Shuwaimiyah_6118 2 4 2 2 4" xfId="13784" xr:uid="{00000000-0005-0000-0000-0000CA350000}"/>
    <cellStyle name="0_capex_Hasik_Shuwaimiyah_6118 2 4 2 3" xfId="13785" xr:uid="{00000000-0005-0000-0000-0000CB350000}"/>
    <cellStyle name="0_capex_Hasik_Shuwaimiyah_6118 2 4 2 3 2" xfId="13786" xr:uid="{00000000-0005-0000-0000-0000CC350000}"/>
    <cellStyle name="0_capex_Hasik_Shuwaimiyah_6118 2 4 2 3 2 2" xfId="13787" xr:uid="{00000000-0005-0000-0000-0000CD350000}"/>
    <cellStyle name="0_capex_Hasik_Shuwaimiyah_6118 2 4 2 3 3" xfId="13788" xr:uid="{00000000-0005-0000-0000-0000CE350000}"/>
    <cellStyle name="0_capex_Hasik_Shuwaimiyah_6118 2 4 2 3 3 2" xfId="13789" xr:uid="{00000000-0005-0000-0000-0000CF350000}"/>
    <cellStyle name="0_capex_Hasik_Shuwaimiyah_6118 2 4 2 3 4" xfId="13790" xr:uid="{00000000-0005-0000-0000-0000D0350000}"/>
    <cellStyle name="0_capex_Hasik_Shuwaimiyah_6118 2 4 2 4" xfId="13791" xr:uid="{00000000-0005-0000-0000-0000D1350000}"/>
    <cellStyle name="0_capex_Hasik_Shuwaimiyah_6118 2 4 2 4 2" xfId="13792" xr:uid="{00000000-0005-0000-0000-0000D2350000}"/>
    <cellStyle name="0_capex_Hasik_Shuwaimiyah_6118 2 4 2 5" xfId="13793" xr:uid="{00000000-0005-0000-0000-0000D3350000}"/>
    <cellStyle name="0_capex_Hasik_Shuwaimiyah_6118 2 4 2 5 2" xfId="13794" xr:uid="{00000000-0005-0000-0000-0000D4350000}"/>
    <cellStyle name="0_capex_Hasik_Shuwaimiyah_6118 2 4 2 6" xfId="13795" xr:uid="{00000000-0005-0000-0000-0000D5350000}"/>
    <cellStyle name="0_capex_Hasik_Shuwaimiyah_6118 2 4 3" xfId="13796" xr:uid="{00000000-0005-0000-0000-0000D6350000}"/>
    <cellStyle name="0_capex_Hasik_Shuwaimiyah_6118 2 4 3 2" xfId="13797" xr:uid="{00000000-0005-0000-0000-0000D7350000}"/>
    <cellStyle name="0_capex_Hasik_Shuwaimiyah_6118 2 4 3 2 2" xfId="13798" xr:uid="{00000000-0005-0000-0000-0000D8350000}"/>
    <cellStyle name="0_capex_Hasik_Shuwaimiyah_6118 2 4 3 3" xfId="13799" xr:uid="{00000000-0005-0000-0000-0000D9350000}"/>
    <cellStyle name="0_capex_Hasik_Shuwaimiyah_6118 2 4 3 3 2" xfId="13800" xr:uid="{00000000-0005-0000-0000-0000DA350000}"/>
    <cellStyle name="0_capex_Hasik_Shuwaimiyah_6118 2 4 3 4" xfId="13801" xr:uid="{00000000-0005-0000-0000-0000DB350000}"/>
    <cellStyle name="0_capex_Hasik_Shuwaimiyah_6118 2 4 4" xfId="13802" xr:uid="{00000000-0005-0000-0000-0000DC350000}"/>
    <cellStyle name="0_capex_Hasik_Shuwaimiyah_6118 2 4 4 2" xfId="13803" xr:uid="{00000000-0005-0000-0000-0000DD350000}"/>
    <cellStyle name="0_capex_Hasik_Shuwaimiyah_6118 2 4 4 2 2" xfId="13804" xr:uid="{00000000-0005-0000-0000-0000DE350000}"/>
    <cellStyle name="0_capex_Hasik_Shuwaimiyah_6118 2 4 4 3" xfId="13805" xr:uid="{00000000-0005-0000-0000-0000DF350000}"/>
    <cellStyle name="0_capex_Hasik_Shuwaimiyah_6118 2 4 4 3 2" xfId="13806" xr:uid="{00000000-0005-0000-0000-0000E0350000}"/>
    <cellStyle name="0_capex_Hasik_Shuwaimiyah_6118 2 4 4 4" xfId="13807" xr:uid="{00000000-0005-0000-0000-0000E1350000}"/>
    <cellStyle name="0_capex_Hasik_Shuwaimiyah_6118 2 4 5" xfId="13808" xr:uid="{00000000-0005-0000-0000-0000E2350000}"/>
    <cellStyle name="0_capex_Hasik_Shuwaimiyah_6118 2 4 5 2" xfId="13809" xr:uid="{00000000-0005-0000-0000-0000E3350000}"/>
    <cellStyle name="0_capex_Hasik_Shuwaimiyah_6118 2 4 5 2 2" xfId="13810" xr:uid="{00000000-0005-0000-0000-0000E4350000}"/>
    <cellStyle name="0_capex_Hasik_Shuwaimiyah_6118 2 4 5 3" xfId="13811" xr:uid="{00000000-0005-0000-0000-0000E5350000}"/>
    <cellStyle name="0_capex_Hasik_Shuwaimiyah_6118 2 4 5 3 2" xfId="13812" xr:uid="{00000000-0005-0000-0000-0000E6350000}"/>
    <cellStyle name="0_capex_Hasik_Shuwaimiyah_6118 2 4 5 4" xfId="13813" xr:uid="{00000000-0005-0000-0000-0000E7350000}"/>
    <cellStyle name="0_capex_Hasik_Shuwaimiyah_6118 2 4 6" xfId="13814" xr:uid="{00000000-0005-0000-0000-0000E8350000}"/>
    <cellStyle name="0_capex_Hasik_Shuwaimiyah_6118 2 4 6 2" xfId="13815" xr:uid="{00000000-0005-0000-0000-0000E9350000}"/>
    <cellStyle name="0_capex_Hasik_Shuwaimiyah_6118 2 4 7" xfId="13816" xr:uid="{00000000-0005-0000-0000-0000EA350000}"/>
    <cellStyle name="0_capex_Hasik_Shuwaimiyah_6118 2 4 7 2" xfId="13817" xr:uid="{00000000-0005-0000-0000-0000EB350000}"/>
    <cellStyle name="0_capex_Hasik_Shuwaimiyah_6118 2 4 8" xfId="13818" xr:uid="{00000000-0005-0000-0000-0000EC350000}"/>
    <cellStyle name="0_capex_Hasik_Shuwaimiyah_6118 2 5" xfId="13819" xr:uid="{00000000-0005-0000-0000-0000ED350000}"/>
    <cellStyle name="0_capex_Hasik_Shuwaimiyah_6118 2 5 2" xfId="13820" xr:uid="{00000000-0005-0000-0000-0000EE350000}"/>
    <cellStyle name="0_capex_Hasik_Shuwaimiyah_6118 2 5 2 2" xfId="13821" xr:uid="{00000000-0005-0000-0000-0000EF350000}"/>
    <cellStyle name="0_capex_Hasik_Shuwaimiyah_6118 2 5 2 2 2" xfId="13822" xr:uid="{00000000-0005-0000-0000-0000F0350000}"/>
    <cellStyle name="0_capex_Hasik_Shuwaimiyah_6118 2 5 2 2 2 2" xfId="13823" xr:uid="{00000000-0005-0000-0000-0000F1350000}"/>
    <cellStyle name="0_capex_Hasik_Shuwaimiyah_6118 2 5 2 2 3" xfId="13824" xr:uid="{00000000-0005-0000-0000-0000F2350000}"/>
    <cellStyle name="0_capex_Hasik_Shuwaimiyah_6118 2 5 2 2 3 2" xfId="13825" xr:uid="{00000000-0005-0000-0000-0000F3350000}"/>
    <cellStyle name="0_capex_Hasik_Shuwaimiyah_6118 2 5 2 2 4" xfId="13826" xr:uid="{00000000-0005-0000-0000-0000F4350000}"/>
    <cellStyle name="0_capex_Hasik_Shuwaimiyah_6118 2 5 2 3" xfId="13827" xr:uid="{00000000-0005-0000-0000-0000F5350000}"/>
    <cellStyle name="0_capex_Hasik_Shuwaimiyah_6118 2 5 2 3 2" xfId="13828" xr:uid="{00000000-0005-0000-0000-0000F6350000}"/>
    <cellStyle name="0_capex_Hasik_Shuwaimiyah_6118 2 5 2 3 2 2" xfId="13829" xr:uid="{00000000-0005-0000-0000-0000F7350000}"/>
    <cellStyle name="0_capex_Hasik_Shuwaimiyah_6118 2 5 2 3 3" xfId="13830" xr:uid="{00000000-0005-0000-0000-0000F8350000}"/>
    <cellStyle name="0_capex_Hasik_Shuwaimiyah_6118 2 5 2 3 3 2" xfId="13831" xr:uid="{00000000-0005-0000-0000-0000F9350000}"/>
    <cellStyle name="0_capex_Hasik_Shuwaimiyah_6118 2 5 2 3 4" xfId="13832" xr:uid="{00000000-0005-0000-0000-0000FA350000}"/>
    <cellStyle name="0_capex_Hasik_Shuwaimiyah_6118 2 5 2 4" xfId="13833" xr:uid="{00000000-0005-0000-0000-0000FB350000}"/>
    <cellStyle name="0_capex_Hasik_Shuwaimiyah_6118 2 5 2 4 2" xfId="13834" xr:uid="{00000000-0005-0000-0000-0000FC350000}"/>
    <cellStyle name="0_capex_Hasik_Shuwaimiyah_6118 2 5 2 5" xfId="13835" xr:uid="{00000000-0005-0000-0000-0000FD350000}"/>
    <cellStyle name="0_capex_Hasik_Shuwaimiyah_6118 2 5 2 5 2" xfId="13836" xr:uid="{00000000-0005-0000-0000-0000FE350000}"/>
    <cellStyle name="0_capex_Hasik_Shuwaimiyah_6118 2 5 2 6" xfId="13837" xr:uid="{00000000-0005-0000-0000-0000FF350000}"/>
    <cellStyle name="0_capex_Hasik_Shuwaimiyah_6118 2 5 3" xfId="13838" xr:uid="{00000000-0005-0000-0000-000000360000}"/>
    <cellStyle name="0_capex_Hasik_Shuwaimiyah_6118 2 5 3 2" xfId="13839" xr:uid="{00000000-0005-0000-0000-000001360000}"/>
    <cellStyle name="0_capex_Hasik_Shuwaimiyah_6118 2 5 3 2 2" xfId="13840" xr:uid="{00000000-0005-0000-0000-000002360000}"/>
    <cellStyle name="0_capex_Hasik_Shuwaimiyah_6118 2 5 3 3" xfId="13841" xr:uid="{00000000-0005-0000-0000-000003360000}"/>
    <cellStyle name="0_capex_Hasik_Shuwaimiyah_6118 2 5 3 3 2" xfId="13842" xr:uid="{00000000-0005-0000-0000-000004360000}"/>
    <cellStyle name="0_capex_Hasik_Shuwaimiyah_6118 2 5 3 4" xfId="13843" xr:uid="{00000000-0005-0000-0000-000005360000}"/>
    <cellStyle name="0_capex_Hasik_Shuwaimiyah_6118 2 5 4" xfId="13844" xr:uid="{00000000-0005-0000-0000-000006360000}"/>
    <cellStyle name="0_capex_Hasik_Shuwaimiyah_6118 2 5 4 2" xfId="13845" xr:uid="{00000000-0005-0000-0000-000007360000}"/>
    <cellStyle name="0_capex_Hasik_Shuwaimiyah_6118 2 5 4 2 2" xfId="13846" xr:uid="{00000000-0005-0000-0000-000008360000}"/>
    <cellStyle name="0_capex_Hasik_Shuwaimiyah_6118 2 5 4 3" xfId="13847" xr:uid="{00000000-0005-0000-0000-000009360000}"/>
    <cellStyle name="0_capex_Hasik_Shuwaimiyah_6118 2 5 4 3 2" xfId="13848" xr:uid="{00000000-0005-0000-0000-00000A360000}"/>
    <cellStyle name="0_capex_Hasik_Shuwaimiyah_6118 2 5 4 4" xfId="13849" xr:uid="{00000000-0005-0000-0000-00000B360000}"/>
    <cellStyle name="0_capex_Hasik_Shuwaimiyah_6118 2 5 5" xfId="13850" xr:uid="{00000000-0005-0000-0000-00000C360000}"/>
    <cellStyle name="0_capex_Hasik_Shuwaimiyah_6118 2 5 5 2" xfId="13851" xr:uid="{00000000-0005-0000-0000-00000D360000}"/>
    <cellStyle name="0_capex_Hasik_Shuwaimiyah_6118 2 5 5 2 2" xfId="13852" xr:uid="{00000000-0005-0000-0000-00000E360000}"/>
    <cellStyle name="0_capex_Hasik_Shuwaimiyah_6118 2 5 5 3" xfId="13853" xr:uid="{00000000-0005-0000-0000-00000F360000}"/>
    <cellStyle name="0_capex_Hasik_Shuwaimiyah_6118 2 5 5 3 2" xfId="13854" xr:uid="{00000000-0005-0000-0000-000010360000}"/>
    <cellStyle name="0_capex_Hasik_Shuwaimiyah_6118 2 5 5 4" xfId="13855" xr:uid="{00000000-0005-0000-0000-000011360000}"/>
    <cellStyle name="0_capex_Hasik_Shuwaimiyah_6118 2 5 6" xfId="13856" xr:uid="{00000000-0005-0000-0000-000012360000}"/>
    <cellStyle name="0_capex_Hasik_Shuwaimiyah_6118 2 5 6 2" xfId="13857" xr:uid="{00000000-0005-0000-0000-000013360000}"/>
    <cellStyle name="0_capex_Hasik_Shuwaimiyah_6118 2 5 7" xfId="13858" xr:uid="{00000000-0005-0000-0000-000014360000}"/>
    <cellStyle name="0_capex_Hasik_Shuwaimiyah_6118 2 5 7 2" xfId="13859" xr:uid="{00000000-0005-0000-0000-000015360000}"/>
    <cellStyle name="0_capex_Hasik_Shuwaimiyah_6118 2 5 8" xfId="13860" xr:uid="{00000000-0005-0000-0000-000016360000}"/>
    <cellStyle name="0_capex_Hasik_Shuwaimiyah_6118 2 6" xfId="13861" xr:uid="{00000000-0005-0000-0000-000017360000}"/>
    <cellStyle name="0_capex_Hasik_Shuwaimiyah_6118 2 6 2" xfId="13862" xr:uid="{00000000-0005-0000-0000-000018360000}"/>
    <cellStyle name="0_capex_Hasik_Shuwaimiyah_6118 2 6 2 2" xfId="13863" xr:uid="{00000000-0005-0000-0000-000019360000}"/>
    <cellStyle name="0_capex_Hasik_Shuwaimiyah_6118 2 6 2 2 2" xfId="13864" xr:uid="{00000000-0005-0000-0000-00001A360000}"/>
    <cellStyle name="0_capex_Hasik_Shuwaimiyah_6118 2 6 2 2 2 2" xfId="13865" xr:uid="{00000000-0005-0000-0000-00001B360000}"/>
    <cellStyle name="0_capex_Hasik_Shuwaimiyah_6118 2 6 2 2 3" xfId="13866" xr:uid="{00000000-0005-0000-0000-00001C360000}"/>
    <cellStyle name="0_capex_Hasik_Shuwaimiyah_6118 2 6 2 2 3 2" xfId="13867" xr:uid="{00000000-0005-0000-0000-00001D360000}"/>
    <cellStyle name="0_capex_Hasik_Shuwaimiyah_6118 2 6 2 2 4" xfId="13868" xr:uid="{00000000-0005-0000-0000-00001E360000}"/>
    <cellStyle name="0_capex_Hasik_Shuwaimiyah_6118 2 6 2 3" xfId="13869" xr:uid="{00000000-0005-0000-0000-00001F360000}"/>
    <cellStyle name="0_capex_Hasik_Shuwaimiyah_6118 2 6 2 3 2" xfId="13870" xr:uid="{00000000-0005-0000-0000-000020360000}"/>
    <cellStyle name="0_capex_Hasik_Shuwaimiyah_6118 2 6 2 3 2 2" xfId="13871" xr:uid="{00000000-0005-0000-0000-000021360000}"/>
    <cellStyle name="0_capex_Hasik_Shuwaimiyah_6118 2 6 2 3 3" xfId="13872" xr:uid="{00000000-0005-0000-0000-000022360000}"/>
    <cellStyle name="0_capex_Hasik_Shuwaimiyah_6118 2 6 2 3 3 2" xfId="13873" xr:uid="{00000000-0005-0000-0000-000023360000}"/>
    <cellStyle name="0_capex_Hasik_Shuwaimiyah_6118 2 6 2 3 4" xfId="13874" xr:uid="{00000000-0005-0000-0000-000024360000}"/>
    <cellStyle name="0_capex_Hasik_Shuwaimiyah_6118 2 6 2 4" xfId="13875" xr:uid="{00000000-0005-0000-0000-000025360000}"/>
    <cellStyle name="0_capex_Hasik_Shuwaimiyah_6118 2 6 2 4 2" xfId="13876" xr:uid="{00000000-0005-0000-0000-000026360000}"/>
    <cellStyle name="0_capex_Hasik_Shuwaimiyah_6118 2 6 2 5" xfId="13877" xr:uid="{00000000-0005-0000-0000-000027360000}"/>
    <cellStyle name="0_capex_Hasik_Shuwaimiyah_6118 2 6 2 5 2" xfId="13878" xr:uid="{00000000-0005-0000-0000-000028360000}"/>
    <cellStyle name="0_capex_Hasik_Shuwaimiyah_6118 2 6 2 6" xfId="13879" xr:uid="{00000000-0005-0000-0000-000029360000}"/>
    <cellStyle name="0_capex_Hasik_Shuwaimiyah_6118 2 6 3" xfId="13880" xr:uid="{00000000-0005-0000-0000-00002A360000}"/>
    <cellStyle name="0_capex_Hasik_Shuwaimiyah_6118 2 6 3 2" xfId="13881" xr:uid="{00000000-0005-0000-0000-00002B360000}"/>
    <cellStyle name="0_capex_Hasik_Shuwaimiyah_6118 2 6 3 2 2" xfId="13882" xr:uid="{00000000-0005-0000-0000-00002C360000}"/>
    <cellStyle name="0_capex_Hasik_Shuwaimiyah_6118 2 6 3 3" xfId="13883" xr:uid="{00000000-0005-0000-0000-00002D360000}"/>
    <cellStyle name="0_capex_Hasik_Shuwaimiyah_6118 2 6 3 3 2" xfId="13884" xr:uid="{00000000-0005-0000-0000-00002E360000}"/>
    <cellStyle name="0_capex_Hasik_Shuwaimiyah_6118 2 6 3 4" xfId="13885" xr:uid="{00000000-0005-0000-0000-00002F360000}"/>
    <cellStyle name="0_capex_Hasik_Shuwaimiyah_6118 2 6 4" xfId="13886" xr:uid="{00000000-0005-0000-0000-000030360000}"/>
    <cellStyle name="0_capex_Hasik_Shuwaimiyah_6118 2 6 4 2" xfId="13887" xr:uid="{00000000-0005-0000-0000-000031360000}"/>
    <cellStyle name="0_capex_Hasik_Shuwaimiyah_6118 2 6 4 2 2" xfId="13888" xr:uid="{00000000-0005-0000-0000-000032360000}"/>
    <cellStyle name="0_capex_Hasik_Shuwaimiyah_6118 2 6 4 3" xfId="13889" xr:uid="{00000000-0005-0000-0000-000033360000}"/>
    <cellStyle name="0_capex_Hasik_Shuwaimiyah_6118 2 6 4 3 2" xfId="13890" xr:uid="{00000000-0005-0000-0000-000034360000}"/>
    <cellStyle name="0_capex_Hasik_Shuwaimiyah_6118 2 6 4 4" xfId="13891" xr:uid="{00000000-0005-0000-0000-000035360000}"/>
    <cellStyle name="0_capex_Hasik_Shuwaimiyah_6118 2 6 5" xfId="13892" xr:uid="{00000000-0005-0000-0000-000036360000}"/>
    <cellStyle name="0_capex_Hasik_Shuwaimiyah_6118 2 6 5 2" xfId="13893" xr:uid="{00000000-0005-0000-0000-000037360000}"/>
    <cellStyle name="0_capex_Hasik_Shuwaimiyah_6118 2 6 5 2 2" xfId="13894" xr:uid="{00000000-0005-0000-0000-000038360000}"/>
    <cellStyle name="0_capex_Hasik_Shuwaimiyah_6118 2 6 5 3" xfId="13895" xr:uid="{00000000-0005-0000-0000-000039360000}"/>
    <cellStyle name="0_capex_Hasik_Shuwaimiyah_6118 2 6 5 3 2" xfId="13896" xr:uid="{00000000-0005-0000-0000-00003A360000}"/>
    <cellStyle name="0_capex_Hasik_Shuwaimiyah_6118 2 6 5 4" xfId="13897" xr:uid="{00000000-0005-0000-0000-00003B360000}"/>
    <cellStyle name="0_capex_Hasik_Shuwaimiyah_6118 2 6 6" xfId="13898" xr:uid="{00000000-0005-0000-0000-00003C360000}"/>
    <cellStyle name="0_capex_Hasik_Shuwaimiyah_6118 2 6 6 2" xfId="13899" xr:uid="{00000000-0005-0000-0000-00003D360000}"/>
    <cellStyle name="0_capex_Hasik_Shuwaimiyah_6118 2 6 7" xfId="13900" xr:uid="{00000000-0005-0000-0000-00003E360000}"/>
    <cellStyle name="0_capex_Hasik_Shuwaimiyah_6118 2 6 7 2" xfId="13901" xr:uid="{00000000-0005-0000-0000-00003F360000}"/>
    <cellStyle name="0_capex_Hasik_Shuwaimiyah_6118 2 6 8" xfId="13902" xr:uid="{00000000-0005-0000-0000-000040360000}"/>
    <cellStyle name="0_capex_Hasik_Shuwaimiyah_6118 2 7" xfId="13903" xr:uid="{00000000-0005-0000-0000-000041360000}"/>
    <cellStyle name="0_capex_Hasik_Shuwaimiyah_6118 2 7 2" xfId="13904" xr:uid="{00000000-0005-0000-0000-000042360000}"/>
    <cellStyle name="0_capex_Hasik_Shuwaimiyah_6118 2 7 2 2" xfId="13905" xr:uid="{00000000-0005-0000-0000-000043360000}"/>
    <cellStyle name="0_capex_Hasik_Shuwaimiyah_6118 2 7 2 2 2" xfId="13906" xr:uid="{00000000-0005-0000-0000-000044360000}"/>
    <cellStyle name="0_capex_Hasik_Shuwaimiyah_6118 2 7 2 3" xfId="13907" xr:uid="{00000000-0005-0000-0000-000045360000}"/>
    <cellStyle name="0_capex_Hasik_Shuwaimiyah_6118 2 7 2 3 2" xfId="13908" xr:uid="{00000000-0005-0000-0000-000046360000}"/>
    <cellStyle name="0_capex_Hasik_Shuwaimiyah_6118 2 7 2 4" xfId="13909" xr:uid="{00000000-0005-0000-0000-000047360000}"/>
    <cellStyle name="0_capex_Hasik_Shuwaimiyah_6118 2 7 3" xfId="13910" xr:uid="{00000000-0005-0000-0000-000048360000}"/>
    <cellStyle name="0_capex_Hasik_Shuwaimiyah_6118 2 7 3 2" xfId="13911" xr:uid="{00000000-0005-0000-0000-000049360000}"/>
    <cellStyle name="0_capex_Hasik_Shuwaimiyah_6118 2 7 3 2 2" xfId="13912" xr:uid="{00000000-0005-0000-0000-00004A360000}"/>
    <cellStyle name="0_capex_Hasik_Shuwaimiyah_6118 2 7 3 3" xfId="13913" xr:uid="{00000000-0005-0000-0000-00004B360000}"/>
    <cellStyle name="0_capex_Hasik_Shuwaimiyah_6118 2 7 3 3 2" xfId="13914" xr:uid="{00000000-0005-0000-0000-00004C360000}"/>
    <cellStyle name="0_capex_Hasik_Shuwaimiyah_6118 2 7 3 4" xfId="13915" xr:uid="{00000000-0005-0000-0000-00004D360000}"/>
    <cellStyle name="0_capex_Hasik_Shuwaimiyah_6118 2 7 4" xfId="13916" xr:uid="{00000000-0005-0000-0000-00004E360000}"/>
    <cellStyle name="0_capex_Hasik_Shuwaimiyah_6118 2 7 4 2" xfId="13917" xr:uid="{00000000-0005-0000-0000-00004F360000}"/>
    <cellStyle name="0_capex_Hasik_Shuwaimiyah_6118 2 7 5" xfId="13918" xr:uid="{00000000-0005-0000-0000-000050360000}"/>
    <cellStyle name="0_capex_Hasik_Shuwaimiyah_6118 2 7 5 2" xfId="13919" xr:uid="{00000000-0005-0000-0000-000051360000}"/>
    <cellStyle name="0_capex_Hasik_Shuwaimiyah_6118 2 7 6" xfId="13920" xr:uid="{00000000-0005-0000-0000-000052360000}"/>
    <cellStyle name="0_capex_Hasik_Shuwaimiyah_6118 2 8" xfId="13921" xr:uid="{00000000-0005-0000-0000-000053360000}"/>
    <cellStyle name="0_capex_Hasik_Shuwaimiyah_6118 2 8 2" xfId="13922" xr:uid="{00000000-0005-0000-0000-000054360000}"/>
    <cellStyle name="0_capex_Hasik_Shuwaimiyah_6118 2 8 2 2" xfId="13923" xr:uid="{00000000-0005-0000-0000-000055360000}"/>
    <cellStyle name="0_capex_Hasik_Shuwaimiyah_6118 2 8 3" xfId="13924" xr:uid="{00000000-0005-0000-0000-000056360000}"/>
    <cellStyle name="0_capex_Hasik_Shuwaimiyah_6118 2 8 3 2" xfId="13925" xr:uid="{00000000-0005-0000-0000-000057360000}"/>
    <cellStyle name="0_capex_Hasik_Shuwaimiyah_6118 2 8 4" xfId="13926" xr:uid="{00000000-0005-0000-0000-000058360000}"/>
    <cellStyle name="0_capex_Hasik_Shuwaimiyah_6118 2 9" xfId="13927" xr:uid="{00000000-0005-0000-0000-000059360000}"/>
    <cellStyle name="0_capex_Hasik_Shuwaimiyah_6118 2 9 2" xfId="13928" xr:uid="{00000000-0005-0000-0000-00005A360000}"/>
    <cellStyle name="0_capex_Hasik_Shuwaimiyah_6118 2 9 2 2" xfId="13929" xr:uid="{00000000-0005-0000-0000-00005B360000}"/>
    <cellStyle name="0_capex_Hasik_Shuwaimiyah_6118 2 9 3" xfId="13930" xr:uid="{00000000-0005-0000-0000-00005C360000}"/>
    <cellStyle name="0_capex_Hasik_Shuwaimiyah_6118 2 9 3 2" xfId="13931" xr:uid="{00000000-0005-0000-0000-00005D360000}"/>
    <cellStyle name="0_capex_Hasik_Shuwaimiyah_6118 2 9 4" xfId="13932" xr:uid="{00000000-0005-0000-0000-00005E360000}"/>
    <cellStyle name="0_capex_Hasik_Shuwaimiyah_6118 20" xfId="13933" xr:uid="{00000000-0005-0000-0000-00005F360000}"/>
    <cellStyle name="0_capex_Hasik_Shuwaimiyah_6118 21" xfId="13934" xr:uid="{00000000-0005-0000-0000-000060360000}"/>
    <cellStyle name="0_capex_Hasik_Shuwaimiyah_6118 22" xfId="13935" xr:uid="{00000000-0005-0000-0000-000061360000}"/>
    <cellStyle name="0_capex_Hasik_Shuwaimiyah_6118 3" xfId="13936" xr:uid="{00000000-0005-0000-0000-000062360000}"/>
    <cellStyle name="0_capex_Hasik_Shuwaimiyah_6118 3 10" xfId="13937" xr:uid="{00000000-0005-0000-0000-000063360000}"/>
    <cellStyle name="0_capex_Hasik_Shuwaimiyah_6118 3 10 2" xfId="13938" xr:uid="{00000000-0005-0000-0000-000064360000}"/>
    <cellStyle name="0_capex_Hasik_Shuwaimiyah_6118 3 10 2 2" xfId="13939" xr:uid="{00000000-0005-0000-0000-000065360000}"/>
    <cellStyle name="0_capex_Hasik_Shuwaimiyah_6118 3 10 3" xfId="13940" xr:uid="{00000000-0005-0000-0000-000066360000}"/>
    <cellStyle name="0_capex_Hasik_Shuwaimiyah_6118 3 10 3 2" xfId="13941" xr:uid="{00000000-0005-0000-0000-000067360000}"/>
    <cellStyle name="0_capex_Hasik_Shuwaimiyah_6118 3 10 4" xfId="13942" xr:uid="{00000000-0005-0000-0000-000068360000}"/>
    <cellStyle name="0_capex_Hasik_Shuwaimiyah_6118 3 11" xfId="13943" xr:uid="{00000000-0005-0000-0000-000069360000}"/>
    <cellStyle name="0_capex_Hasik_Shuwaimiyah_6118 3 11 2" xfId="13944" xr:uid="{00000000-0005-0000-0000-00006A360000}"/>
    <cellStyle name="0_capex_Hasik_Shuwaimiyah_6118 3 12" xfId="13945" xr:uid="{00000000-0005-0000-0000-00006B360000}"/>
    <cellStyle name="0_capex_Hasik_Shuwaimiyah_6118 3 12 2" xfId="13946" xr:uid="{00000000-0005-0000-0000-00006C360000}"/>
    <cellStyle name="0_capex_Hasik_Shuwaimiyah_6118 3 13" xfId="13947" xr:uid="{00000000-0005-0000-0000-00006D360000}"/>
    <cellStyle name="0_capex_Hasik_Shuwaimiyah_6118 3 2" xfId="13948" xr:uid="{00000000-0005-0000-0000-00006E360000}"/>
    <cellStyle name="0_capex_Hasik_Shuwaimiyah_6118 3 2 2" xfId="13949" xr:uid="{00000000-0005-0000-0000-00006F360000}"/>
    <cellStyle name="0_capex_Hasik_Shuwaimiyah_6118 3 2 2 2" xfId="13950" xr:uid="{00000000-0005-0000-0000-000070360000}"/>
    <cellStyle name="0_capex_Hasik_Shuwaimiyah_6118 3 2 2 2 2" xfId="13951" xr:uid="{00000000-0005-0000-0000-000071360000}"/>
    <cellStyle name="0_capex_Hasik_Shuwaimiyah_6118 3 2 2 2 2 2" xfId="13952" xr:uid="{00000000-0005-0000-0000-000072360000}"/>
    <cellStyle name="0_capex_Hasik_Shuwaimiyah_6118 3 2 2 2 3" xfId="13953" xr:uid="{00000000-0005-0000-0000-000073360000}"/>
    <cellStyle name="0_capex_Hasik_Shuwaimiyah_6118 3 2 2 2 3 2" xfId="13954" xr:uid="{00000000-0005-0000-0000-000074360000}"/>
    <cellStyle name="0_capex_Hasik_Shuwaimiyah_6118 3 2 2 2 4" xfId="13955" xr:uid="{00000000-0005-0000-0000-000075360000}"/>
    <cellStyle name="0_capex_Hasik_Shuwaimiyah_6118 3 2 2 3" xfId="13956" xr:uid="{00000000-0005-0000-0000-000076360000}"/>
    <cellStyle name="0_capex_Hasik_Shuwaimiyah_6118 3 2 2 3 2" xfId="13957" xr:uid="{00000000-0005-0000-0000-000077360000}"/>
    <cellStyle name="0_capex_Hasik_Shuwaimiyah_6118 3 2 2 3 2 2" xfId="13958" xr:uid="{00000000-0005-0000-0000-000078360000}"/>
    <cellStyle name="0_capex_Hasik_Shuwaimiyah_6118 3 2 2 3 3" xfId="13959" xr:uid="{00000000-0005-0000-0000-000079360000}"/>
    <cellStyle name="0_capex_Hasik_Shuwaimiyah_6118 3 2 2 3 3 2" xfId="13960" xr:uid="{00000000-0005-0000-0000-00007A360000}"/>
    <cellStyle name="0_capex_Hasik_Shuwaimiyah_6118 3 2 2 3 4" xfId="13961" xr:uid="{00000000-0005-0000-0000-00007B360000}"/>
    <cellStyle name="0_capex_Hasik_Shuwaimiyah_6118 3 2 2 4" xfId="13962" xr:uid="{00000000-0005-0000-0000-00007C360000}"/>
    <cellStyle name="0_capex_Hasik_Shuwaimiyah_6118 3 2 2 4 2" xfId="13963" xr:uid="{00000000-0005-0000-0000-00007D360000}"/>
    <cellStyle name="0_capex_Hasik_Shuwaimiyah_6118 3 2 2 5" xfId="13964" xr:uid="{00000000-0005-0000-0000-00007E360000}"/>
    <cellStyle name="0_capex_Hasik_Shuwaimiyah_6118 3 2 2 5 2" xfId="13965" xr:uid="{00000000-0005-0000-0000-00007F360000}"/>
    <cellStyle name="0_capex_Hasik_Shuwaimiyah_6118 3 2 2 6" xfId="13966" xr:uid="{00000000-0005-0000-0000-000080360000}"/>
    <cellStyle name="0_capex_Hasik_Shuwaimiyah_6118 3 2 3" xfId="13967" xr:uid="{00000000-0005-0000-0000-000081360000}"/>
    <cellStyle name="0_capex_Hasik_Shuwaimiyah_6118 3 2 3 2" xfId="13968" xr:uid="{00000000-0005-0000-0000-000082360000}"/>
    <cellStyle name="0_capex_Hasik_Shuwaimiyah_6118 3 2 3 2 2" xfId="13969" xr:uid="{00000000-0005-0000-0000-000083360000}"/>
    <cellStyle name="0_capex_Hasik_Shuwaimiyah_6118 3 2 3 3" xfId="13970" xr:uid="{00000000-0005-0000-0000-000084360000}"/>
    <cellStyle name="0_capex_Hasik_Shuwaimiyah_6118 3 2 3 3 2" xfId="13971" xr:uid="{00000000-0005-0000-0000-000085360000}"/>
    <cellStyle name="0_capex_Hasik_Shuwaimiyah_6118 3 2 3 4" xfId="13972" xr:uid="{00000000-0005-0000-0000-000086360000}"/>
    <cellStyle name="0_capex_Hasik_Shuwaimiyah_6118 3 2 4" xfId="13973" xr:uid="{00000000-0005-0000-0000-000087360000}"/>
    <cellStyle name="0_capex_Hasik_Shuwaimiyah_6118 3 2 4 2" xfId="13974" xr:uid="{00000000-0005-0000-0000-000088360000}"/>
    <cellStyle name="0_capex_Hasik_Shuwaimiyah_6118 3 2 4 2 2" xfId="13975" xr:uid="{00000000-0005-0000-0000-000089360000}"/>
    <cellStyle name="0_capex_Hasik_Shuwaimiyah_6118 3 2 4 3" xfId="13976" xr:uid="{00000000-0005-0000-0000-00008A360000}"/>
    <cellStyle name="0_capex_Hasik_Shuwaimiyah_6118 3 2 4 3 2" xfId="13977" xr:uid="{00000000-0005-0000-0000-00008B360000}"/>
    <cellStyle name="0_capex_Hasik_Shuwaimiyah_6118 3 2 4 4" xfId="13978" xr:uid="{00000000-0005-0000-0000-00008C360000}"/>
    <cellStyle name="0_capex_Hasik_Shuwaimiyah_6118 3 2 5" xfId="13979" xr:uid="{00000000-0005-0000-0000-00008D360000}"/>
    <cellStyle name="0_capex_Hasik_Shuwaimiyah_6118 3 2 5 2" xfId="13980" xr:uid="{00000000-0005-0000-0000-00008E360000}"/>
    <cellStyle name="0_capex_Hasik_Shuwaimiyah_6118 3 2 5 2 2" xfId="13981" xr:uid="{00000000-0005-0000-0000-00008F360000}"/>
    <cellStyle name="0_capex_Hasik_Shuwaimiyah_6118 3 2 5 3" xfId="13982" xr:uid="{00000000-0005-0000-0000-000090360000}"/>
    <cellStyle name="0_capex_Hasik_Shuwaimiyah_6118 3 2 5 3 2" xfId="13983" xr:uid="{00000000-0005-0000-0000-000091360000}"/>
    <cellStyle name="0_capex_Hasik_Shuwaimiyah_6118 3 2 5 4" xfId="13984" xr:uid="{00000000-0005-0000-0000-000092360000}"/>
    <cellStyle name="0_capex_Hasik_Shuwaimiyah_6118 3 2 6" xfId="13985" xr:uid="{00000000-0005-0000-0000-000093360000}"/>
    <cellStyle name="0_capex_Hasik_Shuwaimiyah_6118 3 2 6 2" xfId="13986" xr:uid="{00000000-0005-0000-0000-000094360000}"/>
    <cellStyle name="0_capex_Hasik_Shuwaimiyah_6118 3 2 7" xfId="13987" xr:uid="{00000000-0005-0000-0000-000095360000}"/>
    <cellStyle name="0_capex_Hasik_Shuwaimiyah_6118 3 2 7 2" xfId="13988" xr:uid="{00000000-0005-0000-0000-000096360000}"/>
    <cellStyle name="0_capex_Hasik_Shuwaimiyah_6118 3 2 8" xfId="13989" xr:uid="{00000000-0005-0000-0000-000097360000}"/>
    <cellStyle name="0_capex_Hasik_Shuwaimiyah_6118 3 3" xfId="13990" xr:uid="{00000000-0005-0000-0000-000098360000}"/>
    <cellStyle name="0_capex_Hasik_Shuwaimiyah_6118 3 3 2" xfId="13991" xr:uid="{00000000-0005-0000-0000-000099360000}"/>
    <cellStyle name="0_capex_Hasik_Shuwaimiyah_6118 3 3 2 2" xfId="13992" xr:uid="{00000000-0005-0000-0000-00009A360000}"/>
    <cellStyle name="0_capex_Hasik_Shuwaimiyah_6118 3 3 2 2 2" xfId="13993" xr:uid="{00000000-0005-0000-0000-00009B360000}"/>
    <cellStyle name="0_capex_Hasik_Shuwaimiyah_6118 3 3 2 2 2 2" xfId="13994" xr:uid="{00000000-0005-0000-0000-00009C360000}"/>
    <cellStyle name="0_capex_Hasik_Shuwaimiyah_6118 3 3 2 2 3" xfId="13995" xr:uid="{00000000-0005-0000-0000-00009D360000}"/>
    <cellStyle name="0_capex_Hasik_Shuwaimiyah_6118 3 3 2 2 3 2" xfId="13996" xr:uid="{00000000-0005-0000-0000-00009E360000}"/>
    <cellStyle name="0_capex_Hasik_Shuwaimiyah_6118 3 3 2 2 4" xfId="13997" xr:uid="{00000000-0005-0000-0000-00009F360000}"/>
    <cellStyle name="0_capex_Hasik_Shuwaimiyah_6118 3 3 2 3" xfId="13998" xr:uid="{00000000-0005-0000-0000-0000A0360000}"/>
    <cellStyle name="0_capex_Hasik_Shuwaimiyah_6118 3 3 2 3 2" xfId="13999" xr:uid="{00000000-0005-0000-0000-0000A1360000}"/>
    <cellStyle name="0_capex_Hasik_Shuwaimiyah_6118 3 3 2 3 2 2" xfId="14000" xr:uid="{00000000-0005-0000-0000-0000A2360000}"/>
    <cellStyle name="0_capex_Hasik_Shuwaimiyah_6118 3 3 2 3 3" xfId="14001" xr:uid="{00000000-0005-0000-0000-0000A3360000}"/>
    <cellStyle name="0_capex_Hasik_Shuwaimiyah_6118 3 3 2 3 3 2" xfId="14002" xr:uid="{00000000-0005-0000-0000-0000A4360000}"/>
    <cellStyle name="0_capex_Hasik_Shuwaimiyah_6118 3 3 2 3 4" xfId="14003" xr:uid="{00000000-0005-0000-0000-0000A5360000}"/>
    <cellStyle name="0_capex_Hasik_Shuwaimiyah_6118 3 3 2 4" xfId="14004" xr:uid="{00000000-0005-0000-0000-0000A6360000}"/>
    <cellStyle name="0_capex_Hasik_Shuwaimiyah_6118 3 3 2 4 2" xfId="14005" xr:uid="{00000000-0005-0000-0000-0000A7360000}"/>
    <cellStyle name="0_capex_Hasik_Shuwaimiyah_6118 3 3 2 5" xfId="14006" xr:uid="{00000000-0005-0000-0000-0000A8360000}"/>
    <cellStyle name="0_capex_Hasik_Shuwaimiyah_6118 3 3 2 5 2" xfId="14007" xr:uid="{00000000-0005-0000-0000-0000A9360000}"/>
    <cellStyle name="0_capex_Hasik_Shuwaimiyah_6118 3 3 2 6" xfId="14008" xr:uid="{00000000-0005-0000-0000-0000AA360000}"/>
    <cellStyle name="0_capex_Hasik_Shuwaimiyah_6118 3 3 3" xfId="14009" xr:uid="{00000000-0005-0000-0000-0000AB360000}"/>
    <cellStyle name="0_capex_Hasik_Shuwaimiyah_6118 3 3 3 2" xfId="14010" xr:uid="{00000000-0005-0000-0000-0000AC360000}"/>
    <cellStyle name="0_capex_Hasik_Shuwaimiyah_6118 3 3 3 2 2" xfId="14011" xr:uid="{00000000-0005-0000-0000-0000AD360000}"/>
    <cellStyle name="0_capex_Hasik_Shuwaimiyah_6118 3 3 3 3" xfId="14012" xr:uid="{00000000-0005-0000-0000-0000AE360000}"/>
    <cellStyle name="0_capex_Hasik_Shuwaimiyah_6118 3 3 3 3 2" xfId="14013" xr:uid="{00000000-0005-0000-0000-0000AF360000}"/>
    <cellStyle name="0_capex_Hasik_Shuwaimiyah_6118 3 3 3 4" xfId="14014" xr:uid="{00000000-0005-0000-0000-0000B0360000}"/>
    <cellStyle name="0_capex_Hasik_Shuwaimiyah_6118 3 3 4" xfId="14015" xr:uid="{00000000-0005-0000-0000-0000B1360000}"/>
    <cellStyle name="0_capex_Hasik_Shuwaimiyah_6118 3 3 4 2" xfId="14016" xr:uid="{00000000-0005-0000-0000-0000B2360000}"/>
    <cellStyle name="0_capex_Hasik_Shuwaimiyah_6118 3 3 4 2 2" xfId="14017" xr:uid="{00000000-0005-0000-0000-0000B3360000}"/>
    <cellStyle name="0_capex_Hasik_Shuwaimiyah_6118 3 3 4 3" xfId="14018" xr:uid="{00000000-0005-0000-0000-0000B4360000}"/>
    <cellStyle name="0_capex_Hasik_Shuwaimiyah_6118 3 3 4 3 2" xfId="14019" xr:uid="{00000000-0005-0000-0000-0000B5360000}"/>
    <cellStyle name="0_capex_Hasik_Shuwaimiyah_6118 3 3 4 4" xfId="14020" xr:uid="{00000000-0005-0000-0000-0000B6360000}"/>
    <cellStyle name="0_capex_Hasik_Shuwaimiyah_6118 3 3 5" xfId="14021" xr:uid="{00000000-0005-0000-0000-0000B7360000}"/>
    <cellStyle name="0_capex_Hasik_Shuwaimiyah_6118 3 3 5 2" xfId="14022" xr:uid="{00000000-0005-0000-0000-0000B8360000}"/>
    <cellStyle name="0_capex_Hasik_Shuwaimiyah_6118 3 3 5 2 2" xfId="14023" xr:uid="{00000000-0005-0000-0000-0000B9360000}"/>
    <cellStyle name="0_capex_Hasik_Shuwaimiyah_6118 3 3 5 3" xfId="14024" xr:uid="{00000000-0005-0000-0000-0000BA360000}"/>
    <cellStyle name="0_capex_Hasik_Shuwaimiyah_6118 3 3 5 3 2" xfId="14025" xr:uid="{00000000-0005-0000-0000-0000BB360000}"/>
    <cellStyle name="0_capex_Hasik_Shuwaimiyah_6118 3 3 5 4" xfId="14026" xr:uid="{00000000-0005-0000-0000-0000BC360000}"/>
    <cellStyle name="0_capex_Hasik_Shuwaimiyah_6118 3 3 6" xfId="14027" xr:uid="{00000000-0005-0000-0000-0000BD360000}"/>
    <cellStyle name="0_capex_Hasik_Shuwaimiyah_6118 3 3 6 2" xfId="14028" xr:uid="{00000000-0005-0000-0000-0000BE360000}"/>
    <cellStyle name="0_capex_Hasik_Shuwaimiyah_6118 3 3 7" xfId="14029" xr:uid="{00000000-0005-0000-0000-0000BF360000}"/>
    <cellStyle name="0_capex_Hasik_Shuwaimiyah_6118 3 3 7 2" xfId="14030" xr:uid="{00000000-0005-0000-0000-0000C0360000}"/>
    <cellStyle name="0_capex_Hasik_Shuwaimiyah_6118 3 3 8" xfId="14031" xr:uid="{00000000-0005-0000-0000-0000C1360000}"/>
    <cellStyle name="0_capex_Hasik_Shuwaimiyah_6118 3 4" xfId="14032" xr:uid="{00000000-0005-0000-0000-0000C2360000}"/>
    <cellStyle name="0_capex_Hasik_Shuwaimiyah_6118 3 4 2" xfId="14033" xr:uid="{00000000-0005-0000-0000-0000C3360000}"/>
    <cellStyle name="0_capex_Hasik_Shuwaimiyah_6118 3 4 2 2" xfId="14034" xr:uid="{00000000-0005-0000-0000-0000C4360000}"/>
    <cellStyle name="0_capex_Hasik_Shuwaimiyah_6118 3 4 2 2 2" xfId="14035" xr:uid="{00000000-0005-0000-0000-0000C5360000}"/>
    <cellStyle name="0_capex_Hasik_Shuwaimiyah_6118 3 4 2 2 2 2" xfId="14036" xr:uid="{00000000-0005-0000-0000-0000C6360000}"/>
    <cellStyle name="0_capex_Hasik_Shuwaimiyah_6118 3 4 2 2 3" xfId="14037" xr:uid="{00000000-0005-0000-0000-0000C7360000}"/>
    <cellStyle name="0_capex_Hasik_Shuwaimiyah_6118 3 4 2 2 3 2" xfId="14038" xr:uid="{00000000-0005-0000-0000-0000C8360000}"/>
    <cellStyle name="0_capex_Hasik_Shuwaimiyah_6118 3 4 2 2 4" xfId="14039" xr:uid="{00000000-0005-0000-0000-0000C9360000}"/>
    <cellStyle name="0_capex_Hasik_Shuwaimiyah_6118 3 4 2 3" xfId="14040" xr:uid="{00000000-0005-0000-0000-0000CA360000}"/>
    <cellStyle name="0_capex_Hasik_Shuwaimiyah_6118 3 4 2 3 2" xfId="14041" xr:uid="{00000000-0005-0000-0000-0000CB360000}"/>
    <cellStyle name="0_capex_Hasik_Shuwaimiyah_6118 3 4 2 3 2 2" xfId="14042" xr:uid="{00000000-0005-0000-0000-0000CC360000}"/>
    <cellStyle name="0_capex_Hasik_Shuwaimiyah_6118 3 4 2 3 3" xfId="14043" xr:uid="{00000000-0005-0000-0000-0000CD360000}"/>
    <cellStyle name="0_capex_Hasik_Shuwaimiyah_6118 3 4 2 3 3 2" xfId="14044" xr:uid="{00000000-0005-0000-0000-0000CE360000}"/>
    <cellStyle name="0_capex_Hasik_Shuwaimiyah_6118 3 4 2 3 4" xfId="14045" xr:uid="{00000000-0005-0000-0000-0000CF360000}"/>
    <cellStyle name="0_capex_Hasik_Shuwaimiyah_6118 3 4 2 4" xfId="14046" xr:uid="{00000000-0005-0000-0000-0000D0360000}"/>
    <cellStyle name="0_capex_Hasik_Shuwaimiyah_6118 3 4 2 4 2" xfId="14047" xr:uid="{00000000-0005-0000-0000-0000D1360000}"/>
    <cellStyle name="0_capex_Hasik_Shuwaimiyah_6118 3 4 2 5" xfId="14048" xr:uid="{00000000-0005-0000-0000-0000D2360000}"/>
    <cellStyle name="0_capex_Hasik_Shuwaimiyah_6118 3 4 2 5 2" xfId="14049" xr:uid="{00000000-0005-0000-0000-0000D3360000}"/>
    <cellStyle name="0_capex_Hasik_Shuwaimiyah_6118 3 4 2 6" xfId="14050" xr:uid="{00000000-0005-0000-0000-0000D4360000}"/>
    <cellStyle name="0_capex_Hasik_Shuwaimiyah_6118 3 4 3" xfId="14051" xr:uid="{00000000-0005-0000-0000-0000D5360000}"/>
    <cellStyle name="0_capex_Hasik_Shuwaimiyah_6118 3 4 3 2" xfId="14052" xr:uid="{00000000-0005-0000-0000-0000D6360000}"/>
    <cellStyle name="0_capex_Hasik_Shuwaimiyah_6118 3 4 3 2 2" xfId="14053" xr:uid="{00000000-0005-0000-0000-0000D7360000}"/>
    <cellStyle name="0_capex_Hasik_Shuwaimiyah_6118 3 4 3 3" xfId="14054" xr:uid="{00000000-0005-0000-0000-0000D8360000}"/>
    <cellStyle name="0_capex_Hasik_Shuwaimiyah_6118 3 4 3 3 2" xfId="14055" xr:uid="{00000000-0005-0000-0000-0000D9360000}"/>
    <cellStyle name="0_capex_Hasik_Shuwaimiyah_6118 3 4 3 4" xfId="14056" xr:uid="{00000000-0005-0000-0000-0000DA360000}"/>
    <cellStyle name="0_capex_Hasik_Shuwaimiyah_6118 3 4 4" xfId="14057" xr:uid="{00000000-0005-0000-0000-0000DB360000}"/>
    <cellStyle name="0_capex_Hasik_Shuwaimiyah_6118 3 4 4 2" xfId="14058" xr:uid="{00000000-0005-0000-0000-0000DC360000}"/>
    <cellStyle name="0_capex_Hasik_Shuwaimiyah_6118 3 4 4 2 2" xfId="14059" xr:uid="{00000000-0005-0000-0000-0000DD360000}"/>
    <cellStyle name="0_capex_Hasik_Shuwaimiyah_6118 3 4 4 3" xfId="14060" xr:uid="{00000000-0005-0000-0000-0000DE360000}"/>
    <cellStyle name="0_capex_Hasik_Shuwaimiyah_6118 3 4 4 3 2" xfId="14061" xr:uid="{00000000-0005-0000-0000-0000DF360000}"/>
    <cellStyle name="0_capex_Hasik_Shuwaimiyah_6118 3 4 4 4" xfId="14062" xr:uid="{00000000-0005-0000-0000-0000E0360000}"/>
    <cellStyle name="0_capex_Hasik_Shuwaimiyah_6118 3 4 5" xfId="14063" xr:uid="{00000000-0005-0000-0000-0000E1360000}"/>
    <cellStyle name="0_capex_Hasik_Shuwaimiyah_6118 3 4 5 2" xfId="14064" xr:uid="{00000000-0005-0000-0000-0000E2360000}"/>
    <cellStyle name="0_capex_Hasik_Shuwaimiyah_6118 3 4 5 2 2" xfId="14065" xr:uid="{00000000-0005-0000-0000-0000E3360000}"/>
    <cellStyle name="0_capex_Hasik_Shuwaimiyah_6118 3 4 5 3" xfId="14066" xr:uid="{00000000-0005-0000-0000-0000E4360000}"/>
    <cellStyle name="0_capex_Hasik_Shuwaimiyah_6118 3 4 5 3 2" xfId="14067" xr:uid="{00000000-0005-0000-0000-0000E5360000}"/>
    <cellStyle name="0_capex_Hasik_Shuwaimiyah_6118 3 4 5 4" xfId="14068" xr:uid="{00000000-0005-0000-0000-0000E6360000}"/>
    <cellStyle name="0_capex_Hasik_Shuwaimiyah_6118 3 4 6" xfId="14069" xr:uid="{00000000-0005-0000-0000-0000E7360000}"/>
    <cellStyle name="0_capex_Hasik_Shuwaimiyah_6118 3 4 6 2" xfId="14070" xr:uid="{00000000-0005-0000-0000-0000E8360000}"/>
    <cellStyle name="0_capex_Hasik_Shuwaimiyah_6118 3 4 7" xfId="14071" xr:uid="{00000000-0005-0000-0000-0000E9360000}"/>
    <cellStyle name="0_capex_Hasik_Shuwaimiyah_6118 3 4 7 2" xfId="14072" xr:uid="{00000000-0005-0000-0000-0000EA360000}"/>
    <cellStyle name="0_capex_Hasik_Shuwaimiyah_6118 3 4 8" xfId="14073" xr:uid="{00000000-0005-0000-0000-0000EB360000}"/>
    <cellStyle name="0_capex_Hasik_Shuwaimiyah_6118 3 5" xfId="14074" xr:uid="{00000000-0005-0000-0000-0000EC360000}"/>
    <cellStyle name="0_capex_Hasik_Shuwaimiyah_6118 3 5 2" xfId="14075" xr:uid="{00000000-0005-0000-0000-0000ED360000}"/>
    <cellStyle name="0_capex_Hasik_Shuwaimiyah_6118 3 5 2 2" xfId="14076" xr:uid="{00000000-0005-0000-0000-0000EE360000}"/>
    <cellStyle name="0_capex_Hasik_Shuwaimiyah_6118 3 5 2 2 2" xfId="14077" xr:uid="{00000000-0005-0000-0000-0000EF360000}"/>
    <cellStyle name="0_capex_Hasik_Shuwaimiyah_6118 3 5 2 2 2 2" xfId="14078" xr:uid="{00000000-0005-0000-0000-0000F0360000}"/>
    <cellStyle name="0_capex_Hasik_Shuwaimiyah_6118 3 5 2 2 3" xfId="14079" xr:uid="{00000000-0005-0000-0000-0000F1360000}"/>
    <cellStyle name="0_capex_Hasik_Shuwaimiyah_6118 3 5 2 2 3 2" xfId="14080" xr:uid="{00000000-0005-0000-0000-0000F2360000}"/>
    <cellStyle name="0_capex_Hasik_Shuwaimiyah_6118 3 5 2 2 4" xfId="14081" xr:uid="{00000000-0005-0000-0000-0000F3360000}"/>
    <cellStyle name="0_capex_Hasik_Shuwaimiyah_6118 3 5 2 3" xfId="14082" xr:uid="{00000000-0005-0000-0000-0000F4360000}"/>
    <cellStyle name="0_capex_Hasik_Shuwaimiyah_6118 3 5 2 3 2" xfId="14083" xr:uid="{00000000-0005-0000-0000-0000F5360000}"/>
    <cellStyle name="0_capex_Hasik_Shuwaimiyah_6118 3 5 2 3 2 2" xfId="14084" xr:uid="{00000000-0005-0000-0000-0000F6360000}"/>
    <cellStyle name="0_capex_Hasik_Shuwaimiyah_6118 3 5 2 3 3" xfId="14085" xr:uid="{00000000-0005-0000-0000-0000F7360000}"/>
    <cellStyle name="0_capex_Hasik_Shuwaimiyah_6118 3 5 2 3 3 2" xfId="14086" xr:uid="{00000000-0005-0000-0000-0000F8360000}"/>
    <cellStyle name="0_capex_Hasik_Shuwaimiyah_6118 3 5 2 3 4" xfId="14087" xr:uid="{00000000-0005-0000-0000-0000F9360000}"/>
    <cellStyle name="0_capex_Hasik_Shuwaimiyah_6118 3 5 2 4" xfId="14088" xr:uid="{00000000-0005-0000-0000-0000FA360000}"/>
    <cellStyle name="0_capex_Hasik_Shuwaimiyah_6118 3 5 2 4 2" xfId="14089" xr:uid="{00000000-0005-0000-0000-0000FB360000}"/>
    <cellStyle name="0_capex_Hasik_Shuwaimiyah_6118 3 5 2 5" xfId="14090" xr:uid="{00000000-0005-0000-0000-0000FC360000}"/>
    <cellStyle name="0_capex_Hasik_Shuwaimiyah_6118 3 5 2 5 2" xfId="14091" xr:uid="{00000000-0005-0000-0000-0000FD360000}"/>
    <cellStyle name="0_capex_Hasik_Shuwaimiyah_6118 3 5 2 6" xfId="14092" xr:uid="{00000000-0005-0000-0000-0000FE360000}"/>
    <cellStyle name="0_capex_Hasik_Shuwaimiyah_6118 3 5 3" xfId="14093" xr:uid="{00000000-0005-0000-0000-0000FF360000}"/>
    <cellStyle name="0_capex_Hasik_Shuwaimiyah_6118 3 5 3 2" xfId="14094" xr:uid="{00000000-0005-0000-0000-000000370000}"/>
    <cellStyle name="0_capex_Hasik_Shuwaimiyah_6118 3 5 3 2 2" xfId="14095" xr:uid="{00000000-0005-0000-0000-000001370000}"/>
    <cellStyle name="0_capex_Hasik_Shuwaimiyah_6118 3 5 3 3" xfId="14096" xr:uid="{00000000-0005-0000-0000-000002370000}"/>
    <cellStyle name="0_capex_Hasik_Shuwaimiyah_6118 3 5 3 3 2" xfId="14097" xr:uid="{00000000-0005-0000-0000-000003370000}"/>
    <cellStyle name="0_capex_Hasik_Shuwaimiyah_6118 3 5 3 4" xfId="14098" xr:uid="{00000000-0005-0000-0000-000004370000}"/>
    <cellStyle name="0_capex_Hasik_Shuwaimiyah_6118 3 5 4" xfId="14099" xr:uid="{00000000-0005-0000-0000-000005370000}"/>
    <cellStyle name="0_capex_Hasik_Shuwaimiyah_6118 3 5 4 2" xfId="14100" xr:uid="{00000000-0005-0000-0000-000006370000}"/>
    <cellStyle name="0_capex_Hasik_Shuwaimiyah_6118 3 5 4 2 2" xfId="14101" xr:uid="{00000000-0005-0000-0000-000007370000}"/>
    <cellStyle name="0_capex_Hasik_Shuwaimiyah_6118 3 5 4 3" xfId="14102" xr:uid="{00000000-0005-0000-0000-000008370000}"/>
    <cellStyle name="0_capex_Hasik_Shuwaimiyah_6118 3 5 4 3 2" xfId="14103" xr:uid="{00000000-0005-0000-0000-000009370000}"/>
    <cellStyle name="0_capex_Hasik_Shuwaimiyah_6118 3 5 4 4" xfId="14104" xr:uid="{00000000-0005-0000-0000-00000A370000}"/>
    <cellStyle name="0_capex_Hasik_Shuwaimiyah_6118 3 5 5" xfId="14105" xr:uid="{00000000-0005-0000-0000-00000B370000}"/>
    <cellStyle name="0_capex_Hasik_Shuwaimiyah_6118 3 5 5 2" xfId="14106" xr:uid="{00000000-0005-0000-0000-00000C370000}"/>
    <cellStyle name="0_capex_Hasik_Shuwaimiyah_6118 3 5 5 2 2" xfId="14107" xr:uid="{00000000-0005-0000-0000-00000D370000}"/>
    <cellStyle name="0_capex_Hasik_Shuwaimiyah_6118 3 5 5 3" xfId="14108" xr:uid="{00000000-0005-0000-0000-00000E370000}"/>
    <cellStyle name="0_capex_Hasik_Shuwaimiyah_6118 3 5 5 3 2" xfId="14109" xr:uid="{00000000-0005-0000-0000-00000F370000}"/>
    <cellStyle name="0_capex_Hasik_Shuwaimiyah_6118 3 5 5 4" xfId="14110" xr:uid="{00000000-0005-0000-0000-000010370000}"/>
    <cellStyle name="0_capex_Hasik_Shuwaimiyah_6118 3 5 6" xfId="14111" xr:uid="{00000000-0005-0000-0000-000011370000}"/>
    <cellStyle name="0_capex_Hasik_Shuwaimiyah_6118 3 5 6 2" xfId="14112" xr:uid="{00000000-0005-0000-0000-000012370000}"/>
    <cellStyle name="0_capex_Hasik_Shuwaimiyah_6118 3 5 7" xfId="14113" xr:uid="{00000000-0005-0000-0000-000013370000}"/>
    <cellStyle name="0_capex_Hasik_Shuwaimiyah_6118 3 5 7 2" xfId="14114" xr:uid="{00000000-0005-0000-0000-000014370000}"/>
    <cellStyle name="0_capex_Hasik_Shuwaimiyah_6118 3 5 8" xfId="14115" xr:uid="{00000000-0005-0000-0000-000015370000}"/>
    <cellStyle name="0_capex_Hasik_Shuwaimiyah_6118 3 6" xfId="14116" xr:uid="{00000000-0005-0000-0000-000016370000}"/>
    <cellStyle name="0_capex_Hasik_Shuwaimiyah_6118 3 6 2" xfId="14117" xr:uid="{00000000-0005-0000-0000-000017370000}"/>
    <cellStyle name="0_capex_Hasik_Shuwaimiyah_6118 3 6 2 2" xfId="14118" xr:uid="{00000000-0005-0000-0000-000018370000}"/>
    <cellStyle name="0_capex_Hasik_Shuwaimiyah_6118 3 6 2 2 2" xfId="14119" xr:uid="{00000000-0005-0000-0000-000019370000}"/>
    <cellStyle name="0_capex_Hasik_Shuwaimiyah_6118 3 6 2 2 2 2" xfId="14120" xr:uid="{00000000-0005-0000-0000-00001A370000}"/>
    <cellStyle name="0_capex_Hasik_Shuwaimiyah_6118 3 6 2 2 3" xfId="14121" xr:uid="{00000000-0005-0000-0000-00001B370000}"/>
    <cellStyle name="0_capex_Hasik_Shuwaimiyah_6118 3 6 2 2 3 2" xfId="14122" xr:uid="{00000000-0005-0000-0000-00001C370000}"/>
    <cellStyle name="0_capex_Hasik_Shuwaimiyah_6118 3 6 2 2 4" xfId="14123" xr:uid="{00000000-0005-0000-0000-00001D370000}"/>
    <cellStyle name="0_capex_Hasik_Shuwaimiyah_6118 3 6 2 3" xfId="14124" xr:uid="{00000000-0005-0000-0000-00001E370000}"/>
    <cellStyle name="0_capex_Hasik_Shuwaimiyah_6118 3 6 2 3 2" xfId="14125" xr:uid="{00000000-0005-0000-0000-00001F370000}"/>
    <cellStyle name="0_capex_Hasik_Shuwaimiyah_6118 3 6 2 3 2 2" xfId="14126" xr:uid="{00000000-0005-0000-0000-000020370000}"/>
    <cellStyle name="0_capex_Hasik_Shuwaimiyah_6118 3 6 2 3 3" xfId="14127" xr:uid="{00000000-0005-0000-0000-000021370000}"/>
    <cellStyle name="0_capex_Hasik_Shuwaimiyah_6118 3 6 2 3 3 2" xfId="14128" xr:uid="{00000000-0005-0000-0000-000022370000}"/>
    <cellStyle name="0_capex_Hasik_Shuwaimiyah_6118 3 6 2 3 4" xfId="14129" xr:uid="{00000000-0005-0000-0000-000023370000}"/>
    <cellStyle name="0_capex_Hasik_Shuwaimiyah_6118 3 6 2 4" xfId="14130" xr:uid="{00000000-0005-0000-0000-000024370000}"/>
    <cellStyle name="0_capex_Hasik_Shuwaimiyah_6118 3 6 2 4 2" xfId="14131" xr:uid="{00000000-0005-0000-0000-000025370000}"/>
    <cellStyle name="0_capex_Hasik_Shuwaimiyah_6118 3 6 2 5" xfId="14132" xr:uid="{00000000-0005-0000-0000-000026370000}"/>
    <cellStyle name="0_capex_Hasik_Shuwaimiyah_6118 3 6 2 5 2" xfId="14133" xr:uid="{00000000-0005-0000-0000-000027370000}"/>
    <cellStyle name="0_capex_Hasik_Shuwaimiyah_6118 3 6 2 6" xfId="14134" xr:uid="{00000000-0005-0000-0000-000028370000}"/>
    <cellStyle name="0_capex_Hasik_Shuwaimiyah_6118 3 6 3" xfId="14135" xr:uid="{00000000-0005-0000-0000-000029370000}"/>
    <cellStyle name="0_capex_Hasik_Shuwaimiyah_6118 3 6 3 2" xfId="14136" xr:uid="{00000000-0005-0000-0000-00002A370000}"/>
    <cellStyle name="0_capex_Hasik_Shuwaimiyah_6118 3 6 3 2 2" xfId="14137" xr:uid="{00000000-0005-0000-0000-00002B370000}"/>
    <cellStyle name="0_capex_Hasik_Shuwaimiyah_6118 3 6 3 3" xfId="14138" xr:uid="{00000000-0005-0000-0000-00002C370000}"/>
    <cellStyle name="0_capex_Hasik_Shuwaimiyah_6118 3 6 3 3 2" xfId="14139" xr:uid="{00000000-0005-0000-0000-00002D370000}"/>
    <cellStyle name="0_capex_Hasik_Shuwaimiyah_6118 3 6 3 4" xfId="14140" xr:uid="{00000000-0005-0000-0000-00002E370000}"/>
    <cellStyle name="0_capex_Hasik_Shuwaimiyah_6118 3 6 4" xfId="14141" xr:uid="{00000000-0005-0000-0000-00002F370000}"/>
    <cellStyle name="0_capex_Hasik_Shuwaimiyah_6118 3 6 4 2" xfId="14142" xr:uid="{00000000-0005-0000-0000-000030370000}"/>
    <cellStyle name="0_capex_Hasik_Shuwaimiyah_6118 3 6 4 2 2" xfId="14143" xr:uid="{00000000-0005-0000-0000-000031370000}"/>
    <cellStyle name="0_capex_Hasik_Shuwaimiyah_6118 3 6 4 3" xfId="14144" xr:uid="{00000000-0005-0000-0000-000032370000}"/>
    <cellStyle name="0_capex_Hasik_Shuwaimiyah_6118 3 6 4 3 2" xfId="14145" xr:uid="{00000000-0005-0000-0000-000033370000}"/>
    <cellStyle name="0_capex_Hasik_Shuwaimiyah_6118 3 6 4 4" xfId="14146" xr:uid="{00000000-0005-0000-0000-000034370000}"/>
    <cellStyle name="0_capex_Hasik_Shuwaimiyah_6118 3 6 5" xfId="14147" xr:uid="{00000000-0005-0000-0000-000035370000}"/>
    <cellStyle name="0_capex_Hasik_Shuwaimiyah_6118 3 6 5 2" xfId="14148" xr:uid="{00000000-0005-0000-0000-000036370000}"/>
    <cellStyle name="0_capex_Hasik_Shuwaimiyah_6118 3 6 5 2 2" xfId="14149" xr:uid="{00000000-0005-0000-0000-000037370000}"/>
    <cellStyle name="0_capex_Hasik_Shuwaimiyah_6118 3 6 5 3" xfId="14150" xr:uid="{00000000-0005-0000-0000-000038370000}"/>
    <cellStyle name="0_capex_Hasik_Shuwaimiyah_6118 3 6 5 3 2" xfId="14151" xr:uid="{00000000-0005-0000-0000-000039370000}"/>
    <cellStyle name="0_capex_Hasik_Shuwaimiyah_6118 3 6 5 4" xfId="14152" xr:uid="{00000000-0005-0000-0000-00003A370000}"/>
    <cellStyle name="0_capex_Hasik_Shuwaimiyah_6118 3 6 6" xfId="14153" xr:uid="{00000000-0005-0000-0000-00003B370000}"/>
    <cellStyle name="0_capex_Hasik_Shuwaimiyah_6118 3 6 6 2" xfId="14154" xr:uid="{00000000-0005-0000-0000-00003C370000}"/>
    <cellStyle name="0_capex_Hasik_Shuwaimiyah_6118 3 6 7" xfId="14155" xr:uid="{00000000-0005-0000-0000-00003D370000}"/>
    <cellStyle name="0_capex_Hasik_Shuwaimiyah_6118 3 6 7 2" xfId="14156" xr:uid="{00000000-0005-0000-0000-00003E370000}"/>
    <cellStyle name="0_capex_Hasik_Shuwaimiyah_6118 3 6 8" xfId="14157" xr:uid="{00000000-0005-0000-0000-00003F370000}"/>
    <cellStyle name="0_capex_Hasik_Shuwaimiyah_6118 3 7" xfId="14158" xr:uid="{00000000-0005-0000-0000-000040370000}"/>
    <cellStyle name="0_capex_Hasik_Shuwaimiyah_6118 3 7 2" xfId="14159" xr:uid="{00000000-0005-0000-0000-000041370000}"/>
    <cellStyle name="0_capex_Hasik_Shuwaimiyah_6118 3 7 2 2" xfId="14160" xr:uid="{00000000-0005-0000-0000-000042370000}"/>
    <cellStyle name="0_capex_Hasik_Shuwaimiyah_6118 3 7 2 2 2" xfId="14161" xr:uid="{00000000-0005-0000-0000-000043370000}"/>
    <cellStyle name="0_capex_Hasik_Shuwaimiyah_6118 3 7 2 3" xfId="14162" xr:uid="{00000000-0005-0000-0000-000044370000}"/>
    <cellStyle name="0_capex_Hasik_Shuwaimiyah_6118 3 7 2 3 2" xfId="14163" xr:uid="{00000000-0005-0000-0000-000045370000}"/>
    <cellStyle name="0_capex_Hasik_Shuwaimiyah_6118 3 7 2 4" xfId="14164" xr:uid="{00000000-0005-0000-0000-000046370000}"/>
    <cellStyle name="0_capex_Hasik_Shuwaimiyah_6118 3 7 3" xfId="14165" xr:uid="{00000000-0005-0000-0000-000047370000}"/>
    <cellStyle name="0_capex_Hasik_Shuwaimiyah_6118 3 7 3 2" xfId="14166" xr:uid="{00000000-0005-0000-0000-000048370000}"/>
    <cellStyle name="0_capex_Hasik_Shuwaimiyah_6118 3 7 3 2 2" xfId="14167" xr:uid="{00000000-0005-0000-0000-000049370000}"/>
    <cellStyle name="0_capex_Hasik_Shuwaimiyah_6118 3 7 3 3" xfId="14168" xr:uid="{00000000-0005-0000-0000-00004A370000}"/>
    <cellStyle name="0_capex_Hasik_Shuwaimiyah_6118 3 7 3 3 2" xfId="14169" xr:uid="{00000000-0005-0000-0000-00004B370000}"/>
    <cellStyle name="0_capex_Hasik_Shuwaimiyah_6118 3 7 3 4" xfId="14170" xr:uid="{00000000-0005-0000-0000-00004C370000}"/>
    <cellStyle name="0_capex_Hasik_Shuwaimiyah_6118 3 7 4" xfId="14171" xr:uid="{00000000-0005-0000-0000-00004D370000}"/>
    <cellStyle name="0_capex_Hasik_Shuwaimiyah_6118 3 7 4 2" xfId="14172" xr:uid="{00000000-0005-0000-0000-00004E370000}"/>
    <cellStyle name="0_capex_Hasik_Shuwaimiyah_6118 3 7 5" xfId="14173" xr:uid="{00000000-0005-0000-0000-00004F370000}"/>
    <cellStyle name="0_capex_Hasik_Shuwaimiyah_6118 3 7 5 2" xfId="14174" xr:uid="{00000000-0005-0000-0000-000050370000}"/>
    <cellStyle name="0_capex_Hasik_Shuwaimiyah_6118 3 7 6" xfId="14175" xr:uid="{00000000-0005-0000-0000-000051370000}"/>
    <cellStyle name="0_capex_Hasik_Shuwaimiyah_6118 3 8" xfId="14176" xr:uid="{00000000-0005-0000-0000-000052370000}"/>
    <cellStyle name="0_capex_Hasik_Shuwaimiyah_6118 3 8 2" xfId="14177" xr:uid="{00000000-0005-0000-0000-000053370000}"/>
    <cellStyle name="0_capex_Hasik_Shuwaimiyah_6118 3 8 2 2" xfId="14178" xr:uid="{00000000-0005-0000-0000-000054370000}"/>
    <cellStyle name="0_capex_Hasik_Shuwaimiyah_6118 3 8 3" xfId="14179" xr:uid="{00000000-0005-0000-0000-000055370000}"/>
    <cellStyle name="0_capex_Hasik_Shuwaimiyah_6118 3 8 3 2" xfId="14180" xr:uid="{00000000-0005-0000-0000-000056370000}"/>
    <cellStyle name="0_capex_Hasik_Shuwaimiyah_6118 3 8 4" xfId="14181" xr:uid="{00000000-0005-0000-0000-000057370000}"/>
    <cellStyle name="0_capex_Hasik_Shuwaimiyah_6118 3 9" xfId="14182" xr:uid="{00000000-0005-0000-0000-000058370000}"/>
    <cellStyle name="0_capex_Hasik_Shuwaimiyah_6118 3 9 2" xfId="14183" xr:uid="{00000000-0005-0000-0000-000059370000}"/>
    <cellStyle name="0_capex_Hasik_Shuwaimiyah_6118 3 9 2 2" xfId="14184" xr:uid="{00000000-0005-0000-0000-00005A370000}"/>
    <cellStyle name="0_capex_Hasik_Shuwaimiyah_6118 3 9 3" xfId="14185" xr:uid="{00000000-0005-0000-0000-00005B370000}"/>
    <cellStyle name="0_capex_Hasik_Shuwaimiyah_6118 3 9 3 2" xfId="14186" xr:uid="{00000000-0005-0000-0000-00005C370000}"/>
    <cellStyle name="0_capex_Hasik_Shuwaimiyah_6118 3 9 4" xfId="14187" xr:uid="{00000000-0005-0000-0000-00005D370000}"/>
    <cellStyle name="0_capex_Hasik_Shuwaimiyah_6118 4" xfId="14188" xr:uid="{00000000-0005-0000-0000-00005E370000}"/>
    <cellStyle name="0_capex_Hasik_Shuwaimiyah_6118 4 10" xfId="14189" xr:uid="{00000000-0005-0000-0000-00005F370000}"/>
    <cellStyle name="0_capex_Hasik_Shuwaimiyah_6118 4 10 2" xfId="14190" xr:uid="{00000000-0005-0000-0000-000060370000}"/>
    <cellStyle name="0_capex_Hasik_Shuwaimiyah_6118 4 10 2 2" xfId="14191" xr:uid="{00000000-0005-0000-0000-000061370000}"/>
    <cellStyle name="0_capex_Hasik_Shuwaimiyah_6118 4 10 3" xfId="14192" xr:uid="{00000000-0005-0000-0000-000062370000}"/>
    <cellStyle name="0_capex_Hasik_Shuwaimiyah_6118 4 10 3 2" xfId="14193" xr:uid="{00000000-0005-0000-0000-000063370000}"/>
    <cellStyle name="0_capex_Hasik_Shuwaimiyah_6118 4 10 4" xfId="14194" xr:uid="{00000000-0005-0000-0000-000064370000}"/>
    <cellStyle name="0_capex_Hasik_Shuwaimiyah_6118 4 11" xfId="14195" xr:uid="{00000000-0005-0000-0000-000065370000}"/>
    <cellStyle name="0_capex_Hasik_Shuwaimiyah_6118 4 11 2" xfId="14196" xr:uid="{00000000-0005-0000-0000-000066370000}"/>
    <cellStyle name="0_capex_Hasik_Shuwaimiyah_6118 4 12" xfId="14197" xr:uid="{00000000-0005-0000-0000-000067370000}"/>
    <cellStyle name="0_capex_Hasik_Shuwaimiyah_6118 4 12 2" xfId="14198" xr:uid="{00000000-0005-0000-0000-000068370000}"/>
    <cellStyle name="0_capex_Hasik_Shuwaimiyah_6118 4 13" xfId="14199" xr:uid="{00000000-0005-0000-0000-000069370000}"/>
    <cellStyle name="0_capex_Hasik_Shuwaimiyah_6118 4 2" xfId="14200" xr:uid="{00000000-0005-0000-0000-00006A370000}"/>
    <cellStyle name="0_capex_Hasik_Shuwaimiyah_6118 4 2 2" xfId="14201" xr:uid="{00000000-0005-0000-0000-00006B370000}"/>
    <cellStyle name="0_capex_Hasik_Shuwaimiyah_6118 4 2 2 2" xfId="14202" xr:uid="{00000000-0005-0000-0000-00006C370000}"/>
    <cellStyle name="0_capex_Hasik_Shuwaimiyah_6118 4 2 2 2 2" xfId="14203" xr:uid="{00000000-0005-0000-0000-00006D370000}"/>
    <cellStyle name="0_capex_Hasik_Shuwaimiyah_6118 4 2 2 2 2 2" xfId="14204" xr:uid="{00000000-0005-0000-0000-00006E370000}"/>
    <cellStyle name="0_capex_Hasik_Shuwaimiyah_6118 4 2 2 2 3" xfId="14205" xr:uid="{00000000-0005-0000-0000-00006F370000}"/>
    <cellStyle name="0_capex_Hasik_Shuwaimiyah_6118 4 2 2 2 3 2" xfId="14206" xr:uid="{00000000-0005-0000-0000-000070370000}"/>
    <cellStyle name="0_capex_Hasik_Shuwaimiyah_6118 4 2 2 2 4" xfId="14207" xr:uid="{00000000-0005-0000-0000-000071370000}"/>
    <cellStyle name="0_capex_Hasik_Shuwaimiyah_6118 4 2 2 3" xfId="14208" xr:uid="{00000000-0005-0000-0000-000072370000}"/>
    <cellStyle name="0_capex_Hasik_Shuwaimiyah_6118 4 2 2 3 2" xfId="14209" xr:uid="{00000000-0005-0000-0000-000073370000}"/>
    <cellStyle name="0_capex_Hasik_Shuwaimiyah_6118 4 2 2 3 2 2" xfId="14210" xr:uid="{00000000-0005-0000-0000-000074370000}"/>
    <cellStyle name="0_capex_Hasik_Shuwaimiyah_6118 4 2 2 3 3" xfId="14211" xr:uid="{00000000-0005-0000-0000-000075370000}"/>
    <cellStyle name="0_capex_Hasik_Shuwaimiyah_6118 4 2 2 3 3 2" xfId="14212" xr:uid="{00000000-0005-0000-0000-000076370000}"/>
    <cellStyle name="0_capex_Hasik_Shuwaimiyah_6118 4 2 2 3 4" xfId="14213" xr:uid="{00000000-0005-0000-0000-000077370000}"/>
    <cellStyle name="0_capex_Hasik_Shuwaimiyah_6118 4 2 2 4" xfId="14214" xr:uid="{00000000-0005-0000-0000-000078370000}"/>
    <cellStyle name="0_capex_Hasik_Shuwaimiyah_6118 4 2 2 4 2" xfId="14215" xr:uid="{00000000-0005-0000-0000-000079370000}"/>
    <cellStyle name="0_capex_Hasik_Shuwaimiyah_6118 4 2 2 5" xfId="14216" xr:uid="{00000000-0005-0000-0000-00007A370000}"/>
    <cellStyle name="0_capex_Hasik_Shuwaimiyah_6118 4 2 2 5 2" xfId="14217" xr:uid="{00000000-0005-0000-0000-00007B370000}"/>
    <cellStyle name="0_capex_Hasik_Shuwaimiyah_6118 4 2 2 6" xfId="14218" xr:uid="{00000000-0005-0000-0000-00007C370000}"/>
    <cellStyle name="0_capex_Hasik_Shuwaimiyah_6118 4 2 3" xfId="14219" xr:uid="{00000000-0005-0000-0000-00007D370000}"/>
    <cellStyle name="0_capex_Hasik_Shuwaimiyah_6118 4 2 3 2" xfId="14220" xr:uid="{00000000-0005-0000-0000-00007E370000}"/>
    <cellStyle name="0_capex_Hasik_Shuwaimiyah_6118 4 2 3 2 2" xfId="14221" xr:uid="{00000000-0005-0000-0000-00007F370000}"/>
    <cellStyle name="0_capex_Hasik_Shuwaimiyah_6118 4 2 3 3" xfId="14222" xr:uid="{00000000-0005-0000-0000-000080370000}"/>
    <cellStyle name="0_capex_Hasik_Shuwaimiyah_6118 4 2 3 3 2" xfId="14223" xr:uid="{00000000-0005-0000-0000-000081370000}"/>
    <cellStyle name="0_capex_Hasik_Shuwaimiyah_6118 4 2 3 4" xfId="14224" xr:uid="{00000000-0005-0000-0000-000082370000}"/>
    <cellStyle name="0_capex_Hasik_Shuwaimiyah_6118 4 2 4" xfId="14225" xr:uid="{00000000-0005-0000-0000-000083370000}"/>
    <cellStyle name="0_capex_Hasik_Shuwaimiyah_6118 4 2 4 2" xfId="14226" xr:uid="{00000000-0005-0000-0000-000084370000}"/>
    <cellStyle name="0_capex_Hasik_Shuwaimiyah_6118 4 2 4 2 2" xfId="14227" xr:uid="{00000000-0005-0000-0000-000085370000}"/>
    <cellStyle name="0_capex_Hasik_Shuwaimiyah_6118 4 2 4 3" xfId="14228" xr:uid="{00000000-0005-0000-0000-000086370000}"/>
    <cellStyle name="0_capex_Hasik_Shuwaimiyah_6118 4 2 4 3 2" xfId="14229" xr:uid="{00000000-0005-0000-0000-000087370000}"/>
    <cellStyle name="0_capex_Hasik_Shuwaimiyah_6118 4 2 4 4" xfId="14230" xr:uid="{00000000-0005-0000-0000-000088370000}"/>
    <cellStyle name="0_capex_Hasik_Shuwaimiyah_6118 4 2 5" xfId="14231" xr:uid="{00000000-0005-0000-0000-000089370000}"/>
    <cellStyle name="0_capex_Hasik_Shuwaimiyah_6118 4 2 5 2" xfId="14232" xr:uid="{00000000-0005-0000-0000-00008A370000}"/>
    <cellStyle name="0_capex_Hasik_Shuwaimiyah_6118 4 2 5 2 2" xfId="14233" xr:uid="{00000000-0005-0000-0000-00008B370000}"/>
    <cellStyle name="0_capex_Hasik_Shuwaimiyah_6118 4 2 5 3" xfId="14234" xr:uid="{00000000-0005-0000-0000-00008C370000}"/>
    <cellStyle name="0_capex_Hasik_Shuwaimiyah_6118 4 2 5 3 2" xfId="14235" xr:uid="{00000000-0005-0000-0000-00008D370000}"/>
    <cellStyle name="0_capex_Hasik_Shuwaimiyah_6118 4 2 5 4" xfId="14236" xr:uid="{00000000-0005-0000-0000-00008E370000}"/>
    <cellStyle name="0_capex_Hasik_Shuwaimiyah_6118 4 2 6" xfId="14237" xr:uid="{00000000-0005-0000-0000-00008F370000}"/>
    <cellStyle name="0_capex_Hasik_Shuwaimiyah_6118 4 2 6 2" xfId="14238" xr:uid="{00000000-0005-0000-0000-000090370000}"/>
    <cellStyle name="0_capex_Hasik_Shuwaimiyah_6118 4 2 7" xfId="14239" xr:uid="{00000000-0005-0000-0000-000091370000}"/>
    <cellStyle name="0_capex_Hasik_Shuwaimiyah_6118 4 2 7 2" xfId="14240" xr:uid="{00000000-0005-0000-0000-000092370000}"/>
    <cellStyle name="0_capex_Hasik_Shuwaimiyah_6118 4 2 8" xfId="14241" xr:uid="{00000000-0005-0000-0000-000093370000}"/>
    <cellStyle name="0_capex_Hasik_Shuwaimiyah_6118 4 3" xfId="14242" xr:uid="{00000000-0005-0000-0000-000094370000}"/>
    <cellStyle name="0_capex_Hasik_Shuwaimiyah_6118 4 3 2" xfId="14243" xr:uid="{00000000-0005-0000-0000-000095370000}"/>
    <cellStyle name="0_capex_Hasik_Shuwaimiyah_6118 4 3 2 2" xfId="14244" xr:uid="{00000000-0005-0000-0000-000096370000}"/>
    <cellStyle name="0_capex_Hasik_Shuwaimiyah_6118 4 3 2 2 2" xfId="14245" xr:uid="{00000000-0005-0000-0000-000097370000}"/>
    <cellStyle name="0_capex_Hasik_Shuwaimiyah_6118 4 3 2 2 2 2" xfId="14246" xr:uid="{00000000-0005-0000-0000-000098370000}"/>
    <cellStyle name="0_capex_Hasik_Shuwaimiyah_6118 4 3 2 2 3" xfId="14247" xr:uid="{00000000-0005-0000-0000-000099370000}"/>
    <cellStyle name="0_capex_Hasik_Shuwaimiyah_6118 4 3 2 2 3 2" xfId="14248" xr:uid="{00000000-0005-0000-0000-00009A370000}"/>
    <cellStyle name="0_capex_Hasik_Shuwaimiyah_6118 4 3 2 2 4" xfId="14249" xr:uid="{00000000-0005-0000-0000-00009B370000}"/>
    <cellStyle name="0_capex_Hasik_Shuwaimiyah_6118 4 3 2 3" xfId="14250" xr:uid="{00000000-0005-0000-0000-00009C370000}"/>
    <cellStyle name="0_capex_Hasik_Shuwaimiyah_6118 4 3 2 3 2" xfId="14251" xr:uid="{00000000-0005-0000-0000-00009D370000}"/>
    <cellStyle name="0_capex_Hasik_Shuwaimiyah_6118 4 3 2 3 2 2" xfId="14252" xr:uid="{00000000-0005-0000-0000-00009E370000}"/>
    <cellStyle name="0_capex_Hasik_Shuwaimiyah_6118 4 3 2 3 3" xfId="14253" xr:uid="{00000000-0005-0000-0000-00009F370000}"/>
    <cellStyle name="0_capex_Hasik_Shuwaimiyah_6118 4 3 2 3 3 2" xfId="14254" xr:uid="{00000000-0005-0000-0000-0000A0370000}"/>
    <cellStyle name="0_capex_Hasik_Shuwaimiyah_6118 4 3 2 3 4" xfId="14255" xr:uid="{00000000-0005-0000-0000-0000A1370000}"/>
    <cellStyle name="0_capex_Hasik_Shuwaimiyah_6118 4 3 2 4" xfId="14256" xr:uid="{00000000-0005-0000-0000-0000A2370000}"/>
    <cellStyle name="0_capex_Hasik_Shuwaimiyah_6118 4 3 2 4 2" xfId="14257" xr:uid="{00000000-0005-0000-0000-0000A3370000}"/>
    <cellStyle name="0_capex_Hasik_Shuwaimiyah_6118 4 3 2 5" xfId="14258" xr:uid="{00000000-0005-0000-0000-0000A4370000}"/>
    <cellStyle name="0_capex_Hasik_Shuwaimiyah_6118 4 3 2 5 2" xfId="14259" xr:uid="{00000000-0005-0000-0000-0000A5370000}"/>
    <cellStyle name="0_capex_Hasik_Shuwaimiyah_6118 4 3 2 6" xfId="14260" xr:uid="{00000000-0005-0000-0000-0000A6370000}"/>
    <cellStyle name="0_capex_Hasik_Shuwaimiyah_6118 4 3 3" xfId="14261" xr:uid="{00000000-0005-0000-0000-0000A7370000}"/>
    <cellStyle name="0_capex_Hasik_Shuwaimiyah_6118 4 3 3 2" xfId="14262" xr:uid="{00000000-0005-0000-0000-0000A8370000}"/>
    <cellStyle name="0_capex_Hasik_Shuwaimiyah_6118 4 3 3 2 2" xfId="14263" xr:uid="{00000000-0005-0000-0000-0000A9370000}"/>
    <cellStyle name="0_capex_Hasik_Shuwaimiyah_6118 4 3 3 3" xfId="14264" xr:uid="{00000000-0005-0000-0000-0000AA370000}"/>
    <cellStyle name="0_capex_Hasik_Shuwaimiyah_6118 4 3 3 3 2" xfId="14265" xr:uid="{00000000-0005-0000-0000-0000AB370000}"/>
    <cellStyle name="0_capex_Hasik_Shuwaimiyah_6118 4 3 3 4" xfId="14266" xr:uid="{00000000-0005-0000-0000-0000AC370000}"/>
    <cellStyle name="0_capex_Hasik_Shuwaimiyah_6118 4 3 4" xfId="14267" xr:uid="{00000000-0005-0000-0000-0000AD370000}"/>
    <cellStyle name="0_capex_Hasik_Shuwaimiyah_6118 4 3 4 2" xfId="14268" xr:uid="{00000000-0005-0000-0000-0000AE370000}"/>
    <cellStyle name="0_capex_Hasik_Shuwaimiyah_6118 4 3 4 2 2" xfId="14269" xr:uid="{00000000-0005-0000-0000-0000AF370000}"/>
    <cellStyle name="0_capex_Hasik_Shuwaimiyah_6118 4 3 4 3" xfId="14270" xr:uid="{00000000-0005-0000-0000-0000B0370000}"/>
    <cellStyle name="0_capex_Hasik_Shuwaimiyah_6118 4 3 4 3 2" xfId="14271" xr:uid="{00000000-0005-0000-0000-0000B1370000}"/>
    <cellStyle name="0_capex_Hasik_Shuwaimiyah_6118 4 3 4 4" xfId="14272" xr:uid="{00000000-0005-0000-0000-0000B2370000}"/>
    <cellStyle name="0_capex_Hasik_Shuwaimiyah_6118 4 3 5" xfId="14273" xr:uid="{00000000-0005-0000-0000-0000B3370000}"/>
    <cellStyle name="0_capex_Hasik_Shuwaimiyah_6118 4 3 5 2" xfId="14274" xr:uid="{00000000-0005-0000-0000-0000B4370000}"/>
    <cellStyle name="0_capex_Hasik_Shuwaimiyah_6118 4 3 5 2 2" xfId="14275" xr:uid="{00000000-0005-0000-0000-0000B5370000}"/>
    <cellStyle name="0_capex_Hasik_Shuwaimiyah_6118 4 3 5 3" xfId="14276" xr:uid="{00000000-0005-0000-0000-0000B6370000}"/>
    <cellStyle name="0_capex_Hasik_Shuwaimiyah_6118 4 3 5 3 2" xfId="14277" xr:uid="{00000000-0005-0000-0000-0000B7370000}"/>
    <cellStyle name="0_capex_Hasik_Shuwaimiyah_6118 4 3 5 4" xfId="14278" xr:uid="{00000000-0005-0000-0000-0000B8370000}"/>
    <cellStyle name="0_capex_Hasik_Shuwaimiyah_6118 4 3 6" xfId="14279" xr:uid="{00000000-0005-0000-0000-0000B9370000}"/>
    <cellStyle name="0_capex_Hasik_Shuwaimiyah_6118 4 3 6 2" xfId="14280" xr:uid="{00000000-0005-0000-0000-0000BA370000}"/>
    <cellStyle name="0_capex_Hasik_Shuwaimiyah_6118 4 3 7" xfId="14281" xr:uid="{00000000-0005-0000-0000-0000BB370000}"/>
    <cellStyle name="0_capex_Hasik_Shuwaimiyah_6118 4 3 7 2" xfId="14282" xr:uid="{00000000-0005-0000-0000-0000BC370000}"/>
    <cellStyle name="0_capex_Hasik_Shuwaimiyah_6118 4 3 8" xfId="14283" xr:uid="{00000000-0005-0000-0000-0000BD370000}"/>
    <cellStyle name="0_capex_Hasik_Shuwaimiyah_6118 4 4" xfId="14284" xr:uid="{00000000-0005-0000-0000-0000BE370000}"/>
    <cellStyle name="0_capex_Hasik_Shuwaimiyah_6118 4 4 2" xfId="14285" xr:uid="{00000000-0005-0000-0000-0000BF370000}"/>
    <cellStyle name="0_capex_Hasik_Shuwaimiyah_6118 4 4 2 2" xfId="14286" xr:uid="{00000000-0005-0000-0000-0000C0370000}"/>
    <cellStyle name="0_capex_Hasik_Shuwaimiyah_6118 4 4 2 2 2" xfId="14287" xr:uid="{00000000-0005-0000-0000-0000C1370000}"/>
    <cellStyle name="0_capex_Hasik_Shuwaimiyah_6118 4 4 2 2 2 2" xfId="14288" xr:uid="{00000000-0005-0000-0000-0000C2370000}"/>
    <cellStyle name="0_capex_Hasik_Shuwaimiyah_6118 4 4 2 2 3" xfId="14289" xr:uid="{00000000-0005-0000-0000-0000C3370000}"/>
    <cellStyle name="0_capex_Hasik_Shuwaimiyah_6118 4 4 2 2 3 2" xfId="14290" xr:uid="{00000000-0005-0000-0000-0000C4370000}"/>
    <cellStyle name="0_capex_Hasik_Shuwaimiyah_6118 4 4 2 2 4" xfId="14291" xr:uid="{00000000-0005-0000-0000-0000C5370000}"/>
    <cellStyle name="0_capex_Hasik_Shuwaimiyah_6118 4 4 2 3" xfId="14292" xr:uid="{00000000-0005-0000-0000-0000C6370000}"/>
    <cellStyle name="0_capex_Hasik_Shuwaimiyah_6118 4 4 2 3 2" xfId="14293" xr:uid="{00000000-0005-0000-0000-0000C7370000}"/>
    <cellStyle name="0_capex_Hasik_Shuwaimiyah_6118 4 4 2 3 2 2" xfId="14294" xr:uid="{00000000-0005-0000-0000-0000C8370000}"/>
    <cellStyle name="0_capex_Hasik_Shuwaimiyah_6118 4 4 2 3 3" xfId="14295" xr:uid="{00000000-0005-0000-0000-0000C9370000}"/>
    <cellStyle name="0_capex_Hasik_Shuwaimiyah_6118 4 4 2 3 3 2" xfId="14296" xr:uid="{00000000-0005-0000-0000-0000CA370000}"/>
    <cellStyle name="0_capex_Hasik_Shuwaimiyah_6118 4 4 2 3 4" xfId="14297" xr:uid="{00000000-0005-0000-0000-0000CB370000}"/>
    <cellStyle name="0_capex_Hasik_Shuwaimiyah_6118 4 4 2 4" xfId="14298" xr:uid="{00000000-0005-0000-0000-0000CC370000}"/>
    <cellStyle name="0_capex_Hasik_Shuwaimiyah_6118 4 4 2 4 2" xfId="14299" xr:uid="{00000000-0005-0000-0000-0000CD370000}"/>
    <cellStyle name="0_capex_Hasik_Shuwaimiyah_6118 4 4 2 5" xfId="14300" xr:uid="{00000000-0005-0000-0000-0000CE370000}"/>
    <cellStyle name="0_capex_Hasik_Shuwaimiyah_6118 4 4 2 5 2" xfId="14301" xr:uid="{00000000-0005-0000-0000-0000CF370000}"/>
    <cellStyle name="0_capex_Hasik_Shuwaimiyah_6118 4 4 2 6" xfId="14302" xr:uid="{00000000-0005-0000-0000-0000D0370000}"/>
    <cellStyle name="0_capex_Hasik_Shuwaimiyah_6118 4 4 3" xfId="14303" xr:uid="{00000000-0005-0000-0000-0000D1370000}"/>
    <cellStyle name="0_capex_Hasik_Shuwaimiyah_6118 4 4 3 2" xfId="14304" xr:uid="{00000000-0005-0000-0000-0000D2370000}"/>
    <cellStyle name="0_capex_Hasik_Shuwaimiyah_6118 4 4 3 2 2" xfId="14305" xr:uid="{00000000-0005-0000-0000-0000D3370000}"/>
    <cellStyle name="0_capex_Hasik_Shuwaimiyah_6118 4 4 3 3" xfId="14306" xr:uid="{00000000-0005-0000-0000-0000D4370000}"/>
    <cellStyle name="0_capex_Hasik_Shuwaimiyah_6118 4 4 3 3 2" xfId="14307" xr:uid="{00000000-0005-0000-0000-0000D5370000}"/>
    <cellStyle name="0_capex_Hasik_Shuwaimiyah_6118 4 4 3 4" xfId="14308" xr:uid="{00000000-0005-0000-0000-0000D6370000}"/>
    <cellStyle name="0_capex_Hasik_Shuwaimiyah_6118 4 4 4" xfId="14309" xr:uid="{00000000-0005-0000-0000-0000D7370000}"/>
    <cellStyle name="0_capex_Hasik_Shuwaimiyah_6118 4 4 4 2" xfId="14310" xr:uid="{00000000-0005-0000-0000-0000D8370000}"/>
    <cellStyle name="0_capex_Hasik_Shuwaimiyah_6118 4 4 4 2 2" xfId="14311" xr:uid="{00000000-0005-0000-0000-0000D9370000}"/>
    <cellStyle name="0_capex_Hasik_Shuwaimiyah_6118 4 4 4 3" xfId="14312" xr:uid="{00000000-0005-0000-0000-0000DA370000}"/>
    <cellStyle name="0_capex_Hasik_Shuwaimiyah_6118 4 4 4 3 2" xfId="14313" xr:uid="{00000000-0005-0000-0000-0000DB370000}"/>
    <cellStyle name="0_capex_Hasik_Shuwaimiyah_6118 4 4 4 4" xfId="14314" xr:uid="{00000000-0005-0000-0000-0000DC370000}"/>
    <cellStyle name="0_capex_Hasik_Shuwaimiyah_6118 4 4 5" xfId="14315" xr:uid="{00000000-0005-0000-0000-0000DD370000}"/>
    <cellStyle name="0_capex_Hasik_Shuwaimiyah_6118 4 4 5 2" xfId="14316" xr:uid="{00000000-0005-0000-0000-0000DE370000}"/>
    <cellStyle name="0_capex_Hasik_Shuwaimiyah_6118 4 4 5 2 2" xfId="14317" xr:uid="{00000000-0005-0000-0000-0000DF370000}"/>
    <cellStyle name="0_capex_Hasik_Shuwaimiyah_6118 4 4 5 3" xfId="14318" xr:uid="{00000000-0005-0000-0000-0000E0370000}"/>
    <cellStyle name="0_capex_Hasik_Shuwaimiyah_6118 4 4 5 3 2" xfId="14319" xr:uid="{00000000-0005-0000-0000-0000E1370000}"/>
    <cellStyle name="0_capex_Hasik_Shuwaimiyah_6118 4 4 5 4" xfId="14320" xr:uid="{00000000-0005-0000-0000-0000E2370000}"/>
    <cellStyle name="0_capex_Hasik_Shuwaimiyah_6118 4 4 6" xfId="14321" xr:uid="{00000000-0005-0000-0000-0000E3370000}"/>
    <cellStyle name="0_capex_Hasik_Shuwaimiyah_6118 4 4 6 2" xfId="14322" xr:uid="{00000000-0005-0000-0000-0000E4370000}"/>
    <cellStyle name="0_capex_Hasik_Shuwaimiyah_6118 4 4 7" xfId="14323" xr:uid="{00000000-0005-0000-0000-0000E5370000}"/>
    <cellStyle name="0_capex_Hasik_Shuwaimiyah_6118 4 4 7 2" xfId="14324" xr:uid="{00000000-0005-0000-0000-0000E6370000}"/>
    <cellStyle name="0_capex_Hasik_Shuwaimiyah_6118 4 4 8" xfId="14325" xr:uid="{00000000-0005-0000-0000-0000E7370000}"/>
    <cellStyle name="0_capex_Hasik_Shuwaimiyah_6118 4 5" xfId="14326" xr:uid="{00000000-0005-0000-0000-0000E8370000}"/>
    <cellStyle name="0_capex_Hasik_Shuwaimiyah_6118 4 5 2" xfId="14327" xr:uid="{00000000-0005-0000-0000-0000E9370000}"/>
    <cellStyle name="0_capex_Hasik_Shuwaimiyah_6118 4 5 2 2" xfId="14328" xr:uid="{00000000-0005-0000-0000-0000EA370000}"/>
    <cellStyle name="0_capex_Hasik_Shuwaimiyah_6118 4 5 2 2 2" xfId="14329" xr:uid="{00000000-0005-0000-0000-0000EB370000}"/>
    <cellStyle name="0_capex_Hasik_Shuwaimiyah_6118 4 5 2 2 2 2" xfId="14330" xr:uid="{00000000-0005-0000-0000-0000EC370000}"/>
    <cellStyle name="0_capex_Hasik_Shuwaimiyah_6118 4 5 2 2 3" xfId="14331" xr:uid="{00000000-0005-0000-0000-0000ED370000}"/>
    <cellStyle name="0_capex_Hasik_Shuwaimiyah_6118 4 5 2 2 3 2" xfId="14332" xr:uid="{00000000-0005-0000-0000-0000EE370000}"/>
    <cellStyle name="0_capex_Hasik_Shuwaimiyah_6118 4 5 2 2 4" xfId="14333" xr:uid="{00000000-0005-0000-0000-0000EF370000}"/>
    <cellStyle name="0_capex_Hasik_Shuwaimiyah_6118 4 5 2 3" xfId="14334" xr:uid="{00000000-0005-0000-0000-0000F0370000}"/>
    <cellStyle name="0_capex_Hasik_Shuwaimiyah_6118 4 5 2 3 2" xfId="14335" xr:uid="{00000000-0005-0000-0000-0000F1370000}"/>
    <cellStyle name="0_capex_Hasik_Shuwaimiyah_6118 4 5 2 3 2 2" xfId="14336" xr:uid="{00000000-0005-0000-0000-0000F2370000}"/>
    <cellStyle name="0_capex_Hasik_Shuwaimiyah_6118 4 5 2 3 3" xfId="14337" xr:uid="{00000000-0005-0000-0000-0000F3370000}"/>
    <cellStyle name="0_capex_Hasik_Shuwaimiyah_6118 4 5 2 3 3 2" xfId="14338" xr:uid="{00000000-0005-0000-0000-0000F4370000}"/>
    <cellStyle name="0_capex_Hasik_Shuwaimiyah_6118 4 5 2 3 4" xfId="14339" xr:uid="{00000000-0005-0000-0000-0000F5370000}"/>
    <cellStyle name="0_capex_Hasik_Shuwaimiyah_6118 4 5 2 4" xfId="14340" xr:uid="{00000000-0005-0000-0000-0000F6370000}"/>
    <cellStyle name="0_capex_Hasik_Shuwaimiyah_6118 4 5 2 4 2" xfId="14341" xr:uid="{00000000-0005-0000-0000-0000F7370000}"/>
    <cellStyle name="0_capex_Hasik_Shuwaimiyah_6118 4 5 2 5" xfId="14342" xr:uid="{00000000-0005-0000-0000-0000F8370000}"/>
    <cellStyle name="0_capex_Hasik_Shuwaimiyah_6118 4 5 2 5 2" xfId="14343" xr:uid="{00000000-0005-0000-0000-0000F9370000}"/>
    <cellStyle name="0_capex_Hasik_Shuwaimiyah_6118 4 5 2 6" xfId="14344" xr:uid="{00000000-0005-0000-0000-0000FA370000}"/>
    <cellStyle name="0_capex_Hasik_Shuwaimiyah_6118 4 5 3" xfId="14345" xr:uid="{00000000-0005-0000-0000-0000FB370000}"/>
    <cellStyle name="0_capex_Hasik_Shuwaimiyah_6118 4 5 3 2" xfId="14346" xr:uid="{00000000-0005-0000-0000-0000FC370000}"/>
    <cellStyle name="0_capex_Hasik_Shuwaimiyah_6118 4 5 3 2 2" xfId="14347" xr:uid="{00000000-0005-0000-0000-0000FD370000}"/>
    <cellStyle name="0_capex_Hasik_Shuwaimiyah_6118 4 5 3 3" xfId="14348" xr:uid="{00000000-0005-0000-0000-0000FE370000}"/>
    <cellStyle name="0_capex_Hasik_Shuwaimiyah_6118 4 5 3 3 2" xfId="14349" xr:uid="{00000000-0005-0000-0000-0000FF370000}"/>
    <cellStyle name="0_capex_Hasik_Shuwaimiyah_6118 4 5 3 4" xfId="14350" xr:uid="{00000000-0005-0000-0000-000000380000}"/>
    <cellStyle name="0_capex_Hasik_Shuwaimiyah_6118 4 5 4" xfId="14351" xr:uid="{00000000-0005-0000-0000-000001380000}"/>
    <cellStyle name="0_capex_Hasik_Shuwaimiyah_6118 4 5 4 2" xfId="14352" xr:uid="{00000000-0005-0000-0000-000002380000}"/>
    <cellStyle name="0_capex_Hasik_Shuwaimiyah_6118 4 5 4 2 2" xfId="14353" xr:uid="{00000000-0005-0000-0000-000003380000}"/>
    <cellStyle name="0_capex_Hasik_Shuwaimiyah_6118 4 5 4 3" xfId="14354" xr:uid="{00000000-0005-0000-0000-000004380000}"/>
    <cellStyle name="0_capex_Hasik_Shuwaimiyah_6118 4 5 4 3 2" xfId="14355" xr:uid="{00000000-0005-0000-0000-000005380000}"/>
    <cellStyle name="0_capex_Hasik_Shuwaimiyah_6118 4 5 4 4" xfId="14356" xr:uid="{00000000-0005-0000-0000-000006380000}"/>
    <cellStyle name="0_capex_Hasik_Shuwaimiyah_6118 4 5 5" xfId="14357" xr:uid="{00000000-0005-0000-0000-000007380000}"/>
    <cellStyle name="0_capex_Hasik_Shuwaimiyah_6118 4 5 5 2" xfId="14358" xr:uid="{00000000-0005-0000-0000-000008380000}"/>
    <cellStyle name="0_capex_Hasik_Shuwaimiyah_6118 4 5 5 2 2" xfId="14359" xr:uid="{00000000-0005-0000-0000-000009380000}"/>
    <cellStyle name="0_capex_Hasik_Shuwaimiyah_6118 4 5 5 3" xfId="14360" xr:uid="{00000000-0005-0000-0000-00000A380000}"/>
    <cellStyle name="0_capex_Hasik_Shuwaimiyah_6118 4 5 5 3 2" xfId="14361" xr:uid="{00000000-0005-0000-0000-00000B380000}"/>
    <cellStyle name="0_capex_Hasik_Shuwaimiyah_6118 4 5 5 4" xfId="14362" xr:uid="{00000000-0005-0000-0000-00000C380000}"/>
    <cellStyle name="0_capex_Hasik_Shuwaimiyah_6118 4 5 6" xfId="14363" xr:uid="{00000000-0005-0000-0000-00000D380000}"/>
    <cellStyle name="0_capex_Hasik_Shuwaimiyah_6118 4 5 6 2" xfId="14364" xr:uid="{00000000-0005-0000-0000-00000E380000}"/>
    <cellStyle name="0_capex_Hasik_Shuwaimiyah_6118 4 5 7" xfId="14365" xr:uid="{00000000-0005-0000-0000-00000F380000}"/>
    <cellStyle name="0_capex_Hasik_Shuwaimiyah_6118 4 5 7 2" xfId="14366" xr:uid="{00000000-0005-0000-0000-000010380000}"/>
    <cellStyle name="0_capex_Hasik_Shuwaimiyah_6118 4 5 8" xfId="14367" xr:uid="{00000000-0005-0000-0000-000011380000}"/>
    <cellStyle name="0_capex_Hasik_Shuwaimiyah_6118 4 6" xfId="14368" xr:uid="{00000000-0005-0000-0000-000012380000}"/>
    <cellStyle name="0_capex_Hasik_Shuwaimiyah_6118 4 6 2" xfId="14369" xr:uid="{00000000-0005-0000-0000-000013380000}"/>
    <cellStyle name="0_capex_Hasik_Shuwaimiyah_6118 4 6 2 2" xfId="14370" xr:uid="{00000000-0005-0000-0000-000014380000}"/>
    <cellStyle name="0_capex_Hasik_Shuwaimiyah_6118 4 6 2 2 2" xfId="14371" xr:uid="{00000000-0005-0000-0000-000015380000}"/>
    <cellStyle name="0_capex_Hasik_Shuwaimiyah_6118 4 6 2 2 2 2" xfId="14372" xr:uid="{00000000-0005-0000-0000-000016380000}"/>
    <cellStyle name="0_capex_Hasik_Shuwaimiyah_6118 4 6 2 2 3" xfId="14373" xr:uid="{00000000-0005-0000-0000-000017380000}"/>
    <cellStyle name="0_capex_Hasik_Shuwaimiyah_6118 4 6 2 2 3 2" xfId="14374" xr:uid="{00000000-0005-0000-0000-000018380000}"/>
    <cellStyle name="0_capex_Hasik_Shuwaimiyah_6118 4 6 2 2 4" xfId="14375" xr:uid="{00000000-0005-0000-0000-000019380000}"/>
    <cellStyle name="0_capex_Hasik_Shuwaimiyah_6118 4 6 2 3" xfId="14376" xr:uid="{00000000-0005-0000-0000-00001A380000}"/>
    <cellStyle name="0_capex_Hasik_Shuwaimiyah_6118 4 6 2 3 2" xfId="14377" xr:uid="{00000000-0005-0000-0000-00001B380000}"/>
    <cellStyle name="0_capex_Hasik_Shuwaimiyah_6118 4 6 2 3 2 2" xfId="14378" xr:uid="{00000000-0005-0000-0000-00001C380000}"/>
    <cellStyle name="0_capex_Hasik_Shuwaimiyah_6118 4 6 2 3 3" xfId="14379" xr:uid="{00000000-0005-0000-0000-00001D380000}"/>
    <cellStyle name="0_capex_Hasik_Shuwaimiyah_6118 4 6 2 3 3 2" xfId="14380" xr:uid="{00000000-0005-0000-0000-00001E380000}"/>
    <cellStyle name="0_capex_Hasik_Shuwaimiyah_6118 4 6 2 3 4" xfId="14381" xr:uid="{00000000-0005-0000-0000-00001F380000}"/>
    <cellStyle name="0_capex_Hasik_Shuwaimiyah_6118 4 6 2 4" xfId="14382" xr:uid="{00000000-0005-0000-0000-000020380000}"/>
    <cellStyle name="0_capex_Hasik_Shuwaimiyah_6118 4 6 2 4 2" xfId="14383" xr:uid="{00000000-0005-0000-0000-000021380000}"/>
    <cellStyle name="0_capex_Hasik_Shuwaimiyah_6118 4 6 2 5" xfId="14384" xr:uid="{00000000-0005-0000-0000-000022380000}"/>
    <cellStyle name="0_capex_Hasik_Shuwaimiyah_6118 4 6 2 5 2" xfId="14385" xr:uid="{00000000-0005-0000-0000-000023380000}"/>
    <cellStyle name="0_capex_Hasik_Shuwaimiyah_6118 4 6 2 6" xfId="14386" xr:uid="{00000000-0005-0000-0000-000024380000}"/>
    <cellStyle name="0_capex_Hasik_Shuwaimiyah_6118 4 6 3" xfId="14387" xr:uid="{00000000-0005-0000-0000-000025380000}"/>
    <cellStyle name="0_capex_Hasik_Shuwaimiyah_6118 4 6 3 2" xfId="14388" xr:uid="{00000000-0005-0000-0000-000026380000}"/>
    <cellStyle name="0_capex_Hasik_Shuwaimiyah_6118 4 6 3 2 2" xfId="14389" xr:uid="{00000000-0005-0000-0000-000027380000}"/>
    <cellStyle name="0_capex_Hasik_Shuwaimiyah_6118 4 6 3 3" xfId="14390" xr:uid="{00000000-0005-0000-0000-000028380000}"/>
    <cellStyle name="0_capex_Hasik_Shuwaimiyah_6118 4 6 3 3 2" xfId="14391" xr:uid="{00000000-0005-0000-0000-000029380000}"/>
    <cellStyle name="0_capex_Hasik_Shuwaimiyah_6118 4 6 3 4" xfId="14392" xr:uid="{00000000-0005-0000-0000-00002A380000}"/>
    <cellStyle name="0_capex_Hasik_Shuwaimiyah_6118 4 6 4" xfId="14393" xr:uid="{00000000-0005-0000-0000-00002B380000}"/>
    <cellStyle name="0_capex_Hasik_Shuwaimiyah_6118 4 6 4 2" xfId="14394" xr:uid="{00000000-0005-0000-0000-00002C380000}"/>
    <cellStyle name="0_capex_Hasik_Shuwaimiyah_6118 4 6 4 2 2" xfId="14395" xr:uid="{00000000-0005-0000-0000-00002D380000}"/>
    <cellStyle name="0_capex_Hasik_Shuwaimiyah_6118 4 6 4 3" xfId="14396" xr:uid="{00000000-0005-0000-0000-00002E380000}"/>
    <cellStyle name="0_capex_Hasik_Shuwaimiyah_6118 4 6 4 3 2" xfId="14397" xr:uid="{00000000-0005-0000-0000-00002F380000}"/>
    <cellStyle name="0_capex_Hasik_Shuwaimiyah_6118 4 6 4 4" xfId="14398" xr:uid="{00000000-0005-0000-0000-000030380000}"/>
    <cellStyle name="0_capex_Hasik_Shuwaimiyah_6118 4 6 5" xfId="14399" xr:uid="{00000000-0005-0000-0000-000031380000}"/>
    <cellStyle name="0_capex_Hasik_Shuwaimiyah_6118 4 6 5 2" xfId="14400" xr:uid="{00000000-0005-0000-0000-000032380000}"/>
    <cellStyle name="0_capex_Hasik_Shuwaimiyah_6118 4 6 5 2 2" xfId="14401" xr:uid="{00000000-0005-0000-0000-000033380000}"/>
    <cellStyle name="0_capex_Hasik_Shuwaimiyah_6118 4 6 5 3" xfId="14402" xr:uid="{00000000-0005-0000-0000-000034380000}"/>
    <cellStyle name="0_capex_Hasik_Shuwaimiyah_6118 4 6 5 3 2" xfId="14403" xr:uid="{00000000-0005-0000-0000-000035380000}"/>
    <cellStyle name="0_capex_Hasik_Shuwaimiyah_6118 4 6 5 4" xfId="14404" xr:uid="{00000000-0005-0000-0000-000036380000}"/>
    <cellStyle name="0_capex_Hasik_Shuwaimiyah_6118 4 6 6" xfId="14405" xr:uid="{00000000-0005-0000-0000-000037380000}"/>
    <cellStyle name="0_capex_Hasik_Shuwaimiyah_6118 4 6 6 2" xfId="14406" xr:uid="{00000000-0005-0000-0000-000038380000}"/>
    <cellStyle name="0_capex_Hasik_Shuwaimiyah_6118 4 6 7" xfId="14407" xr:uid="{00000000-0005-0000-0000-000039380000}"/>
    <cellStyle name="0_capex_Hasik_Shuwaimiyah_6118 4 6 7 2" xfId="14408" xr:uid="{00000000-0005-0000-0000-00003A380000}"/>
    <cellStyle name="0_capex_Hasik_Shuwaimiyah_6118 4 6 8" xfId="14409" xr:uid="{00000000-0005-0000-0000-00003B380000}"/>
    <cellStyle name="0_capex_Hasik_Shuwaimiyah_6118 4 7" xfId="14410" xr:uid="{00000000-0005-0000-0000-00003C380000}"/>
    <cellStyle name="0_capex_Hasik_Shuwaimiyah_6118 4 7 2" xfId="14411" xr:uid="{00000000-0005-0000-0000-00003D380000}"/>
    <cellStyle name="0_capex_Hasik_Shuwaimiyah_6118 4 7 2 2" xfId="14412" xr:uid="{00000000-0005-0000-0000-00003E380000}"/>
    <cellStyle name="0_capex_Hasik_Shuwaimiyah_6118 4 7 2 2 2" xfId="14413" xr:uid="{00000000-0005-0000-0000-00003F380000}"/>
    <cellStyle name="0_capex_Hasik_Shuwaimiyah_6118 4 7 2 3" xfId="14414" xr:uid="{00000000-0005-0000-0000-000040380000}"/>
    <cellStyle name="0_capex_Hasik_Shuwaimiyah_6118 4 7 2 3 2" xfId="14415" xr:uid="{00000000-0005-0000-0000-000041380000}"/>
    <cellStyle name="0_capex_Hasik_Shuwaimiyah_6118 4 7 2 4" xfId="14416" xr:uid="{00000000-0005-0000-0000-000042380000}"/>
    <cellStyle name="0_capex_Hasik_Shuwaimiyah_6118 4 7 3" xfId="14417" xr:uid="{00000000-0005-0000-0000-000043380000}"/>
    <cellStyle name="0_capex_Hasik_Shuwaimiyah_6118 4 7 3 2" xfId="14418" xr:uid="{00000000-0005-0000-0000-000044380000}"/>
    <cellStyle name="0_capex_Hasik_Shuwaimiyah_6118 4 7 3 2 2" xfId="14419" xr:uid="{00000000-0005-0000-0000-000045380000}"/>
    <cellStyle name="0_capex_Hasik_Shuwaimiyah_6118 4 7 3 3" xfId="14420" xr:uid="{00000000-0005-0000-0000-000046380000}"/>
    <cellStyle name="0_capex_Hasik_Shuwaimiyah_6118 4 7 3 3 2" xfId="14421" xr:uid="{00000000-0005-0000-0000-000047380000}"/>
    <cellStyle name="0_capex_Hasik_Shuwaimiyah_6118 4 7 3 4" xfId="14422" xr:uid="{00000000-0005-0000-0000-000048380000}"/>
    <cellStyle name="0_capex_Hasik_Shuwaimiyah_6118 4 7 4" xfId="14423" xr:uid="{00000000-0005-0000-0000-000049380000}"/>
    <cellStyle name="0_capex_Hasik_Shuwaimiyah_6118 4 7 4 2" xfId="14424" xr:uid="{00000000-0005-0000-0000-00004A380000}"/>
    <cellStyle name="0_capex_Hasik_Shuwaimiyah_6118 4 7 5" xfId="14425" xr:uid="{00000000-0005-0000-0000-00004B380000}"/>
    <cellStyle name="0_capex_Hasik_Shuwaimiyah_6118 4 7 5 2" xfId="14426" xr:uid="{00000000-0005-0000-0000-00004C380000}"/>
    <cellStyle name="0_capex_Hasik_Shuwaimiyah_6118 4 7 6" xfId="14427" xr:uid="{00000000-0005-0000-0000-00004D380000}"/>
    <cellStyle name="0_capex_Hasik_Shuwaimiyah_6118 4 8" xfId="14428" xr:uid="{00000000-0005-0000-0000-00004E380000}"/>
    <cellStyle name="0_capex_Hasik_Shuwaimiyah_6118 4 8 2" xfId="14429" xr:uid="{00000000-0005-0000-0000-00004F380000}"/>
    <cellStyle name="0_capex_Hasik_Shuwaimiyah_6118 4 8 2 2" xfId="14430" xr:uid="{00000000-0005-0000-0000-000050380000}"/>
    <cellStyle name="0_capex_Hasik_Shuwaimiyah_6118 4 8 3" xfId="14431" xr:uid="{00000000-0005-0000-0000-000051380000}"/>
    <cellStyle name="0_capex_Hasik_Shuwaimiyah_6118 4 8 3 2" xfId="14432" xr:uid="{00000000-0005-0000-0000-000052380000}"/>
    <cellStyle name="0_capex_Hasik_Shuwaimiyah_6118 4 8 4" xfId="14433" xr:uid="{00000000-0005-0000-0000-000053380000}"/>
    <cellStyle name="0_capex_Hasik_Shuwaimiyah_6118 4 9" xfId="14434" xr:uid="{00000000-0005-0000-0000-000054380000}"/>
    <cellStyle name="0_capex_Hasik_Shuwaimiyah_6118 4 9 2" xfId="14435" xr:uid="{00000000-0005-0000-0000-000055380000}"/>
    <cellStyle name="0_capex_Hasik_Shuwaimiyah_6118 4 9 2 2" xfId="14436" xr:uid="{00000000-0005-0000-0000-000056380000}"/>
    <cellStyle name="0_capex_Hasik_Shuwaimiyah_6118 4 9 3" xfId="14437" xr:uid="{00000000-0005-0000-0000-000057380000}"/>
    <cellStyle name="0_capex_Hasik_Shuwaimiyah_6118 4 9 3 2" xfId="14438" xr:uid="{00000000-0005-0000-0000-000058380000}"/>
    <cellStyle name="0_capex_Hasik_Shuwaimiyah_6118 4 9 4" xfId="14439" xr:uid="{00000000-0005-0000-0000-000059380000}"/>
    <cellStyle name="0_capex_Hasik_Shuwaimiyah_6118 5" xfId="14440" xr:uid="{00000000-0005-0000-0000-00005A380000}"/>
    <cellStyle name="0_capex_Hasik_Shuwaimiyah_6118 5 10" xfId="14441" xr:uid="{00000000-0005-0000-0000-00005B380000}"/>
    <cellStyle name="0_capex_Hasik_Shuwaimiyah_6118 5 10 2" xfId="14442" xr:uid="{00000000-0005-0000-0000-00005C380000}"/>
    <cellStyle name="0_capex_Hasik_Shuwaimiyah_6118 5 10 2 2" xfId="14443" xr:uid="{00000000-0005-0000-0000-00005D380000}"/>
    <cellStyle name="0_capex_Hasik_Shuwaimiyah_6118 5 10 3" xfId="14444" xr:uid="{00000000-0005-0000-0000-00005E380000}"/>
    <cellStyle name="0_capex_Hasik_Shuwaimiyah_6118 5 10 3 2" xfId="14445" xr:uid="{00000000-0005-0000-0000-00005F380000}"/>
    <cellStyle name="0_capex_Hasik_Shuwaimiyah_6118 5 10 4" xfId="14446" xr:uid="{00000000-0005-0000-0000-000060380000}"/>
    <cellStyle name="0_capex_Hasik_Shuwaimiyah_6118 5 11" xfId="14447" xr:uid="{00000000-0005-0000-0000-000061380000}"/>
    <cellStyle name="0_capex_Hasik_Shuwaimiyah_6118 5 11 2" xfId="14448" xr:uid="{00000000-0005-0000-0000-000062380000}"/>
    <cellStyle name="0_capex_Hasik_Shuwaimiyah_6118 5 12" xfId="14449" xr:uid="{00000000-0005-0000-0000-000063380000}"/>
    <cellStyle name="0_capex_Hasik_Shuwaimiyah_6118 5 12 2" xfId="14450" xr:uid="{00000000-0005-0000-0000-000064380000}"/>
    <cellStyle name="0_capex_Hasik_Shuwaimiyah_6118 5 13" xfId="14451" xr:uid="{00000000-0005-0000-0000-000065380000}"/>
    <cellStyle name="0_capex_Hasik_Shuwaimiyah_6118 5 2" xfId="14452" xr:uid="{00000000-0005-0000-0000-000066380000}"/>
    <cellStyle name="0_capex_Hasik_Shuwaimiyah_6118 5 2 2" xfId="14453" xr:uid="{00000000-0005-0000-0000-000067380000}"/>
    <cellStyle name="0_capex_Hasik_Shuwaimiyah_6118 5 2 2 2" xfId="14454" xr:uid="{00000000-0005-0000-0000-000068380000}"/>
    <cellStyle name="0_capex_Hasik_Shuwaimiyah_6118 5 2 2 2 2" xfId="14455" xr:uid="{00000000-0005-0000-0000-000069380000}"/>
    <cellStyle name="0_capex_Hasik_Shuwaimiyah_6118 5 2 2 2 2 2" xfId="14456" xr:uid="{00000000-0005-0000-0000-00006A380000}"/>
    <cellStyle name="0_capex_Hasik_Shuwaimiyah_6118 5 2 2 2 3" xfId="14457" xr:uid="{00000000-0005-0000-0000-00006B380000}"/>
    <cellStyle name="0_capex_Hasik_Shuwaimiyah_6118 5 2 2 2 3 2" xfId="14458" xr:uid="{00000000-0005-0000-0000-00006C380000}"/>
    <cellStyle name="0_capex_Hasik_Shuwaimiyah_6118 5 2 2 2 4" xfId="14459" xr:uid="{00000000-0005-0000-0000-00006D380000}"/>
    <cellStyle name="0_capex_Hasik_Shuwaimiyah_6118 5 2 2 3" xfId="14460" xr:uid="{00000000-0005-0000-0000-00006E380000}"/>
    <cellStyle name="0_capex_Hasik_Shuwaimiyah_6118 5 2 2 3 2" xfId="14461" xr:uid="{00000000-0005-0000-0000-00006F380000}"/>
    <cellStyle name="0_capex_Hasik_Shuwaimiyah_6118 5 2 2 3 2 2" xfId="14462" xr:uid="{00000000-0005-0000-0000-000070380000}"/>
    <cellStyle name="0_capex_Hasik_Shuwaimiyah_6118 5 2 2 3 3" xfId="14463" xr:uid="{00000000-0005-0000-0000-000071380000}"/>
    <cellStyle name="0_capex_Hasik_Shuwaimiyah_6118 5 2 2 3 3 2" xfId="14464" xr:uid="{00000000-0005-0000-0000-000072380000}"/>
    <cellStyle name="0_capex_Hasik_Shuwaimiyah_6118 5 2 2 3 4" xfId="14465" xr:uid="{00000000-0005-0000-0000-000073380000}"/>
    <cellStyle name="0_capex_Hasik_Shuwaimiyah_6118 5 2 2 4" xfId="14466" xr:uid="{00000000-0005-0000-0000-000074380000}"/>
    <cellStyle name="0_capex_Hasik_Shuwaimiyah_6118 5 2 2 4 2" xfId="14467" xr:uid="{00000000-0005-0000-0000-000075380000}"/>
    <cellStyle name="0_capex_Hasik_Shuwaimiyah_6118 5 2 2 5" xfId="14468" xr:uid="{00000000-0005-0000-0000-000076380000}"/>
    <cellStyle name="0_capex_Hasik_Shuwaimiyah_6118 5 2 2 5 2" xfId="14469" xr:uid="{00000000-0005-0000-0000-000077380000}"/>
    <cellStyle name="0_capex_Hasik_Shuwaimiyah_6118 5 2 2 6" xfId="14470" xr:uid="{00000000-0005-0000-0000-000078380000}"/>
    <cellStyle name="0_capex_Hasik_Shuwaimiyah_6118 5 2 3" xfId="14471" xr:uid="{00000000-0005-0000-0000-000079380000}"/>
    <cellStyle name="0_capex_Hasik_Shuwaimiyah_6118 5 2 3 2" xfId="14472" xr:uid="{00000000-0005-0000-0000-00007A380000}"/>
    <cellStyle name="0_capex_Hasik_Shuwaimiyah_6118 5 2 3 2 2" xfId="14473" xr:uid="{00000000-0005-0000-0000-00007B380000}"/>
    <cellStyle name="0_capex_Hasik_Shuwaimiyah_6118 5 2 3 3" xfId="14474" xr:uid="{00000000-0005-0000-0000-00007C380000}"/>
    <cellStyle name="0_capex_Hasik_Shuwaimiyah_6118 5 2 3 3 2" xfId="14475" xr:uid="{00000000-0005-0000-0000-00007D380000}"/>
    <cellStyle name="0_capex_Hasik_Shuwaimiyah_6118 5 2 3 4" xfId="14476" xr:uid="{00000000-0005-0000-0000-00007E380000}"/>
    <cellStyle name="0_capex_Hasik_Shuwaimiyah_6118 5 2 4" xfId="14477" xr:uid="{00000000-0005-0000-0000-00007F380000}"/>
    <cellStyle name="0_capex_Hasik_Shuwaimiyah_6118 5 2 4 2" xfId="14478" xr:uid="{00000000-0005-0000-0000-000080380000}"/>
    <cellStyle name="0_capex_Hasik_Shuwaimiyah_6118 5 2 4 2 2" xfId="14479" xr:uid="{00000000-0005-0000-0000-000081380000}"/>
    <cellStyle name="0_capex_Hasik_Shuwaimiyah_6118 5 2 4 3" xfId="14480" xr:uid="{00000000-0005-0000-0000-000082380000}"/>
    <cellStyle name="0_capex_Hasik_Shuwaimiyah_6118 5 2 4 3 2" xfId="14481" xr:uid="{00000000-0005-0000-0000-000083380000}"/>
    <cellStyle name="0_capex_Hasik_Shuwaimiyah_6118 5 2 4 4" xfId="14482" xr:uid="{00000000-0005-0000-0000-000084380000}"/>
    <cellStyle name="0_capex_Hasik_Shuwaimiyah_6118 5 2 5" xfId="14483" xr:uid="{00000000-0005-0000-0000-000085380000}"/>
    <cellStyle name="0_capex_Hasik_Shuwaimiyah_6118 5 2 5 2" xfId="14484" xr:uid="{00000000-0005-0000-0000-000086380000}"/>
    <cellStyle name="0_capex_Hasik_Shuwaimiyah_6118 5 2 5 2 2" xfId="14485" xr:uid="{00000000-0005-0000-0000-000087380000}"/>
    <cellStyle name="0_capex_Hasik_Shuwaimiyah_6118 5 2 5 3" xfId="14486" xr:uid="{00000000-0005-0000-0000-000088380000}"/>
    <cellStyle name="0_capex_Hasik_Shuwaimiyah_6118 5 2 5 3 2" xfId="14487" xr:uid="{00000000-0005-0000-0000-000089380000}"/>
    <cellStyle name="0_capex_Hasik_Shuwaimiyah_6118 5 2 5 4" xfId="14488" xr:uid="{00000000-0005-0000-0000-00008A380000}"/>
    <cellStyle name="0_capex_Hasik_Shuwaimiyah_6118 5 2 6" xfId="14489" xr:uid="{00000000-0005-0000-0000-00008B380000}"/>
    <cellStyle name="0_capex_Hasik_Shuwaimiyah_6118 5 2 6 2" xfId="14490" xr:uid="{00000000-0005-0000-0000-00008C380000}"/>
    <cellStyle name="0_capex_Hasik_Shuwaimiyah_6118 5 2 7" xfId="14491" xr:uid="{00000000-0005-0000-0000-00008D380000}"/>
    <cellStyle name="0_capex_Hasik_Shuwaimiyah_6118 5 2 7 2" xfId="14492" xr:uid="{00000000-0005-0000-0000-00008E380000}"/>
    <cellStyle name="0_capex_Hasik_Shuwaimiyah_6118 5 2 8" xfId="14493" xr:uid="{00000000-0005-0000-0000-00008F380000}"/>
    <cellStyle name="0_capex_Hasik_Shuwaimiyah_6118 5 3" xfId="14494" xr:uid="{00000000-0005-0000-0000-000090380000}"/>
    <cellStyle name="0_capex_Hasik_Shuwaimiyah_6118 5 3 2" xfId="14495" xr:uid="{00000000-0005-0000-0000-000091380000}"/>
    <cellStyle name="0_capex_Hasik_Shuwaimiyah_6118 5 3 2 2" xfId="14496" xr:uid="{00000000-0005-0000-0000-000092380000}"/>
    <cellStyle name="0_capex_Hasik_Shuwaimiyah_6118 5 3 2 2 2" xfId="14497" xr:uid="{00000000-0005-0000-0000-000093380000}"/>
    <cellStyle name="0_capex_Hasik_Shuwaimiyah_6118 5 3 2 2 2 2" xfId="14498" xr:uid="{00000000-0005-0000-0000-000094380000}"/>
    <cellStyle name="0_capex_Hasik_Shuwaimiyah_6118 5 3 2 2 3" xfId="14499" xr:uid="{00000000-0005-0000-0000-000095380000}"/>
    <cellStyle name="0_capex_Hasik_Shuwaimiyah_6118 5 3 2 2 3 2" xfId="14500" xr:uid="{00000000-0005-0000-0000-000096380000}"/>
    <cellStyle name="0_capex_Hasik_Shuwaimiyah_6118 5 3 2 2 4" xfId="14501" xr:uid="{00000000-0005-0000-0000-000097380000}"/>
    <cellStyle name="0_capex_Hasik_Shuwaimiyah_6118 5 3 2 3" xfId="14502" xr:uid="{00000000-0005-0000-0000-000098380000}"/>
    <cellStyle name="0_capex_Hasik_Shuwaimiyah_6118 5 3 2 3 2" xfId="14503" xr:uid="{00000000-0005-0000-0000-000099380000}"/>
    <cellStyle name="0_capex_Hasik_Shuwaimiyah_6118 5 3 2 3 2 2" xfId="14504" xr:uid="{00000000-0005-0000-0000-00009A380000}"/>
    <cellStyle name="0_capex_Hasik_Shuwaimiyah_6118 5 3 2 3 3" xfId="14505" xr:uid="{00000000-0005-0000-0000-00009B380000}"/>
    <cellStyle name="0_capex_Hasik_Shuwaimiyah_6118 5 3 2 3 3 2" xfId="14506" xr:uid="{00000000-0005-0000-0000-00009C380000}"/>
    <cellStyle name="0_capex_Hasik_Shuwaimiyah_6118 5 3 2 3 4" xfId="14507" xr:uid="{00000000-0005-0000-0000-00009D380000}"/>
    <cellStyle name="0_capex_Hasik_Shuwaimiyah_6118 5 3 2 4" xfId="14508" xr:uid="{00000000-0005-0000-0000-00009E380000}"/>
    <cellStyle name="0_capex_Hasik_Shuwaimiyah_6118 5 3 2 4 2" xfId="14509" xr:uid="{00000000-0005-0000-0000-00009F380000}"/>
    <cellStyle name="0_capex_Hasik_Shuwaimiyah_6118 5 3 2 5" xfId="14510" xr:uid="{00000000-0005-0000-0000-0000A0380000}"/>
    <cellStyle name="0_capex_Hasik_Shuwaimiyah_6118 5 3 2 5 2" xfId="14511" xr:uid="{00000000-0005-0000-0000-0000A1380000}"/>
    <cellStyle name="0_capex_Hasik_Shuwaimiyah_6118 5 3 2 6" xfId="14512" xr:uid="{00000000-0005-0000-0000-0000A2380000}"/>
    <cellStyle name="0_capex_Hasik_Shuwaimiyah_6118 5 3 3" xfId="14513" xr:uid="{00000000-0005-0000-0000-0000A3380000}"/>
    <cellStyle name="0_capex_Hasik_Shuwaimiyah_6118 5 3 3 2" xfId="14514" xr:uid="{00000000-0005-0000-0000-0000A4380000}"/>
    <cellStyle name="0_capex_Hasik_Shuwaimiyah_6118 5 3 3 2 2" xfId="14515" xr:uid="{00000000-0005-0000-0000-0000A5380000}"/>
    <cellStyle name="0_capex_Hasik_Shuwaimiyah_6118 5 3 3 3" xfId="14516" xr:uid="{00000000-0005-0000-0000-0000A6380000}"/>
    <cellStyle name="0_capex_Hasik_Shuwaimiyah_6118 5 3 3 3 2" xfId="14517" xr:uid="{00000000-0005-0000-0000-0000A7380000}"/>
    <cellStyle name="0_capex_Hasik_Shuwaimiyah_6118 5 3 3 4" xfId="14518" xr:uid="{00000000-0005-0000-0000-0000A8380000}"/>
    <cellStyle name="0_capex_Hasik_Shuwaimiyah_6118 5 3 4" xfId="14519" xr:uid="{00000000-0005-0000-0000-0000A9380000}"/>
    <cellStyle name="0_capex_Hasik_Shuwaimiyah_6118 5 3 4 2" xfId="14520" xr:uid="{00000000-0005-0000-0000-0000AA380000}"/>
    <cellStyle name="0_capex_Hasik_Shuwaimiyah_6118 5 3 4 2 2" xfId="14521" xr:uid="{00000000-0005-0000-0000-0000AB380000}"/>
    <cellStyle name="0_capex_Hasik_Shuwaimiyah_6118 5 3 4 3" xfId="14522" xr:uid="{00000000-0005-0000-0000-0000AC380000}"/>
    <cellStyle name="0_capex_Hasik_Shuwaimiyah_6118 5 3 4 3 2" xfId="14523" xr:uid="{00000000-0005-0000-0000-0000AD380000}"/>
    <cellStyle name="0_capex_Hasik_Shuwaimiyah_6118 5 3 4 4" xfId="14524" xr:uid="{00000000-0005-0000-0000-0000AE380000}"/>
    <cellStyle name="0_capex_Hasik_Shuwaimiyah_6118 5 3 5" xfId="14525" xr:uid="{00000000-0005-0000-0000-0000AF380000}"/>
    <cellStyle name="0_capex_Hasik_Shuwaimiyah_6118 5 3 5 2" xfId="14526" xr:uid="{00000000-0005-0000-0000-0000B0380000}"/>
    <cellStyle name="0_capex_Hasik_Shuwaimiyah_6118 5 3 5 2 2" xfId="14527" xr:uid="{00000000-0005-0000-0000-0000B1380000}"/>
    <cellStyle name="0_capex_Hasik_Shuwaimiyah_6118 5 3 5 3" xfId="14528" xr:uid="{00000000-0005-0000-0000-0000B2380000}"/>
    <cellStyle name="0_capex_Hasik_Shuwaimiyah_6118 5 3 5 3 2" xfId="14529" xr:uid="{00000000-0005-0000-0000-0000B3380000}"/>
    <cellStyle name="0_capex_Hasik_Shuwaimiyah_6118 5 3 5 4" xfId="14530" xr:uid="{00000000-0005-0000-0000-0000B4380000}"/>
    <cellStyle name="0_capex_Hasik_Shuwaimiyah_6118 5 3 6" xfId="14531" xr:uid="{00000000-0005-0000-0000-0000B5380000}"/>
    <cellStyle name="0_capex_Hasik_Shuwaimiyah_6118 5 3 6 2" xfId="14532" xr:uid="{00000000-0005-0000-0000-0000B6380000}"/>
    <cellStyle name="0_capex_Hasik_Shuwaimiyah_6118 5 3 7" xfId="14533" xr:uid="{00000000-0005-0000-0000-0000B7380000}"/>
    <cellStyle name="0_capex_Hasik_Shuwaimiyah_6118 5 3 7 2" xfId="14534" xr:uid="{00000000-0005-0000-0000-0000B8380000}"/>
    <cellStyle name="0_capex_Hasik_Shuwaimiyah_6118 5 3 8" xfId="14535" xr:uid="{00000000-0005-0000-0000-0000B9380000}"/>
    <cellStyle name="0_capex_Hasik_Shuwaimiyah_6118 5 4" xfId="14536" xr:uid="{00000000-0005-0000-0000-0000BA380000}"/>
    <cellStyle name="0_capex_Hasik_Shuwaimiyah_6118 5 4 2" xfId="14537" xr:uid="{00000000-0005-0000-0000-0000BB380000}"/>
    <cellStyle name="0_capex_Hasik_Shuwaimiyah_6118 5 4 2 2" xfId="14538" xr:uid="{00000000-0005-0000-0000-0000BC380000}"/>
    <cellStyle name="0_capex_Hasik_Shuwaimiyah_6118 5 4 2 2 2" xfId="14539" xr:uid="{00000000-0005-0000-0000-0000BD380000}"/>
    <cellStyle name="0_capex_Hasik_Shuwaimiyah_6118 5 4 2 2 2 2" xfId="14540" xr:uid="{00000000-0005-0000-0000-0000BE380000}"/>
    <cellStyle name="0_capex_Hasik_Shuwaimiyah_6118 5 4 2 2 3" xfId="14541" xr:uid="{00000000-0005-0000-0000-0000BF380000}"/>
    <cellStyle name="0_capex_Hasik_Shuwaimiyah_6118 5 4 2 2 3 2" xfId="14542" xr:uid="{00000000-0005-0000-0000-0000C0380000}"/>
    <cellStyle name="0_capex_Hasik_Shuwaimiyah_6118 5 4 2 2 4" xfId="14543" xr:uid="{00000000-0005-0000-0000-0000C1380000}"/>
    <cellStyle name="0_capex_Hasik_Shuwaimiyah_6118 5 4 2 3" xfId="14544" xr:uid="{00000000-0005-0000-0000-0000C2380000}"/>
    <cellStyle name="0_capex_Hasik_Shuwaimiyah_6118 5 4 2 3 2" xfId="14545" xr:uid="{00000000-0005-0000-0000-0000C3380000}"/>
    <cellStyle name="0_capex_Hasik_Shuwaimiyah_6118 5 4 2 3 2 2" xfId="14546" xr:uid="{00000000-0005-0000-0000-0000C4380000}"/>
    <cellStyle name="0_capex_Hasik_Shuwaimiyah_6118 5 4 2 3 3" xfId="14547" xr:uid="{00000000-0005-0000-0000-0000C5380000}"/>
    <cellStyle name="0_capex_Hasik_Shuwaimiyah_6118 5 4 2 3 3 2" xfId="14548" xr:uid="{00000000-0005-0000-0000-0000C6380000}"/>
    <cellStyle name="0_capex_Hasik_Shuwaimiyah_6118 5 4 2 3 4" xfId="14549" xr:uid="{00000000-0005-0000-0000-0000C7380000}"/>
    <cellStyle name="0_capex_Hasik_Shuwaimiyah_6118 5 4 2 4" xfId="14550" xr:uid="{00000000-0005-0000-0000-0000C8380000}"/>
    <cellStyle name="0_capex_Hasik_Shuwaimiyah_6118 5 4 2 4 2" xfId="14551" xr:uid="{00000000-0005-0000-0000-0000C9380000}"/>
    <cellStyle name="0_capex_Hasik_Shuwaimiyah_6118 5 4 2 5" xfId="14552" xr:uid="{00000000-0005-0000-0000-0000CA380000}"/>
    <cellStyle name="0_capex_Hasik_Shuwaimiyah_6118 5 4 2 5 2" xfId="14553" xr:uid="{00000000-0005-0000-0000-0000CB380000}"/>
    <cellStyle name="0_capex_Hasik_Shuwaimiyah_6118 5 4 2 6" xfId="14554" xr:uid="{00000000-0005-0000-0000-0000CC380000}"/>
    <cellStyle name="0_capex_Hasik_Shuwaimiyah_6118 5 4 3" xfId="14555" xr:uid="{00000000-0005-0000-0000-0000CD380000}"/>
    <cellStyle name="0_capex_Hasik_Shuwaimiyah_6118 5 4 3 2" xfId="14556" xr:uid="{00000000-0005-0000-0000-0000CE380000}"/>
    <cellStyle name="0_capex_Hasik_Shuwaimiyah_6118 5 4 3 2 2" xfId="14557" xr:uid="{00000000-0005-0000-0000-0000CF380000}"/>
    <cellStyle name="0_capex_Hasik_Shuwaimiyah_6118 5 4 3 3" xfId="14558" xr:uid="{00000000-0005-0000-0000-0000D0380000}"/>
    <cellStyle name="0_capex_Hasik_Shuwaimiyah_6118 5 4 3 3 2" xfId="14559" xr:uid="{00000000-0005-0000-0000-0000D1380000}"/>
    <cellStyle name="0_capex_Hasik_Shuwaimiyah_6118 5 4 3 4" xfId="14560" xr:uid="{00000000-0005-0000-0000-0000D2380000}"/>
    <cellStyle name="0_capex_Hasik_Shuwaimiyah_6118 5 4 4" xfId="14561" xr:uid="{00000000-0005-0000-0000-0000D3380000}"/>
    <cellStyle name="0_capex_Hasik_Shuwaimiyah_6118 5 4 4 2" xfId="14562" xr:uid="{00000000-0005-0000-0000-0000D4380000}"/>
    <cellStyle name="0_capex_Hasik_Shuwaimiyah_6118 5 4 4 2 2" xfId="14563" xr:uid="{00000000-0005-0000-0000-0000D5380000}"/>
    <cellStyle name="0_capex_Hasik_Shuwaimiyah_6118 5 4 4 3" xfId="14564" xr:uid="{00000000-0005-0000-0000-0000D6380000}"/>
    <cellStyle name="0_capex_Hasik_Shuwaimiyah_6118 5 4 4 3 2" xfId="14565" xr:uid="{00000000-0005-0000-0000-0000D7380000}"/>
    <cellStyle name="0_capex_Hasik_Shuwaimiyah_6118 5 4 4 4" xfId="14566" xr:uid="{00000000-0005-0000-0000-0000D8380000}"/>
    <cellStyle name="0_capex_Hasik_Shuwaimiyah_6118 5 4 5" xfId="14567" xr:uid="{00000000-0005-0000-0000-0000D9380000}"/>
    <cellStyle name="0_capex_Hasik_Shuwaimiyah_6118 5 4 5 2" xfId="14568" xr:uid="{00000000-0005-0000-0000-0000DA380000}"/>
    <cellStyle name="0_capex_Hasik_Shuwaimiyah_6118 5 4 5 2 2" xfId="14569" xr:uid="{00000000-0005-0000-0000-0000DB380000}"/>
    <cellStyle name="0_capex_Hasik_Shuwaimiyah_6118 5 4 5 3" xfId="14570" xr:uid="{00000000-0005-0000-0000-0000DC380000}"/>
    <cellStyle name="0_capex_Hasik_Shuwaimiyah_6118 5 4 5 3 2" xfId="14571" xr:uid="{00000000-0005-0000-0000-0000DD380000}"/>
    <cellStyle name="0_capex_Hasik_Shuwaimiyah_6118 5 4 5 4" xfId="14572" xr:uid="{00000000-0005-0000-0000-0000DE380000}"/>
    <cellStyle name="0_capex_Hasik_Shuwaimiyah_6118 5 4 6" xfId="14573" xr:uid="{00000000-0005-0000-0000-0000DF380000}"/>
    <cellStyle name="0_capex_Hasik_Shuwaimiyah_6118 5 4 6 2" xfId="14574" xr:uid="{00000000-0005-0000-0000-0000E0380000}"/>
    <cellStyle name="0_capex_Hasik_Shuwaimiyah_6118 5 4 7" xfId="14575" xr:uid="{00000000-0005-0000-0000-0000E1380000}"/>
    <cellStyle name="0_capex_Hasik_Shuwaimiyah_6118 5 4 7 2" xfId="14576" xr:uid="{00000000-0005-0000-0000-0000E2380000}"/>
    <cellStyle name="0_capex_Hasik_Shuwaimiyah_6118 5 4 8" xfId="14577" xr:uid="{00000000-0005-0000-0000-0000E3380000}"/>
    <cellStyle name="0_capex_Hasik_Shuwaimiyah_6118 5 5" xfId="14578" xr:uid="{00000000-0005-0000-0000-0000E4380000}"/>
    <cellStyle name="0_capex_Hasik_Shuwaimiyah_6118 5 5 2" xfId="14579" xr:uid="{00000000-0005-0000-0000-0000E5380000}"/>
    <cellStyle name="0_capex_Hasik_Shuwaimiyah_6118 5 5 2 2" xfId="14580" xr:uid="{00000000-0005-0000-0000-0000E6380000}"/>
    <cellStyle name="0_capex_Hasik_Shuwaimiyah_6118 5 5 2 2 2" xfId="14581" xr:uid="{00000000-0005-0000-0000-0000E7380000}"/>
    <cellStyle name="0_capex_Hasik_Shuwaimiyah_6118 5 5 2 2 2 2" xfId="14582" xr:uid="{00000000-0005-0000-0000-0000E8380000}"/>
    <cellStyle name="0_capex_Hasik_Shuwaimiyah_6118 5 5 2 2 3" xfId="14583" xr:uid="{00000000-0005-0000-0000-0000E9380000}"/>
    <cellStyle name="0_capex_Hasik_Shuwaimiyah_6118 5 5 2 2 3 2" xfId="14584" xr:uid="{00000000-0005-0000-0000-0000EA380000}"/>
    <cellStyle name="0_capex_Hasik_Shuwaimiyah_6118 5 5 2 2 4" xfId="14585" xr:uid="{00000000-0005-0000-0000-0000EB380000}"/>
    <cellStyle name="0_capex_Hasik_Shuwaimiyah_6118 5 5 2 3" xfId="14586" xr:uid="{00000000-0005-0000-0000-0000EC380000}"/>
    <cellStyle name="0_capex_Hasik_Shuwaimiyah_6118 5 5 2 3 2" xfId="14587" xr:uid="{00000000-0005-0000-0000-0000ED380000}"/>
    <cellStyle name="0_capex_Hasik_Shuwaimiyah_6118 5 5 2 3 2 2" xfId="14588" xr:uid="{00000000-0005-0000-0000-0000EE380000}"/>
    <cellStyle name="0_capex_Hasik_Shuwaimiyah_6118 5 5 2 3 3" xfId="14589" xr:uid="{00000000-0005-0000-0000-0000EF380000}"/>
    <cellStyle name="0_capex_Hasik_Shuwaimiyah_6118 5 5 2 3 3 2" xfId="14590" xr:uid="{00000000-0005-0000-0000-0000F0380000}"/>
    <cellStyle name="0_capex_Hasik_Shuwaimiyah_6118 5 5 2 3 4" xfId="14591" xr:uid="{00000000-0005-0000-0000-0000F1380000}"/>
    <cellStyle name="0_capex_Hasik_Shuwaimiyah_6118 5 5 2 4" xfId="14592" xr:uid="{00000000-0005-0000-0000-0000F2380000}"/>
    <cellStyle name="0_capex_Hasik_Shuwaimiyah_6118 5 5 2 4 2" xfId="14593" xr:uid="{00000000-0005-0000-0000-0000F3380000}"/>
    <cellStyle name="0_capex_Hasik_Shuwaimiyah_6118 5 5 2 5" xfId="14594" xr:uid="{00000000-0005-0000-0000-0000F4380000}"/>
    <cellStyle name="0_capex_Hasik_Shuwaimiyah_6118 5 5 2 5 2" xfId="14595" xr:uid="{00000000-0005-0000-0000-0000F5380000}"/>
    <cellStyle name="0_capex_Hasik_Shuwaimiyah_6118 5 5 2 6" xfId="14596" xr:uid="{00000000-0005-0000-0000-0000F6380000}"/>
    <cellStyle name="0_capex_Hasik_Shuwaimiyah_6118 5 5 3" xfId="14597" xr:uid="{00000000-0005-0000-0000-0000F7380000}"/>
    <cellStyle name="0_capex_Hasik_Shuwaimiyah_6118 5 5 3 2" xfId="14598" xr:uid="{00000000-0005-0000-0000-0000F8380000}"/>
    <cellStyle name="0_capex_Hasik_Shuwaimiyah_6118 5 5 3 2 2" xfId="14599" xr:uid="{00000000-0005-0000-0000-0000F9380000}"/>
    <cellStyle name="0_capex_Hasik_Shuwaimiyah_6118 5 5 3 3" xfId="14600" xr:uid="{00000000-0005-0000-0000-0000FA380000}"/>
    <cellStyle name="0_capex_Hasik_Shuwaimiyah_6118 5 5 3 3 2" xfId="14601" xr:uid="{00000000-0005-0000-0000-0000FB380000}"/>
    <cellStyle name="0_capex_Hasik_Shuwaimiyah_6118 5 5 3 4" xfId="14602" xr:uid="{00000000-0005-0000-0000-0000FC380000}"/>
    <cellStyle name="0_capex_Hasik_Shuwaimiyah_6118 5 5 4" xfId="14603" xr:uid="{00000000-0005-0000-0000-0000FD380000}"/>
    <cellStyle name="0_capex_Hasik_Shuwaimiyah_6118 5 5 4 2" xfId="14604" xr:uid="{00000000-0005-0000-0000-0000FE380000}"/>
    <cellStyle name="0_capex_Hasik_Shuwaimiyah_6118 5 5 4 2 2" xfId="14605" xr:uid="{00000000-0005-0000-0000-0000FF380000}"/>
    <cellStyle name="0_capex_Hasik_Shuwaimiyah_6118 5 5 4 3" xfId="14606" xr:uid="{00000000-0005-0000-0000-000000390000}"/>
    <cellStyle name="0_capex_Hasik_Shuwaimiyah_6118 5 5 4 3 2" xfId="14607" xr:uid="{00000000-0005-0000-0000-000001390000}"/>
    <cellStyle name="0_capex_Hasik_Shuwaimiyah_6118 5 5 4 4" xfId="14608" xr:uid="{00000000-0005-0000-0000-000002390000}"/>
    <cellStyle name="0_capex_Hasik_Shuwaimiyah_6118 5 5 5" xfId="14609" xr:uid="{00000000-0005-0000-0000-000003390000}"/>
    <cellStyle name="0_capex_Hasik_Shuwaimiyah_6118 5 5 5 2" xfId="14610" xr:uid="{00000000-0005-0000-0000-000004390000}"/>
    <cellStyle name="0_capex_Hasik_Shuwaimiyah_6118 5 5 5 2 2" xfId="14611" xr:uid="{00000000-0005-0000-0000-000005390000}"/>
    <cellStyle name="0_capex_Hasik_Shuwaimiyah_6118 5 5 5 3" xfId="14612" xr:uid="{00000000-0005-0000-0000-000006390000}"/>
    <cellStyle name="0_capex_Hasik_Shuwaimiyah_6118 5 5 5 3 2" xfId="14613" xr:uid="{00000000-0005-0000-0000-000007390000}"/>
    <cellStyle name="0_capex_Hasik_Shuwaimiyah_6118 5 5 5 4" xfId="14614" xr:uid="{00000000-0005-0000-0000-000008390000}"/>
    <cellStyle name="0_capex_Hasik_Shuwaimiyah_6118 5 5 6" xfId="14615" xr:uid="{00000000-0005-0000-0000-000009390000}"/>
    <cellStyle name="0_capex_Hasik_Shuwaimiyah_6118 5 5 6 2" xfId="14616" xr:uid="{00000000-0005-0000-0000-00000A390000}"/>
    <cellStyle name="0_capex_Hasik_Shuwaimiyah_6118 5 5 7" xfId="14617" xr:uid="{00000000-0005-0000-0000-00000B390000}"/>
    <cellStyle name="0_capex_Hasik_Shuwaimiyah_6118 5 5 7 2" xfId="14618" xr:uid="{00000000-0005-0000-0000-00000C390000}"/>
    <cellStyle name="0_capex_Hasik_Shuwaimiyah_6118 5 5 8" xfId="14619" xr:uid="{00000000-0005-0000-0000-00000D390000}"/>
    <cellStyle name="0_capex_Hasik_Shuwaimiyah_6118 5 6" xfId="14620" xr:uid="{00000000-0005-0000-0000-00000E390000}"/>
    <cellStyle name="0_capex_Hasik_Shuwaimiyah_6118 5 6 2" xfId="14621" xr:uid="{00000000-0005-0000-0000-00000F390000}"/>
    <cellStyle name="0_capex_Hasik_Shuwaimiyah_6118 5 6 2 2" xfId="14622" xr:uid="{00000000-0005-0000-0000-000010390000}"/>
    <cellStyle name="0_capex_Hasik_Shuwaimiyah_6118 5 6 2 2 2" xfId="14623" xr:uid="{00000000-0005-0000-0000-000011390000}"/>
    <cellStyle name="0_capex_Hasik_Shuwaimiyah_6118 5 6 2 2 2 2" xfId="14624" xr:uid="{00000000-0005-0000-0000-000012390000}"/>
    <cellStyle name="0_capex_Hasik_Shuwaimiyah_6118 5 6 2 2 3" xfId="14625" xr:uid="{00000000-0005-0000-0000-000013390000}"/>
    <cellStyle name="0_capex_Hasik_Shuwaimiyah_6118 5 6 2 2 3 2" xfId="14626" xr:uid="{00000000-0005-0000-0000-000014390000}"/>
    <cellStyle name="0_capex_Hasik_Shuwaimiyah_6118 5 6 2 2 4" xfId="14627" xr:uid="{00000000-0005-0000-0000-000015390000}"/>
    <cellStyle name="0_capex_Hasik_Shuwaimiyah_6118 5 6 2 3" xfId="14628" xr:uid="{00000000-0005-0000-0000-000016390000}"/>
    <cellStyle name="0_capex_Hasik_Shuwaimiyah_6118 5 6 2 3 2" xfId="14629" xr:uid="{00000000-0005-0000-0000-000017390000}"/>
    <cellStyle name="0_capex_Hasik_Shuwaimiyah_6118 5 6 2 3 2 2" xfId="14630" xr:uid="{00000000-0005-0000-0000-000018390000}"/>
    <cellStyle name="0_capex_Hasik_Shuwaimiyah_6118 5 6 2 3 3" xfId="14631" xr:uid="{00000000-0005-0000-0000-000019390000}"/>
    <cellStyle name="0_capex_Hasik_Shuwaimiyah_6118 5 6 2 3 3 2" xfId="14632" xr:uid="{00000000-0005-0000-0000-00001A390000}"/>
    <cellStyle name="0_capex_Hasik_Shuwaimiyah_6118 5 6 2 3 4" xfId="14633" xr:uid="{00000000-0005-0000-0000-00001B390000}"/>
    <cellStyle name="0_capex_Hasik_Shuwaimiyah_6118 5 6 2 4" xfId="14634" xr:uid="{00000000-0005-0000-0000-00001C390000}"/>
    <cellStyle name="0_capex_Hasik_Shuwaimiyah_6118 5 6 2 4 2" xfId="14635" xr:uid="{00000000-0005-0000-0000-00001D390000}"/>
    <cellStyle name="0_capex_Hasik_Shuwaimiyah_6118 5 6 2 5" xfId="14636" xr:uid="{00000000-0005-0000-0000-00001E390000}"/>
    <cellStyle name="0_capex_Hasik_Shuwaimiyah_6118 5 6 2 5 2" xfId="14637" xr:uid="{00000000-0005-0000-0000-00001F390000}"/>
    <cellStyle name="0_capex_Hasik_Shuwaimiyah_6118 5 6 2 6" xfId="14638" xr:uid="{00000000-0005-0000-0000-000020390000}"/>
    <cellStyle name="0_capex_Hasik_Shuwaimiyah_6118 5 6 3" xfId="14639" xr:uid="{00000000-0005-0000-0000-000021390000}"/>
    <cellStyle name="0_capex_Hasik_Shuwaimiyah_6118 5 6 3 2" xfId="14640" xr:uid="{00000000-0005-0000-0000-000022390000}"/>
    <cellStyle name="0_capex_Hasik_Shuwaimiyah_6118 5 6 3 2 2" xfId="14641" xr:uid="{00000000-0005-0000-0000-000023390000}"/>
    <cellStyle name="0_capex_Hasik_Shuwaimiyah_6118 5 6 3 3" xfId="14642" xr:uid="{00000000-0005-0000-0000-000024390000}"/>
    <cellStyle name="0_capex_Hasik_Shuwaimiyah_6118 5 6 3 3 2" xfId="14643" xr:uid="{00000000-0005-0000-0000-000025390000}"/>
    <cellStyle name="0_capex_Hasik_Shuwaimiyah_6118 5 6 3 4" xfId="14644" xr:uid="{00000000-0005-0000-0000-000026390000}"/>
    <cellStyle name="0_capex_Hasik_Shuwaimiyah_6118 5 6 4" xfId="14645" xr:uid="{00000000-0005-0000-0000-000027390000}"/>
    <cellStyle name="0_capex_Hasik_Shuwaimiyah_6118 5 6 4 2" xfId="14646" xr:uid="{00000000-0005-0000-0000-000028390000}"/>
    <cellStyle name="0_capex_Hasik_Shuwaimiyah_6118 5 6 4 2 2" xfId="14647" xr:uid="{00000000-0005-0000-0000-000029390000}"/>
    <cellStyle name="0_capex_Hasik_Shuwaimiyah_6118 5 6 4 3" xfId="14648" xr:uid="{00000000-0005-0000-0000-00002A390000}"/>
    <cellStyle name="0_capex_Hasik_Shuwaimiyah_6118 5 6 4 3 2" xfId="14649" xr:uid="{00000000-0005-0000-0000-00002B390000}"/>
    <cellStyle name="0_capex_Hasik_Shuwaimiyah_6118 5 6 4 4" xfId="14650" xr:uid="{00000000-0005-0000-0000-00002C390000}"/>
    <cellStyle name="0_capex_Hasik_Shuwaimiyah_6118 5 6 5" xfId="14651" xr:uid="{00000000-0005-0000-0000-00002D390000}"/>
    <cellStyle name="0_capex_Hasik_Shuwaimiyah_6118 5 6 5 2" xfId="14652" xr:uid="{00000000-0005-0000-0000-00002E390000}"/>
    <cellStyle name="0_capex_Hasik_Shuwaimiyah_6118 5 6 5 2 2" xfId="14653" xr:uid="{00000000-0005-0000-0000-00002F390000}"/>
    <cellStyle name="0_capex_Hasik_Shuwaimiyah_6118 5 6 5 3" xfId="14654" xr:uid="{00000000-0005-0000-0000-000030390000}"/>
    <cellStyle name="0_capex_Hasik_Shuwaimiyah_6118 5 6 5 3 2" xfId="14655" xr:uid="{00000000-0005-0000-0000-000031390000}"/>
    <cellStyle name="0_capex_Hasik_Shuwaimiyah_6118 5 6 5 4" xfId="14656" xr:uid="{00000000-0005-0000-0000-000032390000}"/>
    <cellStyle name="0_capex_Hasik_Shuwaimiyah_6118 5 6 6" xfId="14657" xr:uid="{00000000-0005-0000-0000-000033390000}"/>
    <cellStyle name="0_capex_Hasik_Shuwaimiyah_6118 5 6 6 2" xfId="14658" xr:uid="{00000000-0005-0000-0000-000034390000}"/>
    <cellStyle name="0_capex_Hasik_Shuwaimiyah_6118 5 6 7" xfId="14659" xr:uid="{00000000-0005-0000-0000-000035390000}"/>
    <cellStyle name="0_capex_Hasik_Shuwaimiyah_6118 5 6 7 2" xfId="14660" xr:uid="{00000000-0005-0000-0000-000036390000}"/>
    <cellStyle name="0_capex_Hasik_Shuwaimiyah_6118 5 6 8" xfId="14661" xr:uid="{00000000-0005-0000-0000-000037390000}"/>
    <cellStyle name="0_capex_Hasik_Shuwaimiyah_6118 5 7" xfId="14662" xr:uid="{00000000-0005-0000-0000-000038390000}"/>
    <cellStyle name="0_capex_Hasik_Shuwaimiyah_6118 5 7 2" xfId="14663" xr:uid="{00000000-0005-0000-0000-000039390000}"/>
    <cellStyle name="0_capex_Hasik_Shuwaimiyah_6118 5 7 2 2" xfId="14664" xr:uid="{00000000-0005-0000-0000-00003A390000}"/>
    <cellStyle name="0_capex_Hasik_Shuwaimiyah_6118 5 7 2 2 2" xfId="14665" xr:uid="{00000000-0005-0000-0000-00003B390000}"/>
    <cellStyle name="0_capex_Hasik_Shuwaimiyah_6118 5 7 2 3" xfId="14666" xr:uid="{00000000-0005-0000-0000-00003C390000}"/>
    <cellStyle name="0_capex_Hasik_Shuwaimiyah_6118 5 7 2 3 2" xfId="14667" xr:uid="{00000000-0005-0000-0000-00003D390000}"/>
    <cellStyle name="0_capex_Hasik_Shuwaimiyah_6118 5 7 2 4" xfId="14668" xr:uid="{00000000-0005-0000-0000-00003E390000}"/>
    <cellStyle name="0_capex_Hasik_Shuwaimiyah_6118 5 7 3" xfId="14669" xr:uid="{00000000-0005-0000-0000-00003F390000}"/>
    <cellStyle name="0_capex_Hasik_Shuwaimiyah_6118 5 7 3 2" xfId="14670" xr:uid="{00000000-0005-0000-0000-000040390000}"/>
    <cellStyle name="0_capex_Hasik_Shuwaimiyah_6118 5 7 3 2 2" xfId="14671" xr:uid="{00000000-0005-0000-0000-000041390000}"/>
    <cellStyle name="0_capex_Hasik_Shuwaimiyah_6118 5 7 3 3" xfId="14672" xr:uid="{00000000-0005-0000-0000-000042390000}"/>
    <cellStyle name="0_capex_Hasik_Shuwaimiyah_6118 5 7 3 3 2" xfId="14673" xr:uid="{00000000-0005-0000-0000-000043390000}"/>
    <cellStyle name="0_capex_Hasik_Shuwaimiyah_6118 5 7 3 4" xfId="14674" xr:uid="{00000000-0005-0000-0000-000044390000}"/>
    <cellStyle name="0_capex_Hasik_Shuwaimiyah_6118 5 7 4" xfId="14675" xr:uid="{00000000-0005-0000-0000-000045390000}"/>
    <cellStyle name="0_capex_Hasik_Shuwaimiyah_6118 5 7 4 2" xfId="14676" xr:uid="{00000000-0005-0000-0000-000046390000}"/>
    <cellStyle name="0_capex_Hasik_Shuwaimiyah_6118 5 7 5" xfId="14677" xr:uid="{00000000-0005-0000-0000-000047390000}"/>
    <cellStyle name="0_capex_Hasik_Shuwaimiyah_6118 5 7 5 2" xfId="14678" xr:uid="{00000000-0005-0000-0000-000048390000}"/>
    <cellStyle name="0_capex_Hasik_Shuwaimiyah_6118 5 7 6" xfId="14679" xr:uid="{00000000-0005-0000-0000-000049390000}"/>
    <cellStyle name="0_capex_Hasik_Shuwaimiyah_6118 5 8" xfId="14680" xr:uid="{00000000-0005-0000-0000-00004A390000}"/>
    <cellStyle name="0_capex_Hasik_Shuwaimiyah_6118 5 8 2" xfId="14681" xr:uid="{00000000-0005-0000-0000-00004B390000}"/>
    <cellStyle name="0_capex_Hasik_Shuwaimiyah_6118 5 8 2 2" xfId="14682" xr:uid="{00000000-0005-0000-0000-00004C390000}"/>
    <cellStyle name="0_capex_Hasik_Shuwaimiyah_6118 5 8 3" xfId="14683" xr:uid="{00000000-0005-0000-0000-00004D390000}"/>
    <cellStyle name="0_capex_Hasik_Shuwaimiyah_6118 5 8 3 2" xfId="14684" xr:uid="{00000000-0005-0000-0000-00004E390000}"/>
    <cellStyle name="0_capex_Hasik_Shuwaimiyah_6118 5 8 4" xfId="14685" xr:uid="{00000000-0005-0000-0000-00004F390000}"/>
    <cellStyle name="0_capex_Hasik_Shuwaimiyah_6118 5 9" xfId="14686" xr:uid="{00000000-0005-0000-0000-000050390000}"/>
    <cellStyle name="0_capex_Hasik_Shuwaimiyah_6118 5 9 2" xfId="14687" xr:uid="{00000000-0005-0000-0000-000051390000}"/>
    <cellStyle name="0_capex_Hasik_Shuwaimiyah_6118 5 9 2 2" xfId="14688" xr:uid="{00000000-0005-0000-0000-000052390000}"/>
    <cellStyle name="0_capex_Hasik_Shuwaimiyah_6118 5 9 3" xfId="14689" xr:uid="{00000000-0005-0000-0000-000053390000}"/>
    <cellStyle name="0_capex_Hasik_Shuwaimiyah_6118 5 9 3 2" xfId="14690" xr:uid="{00000000-0005-0000-0000-000054390000}"/>
    <cellStyle name="0_capex_Hasik_Shuwaimiyah_6118 5 9 4" xfId="14691" xr:uid="{00000000-0005-0000-0000-000055390000}"/>
    <cellStyle name="0_capex_Hasik_Shuwaimiyah_6118 6" xfId="14692" xr:uid="{00000000-0005-0000-0000-000056390000}"/>
    <cellStyle name="0_capex_Hasik_Shuwaimiyah_6118 6 2" xfId="14693" xr:uid="{00000000-0005-0000-0000-000057390000}"/>
    <cellStyle name="0_capex_Hasik_Shuwaimiyah_6118 6 2 2" xfId="14694" xr:uid="{00000000-0005-0000-0000-000058390000}"/>
    <cellStyle name="0_capex_Hasik_Shuwaimiyah_6118 6 2 2 2" xfId="14695" xr:uid="{00000000-0005-0000-0000-000059390000}"/>
    <cellStyle name="0_capex_Hasik_Shuwaimiyah_6118 6 2 2 2 2" xfId="14696" xr:uid="{00000000-0005-0000-0000-00005A390000}"/>
    <cellStyle name="0_capex_Hasik_Shuwaimiyah_6118 6 2 2 3" xfId="14697" xr:uid="{00000000-0005-0000-0000-00005B390000}"/>
    <cellStyle name="0_capex_Hasik_Shuwaimiyah_6118 6 2 2 3 2" xfId="14698" xr:uid="{00000000-0005-0000-0000-00005C390000}"/>
    <cellStyle name="0_capex_Hasik_Shuwaimiyah_6118 6 2 2 4" xfId="14699" xr:uid="{00000000-0005-0000-0000-00005D390000}"/>
    <cellStyle name="0_capex_Hasik_Shuwaimiyah_6118 6 2 3" xfId="14700" xr:uid="{00000000-0005-0000-0000-00005E390000}"/>
    <cellStyle name="0_capex_Hasik_Shuwaimiyah_6118 6 2 3 2" xfId="14701" xr:uid="{00000000-0005-0000-0000-00005F390000}"/>
    <cellStyle name="0_capex_Hasik_Shuwaimiyah_6118 6 2 3 2 2" xfId="14702" xr:uid="{00000000-0005-0000-0000-000060390000}"/>
    <cellStyle name="0_capex_Hasik_Shuwaimiyah_6118 6 2 3 3" xfId="14703" xr:uid="{00000000-0005-0000-0000-000061390000}"/>
    <cellStyle name="0_capex_Hasik_Shuwaimiyah_6118 6 2 3 3 2" xfId="14704" xr:uid="{00000000-0005-0000-0000-000062390000}"/>
    <cellStyle name="0_capex_Hasik_Shuwaimiyah_6118 6 2 3 4" xfId="14705" xr:uid="{00000000-0005-0000-0000-000063390000}"/>
    <cellStyle name="0_capex_Hasik_Shuwaimiyah_6118 6 2 4" xfId="14706" xr:uid="{00000000-0005-0000-0000-000064390000}"/>
    <cellStyle name="0_capex_Hasik_Shuwaimiyah_6118 6 2 4 2" xfId="14707" xr:uid="{00000000-0005-0000-0000-000065390000}"/>
    <cellStyle name="0_capex_Hasik_Shuwaimiyah_6118 6 2 5" xfId="14708" xr:uid="{00000000-0005-0000-0000-000066390000}"/>
    <cellStyle name="0_capex_Hasik_Shuwaimiyah_6118 6 2 5 2" xfId="14709" xr:uid="{00000000-0005-0000-0000-000067390000}"/>
    <cellStyle name="0_capex_Hasik_Shuwaimiyah_6118 6 2 6" xfId="14710" xr:uid="{00000000-0005-0000-0000-000068390000}"/>
    <cellStyle name="0_capex_Hasik_Shuwaimiyah_6118 6 3" xfId="14711" xr:uid="{00000000-0005-0000-0000-000069390000}"/>
    <cellStyle name="0_capex_Hasik_Shuwaimiyah_6118 6 3 2" xfId="14712" xr:uid="{00000000-0005-0000-0000-00006A390000}"/>
    <cellStyle name="0_capex_Hasik_Shuwaimiyah_6118 6 3 2 2" xfId="14713" xr:uid="{00000000-0005-0000-0000-00006B390000}"/>
    <cellStyle name="0_capex_Hasik_Shuwaimiyah_6118 6 3 3" xfId="14714" xr:uid="{00000000-0005-0000-0000-00006C390000}"/>
    <cellStyle name="0_capex_Hasik_Shuwaimiyah_6118 6 3 3 2" xfId="14715" xr:uid="{00000000-0005-0000-0000-00006D390000}"/>
    <cellStyle name="0_capex_Hasik_Shuwaimiyah_6118 6 3 4" xfId="14716" xr:uid="{00000000-0005-0000-0000-00006E390000}"/>
    <cellStyle name="0_capex_Hasik_Shuwaimiyah_6118 6 4" xfId="14717" xr:uid="{00000000-0005-0000-0000-00006F390000}"/>
    <cellStyle name="0_capex_Hasik_Shuwaimiyah_6118 6 4 2" xfId="14718" xr:uid="{00000000-0005-0000-0000-000070390000}"/>
    <cellStyle name="0_capex_Hasik_Shuwaimiyah_6118 6 4 2 2" xfId="14719" xr:uid="{00000000-0005-0000-0000-000071390000}"/>
    <cellStyle name="0_capex_Hasik_Shuwaimiyah_6118 6 4 3" xfId="14720" xr:uid="{00000000-0005-0000-0000-000072390000}"/>
    <cellStyle name="0_capex_Hasik_Shuwaimiyah_6118 6 4 3 2" xfId="14721" xr:uid="{00000000-0005-0000-0000-000073390000}"/>
    <cellStyle name="0_capex_Hasik_Shuwaimiyah_6118 6 4 4" xfId="14722" xr:uid="{00000000-0005-0000-0000-000074390000}"/>
    <cellStyle name="0_capex_Hasik_Shuwaimiyah_6118 6 5" xfId="14723" xr:uid="{00000000-0005-0000-0000-000075390000}"/>
    <cellStyle name="0_capex_Hasik_Shuwaimiyah_6118 6 5 2" xfId="14724" xr:uid="{00000000-0005-0000-0000-000076390000}"/>
    <cellStyle name="0_capex_Hasik_Shuwaimiyah_6118 6 5 2 2" xfId="14725" xr:uid="{00000000-0005-0000-0000-000077390000}"/>
    <cellStyle name="0_capex_Hasik_Shuwaimiyah_6118 6 5 3" xfId="14726" xr:uid="{00000000-0005-0000-0000-000078390000}"/>
    <cellStyle name="0_capex_Hasik_Shuwaimiyah_6118 6 5 3 2" xfId="14727" xr:uid="{00000000-0005-0000-0000-000079390000}"/>
    <cellStyle name="0_capex_Hasik_Shuwaimiyah_6118 6 5 4" xfId="14728" xr:uid="{00000000-0005-0000-0000-00007A390000}"/>
    <cellStyle name="0_capex_Hasik_Shuwaimiyah_6118 6 6" xfId="14729" xr:uid="{00000000-0005-0000-0000-00007B390000}"/>
    <cellStyle name="0_capex_Hasik_Shuwaimiyah_6118 6 6 2" xfId="14730" xr:uid="{00000000-0005-0000-0000-00007C390000}"/>
    <cellStyle name="0_capex_Hasik_Shuwaimiyah_6118 6 7" xfId="14731" xr:uid="{00000000-0005-0000-0000-00007D390000}"/>
    <cellStyle name="0_capex_Hasik_Shuwaimiyah_6118 6 7 2" xfId="14732" xr:uid="{00000000-0005-0000-0000-00007E390000}"/>
    <cellStyle name="0_capex_Hasik_Shuwaimiyah_6118 6 8" xfId="14733" xr:uid="{00000000-0005-0000-0000-00007F390000}"/>
    <cellStyle name="0_capex_Hasik_Shuwaimiyah_6118 7" xfId="14734" xr:uid="{00000000-0005-0000-0000-000080390000}"/>
    <cellStyle name="0_capex_Hasik_Shuwaimiyah_6118 7 2" xfId="14735" xr:uid="{00000000-0005-0000-0000-000081390000}"/>
    <cellStyle name="0_capex_Hasik_Shuwaimiyah_6118 7 2 2" xfId="14736" xr:uid="{00000000-0005-0000-0000-000082390000}"/>
    <cellStyle name="0_capex_Hasik_Shuwaimiyah_6118 7 2 2 2" xfId="14737" xr:uid="{00000000-0005-0000-0000-000083390000}"/>
    <cellStyle name="0_capex_Hasik_Shuwaimiyah_6118 7 2 3" xfId="14738" xr:uid="{00000000-0005-0000-0000-000084390000}"/>
    <cellStyle name="0_capex_Hasik_Shuwaimiyah_6118 7 2 3 2" xfId="14739" xr:uid="{00000000-0005-0000-0000-000085390000}"/>
    <cellStyle name="0_capex_Hasik_Shuwaimiyah_6118 7 2 4" xfId="14740" xr:uid="{00000000-0005-0000-0000-000086390000}"/>
    <cellStyle name="0_capex_Hasik_Shuwaimiyah_6118 7 3" xfId="14741" xr:uid="{00000000-0005-0000-0000-000087390000}"/>
    <cellStyle name="0_capex_Hasik_Shuwaimiyah_6118 7 3 2" xfId="14742" xr:uid="{00000000-0005-0000-0000-000088390000}"/>
    <cellStyle name="0_capex_Hasik_Shuwaimiyah_6118 7 3 2 2" xfId="14743" xr:uid="{00000000-0005-0000-0000-000089390000}"/>
    <cellStyle name="0_capex_Hasik_Shuwaimiyah_6118 7 3 3" xfId="14744" xr:uid="{00000000-0005-0000-0000-00008A390000}"/>
    <cellStyle name="0_capex_Hasik_Shuwaimiyah_6118 7 3 3 2" xfId="14745" xr:uid="{00000000-0005-0000-0000-00008B390000}"/>
    <cellStyle name="0_capex_Hasik_Shuwaimiyah_6118 7 3 4" xfId="14746" xr:uid="{00000000-0005-0000-0000-00008C390000}"/>
    <cellStyle name="0_capex_Hasik_Shuwaimiyah_6118 7 4" xfId="14747" xr:uid="{00000000-0005-0000-0000-00008D390000}"/>
    <cellStyle name="0_capex_Hasik_Shuwaimiyah_6118 7 4 2" xfId="14748" xr:uid="{00000000-0005-0000-0000-00008E390000}"/>
    <cellStyle name="0_capex_Hasik_Shuwaimiyah_6118 7 5" xfId="14749" xr:uid="{00000000-0005-0000-0000-00008F390000}"/>
    <cellStyle name="0_capex_Hasik_Shuwaimiyah_6118 7 5 2" xfId="14750" xr:uid="{00000000-0005-0000-0000-000090390000}"/>
    <cellStyle name="0_capex_Hasik_Shuwaimiyah_6118 7 6" xfId="14751" xr:uid="{00000000-0005-0000-0000-000091390000}"/>
    <cellStyle name="0_capex_Hasik_Shuwaimiyah_6118 8" xfId="14752" xr:uid="{00000000-0005-0000-0000-000092390000}"/>
    <cellStyle name="0_capex_Hasik_Shuwaimiyah_6118 8 2" xfId="14753" xr:uid="{00000000-0005-0000-0000-000093390000}"/>
    <cellStyle name="0_capex_Hasik_Shuwaimiyah_6118 8 2 2" xfId="14754" xr:uid="{00000000-0005-0000-0000-000094390000}"/>
    <cellStyle name="0_capex_Hasik_Shuwaimiyah_6118 8 2 2 2" xfId="14755" xr:uid="{00000000-0005-0000-0000-000095390000}"/>
    <cellStyle name="0_capex_Hasik_Shuwaimiyah_6118 8 2 3" xfId="14756" xr:uid="{00000000-0005-0000-0000-000096390000}"/>
    <cellStyle name="0_capex_Hasik_Shuwaimiyah_6118 8 2 3 2" xfId="14757" xr:uid="{00000000-0005-0000-0000-000097390000}"/>
    <cellStyle name="0_capex_Hasik_Shuwaimiyah_6118 8 2 4" xfId="14758" xr:uid="{00000000-0005-0000-0000-000098390000}"/>
    <cellStyle name="0_capex_Hasik_Shuwaimiyah_6118 8 3" xfId="14759" xr:uid="{00000000-0005-0000-0000-000099390000}"/>
    <cellStyle name="0_capex_Hasik_Shuwaimiyah_6118 8 3 2" xfId="14760" xr:uid="{00000000-0005-0000-0000-00009A390000}"/>
    <cellStyle name="0_capex_Hasik_Shuwaimiyah_6118 8 3 2 2" xfId="14761" xr:uid="{00000000-0005-0000-0000-00009B390000}"/>
    <cellStyle name="0_capex_Hasik_Shuwaimiyah_6118 8 3 3" xfId="14762" xr:uid="{00000000-0005-0000-0000-00009C390000}"/>
    <cellStyle name="0_capex_Hasik_Shuwaimiyah_6118 8 3 3 2" xfId="14763" xr:uid="{00000000-0005-0000-0000-00009D390000}"/>
    <cellStyle name="0_capex_Hasik_Shuwaimiyah_6118 8 3 4" xfId="14764" xr:uid="{00000000-0005-0000-0000-00009E390000}"/>
    <cellStyle name="0_capex_Hasik_Shuwaimiyah_6118 8 4" xfId="14765" xr:uid="{00000000-0005-0000-0000-00009F390000}"/>
    <cellStyle name="0_capex_Hasik_Shuwaimiyah_6118 8 4 2" xfId="14766" xr:uid="{00000000-0005-0000-0000-0000A0390000}"/>
    <cellStyle name="0_capex_Hasik_Shuwaimiyah_6118 8 5" xfId="14767" xr:uid="{00000000-0005-0000-0000-0000A1390000}"/>
    <cellStyle name="0_capex_Hasik_Shuwaimiyah_6118 8 5 2" xfId="14768" xr:uid="{00000000-0005-0000-0000-0000A2390000}"/>
    <cellStyle name="0_capex_Hasik_Shuwaimiyah_6118 8 6" xfId="14769" xr:uid="{00000000-0005-0000-0000-0000A3390000}"/>
    <cellStyle name="0_capex_Hasik_Shuwaimiyah_6118 9" xfId="14770" xr:uid="{00000000-0005-0000-0000-0000A4390000}"/>
    <cellStyle name="0_capex_Hasik_Shuwaimiyah_6118 9 2" xfId="14771" xr:uid="{00000000-0005-0000-0000-0000A5390000}"/>
    <cellStyle name="0_capex_Hasik_Shuwaimiyah_6118 9 2 2" xfId="14772" xr:uid="{00000000-0005-0000-0000-0000A6390000}"/>
    <cellStyle name="0_capex_Hasik_Shuwaimiyah_6118 9 3" xfId="14773" xr:uid="{00000000-0005-0000-0000-0000A7390000}"/>
    <cellStyle name="0_capex_Hasik_Shuwaimiyah_6118 9 3 2" xfId="14774" xr:uid="{00000000-0005-0000-0000-0000A8390000}"/>
    <cellStyle name="0_capex_Hasik_Shuwaimiyah_6118 9 4" xfId="14775" xr:uid="{00000000-0005-0000-0000-0000A9390000}"/>
    <cellStyle name="0_CEO REVIEW MEETING FEB 2010" xfId="14776" xr:uid="{00000000-0005-0000-0000-0000AA390000}"/>
    <cellStyle name="0_CEO REVIEW MEETING FEB 2010 10" xfId="14777" xr:uid="{00000000-0005-0000-0000-0000AB390000}"/>
    <cellStyle name="0_CEO REVIEW MEETING FEB 2010 11" xfId="14778" xr:uid="{00000000-0005-0000-0000-0000AC390000}"/>
    <cellStyle name="0_CEO REVIEW MEETING FEB 2010 12" xfId="14779" xr:uid="{00000000-0005-0000-0000-0000AD390000}"/>
    <cellStyle name="0_CEO REVIEW MEETING FEB 2010 2" xfId="14780" xr:uid="{00000000-0005-0000-0000-0000AE390000}"/>
    <cellStyle name="0_CEO REVIEW MEETING FEB 2010 2 2" xfId="14781" xr:uid="{00000000-0005-0000-0000-0000AF390000}"/>
    <cellStyle name="0_CEO REVIEW MEETING FEB 2010 2 2 2" xfId="14782" xr:uid="{00000000-0005-0000-0000-0000B0390000}"/>
    <cellStyle name="0_CEO REVIEW MEETING FEB 2010 2 2 2 2" xfId="14783" xr:uid="{00000000-0005-0000-0000-0000B1390000}"/>
    <cellStyle name="0_CEO REVIEW MEETING FEB 2010 2 2 3" xfId="14784" xr:uid="{00000000-0005-0000-0000-0000B2390000}"/>
    <cellStyle name="0_CEO REVIEW MEETING FEB 2010 2 2 3 2" xfId="14785" xr:uid="{00000000-0005-0000-0000-0000B3390000}"/>
    <cellStyle name="0_CEO REVIEW MEETING FEB 2010 2 2 4" xfId="14786" xr:uid="{00000000-0005-0000-0000-0000B4390000}"/>
    <cellStyle name="0_CEO REVIEW MEETING FEB 2010 2 3" xfId="14787" xr:uid="{00000000-0005-0000-0000-0000B5390000}"/>
    <cellStyle name="0_CEO REVIEW MEETING FEB 2010 2 3 2" xfId="14788" xr:uid="{00000000-0005-0000-0000-0000B6390000}"/>
    <cellStyle name="0_CEO REVIEW MEETING FEB 2010 2 3 2 2" xfId="14789" xr:uid="{00000000-0005-0000-0000-0000B7390000}"/>
    <cellStyle name="0_CEO REVIEW MEETING FEB 2010 2 3 3" xfId="14790" xr:uid="{00000000-0005-0000-0000-0000B8390000}"/>
    <cellStyle name="0_CEO REVIEW MEETING FEB 2010 2 3 3 2" xfId="14791" xr:uid="{00000000-0005-0000-0000-0000B9390000}"/>
    <cellStyle name="0_CEO REVIEW MEETING FEB 2010 2 3 4" xfId="14792" xr:uid="{00000000-0005-0000-0000-0000BA390000}"/>
    <cellStyle name="0_CEO REVIEW MEETING FEB 2010 2 4" xfId="14793" xr:uid="{00000000-0005-0000-0000-0000BB390000}"/>
    <cellStyle name="0_CEO REVIEW MEETING FEB 2010 2 4 2" xfId="14794" xr:uid="{00000000-0005-0000-0000-0000BC390000}"/>
    <cellStyle name="0_CEO REVIEW MEETING FEB 2010 2 5" xfId="14795" xr:uid="{00000000-0005-0000-0000-0000BD390000}"/>
    <cellStyle name="0_CEO REVIEW MEETING FEB 2010 2 5 2" xfId="14796" xr:uid="{00000000-0005-0000-0000-0000BE390000}"/>
    <cellStyle name="0_CEO REVIEW MEETING FEB 2010 2 6" xfId="14797" xr:uid="{00000000-0005-0000-0000-0000BF390000}"/>
    <cellStyle name="0_CEO REVIEW MEETING FEB 2010 3" xfId="14798" xr:uid="{00000000-0005-0000-0000-0000C0390000}"/>
    <cellStyle name="0_CEO REVIEW MEETING FEB 2010 3 2" xfId="14799" xr:uid="{00000000-0005-0000-0000-0000C1390000}"/>
    <cellStyle name="0_CEO REVIEW MEETING FEB 2010 3 2 2" xfId="14800" xr:uid="{00000000-0005-0000-0000-0000C2390000}"/>
    <cellStyle name="0_CEO REVIEW MEETING FEB 2010 3 3" xfId="14801" xr:uid="{00000000-0005-0000-0000-0000C3390000}"/>
    <cellStyle name="0_CEO REVIEW MEETING FEB 2010 3 3 2" xfId="14802" xr:uid="{00000000-0005-0000-0000-0000C4390000}"/>
    <cellStyle name="0_CEO REVIEW MEETING FEB 2010 3 4" xfId="14803" xr:uid="{00000000-0005-0000-0000-0000C5390000}"/>
    <cellStyle name="0_CEO REVIEW MEETING FEB 2010 3 5" xfId="14804" xr:uid="{00000000-0005-0000-0000-0000C6390000}"/>
    <cellStyle name="0_CEO REVIEW MEETING FEB 2010 4" xfId="14805" xr:uid="{00000000-0005-0000-0000-0000C7390000}"/>
    <cellStyle name="0_CEO REVIEW MEETING FEB 2010 4 2" xfId="14806" xr:uid="{00000000-0005-0000-0000-0000C8390000}"/>
    <cellStyle name="0_CEO REVIEW MEETING FEB 2010 4 2 2" xfId="14807" xr:uid="{00000000-0005-0000-0000-0000C9390000}"/>
    <cellStyle name="0_CEO REVIEW MEETING FEB 2010 4 3" xfId="14808" xr:uid="{00000000-0005-0000-0000-0000CA390000}"/>
    <cellStyle name="0_CEO REVIEW MEETING FEB 2010 4 3 2" xfId="14809" xr:uid="{00000000-0005-0000-0000-0000CB390000}"/>
    <cellStyle name="0_CEO REVIEW MEETING FEB 2010 4 4" xfId="14810" xr:uid="{00000000-0005-0000-0000-0000CC390000}"/>
    <cellStyle name="0_CEO REVIEW MEETING FEB 2010 4 5" xfId="14811" xr:uid="{00000000-0005-0000-0000-0000CD390000}"/>
    <cellStyle name="0_CEO REVIEW MEETING FEB 2010 5" xfId="14812" xr:uid="{00000000-0005-0000-0000-0000CE390000}"/>
    <cellStyle name="0_CEO REVIEW MEETING FEB 2010 5 2" xfId="14813" xr:uid="{00000000-0005-0000-0000-0000CF390000}"/>
    <cellStyle name="0_CEO REVIEW MEETING FEB 2010 5 3" xfId="14814" xr:uid="{00000000-0005-0000-0000-0000D0390000}"/>
    <cellStyle name="0_CEO REVIEW MEETING FEB 2010 5 4" xfId="14815" xr:uid="{00000000-0005-0000-0000-0000D1390000}"/>
    <cellStyle name="0_CEO REVIEW MEETING FEB 2010 5 5" xfId="14816" xr:uid="{00000000-0005-0000-0000-0000D2390000}"/>
    <cellStyle name="0_CEO REVIEW MEETING FEB 2010 6" xfId="14817" xr:uid="{00000000-0005-0000-0000-0000D3390000}"/>
    <cellStyle name="0_CEO REVIEW MEETING FEB 2010 6 2" xfId="14818" xr:uid="{00000000-0005-0000-0000-0000D4390000}"/>
    <cellStyle name="0_CEO REVIEW MEETING FEB 2010 6 3" xfId="14819" xr:uid="{00000000-0005-0000-0000-0000D5390000}"/>
    <cellStyle name="0_CEO REVIEW MEETING FEB 2010 6 4" xfId="14820" xr:uid="{00000000-0005-0000-0000-0000D6390000}"/>
    <cellStyle name="0_CEO REVIEW MEETING FEB 2010 6 5" xfId="14821" xr:uid="{00000000-0005-0000-0000-0000D7390000}"/>
    <cellStyle name="0_CEO REVIEW MEETING FEB 2010 7" xfId="14822" xr:uid="{00000000-0005-0000-0000-0000D8390000}"/>
    <cellStyle name="0_CEO REVIEW MEETING FEB 2010 7 2" xfId="14823" xr:uid="{00000000-0005-0000-0000-0000D9390000}"/>
    <cellStyle name="0_CEO REVIEW MEETING FEB 2010 7 3" xfId="14824" xr:uid="{00000000-0005-0000-0000-0000DA390000}"/>
    <cellStyle name="0_CEO REVIEW MEETING FEB 2010 7 4" xfId="14825" xr:uid="{00000000-0005-0000-0000-0000DB390000}"/>
    <cellStyle name="0_CEO REVIEW MEETING FEB 2010 7 5" xfId="14826" xr:uid="{00000000-0005-0000-0000-0000DC390000}"/>
    <cellStyle name="0_CEO REVIEW MEETING FEB 2010 8" xfId="14827" xr:uid="{00000000-0005-0000-0000-0000DD390000}"/>
    <cellStyle name="0_CEO REVIEW MEETING FEB 2010 8 2" xfId="14828" xr:uid="{00000000-0005-0000-0000-0000DE390000}"/>
    <cellStyle name="0_CEO REVIEW MEETING FEB 2010 8 3" xfId="14829" xr:uid="{00000000-0005-0000-0000-0000DF390000}"/>
    <cellStyle name="0_CEO REVIEW MEETING FEB 2010 8 4" xfId="14830" xr:uid="{00000000-0005-0000-0000-0000E0390000}"/>
    <cellStyle name="0_CEO REVIEW MEETING FEB 2010 8 5" xfId="14831" xr:uid="{00000000-0005-0000-0000-0000E1390000}"/>
    <cellStyle name="0_CEO REVIEW MEETING FEB 2010 9" xfId="14832" xr:uid="{00000000-0005-0000-0000-0000E2390000}"/>
    <cellStyle name="0_Certificate 3a" xfId="14833" xr:uid="{00000000-0005-0000-0000-0000E3390000}"/>
    <cellStyle name="0_Claims_RB_Mar09" xfId="14834" xr:uid="{00000000-0005-0000-0000-0000E4390000}"/>
    <cellStyle name="0_Claims_RB_Mar09 2" xfId="14835" xr:uid="{00000000-0005-0000-0000-0000E5390000}"/>
    <cellStyle name="0_Claims_RB_Mar09 2 2" xfId="14836" xr:uid="{00000000-0005-0000-0000-0000E6390000}"/>
    <cellStyle name="0_Claims_RB_Mar09 2 3" xfId="14837" xr:uid="{00000000-0005-0000-0000-0000E7390000}"/>
    <cellStyle name="0_Claims_RB_Mar09 2 4" xfId="14838" xr:uid="{00000000-0005-0000-0000-0000E8390000}"/>
    <cellStyle name="0_Claims_RB_Mar09 3" xfId="14839" xr:uid="{00000000-0005-0000-0000-0000E9390000}"/>
    <cellStyle name="0_Claims_RB_Mar09 3 2" xfId="14840" xr:uid="{00000000-0005-0000-0000-0000EA390000}"/>
    <cellStyle name="0_Claims_RB_Mar09 4" xfId="14841" xr:uid="{00000000-0005-0000-0000-0000EB390000}"/>
    <cellStyle name="0_Claims_RB_Mar09 4 2" xfId="14842" xr:uid="{00000000-0005-0000-0000-0000EC390000}"/>
    <cellStyle name="0_Claims_RB_Mar09 5" xfId="14843" xr:uid="{00000000-0005-0000-0000-0000ED390000}"/>
    <cellStyle name="0_Claims_RB_Mar09 5 2" xfId="14844" xr:uid="{00000000-0005-0000-0000-0000EE390000}"/>
    <cellStyle name="0_Claims_RB_Mar09 6" xfId="14845" xr:uid="{00000000-0005-0000-0000-0000EF390000}"/>
    <cellStyle name="0_Claims_RB_Mar09 7" xfId="14846" xr:uid="{00000000-0005-0000-0000-0000F0390000}"/>
    <cellStyle name="0_Claims_RB_Mar09 8" xfId="14847" xr:uid="{00000000-0005-0000-0000-0000F1390000}"/>
    <cellStyle name="0_Commodity_for_Project" xfId="14848" xr:uid="{00000000-0005-0000-0000-0000F2390000}"/>
    <cellStyle name="0_Commodity_for_Project 10" xfId="14849" xr:uid="{00000000-0005-0000-0000-0000F3390000}"/>
    <cellStyle name="0_Commodity_for_Project 11" xfId="14850" xr:uid="{00000000-0005-0000-0000-0000F4390000}"/>
    <cellStyle name="0_Commodity_for_Project 12" xfId="14851" xr:uid="{00000000-0005-0000-0000-0000F5390000}"/>
    <cellStyle name="0_Commodity_for_Project 2" xfId="14852" xr:uid="{00000000-0005-0000-0000-0000F6390000}"/>
    <cellStyle name="0_Commodity_for_Project 2 2" xfId="14853" xr:uid="{00000000-0005-0000-0000-0000F7390000}"/>
    <cellStyle name="0_Commodity_for_Project 2 2 2" xfId="14854" xr:uid="{00000000-0005-0000-0000-0000F8390000}"/>
    <cellStyle name="0_Commodity_for_Project 2 2 2 2" xfId="14855" xr:uid="{00000000-0005-0000-0000-0000F9390000}"/>
    <cellStyle name="0_Commodity_for_Project 2 2 3" xfId="14856" xr:uid="{00000000-0005-0000-0000-0000FA390000}"/>
    <cellStyle name="0_Commodity_for_Project 2 2 3 2" xfId="14857" xr:uid="{00000000-0005-0000-0000-0000FB390000}"/>
    <cellStyle name="0_Commodity_for_Project 2 2 4" xfId="14858" xr:uid="{00000000-0005-0000-0000-0000FC390000}"/>
    <cellStyle name="0_Commodity_for_Project 2 3" xfId="14859" xr:uid="{00000000-0005-0000-0000-0000FD390000}"/>
    <cellStyle name="0_Commodity_for_Project 2 3 2" xfId="14860" xr:uid="{00000000-0005-0000-0000-0000FE390000}"/>
    <cellStyle name="0_Commodity_for_Project 2 3 2 2" xfId="14861" xr:uid="{00000000-0005-0000-0000-0000FF390000}"/>
    <cellStyle name="0_Commodity_for_Project 2 3 3" xfId="14862" xr:uid="{00000000-0005-0000-0000-0000003A0000}"/>
    <cellStyle name="0_Commodity_for_Project 2 3 3 2" xfId="14863" xr:uid="{00000000-0005-0000-0000-0000013A0000}"/>
    <cellStyle name="0_Commodity_for_Project 2 3 4" xfId="14864" xr:uid="{00000000-0005-0000-0000-0000023A0000}"/>
    <cellStyle name="0_Commodity_for_Project 2 4" xfId="14865" xr:uid="{00000000-0005-0000-0000-0000033A0000}"/>
    <cellStyle name="0_Commodity_for_Project 2 4 2" xfId="14866" xr:uid="{00000000-0005-0000-0000-0000043A0000}"/>
    <cellStyle name="0_Commodity_for_Project 2 5" xfId="14867" xr:uid="{00000000-0005-0000-0000-0000053A0000}"/>
    <cellStyle name="0_Commodity_for_Project 2 5 2" xfId="14868" xr:uid="{00000000-0005-0000-0000-0000063A0000}"/>
    <cellStyle name="0_Commodity_for_Project 2 6" xfId="14869" xr:uid="{00000000-0005-0000-0000-0000073A0000}"/>
    <cellStyle name="0_Commodity_for_Project 3" xfId="14870" xr:uid="{00000000-0005-0000-0000-0000083A0000}"/>
    <cellStyle name="0_Commodity_for_Project 3 2" xfId="14871" xr:uid="{00000000-0005-0000-0000-0000093A0000}"/>
    <cellStyle name="0_Commodity_for_Project 3 2 2" xfId="14872" xr:uid="{00000000-0005-0000-0000-00000A3A0000}"/>
    <cellStyle name="0_Commodity_for_Project 3 3" xfId="14873" xr:uid="{00000000-0005-0000-0000-00000B3A0000}"/>
    <cellStyle name="0_Commodity_for_Project 3 3 2" xfId="14874" xr:uid="{00000000-0005-0000-0000-00000C3A0000}"/>
    <cellStyle name="0_Commodity_for_Project 3 4" xfId="14875" xr:uid="{00000000-0005-0000-0000-00000D3A0000}"/>
    <cellStyle name="0_Commodity_for_Project 3 5" xfId="14876" xr:uid="{00000000-0005-0000-0000-00000E3A0000}"/>
    <cellStyle name="0_Commodity_for_Project 4" xfId="14877" xr:uid="{00000000-0005-0000-0000-00000F3A0000}"/>
    <cellStyle name="0_Commodity_for_Project 4 2" xfId="14878" xr:uid="{00000000-0005-0000-0000-0000103A0000}"/>
    <cellStyle name="0_Commodity_for_Project 4 2 2" xfId="14879" xr:uid="{00000000-0005-0000-0000-0000113A0000}"/>
    <cellStyle name="0_Commodity_for_Project 4 3" xfId="14880" xr:uid="{00000000-0005-0000-0000-0000123A0000}"/>
    <cellStyle name="0_Commodity_for_Project 4 3 2" xfId="14881" xr:uid="{00000000-0005-0000-0000-0000133A0000}"/>
    <cellStyle name="0_Commodity_for_Project 4 4" xfId="14882" xr:uid="{00000000-0005-0000-0000-0000143A0000}"/>
    <cellStyle name="0_Commodity_for_Project 4 5" xfId="14883" xr:uid="{00000000-0005-0000-0000-0000153A0000}"/>
    <cellStyle name="0_Commodity_for_Project 5" xfId="14884" xr:uid="{00000000-0005-0000-0000-0000163A0000}"/>
    <cellStyle name="0_Commodity_for_Project 5 2" xfId="14885" xr:uid="{00000000-0005-0000-0000-0000173A0000}"/>
    <cellStyle name="0_Commodity_for_Project 5 3" xfId="14886" xr:uid="{00000000-0005-0000-0000-0000183A0000}"/>
    <cellStyle name="0_Commodity_for_Project 5 4" xfId="14887" xr:uid="{00000000-0005-0000-0000-0000193A0000}"/>
    <cellStyle name="0_Commodity_for_Project 5 5" xfId="14888" xr:uid="{00000000-0005-0000-0000-00001A3A0000}"/>
    <cellStyle name="0_Commodity_for_Project 6" xfId="14889" xr:uid="{00000000-0005-0000-0000-00001B3A0000}"/>
    <cellStyle name="0_Commodity_for_Project 6 2" xfId="14890" xr:uid="{00000000-0005-0000-0000-00001C3A0000}"/>
    <cellStyle name="0_Commodity_for_Project 6 3" xfId="14891" xr:uid="{00000000-0005-0000-0000-00001D3A0000}"/>
    <cellStyle name="0_Commodity_for_Project 6 4" xfId="14892" xr:uid="{00000000-0005-0000-0000-00001E3A0000}"/>
    <cellStyle name="0_Commodity_for_Project 6 5" xfId="14893" xr:uid="{00000000-0005-0000-0000-00001F3A0000}"/>
    <cellStyle name="0_Commodity_for_Project 7" xfId="14894" xr:uid="{00000000-0005-0000-0000-0000203A0000}"/>
    <cellStyle name="0_Commodity_for_Project 7 2" xfId="14895" xr:uid="{00000000-0005-0000-0000-0000213A0000}"/>
    <cellStyle name="0_Commodity_for_Project 7 3" xfId="14896" xr:uid="{00000000-0005-0000-0000-0000223A0000}"/>
    <cellStyle name="0_Commodity_for_Project 7 4" xfId="14897" xr:uid="{00000000-0005-0000-0000-0000233A0000}"/>
    <cellStyle name="0_Commodity_for_Project 7 5" xfId="14898" xr:uid="{00000000-0005-0000-0000-0000243A0000}"/>
    <cellStyle name="0_Commodity_for_Project 8" xfId="14899" xr:uid="{00000000-0005-0000-0000-0000253A0000}"/>
    <cellStyle name="0_Commodity_for_Project 8 2" xfId="14900" xr:uid="{00000000-0005-0000-0000-0000263A0000}"/>
    <cellStyle name="0_Commodity_for_Project 8 3" xfId="14901" xr:uid="{00000000-0005-0000-0000-0000273A0000}"/>
    <cellStyle name="0_Commodity_for_Project 8 4" xfId="14902" xr:uid="{00000000-0005-0000-0000-0000283A0000}"/>
    <cellStyle name="0_Commodity_for_Project 8 5" xfId="14903" xr:uid="{00000000-0005-0000-0000-0000293A0000}"/>
    <cellStyle name="0_Commodity_for_Project 9" xfId="14904" xr:uid="{00000000-0005-0000-0000-00002A3A0000}"/>
    <cellStyle name="0_comodity_curve_for_6128" xfId="14905" xr:uid="{00000000-0005-0000-0000-00002B3A0000}"/>
    <cellStyle name="0_comodity_curve_for_6128 10" xfId="14906" xr:uid="{00000000-0005-0000-0000-00002C3A0000}"/>
    <cellStyle name="0_comodity_curve_for_6128 10 2" xfId="14907" xr:uid="{00000000-0005-0000-0000-00002D3A0000}"/>
    <cellStyle name="0_comodity_curve_for_6128 10 2 2" xfId="14908" xr:uid="{00000000-0005-0000-0000-00002E3A0000}"/>
    <cellStyle name="0_comodity_curve_for_6128 10 3" xfId="14909" xr:uid="{00000000-0005-0000-0000-00002F3A0000}"/>
    <cellStyle name="0_comodity_curve_for_6128 10 3 2" xfId="14910" xr:uid="{00000000-0005-0000-0000-0000303A0000}"/>
    <cellStyle name="0_comodity_curve_for_6128 10 4" xfId="14911" xr:uid="{00000000-0005-0000-0000-0000313A0000}"/>
    <cellStyle name="0_comodity_curve_for_6128 11" xfId="14912" xr:uid="{00000000-0005-0000-0000-0000323A0000}"/>
    <cellStyle name="0_comodity_curve_for_6128 11 2" xfId="14913" xr:uid="{00000000-0005-0000-0000-0000333A0000}"/>
    <cellStyle name="0_comodity_curve_for_6128 11 2 2" xfId="14914" xr:uid="{00000000-0005-0000-0000-0000343A0000}"/>
    <cellStyle name="0_comodity_curve_for_6128 11 3" xfId="14915" xr:uid="{00000000-0005-0000-0000-0000353A0000}"/>
    <cellStyle name="0_comodity_curve_for_6128 11 3 2" xfId="14916" xr:uid="{00000000-0005-0000-0000-0000363A0000}"/>
    <cellStyle name="0_comodity_curve_for_6128 11 4" xfId="14917" xr:uid="{00000000-0005-0000-0000-0000373A0000}"/>
    <cellStyle name="0_comodity_curve_for_6128 12" xfId="14918" xr:uid="{00000000-0005-0000-0000-0000383A0000}"/>
    <cellStyle name="0_comodity_curve_for_6128 12 2" xfId="14919" xr:uid="{00000000-0005-0000-0000-0000393A0000}"/>
    <cellStyle name="0_comodity_curve_for_6128 13" xfId="14920" xr:uid="{00000000-0005-0000-0000-00003A3A0000}"/>
    <cellStyle name="0_comodity_curve_for_6128 13 2" xfId="14921" xr:uid="{00000000-0005-0000-0000-00003B3A0000}"/>
    <cellStyle name="0_comodity_curve_for_6128 14" xfId="14922" xr:uid="{00000000-0005-0000-0000-00003C3A0000}"/>
    <cellStyle name="0_comodity_curve_for_6128 14 2" xfId="14923" xr:uid="{00000000-0005-0000-0000-00003D3A0000}"/>
    <cellStyle name="0_comodity_curve_for_6128 15" xfId="14924" xr:uid="{00000000-0005-0000-0000-00003E3A0000}"/>
    <cellStyle name="0_comodity_curve_for_6128 16" xfId="14925" xr:uid="{00000000-0005-0000-0000-00003F3A0000}"/>
    <cellStyle name="0_comodity_curve_for_6128 17" xfId="14926" xr:uid="{00000000-0005-0000-0000-0000403A0000}"/>
    <cellStyle name="0_comodity_curve_for_6128 18" xfId="14927" xr:uid="{00000000-0005-0000-0000-0000413A0000}"/>
    <cellStyle name="0_comodity_curve_for_6128 19" xfId="14928" xr:uid="{00000000-0005-0000-0000-0000423A0000}"/>
    <cellStyle name="0_comodity_curve_for_6128 2" xfId="14929" xr:uid="{00000000-0005-0000-0000-0000433A0000}"/>
    <cellStyle name="0_comodity_curve_for_6128 2 10" xfId="14930" xr:uid="{00000000-0005-0000-0000-0000443A0000}"/>
    <cellStyle name="0_comodity_curve_for_6128 2 10 2" xfId="14931" xr:uid="{00000000-0005-0000-0000-0000453A0000}"/>
    <cellStyle name="0_comodity_curve_for_6128 2 10 2 2" xfId="14932" xr:uid="{00000000-0005-0000-0000-0000463A0000}"/>
    <cellStyle name="0_comodity_curve_for_6128 2 10 3" xfId="14933" xr:uid="{00000000-0005-0000-0000-0000473A0000}"/>
    <cellStyle name="0_comodity_curve_for_6128 2 10 3 2" xfId="14934" xr:uid="{00000000-0005-0000-0000-0000483A0000}"/>
    <cellStyle name="0_comodity_curve_for_6128 2 10 4" xfId="14935" xr:uid="{00000000-0005-0000-0000-0000493A0000}"/>
    <cellStyle name="0_comodity_curve_for_6128 2 11" xfId="14936" xr:uid="{00000000-0005-0000-0000-00004A3A0000}"/>
    <cellStyle name="0_comodity_curve_for_6128 2 11 2" xfId="14937" xr:uid="{00000000-0005-0000-0000-00004B3A0000}"/>
    <cellStyle name="0_comodity_curve_for_6128 2 12" xfId="14938" xr:uid="{00000000-0005-0000-0000-00004C3A0000}"/>
    <cellStyle name="0_comodity_curve_for_6128 2 12 2" xfId="14939" xr:uid="{00000000-0005-0000-0000-00004D3A0000}"/>
    <cellStyle name="0_comodity_curve_for_6128 2 13" xfId="14940" xr:uid="{00000000-0005-0000-0000-00004E3A0000}"/>
    <cellStyle name="0_comodity_curve_for_6128 2 14" xfId="14941" xr:uid="{00000000-0005-0000-0000-00004F3A0000}"/>
    <cellStyle name="0_comodity_curve_for_6128 2 15" xfId="14942" xr:uid="{00000000-0005-0000-0000-0000503A0000}"/>
    <cellStyle name="0_comodity_curve_for_6128 2 16" xfId="14943" xr:uid="{00000000-0005-0000-0000-0000513A0000}"/>
    <cellStyle name="0_comodity_curve_for_6128 2 2" xfId="14944" xr:uid="{00000000-0005-0000-0000-0000523A0000}"/>
    <cellStyle name="0_comodity_curve_for_6128 2 2 2" xfId="14945" xr:uid="{00000000-0005-0000-0000-0000533A0000}"/>
    <cellStyle name="0_comodity_curve_for_6128 2 2 2 2" xfId="14946" xr:uid="{00000000-0005-0000-0000-0000543A0000}"/>
    <cellStyle name="0_comodity_curve_for_6128 2 2 2 2 2" xfId="14947" xr:uid="{00000000-0005-0000-0000-0000553A0000}"/>
    <cellStyle name="0_comodity_curve_for_6128 2 2 2 2 2 2" xfId="14948" xr:uid="{00000000-0005-0000-0000-0000563A0000}"/>
    <cellStyle name="0_comodity_curve_for_6128 2 2 2 2 3" xfId="14949" xr:uid="{00000000-0005-0000-0000-0000573A0000}"/>
    <cellStyle name="0_comodity_curve_for_6128 2 2 2 2 3 2" xfId="14950" xr:uid="{00000000-0005-0000-0000-0000583A0000}"/>
    <cellStyle name="0_comodity_curve_for_6128 2 2 2 2 4" xfId="14951" xr:uid="{00000000-0005-0000-0000-0000593A0000}"/>
    <cellStyle name="0_comodity_curve_for_6128 2 2 2 3" xfId="14952" xr:uid="{00000000-0005-0000-0000-00005A3A0000}"/>
    <cellStyle name="0_comodity_curve_for_6128 2 2 2 3 2" xfId="14953" xr:uid="{00000000-0005-0000-0000-00005B3A0000}"/>
    <cellStyle name="0_comodity_curve_for_6128 2 2 2 3 2 2" xfId="14954" xr:uid="{00000000-0005-0000-0000-00005C3A0000}"/>
    <cellStyle name="0_comodity_curve_for_6128 2 2 2 3 3" xfId="14955" xr:uid="{00000000-0005-0000-0000-00005D3A0000}"/>
    <cellStyle name="0_comodity_curve_for_6128 2 2 2 3 3 2" xfId="14956" xr:uid="{00000000-0005-0000-0000-00005E3A0000}"/>
    <cellStyle name="0_comodity_curve_for_6128 2 2 2 3 4" xfId="14957" xr:uid="{00000000-0005-0000-0000-00005F3A0000}"/>
    <cellStyle name="0_comodity_curve_for_6128 2 2 2 4" xfId="14958" xr:uid="{00000000-0005-0000-0000-0000603A0000}"/>
    <cellStyle name="0_comodity_curve_for_6128 2 2 2 4 2" xfId="14959" xr:uid="{00000000-0005-0000-0000-0000613A0000}"/>
    <cellStyle name="0_comodity_curve_for_6128 2 2 2 5" xfId="14960" xr:uid="{00000000-0005-0000-0000-0000623A0000}"/>
    <cellStyle name="0_comodity_curve_for_6128 2 2 2 5 2" xfId="14961" xr:uid="{00000000-0005-0000-0000-0000633A0000}"/>
    <cellStyle name="0_comodity_curve_for_6128 2 2 2 6" xfId="14962" xr:uid="{00000000-0005-0000-0000-0000643A0000}"/>
    <cellStyle name="0_comodity_curve_for_6128 2 2 3" xfId="14963" xr:uid="{00000000-0005-0000-0000-0000653A0000}"/>
    <cellStyle name="0_comodity_curve_for_6128 2 2 3 2" xfId="14964" xr:uid="{00000000-0005-0000-0000-0000663A0000}"/>
    <cellStyle name="0_comodity_curve_for_6128 2 2 3 2 2" xfId="14965" xr:uid="{00000000-0005-0000-0000-0000673A0000}"/>
    <cellStyle name="0_comodity_curve_for_6128 2 2 3 3" xfId="14966" xr:uid="{00000000-0005-0000-0000-0000683A0000}"/>
    <cellStyle name="0_comodity_curve_for_6128 2 2 3 3 2" xfId="14967" xr:uid="{00000000-0005-0000-0000-0000693A0000}"/>
    <cellStyle name="0_comodity_curve_for_6128 2 2 3 4" xfId="14968" xr:uid="{00000000-0005-0000-0000-00006A3A0000}"/>
    <cellStyle name="0_comodity_curve_for_6128 2 2 4" xfId="14969" xr:uid="{00000000-0005-0000-0000-00006B3A0000}"/>
    <cellStyle name="0_comodity_curve_for_6128 2 2 4 2" xfId="14970" xr:uid="{00000000-0005-0000-0000-00006C3A0000}"/>
    <cellStyle name="0_comodity_curve_for_6128 2 2 4 2 2" xfId="14971" xr:uid="{00000000-0005-0000-0000-00006D3A0000}"/>
    <cellStyle name="0_comodity_curve_for_6128 2 2 4 3" xfId="14972" xr:uid="{00000000-0005-0000-0000-00006E3A0000}"/>
    <cellStyle name="0_comodity_curve_for_6128 2 2 4 3 2" xfId="14973" xr:uid="{00000000-0005-0000-0000-00006F3A0000}"/>
    <cellStyle name="0_comodity_curve_for_6128 2 2 4 4" xfId="14974" xr:uid="{00000000-0005-0000-0000-0000703A0000}"/>
    <cellStyle name="0_comodity_curve_for_6128 2 2 5" xfId="14975" xr:uid="{00000000-0005-0000-0000-0000713A0000}"/>
    <cellStyle name="0_comodity_curve_for_6128 2 2 5 2" xfId="14976" xr:uid="{00000000-0005-0000-0000-0000723A0000}"/>
    <cellStyle name="0_comodity_curve_for_6128 2 2 5 2 2" xfId="14977" xr:uid="{00000000-0005-0000-0000-0000733A0000}"/>
    <cellStyle name="0_comodity_curve_for_6128 2 2 5 3" xfId="14978" xr:uid="{00000000-0005-0000-0000-0000743A0000}"/>
    <cellStyle name="0_comodity_curve_for_6128 2 2 5 3 2" xfId="14979" xr:uid="{00000000-0005-0000-0000-0000753A0000}"/>
    <cellStyle name="0_comodity_curve_for_6128 2 2 5 4" xfId="14980" xr:uid="{00000000-0005-0000-0000-0000763A0000}"/>
    <cellStyle name="0_comodity_curve_for_6128 2 2 6" xfId="14981" xr:uid="{00000000-0005-0000-0000-0000773A0000}"/>
    <cellStyle name="0_comodity_curve_for_6128 2 2 6 2" xfId="14982" xr:uid="{00000000-0005-0000-0000-0000783A0000}"/>
    <cellStyle name="0_comodity_curve_for_6128 2 2 7" xfId="14983" xr:uid="{00000000-0005-0000-0000-0000793A0000}"/>
    <cellStyle name="0_comodity_curve_for_6128 2 2 7 2" xfId="14984" xr:uid="{00000000-0005-0000-0000-00007A3A0000}"/>
    <cellStyle name="0_comodity_curve_for_6128 2 2 8" xfId="14985" xr:uid="{00000000-0005-0000-0000-00007B3A0000}"/>
    <cellStyle name="0_comodity_curve_for_6128 2 3" xfId="14986" xr:uid="{00000000-0005-0000-0000-00007C3A0000}"/>
    <cellStyle name="0_comodity_curve_for_6128 2 3 2" xfId="14987" xr:uid="{00000000-0005-0000-0000-00007D3A0000}"/>
    <cellStyle name="0_comodity_curve_for_6128 2 3 2 2" xfId="14988" xr:uid="{00000000-0005-0000-0000-00007E3A0000}"/>
    <cellStyle name="0_comodity_curve_for_6128 2 3 2 2 2" xfId="14989" xr:uid="{00000000-0005-0000-0000-00007F3A0000}"/>
    <cellStyle name="0_comodity_curve_for_6128 2 3 2 2 2 2" xfId="14990" xr:uid="{00000000-0005-0000-0000-0000803A0000}"/>
    <cellStyle name="0_comodity_curve_for_6128 2 3 2 2 3" xfId="14991" xr:uid="{00000000-0005-0000-0000-0000813A0000}"/>
    <cellStyle name="0_comodity_curve_for_6128 2 3 2 2 3 2" xfId="14992" xr:uid="{00000000-0005-0000-0000-0000823A0000}"/>
    <cellStyle name="0_comodity_curve_for_6128 2 3 2 2 4" xfId="14993" xr:uid="{00000000-0005-0000-0000-0000833A0000}"/>
    <cellStyle name="0_comodity_curve_for_6128 2 3 2 3" xfId="14994" xr:uid="{00000000-0005-0000-0000-0000843A0000}"/>
    <cellStyle name="0_comodity_curve_for_6128 2 3 2 3 2" xfId="14995" xr:uid="{00000000-0005-0000-0000-0000853A0000}"/>
    <cellStyle name="0_comodity_curve_for_6128 2 3 2 3 2 2" xfId="14996" xr:uid="{00000000-0005-0000-0000-0000863A0000}"/>
    <cellStyle name="0_comodity_curve_for_6128 2 3 2 3 3" xfId="14997" xr:uid="{00000000-0005-0000-0000-0000873A0000}"/>
    <cellStyle name="0_comodity_curve_for_6128 2 3 2 3 3 2" xfId="14998" xr:uid="{00000000-0005-0000-0000-0000883A0000}"/>
    <cellStyle name="0_comodity_curve_for_6128 2 3 2 3 4" xfId="14999" xr:uid="{00000000-0005-0000-0000-0000893A0000}"/>
    <cellStyle name="0_comodity_curve_for_6128 2 3 2 4" xfId="15000" xr:uid="{00000000-0005-0000-0000-00008A3A0000}"/>
    <cellStyle name="0_comodity_curve_for_6128 2 3 2 4 2" xfId="15001" xr:uid="{00000000-0005-0000-0000-00008B3A0000}"/>
    <cellStyle name="0_comodity_curve_for_6128 2 3 2 5" xfId="15002" xr:uid="{00000000-0005-0000-0000-00008C3A0000}"/>
    <cellStyle name="0_comodity_curve_for_6128 2 3 2 5 2" xfId="15003" xr:uid="{00000000-0005-0000-0000-00008D3A0000}"/>
    <cellStyle name="0_comodity_curve_for_6128 2 3 2 6" xfId="15004" xr:uid="{00000000-0005-0000-0000-00008E3A0000}"/>
    <cellStyle name="0_comodity_curve_for_6128 2 3 3" xfId="15005" xr:uid="{00000000-0005-0000-0000-00008F3A0000}"/>
    <cellStyle name="0_comodity_curve_for_6128 2 3 3 2" xfId="15006" xr:uid="{00000000-0005-0000-0000-0000903A0000}"/>
    <cellStyle name="0_comodity_curve_for_6128 2 3 3 2 2" xfId="15007" xr:uid="{00000000-0005-0000-0000-0000913A0000}"/>
    <cellStyle name="0_comodity_curve_for_6128 2 3 3 3" xfId="15008" xr:uid="{00000000-0005-0000-0000-0000923A0000}"/>
    <cellStyle name="0_comodity_curve_for_6128 2 3 3 3 2" xfId="15009" xr:uid="{00000000-0005-0000-0000-0000933A0000}"/>
    <cellStyle name="0_comodity_curve_for_6128 2 3 3 4" xfId="15010" xr:uid="{00000000-0005-0000-0000-0000943A0000}"/>
    <cellStyle name="0_comodity_curve_for_6128 2 3 4" xfId="15011" xr:uid="{00000000-0005-0000-0000-0000953A0000}"/>
    <cellStyle name="0_comodity_curve_for_6128 2 3 4 2" xfId="15012" xr:uid="{00000000-0005-0000-0000-0000963A0000}"/>
    <cellStyle name="0_comodity_curve_for_6128 2 3 4 2 2" xfId="15013" xr:uid="{00000000-0005-0000-0000-0000973A0000}"/>
    <cellStyle name="0_comodity_curve_for_6128 2 3 4 3" xfId="15014" xr:uid="{00000000-0005-0000-0000-0000983A0000}"/>
    <cellStyle name="0_comodity_curve_for_6128 2 3 4 3 2" xfId="15015" xr:uid="{00000000-0005-0000-0000-0000993A0000}"/>
    <cellStyle name="0_comodity_curve_for_6128 2 3 4 4" xfId="15016" xr:uid="{00000000-0005-0000-0000-00009A3A0000}"/>
    <cellStyle name="0_comodity_curve_for_6128 2 3 5" xfId="15017" xr:uid="{00000000-0005-0000-0000-00009B3A0000}"/>
    <cellStyle name="0_comodity_curve_for_6128 2 3 5 2" xfId="15018" xr:uid="{00000000-0005-0000-0000-00009C3A0000}"/>
    <cellStyle name="0_comodity_curve_for_6128 2 3 5 2 2" xfId="15019" xr:uid="{00000000-0005-0000-0000-00009D3A0000}"/>
    <cellStyle name="0_comodity_curve_for_6128 2 3 5 3" xfId="15020" xr:uid="{00000000-0005-0000-0000-00009E3A0000}"/>
    <cellStyle name="0_comodity_curve_for_6128 2 3 5 3 2" xfId="15021" xr:uid="{00000000-0005-0000-0000-00009F3A0000}"/>
    <cellStyle name="0_comodity_curve_for_6128 2 3 5 4" xfId="15022" xr:uid="{00000000-0005-0000-0000-0000A03A0000}"/>
    <cellStyle name="0_comodity_curve_for_6128 2 3 6" xfId="15023" xr:uid="{00000000-0005-0000-0000-0000A13A0000}"/>
    <cellStyle name="0_comodity_curve_for_6128 2 3 6 2" xfId="15024" xr:uid="{00000000-0005-0000-0000-0000A23A0000}"/>
    <cellStyle name="0_comodity_curve_for_6128 2 3 7" xfId="15025" xr:uid="{00000000-0005-0000-0000-0000A33A0000}"/>
    <cellStyle name="0_comodity_curve_for_6128 2 3 7 2" xfId="15026" xr:uid="{00000000-0005-0000-0000-0000A43A0000}"/>
    <cellStyle name="0_comodity_curve_for_6128 2 3 8" xfId="15027" xr:uid="{00000000-0005-0000-0000-0000A53A0000}"/>
    <cellStyle name="0_comodity_curve_for_6128 2 4" xfId="15028" xr:uid="{00000000-0005-0000-0000-0000A63A0000}"/>
    <cellStyle name="0_comodity_curve_for_6128 2 4 2" xfId="15029" xr:uid="{00000000-0005-0000-0000-0000A73A0000}"/>
    <cellStyle name="0_comodity_curve_for_6128 2 4 2 2" xfId="15030" xr:uid="{00000000-0005-0000-0000-0000A83A0000}"/>
    <cellStyle name="0_comodity_curve_for_6128 2 4 2 2 2" xfId="15031" xr:uid="{00000000-0005-0000-0000-0000A93A0000}"/>
    <cellStyle name="0_comodity_curve_for_6128 2 4 2 2 2 2" xfId="15032" xr:uid="{00000000-0005-0000-0000-0000AA3A0000}"/>
    <cellStyle name="0_comodity_curve_for_6128 2 4 2 2 3" xfId="15033" xr:uid="{00000000-0005-0000-0000-0000AB3A0000}"/>
    <cellStyle name="0_comodity_curve_for_6128 2 4 2 2 3 2" xfId="15034" xr:uid="{00000000-0005-0000-0000-0000AC3A0000}"/>
    <cellStyle name="0_comodity_curve_for_6128 2 4 2 2 4" xfId="15035" xr:uid="{00000000-0005-0000-0000-0000AD3A0000}"/>
    <cellStyle name="0_comodity_curve_for_6128 2 4 2 3" xfId="15036" xr:uid="{00000000-0005-0000-0000-0000AE3A0000}"/>
    <cellStyle name="0_comodity_curve_for_6128 2 4 2 3 2" xfId="15037" xr:uid="{00000000-0005-0000-0000-0000AF3A0000}"/>
    <cellStyle name="0_comodity_curve_for_6128 2 4 2 3 2 2" xfId="15038" xr:uid="{00000000-0005-0000-0000-0000B03A0000}"/>
    <cellStyle name="0_comodity_curve_for_6128 2 4 2 3 3" xfId="15039" xr:uid="{00000000-0005-0000-0000-0000B13A0000}"/>
    <cellStyle name="0_comodity_curve_for_6128 2 4 2 3 3 2" xfId="15040" xr:uid="{00000000-0005-0000-0000-0000B23A0000}"/>
    <cellStyle name="0_comodity_curve_for_6128 2 4 2 3 4" xfId="15041" xr:uid="{00000000-0005-0000-0000-0000B33A0000}"/>
    <cellStyle name="0_comodity_curve_for_6128 2 4 2 4" xfId="15042" xr:uid="{00000000-0005-0000-0000-0000B43A0000}"/>
    <cellStyle name="0_comodity_curve_for_6128 2 4 2 4 2" xfId="15043" xr:uid="{00000000-0005-0000-0000-0000B53A0000}"/>
    <cellStyle name="0_comodity_curve_for_6128 2 4 2 5" xfId="15044" xr:uid="{00000000-0005-0000-0000-0000B63A0000}"/>
    <cellStyle name="0_comodity_curve_for_6128 2 4 2 5 2" xfId="15045" xr:uid="{00000000-0005-0000-0000-0000B73A0000}"/>
    <cellStyle name="0_comodity_curve_for_6128 2 4 2 6" xfId="15046" xr:uid="{00000000-0005-0000-0000-0000B83A0000}"/>
    <cellStyle name="0_comodity_curve_for_6128 2 4 3" xfId="15047" xr:uid="{00000000-0005-0000-0000-0000B93A0000}"/>
    <cellStyle name="0_comodity_curve_for_6128 2 4 3 2" xfId="15048" xr:uid="{00000000-0005-0000-0000-0000BA3A0000}"/>
    <cellStyle name="0_comodity_curve_for_6128 2 4 3 2 2" xfId="15049" xr:uid="{00000000-0005-0000-0000-0000BB3A0000}"/>
    <cellStyle name="0_comodity_curve_for_6128 2 4 3 3" xfId="15050" xr:uid="{00000000-0005-0000-0000-0000BC3A0000}"/>
    <cellStyle name="0_comodity_curve_for_6128 2 4 3 3 2" xfId="15051" xr:uid="{00000000-0005-0000-0000-0000BD3A0000}"/>
    <cellStyle name="0_comodity_curve_for_6128 2 4 3 4" xfId="15052" xr:uid="{00000000-0005-0000-0000-0000BE3A0000}"/>
    <cellStyle name="0_comodity_curve_for_6128 2 4 4" xfId="15053" xr:uid="{00000000-0005-0000-0000-0000BF3A0000}"/>
    <cellStyle name="0_comodity_curve_for_6128 2 4 4 2" xfId="15054" xr:uid="{00000000-0005-0000-0000-0000C03A0000}"/>
    <cellStyle name="0_comodity_curve_for_6128 2 4 4 2 2" xfId="15055" xr:uid="{00000000-0005-0000-0000-0000C13A0000}"/>
    <cellStyle name="0_comodity_curve_for_6128 2 4 4 3" xfId="15056" xr:uid="{00000000-0005-0000-0000-0000C23A0000}"/>
    <cellStyle name="0_comodity_curve_for_6128 2 4 4 3 2" xfId="15057" xr:uid="{00000000-0005-0000-0000-0000C33A0000}"/>
    <cellStyle name="0_comodity_curve_for_6128 2 4 4 4" xfId="15058" xr:uid="{00000000-0005-0000-0000-0000C43A0000}"/>
    <cellStyle name="0_comodity_curve_for_6128 2 4 5" xfId="15059" xr:uid="{00000000-0005-0000-0000-0000C53A0000}"/>
    <cellStyle name="0_comodity_curve_for_6128 2 4 5 2" xfId="15060" xr:uid="{00000000-0005-0000-0000-0000C63A0000}"/>
    <cellStyle name="0_comodity_curve_for_6128 2 4 5 2 2" xfId="15061" xr:uid="{00000000-0005-0000-0000-0000C73A0000}"/>
    <cellStyle name="0_comodity_curve_for_6128 2 4 5 3" xfId="15062" xr:uid="{00000000-0005-0000-0000-0000C83A0000}"/>
    <cellStyle name="0_comodity_curve_for_6128 2 4 5 3 2" xfId="15063" xr:uid="{00000000-0005-0000-0000-0000C93A0000}"/>
    <cellStyle name="0_comodity_curve_for_6128 2 4 5 4" xfId="15064" xr:uid="{00000000-0005-0000-0000-0000CA3A0000}"/>
    <cellStyle name="0_comodity_curve_for_6128 2 4 6" xfId="15065" xr:uid="{00000000-0005-0000-0000-0000CB3A0000}"/>
    <cellStyle name="0_comodity_curve_for_6128 2 4 6 2" xfId="15066" xr:uid="{00000000-0005-0000-0000-0000CC3A0000}"/>
    <cellStyle name="0_comodity_curve_for_6128 2 4 7" xfId="15067" xr:uid="{00000000-0005-0000-0000-0000CD3A0000}"/>
    <cellStyle name="0_comodity_curve_for_6128 2 4 7 2" xfId="15068" xr:uid="{00000000-0005-0000-0000-0000CE3A0000}"/>
    <cellStyle name="0_comodity_curve_for_6128 2 4 8" xfId="15069" xr:uid="{00000000-0005-0000-0000-0000CF3A0000}"/>
    <cellStyle name="0_comodity_curve_for_6128 2 5" xfId="15070" xr:uid="{00000000-0005-0000-0000-0000D03A0000}"/>
    <cellStyle name="0_comodity_curve_for_6128 2 5 2" xfId="15071" xr:uid="{00000000-0005-0000-0000-0000D13A0000}"/>
    <cellStyle name="0_comodity_curve_for_6128 2 5 2 2" xfId="15072" xr:uid="{00000000-0005-0000-0000-0000D23A0000}"/>
    <cellStyle name="0_comodity_curve_for_6128 2 5 2 2 2" xfId="15073" xr:uid="{00000000-0005-0000-0000-0000D33A0000}"/>
    <cellStyle name="0_comodity_curve_for_6128 2 5 2 2 2 2" xfId="15074" xr:uid="{00000000-0005-0000-0000-0000D43A0000}"/>
    <cellStyle name="0_comodity_curve_for_6128 2 5 2 2 3" xfId="15075" xr:uid="{00000000-0005-0000-0000-0000D53A0000}"/>
    <cellStyle name="0_comodity_curve_for_6128 2 5 2 2 3 2" xfId="15076" xr:uid="{00000000-0005-0000-0000-0000D63A0000}"/>
    <cellStyle name="0_comodity_curve_for_6128 2 5 2 2 4" xfId="15077" xr:uid="{00000000-0005-0000-0000-0000D73A0000}"/>
    <cellStyle name="0_comodity_curve_for_6128 2 5 2 3" xfId="15078" xr:uid="{00000000-0005-0000-0000-0000D83A0000}"/>
    <cellStyle name="0_comodity_curve_for_6128 2 5 2 3 2" xfId="15079" xr:uid="{00000000-0005-0000-0000-0000D93A0000}"/>
    <cellStyle name="0_comodity_curve_for_6128 2 5 2 3 2 2" xfId="15080" xr:uid="{00000000-0005-0000-0000-0000DA3A0000}"/>
    <cellStyle name="0_comodity_curve_for_6128 2 5 2 3 3" xfId="15081" xr:uid="{00000000-0005-0000-0000-0000DB3A0000}"/>
    <cellStyle name="0_comodity_curve_for_6128 2 5 2 3 3 2" xfId="15082" xr:uid="{00000000-0005-0000-0000-0000DC3A0000}"/>
    <cellStyle name="0_comodity_curve_for_6128 2 5 2 3 4" xfId="15083" xr:uid="{00000000-0005-0000-0000-0000DD3A0000}"/>
    <cellStyle name="0_comodity_curve_for_6128 2 5 2 4" xfId="15084" xr:uid="{00000000-0005-0000-0000-0000DE3A0000}"/>
    <cellStyle name="0_comodity_curve_for_6128 2 5 2 4 2" xfId="15085" xr:uid="{00000000-0005-0000-0000-0000DF3A0000}"/>
    <cellStyle name="0_comodity_curve_for_6128 2 5 2 5" xfId="15086" xr:uid="{00000000-0005-0000-0000-0000E03A0000}"/>
    <cellStyle name="0_comodity_curve_for_6128 2 5 2 5 2" xfId="15087" xr:uid="{00000000-0005-0000-0000-0000E13A0000}"/>
    <cellStyle name="0_comodity_curve_for_6128 2 5 2 6" xfId="15088" xr:uid="{00000000-0005-0000-0000-0000E23A0000}"/>
    <cellStyle name="0_comodity_curve_for_6128 2 5 3" xfId="15089" xr:uid="{00000000-0005-0000-0000-0000E33A0000}"/>
    <cellStyle name="0_comodity_curve_for_6128 2 5 3 2" xfId="15090" xr:uid="{00000000-0005-0000-0000-0000E43A0000}"/>
    <cellStyle name="0_comodity_curve_for_6128 2 5 3 2 2" xfId="15091" xr:uid="{00000000-0005-0000-0000-0000E53A0000}"/>
    <cellStyle name="0_comodity_curve_for_6128 2 5 3 3" xfId="15092" xr:uid="{00000000-0005-0000-0000-0000E63A0000}"/>
    <cellStyle name="0_comodity_curve_for_6128 2 5 3 3 2" xfId="15093" xr:uid="{00000000-0005-0000-0000-0000E73A0000}"/>
    <cellStyle name="0_comodity_curve_for_6128 2 5 3 4" xfId="15094" xr:uid="{00000000-0005-0000-0000-0000E83A0000}"/>
    <cellStyle name="0_comodity_curve_for_6128 2 5 4" xfId="15095" xr:uid="{00000000-0005-0000-0000-0000E93A0000}"/>
    <cellStyle name="0_comodity_curve_for_6128 2 5 4 2" xfId="15096" xr:uid="{00000000-0005-0000-0000-0000EA3A0000}"/>
    <cellStyle name="0_comodity_curve_for_6128 2 5 4 2 2" xfId="15097" xr:uid="{00000000-0005-0000-0000-0000EB3A0000}"/>
    <cellStyle name="0_comodity_curve_for_6128 2 5 4 3" xfId="15098" xr:uid="{00000000-0005-0000-0000-0000EC3A0000}"/>
    <cellStyle name="0_comodity_curve_for_6128 2 5 4 3 2" xfId="15099" xr:uid="{00000000-0005-0000-0000-0000ED3A0000}"/>
    <cellStyle name="0_comodity_curve_for_6128 2 5 4 4" xfId="15100" xr:uid="{00000000-0005-0000-0000-0000EE3A0000}"/>
    <cellStyle name="0_comodity_curve_for_6128 2 5 5" xfId="15101" xr:uid="{00000000-0005-0000-0000-0000EF3A0000}"/>
    <cellStyle name="0_comodity_curve_for_6128 2 5 5 2" xfId="15102" xr:uid="{00000000-0005-0000-0000-0000F03A0000}"/>
    <cellStyle name="0_comodity_curve_for_6128 2 5 5 2 2" xfId="15103" xr:uid="{00000000-0005-0000-0000-0000F13A0000}"/>
    <cellStyle name="0_comodity_curve_for_6128 2 5 5 3" xfId="15104" xr:uid="{00000000-0005-0000-0000-0000F23A0000}"/>
    <cellStyle name="0_comodity_curve_for_6128 2 5 5 3 2" xfId="15105" xr:uid="{00000000-0005-0000-0000-0000F33A0000}"/>
    <cellStyle name="0_comodity_curve_for_6128 2 5 5 4" xfId="15106" xr:uid="{00000000-0005-0000-0000-0000F43A0000}"/>
    <cellStyle name="0_comodity_curve_for_6128 2 5 6" xfId="15107" xr:uid="{00000000-0005-0000-0000-0000F53A0000}"/>
    <cellStyle name="0_comodity_curve_for_6128 2 5 6 2" xfId="15108" xr:uid="{00000000-0005-0000-0000-0000F63A0000}"/>
    <cellStyle name="0_comodity_curve_for_6128 2 5 7" xfId="15109" xr:uid="{00000000-0005-0000-0000-0000F73A0000}"/>
    <cellStyle name="0_comodity_curve_for_6128 2 5 7 2" xfId="15110" xr:uid="{00000000-0005-0000-0000-0000F83A0000}"/>
    <cellStyle name="0_comodity_curve_for_6128 2 5 8" xfId="15111" xr:uid="{00000000-0005-0000-0000-0000F93A0000}"/>
    <cellStyle name="0_comodity_curve_for_6128 2 6" xfId="15112" xr:uid="{00000000-0005-0000-0000-0000FA3A0000}"/>
    <cellStyle name="0_comodity_curve_for_6128 2 6 2" xfId="15113" xr:uid="{00000000-0005-0000-0000-0000FB3A0000}"/>
    <cellStyle name="0_comodity_curve_for_6128 2 6 2 2" xfId="15114" xr:uid="{00000000-0005-0000-0000-0000FC3A0000}"/>
    <cellStyle name="0_comodity_curve_for_6128 2 6 2 2 2" xfId="15115" xr:uid="{00000000-0005-0000-0000-0000FD3A0000}"/>
    <cellStyle name="0_comodity_curve_for_6128 2 6 2 2 2 2" xfId="15116" xr:uid="{00000000-0005-0000-0000-0000FE3A0000}"/>
    <cellStyle name="0_comodity_curve_for_6128 2 6 2 2 3" xfId="15117" xr:uid="{00000000-0005-0000-0000-0000FF3A0000}"/>
    <cellStyle name="0_comodity_curve_for_6128 2 6 2 2 3 2" xfId="15118" xr:uid="{00000000-0005-0000-0000-0000003B0000}"/>
    <cellStyle name="0_comodity_curve_for_6128 2 6 2 2 4" xfId="15119" xr:uid="{00000000-0005-0000-0000-0000013B0000}"/>
    <cellStyle name="0_comodity_curve_for_6128 2 6 2 3" xfId="15120" xr:uid="{00000000-0005-0000-0000-0000023B0000}"/>
    <cellStyle name="0_comodity_curve_for_6128 2 6 2 3 2" xfId="15121" xr:uid="{00000000-0005-0000-0000-0000033B0000}"/>
    <cellStyle name="0_comodity_curve_for_6128 2 6 2 3 2 2" xfId="15122" xr:uid="{00000000-0005-0000-0000-0000043B0000}"/>
    <cellStyle name="0_comodity_curve_for_6128 2 6 2 3 3" xfId="15123" xr:uid="{00000000-0005-0000-0000-0000053B0000}"/>
    <cellStyle name="0_comodity_curve_for_6128 2 6 2 3 3 2" xfId="15124" xr:uid="{00000000-0005-0000-0000-0000063B0000}"/>
    <cellStyle name="0_comodity_curve_for_6128 2 6 2 3 4" xfId="15125" xr:uid="{00000000-0005-0000-0000-0000073B0000}"/>
    <cellStyle name="0_comodity_curve_for_6128 2 6 2 4" xfId="15126" xr:uid="{00000000-0005-0000-0000-0000083B0000}"/>
    <cellStyle name="0_comodity_curve_for_6128 2 6 2 4 2" xfId="15127" xr:uid="{00000000-0005-0000-0000-0000093B0000}"/>
    <cellStyle name="0_comodity_curve_for_6128 2 6 2 5" xfId="15128" xr:uid="{00000000-0005-0000-0000-00000A3B0000}"/>
    <cellStyle name="0_comodity_curve_for_6128 2 6 2 5 2" xfId="15129" xr:uid="{00000000-0005-0000-0000-00000B3B0000}"/>
    <cellStyle name="0_comodity_curve_for_6128 2 6 2 6" xfId="15130" xr:uid="{00000000-0005-0000-0000-00000C3B0000}"/>
    <cellStyle name="0_comodity_curve_for_6128 2 6 3" xfId="15131" xr:uid="{00000000-0005-0000-0000-00000D3B0000}"/>
    <cellStyle name="0_comodity_curve_for_6128 2 6 3 2" xfId="15132" xr:uid="{00000000-0005-0000-0000-00000E3B0000}"/>
    <cellStyle name="0_comodity_curve_for_6128 2 6 3 2 2" xfId="15133" xr:uid="{00000000-0005-0000-0000-00000F3B0000}"/>
    <cellStyle name="0_comodity_curve_for_6128 2 6 3 3" xfId="15134" xr:uid="{00000000-0005-0000-0000-0000103B0000}"/>
    <cellStyle name="0_comodity_curve_for_6128 2 6 3 3 2" xfId="15135" xr:uid="{00000000-0005-0000-0000-0000113B0000}"/>
    <cellStyle name="0_comodity_curve_for_6128 2 6 3 4" xfId="15136" xr:uid="{00000000-0005-0000-0000-0000123B0000}"/>
    <cellStyle name="0_comodity_curve_for_6128 2 6 4" xfId="15137" xr:uid="{00000000-0005-0000-0000-0000133B0000}"/>
    <cellStyle name="0_comodity_curve_for_6128 2 6 4 2" xfId="15138" xr:uid="{00000000-0005-0000-0000-0000143B0000}"/>
    <cellStyle name="0_comodity_curve_for_6128 2 6 4 2 2" xfId="15139" xr:uid="{00000000-0005-0000-0000-0000153B0000}"/>
    <cellStyle name="0_comodity_curve_for_6128 2 6 4 3" xfId="15140" xr:uid="{00000000-0005-0000-0000-0000163B0000}"/>
    <cellStyle name="0_comodity_curve_for_6128 2 6 4 3 2" xfId="15141" xr:uid="{00000000-0005-0000-0000-0000173B0000}"/>
    <cellStyle name="0_comodity_curve_for_6128 2 6 4 4" xfId="15142" xr:uid="{00000000-0005-0000-0000-0000183B0000}"/>
    <cellStyle name="0_comodity_curve_for_6128 2 6 5" xfId="15143" xr:uid="{00000000-0005-0000-0000-0000193B0000}"/>
    <cellStyle name="0_comodity_curve_for_6128 2 6 5 2" xfId="15144" xr:uid="{00000000-0005-0000-0000-00001A3B0000}"/>
    <cellStyle name="0_comodity_curve_for_6128 2 6 5 2 2" xfId="15145" xr:uid="{00000000-0005-0000-0000-00001B3B0000}"/>
    <cellStyle name="0_comodity_curve_for_6128 2 6 5 3" xfId="15146" xr:uid="{00000000-0005-0000-0000-00001C3B0000}"/>
    <cellStyle name="0_comodity_curve_for_6128 2 6 5 3 2" xfId="15147" xr:uid="{00000000-0005-0000-0000-00001D3B0000}"/>
    <cellStyle name="0_comodity_curve_for_6128 2 6 5 4" xfId="15148" xr:uid="{00000000-0005-0000-0000-00001E3B0000}"/>
    <cellStyle name="0_comodity_curve_for_6128 2 6 6" xfId="15149" xr:uid="{00000000-0005-0000-0000-00001F3B0000}"/>
    <cellStyle name="0_comodity_curve_for_6128 2 6 6 2" xfId="15150" xr:uid="{00000000-0005-0000-0000-0000203B0000}"/>
    <cellStyle name="0_comodity_curve_for_6128 2 6 7" xfId="15151" xr:uid="{00000000-0005-0000-0000-0000213B0000}"/>
    <cellStyle name="0_comodity_curve_for_6128 2 6 7 2" xfId="15152" xr:uid="{00000000-0005-0000-0000-0000223B0000}"/>
    <cellStyle name="0_comodity_curve_for_6128 2 6 8" xfId="15153" xr:uid="{00000000-0005-0000-0000-0000233B0000}"/>
    <cellStyle name="0_comodity_curve_for_6128 2 7" xfId="15154" xr:uid="{00000000-0005-0000-0000-0000243B0000}"/>
    <cellStyle name="0_comodity_curve_for_6128 2 7 2" xfId="15155" xr:uid="{00000000-0005-0000-0000-0000253B0000}"/>
    <cellStyle name="0_comodity_curve_for_6128 2 7 2 2" xfId="15156" xr:uid="{00000000-0005-0000-0000-0000263B0000}"/>
    <cellStyle name="0_comodity_curve_for_6128 2 7 2 2 2" xfId="15157" xr:uid="{00000000-0005-0000-0000-0000273B0000}"/>
    <cellStyle name="0_comodity_curve_for_6128 2 7 2 3" xfId="15158" xr:uid="{00000000-0005-0000-0000-0000283B0000}"/>
    <cellStyle name="0_comodity_curve_for_6128 2 7 2 3 2" xfId="15159" xr:uid="{00000000-0005-0000-0000-0000293B0000}"/>
    <cellStyle name="0_comodity_curve_for_6128 2 7 2 4" xfId="15160" xr:uid="{00000000-0005-0000-0000-00002A3B0000}"/>
    <cellStyle name="0_comodity_curve_for_6128 2 7 3" xfId="15161" xr:uid="{00000000-0005-0000-0000-00002B3B0000}"/>
    <cellStyle name="0_comodity_curve_for_6128 2 7 3 2" xfId="15162" xr:uid="{00000000-0005-0000-0000-00002C3B0000}"/>
    <cellStyle name="0_comodity_curve_for_6128 2 7 3 2 2" xfId="15163" xr:uid="{00000000-0005-0000-0000-00002D3B0000}"/>
    <cellStyle name="0_comodity_curve_for_6128 2 7 3 3" xfId="15164" xr:uid="{00000000-0005-0000-0000-00002E3B0000}"/>
    <cellStyle name="0_comodity_curve_for_6128 2 7 3 3 2" xfId="15165" xr:uid="{00000000-0005-0000-0000-00002F3B0000}"/>
    <cellStyle name="0_comodity_curve_for_6128 2 7 3 4" xfId="15166" xr:uid="{00000000-0005-0000-0000-0000303B0000}"/>
    <cellStyle name="0_comodity_curve_for_6128 2 7 4" xfId="15167" xr:uid="{00000000-0005-0000-0000-0000313B0000}"/>
    <cellStyle name="0_comodity_curve_for_6128 2 7 4 2" xfId="15168" xr:uid="{00000000-0005-0000-0000-0000323B0000}"/>
    <cellStyle name="0_comodity_curve_for_6128 2 7 5" xfId="15169" xr:uid="{00000000-0005-0000-0000-0000333B0000}"/>
    <cellStyle name="0_comodity_curve_for_6128 2 7 5 2" xfId="15170" xr:uid="{00000000-0005-0000-0000-0000343B0000}"/>
    <cellStyle name="0_comodity_curve_for_6128 2 7 6" xfId="15171" xr:uid="{00000000-0005-0000-0000-0000353B0000}"/>
    <cellStyle name="0_comodity_curve_for_6128 2 8" xfId="15172" xr:uid="{00000000-0005-0000-0000-0000363B0000}"/>
    <cellStyle name="0_comodity_curve_for_6128 2 8 2" xfId="15173" xr:uid="{00000000-0005-0000-0000-0000373B0000}"/>
    <cellStyle name="0_comodity_curve_for_6128 2 8 2 2" xfId="15174" xr:uid="{00000000-0005-0000-0000-0000383B0000}"/>
    <cellStyle name="0_comodity_curve_for_6128 2 8 3" xfId="15175" xr:uid="{00000000-0005-0000-0000-0000393B0000}"/>
    <cellStyle name="0_comodity_curve_for_6128 2 8 3 2" xfId="15176" xr:uid="{00000000-0005-0000-0000-00003A3B0000}"/>
    <cellStyle name="0_comodity_curve_for_6128 2 8 4" xfId="15177" xr:uid="{00000000-0005-0000-0000-00003B3B0000}"/>
    <cellStyle name="0_comodity_curve_for_6128 2 9" xfId="15178" xr:uid="{00000000-0005-0000-0000-00003C3B0000}"/>
    <cellStyle name="0_comodity_curve_for_6128 2 9 2" xfId="15179" xr:uid="{00000000-0005-0000-0000-00003D3B0000}"/>
    <cellStyle name="0_comodity_curve_for_6128 2 9 2 2" xfId="15180" xr:uid="{00000000-0005-0000-0000-00003E3B0000}"/>
    <cellStyle name="0_comodity_curve_for_6128 2 9 3" xfId="15181" xr:uid="{00000000-0005-0000-0000-00003F3B0000}"/>
    <cellStyle name="0_comodity_curve_for_6128 2 9 3 2" xfId="15182" xr:uid="{00000000-0005-0000-0000-0000403B0000}"/>
    <cellStyle name="0_comodity_curve_for_6128 2 9 4" xfId="15183" xr:uid="{00000000-0005-0000-0000-0000413B0000}"/>
    <cellStyle name="0_comodity_curve_for_6128 20" xfId="15184" xr:uid="{00000000-0005-0000-0000-0000423B0000}"/>
    <cellStyle name="0_comodity_curve_for_6128 21" xfId="15185" xr:uid="{00000000-0005-0000-0000-0000433B0000}"/>
    <cellStyle name="0_comodity_curve_for_6128 22" xfId="15186" xr:uid="{00000000-0005-0000-0000-0000443B0000}"/>
    <cellStyle name="0_comodity_curve_for_6128 3" xfId="15187" xr:uid="{00000000-0005-0000-0000-0000453B0000}"/>
    <cellStyle name="0_comodity_curve_for_6128 3 10" xfId="15188" xr:uid="{00000000-0005-0000-0000-0000463B0000}"/>
    <cellStyle name="0_comodity_curve_for_6128 3 10 2" xfId="15189" xr:uid="{00000000-0005-0000-0000-0000473B0000}"/>
    <cellStyle name="0_comodity_curve_for_6128 3 10 2 2" xfId="15190" xr:uid="{00000000-0005-0000-0000-0000483B0000}"/>
    <cellStyle name="0_comodity_curve_for_6128 3 10 3" xfId="15191" xr:uid="{00000000-0005-0000-0000-0000493B0000}"/>
    <cellStyle name="0_comodity_curve_for_6128 3 10 3 2" xfId="15192" xr:uid="{00000000-0005-0000-0000-00004A3B0000}"/>
    <cellStyle name="0_comodity_curve_for_6128 3 10 4" xfId="15193" xr:uid="{00000000-0005-0000-0000-00004B3B0000}"/>
    <cellStyle name="0_comodity_curve_for_6128 3 11" xfId="15194" xr:uid="{00000000-0005-0000-0000-00004C3B0000}"/>
    <cellStyle name="0_comodity_curve_for_6128 3 11 2" xfId="15195" xr:uid="{00000000-0005-0000-0000-00004D3B0000}"/>
    <cellStyle name="0_comodity_curve_for_6128 3 12" xfId="15196" xr:uid="{00000000-0005-0000-0000-00004E3B0000}"/>
    <cellStyle name="0_comodity_curve_for_6128 3 12 2" xfId="15197" xr:uid="{00000000-0005-0000-0000-00004F3B0000}"/>
    <cellStyle name="0_comodity_curve_for_6128 3 13" xfId="15198" xr:uid="{00000000-0005-0000-0000-0000503B0000}"/>
    <cellStyle name="0_comodity_curve_for_6128 3 2" xfId="15199" xr:uid="{00000000-0005-0000-0000-0000513B0000}"/>
    <cellStyle name="0_comodity_curve_for_6128 3 2 2" xfId="15200" xr:uid="{00000000-0005-0000-0000-0000523B0000}"/>
    <cellStyle name="0_comodity_curve_for_6128 3 2 2 2" xfId="15201" xr:uid="{00000000-0005-0000-0000-0000533B0000}"/>
    <cellStyle name="0_comodity_curve_for_6128 3 2 2 2 2" xfId="15202" xr:uid="{00000000-0005-0000-0000-0000543B0000}"/>
    <cellStyle name="0_comodity_curve_for_6128 3 2 2 2 2 2" xfId="15203" xr:uid="{00000000-0005-0000-0000-0000553B0000}"/>
    <cellStyle name="0_comodity_curve_for_6128 3 2 2 2 3" xfId="15204" xr:uid="{00000000-0005-0000-0000-0000563B0000}"/>
    <cellStyle name="0_comodity_curve_for_6128 3 2 2 2 3 2" xfId="15205" xr:uid="{00000000-0005-0000-0000-0000573B0000}"/>
    <cellStyle name="0_comodity_curve_for_6128 3 2 2 2 4" xfId="15206" xr:uid="{00000000-0005-0000-0000-0000583B0000}"/>
    <cellStyle name="0_comodity_curve_for_6128 3 2 2 3" xfId="15207" xr:uid="{00000000-0005-0000-0000-0000593B0000}"/>
    <cellStyle name="0_comodity_curve_for_6128 3 2 2 3 2" xfId="15208" xr:uid="{00000000-0005-0000-0000-00005A3B0000}"/>
    <cellStyle name="0_comodity_curve_for_6128 3 2 2 3 2 2" xfId="15209" xr:uid="{00000000-0005-0000-0000-00005B3B0000}"/>
    <cellStyle name="0_comodity_curve_for_6128 3 2 2 3 3" xfId="15210" xr:uid="{00000000-0005-0000-0000-00005C3B0000}"/>
    <cellStyle name="0_comodity_curve_for_6128 3 2 2 3 3 2" xfId="15211" xr:uid="{00000000-0005-0000-0000-00005D3B0000}"/>
    <cellStyle name="0_comodity_curve_for_6128 3 2 2 3 4" xfId="15212" xr:uid="{00000000-0005-0000-0000-00005E3B0000}"/>
    <cellStyle name="0_comodity_curve_for_6128 3 2 2 4" xfId="15213" xr:uid="{00000000-0005-0000-0000-00005F3B0000}"/>
    <cellStyle name="0_comodity_curve_for_6128 3 2 2 4 2" xfId="15214" xr:uid="{00000000-0005-0000-0000-0000603B0000}"/>
    <cellStyle name="0_comodity_curve_for_6128 3 2 2 5" xfId="15215" xr:uid="{00000000-0005-0000-0000-0000613B0000}"/>
    <cellStyle name="0_comodity_curve_for_6128 3 2 2 5 2" xfId="15216" xr:uid="{00000000-0005-0000-0000-0000623B0000}"/>
    <cellStyle name="0_comodity_curve_for_6128 3 2 2 6" xfId="15217" xr:uid="{00000000-0005-0000-0000-0000633B0000}"/>
    <cellStyle name="0_comodity_curve_for_6128 3 2 3" xfId="15218" xr:uid="{00000000-0005-0000-0000-0000643B0000}"/>
    <cellStyle name="0_comodity_curve_for_6128 3 2 3 2" xfId="15219" xr:uid="{00000000-0005-0000-0000-0000653B0000}"/>
    <cellStyle name="0_comodity_curve_for_6128 3 2 3 2 2" xfId="15220" xr:uid="{00000000-0005-0000-0000-0000663B0000}"/>
    <cellStyle name="0_comodity_curve_for_6128 3 2 3 3" xfId="15221" xr:uid="{00000000-0005-0000-0000-0000673B0000}"/>
    <cellStyle name="0_comodity_curve_for_6128 3 2 3 3 2" xfId="15222" xr:uid="{00000000-0005-0000-0000-0000683B0000}"/>
    <cellStyle name="0_comodity_curve_for_6128 3 2 3 4" xfId="15223" xr:uid="{00000000-0005-0000-0000-0000693B0000}"/>
    <cellStyle name="0_comodity_curve_for_6128 3 2 4" xfId="15224" xr:uid="{00000000-0005-0000-0000-00006A3B0000}"/>
    <cellStyle name="0_comodity_curve_for_6128 3 2 4 2" xfId="15225" xr:uid="{00000000-0005-0000-0000-00006B3B0000}"/>
    <cellStyle name="0_comodity_curve_for_6128 3 2 4 2 2" xfId="15226" xr:uid="{00000000-0005-0000-0000-00006C3B0000}"/>
    <cellStyle name="0_comodity_curve_for_6128 3 2 4 3" xfId="15227" xr:uid="{00000000-0005-0000-0000-00006D3B0000}"/>
    <cellStyle name="0_comodity_curve_for_6128 3 2 4 3 2" xfId="15228" xr:uid="{00000000-0005-0000-0000-00006E3B0000}"/>
    <cellStyle name="0_comodity_curve_for_6128 3 2 4 4" xfId="15229" xr:uid="{00000000-0005-0000-0000-00006F3B0000}"/>
    <cellStyle name="0_comodity_curve_for_6128 3 2 5" xfId="15230" xr:uid="{00000000-0005-0000-0000-0000703B0000}"/>
    <cellStyle name="0_comodity_curve_for_6128 3 2 5 2" xfId="15231" xr:uid="{00000000-0005-0000-0000-0000713B0000}"/>
    <cellStyle name="0_comodity_curve_for_6128 3 2 5 2 2" xfId="15232" xr:uid="{00000000-0005-0000-0000-0000723B0000}"/>
    <cellStyle name="0_comodity_curve_for_6128 3 2 5 3" xfId="15233" xr:uid="{00000000-0005-0000-0000-0000733B0000}"/>
    <cellStyle name="0_comodity_curve_for_6128 3 2 5 3 2" xfId="15234" xr:uid="{00000000-0005-0000-0000-0000743B0000}"/>
    <cellStyle name="0_comodity_curve_for_6128 3 2 5 4" xfId="15235" xr:uid="{00000000-0005-0000-0000-0000753B0000}"/>
    <cellStyle name="0_comodity_curve_for_6128 3 2 6" xfId="15236" xr:uid="{00000000-0005-0000-0000-0000763B0000}"/>
    <cellStyle name="0_comodity_curve_for_6128 3 2 6 2" xfId="15237" xr:uid="{00000000-0005-0000-0000-0000773B0000}"/>
    <cellStyle name="0_comodity_curve_for_6128 3 2 7" xfId="15238" xr:uid="{00000000-0005-0000-0000-0000783B0000}"/>
    <cellStyle name="0_comodity_curve_for_6128 3 2 7 2" xfId="15239" xr:uid="{00000000-0005-0000-0000-0000793B0000}"/>
    <cellStyle name="0_comodity_curve_for_6128 3 2 8" xfId="15240" xr:uid="{00000000-0005-0000-0000-00007A3B0000}"/>
    <cellStyle name="0_comodity_curve_for_6128 3 3" xfId="15241" xr:uid="{00000000-0005-0000-0000-00007B3B0000}"/>
    <cellStyle name="0_comodity_curve_for_6128 3 3 2" xfId="15242" xr:uid="{00000000-0005-0000-0000-00007C3B0000}"/>
    <cellStyle name="0_comodity_curve_for_6128 3 3 2 2" xfId="15243" xr:uid="{00000000-0005-0000-0000-00007D3B0000}"/>
    <cellStyle name="0_comodity_curve_for_6128 3 3 2 2 2" xfId="15244" xr:uid="{00000000-0005-0000-0000-00007E3B0000}"/>
    <cellStyle name="0_comodity_curve_for_6128 3 3 2 2 2 2" xfId="15245" xr:uid="{00000000-0005-0000-0000-00007F3B0000}"/>
    <cellStyle name="0_comodity_curve_for_6128 3 3 2 2 3" xfId="15246" xr:uid="{00000000-0005-0000-0000-0000803B0000}"/>
    <cellStyle name="0_comodity_curve_for_6128 3 3 2 2 3 2" xfId="15247" xr:uid="{00000000-0005-0000-0000-0000813B0000}"/>
    <cellStyle name="0_comodity_curve_for_6128 3 3 2 2 4" xfId="15248" xr:uid="{00000000-0005-0000-0000-0000823B0000}"/>
    <cellStyle name="0_comodity_curve_for_6128 3 3 2 3" xfId="15249" xr:uid="{00000000-0005-0000-0000-0000833B0000}"/>
    <cellStyle name="0_comodity_curve_for_6128 3 3 2 3 2" xfId="15250" xr:uid="{00000000-0005-0000-0000-0000843B0000}"/>
    <cellStyle name="0_comodity_curve_for_6128 3 3 2 3 2 2" xfId="15251" xr:uid="{00000000-0005-0000-0000-0000853B0000}"/>
    <cellStyle name="0_comodity_curve_for_6128 3 3 2 3 3" xfId="15252" xr:uid="{00000000-0005-0000-0000-0000863B0000}"/>
    <cellStyle name="0_comodity_curve_for_6128 3 3 2 3 3 2" xfId="15253" xr:uid="{00000000-0005-0000-0000-0000873B0000}"/>
    <cellStyle name="0_comodity_curve_for_6128 3 3 2 3 4" xfId="15254" xr:uid="{00000000-0005-0000-0000-0000883B0000}"/>
    <cellStyle name="0_comodity_curve_for_6128 3 3 2 4" xfId="15255" xr:uid="{00000000-0005-0000-0000-0000893B0000}"/>
    <cellStyle name="0_comodity_curve_for_6128 3 3 2 4 2" xfId="15256" xr:uid="{00000000-0005-0000-0000-00008A3B0000}"/>
    <cellStyle name="0_comodity_curve_for_6128 3 3 2 5" xfId="15257" xr:uid="{00000000-0005-0000-0000-00008B3B0000}"/>
    <cellStyle name="0_comodity_curve_for_6128 3 3 2 5 2" xfId="15258" xr:uid="{00000000-0005-0000-0000-00008C3B0000}"/>
    <cellStyle name="0_comodity_curve_for_6128 3 3 2 6" xfId="15259" xr:uid="{00000000-0005-0000-0000-00008D3B0000}"/>
    <cellStyle name="0_comodity_curve_for_6128 3 3 3" xfId="15260" xr:uid="{00000000-0005-0000-0000-00008E3B0000}"/>
    <cellStyle name="0_comodity_curve_for_6128 3 3 3 2" xfId="15261" xr:uid="{00000000-0005-0000-0000-00008F3B0000}"/>
    <cellStyle name="0_comodity_curve_for_6128 3 3 3 2 2" xfId="15262" xr:uid="{00000000-0005-0000-0000-0000903B0000}"/>
    <cellStyle name="0_comodity_curve_for_6128 3 3 3 3" xfId="15263" xr:uid="{00000000-0005-0000-0000-0000913B0000}"/>
    <cellStyle name="0_comodity_curve_for_6128 3 3 3 3 2" xfId="15264" xr:uid="{00000000-0005-0000-0000-0000923B0000}"/>
    <cellStyle name="0_comodity_curve_for_6128 3 3 3 4" xfId="15265" xr:uid="{00000000-0005-0000-0000-0000933B0000}"/>
    <cellStyle name="0_comodity_curve_for_6128 3 3 4" xfId="15266" xr:uid="{00000000-0005-0000-0000-0000943B0000}"/>
    <cellStyle name="0_comodity_curve_for_6128 3 3 4 2" xfId="15267" xr:uid="{00000000-0005-0000-0000-0000953B0000}"/>
    <cellStyle name="0_comodity_curve_for_6128 3 3 4 2 2" xfId="15268" xr:uid="{00000000-0005-0000-0000-0000963B0000}"/>
    <cellStyle name="0_comodity_curve_for_6128 3 3 4 3" xfId="15269" xr:uid="{00000000-0005-0000-0000-0000973B0000}"/>
    <cellStyle name="0_comodity_curve_for_6128 3 3 4 3 2" xfId="15270" xr:uid="{00000000-0005-0000-0000-0000983B0000}"/>
    <cellStyle name="0_comodity_curve_for_6128 3 3 4 4" xfId="15271" xr:uid="{00000000-0005-0000-0000-0000993B0000}"/>
    <cellStyle name="0_comodity_curve_for_6128 3 3 5" xfId="15272" xr:uid="{00000000-0005-0000-0000-00009A3B0000}"/>
    <cellStyle name="0_comodity_curve_for_6128 3 3 5 2" xfId="15273" xr:uid="{00000000-0005-0000-0000-00009B3B0000}"/>
    <cellStyle name="0_comodity_curve_for_6128 3 3 5 2 2" xfId="15274" xr:uid="{00000000-0005-0000-0000-00009C3B0000}"/>
    <cellStyle name="0_comodity_curve_for_6128 3 3 5 3" xfId="15275" xr:uid="{00000000-0005-0000-0000-00009D3B0000}"/>
    <cellStyle name="0_comodity_curve_for_6128 3 3 5 3 2" xfId="15276" xr:uid="{00000000-0005-0000-0000-00009E3B0000}"/>
    <cellStyle name="0_comodity_curve_for_6128 3 3 5 4" xfId="15277" xr:uid="{00000000-0005-0000-0000-00009F3B0000}"/>
    <cellStyle name="0_comodity_curve_for_6128 3 3 6" xfId="15278" xr:uid="{00000000-0005-0000-0000-0000A03B0000}"/>
    <cellStyle name="0_comodity_curve_for_6128 3 3 6 2" xfId="15279" xr:uid="{00000000-0005-0000-0000-0000A13B0000}"/>
    <cellStyle name="0_comodity_curve_for_6128 3 3 7" xfId="15280" xr:uid="{00000000-0005-0000-0000-0000A23B0000}"/>
    <cellStyle name="0_comodity_curve_for_6128 3 3 7 2" xfId="15281" xr:uid="{00000000-0005-0000-0000-0000A33B0000}"/>
    <cellStyle name="0_comodity_curve_for_6128 3 3 8" xfId="15282" xr:uid="{00000000-0005-0000-0000-0000A43B0000}"/>
    <cellStyle name="0_comodity_curve_for_6128 3 4" xfId="15283" xr:uid="{00000000-0005-0000-0000-0000A53B0000}"/>
    <cellStyle name="0_comodity_curve_for_6128 3 4 2" xfId="15284" xr:uid="{00000000-0005-0000-0000-0000A63B0000}"/>
    <cellStyle name="0_comodity_curve_for_6128 3 4 2 2" xfId="15285" xr:uid="{00000000-0005-0000-0000-0000A73B0000}"/>
    <cellStyle name="0_comodity_curve_for_6128 3 4 2 2 2" xfId="15286" xr:uid="{00000000-0005-0000-0000-0000A83B0000}"/>
    <cellStyle name="0_comodity_curve_for_6128 3 4 2 2 2 2" xfId="15287" xr:uid="{00000000-0005-0000-0000-0000A93B0000}"/>
    <cellStyle name="0_comodity_curve_for_6128 3 4 2 2 3" xfId="15288" xr:uid="{00000000-0005-0000-0000-0000AA3B0000}"/>
    <cellStyle name="0_comodity_curve_for_6128 3 4 2 2 3 2" xfId="15289" xr:uid="{00000000-0005-0000-0000-0000AB3B0000}"/>
    <cellStyle name="0_comodity_curve_for_6128 3 4 2 2 4" xfId="15290" xr:uid="{00000000-0005-0000-0000-0000AC3B0000}"/>
    <cellStyle name="0_comodity_curve_for_6128 3 4 2 3" xfId="15291" xr:uid="{00000000-0005-0000-0000-0000AD3B0000}"/>
    <cellStyle name="0_comodity_curve_for_6128 3 4 2 3 2" xfId="15292" xr:uid="{00000000-0005-0000-0000-0000AE3B0000}"/>
    <cellStyle name="0_comodity_curve_for_6128 3 4 2 3 2 2" xfId="15293" xr:uid="{00000000-0005-0000-0000-0000AF3B0000}"/>
    <cellStyle name="0_comodity_curve_for_6128 3 4 2 3 3" xfId="15294" xr:uid="{00000000-0005-0000-0000-0000B03B0000}"/>
    <cellStyle name="0_comodity_curve_for_6128 3 4 2 3 3 2" xfId="15295" xr:uid="{00000000-0005-0000-0000-0000B13B0000}"/>
    <cellStyle name="0_comodity_curve_for_6128 3 4 2 3 4" xfId="15296" xr:uid="{00000000-0005-0000-0000-0000B23B0000}"/>
    <cellStyle name="0_comodity_curve_for_6128 3 4 2 4" xfId="15297" xr:uid="{00000000-0005-0000-0000-0000B33B0000}"/>
    <cellStyle name="0_comodity_curve_for_6128 3 4 2 4 2" xfId="15298" xr:uid="{00000000-0005-0000-0000-0000B43B0000}"/>
    <cellStyle name="0_comodity_curve_for_6128 3 4 2 5" xfId="15299" xr:uid="{00000000-0005-0000-0000-0000B53B0000}"/>
    <cellStyle name="0_comodity_curve_for_6128 3 4 2 5 2" xfId="15300" xr:uid="{00000000-0005-0000-0000-0000B63B0000}"/>
    <cellStyle name="0_comodity_curve_for_6128 3 4 2 6" xfId="15301" xr:uid="{00000000-0005-0000-0000-0000B73B0000}"/>
    <cellStyle name="0_comodity_curve_for_6128 3 4 3" xfId="15302" xr:uid="{00000000-0005-0000-0000-0000B83B0000}"/>
    <cellStyle name="0_comodity_curve_for_6128 3 4 3 2" xfId="15303" xr:uid="{00000000-0005-0000-0000-0000B93B0000}"/>
    <cellStyle name="0_comodity_curve_for_6128 3 4 3 2 2" xfId="15304" xr:uid="{00000000-0005-0000-0000-0000BA3B0000}"/>
    <cellStyle name="0_comodity_curve_for_6128 3 4 3 3" xfId="15305" xr:uid="{00000000-0005-0000-0000-0000BB3B0000}"/>
    <cellStyle name="0_comodity_curve_for_6128 3 4 3 3 2" xfId="15306" xr:uid="{00000000-0005-0000-0000-0000BC3B0000}"/>
    <cellStyle name="0_comodity_curve_for_6128 3 4 3 4" xfId="15307" xr:uid="{00000000-0005-0000-0000-0000BD3B0000}"/>
    <cellStyle name="0_comodity_curve_for_6128 3 4 4" xfId="15308" xr:uid="{00000000-0005-0000-0000-0000BE3B0000}"/>
    <cellStyle name="0_comodity_curve_for_6128 3 4 4 2" xfId="15309" xr:uid="{00000000-0005-0000-0000-0000BF3B0000}"/>
    <cellStyle name="0_comodity_curve_for_6128 3 4 4 2 2" xfId="15310" xr:uid="{00000000-0005-0000-0000-0000C03B0000}"/>
    <cellStyle name="0_comodity_curve_for_6128 3 4 4 3" xfId="15311" xr:uid="{00000000-0005-0000-0000-0000C13B0000}"/>
    <cellStyle name="0_comodity_curve_for_6128 3 4 4 3 2" xfId="15312" xr:uid="{00000000-0005-0000-0000-0000C23B0000}"/>
    <cellStyle name="0_comodity_curve_for_6128 3 4 4 4" xfId="15313" xr:uid="{00000000-0005-0000-0000-0000C33B0000}"/>
    <cellStyle name="0_comodity_curve_for_6128 3 4 5" xfId="15314" xr:uid="{00000000-0005-0000-0000-0000C43B0000}"/>
    <cellStyle name="0_comodity_curve_for_6128 3 4 5 2" xfId="15315" xr:uid="{00000000-0005-0000-0000-0000C53B0000}"/>
    <cellStyle name="0_comodity_curve_for_6128 3 4 5 2 2" xfId="15316" xr:uid="{00000000-0005-0000-0000-0000C63B0000}"/>
    <cellStyle name="0_comodity_curve_for_6128 3 4 5 3" xfId="15317" xr:uid="{00000000-0005-0000-0000-0000C73B0000}"/>
    <cellStyle name="0_comodity_curve_for_6128 3 4 5 3 2" xfId="15318" xr:uid="{00000000-0005-0000-0000-0000C83B0000}"/>
    <cellStyle name="0_comodity_curve_for_6128 3 4 5 4" xfId="15319" xr:uid="{00000000-0005-0000-0000-0000C93B0000}"/>
    <cellStyle name="0_comodity_curve_for_6128 3 4 6" xfId="15320" xr:uid="{00000000-0005-0000-0000-0000CA3B0000}"/>
    <cellStyle name="0_comodity_curve_for_6128 3 4 6 2" xfId="15321" xr:uid="{00000000-0005-0000-0000-0000CB3B0000}"/>
    <cellStyle name="0_comodity_curve_for_6128 3 4 7" xfId="15322" xr:uid="{00000000-0005-0000-0000-0000CC3B0000}"/>
    <cellStyle name="0_comodity_curve_for_6128 3 4 7 2" xfId="15323" xr:uid="{00000000-0005-0000-0000-0000CD3B0000}"/>
    <cellStyle name="0_comodity_curve_for_6128 3 4 8" xfId="15324" xr:uid="{00000000-0005-0000-0000-0000CE3B0000}"/>
    <cellStyle name="0_comodity_curve_for_6128 3 5" xfId="15325" xr:uid="{00000000-0005-0000-0000-0000CF3B0000}"/>
    <cellStyle name="0_comodity_curve_for_6128 3 5 2" xfId="15326" xr:uid="{00000000-0005-0000-0000-0000D03B0000}"/>
    <cellStyle name="0_comodity_curve_for_6128 3 5 2 2" xfId="15327" xr:uid="{00000000-0005-0000-0000-0000D13B0000}"/>
    <cellStyle name="0_comodity_curve_for_6128 3 5 2 2 2" xfId="15328" xr:uid="{00000000-0005-0000-0000-0000D23B0000}"/>
    <cellStyle name="0_comodity_curve_for_6128 3 5 2 2 2 2" xfId="15329" xr:uid="{00000000-0005-0000-0000-0000D33B0000}"/>
    <cellStyle name="0_comodity_curve_for_6128 3 5 2 2 3" xfId="15330" xr:uid="{00000000-0005-0000-0000-0000D43B0000}"/>
    <cellStyle name="0_comodity_curve_for_6128 3 5 2 2 3 2" xfId="15331" xr:uid="{00000000-0005-0000-0000-0000D53B0000}"/>
    <cellStyle name="0_comodity_curve_for_6128 3 5 2 2 4" xfId="15332" xr:uid="{00000000-0005-0000-0000-0000D63B0000}"/>
    <cellStyle name="0_comodity_curve_for_6128 3 5 2 3" xfId="15333" xr:uid="{00000000-0005-0000-0000-0000D73B0000}"/>
    <cellStyle name="0_comodity_curve_for_6128 3 5 2 3 2" xfId="15334" xr:uid="{00000000-0005-0000-0000-0000D83B0000}"/>
    <cellStyle name="0_comodity_curve_for_6128 3 5 2 3 2 2" xfId="15335" xr:uid="{00000000-0005-0000-0000-0000D93B0000}"/>
    <cellStyle name="0_comodity_curve_for_6128 3 5 2 3 3" xfId="15336" xr:uid="{00000000-0005-0000-0000-0000DA3B0000}"/>
    <cellStyle name="0_comodity_curve_for_6128 3 5 2 3 3 2" xfId="15337" xr:uid="{00000000-0005-0000-0000-0000DB3B0000}"/>
    <cellStyle name="0_comodity_curve_for_6128 3 5 2 3 4" xfId="15338" xr:uid="{00000000-0005-0000-0000-0000DC3B0000}"/>
    <cellStyle name="0_comodity_curve_for_6128 3 5 2 4" xfId="15339" xr:uid="{00000000-0005-0000-0000-0000DD3B0000}"/>
    <cellStyle name="0_comodity_curve_for_6128 3 5 2 4 2" xfId="15340" xr:uid="{00000000-0005-0000-0000-0000DE3B0000}"/>
    <cellStyle name="0_comodity_curve_for_6128 3 5 2 5" xfId="15341" xr:uid="{00000000-0005-0000-0000-0000DF3B0000}"/>
    <cellStyle name="0_comodity_curve_for_6128 3 5 2 5 2" xfId="15342" xr:uid="{00000000-0005-0000-0000-0000E03B0000}"/>
    <cellStyle name="0_comodity_curve_for_6128 3 5 2 6" xfId="15343" xr:uid="{00000000-0005-0000-0000-0000E13B0000}"/>
    <cellStyle name="0_comodity_curve_for_6128 3 5 3" xfId="15344" xr:uid="{00000000-0005-0000-0000-0000E23B0000}"/>
    <cellStyle name="0_comodity_curve_for_6128 3 5 3 2" xfId="15345" xr:uid="{00000000-0005-0000-0000-0000E33B0000}"/>
    <cellStyle name="0_comodity_curve_for_6128 3 5 3 2 2" xfId="15346" xr:uid="{00000000-0005-0000-0000-0000E43B0000}"/>
    <cellStyle name="0_comodity_curve_for_6128 3 5 3 3" xfId="15347" xr:uid="{00000000-0005-0000-0000-0000E53B0000}"/>
    <cellStyle name="0_comodity_curve_for_6128 3 5 3 3 2" xfId="15348" xr:uid="{00000000-0005-0000-0000-0000E63B0000}"/>
    <cellStyle name="0_comodity_curve_for_6128 3 5 3 4" xfId="15349" xr:uid="{00000000-0005-0000-0000-0000E73B0000}"/>
    <cellStyle name="0_comodity_curve_for_6128 3 5 4" xfId="15350" xr:uid="{00000000-0005-0000-0000-0000E83B0000}"/>
    <cellStyle name="0_comodity_curve_for_6128 3 5 4 2" xfId="15351" xr:uid="{00000000-0005-0000-0000-0000E93B0000}"/>
    <cellStyle name="0_comodity_curve_for_6128 3 5 4 2 2" xfId="15352" xr:uid="{00000000-0005-0000-0000-0000EA3B0000}"/>
    <cellStyle name="0_comodity_curve_for_6128 3 5 4 3" xfId="15353" xr:uid="{00000000-0005-0000-0000-0000EB3B0000}"/>
    <cellStyle name="0_comodity_curve_for_6128 3 5 4 3 2" xfId="15354" xr:uid="{00000000-0005-0000-0000-0000EC3B0000}"/>
    <cellStyle name="0_comodity_curve_for_6128 3 5 4 4" xfId="15355" xr:uid="{00000000-0005-0000-0000-0000ED3B0000}"/>
    <cellStyle name="0_comodity_curve_for_6128 3 5 5" xfId="15356" xr:uid="{00000000-0005-0000-0000-0000EE3B0000}"/>
    <cellStyle name="0_comodity_curve_for_6128 3 5 5 2" xfId="15357" xr:uid="{00000000-0005-0000-0000-0000EF3B0000}"/>
    <cellStyle name="0_comodity_curve_for_6128 3 5 5 2 2" xfId="15358" xr:uid="{00000000-0005-0000-0000-0000F03B0000}"/>
    <cellStyle name="0_comodity_curve_for_6128 3 5 5 3" xfId="15359" xr:uid="{00000000-0005-0000-0000-0000F13B0000}"/>
    <cellStyle name="0_comodity_curve_for_6128 3 5 5 3 2" xfId="15360" xr:uid="{00000000-0005-0000-0000-0000F23B0000}"/>
    <cellStyle name="0_comodity_curve_for_6128 3 5 5 4" xfId="15361" xr:uid="{00000000-0005-0000-0000-0000F33B0000}"/>
    <cellStyle name="0_comodity_curve_for_6128 3 5 6" xfId="15362" xr:uid="{00000000-0005-0000-0000-0000F43B0000}"/>
    <cellStyle name="0_comodity_curve_for_6128 3 5 6 2" xfId="15363" xr:uid="{00000000-0005-0000-0000-0000F53B0000}"/>
    <cellStyle name="0_comodity_curve_for_6128 3 5 7" xfId="15364" xr:uid="{00000000-0005-0000-0000-0000F63B0000}"/>
    <cellStyle name="0_comodity_curve_for_6128 3 5 7 2" xfId="15365" xr:uid="{00000000-0005-0000-0000-0000F73B0000}"/>
    <cellStyle name="0_comodity_curve_for_6128 3 5 8" xfId="15366" xr:uid="{00000000-0005-0000-0000-0000F83B0000}"/>
    <cellStyle name="0_comodity_curve_for_6128 3 6" xfId="15367" xr:uid="{00000000-0005-0000-0000-0000F93B0000}"/>
    <cellStyle name="0_comodity_curve_for_6128 3 6 2" xfId="15368" xr:uid="{00000000-0005-0000-0000-0000FA3B0000}"/>
    <cellStyle name="0_comodity_curve_for_6128 3 6 2 2" xfId="15369" xr:uid="{00000000-0005-0000-0000-0000FB3B0000}"/>
    <cellStyle name="0_comodity_curve_for_6128 3 6 2 2 2" xfId="15370" xr:uid="{00000000-0005-0000-0000-0000FC3B0000}"/>
    <cellStyle name="0_comodity_curve_for_6128 3 6 2 2 2 2" xfId="15371" xr:uid="{00000000-0005-0000-0000-0000FD3B0000}"/>
    <cellStyle name="0_comodity_curve_for_6128 3 6 2 2 3" xfId="15372" xr:uid="{00000000-0005-0000-0000-0000FE3B0000}"/>
    <cellStyle name="0_comodity_curve_for_6128 3 6 2 2 3 2" xfId="15373" xr:uid="{00000000-0005-0000-0000-0000FF3B0000}"/>
    <cellStyle name="0_comodity_curve_for_6128 3 6 2 2 4" xfId="15374" xr:uid="{00000000-0005-0000-0000-0000003C0000}"/>
    <cellStyle name="0_comodity_curve_for_6128 3 6 2 3" xfId="15375" xr:uid="{00000000-0005-0000-0000-0000013C0000}"/>
    <cellStyle name="0_comodity_curve_for_6128 3 6 2 3 2" xfId="15376" xr:uid="{00000000-0005-0000-0000-0000023C0000}"/>
    <cellStyle name="0_comodity_curve_for_6128 3 6 2 3 2 2" xfId="15377" xr:uid="{00000000-0005-0000-0000-0000033C0000}"/>
    <cellStyle name="0_comodity_curve_for_6128 3 6 2 3 3" xfId="15378" xr:uid="{00000000-0005-0000-0000-0000043C0000}"/>
    <cellStyle name="0_comodity_curve_for_6128 3 6 2 3 3 2" xfId="15379" xr:uid="{00000000-0005-0000-0000-0000053C0000}"/>
    <cellStyle name="0_comodity_curve_for_6128 3 6 2 3 4" xfId="15380" xr:uid="{00000000-0005-0000-0000-0000063C0000}"/>
    <cellStyle name="0_comodity_curve_for_6128 3 6 2 4" xfId="15381" xr:uid="{00000000-0005-0000-0000-0000073C0000}"/>
    <cellStyle name="0_comodity_curve_for_6128 3 6 2 4 2" xfId="15382" xr:uid="{00000000-0005-0000-0000-0000083C0000}"/>
    <cellStyle name="0_comodity_curve_for_6128 3 6 2 5" xfId="15383" xr:uid="{00000000-0005-0000-0000-0000093C0000}"/>
    <cellStyle name="0_comodity_curve_for_6128 3 6 2 5 2" xfId="15384" xr:uid="{00000000-0005-0000-0000-00000A3C0000}"/>
    <cellStyle name="0_comodity_curve_for_6128 3 6 2 6" xfId="15385" xr:uid="{00000000-0005-0000-0000-00000B3C0000}"/>
    <cellStyle name="0_comodity_curve_for_6128 3 6 3" xfId="15386" xr:uid="{00000000-0005-0000-0000-00000C3C0000}"/>
    <cellStyle name="0_comodity_curve_for_6128 3 6 3 2" xfId="15387" xr:uid="{00000000-0005-0000-0000-00000D3C0000}"/>
    <cellStyle name="0_comodity_curve_for_6128 3 6 3 2 2" xfId="15388" xr:uid="{00000000-0005-0000-0000-00000E3C0000}"/>
    <cellStyle name="0_comodity_curve_for_6128 3 6 3 3" xfId="15389" xr:uid="{00000000-0005-0000-0000-00000F3C0000}"/>
    <cellStyle name="0_comodity_curve_for_6128 3 6 3 3 2" xfId="15390" xr:uid="{00000000-0005-0000-0000-0000103C0000}"/>
    <cellStyle name="0_comodity_curve_for_6128 3 6 3 4" xfId="15391" xr:uid="{00000000-0005-0000-0000-0000113C0000}"/>
    <cellStyle name="0_comodity_curve_for_6128 3 6 4" xfId="15392" xr:uid="{00000000-0005-0000-0000-0000123C0000}"/>
    <cellStyle name="0_comodity_curve_for_6128 3 6 4 2" xfId="15393" xr:uid="{00000000-0005-0000-0000-0000133C0000}"/>
    <cellStyle name="0_comodity_curve_for_6128 3 6 4 2 2" xfId="15394" xr:uid="{00000000-0005-0000-0000-0000143C0000}"/>
    <cellStyle name="0_comodity_curve_for_6128 3 6 4 3" xfId="15395" xr:uid="{00000000-0005-0000-0000-0000153C0000}"/>
    <cellStyle name="0_comodity_curve_for_6128 3 6 4 3 2" xfId="15396" xr:uid="{00000000-0005-0000-0000-0000163C0000}"/>
    <cellStyle name="0_comodity_curve_for_6128 3 6 4 4" xfId="15397" xr:uid="{00000000-0005-0000-0000-0000173C0000}"/>
    <cellStyle name="0_comodity_curve_for_6128 3 6 5" xfId="15398" xr:uid="{00000000-0005-0000-0000-0000183C0000}"/>
    <cellStyle name="0_comodity_curve_for_6128 3 6 5 2" xfId="15399" xr:uid="{00000000-0005-0000-0000-0000193C0000}"/>
    <cellStyle name="0_comodity_curve_for_6128 3 6 5 2 2" xfId="15400" xr:uid="{00000000-0005-0000-0000-00001A3C0000}"/>
    <cellStyle name="0_comodity_curve_for_6128 3 6 5 3" xfId="15401" xr:uid="{00000000-0005-0000-0000-00001B3C0000}"/>
    <cellStyle name="0_comodity_curve_for_6128 3 6 5 3 2" xfId="15402" xr:uid="{00000000-0005-0000-0000-00001C3C0000}"/>
    <cellStyle name="0_comodity_curve_for_6128 3 6 5 4" xfId="15403" xr:uid="{00000000-0005-0000-0000-00001D3C0000}"/>
    <cellStyle name="0_comodity_curve_for_6128 3 6 6" xfId="15404" xr:uid="{00000000-0005-0000-0000-00001E3C0000}"/>
    <cellStyle name="0_comodity_curve_for_6128 3 6 6 2" xfId="15405" xr:uid="{00000000-0005-0000-0000-00001F3C0000}"/>
    <cellStyle name="0_comodity_curve_for_6128 3 6 7" xfId="15406" xr:uid="{00000000-0005-0000-0000-0000203C0000}"/>
    <cellStyle name="0_comodity_curve_for_6128 3 6 7 2" xfId="15407" xr:uid="{00000000-0005-0000-0000-0000213C0000}"/>
    <cellStyle name="0_comodity_curve_for_6128 3 6 8" xfId="15408" xr:uid="{00000000-0005-0000-0000-0000223C0000}"/>
    <cellStyle name="0_comodity_curve_for_6128 3 7" xfId="15409" xr:uid="{00000000-0005-0000-0000-0000233C0000}"/>
    <cellStyle name="0_comodity_curve_for_6128 3 7 2" xfId="15410" xr:uid="{00000000-0005-0000-0000-0000243C0000}"/>
    <cellStyle name="0_comodity_curve_for_6128 3 7 2 2" xfId="15411" xr:uid="{00000000-0005-0000-0000-0000253C0000}"/>
    <cellStyle name="0_comodity_curve_for_6128 3 7 2 2 2" xfId="15412" xr:uid="{00000000-0005-0000-0000-0000263C0000}"/>
    <cellStyle name="0_comodity_curve_for_6128 3 7 2 3" xfId="15413" xr:uid="{00000000-0005-0000-0000-0000273C0000}"/>
    <cellStyle name="0_comodity_curve_for_6128 3 7 2 3 2" xfId="15414" xr:uid="{00000000-0005-0000-0000-0000283C0000}"/>
    <cellStyle name="0_comodity_curve_for_6128 3 7 2 4" xfId="15415" xr:uid="{00000000-0005-0000-0000-0000293C0000}"/>
    <cellStyle name="0_comodity_curve_for_6128 3 7 3" xfId="15416" xr:uid="{00000000-0005-0000-0000-00002A3C0000}"/>
    <cellStyle name="0_comodity_curve_for_6128 3 7 3 2" xfId="15417" xr:uid="{00000000-0005-0000-0000-00002B3C0000}"/>
    <cellStyle name="0_comodity_curve_for_6128 3 7 3 2 2" xfId="15418" xr:uid="{00000000-0005-0000-0000-00002C3C0000}"/>
    <cellStyle name="0_comodity_curve_for_6128 3 7 3 3" xfId="15419" xr:uid="{00000000-0005-0000-0000-00002D3C0000}"/>
    <cellStyle name="0_comodity_curve_for_6128 3 7 3 3 2" xfId="15420" xr:uid="{00000000-0005-0000-0000-00002E3C0000}"/>
    <cellStyle name="0_comodity_curve_for_6128 3 7 3 4" xfId="15421" xr:uid="{00000000-0005-0000-0000-00002F3C0000}"/>
    <cellStyle name="0_comodity_curve_for_6128 3 7 4" xfId="15422" xr:uid="{00000000-0005-0000-0000-0000303C0000}"/>
    <cellStyle name="0_comodity_curve_for_6128 3 7 4 2" xfId="15423" xr:uid="{00000000-0005-0000-0000-0000313C0000}"/>
    <cellStyle name="0_comodity_curve_for_6128 3 7 5" xfId="15424" xr:uid="{00000000-0005-0000-0000-0000323C0000}"/>
    <cellStyle name="0_comodity_curve_for_6128 3 7 5 2" xfId="15425" xr:uid="{00000000-0005-0000-0000-0000333C0000}"/>
    <cellStyle name="0_comodity_curve_for_6128 3 7 6" xfId="15426" xr:uid="{00000000-0005-0000-0000-0000343C0000}"/>
    <cellStyle name="0_comodity_curve_for_6128 3 8" xfId="15427" xr:uid="{00000000-0005-0000-0000-0000353C0000}"/>
    <cellStyle name="0_comodity_curve_for_6128 3 8 2" xfId="15428" xr:uid="{00000000-0005-0000-0000-0000363C0000}"/>
    <cellStyle name="0_comodity_curve_for_6128 3 8 2 2" xfId="15429" xr:uid="{00000000-0005-0000-0000-0000373C0000}"/>
    <cellStyle name="0_comodity_curve_for_6128 3 8 3" xfId="15430" xr:uid="{00000000-0005-0000-0000-0000383C0000}"/>
    <cellStyle name="0_comodity_curve_for_6128 3 8 3 2" xfId="15431" xr:uid="{00000000-0005-0000-0000-0000393C0000}"/>
    <cellStyle name="0_comodity_curve_for_6128 3 8 4" xfId="15432" xr:uid="{00000000-0005-0000-0000-00003A3C0000}"/>
    <cellStyle name="0_comodity_curve_for_6128 3 9" xfId="15433" xr:uid="{00000000-0005-0000-0000-00003B3C0000}"/>
    <cellStyle name="0_comodity_curve_for_6128 3 9 2" xfId="15434" xr:uid="{00000000-0005-0000-0000-00003C3C0000}"/>
    <cellStyle name="0_comodity_curve_for_6128 3 9 2 2" xfId="15435" xr:uid="{00000000-0005-0000-0000-00003D3C0000}"/>
    <cellStyle name="0_comodity_curve_for_6128 3 9 3" xfId="15436" xr:uid="{00000000-0005-0000-0000-00003E3C0000}"/>
    <cellStyle name="0_comodity_curve_for_6128 3 9 3 2" xfId="15437" xr:uid="{00000000-0005-0000-0000-00003F3C0000}"/>
    <cellStyle name="0_comodity_curve_for_6128 3 9 4" xfId="15438" xr:uid="{00000000-0005-0000-0000-0000403C0000}"/>
    <cellStyle name="0_comodity_curve_for_6128 4" xfId="15439" xr:uid="{00000000-0005-0000-0000-0000413C0000}"/>
    <cellStyle name="0_comodity_curve_for_6128 4 10" xfId="15440" xr:uid="{00000000-0005-0000-0000-0000423C0000}"/>
    <cellStyle name="0_comodity_curve_for_6128 4 10 2" xfId="15441" xr:uid="{00000000-0005-0000-0000-0000433C0000}"/>
    <cellStyle name="0_comodity_curve_for_6128 4 10 2 2" xfId="15442" xr:uid="{00000000-0005-0000-0000-0000443C0000}"/>
    <cellStyle name="0_comodity_curve_for_6128 4 10 3" xfId="15443" xr:uid="{00000000-0005-0000-0000-0000453C0000}"/>
    <cellStyle name="0_comodity_curve_for_6128 4 10 3 2" xfId="15444" xr:uid="{00000000-0005-0000-0000-0000463C0000}"/>
    <cellStyle name="0_comodity_curve_for_6128 4 10 4" xfId="15445" xr:uid="{00000000-0005-0000-0000-0000473C0000}"/>
    <cellStyle name="0_comodity_curve_for_6128 4 11" xfId="15446" xr:uid="{00000000-0005-0000-0000-0000483C0000}"/>
    <cellStyle name="0_comodity_curve_for_6128 4 11 2" xfId="15447" xr:uid="{00000000-0005-0000-0000-0000493C0000}"/>
    <cellStyle name="0_comodity_curve_for_6128 4 12" xfId="15448" xr:uid="{00000000-0005-0000-0000-00004A3C0000}"/>
    <cellStyle name="0_comodity_curve_for_6128 4 12 2" xfId="15449" xr:uid="{00000000-0005-0000-0000-00004B3C0000}"/>
    <cellStyle name="0_comodity_curve_for_6128 4 13" xfId="15450" xr:uid="{00000000-0005-0000-0000-00004C3C0000}"/>
    <cellStyle name="0_comodity_curve_for_6128 4 2" xfId="15451" xr:uid="{00000000-0005-0000-0000-00004D3C0000}"/>
    <cellStyle name="0_comodity_curve_for_6128 4 2 2" xfId="15452" xr:uid="{00000000-0005-0000-0000-00004E3C0000}"/>
    <cellStyle name="0_comodity_curve_for_6128 4 2 2 2" xfId="15453" xr:uid="{00000000-0005-0000-0000-00004F3C0000}"/>
    <cellStyle name="0_comodity_curve_for_6128 4 2 2 2 2" xfId="15454" xr:uid="{00000000-0005-0000-0000-0000503C0000}"/>
    <cellStyle name="0_comodity_curve_for_6128 4 2 2 2 2 2" xfId="15455" xr:uid="{00000000-0005-0000-0000-0000513C0000}"/>
    <cellStyle name="0_comodity_curve_for_6128 4 2 2 2 3" xfId="15456" xr:uid="{00000000-0005-0000-0000-0000523C0000}"/>
    <cellStyle name="0_comodity_curve_for_6128 4 2 2 2 3 2" xfId="15457" xr:uid="{00000000-0005-0000-0000-0000533C0000}"/>
    <cellStyle name="0_comodity_curve_for_6128 4 2 2 2 4" xfId="15458" xr:uid="{00000000-0005-0000-0000-0000543C0000}"/>
    <cellStyle name="0_comodity_curve_for_6128 4 2 2 3" xfId="15459" xr:uid="{00000000-0005-0000-0000-0000553C0000}"/>
    <cellStyle name="0_comodity_curve_for_6128 4 2 2 3 2" xfId="15460" xr:uid="{00000000-0005-0000-0000-0000563C0000}"/>
    <cellStyle name="0_comodity_curve_for_6128 4 2 2 3 2 2" xfId="15461" xr:uid="{00000000-0005-0000-0000-0000573C0000}"/>
    <cellStyle name="0_comodity_curve_for_6128 4 2 2 3 3" xfId="15462" xr:uid="{00000000-0005-0000-0000-0000583C0000}"/>
    <cellStyle name="0_comodity_curve_for_6128 4 2 2 3 3 2" xfId="15463" xr:uid="{00000000-0005-0000-0000-0000593C0000}"/>
    <cellStyle name="0_comodity_curve_for_6128 4 2 2 3 4" xfId="15464" xr:uid="{00000000-0005-0000-0000-00005A3C0000}"/>
    <cellStyle name="0_comodity_curve_for_6128 4 2 2 4" xfId="15465" xr:uid="{00000000-0005-0000-0000-00005B3C0000}"/>
    <cellStyle name="0_comodity_curve_for_6128 4 2 2 4 2" xfId="15466" xr:uid="{00000000-0005-0000-0000-00005C3C0000}"/>
    <cellStyle name="0_comodity_curve_for_6128 4 2 2 5" xfId="15467" xr:uid="{00000000-0005-0000-0000-00005D3C0000}"/>
    <cellStyle name="0_comodity_curve_for_6128 4 2 2 5 2" xfId="15468" xr:uid="{00000000-0005-0000-0000-00005E3C0000}"/>
    <cellStyle name="0_comodity_curve_for_6128 4 2 2 6" xfId="15469" xr:uid="{00000000-0005-0000-0000-00005F3C0000}"/>
    <cellStyle name="0_comodity_curve_for_6128 4 2 3" xfId="15470" xr:uid="{00000000-0005-0000-0000-0000603C0000}"/>
    <cellStyle name="0_comodity_curve_for_6128 4 2 3 2" xfId="15471" xr:uid="{00000000-0005-0000-0000-0000613C0000}"/>
    <cellStyle name="0_comodity_curve_for_6128 4 2 3 2 2" xfId="15472" xr:uid="{00000000-0005-0000-0000-0000623C0000}"/>
    <cellStyle name="0_comodity_curve_for_6128 4 2 3 3" xfId="15473" xr:uid="{00000000-0005-0000-0000-0000633C0000}"/>
    <cellStyle name="0_comodity_curve_for_6128 4 2 3 3 2" xfId="15474" xr:uid="{00000000-0005-0000-0000-0000643C0000}"/>
    <cellStyle name="0_comodity_curve_for_6128 4 2 3 4" xfId="15475" xr:uid="{00000000-0005-0000-0000-0000653C0000}"/>
    <cellStyle name="0_comodity_curve_for_6128 4 2 4" xfId="15476" xr:uid="{00000000-0005-0000-0000-0000663C0000}"/>
    <cellStyle name="0_comodity_curve_for_6128 4 2 4 2" xfId="15477" xr:uid="{00000000-0005-0000-0000-0000673C0000}"/>
    <cellStyle name="0_comodity_curve_for_6128 4 2 4 2 2" xfId="15478" xr:uid="{00000000-0005-0000-0000-0000683C0000}"/>
    <cellStyle name="0_comodity_curve_for_6128 4 2 4 3" xfId="15479" xr:uid="{00000000-0005-0000-0000-0000693C0000}"/>
    <cellStyle name="0_comodity_curve_for_6128 4 2 4 3 2" xfId="15480" xr:uid="{00000000-0005-0000-0000-00006A3C0000}"/>
    <cellStyle name="0_comodity_curve_for_6128 4 2 4 4" xfId="15481" xr:uid="{00000000-0005-0000-0000-00006B3C0000}"/>
    <cellStyle name="0_comodity_curve_for_6128 4 2 5" xfId="15482" xr:uid="{00000000-0005-0000-0000-00006C3C0000}"/>
    <cellStyle name="0_comodity_curve_for_6128 4 2 5 2" xfId="15483" xr:uid="{00000000-0005-0000-0000-00006D3C0000}"/>
    <cellStyle name="0_comodity_curve_for_6128 4 2 5 2 2" xfId="15484" xr:uid="{00000000-0005-0000-0000-00006E3C0000}"/>
    <cellStyle name="0_comodity_curve_for_6128 4 2 5 3" xfId="15485" xr:uid="{00000000-0005-0000-0000-00006F3C0000}"/>
    <cellStyle name="0_comodity_curve_for_6128 4 2 5 3 2" xfId="15486" xr:uid="{00000000-0005-0000-0000-0000703C0000}"/>
    <cellStyle name="0_comodity_curve_for_6128 4 2 5 4" xfId="15487" xr:uid="{00000000-0005-0000-0000-0000713C0000}"/>
    <cellStyle name="0_comodity_curve_for_6128 4 2 6" xfId="15488" xr:uid="{00000000-0005-0000-0000-0000723C0000}"/>
    <cellStyle name="0_comodity_curve_for_6128 4 2 6 2" xfId="15489" xr:uid="{00000000-0005-0000-0000-0000733C0000}"/>
    <cellStyle name="0_comodity_curve_for_6128 4 2 7" xfId="15490" xr:uid="{00000000-0005-0000-0000-0000743C0000}"/>
    <cellStyle name="0_comodity_curve_for_6128 4 2 7 2" xfId="15491" xr:uid="{00000000-0005-0000-0000-0000753C0000}"/>
    <cellStyle name="0_comodity_curve_for_6128 4 2 8" xfId="15492" xr:uid="{00000000-0005-0000-0000-0000763C0000}"/>
    <cellStyle name="0_comodity_curve_for_6128 4 3" xfId="15493" xr:uid="{00000000-0005-0000-0000-0000773C0000}"/>
    <cellStyle name="0_comodity_curve_for_6128 4 3 2" xfId="15494" xr:uid="{00000000-0005-0000-0000-0000783C0000}"/>
    <cellStyle name="0_comodity_curve_for_6128 4 3 2 2" xfId="15495" xr:uid="{00000000-0005-0000-0000-0000793C0000}"/>
    <cellStyle name="0_comodity_curve_for_6128 4 3 2 2 2" xfId="15496" xr:uid="{00000000-0005-0000-0000-00007A3C0000}"/>
    <cellStyle name="0_comodity_curve_for_6128 4 3 2 2 2 2" xfId="15497" xr:uid="{00000000-0005-0000-0000-00007B3C0000}"/>
    <cellStyle name="0_comodity_curve_for_6128 4 3 2 2 3" xfId="15498" xr:uid="{00000000-0005-0000-0000-00007C3C0000}"/>
    <cellStyle name="0_comodity_curve_for_6128 4 3 2 2 3 2" xfId="15499" xr:uid="{00000000-0005-0000-0000-00007D3C0000}"/>
    <cellStyle name="0_comodity_curve_for_6128 4 3 2 2 4" xfId="15500" xr:uid="{00000000-0005-0000-0000-00007E3C0000}"/>
    <cellStyle name="0_comodity_curve_for_6128 4 3 2 3" xfId="15501" xr:uid="{00000000-0005-0000-0000-00007F3C0000}"/>
    <cellStyle name="0_comodity_curve_for_6128 4 3 2 3 2" xfId="15502" xr:uid="{00000000-0005-0000-0000-0000803C0000}"/>
    <cellStyle name="0_comodity_curve_for_6128 4 3 2 3 2 2" xfId="15503" xr:uid="{00000000-0005-0000-0000-0000813C0000}"/>
    <cellStyle name="0_comodity_curve_for_6128 4 3 2 3 3" xfId="15504" xr:uid="{00000000-0005-0000-0000-0000823C0000}"/>
    <cellStyle name="0_comodity_curve_for_6128 4 3 2 3 3 2" xfId="15505" xr:uid="{00000000-0005-0000-0000-0000833C0000}"/>
    <cellStyle name="0_comodity_curve_for_6128 4 3 2 3 4" xfId="15506" xr:uid="{00000000-0005-0000-0000-0000843C0000}"/>
    <cellStyle name="0_comodity_curve_for_6128 4 3 2 4" xfId="15507" xr:uid="{00000000-0005-0000-0000-0000853C0000}"/>
    <cellStyle name="0_comodity_curve_for_6128 4 3 2 4 2" xfId="15508" xr:uid="{00000000-0005-0000-0000-0000863C0000}"/>
    <cellStyle name="0_comodity_curve_for_6128 4 3 2 5" xfId="15509" xr:uid="{00000000-0005-0000-0000-0000873C0000}"/>
    <cellStyle name="0_comodity_curve_for_6128 4 3 2 5 2" xfId="15510" xr:uid="{00000000-0005-0000-0000-0000883C0000}"/>
    <cellStyle name="0_comodity_curve_for_6128 4 3 2 6" xfId="15511" xr:uid="{00000000-0005-0000-0000-0000893C0000}"/>
    <cellStyle name="0_comodity_curve_for_6128 4 3 3" xfId="15512" xr:uid="{00000000-0005-0000-0000-00008A3C0000}"/>
    <cellStyle name="0_comodity_curve_for_6128 4 3 3 2" xfId="15513" xr:uid="{00000000-0005-0000-0000-00008B3C0000}"/>
    <cellStyle name="0_comodity_curve_for_6128 4 3 3 2 2" xfId="15514" xr:uid="{00000000-0005-0000-0000-00008C3C0000}"/>
    <cellStyle name="0_comodity_curve_for_6128 4 3 3 3" xfId="15515" xr:uid="{00000000-0005-0000-0000-00008D3C0000}"/>
    <cellStyle name="0_comodity_curve_for_6128 4 3 3 3 2" xfId="15516" xr:uid="{00000000-0005-0000-0000-00008E3C0000}"/>
    <cellStyle name="0_comodity_curve_for_6128 4 3 3 4" xfId="15517" xr:uid="{00000000-0005-0000-0000-00008F3C0000}"/>
    <cellStyle name="0_comodity_curve_for_6128 4 3 4" xfId="15518" xr:uid="{00000000-0005-0000-0000-0000903C0000}"/>
    <cellStyle name="0_comodity_curve_for_6128 4 3 4 2" xfId="15519" xr:uid="{00000000-0005-0000-0000-0000913C0000}"/>
    <cellStyle name="0_comodity_curve_for_6128 4 3 4 2 2" xfId="15520" xr:uid="{00000000-0005-0000-0000-0000923C0000}"/>
    <cellStyle name="0_comodity_curve_for_6128 4 3 4 3" xfId="15521" xr:uid="{00000000-0005-0000-0000-0000933C0000}"/>
    <cellStyle name="0_comodity_curve_for_6128 4 3 4 3 2" xfId="15522" xr:uid="{00000000-0005-0000-0000-0000943C0000}"/>
    <cellStyle name="0_comodity_curve_for_6128 4 3 4 4" xfId="15523" xr:uid="{00000000-0005-0000-0000-0000953C0000}"/>
    <cellStyle name="0_comodity_curve_for_6128 4 3 5" xfId="15524" xr:uid="{00000000-0005-0000-0000-0000963C0000}"/>
    <cellStyle name="0_comodity_curve_for_6128 4 3 5 2" xfId="15525" xr:uid="{00000000-0005-0000-0000-0000973C0000}"/>
    <cellStyle name="0_comodity_curve_for_6128 4 3 5 2 2" xfId="15526" xr:uid="{00000000-0005-0000-0000-0000983C0000}"/>
    <cellStyle name="0_comodity_curve_for_6128 4 3 5 3" xfId="15527" xr:uid="{00000000-0005-0000-0000-0000993C0000}"/>
    <cellStyle name="0_comodity_curve_for_6128 4 3 5 3 2" xfId="15528" xr:uid="{00000000-0005-0000-0000-00009A3C0000}"/>
    <cellStyle name="0_comodity_curve_for_6128 4 3 5 4" xfId="15529" xr:uid="{00000000-0005-0000-0000-00009B3C0000}"/>
    <cellStyle name="0_comodity_curve_for_6128 4 3 6" xfId="15530" xr:uid="{00000000-0005-0000-0000-00009C3C0000}"/>
    <cellStyle name="0_comodity_curve_for_6128 4 3 6 2" xfId="15531" xr:uid="{00000000-0005-0000-0000-00009D3C0000}"/>
    <cellStyle name="0_comodity_curve_for_6128 4 3 7" xfId="15532" xr:uid="{00000000-0005-0000-0000-00009E3C0000}"/>
    <cellStyle name="0_comodity_curve_for_6128 4 3 7 2" xfId="15533" xr:uid="{00000000-0005-0000-0000-00009F3C0000}"/>
    <cellStyle name="0_comodity_curve_for_6128 4 3 8" xfId="15534" xr:uid="{00000000-0005-0000-0000-0000A03C0000}"/>
    <cellStyle name="0_comodity_curve_for_6128 4 4" xfId="15535" xr:uid="{00000000-0005-0000-0000-0000A13C0000}"/>
    <cellStyle name="0_comodity_curve_for_6128 4 4 2" xfId="15536" xr:uid="{00000000-0005-0000-0000-0000A23C0000}"/>
    <cellStyle name="0_comodity_curve_for_6128 4 4 2 2" xfId="15537" xr:uid="{00000000-0005-0000-0000-0000A33C0000}"/>
    <cellStyle name="0_comodity_curve_for_6128 4 4 2 2 2" xfId="15538" xr:uid="{00000000-0005-0000-0000-0000A43C0000}"/>
    <cellStyle name="0_comodity_curve_for_6128 4 4 2 2 2 2" xfId="15539" xr:uid="{00000000-0005-0000-0000-0000A53C0000}"/>
    <cellStyle name="0_comodity_curve_for_6128 4 4 2 2 3" xfId="15540" xr:uid="{00000000-0005-0000-0000-0000A63C0000}"/>
    <cellStyle name="0_comodity_curve_for_6128 4 4 2 2 3 2" xfId="15541" xr:uid="{00000000-0005-0000-0000-0000A73C0000}"/>
    <cellStyle name="0_comodity_curve_for_6128 4 4 2 2 4" xfId="15542" xr:uid="{00000000-0005-0000-0000-0000A83C0000}"/>
    <cellStyle name="0_comodity_curve_for_6128 4 4 2 3" xfId="15543" xr:uid="{00000000-0005-0000-0000-0000A93C0000}"/>
    <cellStyle name="0_comodity_curve_for_6128 4 4 2 3 2" xfId="15544" xr:uid="{00000000-0005-0000-0000-0000AA3C0000}"/>
    <cellStyle name="0_comodity_curve_for_6128 4 4 2 3 2 2" xfId="15545" xr:uid="{00000000-0005-0000-0000-0000AB3C0000}"/>
    <cellStyle name="0_comodity_curve_for_6128 4 4 2 3 3" xfId="15546" xr:uid="{00000000-0005-0000-0000-0000AC3C0000}"/>
    <cellStyle name="0_comodity_curve_for_6128 4 4 2 3 3 2" xfId="15547" xr:uid="{00000000-0005-0000-0000-0000AD3C0000}"/>
    <cellStyle name="0_comodity_curve_for_6128 4 4 2 3 4" xfId="15548" xr:uid="{00000000-0005-0000-0000-0000AE3C0000}"/>
    <cellStyle name="0_comodity_curve_for_6128 4 4 2 4" xfId="15549" xr:uid="{00000000-0005-0000-0000-0000AF3C0000}"/>
    <cellStyle name="0_comodity_curve_for_6128 4 4 2 4 2" xfId="15550" xr:uid="{00000000-0005-0000-0000-0000B03C0000}"/>
    <cellStyle name="0_comodity_curve_for_6128 4 4 2 5" xfId="15551" xr:uid="{00000000-0005-0000-0000-0000B13C0000}"/>
    <cellStyle name="0_comodity_curve_for_6128 4 4 2 5 2" xfId="15552" xr:uid="{00000000-0005-0000-0000-0000B23C0000}"/>
    <cellStyle name="0_comodity_curve_for_6128 4 4 2 6" xfId="15553" xr:uid="{00000000-0005-0000-0000-0000B33C0000}"/>
    <cellStyle name="0_comodity_curve_for_6128 4 4 3" xfId="15554" xr:uid="{00000000-0005-0000-0000-0000B43C0000}"/>
    <cellStyle name="0_comodity_curve_for_6128 4 4 3 2" xfId="15555" xr:uid="{00000000-0005-0000-0000-0000B53C0000}"/>
    <cellStyle name="0_comodity_curve_for_6128 4 4 3 2 2" xfId="15556" xr:uid="{00000000-0005-0000-0000-0000B63C0000}"/>
    <cellStyle name="0_comodity_curve_for_6128 4 4 3 3" xfId="15557" xr:uid="{00000000-0005-0000-0000-0000B73C0000}"/>
    <cellStyle name="0_comodity_curve_for_6128 4 4 3 3 2" xfId="15558" xr:uid="{00000000-0005-0000-0000-0000B83C0000}"/>
    <cellStyle name="0_comodity_curve_for_6128 4 4 3 4" xfId="15559" xr:uid="{00000000-0005-0000-0000-0000B93C0000}"/>
    <cellStyle name="0_comodity_curve_for_6128 4 4 4" xfId="15560" xr:uid="{00000000-0005-0000-0000-0000BA3C0000}"/>
    <cellStyle name="0_comodity_curve_for_6128 4 4 4 2" xfId="15561" xr:uid="{00000000-0005-0000-0000-0000BB3C0000}"/>
    <cellStyle name="0_comodity_curve_for_6128 4 4 4 2 2" xfId="15562" xr:uid="{00000000-0005-0000-0000-0000BC3C0000}"/>
    <cellStyle name="0_comodity_curve_for_6128 4 4 4 3" xfId="15563" xr:uid="{00000000-0005-0000-0000-0000BD3C0000}"/>
    <cellStyle name="0_comodity_curve_for_6128 4 4 4 3 2" xfId="15564" xr:uid="{00000000-0005-0000-0000-0000BE3C0000}"/>
    <cellStyle name="0_comodity_curve_for_6128 4 4 4 4" xfId="15565" xr:uid="{00000000-0005-0000-0000-0000BF3C0000}"/>
    <cellStyle name="0_comodity_curve_for_6128 4 4 5" xfId="15566" xr:uid="{00000000-0005-0000-0000-0000C03C0000}"/>
    <cellStyle name="0_comodity_curve_for_6128 4 4 5 2" xfId="15567" xr:uid="{00000000-0005-0000-0000-0000C13C0000}"/>
    <cellStyle name="0_comodity_curve_for_6128 4 4 5 2 2" xfId="15568" xr:uid="{00000000-0005-0000-0000-0000C23C0000}"/>
    <cellStyle name="0_comodity_curve_for_6128 4 4 5 3" xfId="15569" xr:uid="{00000000-0005-0000-0000-0000C33C0000}"/>
    <cellStyle name="0_comodity_curve_for_6128 4 4 5 3 2" xfId="15570" xr:uid="{00000000-0005-0000-0000-0000C43C0000}"/>
    <cellStyle name="0_comodity_curve_for_6128 4 4 5 4" xfId="15571" xr:uid="{00000000-0005-0000-0000-0000C53C0000}"/>
    <cellStyle name="0_comodity_curve_for_6128 4 4 6" xfId="15572" xr:uid="{00000000-0005-0000-0000-0000C63C0000}"/>
    <cellStyle name="0_comodity_curve_for_6128 4 4 6 2" xfId="15573" xr:uid="{00000000-0005-0000-0000-0000C73C0000}"/>
    <cellStyle name="0_comodity_curve_for_6128 4 4 7" xfId="15574" xr:uid="{00000000-0005-0000-0000-0000C83C0000}"/>
    <cellStyle name="0_comodity_curve_for_6128 4 4 7 2" xfId="15575" xr:uid="{00000000-0005-0000-0000-0000C93C0000}"/>
    <cellStyle name="0_comodity_curve_for_6128 4 4 8" xfId="15576" xr:uid="{00000000-0005-0000-0000-0000CA3C0000}"/>
    <cellStyle name="0_comodity_curve_for_6128 4 5" xfId="15577" xr:uid="{00000000-0005-0000-0000-0000CB3C0000}"/>
    <cellStyle name="0_comodity_curve_for_6128 4 5 2" xfId="15578" xr:uid="{00000000-0005-0000-0000-0000CC3C0000}"/>
    <cellStyle name="0_comodity_curve_for_6128 4 5 2 2" xfId="15579" xr:uid="{00000000-0005-0000-0000-0000CD3C0000}"/>
    <cellStyle name="0_comodity_curve_for_6128 4 5 2 2 2" xfId="15580" xr:uid="{00000000-0005-0000-0000-0000CE3C0000}"/>
    <cellStyle name="0_comodity_curve_for_6128 4 5 2 2 2 2" xfId="15581" xr:uid="{00000000-0005-0000-0000-0000CF3C0000}"/>
    <cellStyle name="0_comodity_curve_for_6128 4 5 2 2 3" xfId="15582" xr:uid="{00000000-0005-0000-0000-0000D03C0000}"/>
    <cellStyle name="0_comodity_curve_for_6128 4 5 2 2 3 2" xfId="15583" xr:uid="{00000000-0005-0000-0000-0000D13C0000}"/>
    <cellStyle name="0_comodity_curve_for_6128 4 5 2 2 4" xfId="15584" xr:uid="{00000000-0005-0000-0000-0000D23C0000}"/>
    <cellStyle name="0_comodity_curve_for_6128 4 5 2 3" xfId="15585" xr:uid="{00000000-0005-0000-0000-0000D33C0000}"/>
    <cellStyle name="0_comodity_curve_for_6128 4 5 2 3 2" xfId="15586" xr:uid="{00000000-0005-0000-0000-0000D43C0000}"/>
    <cellStyle name="0_comodity_curve_for_6128 4 5 2 3 2 2" xfId="15587" xr:uid="{00000000-0005-0000-0000-0000D53C0000}"/>
    <cellStyle name="0_comodity_curve_for_6128 4 5 2 3 3" xfId="15588" xr:uid="{00000000-0005-0000-0000-0000D63C0000}"/>
    <cellStyle name="0_comodity_curve_for_6128 4 5 2 3 3 2" xfId="15589" xr:uid="{00000000-0005-0000-0000-0000D73C0000}"/>
    <cellStyle name="0_comodity_curve_for_6128 4 5 2 3 4" xfId="15590" xr:uid="{00000000-0005-0000-0000-0000D83C0000}"/>
    <cellStyle name="0_comodity_curve_for_6128 4 5 2 4" xfId="15591" xr:uid="{00000000-0005-0000-0000-0000D93C0000}"/>
    <cellStyle name="0_comodity_curve_for_6128 4 5 2 4 2" xfId="15592" xr:uid="{00000000-0005-0000-0000-0000DA3C0000}"/>
    <cellStyle name="0_comodity_curve_for_6128 4 5 2 5" xfId="15593" xr:uid="{00000000-0005-0000-0000-0000DB3C0000}"/>
    <cellStyle name="0_comodity_curve_for_6128 4 5 2 5 2" xfId="15594" xr:uid="{00000000-0005-0000-0000-0000DC3C0000}"/>
    <cellStyle name="0_comodity_curve_for_6128 4 5 2 6" xfId="15595" xr:uid="{00000000-0005-0000-0000-0000DD3C0000}"/>
    <cellStyle name="0_comodity_curve_for_6128 4 5 3" xfId="15596" xr:uid="{00000000-0005-0000-0000-0000DE3C0000}"/>
    <cellStyle name="0_comodity_curve_for_6128 4 5 3 2" xfId="15597" xr:uid="{00000000-0005-0000-0000-0000DF3C0000}"/>
    <cellStyle name="0_comodity_curve_for_6128 4 5 3 2 2" xfId="15598" xr:uid="{00000000-0005-0000-0000-0000E03C0000}"/>
    <cellStyle name="0_comodity_curve_for_6128 4 5 3 3" xfId="15599" xr:uid="{00000000-0005-0000-0000-0000E13C0000}"/>
    <cellStyle name="0_comodity_curve_for_6128 4 5 3 3 2" xfId="15600" xr:uid="{00000000-0005-0000-0000-0000E23C0000}"/>
    <cellStyle name="0_comodity_curve_for_6128 4 5 3 4" xfId="15601" xr:uid="{00000000-0005-0000-0000-0000E33C0000}"/>
    <cellStyle name="0_comodity_curve_for_6128 4 5 4" xfId="15602" xr:uid="{00000000-0005-0000-0000-0000E43C0000}"/>
    <cellStyle name="0_comodity_curve_for_6128 4 5 4 2" xfId="15603" xr:uid="{00000000-0005-0000-0000-0000E53C0000}"/>
    <cellStyle name="0_comodity_curve_for_6128 4 5 4 2 2" xfId="15604" xr:uid="{00000000-0005-0000-0000-0000E63C0000}"/>
    <cellStyle name="0_comodity_curve_for_6128 4 5 4 3" xfId="15605" xr:uid="{00000000-0005-0000-0000-0000E73C0000}"/>
    <cellStyle name="0_comodity_curve_for_6128 4 5 4 3 2" xfId="15606" xr:uid="{00000000-0005-0000-0000-0000E83C0000}"/>
    <cellStyle name="0_comodity_curve_for_6128 4 5 4 4" xfId="15607" xr:uid="{00000000-0005-0000-0000-0000E93C0000}"/>
    <cellStyle name="0_comodity_curve_for_6128 4 5 5" xfId="15608" xr:uid="{00000000-0005-0000-0000-0000EA3C0000}"/>
    <cellStyle name="0_comodity_curve_for_6128 4 5 5 2" xfId="15609" xr:uid="{00000000-0005-0000-0000-0000EB3C0000}"/>
    <cellStyle name="0_comodity_curve_for_6128 4 5 5 2 2" xfId="15610" xr:uid="{00000000-0005-0000-0000-0000EC3C0000}"/>
    <cellStyle name="0_comodity_curve_for_6128 4 5 5 3" xfId="15611" xr:uid="{00000000-0005-0000-0000-0000ED3C0000}"/>
    <cellStyle name="0_comodity_curve_for_6128 4 5 5 3 2" xfId="15612" xr:uid="{00000000-0005-0000-0000-0000EE3C0000}"/>
    <cellStyle name="0_comodity_curve_for_6128 4 5 5 4" xfId="15613" xr:uid="{00000000-0005-0000-0000-0000EF3C0000}"/>
    <cellStyle name="0_comodity_curve_for_6128 4 5 6" xfId="15614" xr:uid="{00000000-0005-0000-0000-0000F03C0000}"/>
    <cellStyle name="0_comodity_curve_for_6128 4 5 6 2" xfId="15615" xr:uid="{00000000-0005-0000-0000-0000F13C0000}"/>
    <cellStyle name="0_comodity_curve_for_6128 4 5 7" xfId="15616" xr:uid="{00000000-0005-0000-0000-0000F23C0000}"/>
    <cellStyle name="0_comodity_curve_for_6128 4 5 7 2" xfId="15617" xr:uid="{00000000-0005-0000-0000-0000F33C0000}"/>
    <cellStyle name="0_comodity_curve_for_6128 4 5 8" xfId="15618" xr:uid="{00000000-0005-0000-0000-0000F43C0000}"/>
    <cellStyle name="0_comodity_curve_for_6128 4 6" xfId="15619" xr:uid="{00000000-0005-0000-0000-0000F53C0000}"/>
    <cellStyle name="0_comodity_curve_for_6128 4 6 2" xfId="15620" xr:uid="{00000000-0005-0000-0000-0000F63C0000}"/>
    <cellStyle name="0_comodity_curve_for_6128 4 6 2 2" xfId="15621" xr:uid="{00000000-0005-0000-0000-0000F73C0000}"/>
    <cellStyle name="0_comodity_curve_for_6128 4 6 2 2 2" xfId="15622" xr:uid="{00000000-0005-0000-0000-0000F83C0000}"/>
    <cellStyle name="0_comodity_curve_for_6128 4 6 2 2 2 2" xfId="15623" xr:uid="{00000000-0005-0000-0000-0000F93C0000}"/>
    <cellStyle name="0_comodity_curve_for_6128 4 6 2 2 3" xfId="15624" xr:uid="{00000000-0005-0000-0000-0000FA3C0000}"/>
    <cellStyle name="0_comodity_curve_for_6128 4 6 2 2 3 2" xfId="15625" xr:uid="{00000000-0005-0000-0000-0000FB3C0000}"/>
    <cellStyle name="0_comodity_curve_for_6128 4 6 2 2 4" xfId="15626" xr:uid="{00000000-0005-0000-0000-0000FC3C0000}"/>
    <cellStyle name="0_comodity_curve_for_6128 4 6 2 3" xfId="15627" xr:uid="{00000000-0005-0000-0000-0000FD3C0000}"/>
    <cellStyle name="0_comodity_curve_for_6128 4 6 2 3 2" xfId="15628" xr:uid="{00000000-0005-0000-0000-0000FE3C0000}"/>
    <cellStyle name="0_comodity_curve_for_6128 4 6 2 3 2 2" xfId="15629" xr:uid="{00000000-0005-0000-0000-0000FF3C0000}"/>
    <cellStyle name="0_comodity_curve_for_6128 4 6 2 3 3" xfId="15630" xr:uid="{00000000-0005-0000-0000-0000003D0000}"/>
    <cellStyle name="0_comodity_curve_for_6128 4 6 2 3 3 2" xfId="15631" xr:uid="{00000000-0005-0000-0000-0000013D0000}"/>
    <cellStyle name="0_comodity_curve_for_6128 4 6 2 3 4" xfId="15632" xr:uid="{00000000-0005-0000-0000-0000023D0000}"/>
    <cellStyle name="0_comodity_curve_for_6128 4 6 2 4" xfId="15633" xr:uid="{00000000-0005-0000-0000-0000033D0000}"/>
    <cellStyle name="0_comodity_curve_for_6128 4 6 2 4 2" xfId="15634" xr:uid="{00000000-0005-0000-0000-0000043D0000}"/>
    <cellStyle name="0_comodity_curve_for_6128 4 6 2 5" xfId="15635" xr:uid="{00000000-0005-0000-0000-0000053D0000}"/>
    <cellStyle name="0_comodity_curve_for_6128 4 6 2 5 2" xfId="15636" xr:uid="{00000000-0005-0000-0000-0000063D0000}"/>
    <cellStyle name="0_comodity_curve_for_6128 4 6 2 6" xfId="15637" xr:uid="{00000000-0005-0000-0000-0000073D0000}"/>
    <cellStyle name="0_comodity_curve_for_6128 4 6 3" xfId="15638" xr:uid="{00000000-0005-0000-0000-0000083D0000}"/>
    <cellStyle name="0_comodity_curve_for_6128 4 6 3 2" xfId="15639" xr:uid="{00000000-0005-0000-0000-0000093D0000}"/>
    <cellStyle name="0_comodity_curve_for_6128 4 6 3 2 2" xfId="15640" xr:uid="{00000000-0005-0000-0000-00000A3D0000}"/>
    <cellStyle name="0_comodity_curve_for_6128 4 6 3 3" xfId="15641" xr:uid="{00000000-0005-0000-0000-00000B3D0000}"/>
    <cellStyle name="0_comodity_curve_for_6128 4 6 3 3 2" xfId="15642" xr:uid="{00000000-0005-0000-0000-00000C3D0000}"/>
    <cellStyle name="0_comodity_curve_for_6128 4 6 3 4" xfId="15643" xr:uid="{00000000-0005-0000-0000-00000D3D0000}"/>
    <cellStyle name="0_comodity_curve_for_6128 4 6 4" xfId="15644" xr:uid="{00000000-0005-0000-0000-00000E3D0000}"/>
    <cellStyle name="0_comodity_curve_for_6128 4 6 4 2" xfId="15645" xr:uid="{00000000-0005-0000-0000-00000F3D0000}"/>
    <cellStyle name="0_comodity_curve_for_6128 4 6 4 2 2" xfId="15646" xr:uid="{00000000-0005-0000-0000-0000103D0000}"/>
    <cellStyle name="0_comodity_curve_for_6128 4 6 4 3" xfId="15647" xr:uid="{00000000-0005-0000-0000-0000113D0000}"/>
    <cellStyle name="0_comodity_curve_for_6128 4 6 4 3 2" xfId="15648" xr:uid="{00000000-0005-0000-0000-0000123D0000}"/>
    <cellStyle name="0_comodity_curve_for_6128 4 6 4 4" xfId="15649" xr:uid="{00000000-0005-0000-0000-0000133D0000}"/>
    <cellStyle name="0_comodity_curve_for_6128 4 6 5" xfId="15650" xr:uid="{00000000-0005-0000-0000-0000143D0000}"/>
    <cellStyle name="0_comodity_curve_for_6128 4 6 5 2" xfId="15651" xr:uid="{00000000-0005-0000-0000-0000153D0000}"/>
    <cellStyle name="0_comodity_curve_for_6128 4 6 5 2 2" xfId="15652" xr:uid="{00000000-0005-0000-0000-0000163D0000}"/>
    <cellStyle name="0_comodity_curve_for_6128 4 6 5 3" xfId="15653" xr:uid="{00000000-0005-0000-0000-0000173D0000}"/>
    <cellStyle name="0_comodity_curve_for_6128 4 6 5 3 2" xfId="15654" xr:uid="{00000000-0005-0000-0000-0000183D0000}"/>
    <cellStyle name="0_comodity_curve_for_6128 4 6 5 4" xfId="15655" xr:uid="{00000000-0005-0000-0000-0000193D0000}"/>
    <cellStyle name="0_comodity_curve_for_6128 4 6 6" xfId="15656" xr:uid="{00000000-0005-0000-0000-00001A3D0000}"/>
    <cellStyle name="0_comodity_curve_for_6128 4 6 6 2" xfId="15657" xr:uid="{00000000-0005-0000-0000-00001B3D0000}"/>
    <cellStyle name="0_comodity_curve_for_6128 4 6 7" xfId="15658" xr:uid="{00000000-0005-0000-0000-00001C3D0000}"/>
    <cellStyle name="0_comodity_curve_for_6128 4 6 7 2" xfId="15659" xr:uid="{00000000-0005-0000-0000-00001D3D0000}"/>
    <cellStyle name="0_comodity_curve_for_6128 4 6 8" xfId="15660" xr:uid="{00000000-0005-0000-0000-00001E3D0000}"/>
    <cellStyle name="0_comodity_curve_for_6128 4 7" xfId="15661" xr:uid="{00000000-0005-0000-0000-00001F3D0000}"/>
    <cellStyle name="0_comodity_curve_for_6128 4 7 2" xfId="15662" xr:uid="{00000000-0005-0000-0000-0000203D0000}"/>
    <cellStyle name="0_comodity_curve_for_6128 4 7 2 2" xfId="15663" xr:uid="{00000000-0005-0000-0000-0000213D0000}"/>
    <cellStyle name="0_comodity_curve_for_6128 4 7 2 2 2" xfId="15664" xr:uid="{00000000-0005-0000-0000-0000223D0000}"/>
    <cellStyle name="0_comodity_curve_for_6128 4 7 2 3" xfId="15665" xr:uid="{00000000-0005-0000-0000-0000233D0000}"/>
    <cellStyle name="0_comodity_curve_for_6128 4 7 2 3 2" xfId="15666" xr:uid="{00000000-0005-0000-0000-0000243D0000}"/>
    <cellStyle name="0_comodity_curve_for_6128 4 7 2 4" xfId="15667" xr:uid="{00000000-0005-0000-0000-0000253D0000}"/>
    <cellStyle name="0_comodity_curve_for_6128 4 7 3" xfId="15668" xr:uid="{00000000-0005-0000-0000-0000263D0000}"/>
    <cellStyle name="0_comodity_curve_for_6128 4 7 3 2" xfId="15669" xr:uid="{00000000-0005-0000-0000-0000273D0000}"/>
    <cellStyle name="0_comodity_curve_for_6128 4 7 3 2 2" xfId="15670" xr:uid="{00000000-0005-0000-0000-0000283D0000}"/>
    <cellStyle name="0_comodity_curve_for_6128 4 7 3 3" xfId="15671" xr:uid="{00000000-0005-0000-0000-0000293D0000}"/>
    <cellStyle name="0_comodity_curve_for_6128 4 7 3 3 2" xfId="15672" xr:uid="{00000000-0005-0000-0000-00002A3D0000}"/>
    <cellStyle name="0_comodity_curve_for_6128 4 7 3 4" xfId="15673" xr:uid="{00000000-0005-0000-0000-00002B3D0000}"/>
    <cellStyle name="0_comodity_curve_for_6128 4 7 4" xfId="15674" xr:uid="{00000000-0005-0000-0000-00002C3D0000}"/>
    <cellStyle name="0_comodity_curve_for_6128 4 7 4 2" xfId="15675" xr:uid="{00000000-0005-0000-0000-00002D3D0000}"/>
    <cellStyle name="0_comodity_curve_for_6128 4 7 5" xfId="15676" xr:uid="{00000000-0005-0000-0000-00002E3D0000}"/>
    <cellStyle name="0_comodity_curve_for_6128 4 7 5 2" xfId="15677" xr:uid="{00000000-0005-0000-0000-00002F3D0000}"/>
    <cellStyle name="0_comodity_curve_for_6128 4 7 6" xfId="15678" xr:uid="{00000000-0005-0000-0000-0000303D0000}"/>
    <cellStyle name="0_comodity_curve_for_6128 4 8" xfId="15679" xr:uid="{00000000-0005-0000-0000-0000313D0000}"/>
    <cellStyle name="0_comodity_curve_for_6128 4 8 2" xfId="15680" xr:uid="{00000000-0005-0000-0000-0000323D0000}"/>
    <cellStyle name="0_comodity_curve_for_6128 4 8 2 2" xfId="15681" xr:uid="{00000000-0005-0000-0000-0000333D0000}"/>
    <cellStyle name="0_comodity_curve_for_6128 4 8 3" xfId="15682" xr:uid="{00000000-0005-0000-0000-0000343D0000}"/>
    <cellStyle name="0_comodity_curve_for_6128 4 8 3 2" xfId="15683" xr:uid="{00000000-0005-0000-0000-0000353D0000}"/>
    <cellStyle name="0_comodity_curve_for_6128 4 8 4" xfId="15684" xr:uid="{00000000-0005-0000-0000-0000363D0000}"/>
    <cellStyle name="0_comodity_curve_for_6128 4 9" xfId="15685" xr:uid="{00000000-0005-0000-0000-0000373D0000}"/>
    <cellStyle name="0_comodity_curve_for_6128 4 9 2" xfId="15686" xr:uid="{00000000-0005-0000-0000-0000383D0000}"/>
    <cellStyle name="0_comodity_curve_for_6128 4 9 2 2" xfId="15687" xr:uid="{00000000-0005-0000-0000-0000393D0000}"/>
    <cellStyle name="0_comodity_curve_for_6128 4 9 3" xfId="15688" xr:uid="{00000000-0005-0000-0000-00003A3D0000}"/>
    <cellStyle name="0_comodity_curve_for_6128 4 9 3 2" xfId="15689" xr:uid="{00000000-0005-0000-0000-00003B3D0000}"/>
    <cellStyle name="0_comodity_curve_for_6128 4 9 4" xfId="15690" xr:uid="{00000000-0005-0000-0000-00003C3D0000}"/>
    <cellStyle name="0_comodity_curve_for_6128 5" xfId="15691" xr:uid="{00000000-0005-0000-0000-00003D3D0000}"/>
    <cellStyle name="0_comodity_curve_for_6128 5 10" xfId="15692" xr:uid="{00000000-0005-0000-0000-00003E3D0000}"/>
    <cellStyle name="0_comodity_curve_for_6128 5 10 2" xfId="15693" xr:uid="{00000000-0005-0000-0000-00003F3D0000}"/>
    <cellStyle name="0_comodity_curve_for_6128 5 10 2 2" xfId="15694" xr:uid="{00000000-0005-0000-0000-0000403D0000}"/>
    <cellStyle name="0_comodity_curve_for_6128 5 10 3" xfId="15695" xr:uid="{00000000-0005-0000-0000-0000413D0000}"/>
    <cellStyle name="0_comodity_curve_for_6128 5 10 3 2" xfId="15696" xr:uid="{00000000-0005-0000-0000-0000423D0000}"/>
    <cellStyle name="0_comodity_curve_for_6128 5 10 4" xfId="15697" xr:uid="{00000000-0005-0000-0000-0000433D0000}"/>
    <cellStyle name="0_comodity_curve_for_6128 5 11" xfId="15698" xr:uid="{00000000-0005-0000-0000-0000443D0000}"/>
    <cellStyle name="0_comodity_curve_for_6128 5 11 2" xfId="15699" xr:uid="{00000000-0005-0000-0000-0000453D0000}"/>
    <cellStyle name="0_comodity_curve_for_6128 5 12" xfId="15700" xr:uid="{00000000-0005-0000-0000-0000463D0000}"/>
    <cellStyle name="0_comodity_curve_for_6128 5 12 2" xfId="15701" xr:uid="{00000000-0005-0000-0000-0000473D0000}"/>
    <cellStyle name="0_comodity_curve_for_6128 5 13" xfId="15702" xr:uid="{00000000-0005-0000-0000-0000483D0000}"/>
    <cellStyle name="0_comodity_curve_for_6128 5 2" xfId="15703" xr:uid="{00000000-0005-0000-0000-0000493D0000}"/>
    <cellStyle name="0_comodity_curve_for_6128 5 2 2" xfId="15704" xr:uid="{00000000-0005-0000-0000-00004A3D0000}"/>
    <cellStyle name="0_comodity_curve_for_6128 5 2 2 2" xfId="15705" xr:uid="{00000000-0005-0000-0000-00004B3D0000}"/>
    <cellStyle name="0_comodity_curve_for_6128 5 2 2 2 2" xfId="15706" xr:uid="{00000000-0005-0000-0000-00004C3D0000}"/>
    <cellStyle name="0_comodity_curve_for_6128 5 2 2 2 2 2" xfId="15707" xr:uid="{00000000-0005-0000-0000-00004D3D0000}"/>
    <cellStyle name="0_comodity_curve_for_6128 5 2 2 2 3" xfId="15708" xr:uid="{00000000-0005-0000-0000-00004E3D0000}"/>
    <cellStyle name="0_comodity_curve_for_6128 5 2 2 2 3 2" xfId="15709" xr:uid="{00000000-0005-0000-0000-00004F3D0000}"/>
    <cellStyle name="0_comodity_curve_for_6128 5 2 2 2 4" xfId="15710" xr:uid="{00000000-0005-0000-0000-0000503D0000}"/>
    <cellStyle name="0_comodity_curve_for_6128 5 2 2 3" xfId="15711" xr:uid="{00000000-0005-0000-0000-0000513D0000}"/>
    <cellStyle name="0_comodity_curve_for_6128 5 2 2 3 2" xfId="15712" xr:uid="{00000000-0005-0000-0000-0000523D0000}"/>
    <cellStyle name="0_comodity_curve_for_6128 5 2 2 3 2 2" xfId="15713" xr:uid="{00000000-0005-0000-0000-0000533D0000}"/>
    <cellStyle name="0_comodity_curve_for_6128 5 2 2 3 3" xfId="15714" xr:uid="{00000000-0005-0000-0000-0000543D0000}"/>
    <cellStyle name="0_comodity_curve_for_6128 5 2 2 3 3 2" xfId="15715" xr:uid="{00000000-0005-0000-0000-0000553D0000}"/>
    <cellStyle name="0_comodity_curve_for_6128 5 2 2 3 4" xfId="15716" xr:uid="{00000000-0005-0000-0000-0000563D0000}"/>
    <cellStyle name="0_comodity_curve_for_6128 5 2 2 4" xfId="15717" xr:uid="{00000000-0005-0000-0000-0000573D0000}"/>
    <cellStyle name="0_comodity_curve_for_6128 5 2 2 4 2" xfId="15718" xr:uid="{00000000-0005-0000-0000-0000583D0000}"/>
    <cellStyle name="0_comodity_curve_for_6128 5 2 2 5" xfId="15719" xr:uid="{00000000-0005-0000-0000-0000593D0000}"/>
    <cellStyle name="0_comodity_curve_for_6128 5 2 2 5 2" xfId="15720" xr:uid="{00000000-0005-0000-0000-00005A3D0000}"/>
    <cellStyle name="0_comodity_curve_for_6128 5 2 2 6" xfId="15721" xr:uid="{00000000-0005-0000-0000-00005B3D0000}"/>
    <cellStyle name="0_comodity_curve_for_6128 5 2 3" xfId="15722" xr:uid="{00000000-0005-0000-0000-00005C3D0000}"/>
    <cellStyle name="0_comodity_curve_for_6128 5 2 3 2" xfId="15723" xr:uid="{00000000-0005-0000-0000-00005D3D0000}"/>
    <cellStyle name="0_comodity_curve_for_6128 5 2 3 2 2" xfId="15724" xr:uid="{00000000-0005-0000-0000-00005E3D0000}"/>
    <cellStyle name="0_comodity_curve_for_6128 5 2 3 3" xfId="15725" xr:uid="{00000000-0005-0000-0000-00005F3D0000}"/>
    <cellStyle name="0_comodity_curve_for_6128 5 2 3 3 2" xfId="15726" xr:uid="{00000000-0005-0000-0000-0000603D0000}"/>
    <cellStyle name="0_comodity_curve_for_6128 5 2 3 4" xfId="15727" xr:uid="{00000000-0005-0000-0000-0000613D0000}"/>
    <cellStyle name="0_comodity_curve_for_6128 5 2 4" xfId="15728" xr:uid="{00000000-0005-0000-0000-0000623D0000}"/>
    <cellStyle name="0_comodity_curve_for_6128 5 2 4 2" xfId="15729" xr:uid="{00000000-0005-0000-0000-0000633D0000}"/>
    <cellStyle name="0_comodity_curve_for_6128 5 2 4 2 2" xfId="15730" xr:uid="{00000000-0005-0000-0000-0000643D0000}"/>
    <cellStyle name="0_comodity_curve_for_6128 5 2 4 3" xfId="15731" xr:uid="{00000000-0005-0000-0000-0000653D0000}"/>
    <cellStyle name="0_comodity_curve_for_6128 5 2 4 3 2" xfId="15732" xr:uid="{00000000-0005-0000-0000-0000663D0000}"/>
    <cellStyle name="0_comodity_curve_for_6128 5 2 4 4" xfId="15733" xr:uid="{00000000-0005-0000-0000-0000673D0000}"/>
    <cellStyle name="0_comodity_curve_for_6128 5 2 5" xfId="15734" xr:uid="{00000000-0005-0000-0000-0000683D0000}"/>
    <cellStyle name="0_comodity_curve_for_6128 5 2 5 2" xfId="15735" xr:uid="{00000000-0005-0000-0000-0000693D0000}"/>
    <cellStyle name="0_comodity_curve_for_6128 5 2 5 2 2" xfId="15736" xr:uid="{00000000-0005-0000-0000-00006A3D0000}"/>
    <cellStyle name="0_comodity_curve_for_6128 5 2 5 3" xfId="15737" xr:uid="{00000000-0005-0000-0000-00006B3D0000}"/>
    <cellStyle name="0_comodity_curve_for_6128 5 2 5 3 2" xfId="15738" xr:uid="{00000000-0005-0000-0000-00006C3D0000}"/>
    <cellStyle name="0_comodity_curve_for_6128 5 2 5 4" xfId="15739" xr:uid="{00000000-0005-0000-0000-00006D3D0000}"/>
    <cellStyle name="0_comodity_curve_for_6128 5 2 6" xfId="15740" xr:uid="{00000000-0005-0000-0000-00006E3D0000}"/>
    <cellStyle name="0_comodity_curve_for_6128 5 2 6 2" xfId="15741" xr:uid="{00000000-0005-0000-0000-00006F3D0000}"/>
    <cellStyle name="0_comodity_curve_for_6128 5 2 7" xfId="15742" xr:uid="{00000000-0005-0000-0000-0000703D0000}"/>
    <cellStyle name="0_comodity_curve_for_6128 5 2 7 2" xfId="15743" xr:uid="{00000000-0005-0000-0000-0000713D0000}"/>
    <cellStyle name="0_comodity_curve_for_6128 5 2 8" xfId="15744" xr:uid="{00000000-0005-0000-0000-0000723D0000}"/>
    <cellStyle name="0_comodity_curve_for_6128 5 3" xfId="15745" xr:uid="{00000000-0005-0000-0000-0000733D0000}"/>
    <cellStyle name="0_comodity_curve_for_6128 5 3 2" xfId="15746" xr:uid="{00000000-0005-0000-0000-0000743D0000}"/>
    <cellStyle name="0_comodity_curve_for_6128 5 3 2 2" xfId="15747" xr:uid="{00000000-0005-0000-0000-0000753D0000}"/>
    <cellStyle name="0_comodity_curve_for_6128 5 3 2 2 2" xfId="15748" xr:uid="{00000000-0005-0000-0000-0000763D0000}"/>
    <cellStyle name="0_comodity_curve_for_6128 5 3 2 2 2 2" xfId="15749" xr:uid="{00000000-0005-0000-0000-0000773D0000}"/>
    <cellStyle name="0_comodity_curve_for_6128 5 3 2 2 3" xfId="15750" xr:uid="{00000000-0005-0000-0000-0000783D0000}"/>
    <cellStyle name="0_comodity_curve_for_6128 5 3 2 2 3 2" xfId="15751" xr:uid="{00000000-0005-0000-0000-0000793D0000}"/>
    <cellStyle name="0_comodity_curve_for_6128 5 3 2 2 4" xfId="15752" xr:uid="{00000000-0005-0000-0000-00007A3D0000}"/>
    <cellStyle name="0_comodity_curve_for_6128 5 3 2 3" xfId="15753" xr:uid="{00000000-0005-0000-0000-00007B3D0000}"/>
    <cellStyle name="0_comodity_curve_for_6128 5 3 2 3 2" xfId="15754" xr:uid="{00000000-0005-0000-0000-00007C3D0000}"/>
    <cellStyle name="0_comodity_curve_for_6128 5 3 2 3 2 2" xfId="15755" xr:uid="{00000000-0005-0000-0000-00007D3D0000}"/>
    <cellStyle name="0_comodity_curve_for_6128 5 3 2 3 3" xfId="15756" xr:uid="{00000000-0005-0000-0000-00007E3D0000}"/>
    <cellStyle name="0_comodity_curve_for_6128 5 3 2 3 3 2" xfId="15757" xr:uid="{00000000-0005-0000-0000-00007F3D0000}"/>
    <cellStyle name="0_comodity_curve_for_6128 5 3 2 3 4" xfId="15758" xr:uid="{00000000-0005-0000-0000-0000803D0000}"/>
    <cellStyle name="0_comodity_curve_for_6128 5 3 2 4" xfId="15759" xr:uid="{00000000-0005-0000-0000-0000813D0000}"/>
    <cellStyle name="0_comodity_curve_for_6128 5 3 2 4 2" xfId="15760" xr:uid="{00000000-0005-0000-0000-0000823D0000}"/>
    <cellStyle name="0_comodity_curve_for_6128 5 3 2 5" xfId="15761" xr:uid="{00000000-0005-0000-0000-0000833D0000}"/>
    <cellStyle name="0_comodity_curve_for_6128 5 3 2 5 2" xfId="15762" xr:uid="{00000000-0005-0000-0000-0000843D0000}"/>
    <cellStyle name="0_comodity_curve_for_6128 5 3 2 6" xfId="15763" xr:uid="{00000000-0005-0000-0000-0000853D0000}"/>
    <cellStyle name="0_comodity_curve_for_6128 5 3 3" xfId="15764" xr:uid="{00000000-0005-0000-0000-0000863D0000}"/>
    <cellStyle name="0_comodity_curve_for_6128 5 3 3 2" xfId="15765" xr:uid="{00000000-0005-0000-0000-0000873D0000}"/>
    <cellStyle name="0_comodity_curve_for_6128 5 3 3 2 2" xfId="15766" xr:uid="{00000000-0005-0000-0000-0000883D0000}"/>
    <cellStyle name="0_comodity_curve_for_6128 5 3 3 3" xfId="15767" xr:uid="{00000000-0005-0000-0000-0000893D0000}"/>
    <cellStyle name="0_comodity_curve_for_6128 5 3 3 3 2" xfId="15768" xr:uid="{00000000-0005-0000-0000-00008A3D0000}"/>
    <cellStyle name="0_comodity_curve_for_6128 5 3 3 4" xfId="15769" xr:uid="{00000000-0005-0000-0000-00008B3D0000}"/>
    <cellStyle name="0_comodity_curve_for_6128 5 3 4" xfId="15770" xr:uid="{00000000-0005-0000-0000-00008C3D0000}"/>
    <cellStyle name="0_comodity_curve_for_6128 5 3 4 2" xfId="15771" xr:uid="{00000000-0005-0000-0000-00008D3D0000}"/>
    <cellStyle name="0_comodity_curve_for_6128 5 3 4 2 2" xfId="15772" xr:uid="{00000000-0005-0000-0000-00008E3D0000}"/>
    <cellStyle name="0_comodity_curve_for_6128 5 3 4 3" xfId="15773" xr:uid="{00000000-0005-0000-0000-00008F3D0000}"/>
    <cellStyle name="0_comodity_curve_for_6128 5 3 4 3 2" xfId="15774" xr:uid="{00000000-0005-0000-0000-0000903D0000}"/>
    <cellStyle name="0_comodity_curve_for_6128 5 3 4 4" xfId="15775" xr:uid="{00000000-0005-0000-0000-0000913D0000}"/>
    <cellStyle name="0_comodity_curve_for_6128 5 3 5" xfId="15776" xr:uid="{00000000-0005-0000-0000-0000923D0000}"/>
    <cellStyle name="0_comodity_curve_for_6128 5 3 5 2" xfId="15777" xr:uid="{00000000-0005-0000-0000-0000933D0000}"/>
    <cellStyle name="0_comodity_curve_for_6128 5 3 5 2 2" xfId="15778" xr:uid="{00000000-0005-0000-0000-0000943D0000}"/>
    <cellStyle name="0_comodity_curve_for_6128 5 3 5 3" xfId="15779" xr:uid="{00000000-0005-0000-0000-0000953D0000}"/>
    <cellStyle name="0_comodity_curve_for_6128 5 3 5 3 2" xfId="15780" xr:uid="{00000000-0005-0000-0000-0000963D0000}"/>
    <cellStyle name="0_comodity_curve_for_6128 5 3 5 4" xfId="15781" xr:uid="{00000000-0005-0000-0000-0000973D0000}"/>
    <cellStyle name="0_comodity_curve_for_6128 5 3 6" xfId="15782" xr:uid="{00000000-0005-0000-0000-0000983D0000}"/>
    <cellStyle name="0_comodity_curve_for_6128 5 3 6 2" xfId="15783" xr:uid="{00000000-0005-0000-0000-0000993D0000}"/>
    <cellStyle name="0_comodity_curve_for_6128 5 3 7" xfId="15784" xr:uid="{00000000-0005-0000-0000-00009A3D0000}"/>
    <cellStyle name="0_comodity_curve_for_6128 5 3 7 2" xfId="15785" xr:uid="{00000000-0005-0000-0000-00009B3D0000}"/>
    <cellStyle name="0_comodity_curve_for_6128 5 3 8" xfId="15786" xr:uid="{00000000-0005-0000-0000-00009C3D0000}"/>
    <cellStyle name="0_comodity_curve_for_6128 5 4" xfId="15787" xr:uid="{00000000-0005-0000-0000-00009D3D0000}"/>
    <cellStyle name="0_comodity_curve_for_6128 5 4 2" xfId="15788" xr:uid="{00000000-0005-0000-0000-00009E3D0000}"/>
    <cellStyle name="0_comodity_curve_for_6128 5 4 2 2" xfId="15789" xr:uid="{00000000-0005-0000-0000-00009F3D0000}"/>
    <cellStyle name="0_comodity_curve_for_6128 5 4 2 2 2" xfId="15790" xr:uid="{00000000-0005-0000-0000-0000A03D0000}"/>
    <cellStyle name="0_comodity_curve_for_6128 5 4 2 2 2 2" xfId="15791" xr:uid="{00000000-0005-0000-0000-0000A13D0000}"/>
    <cellStyle name="0_comodity_curve_for_6128 5 4 2 2 3" xfId="15792" xr:uid="{00000000-0005-0000-0000-0000A23D0000}"/>
    <cellStyle name="0_comodity_curve_for_6128 5 4 2 2 3 2" xfId="15793" xr:uid="{00000000-0005-0000-0000-0000A33D0000}"/>
    <cellStyle name="0_comodity_curve_for_6128 5 4 2 2 4" xfId="15794" xr:uid="{00000000-0005-0000-0000-0000A43D0000}"/>
    <cellStyle name="0_comodity_curve_for_6128 5 4 2 3" xfId="15795" xr:uid="{00000000-0005-0000-0000-0000A53D0000}"/>
    <cellStyle name="0_comodity_curve_for_6128 5 4 2 3 2" xfId="15796" xr:uid="{00000000-0005-0000-0000-0000A63D0000}"/>
    <cellStyle name="0_comodity_curve_for_6128 5 4 2 3 2 2" xfId="15797" xr:uid="{00000000-0005-0000-0000-0000A73D0000}"/>
    <cellStyle name="0_comodity_curve_for_6128 5 4 2 3 3" xfId="15798" xr:uid="{00000000-0005-0000-0000-0000A83D0000}"/>
    <cellStyle name="0_comodity_curve_for_6128 5 4 2 3 3 2" xfId="15799" xr:uid="{00000000-0005-0000-0000-0000A93D0000}"/>
    <cellStyle name="0_comodity_curve_for_6128 5 4 2 3 4" xfId="15800" xr:uid="{00000000-0005-0000-0000-0000AA3D0000}"/>
    <cellStyle name="0_comodity_curve_for_6128 5 4 2 4" xfId="15801" xr:uid="{00000000-0005-0000-0000-0000AB3D0000}"/>
    <cellStyle name="0_comodity_curve_for_6128 5 4 2 4 2" xfId="15802" xr:uid="{00000000-0005-0000-0000-0000AC3D0000}"/>
    <cellStyle name="0_comodity_curve_for_6128 5 4 2 5" xfId="15803" xr:uid="{00000000-0005-0000-0000-0000AD3D0000}"/>
    <cellStyle name="0_comodity_curve_for_6128 5 4 2 5 2" xfId="15804" xr:uid="{00000000-0005-0000-0000-0000AE3D0000}"/>
    <cellStyle name="0_comodity_curve_for_6128 5 4 2 6" xfId="15805" xr:uid="{00000000-0005-0000-0000-0000AF3D0000}"/>
    <cellStyle name="0_comodity_curve_for_6128 5 4 3" xfId="15806" xr:uid="{00000000-0005-0000-0000-0000B03D0000}"/>
    <cellStyle name="0_comodity_curve_for_6128 5 4 3 2" xfId="15807" xr:uid="{00000000-0005-0000-0000-0000B13D0000}"/>
    <cellStyle name="0_comodity_curve_for_6128 5 4 3 2 2" xfId="15808" xr:uid="{00000000-0005-0000-0000-0000B23D0000}"/>
    <cellStyle name="0_comodity_curve_for_6128 5 4 3 3" xfId="15809" xr:uid="{00000000-0005-0000-0000-0000B33D0000}"/>
    <cellStyle name="0_comodity_curve_for_6128 5 4 3 3 2" xfId="15810" xr:uid="{00000000-0005-0000-0000-0000B43D0000}"/>
    <cellStyle name="0_comodity_curve_for_6128 5 4 3 4" xfId="15811" xr:uid="{00000000-0005-0000-0000-0000B53D0000}"/>
    <cellStyle name="0_comodity_curve_for_6128 5 4 4" xfId="15812" xr:uid="{00000000-0005-0000-0000-0000B63D0000}"/>
    <cellStyle name="0_comodity_curve_for_6128 5 4 4 2" xfId="15813" xr:uid="{00000000-0005-0000-0000-0000B73D0000}"/>
    <cellStyle name="0_comodity_curve_for_6128 5 4 4 2 2" xfId="15814" xr:uid="{00000000-0005-0000-0000-0000B83D0000}"/>
    <cellStyle name="0_comodity_curve_for_6128 5 4 4 3" xfId="15815" xr:uid="{00000000-0005-0000-0000-0000B93D0000}"/>
    <cellStyle name="0_comodity_curve_for_6128 5 4 4 3 2" xfId="15816" xr:uid="{00000000-0005-0000-0000-0000BA3D0000}"/>
    <cellStyle name="0_comodity_curve_for_6128 5 4 4 4" xfId="15817" xr:uid="{00000000-0005-0000-0000-0000BB3D0000}"/>
    <cellStyle name="0_comodity_curve_for_6128 5 4 5" xfId="15818" xr:uid="{00000000-0005-0000-0000-0000BC3D0000}"/>
    <cellStyle name="0_comodity_curve_for_6128 5 4 5 2" xfId="15819" xr:uid="{00000000-0005-0000-0000-0000BD3D0000}"/>
    <cellStyle name="0_comodity_curve_for_6128 5 4 5 2 2" xfId="15820" xr:uid="{00000000-0005-0000-0000-0000BE3D0000}"/>
    <cellStyle name="0_comodity_curve_for_6128 5 4 5 3" xfId="15821" xr:uid="{00000000-0005-0000-0000-0000BF3D0000}"/>
    <cellStyle name="0_comodity_curve_for_6128 5 4 5 3 2" xfId="15822" xr:uid="{00000000-0005-0000-0000-0000C03D0000}"/>
    <cellStyle name="0_comodity_curve_for_6128 5 4 5 4" xfId="15823" xr:uid="{00000000-0005-0000-0000-0000C13D0000}"/>
    <cellStyle name="0_comodity_curve_for_6128 5 4 6" xfId="15824" xr:uid="{00000000-0005-0000-0000-0000C23D0000}"/>
    <cellStyle name="0_comodity_curve_for_6128 5 4 6 2" xfId="15825" xr:uid="{00000000-0005-0000-0000-0000C33D0000}"/>
    <cellStyle name="0_comodity_curve_for_6128 5 4 7" xfId="15826" xr:uid="{00000000-0005-0000-0000-0000C43D0000}"/>
    <cellStyle name="0_comodity_curve_for_6128 5 4 7 2" xfId="15827" xr:uid="{00000000-0005-0000-0000-0000C53D0000}"/>
    <cellStyle name="0_comodity_curve_for_6128 5 4 8" xfId="15828" xr:uid="{00000000-0005-0000-0000-0000C63D0000}"/>
    <cellStyle name="0_comodity_curve_for_6128 5 5" xfId="15829" xr:uid="{00000000-0005-0000-0000-0000C73D0000}"/>
    <cellStyle name="0_comodity_curve_for_6128 5 5 2" xfId="15830" xr:uid="{00000000-0005-0000-0000-0000C83D0000}"/>
    <cellStyle name="0_comodity_curve_for_6128 5 5 2 2" xfId="15831" xr:uid="{00000000-0005-0000-0000-0000C93D0000}"/>
    <cellStyle name="0_comodity_curve_for_6128 5 5 2 2 2" xfId="15832" xr:uid="{00000000-0005-0000-0000-0000CA3D0000}"/>
    <cellStyle name="0_comodity_curve_for_6128 5 5 2 2 2 2" xfId="15833" xr:uid="{00000000-0005-0000-0000-0000CB3D0000}"/>
    <cellStyle name="0_comodity_curve_for_6128 5 5 2 2 3" xfId="15834" xr:uid="{00000000-0005-0000-0000-0000CC3D0000}"/>
    <cellStyle name="0_comodity_curve_for_6128 5 5 2 2 3 2" xfId="15835" xr:uid="{00000000-0005-0000-0000-0000CD3D0000}"/>
    <cellStyle name="0_comodity_curve_for_6128 5 5 2 2 4" xfId="15836" xr:uid="{00000000-0005-0000-0000-0000CE3D0000}"/>
    <cellStyle name="0_comodity_curve_for_6128 5 5 2 3" xfId="15837" xr:uid="{00000000-0005-0000-0000-0000CF3D0000}"/>
    <cellStyle name="0_comodity_curve_for_6128 5 5 2 3 2" xfId="15838" xr:uid="{00000000-0005-0000-0000-0000D03D0000}"/>
    <cellStyle name="0_comodity_curve_for_6128 5 5 2 3 2 2" xfId="15839" xr:uid="{00000000-0005-0000-0000-0000D13D0000}"/>
    <cellStyle name="0_comodity_curve_for_6128 5 5 2 3 3" xfId="15840" xr:uid="{00000000-0005-0000-0000-0000D23D0000}"/>
    <cellStyle name="0_comodity_curve_for_6128 5 5 2 3 3 2" xfId="15841" xr:uid="{00000000-0005-0000-0000-0000D33D0000}"/>
    <cellStyle name="0_comodity_curve_for_6128 5 5 2 3 4" xfId="15842" xr:uid="{00000000-0005-0000-0000-0000D43D0000}"/>
    <cellStyle name="0_comodity_curve_for_6128 5 5 2 4" xfId="15843" xr:uid="{00000000-0005-0000-0000-0000D53D0000}"/>
    <cellStyle name="0_comodity_curve_for_6128 5 5 2 4 2" xfId="15844" xr:uid="{00000000-0005-0000-0000-0000D63D0000}"/>
    <cellStyle name="0_comodity_curve_for_6128 5 5 2 5" xfId="15845" xr:uid="{00000000-0005-0000-0000-0000D73D0000}"/>
    <cellStyle name="0_comodity_curve_for_6128 5 5 2 5 2" xfId="15846" xr:uid="{00000000-0005-0000-0000-0000D83D0000}"/>
    <cellStyle name="0_comodity_curve_for_6128 5 5 2 6" xfId="15847" xr:uid="{00000000-0005-0000-0000-0000D93D0000}"/>
    <cellStyle name="0_comodity_curve_for_6128 5 5 3" xfId="15848" xr:uid="{00000000-0005-0000-0000-0000DA3D0000}"/>
    <cellStyle name="0_comodity_curve_for_6128 5 5 3 2" xfId="15849" xr:uid="{00000000-0005-0000-0000-0000DB3D0000}"/>
    <cellStyle name="0_comodity_curve_for_6128 5 5 3 2 2" xfId="15850" xr:uid="{00000000-0005-0000-0000-0000DC3D0000}"/>
    <cellStyle name="0_comodity_curve_for_6128 5 5 3 3" xfId="15851" xr:uid="{00000000-0005-0000-0000-0000DD3D0000}"/>
    <cellStyle name="0_comodity_curve_for_6128 5 5 3 3 2" xfId="15852" xr:uid="{00000000-0005-0000-0000-0000DE3D0000}"/>
    <cellStyle name="0_comodity_curve_for_6128 5 5 3 4" xfId="15853" xr:uid="{00000000-0005-0000-0000-0000DF3D0000}"/>
    <cellStyle name="0_comodity_curve_for_6128 5 5 4" xfId="15854" xr:uid="{00000000-0005-0000-0000-0000E03D0000}"/>
    <cellStyle name="0_comodity_curve_for_6128 5 5 4 2" xfId="15855" xr:uid="{00000000-0005-0000-0000-0000E13D0000}"/>
    <cellStyle name="0_comodity_curve_for_6128 5 5 4 2 2" xfId="15856" xr:uid="{00000000-0005-0000-0000-0000E23D0000}"/>
    <cellStyle name="0_comodity_curve_for_6128 5 5 4 3" xfId="15857" xr:uid="{00000000-0005-0000-0000-0000E33D0000}"/>
    <cellStyle name="0_comodity_curve_for_6128 5 5 4 3 2" xfId="15858" xr:uid="{00000000-0005-0000-0000-0000E43D0000}"/>
    <cellStyle name="0_comodity_curve_for_6128 5 5 4 4" xfId="15859" xr:uid="{00000000-0005-0000-0000-0000E53D0000}"/>
    <cellStyle name="0_comodity_curve_for_6128 5 5 5" xfId="15860" xr:uid="{00000000-0005-0000-0000-0000E63D0000}"/>
    <cellStyle name="0_comodity_curve_for_6128 5 5 5 2" xfId="15861" xr:uid="{00000000-0005-0000-0000-0000E73D0000}"/>
    <cellStyle name="0_comodity_curve_for_6128 5 5 5 2 2" xfId="15862" xr:uid="{00000000-0005-0000-0000-0000E83D0000}"/>
    <cellStyle name="0_comodity_curve_for_6128 5 5 5 3" xfId="15863" xr:uid="{00000000-0005-0000-0000-0000E93D0000}"/>
    <cellStyle name="0_comodity_curve_for_6128 5 5 5 3 2" xfId="15864" xr:uid="{00000000-0005-0000-0000-0000EA3D0000}"/>
    <cellStyle name="0_comodity_curve_for_6128 5 5 5 4" xfId="15865" xr:uid="{00000000-0005-0000-0000-0000EB3D0000}"/>
    <cellStyle name="0_comodity_curve_for_6128 5 5 6" xfId="15866" xr:uid="{00000000-0005-0000-0000-0000EC3D0000}"/>
    <cellStyle name="0_comodity_curve_for_6128 5 5 6 2" xfId="15867" xr:uid="{00000000-0005-0000-0000-0000ED3D0000}"/>
    <cellStyle name="0_comodity_curve_for_6128 5 5 7" xfId="15868" xr:uid="{00000000-0005-0000-0000-0000EE3D0000}"/>
    <cellStyle name="0_comodity_curve_for_6128 5 5 7 2" xfId="15869" xr:uid="{00000000-0005-0000-0000-0000EF3D0000}"/>
    <cellStyle name="0_comodity_curve_for_6128 5 5 8" xfId="15870" xr:uid="{00000000-0005-0000-0000-0000F03D0000}"/>
    <cellStyle name="0_comodity_curve_for_6128 5 6" xfId="15871" xr:uid="{00000000-0005-0000-0000-0000F13D0000}"/>
    <cellStyle name="0_comodity_curve_for_6128 5 6 2" xfId="15872" xr:uid="{00000000-0005-0000-0000-0000F23D0000}"/>
    <cellStyle name="0_comodity_curve_for_6128 5 6 2 2" xfId="15873" xr:uid="{00000000-0005-0000-0000-0000F33D0000}"/>
    <cellStyle name="0_comodity_curve_for_6128 5 6 2 2 2" xfId="15874" xr:uid="{00000000-0005-0000-0000-0000F43D0000}"/>
    <cellStyle name="0_comodity_curve_for_6128 5 6 2 2 2 2" xfId="15875" xr:uid="{00000000-0005-0000-0000-0000F53D0000}"/>
    <cellStyle name="0_comodity_curve_for_6128 5 6 2 2 3" xfId="15876" xr:uid="{00000000-0005-0000-0000-0000F63D0000}"/>
    <cellStyle name="0_comodity_curve_for_6128 5 6 2 2 3 2" xfId="15877" xr:uid="{00000000-0005-0000-0000-0000F73D0000}"/>
    <cellStyle name="0_comodity_curve_for_6128 5 6 2 2 4" xfId="15878" xr:uid="{00000000-0005-0000-0000-0000F83D0000}"/>
    <cellStyle name="0_comodity_curve_for_6128 5 6 2 3" xfId="15879" xr:uid="{00000000-0005-0000-0000-0000F93D0000}"/>
    <cellStyle name="0_comodity_curve_for_6128 5 6 2 3 2" xfId="15880" xr:uid="{00000000-0005-0000-0000-0000FA3D0000}"/>
    <cellStyle name="0_comodity_curve_for_6128 5 6 2 3 2 2" xfId="15881" xr:uid="{00000000-0005-0000-0000-0000FB3D0000}"/>
    <cellStyle name="0_comodity_curve_for_6128 5 6 2 3 3" xfId="15882" xr:uid="{00000000-0005-0000-0000-0000FC3D0000}"/>
    <cellStyle name="0_comodity_curve_for_6128 5 6 2 3 3 2" xfId="15883" xr:uid="{00000000-0005-0000-0000-0000FD3D0000}"/>
    <cellStyle name="0_comodity_curve_for_6128 5 6 2 3 4" xfId="15884" xr:uid="{00000000-0005-0000-0000-0000FE3D0000}"/>
    <cellStyle name="0_comodity_curve_for_6128 5 6 2 4" xfId="15885" xr:uid="{00000000-0005-0000-0000-0000FF3D0000}"/>
    <cellStyle name="0_comodity_curve_for_6128 5 6 2 4 2" xfId="15886" xr:uid="{00000000-0005-0000-0000-0000003E0000}"/>
    <cellStyle name="0_comodity_curve_for_6128 5 6 2 5" xfId="15887" xr:uid="{00000000-0005-0000-0000-0000013E0000}"/>
    <cellStyle name="0_comodity_curve_for_6128 5 6 2 5 2" xfId="15888" xr:uid="{00000000-0005-0000-0000-0000023E0000}"/>
    <cellStyle name="0_comodity_curve_for_6128 5 6 2 6" xfId="15889" xr:uid="{00000000-0005-0000-0000-0000033E0000}"/>
    <cellStyle name="0_comodity_curve_for_6128 5 6 3" xfId="15890" xr:uid="{00000000-0005-0000-0000-0000043E0000}"/>
    <cellStyle name="0_comodity_curve_for_6128 5 6 3 2" xfId="15891" xr:uid="{00000000-0005-0000-0000-0000053E0000}"/>
    <cellStyle name="0_comodity_curve_for_6128 5 6 3 2 2" xfId="15892" xr:uid="{00000000-0005-0000-0000-0000063E0000}"/>
    <cellStyle name="0_comodity_curve_for_6128 5 6 3 3" xfId="15893" xr:uid="{00000000-0005-0000-0000-0000073E0000}"/>
    <cellStyle name="0_comodity_curve_for_6128 5 6 3 3 2" xfId="15894" xr:uid="{00000000-0005-0000-0000-0000083E0000}"/>
    <cellStyle name="0_comodity_curve_for_6128 5 6 3 4" xfId="15895" xr:uid="{00000000-0005-0000-0000-0000093E0000}"/>
    <cellStyle name="0_comodity_curve_for_6128 5 6 4" xfId="15896" xr:uid="{00000000-0005-0000-0000-00000A3E0000}"/>
    <cellStyle name="0_comodity_curve_for_6128 5 6 4 2" xfId="15897" xr:uid="{00000000-0005-0000-0000-00000B3E0000}"/>
    <cellStyle name="0_comodity_curve_for_6128 5 6 4 2 2" xfId="15898" xr:uid="{00000000-0005-0000-0000-00000C3E0000}"/>
    <cellStyle name="0_comodity_curve_for_6128 5 6 4 3" xfId="15899" xr:uid="{00000000-0005-0000-0000-00000D3E0000}"/>
    <cellStyle name="0_comodity_curve_for_6128 5 6 4 3 2" xfId="15900" xr:uid="{00000000-0005-0000-0000-00000E3E0000}"/>
    <cellStyle name="0_comodity_curve_for_6128 5 6 4 4" xfId="15901" xr:uid="{00000000-0005-0000-0000-00000F3E0000}"/>
    <cellStyle name="0_comodity_curve_for_6128 5 6 5" xfId="15902" xr:uid="{00000000-0005-0000-0000-0000103E0000}"/>
    <cellStyle name="0_comodity_curve_for_6128 5 6 5 2" xfId="15903" xr:uid="{00000000-0005-0000-0000-0000113E0000}"/>
    <cellStyle name="0_comodity_curve_for_6128 5 6 5 2 2" xfId="15904" xr:uid="{00000000-0005-0000-0000-0000123E0000}"/>
    <cellStyle name="0_comodity_curve_for_6128 5 6 5 3" xfId="15905" xr:uid="{00000000-0005-0000-0000-0000133E0000}"/>
    <cellStyle name="0_comodity_curve_for_6128 5 6 5 3 2" xfId="15906" xr:uid="{00000000-0005-0000-0000-0000143E0000}"/>
    <cellStyle name="0_comodity_curve_for_6128 5 6 5 4" xfId="15907" xr:uid="{00000000-0005-0000-0000-0000153E0000}"/>
    <cellStyle name="0_comodity_curve_for_6128 5 6 6" xfId="15908" xr:uid="{00000000-0005-0000-0000-0000163E0000}"/>
    <cellStyle name="0_comodity_curve_for_6128 5 6 6 2" xfId="15909" xr:uid="{00000000-0005-0000-0000-0000173E0000}"/>
    <cellStyle name="0_comodity_curve_for_6128 5 6 7" xfId="15910" xr:uid="{00000000-0005-0000-0000-0000183E0000}"/>
    <cellStyle name="0_comodity_curve_for_6128 5 6 7 2" xfId="15911" xr:uid="{00000000-0005-0000-0000-0000193E0000}"/>
    <cellStyle name="0_comodity_curve_for_6128 5 6 8" xfId="15912" xr:uid="{00000000-0005-0000-0000-00001A3E0000}"/>
    <cellStyle name="0_comodity_curve_for_6128 5 7" xfId="15913" xr:uid="{00000000-0005-0000-0000-00001B3E0000}"/>
    <cellStyle name="0_comodity_curve_for_6128 5 7 2" xfId="15914" xr:uid="{00000000-0005-0000-0000-00001C3E0000}"/>
    <cellStyle name="0_comodity_curve_for_6128 5 7 2 2" xfId="15915" xr:uid="{00000000-0005-0000-0000-00001D3E0000}"/>
    <cellStyle name="0_comodity_curve_for_6128 5 7 2 2 2" xfId="15916" xr:uid="{00000000-0005-0000-0000-00001E3E0000}"/>
    <cellStyle name="0_comodity_curve_for_6128 5 7 2 3" xfId="15917" xr:uid="{00000000-0005-0000-0000-00001F3E0000}"/>
    <cellStyle name="0_comodity_curve_for_6128 5 7 2 3 2" xfId="15918" xr:uid="{00000000-0005-0000-0000-0000203E0000}"/>
    <cellStyle name="0_comodity_curve_for_6128 5 7 2 4" xfId="15919" xr:uid="{00000000-0005-0000-0000-0000213E0000}"/>
    <cellStyle name="0_comodity_curve_for_6128 5 7 3" xfId="15920" xr:uid="{00000000-0005-0000-0000-0000223E0000}"/>
    <cellStyle name="0_comodity_curve_for_6128 5 7 3 2" xfId="15921" xr:uid="{00000000-0005-0000-0000-0000233E0000}"/>
    <cellStyle name="0_comodity_curve_for_6128 5 7 3 2 2" xfId="15922" xr:uid="{00000000-0005-0000-0000-0000243E0000}"/>
    <cellStyle name="0_comodity_curve_for_6128 5 7 3 3" xfId="15923" xr:uid="{00000000-0005-0000-0000-0000253E0000}"/>
    <cellStyle name="0_comodity_curve_for_6128 5 7 3 3 2" xfId="15924" xr:uid="{00000000-0005-0000-0000-0000263E0000}"/>
    <cellStyle name="0_comodity_curve_for_6128 5 7 3 4" xfId="15925" xr:uid="{00000000-0005-0000-0000-0000273E0000}"/>
    <cellStyle name="0_comodity_curve_for_6128 5 7 4" xfId="15926" xr:uid="{00000000-0005-0000-0000-0000283E0000}"/>
    <cellStyle name="0_comodity_curve_for_6128 5 7 4 2" xfId="15927" xr:uid="{00000000-0005-0000-0000-0000293E0000}"/>
    <cellStyle name="0_comodity_curve_for_6128 5 7 5" xfId="15928" xr:uid="{00000000-0005-0000-0000-00002A3E0000}"/>
    <cellStyle name="0_comodity_curve_for_6128 5 7 5 2" xfId="15929" xr:uid="{00000000-0005-0000-0000-00002B3E0000}"/>
    <cellStyle name="0_comodity_curve_for_6128 5 7 6" xfId="15930" xr:uid="{00000000-0005-0000-0000-00002C3E0000}"/>
    <cellStyle name="0_comodity_curve_for_6128 5 8" xfId="15931" xr:uid="{00000000-0005-0000-0000-00002D3E0000}"/>
    <cellStyle name="0_comodity_curve_for_6128 5 8 2" xfId="15932" xr:uid="{00000000-0005-0000-0000-00002E3E0000}"/>
    <cellStyle name="0_comodity_curve_for_6128 5 8 2 2" xfId="15933" xr:uid="{00000000-0005-0000-0000-00002F3E0000}"/>
    <cellStyle name="0_comodity_curve_for_6128 5 8 3" xfId="15934" xr:uid="{00000000-0005-0000-0000-0000303E0000}"/>
    <cellStyle name="0_comodity_curve_for_6128 5 8 3 2" xfId="15935" xr:uid="{00000000-0005-0000-0000-0000313E0000}"/>
    <cellStyle name="0_comodity_curve_for_6128 5 8 4" xfId="15936" xr:uid="{00000000-0005-0000-0000-0000323E0000}"/>
    <cellStyle name="0_comodity_curve_for_6128 5 9" xfId="15937" xr:uid="{00000000-0005-0000-0000-0000333E0000}"/>
    <cellStyle name="0_comodity_curve_for_6128 5 9 2" xfId="15938" xr:uid="{00000000-0005-0000-0000-0000343E0000}"/>
    <cellStyle name="0_comodity_curve_for_6128 5 9 2 2" xfId="15939" xr:uid="{00000000-0005-0000-0000-0000353E0000}"/>
    <cellStyle name="0_comodity_curve_for_6128 5 9 3" xfId="15940" xr:uid="{00000000-0005-0000-0000-0000363E0000}"/>
    <cellStyle name="0_comodity_curve_for_6128 5 9 3 2" xfId="15941" xr:uid="{00000000-0005-0000-0000-0000373E0000}"/>
    <cellStyle name="0_comodity_curve_for_6128 5 9 4" xfId="15942" xr:uid="{00000000-0005-0000-0000-0000383E0000}"/>
    <cellStyle name="0_comodity_curve_for_6128 6" xfId="15943" xr:uid="{00000000-0005-0000-0000-0000393E0000}"/>
    <cellStyle name="0_comodity_curve_for_6128 6 2" xfId="15944" xr:uid="{00000000-0005-0000-0000-00003A3E0000}"/>
    <cellStyle name="0_comodity_curve_for_6128 6 2 2" xfId="15945" xr:uid="{00000000-0005-0000-0000-00003B3E0000}"/>
    <cellStyle name="0_comodity_curve_for_6128 6 2 2 2" xfId="15946" xr:uid="{00000000-0005-0000-0000-00003C3E0000}"/>
    <cellStyle name="0_comodity_curve_for_6128 6 2 2 2 2" xfId="15947" xr:uid="{00000000-0005-0000-0000-00003D3E0000}"/>
    <cellStyle name="0_comodity_curve_for_6128 6 2 2 3" xfId="15948" xr:uid="{00000000-0005-0000-0000-00003E3E0000}"/>
    <cellStyle name="0_comodity_curve_for_6128 6 2 2 3 2" xfId="15949" xr:uid="{00000000-0005-0000-0000-00003F3E0000}"/>
    <cellStyle name="0_comodity_curve_for_6128 6 2 2 4" xfId="15950" xr:uid="{00000000-0005-0000-0000-0000403E0000}"/>
    <cellStyle name="0_comodity_curve_for_6128 6 2 3" xfId="15951" xr:uid="{00000000-0005-0000-0000-0000413E0000}"/>
    <cellStyle name="0_comodity_curve_for_6128 6 2 3 2" xfId="15952" xr:uid="{00000000-0005-0000-0000-0000423E0000}"/>
    <cellStyle name="0_comodity_curve_for_6128 6 2 3 2 2" xfId="15953" xr:uid="{00000000-0005-0000-0000-0000433E0000}"/>
    <cellStyle name="0_comodity_curve_for_6128 6 2 3 3" xfId="15954" xr:uid="{00000000-0005-0000-0000-0000443E0000}"/>
    <cellStyle name="0_comodity_curve_for_6128 6 2 3 3 2" xfId="15955" xr:uid="{00000000-0005-0000-0000-0000453E0000}"/>
    <cellStyle name="0_comodity_curve_for_6128 6 2 3 4" xfId="15956" xr:uid="{00000000-0005-0000-0000-0000463E0000}"/>
    <cellStyle name="0_comodity_curve_for_6128 6 2 4" xfId="15957" xr:uid="{00000000-0005-0000-0000-0000473E0000}"/>
    <cellStyle name="0_comodity_curve_for_6128 6 2 4 2" xfId="15958" xr:uid="{00000000-0005-0000-0000-0000483E0000}"/>
    <cellStyle name="0_comodity_curve_for_6128 6 2 5" xfId="15959" xr:uid="{00000000-0005-0000-0000-0000493E0000}"/>
    <cellStyle name="0_comodity_curve_for_6128 6 2 5 2" xfId="15960" xr:uid="{00000000-0005-0000-0000-00004A3E0000}"/>
    <cellStyle name="0_comodity_curve_for_6128 6 2 6" xfId="15961" xr:uid="{00000000-0005-0000-0000-00004B3E0000}"/>
    <cellStyle name="0_comodity_curve_for_6128 6 3" xfId="15962" xr:uid="{00000000-0005-0000-0000-00004C3E0000}"/>
    <cellStyle name="0_comodity_curve_for_6128 6 3 2" xfId="15963" xr:uid="{00000000-0005-0000-0000-00004D3E0000}"/>
    <cellStyle name="0_comodity_curve_for_6128 6 3 2 2" xfId="15964" xr:uid="{00000000-0005-0000-0000-00004E3E0000}"/>
    <cellStyle name="0_comodity_curve_for_6128 6 3 3" xfId="15965" xr:uid="{00000000-0005-0000-0000-00004F3E0000}"/>
    <cellStyle name="0_comodity_curve_for_6128 6 3 3 2" xfId="15966" xr:uid="{00000000-0005-0000-0000-0000503E0000}"/>
    <cellStyle name="0_comodity_curve_for_6128 6 3 4" xfId="15967" xr:uid="{00000000-0005-0000-0000-0000513E0000}"/>
    <cellStyle name="0_comodity_curve_for_6128 6 4" xfId="15968" xr:uid="{00000000-0005-0000-0000-0000523E0000}"/>
    <cellStyle name="0_comodity_curve_for_6128 6 4 2" xfId="15969" xr:uid="{00000000-0005-0000-0000-0000533E0000}"/>
    <cellStyle name="0_comodity_curve_for_6128 6 4 2 2" xfId="15970" xr:uid="{00000000-0005-0000-0000-0000543E0000}"/>
    <cellStyle name="0_comodity_curve_for_6128 6 4 3" xfId="15971" xr:uid="{00000000-0005-0000-0000-0000553E0000}"/>
    <cellStyle name="0_comodity_curve_for_6128 6 4 3 2" xfId="15972" xr:uid="{00000000-0005-0000-0000-0000563E0000}"/>
    <cellStyle name="0_comodity_curve_for_6128 6 4 4" xfId="15973" xr:uid="{00000000-0005-0000-0000-0000573E0000}"/>
    <cellStyle name="0_comodity_curve_for_6128 6 5" xfId="15974" xr:uid="{00000000-0005-0000-0000-0000583E0000}"/>
    <cellStyle name="0_comodity_curve_for_6128 6 5 2" xfId="15975" xr:uid="{00000000-0005-0000-0000-0000593E0000}"/>
    <cellStyle name="0_comodity_curve_for_6128 6 5 2 2" xfId="15976" xr:uid="{00000000-0005-0000-0000-00005A3E0000}"/>
    <cellStyle name="0_comodity_curve_for_6128 6 5 3" xfId="15977" xr:uid="{00000000-0005-0000-0000-00005B3E0000}"/>
    <cellStyle name="0_comodity_curve_for_6128 6 5 3 2" xfId="15978" xr:uid="{00000000-0005-0000-0000-00005C3E0000}"/>
    <cellStyle name="0_comodity_curve_for_6128 6 5 4" xfId="15979" xr:uid="{00000000-0005-0000-0000-00005D3E0000}"/>
    <cellStyle name="0_comodity_curve_for_6128 6 6" xfId="15980" xr:uid="{00000000-0005-0000-0000-00005E3E0000}"/>
    <cellStyle name="0_comodity_curve_for_6128 6 6 2" xfId="15981" xr:uid="{00000000-0005-0000-0000-00005F3E0000}"/>
    <cellStyle name="0_comodity_curve_for_6128 6 7" xfId="15982" xr:uid="{00000000-0005-0000-0000-0000603E0000}"/>
    <cellStyle name="0_comodity_curve_for_6128 6 7 2" xfId="15983" xr:uid="{00000000-0005-0000-0000-0000613E0000}"/>
    <cellStyle name="0_comodity_curve_for_6128 6 8" xfId="15984" xr:uid="{00000000-0005-0000-0000-0000623E0000}"/>
    <cellStyle name="0_comodity_curve_for_6128 7" xfId="15985" xr:uid="{00000000-0005-0000-0000-0000633E0000}"/>
    <cellStyle name="0_comodity_curve_for_6128 7 2" xfId="15986" xr:uid="{00000000-0005-0000-0000-0000643E0000}"/>
    <cellStyle name="0_comodity_curve_for_6128 7 2 2" xfId="15987" xr:uid="{00000000-0005-0000-0000-0000653E0000}"/>
    <cellStyle name="0_comodity_curve_for_6128 7 2 2 2" xfId="15988" xr:uid="{00000000-0005-0000-0000-0000663E0000}"/>
    <cellStyle name="0_comodity_curve_for_6128 7 2 3" xfId="15989" xr:uid="{00000000-0005-0000-0000-0000673E0000}"/>
    <cellStyle name="0_comodity_curve_for_6128 7 2 3 2" xfId="15990" xr:uid="{00000000-0005-0000-0000-0000683E0000}"/>
    <cellStyle name="0_comodity_curve_for_6128 7 2 4" xfId="15991" xr:uid="{00000000-0005-0000-0000-0000693E0000}"/>
    <cellStyle name="0_comodity_curve_for_6128 7 3" xfId="15992" xr:uid="{00000000-0005-0000-0000-00006A3E0000}"/>
    <cellStyle name="0_comodity_curve_for_6128 7 3 2" xfId="15993" xr:uid="{00000000-0005-0000-0000-00006B3E0000}"/>
    <cellStyle name="0_comodity_curve_for_6128 7 3 2 2" xfId="15994" xr:uid="{00000000-0005-0000-0000-00006C3E0000}"/>
    <cellStyle name="0_comodity_curve_for_6128 7 3 3" xfId="15995" xr:uid="{00000000-0005-0000-0000-00006D3E0000}"/>
    <cellStyle name="0_comodity_curve_for_6128 7 3 3 2" xfId="15996" xr:uid="{00000000-0005-0000-0000-00006E3E0000}"/>
    <cellStyle name="0_comodity_curve_for_6128 7 3 4" xfId="15997" xr:uid="{00000000-0005-0000-0000-00006F3E0000}"/>
    <cellStyle name="0_comodity_curve_for_6128 7 4" xfId="15998" xr:uid="{00000000-0005-0000-0000-0000703E0000}"/>
    <cellStyle name="0_comodity_curve_for_6128 7 4 2" xfId="15999" xr:uid="{00000000-0005-0000-0000-0000713E0000}"/>
    <cellStyle name="0_comodity_curve_for_6128 7 5" xfId="16000" xr:uid="{00000000-0005-0000-0000-0000723E0000}"/>
    <cellStyle name="0_comodity_curve_for_6128 7 5 2" xfId="16001" xr:uid="{00000000-0005-0000-0000-0000733E0000}"/>
    <cellStyle name="0_comodity_curve_for_6128 7 6" xfId="16002" xr:uid="{00000000-0005-0000-0000-0000743E0000}"/>
    <cellStyle name="0_comodity_curve_for_6128 8" xfId="16003" xr:uid="{00000000-0005-0000-0000-0000753E0000}"/>
    <cellStyle name="0_comodity_curve_for_6128 8 2" xfId="16004" xr:uid="{00000000-0005-0000-0000-0000763E0000}"/>
    <cellStyle name="0_comodity_curve_for_6128 8 2 2" xfId="16005" xr:uid="{00000000-0005-0000-0000-0000773E0000}"/>
    <cellStyle name="0_comodity_curve_for_6128 8 2 2 2" xfId="16006" xr:uid="{00000000-0005-0000-0000-0000783E0000}"/>
    <cellStyle name="0_comodity_curve_for_6128 8 2 3" xfId="16007" xr:uid="{00000000-0005-0000-0000-0000793E0000}"/>
    <cellStyle name="0_comodity_curve_for_6128 8 2 3 2" xfId="16008" xr:uid="{00000000-0005-0000-0000-00007A3E0000}"/>
    <cellStyle name="0_comodity_curve_for_6128 8 2 4" xfId="16009" xr:uid="{00000000-0005-0000-0000-00007B3E0000}"/>
    <cellStyle name="0_comodity_curve_for_6128 8 3" xfId="16010" xr:uid="{00000000-0005-0000-0000-00007C3E0000}"/>
    <cellStyle name="0_comodity_curve_for_6128 8 3 2" xfId="16011" xr:uid="{00000000-0005-0000-0000-00007D3E0000}"/>
    <cellStyle name="0_comodity_curve_for_6128 8 3 2 2" xfId="16012" xr:uid="{00000000-0005-0000-0000-00007E3E0000}"/>
    <cellStyle name="0_comodity_curve_for_6128 8 3 3" xfId="16013" xr:uid="{00000000-0005-0000-0000-00007F3E0000}"/>
    <cellStyle name="0_comodity_curve_for_6128 8 3 3 2" xfId="16014" xr:uid="{00000000-0005-0000-0000-0000803E0000}"/>
    <cellStyle name="0_comodity_curve_for_6128 8 3 4" xfId="16015" xr:uid="{00000000-0005-0000-0000-0000813E0000}"/>
    <cellStyle name="0_comodity_curve_for_6128 8 4" xfId="16016" xr:uid="{00000000-0005-0000-0000-0000823E0000}"/>
    <cellStyle name="0_comodity_curve_for_6128 8 4 2" xfId="16017" xr:uid="{00000000-0005-0000-0000-0000833E0000}"/>
    <cellStyle name="0_comodity_curve_for_6128 8 5" xfId="16018" xr:uid="{00000000-0005-0000-0000-0000843E0000}"/>
    <cellStyle name="0_comodity_curve_for_6128 8 5 2" xfId="16019" xr:uid="{00000000-0005-0000-0000-0000853E0000}"/>
    <cellStyle name="0_comodity_curve_for_6128 8 6" xfId="16020" xr:uid="{00000000-0005-0000-0000-0000863E0000}"/>
    <cellStyle name="0_comodity_curve_for_6128 9" xfId="16021" xr:uid="{00000000-0005-0000-0000-0000873E0000}"/>
    <cellStyle name="0_comodity_curve_for_6128 9 2" xfId="16022" xr:uid="{00000000-0005-0000-0000-0000883E0000}"/>
    <cellStyle name="0_comodity_curve_for_6128 9 2 2" xfId="16023" xr:uid="{00000000-0005-0000-0000-0000893E0000}"/>
    <cellStyle name="0_comodity_curve_for_6128 9 3" xfId="16024" xr:uid="{00000000-0005-0000-0000-00008A3E0000}"/>
    <cellStyle name="0_comodity_curve_for_6128 9 3 2" xfId="16025" xr:uid="{00000000-0005-0000-0000-00008B3E0000}"/>
    <cellStyle name="0_comodity_curve_for_6128 9 4" xfId="16026" xr:uid="{00000000-0005-0000-0000-00008C3E0000}"/>
    <cellStyle name="0_DPR May 09" xfId="16027" xr:uid="{00000000-0005-0000-0000-00008D3E0000}"/>
    <cellStyle name="0_DPR May 09 10" xfId="16028" xr:uid="{00000000-0005-0000-0000-00008E3E0000}"/>
    <cellStyle name="0_DPR May 09 11" xfId="16029" xr:uid="{00000000-0005-0000-0000-00008F3E0000}"/>
    <cellStyle name="0_DPR May 09 12" xfId="16030" xr:uid="{00000000-0005-0000-0000-0000903E0000}"/>
    <cellStyle name="0_DPR May 09 2" xfId="16031" xr:uid="{00000000-0005-0000-0000-0000913E0000}"/>
    <cellStyle name="0_DPR May 09 2 2" xfId="16032" xr:uid="{00000000-0005-0000-0000-0000923E0000}"/>
    <cellStyle name="0_DPR May 09 2 2 2" xfId="16033" xr:uid="{00000000-0005-0000-0000-0000933E0000}"/>
    <cellStyle name="0_DPR May 09 2 2 2 2" xfId="16034" xr:uid="{00000000-0005-0000-0000-0000943E0000}"/>
    <cellStyle name="0_DPR May 09 2 2 3" xfId="16035" xr:uid="{00000000-0005-0000-0000-0000953E0000}"/>
    <cellStyle name="0_DPR May 09 2 2 3 2" xfId="16036" xr:uid="{00000000-0005-0000-0000-0000963E0000}"/>
    <cellStyle name="0_DPR May 09 2 2 4" xfId="16037" xr:uid="{00000000-0005-0000-0000-0000973E0000}"/>
    <cellStyle name="0_DPR May 09 2 3" xfId="16038" xr:uid="{00000000-0005-0000-0000-0000983E0000}"/>
    <cellStyle name="0_DPR May 09 2 3 2" xfId="16039" xr:uid="{00000000-0005-0000-0000-0000993E0000}"/>
    <cellStyle name="0_DPR May 09 2 3 2 2" xfId="16040" xr:uid="{00000000-0005-0000-0000-00009A3E0000}"/>
    <cellStyle name="0_DPR May 09 2 3 3" xfId="16041" xr:uid="{00000000-0005-0000-0000-00009B3E0000}"/>
    <cellStyle name="0_DPR May 09 2 3 3 2" xfId="16042" xr:uid="{00000000-0005-0000-0000-00009C3E0000}"/>
    <cellStyle name="0_DPR May 09 2 3 4" xfId="16043" xr:uid="{00000000-0005-0000-0000-00009D3E0000}"/>
    <cellStyle name="0_DPR May 09 2 4" xfId="16044" xr:uid="{00000000-0005-0000-0000-00009E3E0000}"/>
    <cellStyle name="0_DPR May 09 2 4 2" xfId="16045" xr:uid="{00000000-0005-0000-0000-00009F3E0000}"/>
    <cellStyle name="0_DPR May 09 2 5" xfId="16046" xr:uid="{00000000-0005-0000-0000-0000A03E0000}"/>
    <cellStyle name="0_DPR May 09 2 5 2" xfId="16047" xr:uid="{00000000-0005-0000-0000-0000A13E0000}"/>
    <cellStyle name="0_DPR May 09 2 6" xfId="16048" xr:uid="{00000000-0005-0000-0000-0000A23E0000}"/>
    <cellStyle name="0_DPR May 09 3" xfId="16049" xr:uid="{00000000-0005-0000-0000-0000A33E0000}"/>
    <cellStyle name="0_DPR May 09 3 2" xfId="16050" xr:uid="{00000000-0005-0000-0000-0000A43E0000}"/>
    <cellStyle name="0_DPR May 09 3 2 2" xfId="16051" xr:uid="{00000000-0005-0000-0000-0000A53E0000}"/>
    <cellStyle name="0_DPR May 09 3 3" xfId="16052" xr:uid="{00000000-0005-0000-0000-0000A63E0000}"/>
    <cellStyle name="0_DPR May 09 3 3 2" xfId="16053" xr:uid="{00000000-0005-0000-0000-0000A73E0000}"/>
    <cellStyle name="0_DPR May 09 3 4" xfId="16054" xr:uid="{00000000-0005-0000-0000-0000A83E0000}"/>
    <cellStyle name="0_DPR May 09 3 5" xfId="16055" xr:uid="{00000000-0005-0000-0000-0000A93E0000}"/>
    <cellStyle name="0_DPR May 09 4" xfId="16056" xr:uid="{00000000-0005-0000-0000-0000AA3E0000}"/>
    <cellStyle name="0_DPR May 09 4 2" xfId="16057" xr:uid="{00000000-0005-0000-0000-0000AB3E0000}"/>
    <cellStyle name="0_DPR May 09 4 2 2" xfId="16058" xr:uid="{00000000-0005-0000-0000-0000AC3E0000}"/>
    <cellStyle name="0_DPR May 09 4 3" xfId="16059" xr:uid="{00000000-0005-0000-0000-0000AD3E0000}"/>
    <cellStyle name="0_DPR May 09 4 3 2" xfId="16060" xr:uid="{00000000-0005-0000-0000-0000AE3E0000}"/>
    <cellStyle name="0_DPR May 09 4 4" xfId="16061" xr:uid="{00000000-0005-0000-0000-0000AF3E0000}"/>
    <cellStyle name="0_DPR May 09 4 5" xfId="16062" xr:uid="{00000000-0005-0000-0000-0000B03E0000}"/>
    <cellStyle name="0_DPR May 09 5" xfId="16063" xr:uid="{00000000-0005-0000-0000-0000B13E0000}"/>
    <cellStyle name="0_DPR May 09 5 2" xfId="16064" xr:uid="{00000000-0005-0000-0000-0000B23E0000}"/>
    <cellStyle name="0_DPR May 09 5 3" xfId="16065" xr:uid="{00000000-0005-0000-0000-0000B33E0000}"/>
    <cellStyle name="0_DPR May 09 5 4" xfId="16066" xr:uid="{00000000-0005-0000-0000-0000B43E0000}"/>
    <cellStyle name="0_DPR May 09 5 5" xfId="16067" xr:uid="{00000000-0005-0000-0000-0000B53E0000}"/>
    <cellStyle name="0_DPR May 09 6" xfId="16068" xr:uid="{00000000-0005-0000-0000-0000B63E0000}"/>
    <cellStyle name="0_DPR May 09 6 2" xfId="16069" xr:uid="{00000000-0005-0000-0000-0000B73E0000}"/>
    <cellStyle name="0_DPR May 09 6 3" xfId="16070" xr:uid="{00000000-0005-0000-0000-0000B83E0000}"/>
    <cellStyle name="0_DPR May 09 6 4" xfId="16071" xr:uid="{00000000-0005-0000-0000-0000B93E0000}"/>
    <cellStyle name="0_DPR May 09 6 5" xfId="16072" xr:uid="{00000000-0005-0000-0000-0000BA3E0000}"/>
    <cellStyle name="0_DPR May 09 7" xfId="16073" xr:uid="{00000000-0005-0000-0000-0000BB3E0000}"/>
    <cellStyle name="0_DPR May 09 7 2" xfId="16074" xr:uid="{00000000-0005-0000-0000-0000BC3E0000}"/>
    <cellStyle name="0_DPR May 09 7 3" xfId="16075" xr:uid="{00000000-0005-0000-0000-0000BD3E0000}"/>
    <cellStyle name="0_DPR May 09 7 4" xfId="16076" xr:uid="{00000000-0005-0000-0000-0000BE3E0000}"/>
    <cellStyle name="0_DPR May 09 7 5" xfId="16077" xr:uid="{00000000-0005-0000-0000-0000BF3E0000}"/>
    <cellStyle name="0_DPR May 09 8" xfId="16078" xr:uid="{00000000-0005-0000-0000-0000C03E0000}"/>
    <cellStyle name="0_DPR May 09 8 2" xfId="16079" xr:uid="{00000000-0005-0000-0000-0000C13E0000}"/>
    <cellStyle name="0_DPR May 09 8 3" xfId="16080" xr:uid="{00000000-0005-0000-0000-0000C23E0000}"/>
    <cellStyle name="0_DPR May 09 8 4" xfId="16081" xr:uid="{00000000-0005-0000-0000-0000C33E0000}"/>
    <cellStyle name="0_DPR May 09 8 5" xfId="16082" xr:uid="{00000000-0005-0000-0000-0000C43E0000}"/>
    <cellStyle name="0_DPR May 09 9" xfId="16083" xr:uid="{00000000-0005-0000-0000-0000C53E0000}"/>
    <cellStyle name="0_DPR May 09_ORG CHART FOR CEO MEETING" xfId="16084" xr:uid="{00000000-0005-0000-0000-0000C63E0000}"/>
    <cellStyle name="0_DPR May 09_ORG CHART FOR CEO MEETING 10" xfId="16085" xr:uid="{00000000-0005-0000-0000-0000C73E0000}"/>
    <cellStyle name="0_DPR May 09_ORG CHART FOR CEO MEETING 11" xfId="16086" xr:uid="{00000000-0005-0000-0000-0000C83E0000}"/>
    <cellStyle name="0_DPR May 09_ORG CHART FOR CEO MEETING 12" xfId="16087" xr:uid="{00000000-0005-0000-0000-0000C93E0000}"/>
    <cellStyle name="0_DPR May 09_ORG CHART FOR CEO MEETING 2" xfId="16088" xr:uid="{00000000-0005-0000-0000-0000CA3E0000}"/>
    <cellStyle name="0_DPR May 09_ORG CHART FOR CEO MEETING 2 2" xfId="16089" xr:uid="{00000000-0005-0000-0000-0000CB3E0000}"/>
    <cellStyle name="0_DPR May 09_ORG CHART FOR CEO MEETING 2 2 2" xfId="16090" xr:uid="{00000000-0005-0000-0000-0000CC3E0000}"/>
    <cellStyle name="0_DPR May 09_ORG CHART FOR CEO MEETING 2 2 2 2" xfId="16091" xr:uid="{00000000-0005-0000-0000-0000CD3E0000}"/>
    <cellStyle name="0_DPR May 09_ORG CHART FOR CEO MEETING 2 2 3" xfId="16092" xr:uid="{00000000-0005-0000-0000-0000CE3E0000}"/>
    <cellStyle name="0_DPR May 09_ORG CHART FOR CEO MEETING 2 2 3 2" xfId="16093" xr:uid="{00000000-0005-0000-0000-0000CF3E0000}"/>
    <cellStyle name="0_DPR May 09_ORG CHART FOR CEO MEETING 2 2 4" xfId="16094" xr:uid="{00000000-0005-0000-0000-0000D03E0000}"/>
    <cellStyle name="0_DPR May 09_ORG CHART FOR CEO MEETING 2 3" xfId="16095" xr:uid="{00000000-0005-0000-0000-0000D13E0000}"/>
    <cellStyle name="0_DPR May 09_ORG CHART FOR CEO MEETING 2 3 2" xfId="16096" xr:uid="{00000000-0005-0000-0000-0000D23E0000}"/>
    <cellStyle name="0_DPR May 09_ORG CHART FOR CEO MEETING 2 3 2 2" xfId="16097" xr:uid="{00000000-0005-0000-0000-0000D33E0000}"/>
    <cellStyle name="0_DPR May 09_ORG CHART FOR CEO MEETING 2 3 3" xfId="16098" xr:uid="{00000000-0005-0000-0000-0000D43E0000}"/>
    <cellStyle name="0_DPR May 09_ORG CHART FOR CEO MEETING 2 3 3 2" xfId="16099" xr:uid="{00000000-0005-0000-0000-0000D53E0000}"/>
    <cellStyle name="0_DPR May 09_ORG CHART FOR CEO MEETING 2 3 4" xfId="16100" xr:uid="{00000000-0005-0000-0000-0000D63E0000}"/>
    <cellStyle name="0_DPR May 09_ORG CHART FOR CEO MEETING 2 4" xfId="16101" xr:uid="{00000000-0005-0000-0000-0000D73E0000}"/>
    <cellStyle name="0_DPR May 09_ORG CHART FOR CEO MEETING 2 4 2" xfId="16102" xr:uid="{00000000-0005-0000-0000-0000D83E0000}"/>
    <cellStyle name="0_DPR May 09_ORG CHART FOR CEO MEETING 2 5" xfId="16103" xr:uid="{00000000-0005-0000-0000-0000D93E0000}"/>
    <cellStyle name="0_DPR May 09_ORG CHART FOR CEO MEETING 2 5 2" xfId="16104" xr:uid="{00000000-0005-0000-0000-0000DA3E0000}"/>
    <cellStyle name="0_DPR May 09_ORG CHART FOR CEO MEETING 2 6" xfId="16105" xr:uid="{00000000-0005-0000-0000-0000DB3E0000}"/>
    <cellStyle name="0_DPR May 09_ORG CHART FOR CEO MEETING 3" xfId="16106" xr:uid="{00000000-0005-0000-0000-0000DC3E0000}"/>
    <cellStyle name="0_DPR May 09_ORG CHART FOR CEO MEETING 3 2" xfId="16107" xr:uid="{00000000-0005-0000-0000-0000DD3E0000}"/>
    <cellStyle name="0_DPR May 09_ORG CHART FOR CEO MEETING 3 2 2" xfId="16108" xr:uid="{00000000-0005-0000-0000-0000DE3E0000}"/>
    <cellStyle name="0_DPR May 09_ORG CHART FOR CEO MEETING 3 3" xfId="16109" xr:uid="{00000000-0005-0000-0000-0000DF3E0000}"/>
    <cellStyle name="0_DPR May 09_ORG CHART FOR CEO MEETING 3 3 2" xfId="16110" xr:uid="{00000000-0005-0000-0000-0000E03E0000}"/>
    <cellStyle name="0_DPR May 09_ORG CHART FOR CEO MEETING 3 4" xfId="16111" xr:uid="{00000000-0005-0000-0000-0000E13E0000}"/>
    <cellStyle name="0_DPR May 09_ORG CHART FOR CEO MEETING 3 5" xfId="16112" xr:uid="{00000000-0005-0000-0000-0000E23E0000}"/>
    <cellStyle name="0_DPR May 09_ORG CHART FOR CEO MEETING 4" xfId="16113" xr:uid="{00000000-0005-0000-0000-0000E33E0000}"/>
    <cellStyle name="0_DPR May 09_ORG CHART FOR CEO MEETING 4 2" xfId="16114" xr:uid="{00000000-0005-0000-0000-0000E43E0000}"/>
    <cellStyle name="0_DPR May 09_ORG CHART FOR CEO MEETING 4 2 2" xfId="16115" xr:uid="{00000000-0005-0000-0000-0000E53E0000}"/>
    <cellStyle name="0_DPR May 09_ORG CHART FOR CEO MEETING 4 3" xfId="16116" xr:uid="{00000000-0005-0000-0000-0000E63E0000}"/>
    <cellStyle name="0_DPR May 09_ORG CHART FOR CEO MEETING 4 3 2" xfId="16117" xr:uid="{00000000-0005-0000-0000-0000E73E0000}"/>
    <cellStyle name="0_DPR May 09_ORG CHART FOR CEO MEETING 4 4" xfId="16118" xr:uid="{00000000-0005-0000-0000-0000E83E0000}"/>
    <cellStyle name="0_DPR May 09_ORG CHART FOR CEO MEETING 4 5" xfId="16119" xr:uid="{00000000-0005-0000-0000-0000E93E0000}"/>
    <cellStyle name="0_DPR May 09_ORG CHART FOR CEO MEETING 5" xfId="16120" xr:uid="{00000000-0005-0000-0000-0000EA3E0000}"/>
    <cellStyle name="0_DPR May 09_ORG CHART FOR CEO MEETING 5 2" xfId="16121" xr:uid="{00000000-0005-0000-0000-0000EB3E0000}"/>
    <cellStyle name="0_DPR May 09_ORG CHART FOR CEO MEETING 5 3" xfId="16122" xr:uid="{00000000-0005-0000-0000-0000EC3E0000}"/>
    <cellStyle name="0_DPR May 09_ORG CHART FOR CEO MEETING 5 4" xfId="16123" xr:uid="{00000000-0005-0000-0000-0000ED3E0000}"/>
    <cellStyle name="0_DPR May 09_ORG CHART FOR CEO MEETING 5 5" xfId="16124" xr:uid="{00000000-0005-0000-0000-0000EE3E0000}"/>
    <cellStyle name="0_DPR May 09_ORG CHART FOR CEO MEETING 6" xfId="16125" xr:uid="{00000000-0005-0000-0000-0000EF3E0000}"/>
    <cellStyle name="0_DPR May 09_ORG CHART FOR CEO MEETING 6 2" xfId="16126" xr:uid="{00000000-0005-0000-0000-0000F03E0000}"/>
    <cellStyle name="0_DPR May 09_ORG CHART FOR CEO MEETING 6 3" xfId="16127" xr:uid="{00000000-0005-0000-0000-0000F13E0000}"/>
    <cellStyle name="0_DPR May 09_ORG CHART FOR CEO MEETING 6 4" xfId="16128" xr:uid="{00000000-0005-0000-0000-0000F23E0000}"/>
    <cellStyle name="0_DPR May 09_ORG CHART FOR CEO MEETING 6 5" xfId="16129" xr:uid="{00000000-0005-0000-0000-0000F33E0000}"/>
    <cellStyle name="0_DPR May 09_ORG CHART FOR CEO MEETING 7" xfId="16130" xr:uid="{00000000-0005-0000-0000-0000F43E0000}"/>
    <cellStyle name="0_DPR May 09_ORG CHART FOR CEO MEETING 7 2" xfId="16131" xr:uid="{00000000-0005-0000-0000-0000F53E0000}"/>
    <cellStyle name="0_DPR May 09_ORG CHART FOR CEO MEETING 7 3" xfId="16132" xr:uid="{00000000-0005-0000-0000-0000F63E0000}"/>
    <cellStyle name="0_DPR May 09_ORG CHART FOR CEO MEETING 7 4" xfId="16133" xr:uid="{00000000-0005-0000-0000-0000F73E0000}"/>
    <cellStyle name="0_DPR May 09_ORG CHART FOR CEO MEETING 7 5" xfId="16134" xr:uid="{00000000-0005-0000-0000-0000F83E0000}"/>
    <cellStyle name="0_DPR May 09_ORG CHART FOR CEO MEETING 8" xfId="16135" xr:uid="{00000000-0005-0000-0000-0000F93E0000}"/>
    <cellStyle name="0_DPR May 09_ORG CHART FOR CEO MEETING 8 2" xfId="16136" xr:uid="{00000000-0005-0000-0000-0000FA3E0000}"/>
    <cellStyle name="0_DPR May 09_ORG CHART FOR CEO MEETING 8 3" xfId="16137" xr:uid="{00000000-0005-0000-0000-0000FB3E0000}"/>
    <cellStyle name="0_DPR May 09_ORG CHART FOR CEO MEETING 8 4" xfId="16138" xr:uid="{00000000-0005-0000-0000-0000FC3E0000}"/>
    <cellStyle name="0_DPR May 09_ORG CHART FOR CEO MEETING 8 5" xfId="16139" xr:uid="{00000000-0005-0000-0000-0000FD3E0000}"/>
    <cellStyle name="0_DPR May 09_ORG CHART FOR CEO MEETING 9" xfId="16140" xr:uid="{00000000-0005-0000-0000-0000FE3E0000}"/>
    <cellStyle name="0_FORMAT A" xfId="16141" xr:uid="{00000000-0005-0000-0000-0000FF3E0000}"/>
    <cellStyle name="0_FORMAT A 10" xfId="16142" xr:uid="{00000000-0005-0000-0000-0000003F0000}"/>
    <cellStyle name="0_FORMAT A 11" xfId="16143" xr:uid="{00000000-0005-0000-0000-0000013F0000}"/>
    <cellStyle name="0_FORMAT A 12" xfId="16144" xr:uid="{00000000-0005-0000-0000-0000023F0000}"/>
    <cellStyle name="0_FORMAT A 2" xfId="16145" xr:uid="{00000000-0005-0000-0000-0000033F0000}"/>
    <cellStyle name="0_FORMAT A 2 2" xfId="16146" xr:uid="{00000000-0005-0000-0000-0000043F0000}"/>
    <cellStyle name="0_FORMAT A 2 2 2" xfId="16147" xr:uid="{00000000-0005-0000-0000-0000053F0000}"/>
    <cellStyle name="0_FORMAT A 2 2 2 2" xfId="16148" xr:uid="{00000000-0005-0000-0000-0000063F0000}"/>
    <cellStyle name="0_FORMAT A 2 2 3" xfId="16149" xr:uid="{00000000-0005-0000-0000-0000073F0000}"/>
    <cellStyle name="0_FORMAT A 2 2 3 2" xfId="16150" xr:uid="{00000000-0005-0000-0000-0000083F0000}"/>
    <cellStyle name="0_FORMAT A 2 2 4" xfId="16151" xr:uid="{00000000-0005-0000-0000-0000093F0000}"/>
    <cellStyle name="0_FORMAT A 2 3" xfId="16152" xr:uid="{00000000-0005-0000-0000-00000A3F0000}"/>
    <cellStyle name="0_FORMAT A 2 3 2" xfId="16153" xr:uid="{00000000-0005-0000-0000-00000B3F0000}"/>
    <cellStyle name="0_FORMAT A 2 3 2 2" xfId="16154" xr:uid="{00000000-0005-0000-0000-00000C3F0000}"/>
    <cellStyle name="0_FORMAT A 2 3 3" xfId="16155" xr:uid="{00000000-0005-0000-0000-00000D3F0000}"/>
    <cellStyle name="0_FORMAT A 2 3 3 2" xfId="16156" xr:uid="{00000000-0005-0000-0000-00000E3F0000}"/>
    <cellStyle name="0_FORMAT A 2 3 4" xfId="16157" xr:uid="{00000000-0005-0000-0000-00000F3F0000}"/>
    <cellStyle name="0_FORMAT A 2 4" xfId="16158" xr:uid="{00000000-0005-0000-0000-0000103F0000}"/>
    <cellStyle name="0_FORMAT A 2 4 2" xfId="16159" xr:uid="{00000000-0005-0000-0000-0000113F0000}"/>
    <cellStyle name="0_FORMAT A 2 5" xfId="16160" xr:uid="{00000000-0005-0000-0000-0000123F0000}"/>
    <cellStyle name="0_FORMAT A 2 5 2" xfId="16161" xr:uid="{00000000-0005-0000-0000-0000133F0000}"/>
    <cellStyle name="0_FORMAT A 2 6" xfId="16162" xr:uid="{00000000-0005-0000-0000-0000143F0000}"/>
    <cellStyle name="0_FORMAT A 3" xfId="16163" xr:uid="{00000000-0005-0000-0000-0000153F0000}"/>
    <cellStyle name="0_FORMAT A 3 2" xfId="16164" xr:uid="{00000000-0005-0000-0000-0000163F0000}"/>
    <cellStyle name="0_FORMAT A 3 2 2" xfId="16165" xr:uid="{00000000-0005-0000-0000-0000173F0000}"/>
    <cellStyle name="0_FORMAT A 3 3" xfId="16166" xr:uid="{00000000-0005-0000-0000-0000183F0000}"/>
    <cellStyle name="0_FORMAT A 3 3 2" xfId="16167" xr:uid="{00000000-0005-0000-0000-0000193F0000}"/>
    <cellStyle name="0_FORMAT A 3 4" xfId="16168" xr:uid="{00000000-0005-0000-0000-00001A3F0000}"/>
    <cellStyle name="0_FORMAT A 3 5" xfId="16169" xr:uid="{00000000-0005-0000-0000-00001B3F0000}"/>
    <cellStyle name="0_FORMAT A 4" xfId="16170" xr:uid="{00000000-0005-0000-0000-00001C3F0000}"/>
    <cellStyle name="0_FORMAT A 4 2" xfId="16171" xr:uid="{00000000-0005-0000-0000-00001D3F0000}"/>
    <cellStyle name="0_FORMAT A 4 2 2" xfId="16172" xr:uid="{00000000-0005-0000-0000-00001E3F0000}"/>
    <cellStyle name="0_FORMAT A 4 3" xfId="16173" xr:uid="{00000000-0005-0000-0000-00001F3F0000}"/>
    <cellStyle name="0_FORMAT A 4 3 2" xfId="16174" xr:uid="{00000000-0005-0000-0000-0000203F0000}"/>
    <cellStyle name="0_FORMAT A 4 4" xfId="16175" xr:uid="{00000000-0005-0000-0000-0000213F0000}"/>
    <cellStyle name="0_FORMAT A 4 5" xfId="16176" xr:uid="{00000000-0005-0000-0000-0000223F0000}"/>
    <cellStyle name="0_FORMAT A 5" xfId="16177" xr:uid="{00000000-0005-0000-0000-0000233F0000}"/>
    <cellStyle name="0_FORMAT A 5 2" xfId="16178" xr:uid="{00000000-0005-0000-0000-0000243F0000}"/>
    <cellStyle name="0_FORMAT A 5 3" xfId="16179" xr:uid="{00000000-0005-0000-0000-0000253F0000}"/>
    <cellStyle name="0_FORMAT A 5 4" xfId="16180" xr:uid="{00000000-0005-0000-0000-0000263F0000}"/>
    <cellStyle name="0_FORMAT A 5 5" xfId="16181" xr:uid="{00000000-0005-0000-0000-0000273F0000}"/>
    <cellStyle name="0_FORMAT A 6" xfId="16182" xr:uid="{00000000-0005-0000-0000-0000283F0000}"/>
    <cellStyle name="0_FORMAT A 6 2" xfId="16183" xr:uid="{00000000-0005-0000-0000-0000293F0000}"/>
    <cellStyle name="0_FORMAT A 6 3" xfId="16184" xr:uid="{00000000-0005-0000-0000-00002A3F0000}"/>
    <cellStyle name="0_FORMAT A 6 4" xfId="16185" xr:uid="{00000000-0005-0000-0000-00002B3F0000}"/>
    <cellStyle name="0_FORMAT A 6 5" xfId="16186" xr:uid="{00000000-0005-0000-0000-00002C3F0000}"/>
    <cellStyle name="0_FORMAT A 7" xfId="16187" xr:uid="{00000000-0005-0000-0000-00002D3F0000}"/>
    <cellStyle name="0_FORMAT A 7 2" xfId="16188" xr:uid="{00000000-0005-0000-0000-00002E3F0000}"/>
    <cellStyle name="0_FORMAT A 7 3" xfId="16189" xr:uid="{00000000-0005-0000-0000-00002F3F0000}"/>
    <cellStyle name="0_FORMAT A 7 4" xfId="16190" xr:uid="{00000000-0005-0000-0000-0000303F0000}"/>
    <cellStyle name="0_FORMAT A 7 5" xfId="16191" xr:uid="{00000000-0005-0000-0000-0000313F0000}"/>
    <cellStyle name="0_FORMAT A 8" xfId="16192" xr:uid="{00000000-0005-0000-0000-0000323F0000}"/>
    <cellStyle name="0_FORMAT A 8 2" xfId="16193" xr:uid="{00000000-0005-0000-0000-0000333F0000}"/>
    <cellStyle name="0_FORMAT A 8 3" xfId="16194" xr:uid="{00000000-0005-0000-0000-0000343F0000}"/>
    <cellStyle name="0_FORMAT A 8 4" xfId="16195" xr:uid="{00000000-0005-0000-0000-0000353F0000}"/>
    <cellStyle name="0_FORMAT A 8 5" xfId="16196" xr:uid="{00000000-0005-0000-0000-0000363F0000}"/>
    <cellStyle name="0_FORMAT A 9" xfId="16197" xr:uid="{00000000-0005-0000-0000-0000373F0000}"/>
    <cellStyle name="0_FPR Jul-08" xfId="16198" xr:uid="{00000000-0005-0000-0000-0000383F0000}"/>
    <cellStyle name="0_FPR Jul-08 2" xfId="16199" xr:uid="{00000000-0005-0000-0000-0000393F0000}"/>
    <cellStyle name="0_FPR Jul-08 2 2" xfId="16200" xr:uid="{00000000-0005-0000-0000-00003A3F0000}"/>
    <cellStyle name="0_FPR Jul-08 2 3" xfId="16201" xr:uid="{00000000-0005-0000-0000-00003B3F0000}"/>
    <cellStyle name="0_FPR Jul-08 2 4" xfId="16202" xr:uid="{00000000-0005-0000-0000-00003C3F0000}"/>
    <cellStyle name="0_FPR Jul-08 3" xfId="16203" xr:uid="{00000000-0005-0000-0000-00003D3F0000}"/>
    <cellStyle name="0_FPR Jul-08 3 2" xfId="16204" xr:uid="{00000000-0005-0000-0000-00003E3F0000}"/>
    <cellStyle name="0_FPR Jul-08 3 3" xfId="16205" xr:uid="{00000000-0005-0000-0000-00003F3F0000}"/>
    <cellStyle name="0_FPR Jul-08 3 4" xfId="16206" xr:uid="{00000000-0005-0000-0000-0000403F0000}"/>
    <cellStyle name="0_FPR Jul-08 4" xfId="16207" xr:uid="{00000000-0005-0000-0000-0000413F0000}"/>
    <cellStyle name="0_FPR Jul-08 4 2" xfId="16208" xr:uid="{00000000-0005-0000-0000-0000423F0000}"/>
    <cellStyle name="0_FPR Jul-08 5" xfId="16209" xr:uid="{00000000-0005-0000-0000-0000433F0000}"/>
    <cellStyle name="0_FPR Jul-08 5 2" xfId="16210" xr:uid="{00000000-0005-0000-0000-0000443F0000}"/>
    <cellStyle name="0_FPR Jul-08 6" xfId="16211" xr:uid="{00000000-0005-0000-0000-0000453F0000}"/>
    <cellStyle name="0_FPR Jul-08 6 2" xfId="16212" xr:uid="{00000000-0005-0000-0000-0000463F0000}"/>
    <cellStyle name="0_FPR Jul-08 7" xfId="16213" xr:uid="{00000000-0005-0000-0000-0000473F0000}"/>
    <cellStyle name="0_FPR Jul-08 8" xfId="16214" xr:uid="{00000000-0005-0000-0000-0000483F0000}"/>
    <cellStyle name="0_FPR Jul-08 9" xfId="16215" xr:uid="{00000000-0005-0000-0000-0000493F0000}"/>
    <cellStyle name="0_J 40.4012 - CEO - Progress Review - 2009 Jan &amp; Feb" xfId="16216" xr:uid="{00000000-0005-0000-0000-00004A3F0000}"/>
    <cellStyle name="0_J 40.4012 - CEO - Progress Review - 2009 Jan &amp; Feb 2" xfId="16217" xr:uid="{00000000-0005-0000-0000-00004B3F0000}"/>
    <cellStyle name="0_J 40.4012 - CEO - Progress Review - 2009 Jan &amp; Feb 2 2" xfId="16218" xr:uid="{00000000-0005-0000-0000-00004C3F0000}"/>
    <cellStyle name="0_J 40.4012 - CEO - Progress Review - 2009 Jan &amp; Feb 2 2 2" xfId="16219" xr:uid="{00000000-0005-0000-0000-00004D3F0000}"/>
    <cellStyle name="0_J 40.4012 - CEO - Progress Review - 2009 Jan &amp; Feb 2 3" xfId="16220" xr:uid="{00000000-0005-0000-0000-00004E3F0000}"/>
    <cellStyle name="0_J 40.4012 - CEO - Progress Review - 2009 Jan &amp; Feb 2 3 2" xfId="16221" xr:uid="{00000000-0005-0000-0000-00004F3F0000}"/>
    <cellStyle name="0_J 40.4012 - CEO - Progress Review - 2009 Jan &amp; Feb 2 4" xfId="16222" xr:uid="{00000000-0005-0000-0000-0000503F0000}"/>
    <cellStyle name="0_J 40.4012 - CEO - Progress Review - 2009 Jan &amp; Feb 2 4 2" xfId="16223" xr:uid="{00000000-0005-0000-0000-0000513F0000}"/>
    <cellStyle name="0_J 40.4012 - CEO - Progress Review - 2009 Jan &amp; Feb 2 5" xfId="16224" xr:uid="{00000000-0005-0000-0000-0000523F0000}"/>
    <cellStyle name="0_J 40.4012 - CEO - Progress Review - 2009 Jan &amp; Feb 2 6" xfId="16225" xr:uid="{00000000-0005-0000-0000-0000533F0000}"/>
    <cellStyle name="0_J 40.4012 - CEO - Progress Review - 2009 Jan &amp; Feb 2 7" xfId="16226" xr:uid="{00000000-0005-0000-0000-0000543F0000}"/>
    <cellStyle name="0_J 40.4012 - CEO - Progress Review - 2009 Jan &amp; Feb 3" xfId="16227" xr:uid="{00000000-0005-0000-0000-0000553F0000}"/>
    <cellStyle name="0_J 40.4012 - CEO - Progress Review - 2009 Jan &amp; Feb 3 2" xfId="16228" xr:uid="{00000000-0005-0000-0000-0000563F0000}"/>
    <cellStyle name="0_J 40.4012 - CEO - Progress Review - 2009 Jan &amp; Feb 4" xfId="16229" xr:uid="{00000000-0005-0000-0000-0000573F0000}"/>
    <cellStyle name="0_J 40.4012 - CEO - Progress Review - 2009 Jan &amp; Feb 5" xfId="16230" xr:uid="{00000000-0005-0000-0000-0000583F0000}"/>
    <cellStyle name="0_J 40.4012 - CEO - Progress Review - 2009 Jan &amp; Feb 6" xfId="16231" xr:uid="{00000000-0005-0000-0000-0000593F0000}"/>
    <cellStyle name="0_J 40.4012 - CEO - Progress Review - 2009 Jan &amp; Feb 7" xfId="16232" xr:uid="{00000000-0005-0000-0000-00005A3F0000}"/>
    <cellStyle name="0_J 40.4012 - CEO - Progress Review - 2009 Jan &amp; Feb 8" xfId="16233" xr:uid="{00000000-0005-0000-0000-00005B3F0000}"/>
    <cellStyle name="0_J 40.4012 - CEO - Progress Review - 2009 Jan &amp; Feb 9" xfId="16234" xr:uid="{00000000-0005-0000-0000-00005C3F0000}"/>
    <cellStyle name="0_JAN 10 TO HO" xfId="16235" xr:uid="{00000000-0005-0000-0000-00005D3F0000}"/>
    <cellStyle name="0_JAN 10 TO HO 10" xfId="16236" xr:uid="{00000000-0005-0000-0000-00005E3F0000}"/>
    <cellStyle name="0_JAN 10 TO HO 11" xfId="16237" xr:uid="{00000000-0005-0000-0000-00005F3F0000}"/>
    <cellStyle name="0_JAN 10 TO HO 12" xfId="16238" xr:uid="{00000000-0005-0000-0000-0000603F0000}"/>
    <cellStyle name="0_JAN 10 TO HO 2" xfId="16239" xr:uid="{00000000-0005-0000-0000-0000613F0000}"/>
    <cellStyle name="0_JAN 10 TO HO 2 2" xfId="16240" xr:uid="{00000000-0005-0000-0000-0000623F0000}"/>
    <cellStyle name="0_JAN 10 TO HO 2 2 2" xfId="16241" xr:uid="{00000000-0005-0000-0000-0000633F0000}"/>
    <cellStyle name="0_JAN 10 TO HO 2 2 2 2" xfId="16242" xr:uid="{00000000-0005-0000-0000-0000643F0000}"/>
    <cellStyle name="0_JAN 10 TO HO 2 2 3" xfId="16243" xr:uid="{00000000-0005-0000-0000-0000653F0000}"/>
    <cellStyle name="0_JAN 10 TO HO 2 2 3 2" xfId="16244" xr:uid="{00000000-0005-0000-0000-0000663F0000}"/>
    <cellStyle name="0_JAN 10 TO HO 2 2 4" xfId="16245" xr:uid="{00000000-0005-0000-0000-0000673F0000}"/>
    <cellStyle name="0_JAN 10 TO HO 2 3" xfId="16246" xr:uid="{00000000-0005-0000-0000-0000683F0000}"/>
    <cellStyle name="0_JAN 10 TO HO 2 3 2" xfId="16247" xr:uid="{00000000-0005-0000-0000-0000693F0000}"/>
    <cellStyle name="0_JAN 10 TO HO 2 3 2 2" xfId="16248" xr:uid="{00000000-0005-0000-0000-00006A3F0000}"/>
    <cellStyle name="0_JAN 10 TO HO 2 3 3" xfId="16249" xr:uid="{00000000-0005-0000-0000-00006B3F0000}"/>
    <cellStyle name="0_JAN 10 TO HO 2 3 3 2" xfId="16250" xr:uid="{00000000-0005-0000-0000-00006C3F0000}"/>
    <cellStyle name="0_JAN 10 TO HO 2 3 4" xfId="16251" xr:uid="{00000000-0005-0000-0000-00006D3F0000}"/>
    <cellStyle name="0_JAN 10 TO HO 2 4" xfId="16252" xr:uid="{00000000-0005-0000-0000-00006E3F0000}"/>
    <cellStyle name="0_JAN 10 TO HO 2 4 2" xfId="16253" xr:uid="{00000000-0005-0000-0000-00006F3F0000}"/>
    <cellStyle name="0_JAN 10 TO HO 2 5" xfId="16254" xr:uid="{00000000-0005-0000-0000-0000703F0000}"/>
    <cellStyle name="0_JAN 10 TO HO 2 5 2" xfId="16255" xr:uid="{00000000-0005-0000-0000-0000713F0000}"/>
    <cellStyle name="0_JAN 10 TO HO 2 6" xfId="16256" xr:uid="{00000000-0005-0000-0000-0000723F0000}"/>
    <cellStyle name="0_JAN 10 TO HO 3" xfId="16257" xr:uid="{00000000-0005-0000-0000-0000733F0000}"/>
    <cellStyle name="0_JAN 10 TO HO 3 2" xfId="16258" xr:uid="{00000000-0005-0000-0000-0000743F0000}"/>
    <cellStyle name="0_JAN 10 TO HO 3 2 2" xfId="16259" xr:uid="{00000000-0005-0000-0000-0000753F0000}"/>
    <cellStyle name="0_JAN 10 TO HO 3 3" xfId="16260" xr:uid="{00000000-0005-0000-0000-0000763F0000}"/>
    <cellStyle name="0_JAN 10 TO HO 3 3 2" xfId="16261" xr:uid="{00000000-0005-0000-0000-0000773F0000}"/>
    <cellStyle name="0_JAN 10 TO HO 3 4" xfId="16262" xr:uid="{00000000-0005-0000-0000-0000783F0000}"/>
    <cellStyle name="0_JAN 10 TO HO 3 5" xfId="16263" xr:uid="{00000000-0005-0000-0000-0000793F0000}"/>
    <cellStyle name="0_JAN 10 TO HO 4" xfId="16264" xr:uid="{00000000-0005-0000-0000-00007A3F0000}"/>
    <cellStyle name="0_JAN 10 TO HO 4 2" xfId="16265" xr:uid="{00000000-0005-0000-0000-00007B3F0000}"/>
    <cellStyle name="0_JAN 10 TO HO 4 2 2" xfId="16266" xr:uid="{00000000-0005-0000-0000-00007C3F0000}"/>
    <cellStyle name="0_JAN 10 TO HO 4 3" xfId="16267" xr:uid="{00000000-0005-0000-0000-00007D3F0000}"/>
    <cellStyle name="0_JAN 10 TO HO 4 3 2" xfId="16268" xr:uid="{00000000-0005-0000-0000-00007E3F0000}"/>
    <cellStyle name="0_JAN 10 TO HO 4 4" xfId="16269" xr:uid="{00000000-0005-0000-0000-00007F3F0000}"/>
    <cellStyle name="0_JAN 10 TO HO 4 5" xfId="16270" xr:uid="{00000000-0005-0000-0000-0000803F0000}"/>
    <cellStyle name="0_JAN 10 TO HO 5" xfId="16271" xr:uid="{00000000-0005-0000-0000-0000813F0000}"/>
    <cellStyle name="0_JAN 10 TO HO 5 2" xfId="16272" xr:uid="{00000000-0005-0000-0000-0000823F0000}"/>
    <cellStyle name="0_JAN 10 TO HO 5 3" xfId="16273" xr:uid="{00000000-0005-0000-0000-0000833F0000}"/>
    <cellStyle name="0_JAN 10 TO HO 5 4" xfId="16274" xr:uid="{00000000-0005-0000-0000-0000843F0000}"/>
    <cellStyle name="0_JAN 10 TO HO 5 5" xfId="16275" xr:uid="{00000000-0005-0000-0000-0000853F0000}"/>
    <cellStyle name="0_JAN 10 TO HO 6" xfId="16276" xr:uid="{00000000-0005-0000-0000-0000863F0000}"/>
    <cellStyle name="0_JAN 10 TO HO 6 2" xfId="16277" xr:uid="{00000000-0005-0000-0000-0000873F0000}"/>
    <cellStyle name="0_JAN 10 TO HO 6 3" xfId="16278" xr:uid="{00000000-0005-0000-0000-0000883F0000}"/>
    <cellStyle name="0_JAN 10 TO HO 6 4" xfId="16279" xr:uid="{00000000-0005-0000-0000-0000893F0000}"/>
    <cellStyle name="0_JAN 10 TO HO 6 5" xfId="16280" xr:uid="{00000000-0005-0000-0000-00008A3F0000}"/>
    <cellStyle name="0_JAN 10 TO HO 7" xfId="16281" xr:uid="{00000000-0005-0000-0000-00008B3F0000}"/>
    <cellStyle name="0_JAN 10 TO HO 7 2" xfId="16282" xr:uid="{00000000-0005-0000-0000-00008C3F0000}"/>
    <cellStyle name="0_JAN 10 TO HO 7 3" xfId="16283" xr:uid="{00000000-0005-0000-0000-00008D3F0000}"/>
    <cellStyle name="0_JAN 10 TO HO 7 4" xfId="16284" xr:uid="{00000000-0005-0000-0000-00008E3F0000}"/>
    <cellStyle name="0_JAN 10 TO HO 7 5" xfId="16285" xr:uid="{00000000-0005-0000-0000-00008F3F0000}"/>
    <cellStyle name="0_JAN 10 TO HO 8" xfId="16286" xr:uid="{00000000-0005-0000-0000-0000903F0000}"/>
    <cellStyle name="0_JAN 10 TO HO 8 2" xfId="16287" xr:uid="{00000000-0005-0000-0000-0000913F0000}"/>
    <cellStyle name="0_JAN 10 TO HO 8 3" xfId="16288" xr:uid="{00000000-0005-0000-0000-0000923F0000}"/>
    <cellStyle name="0_JAN 10 TO HO 8 4" xfId="16289" xr:uid="{00000000-0005-0000-0000-0000933F0000}"/>
    <cellStyle name="0_JAN 10 TO HO 8 5" xfId="16290" xr:uid="{00000000-0005-0000-0000-0000943F0000}"/>
    <cellStyle name="0_JAN 10 TO HO 9" xfId="16291" xr:uid="{00000000-0005-0000-0000-0000953F0000}"/>
    <cellStyle name="0_JULY 2010 5" xfId="16292" xr:uid="{00000000-0005-0000-0000-0000963F0000}"/>
    <cellStyle name="0_JULY 2010 5 10" xfId="16293" xr:uid="{00000000-0005-0000-0000-0000973F0000}"/>
    <cellStyle name="0_JULY 2010 5 11" xfId="16294" xr:uid="{00000000-0005-0000-0000-0000983F0000}"/>
    <cellStyle name="0_JULY 2010 5 12" xfId="16295" xr:uid="{00000000-0005-0000-0000-0000993F0000}"/>
    <cellStyle name="0_JULY 2010 5 2" xfId="16296" xr:uid="{00000000-0005-0000-0000-00009A3F0000}"/>
    <cellStyle name="0_JULY 2010 5 2 2" xfId="16297" xr:uid="{00000000-0005-0000-0000-00009B3F0000}"/>
    <cellStyle name="0_JULY 2010 5 2 2 2" xfId="16298" xr:uid="{00000000-0005-0000-0000-00009C3F0000}"/>
    <cellStyle name="0_JULY 2010 5 2 2 2 2" xfId="16299" xr:uid="{00000000-0005-0000-0000-00009D3F0000}"/>
    <cellStyle name="0_JULY 2010 5 2 2 3" xfId="16300" xr:uid="{00000000-0005-0000-0000-00009E3F0000}"/>
    <cellStyle name="0_JULY 2010 5 2 2 3 2" xfId="16301" xr:uid="{00000000-0005-0000-0000-00009F3F0000}"/>
    <cellStyle name="0_JULY 2010 5 2 2 4" xfId="16302" xr:uid="{00000000-0005-0000-0000-0000A03F0000}"/>
    <cellStyle name="0_JULY 2010 5 2 3" xfId="16303" xr:uid="{00000000-0005-0000-0000-0000A13F0000}"/>
    <cellStyle name="0_JULY 2010 5 2 3 2" xfId="16304" xr:uid="{00000000-0005-0000-0000-0000A23F0000}"/>
    <cellStyle name="0_JULY 2010 5 2 3 2 2" xfId="16305" xr:uid="{00000000-0005-0000-0000-0000A33F0000}"/>
    <cellStyle name="0_JULY 2010 5 2 3 3" xfId="16306" xr:uid="{00000000-0005-0000-0000-0000A43F0000}"/>
    <cellStyle name="0_JULY 2010 5 2 3 3 2" xfId="16307" xr:uid="{00000000-0005-0000-0000-0000A53F0000}"/>
    <cellStyle name="0_JULY 2010 5 2 3 4" xfId="16308" xr:uid="{00000000-0005-0000-0000-0000A63F0000}"/>
    <cellStyle name="0_JULY 2010 5 2 4" xfId="16309" xr:uid="{00000000-0005-0000-0000-0000A73F0000}"/>
    <cellStyle name="0_JULY 2010 5 2 4 2" xfId="16310" xr:uid="{00000000-0005-0000-0000-0000A83F0000}"/>
    <cellStyle name="0_JULY 2010 5 2 5" xfId="16311" xr:uid="{00000000-0005-0000-0000-0000A93F0000}"/>
    <cellStyle name="0_JULY 2010 5 2 5 2" xfId="16312" xr:uid="{00000000-0005-0000-0000-0000AA3F0000}"/>
    <cellStyle name="0_JULY 2010 5 2 6" xfId="16313" xr:uid="{00000000-0005-0000-0000-0000AB3F0000}"/>
    <cellStyle name="0_JULY 2010 5 3" xfId="16314" xr:uid="{00000000-0005-0000-0000-0000AC3F0000}"/>
    <cellStyle name="0_JULY 2010 5 3 2" xfId="16315" xr:uid="{00000000-0005-0000-0000-0000AD3F0000}"/>
    <cellStyle name="0_JULY 2010 5 3 2 2" xfId="16316" xr:uid="{00000000-0005-0000-0000-0000AE3F0000}"/>
    <cellStyle name="0_JULY 2010 5 3 3" xfId="16317" xr:uid="{00000000-0005-0000-0000-0000AF3F0000}"/>
    <cellStyle name="0_JULY 2010 5 3 3 2" xfId="16318" xr:uid="{00000000-0005-0000-0000-0000B03F0000}"/>
    <cellStyle name="0_JULY 2010 5 3 4" xfId="16319" xr:uid="{00000000-0005-0000-0000-0000B13F0000}"/>
    <cellStyle name="0_JULY 2010 5 3 5" xfId="16320" xr:uid="{00000000-0005-0000-0000-0000B23F0000}"/>
    <cellStyle name="0_JULY 2010 5 4" xfId="16321" xr:uid="{00000000-0005-0000-0000-0000B33F0000}"/>
    <cellStyle name="0_JULY 2010 5 4 2" xfId="16322" xr:uid="{00000000-0005-0000-0000-0000B43F0000}"/>
    <cellStyle name="0_JULY 2010 5 4 2 2" xfId="16323" xr:uid="{00000000-0005-0000-0000-0000B53F0000}"/>
    <cellStyle name="0_JULY 2010 5 4 3" xfId="16324" xr:uid="{00000000-0005-0000-0000-0000B63F0000}"/>
    <cellStyle name="0_JULY 2010 5 4 3 2" xfId="16325" xr:uid="{00000000-0005-0000-0000-0000B73F0000}"/>
    <cellStyle name="0_JULY 2010 5 4 4" xfId="16326" xr:uid="{00000000-0005-0000-0000-0000B83F0000}"/>
    <cellStyle name="0_JULY 2010 5 4 5" xfId="16327" xr:uid="{00000000-0005-0000-0000-0000B93F0000}"/>
    <cellStyle name="0_JULY 2010 5 5" xfId="16328" xr:uid="{00000000-0005-0000-0000-0000BA3F0000}"/>
    <cellStyle name="0_JULY 2010 5 5 2" xfId="16329" xr:uid="{00000000-0005-0000-0000-0000BB3F0000}"/>
    <cellStyle name="0_JULY 2010 5 5 3" xfId="16330" xr:uid="{00000000-0005-0000-0000-0000BC3F0000}"/>
    <cellStyle name="0_JULY 2010 5 5 4" xfId="16331" xr:uid="{00000000-0005-0000-0000-0000BD3F0000}"/>
    <cellStyle name="0_JULY 2010 5 5 5" xfId="16332" xr:uid="{00000000-0005-0000-0000-0000BE3F0000}"/>
    <cellStyle name="0_JULY 2010 5 6" xfId="16333" xr:uid="{00000000-0005-0000-0000-0000BF3F0000}"/>
    <cellStyle name="0_JULY 2010 5 6 2" xfId="16334" xr:uid="{00000000-0005-0000-0000-0000C03F0000}"/>
    <cellStyle name="0_JULY 2010 5 6 3" xfId="16335" xr:uid="{00000000-0005-0000-0000-0000C13F0000}"/>
    <cellStyle name="0_JULY 2010 5 6 4" xfId="16336" xr:uid="{00000000-0005-0000-0000-0000C23F0000}"/>
    <cellStyle name="0_JULY 2010 5 6 5" xfId="16337" xr:uid="{00000000-0005-0000-0000-0000C33F0000}"/>
    <cellStyle name="0_JULY 2010 5 7" xfId="16338" xr:uid="{00000000-0005-0000-0000-0000C43F0000}"/>
    <cellStyle name="0_JULY 2010 5 7 2" xfId="16339" xr:uid="{00000000-0005-0000-0000-0000C53F0000}"/>
    <cellStyle name="0_JULY 2010 5 7 3" xfId="16340" xr:uid="{00000000-0005-0000-0000-0000C63F0000}"/>
    <cellStyle name="0_JULY 2010 5 7 4" xfId="16341" xr:uid="{00000000-0005-0000-0000-0000C73F0000}"/>
    <cellStyle name="0_JULY 2010 5 7 5" xfId="16342" xr:uid="{00000000-0005-0000-0000-0000C83F0000}"/>
    <cellStyle name="0_JULY 2010 5 8" xfId="16343" xr:uid="{00000000-0005-0000-0000-0000C93F0000}"/>
    <cellStyle name="0_JULY 2010 5 8 2" xfId="16344" xr:uid="{00000000-0005-0000-0000-0000CA3F0000}"/>
    <cellStyle name="0_JULY 2010 5 8 3" xfId="16345" xr:uid="{00000000-0005-0000-0000-0000CB3F0000}"/>
    <cellStyle name="0_JULY 2010 5 8 4" xfId="16346" xr:uid="{00000000-0005-0000-0000-0000CC3F0000}"/>
    <cellStyle name="0_JULY 2010 5 8 5" xfId="16347" xr:uid="{00000000-0005-0000-0000-0000CD3F0000}"/>
    <cellStyle name="0_JULY 2010 5 9" xfId="16348" xr:uid="{00000000-0005-0000-0000-0000CE3F0000}"/>
    <cellStyle name="0_MAJOR COMODITES for6094" xfId="16349" xr:uid="{00000000-0005-0000-0000-0000CF3F0000}"/>
    <cellStyle name="0_MAJOR COMODITES for6094 10" xfId="16350" xr:uid="{00000000-0005-0000-0000-0000D03F0000}"/>
    <cellStyle name="0_MAJOR COMODITES for6094 10 2" xfId="16351" xr:uid="{00000000-0005-0000-0000-0000D13F0000}"/>
    <cellStyle name="0_MAJOR COMODITES for6094 10 2 2" xfId="16352" xr:uid="{00000000-0005-0000-0000-0000D23F0000}"/>
    <cellStyle name="0_MAJOR COMODITES for6094 10 3" xfId="16353" xr:uid="{00000000-0005-0000-0000-0000D33F0000}"/>
    <cellStyle name="0_MAJOR COMODITES for6094 10 3 2" xfId="16354" xr:uid="{00000000-0005-0000-0000-0000D43F0000}"/>
    <cellStyle name="0_MAJOR COMODITES for6094 10 4" xfId="16355" xr:uid="{00000000-0005-0000-0000-0000D53F0000}"/>
    <cellStyle name="0_MAJOR COMODITES for6094 10 5" xfId="16356" xr:uid="{00000000-0005-0000-0000-0000D63F0000}"/>
    <cellStyle name="0_MAJOR COMODITES for6094 11" xfId="16357" xr:uid="{00000000-0005-0000-0000-0000D73F0000}"/>
    <cellStyle name="0_MAJOR COMODITES for6094 11 2" xfId="16358" xr:uid="{00000000-0005-0000-0000-0000D83F0000}"/>
    <cellStyle name="0_MAJOR COMODITES for6094 11 3" xfId="16359" xr:uid="{00000000-0005-0000-0000-0000D93F0000}"/>
    <cellStyle name="0_MAJOR COMODITES for6094 11 4" xfId="16360" xr:uid="{00000000-0005-0000-0000-0000DA3F0000}"/>
    <cellStyle name="0_MAJOR COMODITES for6094 11 5" xfId="16361" xr:uid="{00000000-0005-0000-0000-0000DB3F0000}"/>
    <cellStyle name="0_MAJOR COMODITES for6094 12" xfId="16362" xr:uid="{00000000-0005-0000-0000-0000DC3F0000}"/>
    <cellStyle name="0_MAJOR COMODITES for6094 12 2" xfId="16363" xr:uid="{00000000-0005-0000-0000-0000DD3F0000}"/>
    <cellStyle name="0_MAJOR COMODITES for6094 13" xfId="16364" xr:uid="{00000000-0005-0000-0000-0000DE3F0000}"/>
    <cellStyle name="0_MAJOR COMODITES for6094 13 2" xfId="16365" xr:uid="{00000000-0005-0000-0000-0000DF3F0000}"/>
    <cellStyle name="0_MAJOR COMODITES for6094 14" xfId="16366" xr:uid="{00000000-0005-0000-0000-0000E03F0000}"/>
    <cellStyle name="0_MAJOR COMODITES for6094 15" xfId="16367" xr:uid="{00000000-0005-0000-0000-0000E13F0000}"/>
    <cellStyle name="0_MAJOR COMODITES for6094 16" xfId="16368" xr:uid="{00000000-0005-0000-0000-0000E23F0000}"/>
    <cellStyle name="0_MAJOR COMODITES for6094 17" xfId="16369" xr:uid="{00000000-0005-0000-0000-0000E33F0000}"/>
    <cellStyle name="0_MAJOR COMODITES for6094 18" xfId="16370" xr:uid="{00000000-0005-0000-0000-0000E43F0000}"/>
    <cellStyle name="0_MAJOR COMODITES for6094 19" xfId="16371" xr:uid="{00000000-0005-0000-0000-0000E53F0000}"/>
    <cellStyle name="0_MAJOR COMODITES for6094 2" xfId="16372" xr:uid="{00000000-0005-0000-0000-0000E63F0000}"/>
    <cellStyle name="0_MAJOR COMODITES for6094 2 10" xfId="16373" xr:uid="{00000000-0005-0000-0000-0000E73F0000}"/>
    <cellStyle name="0_MAJOR COMODITES for6094 2 10 2" xfId="16374" xr:uid="{00000000-0005-0000-0000-0000E83F0000}"/>
    <cellStyle name="0_MAJOR COMODITES for6094 2 11" xfId="16375" xr:uid="{00000000-0005-0000-0000-0000E93F0000}"/>
    <cellStyle name="0_MAJOR COMODITES for6094 2 11 2" xfId="16376" xr:uid="{00000000-0005-0000-0000-0000EA3F0000}"/>
    <cellStyle name="0_MAJOR COMODITES for6094 2 12" xfId="16377" xr:uid="{00000000-0005-0000-0000-0000EB3F0000}"/>
    <cellStyle name="0_MAJOR COMODITES for6094 2 13" xfId="16378" xr:uid="{00000000-0005-0000-0000-0000EC3F0000}"/>
    <cellStyle name="0_MAJOR COMODITES for6094 2 14" xfId="16379" xr:uid="{00000000-0005-0000-0000-0000ED3F0000}"/>
    <cellStyle name="0_MAJOR COMODITES for6094 2 15" xfId="16380" xr:uid="{00000000-0005-0000-0000-0000EE3F0000}"/>
    <cellStyle name="0_MAJOR COMODITES for6094 2 2" xfId="16381" xr:uid="{00000000-0005-0000-0000-0000EF3F0000}"/>
    <cellStyle name="0_MAJOR COMODITES for6094 2 2 2" xfId="16382" xr:uid="{00000000-0005-0000-0000-0000F03F0000}"/>
    <cellStyle name="0_MAJOR COMODITES for6094 2 2 2 2" xfId="16383" xr:uid="{00000000-0005-0000-0000-0000F13F0000}"/>
    <cellStyle name="0_MAJOR COMODITES for6094 2 2 2 2 2" xfId="16384" xr:uid="{00000000-0005-0000-0000-0000F23F0000}"/>
    <cellStyle name="0_MAJOR COMODITES for6094 2 2 2 2 2 2" xfId="16385" xr:uid="{00000000-0005-0000-0000-0000F33F0000}"/>
    <cellStyle name="0_MAJOR COMODITES for6094 2 2 2 2 3" xfId="16386" xr:uid="{00000000-0005-0000-0000-0000F43F0000}"/>
    <cellStyle name="0_MAJOR COMODITES for6094 2 2 2 2 3 2" xfId="16387" xr:uid="{00000000-0005-0000-0000-0000F53F0000}"/>
    <cellStyle name="0_MAJOR COMODITES for6094 2 2 2 2 4" xfId="16388" xr:uid="{00000000-0005-0000-0000-0000F63F0000}"/>
    <cellStyle name="0_MAJOR COMODITES for6094 2 2 2 3" xfId="16389" xr:uid="{00000000-0005-0000-0000-0000F73F0000}"/>
    <cellStyle name="0_MAJOR COMODITES for6094 2 2 2 3 2" xfId="16390" xr:uid="{00000000-0005-0000-0000-0000F83F0000}"/>
    <cellStyle name="0_MAJOR COMODITES for6094 2 2 2 3 2 2" xfId="16391" xr:uid="{00000000-0005-0000-0000-0000F93F0000}"/>
    <cellStyle name="0_MAJOR COMODITES for6094 2 2 2 3 3" xfId="16392" xr:uid="{00000000-0005-0000-0000-0000FA3F0000}"/>
    <cellStyle name="0_MAJOR COMODITES for6094 2 2 2 3 3 2" xfId="16393" xr:uid="{00000000-0005-0000-0000-0000FB3F0000}"/>
    <cellStyle name="0_MAJOR COMODITES for6094 2 2 2 3 4" xfId="16394" xr:uid="{00000000-0005-0000-0000-0000FC3F0000}"/>
    <cellStyle name="0_MAJOR COMODITES for6094 2 2 2 4" xfId="16395" xr:uid="{00000000-0005-0000-0000-0000FD3F0000}"/>
    <cellStyle name="0_MAJOR COMODITES for6094 2 2 2 4 2" xfId="16396" xr:uid="{00000000-0005-0000-0000-0000FE3F0000}"/>
    <cellStyle name="0_MAJOR COMODITES for6094 2 2 2 5" xfId="16397" xr:uid="{00000000-0005-0000-0000-0000FF3F0000}"/>
    <cellStyle name="0_MAJOR COMODITES for6094 2 2 2 5 2" xfId="16398" xr:uid="{00000000-0005-0000-0000-000000400000}"/>
    <cellStyle name="0_MAJOR COMODITES for6094 2 2 2 6" xfId="16399" xr:uid="{00000000-0005-0000-0000-000001400000}"/>
    <cellStyle name="0_MAJOR COMODITES for6094 2 2 3" xfId="16400" xr:uid="{00000000-0005-0000-0000-000002400000}"/>
    <cellStyle name="0_MAJOR COMODITES for6094 2 2 3 2" xfId="16401" xr:uid="{00000000-0005-0000-0000-000003400000}"/>
    <cellStyle name="0_MAJOR COMODITES for6094 2 2 3 2 2" xfId="16402" xr:uid="{00000000-0005-0000-0000-000004400000}"/>
    <cellStyle name="0_MAJOR COMODITES for6094 2 2 3 3" xfId="16403" xr:uid="{00000000-0005-0000-0000-000005400000}"/>
    <cellStyle name="0_MAJOR COMODITES for6094 2 2 3 3 2" xfId="16404" xr:uid="{00000000-0005-0000-0000-000006400000}"/>
    <cellStyle name="0_MAJOR COMODITES for6094 2 2 3 4" xfId="16405" xr:uid="{00000000-0005-0000-0000-000007400000}"/>
    <cellStyle name="0_MAJOR COMODITES for6094 2 2 4" xfId="16406" xr:uid="{00000000-0005-0000-0000-000008400000}"/>
    <cellStyle name="0_MAJOR COMODITES for6094 2 2 4 2" xfId="16407" xr:uid="{00000000-0005-0000-0000-000009400000}"/>
    <cellStyle name="0_MAJOR COMODITES for6094 2 2 4 2 2" xfId="16408" xr:uid="{00000000-0005-0000-0000-00000A400000}"/>
    <cellStyle name="0_MAJOR COMODITES for6094 2 2 4 3" xfId="16409" xr:uid="{00000000-0005-0000-0000-00000B400000}"/>
    <cellStyle name="0_MAJOR COMODITES for6094 2 2 4 3 2" xfId="16410" xr:uid="{00000000-0005-0000-0000-00000C400000}"/>
    <cellStyle name="0_MAJOR COMODITES for6094 2 2 4 4" xfId="16411" xr:uid="{00000000-0005-0000-0000-00000D400000}"/>
    <cellStyle name="0_MAJOR COMODITES for6094 2 2 5" xfId="16412" xr:uid="{00000000-0005-0000-0000-00000E400000}"/>
    <cellStyle name="0_MAJOR COMODITES for6094 2 2 5 2" xfId="16413" xr:uid="{00000000-0005-0000-0000-00000F400000}"/>
    <cellStyle name="0_MAJOR COMODITES for6094 2 2 5 2 2" xfId="16414" xr:uid="{00000000-0005-0000-0000-000010400000}"/>
    <cellStyle name="0_MAJOR COMODITES for6094 2 2 5 3" xfId="16415" xr:uid="{00000000-0005-0000-0000-000011400000}"/>
    <cellStyle name="0_MAJOR COMODITES for6094 2 2 5 3 2" xfId="16416" xr:uid="{00000000-0005-0000-0000-000012400000}"/>
    <cellStyle name="0_MAJOR COMODITES for6094 2 2 5 4" xfId="16417" xr:uid="{00000000-0005-0000-0000-000013400000}"/>
    <cellStyle name="0_MAJOR COMODITES for6094 2 2 6" xfId="16418" xr:uid="{00000000-0005-0000-0000-000014400000}"/>
    <cellStyle name="0_MAJOR COMODITES for6094 2 2 6 2" xfId="16419" xr:uid="{00000000-0005-0000-0000-000015400000}"/>
    <cellStyle name="0_MAJOR COMODITES for6094 2 2 7" xfId="16420" xr:uid="{00000000-0005-0000-0000-000016400000}"/>
    <cellStyle name="0_MAJOR COMODITES for6094 2 2 7 2" xfId="16421" xr:uid="{00000000-0005-0000-0000-000017400000}"/>
    <cellStyle name="0_MAJOR COMODITES for6094 2 2 8" xfId="16422" xr:uid="{00000000-0005-0000-0000-000018400000}"/>
    <cellStyle name="0_MAJOR COMODITES for6094 2 3" xfId="16423" xr:uid="{00000000-0005-0000-0000-000019400000}"/>
    <cellStyle name="0_MAJOR COMODITES for6094 2 3 2" xfId="16424" xr:uid="{00000000-0005-0000-0000-00001A400000}"/>
    <cellStyle name="0_MAJOR COMODITES for6094 2 3 2 2" xfId="16425" xr:uid="{00000000-0005-0000-0000-00001B400000}"/>
    <cellStyle name="0_MAJOR COMODITES for6094 2 3 2 2 2" xfId="16426" xr:uid="{00000000-0005-0000-0000-00001C400000}"/>
    <cellStyle name="0_MAJOR COMODITES for6094 2 3 2 2 2 2" xfId="16427" xr:uid="{00000000-0005-0000-0000-00001D400000}"/>
    <cellStyle name="0_MAJOR COMODITES for6094 2 3 2 2 3" xfId="16428" xr:uid="{00000000-0005-0000-0000-00001E400000}"/>
    <cellStyle name="0_MAJOR COMODITES for6094 2 3 2 2 3 2" xfId="16429" xr:uid="{00000000-0005-0000-0000-00001F400000}"/>
    <cellStyle name="0_MAJOR COMODITES for6094 2 3 2 2 4" xfId="16430" xr:uid="{00000000-0005-0000-0000-000020400000}"/>
    <cellStyle name="0_MAJOR COMODITES for6094 2 3 2 3" xfId="16431" xr:uid="{00000000-0005-0000-0000-000021400000}"/>
    <cellStyle name="0_MAJOR COMODITES for6094 2 3 2 3 2" xfId="16432" xr:uid="{00000000-0005-0000-0000-000022400000}"/>
    <cellStyle name="0_MAJOR COMODITES for6094 2 3 2 3 2 2" xfId="16433" xr:uid="{00000000-0005-0000-0000-000023400000}"/>
    <cellStyle name="0_MAJOR COMODITES for6094 2 3 2 3 3" xfId="16434" xr:uid="{00000000-0005-0000-0000-000024400000}"/>
    <cellStyle name="0_MAJOR COMODITES for6094 2 3 2 3 3 2" xfId="16435" xr:uid="{00000000-0005-0000-0000-000025400000}"/>
    <cellStyle name="0_MAJOR COMODITES for6094 2 3 2 3 4" xfId="16436" xr:uid="{00000000-0005-0000-0000-000026400000}"/>
    <cellStyle name="0_MAJOR COMODITES for6094 2 3 2 4" xfId="16437" xr:uid="{00000000-0005-0000-0000-000027400000}"/>
    <cellStyle name="0_MAJOR COMODITES for6094 2 3 2 4 2" xfId="16438" xr:uid="{00000000-0005-0000-0000-000028400000}"/>
    <cellStyle name="0_MAJOR COMODITES for6094 2 3 2 5" xfId="16439" xr:uid="{00000000-0005-0000-0000-000029400000}"/>
    <cellStyle name="0_MAJOR COMODITES for6094 2 3 2 5 2" xfId="16440" xr:uid="{00000000-0005-0000-0000-00002A400000}"/>
    <cellStyle name="0_MAJOR COMODITES for6094 2 3 2 6" xfId="16441" xr:uid="{00000000-0005-0000-0000-00002B400000}"/>
    <cellStyle name="0_MAJOR COMODITES for6094 2 3 3" xfId="16442" xr:uid="{00000000-0005-0000-0000-00002C400000}"/>
    <cellStyle name="0_MAJOR COMODITES for6094 2 3 3 2" xfId="16443" xr:uid="{00000000-0005-0000-0000-00002D400000}"/>
    <cellStyle name="0_MAJOR COMODITES for6094 2 3 3 2 2" xfId="16444" xr:uid="{00000000-0005-0000-0000-00002E400000}"/>
    <cellStyle name="0_MAJOR COMODITES for6094 2 3 3 3" xfId="16445" xr:uid="{00000000-0005-0000-0000-00002F400000}"/>
    <cellStyle name="0_MAJOR COMODITES for6094 2 3 3 3 2" xfId="16446" xr:uid="{00000000-0005-0000-0000-000030400000}"/>
    <cellStyle name="0_MAJOR COMODITES for6094 2 3 3 4" xfId="16447" xr:uid="{00000000-0005-0000-0000-000031400000}"/>
    <cellStyle name="0_MAJOR COMODITES for6094 2 3 4" xfId="16448" xr:uid="{00000000-0005-0000-0000-000032400000}"/>
    <cellStyle name="0_MAJOR COMODITES for6094 2 3 4 2" xfId="16449" xr:uid="{00000000-0005-0000-0000-000033400000}"/>
    <cellStyle name="0_MAJOR COMODITES for6094 2 3 4 2 2" xfId="16450" xr:uid="{00000000-0005-0000-0000-000034400000}"/>
    <cellStyle name="0_MAJOR COMODITES for6094 2 3 4 3" xfId="16451" xr:uid="{00000000-0005-0000-0000-000035400000}"/>
    <cellStyle name="0_MAJOR COMODITES for6094 2 3 4 3 2" xfId="16452" xr:uid="{00000000-0005-0000-0000-000036400000}"/>
    <cellStyle name="0_MAJOR COMODITES for6094 2 3 4 4" xfId="16453" xr:uid="{00000000-0005-0000-0000-000037400000}"/>
    <cellStyle name="0_MAJOR COMODITES for6094 2 3 5" xfId="16454" xr:uid="{00000000-0005-0000-0000-000038400000}"/>
    <cellStyle name="0_MAJOR COMODITES for6094 2 3 5 2" xfId="16455" xr:uid="{00000000-0005-0000-0000-000039400000}"/>
    <cellStyle name="0_MAJOR COMODITES for6094 2 3 5 2 2" xfId="16456" xr:uid="{00000000-0005-0000-0000-00003A400000}"/>
    <cellStyle name="0_MAJOR COMODITES for6094 2 3 5 3" xfId="16457" xr:uid="{00000000-0005-0000-0000-00003B400000}"/>
    <cellStyle name="0_MAJOR COMODITES for6094 2 3 5 3 2" xfId="16458" xr:uid="{00000000-0005-0000-0000-00003C400000}"/>
    <cellStyle name="0_MAJOR COMODITES for6094 2 3 5 4" xfId="16459" xr:uid="{00000000-0005-0000-0000-00003D400000}"/>
    <cellStyle name="0_MAJOR COMODITES for6094 2 3 6" xfId="16460" xr:uid="{00000000-0005-0000-0000-00003E400000}"/>
    <cellStyle name="0_MAJOR COMODITES for6094 2 3 6 2" xfId="16461" xr:uid="{00000000-0005-0000-0000-00003F400000}"/>
    <cellStyle name="0_MAJOR COMODITES for6094 2 3 7" xfId="16462" xr:uid="{00000000-0005-0000-0000-000040400000}"/>
    <cellStyle name="0_MAJOR COMODITES for6094 2 3 7 2" xfId="16463" xr:uid="{00000000-0005-0000-0000-000041400000}"/>
    <cellStyle name="0_MAJOR COMODITES for6094 2 3 8" xfId="16464" xr:uid="{00000000-0005-0000-0000-000042400000}"/>
    <cellStyle name="0_MAJOR COMODITES for6094 2 4" xfId="16465" xr:uid="{00000000-0005-0000-0000-000043400000}"/>
    <cellStyle name="0_MAJOR COMODITES for6094 2 4 2" xfId="16466" xr:uid="{00000000-0005-0000-0000-000044400000}"/>
    <cellStyle name="0_MAJOR COMODITES for6094 2 4 2 2" xfId="16467" xr:uid="{00000000-0005-0000-0000-000045400000}"/>
    <cellStyle name="0_MAJOR COMODITES for6094 2 4 2 2 2" xfId="16468" xr:uid="{00000000-0005-0000-0000-000046400000}"/>
    <cellStyle name="0_MAJOR COMODITES for6094 2 4 2 2 2 2" xfId="16469" xr:uid="{00000000-0005-0000-0000-000047400000}"/>
    <cellStyle name="0_MAJOR COMODITES for6094 2 4 2 2 3" xfId="16470" xr:uid="{00000000-0005-0000-0000-000048400000}"/>
    <cellStyle name="0_MAJOR COMODITES for6094 2 4 2 2 3 2" xfId="16471" xr:uid="{00000000-0005-0000-0000-000049400000}"/>
    <cellStyle name="0_MAJOR COMODITES for6094 2 4 2 2 4" xfId="16472" xr:uid="{00000000-0005-0000-0000-00004A400000}"/>
    <cellStyle name="0_MAJOR COMODITES for6094 2 4 2 3" xfId="16473" xr:uid="{00000000-0005-0000-0000-00004B400000}"/>
    <cellStyle name="0_MAJOR COMODITES for6094 2 4 2 3 2" xfId="16474" xr:uid="{00000000-0005-0000-0000-00004C400000}"/>
    <cellStyle name="0_MAJOR COMODITES for6094 2 4 2 3 2 2" xfId="16475" xr:uid="{00000000-0005-0000-0000-00004D400000}"/>
    <cellStyle name="0_MAJOR COMODITES for6094 2 4 2 3 3" xfId="16476" xr:uid="{00000000-0005-0000-0000-00004E400000}"/>
    <cellStyle name="0_MAJOR COMODITES for6094 2 4 2 3 3 2" xfId="16477" xr:uid="{00000000-0005-0000-0000-00004F400000}"/>
    <cellStyle name="0_MAJOR COMODITES for6094 2 4 2 3 4" xfId="16478" xr:uid="{00000000-0005-0000-0000-000050400000}"/>
    <cellStyle name="0_MAJOR COMODITES for6094 2 4 2 4" xfId="16479" xr:uid="{00000000-0005-0000-0000-000051400000}"/>
    <cellStyle name="0_MAJOR COMODITES for6094 2 4 2 4 2" xfId="16480" xr:uid="{00000000-0005-0000-0000-000052400000}"/>
    <cellStyle name="0_MAJOR COMODITES for6094 2 4 2 5" xfId="16481" xr:uid="{00000000-0005-0000-0000-000053400000}"/>
    <cellStyle name="0_MAJOR COMODITES for6094 2 4 2 5 2" xfId="16482" xr:uid="{00000000-0005-0000-0000-000054400000}"/>
    <cellStyle name="0_MAJOR COMODITES for6094 2 4 2 6" xfId="16483" xr:uid="{00000000-0005-0000-0000-000055400000}"/>
    <cellStyle name="0_MAJOR COMODITES for6094 2 4 3" xfId="16484" xr:uid="{00000000-0005-0000-0000-000056400000}"/>
    <cellStyle name="0_MAJOR COMODITES for6094 2 4 3 2" xfId="16485" xr:uid="{00000000-0005-0000-0000-000057400000}"/>
    <cellStyle name="0_MAJOR COMODITES for6094 2 4 3 2 2" xfId="16486" xr:uid="{00000000-0005-0000-0000-000058400000}"/>
    <cellStyle name="0_MAJOR COMODITES for6094 2 4 3 3" xfId="16487" xr:uid="{00000000-0005-0000-0000-000059400000}"/>
    <cellStyle name="0_MAJOR COMODITES for6094 2 4 3 3 2" xfId="16488" xr:uid="{00000000-0005-0000-0000-00005A400000}"/>
    <cellStyle name="0_MAJOR COMODITES for6094 2 4 3 4" xfId="16489" xr:uid="{00000000-0005-0000-0000-00005B400000}"/>
    <cellStyle name="0_MAJOR COMODITES for6094 2 4 4" xfId="16490" xr:uid="{00000000-0005-0000-0000-00005C400000}"/>
    <cellStyle name="0_MAJOR COMODITES for6094 2 4 4 2" xfId="16491" xr:uid="{00000000-0005-0000-0000-00005D400000}"/>
    <cellStyle name="0_MAJOR COMODITES for6094 2 4 4 2 2" xfId="16492" xr:uid="{00000000-0005-0000-0000-00005E400000}"/>
    <cellStyle name="0_MAJOR COMODITES for6094 2 4 4 3" xfId="16493" xr:uid="{00000000-0005-0000-0000-00005F400000}"/>
    <cellStyle name="0_MAJOR COMODITES for6094 2 4 4 3 2" xfId="16494" xr:uid="{00000000-0005-0000-0000-000060400000}"/>
    <cellStyle name="0_MAJOR COMODITES for6094 2 4 4 4" xfId="16495" xr:uid="{00000000-0005-0000-0000-000061400000}"/>
    <cellStyle name="0_MAJOR COMODITES for6094 2 4 5" xfId="16496" xr:uid="{00000000-0005-0000-0000-000062400000}"/>
    <cellStyle name="0_MAJOR COMODITES for6094 2 4 5 2" xfId="16497" xr:uid="{00000000-0005-0000-0000-000063400000}"/>
    <cellStyle name="0_MAJOR COMODITES for6094 2 4 5 2 2" xfId="16498" xr:uid="{00000000-0005-0000-0000-000064400000}"/>
    <cellStyle name="0_MAJOR COMODITES for6094 2 4 5 3" xfId="16499" xr:uid="{00000000-0005-0000-0000-000065400000}"/>
    <cellStyle name="0_MAJOR COMODITES for6094 2 4 5 3 2" xfId="16500" xr:uid="{00000000-0005-0000-0000-000066400000}"/>
    <cellStyle name="0_MAJOR COMODITES for6094 2 4 5 4" xfId="16501" xr:uid="{00000000-0005-0000-0000-000067400000}"/>
    <cellStyle name="0_MAJOR COMODITES for6094 2 4 6" xfId="16502" xr:uid="{00000000-0005-0000-0000-000068400000}"/>
    <cellStyle name="0_MAJOR COMODITES for6094 2 4 6 2" xfId="16503" xr:uid="{00000000-0005-0000-0000-000069400000}"/>
    <cellStyle name="0_MAJOR COMODITES for6094 2 4 7" xfId="16504" xr:uid="{00000000-0005-0000-0000-00006A400000}"/>
    <cellStyle name="0_MAJOR COMODITES for6094 2 4 7 2" xfId="16505" xr:uid="{00000000-0005-0000-0000-00006B400000}"/>
    <cellStyle name="0_MAJOR COMODITES for6094 2 4 8" xfId="16506" xr:uid="{00000000-0005-0000-0000-00006C400000}"/>
    <cellStyle name="0_MAJOR COMODITES for6094 2 5" xfId="16507" xr:uid="{00000000-0005-0000-0000-00006D400000}"/>
    <cellStyle name="0_MAJOR COMODITES for6094 2 5 2" xfId="16508" xr:uid="{00000000-0005-0000-0000-00006E400000}"/>
    <cellStyle name="0_MAJOR COMODITES for6094 2 5 2 2" xfId="16509" xr:uid="{00000000-0005-0000-0000-00006F400000}"/>
    <cellStyle name="0_MAJOR COMODITES for6094 2 5 2 2 2" xfId="16510" xr:uid="{00000000-0005-0000-0000-000070400000}"/>
    <cellStyle name="0_MAJOR COMODITES for6094 2 5 2 2 2 2" xfId="16511" xr:uid="{00000000-0005-0000-0000-000071400000}"/>
    <cellStyle name="0_MAJOR COMODITES for6094 2 5 2 2 3" xfId="16512" xr:uid="{00000000-0005-0000-0000-000072400000}"/>
    <cellStyle name="0_MAJOR COMODITES for6094 2 5 2 2 3 2" xfId="16513" xr:uid="{00000000-0005-0000-0000-000073400000}"/>
    <cellStyle name="0_MAJOR COMODITES for6094 2 5 2 2 4" xfId="16514" xr:uid="{00000000-0005-0000-0000-000074400000}"/>
    <cellStyle name="0_MAJOR COMODITES for6094 2 5 2 3" xfId="16515" xr:uid="{00000000-0005-0000-0000-000075400000}"/>
    <cellStyle name="0_MAJOR COMODITES for6094 2 5 2 3 2" xfId="16516" xr:uid="{00000000-0005-0000-0000-000076400000}"/>
    <cellStyle name="0_MAJOR COMODITES for6094 2 5 2 3 2 2" xfId="16517" xr:uid="{00000000-0005-0000-0000-000077400000}"/>
    <cellStyle name="0_MAJOR COMODITES for6094 2 5 2 3 3" xfId="16518" xr:uid="{00000000-0005-0000-0000-000078400000}"/>
    <cellStyle name="0_MAJOR COMODITES for6094 2 5 2 3 3 2" xfId="16519" xr:uid="{00000000-0005-0000-0000-000079400000}"/>
    <cellStyle name="0_MAJOR COMODITES for6094 2 5 2 3 4" xfId="16520" xr:uid="{00000000-0005-0000-0000-00007A400000}"/>
    <cellStyle name="0_MAJOR COMODITES for6094 2 5 2 4" xfId="16521" xr:uid="{00000000-0005-0000-0000-00007B400000}"/>
    <cellStyle name="0_MAJOR COMODITES for6094 2 5 2 4 2" xfId="16522" xr:uid="{00000000-0005-0000-0000-00007C400000}"/>
    <cellStyle name="0_MAJOR COMODITES for6094 2 5 2 5" xfId="16523" xr:uid="{00000000-0005-0000-0000-00007D400000}"/>
    <cellStyle name="0_MAJOR COMODITES for6094 2 5 2 5 2" xfId="16524" xr:uid="{00000000-0005-0000-0000-00007E400000}"/>
    <cellStyle name="0_MAJOR COMODITES for6094 2 5 2 6" xfId="16525" xr:uid="{00000000-0005-0000-0000-00007F400000}"/>
    <cellStyle name="0_MAJOR COMODITES for6094 2 5 3" xfId="16526" xr:uid="{00000000-0005-0000-0000-000080400000}"/>
    <cellStyle name="0_MAJOR COMODITES for6094 2 5 3 2" xfId="16527" xr:uid="{00000000-0005-0000-0000-000081400000}"/>
    <cellStyle name="0_MAJOR COMODITES for6094 2 5 3 2 2" xfId="16528" xr:uid="{00000000-0005-0000-0000-000082400000}"/>
    <cellStyle name="0_MAJOR COMODITES for6094 2 5 3 3" xfId="16529" xr:uid="{00000000-0005-0000-0000-000083400000}"/>
    <cellStyle name="0_MAJOR COMODITES for6094 2 5 3 3 2" xfId="16530" xr:uid="{00000000-0005-0000-0000-000084400000}"/>
    <cellStyle name="0_MAJOR COMODITES for6094 2 5 3 4" xfId="16531" xr:uid="{00000000-0005-0000-0000-000085400000}"/>
    <cellStyle name="0_MAJOR COMODITES for6094 2 5 4" xfId="16532" xr:uid="{00000000-0005-0000-0000-000086400000}"/>
    <cellStyle name="0_MAJOR COMODITES for6094 2 5 4 2" xfId="16533" xr:uid="{00000000-0005-0000-0000-000087400000}"/>
    <cellStyle name="0_MAJOR COMODITES for6094 2 5 4 2 2" xfId="16534" xr:uid="{00000000-0005-0000-0000-000088400000}"/>
    <cellStyle name="0_MAJOR COMODITES for6094 2 5 4 3" xfId="16535" xr:uid="{00000000-0005-0000-0000-000089400000}"/>
    <cellStyle name="0_MAJOR COMODITES for6094 2 5 4 3 2" xfId="16536" xr:uid="{00000000-0005-0000-0000-00008A400000}"/>
    <cellStyle name="0_MAJOR COMODITES for6094 2 5 4 4" xfId="16537" xr:uid="{00000000-0005-0000-0000-00008B400000}"/>
    <cellStyle name="0_MAJOR COMODITES for6094 2 5 5" xfId="16538" xr:uid="{00000000-0005-0000-0000-00008C400000}"/>
    <cellStyle name="0_MAJOR COMODITES for6094 2 5 5 2" xfId="16539" xr:uid="{00000000-0005-0000-0000-00008D400000}"/>
    <cellStyle name="0_MAJOR COMODITES for6094 2 5 5 2 2" xfId="16540" xr:uid="{00000000-0005-0000-0000-00008E400000}"/>
    <cellStyle name="0_MAJOR COMODITES for6094 2 5 5 3" xfId="16541" xr:uid="{00000000-0005-0000-0000-00008F400000}"/>
    <cellStyle name="0_MAJOR COMODITES for6094 2 5 5 3 2" xfId="16542" xr:uid="{00000000-0005-0000-0000-000090400000}"/>
    <cellStyle name="0_MAJOR COMODITES for6094 2 5 5 4" xfId="16543" xr:uid="{00000000-0005-0000-0000-000091400000}"/>
    <cellStyle name="0_MAJOR COMODITES for6094 2 5 6" xfId="16544" xr:uid="{00000000-0005-0000-0000-000092400000}"/>
    <cellStyle name="0_MAJOR COMODITES for6094 2 5 6 2" xfId="16545" xr:uid="{00000000-0005-0000-0000-000093400000}"/>
    <cellStyle name="0_MAJOR COMODITES for6094 2 5 7" xfId="16546" xr:uid="{00000000-0005-0000-0000-000094400000}"/>
    <cellStyle name="0_MAJOR COMODITES for6094 2 5 7 2" xfId="16547" xr:uid="{00000000-0005-0000-0000-000095400000}"/>
    <cellStyle name="0_MAJOR COMODITES for6094 2 5 8" xfId="16548" xr:uid="{00000000-0005-0000-0000-000096400000}"/>
    <cellStyle name="0_MAJOR COMODITES for6094 2 6" xfId="16549" xr:uid="{00000000-0005-0000-0000-000097400000}"/>
    <cellStyle name="0_MAJOR COMODITES for6094 2 6 2" xfId="16550" xr:uid="{00000000-0005-0000-0000-000098400000}"/>
    <cellStyle name="0_MAJOR COMODITES for6094 2 6 2 2" xfId="16551" xr:uid="{00000000-0005-0000-0000-000099400000}"/>
    <cellStyle name="0_MAJOR COMODITES for6094 2 6 2 2 2" xfId="16552" xr:uid="{00000000-0005-0000-0000-00009A400000}"/>
    <cellStyle name="0_MAJOR COMODITES for6094 2 6 2 2 2 2" xfId="16553" xr:uid="{00000000-0005-0000-0000-00009B400000}"/>
    <cellStyle name="0_MAJOR COMODITES for6094 2 6 2 2 3" xfId="16554" xr:uid="{00000000-0005-0000-0000-00009C400000}"/>
    <cellStyle name="0_MAJOR COMODITES for6094 2 6 2 2 3 2" xfId="16555" xr:uid="{00000000-0005-0000-0000-00009D400000}"/>
    <cellStyle name="0_MAJOR COMODITES for6094 2 6 2 2 4" xfId="16556" xr:uid="{00000000-0005-0000-0000-00009E400000}"/>
    <cellStyle name="0_MAJOR COMODITES for6094 2 6 2 3" xfId="16557" xr:uid="{00000000-0005-0000-0000-00009F400000}"/>
    <cellStyle name="0_MAJOR COMODITES for6094 2 6 2 3 2" xfId="16558" xr:uid="{00000000-0005-0000-0000-0000A0400000}"/>
    <cellStyle name="0_MAJOR COMODITES for6094 2 6 2 3 2 2" xfId="16559" xr:uid="{00000000-0005-0000-0000-0000A1400000}"/>
    <cellStyle name="0_MAJOR COMODITES for6094 2 6 2 3 3" xfId="16560" xr:uid="{00000000-0005-0000-0000-0000A2400000}"/>
    <cellStyle name="0_MAJOR COMODITES for6094 2 6 2 3 3 2" xfId="16561" xr:uid="{00000000-0005-0000-0000-0000A3400000}"/>
    <cellStyle name="0_MAJOR COMODITES for6094 2 6 2 3 4" xfId="16562" xr:uid="{00000000-0005-0000-0000-0000A4400000}"/>
    <cellStyle name="0_MAJOR COMODITES for6094 2 6 2 4" xfId="16563" xr:uid="{00000000-0005-0000-0000-0000A5400000}"/>
    <cellStyle name="0_MAJOR COMODITES for6094 2 6 2 4 2" xfId="16564" xr:uid="{00000000-0005-0000-0000-0000A6400000}"/>
    <cellStyle name="0_MAJOR COMODITES for6094 2 6 2 5" xfId="16565" xr:uid="{00000000-0005-0000-0000-0000A7400000}"/>
    <cellStyle name="0_MAJOR COMODITES for6094 2 6 2 5 2" xfId="16566" xr:uid="{00000000-0005-0000-0000-0000A8400000}"/>
    <cellStyle name="0_MAJOR COMODITES for6094 2 6 2 6" xfId="16567" xr:uid="{00000000-0005-0000-0000-0000A9400000}"/>
    <cellStyle name="0_MAJOR COMODITES for6094 2 6 3" xfId="16568" xr:uid="{00000000-0005-0000-0000-0000AA400000}"/>
    <cellStyle name="0_MAJOR COMODITES for6094 2 6 3 2" xfId="16569" xr:uid="{00000000-0005-0000-0000-0000AB400000}"/>
    <cellStyle name="0_MAJOR COMODITES for6094 2 6 3 2 2" xfId="16570" xr:uid="{00000000-0005-0000-0000-0000AC400000}"/>
    <cellStyle name="0_MAJOR COMODITES for6094 2 6 3 3" xfId="16571" xr:uid="{00000000-0005-0000-0000-0000AD400000}"/>
    <cellStyle name="0_MAJOR COMODITES for6094 2 6 3 3 2" xfId="16572" xr:uid="{00000000-0005-0000-0000-0000AE400000}"/>
    <cellStyle name="0_MAJOR COMODITES for6094 2 6 3 4" xfId="16573" xr:uid="{00000000-0005-0000-0000-0000AF400000}"/>
    <cellStyle name="0_MAJOR COMODITES for6094 2 6 4" xfId="16574" xr:uid="{00000000-0005-0000-0000-0000B0400000}"/>
    <cellStyle name="0_MAJOR COMODITES for6094 2 6 4 2" xfId="16575" xr:uid="{00000000-0005-0000-0000-0000B1400000}"/>
    <cellStyle name="0_MAJOR COMODITES for6094 2 6 4 2 2" xfId="16576" xr:uid="{00000000-0005-0000-0000-0000B2400000}"/>
    <cellStyle name="0_MAJOR COMODITES for6094 2 6 4 3" xfId="16577" xr:uid="{00000000-0005-0000-0000-0000B3400000}"/>
    <cellStyle name="0_MAJOR COMODITES for6094 2 6 4 3 2" xfId="16578" xr:uid="{00000000-0005-0000-0000-0000B4400000}"/>
    <cellStyle name="0_MAJOR COMODITES for6094 2 6 4 4" xfId="16579" xr:uid="{00000000-0005-0000-0000-0000B5400000}"/>
    <cellStyle name="0_MAJOR COMODITES for6094 2 6 5" xfId="16580" xr:uid="{00000000-0005-0000-0000-0000B6400000}"/>
    <cellStyle name="0_MAJOR COMODITES for6094 2 6 5 2" xfId="16581" xr:uid="{00000000-0005-0000-0000-0000B7400000}"/>
    <cellStyle name="0_MAJOR COMODITES for6094 2 6 5 2 2" xfId="16582" xr:uid="{00000000-0005-0000-0000-0000B8400000}"/>
    <cellStyle name="0_MAJOR COMODITES for6094 2 6 5 3" xfId="16583" xr:uid="{00000000-0005-0000-0000-0000B9400000}"/>
    <cellStyle name="0_MAJOR COMODITES for6094 2 6 5 3 2" xfId="16584" xr:uid="{00000000-0005-0000-0000-0000BA400000}"/>
    <cellStyle name="0_MAJOR COMODITES for6094 2 6 5 4" xfId="16585" xr:uid="{00000000-0005-0000-0000-0000BB400000}"/>
    <cellStyle name="0_MAJOR COMODITES for6094 2 6 6" xfId="16586" xr:uid="{00000000-0005-0000-0000-0000BC400000}"/>
    <cellStyle name="0_MAJOR COMODITES for6094 2 6 6 2" xfId="16587" xr:uid="{00000000-0005-0000-0000-0000BD400000}"/>
    <cellStyle name="0_MAJOR COMODITES for6094 2 6 7" xfId="16588" xr:uid="{00000000-0005-0000-0000-0000BE400000}"/>
    <cellStyle name="0_MAJOR COMODITES for6094 2 6 7 2" xfId="16589" xr:uid="{00000000-0005-0000-0000-0000BF400000}"/>
    <cellStyle name="0_MAJOR COMODITES for6094 2 6 8" xfId="16590" xr:uid="{00000000-0005-0000-0000-0000C0400000}"/>
    <cellStyle name="0_MAJOR COMODITES for6094 2 7" xfId="16591" xr:uid="{00000000-0005-0000-0000-0000C1400000}"/>
    <cellStyle name="0_MAJOR COMODITES for6094 2 7 2" xfId="16592" xr:uid="{00000000-0005-0000-0000-0000C2400000}"/>
    <cellStyle name="0_MAJOR COMODITES for6094 2 7 2 2" xfId="16593" xr:uid="{00000000-0005-0000-0000-0000C3400000}"/>
    <cellStyle name="0_MAJOR COMODITES for6094 2 7 2 2 2" xfId="16594" xr:uid="{00000000-0005-0000-0000-0000C4400000}"/>
    <cellStyle name="0_MAJOR COMODITES for6094 2 7 2 3" xfId="16595" xr:uid="{00000000-0005-0000-0000-0000C5400000}"/>
    <cellStyle name="0_MAJOR COMODITES for6094 2 7 2 3 2" xfId="16596" xr:uid="{00000000-0005-0000-0000-0000C6400000}"/>
    <cellStyle name="0_MAJOR COMODITES for6094 2 7 2 4" xfId="16597" xr:uid="{00000000-0005-0000-0000-0000C7400000}"/>
    <cellStyle name="0_MAJOR COMODITES for6094 2 7 3" xfId="16598" xr:uid="{00000000-0005-0000-0000-0000C8400000}"/>
    <cellStyle name="0_MAJOR COMODITES for6094 2 7 3 2" xfId="16599" xr:uid="{00000000-0005-0000-0000-0000C9400000}"/>
    <cellStyle name="0_MAJOR COMODITES for6094 2 7 3 2 2" xfId="16600" xr:uid="{00000000-0005-0000-0000-0000CA400000}"/>
    <cellStyle name="0_MAJOR COMODITES for6094 2 7 3 3" xfId="16601" xr:uid="{00000000-0005-0000-0000-0000CB400000}"/>
    <cellStyle name="0_MAJOR COMODITES for6094 2 7 3 3 2" xfId="16602" xr:uid="{00000000-0005-0000-0000-0000CC400000}"/>
    <cellStyle name="0_MAJOR COMODITES for6094 2 7 3 4" xfId="16603" xr:uid="{00000000-0005-0000-0000-0000CD400000}"/>
    <cellStyle name="0_MAJOR COMODITES for6094 2 7 4" xfId="16604" xr:uid="{00000000-0005-0000-0000-0000CE400000}"/>
    <cellStyle name="0_MAJOR COMODITES for6094 2 7 4 2" xfId="16605" xr:uid="{00000000-0005-0000-0000-0000CF400000}"/>
    <cellStyle name="0_MAJOR COMODITES for6094 2 7 5" xfId="16606" xr:uid="{00000000-0005-0000-0000-0000D0400000}"/>
    <cellStyle name="0_MAJOR COMODITES for6094 2 7 5 2" xfId="16607" xr:uid="{00000000-0005-0000-0000-0000D1400000}"/>
    <cellStyle name="0_MAJOR COMODITES for6094 2 7 6" xfId="16608" xr:uid="{00000000-0005-0000-0000-0000D2400000}"/>
    <cellStyle name="0_MAJOR COMODITES for6094 2 8" xfId="16609" xr:uid="{00000000-0005-0000-0000-0000D3400000}"/>
    <cellStyle name="0_MAJOR COMODITES for6094 2 8 2" xfId="16610" xr:uid="{00000000-0005-0000-0000-0000D4400000}"/>
    <cellStyle name="0_MAJOR COMODITES for6094 2 8 2 2" xfId="16611" xr:uid="{00000000-0005-0000-0000-0000D5400000}"/>
    <cellStyle name="0_MAJOR COMODITES for6094 2 8 3" xfId="16612" xr:uid="{00000000-0005-0000-0000-0000D6400000}"/>
    <cellStyle name="0_MAJOR COMODITES for6094 2 8 3 2" xfId="16613" xr:uid="{00000000-0005-0000-0000-0000D7400000}"/>
    <cellStyle name="0_MAJOR COMODITES for6094 2 8 4" xfId="16614" xr:uid="{00000000-0005-0000-0000-0000D8400000}"/>
    <cellStyle name="0_MAJOR COMODITES for6094 2 9" xfId="16615" xr:uid="{00000000-0005-0000-0000-0000D9400000}"/>
    <cellStyle name="0_MAJOR COMODITES for6094 2 9 2" xfId="16616" xr:uid="{00000000-0005-0000-0000-0000DA400000}"/>
    <cellStyle name="0_MAJOR COMODITES for6094 2 9 2 2" xfId="16617" xr:uid="{00000000-0005-0000-0000-0000DB400000}"/>
    <cellStyle name="0_MAJOR COMODITES for6094 2 9 3" xfId="16618" xr:uid="{00000000-0005-0000-0000-0000DC400000}"/>
    <cellStyle name="0_MAJOR COMODITES for6094 2 9 3 2" xfId="16619" xr:uid="{00000000-0005-0000-0000-0000DD400000}"/>
    <cellStyle name="0_MAJOR COMODITES for6094 2 9 4" xfId="16620" xr:uid="{00000000-0005-0000-0000-0000DE400000}"/>
    <cellStyle name="0_MAJOR COMODITES for6094 20" xfId="16621" xr:uid="{00000000-0005-0000-0000-0000DF400000}"/>
    <cellStyle name="0_MAJOR COMODITES for6094 21" xfId="16622" xr:uid="{00000000-0005-0000-0000-0000E0400000}"/>
    <cellStyle name="0_MAJOR COMODITES for6094 3" xfId="16623" xr:uid="{00000000-0005-0000-0000-0000E1400000}"/>
    <cellStyle name="0_MAJOR COMODITES for6094 3 10" xfId="16624" xr:uid="{00000000-0005-0000-0000-0000E2400000}"/>
    <cellStyle name="0_MAJOR COMODITES for6094 3 10 2" xfId="16625" xr:uid="{00000000-0005-0000-0000-0000E3400000}"/>
    <cellStyle name="0_MAJOR COMODITES for6094 3 10 2 2" xfId="16626" xr:uid="{00000000-0005-0000-0000-0000E4400000}"/>
    <cellStyle name="0_MAJOR COMODITES for6094 3 10 3" xfId="16627" xr:uid="{00000000-0005-0000-0000-0000E5400000}"/>
    <cellStyle name="0_MAJOR COMODITES for6094 3 10 3 2" xfId="16628" xr:uid="{00000000-0005-0000-0000-0000E6400000}"/>
    <cellStyle name="0_MAJOR COMODITES for6094 3 10 4" xfId="16629" xr:uid="{00000000-0005-0000-0000-0000E7400000}"/>
    <cellStyle name="0_MAJOR COMODITES for6094 3 11" xfId="16630" xr:uid="{00000000-0005-0000-0000-0000E8400000}"/>
    <cellStyle name="0_MAJOR COMODITES for6094 3 11 2" xfId="16631" xr:uid="{00000000-0005-0000-0000-0000E9400000}"/>
    <cellStyle name="0_MAJOR COMODITES for6094 3 12" xfId="16632" xr:uid="{00000000-0005-0000-0000-0000EA400000}"/>
    <cellStyle name="0_MAJOR COMODITES for6094 3 12 2" xfId="16633" xr:uid="{00000000-0005-0000-0000-0000EB400000}"/>
    <cellStyle name="0_MAJOR COMODITES for6094 3 13" xfId="16634" xr:uid="{00000000-0005-0000-0000-0000EC400000}"/>
    <cellStyle name="0_MAJOR COMODITES for6094 3 2" xfId="16635" xr:uid="{00000000-0005-0000-0000-0000ED400000}"/>
    <cellStyle name="0_MAJOR COMODITES for6094 3 2 2" xfId="16636" xr:uid="{00000000-0005-0000-0000-0000EE400000}"/>
    <cellStyle name="0_MAJOR COMODITES for6094 3 2 2 2" xfId="16637" xr:uid="{00000000-0005-0000-0000-0000EF400000}"/>
    <cellStyle name="0_MAJOR COMODITES for6094 3 2 2 2 2" xfId="16638" xr:uid="{00000000-0005-0000-0000-0000F0400000}"/>
    <cellStyle name="0_MAJOR COMODITES for6094 3 2 2 2 2 2" xfId="16639" xr:uid="{00000000-0005-0000-0000-0000F1400000}"/>
    <cellStyle name="0_MAJOR COMODITES for6094 3 2 2 2 3" xfId="16640" xr:uid="{00000000-0005-0000-0000-0000F2400000}"/>
    <cellStyle name="0_MAJOR COMODITES for6094 3 2 2 2 3 2" xfId="16641" xr:uid="{00000000-0005-0000-0000-0000F3400000}"/>
    <cellStyle name="0_MAJOR COMODITES for6094 3 2 2 2 4" xfId="16642" xr:uid="{00000000-0005-0000-0000-0000F4400000}"/>
    <cellStyle name="0_MAJOR COMODITES for6094 3 2 2 3" xfId="16643" xr:uid="{00000000-0005-0000-0000-0000F5400000}"/>
    <cellStyle name="0_MAJOR COMODITES for6094 3 2 2 3 2" xfId="16644" xr:uid="{00000000-0005-0000-0000-0000F6400000}"/>
    <cellStyle name="0_MAJOR COMODITES for6094 3 2 2 3 2 2" xfId="16645" xr:uid="{00000000-0005-0000-0000-0000F7400000}"/>
    <cellStyle name="0_MAJOR COMODITES for6094 3 2 2 3 3" xfId="16646" xr:uid="{00000000-0005-0000-0000-0000F8400000}"/>
    <cellStyle name="0_MAJOR COMODITES for6094 3 2 2 3 3 2" xfId="16647" xr:uid="{00000000-0005-0000-0000-0000F9400000}"/>
    <cellStyle name="0_MAJOR COMODITES for6094 3 2 2 3 4" xfId="16648" xr:uid="{00000000-0005-0000-0000-0000FA400000}"/>
    <cellStyle name="0_MAJOR COMODITES for6094 3 2 2 4" xfId="16649" xr:uid="{00000000-0005-0000-0000-0000FB400000}"/>
    <cellStyle name="0_MAJOR COMODITES for6094 3 2 2 4 2" xfId="16650" xr:uid="{00000000-0005-0000-0000-0000FC400000}"/>
    <cellStyle name="0_MAJOR COMODITES for6094 3 2 2 5" xfId="16651" xr:uid="{00000000-0005-0000-0000-0000FD400000}"/>
    <cellStyle name="0_MAJOR COMODITES for6094 3 2 2 5 2" xfId="16652" xr:uid="{00000000-0005-0000-0000-0000FE400000}"/>
    <cellStyle name="0_MAJOR COMODITES for6094 3 2 2 6" xfId="16653" xr:uid="{00000000-0005-0000-0000-0000FF400000}"/>
    <cellStyle name="0_MAJOR COMODITES for6094 3 2 3" xfId="16654" xr:uid="{00000000-0005-0000-0000-000000410000}"/>
    <cellStyle name="0_MAJOR COMODITES for6094 3 2 3 2" xfId="16655" xr:uid="{00000000-0005-0000-0000-000001410000}"/>
    <cellStyle name="0_MAJOR COMODITES for6094 3 2 3 2 2" xfId="16656" xr:uid="{00000000-0005-0000-0000-000002410000}"/>
    <cellStyle name="0_MAJOR COMODITES for6094 3 2 3 3" xfId="16657" xr:uid="{00000000-0005-0000-0000-000003410000}"/>
    <cellStyle name="0_MAJOR COMODITES for6094 3 2 3 3 2" xfId="16658" xr:uid="{00000000-0005-0000-0000-000004410000}"/>
    <cellStyle name="0_MAJOR COMODITES for6094 3 2 3 4" xfId="16659" xr:uid="{00000000-0005-0000-0000-000005410000}"/>
    <cellStyle name="0_MAJOR COMODITES for6094 3 2 4" xfId="16660" xr:uid="{00000000-0005-0000-0000-000006410000}"/>
    <cellStyle name="0_MAJOR COMODITES for6094 3 2 4 2" xfId="16661" xr:uid="{00000000-0005-0000-0000-000007410000}"/>
    <cellStyle name="0_MAJOR COMODITES for6094 3 2 4 2 2" xfId="16662" xr:uid="{00000000-0005-0000-0000-000008410000}"/>
    <cellStyle name="0_MAJOR COMODITES for6094 3 2 4 3" xfId="16663" xr:uid="{00000000-0005-0000-0000-000009410000}"/>
    <cellStyle name="0_MAJOR COMODITES for6094 3 2 4 3 2" xfId="16664" xr:uid="{00000000-0005-0000-0000-00000A410000}"/>
    <cellStyle name="0_MAJOR COMODITES for6094 3 2 4 4" xfId="16665" xr:uid="{00000000-0005-0000-0000-00000B410000}"/>
    <cellStyle name="0_MAJOR COMODITES for6094 3 2 5" xfId="16666" xr:uid="{00000000-0005-0000-0000-00000C410000}"/>
    <cellStyle name="0_MAJOR COMODITES for6094 3 2 5 2" xfId="16667" xr:uid="{00000000-0005-0000-0000-00000D410000}"/>
    <cellStyle name="0_MAJOR COMODITES for6094 3 2 5 2 2" xfId="16668" xr:uid="{00000000-0005-0000-0000-00000E410000}"/>
    <cellStyle name="0_MAJOR COMODITES for6094 3 2 5 3" xfId="16669" xr:uid="{00000000-0005-0000-0000-00000F410000}"/>
    <cellStyle name="0_MAJOR COMODITES for6094 3 2 5 3 2" xfId="16670" xr:uid="{00000000-0005-0000-0000-000010410000}"/>
    <cellStyle name="0_MAJOR COMODITES for6094 3 2 5 4" xfId="16671" xr:uid="{00000000-0005-0000-0000-000011410000}"/>
    <cellStyle name="0_MAJOR COMODITES for6094 3 2 6" xfId="16672" xr:uid="{00000000-0005-0000-0000-000012410000}"/>
    <cellStyle name="0_MAJOR COMODITES for6094 3 2 6 2" xfId="16673" xr:uid="{00000000-0005-0000-0000-000013410000}"/>
    <cellStyle name="0_MAJOR COMODITES for6094 3 2 7" xfId="16674" xr:uid="{00000000-0005-0000-0000-000014410000}"/>
    <cellStyle name="0_MAJOR COMODITES for6094 3 2 7 2" xfId="16675" xr:uid="{00000000-0005-0000-0000-000015410000}"/>
    <cellStyle name="0_MAJOR COMODITES for6094 3 2 8" xfId="16676" xr:uid="{00000000-0005-0000-0000-000016410000}"/>
    <cellStyle name="0_MAJOR COMODITES for6094 3 3" xfId="16677" xr:uid="{00000000-0005-0000-0000-000017410000}"/>
    <cellStyle name="0_MAJOR COMODITES for6094 3 3 2" xfId="16678" xr:uid="{00000000-0005-0000-0000-000018410000}"/>
    <cellStyle name="0_MAJOR COMODITES for6094 3 3 2 2" xfId="16679" xr:uid="{00000000-0005-0000-0000-000019410000}"/>
    <cellStyle name="0_MAJOR COMODITES for6094 3 3 2 2 2" xfId="16680" xr:uid="{00000000-0005-0000-0000-00001A410000}"/>
    <cellStyle name="0_MAJOR COMODITES for6094 3 3 2 2 2 2" xfId="16681" xr:uid="{00000000-0005-0000-0000-00001B410000}"/>
    <cellStyle name="0_MAJOR COMODITES for6094 3 3 2 2 3" xfId="16682" xr:uid="{00000000-0005-0000-0000-00001C410000}"/>
    <cellStyle name="0_MAJOR COMODITES for6094 3 3 2 2 3 2" xfId="16683" xr:uid="{00000000-0005-0000-0000-00001D410000}"/>
    <cellStyle name="0_MAJOR COMODITES for6094 3 3 2 2 4" xfId="16684" xr:uid="{00000000-0005-0000-0000-00001E410000}"/>
    <cellStyle name="0_MAJOR COMODITES for6094 3 3 2 3" xfId="16685" xr:uid="{00000000-0005-0000-0000-00001F410000}"/>
    <cellStyle name="0_MAJOR COMODITES for6094 3 3 2 3 2" xfId="16686" xr:uid="{00000000-0005-0000-0000-000020410000}"/>
    <cellStyle name="0_MAJOR COMODITES for6094 3 3 2 3 2 2" xfId="16687" xr:uid="{00000000-0005-0000-0000-000021410000}"/>
    <cellStyle name="0_MAJOR COMODITES for6094 3 3 2 3 3" xfId="16688" xr:uid="{00000000-0005-0000-0000-000022410000}"/>
    <cellStyle name="0_MAJOR COMODITES for6094 3 3 2 3 3 2" xfId="16689" xr:uid="{00000000-0005-0000-0000-000023410000}"/>
    <cellStyle name="0_MAJOR COMODITES for6094 3 3 2 3 4" xfId="16690" xr:uid="{00000000-0005-0000-0000-000024410000}"/>
    <cellStyle name="0_MAJOR COMODITES for6094 3 3 2 4" xfId="16691" xr:uid="{00000000-0005-0000-0000-000025410000}"/>
    <cellStyle name="0_MAJOR COMODITES for6094 3 3 2 4 2" xfId="16692" xr:uid="{00000000-0005-0000-0000-000026410000}"/>
    <cellStyle name="0_MAJOR COMODITES for6094 3 3 2 5" xfId="16693" xr:uid="{00000000-0005-0000-0000-000027410000}"/>
    <cellStyle name="0_MAJOR COMODITES for6094 3 3 2 5 2" xfId="16694" xr:uid="{00000000-0005-0000-0000-000028410000}"/>
    <cellStyle name="0_MAJOR COMODITES for6094 3 3 2 6" xfId="16695" xr:uid="{00000000-0005-0000-0000-000029410000}"/>
    <cellStyle name="0_MAJOR COMODITES for6094 3 3 3" xfId="16696" xr:uid="{00000000-0005-0000-0000-00002A410000}"/>
    <cellStyle name="0_MAJOR COMODITES for6094 3 3 3 2" xfId="16697" xr:uid="{00000000-0005-0000-0000-00002B410000}"/>
    <cellStyle name="0_MAJOR COMODITES for6094 3 3 3 2 2" xfId="16698" xr:uid="{00000000-0005-0000-0000-00002C410000}"/>
    <cellStyle name="0_MAJOR COMODITES for6094 3 3 3 3" xfId="16699" xr:uid="{00000000-0005-0000-0000-00002D410000}"/>
    <cellStyle name="0_MAJOR COMODITES for6094 3 3 3 3 2" xfId="16700" xr:uid="{00000000-0005-0000-0000-00002E410000}"/>
    <cellStyle name="0_MAJOR COMODITES for6094 3 3 3 4" xfId="16701" xr:uid="{00000000-0005-0000-0000-00002F410000}"/>
    <cellStyle name="0_MAJOR COMODITES for6094 3 3 4" xfId="16702" xr:uid="{00000000-0005-0000-0000-000030410000}"/>
    <cellStyle name="0_MAJOR COMODITES for6094 3 3 4 2" xfId="16703" xr:uid="{00000000-0005-0000-0000-000031410000}"/>
    <cellStyle name="0_MAJOR COMODITES for6094 3 3 4 2 2" xfId="16704" xr:uid="{00000000-0005-0000-0000-000032410000}"/>
    <cellStyle name="0_MAJOR COMODITES for6094 3 3 4 3" xfId="16705" xr:uid="{00000000-0005-0000-0000-000033410000}"/>
    <cellStyle name="0_MAJOR COMODITES for6094 3 3 4 3 2" xfId="16706" xr:uid="{00000000-0005-0000-0000-000034410000}"/>
    <cellStyle name="0_MAJOR COMODITES for6094 3 3 4 4" xfId="16707" xr:uid="{00000000-0005-0000-0000-000035410000}"/>
    <cellStyle name="0_MAJOR COMODITES for6094 3 3 5" xfId="16708" xr:uid="{00000000-0005-0000-0000-000036410000}"/>
    <cellStyle name="0_MAJOR COMODITES for6094 3 3 5 2" xfId="16709" xr:uid="{00000000-0005-0000-0000-000037410000}"/>
    <cellStyle name="0_MAJOR COMODITES for6094 3 3 5 2 2" xfId="16710" xr:uid="{00000000-0005-0000-0000-000038410000}"/>
    <cellStyle name="0_MAJOR COMODITES for6094 3 3 5 3" xfId="16711" xr:uid="{00000000-0005-0000-0000-000039410000}"/>
    <cellStyle name="0_MAJOR COMODITES for6094 3 3 5 3 2" xfId="16712" xr:uid="{00000000-0005-0000-0000-00003A410000}"/>
    <cellStyle name="0_MAJOR COMODITES for6094 3 3 5 4" xfId="16713" xr:uid="{00000000-0005-0000-0000-00003B410000}"/>
    <cellStyle name="0_MAJOR COMODITES for6094 3 3 6" xfId="16714" xr:uid="{00000000-0005-0000-0000-00003C410000}"/>
    <cellStyle name="0_MAJOR COMODITES for6094 3 3 6 2" xfId="16715" xr:uid="{00000000-0005-0000-0000-00003D410000}"/>
    <cellStyle name="0_MAJOR COMODITES for6094 3 3 7" xfId="16716" xr:uid="{00000000-0005-0000-0000-00003E410000}"/>
    <cellStyle name="0_MAJOR COMODITES for6094 3 3 7 2" xfId="16717" xr:uid="{00000000-0005-0000-0000-00003F410000}"/>
    <cellStyle name="0_MAJOR COMODITES for6094 3 3 8" xfId="16718" xr:uid="{00000000-0005-0000-0000-000040410000}"/>
    <cellStyle name="0_MAJOR COMODITES for6094 3 4" xfId="16719" xr:uid="{00000000-0005-0000-0000-000041410000}"/>
    <cellStyle name="0_MAJOR COMODITES for6094 3 4 2" xfId="16720" xr:uid="{00000000-0005-0000-0000-000042410000}"/>
    <cellStyle name="0_MAJOR COMODITES for6094 3 4 2 2" xfId="16721" xr:uid="{00000000-0005-0000-0000-000043410000}"/>
    <cellStyle name="0_MAJOR COMODITES for6094 3 4 2 2 2" xfId="16722" xr:uid="{00000000-0005-0000-0000-000044410000}"/>
    <cellStyle name="0_MAJOR COMODITES for6094 3 4 2 2 2 2" xfId="16723" xr:uid="{00000000-0005-0000-0000-000045410000}"/>
    <cellStyle name="0_MAJOR COMODITES for6094 3 4 2 2 3" xfId="16724" xr:uid="{00000000-0005-0000-0000-000046410000}"/>
    <cellStyle name="0_MAJOR COMODITES for6094 3 4 2 2 3 2" xfId="16725" xr:uid="{00000000-0005-0000-0000-000047410000}"/>
    <cellStyle name="0_MAJOR COMODITES for6094 3 4 2 2 4" xfId="16726" xr:uid="{00000000-0005-0000-0000-000048410000}"/>
    <cellStyle name="0_MAJOR COMODITES for6094 3 4 2 3" xfId="16727" xr:uid="{00000000-0005-0000-0000-000049410000}"/>
    <cellStyle name="0_MAJOR COMODITES for6094 3 4 2 3 2" xfId="16728" xr:uid="{00000000-0005-0000-0000-00004A410000}"/>
    <cellStyle name="0_MAJOR COMODITES for6094 3 4 2 3 2 2" xfId="16729" xr:uid="{00000000-0005-0000-0000-00004B410000}"/>
    <cellStyle name="0_MAJOR COMODITES for6094 3 4 2 3 3" xfId="16730" xr:uid="{00000000-0005-0000-0000-00004C410000}"/>
    <cellStyle name="0_MAJOR COMODITES for6094 3 4 2 3 3 2" xfId="16731" xr:uid="{00000000-0005-0000-0000-00004D410000}"/>
    <cellStyle name="0_MAJOR COMODITES for6094 3 4 2 3 4" xfId="16732" xr:uid="{00000000-0005-0000-0000-00004E410000}"/>
    <cellStyle name="0_MAJOR COMODITES for6094 3 4 2 4" xfId="16733" xr:uid="{00000000-0005-0000-0000-00004F410000}"/>
    <cellStyle name="0_MAJOR COMODITES for6094 3 4 2 4 2" xfId="16734" xr:uid="{00000000-0005-0000-0000-000050410000}"/>
    <cellStyle name="0_MAJOR COMODITES for6094 3 4 2 5" xfId="16735" xr:uid="{00000000-0005-0000-0000-000051410000}"/>
    <cellStyle name="0_MAJOR COMODITES for6094 3 4 2 5 2" xfId="16736" xr:uid="{00000000-0005-0000-0000-000052410000}"/>
    <cellStyle name="0_MAJOR COMODITES for6094 3 4 2 6" xfId="16737" xr:uid="{00000000-0005-0000-0000-000053410000}"/>
    <cellStyle name="0_MAJOR COMODITES for6094 3 4 3" xfId="16738" xr:uid="{00000000-0005-0000-0000-000054410000}"/>
    <cellStyle name="0_MAJOR COMODITES for6094 3 4 3 2" xfId="16739" xr:uid="{00000000-0005-0000-0000-000055410000}"/>
    <cellStyle name="0_MAJOR COMODITES for6094 3 4 3 2 2" xfId="16740" xr:uid="{00000000-0005-0000-0000-000056410000}"/>
    <cellStyle name="0_MAJOR COMODITES for6094 3 4 3 3" xfId="16741" xr:uid="{00000000-0005-0000-0000-000057410000}"/>
    <cellStyle name="0_MAJOR COMODITES for6094 3 4 3 3 2" xfId="16742" xr:uid="{00000000-0005-0000-0000-000058410000}"/>
    <cellStyle name="0_MAJOR COMODITES for6094 3 4 3 4" xfId="16743" xr:uid="{00000000-0005-0000-0000-000059410000}"/>
    <cellStyle name="0_MAJOR COMODITES for6094 3 4 4" xfId="16744" xr:uid="{00000000-0005-0000-0000-00005A410000}"/>
    <cellStyle name="0_MAJOR COMODITES for6094 3 4 4 2" xfId="16745" xr:uid="{00000000-0005-0000-0000-00005B410000}"/>
    <cellStyle name="0_MAJOR COMODITES for6094 3 4 4 2 2" xfId="16746" xr:uid="{00000000-0005-0000-0000-00005C410000}"/>
    <cellStyle name="0_MAJOR COMODITES for6094 3 4 4 3" xfId="16747" xr:uid="{00000000-0005-0000-0000-00005D410000}"/>
    <cellStyle name="0_MAJOR COMODITES for6094 3 4 4 3 2" xfId="16748" xr:uid="{00000000-0005-0000-0000-00005E410000}"/>
    <cellStyle name="0_MAJOR COMODITES for6094 3 4 4 4" xfId="16749" xr:uid="{00000000-0005-0000-0000-00005F410000}"/>
    <cellStyle name="0_MAJOR COMODITES for6094 3 4 5" xfId="16750" xr:uid="{00000000-0005-0000-0000-000060410000}"/>
    <cellStyle name="0_MAJOR COMODITES for6094 3 4 5 2" xfId="16751" xr:uid="{00000000-0005-0000-0000-000061410000}"/>
    <cellStyle name="0_MAJOR COMODITES for6094 3 4 5 2 2" xfId="16752" xr:uid="{00000000-0005-0000-0000-000062410000}"/>
    <cellStyle name="0_MAJOR COMODITES for6094 3 4 5 3" xfId="16753" xr:uid="{00000000-0005-0000-0000-000063410000}"/>
    <cellStyle name="0_MAJOR COMODITES for6094 3 4 5 3 2" xfId="16754" xr:uid="{00000000-0005-0000-0000-000064410000}"/>
    <cellStyle name="0_MAJOR COMODITES for6094 3 4 5 4" xfId="16755" xr:uid="{00000000-0005-0000-0000-000065410000}"/>
    <cellStyle name="0_MAJOR COMODITES for6094 3 4 6" xfId="16756" xr:uid="{00000000-0005-0000-0000-000066410000}"/>
    <cellStyle name="0_MAJOR COMODITES for6094 3 4 6 2" xfId="16757" xr:uid="{00000000-0005-0000-0000-000067410000}"/>
    <cellStyle name="0_MAJOR COMODITES for6094 3 4 7" xfId="16758" xr:uid="{00000000-0005-0000-0000-000068410000}"/>
    <cellStyle name="0_MAJOR COMODITES for6094 3 4 7 2" xfId="16759" xr:uid="{00000000-0005-0000-0000-000069410000}"/>
    <cellStyle name="0_MAJOR COMODITES for6094 3 4 8" xfId="16760" xr:uid="{00000000-0005-0000-0000-00006A410000}"/>
    <cellStyle name="0_MAJOR COMODITES for6094 3 5" xfId="16761" xr:uid="{00000000-0005-0000-0000-00006B410000}"/>
    <cellStyle name="0_MAJOR COMODITES for6094 3 5 2" xfId="16762" xr:uid="{00000000-0005-0000-0000-00006C410000}"/>
    <cellStyle name="0_MAJOR COMODITES for6094 3 5 2 2" xfId="16763" xr:uid="{00000000-0005-0000-0000-00006D410000}"/>
    <cellStyle name="0_MAJOR COMODITES for6094 3 5 2 2 2" xfId="16764" xr:uid="{00000000-0005-0000-0000-00006E410000}"/>
    <cellStyle name="0_MAJOR COMODITES for6094 3 5 2 2 2 2" xfId="16765" xr:uid="{00000000-0005-0000-0000-00006F410000}"/>
    <cellStyle name="0_MAJOR COMODITES for6094 3 5 2 2 3" xfId="16766" xr:uid="{00000000-0005-0000-0000-000070410000}"/>
    <cellStyle name="0_MAJOR COMODITES for6094 3 5 2 2 3 2" xfId="16767" xr:uid="{00000000-0005-0000-0000-000071410000}"/>
    <cellStyle name="0_MAJOR COMODITES for6094 3 5 2 2 4" xfId="16768" xr:uid="{00000000-0005-0000-0000-000072410000}"/>
    <cellStyle name="0_MAJOR COMODITES for6094 3 5 2 3" xfId="16769" xr:uid="{00000000-0005-0000-0000-000073410000}"/>
    <cellStyle name="0_MAJOR COMODITES for6094 3 5 2 3 2" xfId="16770" xr:uid="{00000000-0005-0000-0000-000074410000}"/>
    <cellStyle name="0_MAJOR COMODITES for6094 3 5 2 3 2 2" xfId="16771" xr:uid="{00000000-0005-0000-0000-000075410000}"/>
    <cellStyle name="0_MAJOR COMODITES for6094 3 5 2 3 3" xfId="16772" xr:uid="{00000000-0005-0000-0000-000076410000}"/>
    <cellStyle name="0_MAJOR COMODITES for6094 3 5 2 3 3 2" xfId="16773" xr:uid="{00000000-0005-0000-0000-000077410000}"/>
    <cellStyle name="0_MAJOR COMODITES for6094 3 5 2 3 4" xfId="16774" xr:uid="{00000000-0005-0000-0000-000078410000}"/>
    <cellStyle name="0_MAJOR COMODITES for6094 3 5 2 4" xfId="16775" xr:uid="{00000000-0005-0000-0000-000079410000}"/>
    <cellStyle name="0_MAJOR COMODITES for6094 3 5 2 4 2" xfId="16776" xr:uid="{00000000-0005-0000-0000-00007A410000}"/>
    <cellStyle name="0_MAJOR COMODITES for6094 3 5 2 5" xfId="16777" xr:uid="{00000000-0005-0000-0000-00007B410000}"/>
    <cellStyle name="0_MAJOR COMODITES for6094 3 5 2 5 2" xfId="16778" xr:uid="{00000000-0005-0000-0000-00007C410000}"/>
    <cellStyle name="0_MAJOR COMODITES for6094 3 5 2 6" xfId="16779" xr:uid="{00000000-0005-0000-0000-00007D410000}"/>
    <cellStyle name="0_MAJOR COMODITES for6094 3 5 3" xfId="16780" xr:uid="{00000000-0005-0000-0000-00007E410000}"/>
    <cellStyle name="0_MAJOR COMODITES for6094 3 5 3 2" xfId="16781" xr:uid="{00000000-0005-0000-0000-00007F410000}"/>
    <cellStyle name="0_MAJOR COMODITES for6094 3 5 3 2 2" xfId="16782" xr:uid="{00000000-0005-0000-0000-000080410000}"/>
    <cellStyle name="0_MAJOR COMODITES for6094 3 5 3 3" xfId="16783" xr:uid="{00000000-0005-0000-0000-000081410000}"/>
    <cellStyle name="0_MAJOR COMODITES for6094 3 5 3 3 2" xfId="16784" xr:uid="{00000000-0005-0000-0000-000082410000}"/>
    <cellStyle name="0_MAJOR COMODITES for6094 3 5 3 4" xfId="16785" xr:uid="{00000000-0005-0000-0000-000083410000}"/>
    <cellStyle name="0_MAJOR COMODITES for6094 3 5 4" xfId="16786" xr:uid="{00000000-0005-0000-0000-000084410000}"/>
    <cellStyle name="0_MAJOR COMODITES for6094 3 5 4 2" xfId="16787" xr:uid="{00000000-0005-0000-0000-000085410000}"/>
    <cellStyle name="0_MAJOR COMODITES for6094 3 5 4 2 2" xfId="16788" xr:uid="{00000000-0005-0000-0000-000086410000}"/>
    <cellStyle name="0_MAJOR COMODITES for6094 3 5 4 3" xfId="16789" xr:uid="{00000000-0005-0000-0000-000087410000}"/>
    <cellStyle name="0_MAJOR COMODITES for6094 3 5 4 3 2" xfId="16790" xr:uid="{00000000-0005-0000-0000-000088410000}"/>
    <cellStyle name="0_MAJOR COMODITES for6094 3 5 4 4" xfId="16791" xr:uid="{00000000-0005-0000-0000-000089410000}"/>
    <cellStyle name="0_MAJOR COMODITES for6094 3 5 5" xfId="16792" xr:uid="{00000000-0005-0000-0000-00008A410000}"/>
    <cellStyle name="0_MAJOR COMODITES for6094 3 5 5 2" xfId="16793" xr:uid="{00000000-0005-0000-0000-00008B410000}"/>
    <cellStyle name="0_MAJOR COMODITES for6094 3 5 5 2 2" xfId="16794" xr:uid="{00000000-0005-0000-0000-00008C410000}"/>
    <cellStyle name="0_MAJOR COMODITES for6094 3 5 5 3" xfId="16795" xr:uid="{00000000-0005-0000-0000-00008D410000}"/>
    <cellStyle name="0_MAJOR COMODITES for6094 3 5 5 3 2" xfId="16796" xr:uid="{00000000-0005-0000-0000-00008E410000}"/>
    <cellStyle name="0_MAJOR COMODITES for6094 3 5 5 4" xfId="16797" xr:uid="{00000000-0005-0000-0000-00008F410000}"/>
    <cellStyle name="0_MAJOR COMODITES for6094 3 5 6" xfId="16798" xr:uid="{00000000-0005-0000-0000-000090410000}"/>
    <cellStyle name="0_MAJOR COMODITES for6094 3 5 6 2" xfId="16799" xr:uid="{00000000-0005-0000-0000-000091410000}"/>
    <cellStyle name="0_MAJOR COMODITES for6094 3 5 7" xfId="16800" xr:uid="{00000000-0005-0000-0000-000092410000}"/>
    <cellStyle name="0_MAJOR COMODITES for6094 3 5 7 2" xfId="16801" xr:uid="{00000000-0005-0000-0000-000093410000}"/>
    <cellStyle name="0_MAJOR COMODITES for6094 3 5 8" xfId="16802" xr:uid="{00000000-0005-0000-0000-000094410000}"/>
    <cellStyle name="0_MAJOR COMODITES for6094 3 6" xfId="16803" xr:uid="{00000000-0005-0000-0000-000095410000}"/>
    <cellStyle name="0_MAJOR COMODITES for6094 3 6 2" xfId="16804" xr:uid="{00000000-0005-0000-0000-000096410000}"/>
    <cellStyle name="0_MAJOR COMODITES for6094 3 6 2 2" xfId="16805" xr:uid="{00000000-0005-0000-0000-000097410000}"/>
    <cellStyle name="0_MAJOR COMODITES for6094 3 6 2 2 2" xfId="16806" xr:uid="{00000000-0005-0000-0000-000098410000}"/>
    <cellStyle name="0_MAJOR COMODITES for6094 3 6 2 2 2 2" xfId="16807" xr:uid="{00000000-0005-0000-0000-000099410000}"/>
    <cellStyle name="0_MAJOR COMODITES for6094 3 6 2 2 3" xfId="16808" xr:uid="{00000000-0005-0000-0000-00009A410000}"/>
    <cellStyle name="0_MAJOR COMODITES for6094 3 6 2 2 3 2" xfId="16809" xr:uid="{00000000-0005-0000-0000-00009B410000}"/>
    <cellStyle name="0_MAJOR COMODITES for6094 3 6 2 2 4" xfId="16810" xr:uid="{00000000-0005-0000-0000-00009C410000}"/>
    <cellStyle name="0_MAJOR COMODITES for6094 3 6 2 3" xfId="16811" xr:uid="{00000000-0005-0000-0000-00009D410000}"/>
    <cellStyle name="0_MAJOR COMODITES for6094 3 6 2 3 2" xfId="16812" xr:uid="{00000000-0005-0000-0000-00009E410000}"/>
    <cellStyle name="0_MAJOR COMODITES for6094 3 6 2 3 2 2" xfId="16813" xr:uid="{00000000-0005-0000-0000-00009F410000}"/>
    <cellStyle name="0_MAJOR COMODITES for6094 3 6 2 3 3" xfId="16814" xr:uid="{00000000-0005-0000-0000-0000A0410000}"/>
    <cellStyle name="0_MAJOR COMODITES for6094 3 6 2 3 3 2" xfId="16815" xr:uid="{00000000-0005-0000-0000-0000A1410000}"/>
    <cellStyle name="0_MAJOR COMODITES for6094 3 6 2 3 4" xfId="16816" xr:uid="{00000000-0005-0000-0000-0000A2410000}"/>
    <cellStyle name="0_MAJOR COMODITES for6094 3 6 2 4" xfId="16817" xr:uid="{00000000-0005-0000-0000-0000A3410000}"/>
    <cellStyle name="0_MAJOR COMODITES for6094 3 6 2 4 2" xfId="16818" xr:uid="{00000000-0005-0000-0000-0000A4410000}"/>
    <cellStyle name="0_MAJOR COMODITES for6094 3 6 2 5" xfId="16819" xr:uid="{00000000-0005-0000-0000-0000A5410000}"/>
    <cellStyle name="0_MAJOR COMODITES for6094 3 6 2 5 2" xfId="16820" xr:uid="{00000000-0005-0000-0000-0000A6410000}"/>
    <cellStyle name="0_MAJOR COMODITES for6094 3 6 2 6" xfId="16821" xr:uid="{00000000-0005-0000-0000-0000A7410000}"/>
    <cellStyle name="0_MAJOR COMODITES for6094 3 6 3" xfId="16822" xr:uid="{00000000-0005-0000-0000-0000A8410000}"/>
    <cellStyle name="0_MAJOR COMODITES for6094 3 6 3 2" xfId="16823" xr:uid="{00000000-0005-0000-0000-0000A9410000}"/>
    <cellStyle name="0_MAJOR COMODITES for6094 3 6 3 2 2" xfId="16824" xr:uid="{00000000-0005-0000-0000-0000AA410000}"/>
    <cellStyle name="0_MAJOR COMODITES for6094 3 6 3 3" xfId="16825" xr:uid="{00000000-0005-0000-0000-0000AB410000}"/>
    <cellStyle name="0_MAJOR COMODITES for6094 3 6 3 3 2" xfId="16826" xr:uid="{00000000-0005-0000-0000-0000AC410000}"/>
    <cellStyle name="0_MAJOR COMODITES for6094 3 6 3 4" xfId="16827" xr:uid="{00000000-0005-0000-0000-0000AD410000}"/>
    <cellStyle name="0_MAJOR COMODITES for6094 3 6 4" xfId="16828" xr:uid="{00000000-0005-0000-0000-0000AE410000}"/>
    <cellStyle name="0_MAJOR COMODITES for6094 3 6 4 2" xfId="16829" xr:uid="{00000000-0005-0000-0000-0000AF410000}"/>
    <cellStyle name="0_MAJOR COMODITES for6094 3 6 4 2 2" xfId="16830" xr:uid="{00000000-0005-0000-0000-0000B0410000}"/>
    <cellStyle name="0_MAJOR COMODITES for6094 3 6 4 3" xfId="16831" xr:uid="{00000000-0005-0000-0000-0000B1410000}"/>
    <cellStyle name="0_MAJOR COMODITES for6094 3 6 4 3 2" xfId="16832" xr:uid="{00000000-0005-0000-0000-0000B2410000}"/>
    <cellStyle name="0_MAJOR COMODITES for6094 3 6 4 4" xfId="16833" xr:uid="{00000000-0005-0000-0000-0000B3410000}"/>
    <cellStyle name="0_MAJOR COMODITES for6094 3 6 5" xfId="16834" xr:uid="{00000000-0005-0000-0000-0000B4410000}"/>
    <cellStyle name="0_MAJOR COMODITES for6094 3 6 5 2" xfId="16835" xr:uid="{00000000-0005-0000-0000-0000B5410000}"/>
    <cellStyle name="0_MAJOR COMODITES for6094 3 6 5 2 2" xfId="16836" xr:uid="{00000000-0005-0000-0000-0000B6410000}"/>
    <cellStyle name="0_MAJOR COMODITES for6094 3 6 5 3" xfId="16837" xr:uid="{00000000-0005-0000-0000-0000B7410000}"/>
    <cellStyle name="0_MAJOR COMODITES for6094 3 6 5 3 2" xfId="16838" xr:uid="{00000000-0005-0000-0000-0000B8410000}"/>
    <cellStyle name="0_MAJOR COMODITES for6094 3 6 5 4" xfId="16839" xr:uid="{00000000-0005-0000-0000-0000B9410000}"/>
    <cellStyle name="0_MAJOR COMODITES for6094 3 6 6" xfId="16840" xr:uid="{00000000-0005-0000-0000-0000BA410000}"/>
    <cellStyle name="0_MAJOR COMODITES for6094 3 6 6 2" xfId="16841" xr:uid="{00000000-0005-0000-0000-0000BB410000}"/>
    <cellStyle name="0_MAJOR COMODITES for6094 3 6 7" xfId="16842" xr:uid="{00000000-0005-0000-0000-0000BC410000}"/>
    <cellStyle name="0_MAJOR COMODITES for6094 3 6 7 2" xfId="16843" xr:uid="{00000000-0005-0000-0000-0000BD410000}"/>
    <cellStyle name="0_MAJOR COMODITES for6094 3 6 8" xfId="16844" xr:uid="{00000000-0005-0000-0000-0000BE410000}"/>
    <cellStyle name="0_MAJOR COMODITES for6094 3 7" xfId="16845" xr:uid="{00000000-0005-0000-0000-0000BF410000}"/>
    <cellStyle name="0_MAJOR COMODITES for6094 3 7 2" xfId="16846" xr:uid="{00000000-0005-0000-0000-0000C0410000}"/>
    <cellStyle name="0_MAJOR COMODITES for6094 3 7 2 2" xfId="16847" xr:uid="{00000000-0005-0000-0000-0000C1410000}"/>
    <cellStyle name="0_MAJOR COMODITES for6094 3 7 2 2 2" xfId="16848" xr:uid="{00000000-0005-0000-0000-0000C2410000}"/>
    <cellStyle name="0_MAJOR COMODITES for6094 3 7 2 3" xfId="16849" xr:uid="{00000000-0005-0000-0000-0000C3410000}"/>
    <cellStyle name="0_MAJOR COMODITES for6094 3 7 2 3 2" xfId="16850" xr:uid="{00000000-0005-0000-0000-0000C4410000}"/>
    <cellStyle name="0_MAJOR COMODITES for6094 3 7 2 4" xfId="16851" xr:uid="{00000000-0005-0000-0000-0000C5410000}"/>
    <cellStyle name="0_MAJOR COMODITES for6094 3 7 3" xfId="16852" xr:uid="{00000000-0005-0000-0000-0000C6410000}"/>
    <cellStyle name="0_MAJOR COMODITES for6094 3 7 3 2" xfId="16853" xr:uid="{00000000-0005-0000-0000-0000C7410000}"/>
    <cellStyle name="0_MAJOR COMODITES for6094 3 7 3 2 2" xfId="16854" xr:uid="{00000000-0005-0000-0000-0000C8410000}"/>
    <cellStyle name="0_MAJOR COMODITES for6094 3 7 3 3" xfId="16855" xr:uid="{00000000-0005-0000-0000-0000C9410000}"/>
    <cellStyle name="0_MAJOR COMODITES for6094 3 7 3 3 2" xfId="16856" xr:uid="{00000000-0005-0000-0000-0000CA410000}"/>
    <cellStyle name="0_MAJOR COMODITES for6094 3 7 3 4" xfId="16857" xr:uid="{00000000-0005-0000-0000-0000CB410000}"/>
    <cellStyle name="0_MAJOR COMODITES for6094 3 7 4" xfId="16858" xr:uid="{00000000-0005-0000-0000-0000CC410000}"/>
    <cellStyle name="0_MAJOR COMODITES for6094 3 7 4 2" xfId="16859" xr:uid="{00000000-0005-0000-0000-0000CD410000}"/>
    <cellStyle name="0_MAJOR COMODITES for6094 3 7 5" xfId="16860" xr:uid="{00000000-0005-0000-0000-0000CE410000}"/>
    <cellStyle name="0_MAJOR COMODITES for6094 3 7 5 2" xfId="16861" xr:uid="{00000000-0005-0000-0000-0000CF410000}"/>
    <cellStyle name="0_MAJOR COMODITES for6094 3 7 6" xfId="16862" xr:uid="{00000000-0005-0000-0000-0000D0410000}"/>
    <cellStyle name="0_MAJOR COMODITES for6094 3 8" xfId="16863" xr:uid="{00000000-0005-0000-0000-0000D1410000}"/>
    <cellStyle name="0_MAJOR COMODITES for6094 3 8 2" xfId="16864" xr:uid="{00000000-0005-0000-0000-0000D2410000}"/>
    <cellStyle name="0_MAJOR COMODITES for6094 3 8 2 2" xfId="16865" xr:uid="{00000000-0005-0000-0000-0000D3410000}"/>
    <cellStyle name="0_MAJOR COMODITES for6094 3 8 3" xfId="16866" xr:uid="{00000000-0005-0000-0000-0000D4410000}"/>
    <cellStyle name="0_MAJOR COMODITES for6094 3 8 3 2" xfId="16867" xr:uid="{00000000-0005-0000-0000-0000D5410000}"/>
    <cellStyle name="0_MAJOR COMODITES for6094 3 8 4" xfId="16868" xr:uid="{00000000-0005-0000-0000-0000D6410000}"/>
    <cellStyle name="0_MAJOR COMODITES for6094 3 9" xfId="16869" xr:uid="{00000000-0005-0000-0000-0000D7410000}"/>
    <cellStyle name="0_MAJOR COMODITES for6094 3 9 2" xfId="16870" xr:uid="{00000000-0005-0000-0000-0000D8410000}"/>
    <cellStyle name="0_MAJOR COMODITES for6094 3 9 2 2" xfId="16871" xr:uid="{00000000-0005-0000-0000-0000D9410000}"/>
    <cellStyle name="0_MAJOR COMODITES for6094 3 9 3" xfId="16872" xr:uid="{00000000-0005-0000-0000-0000DA410000}"/>
    <cellStyle name="0_MAJOR COMODITES for6094 3 9 3 2" xfId="16873" xr:uid="{00000000-0005-0000-0000-0000DB410000}"/>
    <cellStyle name="0_MAJOR COMODITES for6094 3 9 4" xfId="16874" xr:uid="{00000000-0005-0000-0000-0000DC410000}"/>
    <cellStyle name="0_MAJOR COMODITES for6094 4" xfId="16875" xr:uid="{00000000-0005-0000-0000-0000DD410000}"/>
    <cellStyle name="0_MAJOR COMODITES for6094 4 10" xfId="16876" xr:uid="{00000000-0005-0000-0000-0000DE410000}"/>
    <cellStyle name="0_MAJOR COMODITES for6094 4 10 2" xfId="16877" xr:uid="{00000000-0005-0000-0000-0000DF410000}"/>
    <cellStyle name="0_MAJOR COMODITES for6094 4 10 2 2" xfId="16878" xr:uid="{00000000-0005-0000-0000-0000E0410000}"/>
    <cellStyle name="0_MAJOR COMODITES for6094 4 10 3" xfId="16879" xr:uid="{00000000-0005-0000-0000-0000E1410000}"/>
    <cellStyle name="0_MAJOR COMODITES for6094 4 10 3 2" xfId="16880" xr:uid="{00000000-0005-0000-0000-0000E2410000}"/>
    <cellStyle name="0_MAJOR COMODITES for6094 4 10 4" xfId="16881" xr:uid="{00000000-0005-0000-0000-0000E3410000}"/>
    <cellStyle name="0_MAJOR COMODITES for6094 4 11" xfId="16882" xr:uid="{00000000-0005-0000-0000-0000E4410000}"/>
    <cellStyle name="0_MAJOR COMODITES for6094 4 11 2" xfId="16883" xr:uid="{00000000-0005-0000-0000-0000E5410000}"/>
    <cellStyle name="0_MAJOR COMODITES for6094 4 12" xfId="16884" xr:uid="{00000000-0005-0000-0000-0000E6410000}"/>
    <cellStyle name="0_MAJOR COMODITES for6094 4 12 2" xfId="16885" xr:uid="{00000000-0005-0000-0000-0000E7410000}"/>
    <cellStyle name="0_MAJOR COMODITES for6094 4 13" xfId="16886" xr:uid="{00000000-0005-0000-0000-0000E8410000}"/>
    <cellStyle name="0_MAJOR COMODITES for6094 4 2" xfId="16887" xr:uid="{00000000-0005-0000-0000-0000E9410000}"/>
    <cellStyle name="0_MAJOR COMODITES for6094 4 2 2" xfId="16888" xr:uid="{00000000-0005-0000-0000-0000EA410000}"/>
    <cellStyle name="0_MAJOR COMODITES for6094 4 2 2 2" xfId="16889" xr:uid="{00000000-0005-0000-0000-0000EB410000}"/>
    <cellStyle name="0_MAJOR COMODITES for6094 4 2 2 2 2" xfId="16890" xr:uid="{00000000-0005-0000-0000-0000EC410000}"/>
    <cellStyle name="0_MAJOR COMODITES for6094 4 2 2 2 2 2" xfId="16891" xr:uid="{00000000-0005-0000-0000-0000ED410000}"/>
    <cellStyle name="0_MAJOR COMODITES for6094 4 2 2 2 3" xfId="16892" xr:uid="{00000000-0005-0000-0000-0000EE410000}"/>
    <cellStyle name="0_MAJOR COMODITES for6094 4 2 2 2 3 2" xfId="16893" xr:uid="{00000000-0005-0000-0000-0000EF410000}"/>
    <cellStyle name="0_MAJOR COMODITES for6094 4 2 2 2 4" xfId="16894" xr:uid="{00000000-0005-0000-0000-0000F0410000}"/>
    <cellStyle name="0_MAJOR COMODITES for6094 4 2 2 3" xfId="16895" xr:uid="{00000000-0005-0000-0000-0000F1410000}"/>
    <cellStyle name="0_MAJOR COMODITES for6094 4 2 2 3 2" xfId="16896" xr:uid="{00000000-0005-0000-0000-0000F2410000}"/>
    <cellStyle name="0_MAJOR COMODITES for6094 4 2 2 3 2 2" xfId="16897" xr:uid="{00000000-0005-0000-0000-0000F3410000}"/>
    <cellStyle name="0_MAJOR COMODITES for6094 4 2 2 3 3" xfId="16898" xr:uid="{00000000-0005-0000-0000-0000F4410000}"/>
    <cellStyle name="0_MAJOR COMODITES for6094 4 2 2 3 3 2" xfId="16899" xr:uid="{00000000-0005-0000-0000-0000F5410000}"/>
    <cellStyle name="0_MAJOR COMODITES for6094 4 2 2 3 4" xfId="16900" xr:uid="{00000000-0005-0000-0000-0000F6410000}"/>
    <cellStyle name="0_MAJOR COMODITES for6094 4 2 2 4" xfId="16901" xr:uid="{00000000-0005-0000-0000-0000F7410000}"/>
    <cellStyle name="0_MAJOR COMODITES for6094 4 2 2 4 2" xfId="16902" xr:uid="{00000000-0005-0000-0000-0000F8410000}"/>
    <cellStyle name="0_MAJOR COMODITES for6094 4 2 2 5" xfId="16903" xr:uid="{00000000-0005-0000-0000-0000F9410000}"/>
    <cellStyle name="0_MAJOR COMODITES for6094 4 2 2 5 2" xfId="16904" xr:uid="{00000000-0005-0000-0000-0000FA410000}"/>
    <cellStyle name="0_MAJOR COMODITES for6094 4 2 2 6" xfId="16905" xr:uid="{00000000-0005-0000-0000-0000FB410000}"/>
    <cellStyle name="0_MAJOR COMODITES for6094 4 2 3" xfId="16906" xr:uid="{00000000-0005-0000-0000-0000FC410000}"/>
    <cellStyle name="0_MAJOR COMODITES for6094 4 2 3 2" xfId="16907" xr:uid="{00000000-0005-0000-0000-0000FD410000}"/>
    <cellStyle name="0_MAJOR COMODITES for6094 4 2 3 2 2" xfId="16908" xr:uid="{00000000-0005-0000-0000-0000FE410000}"/>
    <cellStyle name="0_MAJOR COMODITES for6094 4 2 3 3" xfId="16909" xr:uid="{00000000-0005-0000-0000-0000FF410000}"/>
    <cellStyle name="0_MAJOR COMODITES for6094 4 2 3 3 2" xfId="16910" xr:uid="{00000000-0005-0000-0000-000000420000}"/>
    <cellStyle name="0_MAJOR COMODITES for6094 4 2 3 4" xfId="16911" xr:uid="{00000000-0005-0000-0000-000001420000}"/>
    <cellStyle name="0_MAJOR COMODITES for6094 4 2 4" xfId="16912" xr:uid="{00000000-0005-0000-0000-000002420000}"/>
    <cellStyle name="0_MAJOR COMODITES for6094 4 2 4 2" xfId="16913" xr:uid="{00000000-0005-0000-0000-000003420000}"/>
    <cellStyle name="0_MAJOR COMODITES for6094 4 2 4 2 2" xfId="16914" xr:uid="{00000000-0005-0000-0000-000004420000}"/>
    <cellStyle name="0_MAJOR COMODITES for6094 4 2 4 3" xfId="16915" xr:uid="{00000000-0005-0000-0000-000005420000}"/>
    <cellStyle name="0_MAJOR COMODITES for6094 4 2 4 3 2" xfId="16916" xr:uid="{00000000-0005-0000-0000-000006420000}"/>
    <cellStyle name="0_MAJOR COMODITES for6094 4 2 4 4" xfId="16917" xr:uid="{00000000-0005-0000-0000-000007420000}"/>
    <cellStyle name="0_MAJOR COMODITES for6094 4 2 5" xfId="16918" xr:uid="{00000000-0005-0000-0000-000008420000}"/>
    <cellStyle name="0_MAJOR COMODITES for6094 4 2 5 2" xfId="16919" xr:uid="{00000000-0005-0000-0000-000009420000}"/>
    <cellStyle name="0_MAJOR COMODITES for6094 4 2 5 2 2" xfId="16920" xr:uid="{00000000-0005-0000-0000-00000A420000}"/>
    <cellStyle name="0_MAJOR COMODITES for6094 4 2 5 3" xfId="16921" xr:uid="{00000000-0005-0000-0000-00000B420000}"/>
    <cellStyle name="0_MAJOR COMODITES for6094 4 2 5 3 2" xfId="16922" xr:uid="{00000000-0005-0000-0000-00000C420000}"/>
    <cellStyle name="0_MAJOR COMODITES for6094 4 2 5 4" xfId="16923" xr:uid="{00000000-0005-0000-0000-00000D420000}"/>
    <cellStyle name="0_MAJOR COMODITES for6094 4 2 6" xfId="16924" xr:uid="{00000000-0005-0000-0000-00000E420000}"/>
    <cellStyle name="0_MAJOR COMODITES for6094 4 2 6 2" xfId="16925" xr:uid="{00000000-0005-0000-0000-00000F420000}"/>
    <cellStyle name="0_MAJOR COMODITES for6094 4 2 7" xfId="16926" xr:uid="{00000000-0005-0000-0000-000010420000}"/>
    <cellStyle name="0_MAJOR COMODITES for6094 4 2 7 2" xfId="16927" xr:uid="{00000000-0005-0000-0000-000011420000}"/>
    <cellStyle name="0_MAJOR COMODITES for6094 4 2 8" xfId="16928" xr:uid="{00000000-0005-0000-0000-000012420000}"/>
    <cellStyle name="0_MAJOR COMODITES for6094 4 3" xfId="16929" xr:uid="{00000000-0005-0000-0000-000013420000}"/>
    <cellStyle name="0_MAJOR COMODITES for6094 4 3 2" xfId="16930" xr:uid="{00000000-0005-0000-0000-000014420000}"/>
    <cellStyle name="0_MAJOR COMODITES for6094 4 3 2 2" xfId="16931" xr:uid="{00000000-0005-0000-0000-000015420000}"/>
    <cellStyle name="0_MAJOR COMODITES for6094 4 3 2 2 2" xfId="16932" xr:uid="{00000000-0005-0000-0000-000016420000}"/>
    <cellStyle name="0_MAJOR COMODITES for6094 4 3 2 2 2 2" xfId="16933" xr:uid="{00000000-0005-0000-0000-000017420000}"/>
    <cellStyle name="0_MAJOR COMODITES for6094 4 3 2 2 3" xfId="16934" xr:uid="{00000000-0005-0000-0000-000018420000}"/>
    <cellStyle name="0_MAJOR COMODITES for6094 4 3 2 2 3 2" xfId="16935" xr:uid="{00000000-0005-0000-0000-000019420000}"/>
    <cellStyle name="0_MAJOR COMODITES for6094 4 3 2 2 4" xfId="16936" xr:uid="{00000000-0005-0000-0000-00001A420000}"/>
    <cellStyle name="0_MAJOR COMODITES for6094 4 3 2 3" xfId="16937" xr:uid="{00000000-0005-0000-0000-00001B420000}"/>
    <cellStyle name="0_MAJOR COMODITES for6094 4 3 2 3 2" xfId="16938" xr:uid="{00000000-0005-0000-0000-00001C420000}"/>
    <cellStyle name="0_MAJOR COMODITES for6094 4 3 2 3 2 2" xfId="16939" xr:uid="{00000000-0005-0000-0000-00001D420000}"/>
    <cellStyle name="0_MAJOR COMODITES for6094 4 3 2 3 3" xfId="16940" xr:uid="{00000000-0005-0000-0000-00001E420000}"/>
    <cellStyle name="0_MAJOR COMODITES for6094 4 3 2 3 3 2" xfId="16941" xr:uid="{00000000-0005-0000-0000-00001F420000}"/>
    <cellStyle name="0_MAJOR COMODITES for6094 4 3 2 3 4" xfId="16942" xr:uid="{00000000-0005-0000-0000-000020420000}"/>
    <cellStyle name="0_MAJOR COMODITES for6094 4 3 2 4" xfId="16943" xr:uid="{00000000-0005-0000-0000-000021420000}"/>
    <cellStyle name="0_MAJOR COMODITES for6094 4 3 2 4 2" xfId="16944" xr:uid="{00000000-0005-0000-0000-000022420000}"/>
    <cellStyle name="0_MAJOR COMODITES for6094 4 3 2 5" xfId="16945" xr:uid="{00000000-0005-0000-0000-000023420000}"/>
    <cellStyle name="0_MAJOR COMODITES for6094 4 3 2 5 2" xfId="16946" xr:uid="{00000000-0005-0000-0000-000024420000}"/>
    <cellStyle name="0_MAJOR COMODITES for6094 4 3 2 6" xfId="16947" xr:uid="{00000000-0005-0000-0000-000025420000}"/>
    <cellStyle name="0_MAJOR COMODITES for6094 4 3 3" xfId="16948" xr:uid="{00000000-0005-0000-0000-000026420000}"/>
    <cellStyle name="0_MAJOR COMODITES for6094 4 3 3 2" xfId="16949" xr:uid="{00000000-0005-0000-0000-000027420000}"/>
    <cellStyle name="0_MAJOR COMODITES for6094 4 3 3 2 2" xfId="16950" xr:uid="{00000000-0005-0000-0000-000028420000}"/>
    <cellStyle name="0_MAJOR COMODITES for6094 4 3 3 3" xfId="16951" xr:uid="{00000000-0005-0000-0000-000029420000}"/>
    <cellStyle name="0_MAJOR COMODITES for6094 4 3 3 3 2" xfId="16952" xr:uid="{00000000-0005-0000-0000-00002A420000}"/>
    <cellStyle name="0_MAJOR COMODITES for6094 4 3 3 4" xfId="16953" xr:uid="{00000000-0005-0000-0000-00002B420000}"/>
    <cellStyle name="0_MAJOR COMODITES for6094 4 3 4" xfId="16954" xr:uid="{00000000-0005-0000-0000-00002C420000}"/>
    <cellStyle name="0_MAJOR COMODITES for6094 4 3 4 2" xfId="16955" xr:uid="{00000000-0005-0000-0000-00002D420000}"/>
    <cellStyle name="0_MAJOR COMODITES for6094 4 3 4 2 2" xfId="16956" xr:uid="{00000000-0005-0000-0000-00002E420000}"/>
    <cellStyle name="0_MAJOR COMODITES for6094 4 3 4 3" xfId="16957" xr:uid="{00000000-0005-0000-0000-00002F420000}"/>
    <cellStyle name="0_MAJOR COMODITES for6094 4 3 4 3 2" xfId="16958" xr:uid="{00000000-0005-0000-0000-000030420000}"/>
    <cellStyle name="0_MAJOR COMODITES for6094 4 3 4 4" xfId="16959" xr:uid="{00000000-0005-0000-0000-000031420000}"/>
    <cellStyle name="0_MAJOR COMODITES for6094 4 3 5" xfId="16960" xr:uid="{00000000-0005-0000-0000-000032420000}"/>
    <cellStyle name="0_MAJOR COMODITES for6094 4 3 5 2" xfId="16961" xr:uid="{00000000-0005-0000-0000-000033420000}"/>
    <cellStyle name="0_MAJOR COMODITES for6094 4 3 5 2 2" xfId="16962" xr:uid="{00000000-0005-0000-0000-000034420000}"/>
    <cellStyle name="0_MAJOR COMODITES for6094 4 3 5 3" xfId="16963" xr:uid="{00000000-0005-0000-0000-000035420000}"/>
    <cellStyle name="0_MAJOR COMODITES for6094 4 3 5 3 2" xfId="16964" xr:uid="{00000000-0005-0000-0000-000036420000}"/>
    <cellStyle name="0_MAJOR COMODITES for6094 4 3 5 4" xfId="16965" xr:uid="{00000000-0005-0000-0000-000037420000}"/>
    <cellStyle name="0_MAJOR COMODITES for6094 4 3 6" xfId="16966" xr:uid="{00000000-0005-0000-0000-000038420000}"/>
    <cellStyle name="0_MAJOR COMODITES for6094 4 3 6 2" xfId="16967" xr:uid="{00000000-0005-0000-0000-000039420000}"/>
    <cellStyle name="0_MAJOR COMODITES for6094 4 3 7" xfId="16968" xr:uid="{00000000-0005-0000-0000-00003A420000}"/>
    <cellStyle name="0_MAJOR COMODITES for6094 4 3 7 2" xfId="16969" xr:uid="{00000000-0005-0000-0000-00003B420000}"/>
    <cellStyle name="0_MAJOR COMODITES for6094 4 3 8" xfId="16970" xr:uid="{00000000-0005-0000-0000-00003C420000}"/>
    <cellStyle name="0_MAJOR COMODITES for6094 4 4" xfId="16971" xr:uid="{00000000-0005-0000-0000-00003D420000}"/>
    <cellStyle name="0_MAJOR COMODITES for6094 4 4 2" xfId="16972" xr:uid="{00000000-0005-0000-0000-00003E420000}"/>
    <cellStyle name="0_MAJOR COMODITES for6094 4 4 2 2" xfId="16973" xr:uid="{00000000-0005-0000-0000-00003F420000}"/>
    <cellStyle name="0_MAJOR COMODITES for6094 4 4 2 2 2" xfId="16974" xr:uid="{00000000-0005-0000-0000-000040420000}"/>
    <cellStyle name="0_MAJOR COMODITES for6094 4 4 2 2 2 2" xfId="16975" xr:uid="{00000000-0005-0000-0000-000041420000}"/>
    <cellStyle name="0_MAJOR COMODITES for6094 4 4 2 2 3" xfId="16976" xr:uid="{00000000-0005-0000-0000-000042420000}"/>
    <cellStyle name="0_MAJOR COMODITES for6094 4 4 2 2 3 2" xfId="16977" xr:uid="{00000000-0005-0000-0000-000043420000}"/>
    <cellStyle name="0_MAJOR COMODITES for6094 4 4 2 2 4" xfId="16978" xr:uid="{00000000-0005-0000-0000-000044420000}"/>
    <cellStyle name="0_MAJOR COMODITES for6094 4 4 2 3" xfId="16979" xr:uid="{00000000-0005-0000-0000-000045420000}"/>
    <cellStyle name="0_MAJOR COMODITES for6094 4 4 2 3 2" xfId="16980" xr:uid="{00000000-0005-0000-0000-000046420000}"/>
    <cellStyle name="0_MAJOR COMODITES for6094 4 4 2 3 2 2" xfId="16981" xr:uid="{00000000-0005-0000-0000-000047420000}"/>
    <cellStyle name="0_MAJOR COMODITES for6094 4 4 2 3 3" xfId="16982" xr:uid="{00000000-0005-0000-0000-000048420000}"/>
    <cellStyle name="0_MAJOR COMODITES for6094 4 4 2 3 3 2" xfId="16983" xr:uid="{00000000-0005-0000-0000-000049420000}"/>
    <cellStyle name="0_MAJOR COMODITES for6094 4 4 2 3 4" xfId="16984" xr:uid="{00000000-0005-0000-0000-00004A420000}"/>
    <cellStyle name="0_MAJOR COMODITES for6094 4 4 2 4" xfId="16985" xr:uid="{00000000-0005-0000-0000-00004B420000}"/>
    <cellStyle name="0_MAJOR COMODITES for6094 4 4 2 4 2" xfId="16986" xr:uid="{00000000-0005-0000-0000-00004C420000}"/>
    <cellStyle name="0_MAJOR COMODITES for6094 4 4 2 5" xfId="16987" xr:uid="{00000000-0005-0000-0000-00004D420000}"/>
    <cellStyle name="0_MAJOR COMODITES for6094 4 4 2 5 2" xfId="16988" xr:uid="{00000000-0005-0000-0000-00004E420000}"/>
    <cellStyle name="0_MAJOR COMODITES for6094 4 4 2 6" xfId="16989" xr:uid="{00000000-0005-0000-0000-00004F420000}"/>
    <cellStyle name="0_MAJOR COMODITES for6094 4 4 3" xfId="16990" xr:uid="{00000000-0005-0000-0000-000050420000}"/>
    <cellStyle name="0_MAJOR COMODITES for6094 4 4 3 2" xfId="16991" xr:uid="{00000000-0005-0000-0000-000051420000}"/>
    <cellStyle name="0_MAJOR COMODITES for6094 4 4 3 2 2" xfId="16992" xr:uid="{00000000-0005-0000-0000-000052420000}"/>
    <cellStyle name="0_MAJOR COMODITES for6094 4 4 3 3" xfId="16993" xr:uid="{00000000-0005-0000-0000-000053420000}"/>
    <cellStyle name="0_MAJOR COMODITES for6094 4 4 3 3 2" xfId="16994" xr:uid="{00000000-0005-0000-0000-000054420000}"/>
    <cellStyle name="0_MAJOR COMODITES for6094 4 4 3 4" xfId="16995" xr:uid="{00000000-0005-0000-0000-000055420000}"/>
    <cellStyle name="0_MAJOR COMODITES for6094 4 4 4" xfId="16996" xr:uid="{00000000-0005-0000-0000-000056420000}"/>
    <cellStyle name="0_MAJOR COMODITES for6094 4 4 4 2" xfId="16997" xr:uid="{00000000-0005-0000-0000-000057420000}"/>
    <cellStyle name="0_MAJOR COMODITES for6094 4 4 4 2 2" xfId="16998" xr:uid="{00000000-0005-0000-0000-000058420000}"/>
    <cellStyle name="0_MAJOR COMODITES for6094 4 4 4 3" xfId="16999" xr:uid="{00000000-0005-0000-0000-000059420000}"/>
    <cellStyle name="0_MAJOR COMODITES for6094 4 4 4 3 2" xfId="17000" xr:uid="{00000000-0005-0000-0000-00005A420000}"/>
    <cellStyle name="0_MAJOR COMODITES for6094 4 4 4 4" xfId="17001" xr:uid="{00000000-0005-0000-0000-00005B420000}"/>
    <cellStyle name="0_MAJOR COMODITES for6094 4 4 5" xfId="17002" xr:uid="{00000000-0005-0000-0000-00005C420000}"/>
    <cellStyle name="0_MAJOR COMODITES for6094 4 4 5 2" xfId="17003" xr:uid="{00000000-0005-0000-0000-00005D420000}"/>
    <cellStyle name="0_MAJOR COMODITES for6094 4 4 5 2 2" xfId="17004" xr:uid="{00000000-0005-0000-0000-00005E420000}"/>
    <cellStyle name="0_MAJOR COMODITES for6094 4 4 5 3" xfId="17005" xr:uid="{00000000-0005-0000-0000-00005F420000}"/>
    <cellStyle name="0_MAJOR COMODITES for6094 4 4 5 3 2" xfId="17006" xr:uid="{00000000-0005-0000-0000-000060420000}"/>
    <cellStyle name="0_MAJOR COMODITES for6094 4 4 5 4" xfId="17007" xr:uid="{00000000-0005-0000-0000-000061420000}"/>
    <cellStyle name="0_MAJOR COMODITES for6094 4 4 6" xfId="17008" xr:uid="{00000000-0005-0000-0000-000062420000}"/>
    <cellStyle name="0_MAJOR COMODITES for6094 4 4 6 2" xfId="17009" xr:uid="{00000000-0005-0000-0000-000063420000}"/>
    <cellStyle name="0_MAJOR COMODITES for6094 4 4 7" xfId="17010" xr:uid="{00000000-0005-0000-0000-000064420000}"/>
    <cellStyle name="0_MAJOR COMODITES for6094 4 4 7 2" xfId="17011" xr:uid="{00000000-0005-0000-0000-000065420000}"/>
    <cellStyle name="0_MAJOR COMODITES for6094 4 4 8" xfId="17012" xr:uid="{00000000-0005-0000-0000-000066420000}"/>
    <cellStyle name="0_MAJOR COMODITES for6094 4 5" xfId="17013" xr:uid="{00000000-0005-0000-0000-000067420000}"/>
    <cellStyle name="0_MAJOR COMODITES for6094 4 5 2" xfId="17014" xr:uid="{00000000-0005-0000-0000-000068420000}"/>
    <cellStyle name="0_MAJOR COMODITES for6094 4 5 2 2" xfId="17015" xr:uid="{00000000-0005-0000-0000-000069420000}"/>
    <cellStyle name="0_MAJOR COMODITES for6094 4 5 2 2 2" xfId="17016" xr:uid="{00000000-0005-0000-0000-00006A420000}"/>
    <cellStyle name="0_MAJOR COMODITES for6094 4 5 2 2 2 2" xfId="17017" xr:uid="{00000000-0005-0000-0000-00006B420000}"/>
    <cellStyle name="0_MAJOR COMODITES for6094 4 5 2 2 3" xfId="17018" xr:uid="{00000000-0005-0000-0000-00006C420000}"/>
    <cellStyle name="0_MAJOR COMODITES for6094 4 5 2 2 3 2" xfId="17019" xr:uid="{00000000-0005-0000-0000-00006D420000}"/>
    <cellStyle name="0_MAJOR COMODITES for6094 4 5 2 2 4" xfId="17020" xr:uid="{00000000-0005-0000-0000-00006E420000}"/>
    <cellStyle name="0_MAJOR COMODITES for6094 4 5 2 3" xfId="17021" xr:uid="{00000000-0005-0000-0000-00006F420000}"/>
    <cellStyle name="0_MAJOR COMODITES for6094 4 5 2 3 2" xfId="17022" xr:uid="{00000000-0005-0000-0000-000070420000}"/>
    <cellStyle name="0_MAJOR COMODITES for6094 4 5 2 3 2 2" xfId="17023" xr:uid="{00000000-0005-0000-0000-000071420000}"/>
    <cellStyle name="0_MAJOR COMODITES for6094 4 5 2 3 3" xfId="17024" xr:uid="{00000000-0005-0000-0000-000072420000}"/>
    <cellStyle name="0_MAJOR COMODITES for6094 4 5 2 3 3 2" xfId="17025" xr:uid="{00000000-0005-0000-0000-000073420000}"/>
    <cellStyle name="0_MAJOR COMODITES for6094 4 5 2 3 4" xfId="17026" xr:uid="{00000000-0005-0000-0000-000074420000}"/>
    <cellStyle name="0_MAJOR COMODITES for6094 4 5 2 4" xfId="17027" xr:uid="{00000000-0005-0000-0000-000075420000}"/>
    <cellStyle name="0_MAJOR COMODITES for6094 4 5 2 4 2" xfId="17028" xr:uid="{00000000-0005-0000-0000-000076420000}"/>
    <cellStyle name="0_MAJOR COMODITES for6094 4 5 2 5" xfId="17029" xr:uid="{00000000-0005-0000-0000-000077420000}"/>
    <cellStyle name="0_MAJOR COMODITES for6094 4 5 2 5 2" xfId="17030" xr:uid="{00000000-0005-0000-0000-000078420000}"/>
    <cellStyle name="0_MAJOR COMODITES for6094 4 5 2 6" xfId="17031" xr:uid="{00000000-0005-0000-0000-000079420000}"/>
    <cellStyle name="0_MAJOR COMODITES for6094 4 5 3" xfId="17032" xr:uid="{00000000-0005-0000-0000-00007A420000}"/>
    <cellStyle name="0_MAJOR COMODITES for6094 4 5 3 2" xfId="17033" xr:uid="{00000000-0005-0000-0000-00007B420000}"/>
    <cellStyle name="0_MAJOR COMODITES for6094 4 5 3 2 2" xfId="17034" xr:uid="{00000000-0005-0000-0000-00007C420000}"/>
    <cellStyle name="0_MAJOR COMODITES for6094 4 5 3 3" xfId="17035" xr:uid="{00000000-0005-0000-0000-00007D420000}"/>
    <cellStyle name="0_MAJOR COMODITES for6094 4 5 3 3 2" xfId="17036" xr:uid="{00000000-0005-0000-0000-00007E420000}"/>
    <cellStyle name="0_MAJOR COMODITES for6094 4 5 3 4" xfId="17037" xr:uid="{00000000-0005-0000-0000-00007F420000}"/>
    <cellStyle name="0_MAJOR COMODITES for6094 4 5 4" xfId="17038" xr:uid="{00000000-0005-0000-0000-000080420000}"/>
    <cellStyle name="0_MAJOR COMODITES for6094 4 5 4 2" xfId="17039" xr:uid="{00000000-0005-0000-0000-000081420000}"/>
    <cellStyle name="0_MAJOR COMODITES for6094 4 5 4 2 2" xfId="17040" xr:uid="{00000000-0005-0000-0000-000082420000}"/>
    <cellStyle name="0_MAJOR COMODITES for6094 4 5 4 3" xfId="17041" xr:uid="{00000000-0005-0000-0000-000083420000}"/>
    <cellStyle name="0_MAJOR COMODITES for6094 4 5 4 3 2" xfId="17042" xr:uid="{00000000-0005-0000-0000-000084420000}"/>
    <cellStyle name="0_MAJOR COMODITES for6094 4 5 4 4" xfId="17043" xr:uid="{00000000-0005-0000-0000-000085420000}"/>
    <cellStyle name="0_MAJOR COMODITES for6094 4 5 5" xfId="17044" xr:uid="{00000000-0005-0000-0000-000086420000}"/>
    <cellStyle name="0_MAJOR COMODITES for6094 4 5 5 2" xfId="17045" xr:uid="{00000000-0005-0000-0000-000087420000}"/>
    <cellStyle name="0_MAJOR COMODITES for6094 4 5 5 2 2" xfId="17046" xr:uid="{00000000-0005-0000-0000-000088420000}"/>
    <cellStyle name="0_MAJOR COMODITES for6094 4 5 5 3" xfId="17047" xr:uid="{00000000-0005-0000-0000-000089420000}"/>
    <cellStyle name="0_MAJOR COMODITES for6094 4 5 5 3 2" xfId="17048" xr:uid="{00000000-0005-0000-0000-00008A420000}"/>
    <cellStyle name="0_MAJOR COMODITES for6094 4 5 5 4" xfId="17049" xr:uid="{00000000-0005-0000-0000-00008B420000}"/>
    <cellStyle name="0_MAJOR COMODITES for6094 4 5 6" xfId="17050" xr:uid="{00000000-0005-0000-0000-00008C420000}"/>
    <cellStyle name="0_MAJOR COMODITES for6094 4 5 6 2" xfId="17051" xr:uid="{00000000-0005-0000-0000-00008D420000}"/>
    <cellStyle name="0_MAJOR COMODITES for6094 4 5 7" xfId="17052" xr:uid="{00000000-0005-0000-0000-00008E420000}"/>
    <cellStyle name="0_MAJOR COMODITES for6094 4 5 7 2" xfId="17053" xr:uid="{00000000-0005-0000-0000-00008F420000}"/>
    <cellStyle name="0_MAJOR COMODITES for6094 4 5 8" xfId="17054" xr:uid="{00000000-0005-0000-0000-000090420000}"/>
    <cellStyle name="0_MAJOR COMODITES for6094 4 6" xfId="17055" xr:uid="{00000000-0005-0000-0000-000091420000}"/>
    <cellStyle name="0_MAJOR COMODITES for6094 4 6 2" xfId="17056" xr:uid="{00000000-0005-0000-0000-000092420000}"/>
    <cellStyle name="0_MAJOR COMODITES for6094 4 6 2 2" xfId="17057" xr:uid="{00000000-0005-0000-0000-000093420000}"/>
    <cellStyle name="0_MAJOR COMODITES for6094 4 6 2 2 2" xfId="17058" xr:uid="{00000000-0005-0000-0000-000094420000}"/>
    <cellStyle name="0_MAJOR COMODITES for6094 4 6 2 2 2 2" xfId="17059" xr:uid="{00000000-0005-0000-0000-000095420000}"/>
    <cellStyle name="0_MAJOR COMODITES for6094 4 6 2 2 3" xfId="17060" xr:uid="{00000000-0005-0000-0000-000096420000}"/>
    <cellStyle name="0_MAJOR COMODITES for6094 4 6 2 2 3 2" xfId="17061" xr:uid="{00000000-0005-0000-0000-000097420000}"/>
    <cellStyle name="0_MAJOR COMODITES for6094 4 6 2 2 4" xfId="17062" xr:uid="{00000000-0005-0000-0000-000098420000}"/>
    <cellStyle name="0_MAJOR COMODITES for6094 4 6 2 3" xfId="17063" xr:uid="{00000000-0005-0000-0000-000099420000}"/>
    <cellStyle name="0_MAJOR COMODITES for6094 4 6 2 3 2" xfId="17064" xr:uid="{00000000-0005-0000-0000-00009A420000}"/>
    <cellStyle name="0_MAJOR COMODITES for6094 4 6 2 3 2 2" xfId="17065" xr:uid="{00000000-0005-0000-0000-00009B420000}"/>
    <cellStyle name="0_MAJOR COMODITES for6094 4 6 2 3 3" xfId="17066" xr:uid="{00000000-0005-0000-0000-00009C420000}"/>
    <cellStyle name="0_MAJOR COMODITES for6094 4 6 2 3 3 2" xfId="17067" xr:uid="{00000000-0005-0000-0000-00009D420000}"/>
    <cellStyle name="0_MAJOR COMODITES for6094 4 6 2 3 4" xfId="17068" xr:uid="{00000000-0005-0000-0000-00009E420000}"/>
    <cellStyle name="0_MAJOR COMODITES for6094 4 6 2 4" xfId="17069" xr:uid="{00000000-0005-0000-0000-00009F420000}"/>
    <cellStyle name="0_MAJOR COMODITES for6094 4 6 2 4 2" xfId="17070" xr:uid="{00000000-0005-0000-0000-0000A0420000}"/>
    <cellStyle name="0_MAJOR COMODITES for6094 4 6 2 5" xfId="17071" xr:uid="{00000000-0005-0000-0000-0000A1420000}"/>
    <cellStyle name="0_MAJOR COMODITES for6094 4 6 2 5 2" xfId="17072" xr:uid="{00000000-0005-0000-0000-0000A2420000}"/>
    <cellStyle name="0_MAJOR COMODITES for6094 4 6 2 6" xfId="17073" xr:uid="{00000000-0005-0000-0000-0000A3420000}"/>
    <cellStyle name="0_MAJOR COMODITES for6094 4 6 3" xfId="17074" xr:uid="{00000000-0005-0000-0000-0000A4420000}"/>
    <cellStyle name="0_MAJOR COMODITES for6094 4 6 3 2" xfId="17075" xr:uid="{00000000-0005-0000-0000-0000A5420000}"/>
    <cellStyle name="0_MAJOR COMODITES for6094 4 6 3 2 2" xfId="17076" xr:uid="{00000000-0005-0000-0000-0000A6420000}"/>
    <cellStyle name="0_MAJOR COMODITES for6094 4 6 3 3" xfId="17077" xr:uid="{00000000-0005-0000-0000-0000A7420000}"/>
    <cellStyle name="0_MAJOR COMODITES for6094 4 6 3 3 2" xfId="17078" xr:uid="{00000000-0005-0000-0000-0000A8420000}"/>
    <cellStyle name="0_MAJOR COMODITES for6094 4 6 3 4" xfId="17079" xr:uid="{00000000-0005-0000-0000-0000A9420000}"/>
    <cellStyle name="0_MAJOR COMODITES for6094 4 6 4" xfId="17080" xr:uid="{00000000-0005-0000-0000-0000AA420000}"/>
    <cellStyle name="0_MAJOR COMODITES for6094 4 6 4 2" xfId="17081" xr:uid="{00000000-0005-0000-0000-0000AB420000}"/>
    <cellStyle name="0_MAJOR COMODITES for6094 4 6 4 2 2" xfId="17082" xr:uid="{00000000-0005-0000-0000-0000AC420000}"/>
    <cellStyle name="0_MAJOR COMODITES for6094 4 6 4 3" xfId="17083" xr:uid="{00000000-0005-0000-0000-0000AD420000}"/>
    <cellStyle name="0_MAJOR COMODITES for6094 4 6 4 3 2" xfId="17084" xr:uid="{00000000-0005-0000-0000-0000AE420000}"/>
    <cellStyle name="0_MAJOR COMODITES for6094 4 6 4 4" xfId="17085" xr:uid="{00000000-0005-0000-0000-0000AF420000}"/>
    <cellStyle name="0_MAJOR COMODITES for6094 4 6 5" xfId="17086" xr:uid="{00000000-0005-0000-0000-0000B0420000}"/>
    <cellStyle name="0_MAJOR COMODITES for6094 4 6 5 2" xfId="17087" xr:uid="{00000000-0005-0000-0000-0000B1420000}"/>
    <cellStyle name="0_MAJOR COMODITES for6094 4 6 5 2 2" xfId="17088" xr:uid="{00000000-0005-0000-0000-0000B2420000}"/>
    <cellStyle name="0_MAJOR COMODITES for6094 4 6 5 3" xfId="17089" xr:uid="{00000000-0005-0000-0000-0000B3420000}"/>
    <cellStyle name="0_MAJOR COMODITES for6094 4 6 5 3 2" xfId="17090" xr:uid="{00000000-0005-0000-0000-0000B4420000}"/>
    <cellStyle name="0_MAJOR COMODITES for6094 4 6 5 4" xfId="17091" xr:uid="{00000000-0005-0000-0000-0000B5420000}"/>
    <cellStyle name="0_MAJOR COMODITES for6094 4 6 6" xfId="17092" xr:uid="{00000000-0005-0000-0000-0000B6420000}"/>
    <cellStyle name="0_MAJOR COMODITES for6094 4 6 6 2" xfId="17093" xr:uid="{00000000-0005-0000-0000-0000B7420000}"/>
    <cellStyle name="0_MAJOR COMODITES for6094 4 6 7" xfId="17094" xr:uid="{00000000-0005-0000-0000-0000B8420000}"/>
    <cellStyle name="0_MAJOR COMODITES for6094 4 6 7 2" xfId="17095" xr:uid="{00000000-0005-0000-0000-0000B9420000}"/>
    <cellStyle name="0_MAJOR COMODITES for6094 4 6 8" xfId="17096" xr:uid="{00000000-0005-0000-0000-0000BA420000}"/>
    <cellStyle name="0_MAJOR COMODITES for6094 4 7" xfId="17097" xr:uid="{00000000-0005-0000-0000-0000BB420000}"/>
    <cellStyle name="0_MAJOR COMODITES for6094 4 7 2" xfId="17098" xr:uid="{00000000-0005-0000-0000-0000BC420000}"/>
    <cellStyle name="0_MAJOR COMODITES for6094 4 7 2 2" xfId="17099" xr:uid="{00000000-0005-0000-0000-0000BD420000}"/>
    <cellStyle name="0_MAJOR COMODITES for6094 4 7 2 2 2" xfId="17100" xr:uid="{00000000-0005-0000-0000-0000BE420000}"/>
    <cellStyle name="0_MAJOR COMODITES for6094 4 7 2 3" xfId="17101" xr:uid="{00000000-0005-0000-0000-0000BF420000}"/>
    <cellStyle name="0_MAJOR COMODITES for6094 4 7 2 3 2" xfId="17102" xr:uid="{00000000-0005-0000-0000-0000C0420000}"/>
    <cellStyle name="0_MAJOR COMODITES for6094 4 7 2 4" xfId="17103" xr:uid="{00000000-0005-0000-0000-0000C1420000}"/>
    <cellStyle name="0_MAJOR COMODITES for6094 4 7 3" xfId="17104" xr:uid="{00000000-0005-0000-0000-0000C2420000}"/>
    <cellStyle name="0_MAJOR COMODITES for6094 4 7 3 2" xfId="17105" xr:uid="{00000000-0005-0000-0000-0000C3420000}"/>
    <cellStyle name="0_MAJOR COMODITES for6094 4 7 3 2 2" xfId="17106" xr:uid="{00000000-0005-0000-0000-0000C4420000}"/>
    <cellStyle name="0_MAJOR COMODITES for6094 4 7 3 3" xfId="17107" xr:uid="{00000000-0005-0000-0000-0000C5420000}"/>
    <cellStyle name="0_MAJOR COMODITES for6094 4 7 3 3 2" xfId="17108" xr:uid="{00000000-0005-0000-0000-0000C6420000}"/>
    <cellStyle name="0_MAJOR COMODITES for6094 4 7 3 4" xfId="17109" xr:uid="{00000000-0005-0000-0000-0000C7420000}"/>
    <cellStyle name="0_MAJOR COMODITES for6094 4 7 4" xfId="17110" xr:uid="{00000000-0005-0000-0000-0000C8420000}"/>
    <cellStyle name="0_MAJOR COMODITES for6094 4 7 4 2" xfId="17111" xr:uid="{00000000-0005-0000-0000-0000C9420000}"/>
    <cellStyle name="0_MAJOR COMODITES for6094 4 7 5" xfId="17112" xr:uid="{00000000-0005-0000-0000-0000CA420000}"/>
    <cellStyle name="0_MAJOR COMODITES for6094 4 7 5 2" xfId="17113" xr:uid="{00000000-0005-0000-0000-0000CB420000}"/>
    <cellStyle name="0_MAJOR COMODITES for6094 4 7 6" xfId="17114" xr:uid="{00000000-0005-0000-0000-0000CC420000}"/>
    <cellStyle name="0_MAJOR COMODITES for6094 4 8" xfId="17115" xr:uid="{00000000-0005-0000-0000-0000CD420000}"/>
    <cellStyle name="0_MAJOR COMODITES for6094 4 8 2" xfId="17116" xr:uid="{00000000-0005-0000-0000-0000CE420000}"/>
    <cellStyle name="0_MAJOR COMODITES for6094 4 8 2 2" xfId="17117" xr:uid="{00000000-0005-0000-0000-0000CF420000}"/>
    <cellStyle name="0_MAJOR COMODITES for6094 4 8 3" xfId="17118" xr:uid="{00000000-0005-0000-0000-0000D0420000}"/>
    <cellStyle name="0_MAJOR COMODITES for6094 4 8 3 2" xfId="17119" xr:uid="{00000000-0005-0000-0000-0000D1420000}"/>
    <cellStyle name="0_MAJOR COMODITES for6094 4 8 4" xfId="17120" xr:uid="{00000000-0005-0000-0000-0000D2420000}"/>
    <cellStyle name="0_MAJOR COMODITES for6094 4 9" xfId="17121" xr:uid="{00000000-0005-0000-0000-0000D3420000}"/>
    <cellStyle name="0_MAJOR COMODITES for6094 4 9 2" xfId="17122" xr:uid="{00000000-0005-0000-0000-0000D4420000}"/>
    <cellStyle name="0_MAJOR COMODITES for6094 4 9 2 2" xfId="17123" xr:uid="{00000000-0005-0000-0000-0000D5420000}"/>
    <cellStyle name="0_MAJOR COMODITES for6094 4 9 3" xfId="17124" xr:uid="{00000000-0005-0000-0000-0000D6420000}"/>
    <cellStyle name="0_MAJOR COMODITES for6094 4 9 3 2" xfId="17125" xr:uid="{00000000-0005-0000-0000-0000D7420000}"/>
    <cellStyle name="0_MAJOR COMODITES for6094 4 9 4" xfId="17126" xr:uid="{00000000-0005-0000-0000-0000D8420000}"/>
    <cellStyle name="0_MAJOR COMODITES for6094 5" xfId="17127" xr:uid="{00000000-0005-0000-0000-0000D9420000}"/>
    <cellStyle name="0_MAJOR COMODITES for6094 5 10" xfId="17128" xr:uid="{00000000-0005-0000-0000-0000DA420000}"/>
    <cellStyle name="0_MAJOR COMODITES for6094 5 10 2" xfId="17129" xr:uid="{00000000-0005-0000-0000-0000DB420000}"/>
    <cellStyle name="0_MAJOR COMODITES for6094 5 10 2 2" xfId="17130" xr:uid="{00000000-0005-0000-0000-0000DC420000}"/>
    <cellStyle name="0_MAJOR COMODITES for6094 5 10 3" xfId="17131" xr:uid="{00000000-0005-0000-0000-0000DD420000}"/>
    <cellStyle name="0_MAJOR COMODITES for6094 5 10 3 2" xfId="17132" xr:uid="{00000000-0005-0000-0000-0000DE420000}"/>
    <cellStyle name="0_MAJOR COMODITES for6094 5 10 4" xfId="17133" xr:uid="{00000000-0005-0000-0000-0000DF420000}"/>
    <cellStyle name="0_MAJOR COMODITES for6094 5 11" xfId="17134" xr:uid="{00000000-0005-0000-0000-0000E0420000}"/>
    <cellStyle name="0_MAJOR COMODITES for6094 5 11 2" xfId="17135" xr:uid="{00000000-0005-0000-0000-0000E1420000}"/>
    <cellStyle name="0_MAJOR COMODITES for6094 5 12" xfId="17136" xr:uid="{00000000-0005-0000-0000-0000E2420000}"/>
    <cellStyle name="0_MAJOR COMODITES for6094 5 12 2" xfId="17137" xr:uid="{00000000-0005-0000-0000-0000E3420000}"/>
    <cellStyle name="0_MAJOR COMODITES for6094 5 13" xfId="17138" xr:uid="{00000000-0005-0000-0000-0000E4420000}"/>
    <cellStyle name="0_MAJOR COMODITES for6094 5 2" xfId="17139" xr:uid="{00000000-0005-0000-0000-0000E5420000}"/>
    <cellStyle name="0_MAJOR COMODITES for6094 5 2 2" xfId="17140" xr:uid="{00000000-0005-0000-0000-0000E6420000}"/>
    <cellStyle name="0_MAJOR COMODITES for6094 5 2 2 2" xfId="17141" xr:uid="{00000000-0005-0000-0000-0000E7420000}"/>
    <cellStyle name="0_MAJOR COMODITES for6094 5 2 2 2 2" xfId="17142" xr:uid="{00000000-0005-0000-0000-0000E8420000}"/>
    <cellStyle name="0_MAJOR COMODITES for6094 5 2 2 2 2 2" xfId="17143" xr:uid="{00000000-0005-0000-0000-0000E9420000}"/>
    <cellStyle name="0_MAJOR COMODITES for6094 5 2 2 2 3" xfId="17144" xr:uid="{00000000-0005-0000-0000-0000EA420000}"/>
    <cellStyle name="0_MAJOR COMODITES for6094 5 2 2 2 3 2" xfId="17145" xr:uid="{00000000-0005-0000-0000-0000EB420000}"/>
    <cellStyle name="0_MAJOR COMODITES for6094 5 2 2 2 4" xfId="17146" xr:uid="{00000000-0005-0000-0000-0000EC420000}"/>
    <cellStyle name="0_MAJOR COMODITES for6094 5 2 2 3" xfId="17147" xr:uid="{00000000-0005-0000-0000-0000ED420000}"/>
    <cellStyle name="0_MAJOR COMODITES for6094 5 2 2 3 2" xfId="17148" xr:uid="{00000000-0005-0000-0000-0000EE420000}"/>
    <cellStyle name="0_MAJOR COMODITES for6094 5 2 2 3 2 2" xfId="17149" xr:uid="{00000000-0005-0000-0000-0000EF420000}"/>
    <cellStyle name="0_MAJOR COMODITES for6094 5 2 2 3 3" xfId="17150" xr:uid="{00000000-0005-0000-0000-0000F0420000}"/>
    <cellStyle name="0_MAJOR COMODITES for6094 5 2 2 3 3 2" xfId="17151" xr:uid="{00000000-0005-0000-0000-0000F1420000}"/>
    <cellStyle name="0_MAJOR COMODITES for6094 5 2 2 3 4" xfId="17152" xr:uid="{00000000-0005-0000-0000-0000F2420000}"/>
    <cellStyle name="0_MAJOR COMODITES for6094 5 2 2 4" xfId="17153" xr:uid="{00000000-0005-0000-0000-0000F3420000}"/>
    <cellStyle name="0_MAJOR COMODITES for6094 5 2 2 4 2" xfId="17154" xr:uid="{00000000-0005-0000-0000-0000F4420000}"/>
    <cellStyle name="0_MAJOR COMODITES for6094 5 2 2 5" xfId="17155" xr:uid="{00000000-0005-0000-0000-0000F5420000}"/>
    <cellStyle name="0_MAJOR COMODITES for6094 5 2 2 5 2" xfId="17156" xr:uid="{00000000-0005-0000-0000-0000F6420000}"/>
    <cellStyle name="0_MAJOR COMODITES for6094 5 2 2 6" xfId="17157" xr:uid="{00000000-0005-0000-0000-0000F7420000}"/>
    <cellStyle name="0_MAJOR COMODITES for6094 5 2 3" xfId="17158" xr:uid="{00000000-0005-0000-0000-0000F8420000}"/>
    <cellStyle name="0_MAJOR COMODITES for6094 5 2 3 2" xfId="17159" xr:uid="{00000000-0005-0000-0000-0000F9420000}"/>
    <cellStyle name="0_MAJOR COMODITES for6094 5 2 3 2 2" xfId="17160" xr:uid="{00000000-0005-0000-0000-0000FA420000}"/>
    <cellStyle name="0_MAJOR COMODITES for6094 5 2 3 3" xfId="17161" xr:uid="{00000000-0005-0000-0000-0000FB420000}"/>
    <cellStyle name="0_MAJOR COMODITES for6094 5 2 3 3 2" xfId="17162" xr:uid="{00000000-0005-0000-0000-0000FC420000}"/>
    <cellStyle name="0_MAJOR COMODITES for6094 5 2 3 4" xfId="17163" xr:uid="{00000000-0005-0000-0000-0000FD420000}"/>
    <cellStyle name="0_MAJOR COMODITES for6094 5 2 4" xfId="17164" xr:uid="{00000000-0005-0000-0000-0000FE420000}"/>
    <cellStyle name="0_MAJOR COMODITES for6094 5 2 4 2" xfId="17165" xr:uid="{00000000-0005-0000-0000-0000FF420000}"/>
    <cellStyle name="0_MAJOR COMODITES for6094 5 2 4 2 2" xfId="17166" xr:uid="{00000000-0005-0000-0000-000000430000}"/>
    <cellStyle name="0_MAJOR COMODITES for6094 5 2 4 3" xfId="17167" xr:uid="{00000000-0005-0000-0000-000001430000}"/>
    <cellStyle name="0_MAJOR COMODITES for6094 5 2 4 3 2" xfId="17168" xr:uid="{00000000-0005-0000-0000-000002430000}"/>
    <cellStyle name="0_MAJOR COMODITES for6094 5 2 4 4" xfId="17169" xr:uid="{00000000-0005-0000-0000-000003430000}"/>
    <cellStyle name="0_MAJOR COMODITES for6094 5 2 5" xfId="17170" xr:uid="{00000000-0005-0000-0000-000004430000}"/>
    <cellStyle name="0_MAJOR COMODITES for6094 5 2 5 2" xfId="17171" xr:uid="{00000000-0005-0000-0000-000005430000}"/>
    <cellStyle name="0_MAJOR COMODITES for6094 5 2 5 2 2" xfId="17172" xr:uid="{00000000-0005-0000-0000-000006430000}"/>
    <cellStyle name="0_MAJOR COMODITES for6094 5 2 5 3" xfId="17173" xr:uid="{00000000-0005-0000-0000-000007430000}"/>
    <cellStyle name="0_MAJOR COMODITES for6094 5 2 5 3 2" xfId="17174" xr:uid="{00000000-0005-0000-0000-000008430000}"/>
    <cellStyle name="0_MAJOR COMODITES for6094 5 2 5 4" xfId="17175" xr:uid="{00000000-0005-0000-0000-000009430000}"/>
    <cellStyle name="0_MAJOR COMODITES for6094 5 2 6" xfId="17176" xr:uid="{00000000-0005-0000-0000-00000A430000}"/>
    <cellStyle name="0_MAJOR COMODITES for6094 5 2 6 2" xfId="17177" xr:uid="{00000000-0005-0000-0000-00000B430000}"/>
    <cellStyle name="0_MAJOR COMODITES for6094 5 2 7" xfId="17178" xr:uid="{00000000-0005-0000-0000-00000C430000}"/>
    <cellStyle name="0_MAJOR COMODITES for6094 5 2 7 2" xfId="17179" xr:uid="{00000000-0005-0000-0000-00000D430000}"/>
    <cellStyle name="0_MAJOR COMODITES for6094 5 2 8" xfId="17180" xr:uid="{00000000-0005-0000-0000-00000E430000}"/>
    <cellStyle name="0_MAJOR COMODITES for6094 5 3" xfId="17181" xr:uid="{00000000-0005-0000-0000-00000F430000}"/>
    <cellStyle name="0_MAJOR COMODITES for6094 5 3 2" xfId="17182" xr:uid="{00000000-0005-0000-0000-000010430000}"/>
    <cellStyle name="0_MAJOR COMODITES for6094 5 3 2 2" xfId="17183" xr:uid="{00000000-0005-0000-0000-000011430000}"/>
    <cellStyle name="0_MAJOR COMODITES for6094 5 3 2 2 2" xfId="17184" xr:uid="{00000000-0005-0000-0000-000012430000}"/>
    <cellStyle name="0_MAJOR COMODITES for6094 5 3 2 2 2 2" xfId="17185" xr:uid="{00000000-0005-0000-0000-000013430000}"/>
    <cellStyle name="0_MAJOR COMODITES for6094 5 3 2 2 3" xfId="17186" xr:uid="{00000000-0005-0000-0000-000014430000}"/>
    <cellStyle name="0_MAJOR COMODITES for6094 5 3 2 2 3 2" xfId="17187" xr:uid="{00000000-0005-0000-0000-000015430000}"/>
    <cellStyle name="0_MAJOR COMODITES for6094 5 3 2 2 4" xfId="17188" xr:uid="{00000000-0005-0000-0000-000016430000}"/>
    <cellStyle name="0_MAJOR COMODITES for6094 5 3 2 3" xfId="17189" xr:uid="{00000000-0005-0000-0000-000017430000}"/>
    <cellStyle name="0_MAJOR COMODITES for6094 5 3 2 3 2" xfId="17190" xr:uid="{00000000-0005-0000-0000-000018430000}"/>
    <cellStyle name="0_MAJOR COMODITES for6094 5 3 2 3 2 2" xfId="17191" xr:uid="{00000000-0005-0000-0000-000019430000}"/>
    <cellStyle name="0_MAJOR COMODITES for6094 5 3 2 3 3" xfId="17192" xr:uid="{00000000-0005-0000-0000-00001A430000}"/>
    <cellStyle name="0_MAJOR COMODITES for6094 5 3 2 3 3 2" xfId="17193" xr:uid="{00000000-0005-0000-0000-00001B430000}"/>
    <cellStyle name="0_MAJOR COMODITES for6094 5 3 2 3 4" xfId="17194" xr:uid="{00000000-0005-0000-0000-00001C430000}"/>
    <cellStyle name="0_MAJOR COMODITES for6094 5 3 2 4" xfId="17195" xr:uid="{00000000-0005-0000-0000-00001D430000}"/>
    <cellStyle name="0_MAJOR COMODITES for6094 5 3 2 4 2" xfId="17196" xr:uid="{00000000-0005-0000-0000-00001E430000}"/>
    <cellStyle name="0_MAJOR COMODITES for6094 5 3 2 5" xfId="17197" xr:uid="{00000000-0005-0000-0000-00001F430000}"/>
    <cellStyle name="0_MAJOR COMODITES for6094 5 3 2 5 2" xfId="17198" xr:uid="{00000000-0005-0000-0000-000020430000}"/>
    <cellStyle name="0_MAJOR COMODITES for6094 5 3 2 6" xfId="17199" xr:uid="{00000000-0005-0000-0000-000021430000}"/>
    <cellStyle name="0_MAJOR COMODITES for6094 5 3 3" xfId="17200" xr:uid="{00000000-0005-0000-0000-000022430000}"/>
    <cellStyle name="0_MAJOR COMODITES for6094 5 3 3 2" xfId="17201" xr:uid="{00000000-0005-0000-0000-000023430000}"/>
    <cellStyle name="0_MAJOR COMODITES for6094 5 3 3 2 2" xfId="17202" xr:uid="{00000000-0005-0000-0000-000024430000}"/>
    <cellStyle name="0_MAJOR COMODITES for6094 5 3 3 3" xfId="17203" xr:uid="{00000000-0005-0000-0000-000025430000}"/>
    <cellStyle name="0_MAJOR COMODITES for6094 5 3 3 3 2" xfId="17204" xr:uid="{00000000-0005-0000-0000-000026430000}"/>
    <cellStyle name="0_MAJOR COMODITES for6094 5 3 3 4" xfId="17205" xr:uid="{00000000-0005-0000-0000-000027430000}"/>
    <cellStyle name="0_MAJOR COMODITES for6094 5 3 4" xfId="17206" xr:uid="{00000000-0005-0000-0000-000028430000}"/>
    <cellStyle name="0_MAJOR COMODITES for6094 5 3 4 2" xfId="17207" xr:uid="{00000000-0005-0000-0000-000029430000}"/>
    <cellStyle name="0_MAJOR COMODITES for6094 5 3 4 2 2" xfId="17208" xr:uid="{00000000-0005-0000-0000-00002A430000}"/>
    <cellStyle name="0_MAJOR COMODITES for6094 5 3 4 3" xfId="17209" xr:uid="{00000000-0005-0000-0000-00002B430000}"/>
    <cellStyle name="0_MAJOR COMODITES for6094 5 3 4 3 2" xfId="17210" xr:uid="{00000000-0005-0000-0000-00002C430000}"/>
    <cellStyle name="0_MAJOR COMODITES for6094 5 3 4 4" xfId="17211" xr:uid="{00000000-0005-0000-0000-00002D430000}"/>
    <cellStyle name="0_MAJOR COMODITES for6094 5 3 5" xfId="17212" xr:uid="{00000000-0005-0000-0000-00002E430000}"/>
    <cellStyle name="0_MAJOR COMODITES for6094 5 3 5 2" xfId="17213" xr:uid="{00000000-0005-0000-0000-00002F430000}"/>
    <cellStyle name="0_MAJOR COMODITES for6094 5 3 5 2 2" xfId="17214" xr:uid="{00000000-0005-0000-0000-000030430000}"/>
    <cellStyle name="0_MAJOR COMODITES for6094 5 3 5 3" xfId="17215" xr:uid="{00000000-0005-0000-0000-000031430000}"/>
    <cellStyle name="0_MAJOR COMODITES for6094 5 3 5 3 2" xfId="17216" xr:uid="{00000000-0005-0000-0000-000032430000}"/>
    <cellStyle name="0_MAJOR COMODITES for6094 5 3 5 4" xfId="17217" xr:uid="{00000000-0005-0000-0000-000033430000}"/>
    <cellStyle name="0_MAJOR COMODITES for6094 5 3 6" xfId="17218" xr:uid="{00000000-0005-0000-0000-000034430000}"/>
    <cellStyle name="0_MAJOR COMODITES for6094 5 3 6 2" xfId="17219" xr:uid="{00000000-0005-0000-0000-000035430000}"/>
    <cellStyle name="0_MAJOR COMODITES for6094 5 3 7" xfId="17220" xr:uid="{00000000-0005-0000-0000-000036430000}"/>
    <cellStyle name="0_MAJOR COMODITES for6094 5 3 7 2" xfId="17221" xr:uid="{00000000-0005-0000-0000-000037430000}"/>
    <cellStyle name="0_MAJOR COMODITES for6094 5 3 8" xfId="17222" xr:uid="{00000000-0005-0000-0000-000038430000}"/>
    <cellStyle name="0_MAJOR COMODITES for6094 5 4" xfId="17223" xr:uid="{00000000-0005-0000-0000-000039430000}"/>
    <cellStyle name="0_MAJOR COMODITES for6094 5 4 2" xfId="17224" xr:uid="{00000000-0005-0000-0000-00003A430000}"/>
    <cellStyle name="0_MAJOR COMODITES for6094 5 4 2 2" xfId="17225" xr:uid="{00000000-0005-0000-0000-00003B430000}"/>
    <cellStyle name="0_MAJOR COMODITES for6094 5 4 2 2 2" xfId="17226" xr:uid="{00000000-0005-0000-0000-00003C430000}"/>
    <cellStyle name="0_MAJOR COMODITES for6094 5 4 2 2 2 2" xfId="17227" xr:uid="{00000000-0005-0000-0000-00003D430000}"/>
    <cellStyle name="0_MAJOR COMODITES for6094 5 4 2 2 3" xfId="17228" xr:uid="{00000000-0005-0000-0000-00003E430000}"/>
    <cellStyle name="0_MAJOR COMODITES for6094 5 4 2 2 3 2" xfId="17229" xr:uid="{00000000-0005-0000-0000-00003F430000}"/>
    <cellStyle name="0_MAJOR COMODITES for6094 5 4 2 2 4" xfId="17230" xr:uid="{00000000-0005-0000-0000-000040430000}"/>
    <cellStyle name="0_MAJOR COMODITES for6094 5 4 2 3" xfId="17231" xr:uid="{00000000-0005-0000-0000-000041430000}"/>
    <cellStyle name="0_MAJOR COMODITES for6094 5 4 2 3 2" xfId="17232" xr:uid="{00000000-0005-0000-0000-000042430000}"/>
    <cellStyle name="0_MAJOR COMODITES for6094 5 4 2 3 2 2" xfId="17233" xr:uid="{00000000-0005-0000-0000-000043430000}"/>
    <cellStyle name="0_MAJOR COMODITES for6094 5 4 2 3 3" xfId="17234" xr:uid="{00000000-0005-0000-0000-000044430000}"/>
    <cellStyle name="0_MAJOR COMODITES for6094 5 4 2 3 3 2" xfId="17235" xr:uid="{00000000-0005-0000-0000-000045430000}"/>
    <cellStyle name="0_MAJOR COMODITES for6094 5 4 2 3 4" xfId="17236" xr:uid="{00000000-0005-0000-0000-000046430000}"/>
    <cellStyle name="0_MAJOR COMODITES for6094 5 4 2 4" xfId="17237" xr:uid="{00000000-0005-0000-0000-000047430000}"/>
    <cellStyle name="0_MAJOR COMODITES for6094 5 4 2 4 2" xfId="17238" xr:uid="{00000000-0005-0000-0000-000048430000}"/>
    <cellStyle name="0_MAJOR COMODITES for6094 5 4 2 5" xfId="17239" xr:uid="{00000000-0005-0000-0000-000049430000}"/>
    <cellStyle name="0_MAJOR COMODITES for6094 5 4 2 5 2" xfId="17240" xr:uid="{00000000-0005-0000-0000-00004A430000}"/>
    <cellStyle name="0_MAJOR COMODITES for6094 5 4 2 6" xfId="17241" xr:uid="{00000000-0005-0000-0000-00004B430000}"/>
    <cellStyle name="0_MAJOR COMODITES for6094 5 4 3" xfId="17242" xr:uid="{00000000-0005-0000-0000-00004C430000}"/>
    <cellStyle name="0_MAJOR COMODITES for6094 5 4 3 2" xfId="17243" xr:uid="{00000000-0005-0000-0000-00004D430000}"/>
    <cellStyle name="0_MAJOR COMODITES for6094 5 4 3 2 2" xfId="17244" xr:uid="{00000000-0005-0000-0000-00004E430000}"/>
    <cellStyle name="0_MAJOR COMODITES for6094 5 4 3 3" xfId="17245" xr:uid="{00000000-0005-0000-0000-00004F430000}"/>
    <cellStyle name="0_MAJOR COMODITES for6094 5 4 3 3 2" xfId="17246" xr:uid="{00000000-0005-0000-0000-000050430000}"/>
    <cellStyle name="0_MAJOR COMODITES for6094 5 4 3 4" xfId="17247" xr:uid="{00000000-0005-0000-0000-000051430000}"/>
    <cellStyle name="0_MAJOR COMODITES for6094 5 4 4" xfId="17248" xr:uid="{00000000-0005-0000-0000-000052430000}"/>
    <cellStyle name="0_MAJOR COMODITES for6094 5 4 4 2" xfId="17249" xr:uid="{00000000-0005-0000-0000-000053430000}"/>
    <cellStyle name="0_MAJOR COMODITES for6094 5 4 4 2 2" xfId="17250" xr:uid="{00000000-0005-0000-0000-000054430000}"/>
    <cellStyle name="0_MAJOR COMODITES for6094 5 4 4 3" xfId="17251" xr:uid="{00000000-0005-0000-0000-000055430000}"/>
    <cellStyle name="0_MAJOR COMODITES for6094 5 4 4 3 2" xfId="17252" xr:uid="{00000000-0005-0000-0000-000056430000}"/>
    <cellStyle name="0_MAJOR COMODITES for6094 5 4 4 4" xfId="17253" xr:uid="{00000000-0005-0000-0000-000057430000}"/>
    <cellStyle name="0_MAJOR COMODITES for6094 5 4 5" xfId="17254" xr:uid="{00000000-0005-0000-0000-000058430000}"/>
    <cellStyle name="0_MAJOR COMODITES for6094 5 4 5 2" xfId="17255" xr:uid="{00000000-0005-0000-0000-000059430000}"/>
    <cellStyle name="0_MAJOR COMODITES for6094 5 4 5 2 2" xfId="17256" xr:uid="{00000000-0005-0000-0000-00005A430000}"/>
    <cellStyle name="0_MAJOR COMODITES for6094 5 4 5 3" xfId="17257" xr:uid="{00000000-0005-0000-0000-00005B430000}"/>
    <cellStyle name="0_MAJOR COMODITES for6094 5 4 5 3 2" xfId="17258" xr:uid="{00000000-0005-0000-0000-00005C430000}"/>
    <cellStyle name="0_MAJOR COMODITES for6094 5 4 5 4" xfId="17259" xr:uid="{00000000-0005-0000-0000-00005D430000}"/>
    <cellStyle name="0_MAJOR COMODITES for6094 5 4 6" xfId="17260" xr:uid="{00000000-0005-0000-0000-00005E430000}"/>
    <cellStyle name="0_MAJOR COMODITES for6094 5 4 6 2" xfId="17261" xr:uid="{00000000-0005-0000-0000-00005F430000}"/>
    <cellStyle name="0_MAJOR COMODITES for6094 5 4 7" xfId="17262" xr:uid="{00000000-0005-0000-0000-000060430000}"/>
    <cellStyle name="0_MAJOR COMODITES for6094 5 4 7 2" xfId="17263" xr:uid="{00000000-0005-0000-0000-000061430000}"/>
    <cellStyle name="0_MAJOR COMODITES for6094 5 4 8" xfId="17264" xr:uid="{00000000-0005-0000-0000-000062430000}"/>
    <cellStyle name="0_MAJOR COMODITES for6094 5 5" xfId="17265" xr:uid="{00000000-0005-0000-0000-000063430000}"/>
    <cellStyle name="0_MAJOR COMODITES for6094 5 5 2" xfId="17266" xr:uid="{00000000-0005-0000-0000-000064430000}"/>
    <cellStyle name="0_MAJOR COMODITES for6094 5 5 2 2" xfId="17267" xr:uid="{00000000-0005-0000-0000-000065430000}"/>
    <cellStyle name="0_MAJOR COMODITES for6094 5 5 2 2 2" xfId="17268" xr:uid="{00000000-0005-0000-0000-000066430000}"/>
    <cellStyle name="0_MAJOR COMODITES for6094 5 5 2 2 2 2" xfId="17269" xr:uid="{00000000-0005-0000-0000-000067430000}"/>
    <cellStyle name="0_MAJOR COMODITES for6094 5 5 2 2 3" xfId="17270" xr:uid="{00000000-0005-0000-0000-000068430000}"/>
    <cellStyle name="0_MAJOR COMODITES for6094 5 5 2 2 3 2" xfId="17271" xr:uid="{00000000-0005-0000-0000-000069430000}"/>
    <cellStyle name="0_MAJOR COMODITES for6094 5 5 2 2 4" xfId="17272" xr:uid="{00000000-0005-0000-0000-00006A430000}"/>
    <cellStyle name="0_MAJOR COMODITES for6094 5 5 2 3" xfId="17273" xr:uid="{00000000-0005-0000-0000-00006B430000}"/>
    <cellStyle name="0_MAJOR COMODITES for6094 5 5 2 3 2" xfId="17274" xr:uid="{00000000-0005-0000-0000-00006C430000}"/>
    <cellStyle name="0_MAJOR COMODITES for6094 5 5 2 3 2 2" xfId="17275" xr:uid="{00000000-0005-0000-0000-00006D430000}"/>
    <cellStyle name="0_MAJOR COMODITES for6094 5 5 2 3 3" xfId="17276" xr:uid="{00000000-0005-0000-0000-00006E430000}"/>
    <cellStyle name="0_MAJOR COMODITES for6094 5 5 2 3 3 2" xfId="17277" xr:uid="{00000000-0005-0000-0000-00006F430000}"/>
    <cellStyle name="0_MAJOR COMODITES for6094 5 5 2 3 4" xfId="17278" xr:uid="{00000000-0005-0000-0000-000070430000}"/>
    <cellStyle name="0_MAJOR COMODITES for6094 5 5 2 4" xfId="17279" xr:uid="{00000000-0005-0000-0000-000071430000}"/>
    <cellStyle name="0_MAJOR COMODITES for6094 5 5 2 4 2" xfId="17280" xr:uid="{00000000-0005-0000-0000-000072430000}"/>
    <cellStyle name="0_MAJOR COMODITES for6094 5 5 2 5" xfId="17281" xr:uid="{00000000-0005-0000-0000-000073430000}"/>
    <cellStyle name="0_MAJOR COMODITES for6094 5 5 2 5 2" xfId="17282" xr:uid="{00000000-0005-0000-0000-000074430000}"/>
    <cellStyle name="0_MAJOR COMODITES for6094 5 5 2 6" xfId="17283" xr:uid="{00000000-0005-0000-0000-000075430000}"/>
    <cellStyle name="0_MAJOR COMODITES for6094 5 5 3" xfId="17284" xr:uid="{00000000-0005-0000-0000-000076430000}"/>
    <cellStyle name="0_MAJOR COMODITES for6094 5 5 3 2" xfId="17285" xr:uid="{00000000-0005-0000-0000-000077430000}"/>
    <cellStyle name="0_MAJOR COMODITES for6094 5 5 3 2 2" xfId="17286" xr:uid="{00000000-0005-0000-0000-000078430000}"/>
    <cellStyle name="0_MAJOR COMODITES for6094 5 5 3 3" xfId="17287" xr:uid="{00000000-0005-0000-0000-000079430000}"/>
    <cellStyle name="0_MAJOR COMODITES for6094 5 5 3 3 2" xfId="17288" xr:uid="{00000000-0005-0000-0000-00007A430000}"/>
    <cellStyle name="0_MAJOR COMODITES for6094 5 5 3 4" xfId="17289" xr:uid="{00000000-0005-0000-0000-00007B430000}"/>
    <cellStyle name="0_MAJOR COMODITES for6094 5 5 4" xfId="17290" xr:uid="{00000000-0005-0000-0000-00007C430000}"/>
    <cellStyle name="0_MAJOR COMODITES for6094 5 5 4 2" xfId="17291" xr:uid="{00000000-0005-0000-0000-00007D430000}"/>
    <cellStyle name="0_MAJOR COMODITES for6094 5 5 4 2 2" xfId="17292" xr:uid="{00000000-0005-0000-0000-00007E430000}"/>
    <cellStyle name="0_MAJOR COMODITES for6094 5 5 4 3" xfId="17293" xr:uid="{00000000-0005-0000-0000-00007F430000}"/>
    <cellStyle name="0_MAJOR COMODITES for6094 5 5 4 3 2" xfId="17294" xr:uid="{00000000-0005-0000-0000-000080430000}"/>
    <cellStyle name="0_MAJOR COMODITES for6094 5 5 4 4" xfId="17295" xr:uid="{00000000-0005-0000-0000-000081430000}"/>
    <cellStyle name="0_MAJOR COMODITES for6094 5 5 5" xfId="17296" xr:uid="{00000000-0005-0000-0000-000082430000}"/>
    <cellStyle name="0_MAJOR COMODITES for6094 5 5 5 2" xfId="17297" xr:uid="{00000000-0005-0000-0000-000083430000}"/>
    <cellStyle name="0_MAJOR COMODITES for6094 5 5 5 2 2" xfId="17298" xr:uid="{00000000-0005-0000-0000-000084430000}"/>
    <cellStyle name="0_MAJOR COMODITES for6094 5 5 5 3" xfId="17299" xr:uid="{00000000-0005-0000-0000-000085430000}"/>
    <cellStyle name="0_MAJOR COMODITES for6094 5 5 5 3 2" xfId="17300" xr:uid="{00000000-0005-0000-0000-000086430000}"/>
    <cellStyle name="0_MAJOR COMODITES for6094 5 5 5 4" xfId="17301" xr:uid="{00000000-0005-0000-0000-000087430000}"/>
    <cellStyle name="0_MAJOR COMODITES for6094 5 5 6" xfId="17302" xr:uid="{00000000-0005-0000-0000-000088430000}"/>
    <cellStyle name="0_MAJOR COMODITES for6094 5 5 6 2" xfId="17303" xr:uid="{00000000-0005-0000-0000-000089430000}"/>
    <cellStyle name="0_MAJOR COMODITES for6094 5 5 7" xfId="17304" xr:uid="{00000000-0005-0000-0000-00008A430000}"/>
    <cellStyle name="0_MAJOR COMODITES for6094 5 5 7 2" xfId="17305" xr:uid="{00000000-0005-0000-0000-00008B430000}"/>
    <cellStyle name="0_MAJOR COMODITES for6094 5 5 8" xfId="17306" xr:uid="{00000000-0005-0000-0000-00008C430000}"/>
    <cellStyle name="0_MAJOR COMODITES for6094 5 6" xfId="17307" xr:uid="{00000000-0005-0000-0000-00008D430000}"/>
    <cellStyle name="0_MAJOR COMODITES for6094 5 6 2" xfId="17308" xr:uid="{00000000-0005-0000-0000-00008E430000}"/>
    <cellStyle name="0_MAJOR COMODITES for6094 5 6 2 2" xfId="17309" xr:uid="{00000000-0005-0000-0000-00008F430000}"/>
    <cellStyle name="0_MAJOR COMODITES for6094 5 6 2 2 2" xfId="17310" xr:uid="{00000000-0005-0000-0000-000090430000}"/>
    <cellStyle name="0_MAJOR COMODITES for6094 5 6 2 2 2 2" xfId="17311" xr:uid="{00000000-0005-0000-0000-000091430000}"/>
    <cellStyle name="0_MAJOR COMODITES for6094 5 6 2 2 3" xfId="17312" xr:uid="{00000000-0005-0000-0000-000092430000}"/>
    <cellStyle name="0_MAJOR COMODITES for6094 5 6 2 2 3 2" xfId="17313" xr:uid="{00000000-0005-0000-0000-000093430000}"/>
    <cellStyle name="0_MAJOR COMODITES for6094 5 6 2 2 4" xfId="17314" xr:uid="{00000000-0005-0000-0000-000094430000}"/>
    <cellStyle name="0_MAJOR COMODITES for6094 5 6 2 3" xfId="17315" xr:uid="{00000000-0005-0000-0000-000095430000}"/>
    <cellStyle name="0_MAJOR COMODITES for6094 5 6 2 3 2" xfId="17316" xr:uid="{00000000-0005-0000-0000-000096430000}"/>
    <cellStyle name="0_MAJOR COMODITES for6094 5 6 2 3 2 2" xfId="17317" xr:uid="{00000000-0005-0000-0000-000097430000}"/>
    <cellStyle name="0_MAJOR COMODITES for6094 5 6 2 3 3" xfId="17318" xr:uid="{00000000-0005-0000-0000-000098430000}"/>
    <cellStyle name="0_MAJOR COMODITES for6094 5 6 2 3 3 2" xfId="17319" xr:uid="{00000000-0005-0000-0000-000099430000}"/>
    <cellStyle name="0_MAJOR COMODITES for6094 5 6 2 3 4" xfId="17320" xr:uid="{00000000-0005-0000-0000-00009A430000}"/>
    <cellStyle name="0_MAJOR COMODITES for6094 5 6 2 4" xfId="17321" xr:uid="{00000000-0005-0000-0000-00009B430000}"/>
    <cellStyle name="0_MAJOR COMODITES for6094 5 6 2 4 2" xfId="17322" xr:uid="{00000000-0005-0000-0000-00009C430000}"/>
    <cellStyle name="0_MAJOR COMODITES for6094 5 6 2 5" xfId="17323" xr:uid="{00000000-0005-0000-0000-00009D430000}"/>
    <cellStyle name="0_MAJOR COMODITES for6094 5 6 2 5 2" xfId="17324" xr:uid="{00000000-0005-0000-0000-00009E430000}"/>
    <cellStyle name="0_MAJOR COMODITES for6094 5 6 2 6" xfId="17325" xr:uid="{00000000-0005-0000-0000-00009F430000}"/>
    <cellStyle name="0_MAJOR COMODITES for6094 5 6 3" xfId="17326" xr:uid="{00000000-0005-0000-0000-0000A0430000}"/>
    <cellStyle name="0_MAJOR COMODITES for6094 5 6 3 2" xfId="17327" xr:uid="{00000000-0005-0000-0000-0000A1430000}"/>
    <cellStyle name="0_MAJOR COMODITES for6094 5 6 3 2 2" xfId="17328" xr:uid="{00000000-0005-0000-0000-0000A2430000}"/>
    <cellStyle name="0_MAJOR COMODITES for6094 5 6 3 3" xfId="17329" xr:uid="{00000000-0005-0000-0000-0000A3430000}"/>
    <cellStyle name="0_MAJOR COMODITES for6094 5 6 3 3 2" xfId="17330" xr:uid="{00000000-0005-0000-0000-0000A4430000}"/>
    <cellStyle name="0_MAJOR COMODITES for6094 5 6 3 4" xfId="17331" xr:uid="{00000000-0005-0000-0000-0000A5430000}"/>
    <cellStyle name="0_MAJOR COMODITES for6094 5 6 4" xfId="17332" xr:uid="{00000000-0005-0000-0000-0000A6430000}"/>
    <cellStyle name="0_MAJOR COMODITES for6094 5 6 4 2" xfId="17333" xr:uid="{00000000-0005-0000-0000-0000A7430000}"/>
    <cellStyle name="0_MAJOR COMODITES for6094 5 6 4 2 2" xfId="17334" xr:uid="{00000000-0005-0000-0000-0000A8430000}"/>
    <cellStyle name="0_MAJOR COMODITES for6094 5 6 4 3" xfId="17335" xr:uid="{00000000-0005-0000-0000-0000A9430000}"/>
    <cellStyle name="0_MAJOR COMODITES for6094 5 6 4 3 2" xfId="17336" xr:uid="{00000000-0005-0000-0000-0000AA430000}"/>
    <cellStyle name="0_MAJOR COMODITES for6094 5 6 4 4" xfId="17337" xr:uid="{00000000-0005-0000-0000-0000AB430000}"/>
    <cellStyle name="0_MAJOR COMODITES for6094 5 6 5" xfId="17338" xr:uid="{00000000-0005-0000-0000-0000AC430000}"/>
    <cellStyle name="0_MAJOR COMODITES for6094 5 6 5 2" xfId="17339" xr:uid="{00000000-0005-0000-0000-0000AD430000}"/>
    <cellStyle name="0_MAJOR COMODITES for6094 5 6 5 2 2" xfId="17340" xr:uid="{00000000-0005-0000-0000-0000AE430000}"/>
    <cellStyle name="0_MAJOR COMODITES for6094 5 6 5 3" xfId="17341" xr:uid="{00000000-0005-0000-0000-0000AF430000}"/>
    <cellStyle name="0_MAJOR COMODITES for6094 5 6 5 3 2" xfId="17342" xr:uid="{00000000-0005-0000-0000-0000B0430000}"/>
    <cellStyle name="0_MAJOR COMODITES for6094 5 6 5 4" xfId="17343" xr:uid="{00000000-0005-0000-0000-0000B1430000}"/>
    <cellStyle name="0_MAJOR COMODITES for6094 5 6 6" xfId="17344" xr:uid="{00000000-0005-0000-0000-0000B2430000}"/>
    <cellStyle name="0_MAJOR COMODITES for6094 5 6 6 2" xfId="17345" xr:uid="{00000000-0005-0000-0000-0000B3430000}"/>
    <cellStyle name="0_MAJOR COMODITES for6094 5 6 7" xfId="17346" xr:uid="{00000000-0005-0000-0000-0000B4430000}"/>
    <cellStyle name="0_MAJOR COMODITES for6094 5 6 7 2" xfId="17347" xr:uid="{00000000-0005-0000-0000-0000B5430000}"/>
    <cellStyle name="0_MAJOR COMODITES for6094 5 6 8" xfId="17348" xr:uid="{00000000-0005-0000-0000-0000B6430000}"/>
    <cellStyle name="0_MAJOR COMODITES for6094 5 7" xfId="17349" xr:uid="{00000000-0005-0000-0000-0000B7430000}"/>
    <cellStyle name="0_MAJOR COMODITES for6094 5 7 2" xfId="17350" xr:uid="{00000000-0005-0000-0000-0000B8430000}"/>
    <cellStyle name="0_MAJOR COMODITES for6094 5 7 2 2" xfId="17351" xr:uid="{00000000-0005-0000-0000-0000B9430000}"/>
    <cellStyle name="0_MAJOR COMODITES for6094 5 7 2 2 2" xfId="17352" xr:uid="{00000000-0005-0000-0000-0000BA430000}"/>
    <cellStyle name="0_MAJOR COMODITES for6094 5 7 2 3" xfId="17353" xr:uid="{00000000-0005-0000-0000-0000BB430000}"/>
    <cellStyle name="0_MAJOR COMODITES for6094 5 7 2 3 2" xfId="17354" xr:uid="{00000000-0005-0000-0000-0000BC430000}"/>
    <cellStyle name="0_MAJOR COMODITES for6094 5 7 2 4" xfId="17355" xr:uid="{00000000-0005-0000-0000-0000BD430000}"/>
    <cellStyle name="0_MAJOR COMODITES for6094 5 7 3" xfId="17356" xr:uid="{00000000-0005-0000-0000-0000BE430000}"/>
    <cellStyle name="0_MAJOR COMODITES for6094 5 7 3 2" xfId="17357" xr:uid="{00000000-0005-0000-0000-0000BF430000}"/>
    <cellStyle name="0_MAJOR COMODITES for6094 5 7 3 2 2" xfId="17358" xr:uid="{00000000-0005-0000-0000-0000C0430000}"/>
    <cellStyle name="0_MAJOR COMODITES for6094 5 7 3 3" xfId="17359" xr:uid="{00000000-0005-0000-0000-0000C1430000}"/>
    <cellStyle name="0_MAJOR COMODITES for6094 5 7 3 3 2" xfId="17360" xr:uid="{00000000-0005-0000-0000-0000C2430000}"/>
    <cellStyle name="0_MAJOR COMODITES for6094 5 7 3 4" xfId="17361" xr:uid="{00000000-0005-0000-0000-0000C3430000}"/>
    <cellStyle name="0_MAJOR COMODITES for6094 5 7 4" xfId="17362" xr:uid="{00000000-0005-0000-0000-0000C4430000}"/>
    <cellStyle name="0_MAJOR COMODITES for6094 5 7 4 2" xfId="17363" xr:uid="{00000000-0005-0000-0000-0000C5430000}"/>
    <cellStyle name="0_MAJOR COMODITES for6094 5 7 5" xfId="17364" xr:uid="{00000000-0005-0000-0000-0000C6430000}"/>
    <cellStyle name="0_MAJOR COMODITES for6094 5 7 5 2" xfId="17365" xr:uid="{00000000-0005-0000-0000-0000C7430000}"/>
    <cellStyle name="0_MAJOR COMODITES for6094 5 7 6" xfId="17366" xr:uid="{00000000-0005-0000-0000-0000C8430000}"/>
    <cellStyle name="0_MAJOR COMODITES for6094 5 8" xfId="17367" xr:uid="{00000000-0005-0000-0000-0000C9430000}"/>
    <cellStyle name="0_MAJOR COMODITES for6094 5 8 2" xfId="17368" xr:uid="{00000000-0005-0000-0000-0000CA430000}"/>
    <cellStyle name="0_MAJOR COMODITES for6094 5 8 2 2" xfId="17369" xr:uid="{00000000-0005-0000-0000-0000CB430000}"/>
    <cellStyle name="0_MAJOR COMODITES for6094 5 8 3" xfId="17370" xr:uid="{00000000-0005-0000-0000-0000CC430000}"/>
    <cellStyle name="0_MAJOR COMODITES for6094 5 8 3 2" xfId="17371" xr:uid="{00000000-0005-0000-0000-0000CD430000}"/>
    <cellStyle name="0_MAJOR COMODITES for6094 5 8 4" xfId="17372" xr:uid="{00000000-0005-0000-0000-0000CE430000}"/>
    <cellStyle name="0_MAJOR COMODITES for6094 5 9" xfId="17373" xr:uid="{00000000-0005-0000-0000-0000CF430000}"/>
    <cellStyle name="0_MAJOR COMODITES for6094 5 9 2" xfId="17374" xr:uid="{00000000-0005-0000-0000-0000D0430000}"/>
    <cellStyle name="0_MAJOR COMODITES for6094 5 9 2 2" xfId="17375" xr:uid="{00000000-0005-0000-0000-0000D1430000}"/>
    <cellStyle name="0_MAJOR COMODITES for6094 5 9 3" xfId="17376" xr:uid="{00000000-0005-0000-0000-0000D2430000}"/>
    <cellStyle name="0_MAJOR COMODITES for6094 5 9 3 2" xfId="17377" xr:uid="{00000000-0005-0000-0000-0000D3430000}"/>
    <cellStyle name="0_MAJOR COMODITES for6094 5 9 4" xfId="17378" xr:uid="{00000000-0005-0000-0000-0000D4430000}"/>
    <cellStyle name="0_MAJOR COMODITES for6094 6" xfId="17379" xr:uid="{00000000-0005-0000-0000-0000D5430000}"/>
    <cellStyle name="0_MAJOR COMODITES for6094 6 2" xfId="17380" xr:uid="{00000000-0005-0000-0000-0000D6430000}"/>
    <cellStyle name="0_MAJOR COMODITES for6094 6 2 2" xfId="17381" xr:uid="{00000000-0005-0000-0000-0000D7430000}"/>
    <cellStyle name="0_MAJOR COMODITES for6094 6 2 2 2" xfId="17382" xr:uid="{00000000-0005-0000-0000-0000D8430000}"/>
    <cellStyle name="0_MAJOR COMODITES for6094 6 2 2 2 2" xfId="17383" xr:uid="{00000000-0005-0000-0000-0000D9430000}"/>
    <cellStyle name="0_MAJOR COMODITES for6094 6 2 2 3" xfId="17384" xr:uid="{00000000-0005-0000-0000-0000DA430000}"/>
    <cellStyle name="0_MAJOR COMODITES for6094 6 2 2 3 2" xfId="17385" xr:uid="{00000000-0005-0000-0000-0000DB430000}"/>
    <cellStyle name="0_MAJOR COMODITES for6094 6 2 2 4" xfId="17386" xr:uid="{00000000-0005-0000-0000-0000DC430000}"/>
    <cellStyle name="0_MAJOR COMODITES for6094 6 2 3" xfId="17387" xr:uid="{00000000-0005-0000-0000-0000DD430000}"/>
    <cellStyle name="0_MAJOR COMODITES for6094 6 2 3 2" xfId="17388" xr:uid="{00000000-0005-0000-0000-0000DE430000}"/>
    <cellStyle name="0_MAJOR COMODITES for6094 6 2 3 2 2" xfId="17389" xr:uid="{00000000-0005-0000-0000-0000DF430000}"/>
    <cellStyle name="0_MAJOR COMODITES for6094 6 2 3 3" xfId="17390" xr:uid="{00000000-0005-0000-0000-0000E0430000}"/>
    <cellStyle name="0_MAJOR COMODITES for6094 6 2 3 3 2" xfId="17391" xr:uid="{00000000-0005-0000-0000-0000E1430000}"/>
    <cellStyle name="0_MAJOR COMODITES for6094 6 2 3 4" xfId="17392" xr:uid="{00000000-0005-0000-0000-0000E2430000}"/>
    <cellStyle name="0_MAJOR COMODITES for6094 6 2 4" xfId="17393" xr:uid="{00000000-0005-0000-0000-0000E3430000}"/>
    <cellStyle name="0_MAJOR COMODITES for6094 6 2 4 2" xfId="17394" xr:uid="{00000000-0005-0000-0000-0000E4430000}"/>
    <cellStyle name="0_MAJOR COMODITES for6094 6 2 5" xfId="17395" xr:uid="{00000000-0005-0000-0000-0000E5430000}"/>
    <cellStyle name="0_MAJOR COMODITES for6094 6 2 5 2" xfId="17396" xr:uid="{00000000-0005-0000-0000-0000E6430000}"/>
    <cellStyle name="0_MAJOR COMODITES for6094 6 2 6" xfId="17397" xr:uid="{00000000-0005-0000-0000-0000E7430000}"/>
    <cellStyle name="0_MAJOR COMODITES for6094 6 3" xfId="17398" xr:uid="{00000000-0005-0000-0000-0000E8430000}"/>
    <cellStyle name="0_MAJOR COMODITES for6094 6 3 2" xfId="17399" xr:uid="{00000000-0005-0000-0000-0000E9430000}"/>
    <cellStyle name="0_MAJOR COMODITES for6094 6 3 2 2" xfId="17400" xr:uid="{00000000-0005-0000-0000-0000EA430000}"/>
    <cellStyle name="0_MAJOR COMODITES for6094 6 3 3" xfId="17401" xr:uid="{00000000-0005-0000-0000-0000EB430000}"/>
    <cellStyle name="0_MAJOR COMODITES for6094 6 3 3 2" xfId="17402" xr:uid="{00000000-0005-0000-0000-0000EC430000}"/>
    <cellStyle name="0_MAJOR COMODITES for6094 6 3 4" xfId="17403" xr:uid="{00000000-0005-0000-0000-0000ED430000}"/>
    <cellStyle name="0_MAJOR COMODITES for6094 6 4" xfId="17404" xr:uid="{00000000-0005-0000-0000-0000EE430000}"/>
    <cellStyle name="0_MAJOR COMODITES for6094 6 4 2" xfId="17405" xr:uid="{00000000-0005-0000-0000-0000EF430000}"/>
    <cellStyle name="0_MAJOR COMODITES for6094 6 4 2 2" xfId="17406" xr:uid="{00000000-0005-0000-0000-0000F0430000}"/>
    <cellStyle name="0_MAJOR COMODITES for6094 6 4 3" xfId="17407" xr:uid="{00000000-0005-0000-0000-0000F1430000}"/>
    <cellStyle name="0_MAJOR COMODITES for6094 6 4 3 2" xfId="17408" xr:uid="{00000000-0005-0000-0000-0000F2430000}"/>
    <cellStyle name="0_MAJOR COMODITES for6094 6 4 4" xfId="17409" xr:uid="{00000000-0005-0000-0000-0000F3430000}"/>
    <cellStyle name="0_MAJOR COMODITES for6094 6 5" xfId="17410" xr:uid="{00000000-0005-0000-0000-0000F4430000}"/>
    <cellStyle name="0_MAJOR COMODITES for6094 6 5 2" xfId="17411" xr:uid="{00000000-0005-0000-0000-0000F5430000}"/>
    <cellStyle name="0_MAJOR COMODITES for6094 6 5 2 2" xfId="17412" xr:uid="{00000000-0005-0000-0000-0000F6430000}"/>
    <cellStyle name="0_MAJOR COMODITES for6094 6 5 3" xfId="17413" xr:uid="{00000000-0005-0000-0000-0000F7430000}"/>
    <cellStyle name="0_MAJOR COMODITES for6094 6 5 3 2" xfId="17414" xr:uid="{00000000-0005-0000-0000-0000F8430000}"/>
    <cellStyle name="0_MAJOR COMODITES for6094 6 5 4" xfId="17415" xr:uid="{00000000-0005-0000-0000-0000F9430000}"/>
    <cellStyle name="0_MAJOR COMODITES for6094 6 6" xfId="17416" xr:uid="{00000000-0005-0000-0000-0000FA430000}"/>
    <cellStyle name="0_MAJOR COMODITES for6094 6 6 2" xfId="17417" xr:uid="{00000000-0005-0000-0000-0000FB430000}"/>
    <cellStyle name="0_MAJOR COMODITES for6094 6 7" xfId="17418" xr:uid="{00000000-0005-0000-0000-0000FC430000}"/>
    <cellStyle name="0_MAJOR COMODITES for6094 6 7 2" xfId="17419" xr:uid="{00000000-0005-0000-0000-0000FD430000}"/>
    <cellStyle name="0_MAJOR COMODITES for6094 6 8" xfId="17420" xr:uid="{00000000-0005-0000-0000-0000FE430000}"/>
    <cellStyle name="0_MAJOR COMODITES for6094 7" xfId="17421" xr:uid="{00000000-0005-0000-0000-0000FF430000}"/>
    <cellStyle name="0_MAJOR COMODITES for6094 7 2" xfId="17422" xr:uid="{00000000-0005-0000-0000-000000440000}"/>
    <cellStyle name="0_MAJOR COMODITES for6094 7 2 2" xfId="17423" xr:uid="{00000000-0005-0000-0000-000001440000}"/>
    <cellStyle name="0_MAJOR COMODITES for6094 7 2 2 2" xfId="17424" xr:uid="{00000000-0005-0000-0000-000002440000}"/>
    <cellStyle name="0_MAJOR COMODITES for6094 7 2 3" xfId="17425" xr:uid="{00000000-0005-0000-0000-000003440000}"/>
    <cellStyle name="0_MAJOR COMODITES for6094 7 2 3 2" xfId="17426" xr:uid="{00000000-0005-0000-0000-000004440000}"/>
    <cellStyle name="0_MAJOR COMODITES for6094 7 2 4" xfId="17427" xr:uid="{00000000-0005-0000-0000-000005440000}"/>
    <cellStyle name="0_MAJOR COMODITES for6094 7 3" xfId="17428" xr:uid="{00000000-0005-0000-0000-000006440000}"/>
    <cellStyle name="0_MAJOR COMODITES for6094 7 3 2" xfId="17429" xr:uid="{00000000-0005-0000-0000-000007440000}"/>
    <cellStyle name="0_MAJOR COMODITES for6094 7 3 2 2" xfId="17430" xr:uid="{00000000-0005-0000-0000-000008440000}"/>
    <cellStyle name="0_MAJOR COMODITES for6094 7 3 3" xfId="17431" xr:uid="{00000000-0005-0000-0000-000009440000}"/>
    <cellStyle name="0_MAJOR COMODITES for6094 7 3 3 2" xfId="17432" xr:uid="{00000000-0005-0000-0000-00000A440000}"/>
    <cellStyle name="0_MAJOR COMODITES for6094 7 3 4" xfId="17433" xr:uid="{00000000-0005-0000-0000-00000B440000}"/>
    <cellStyle name="0_MAJOR COMODITES for6094 7 4" xfId="17434" xr:uid="{00000000-0005-0000-0000-00000C440000}"/>
    <cellStyle name="0_MAJOR COMODITES for6094 7 4 2" xfId="17435" xr:uid="{00000000-0005-0000-0000-00000D440000}"/>
    <cellStyle name="0_MAJOR COMODITES for6094 7 5" xfId="17436" xr:uid="{00000000-0005-0000-0000-00000E440000}"/>
    <cellStyle name="0_MAJOR COMODITES for6094 7 5 2" xfId="17437" xr:uid="{00000000-0005-0000-0000-00000F440000}"/>
    <cellStyle name="0_MAJOR COMODITES for6094 7 6" xfId="17438" xr:uid="{00000000-0005-0000-0000-000010440000}"/>
    <cellStyle name="0_MAJOR COMODITES for6094 8" xfId="17439" xr:uid="{00000000-0005-0000-0000-000011440000}"/>
    <cellStyle name="0_MAJOR COMODITES for6094 8 2" xfId="17440" xr:uid="{00000000-0005-0000-0000-000012440000}"/>
    <cellStyle name="0_MAJOR COMODITES for6094 8 2 2" xfId="17441" xr:uid="{00000000-0005-0000-0000-000013440000}"/>
    <cellStyle name="0_MAJOR COMODITES for6094 8 2 2 2" xfId="17442" xr:uid="{00000000-0005-0000-0000-000014440000}"/>
    <cellStyle name="0_MAJOR COMODITES for6094 8 2 3" xfId="17443" xr:uid="{00000000-0005-0000-0000-000015440000}"/>
    <cellStyle name="0_MAJOR COMODITES for6094 8 2 3 2" xfId="17444" xr:uid="{00000000-0005-0000-0000-000016440000}"/>
    <cellStyle name="0_MAJOR COMODITES for6094 8 2 4" xfId="17445" xr:uid="{00000000-0005-0000-0000-000017440000}"/>
    <cellStyle name="0_MAJOR COMODITES for6094 8 3" xfId="17446" xr:uid="{00000000-0005-0000-0000-000018440000}"/>
    <cellStyle name="0_MAJOR COMODITES for6094 8 3 2" xfId="17447" xr:uid="{00000000-0005-0000-0000-000019440000}"/>
    <cellStyle name="0_MAJOR COMODITES for6094 8 3 2 2" xfId="17448" xr:uid="{00000000-0005-0000-0000-00001A440000}"/>
    <cellStyle name="0_MAJOR COMODITES for6094 8 3 3" xfId="17449" xr:uid="{00000000-0005-0000-0000-00001B440000}"/>
    <cellStyle name="0_MAJOR COMODITES for6094 8 3 3 2" xfId="17450" xr:uid="{00000000-0005-0000-0000-00001C440000}"/>
    <cellStyle name="0_MAJOR COMODITES for6094 8 3 4" xfId="17451" xr:uid="{00000000-0005-0000-0000-00001D440000}"/>
    <cellStyle name="0_MAJOR COMODITES for6094 8 4" xfId="17452" xr:uid="{00000000-0005-0000-0000-00001E440000}"/>
    <cellStyle name="0_MAJOR COMODITES for6094 8 4 2" xfId="17453" xr:uid="{00000000-0005-0000-0000-00001F440000}"/>
    <cellStyle name="0_MAJOR COMODITES for6094 8 5" xfId="17454" xr:uid="{00000000-0005-0000-0000-000020440000}"/>
    <cellStyle name="0_MAJOR COMODITES for6094 8 5 2" xfId="17455" xr:uid="{00000000-0005-0000-0000-000021440000}"/>
    <cellStyle name="0_MAJOR COMODITES for6094 8 6" xfId="17456" xr:uid="{00000000-0005-0000-0000-000022440000}"/>
    <cellStyle name="0_MAJOR COMODITES for6094 9" xfId="17457" xr:uid="{00000000-0005-0000-0000-000023440000}"/>
    <cellStyle name="0_MAJOR COMODITES for6094 9 2" xfId="17458" xr:uid="{00000000-0005-0000-0000-000024440000}"/>
    <cellStyle name="0_MAJOR COMODITES for6094 9 2 2" xfId="17459" xr:uid="{00000000-0005-0000-0000-000025440000}"/>
    <cellStyle name="0_MAJOR COMODITES for6094 9 3" xfId="17460" xr:uid="{00000000-0005-0000-0000-000026440000}"/>
    <cellStyle name="0_MAJOR COMODITES for6094 9 3 2" xfId="17461" xr:uid="{00000000-0005-0000-0000-000027440000}"/>
    <cellStyle name="0_MAJOR COMODITES for6094 9 4" xfId="17462" xr:uid="{00000000-0005-0000-0000-000028440000}"/>
    <cellStyle name="0_MAJOR COMODITES for6094 9 5" xfId="17463" xr:uid="{00000000-0005-0000-0000-000029440000}"/>
    <cellStyle name="0_man_cat" xfId="17464" xr:uid="{00000000-0005-0000-0000-00002A440000}"/>
    <cellStyle name="0_man_cat 10" xfId="17465" xr:uid="{00000000-0005-0000-0000-00002B440000}"/>
    <cellStyle name="0_man_cat 10 2" xfId="17466" xr:uid="{00000000-0005-0000-0000-00002C440000}"/>
    <cellStyle name="0_man_cat 10 2 2" xfId="17467" xr:uid="{00000000-0005-0000-0000-00002D440000}"/>
    <cellStyle name="0_man_cat 10 3" xfId="17468" xr:uid="{00000000-0005-0000-0000-00002E440000}"/>
    <cellStyle name="0_man_cat 10 3 2" xfId="17469" xr:uid="{00000000-0005-0000-0000-00002F440000}"/>
    <cellStyle name="0_man_cat 10 4" xfId="17470" xr:uid="{00000000-0005-0000-0000-000030440000}"/>
    <cellStyle name="0_man_cat 11" xfId="17471" xr:uid="{00000000-0005-0000-0000-000031440000}"/>
    <cellStyle name="0_man_cat 11 2" xfId="17472" xr:uid="{00000000-0005-0000-0000-000032440000}"/>
    <cellStyle name="0_man_cat 11 2 2" xfId="17473" xr:uid="{00000000-0005-0000-0000-000033440000}"/>
    <cellStyle name="0_man_cat 11 3" xfId="17474" xr:uid="{00000000-0005-0000-0000-000034440000}"/>
    <cellStyle name="0_man_cat 11 3 2" xfId="17475" xr:uid="{00000000-0005-0000-0000-000035440000}"/>
    <cellStyle name="0_man_cat 11 4" xfId="17476" xr:uid="{00000000-0005-0000-0000-000036440000}"/>
    <cellStyle name="0_man_cat 12" xfId="17477" xr:uid="{00000000-0005-0000-0000-000037440000}"/>
    <cellStyle name="0_man_cat 12 2" xfId="17478" xr:uid="{00000000-0005-0000-0000-000038440000}"/>
    <cellStyle name="0_man_cat 13" xfId="17479" xr:uid="{00000000-0005-0000-0000-000039440000}"/>
    <cellStyle name="0_man_cat 13 2" xfId="17480" xr:uid="{00000000-0005-0000-0000-00003A440000}"/>
    <cellStyle name="0_man_cat 14" xfId="17481" xr:uid="{00000000-0005-0000-0000-00003B440000}"/>
    <cellStyle name="0_man_cat 14 2" xfId="17482" xr:uid="{00000000-0005-0000-0000-00003C440000}"/>
    <cellStyle name="0_man_cat 15" xfId="17483" xr:uid="{00000000-0005-0000-0000-00003D440000}"/>
    <cellStyle name="0_man_cat 16" xfId="17484" xr:uid="{00000000-0005-0000-0000-00003E440000}"/>
    <cellStyle name="0_man_cat 17" xfId="17485" xr:uid="{00000000-0005-0000-0000-00003F440000}"/>
    <cellStyle name="0_man_cat 18" xfId="17486" xr:uid="{00000000-0005-0000-0000-000040440000}"/>
    <cellStyle name="0_man_cat 19" xfId="17487" xr:uid="{00000000-0005-0000-0000-000041440000}"/>
    <cellStyle name="0_man_cat 2" xfId="17488" xr:uid="{00000000-0005-0000-0000-000042440000}"/>
    <cellStyle name="0_man_cat 2 10" xfId="17489" xr:uid="{00000000-0005-0000-0000-000043440000}"/>
    <cellStyle name="0_man_cat 2 10 2" xfId="17490" xr:uid="{00000000-0005-0000-0000-000044440000}"/>
    <cellStyle name="0_man_cat 2 10 2 2" xfId="17491" xr:uid="{00000000-0005-0000-0000-000045440000}"/>
    <cellStyle name="0_man_cat 2 10 3" xfId="17492" xr:uid="{00000000-0005-0000-0000-000046440000}"/>
    <cellStyle name="0_man_cat 2 10 3 2" xfId="17493" xr:uid="{00000000-0005-0000-0000-000047440000}"/>
    <cellStyle name="0_man_cat 2 10 4" xfId="17494" xr:uid="{00000000-0005-0000-0000-000048440000}"/>
    <cellStyle name="0_man_cat 2 11" xfId="17495" xr:uid="{00000000-0005-0000-0000-000049440000}"/>
    <cellStyle name="0_man_cat 2 11 2" xfId="17496" xr:uid="{00000000-0005-0000-0000-00004A440000}"/>
    <cellStyle name="0_man_cat 2 12" xfId="17497" xr:uid="{00000000-0005-0000-0000-00004B440000}"/>
    <cellStyle name="0_man_cat 2 12 2" xfId="17498" xr:uid="{00000000-0005-0000-0000-00004C440000}"/>
    <cellStyle name="0_man_cat 2 13" xfId="17499" xr:uid="{00000000-0005-0000-0000-00004D440000}"/>
    <cellStyle name="0_man_cat 2 14" xfId="17500" xr:uid="{00000000-0005-0000-0000-00004E440000}"/>
    <cellStyle name="0_man_cat 2 15" xfId="17501" xr:uid="{00000000-0005-0000-0000-00004F440000}"/>
    <cellStyle name="0_man_cat 2 16" xfId="17502" xr:uid="{00000000-0005-0000-0000-000050440000}"/>
    <cellStyle name="0_man_cat 2 2" xfId="17503" xr:uid="{00000000-0005-0000-0000-000051440000}"/>
    <cellStyle name="0_man_cat 2 2 2" xfId="17504" xr:uid="{00000000-0005-0000-0000-000052440000}"/>
    <cellStyle name="0_man_cat 2 2 2 2" xfId="17505" xr:uid="{00000000-0005-0000-0000-000053440000}"/>
    <cellStyle name="0_man_cat 2 2 2 2 2" xfId="17506" xr:uid="{00000000-0005-0000-0000-000054440000}"/>
    <cellStyle name="0_man_cat 2 2 2 2 2 2" xfId="17507" xr:uid="{00000000-0005-0000-0000-000055440000}"/>
    <cellStyle name="0_man_cat 2 2 2 2 3" xfId="17508" xr:uid="{00000000-0005-0000-0000-000056440000}"/>
    <cellStyle name="0_man_cat 2 2 2 2 3 2" xfId="17509" xr:uid="{00000000-0005-0000-0000-000057440000}"/>
    <cellStyle name="0_man_cat 2 2 2 2 4" xfId="17510" xr:uid="{00000000-0005-0000-0000-000058440000}"/>
    <cellStyle name="0_man_cat 2 2 2 3" xfId="17511" xr:uid="{00000000-0005-0000-0000-000059440000}"/>
    <cellStyle name="0_man_cat 2 2 2 3 2" xfId="17512" xr:uid="{00000000-0005-0000-0000-00005A440000}"/>
    <cellStyle name="0_man_cat 2 2 2 3 2 2" xfId="17513" xr:uid="{00000000-0005-0000-0000-00005B440000}"/>
    <cellStyle name="0_man_cat 2 2 2 3 3" xfId="17514" xr:uid="{00000000-0005-0000-0000-00005C440000}"/>
    <cellStyle name="0_man_cat 2 2 2 3 3 2" xfId="17515" xr:uid="{00000000-0005-0000-0000-00005D440000}"/>
    <cellStyle name="0_man_cat 2 2 2 3 4" xfId="17516" xr:uid="{00000000-0005-0000-0000-00005E440000}"/>
    <cellStyle name="0_man_cat 2 2 2 4" xfId="17517" xr:uid="{00000000-0005-0000-0000-00005F440000}"/>
    <cellStyle name="0_man_cat 2 2 2 4 2" xfId="17518" xr:uid="{00000000-0005-0000-0000-000060440000}"/>
    <cellStyle name="0_man_cat 2 2 2 5" xfId="17519" xr:uid="{00000000-0005-0000-0000-000061440000}"/>
    <cellStyle name="0_man_cat 2 2 2 5 2" xfId="17520" xr:uid="{00000000-0005-0000-0000-000062440000}"/>
    <cellStyle name="0_man_cat 2 2 2 6" xfId="17521" xr:uid="{00000000-0005-0000-0000-000063440000}"/>
    <cellStyle name="0_man_cat 2 2 3" xfId="17522" xr:uid="{00000000-0005-0000-0000-000064440000}"/>
    <cellStyle name="0_man_cat 2 2 3 2" xfId="17523" xr:uid="{00000000-0005-0000-0000-000065440000}"/>
    <cellStyle name="0_man_cat 2 2 3 2 2" xfId="17524" xr:uid="{00000000-0005-0000-0000-000066440000}"/>
    <cellStyle name="0_man_cat 2 2 3 3" xfId="17525" xr:uid="{00000000-0005-0000-0000-000067440000}"/>
    <cellStyle name="0_man_cat 2 2 3 3 2" xfId="17526" xr:uid="{00000000-0005-0000-0000-000068440000}"/>
    <cellStyle name="0_man_cat 2 2 3 4" xfId="17527" xr:uid="{00000000-0005-0000-0000-000069440000}"/>
    <cellStyle name="0_man_cat 2 2 4" xfId="17528" xr:uid="{00000000-0005-0000-0000-00006A440000}"/>
    <cellStyle name="0_man_cat 2 2 4 2" xfId="17529" xr:uid="{00000000-0005-0000-0000-00006B440000}"/>
    <cellStyle name="0_man_cat 2 2 4 2 2" xfId="17530" xr:uid="{00000000-0005-0000-0000-00006C440000}"/>
    <cellStyle name="0_man_cat 2 2 4 3" xfId="17531" xr:uid="{00000000-0005-0000-0000-00006D440000}"/>
    <cellStyle name="0_man_cat 2 2 4 3 2" xfId="17532" xr:uid="{00000000-0005-0000-0000-00006E440000}"/>
    <cellStyle name="0_man_cat 2 2 4 4" xfId="17533" xr:uid="{00000000-0005-0000-0000-00006F440000}"/>
    <cellStyle name="0_man_cat 2 2 5" xfId="17534" xr:uid="{00000000-0005-0000-0000-000070440000}"/>
    <cellStyle name="0_man_cat 2 2 5 2" xfId="17535" xr:uid="{00000000-0005-0000-0000-000071440000}"/>
    <cellStyle name="0_man_cat 2 2 5 2 2" xfId="17536" xr:uid="{00000000-0005-0000-0000-000072440000}"/>
    <cellStyle name="0_man_cat 2 2 5 3" xfId="17537" xr:uid="{00000000-0005-0000-0000-000073440000}"/>
    <cellStyle name="0_man_cat 2 2 5 3 2" xfId="17538" xr:uid="{00000000-0005-0000-0000-000074440000}"/>
    <cellStyle name="0_man_cat 2 2 5 4" xfId="17539" xr:uid="{00000000-0005-0000-0000-000075440000}"/>
    <cellStyle name="0_man_cat 2 2 6" xfId="17540" xr:uid="{00000000-0005-0000-0000-000076440000}"/>
    <cellStyle name="0_man_cat 2 2 6 2" xfId="17541" xr:uid="{00000000-0005-0000-0000-000077440000}"/>
    <cellStyle name="0_man_cat 2 2 7" xfId="17542" xr:uid="{00000000-0005-0000-0000-000078440000}"/>
    <cellStyle name="0_man_cat 2 2 7 2" xfId="17543" xr:uid="{00000000-0005-0000-0000-000079440000}"/>
    <cellStyle name="0_man_cat 2 2 8" xfId="17544" xr:uid="{00000000-0005-0000-0000-00007A440000}"/>
    <cellStyle name="0_man_cat 2 3" xfId="17545" xr:uid="{00000000-0005-0000-0000-00007B440000}"/>
    <cellStyle name="0_man_cat 2 3 2" xfId="17546" xr:uid="{00000000-0005-0000-0000-00007C440000}"/>
    <cellStyle name="0_man_cat 2 3 2 2" xfId="17547" xr:uid="{00000000-0005-0000-0000-00007D440000}"/>
    <cellStyle name="0_man_cat 2 3 2 2 2" xfId="17548" xr:uid="{00000000-0005-0000-0000-00007E440000}"/>
    <cellStyle name="0_man_cat 2 3 2 2 2 2" xfId="17549" xr:uid="{00000000-0005-0000-0000-00007F440000}"/>
    <cellStyle name="0_man_cat 2 3 2 2 3" xfId="17550" xr:uid="{00000000-0005-0000-0000-000080440000}"/>
    <cellStyle name="0_man_cat 2 3 2 2 3 2" xfId="17551" xr:uid="{00000000-0005-0000-0000-000081440000}"/>
    <cellStyle name="0_man_cat 2 3 2 2 4" xfId="17552" xr:uid="{00000000-0005-0000-0000-000082440000}"/>
    <cellStyle name="0_man_cat 2 3 2 3" xfId="17553" xr:uid="{00000000-0005-0000-0000-000083440000}"/>
    <cellStyle name="0_man_cat 2 3 2 3 2" xfId="17554" xr:uid="{00000000-0005-0000-0000-000084440000}"/>
    <cellStyle name="0_man_cat 2 3 2 3 2 2" xfId="17555" xr:uid="{00000000-0005-0000-0000-000085440000}"/>
    <cellStyle name="0_man_cat 2 3 2 3 3" xfId="17556" xr:uid="{00000000-0005-0000-0000-000086440000}"/>
    <cellStyle name="0_man_cat 2 3 2 3 3 2" xfId="17557" xr:uid="{00000000-0005-0000-0000-000087440000}"/>
    <cellStyle name="0_man_cat 2 3 2 3 4" xfId="17558" xr:uid="{00000000-0005-0000-0000-000088440000}"/>
    <cellStyle name="0_man_cat 2 3 2 4" xfId="17559" xr:uid="{00000000-0005-0000-0000-000089440000}"/>
    <cellStyle name="0_man_cat 2 3 2 4 2" xfId="17560" xr:uid="{00000000-0005-0000-0000-00008A440000}"/>
    <cellStyle name="0_man_cat 2 3 2 5" xfId="17561" xr:uid="{00000000-0005-0000-0000-00008B440000}"/>
    <cellStyle name="0_man_cat 2 3 2 5 2" xfId="17562" xr:uid="{00000000-0005-0000-0000-00008C440000}"/>
    <cellStyle name="0_man_cat 2 3 2 6" xfId="17563" xr:uid="{00000000-0005-0000-0000-00008D440000}"/>
    <cellStyle name="0_man_cat 2 3 3" xfId="17564" xr:uid="{00000000-0005-0000-0000-00008E440000}"/>
    <cellStyle name="0_man_cat 2 3 3 2" xfId="17565" xr:uid="{00000000-0005-0000-0000-00008F440000}"/>
    <cellStyle name="0_man_cat 2 3 3 2 2" xfId="17566" xr:uid="{00000000-0005-0000-0000-000090440000}"/>
    <cellStyle name="0_man_cat 2 3 3 3" xfId="17567" xr:uid="{00000000-0005-0000-0000-000091440000}"/>
    <cellStyle name="0_man_cat 2 3 3 3 2" xfId="17568" xr:uid="{00000000-0005-0000-0000-000092440000}"/>
    <cellStyle name="0_man_cat 2 3 3 4" xfId="17569" xr:uid="{00000000-0005-0000-0000-000093440000}"/>
    <cellStyle name="0_man_cat 2 3 4" xfId="17570" xr:uid="{00000000-0005-0000-0000-000094440000}"/>
    <cellStyle name="0_man_cat 2 3 4 2" xfId="17571" xr:uid="{00000000-0005-0000-0000-000095440000}"/>
    <cellStyle name="0_man_cat 2 3 4 2 2" xfId="17572" xr:uid="{00000000-0005-0000-0000-000096440000}"/>
    <cellStyle name="0_man_cat 2 3 4 3" xfId="17573" xr:uid="{00000000-0005-0000-0000-000097440000}"/>
    <cellStyle name="0_man_cat 2 3 4 3 2" xfId="17574" xr:uid="{00000000-0005-0000-0000-000098440000}"/>
    <cellStyle name="0_man_cat 2 3 4 4" xfId="17575" xr:uid="{00000000-0005-0000-0000-000099440000}"/>
    <cellStyle name="0_man_cat 2 3 5" xfId="17576" xr:uid="{00000000-0005-0000-0000-00009A440000}"/>
    <cellStyle name="0_man_cat 2 3 5 2" xfId="17577" xr:uid="{00000000-0005-0000-0000-00009B440000}"/>
    <cellStyle name="0_man_cat 2 3 5 2 2" xfId="17578" xr:uid="{00000000-0005-0000-0000-00009C440000}"/>
    <cellStyle name="0_man_cat 2 3 5 3" xfId="17579" xr:uid="{00000000-0005-0000-0000-00009D440000}"/>
    <cellStyle name="0_man_cat 2 3 5 3 2" xfId="17580" xr:uid="{00000000-0005-0000-0000-00009E440000}"/>
    <cellStyle name="0_man_cat 2 3 5 4" xfId="17581" xr:uid="{00000000-0005-0000-0000-00009F440000}"/>
    <cellStyle name="0_man_cat 2 3 6" xfId="17582" xr:uid="{00000000-0005-0000-0000-0000A0440000}"/>
    <cellStyle name="0_man_cat 2 3 6 2" xfId="17583" xr:uid="{00000000-0005-0000-0000-0000A1440000}"/>
    <cellStyle name="0_man_cat 2 3 7" xfId="17584" xr:uid="{00000000-0005-0000-0000-0000A2440000}"/>
    <cellStyle name="0_man_cat 2 3 7 2" xfId="17585" xr:uid="{00000000-0005-0000-0000-0000A3440000}"/>
    <cellStyle name="0_man_cat 2 3 8" xfId="17586" xr:uid="{00000000-0005-0000-0000-0000A4440000}"/>
    <cellStyle name="0_man_cat 2 4" xfId="17587" xr:uid="{00000000-0005-0000-0000-0000A5440000}"/>
    <cellStyle name="0_man_cat 2 4 2" xfId="17588" xr:uid="{00000000-0005-0000-0000-0000A6440000}"/>
    <cellStyle name="0_man_cat 2 4 2 2" xfId="17589" xr:uid="{00000000-0005-0000-0000-0000A7440000}"/>
    <cellStyle name="0_man_cat 2 4 2 2 2" xfId="17590" xr:uid="{00000000-0005-0000-0000-0000A8440000}"/>
    <cellStyle name="0_man_cat 2 4 2 2 2 2" xfId="17591" xr:uid="{00000000-0005-0000-0000-0000A9440000}"/>
    <cellStyle name="0_man_cat 2 4 2 2 3" xfId="17592" xr:uid="{00000000-0005-0000-0000-0000AA440000}"/>
    <cellStyle name="0_man_cat 2 4 2 2 3 2" xfId="17593" xr:uid="{00000000-0005-0000-0000-0000AB440000}"/>
    <cellStyle name="0_man_cat 2 4 2 2 4" xfId="17594" xr:uid="{00000000-0005-0000-0000-0000AC440000}"/>
    <cellStyle name="0_man_cat 2 4 2 3" xfId="17595" xr:uid="{00000000-0005-0000-0000-0000AD440000}"/>
    <cellStyle name="0_man_cat 2 4 2 3 2" xfId="17596" xr:uid="{00000000-0005-0000-0000-0000AE440000}"/>
    <cellStyle name="0_man_cat 2 4 2 3 2 2" xfId="17597" xr:uid="{00000000-0005-0000-0000-0000AF440000}"/>
    <cellStyle name="0_man_cat 2 4 2 3 3" xfId="17598" xr:uid="{00000000-0005-0000-0000-0000B0440000}"/>
    <cellStyle name="0_man_cat 2 4 2 3 3 2" xfId="17599" xr:uid="{00000000-0005-0000-0000-0000B1440000}"/>
    <cellStyle name="0_man_cat 2 4 2 3 4" xfId="17600" xr:uid="{00000000-0005-0000-0000-0000B2440000}"/>
    <cellStyle name="0_man_cat 2 4 2 4" xfId="17601" xr:uid="{00000000-0005-0000-0000-0000B3440000}"/>
    <cellStyle name="0_man_cat 2 4 2 4 2" xfId="17602" xr:uid="{00000000-0005-0000-0000-0000B4440000}"/>
    <cellStyle name="0_man_cat 2 4 2 5" xfId="17603" xr:uid="{00000000-0005-0000-0000-0000B5440000}"/>
    <cellStyle name="0_man_cat 2 4 2 5 2" xfId="17604" xr:uid="{00000000-0005-0000-0000-0000B6440000}"/>
    <cellStyle name="0_man_cat 2 4 2 6" xfId="17605" xr:uid="{00000000-0005-0000-0000-0000B7440000}"/>
    <cellStyle name="0_man_cat 2 4 3" xfId="17606" xr:uid="{00000000-0005-0000-0000-0000B8440000}"/>
    <cellStyle name="0_man_cat 2 4 3 2" xfId="17607" xr:uid="{00000000-0005-0000-0000-0000B9440000}"/>
    <cellStyle name="0_man_cat 2 4 3 2 2" xfId="17608" xr:uid="{00000000-0005-0000-0000-0000BA440000}"/>
    <cellStyle name="0_man_cat 2 4 3 3" xfId="17609" xr:uid="{00000000-0005-0000-0000-0000BB440000}"/>
    <cellStyle name="0_man_cat 2 4 3 3 2" xfId="17610" xr:uid="{00000000-0005-0000-0000-0000BC440000}"/>
    <cellStyle name="0_man_cat 2 4 3 4" xfId="17611" xr:uid="{00000000-0005-0000-0000-0000BD440000}"/>
    <cellStyle name="0_man_cat 2 4 4" xfId="17612" xr:uid="{00000000-0005-0000-0000-0000BE440000}"/>
    <cellStyle name="0_man_cat 2 4 4 2" xfId="17613" xr:uid="{00000000-0005-0000-0000-0000BF440000}"/>
    <cellStyle name="0_man_cat 2 4 4 2 2" xfId="17614" xr:uid="{00000000-0005-0000-0000-0000C0440000}"/>
    <cellStyle name="0_man_cat 2 4 4 3" xfId="17615" xr:uid="{00000000-0005-0000-0000-0000C1440000}"/>
    <cellStyle name="0_man_cat 2 4 4 3 2" xfId="17616" xr:uid="{00000000-0005-0000-0000-0000C2440000}"/>
    <cellStyle name="0_man_cat 2 4 4 4" xfId="17617" xr:uid="{00000000-0005-0000-0000-0000C3440000}"/>
    <cellStyle name="0_man_cat 2 4 5" xfId="17618" xr:uid="{00000000-0005-0000-0000-0000C4440000}"/>
    <cellStyle name="0_man_cat 2 4 5 2" xfId="17619" xr:uid="{00000000-0005-0000-0000-0000C5440000}"/>
    <cellStyle name="0_man_cat 2 4 5 2 2" xfId="17620" xr:uid="{00000000-0005-0000-0000-0000C6440000}"/>
    <cellStyle name="0_man_cat 2 4 5 3" xfId="17621" xr:uid="{00000000-0005-0000-0000-0000C7440000}"/>
    <cellStyle name="0_man_cat 2 4 5 3 2" xfId="17622" xr:uid="{00000000-0005-0000-0000-0000C8440000}"/>
    <cellStyle name="0_man_cat 2 4 5 4" xfId="17623" xr:uid="{00000000-0005-0000-0000-0000C9440000}"/>
    <cellStyle name="0_man_cat 2 4 6" xfId="17624" xr:uid="{00000000-0005-0000-0000-0000CA440000}"/>
    <cellStyle name="0_man_cat 2 4 6 2" xfId="17625" xr:uid="{00000000-0005-0000-0000-0000CB440000}"/>
    <cellStyle name="0_man_cat 2 4 7" xfId="17626" xr:uid="{00000000-0005-0000-0000-0000CC440000}"/>
    <cellStyle name="0_man_cat 2 4 7 2" xfId="17627" xr:uid="{00000000-0005-0000-0000-0000CD440000}"/>
    <cellStyle name="0_man_cat 2 4 8" xfId="17628" xr:uid="{00000000-0005-0000-0000-0000CE440000}"/>
    <cellStyle name="0_man_cat 2 5" xfId="17629" xr:uid="{00000000-0005-0000-0000-0000CF440000}"/>
    <cellStyle name="0_man_cat 2 5 2" xfId="17630" xr:uid="{00000000-0005-0000-0000-0000D0440000}"/>
    <cellStyle name="0_man_cat 2 5 2 2" xfId="17631" xr:uid="{00000000-0005-0000-0000-0000D1440000}"/>
    <cellStyle name="0_man_cat 2 5 2 2 2" xfId="17632" xr:uid="{00000000-0005-0000-0000-0000D2440000}"/>
    <cellStyle name="0_man_cat 2 5 2 2 2 2" xfId="17633" xr:uid="{00000000-0005-0000-0000-0000D3440000}"/>
    <cellStyle name="0_man_cat 2 5 2 2 3" xfId="17634" xr:uid="{00000000-0005-0000-0000-0000D4440000}"/>
    <cellStyle name="0_man_cat 2 5 2 2 3 2" xfId="17635" xr:uid="{00000000-0005-0000-0000-0000D5440000}"/>
    <cellStyle name="0_man_cat 2 5 2 2 4" xfId="17636" xr:uid="{00000000-0005-0000-0000-0000D6440000}"/>
    <cellStyle name="0_man_cat 2 5 2 3" xfId="17637" xr:uid="{00000000-0005-0000-0000-0000D7440000}"/>
    <cellStyle name="0_man_cat 2 5 2 3 2" xfId="17638" xr:uid="{00000000-0005-0000-0000-0000D8440000}"/>
    <cellStyle name="0_man_cat 2 5 2 3 2 2" xfId="17639" xr:uid="{00000000-0005-0000-0000-0000D9440000}"/>
    <cellStyle name="0_man_cat 2 5 2 3 3" xfId="17640" xr:uid="{00000000-0005-0000-0000-0000DA440000}"/>
    <cellStyle name="0_man_cat 2 5 2 3 3 2" xfId="17641" xr:uid="{00000000-0005-0000-0000-0000DB440000}"/>
    <cellStyle name="0_man_cat 2 5 2 3 4" xfId="17642" xr:uid="{00000000-0005-0000-0000-0000DC440000}"/>
    <cellStyle name="0_man_cat 2 5 2 4" xfId="17643" xr:uid="{00000000-0005-0000-0000-0000DD440000}"/>
    <cellStyle name="0_man_cat 2 5 2 4 2" xfId="17644" xr:uid="{00000000-0005-0000-0000-0000DE440000}"/>
    <cellStyle name="0_man_cat 2 5 2 5" xfId="17645" xr:uid="{00000000-0005-0000-0000-0000DF440000}"/>
    <cellStyle name="0_man_cat 2 5 2 5 2" xfId="17646" xr:uid="{00000000-0005-0000-0000-0000E0440000}"/>
    <cellStyle name="0_man_cat 2 5 2 6" xfId="17647" xr:uid="{00000000-0005-0000-0000-0000E1440000}"/>
    <cellStyle name="0_man_cat 2 5 3" xfId="17648" xr:uid="{00000000-0005-0000-0000-0000E2440000}"/>
    <cellStyle name="0_man_cat 2 5 3 2" xfId="17649" xr:uid="{00000000-0005-0000-0000-0000E3440000}"/>
    <cellStyle name="0_man_cat 2 5 3 2 2" xfId="17650" xr:uid="{00000000-0005-0000-0000-0000E4440000}"/>
    <cellStyle name="0_man_cat 2 5 3 3" xfId="17651" xr:uid="{00000000-0005-0000-0000-0000E5440000}"/>
    <cellStyle name="0_man_cat 2 5 3 3 2" xfId="17652" xr:uid="{00000000-0005-0000-0000-0000E6440000}"/>
    <cellStyle name="0_man_cat 2 5 3 4" xfId="17653" xr:uid="{00000000-0005-0000-0000-0000E7440000}"/>
    <cellStyle name="0_man_cat 2 5 4" xfId="17654" xr:uid="{00000000-0005-0000-0000-0000E8440000}"/>
    <cellStyle name="0_man_cat 2 5 4 2" xfId="17655" xr:uid="{00000000-0005-0000-0000-0000E9440000}"/>
    <cellStyle name="0_man_cat 2 5 4 2 2" xfId="17656" xr:uid="{00000000-0005-0000-0000-0000EA440000}"/>
    <cellStyle name="0_man_cat 2 5 4 3" xfId="17657" xr:uid="{00000000-0005-0000-0000-0000EB440000}"/>
    <cellStyle name="0_man_cat 2 5 4 3 2" xfId="17658" xr:uid="{00000000-0005-0000-0000-0000EC440000}"/>
    <cellStyle name="0_man_cat 2 5 4 4" xfId="17659" xr:uid="{00000000-0005-0000-0000-0000ED440000}"/>
    <cellStyle name="0_man_cat 2 5 5" xfId="17660" xr:uid="{00000000-0005-0000-0000-0000EE440000}"/>
    <cellStyle name="0_man_cat 2 5 5 2" xfId="17661" xr:uid="{00000000-0005-0000-0000-0000EF440000}"/>
    <cellStyle name="0_man_cat 2 5 5 2 2" xfId="17662" xr:uid="{00000000-0005-0000-0000-0000F0440000}"/>
    <cellStyle name="0_man_cat 2 5 5 3" xfId="17663" xr:uid="{00000000-0005-0000-0000-0000F1440000}"/>
    <cellStyle name="0_man_cat 2 5 5 3 2" xfId="17664" xr:uid="{00000000-0005-0000-0000-0000F2440000}"/>
    <cellStyle name="0_man_cat 2 5 5 4" xfId="17665" xr:uid="{00000000-0005-0000-0000-0000F3440000}"/>
    <cellStyle name="0_man_cat 2 5 6" xfId="17666" xr:uid="{00000000-0005-0000-0000-0000F4440000}"/>
    <cellStyle name="0_man_cat 2 5 6 2" xfId="17667" xr:uid="{00000000-0005-0000-0000-0000F5440000}"/>
    <cellStyle name="0_man_cat 2 5 7" xfId="17668" xr:uid="{00000000-0005-0000-0000-0000F6440000}"/>
    <cellStyle name="0_man_cat 2 5 7 2" xfId="17669" xr:uid="{00000000-0005-0000-0000-0000F7440000}"/>
    <cellStyle name="0_man_cat 2 5 8" xfId="17670" xr:uid="{00000000-0005-0000-0000-0000F8440000}"/>
    <cellStyle name="0_man_cat 2 6" xfId="17671" xr:uid="{00000000-0005-0000-0000-0000F9440000}"/>
    <cellStyle name="0_man_cat 2 6 2" xfId="17672" xr:uid="{00000000-0005-0000-0000-0000FA440000}"/>
    <cellStyle name="0_man_cat 2 6 2 2" xfId="17673" xr:uid="{00000000-0005-0000-0000-0000FB440000}"/>
    <cellStyle name="0_man_cat 2 6 2 2 2" xfId="17674" xr:uid="{00000000-0005-0000-0000-0000FC440000}"/>
    <cellStyle name="0_man_cat 2 6 2 2 2 2" xfId="17675" xr:uid="{00000000-0005-0000-0000-0000FD440000}"/>
    <cellStyle name="0_man_cat 2 6 2 2 3" xfId="17676" xr:uid="{00000000-0005-0000-0000-0000FE440000}"/>
    <cellStyle name="0_man_cat 2 6 2 2 3 2" xfId="17677" xr:uid="{00000000-0005-0000-0000-0000FF440000}"/>
    <cellStyle name="0_man_cat 2 6 2 2 4" xfId="17678" xr:uid="{00000000-0005-0000-0000-000000450000}"/>
    <cellStyle name="0_man_cat 2 6 2 3" xfId="17679" xr:uid="{00000000-0005-0000-0000-000001450000}"/>
    <cellStyle name="0_man_cat 2 6 2 3 2" xfId="17680" xr:uid="{00000000-0005-0000-0000-000002450000}"/>
    <cellStyle name="0_man_cat 2 6 2 3 2 2" xfId="17681" xr:uid="{00000000-0005-0000-0000-000003450000}"/>
    <cellStyle name="0_man_cat 2 6 2 3 3" xfId="17682" xr:uid="{00000000-0005-0000-0000-000004450000}"/>
    <cellStyle name="0_man_cat 2 6 2 3 3 2" xfId="17683" xr:uid="{00000000-0005-0000-0000-000005450000}"/>
    <cellStyle name="0_man_cat 2 6 2 3 4" xfId="17684" xr:uid="{00000000-0005-0000-0000-000006450000}"/>
    <cellStyle name="0_man_cat 2 6 2 4" xfId="17685" xr:uid="{00000000-0005-0000-0000-000007450000}"/>
    <cellStyle name="0_man_cat 2 6 2 4 2" xfId="17686" xr:uid="{00000000-0005-0000-0000-000008450000}"/>
    <cellStyle name="0_man_cat 2 6 2 5" xfId="17687" xr:uid="{00000000-0005-0000-0000-000009450000}"/>
    <cellStyle name="0_man_cat 2 6 2 5 2" xfId="17688" xr:uid="{00000000-0005-0000-0000-00000A450000}"/>
    <cellStyle name="0_man_cat 2 6 2 6" xfId="17689" xr:uid="{00000000-0005-0000-0000-00000B450000}"/>
    <cellStyle name="0_man_cat 2 6 3" xfId="17690" xr:uid="{00000000-0005-0000-0000-00000C450000}"/>
    <cellStyle name="0_man_cat 2 6 3 2" xfId="17691" xr:uid="{00000000-0005-0000-0000-00000D450000}"/>
    <cellStyle name="0_man_cat 2 6 3 2 2" xfId="17692" xr:uid="{00000000-0005-0000-0000-00000E450000}"/>
    <cellStyle name="0_man_cat 2 6 3 3" xfId="17693" xr:uid="{00000000-0005-0000-0000-00000F450000}"/>
    <cellStyle name="0_man_cat 2 6 3 3 2" xfId="17694" xr:uid="{00000000-0005-0000-0000-000010450000}"/>
    <cellStyle name="0_man_cat 2 6 3 4" xfId="17695" xr:uid="{00000000-0005-0000-0000-000011450000}"/>
    <cellStyle name="0_man_cat 2 6 4" xfId="17696" xr:uid="{00000000-0005-0000-0000-000012450000}"/>
    <cellStyle name="0_man_cat 2 6 4 2" xfId="17697" xr:uid="{00000000-0005-0000-0000-000013450000}"/>
    <cellStyle name="0_man_cat 2 6 4 2 2" xfId="17698" xr:uid="{00000000-0005-0000-0000-000014450000}"/>
    <cellStyle name="0_man_cat 2 6 4 3" xfId="17699" xr:uid="{00000000-0005-0000-0000-000015450000}"/>
    <cellStyle name="0_man_cat 2 6 4 3 2" xfId="17700" xr:uid="{00000000-0005-0000-0000-000016450000}"/>
    <cellStyle name="0_man_cat 2 6 4 4" xfId="17701" xr:uid="{00000000-0005-0000-0000-000017450000}"/>
    <cellStyle name="0_man_cat 2 6 5" xfId="17702" xr:uid="{00000000-0005-0000-0000-000018450000}"/>
    <cellStyle name="0_man_cat 2 6 5 2" xfId="17703" xr:uid="{00000000-0005-0000-0000-000019450000}"/>
    <cellStyle name="0_man_cat 2 6 5 2 2" xfId="17704" xr:uid="{00000000-0005-0000-0000-00001A450000}"/>
    <cellStyle name="0_man_cat 2 6 5 3" xfId="17705" xr:uid="{00000000-0005-0000-0000-00001B450000}"/>
    <cellStyle name="0_man_cat 2 6 5 3 2" xfId="17706" xr:uid="{00000000-0005-0000-0000-00001C450000}"/>
    <cellStyle name="0_man_cat 2 6 5 4" xfId="17707" xr:uid="{00000000-0005-0000-0000-00001D450000}"/>
    <cellStyle name="0_man_cat 2 6 6" xfId="17708" xr:uid="{00000000-0005-0000-0000-00001E450000}"/>
    <cellStyle name="0_man_cat 2 6 6 2" xfId="17709" xr:uid="{00000000-0005-0000-0000-00001F450000}"/>
    <cellStyle name="0_man_cat 2 6 7" xfId="17710" xr:uid="{00000000-0005-0000-0000-000020450000}"/>
    <cellStyle name="0_man_cat 2 6 7 2" xfId="17711" xr:uid="{00000000-0005-0000-0000-000021450000}"/>
    <cellStyle name="0_man_cat 2 6 8" xfId="17712" xr:uid="{00000000-0005-0000-0000-000022450000}"/>
    <cellStyle name="0_man_cat 2 7" xfId="17713" xr:uid="{00000000-0005-0000-0000-000023450000}"/>
    <cellStyle name="0_man_cat 2 7 2" xfId="17714" xr:uid="{00000000-0005-0000-0000-000024450000}"/>
    <cellStyle name="0_man_cat 2 7 2 2" xfId="17715" xr:uid="{00000000-0005-0000-0000-000025450000}"/>
    <cellStyle name="0_man_cat 2 7 2 2 2" xfId="17716" xr:uid="{00000000-0005-0000-0000-000026450000}"/>
    <cellStyle name="0_man_cat 2 7 2 3" xfId="17717" xr:uid="{00000000-0005-0000-0000-000027450000}"/>
    <cellStyle name="0_man_cat 2 7 2 3 2" xfId="17718" xr:uid="{00000000-0005-0000-0000-000028450000}"/>
    <cellStyle name="0_man_cat 2 7 2 4" xfId="17719" xr:uid="{00000000-0005-0000-0000-000029450000}"/>
    <cellStyle name="0_man_cat 2 7 3" xfId="17720" xr:uid="{00000000-0005-0000-0000-00002A450000}"/>
    <cellStyle name="0_man_cat 2 7 3 2" xfId="17721" xr:uid="{00000000-0005-0000-0000-00002B450000}"/>
    <cellStyle name="0_man_cat 2 7 3 2 2" xfId="17722" xr:uid="{00000000-0005-0000-0000-00002C450000}"/>
    <cellStyle name="0_man_cat 2 7 3 3" xfId="17723" xr:uid="{00000000-0005-0000-0000-00002D450000}"/>
    <cellStyle name="0_man_cat 2 7 3 3 2" xfId="17724" xr:uid="{00000000-0005-0000-0000-00002E450000}"/>
    <cellStyle name="0_man_cat 2 7 3 4" xfId="17725" xr:uid="{00000000-0005-0000-0000-00002F450000}"/>
    <cellStyle name="0_man_cat 2 7 4" xfId="17726" xr:uid="{00000000-0005-0000-0000-000030450000}"/>
    <cellStyle name="0_man_cat 2 7 4 2" xfId="17727" xr:uid="{00000000-0005-0000-0000-000031450000}"/>
    <cellStyle name="0_man_cat 2 7 5" xfId="17728" xr:uid="{00000000-0005-0000-0000-000032450000}"/>
    <cellStyle name="0_man_cat 2 7 5 2" xfId="17729" xr:uid="{00000000-0005-0000-0000-000033450000}"/>
    <cellStyle name="0_man_cat 2 7 6" xfId="17730" xr:uid="{00000000-0005-0000-0000-000034450000}"/>
    <cellStyle name="0_man_cat 2 8" xfId="17731" xr:uid="{00000000-0005-0000-0000-000035450000}"/>
    <cellStyle name="0_man_cat 2 8 2" xfId="17732" xr:uid="{00000000-0005-0000-0000-000036450000}"/>
    <cellStyle name="0_man_cat 2 8 2 2" xfId="17733" xr:uid="{00000000-0005-0000-0000-000037450000}"/>
    <cellStyle name="0_man_cat 2 8 3" xfId="17734" xr:uid="{00000000-0005-0000-0000-000038450000}"/>
    <cellStyle name="0_man_cat 2 8 3 2" xfId="17735" xr:uid="{00000000-0005-0000-0000-000039450000}"/>
    <cellStyle name="0_man_cat 2 8 4" xfId="17736" xr:uid="{00000000-0005-0000-0000-00003A450000}"/>
    <cellStyle name="0_man_cat 2 9" xfId="17737" xr:uid="{00000000-0005-0000-0000-00003B450000}"/>
    <cellStyle name="0_man_cat 2 9 2" xfId="17738" xr:uid="{00000000-0005-0000-0000-00003C450000}"/>
    <cellStyle name="0_man_cat 2 9 2 2" xfId="17739" xr:uid="{00000000-0005-0000-0000-00003D450000}"/>
    <cellStyle name="0_man_cat 2 9 3" xfId="17740" xr:uid="{00000000-0005-0000-0000-00003E450000}"/>
    <cellStyle name="0_man_cat 2 9 3 2" xfId="17741" xr:uid="{00000000-0005-0000-0000-00003F450000}"/>
    <cellStyle name="0_man_cat 2 9 4" xfId="17742" xr:uid="{00000000-0005-0000-0000-000040450000}"/>
    <cellStyle name="0_man_cat 20" xfId="17743" xr:uid="{00000000-0005-0000-0000-000041450000}"/>
    <cellStyle name="0_man_cat 21" xfId="17744" xr:uid="{00000000-0005-0000-0000-000042450000}"/>
    <cellStyle name="0_man_cat 3" xfId="17745" xr:uid="{00000000-0005-0000-0000-000043450000}"/>
    <cellStyle name="0_man_cat 3 10" xfId="17746" xr:uid="{00000000-0005-0000-0000-000044450000}"/>
    <cellStyle name="0_man_cat 3 10 2" xfId="17747" xr:uid="{00000000-0005-0000-0000-000045450000}"/>
    <cellStyle name="0_man_cat 3 10 2 2" xfId="17748" xr:uid="{00000000-0005-0000-0000-000046450000}"/>
    <cellStyle name="0_man_cat 3 10 3" xfId="17749" xr:uid="{00000000-0005-0000-0000-000047450000}"/>
    <cellStyle name="0_man_cat 3 10 3 2" xfId="17750" xr:uid="{00000000-0005-0000-0000-000048450000}"/>
    <cellStyle name="0_man_cat 3 10 4" xfId="17751" xr:uid="{00000000-0005-0000-0000-000049450000}"/>
    <cellStyle name="0_man_cat 3 11" xfId="17752" xr:uid="{00000000-0005-0000-0000-00004A450000}"/>
    <cellStyle name="0_man_cat 3 11 2" xfId="17753" xr:uid="{00000000-0005-0000-0000-00004B450000}"/>
    <cellStyle name="0_man_cat 3 12" xfId="17754" xr:uid="{00000000-0005-0000-0000-00004C450000}"/>
    <cellStyle name="0_man_cat 3 12 2" xfId="17755" xr:uid="{00000000-0005-0000-0000-00004D450000}"/>
    <cellStyle name="0_man_cat 3 13" xfId="17756" xr:uid="{00000000-0005-0000-0000-00004E450000}"/>
    <cellStyle name="0_man_cat 3 2" xfId="17757" xr:uid="{00000000-0005-0000-0000-00004F450000}"/>
    <cellStyle name="0_man_cat 3 2 2" xfId="17758" xr:uid="{00000000-0005-0000-0000-000050450000}"/>
    <cellStyle name="0_man_cat 3 2 2 2" xfId="17759" xr:uid="{00000000-0005-0000-0000-000051450000}"/>
    <cellStyle name="0_man_cat 3 2 2 2 2" xfId="17760" xr:uid="{00000000-0005-0000-0000-000052450000}"/>
    <cellStyle name="0_man_cat 3 2 2 2 2 2" xfId="17761" xr:uid="{00000000-0005-0000-0000-000053450000}"/>
    <cellStyle name="0_man_cat 3 2 2 2 3" xfId="17762" xr:uid="{00000000-0005-0000-0000-000054450000}"/>
    <cellStyle name="0_man_cat 3 2 2 2 3 2" xfId="17763" xr:uid="{00000000-0005-0000-0000-000055450000}"/>
    <cellStyle name="0_man_cat 3 2 2 2 4" xfId="17764" xr:uid="{00000000-0005-0000-0000-000056450000}"/>
    <cellStyle name="0_man_cat 3 2 2 3" xfId="17765" xr:uid="{00000000-0005-0000-0000-000057450000}"/>
    <cellStyle name="0_man_cat 3 2 2 3 2" xfId="17766" xr:uid="{00000000-0005-0000-0000-000058450000}"/>
    <cellStyle name="0_man_cat 3 2 2 3 2 2" xfId="17767" xr:uid="{00000000-0005-0000-0000-000059450000}"/>
    <cellStyle name="0_man_cat 3 2 2 3 3" xfId="17768" xr:uid="{00000000-0005-0000-0000-00005A450000}"/>
    <cellStyle name="0_man_cat 3 2 2 3 3 2" xfId="17769" xr:uid="{00000000-0005-0000-0000-00005B450000}"/>
    <cellStyle name="0_man_cat 3 2 2 3 4" xfId="17770" xr:uid="{00000000-0005-0000-0000-00005C450000}"/>
    <cellStyle name="0_man_cat 3 2 2 4" xfId="17771" xr:uid="{00000000-0005-0000-0000-00005D450000}"/>
    <cellStyle name="0_man_cat 3 2 2 4 2" xfId="17772" xr:uid="{00000000-0005-0000-0000-00005E450000}"/>
    <cellStyle name="0_man_cat 3 2 2 5" xfId="17773" xr:uid="{00000000-0005-0000-0000-00005F450000}"/>
    <cellStyle name="0_man_cat 3 2 2 5 2" xfId="17774" xr:uid="{00000000-0005-0000-0000-000060450000}"/>
    <cellStyle name="0_man_cat 3 2 2 6" xfId="17775" xr:uid="{00000000-0005-0000-0000-000061450000}"/>
    <cellStyle name="0_man_cat 3 2 3" xfId="17776" xr:uid="{00000000-0005-0000-0000-000062450000}"/>
    <cellStyle name="0_man_cat 3 2 3 2" xfId="17777" xr:uid="{00000000-0005-0000-0000-000063450000}"/>
    <cellStyle name="0_man_cat 3 2 3 2 2" xfId="17778" xr:uid="{00000000-0005-0000-0000-000064450000}"/>
    <cellStyle name="0_man_cat 3 2 3 3" xfId="17779" xr:uid="{00000000-0005-0000-0000-000065450000}"/>
    <cellStyle name="0_man_cat 3 2 3 3 2" xfId="17780" xr:uid="{00000000-0005-0000-0000-000066450000}"/>
    <cellStyle name="0_man_cat 3 2 3 4" xfId="17781" xr:uid="{00000000-0005-0000-0000-000067450000}"/>
    <cellStyle name="0_man_cat 3 2 4" xfId="17782" xr:uid="{00000000-0005-0000-0000-000068450000}"/>
    <cellStyle name="0_man_cat 3 2 4 2" xfId="17783" xr:uid="{00000000-0005-0000-0000-000069450000}"/>
    <cellStyle name="0_man_cat 3 2 4 2 2" xfId="17784" xr:uid="{00000000-0005-0000-0000-00006A450000}"/>
    <cellStyle name="0_man_cat 3 2 4 3" xfId="17785" xr:uid="{00000000-0005-0000-0000-00006B450000}"/>
    <cellStyle name="0_man_cat 3 2 4 3 2" xfId="17786" xr:uid="{00000000-0005-0000-0000-00006C450000}"/>
    <cellStyle name="0_man_cat 3 2 4 4" xfId="17787" xr:uid="{00000000-0005-0000-0000-00006D450000}"/>
    <cellStyle name="0_man_cat 3 2 5" xfId="17788" xr:uid="{00000000-0005-0000-0000-00006E450000}"/>
    <cellStyle name="0_man_cat 3 2 5 2" xfId="17789" xr:uid="{00000000-0005-0000-0000-00006F450000}"/>
    <cellStyle name="0_man_cat 3 2 5 2 2" xfId="17790" xr:uid="{00000000-0005-0000-0000-000070450000}"/>
    <cellStyle name="0_man_cat 3 2 5 3" xfId="17791" xr:uid="{00000000-0005-0000-0000-000071450000}"/>
    <cellStyle name="0_man_cat 3 2 5 3 2" xfId="17792" xr:uid="{00000000-0005-0000-0000-000072450000}"/>
    <cellStyle name="0_man_cat 3 2 5 4" xfId="17793" xr:uid="{00000000-0005-0000-0000-000073450000}"/>
    <cellStyle name="0_man_cat 3 2 6" xfId="17794" xr:uid="{00000000-0005-0000-0000-000074450000}"/>
    <cellStyle name="0_man_cat 3 2 6 2" xfId="17795" xr:uid="{00000000-0005-0000-0000-000075450000}"/>
    <cellStyle name="0_man_cat 3 2 7" xfId="17796" xr:uid="{00000000-0005-0000-0000-000076450000}"/>
    <cellStyle name="0_man_cat 3 2 7 2" xfId="17797" xr:uid="{00000000-0005-0000-0000-000077450000}"/>
    <cellStyle name="0_man_cat 3 2 8" xfId="17798" xr:uid="{00000000-0005-0000-0000-000078450000}"/>
    <cellStyle name="0_man_cat 3 3" xfId="17799" xr:uid="{00000000-0005-0000-0000-000079450000}"/>
    <cellStyle name="0_man_cat 3 3 2" xfId="17800" xr:uid="{00000000-0005-0000-0000-00007A450000}"/>
    <cellStyle name="0_man_cat 3 3 2 2" xfId="17801" xr:uid="{00000000-0005-0000-0000-00007B450000}"/>
    <cellStyle name="0_man_cat 3 3 2 2 2" xfId="17802" xr:uid="{00000000-0005-0000-0000-00007C450000}"/>
    <cellStyle name="0_man_cat 3 3 2 2 2 2" xfId="17803" xr:uid="{00000000-0005-0000-0000-00007D450000}"/>
    <cellStyle name="0_man_cat 3 3 2 2 3" xfId="17804" xr:uid="{00000000-0005-0000-0000-00007E450000}"/>
    <cellStyle name="0_man_cat 3 3 2 2 3 2" xfId="17805" xr:uid="{00000000-0005-0000-0000-00007F450000}"/>
    <cellStyle name="0_man_cat 3 3 2 2 4" xfId="17806" xr:uid="{00000000-0005-0000-0000-000080450000}"/>
    <cellStyle name="0_man_cat 3 3 2 3" xfId="17807" xr:uid="{00000000-0005-0000-0000-000081450000}"/>
    <cellStyle name="0_man_cat 3 3 2 3 2" xfId="17808" xr:uid="{00000000-0005-0000-0000-000082450000}"/>
    <cellStyle name="0_man_cat 3 3 2 3 2 2" xfId="17809" xr:uid="{00000000-0005-0000-0000-000083450000}"/>
    <cellStyle name="0_man_cat 3 3 2 3 3" xfId="17810" xr:uid="{00000000-0005-0000-0000-000084450000}"/>
    <cellStyle name="0_man_cat 3 3 2 3 3 2" xfId="17811" xr:uid="{00000000-0005-0000-0000-000085450000}"/>
    <cellStyle name="0_man_cat 3 3 2 3 4" xfId="17812" xr:uid="{00000000-0005-0000-0000-000086450000}"/>
    <cellStyle name="0_man_cat 3 3 2 4" xfId="17813" xr:uid="{00000000-0005-0000-0000-000087450000}"/>
    <cellStyle name="0_man_cat 3 3 2 4 2" xfId="17814" xr:uid="{00000000-0005-0000-0000-000088450000}"/>
    <cellStyle name="0_man_cat 3 3 2 5" xfId="17815" xr:uid="{00000000-0005-0000-0000-000089450000}"/>
    <cellStyle name="0_man_cat 3 3 2 5 2" xfId="17816" xr:uid="{00000000-0005-0000-0000-00008A450000}"/>
    <cellStyle name="0_man_cat 3 3 2 6" xfId="17817" xr:uid="{00000000-0005-0000-0000-00008B450000}"/>
    <cellStyle name="0_man_cat 3 3 3" xfId="17818" xr:uid="{00000000-0005-0000-0000-00008C450000}"/>
    <cellStyle name="0_man_cat 3 3 3 2" xfId="17819" xr:uid="{00000000-0005-0000-0000-00008D450000}"/>
    <cellStyle name="0_man_cat 3 3 3 2 2" xfId="17820" xr:uid="{00000000-0005-0000-0000-00008E450000}"/>
    <cellStyle name="0_man_cat 3 3 3 3" xfId="17821" xr:uid="{00000000-0005-0000-0000-00008F450000}"/>
    <cellStyle name="0_man_cat 3 3 3 3 2" xfId="17822" xr:uid="{00000000-0005-0000-0000-000090450000}"/>
    <cellStyle name="0_man_cat 3 3 3 4" xfId="17823" xr:uid="{00000000-0005-0000-0000-000091450000}"/>
    <cellStyle name="0_man_cat 3 3 4" xfId="17824" xr:uid="{00000000-0005-0000-0000-000092450000}"/>
    <cellStyle name="0_man_cat 3 3 4 2" xfId="17825" xr:uid="{00000000-0005-0000-0000-000093450000}"/>
    <cellStyle name="0_man_cat 3 3 4 2 2" xfId="17826" xr:uid="{00000000-0005-0000-0000-000094450000}"/>
    <cellStyle name="0_man_cat 3 3 4 3" xfId="17827" xr:uid="{00000000-0005-0000-0000-000095450000}"/>
    <cellStyle name="0_man_cat 3 3 4 3 2" xfId="17828" xr:uid="{00000000-0005-0000-0000-000096450000}"/>
    <cellStyle name="0_man_cat 3 3 4 4" xfId="17829" xr:uid="{00000000-0005-0000-0000-000097450000}"/>
    <cellStyle name="0_man_cat 3 3 5" xfId="17830" xr:uid="{00000000-0005-0000-0000-000098450000}"/>
    <cellStyle name="0_man_cat 3 3 5 2" xfId="17831" xr:uid="{00000000-0005-0000-0000-000099450000}"/>
    <cellStyle name="0_man_cat 3 3 5 2 2" xfId="17832" xr:uid="{00000000-0005-0000-0000-00009A450000}"/>
    <cellStyle name="0_man_cat 3 3 5 3" xfId="17833" xr:uid="{00000000-0005-0000-0000-00009B450000}"/>
    <cellStyle name="0_man_cat 3 3 5 3 2" xfId="17834" xr:uid="{00000000-0005-0000-0000-00009C450000}"/>
    <cellStyle name="0_man_cat 3 3 5 4" xfId="17835" xr:uid="{00000000-0005-0000-0000-00009D450000}"/>
    <cellStyle name="0_man_cat 3 3 6" xfId="17836" xr:uid="{00000000-0005-0000-0000-00009E450000}"/>
    <cellStyle name="0_man_cat 3 3 6 2" xfId="17837" xr:uid="{00000000-0005-0000-0000-00009F450000}"/>
    <cellStyle name="0_man_cat 3 3 7" xfId="17838" xr:uid="{00000000-0005-0000-0000-0000A0450000}"/>
    <cellStyle name="0_man_cat 3 3 7 2" xfId="17839" xr:uid="{00000000-0005-0000-0000-0000A1450000}"/>
    <cellStyle name="0_man_cat 3 3 8" xfId="17840" xr:uid="{00000000-0005-0000-0000-0000A2450000}"/>
    <cellStyle name="0_man_cat 3 4" xfId="17841" xr:uid="{00000000-0005-0000-0000-0000A3450000}"/>
    <cellStyle name="0_man_cat 3 4 2" xfId="17842" xr:uid="{00000000-0005-0000-0000-0000A4450000}"/>
    <cellStyle name="0_man_cat 3 4 2 2" xfId="17843" xr:uid="{00000000-0005-0000-0000-0000A5450000}"/>
    <cellStyle name="0_man_cat 3 4 2 2 2" xfId="17844" xr:uid="{00000000-0005-0000-0000-0000A6450000}"/>
    <cellStyle name="0_man_cat 3 4 2 2 2 2" xfId="17845" xr:uid="{00000000-0005-0000-0000-0000A7450000}"/>
    <cellStyle name="0_man_cat 3 4 2 2 3" xfId="17846" xr:uid="{00000000-0005-0000-0000-0000A8450000}"/>
    <cellStyle name="0_man_cat 3 4 2 2 3 2" xfId="17847" xr:uid="{00000000-0005-0000-0000-0000A9450000}"/>
    <cellStyle name="0_man_cat 3 4 2 2 4" xfId="17848" xr:uid="{00000000-0005-0000-0000-0000AA450000}"/>
    <cellStyle name="0_man_cat 3 4 2 3" xfId="17849" xr:uid="{00000000-0005-0000-0000-0000AB450000}"/>
    <cellStyle name="0_man_cat 3 4 2 3 2" xfId="17850" xr:uid="{00000000-0005-0000-0000-0000AC450000}"/>
    <cellStyle name="0_man_cat 3 4 2 3 2 2" xfId="17851" xr:uid="{00000000-0005-0000-0000-0000AD450000}"/>
    <cellStyle name="0_man_cat 3 4 2 3 3" xfId="17852" xr:uid="{00000000-0005-0000-0000-0000AE450000}"/>
    <cellStyle name="0_man_cat 3 4 2 3 3 2" xfId="17853" xr:uid="{00000000-0005-0000-0000-0000AF450000}"/>
    <cellStyle name="0_man_cat 3 4 2 3 4" xfId="17854" xr:uid="{00000000-0005-0000-0000-0000B0450000}"/>
    <cellStyle name="0_man_cat 3 4 2 4" xfId="17855" xr:uid="{00000000-0005-0000-0000-0000B1450000}"/>
    <cellStyle name="0_man_cat 3 4 2 4 2" xfId="17856" xr:uid="{00000000-0005-0000-0000-0000B2450000}"/>
    <cellStyle name="0_man_cat 3 4 2 5" xfId="17857" xr:uid="{00000000-0005-0000-0000-0000B3450000}"/>
    <cellStyle name="0_man_cat 3 4 2 5 2" xfId="17858" xr:uid="{00000000-0005-0000-0000-0000B4450000}"/>
    <cellStyle name="0_man_cat 3 4 2 6" xfId="17859" xr:uid="{00000000-0005-0000-0000-0000B5450000}"/>
    <cellStyle name="0_man_cat 3 4 3" xfId="17860" xr:uid="{00000000-0005-0000-0000-0000B6450000}"/>
    <cellStyle name="0_man_cat 3 4 3 2" xfId="17861" xr:uid="{00000000-0005-0000-0000-0000B7450000}"/>
    <cellStyle name="0_man_cat 3 4 3 2 2" xfId="17862" xr:uid="{00000000-0005-0000-0000-0000B8450000}"/>
    <cellStyle name="0_man_cat 3 4 3 3" xfId="17863" xr:uid="{00000000-0005-0000-0000-0000B9450000}"/>
    <cellStyle name="0_man_cat 3 4 3 3 2" xfId="17864" xr:uid="{00000000-0005-0000-0000-0000BA450000}"/>
    <cellStyle name="0_man_cat 3 4 3 4" xfId="17865" xr:uid="{00000000-0005-0000-0000-0000BB450000}"/>
    <cellStyle name="0_man_cat 3 4 4" xfId="17866" xr:uid="{00000000-0005-0000-0000-0000BC450000}"/>
    <cellStyle name="0_man_cat 3 4 4 2" xfId="17867" xr:uid="{00000000-0005-0000-0000-0000BD450000}"/>
    <cellStyle name="0_man_cat 3 4 4 2 2" xfId="17868" xr:uid="{00000000-0005-0000-0000-0000BE450000}"/>
    <cellStyle name="0_man_cat 3 4 4 3" xfId="17869" xr:uid="{00000000-0005-0000-0000-0000BF450000}"/>
    <cellStyle name="0_man_cat 3 4 4 3 2" xfId="17870" xr:uid="{00000000-0005-0000-0000-0000C0450000}"/>
    <cellStyle name="0_man_cat 3 4 4 4" xfId="17871" xr:uid="{00000000-0005-0000-0000-0000C1450000}"/>
    <cellStyle name="0_man_cat 3 4 5" xfId="17872" xr:uid="{00000000-0005-0000-0000-0000C2450000}"/>
    <cellStyle name="0_man_cat 3 4 5 2" xfId="17873" xr:uid="{00000000-0005-0000-0000-0000C3450000}"/>
    <cellStyle name="0_man_cat 3 4 5 2 2" xfId="17874" xr:uid="{00000000-0005-0000-0000-0000C4450000}"/>
    <cellStyle name="0_man_cat 3 4 5 3" xfId="17875" xr:uid="{00000000-0005-0000-0000-0000C5450000}"/>
    <cellStyle name="0_man_cat 3 4 5 3 2" xfId="17876" xr:uid="{00000000-0005-0000-0000-0000C6450000}"/>
    <cellStyle name="0_man_cat 3 4 5 4" xfId="17877" xr:uid="{00000000-0005-0000-0000-0000C7450000}"/>
    <cellStyle name="0_man_cat 3 4 6" xfId="17878" xr:uid="{00000000-0005-0000-0000-0000C8450000}"/>
    <cellStyle name="0_man_cat 3 4 6 2" xfId="17879" xr:uid="{00000000-0005-0000-0000-0000C9450000}"/>
    <cellStyle name="0_man_cat 3 4 7" xfId="17880" xr:uid="{00000000-0005-0000-0000-0000CA450000}"/>
    <cellStyle name="0_man_cat 3 4 7 2" xfId="17881" xr:uid="{00000000-0005-0000-0000-0000CB450000}"/>
    <cellStyle name="0_man_cat 3 4 8" xfId="17882" xr:uid="{00000000-0005-0000-0000-0000CC450000}"/>
    <cellStyle name="0_man_cat 3 5" xfId="17883" xr:uid="{00000000-0005-0000-0000-0000CD450000}"/>
    <cellStyle name="0_man_cat 3 5 2" xfId="17884" xr:uid="{00000000-0005-0000-0000-0000CE450000}"/>
    <cellStyle name="0_man_cat 3 5 2 2" xfId="17885" xr:uid="{00000000-0005-0000-0000-0000CF450000}"/>
    <cellStyle name="0_man_cat 3 5 2 2 2" xfId="17886" xr:uid="{00000000-0005-0000-0000-0000D0450000}"/>
    <cellStyle name="0_man_cat 3 5 2 2 2 2" xfId="17887" xr:uid="{00000000-0005-0000-0000-0000D1450000}"/>
    <cellStyle name="0_man_cat 3 5 2 2 3" xfId="17888" xr:uid="{00000000-0005-0000-0000-0000D2450000}"/>
    <cellStyle name="0_man_cat 3 5 2 2 3 2" xfId="17889" xr:uid="{00000000-0005-0000-0000-0000D3450000}"/>
    <cellStyle name="0_man_cat 3 5 2 2 4" xfId="17890" xr:uid="{00000000-0005-0000-0000-0000D4450000}"/>
    <cellStyle name="0_man_cat 3 5 2 3" xfId="17891" xr:uid="{00000000-0005-0000-0000-0000D5450000}"/>
    <cellStyle name="0_man_cat 3 5 2 3 2" xfId="17892" xr:uid="{00000000-0005-0000-0000-0000D6450000}"/>
    <cellStyle name="0_man_cat 3 5 2 3 2 2" xfId="17893" xr:uid="{00000000-0005-0000-0000-0000D7450000}"/>
    <cellStyle name="0_man_cat 3 5 2 3 3" xfId="17894" xr:uid="{00000000-0005-0000-0000-0000D8450000}"/>
    <cellStyle name="0_man_cat 3 5 2 3 3 2" xfId="17895" xr:uid="{00000000-0005-0000-0000-0000D9450000}"/>
    <cellStyle name="0_man_cat 3 5 2 3 4" xfId="17896" xr:uid="{00000000-0005-0000-0000-0000DA450000}"/>
    <cellStyle name="0_man_cat 3 5 2 4" xfId="17897" xr:uid="{00000000-0005-0000-0000-0000DB450000}"/>
    <cellStyle name="0_man_cat 3 5 2 4 2" xfId="17898" xr:uid="{00000000-0005-0000-0000-0000DC450000}"/>
    <cellStyle name="0_man_cat 3 5 2 5" xfId="17899" xr:uid="{00000000-0005-0000-0000-0000DD450000}"/>
    <cellStyle name="0_man_cat 3 5 2 5 2" xfId="17900" xr:uid="{00000000-0005-0000-0000-0000DE450000}"/>
    <cellStyle name="0_man_cat 3 5 2 6" xfId="17901" xr:uid="{00000000-0005-0000-0000-0000DF450000}"/>
    <cellStyle name="0_man_cat 3 5 3" xfId="17902" xr:uid="{00000000-0005-0000-0000-0000E0450000}"/>
    <cellStyle name="0_man_cat 3 5 3 2" xfId="17903" xr:uid="{00000000-0005-0000-0000-0000E1450000}"/>
    <cellStyle name="0_man_cat 3 5 3 2 2" xfId="17904" xr:uid="{00000000-0005-0000-0000-0000E2450000}"/>
    <cellStyle name="0_man_cat 3 5 3 3" xfId="17905" xr:uid="{00000000-0005-0000-0000-0000E3450000}"/>
    <cellStyle name="0_man_cat 3 5 3 3 2" xfId="17906" xr:uid="{00000000-0005-0000-0000-0000E4450000}"/>
    <cellStyle name="0_man_cat 3 5 3 4" xfId="17907" xr:uid="{00000000-0005-0000-0000-0000E5450000}"/>
    <cellStyle name="0_man_cat 3 5 4" xfId="17908" xr:uid="{00000000-0005-0000-0000-0000E6450000}"/>
    <cellStyle name="0_man_cat 3 5 4 2" xfId="17909" xr:uid="{00000000-0005-0000-0000-0000E7450000}"/>
    <cellStyle name="0_man_cat 3 5 4 2 2" xfId="17910" xr:uid="{00000000-0005-0000-0000-0000E8450000}"/>
    <cellStyle name="0_man_cat 3 5 4 3" xfId="17911" xr:uid="{00000000-0005-0000-0000-0000E9450000}"/>
    <cellStyle name="0_man_cat 3 5 4 3 2" xfId="17912" xr:uid="{00000000-0005-0000-0000-0000EA450000}"/>
    <cellStyle name="0_man_cat 3 5 4 4" xfId="17913" xr:uid="{00000000-0005-0000-0000-0000EB450000}"/>
    <cellStyle name="0_man_cat 3 5 5" xfId="17914" xr:uid="{00000000-0005-0000-0000-0000EC450000}"/>
    <cellStyle name="0_man_cat 3 5 5 2" xfId="17915" xr:uid="{00000000-0005-0000-0000-0000ED450000}"/>
    <cellStyle name="0_man_cat 3 5 5 2 2" xfId="17916" xr:uid="{00000000-0005-0000-0000-0000EE450000}"/>
    <cellStyle name="0_man_cat 3 5 5 3" xfId="17917" xr:uid="{00000000-0005-0000-0000-0000EF450000}"/>
    <cellStyle name="0_man_cat 3 5 5 3 2" xfId="17918" xr:uid="{00000000-0005-0000-0000-0000F0450000}"/>
    <cellStyle name="0_man_cat 3 5 5 4" xfId="17919" xr:uid="{00000000-0005-0000-0000-0000F1450000}"/>
    <cellStyle name="0_man_cat 3 5 6" xfId="17920" xr:uid="{00000000-0005-0000-0000-0000F2450000}"/>
    <cellStyle name="0_man_cat 3 5 6 2" xfId="17921" xr:uid="{00000000-0005-0000-0000-0000F3450000}"/>
    <cellStyle name="0_man_cat 3 5 7" xfId="17922" xr:uid="{00000000-0005-0000-0000-0000F4450000}"/>
    <cellStyle name="0_man_cat 3 5 7 2" xfId="17923" xr:uid="{00000000-0005-0000-0000-0000F5450000}"/>
    <cellStyle name="0_man_cat 3 5 8" xfId="17924" xr:uid="{00000000-0005-0000-0000-0000F6450000}"/>
    <cellStyle name="0_man_cat 3 6" xfId="17925" xr:uid="{00000000-0005-0000-0000-0000F7450000}"/>
    <cellStyle name="0_man_cat 3 6 2" xfId="17926" xr:uid="{00000000-0005-0000-0000-0000F8450000}"/>
    <cellStyle name="0_man_cat 3 6 2 2" xfId="17927" xr:uid="{00000000-0005-0000-0000-0000F9450000}"/>
    <cellStyle name="0_man_cat 3 6 2 2 2" xfId="17928" xr:uid="{00000000-0005-0000-0000-0000FA450000}"/>
    <cellStyle name="0_man_cat 3 6 2 2 2 2" xfId="17929" xr:uid="{00000000-0005-0000-0000-0000FB450000}"/>
    <cellStyle name="0_man_cat 3 6 2 2 3" xfId="17930" xr:uid="{00000000-0005-0000-0000-0000FC450000}"/>
    <cellStyle name="0_man_cat 3 6 2 2 3 2" xfId="17931" xr:uid="{00000000-0005-0000-0000-0000FD450000}"/>
    <cellStyle name="0_man_cat 3 6 2 2 4" xfId="17932" xr:uid="{00000000-0005-0000-0000-0000FE450000}"/>
    <cellStyle name="0_man_cat 3 6 2 3" xfId="17933" xr:uid="{00000000-0005-0000-0000-0000FF450000}"/>
    <cellStyle name="0_man_cat 3 6 2 3 2" xfId="17934" xr:uid="{00000000-0005-0000-0000-000000460000}"/>
    <cellStyle name="0_man_cat 3 6 2 3 2 2" xfId="17935" xr:uid="{00000000-0005-0000-0000-000001460000}"/>
    <cellStyle name="0_man_cat 3 6 2 3 3" xfId="17936" xr:uid="{00000000-0005-0000-0000-000002460000}"/>
    <cellStyle name="0_man_cat 3 6 2 3 3 2" xfId="17937" xr:uid="{00000000-0005-0000-0000-000003460000}"/>
    <cellStyle name="0_man_cat 3 6 2 3 4" xfId="17938" xr:uid="{00000000-0005-0000-0000-000004460000}"/>
    <cellStyle name="0_man_cat 3 6 2 4" xfId="17939" xr:uid="{00000000-0005-0000-0000-000005460000}"/>
    <cellStyle name="0_man_cat 3 6 2 4 2" xfId="17940" xr:uid="{00000000-0005-0000-0000-000006460000}"/>
    <cellStyle name="0_man_cat 3 6 2 5" xfId="17941" xr:uid="{00000000-0005-0000-0000-000007460000}"/>
    <cellStyle name="0_man_cat 3 6 2 5 2" xfId="17942" xr:uid="{00000000-0005-0000-0000-000008460000}"/>
    <cellStyle name="0_man_cat 3 6 2 6" xfId="17943" xr:uid="{00000000-0005-0000-0000-000009460000}"/>
    <cellStyle name="0_man_cat 3 6 3" xfId="17944" xr:uid="{00000000-0005-0000-0000-00000A460000}"/>
    <cellStyle name="0_man_cat 3 6 3 2" xfId="17945" xr:uid="{00000000-0005-0000-0000-00000B460000}"/>
    <cellStyle name="0_man_cat 3 6 3 2 2" xfId="17946" xr:uid="{00000000-0005-0000-0000-00000C460000}"/>
    <cellStyle name="0_man_cat 3 6 3 3" xfId="17947" xr:uid="{00000000-0005-0000-0000-00000D460000}"/>
    <cellStyle name="0_man_cat 3 6 3 3 2" xfId="17948" xr:uid="{00000000-0005-0000-0000-00000E460000}"/>
    <cellStyle name="0_man_cat 3 6 3 4" xfId="17949" xr:uid="{00000000-0005-0000-0000-00000F460000}"/>
    <cellStyle name="0_man_cat 3 6 4" xfId="17950" xr:uid="{00000000-0005-0000-0000-000010460000}"/>
    <cellStyle name="0_man_cat 3 6 4 2" xfId="17951" xr:uid="{00000000-0005-0000-0000-000011460000}"/>
    <cellStyle name="0_man_cat 3 6 4 2 2" xfId="17952" xr:uid="{00000000-0005-0000-0000-000012460000}"/>
    <cellStyle name="0_man_cat 3 6 4 3" xfId="17953" xr:uid="{00000000-0005-0000-0000-000013460000}"/>
    <cellStyle name="0_man_cat 3 6 4 3 2" xfId="17954" xr:uid="{00000000-0005-0000-0000-000014460000}"/>
    <cellStyle name="0_man_cat 3 6 4 4" xfId="17955" xr:uid="{00000000-0005-0000-0000-000015460000}"/>
    <cellStyle name="0_man_cat 3 6 5" xfId="17956" xr:uid="{00000000-0005-0000-0000-000016460000}"/>
    <cellStyle name="0_man_cat 3 6 5 2" xfId="17957" xr:uid="{00000000-0005-0000-0000-000017460000}"/>
    <cellStyle name="0_man_cat 3 6 5 2 2" xfId="17958" xr:uid="{00000000-0005-0000-0000-000018460000}"/>
    <cellStyle name="0_man_cat 3 6 5 3" xfId="17959" xr:uid="{00000000-0005-0000-0000-000019460000}"/>
    <cellStyle name="0_man_cat 3 6 5 3 2" xfId="17960" xr:uid="{00000000-0005-0000-0000-00001A460000}"/>
    <cellStyle name="0_man_cat 3 6 5 4" xfId="17961" xr:uid="{00000000-0005-0000-0000-00001B460000}"/>
    <cellStyle name="0_man_cat 3 6 6" xfId="17962" xr:uid="{00000000-0005-0000-0000-00001C460000}"/>
    <cellStyle name="0_man_cat 3 6 6 2" xfId="17963" xr:uid="{00000000-0005-0000-0000-00001D460000}"/>
    <cellStyle name="0_man_cat 3 6 7" xfId="17964" xr:uid="{00000000-0005-0000-0000-00001E460000}"/>
    <cellStyle name="0_man_cat 3 6 7 2" xfId="17965" xr:uid="{00000000-0005-0000-0000-00001F460000}"/>
    <cellStyle name="0_man_cat 3 6 8" xfId="17966" xr:uid="{00000000-0005-0000-0000-000020460000}"/>
    <cellStyle name="0_man_cat 3 7" xfId="17967" xr:uid="{00000000-0005-0000-0000-000021460000}"/>
    <cellStyle name="0_man_cat 3 7 2" xfId="17968" xr:uid="{00000000-0005-0000-0000-000022460000}"/>
    <cellStyle name="0_man_cat 3 7 2 2" xfId="17969" xr:uid="{00000000-0005-0000-0000-000023460000}"/>
    <cellStyle name="0_man_cat 3 7 2 2 2" xfId="17970" xr:uid="{00000000-0005-0000-0000-000024460000}"/>
    <cellStyle name="0_man_cat 3 7 2 3" xfId="17971" xr:uid="{00000000-0005-0000-0000-000025460000}"/>
    <cellStyle name="0_man_cat 3 7 2 3 2" xfId="17972" xr:uid="{00000000-0005-0000-0000-000026460000}"/>
    <cellStyle name="0_man_cat 3 7 2 4" xfId="17973" xr:uid="{00000000-0005-0000-0000-000027460000}"/>
    <cellStyle name="0_man_cat 3 7 3" xfId="17974" xr:uid="{00000000-0005-0000-0000-000028460000}"/>
    <cellStyle name="0_man_cat 3 7 3 2" xfId="17975" xr:uid="{00000000-0005-0000-0000-000029460000}"/>
    <cellStyle name="0_man_cat 3 7 3 2 2" xfId="17976" xr:uid="{00000000-0005-0000-0000-00002A460000}"/>
    <cellStyle name="0_man_cat 3 7 3 3" xfId="17977" xr:uid="{00000000-0005-0000-0000-00002B460000}"/>
    <cellStyle name="0_man_cat 3 7 3 3 2" xfId="17978" xr:uid="{00000000-0005-0000-0000-00002C460000}"/>
    <cellStyle name="0_man_cat 3 7 3 4" xfId="17979" xr:uid="{00000000-0005-0000-0000-00002D460000}"/>
    <cellStyle name="0_man_cat 3 7 4" xfId="17980" xr:uid="{00000000-0005-0000-0000-00002E460000}"/>
    <cellStyle name="0_man_cat 3 7 4 2" xfId="17981" xr:uid="{00000000-0005-0000-0000-00002F460000}"/>
    <cellStyle name="0_man_cat 3 7 5" xfId="17982" xr:uid="{00000000-0005-0000-0000-000030460000}"/>
    <cellStyle name="0_man_cat 3 7 5 2" xfId="17983" xr:uid="{00000000-0005-0000-0000-000031460000}"/>
    <cellStyle name="0_man_cat 3 7 6" xfId="17984" xr:uid="{00000000-0005-0000-0000-000032460000}"/>
    <cellStyle name="0_man_cat 3 8" xfId="17985" xr:uid="{00000000-0005-0000-0000-000033460000}"/>
    <cellStyle name="0_man_cat 3 8 2" xfId="17986" xr:uid="{00000000-0005-0000-0000-000034460000}"/>
    <cellStyle name="0_man_cat 3 8 2 2" xfId="17987" xr:uid="{00000000-0005-0000-0000-000035460000}"/>
    <cellStyle name="0_man_cat 3 8 3" xfId="17988" xr:uid="{00000000-0005-0000-0000-000036460000}"/>
    <cellStyle name="0_man_cat 3 8 3 2" xfId="17989" xr:uid="{00000000-0005-0000-0000-000037460000}"/>
    <cellStyle name="0_man_cat 3 8 4" xfId="17990" xr:uid="{00000000-0005-0000-0000-000038460000}"/>
    <cellStyle name="0_man_cat 3 9" xfId="17991" xr:uid="{00000000-0005-0000-0000-000039460000}"/>
    <cellStyle name="0_man_cat 3 9 2" xfId="17992" xr:uid="{00000000-0005-0000-0000-00003A460000}"/>
    <cellStyle name="0_man_cat 3 9 2 2" xfId="17993" xr:uid="{00000000-0005-0000-0000-00003B460000}"/>
    <cellStyle name="0_man_cat 3 9 3" xfId="17994" xr:uid="{00000000-0005-0000-0000-00003C460000}"/>
    <cellStyle name="0_man_cat 3 9 3 2" xfId="17995" xr:uid="{00000000-0005-0000-0000-00003D460000}"/>
    <cellStyle name="0_man_cat 3 9 4" xfId="17996" xr:uid="{00000000-0005-0000-0000-00003E460000}"/>
    <cellStyle name="0_man_cat 4" xfId="17997" xr:uid="{00000000-0005-0000-0000-00003F460000}"/>
    <cellStyle name="0_man_cat 4 10" xfId="17998" xr:uid="{00000000-0005-0000-0000-000040460000}"/>
    <cellStyle name="0_man_cat 4 10 2" xfId="17999" xr:uid="{00000000-0005-0000-0000-000041460000}"/>
    <cellStyle name="0_man_cat 4 10 2 2" xfId="18000" xr:uid="{00000000-0005-0000-0000-000042460000}"/>
    <cellStyle name="0_man_cat 4 10 3" xfId="18001" xr:uid="{00000000-0005-0000-0000-000043460000}"/>
    <cellStyle name="0_man_cat 4 10 3 2" xfId="18002" xr:uid="{00000000-0005-0000-0000-000044460000}"/>
    <cellStyle name="0_man_cat 4 10 4" xfId="18003" xr:uid="{00000000-0005-0000-0000-000045460000}"/>
    <cellStyle name="0_man_cat 4 11" xfId="18004" xr:uid="{00000000-0005-0000-0000-000046460000}"/>
    <cellStyle name="0_man_cat 4 11 2" xfId="18005" xr:uid="{00000000-0005-0000-0000-000047460000}"/>
    <cellStyle name="0_man_cat 4 12" xfId="18006" xr:uid="{00000000-0005-0000-0000-000048460000}"/>
    <cellStyle name="0_man_cat 4 12 2" xfId="18007" xr:uid="{00000000-0005-0000-0000-000049460000}"/>
    <cellStyle name="0_man_cat 4 13" xfId="18008" xr:uid="{00000000-0005-0000-0000-00004A460000}"/>
    <cellStyle name="0_man_cat 4 2" xfId="18009" xr:uid="{00000000-0005-0000-0000-00004B460000}"/>
    <cellStyle name="0_man_cat 4 2 2" xfId="18010" xr:uid="{00000000-0005-0000-0000-00004C460000}"/>
    <cellStyle name="0_man_cat 4 2 2 2" xfId="18011" xr:uid="{00000000-0005-0000-0000-00004D460000}"/>
    <cellStyle name="0_man_cat 4 2 2 2 2" xfId="18012" xr:uid="{00000000-0005-0000-0000-00004E460000}"/>
    <cellStyle name="0_man_cat 4 2 2 2 2 2" xfId="18013" xr:uid="{00000000-0005-0000-0000-00004F460000}"/>
    <cellStyle name="0_man_cat 4 2 2 2 3" xfId="18014" xr:uid="{00000000-0005-0000-0000-000050460000}"/>
    <cellStyle name="0_man_cat 4 2 2 2 3 2" xfId="18015" xr:uid="{00000000-0005-0000-0000-000051460000}"/>
    <cellStyle name="0_man_cat 4 2 2 2 4" xfId="18016" xr:uid="{00000000-0005-0000-0000-000052460000}"/>
    <cellStyle name="0_man_cat 4 2 2 3" xfId="18017" xr:uid="{00000000-0005-0000-0000-000053460000}"/>
    <cellStyle name="0_man_cat 4 2 2 3 2" xfId="18018" xr:uid="{00000000-0005-0000-0000-000054460000}"/>
    <cellStyle name="0_man_cat 4 2 2 3 2 2" xfId="18019" xr:uid="{00000000-0005-0000-0000-000055460000}"/>
    <cellStyle name="0_man_cat 4 2 2 3 3" xfId="18020" xr:uid="{00000000-0005-0000-0000-000056460000}"/>
    <cellStyle name="0_man_cat 4 2 2 3 3 2" xfId="18021" xr:uid="{00000000-0005-0000-0000-000057460000}"/>
    <cellStyle name="0_man_cat 4 2 2 3 4" xfId="18022" xr:uid="{00000000-0005-0000-0000-000058460000}"/>
    <cellStyle name="0_man_cat 4 2 2 4" xfId="18023" xr:uid="{00000000-0005-0000-0000-000059460000}"/>
    <cellStyle name="0_man_cat 4 2 2 4 2" xfId="18024" xr:uid="{00000000-0005-0000-0000-00005A460000}"/>
    <cellStyle name="0_man_cat 4 2 2 5" xfId="18025" xr:uid="{00000000-0005-0000-0000-00005B460000}"/>
    <cellStyle name="0_man_cat 4 2 2 5 2" xfId="18026" xr:uid="{00000000-0005-0000-0000-00005C460000}"/>
    <cellStyle name="0_man_cat 4 2 2 6" xfId="18027" xr:uid="{00000000-0005-0000-0000-00005D460000}"/>
    <cellStyle name="0_man_cat 4 2 3" xfId="18028" xr:uid="{00000000-0005-0000-0000-00005E460000}"/>
    <cellStyle name="0_man_cat 4 2 3 2" xfId="18029" xr:uid="{00000000-0005-0000-0000-00005F460000}"/>
    <cellStyle name="0_man_cat 4 2 3 2 2" xfId="18030" xr:uid="{00000000-0005-0000-0000-000060460000}"/>
    <cellStyle name="0_man_cat 4 2 3 3" xfId="18031" xr:uid="{00000000-0005-0000-0000-000061460000}"/>
    <cellStyle name="0_man_cat 4 2 3 3 2" xfId="18032" xr:uid="{00000000-0005-0000-0000-000062460000}"/>
    <cellStyle name="0_man_cat 4 2 3 4" xfId="18033" xr:uid="{00000000-0005-0000-0000-000063460000}"/>
    <cellStyle name="0_man_cat 4 2 4" xfId="18034" xr:uid="{00000000-0005-0000-0000-000064460000}"/>
    <cellStyle name="0_man_cat 4 2 4 2" xfId="18035" xr:uid="{00000000-0005-0000-0000-000065460000}"/>
    <cellStyle name="0_man_cat 4 2 4 2 2" xfId="18036" xr:uid="{00000000-0005-0000-0000-000066460000}"/>
    <cellStyle name="0_man_cat 4 2 4 3" xfId="18037" xr:uid="{00000000-0005-0000-0000-000067460000}"/>
    <cellStyle name="0_man_cat 4 2 4 3 2" xfId="18038" xr:uid="{00000000-0005-0000-0000-000068460000}"/>
    <cellStyle name="0_man_cat 4 2 4 4" xfId="18039" xr:uid="{00000000-0005-0000-0000-000069460000}"/>
    <cellStyle name="0_man_cat 4 2 5" xfId="18040" xr:uid="{00000000-0005-0000-0000-00006A460000}"/>
    <cellStyle name="0_man_cat 4 2 5 2" xfId="18041" xr:uid="{00000000-0005-0000-0000-00006B460000}"/>
    <cellStyle name="0_man_cat 4 2 5 2 2" xfId="18042" xr:uid="{00000000-0005-0000-0000-00006C460000}"/>
    <cellStyle name="0_man_cat 4 2 5 3" xfId="18043" xr:uid="{00000000-0005-0000-0000-00006D460000}"/>
    <cellStyle name="0_man_cat 4 2 5 3 2" xfId="18044" xr:uid="{00000000-0005-0000-0000-00006E460000}"/>
    <cellStyle name="0_man_cat 4 2 5 4" xfId="18045" xr:uid="{00000000-0005-0000-0000-00006F460000}"/>
    <cellStyle name="0_man_cat 4 2 6" xfId="18046" xr:uid="{00000000-0005-0000-0000-000070460000}"/>
    <cellStyle name="0_man_cat 4 2 6 2" xfId="18047" xr:uid="{00000000-0005-0000-0000-000071460000}"/>
    <cellStyle name="0_man_cat 4 2 7" xfId="18048" xr:uid="{00000000-0005-0000-0000-000072460000}"/>
    <cellStyle name="0_man_cat 4 2 7 2" xfId="18049" xr:uid="{00000000-0005-0000-0000-000073460000}"/>
    <cellStyle name="0_man_cat 4 2 8" xfId="18050" xr:uid="{00000000-0005-0000-0000-000074460000}"/>
    <cellStyle name="0_man_cat 4 3" xfId="18051" xr:uid="{00000000-0005-0000-0000-000075460000}"/>
    <cellStyle name="0_man_cat 4 3 2" xfId="18052" xr:uid="{00000000-0005-0000-0000-000076460000}"/>
    <cellStyle name="0_man_cat 4 3 2 2" xfId="18053" xr:uid="{00000000-0005-0000-0000-000077460000}"/>
    <cellStyle name="0_man_cat 4 3 2 2 2" xfId="18054" xr:uid="{00000000-0005-0000-0000-000078460000}"/>
    <cellStyle name="0_man_cat 4 3 2 2 2 2" xfId="18055" xr:uid="{00000000-0005-0000-0000-000079460000}"/>
    <cellStyle name="0_man_cat 4 3 2 2 3" xfId="18056" xr:uid="{00000000-0005-0000-0000-00007A460000}"/>
    <cellStyle name="0_man_cat 4 3 2 2 3 2" xfId="18057" xr:uid="{00000000-0005-0000-0000-00007B460000}"/>
    <cellStyle name="0_man_cat 4 3 2 2 4" xfId="18058" xr:uid="{00000000-0005-0000-0000-00007C460000}"/>
    <cellStyle name="0_man_cat 4 3 2 3" xfId="18059" xr:uid="{00000000-0005-0000-0000-00007D460000}"/>
    <cellStyle name="0_man_cat 4 3 2 3 2" xfId="18060" xr:uid="{00000000-0005-0000-0000-00007E460000}"/>
    <cellStyle name="0_man_cat 4 3 2 3 2 2" xfId="18061" xr:uid="{00000000-0005-0000-0000-00007F460000}"/>
    <cellStyle name="0_man_cat 4 3 2 3 3" xfId="18062" xr:uid="{00000000-0005-0000-0000-000080460000}"/>
    <cellStyle name="0_man_cat 4 3 2 3 3 2" xfId="18063" xr:uid="{00000000-0005-0000-0000-000081460000}"/>
    <cellStyle name="0_man_cat 4 3 2 3 4" xfId="18064" xr:uid="{00000000-0005-0000-0000-000082460000}"/>
    <cellStyle name="0_man_cat 4 3 2 4" xfId="18065" xr:uid="{00000000-0005-0000-0000-000083460000}"/>
    <cellStyle name="0_man_cat 4 3 2 4 2" xfId="18066" xr:uid="{00000000-0005-0000-0000-000084460000}"/>
    <cellStyle name="0_man_cat 4 3 2 5" xfId="18067" xr:uid="{00000000-0005-0000-0000-000085460000}"/>
    <cellStyle name="0_man_cat 4 3 2 5 2" xfId="18068" xr:uid="{00000000-0005-0000-0000-000086460000}"/>
    <cellStyle name="0_man_cat 4 3 2 6" xfId="18069" xr:uid="{00000000-0005-0000-0000-000087460000}"/>
    <cellStyle name="0_man_cat 4 3 3" xfId="18070" xr:uid="{00000000-0005-0000-0000-000088460000}"/>
    <cellStyle name="0_man_cat 4 3 3 2" xfId="18071" xr:uid="{00000000-0005-0000-0000-000089460000}"/>
    <cellStyle name="0_man_cat 4 3 3 2 2" xfId="18072" xr:uid="{00000000-0005-0000-0000-00008A460000}"/>
    <cellStyle name="0_man_cat 4 3 3 3" xfId="18073" xr:uid="{00000000-0005-0000-0000-00008B460000}"/>
    <cellStyle name="0_man_cat 4 3 3 3 2" xfId="18074" xr:uid="{00000000-0005-0000-0000-00008C460000}"/>
    <cellStyle name="0_man_cat 4 3 3 4" xfId="18075" xr:uid="{00000000-0005-0000-0000-00008D460000}"/>
    <cellStyle name="0_man_cat 4 3 4" xfId="18076" xr:uid="{00000000-0005-0000-0000-00008E460000}"/>
    <cellStyle name="0_man_cat 4 3 4 2" xfId="18077" xr:uid="{00000000-0005-0000-0000-00008F460000}"/>
    <cellStyle name="0_man_cat 4 3 4 2 2" xfId="18078" xr:uid="{00000000-0005-0000-0000-000090460000}"/>
    <cellStyle name="0_man_cat 4 3 4 3" xfId="18079" xr:uid="{00000000-0005-0000-0000-000091460000}"/>
    <cellStyle name="0_man_cat 4 3 4 3 2" xfId="18080" xr:uid="{00000000-0005-0000-0000-000092460000}"/>
    <cellStyle name="0_man_cat 4 3 4 4" xfId="18081" xr:uid="{00000000-0005-0000-0000-000093460000}"/>
    <cellStyle name="0_man_cat 4 3 5" xfId="18082" xr:uid="{00000000-0005-0000-0000-000094460000}"/>
    <cellStyle name="0_man_cat 4 3 5 2" xfId="18083" xr:uid="{00000000-0005-0000-0000-000095460000}"/>
    <cellStyle name="0_man_cat 4 3 5 2 2" xfId="18084" xr:uid="{00000000-0005-0000-0000-000096460000}"/>
    <cellStyle name="0_man_cat 4 3 5 3" xfId="18085" xr:uid="{00000000-0005-0000-0000-000097460000}"/>
    <cellStyle name="0_man_cat 4 3 5 3 2" xfId="18086" xr:uid="{00000000-0005-0000-0000-000098460000}"/>
    <cellStyle name="0_man_cat 4 3 5 4" xfId="18087" xr:uid="{00000000-0005-0000-0000-000099460000}"/>
    <cellStyle name="0_man_cat 4 3 6" xfId="18088" xr:uid="{00000000-0005-0000-0000-00009A460000}"/>
    <cellStyle name="0_man_cat 4 3 6 2" xfId="18089" xr:uid="{00000000-0005-0000-0000-00009B460000}"/>
    <cellStyle name="0_man_cat 4 3 7" xfId="18090" xr:uid="{00000000-0005-0000-0000-00009C460000}"/>
    <cellStyle name="0_man_cat 4 3 7 2" xfId="18091" xr:uid="{00000000-0005-0000-0000-00009D460000}"/>
    <cellStyle name="0_man_cat 4 3 8" xfId="18092" xr:uid="{00000000-0005-0000-0000-00009E460000}"/>
    <cellStyle name="0_man_cat 4 4" xfId="18093" xr:uid="{00000000-0005-0000-0000-00009F460000}"/>
    <cellStyle name="0_man_cat 4 4 2" xfId="18094" xr:uid="{00000000-0005-0000-0000-0000A0460000}"/>
    <cellStyle name="0_man_cat 4 4 2 2" xfId="18095" xr:uid="{00000000-0005-0000-0000-0000A1460000}"/>
    <cellStyle name="0_man_cat 4 4 2 2 2" xfId="18096" xr:uid="{00000000-0005-0000-0000-0000A2460000}"/>
    <cellStyle name="0_man_cat 4 4 2 2 2 2" xfId="18097" xr:uid="{00000000-0005-0000-0000-0000A3460000}"/>
    <cellStyle name="0_man_cat 4 4 2 2 3" xfId="18098" xr:uid="{00000000-0005-0000-0000-0000A4460000}"/>
    <cellStyle name="0_man_cat 4 4 2 2 3 2" xfId="18099" xr:uid="{00000000-0005-0000-0000-0000A5460000}"/>
    <cellStyle name="0_man_cat 4 4 2 2 4" xfId="18100" xr:uid="{00000000-0005-0000-0000-0000A6460000}"/>
    <cellStyle name="0_man_cat 4 4 2 3" xfId="18101" xr:uid="{00000000-0005-0000-0000-0000A7460000}"/>
    <cellStyle name="0_man_cat 4 4 2 3 2" xfId="18102" xr:uid="{00000000-0005-0000-0000-0000A8460000}"/>
    <cellStyle name="0_man_cat 4 4 2 3 2 2" xfId="18103" xr:uid="{00000000-0005-0000-0000-0000A9460000}"/>
    <cellStyle name="0_man_cat 4 4 2 3 3" xfId="18104" xr:uid="{00000000-0005-0000-0000-0000AA460000}"/>
    <cellStyle name="0_man_cat 4 4 2 3 3 2" xfId="18105" xr:uid="{00000000-0005-0000-0000-0000AB460000}"/>
    <cellStyle name="0_man_cat 4 4 2 3 4" xfId="18106" xr:uid="{00000000-0005-0000-0000-0000AC460000}"/>
    <cellStyle name="0_man_cat 4 4 2 4" xfId="18107" xr:uid="{00000000-0005-0000-0000-0000AD460000}"/>
    <cellStyle name="0_man_cat 4 4 2 4 2" xfId="18108" xr:uid="{00000000-0005-0000-0000-0000AE460000}"/>
    <cellStyle name="0_man_cat 4 4 2 5" xfId="18109" xr:uid="{00000000-0005-0000-0000-0000AF460000}"/>
    <cellStyle name="0_man_cat 4 4 2 5 2" xfId="18110" xr:uid="{00000000-0005-0000-0000-0000B0460000}"/>
    <cellStyle name="0_man_cat 4 4 2 6" xfId="18111" xr:uid="{00000000-0005-0000-0000-0000B1460000}"/>
    <cellStyle name="0_man_cat 4 4 3" xfId="18112" xr:uid="{00000000-0005-0000-0000-0000B2460000}"/>
    <cellStyle name="0_man_cat 4 4 3 2" xfId="18113" xr:uid="{00000000-0005-0000-0000-0000B3460000}"/>
    <cellStyle name="0_man_cat 4 4 3 2 2" xfId="18114" xr:uid="{00000000-0005-0000-0000-0000B4460000}"/>
    <cellStyle name="0_man_cat 4 4 3 3" xfId="18115" xr:uid="{00000000-0005-0000-0000-0000B5460000}"/>
    <cellStyle name="0_man_cat 4 4 3 3 2" xfId="18116" xr:uid="{00000000-0005-0000-0000-0000B6460000}"/>
    <cellStyle name="0_man_cat 4 4 3 4" xfId="18117" xr:uid="{00000000-0005-0000-0000-0000B7460000}"/>
    <cellStyle name="0_man_cat 4 4 4" xfId="18118" xr:uid="{00000000-0005-0000-0000-0000B8460000}"/>
    <cellStyle name="0_man_cat 4 4 4 2" xfId="18119" xr:uid="{00000000-0005-0000-0000-0000B9460000}"/>
    <cellStyle name="0_man_cat 4 4 4 2 2" xfId="18120" xr:uid="{00000000-0005-0000-0000-0000BA460000}"/>
    <cellStyle name="0_man_cat 4 4 4 3" xfId="18121" xr:uid="{00000000-0005-0000-0000-0000BB460000}"/>
    <cellStyle name="0_man_cat 4 4 4 3 2" xfId="18122" xr:uid="{00000000-0005-0000-0000-0000BC460000}"/>
    <cellStyle name="0_man_cat 4 4 4 4" xfId="18123" xr:uid="{00000000-0005-0000-0000-0000BD460000}"/>
    <cellStyle name="0_man_cat 4 4 5" xfId="18124" xr:uid="{00000000-0005-0000-0000-0000BE460000}"/>
    <cellStyle name="0_man_cat 4 4 5 2" xfId="18125" xr:uid="{00000000-0005-0000-0000-0000BF460000}"/>
    <cellStyle name="0_man_cat 4 4 5 2 2" xfId="18126" xr:uid="{00000000-0005-0000-0000-0000C0460000}"/>
    <cellStyle name="0_man_cat 4 4 5 3" xfId="18127" xr:uid="{00000000-0005-0000-0000-0000C1460000}"/>
    <cellStyle name="0_man_cat 4 4 5 3 2" xfId="18128" xr:uid="{00000000-0005-0000-0000-0000C2460000}"/>
    <cellStyle name="0_man_cat 4 4 5 4" xfId="18129" xr:uid="{00000000-0005-0000-0000-0000C3460000}"/>
    <cellStyle name="0_man_cat 4 4 6" xfId="18130" xr:uid="{00000000-0005-0000-0000-0000C4460000}"/>
    <cellStyle name="0_man_cat 4 4 6 2" xfId="18131" xr:uid="{00000000-0005-0000-0000-0000C5460000}"/>
    <cellStyle name="0_man_cat 4 4 7" xfId="18132" xr:uid="{00000000-0005-0000-0000-0000C6460000}"/>
    <cellStyle name="0_man_cat 4 4 7 2" xfId="18133" xr:uid="{00000000-0005-0000-0000-0000C7460000}"/>
    <cellStyle name="0_man_cat 4 4 8" xfId="18134" xr:uid="{00000000-0005-0000-0000-0000C8460000}"/>
    <cellStyle name="0_man_cat 4 5" xfId="18135" xr:uid="{00000000-0005-0000-0000-0000C9460000}"/>
    <cellStyle name="0_man_cat 4 5 2" xfId="18136" xr:uid="{00000000-0005-0000-0000-0000CA460000}"/>
    <cellStyle name="0_man_cat 4 5 2 2" xfId="18137" xr:uid="{00000000-0005-0000-0000-0000CB460000}"/>
    <cellStyle name="0_man_cat 4 5 2 2 2" xfId="18138" xr:uid="{00000000-0005-0000-0000-0000CC460000}"/>
    <cellStyle name="0_man_cat 4 5 2 2 2 2" xfId="18139" xr:uid="{00000000-0005-0000-0000-0000CD460000}"/>
    <cellStyle name="0_man_cat 4 5 2 2 3" xfId="18140" xr:uid="{00000000-0005-0000-0000-0000CE460000}"/>
    <cellStyle name="0_man_cat 4 5 2 2 3 2" xfId="18141" xr:uid="{00000000-0005-0000-0000-0000CF460000}"/>
    <cellStyle name="0_man_cat 4 5 2 2 4" xfId="18142" xr:uid="{00000000-0005-0000-0000-0000D0460000}"/>
    <cellStyle name="0_man_cat 4 5 2 3" xfId="18143" xr:uid="{00000000-0005-0000-0000-0000D1460000}"/>
    <cellStyle name="0_man_cat 4 5 2 3 2" xfId="18144" xr:uid="{00000000-0005-0000-0000-0000D2460000}"/>
    <cellStyle name="0_man_cat 4 5 2 3 2 2" xfId="18145" xr:uid="{00000000-0005-0000-0000-0000D3460000}"/>
    <cellStyle name="0_man_cat 4 5 2 3 3" xfId="18146" xr:uid="{00000000-0005-0000-0000-0000D4460000}"/>
    <cellStyle name="0_man_cat 4 5 2 3 3 2" xfId="18147" xr:uid="{00000000-0005-0000-0000-0000D5460000}"/>
    <cellStyle name="0_man_cat 4 5 2 3 4" xfId="18148" xr:uid="{00000000-0005-0000-0000-0000D6460000}"/>
    <cellStyle name="0_man_cat 4 5 2 4" xfId="18149" xr:uid="{00000000-0005-0000-0000-0000D7460000}"/>
    <cellStyle name="0_man_cat 4 5 2 4 2" xfId="18150" xr:uid="{00000000-0005-0000-0000-0000D8460000}"/>
    <cellStyle name="0_man_cat 4 5 2 5" xfId="18151" xr:uid="{00000000-0005-0000-0000-0000D9460000}"/>
    <cellStyle name="0_man_cat 4 5 2 5 2" xfId="18152" xr:uid="{00000000-0005-0000-0000-0000DA460000}"/>
    <cellStyle name="0_man_cat 4 5 2 6" xfId="18153" xr:uid="{00000000-0005-0000-0000-0000DB460000}"/>
    <cellStyle name="0_man_cat 4 5 3" xfId="18154" xr:uid="{00000000-0005-0000-0000-0000DC460000}"/>
    <cellStyle name="0_man_cat 4 5 3 2" xfId="18155" xr:uid="{00000000-0005-0000-0000-0000DD460000}"/>
    <cellStyle name="0_man_cat 4 5 3 2 2" xfId="18156" xr:uid="{00000000-0005-0000-0000-0000DE460000}"/>
    <cellStyle name="0_man_cat 4 5 3 3" xfId="18157" xr:uid="{00000000-0005-0000-0000-0000DF460000}"/>
    <cellStyle name="0_man_cat 4 5 3 3 2" xfId="18158" xr:uid="{00000000-0005-0000-0000-0000E0460000}"/>
    <cellStyle name="0_man_cat 4 5 3 4" xfId="18159" xr:uid="{00000000-0005-0000-0000-0000E1460000}"/>
    <cellStyle name="0_man_cat 4 5 4" xfId="18160" xr:uid="{00000000-0005-0000-0000-0000E2460000}"/>
    <cellStyle name="0_man_cat 4 5 4 2" xfId="18161" xr:uid="{00000000-0005-0000-0000-0000E3460000}"/>
    <cellStyle name="0_man_cat 4 5 4 2 2" xfId="18162" xr:uid="{00000000-0005-0000-0000-0000E4460000}"/>
    <cellStyle name="0_man_cat 4 5 4 3" xfId="18163" xr:uid="{00000000-0005-0000-0000-0000E5460000}"/>
    <cellStyle name="0_man_cat 4 5 4 3 2" xfId="18164" xr:uid="{00000000-0005-0000-0000-0000E6460000}"/>
    <cellStyle name="0_man_cat 4 5 4 4" xfId="18165" xr:uid="{00000000-0005-0000-0000-0000E7460000}"/>
    <cellStyle name="0_man_cat 4 5 5" xfId="18166" xr:uid="{00000000-0005-0000-0000-0000E8460000}"/>
    <cellStyle name="0_man_cat 4 5 5 2" xfId="18167" xr:uid="{00000000-0005-0000-0000-0000E9460000}"/>
    <cellStyle name="0_man_cat 4 5 5 2 2" xfId="18168" xr:uid="{00000000-0005-0000-0000-0000EA460000}"/>
    <cellStyle name="0_man_cat 4 5 5 3" xfId="18169" xr:uid="{00000000-0005-0000-0000-0000EB460000}"/>
    <cellStyle name="0_man_cat 4 5 5 3 2" xfId="18170" xr:uid="{00000000-0005-0000-0000-0000EC460000}"/>
    <cellStyle name="0_man_cat 4 5 5 4" xfId="18171" xr:uid="{00000000-0005-0000-0000-0000ED460000}"/>
    <cellStyle name="0_man_cat 4 5 6" xfId="18172" xr:uid="{00000000-0005-0000-0000-0000EE460000}"/>
    <cellStyle name="0_man_cat 4 5 6 2" xfId="18173" xr:uid="{00000000-0005-0000-0000-0000EF460000}"/>
    <cellStyle name="0_man_cat 4 5 7" xfId="18174" xr:uid="{00000000-0005-0000-0000-0000F0460000}"/>
    <cellStyle name="0_man_cat 4 5 7 2" xfId="18175" xr:uid="{00000000-0005-0000-0000-0000F1460000}"/>
    <cellStyle name="0_man_cat 4 5 8" xfId="18176" xr:uid="{00000000-0005-0000-0000-0000F2460000}"/>
    <cellStyle name="0_man_cat 4 6" xfId="18177" xr:uid="{00000000-0005-0000-0000-0000F3460000}"/>
    <cellStyle name="0_man_cat 4 6 2" xfId="18178" xr:uid="{00000000-0005-0000-0000-0000F4460000}"/>
    <cellStyle name="0_man_cat 4 6 2 2" xfId="18179" xr:uid="{00000000-0005-0000-0000-0000F5460000}"/>
    <cellStyle name="0_man_cat 4 6 2 2 2" xfId="18180" xr:uid="{00000000-0005-0000-0000-0000F6460000}"/>
    <cellStyle name="0_man_cat 4 6 2 2 2 2" xfId="18181" xr:uid="{00000000-0005-0000-0000-0000F7460000}"/>
    <cellStyle name="0_man_cat 4 6 2 2 3" xfId="18182" xr:uid="{00000000-0005-0000-0000-0000F8460000}"/>
    <cellStyle name="0_man_cat 4 6 2 2 3 2" xfId="18183" xr:uid="{00000000-0005-0000-0000-0000F9460000}"/>
    <cellStyle name="0_man_cat 4 6 2 2 4" xfId="18184" xr:uid="{00000000-0005-0000-0000-0000FA460000}"/>
    <cellStyle name="0_man_cat 4 6 2 3" xfId="18185" xr:uid="{00000000-0005-0000-0000-0000FB460000}"/>
    <cellStyle name="0_man_cat 4 6 2 3 2" xfId="18186" xr:uid="{00000000-0005-0000-0000-0000FC460000}"/>
    <cellStyle name="0_man_cat 4 6 2 3 2 2" xfId="18187" xr:uid="{00000000-0005-0000-0000-0000FD460000}"/>
    <cellStyle name="0_man_cat 4 6 2 3 3" xfId="18188" xr:uid="{00000000-0005-0000-0000-0000FE460000}"/>
    <cellStyle name="0_man_cat 4 6 2 3 3 2" xfId="18189" xr:uid="{00000000-0005-0000-0000-0000FF460000}"/>
    <cellStyle name="0_man_cat 4 6 2 3 4" xfId="18190" xr:uid="{00000000-0005-0000-0000-000000470000}"/>
    <cellStyle name="0_man_cat 4 6 2 4" xfId="18191" xr:uid="{00000000-0005-0000-0000-000001470000}"/>
    <cellStyle name="0_man_cat 4 6 2 4 2" xfId="18192" xr:uid="{00000000-0005-0000-0000-000002470000}"/>
    <cellStyle name="0_man_cat 4 6 2 5" xfId="18193" xr:uid="{00000000-0005-0000-0000-000003470000}"/>
    <cellStyle name="0_man_cat 4 6 2 5 2" xfId="18194" xr:uid="{00000000-0005-0000-0000-000004470000}"/>
    <cellStyle name="0_man_cat 4 6 2 6" xfId="18195" xr:uid="{00000000-0005-0000-0000-000005470000}"/>
    <cellStyle name="0_man_cat 4 6 3" xfId="18196" xr:uid="{00000000-0005-0000-0000-000006470000}"/>
    <cellStyle name="0_man_cat 4 6 3 2" xfId="18197" xr:uid="{00000000-0005-0000-0000-000007470000}"/>
    <cellStyle name="0_man_cat 4 6 3 2 2" xfId="18198" xr:uid="{00000000-0005-0000-0000-000008470000}"/>
    <cellStyle name="0_man_cat 4 6 3 3" xfId="18199" xr:uid="{00000000-0005-0000-0000-000009470000}"/>
    <cellStyle name="0_man_cat 4 6 3 3 2" xfId="18200" xr:uid="{00000000-0005-0000-0000-00000A470000}"/>
    <cellStyle name="0_man_cat 4 6 3 4" xfId="18201" xr:uid="{00000000-0005-0000-0000-00000B470000}"/>
    <cellStyle name="0_man_cat 4 6 4" xfId="18202" xr:uid="{00000000-0005-0000-0000-00000C470000}"/>
    <cellStyle name="0_man_cat 4 6 4 2" xfId="18203" xr:uid="{00000000-0005-0000-0000-00000D470000}"/>
    <cellStyle name="0_man_cat 4 6 4 2 2" xfId="18204" xr:uid="{00000000-0005-0000-0000-00000E470000}"/>
    <cellStyle name="0_man_cat 4 6 4 3" xfId="18205" xr:uid="{00000000-0005-0000-0000-00000F470000}"/>
    <cellStyle name="0_man_cat 4 6 4 3 2" xfId="18206" xr:uid="{00000000-0005-0000-0000-000010470000}"/>
    <cellStyle name="0_man_cat 4 6 4 4" xfId="18207" xr:uid="{00000000-0005-0000-0000-000011470000}"/>
    <cellStyle name="0_man_cat 4 6 5" xfId="18208" xr:uid="{00000000-0005-0000-0000-000012470000}"/>
    <cellStyle name="0_man_cat 4 6 5 2" xfId="18209" xr:uid="{00000000-0005-0000-0000-000013470000}"/>
    <cellStyle name="0_man_cat 4 6 5 2 2" xfId="18210" xr:uid="{00000000-0005-0000-0000-000014470000}"/>
    <cellStyle name="0_man_cat 4 6 5 3" xfId="18211" xr:uid="{00000000-0005-0000-0000-000015470000}"/>
    <cellStyle name="0_man_cat 4 6 5 3 2" xfId="18212" xr:uid="{00000000-0005-0000-0000-000016470000}"/>
    <cellStyle name="0_man_cat 4 6 5 4" xfId="18213" xr:uid="{00000000-0005-0000-0000-000017470000}"/>
    <cellStyle name="0_man_cat 4 6 6" xfId="18214" xr:uid="{00000000-0005-0000-0000-000018470000}"/>
    <cellStyle name="0_man_cat 4 6 6 2" xfId="18215" xr:uid="{00000000-0005-0000-0000-000019470000}"/>
    <cellStyle name="0_man_cat 4 6 7" xfId="18216" xr:uid="{00000000-0005-0000-0000-00001A470000}"/>
    <cellStyle name="0_man_cat 4 6 7 2" xfId="18217" xr:uid="{00000000-0005-0000-0000-00001B470000}"/>
    <cellStyle name="0_man_cat 4 6 8" xfId="18218" xr:uid="{00000000-0005-0000-0000-00001C470000}"/>
    <cellStyle name="0_man_cat 4 7" xfId="18219" xr:uid="{00000000-0005-0000-0000-00001D470000}"/>
    <cellStyle name="0_man_cat 4 7 2" xfId="18220" xr:uid="{00000000-0005-0000-0000-00001E470000}"/>
    <cellStyle name="0_man_cat 4 7 2 2" xfId="18221" xr:uid="{00000000-0005-0000-0000-00001F470000}"/>
    <cellStyle name="0_man_cat 4 7 2 2 2" xfId="18222" xr:uid="{00000000-0005-0000-0000-000020470000}"/>
    <cellStyle name="0_man_cat 4 7 2 3" xfId="18223" xr:uid="{00000000-0005-0000-0000-000021470000}"/>
    <cellStyle name="0_man_cat 4 7 2 3 2" xfId="18224" xr:uid="{00000000-0005-0000-0000-000022470000}"/>
    <cellStyle name="0_man_cat 4 7 2 4" xfId="18225" xr:uid="{00000000-0005-0000-0000-000023470000}"/>
    <cellStyle name="0_man_cat 4 7 3" xfId="18226" xr:uid="{00000000-0005-0000-0000-000024470000}"/>
    <cellStyle name="0_man_cat 4 7 3 2" xfId="18227" xr:uid="{00000000-0005-0000-0000-000025470000}"/>
    <cellStyle name="0_man_cat 4 7 3 2 2" xfId="18228" xr:uid="{00000000-0005-0000-0000-000026470000}"/>
    <cellStyle name="0_man_cat 4 7 3 3" xfId="18229" xr:uid="{00000000-0005-0000-0000-000027470000}"/>
    <cellStyle name="0_man_cat 4 7 3 3 2" xfId="18230" xr:uid="{00000000-0005-0000-0000-000028470000}"/>
    <cellStyle name="0_man_cat 4 7 3 4" xfId="18231" xr:uid="{00000000-0005-0000-0000-000029470000}"/>
    <cellStyle name="0_man_cat 4 7 4" xfId="18232" xr:uid="{00000000-0005-0000-0000-00002A470000}"/>
    <cellStyle name="0_man_cat 4 7 4 2" xfId="18233" xr:uid="{00000000-0005-0000-0000-00002B470000}"/>
    <cellStyle name="0_man_cat 4 7 5" xfId="18234" xr:uid="{00000000-0005-0000-0000-00002C470000}"/>
    <cellStyle name="0_man_cat 4 7 5 2" xfId="18235" xr:uid="{00000000-0005-0000-0000-00002D470000}"/>
    <cellStyle name="0_man_cat 4 7 6" xfId="18236" xr:uid="{00000000-0005-0000-0000-00002E470000}"/>
    <cellStyle name="0_man_cat 4 8" xfId="18237" xr:uid="{00000000-0005-0000-0000-00002F470000}"/>
    <cellStyle name="0_man_cat 4 8 2" xfId="18238" xr:uid="{00000000-0005-0000-0000-000030470000}"/>
    <cellStyle name="0_man_cat 4 8 2 2" xfId="18239" xr:uid="{00000000-0005-0000-0000-000031470000}"/>
    <cellStyle name="0_man_cat 4 8 3" xfId="18240" xr:uid="{00000000-0005-0000-0000-000032470000}"/>
    <cellStyle name="0_man_cat 4 8 3 2" xfId="18241" xr:uid="{00000000-0005-0000-0000-000033470000}"/>
    <cellStyle name="0_man_cat 4 8 4" xfId="18242" xr:uid="{00000000-0005-0000-0000-000034470000}"/>
    <cellStyle name="0_man_cat 4 9" xfId="18243" xr:uid="{00000000-0005-0000-0000-000035470000}"/>
    <cellStyle name="0_man_cat 4 9 2" xfId="18244" xr:uid="{00000000-0005-0000-0000-000036470000}"/>
    <cellStyle name="0_man_cat 4 9 2 2" xfId="18245" xr:uid="{00000000-0005-0000-0000-000037470000}"/>
    <cellStyle name="0_man_cat 4 9 3" xfId="18246" xr:uid="{00000000-0005-0000-0000-000038470000}"/>
    <cellStyle name="0_man_cat 4 9 3 2" xfId="18247" xr:uid="{00000000-0005-0000-0000-000039470000}"/>
    <cellStyle name="0_man_cat 4 9 4" xfId="18248" xr:uid="{00000000-0005-0000-0000-00003A470000}"/>
    <cellStyle name="0_man_cat 5" xfId="18249" xr:uid="{00000000-0005-0000-0000-00003B470000}"/>
    <cellStyle name="0_man_cat 5 10" xfId="18250" xr:uid="{00000000-0005-0000-0000-00003C470000}"/>
    <cellStyle name="0_man_cat 5 10 2" xfId="18251" xr:uid="{00000000-0005-0000-0000-00003D470000}"/>
    <cellStyle name="0_man_cat 5 10 2 2" xfId="18252" xr:uid="{00000000-0005-0000-0000-00003E470000}"/>
    <cellStyle name="0_man_cat 5 10 3" xfId="18253" xr:uid="{00000000-0005-0000-0000-00003F470000}"/>
    <cellStyle name="0_man_cat 5 10 3 2" xfId="18254" xr:uid="{00000000-0005-0000-0000-000040470000}"/>
    <cellStyle name="0_man_cat 5 10 4" xfId="18255" xr:uid="{00000000-0005-0000-0000-000041470000}"/>
    <cellStyle name="0_man_cat 5 11" xfId="18256" xr:uid="{00000000-0005-0000-0000-000042470000}"/>
    <cellStyle name="0_man_cat 5 11 2" xfId="18257" xr:uid="{00000000-0005-0000-0000-000043470000}"/>
    <cellStyle name="0_man_cat 5 12" xfId="18258" xr:uid="{00000000-0005-0000-0000-000044470000}"/>
    <cellStyle name="0_man_cat 5 12 2" xfId="18259" xr:uid="{00000000-0005-0000-0000-000045470000}"/>
    <cellStyle name="0_man_cat 5 13" xfId="18260" xr:uid="{00000000-0005-0000-0000-000046470000}"/>
    <cellStyle name="0_man_cat 5 2" xfId="18261" xr:uid="{00000000-0005-0000-0000-000047470000}"/>
    <cellStyle name="0_man_cat 5 2 2" xfId="18262" xr:uid="{00000000-0005-0000-0000-000048470000}"/>
    <cellStyle name="0_man_cat 5 2 2 2" xfId="18263" xr:uid="{00000000-0005-0000-0000-000049470000}"/>
    <cellStyle name="0_man_cat 5 2 2 2 2" xfId="18264" xr:uid="{00000000-0005-0000-0000-00004A470000}"/>
    <cellStyle name="0_man_cat 5 2 2 2 2 2" xfId="18265" xr:uid="{00000000-0005-0000-0000-00004B470000}"/>
    <cellStyle name="0_man_cat 5 2 2 2 3" xfId="18266" xr:uid="{00000000-0005-0000-0000-00004C470000}"/>
    <cellStyle name="0_man_cat 5 2 2 2 3 2" xfId="18267" xr:uid="{00000000-0005-0000-0000-00004D470000}"/>
    <cellStyle name="0_man_cat 5 2 2 2 4" xfId="18268" xr:uid="{00000000-0005-0000-0000-00004E470000}"/>
    <cellStyle name="0_man_cat 5 2 2 3" xfId="18269" xr:uid="{00000000-0005-0000-0000-00004F470000}"/>
    <cellStyle name="0_man_cat 5 2 2 3 2" xfId="18270" xr:uid="{00000000-0005-0000-0000-000050470000}"/>
    <cellStyle name="0_man_cat 5 2 2 3 2 2" xfId="18271" xr:uid="{00000000-0005-0000-0000-000051470000}"/>
    <cellStyle name="0_man_cat 5 2 2 3 3" xfId="18272" xr:uid="{00000000-0005-0000-0000-000052470000}"/>
    <cellStyle name="0_man_cat 5 2 2 3 3 2" xfId="18273" xr:uid="{00000000-0005-0000-0000-000053470000}"/>
    <cellStyle name="0_man_cat 5 2 2 3 4" xfId="18274" xr:uid="{00000000-0005-0000-0000-000054470000}"/>
    <cellStyle name="0_man_cat 5 2 2 4" xfId="18275" xr:uid="{00000000-0005-0000-0000-000055470000}"/>
    <cellStyle name="0_man_cat 5 2 2 4 2" xfId="18276" xr:uid="{00000000-0005-0000-0000-000056470000}"/>
    <cellStyle name="0_man_cat 5 2 2 5" xfId="18277" xr:uid="{00000000-0005-0000-0000-000057470000}"/>
    <cellStyle name="0_man_cat 5 2 2 5 2" xfId="18278" xr:uid="{00000000-0005-0000-0000-000058470000}"/>
    <cellStyle name="0_man_cat 5 2 2 6" xfId="18279" xr:uid="{00000000-0005-0000-0000-000059470000}"/>
    <cellStyle name="0_man_cat 5 2 3" xfId="18280" xr:uid="{00000000-0005-0000-0000-00005A470000}"/>
    <cellStyle name="0_man_cat 5 2 3 2" xfId="18281" xr:uid="{00000000-0005-0000-0000-00005B470000}"/>
    <cellStyle name="0_man_cat 5 2 3 2 2" xfId="18282" xr:uid="{00000000-0005-0000-0000-00005C470000}"/>
    <cellStyle name="0_man_cat 5 2 3 3" xfId="18283" xr:uid="{00000000-0005-0000-0000-00005D470000}"/>
    <cellStyle name="0_man_cat 5 2 3 3 2" xfId="18284" xr:uid="{00000000-0005-0000-0000-00005E470000}"/>
    <cellStyle name="0_man_cat 5 2 3 4" xfId="18285" xr:uid="{00000000-0005-0000-0000-00005F470000}"/>
    <cellStyle name="0_man_cat 5 2 4" xfId="18286" xr:uid="{00000000-0005-0000-0000-000060470000}"/>
    <cellStyle name="0_man_cat 5 2 4 2" xfId="18287" xr:uid="{00000000-0005-0000-0000-000061470000}"/>
    <cellStyle name="0_man_cat 5 2 4 2 2" xfId="18288" xr:uid="{00000000-0005-0000-0000-000062470000}"/>
    <cellStyle name="0_man_cat 5 2 4 3" xfId="18289" xr:uid="{00000000-0005-0000-0000-000063470000}"/>
    <cellStyle name="0_man_cat 5 2 4 3 2" xfId="18290" xr:uid="{00000000-0005-0000-0000-000064470000}"/>
    <cellStyle name="0_man_cat 5 2 4 4" xfId="18291" xr:uid="{00000000-0005-0000-0000-000065470000}"/>
    <cellStyle name="0_man_cat 5 2 5" xfId="18292" xr:uid="{00000000-0005-0000-0000-000066470000}"/>
    <cellStyle name="0_man_cat 5 2 5 2" xfId="18293" xr:uid="{00000000-0005-0000-0000-000067470000}"/>
    <cellStyle name="0_man_cat 5 2 5 2 2" xfId="18294" xr:uid="{00000000-0005-0000-0000-000068470000}"/>
    <cellStyle name="0_man_cat 5 2 5 3" xfId="18295" xr:uid="{00000000-0005-0000-0000-000069470000}"/>
    <cellStyle name="0_man_cat 5 2 5 3 2" xfId="18296" xr:uid="{00000000-0005-0000-0000-00006A470000}"/>
    <cellStyle name="0_man_cat 5 2 5 4" xfId="18297" xr:uid="{00000000-0005-0000-0000-00006B470000}"/>
    <cellStyle name="0_man_cat 5 2 6" xfId="18298" xr:uid="{00000000-0005-0000-0000-00006C470000}"/>
    <cellStyle name="0_man_cat 5 2 6 2" xfId="18299" xr:uid="{00000000-0005-0000-0000-00006D470000}"/>
    <cellStyle name="0_man_cat 5 2 7" xfId="18300" xr:uid="{00000000-0005-0000-0000-00006E470000}"/>
    <cellStyle name="0_man_cat 5 2 7 2" xfId="18301" xr:uid="{00000000-0005-0000-0000-00006F470000}"/>
    <cellStyle name="0_man_cat 5 2 8" xfId="18302" xr:uid="{00000000-0005-0000-0000-000070470000}"/>
    <cellStyle name="0_man_cat 5 3" xfId="18303" xr:uid="{00000000-0005-0000-0000-000071470000}"/>
    <cellStyle name="0_man_cat 5 3 2" xfId="18304" xr:uid="{00000000-0005-0000-0000-000072470000}"/>
    <cellStyle name="0_man_cat 5 3 2 2" xfId="18305" xr:uid="{00000000-0005-0000-0000-000073470000}"/>
    <cellStyle name="0_man_cat 5 3 2 2 2" xfId="18306" xr:uid="{00000000-0005-0000-0000-000074470000}"/>
    <cellStyle name="0_man_cat 5 3 2 2 2 2" xfId="18307" xr:uid="{00000000-0005-0000-0000-000075470000}"/>
    <cellStyle name="0_man_cat 5 3 2 2 3" xfId="18308" xr:uid="{00000000-0005-0000-0000-000076470000}"/>
    <cellStyle name="0_man_cat 5 3 2 2 3 2" xfId="18309" xr:uid="{00000000-0005-0000-0000-000077470000}"/>
    <cellStyle name="0_man_cat 5 3 2 2 4" xfId="18310" xr:uid="{00000000-0005-0000-0000-000078470000}"/>
    <cellStyle name="0_man_cat 5 3 2 3" xfId="18311" xr:uid="{00000000-0005-0000-0000-000079470000}"/>
    <cellStyle name="0_man_cat 5 3 2 3 2" xfId="18312" xr:uid="{00000000-0005-0000-0000-00007A470000}"/>
    <cellStyle name="0_man_cat 5 3 2 3 2 2" xfId="18313" xr:uid="{00000000-0005-0000-0000-00007B470000}"/>
    <cellStyle name="0_man_cat 5 3 2 3 3" xfId="18314" xr:uid="{00000000-0005-0000-0000-00007C470000}"/>
    <cellStyle name="0_man_cat 5 3 2 3 3 2" xfId="18315" xr:uid="{00000000-0005-0000-0000-00007D470000}"/>
    <cellStyle name="0_man_cat 5 3 2 3 4" xfId="18316" xr:uid="{00000000-0005-0000-0000-00007E470000}"/>
    <cellStyle name="0_man_cat 5 3 2 4" xfId="18317" xr:uid="{00000000-0005-0000-0000-00007F470000}"/>
    <cellStyle name="0_man_cat 5 3 2 4 2" xfId="18318" xr:uid="{00000000-0005-0000-0000-000080470000}"/>
    <cellStyle name="0_man_cat 5 3 2 5" xfId="18319" xr:uid="{00000000-0005-0000-0000-000081470000}"/>
    <cellStyle name="0_man_cat 5 3 2 5 2" xfId="18320" xr:uid="{00000000-0005-0000-0000-000082470000}"/>
    <cellStyle name="0_man_cat 5 3 2 6" xfId="18321" xr:uid="{00000000-0005-0000-0000-000083470000}"/>
    <cellStyle name="0_man_cat 5 3 3" xfId="18322" xr:uid="{00000000-0005-0000-0000-000084470000}"/>
    <cellStyle name="0_man_cat 5 3 3 2" xfId="18323" xr:uid="{00000000-0005-0000-0000-000085470000}"/>
    <cellStyle name="0_man_cat 5 3 3 2 2" xfId="18324" xr:uid="{00000000-0005-0000-0000-000086470000}"/>
    <cellStyle name="0_man_cat 5 3 3 3" xfId="18325" xr:uid="{00000000-0005-0000-0000-000087470000}"/>
    <cellStyle name="0_man_cat 5 3 3 3 2" xfId="18326" xr:uid="{00000000-0005-0000-0000-000088470000}"/>
    <cellStyle name="0_man_cat 5 3 3 4" xfId="18327" xr:uid="{00000000-0005-0000-0000-000089470000}"/>
    <cellStyle name="0_man_cat 5 3 4" xfId="18328" xr:uid="{00000000-0005-0000-0000-00008A470000}"/>
    <cellStyle name="0_man_cat 5 3 4 2" xfId="18329" xr:uid="{00000000-0005-0000-0000-00008B470000}"/>
    <cellStyle name="0_man_cat 5 3 4 2 2" xfId="18330" xr:uid="{00000000-0005-0000-0000-00008C470000}"/>
    <cellStyle name="0_man_cat 5 3 4 3" xfId="18331" xr:uid="{00000000-0005-0000-0000-00008D470000}"/>
    <cellStyle name="0_man_cat 5 3 4 3 2" xfId="18332" xr:uid="{00000000-0005-0000-0000-00008E470000}"/>
    <cellStyle name="0_man_cat 5 3 4 4" xfId="18333" xr:uid="{00000000-0005-0000-0000-00008F470000}"/>
    <cellStyle name="0_man_cat 5 3 5" xfId="18334" xr:uid="{00000000-0005-0000-0000-000090470000}"/>
    <cellStyle name="0_man_cat 5 3 5 2" xfId="18335" xr:uid="{00000000-0005-0000-0000-000091470000}"/>
    <cellStyle name="0_man_cat 5 3 5 2 2" xfId="18336" xr:uid="{00000000-0005-0000-0000-000092470000}"/>
    <cellStyle name="0_man_cat 5 3 5 3" xfId="18337" xr:uid="{00000000-0005-0000-0000-000093470000}"/>
    <cellStyle name="0_man_cat 5 3 5 3 2" xfId="18338" xr:uid="{00000000-0005-0000-0000-000094470000}"/>
    <cellStyle name="0_man_cat 5 3 5 4" xfId="18339" xr:uid="{00000000-0005-0000-0000-000095470000}"/>
    <cellStyle name="0_man_cat 5 3 6" xfId="18340" xr:uid="{00000000-0005-0000-0000-000096470000}"/>
    <cellStyle name="0_man_cat 5 3 6 2" xfId="18341" xr:uid="{00000000-0005-0000-0000-000097470000}"/>
    <cellStyle name="0_man_cat 5 3 7" xfId="18342" xr:uid="{00000000-0005-0000-0000-000098470000}"/>
    <cellStyle name="0_man_cat 5 3 7 2" xfId="18343" xr:uid="{00000000-0005-0000-0000-000099470000}"/>
    <cellStyle name="0_man_cat 5 3 8" xfId="18344" xr:uid="{00000000-0005-0000-0000-00009A470000}"/>
    <cellStyle name="0_man_cat 5 4" xfId="18345" xr:uid="{00000000-0005-0000-0000-00009B470000}"/>
    <cellStyle name="0_man_cat 5 4 2" xfId="18346" xr:uid="{00000000-0005-0000-0000-00009C470000}"/>
    <cellStyle name="0_man_cat 5 4 2 2" xfId="18347" xr:uid="{00000000-0005-0000-0000-00009D470000}"/>
    <cellStyle name="0_man_cat 5 4 2 2 2" xfId="18348" xr:uid="{00000000-0005-0000-0000-00009E470000}"/>
    <cellStyle name="0_man_cat 5 4 2 2 2 2" xfId="18349" xr:uid="{00000000-0005-0000-0000-00009F470000}"/>
    <cellStyle name="0_man_cat 5 4 2 2 3" xfId="18350" xr:uid="{00000000-0005-0000-0000-0000A0470000}"/>
    <cellStyle name="0_man_cat 5 4 2 2 3 2" xfId="18351" xr:uid="{00000000-0005-0000-0000-0000A1470000}"/>
    <cellStyle name="0_man_cat 5 4 2 2 4" xfId="18352" xr:uid="{00000000-0005-0000-0000-0000A2470000}"/>
    <cellStyle name="0_man_cat 5 4 2 3" xfId="18353" xr:uid="{00000000-0005-0000-0000-0000A3470000}"/>
    <cellStyle name="0_man_cat 5 4 2 3 2" xfId="18354" xr:uid="{00000000-0005-0000-0000-0000A4470000}"/>
    <cellStyle name="0_man_cat 5 4 2 3 2 2" xfId="18355" xr:uid="{00000000-0005-0000-0000-0000A5470000}"/>
    <cellStyle name="0_man_cat 5 4 2 3 3" xfId="18356" xr:uid="{00000000-0005-0000-0000-0000A6470000}"/>
    <cellStyle name="0_man_cat 5 4 2 3 3 2" xfId="18357" xr:uid="{00000000-0005-0000-0000-0000A7470000}"/>
    <cellStyle name="0_man_cat 5 4 2 3 4" xfId="18358" xr:uid="{00000000-0005-0000-0000-0000A8470000}"/>
    <cellStyle name="0_man_cat 5 4 2 4" xfId="18359" xr:uid="{00000000-0005-0000-0000-0000A9470000}"/>
    <cellStyle name="0_man_cat 5 4 2 4 2" xfId="18360" xr:uid="{00000000-0005-0000-0000-0000AA470000}"/>
    <cellStyle name="0_man_cat 5 4 2 5" xfId="18361" xr:uid="{00000000-0005-0000-0000-0000AB470000}"/>
    <cellStyle name="0_man_cat 5 4 2 5 2" xfId="18362" xr:uid="{00000000-0005-0000-0000-0000AC470000}"/>
    <cellStyle name="0_man_cat 5 4 2 6" xfId="18363" xr:uid="{00000000-0005-0000-0000-0000AD470000}"/>
    <cellStyle name="0_man_cat 5 4 3" xfId="18364" xr:uid="{00000000-0005-0000-0000-0000AE470000}"/>
    <cellStyle name="0_man_cat 5 4 3 2" xfId="18365" xr:uid="{00000000-0005-0000-0000-0000AF470000}"/>
    <cellStyle name="0_man_cat 5 4 3 2 2" xfId="18366" xr:uid="{00000000-0005-0000-0000-0000B0470000}"/>
    <cellStyle name="0_man_cat 5 4 3 3" xfId="18367" xr:uid="{00000000-0005-0000-0000-0000B1470000}"/>
    <cellStyle name="0_man_cat 5 4 3 3 2" xfId="18368" xr:uid="{00000000-0005-0000-0000-0000B2470000}"/>
    <cellStyle name="0_man_cat 5 4 3 4" xfId="18369" xr:uid="{00000000-0005-0000-0000-0000B3470000}"/>
    <cellStyle name="0_man_cat 5 4 4" xfId="18370" xr:uid="{00000000-0005-0000-0000-0000B4470000}"/>
    <cellStyle name="0_man_cat 5 4 4 2" xfId="18371" xr:uid="{00000000-0005-0000-0000-0000B5470000}"/>
    <cellStyle name="0_man_cat 5 4 4 2 2" xfId="18372" xr:uid="{00000000-0005-0000-0000-0000B6470000}"/>
    <cellStyle name="0_man_cat 5 4 4 3" xfId="18373" xr:uid="{00000000-0005-0000-0000-0000B7470000}"/>
    <cellStyle name="0_man_cat 5 4 4 3 2" xfId="18374" xr:uid="{00000000-0005-0000-0000-0000B8470000}"/>
    <cellStyle name="0_man_cat 5 4 4 4" xfId="18375" xr:uid="{00000000-0005-0000-0000-0000B9470000}"/>
    <cellStyle name="0_man_cat 5 4 5" xfId="18376" xr:uid="{00000000-0005-0000-0000-0000BA470000}"/>
    <cellStyle name="0_man_cat 5 4 5 2" xfId="18377" xr:uid="{00000000-0005-0000-0000-0000BB470000}"/>
    <cellStyle name="0_man_cat 5 4 5 2 2" xfId="18378" xr:uid="{00000000-0005-0000-0000-0000BC470000}"/>
    <cellStyle name="0_man_cat 5 4 5 3" xfId="18379" xr:uid="{00000000-0005-0000-0000-0000BD470000}"/>
    <cellStyle name="0_man_cat 5 4 5 3 2" xfId="18380" xr:uid="{00000000-0005-0000-0000-0000BE470000}"/>
    <cellStyle name="0_man_cat 5 4 5 4" xfId="18381" xr:uid="{00000000-0005-0000-0000-0000BF470000}"/>
    <cellStyle name="0_man_cat 5 4 6" xfId="18382" xr:uid="{00000000-0005-0000-0000-0000C0470000}"/>
    <cellStyle name="0_man_cat 5 4 6 2" xfId="18383" xr:uid="{00000000-0005-0000-0000-0000C1470000}"/>
    <cellStyle name="0_man_cat 5 4 7" xfId="18384" xr:uid="{00000000-0005-0000-0000-0000C2470000}"/>
    <cellStyle name="0_man_cat 5 4 7 2" xfId="18385" xr:uid="{00000000-0005-0000-0000-0000C3470000}"/>
    <cellStyle name="0_man_cat 5 4 8" xfId="18386" xr:uid="{00000000-0005-0000-0000-0000C4470000}"/>
    <cellStyle name="0_man_cat 5 5" xfId="18387" xr:uid="{00000000-0005-0000-0000-0000C5470000}"/>
    <cellStyle name="0_man_cat 5 5 2" xfId="18388" xr:uid="{00000000-0005-0000-0000-0000C6470000}"/>
    <cellStyle name="0_man_cat 5 5 2 2" xfId="18389" xr:uid="{00000000-0005-0000-0000-0000C7470000}"/>
    <cellStyle name="0_man_cat 5 5 2 2 2" xfId="18390" xr:uid="{00000000-0005-0000-0000-0000C8470000}"/>
    <cellStyle name="0_man_cat 5 5 2 2 2 2" xfId="18391" xr:uid="{00000000-0005-0000-0000-0000C9470000}"/>
    <cellStyle name="0_man_cat 5 5 2 2 3" xfId="18392" xr:uid="{00000000-0005-0000-0000-0000CA470000}"/>
    <cellStyle name="0_man_cat 5 5 2 2 3 2" xfId="18393" xr:uid="{00000000-0005-0000-0000-0000CB470000}"/>
    <cellStyle name="0_man_cat 5 5 2 2 4" xfId="18394" xr:uid="{00000000-0005-0000-0000-0000CC470000}"/>
    <cellStyle name="0_man_cat 5 5 2 3" xfId="18395" xr:uid="{00000000-0005-0000-0000-0000CD470000}"/>
    <cellStyle name="0_man_cat 5 5 2 3 2" xfId="18396" xr:uid="{00000000-0005-0000-0000-0000CE470000}"/>
    <cellStyle name="0_man_cat 5 5 2 3 2 2" xfId="18397" xr:uid="{00000000-0005-0000-0000-0000CF470000}"/>
    <cellStyle name="0_man_cat 5 5 2 3 3" xfId="18398" xr:uid="{00000000-0005-0000-0000-0000D0470000}"/>
    <cellStyle name="0_man_cat 5 5 2 3 3 2" xfId="18399" xr:uid="{00000000-0005-0000-0000-0000D1470000}"/>
    <cellStyle name="0_man_cat 5 5 2 3 4" xfId="18400" xr:uid="{00000000-0005-0000-0000-0000D2470000}"/>
    <cellStyle name="0_man_cat 5 5 2 4" xfId="18401" xr:uid="{00000000-0005-0000-0000-0000D3470000}"/>
    <cellStyle name="0_man_cat 5 5 2 4 2" xfId="18402" xr:uid="{00000000-0005-0000-0000-0000D4470000}"/>
    <cellStyle name="0_man_cat 5 5 2 5" xfId="18403" xr:uid="{00000000-0005-0000-0000-0000D5470000}"/>
    <cellStyle name="0_man_cat 5 5 2 5 2" xfId="18404" xr:uid="{00000000-0005-0000-0000-0000D6470000}"/>
    <cellStyle name="0_man_cat 5 5 2 6" xfId="18405" xr:uid="{00000000-0005-0000-0000-0000D7470000}"/>
    <cellStyle name="0_man_cat 5 5 3" xfId="18406" xr:uid="{00000000-0005-0000-0000-0000D8470000}"/>
    <cellStyle name="0_man_cat 5 5 3 2" xfId="18407" xr:uid="{00000000-0005-0000-0000-0000D9470000}"/>
    <cellStyle name="0_man_cat 5 5 3 2 2" xfId="18408" xr:uid="{00000000-0005-0000-0000-0000DA470000}"/>
    <cellStyle name="0_man_cat 5 5 3 3" xfId="18409" xr:uid="{00000000-0005-0000-0000-0000DB470000}"/>
    <cellStyle name="0_man_cat 5 5 3 3 2" xfId="18410" xr:uid="{00000000-0005-0000-0000-0000DC470000}"/>
    <cellStyle name="0_man_cat 5 5 3 4" xfId="18411" xr:uid="{00000000-0005-0000-0000-0000DD470000}"/>
    <cellStyle name="0_man_cat 5 5 4" xfId="18412" xr:uid="{00000000-0005-0000-0000-0000DE470000}"/>
    <cellStyle name="0_man_cat 5 5 4 2" xfId="18413" xr:uid="{00000000-0005-0000-0000-0000DF470000}"/>
    <cellStyle name="0_man_cat 5 5 4 2 2" xfId="18414" xr:uid="{00000000-0005-0000-0000-0000E0470000}"/>
    <cellStyle name="0_man_cat 5 5 4 3" xfId="18415" xr:uid="{00000000-0005-0000-0000-0000E1470000}"/>
    <cellStyle name="0_man_cat 5 5 4 3 2" xfId="18416" xr:uid="{00000000-0005-0000-0000-0000E2470000}"/>
    <cellStyle name="0_man_cat 5 5 4 4" xfId="18417" xr:uid="{00000000-0005-0000-0000-0000E3470000}"/>
    <cellStyle name="0_man_cat 5 5 5" xfId="18418" xr:uid="{00000000-0005-0000-0000-0000E4470000}"/>
    <cellStyle name="0_man_cat 5 5 5 2" xfId="18419" xr:uid="{00000000-0005-0000-0000-0000E5470000}"/>
    <cellStyle name="0_man_cat 5 5 5 2 2" xfId="18420" xr:uid="{00000000-0005-0000-0000-0000E6470000}"/>
    <cellStyle name="0_man_cat 5 5 5 3" xfId="18421" xr:uid="{00000000-0005-0000-0000-0000E7470000}"/>
    <cellStyle name="0_man_cat 5 5 5 3 2" xfId="18422" xr:uid="{00000000-0005-0000-0000-0000E8470000}"/>
    <cellStyle name="0_man_cat 5 5 5 4" xfId="18423" xr:uid="{00000000-0005-0000-0000-0000E9470000}"/>
    <cellStyle name="0_man_cat 5 5 6" xfId="18424" xr:uid="{00000000-0005-0000-0000-0000EA470000}"/>
    <cellStyle name="0_man_cat 5 5 6 2" xfId="18425" xr:uid="{00000000-0005-0000-0000-0000EB470000}"/>
    <cellStyle name="0_man_cat 5 5 7" xfId="18426" xr:uid="{00000000-0005-0000-0000-0000EC470000}"/>
    <cellStyle name="0_man_cat 5 5 7 2" xfId="18427" xr:uid="{00000000-0005-0000-0000-0000ED470000}"/>
    <cellStyle name="0_man_cat 5 5 8" xfId="18428" xr:uid="{00000000-0005-0000-0000-0000EE470000}"/>
    <cellStyle name="0_man_cat 5 6" xfId="18429" xr:uid="{00000000-0005-0000-0000-0000EF470000}"/>
    <cellStyle name="0_man_cat 5 6 2" xfId="18430" xr:uid="{00000000-0005-0000-0000-0000F0470000}"/>
    <cellStyle name="0_man_cat 5 6 2 2" xfId="18431" xr:uid="{00000000-0005-0000-0000-0000F1470000}"/>
    <cellStyle name="0_man_cat 5 6 2 2 2" xfId="18432" xr:uid="{00000000-0005-0000-0000-0000F2470000}"/>
    <cellStyle name="0_man_cat 5 6 2 2 2 2" xfId="18433" xr:uid="{00000000-0005-0000-0000-0000F3470000}"/>
    <cellStyle name="0_man_cat 5 6 2 2 3" xfId="18434" xr:uid="{00000000-0005-0000-0000-0000F4470000}"/>
    <cellStyle name="0_man_cat 5 6 2 2 3 2" xfId="18435" xr:uid="{00000000-0005-0000-0000-0000F5470000}"/>
    <cellStyle name="0_man_cat 5 6 2 2 4" xfId="18436" xr:uid="{00000000-0005-0000-0000-0000F6470000}"/>
    <cellStyle name="0_man_cat 5 6 2 3" xfId="18437" xr:uid="{00000000-0005-0000-0000-0000F7470000}"/>
    <cellStyle name="0_man_cat 5 6 2 3 2" xfId="18438" xr:uid="{00000000-0005-0000-0000-0000F8470000}"/>
    <cellStyle name="0_man_cat 5 6 2 3 2 2" xfId="18439" xr:uid="{00000000-0005-0000-0000-0000F9470000}"/>
    <cellStyle name="0_man_cat 5 6 2 3 3" xfId="18440" xr:uid="{00000000-0005-0000-0000-0000FA470000}"/>
    <cellStyle name="0_man_cat 5 6 2 3 3 2" xfId="18441" xr:uid="{00000000-0005-0000-0000-0000FB470000}"/>
    <cellStyle name="0_man_cat 5 6 2 3 4" xfId="18442" xr:uid="{00000000-0005-0000-0000-0000FC470000}"/>
    <cellStyle name="0_man_cat 5 6 2 4" xfId="18443" xr:uid="{00000000-0005-0000-0000-0000FD470000}"/>
    <cellStyle name="0_man_cat 5 6 2 4 2" xfId="18444" xr:uid="{00000000-0005-0000-0000-0000FE470000}"/>
    <cellStyle name="0_man_cat 5 6 2 5" xfId="18445" xr:uid="{00000000-0005-0000-0000-0000FF470000}"/>
    <cellStyle name="0_man_cat 5 6 2 5 2" xfId="18446" xr:uid="{00000000-0005-0000-0000-000000480000}"/>
    <cellStyle name="0_man_cat 5 6 2 6" xfId="18447" xr:uid="{00000000-0005-0000-0000-000001480000}"/>
    <cellStyle name="0_man_cat 5 6 3" xfId="18448" xr:uid="{00000000-0005-0000-0000-000002480000}"/>
    <cellStyle name="0_man_cat 5 6 3 2" xfId="18449" xr:uid="{00000000-0005-0000-0000-000003480000}"/>
    <cellStyle name="0_man_cat 5 6 3 2 2" xfId="18450" xr:uid="{00000000-0005-0000-0000-000004480000}"/>
    <cellStyle name="0_man_cat 5 6 3 3" xfId="18451" xr:uid="{00000000-0005-0000-0000-000005480000}"/>
    <cellStyle name="0_man_cat 5 6 3 3 2" xfId="18452" xr:uid="{00000000-0005-0000-0000-000006480000}"/>
    <cellStyle name="0_man_cat 5 6 3 4" xfId="18453" xr:uid="{00000000-0005-0000-0000-000007480000}"/>
    <cellStyle name="0_man_cat 5 6 4" xfId="18454" xr:uid="{00000000-0005-0000-0000-000008480000}"/>
    <cellStyle name="0_man_cat 5 6 4 2" xfId="18455" xr:uid="{00000000-0005-0000-0000-000009480000}"/>
    <cellStyle name="0_man_cat 5 6 4 2 2" xfId="18456" xr:uid="{00000000-0005-0000-0000-00000A480000}"/>
    <cellStyle name="0_man_cat 5 6 4 3" xfId="18457" xr:uid="{00000000-0005-0000-0000-00000B480000}"/>
    <cellStyle name="0_man_cat 5 6 4 3 2" xfId="18458" xr:uid="{00000000-0005-0000-0000-00000C480000}"/>
    <cellStyle name="0_man_cat 5 6 4 4" xfId="18459" xr:uid="{00000000-0005-0000-0000-00000D480000}"/>
    <cellStyle name="0_man_cat 5 6 5" xfId="18460" xr:uid="{00000000-0005-0000-0000-00000E480000}"/>
    <cellStyle name="0_man_cat 5 6 5 2" xfId="18461" xr:uid="{00000000-0005-0000-0000-00000F480000}"/>
    <cellStyle name="0_man_cat 5 6 5 2 2" xfId="18462" xr:uid="{00000000-0005-0000-0000-000010480000}"/>
    <cellStyle name="0_man_cat 5 6 5 3" xfId="18463" xr:uid="{00000000-0005-0000-0000-000011480000}"/>
    <cellStyle name="0_man_cat 5 6 5 3 2" xfId="18464" xr:uid="{00000000-0005-0000-0000-000012480000}"/>
    <cellStyle name="0_man_cat 5 6 5 4" xfId="18465" xr:uid="{00000000-0005-0000-0000-000013480000}"/>
    <cellStyle name="0_man_cat 5 6 6" xfId="18466" xr:uid="{00000000-0005-0000-0000-000014480000}"/>
    <cellStyle name="0_man_cat 5 6 6 2" xfId="18467" xr:uid="{00000000-0005-0000-0000-000015480000}"/>
    <cellStyle name="0_man_cat 5 6 7" xfId="18468" xr:uid="{00000000-0005-0000-0000-000016480000}"/>
    <cellStyle name="0_man_cat 5 6 7 2" xfId="18469" xr:uid="{00000000-0005-0000-0000-000017480000}"/>
    <cellStyle name="0_man_cat 5 6 8" xfId="18470" xr:uid="{00000000-0005-0000-0000-000018480000}"/>
    <cellStyle name="0_man_cat 5 7" xfId="18471" xr:uid="{00000000-0005-0000-0000-000019480000}"/>
    <cellStyle name="0_man_cat 5 7 2" xfId="18472" xr:uid="{00000000-0005-0000-0000-00001A480000}"/>
    <cellStyle name="0_man_cat 5 7 2 2" xfId="18473" xr:uid="{00000000-0005-0000-0000-00001B480000}"/>
    <cellStyle name="0_man_cat 5 7 2 2 2" xfId="18474" xr:uid="{00000000-0005-0000-0000-00001C480000}"/>
    <cellStyle name="0_man_cat 5 7 2 3" xfId="18475" xr:uid="{00000000-0005-0000-0000-00001D480000}"/>
    <cellStyle name="0_man_cat 5 7 2 3 2" xfId="18476" xr:uid="{00000000-0005-0000-0000-00001E480000}"/>
    <cellStyle name="0_man_cat 5 7 2 4" xfId="18477" xr:uid="{00000000-0005-0000-0000-00001F480000}"/>
    <cellStyle name="0_man_cat 5 7 3" xfId="18478" xr:uid="{00000000-0005-0000-0000-000020480000}"/>
    <cellStyle name="0_man_cat 5 7 3 2" xfId="18479" xr:uid="{00000000-0005-0000-0000-000021480000}"/>
    <cellStyle name="0_man_cat 5 7 3 2 2" xfId="18480" xr:uid="{00000000-0005-0000-0000-000022480000}"/>
    <cellStyle name="0_man_cat 5 7 3 3" xfId="18481" xr:uid="{00000000-0005-0000-0000-000023480000}"/>
    <cellStyle name="0_man_cat 5 7 3 3 2" xfId="18482" xr:uid="{00000000-0005-0000-0000-000024480000}"/>
    <cellStyle name="0_man_cat 5 7 3 4" xfId="18483" xr:uid="{00000000-0005-0000-0000-000025480000}"/>
    <cellStyle name="0_man_cat 5 7 4" xfId="18484" xr:uid="{00000000-0005-0000-0000-000026480000}"/>
    <cellStyle name="0_man_cat 5 7 4 2" xfId="18485" xr:uid="{00000000-0005-0000-0000-000027480000}"/>
    <cellStyle name="0_man_cat 5 7 5" xfId="18486" xr:uid="{00000000-0005-0000-0000-000028480000}"/>
    <cellStyle name="0_man_cat 5 7 5 2" xfId="18487" xr:uid="{00000000-0005-0000-0000-000029480000}"/>
    <cellStyle name="0_man_cat 5 7 6" xfId="18488" xr:uid="{00000000-0005-0000-0000-00002A480000}"/>
    <cellStyle name="0_man_cat 5 8" xfId="18489" xr:uid="{00000000-0005-0000-0000-00002B480000}"/>
    <cellStyle name="0_man_cat 5 8 2" xfId="18490" xr:uid="{00000000-0005-0000-0000-00002C480000}"/>
    <cellStyle name="0_man_cat 5 8 2 2" xfId="18491" xr:uid="{00000000-0005-0000-0000-00002D480000}"/>
    <cellStyle name="0_man_cat 5 8 3" xfId="18492" xr:uid="{00000000-0005-0000-0000-00002E480000}"/>
    <cellStyle name="0_man_cat 5 8 3 2" xfId="18493" xr:uid="{00000000-0005-0000-0000-00002F480000}"/>
    <cellStyle name="0_man_cat 5 8 4" xfId="18494" xr:uid="{00000000-0005-0000-0000-000030480000}"/>
    <cellStyle name="0_man_cat 5 9" xfId="18495" xr:uid="{00000000-0005-0000-0000-000031480000}"/>
    <cellStyle name="0_man_cat 5 9 2" xfId="18496" xr:uid="{00000000-0005-0000-0000-000032480000}"/>
    <cellStyle name="0_man_cat 5 9 2 2" xfId="18497" xr:uid="{00000000-0005-0000-0000-000033480000}"/>
    <cellStyle name="0_man_cat 5 9 3" xfId="18498" xr:uid="{00000000-0005-0000-0000-000034480000}"/>
    <cellStyle name="0_man_cat 5 9 3 2" xfId="18499" xr:uid="{00000000-0005-0000-0000-000035480000}"/>
    <cellStyle name="0_man_cat 5 9 4" xfId="18500" xr:uid="{00000000-0005-0000-0000-000036480000}"/>
    <cellStyle name="0_man_cat 6" xfId="18501" xr:uid="{00000000-0005-0000-0000-000037480000}"/>
    <cellStyle name="0_man_cat 6 2" xfId="18502" xr:uid="{00000000-0005-0000-0000-000038480000}"/>
    <cellStyle name="0_man_cat 6 2 2" xfId="18503" xr:uid="{00000000-0005-0000-0000-000039480000}"/>
    <cellStyle name="0_man_cat 6 2 2 2" xfId="18504" xr:uid="{00000000-0005-0000-0000-00003A480000}"/>
    <cellStyle name="0_man_cat 6 2 2 2 2" xfId="18505" xr:uid="{00000000-0005-0000-0000-00003B480000}"/>
    <cellStyle name="0_man_cat 6 2 2 3" xfId="18506" xr:uid="{00000000-0005-0000-0000-00003C480000}"/>
    <cellStyle name="0_man_cat 6 2 2 3 2" xfId="18507" xr:uid="{00000000-0005-0000-0000-00003D480000}"/>
    <cellStyle name="0_man_cat 6 2 2 4" xfId="18508" xr:uid="{00000000-0005-0000-0000-00003E480000}"/>
    <cellStyle name="0_man_cat 6 2 3" xfId="18509" xr:uid="{00000000-0005-0000-0000-00003F480000}"/>
    <cellStyle name="0_man_cat 6 2 3 2" xfId="18510" xr:uid="{00000000-0005-0000-0000-000040480000}"/>
    <cellStyle name="0_man_cat 6 2 3 2 2" xfId="18511" xr:uid="{00000000-0005-0000-0000-000041480000}"/>
    <cellStyle name="0_man_cat 6 2 3 3" xfId="18512" xr:uid="{00000000-0005-0000-0000-000042480000}"/>
    <cellStyle name="0_man_cat 6 2 3 3 2" xfId="18513" xr:uid="{00000000-0005-0000-0000-000043480000}"/>
    <cellStyle name="0_man_cat 6 2 3 4" xfId="18514" xr:uid="{00000000-0005-0000-0000-000044480000}"/>
    <cellStyle name="0_man_cat 6 2 4" xfId="18515" xr:uid="{00000000-0005-0000-0000-000045480000}"/>
    <cellStyle name="0_man_cat 6 2 4 2" xfId="18516" xr:uid="{00000000-0005-0000-0000-000046480000}"/>
    <cellStyle name="0_man_cat 6 2 5" xfId="18517" xr:uid="{00000000-0005-0000-0000-000047480000}"/>
    <cellStyle name="0_man_cat 6 2 5 2" xfId="18518" xr:uid="{00000000-0005-0000-0000-000048480000}"/>
    <cellStyle name="0_man_cat 6 2 6" xfId="18519" xr:uid="{00000000-0005-0000-0000-000049480000}"/>
    <cellStyle name="0_man_cat 6 3" xfId="18520" xr:uid="{00000000-0005-0000-0000-00004A480000}"/>
    <cellStyle name="0_man_cat 6 3 2" xfId="18521" xr:uid="{00000000-0005-0000-0000-00004B480000}"/>
    <cellStyle name="0_man_cat 6 3 2 2" xfId="18522" xr:uid="{00000000-0005-0000-0000-00004C480000}"/>
    <cellStyle name="0_man_cat 6 3 3" xfId="18523" xr:uid="{00000000-0005-0000-0000-00004D480000}"/>
    <cellStyle name="0_man_cat 6 3 3 2" xfId="18524" xr:uid="{00000000-0005-0000-0000-00004E480000}"/>
    <cellStyle name="0_man_cat 6 3 4" xfId="18525" xr:uid="{00000000-0005-0000-0000-00004F480000}"/>
    <cellStyle name="0_man_cat 6 4" xfId="18526" xr:uid="{00000000-0005-0000-0000-000050480000}"/>
    <cellStyle name="0_man_cat 6 4 2" xfId="18527" xr:uid="{00000000-0005-0000-0000-000051480000}"/>
    <cellStyle name="0_man_cat 6 4 2 2" xfId="18528" xr:uid="{00000000-0005-0000-0000-000052480000}"/>
    <cellStyle name="0_man_cat 6 4 3" xfId="18529" xr:uid="{00000000-0005-0000-0000-000053480000}"/>
    <cellStyle name="0_man_cat 6 4 3 2" xfId="18530" xr:uid="{00000000-0005-0000-0000-000054480000}"/>
    <cellStyle name="0_man_cat 6 4 4" xfId="18531" xr:uid="{00000000-0005-0000-0000-000055480000}"/>
    <cellStyle name="0_man_cat 6 5" xfId="18532" xr:uid="{00000000-0005-0000-0000-000056480000}"/>
    <cellStyle name="0_man_cat 6 5 2" xfId="18533" xr:uid="{00000000-0005-0000-0000-000057480000}"/>
    <cellStyle name="0_man_cat 6 5 2 2" xfId="18534" xr:uid="{00000000-0005-0000-0000-000058480000}"/>
    <cellStyle name="0_man_cat 6 5 3" xfId="18535" xr:uid="{00000000-0005-0000-0000-000059480000}"/>
    <cellStyle name="0_man_cat 6 5 3 2" xfId="18536" xr:uid="{00000000-0005-0000-0000-00005A480000}"/>
    <cellStyle name="0_man_cat 6 5 4" xfId="18537" xr:uid="{00000000-0005-0000-0000-00005B480000}"/>
    <cellStyle name="0_man_cat 6 6" xfId="18538" xr:uid="{00000000-0005-0000-0000-00005C480000}"/>
    <cellStyle name="0_man_cat 6 6 2" xfId="18539" xr:uid="{00000000-0005-0000-0000-00005D480000}"/>
    <cellStyle name="0_man_cat 6 7" xfId="18540" xr:uid="{00000000-0005-0000-0000-00005E480000}"/>
    <cellStyle name="0_man_cat 6 7 2" xfId="18541" xr:uid="{00000000-0005-0000-0000-00005F480000}"/>
    <cellStyle name="0_man_cat 6 8" xfId="18542" xr:uid="{00000000-0005-0000-0000-000060480000}"/>
    <cellStyle name="0_man_cat 7" xfId="18543" xr:uid="{00000000-0005-0000-0000-000061480000}"/>
    <cellStyle name="0_man_cat 7 2" xfId="18544" xr:uid="{00000000-0005-0000-0000-000062480000}"/>
    <cellStyle name="0_man_cat 7 2 2" xfId="18545" xr:uid="{00000000-0005-0000-0000-000063480000}"/>
    <cellStyle name="0_man_cat 7 2 2 2" xfId="18546" xr:uid="{00000000-0005-0000-0000-000064480000}"/>
    <cellStyle name="0_man_cat 7 2 3" xfId="18547" xr:uid="{00000000-0005-0000-0000-000065480000}"/>
    <cellStyle name="0_man_cat 7 2 3 2" xfId="18548" xr:uid="{00000000-0005-0000-0000-000066480000}"/>
    <cellStyle name="0_man_cat 7 2 4" xfId="18549" xr:uid="{00000000-0005-0000-0000-000067480000}"/>
    <cellStyle name="0_man_cat 7 3" xfId="18550" xr:uid="{00000000-0005-0000-0000-000068480000}"/>
    <cellStyle name="0_man_cat 7 3 2" xfId="18551" xr:uid="{00000000-0005-0000-0000-000069480000}"/>
    <cellStyle name="0_man_cat 7 3 2 2" xfId="18552" xr:uid="{00000000-0005-0000-0000-00006A480000}"/>
    <cellStyle name="0_man_cat 7 3 3" xfId="18553" xr:uid="{00000000-0005-0000-0000-00006B480000}"/>
    <cellStyle name="0_man_cat 7 3 3 2" xfId="18554" xr:uid="{00000000-0005-0000-0000-00006C480000}"/>
    <cellStyle name="0_man_cat 7 3 4" xfId="18555" xr:uid="{00000000-0005-0000-0000-00006D480000}"/>
    <cellStyle name="0_man_cat 7 4" xfId="18556" xr:uid="{00000000-0005-0000-0000-00006E480000}"/>
    <cellStyle name="0_man_cat 7 4 2" xfId="18557" xr:uid="{00000000-0005-0000-0000-00006F480000}"/>
    <cellStyle name="0_man_cat 7 5" xfId="18558" xr:uid="{00000000-0005-0000-0000-000070480000}"/>
    <cellStyle name="0_man_cat 7 5 2" xfId="18559" xr:uid="{00000000-0005-0000-0000-000071480000}"/>
    <cellStyle name="0_man_cat 7 6" xfId="18560" xr:uid="{00000000-0005-0000-0000-000072480000}"/>
    <cellStyle name="0_man_cat 8" xfId="18561" xr:uid="{00000000-0005-0000-0000-000073480000}"/>
    <cellStyle name="0_man_cat 8 2" xfId="18562" xr:uid="{00000000-0005-0000-0000-000074480000}"/>
    <cellStyle name="0_man_cat 8 2 2" xfId="18563" xr:uid="{00000000-0005-0000-0000-000075480000}"/>
    <cellStyle name="0_man_cat 8 2 2 2" xfId="18564" xr:uid="{00000000-0005-0000-0000-000076480000}"/>
    <cellStyle name="0_man_cat 8 2 3" xfId="18565" xr:uid="{00000000-0005-0000-0000-000077480000}"/>
    <cellStyle name="0_man_cat 8 2 3 2" xfId="18566" xr:uid="{00000000-0005-0000-0000-000078480000}"/>
    <cellStyle name="0_man_cat 8 2 4" xfId="18567" xr:uid="{00000000-0005-0000-0000-000079480000}"/>
    <cellStyle name="0_man_cat 8 3" xfId="18568" xr:uid="{00000000-0005-0000-0000-00007A480000}"/>
    <cellStyle name="0_man_cat 8 3 2" xfId="18569" xr:uid="{00000000-0005-0000-0000-00007B480000}"/>
    <cellStyle name="0_man_cat 8 3 2 2" xfId="18570" xr:uid="{00000000-0005-0000-0000-00007C480000}"/>
    <cellStyle name="0_man_cat 8 3 3" xfId="18571" xr:uid="{00000000-0005-0000-0000-00007D480000}"/>
    <cellStyle name="0_man_cat 8 3 3 2" xfId="18572" xr:uid="{00000000-0005-0000-0000-00007E480000}"/>
    <cellStyle name="0_man_cat 8 3 4" xfId="18573" xr:uid="{00000000-0005-0000-0000-00007F480000}"/>
    <cellStyle name="0_man_cat 8 4" xfId="18574" xr:uid="{00000000-0005-0000-0000-000080480000}"/>
    <cellStyle name="0_man_cat 8 4 2" xfId="18575" xr:uid="{00000000-0005-0000-0000-000081480000}"/>
    <cellStyle name="0_man_cat 8 5" xfId="18576" xr:uid="{00000000-0005-0000-0000-000082480000}"/>
    <cellStyle name="0_man_cat 8 5 2" xfId="18577" xr:uid="{00000000-0005-0000-0000-000083480000}"/>
    <cellStyle name="0_man_cat 8 6" xfId="18578" xr:uid="{00000000-0005-0000-0000-000084480000}"/>
    <cellStyle name="0_man_cat 9" xfId="18579" xr:uid="{00000000-0005-0000-0000-000085480000}"/>
    <cellStyle name="0_man_cat 9 2" xfId="18580" xr:uid="{00000000-0005-0000-0000-000086480000}"/>
    <cellStyle name="0_man_cat 9 2 2" xfId="18581" xr:uid="{00000000-0005-0000-0000-000087480000}"/>
    <cellStyle name="0_man_cat 9 3" xfId="18582" xr:uid="{00000000-0005-0000-0000-000088480000}"/>
    <cellStyle name="0_man_cat 9 3 2" xfId="18583" xr:uid="{00000000-0005-0000-0000-000089480000}"/>
    <cellStyle name="0_man_cat 9 4" xfId="18584" xr:uid="{00000000-0005-0000-0000-00008A480000}"/>
    <cellStyle name="0_MIS_Projection_Feb'2009_5171" xfId="18585" xr:uid="{00000000-0005-0000-0000-00008B480000}"/>
    <cellStyle name="0_MIS_Projection_Feb'2009_5171 10" xfId="18586" xr:uid="{00000000-0005-0000-0000-00008C480000}"/>
    <cellStyle name="0_MIS_Projection_Feb'2009_5171 10 2" xfId="18587" xr:uid="{00000000-0005-0000-0000-00008D480000}"/>
    <cellStyle name="0_MIS_Projection_Feb'2009_5171 10 2 2" xfId="18588" xr:uid="{00000000-0005-0000-0000-00008E480000}"/>
    <cellStyle name="0_MIS_Projection_Feb'2009_5171 10 3" xfId="18589" xr:uid="{00000000-0005-0000-0000-00008F480000}"/>
    <cellStyle name="0_MIS_Projection_Feb'2009_5171 10 3 2" xfId="18590" xr:uid="{00000000-0005-0000-0000-000090480000}"/>
    <cellStyle name="0_MIS_Projection_Feb'2009_5171 10 4" xfId="18591" xr:uid="{00000000-0005-0000-0000-000091480000}"/>
    <cellStyle name="0_MIS_Projection_Feb'2009_5171 10 5" xfId="18592" xr:uid="{00000000-0005-0000-0000-000092480000}"/>
    <cellStyle name="0_MIS_Projection_Feb'2009_5171 11" xfId="18593" xr:uid="{00000000-0005-0000-0000-000093480000}"/>
    <cellStyle name="0_MIS_Projection_Feb'2009_5171 11 2" xfId="18594" xr:uid="{00000000-0005-0000-0000-000094480000}"/>
    <cellStyle name="0_MIS_Projection_Feb'2009_5171 11 3" xfId="18595" xr:uid="{00000000-0005-0000-0000-000095480000}"/>
    <cellStyle name="0_MIS_Projection_Feb'2009_5171 11 4" xfId="18596" xr:uid="{00000000-0005-0000-0000-000096480000}"/>
    <cellStyle name="0_MIS_Projection_Feb'2009_5171 11 5" xfId="18597" xr:uid="{00000000-0005-0000-0000-000097480000}"/>
    <cellStyle name="0_MIS_Projection_Feb'2009_5171 12" xfId="18598" xr:uid="{00000000-0005-0000-0000-000098480000}"/>
    <cellStyle name="0_MIS_Projection_Feb'2009_5171 12 2" xfId="18599" xr:uid="{00000000-0005-0000-0000-000099480000}"/>
    <cellStyle name="0_MIS_Projection_Feb'2009_5171 13" xfId="18600" xr:uid="{00000000-0005-0000-0000-00009A480000}"/>
    <cellStyle name="0_MIS_Projection_Feb'2009_5171 13 2" xfId="18601" xr:uid="{00000000-0005-0000-0000-00009B480000}"/>
    <cellStyle name="0_MIS_Projection_Feb'2009_5171 14" xfId="18602" xr:uid="{00000000-0005-0000-0000-00009C480000}"/>
    <cellStyle name="0_MIS_Projection_Feb'2009_5171 15" xfId="18603" xr:uid="{00000000-0005-0000-0000-00009D480000}"/>
    <cellStyle name="0_MIS_Projection_Feb'2009_5171 16" xfId="18604" xr:uid="{00000000-0005-0000-0000-00009E480000}"/>
    <cellStyle name="0_MIS_Projection_Feb'2009_5171 17" xfId="18605" xr:uid="{00000000-0005-0000-0000-00009F480000}"/>
    <cellStyle name="0_MIS_Projection_Feb'2009_5171 18" xfId="18606" xr:uid="{00000000-0005-0000-0000-0000A0480000}"/>
    <cellStyle name="0_MIS_Projection_Feb'2009_5171 19" xfId="18607" xr:uid="{00000000-0005-0000-0000-0000A1480000}"/>
    <cellStyle name="0_MIS_Projection_Feb'2009_5171 2" xfId="18608" xr:uid="{00000000-0005-0000-0000-0000A2480000}"/>
    <cellStyle name="0_MIS_Projection_Feb'2009_5171 2 10" xfId="18609" xr:uid="{00000000-0005-0000-0000-0000A3480000}"/>
    <cellStyle name="0_MIS_Projection_Feb'2009_5171 2 10 2" xfId="18610" xr:uid="{00000000-0005-0000-0000-0000A4480000}"/>
    <cellStyle name="0_MIS_Projection_Feb'2009_5171 2 11" xfId="18611" xr:uid="{00000000-0005-0000-0000-0000A5480000}"/>
    <cellStyle name="0_MIS_Projection_Feb'2009_5171 2 11 2" xfId="18612" xr:uid="{00000000-0005-0000-0000-0000A6480000}"/>
    <cellStyle name="0_MIS_Projection_Feb'2009_5171 2 12" xfId="18613" xr:uid="{00000000-0005-0000-0000-0000A7480000}"/>
    <cellStyle name="0_MIS_Projection_Feb'2009_5171 2 13" xfId="18614" xr:uid="{00000000-0005-0000-0000-0000A8480000}"/>
    <cellStyle name="0_MIS_Projection_Feb'2009_5171 2 14" xfId="18615" xr:uid="{00000000-0005-0000-0000-0000A9480000}"/>
    <cellStyle name="0_MIS_Projection_Feb'2009_5171 2 15" xfId="18616" xr:uid="{00000000-0005-0000-0000-0000AA480000}"/>
    <cellStyle name="0_MIS_Projection_Feb'2009_5171 2 2" xfId="18617" xr:uid="{00000000-0005-0000-0000-0000AB480000}"/>
    <cellStyle name="0_MIS_Projection_Feb'2009_5171 2 2 2" xfId="18618" xr:uid="{00000000-0005-0000-0000-0000AC480000}"/>
    <cellStyle name="0_MIS_Projection_Feb'2009_5171 2 2 2 2" xfId="18619" xr:uid="{00000000-0005-0000-0000-0000AD480000}"/>
    <cellStyle name="0_MIS_Projection_Feb'2009_5171 2 2 2 2 2" xfId="18620" xr:uid="{00000000-0005-0000-0000-0000AE480000}"/>
    <cellStyle name="0_MIS_Projection_Feb'2009_5171 2 2 2 2 2 2" xfId="18621" xr:uid="{00000000-0005-0000-0000-0000AF480000}"/>
    <cellStyle name="0_MIS_Projection_Feb'2009_5171 2 2 2 2 3" xfId="18622" xr:uid="{00000000-0005-0000-0000-0000B0480000}"/>
    <cellStyle name="0_MIS_Projection_Feb'2009_5171 2 2 2 2 3 2" xfId="18623" xr:uid="{00000000-0005-0000-0000-0000B1480000}"/>
    <cellStyle name="0_MIS_Projection_Feb'2009_5171 2 2 2 2 4" xfId="18624" xr:uid="{00000000-0005-0000-0000-0000B2480000}"/>
    <cellStyle name="0_MIS_Projection_Feb'2009_5171 2 2 2 3" xfId="18625" xr:uid="{00000000-0005-0000-0000-0000B3480000}"/>
    <cellStyle name="0_MIS_Projection_Feb'2009_5171 2 2 2 3 2" xfId="18626" xr:uid="{00000000-0005-0000-0000-0000B4480000}"/>
    <cellStyle name="0_MIS_Projection_Feb'2009_5171 2 2 2 3 2 2" xfId="18627" xr:uid="{00000000-0005-0000-0000-0000B5480000}"/>
    <cellStyle name="0_MIS_Projection_Feb'2009_5171 2 2 2 3 3" xfId="18628" xr:uid="{00000000-0005-0000-0000-0000B6480000}"/>
    <cellStyle name="0_MIS_Projection_Feb'2009_5171 2 2 2 3 3 2" xfId="18629" xr:uid="{00000000-0005-0000-0000-0000B7480000}"/>
    <cellStyle name="0_MIS_Projection_Feb'2009_5171 2 2 2 3 4" xfId="18630" xr:uid="{00000000-0005-0000-0000-0000B8480000}"/>
    <cellStyle name="0_MIS_Projection_Feb'2009_5171 2 2 2 4" xfId="18631" xr:uid="{00000000-0005-0000-0000-0000B9480000}"/>
    <cellStyle name="0_MIS_Projection_Feb'2009_5171 2 2 2 4 2" xfId="18632" xr:uid="{00000000-0005-0000-0000-0000BA480000}"/>
    <cellStyle name="0_MIS_Projection_Feb'2009_5171 2 2 2 5" xfId="18633" xr:uid="{00000000-0005-0000-0000-0000BB480000}"/>
    <cellStyle name="0_MIS_Projection_Feb'2009_5171 2 2 2 5 2" xfId="18634" xr:uid="{00000000-0005-0000-0000-0000BC480000}"/>
    <cellStyle name="0_MIS_Projection_Feb'2009_5171 2 2 2 6" xfId="18635" xr:uid="{00000000-0005-0000-0000-0000BD480000}"/>
    <cellStyle name="0_MIS_Projection_Feb'2009_5171 2 2 3" xfId="18636" xr:uid="{00000000-0005-0000-0000-0000BE480000}"/>
    <cellStyle name="0_MIS_Projection_Feb'2009_5171 2 2 3 2" xfId="18637" xr:uid="{00000000-0005-0000-0000-0000BF480000}"/>
    <cellStyle name="0_MIS_Projection_Feb'2009_5171 2 2 3 2 2" xfId="18638" xr:uid="{00000000-0005-0000-0000-0000C0480000}"/>
    <cellStyle name="0_MIS_Projection_Feb'2009_5171 2 2 3 3" xfId="18639" xr:uid="{00000000-0005-0000-0000-0000C1480000}"/>
    <cellStyle name="0_MIS_Projection_Feb'2009_5171 2 2 3 3 2" xfId="18640" xr:uid="{00000000-0005-0000-0000-0000C2480000}"/>
    <cellStyle name="0_MIS_Projection_Feb'2009_5171 2 2 3 4" xfId="18641" xr:uid="{00000000-0005-0000-0000-0000C3480000}"/>
    <cellStyle name="0_MIS_Projection_Feb'2009_5171 2 2 4" xfId="18642" xr:uid="{00000000-0005-0000-0000-0000C4480000}"/>
    <cellStyle name="0_MIS_Projection_Feb'2009_5171 2 2 4 2" xfId="18643" xr:uid="{00000000-0005-0000-0000-0000C5480000}"/>
    <cellStyle name="0_MIS_Projection_Feb'2009_5171 2 2 4 2 2" xfId="18644" xr:uid="{00000000-0005-0000-0000-0000C6480000}"/>
    <cellStyle name="0_MIS_Projection_Feb'2009_5171 2 2 4 3" xfId="18645" xr:uid="{00000000-0005-0000-0000-0000C7480000}"/>
    <cellStyle name="0_MIS_Projection_Feb'2009_5171 2 2 4 3 2" xfId="18646" xr:uid="{00000000-0005-0000-0000-0000C8480000}"/>
    <cellStyle name="0_MIS_Projection_Feb'2009_5171 2 2 4 4" xfId="18647" xr:uid="{00000000-0005-0000-0000-0000C9480000}"/>
    <cellStyle name="0_MIS_Projection_Feb'2009_5171 2 2 5" xfId="18648" xr:uid="{00000000-0005-0000-0000-0000CA480000}"/>
    <cellStyle name="0_MIS_Projection_Feb'2009_5171 2 2 5 2" xfId="18649" xr:uid="{00000000-0005-0000-0000-0000CB480000}"/>
    <cellStyle name="0_MIS_Projection_Feb'2009_5171 2 2 5 2 2" xfId="18650" xr:uid="{00000000-0005-0000-0000-0000CC480000}"/>
    <cellStyle name="0_MIS_Projection_Feb'2009_5171 2 2 5 3" xfId="18651" xr:uid="{00000000-0005-0000-0000-0000CD480000}"/>
    <cellStyle name="0_MIS_Projection_Feb'2009_5171 2 2 5 3 2" xfId="18652" xr:uid="{00000000-0005-0000-0000-0000CE480000}"/>
    <cellStyle name="0_MIS_Projection_Feb'2009_5171 2 2 5 4" xfId="18653" xr:uid="{00000000-0005-0000-0000-0000CF480000}"/>
    <cellStyle name="0_MIS_Projection_Feb'2009_5171 2 2 6" xfId="18654" xr:uid="{00000000-0005-0000-0000-0000D0480000}"/>
    <cellStyle name="0_MIS_Projection_Feb'2009_5171 2 2 6 2" xfId="18655" xr:uid="{00000000-0005-0000-0000-0000D1480000}"/>
    <cellStyle name="0_MIS_Projection_Feb'2009_5171 2 2 7" xfId="18656" xr:uid="{00000000-0005-0000-0000-0000D2480000}"/>
    <cellStyle name="0_MIS_Projection_Feb'2009_5171 2 2 7 2" xfId="18657" xr:uid="{00000000-0005-0000-0000-0000D3480000}"/>
    <cellStyle name="0_MIS_Projection_Feb'2009_5171 2 2 8" xfId="18658" xr:uid="{00000000-0005-0000-0000-0000D4480000}"/>
    <cellStyle name="0_MIS_Projection_Feb'2009_5171 2 3" xfId="18659" xr:uid="{00000000-0005-0000-0000-0000D5480000}"/>
    <cellStyle name="0_MIS_Projection_Feb'2009_5171 2 3 2" xfId="18660" xr:uid="{00000000-0005-0000-0000-0000D6480000}"/>
    <cellStyle name="0_MIS_Projection_Feb'2009_5171 2 3 2 2" xfId="18661" xr:uid="{00000000-0005-0000-0000-0000D7480000}"/>
    <cellStyle name="0_MIS_Projection_Feb'2009_5171 2 3 2 2 2" xfId="18662" xr:uid="{00000000-0005-0000-0000-0000D8480000}"/>
    <cellStyle name="0_MIS_Projection_Feb'2009_5171 2 3 2 2 2 2" xfId="18663" xr:uid="{00000000-0005-0000-0000-0000D9480000}"/>
    <cellStyle name="0_MIS_Projection_Feb'2009_5171 2 3 2 2 3" xfId="18664" xr:uid="{00000000-0005-0000-0000-0000DA480000}"/>
    <cellStyle name="0_MIS_Projection_Feb'2009_5171 2 3 2 2 3 2" xfId="18665" xr:uid="{00000000-0005-0000-0000-0000DB480000}"/>
    <cellStyle name="0_MIS_Projection_Feb'2009_5171 2 3 2 2 4" xfId="18666" xr:uid="{00000000-0005-0000-0000-0000DC480000}"/>
    <cellStyle name="0_MIS_Projection_Feb'2009_5171 2 3 2 3" xfId="18667" xr:uid="{00000000-0005-0000-0000-0000DD480000}"/>
    <cellStyle name="0_MIS_Projection_Feb'2009_5171 2 3 2 3 2" xfId="18668" xr:uid="{00000000-0005-0000-0000-0000DE480000}"/>
    <cellStyle name="0_MIS_Projection_Feb'2009_5171 2 3 2 3 2 2" xfId="18669" xr:uid="{00000000-0005-0000-0000-0000DF480000}"/>
    <cellStyle name="0_MIS_Projection_Feb'2009_5171 2 3 2 3 3" xfId="18670" xr:uid="{00000000-0005-0000-0000-0000E0480000}"/>
    <cellStyle name="0_MIS_Projection_Feb'2009_5171 2 3 2 3 3 2" xfId="18671" xr:uid="{00000000-0005-0000-0000-0000E1480000}"/>
    <cellStyle name="0_MIS_Projection_Feb'2009_5171 2 3 2 3 4" xfId="18672" xr:uid="{00000000-0005-0000-0000-0000E2480000}"/>
    <cellStyle name="0_MIS_Projection_Feb'2009_5171 2 3 2 4" xfId="18673" xr:uid="{00000000-0005-0000-0000-0000E3480000}"/>
    <cellStyle name="0_MIS_Projection_Feb'2009_5171 2 3 2 4 2" xfId="18674" xr:uid="{00000000-0005-0000-0000-0000E4480000}"/>
    <cellStyle name="0_MIS_Projection_Feb'2009_5171 2 3 2 5" xfId="18675" xr:uid="{00000000-0005-0000-0000-0000E5480000}"/>
    <cellStyle name="0_MIS_Projection_Feb'2009_5171 2 3 2 5 2" xfId="18676" xr:uid="{00000000-0005-0000-0000-0000E6480000}"/>
    <cellStyle name="0_MIS_Projection_Feb'2009_5171 2 3 2 6" xfId="18677" xr:uid="{00000000-0005-0000-0000-0000E7480000}"/>
    <cellStyle name="0_MIS_Projection_Feb'2009_5171 2 3 3" xfId="18678" xr:uid="{00000000-0005-0000-0000-0000E8480000}"/>
    <cellStyle name="0_MIS_Projection_Feb'2009_5171 2 3 3 2" xfId="18679" xr:uid="{00000000-0005-0000-0000-0000E9480000}"/>
    <cellStyle name="0_MIS_Projection_Feb'2009_5171 2 3 3 2 2" xfId="18680" xr:uid="{00000000-0005-0000-0000-0000EA480000}"/>
    <cellStyle name="0_MIS_Projection_Feb'2009_5171 2 3 3 3" xfId="18681" xr:uid="{00000000-0005-0000-0000-0000EB480000}"/>
    <cellStyle name="0_MIS_Projection_Feb'2009_5171 2 3 3 3 2" xfId="18682" xr:uid="{00000000-0005-0000-0000-0000EC480000}"/>
    <cellStyle name="0_MIS_Projection_Feb'2009_5171 2 3 3 4" xfId="18683" xr:uid="{00000000-0005-0000-0000-0000ED480000}"/>
    <cellStyle name="0_MIS_Projection_Feb'2009_5171 2 3 4" xfId="18684" xr:uid="{00000000-0005-0000-0000-0000EE480000}"/>
    <cellStyle name="0_MIS_Projection_Feb'2009_5171 2 3 4 2" xfId="18685" xr:uid="{00000000-0005-0000-0000-0000EF480000}"/>
    <cellStyle name="0_MIS_Projection_Feb'2009_5171 2 3 4 2 2" xfId="18686" xr:uid="{00000000-0005-0000-0000-0000F0480000}"/>
    <cellStyle name="0_MIS_Projection_Feb'2009_5171 2 3 4 3" xfId="18687" xr:uid="{00000000-0005-0000-0000-0000F1480000}"/>
    <cellStyle name="0_MIS_Projection_Feb'2009_5171 2 3 4 3 2" xfId="18688" xr:uid="{00000000-0005-0000-0000-0000F2480000}"/>
    <cellStyle name="0_MIS_Projection_Feb'2009_5171 2 3 4 4" xfId="18689" xr:uid="{00000000-0005-0000-0000-0000F3480000}"/>
    <cellStyle name="0_MIS_Projection_Feb'2009_5171 2 3 5" xfId="18690" xr:uid="{00000000-0005-0000-0000-0000F4480000}"/>
    <cellStyle name="0_MIS_Projection_Feb'2009_5171 2 3 5 2" xfId="18691" xr:uid="{00000000-0005-0000-0000-0000F5480000}"/>
    <cellStyle name="0_MIS_Projection_Feb'2009_5171 2 3 5 2 2" xfId="18692" xr:uid="{00000000-0005-0000-0000-0000F6480000}"/>
    <cellStyle name="0_MIS_Projection_Feb'2009_5171 2 3 5 3" xfId="18693" xr:uid="{00000000-0005-0000-0000-0000F7480000}"/>
    <cellStyle name="0_MIS_Projection_Feb'2009_5171 2 3 5 3 2" xfId="18694" xr:uid="{00000000-0005-0000-0000-0000F8480000}"/>
    <cellStyle name="0_MIS_Projection_Feb'2009_5171 2 3 5 4" xfId="18695" xr:uid="{00000000-0005-0000-0000-0000F9480000}"/>
    <cellStyle name="0_MIS_Projection_Feb'2009_5171 2 3 6" xfId="18696" xr:uid="{00000000-0005-0000-0000-0000FA480000}"/>
    <cellStyle name="0_MIS_Projection_Feb'2009_5171 2 3 6 2" xfId="18697" xr:uid="{00000000-0005-0000-0000-0000FB480000}"/>
    <cellStyle name="0_MIS_Projection_Feb'2009_5171 2 3 7" xfId="18698" xr:uid="{00000000-0005-0000-0000-0000FC480000}"/>
    <cellStyle name="0_MIS_Projection_Feb'2009_5171 2 3 7 2" xfId="18699" xr:uid="{00000000-0005-0000-0000-0000FD480000}"/>
    <cellStyle name="0_MIS_Projection_Feb'2009_5171 2 3 8" xfId="18700" xr:uid="{00000000-0005-0000-0000-0000FE480000}"/>
    <cellStyle name="0_MIS_Projection_Feb'2009_5171 2 4" xfId="18701" xr:uid="{00000000-0005-0000-0000-0000FF480000}"/>
    <cellStyle name="0_MIS_Projection_Feb'2009_5171 2 4 2" xfId="18702" xr:uid="{00000000-0005-0000-0000-000000490000}"/>
    <cellStyle name="0_MIS_Projection_Feb'2009_5171 2 4 2 2" xfId="18703" xr:uid="{00000000-0005-0000-0000-000001490000}"/>
    <cellStyle name="0_MIS_Projection_Feb'2009_5171 2 4 2 2 2" xfId="18704" xr:uid="{00000000-0005-0000-0000-000002490000}"/>
    <cellStyle name="0_MIS_Projection_Feb'2009_5171 2 4 2 2 2 2" xfId="18705" xr:uid="{00000000-0005-0000-0000-000003490000}"/>
    <cellStyle name="0_MIS_Projection_Feb'2009_5171 2 4 2 2 3" xfId="18706" xr:uid="{00000000-0005-0000-0000-000004490000}"/>
    <cellStyle name="0_MIS_Projection_Feb'2009_5171 2 4 2 2 3 2" xfId="18707" xr:uid="{00000000-0005-0000-0000-000005490000}"/>
    <cellStyle name="0_MIS_Projection_Feb'2009_5171 2 4 2 2 4" xfId="18708" xr:uid="{00000000-0005-0000-0000-000006490000}"/>
    <cellStyle name="0_MIS_Projection_Feb'2009_5171 2 4 2 3" xfId="18709" xr:uid="{00000000-0005-0000-0000-000007490000}"/>
    <cellStyle name="0_MIS_Projection_Feb'2009_5171 2 4 2 3 2" xfId="18710" xr:uid="{00000000-0005-0000-0000-000008490000}"/>
    <cellStyle name="0_MIS_Projection_Feb'2009_5171 2 4 2 3 2 2" xfId="18711" xr:uid="{00000000-0005-0000-0000-000009490000}"/>
    <cellStyle name="0_MIS_Projection_Feb'2009_5171 2 4 2 3 3" xfId="18712" xr:uid="{00000000-0005-0000-0000-00000A490000}"/>
    <cellStyle name="0_MIS_Projection_Feb'2009_5171 2 4 2 3 3 2" xfId="18713" xr:uid="{00000000-0005-0000-0000-00000B490000}"/>
    <cellStyle name="0_MIS_Projection_Feb'2009_5171 2 4 2 3 4" xfId="18714" xr:uid="{00000000-0005-0000-0000-00000C490000}"/>
    <cellStyle name="0_MIS_Projection_Feb'2009_5171 2 4 2 4" xfId="18715" xr:uid="{00000000-0005-0000-0000-00000D490000}"/>
    <cellStyle name="0_MIS_Projection_Feb'2009_5171 2 4 2 4 2" xfId="18716" xr:uid="{00000000-0005-0000-0000-00000E490000}"/>
    <cellStyle name="0_MIS_Projection_Feb'2009_5171 2 4 2 5" xfId="18717" xr:uid="{00000000-0005-0000-0000-00000F490000}"/>
    <cellStyle name="0_MIS_Projection_Feb'2009_5171 2 4 2 5 2" xfId="18718" xr:uid="{00000000-0005-0000-0000-000010490000}"/>
    <cellStyle name="0_MIS_Projection_Feb'2009_5171 2 4 2 6" xfId="18719" xr:uid="{00000000-0005-0000-0000-000011490000}"/>
    <cellStyle name="0_MIS_Projection_Feb'2009_5171 2 4 3" xfId="18720" xr:uid="{00000000-0005-0000-0000-000012490000}"/>
    <cellStyle name="0_MIS_Projection_Feb'2009_5171 2 4 3 2" xfId="18721" xr:uid="{00000000-0005-0000-0000-000013490000}"/>
    <cellStyle name="0_MIS_Projection_Feb'2009_5171 2 4 3 2 2" xfId="18722" xr:uid="{00000000-0005-0000-0000-000014490000}"/>
    <cellStyle name="0_MIS_Projection_Feb'2009_5171 2 4 3 3" xfId="18723" xr:uid="{00000000-0005-0000-0000-000015490000}"/>
    <cellStyle name="0_MIS_Projection_Feb'2009_5171 2 4 3 3 2" xfId="18724" xr:uid="{00000000-0005-0000-0000-000016490000}"/>
    <cellStyle name="0_MIS_Projection_Feb'2009_5171 2 4 3 4" xfId="18725" xr:uid="{00000000-0005-0000-0000-000017490000}"/>
    <cellStyle name="0_MIS_Projection_Feb'2009_5171 2 4 4" xfId="18726" xr:uid="{00000000-0005-0000-0000-000018490000}"/>
    <cellStyle name="0_MIS_Projection_Feb'2009_5171 2 4 4 2" xfId="18727" xr:uid="{00000000-0005-0000-0000-000019490000}"/>
    <cellStyle name="0_MIS_Projection_Feb'2009_5171 2 4 4 2 2" xfId="18728" xr:uid="{00000000-0005-0000-0000-00001A490000}"/>
    <cellStyle name="0_MIS_Projection_Feb'2009_5171 2 4 4 3" xfId="18729" xr:uid="{00000000-0005-0000-0000-00001B490000}"/>
    <cellStyle name="0_MIS_Projection_Feb'2009_5171 2 4 4 3 2" xfId="18730" xr:uid="{00000000-0005-0000-0000-00001C490000}"/>
    <cellStyle name="0_MIS_Projection_Feb'2009_5171 2 4 4 4" xfId="18731" xr:uid="{00000000-0005-0000-0000-00001D490000}"/>
    <cellStyle name="0_MIS_Projection_Feb'2009_5171 2 4 5" xfId="18732" xr:uid="{00000000-0005-0000-0000-00001E490000}"/>
    <cellStyle name="0_MIS_Projection_Feb'2009_5171 2 4 5 2" xfId="18733" xr:uid="{00000000-0005-0000-0000-00001F490000}"/>
    <cellStyle name="0_MIS_Projection_Feb'2009_5171 2 4 5 2 2" xfId="18734" xr:uid="{00000000-0005-0000-0000-000020490000}"/>
    <cellStyle name="0_MIS_Projection_Feb'2009_5171 2 4 5 3" xfId="18735" xr:uid="{00000000-0005-0000-0000-000021490000}"/>
    <cellStyle name="0_MIS_Projection_Feb'2009_5171 2 4 5 3 2" xfId="18736" xr:uid="{00000000-0005-0000-0000-000022490000}"/>
    <cellStyle name="0_MIS_Projection_Feb'2009_5171 2 4 5 4" xfId="18737" xr:uid="{00000000-0005-0000-0000-000023490000}"/>
    <cellStyle name="0_MIS_Projection_Feb'2009_5171 2 4 6" xfId="18738" xr:uid="{00000000-0005-0000-0000-000024490000}"/>
    <cellStyle name="0_MIS_Projection_Feb'2009_5171 2 4 6 2" xfId="18739" xr:uid="{00000000-0005-0000-0000-000025490000}"/>
    <cellStyle name="0_MIS_Projection_Feb'2009_5171 2 4 7" xfId="18740" xr:uid="{00000000-0005-0000-0000-000026490000}"/>
    <cellStyle name="0_MIS_Projection_Feb'2009_5171 2 4 7 2" xfId="18741" xr:uid="{00000000-0005-0000-0000-000027490000}"/>
    <cellStyle name="0_MIS_Projection_Feb'2009_5171 2 4 8" xfId="18742" xr:uid="{00000000-0005-0000-0000-000028490000}"/>
    <cellStyle name="0_MIS_Projection_Feb'2009_5171 2 5" xfId="18743" xr:uid="{00000000-0005-0000-0000-000029490000}"/>
    <cellStyle name="0_MIS_Projection_Feb'2009_5171 2 5 2" xfId="18744" xr:uid="{00000000-0005-0000-0000-00002A490000}"/>
    <cellStyle name="0_MIS_Projection_Feb'2009_5171 2 5 2 2" xfId="18745" xr:uid="{00000000-0005-0000-0000-00002B490000}"/>
    <cellStyle name="0_MIS_Projection_Feb'2009_5171 2 5 2 2 2" xfId="18746" xr:uid="{00000000-0005-0000-0000-00002C490000}"/>
    <cellStyle name="0_MIS_Projection_Feb'2009_5171 2 5 2 2 2 2" xfId="18747" xr:uid="{00000000-0005-0000-0000-00002D490000}"/>
    <cellStyle name="0_MIS_Projection_Feb'2009_5171 2 5 2 2 3" xfId="18748" xr:uid="{00000000-0005-0000-0000-00002E490000}"/>
    <cellStyle name="0_MIS_Projection_Feb'2009_5171 2 5 2 2 3 2" xfId="18749" xr:uid="{00000000-0005-0000-0000-00002F490000}"/>
    <cellStyle name="0_MIS_Projection_Feb'2009_5171 2 5 2 2 4" xfId="18750" xr:uid="{00000000-0005-0000-0000-000030490000}"/>
    <cellStyle name="0_MIS_Projection_Feb'2009_5171 2 5 2 3" xfId="18751" xr:uid="{00000000-0005-0000-0000-000031490000}"/>
    <cellStyle name="0_MIS_Projection_Feb'2009_5171 2 5 2 3 2" xfId="18752" xr:uid="{00000000-0005-0000-0000-000032490000}"/>
    <cellStyle name="0_MIS_Projection_Feb'2009_5171 2 5 2 3 2 2" xfId="18753" xr:uid="{00000000-0005-0000-0000-000033490000}"/>
    <cellStyle name="0_MIS_Projection_Feb'2009_5171 2 5 2 3 3" xfId="18754" xr:uid="{00000000-0005-0000-0000-000034490000}"/>
    <cellStyle name="0_MIS_Projection_Feb'2009_5171 2 5 2 3 3 2" xfId="18755" xr:uid="{00000000-0005-0000-0000-000035490000}"/>
    <cellStyle name="0_MIS_Projection_Feb'2009_5171 2 5 2 3 4" xfId="18756" xr:uid="{00000000-0005-0000-0000-000036490000}"/>
    <cellStyle name="0_MIS_Projection_Feb'2009_5171 2 5 2 4" xfId="18757" xr:uid="{00000000-0005-0000-0000-000037490000}"/>
    <cellStyle name="0_MIS_Projection_Feb'2009_5171 2 5 2 4 2" xfId="18758" xr:uid="{00000000-0005-0000-0000-000038490000}"/>
    <cellStyle name="0_MIS_Projection_Feb'2009_5171 2 5 2 5" xfId="18759" xr:uid="{00000000-0005-0000-0000-000039490000}"/>
    <cellStyle name="0_MIS_Projection_Feb'2009_5171 2 5 2 5 2" xfId="18760" xr:uid="{00000000-0005-0000-0000-00003A490000}"/>
    <cellStyle name="0_MIS_Projection_Feb'2009_5171 2 5 2 6" xfId="18761" xr:uid="{00000000-0005-0000-0000-00003B490000}"/>
    <cellStyle name="0_MIS_Projection_Feb'2009_5171 2 5 3" xfId="18762" xr:uid="{00000000-0005-0000-0000-00003C490000}"/>
    <cellStyle name="0_MIS_Projection_Feb'2009_5171 2 5 3 2" xfId="18763" xr:uid="{00000000-0005-0000-0000-00003D490000}"/>
    <cellStyle name="0_MIS_Projection_Feb'2009_5171 2 5 3 2 2" xfId="18764" xr:uid="{00000000-0005-0000-0000-00003E490000}"/>
    <cellStyle name="0_MIS_Projection_Feb'2009_5171 2 5 3 3" xfId="18765" xr:uid="{00000000-0005-0000-0000-00003F490000}"/>
    <cellStyle name="0_MIS_Projection_Feb'2009_5171 2 5 3 3 2" xfId="18766" xr:uid="{00000000-0005-0000-0000-000040490000}"/>
    <cellStyle name="0_MIS_Projection_Feb'2009_5171 2 5 3 4" xfId="18767" xr:uid="{00000000-0005-0000-0000-000041490000}"/>
    <cellStyle name="0_MIS_Projection_Feb'2009_5171 2 5 4" xfId="18768" xr:uid="{00000000-0005-0000-0000-000042490000}"/>
    <cellStyle name="0_MIS_Projection_Feb'2009_5171 2 5 4 2" xfId="18769" xr:uid="{00000000-0005-0000-0000-000043490000}"/>
    <cellStyle name="0_MIS_Projection_Feb'2009_5171 2 5 4 2 2" xfId="18770" xr:uid="{00000000-0005-0000-0000-000044490000}"/>
    <cellStyle name="0_MIS_Projection_Feb'2009_5171 2 5 4 3" xfId="18771" xr:uid="{00000000-0005-0000-0000-000045490000}"/>
    <cellStyle name="0_MIS_Projection_Feb'2009_5171 2 5 4 3 2" xfId="18772" xr:uid="{00000000-0005-0000-0000-000046490000}"/>
    <cellStyle name="0_MIS_Projection_Feb'2009_5171 2 5 4 4" xfId="18773" xr:uid="{00000000-0005-0000-0000-000047490000}"/>
    <cellStyle name="0_MIS_Projection_Feb'2009_5171 2 5 5" xfId="18774" xr:uid="{00000000-0005-0000-0000-000048490000}"/>
    <cellStyle name="0_MIS_Projection_Feb'2009_5171 2 5 5 2" xfId="18775" xr:uid="{00000000-0005-0000-0000-000049490000}"/>
    <cellStyle name="0_MIS_Projection_Feb'2009_5171 2 5 5 2 2" xfId="18776" xr:uid="{00000000-0005-0000-0000-00004A490000}"/>
    <cellStyle name="0_MIS_Projection_Feb'2009_5171 2 5 5 3" xfId="18777" xr:uid="{00000000-0005-0000-0000-00004B490000}"/>
    <cellStyle name="0_MIS_Projection_Feb'2009_5171 2 5 5 3 2" xfId="18778" xr:uid="{00000000-0005-0000-0000-00004C490000}"/>
    <cellStyle name="0_MIS_Projection_Feb'2009_5171 2 5 5 4" xfId="18779" xr:uid="{00000000-0005-0000-0000-00004D490000}"/>
    <cellStyle name="0_MIS_Projection_Feb'2009_5171 2 5 6" xfId="18780" xr:uid="{00000000-0005-0000-0000-00004E490000}"/>
    <cellStyle name="0_MIS_Projection_Feb'2009_5171 2 5 6 2" xfId="18781" xr:uid="{00000000-0005-0000-0000-00004F490000}"/>
    <cellStyle name="0_MIS_Projection_Feb'2009_5171 2 5 7" xfId="18782" xr:uid="{00000000-0005-0000-0000-000050490000}"/>
    <cellStyle name="0_MIS_Projection_Feb'2009_5171 2 5 7 2" xfId="18783" xr:uid="{00000000-0005-0000-0000-000051490000}"/>
    <cellStyle name="0_MIS_Projection_Feb'2009_5171 2 5 8" xfId="18784" xr:uid="{00000000-0005-0000-0000-000052490000}"/>
    <cellStyle name="0_MIS_Projection_Feb'2009_5171 2 6" xfId="18785" xr:uid="{00000000-0005-0000-0000-000053490000}"/>
    <cellStyle name="0_MIS_Projection_Feb'2009_5171 2 6 2" xfId="18786" xr:uid="{00000000-0005-0000-0000-000054490000}"/>
    <cellStyle name="0_MIS_Projection_Feb'2009_5171 2 6 2 2" xfId="18787" xr:uid="{00000000-0005-0000-0000-000055490000}"/>
    <cellStyle name="0_MIS_Projection_Feb'2009_5171 2 6 2 2 2" xfId="18788" xr:uid="{00000000-0005-0000-0000-000056490000}"/>
    <cellStyle name="0_MIS_Projection_Feb'2009_5171 2 6 2 2 2 2" xfId="18789" xr:uid="{00000000-0005-0000-0000-000057490000}"/>
    <cellStyle name="0_MIS_Projection_Feb'2009_5171 2 6 2 2 3" xfId="18790" xr:uid="{00000000-0005-0000-0000-000058490000}"/>
    <cellStyle name="0_MIS_Projection_Feb'2009_5171 2 6 2 2 3 2" xfId="18791" xr:uid="{00000000-0005-0000-0000-000059490000}"/>
    <cellStyle name="0_MIS_Projection_Feb'2009_5171 2 6 2 2 4" xfId="18792" xr:uid="{00000000-0005-0000-0000-00005A490000}"/>
    <cellStyle name="0_MIS_Projection_Feb'2009_5171 2 6 2 3" xfId="18793" xr:uid="{00000000-0005-0000-0000-00005B490000}"/>
    <cellStyle name="0_MIS_Projection_Feb'2009_5171 2 6 2 3 2" xfId="18794" xr:uid="{00000000-0005-0000-0000-00005C490000}"/>
    <cellStyle name="0_MIS_Projection_Feb'2009_5171 2 6 2 3 2 2" xfId="18795" xr:uid="{00000000-0005-0000-0000-00005D490000}"/>
    <cellStyle name="0_MIS_Projection_Feb'2009_5171 2 6 2 3 3" xfId="18796" xr:uid="{00000000-0005-0000-0000-00005E490000}"/>
    <cellStyle name="0_MIS_Projection_Feb'2009_5171 2 6 2 3 3 2" xfId="18797" xr:uid="{00000000-0005-0000-0000-00005F490000}"/>
    <cellStyle name="0_MIS_Projection_Feb'2009_5171 2 6 2 3 4" xfId="18798" xr:uid="{00000000-0005-0000-0000-000060490000}"/>
    <cellStyle name="0_MIS_Projection_Feb'2009_5171 2 6 2 4" xfId="18799" xr:uid="{00000000-0005-0000-0000-000061490000}"/>
    <cellStyle name="0_MIS_Projection_Feb'2009_5171 2 6 2 4 2" xfId="18800" xr:uid="{00000000-0005-0000-0000-000062490000}"/>
    <cellStyle name="0_MIS_Projection_Feb'2009_5171 2 6 2 5" xfId="18801" xr:uid="{00000000-0005-0000-0000-000063490000}"/>
    <cellStyle name="0_MIS_Projection_Feb'2009_5171 2 6 2 5 2" xfId="18802" xr:uid="{00000000-0005-0000-0000-000064490000}"/>
    <cellStyle name="0_MIS_Projection_Feb'2009_5171 2 6 2 6" xfId="18803" xr:uid="{00000000-0005-0000-0000-000065490000}"/>
    <cellStyle name="0_MIS_Projection_Feb'2009_5171 2 6 3" xfId="18804" xr:uid="{00000000-0005-0000-0000-000066490000}"/>
    <cellStyle name="0_MIS_Projection_Feb'2009_5171 2 6 3 2" xfId="18805" xr:uid="{00000000-0005-0000-0000-000067490000}"/>
    <cellStyle name="0_MIS_Projection_Feb'2009_5171 2 6 3 2 2" xfId="18806" xr:uid="{00000000-0005-0000-0000-000068490000}"/>
    <cellStyle name="0_MIS_Projection_Feb'2009_5171 2 6 3 3" xfId="18807" xr:uid="{00000000-0005-0000-0000-000069490000}"/>
    <cellStyle name="0_MIS_Projection_Feb'2009_5171 2 6 3 3 2" xfId="18808" xr:uid="{00000000-0005-0000-0000-00006A490000}"/>
    <cellStyle name="0_MIS_Projection_Feb'2009_5171 2 6 3 4" xfId="18809" xr:uid="{00000000-0005-0000-0000-00006B490000}"/>
    <cellStyle name="0_MIS_Projection_Feb'2009_5171 2 6 4" xfId="18810" xr:uid="{00000000-0005-0000-0000-00006C490000}"/>
    <cellStyle name="0_MIS_Projection_Feb'2009_5171 2 6 4 2" xfId="18811" xr:uid="{00000000-0005-0000-0000-00006D490000}"/>
    <cellStyle name="0_MIS_Projection_Feb'2009_5171 2 6 4 2 2" xfId="18812" xr:uid="{00000000-0005-0000-0000-00006E490000}"/>
    <cellStyle name="0_MIS_Projection_Feb'2009_5171 2 6 4 3" xfId="18813" xr:uid="{00000000-0005-0000-0000-00006F490000}"/>
    <cellStyle name="0_MIS_Projection_Feb'2009_5171 2 6 4 3 2" xfId="18814" xr:uid="{00000000-0005-0000-0000-000070490000}"/>
    <cellStyle name="0_MIS_Projection_Feb'2009_5171 2 6 4 4" xfId="18815" xr:uid="{00000000-0005-0000-0000-000071490000}"/>
    <cellStyle name="0_MIS_Projection_Feb'2009_5171 2 6 5" xfId="18816" xr:uid="{00000000-0005-0000-0000-000072490000}"/>
    <cellStyle name="0_MIS_Projection_Feb'2009_5171 2 6 5 2" xfId="18817" xr:uid="{00000000-0005-0000-0000-000073490000}"/>
    <cellStyle name="0_MIS_Projection_Feb'2009_5171 2 6 5 2 2" xfId="18818" xr:uid="{00000000-0005-0000-0000-000074490000}"/>
    <cellStyle name="0_MIS_Projection_Feb'2009_5171 2 6 5 3" xfId="18819" xr:uid="{00000000-0005-0000-0000-000075490000}"/>
    <cellStyle name="0_MIS_Projection_Feb'2009_5171 2 6 5 3 2" xfId="18820" xr:uid="{00000000-0005-0000-0000-000076490000}"/>
    <cellStyle name="0_MIS_Projection_Feb'2009_5171 2 6 5 4" xfId="18821" xr:uid="{00000000-0005-0000-0000-000077490000}"/>
    <cellStyle name="0_MIS_Projection_Feb'2009_5171 2 6 6" xfId="18822" xr:uid="{00000000-0005-0000-0000-000078490000}"/>
    <cellStyle name="0_MIS_Projection_Feb'2009_5171 2 6 6 2" xfId="18823" xr:uid="{00000000-0005-0000-0000-000079490000}"/>
    <cellStyle name="0_MIS_Projection_Feb'2009_5171 2 6 7" xfId="18824" xr:uid="{00000000-0005-0000-0000-00007A490000}"/>
    <cellStyle name="0_MIS_Projection_Feb'2009_5171 2 6 7 2" xfId="18825" xr:uid="{00000000-0005-0000-0000-00007B490000}"/>
    <cellStyle name="0_MIS_Projection_Feb'2009_5171 2 6 8" xfId="18826" xr:uid="{00000000-0005-0000-0000-00007C490000}"/>
    <cellStyle name="0_MIS_Projection_Feb'2009_5171 2 7" xfId="18827" xr:uid="{00000000-0005-0000-0000-00007D490000}"/>
    <cellStyle name="0_MIS_Projection_Feb'2009_5171 2 7 2" xfId="18828" xr:uid="{00000000-0005-0000-0000-00007E490000}"/>
    <cellStyle name="0_MIS_Projection_Feb'2009_5171 2 7 2 2" xfId="18829" xr:uid="{00000000-0005-0000-0000-00007F490000}"/>
    <cellStyle name="0_MIS_Projection_Feb'2009_5171 2 7 2 2 2" xfId="18830" xr:uid="{00000000-0005-0000-0000-000080490000}"/>
    <cellStyle name="0_MIS_Projection_Feb'2009_5171 2 7 2 3" xfId="18831" xr:uid="{00000000-0005-0000-0000-000081490000}"/>
    <cellStyle name="0_MIS_Projection_Feb'2009_5171 2 7 2 3 2" xfId="18832" xr:uid="{00000000-0005-0000-0000-000082490000}"/>
    <cellStyle name="0_MIS_Projection_Feb'2009_5171 2 7 2 4" xfId="18833" xr:uid="{00000000-0005-0000-0000-000083490000}"/>
    <cellStyle name="0_MIS_Projection_Feb'2009_5171 2 7 3" xfId="18834" xr:uid="{00000000-0005-0000-0000-000084490000}"/>
    <cellStyle name="0_MIS_Projection_Feb'2009_5171 2 7 3 2" xfId="18835" xr:uid="{00000000-0005-0000-0000-000085490000}"/>
    <cellStyle name="0_MIS_Projection_Feb'2009_5171 2 7 3 2 2" xfId="18836" xr:uid="{00000000-0005-0000-0000-000086490000}"/>
    <cellStyle name="0_MIS_Projection_Feb'2009_5171 2 7 3 3" xfId="18837" xr:uid="{00000000-0005-0000-0000-000087490000}"/>
    <cellStyle name="0_MIS_Projection_Feb'2009_5171 2 7 3 3 2" xfId="18838" xr:uid="{00000000-0005-0000-0000-000088490000}"/>
    <cellStyle name="0_MIS_Projection_Feb'2009_5171 2 7 3 4" xfId="18839" xr:uid="{00000000-0005-0000-0000-000089490000}"/>
    <cellStyle name="0_MIS_Projection_Feb'2009_5171 2 7 4" xfId="18840" xr:uid="{00000000-0005-0000-0000-00008A490000}"/>
    <cellStyle name="0_MIS_Projection_Feb'2009_5171 2 7 4 2" xfId="18841" xr:uid="{00000000-0005-0000-0000-00008B490000}"/>
    <cellStyle name="0_MIS_Projection_Feb'2009_5171 2 7 5" xfId="18842" xr:uid="{00000000-0005-0000-0000-00008C490000}"/>
    <cellStyle name="0_MIS_Projection_Feb'2009_5171 2 7 5 2" xfId="18843" xr:uid="{00000000-0005-0000-0000-00008D490000}"/>
    <cellStyle name="0_MIS_Projection_Feb'2009_5171 2 7 6" xfId="18844" xr:uid="{00000000-0005-0000-0000-00008E490000}"/>
    <cellStyle name="0_MIS_Projection_Feb'2009_5171 2 8" xfId="18845" xr:uid="{00000000-0005-0000-0000-00008F490000}"/>
    <cellStyle name="0_MIS_Projection_Feb'2009_5171 2 8 2" xfId="18846" xr:uid="{00000000-0005-0000-0000-000090490000}"/>
    <cellStyle name="0_MIS_Projection_Feb'2009_5171 2 8 2 2" xfId="18847" xr:uid="{00000000-0005-0000-0000-000091490000}"/>
    <cellStyle name="0_MIS_Projection_Feb'2009_5171 2 8 3" xfId="18848" xr:uid="{00000000-0005-0000-0000-000092490000}"/>
    <cellStyle name="0_MIS_Projection_Feb'2009_5171 2 8 3 2" xfId="18849" xr:uid="{00000000-0005-0000-0000-000093490000}"/>
    <cellStyle name="0_MIS_Projection_Feb'2009_5171 2 8 4" xfId="18850" xr:uid="{00000000-0005-0000-0000-000094490000}"/>
    <cellStyle name="0_MIS_Projection_Feb'2009_5171 2 9" xfId="18851" xr:uid="{00000000-0005-0000-0000-000095490000}"/>
    <cellStyle name="0_MIS_Projection_Feb'2009_5171 2 9 2" xfId="18852" xr:uid="{00000000-0005-0000-0000-000096490000}"/>
    <cellStyle name="0_MIS_Projection_Feb'2009_5171 2 9 2 2" xfId="18853" xr:uid="{00000000-0005-0000-0000-000097490000}"/>
    <cellStyle name="0_MIS_Projection_Feb'2009_5171 2 9 3" xfId="18854" xr:uid="{00000000-0005-0000-0000-000098490000}"/>
    <cellStyle name="0_MIS_Projection_Feb'2009_5171 2 9 3 2" xfId="18855" xr:uid="{00000000-0005-0000-0000-000099490000}"/>
    <cellStyle name="0_MIS_Projection_Feb'2009_5171 2 9 4" xfId="18856" xr:uid="{00000000-0005-0000-0000-00009A490000}"/>
    <cellStyle name="0_MIS_Projection_Feb'2009_5171 20" xfId="18857" xr:uid="{00000000-0005-0000-0000-00009B490000}"/>
    <cellStyle name="0_MIS_Projection_Feb'2009_5171 3" xfId="18858" xr:uid="{00000000-0005-0000-0000-00009C490000}"/>
    <cellStyle name="0_MIS_Projection_Feb'2009_5171 3 10" xfId="18859" xr:uid="{00000000-0005-0000-0000-00009D490000}"/>
    <cellStyle name="0_MIS_Projection_Feb'2009_5171 3 10 2" xfId="18860" xr:uid="{00000000-0005-0000-0000-00009E490000}"/>
    <cellStyle name="0_MIS_Projection_Feb'2009_5171 3 10 2 2" xfId="18861" xr:uid="{00000000-0005-0000-0000-00009F490000}"/>
    <cellStyle name="0_MIS_Projection_Feb'2009_5171 3 10 3" xfId="18862" xr:uid="{00000000-0005-0000-0000-0000A0490000}"/>
    <cellStyle name="0_MIS_Projection_Feb'2009_5171 3 10 3 2" xfId="18863" xr:uid="{00000000-0005-0000-0000-0000A1490000}"/>
    <cellStyle name="0_MIS_Projection_Feb'2009_5171 3 10 4" xfId="18864" xr:uid="{00000000-0005-0000-0000-0000A2490000}"/>
    <cellStyle name="0_MIS_Projection_Feb'2009_5171 3 11" xfId="18865" xr:uid="{00000000-0005-0000-0000-0000A3490000}"/>
    <cellStyle name="0_MIS_Projection_Feb'2009_5171 3 11 2" xfId="18866" xr:uid="{00000000-0005-0000-0000-0000A4490000}"/>
    <cellStyle name="0_MIS_Projection_Feb'2009_5171 3 12" xfId="18867" xr:uid="{00000000-0005-0000-0000-0000A5490000}"/>
    <cellStyle name="0_MIS_Projection_Feb'2009_5171 3 12 2" xfId="18868" xr:uid="{00000000-0005-0000-0000-0000A6490000}"/>
    <cellStyle name="0_MIS_Projection_Feb'2009_5171 3 13" xfId="18869" xr:uid="{00000000-0005-0000-0000-0000A7490000}"/>
    <cellStyle name="0_MIS_Projection_Feb'2009_5171 3 2" xfId="18870" xr:uid="{00000000-0005-0000-0000-0000A8490000}"/>
    <cellStyle name="0_MIS_Projection_Feb'2009_5171 3 2 2" xfId="18871" xr:uid="{00000000-0005-0000-0000-0000A9490000}"/>
    <cellStyle name="0_MIS_Projection_Feb'2009_5171 3 2 2 2" xfId="18872" xr:uid="{00000000-0005-0000-0000-0000AA490000}"/>
    <cellStyle name="0_MIS_Projection_Feb'2009_5171 3 2 2 2 2" xfId="18873" xr:uid="{00000000-0005-0000-0000-0000AB490000}"/>
    <cellStyle name="0_MIS_Projection_Feb'2009_5171 3 2 2 2 2 2" xfId="18874" xr:uid="{00000000-0005-0000-0000-0000AC490000}"/>
    <cellStyle name="0_MIS_Projection_Feb'2009_5171 3 2 2 2 3" xfId="18875" xr:uid="{00000000-0005-0000-0000-0000AD490000}"/>
    <cellStyle name="0_MIS_Projection_Feb'2009_5171 3 2 2 2 3 2" xfId="18876" xr:uid="{00000000-0005-0000-0000-0000AE490000}"/>
    <cellStyle name="0_MIS_Projection_Feb'2009_5171 3 2 2 2 4" xfId="18877" xr:uid="{00000000-0005-0000-0000-0000AF490000}"/>
    <cellStyle name="0_MIS_Projection_Feb'2009_5171 3 2 2 3" xfId="18878" xr:uid="{00000000-0005-0000-0000-0000B0490000}"/>
    <cellStyle name="0_MIS_Projection_Feb'2009_5171 3 2 2 3 2" xfId="18879" xr:uid="{00000000-0005-0000-0000-0000B1490000}"/>
    <cellStyle name="0_MIS_Projection_Feb'2009_5171 3 2 2 3 2 2" xfId="18880" xr:uid="{00000000-0005-0000-0000-0000B2490000}"/>
    <cellStyle name="0_MIS_Projection_Feb'2009_5171 3 2 2 3 3" xfId="18881" xr:uid="{00000000-0005-0000-0000-0000B3490000}"/>
    <cellStyle name="0_MIS_Projection_Feb'2009_5171 3 2 2 3 3 2" xfId="18882" xr:uid="{00000000-0005-0000-0000-0000B4490000}"/>
    <cellStyle name="0_MIS_Projection_Feb'2009_5171 3 2 2 3 4" xfId="18883" xr:uid="{00000000-0005-0000-0000-0000B5490000}"/>
    <cellStyle name="0_MIS_Projection_Feb'2009_5171 3 2 2 4" xfId="18884" xr:uid="{00000000-0005-0000-0000-0000B6490000}"/>
    <cellStyle name="0_MIS_Projection_Feb'2009_5171 3 2 2 4 2" xfId="18885" xr:uid="{00000000-0005-0000-0000-0000B7490000}"/>
    <cellStyle name="0_MIS_Projection_Feb'2009_5171 3 2 2 5" xfId="18886" xr:uid="{00000000-0005-0000-0000-0000B8490000}"/>
    <cellStyle name="0_MIS_Projection_Feb'2009_5171 3 2 2 5 2" xfId="18887" xr:uid="{00000000-0005-0000-0000-0000B9490000}"/>
    <cellStyle name="0_MIS_Projection_Feb'2009_5171 3 2 2 6" xfId="18888" xr:uid="{00000000-0005-0000-0000-0000BA490000}"/>
    <cellStyle name="0_MIS_Projection_Feb'2009_5171 3 2 3" xfId="18889" xr:uid="{00000000-0005-0000-0000-0000BB490000}"/>
    <cellStyle name="0_MIS_Projection_Feb'2009_5171 3 2 3 2" xfId="18890" xr:uid="{00000000-0005-0000-0000-0000BC490000}"/>
    <cellStyle name="0_MIS_Projection_Feb'2009_5171 3 2 3 2 2" xfId="18891" xr:uid="{00000000-0005-0000-0000-0000BD490000}"/>
    <cellStyle name="0_MIS_Projection_Feb'2009_5171 3 2 3 3" xfId="18892" xr:uid="{00000000-0005-0000-0000-0000BE490000}"/>
    <cellStyle name="0_MIS_Projection_Feb'2009_5171 3 2 3 3 2" xfId="18893" xr:uid="{00000000-0005-0000-0000-0000BF490000}"/>
    <cellStyle name="0_MIS_Projection_Feb'2009_5171 3 2 3 4" xfId="18894" xr:uid="{00000000-0005-0000-0000-0000C0490000}"/>
    <cellStyle name="0_MIS_Projection_Feb'2009_5171 3 2 4" xfId="18895" xr:uid="{00000000-0005-0000-0000-0000C1490000}"/>
    <cellStyle name="0_MIS_Projection_Feb'2009_5171 3 2 4 2" xfId="18896" xr:uid="{00000000-0005-0000-0000-0000C2490000}"/>
    <cellStyle name="0_MIS_Projection_Feb'2009_5171 3 2 4 2 2" xfId="18897" xr:uid="{00000000-0005-0000-0000-0000C3490000}"/>
    <cellStyle name="0_MIS_Projection_Feb'2009_5171 3 2 4 3" xfId="18898" xr:uid="{00000000-0005-0000-0000-0000C4490000}"/>
    <cellStyle name="0_MIS_Projection_Feb'2009_5171 3 2 4 3 2" xfId="18899" xr:uid="{00000000-0005-0000-0000-0000C5490000}"/>
    <cellStyle name="0_MIS_Projection_Feb'2009_5171 3 2 4 4" xfId="18900" xr:uid="{00000000-0005-0000-0000-0000C6490000}"/>
    <cellStyle name="0_MIS_Projection_Feb'2009_5171 3 2 5" xfId="18901" xr:uid="{00000000-0005-0000-0000-0000C7490000}"/>
    <cellStyle name="0_MIS_Projection_Feb'2009_5171 3 2 5 2" xfId="18902" xr:uid="{00000000-0005-0000-0000-0000C8490000}"/>
    <cellStyle name="0_MIS_Projection_Feb'2009_5171 3 2 5 2 2" xfId="18903" xr:uid="{00000000-0005-0000-0000-0000C9490000}"/>
    <cellStyle name="0_MIS_Projection_Feb'2009_5171 3 2 5 3" xfId="18904" xr:uid="{00000000-0005-0000-0000-0000CA490000}"/>
    <cellStyle name="0_MIS_Projection_Feb'2009_5171 3 2 5 3 2" xfId="18905" xr:uid="{00000000-0005-0000-0000-0000CB490000}"/>
    <cellStyle name="0_MIS_Projection_Feb'2009_5171 3 2 5 4" xfId="18906" xr:uid="{00000000-0005-0000-0000-0000CC490000}"/>
    <cellStyle name="0_MIS_Projection_Feb'2009_5171 3 2 6" xfId="18907" xr:uid="{00000000-0005-0000-0000-0000CD490000}"/>
    <cellStyle name="0_MIS_Projection_Feb'2009_5171 3 2 6 2" xfId="18908" xr:uid="{00000000-0005-0000-0000-0000CE490000}"/>
    <cellStyle name="0_MIS_Projection_Feb'2009_5171 3 2 7" xfId="18909" xr:uid="{00000000-0005-0000-0000-0000CF490000}"/>
    <cellStyle name="0_MIS_Projection_Feb'2009_5171 3 2 7 2" xfId="18910" xr:uid="{00000000-0005-0000-0000-0000D0490000}"/>
    <cellStyle name="0_MIS_Projection_Feb'2009_5171 3 2 8" xfId="18911" xr:uid="{00000000-0005-0000-0000-0000D1490000}"/>
    <cellStyle name="0_MIS_Projection_Feb'2009_5171 3 3" xfId="18912" xr:uid="{00000000-0005-0000-0000-0000D2490000}"/>
    <cellStyle name="0_MIS_Projection_Feb'2009_5171 3 3 2" xfId="18913" xr:uid="{00000000-0005-0000-0000-0000D3490000}"/>
    <cellStyle name="0_MIS_Projection_Feb'2009_5171 3 3 2 2" xfId="18914" xr:uid="{00000000-0005-0000-0000-0000D4490000}"/>
    <cellStyle name="0_MIS_Projection_Feb'2009_5171 3 3 2 2 2" xfId="18915" xr:uid="{00000000-0005-0000-0000-0000D5490000}"/>
    <cellStyle name="0_MIS_Projection_Feb'2009_5171 3 3 2 2 2 2" xfId="18916" xr:uid="{00000000-0005-0000-0000-0000D6490000}"/>
    <cellStyle name="0_MIS_Projection_Feb'2009_5171 3 3 2 2 3" xfId="18917" xr:uid="{00000000-0005-0000-0000-0000D7490000}"/>
    <cellStyle name="0_MIS_Projection_Feb'2009_5171 3 3 2 2 3 2" xfId="18918" xr:uid="{00000000-0005-0000-0000-0000D8490000}"/>
    <cellStyle name="0_MIS_Projection_Feb'2009_5171 3 3 2 2 4" xfId="18919" xr:uid="{00000000-0005-0000-0000-0000D9490000}"/>
    <cellStyle name="0_MIS_Projection_Feb'2009_5171 3 3 2 3" xfId="18920" xr:uid="{00000000-0005-0000-0000-0000DA490000}"/>
    <cellStyle name="0_MIS_Projection_Feb'2009_5171 3 3 2 3 2" xfId="18921" xr:uid="{00000000-0005-0000-0000-0000DB490000}"/>
    <cellStyle name="0_MIS_Projection_Feb'2009_5171 3 3 2 3 2 2" xfId="18922" xr:uid="{00000000-0005-0000-0000-0000DC490000}"/>
    <cellStyle name="0_MIS_Projection_Feb'2009_5171 3 3 2 3 3" xfId="18923" xr:uid="{00000000-0005-0000-0000-0000DD490000}"/>
    <cellStyle name="0_MIS_Projection_Feb'2009_5171 3 3 2 3 3 2" xfId="18924" xr:uid="{00000000-0005-0000-0000-0000DE490000}"/>
    <cellStyle name="0_MIS_Projection_Feb'2009_5171 3 3 2 3 4" xfId="18925" xr:uid="{00000000-0005-0000-0000-0000DF490000}"/>
    <cellStyle name="0_MIS_Projection_Feb'2009_5171 3 3 2 4" xfId="18926" xr:uid="{00000000-0005-0000-0000-0000E0490000}"/>
    <cellStyle name="0_MIS_Projection_Feb'2009_5171 3 3 2 4 2" xfId="18927" xr:uid="{00000000-0005-0000-0000-0000E1490000}"/>
    <cellStyle name="0_MIS_Projection_Feb'2009_5171 3 3 2 5" xfId="18928" xr:uid="{00000000-0005-0000-0000-0000E2490000}"/>
    <cellStyle name="0_MIS_Projection_Feb'2009_5171 3 3 2 5 2" xfId="18929" xr:uid="{00000000-0005-0000-0000-0000E3490000}"/>
    <cellStyle name="0_MIS_Projection_Feb'2009_5171 3 3 2 6" xfId="18930" xr:uid="{00000000-0005-0000-0000-0000E4490000}"/>
    <cellStyle name="0_MIS_Projection_Feb'2009_5171 3 3 3" xfId="18931" xr:uid="{00000000-0005-0000-0000-0000E5490000}"/>
    <cellStyle name="0_MIS_Projection_Feb'2009_5171 3 3 3 2" xfId="18932" xr:uid="{00000000-0005-0000-0000-0000E6490000}"/>
    <cellStyle name="0_MIS_Projection_Feb'2009_5171 3 3 3 2 2" xfId="18933" xr:uid="{00000000-0005-0000-0000-0000E7490000}"/>
    <cellStyle name="0_MIS_Projection_Feb'2009_5171 3 3 3 3" xfId="18934" xr:uid="{00000000-0005-0000-0000-0000E8490000}"/>
    <cellStyle name="0_MIS_Projection_Feb'2009_5171 3 3 3 3 2" xfId="18935" xr:uid="{00000000-0005-0000-0000-0000E9490000}"/>
    <cellStyle name="0_MIS_Projection_Feb'2009_5171 3 3 3 4" xfId="18936" xr:uid="{00000000-0005-0000-0000-0000EA490000}"/>
    <cellStyle name="0_MIS_Projection_Feb'2009_5171 3 3 4" xfId="18937" xr:uid="{00000000-0005-0000-0000-0000EB490000}"/>
    <cellStyle name="0_MIS_Projection_Feb'2009_5171 3 3 4 2" xfId="18938" xr:uid="{00000000-0005-0000-0000-0000EC490000}"/>
    <cellStyle name="0_MIS_Projection_Feb'2009_5171 3 3 4 2 2" xfId="18939" xr:uid="{00000000-0005-0000-0000-0000ED490000}"/>
    <cellStyle name="0_MIS_Projection_Feb'2009_5171 3 3 4 3" xfId="18940" xr:uid="{00000000-0005-0000-0000-0000EE490000}"/>
    <cellStyle name="0_MIS_Projection_Feb'2009_5171 3 3 4 3 2" xfId="18941" xr:uid="{00000000-0005-0000-0000-0000EF490000}"/>
    <cellStyle name="0_MIS_Projection_Feb'2009_5171 3 3 4 4" xfId="18942" xr:uid="{00000000-0005-0000-0000-0000F0490000}"/>
    <cellStyle name="0_MIS_Projection_Feb'2009_5171 3 3 5" xfId="18943" xr:uid="{00000000-0005-0000-0000-0000F1490000}"/>
    <cellStyle name="0_MIS_Projection_Feb'2009_5171 3 3 5 2" xfId="18944" xr:uid="{00000000-0005-0000-0000-0000F2490000}"/>
    <cellStyle name="0_MIS_Projection_Feb'2009_5171 3 3 5 2 2" xfId="18945" xr:uid="{00000000-0005-0000-0000-0000F3490000}"/>
    <cellStyle name="0_MIS_Projection_Feb'2009_5171 3 3 5 3" xfId="18946" xr:uid="{00000000-0005-0000-0000-0000F4490000}"/>
    <cellStyle name="0_MIS_Projection_Feb'2009_5171 3 3 5 3 2" xfId="18947" xr:uid="{00000000-0005-0000-0000-0000F5490000}"/>
    <cellStyle name="0_MIS_Projection_Feb'2009_5171 3 3 5 4" xfId="18948" xr:uid="{00000000-0005-0000-0000-0000F6490000}"/>
    <cellStyle name="0_MIS_Projection_Feb'2009_5171 3 3 6" xfId="18949" xr:uid="{00000000-0005-0000-0000-0000F7490000}"/>
    <cellStyle name="0_MIS_Projection_Feb'2009_5171 3 3 6 2" xfId="18950" xr:uid="{00000000-0005-0000-0000-0000F8490000}"/>
    <cellStyle name="0_MIS_Projection_Feb'2009_5171 3 3 7" xfId="18951" xr:uid="{00000000-0005-0000-0000-0000F9490000}"/>
    <cellStyle name="0_MIS_Projection_Feb'2009_5171 3 3 7 2" xfId="18952" xr:uid="{00000000-0005-0000-0000-0000FA490000}"/>
    <cellStyle name="0_MIS_Projection_Feb'2009_5171 3 3 8" xfId="18953" xr:uid="{00000000-0005-0000-0000-0000FB490000}"/>
    <cellStyle name="0_MIS_Projection_Feb'2009_5171 3 4" xfId="18954" xr:uid="{00000000-0005-0000-0000-0000FC490000}"/>
    <cellStyle name="0_MIS_Projection_Feb'2009_5171 3 4 2" xfId="18955" xr:uid="{00000000-0005-0000-0000-0000FD490000}"/>
    <cellStyle name="0_MIS_Projection_Feb'2009_5171 3 4 2 2" xfId="18956" xr:uid="{00000000-0005-0000-0000-0000FE490000}"/>
    <cellStyle name="0_MIS_Projection_Feb'2009_5171 3 4 2 2 2" xfId="18957" xr:uid="{00000000-0005-0000-0000-0000FF490000}"/>
    <cellStyle name="0_MIS_Projection_Feb'2009_5171 3 4 2 2 2 2" xfId="18958" xr:uid="{00000000-0005-0000-0000-0000004A0000}"/>
    <cellStyle name="0_MIS_Projection_Feb'2009_5171 3 4 2 2 3" xfId="18959" xr:uid="{00000000-0005-0000-0000-0000014A0000}"/>
    <cellStyle name="0_MIS_Projection_Feb'2009_5171 3 4 2 2 3 2" xfId="18960" xr:uid="{00000000-0005-0000-0000-0000024A0000}"/>
    <cellStyle name="0_MIS_Projection_Feb'2009_5171 3 4 2 2 4" xfId="18961" xr:uid="{00000000-0005-0000-0000-0000034A0000}"/>
    <cellStyle name="0_MIS_Projection_Feb'2009_5171 3 4 2 3" xfId="18962" xr:uid="{00000000-0005-0000-0000-0000044A0000}"/>
    <cellStyle name="0_MIS_Projection_Feb'2009_5171 3 4 2 3 2" xfId="18963" xr:uid="{00000000-0005-0000-0000-0000054A0000}"/>
    <cellStyle name="0_MIS_Projection_Feb'2009_5171 3 4 2 3 2 2" xfId="18964" xr:uid="{00000000-0005-0000-0000-0000064A0000}"/>
    <cellStyle name="0_MIS_Projection_Feb'2009_5171 3 4 2 3 3" xfId="18965" xr:uid="{00000000-0005-0000-0000-0000074A0000}"/>
    <cellStyle name="0_MIS_Projection_Feb'2009_5171 3 4 2 3 3 2" xfId="18966" xr:uid="{00000000-0005-0000-0000-0000084A0000}"/>
    <cellStyle name="0_MIS_Projection_Feb'2009_5171 3 4 2 3 4" xfId="18967" xr:uid="{00000000-0005-0000-0000-0000094A0000}"/>
    <cellStyle name="0_MIS_Projection_Feb'2009_5171 3 4 2 4" xfId="18968" xr:uid="{00000000-0005-0000-0000-00000A4A0000}"/>
    <cellStyle name="0_MIS_Projection_Feb'2009_5171 3 4 2 4 2" xfId="18969" xr:uid="{00000000-0005-0000-0000-00000B4A0000}"/>
    <cellStyle name="0_MIS_Projection_Feb'2009_5171 3 4 2 5" xfId="18970" xr:uid="{00000000-0005-0000-0000-00000C4A0000}"/>
    <cellStyle name="0_MIS_Projection_Feb'2009_5171 3 4 2 5 2" xfId="18971" xr:uid="{00000000-0005-0000-0000-00000D4A0000}"/>
    <cellStyle name="0_MIS_Projection_Feb'2009_5171 3 4 2 6" xfId="18972" xr:uid="{00000000-0005-0000-0000-00000E4A0000}"/>
    <cellStyle name="0_MIS_Projection_Feb'2009_5171 3 4 3" xfId="18973" xr:uid="{00000000-0005-0000-0000-00000F4A0000}"/>
    <cellStyle name="0_MIS_Projection_Feb'2009_5171 3 4 3 2" xfId="18974" xr:uid="{00000000-0005-0000-0000-0000104A0000}"/>
    <cellStyle name="0_MIS_Projection_Feb'2009_5171 3 4 3 2 2" xfId="18975" xr:uid="{00000000-0005-0000-0000-0000114A0000}"/>
    <cellStyle name="0_MIS_Projection_Feb'2009_5171 3 4 3 3" xfId="18976" xr:uid="{00000000-0005-0000-0000-0000124A0000}"/>
    <cellStyle name="0_MIS_Projection_Feb'2009_5171 3 4 3 3 2" xfId="18977" xr:uid="{00000000-0005-0000-0000-0000134A0000}"/>
    <cellStyle name="0_MIS_Projection_Feb'2009_5171 3 4 3 4" xfId="18978" xr:uid="{00000000-0005-0000-0000-0000144A0000}"/>
    <cellStyle name="0_MIS_Projection_Feb'2009_5171 3 4 4" xfId="18979" xr:uid="{00000000-0005-0000-0000-0000154A0000}"/>
    <cellStyle name="0_MIS_Projection_Feb'2009_5171 3 4 4 2" xfId="18980" xr:uid="{00000000-0005-0000-0000-0000164A0000}"/>
    <cellStyle name="0_MIS_Projection_Feb'2009_5171 3 4 4 2 2" xfId="18981" xr:uid="{00000000-0005-0000-0000-0000174A0000}"/>
    <cellStyle name="0_MIS_Projection_Feb'2009_5171 3 4 4 3" xfId="18982" xr:uid="{00000000-0005-0000-0000-0000184A0000}"/>
    <cellStyle name="0_MIS_Projection_Feb'2009_5171 3 4 4 3 2" xfId="18983" xr:uid="{00000000-0005-0000-0000-0000194A0000}"/>
    <cellStyle name="0_MIS_Projection_Feb'2009_5171 3 4 4 4" xfId="18984" xr:uid="{00000000-0005-0000-0000-00001A4A0000}"/>
    <cellStyle name="0_MIS_Projection_Feb'2009_5171 3 4 5" xfId="18985" xr:uid="{00000000-0005-0000-0000-00001B4A0000}"/>
    <cellStyle name="0_MIS_Projection_Feb'2009_5171 3 4 5 2" xfId="18986" xr:uid="{00000000-0005-0000-0000-00001C4A0000}"/>
    <cellStyle name="0_MIS_Projection_Feb'2009_5171 3 4 5 2 2" xfId="18987" xr:uid="{00000000-0005-0000-0000-00001D4A0000}"/>
    <cellStyle name="0_MIS_Projection_Feb'2009_5171 3 4 5 3" xfId="18988" xr:uid="{00000000-0005-0000-0000-00001E4A0000}"/>
    <cellStyle name="0_MIS_Projection_Feb'2009_5171 3 4 5 3 2" xfId="18989" xr:uid="{00000000-0005-0000-0000-00001F4A0000}"/>
    <cellStyle name="0_MIS_Projection_Feb'2009_5171 3 4 5 4" xfId="18990" xr:uid="{00000000-0005-0000-0000-0000204A0000}"/>
    <cellStyle name="0_MIS_Projection_Feb'2009_5171 3 4 6" xfId="18991" xr:uid="{00000000-0005-0000-0000-0000214A0000}"/>
    <cellStyle name="0_MIS_Projection_Feb'2009_5171 3 4 6 2" xfId="18992" xr:uid="{00000000-0005-0000-0000-0000224A0000}"/>
    <cellStyle name="0_MIS_Projection_Feb'2009_5171 3 4 7" xfId="18993" xr:uid="{00000000-0005-0000-0000-0000234A0000}"/>
    <cellStyle name="0_MIS_Projection_Feb'2009_5171 3 4 7 2" xfId="18994" xr:uid="{00000000-0005-0000-0000-0000244A0000}"/>
    <cellStyle name="0_MIS_Projection_Feb'2009_5171 3 4 8" xfId="18995" xr:uid="{00000000-0005-0000-0000-0000254A0000}"/>
    <cellStyle name="0_MIS_Projection_Feb'2009_5171 3 5" xfId="18996" xr:uid="{00000000-0005-0000-0000-0000264A0000}"/>
    <cellStyle name="0_MIS_Projection_Feb'2009_5171 3 5 2" xfId="18997" xr:uid="{00000000-0005-0000-0000-0000274A0000}"/>
    <cellStyle name="0_MIS_Projection_Feb'2009_5171 3 5 2 2" xfId="18998" xr:uid="{00000000-0005-0000-0000-0000284A0000}"/>
    <cellStyle name="0_MIS_Projection_Feb'2009_5171 3 5 2 2 2" xfId="18999" xr:uid="{00000000-0005-0000-0000-0000294A0000}"/>
    <cellStyle name="0_MIS_Projection_Feb'2009_5171 3 5 2 2 2 2" xfId="19000" xr:uid="{00000000-0005-0000-0000-00002A4A0000}"/>
    <cellStyle name="0_MIS_Projection_Feb'2009_5171 3 5 2 2 3" xfId="19001" xr:uid="{00000000-0005-0000-0000-00002B4A0000}"/>
    <cellStyle name="0_MIS_Projection_Feb'2009_5171 3 5 2 2 3 2" xfId="19002" xr:uid="{00000000-0005-0000-0000-00002C4A0000}"/>
    <cellStyle name="0_MIS_Projection_Feb'2009_5171 3 5 2 2 4" xfId="19003" xr:uid="{00000000-0005-0000-0000-00002D4A0000}"/>
    <cellStyle name="0_MIS_Projection_Feb'2009_5171 3 5 2 3" xfId="19004" xr:uid="{00000000-0005-0000-0000-00002E4A0000}"/>
    <cellStyle name="0_MIS_Projection_Feb'2009_5171 3 5 2 3 2" xfId="19005" xr:uid="{00000000-0005-0000-0000-00002F4A0000}"/>
    <cellStyle name="0_MIS_Projection_Feb'2009_5171 3 5 2 3 2 2" xfId="19006" xr:uid="{00000000-0005-0000-0000-0000304A0000}"/>
    <cellStyle name="0_MIS_Projection_Feb'2009_5171 3 5 2 3 3" xfId="19007" xr:uid="{00000000-0005-0000-0000-0000314A0000}"/>
    <cellStyle name="0_MIS_Projection_Feb'2009_5171 3 5 2 3 3 2" xfId="19008" xr:uid="{00000000-0005-0000-0000-0000324A0000}"/>
    <cellStyle name="0_MIS_Projection_Feb'2009_5171 3 5 2 3 4" xfId="19009" xr:uid="{00000000-0005-0000-0000-0000334A0000}"/>
    <cellStyle name="0_MIS_Projection_Feb'2009_5171 3 5 2 4" xfId="19010" xr:uid="{00000000-0005-0000-0000-0000344A0000}"/>
    <cellStyle name="0_MIS_Projection_Feb'2009_5171 3 5 2 4 2" xfId="19011" xr:uid="{00000000-0005-0000-0000-0000354A0000}"/>
    <cellStyle name="0_MIS_Projection_Feb'2009_5171 3 5 2 5" xfId="19012" xr:uid="{00000000-0005-0000-0000-0000364A0000}"/>
    <cellStyle name="0_MIS_Projection_Feb'2009_5171 3 5 2 5 2" xfId="19013" xr:uid="{00000000-0005-0000-0000-0000374A0000}"/>
    <cellStyle name="0_MIS_Projection_Feb'2009_5171 3 5 2 6" xfId="19014" xr:uid="{00000000-0005-0000-0000-0000384A0000}"/>
    <cellStyle name="0_MIS_Projection_Feb'2009_5171 3 5 3" xfId="19015" xr:uid="{00000000-0005-0000-0000-0000394A0000}"/>
    <cellStyle name="0_MIS_Projection_Feb'2009_5171 3 5 3 2" xfId="19016" xr:uid="{00000000-0005-0000-0000-00003A4A0000}"/>
    <cellStyle name="0_MIS_Projection_Feb'2009_5171 3 5 3 2 2" xfId="19017" xr:uid="{00000000-0005-0000-0000-00003B4A0000}"/>
    <cellStyle name="0_MIS_Projection_Feb'2009_5171 3 5 3 3" xfId="19018" xr:uid="{00000000-0005-0000-0000-00003C4A0000}"/>
    <cellStyle name="0_MIS_Projection_Feb'2009_5171 3 5 3 3 2" xfId="19019" xr:uid="{00000000-0005-0000-0000-00003D4A0000}"/>
    <cellStyle name="0_MIS_Projection_Feb'2009_5171 3 5 3 4" xfId="19020" xr:uid="{00000000-0005-0000-0000-00003E4A0000}"/>
    <cellStyle name="0_MIS_Projection_Feb'2009_5171 3 5 4" xfId="19021" xr:uid="{00000000-0005-0000-0000-00003F4A0000}"/>
    <cellStyle name="0_MIS_Projection_Feb'2009_5171 3 5 4 2" xfId="19022" xr:uid="{00000000-0005-0000-0000-0000404A0000}"/>
    <cellStyle name="0_MIS_Projection_Feb'2009_5171 3 5 4 2 2" xfId="19023" xr:uid="{00000000-0005-0000-0000-0000414A0000}"/>
    <cellStyle name="0_MIS_Projection_Feb'2009_5171 3 5 4 3" xfId="19024" xr:uid="{00000000-0005-0000-0000-0000424A0000}"/>
    <cellStyle name="0_MIS_Projection_Feb'2009_5171 3 5 4 3 2" xfId="19025" xr:uid="{00000000-0005-0000-0000-0000434A0000}"/>
    <cellStyle name="0_MIS_Projection_Feb'2009_5171 3 5 4 4" xfId="19026" xr:uid="{00000000-0005-0000-0000-0000444A0000}"/>
    <cellStyle name="0_MIS_Projection_Feb'2009_5171 3 5 5" xfId="19027" xr:uid="{00000000-0005-0000-0000-0000454A0000}"/>
    <cellStyle name="0_MIS_Projection_Feb'2009_5171 3 5 5 2" xfId="19028" xr:uid="{00000000-0005-0000-0000-0000464A0000}"/>
    <cellStyle name="0_MIS_Projection_Feb'2009_5171 3 5 5 2 2" xfId="19029" xr:uid="{00000000-0005-0000-0000-0000474A0000}"/>
    <cellStyle name="0_MIS_Projection_Feb'2009_5171 3 5 5 3" xfId="19030" xr:uid="{00000000-0005-0000-0000-0000484A0000}"/>
    <cellStyle name="0_MIS_Projection_Feb'2009_5171 3 5 5 3 2" xfId="19031" xr:uid="{00000000-0005-0000-0000-0000494A0000}"/>
    <cellStyle name="0_MIS_Projection_Feb'2009_5171 3 5 5 4" xfId="19032" xr:uid="{00000000-0005-0000-0000-00004A4A0000}"/>
    <cellStyle name="0_MIS_Projection_Feb'2009_5171 3 5 6" xfId="19033" xr:uid="{00000000-0005-0000-0000-00004B4A0000}"/>
    <cellStyle name="0_MIS_Projection_Feb'2009_5171 3 5 6 2" xfId="19034" xr:uid="{00000000-0005-0000-0000-00004C4A0000}"/>
    <cellStyle name="0_MIS_Projection_Feb'2009_5171 3 5 7" xfId="19035" xr:uid="{00000000-0005-0000-0000-00004D4A0000}"/>
    <cellStyle name="0_MIS_Projection_Feb'2009_5171 3 5 7 2" xfId="19036" xr:uid="{00000000-0005-0000-0000-00004E4A0000}"/>
    <cellStyle name="0_MIS_Projection_Feb'2009_5171 3 5 8" xfId="19037" xr:uid="{00000000-0005-0000-0000-00004F4A0000}"/>
    <cellStyle name="0_MIS_Projection_Feb'2009_5171 3 6" xfId="19038" xr:uid="{00000000-0005-0000-0000-0000504A0000}"/>
    <cellStyle name="0_MIS_Projection_Feb'2009_5171 3 6 2" xfId="19039" xr:uid="{00000000-0005-0000-0000-0000514A0000}"/>
    <cellStyle name="0_MIS_Projection_Feb'2009_5171 3 6 2 2" xfId="19040" xr:uid="{00000000-0005-0000-0000-0000524A0000}"/>
    <cellStyle name="0_MIS_Projection_Feb'2009_5171 3 6 2 2 2" xfId="19041" xr:uid="{00000000-0005-0000-0000-0000534A0000}"/>
    <cellStyle name="0_MIS_Projection_Feb'2009_5171 3 6 2 2 2 2" xfId="19042" xr:uid="{00000000-0005-0000-0000-0000544A0000}"/>
    <cellStyle name="0_MIS_Projection_Feb'2009_5171 3 6 2 2 3" xfId="19043" xr:uid="{00000000-0005-0000-0000-0000554A0000}"/>
    <cellStyle name="0_MIS_Projection_Feb'2009_5171 3 6 2 2 3 2" xfId="19044" xr:uid="{00000000-0005-0000-0000-0000564A0000}"/>
    <cellStyle name="0_MIS_Projection_Feb'2009_5171 3 6 2 2 4" xfId="19045" xr:uid="{00000000-0005-0000-0000-0000574A0000}"/>
    <cellStyle name="0_MIS_Projection_Feb'2009_5171 3 6 2 3" xfId="19046" xr:uid="{00000000-0005-0000-0000-0000584A0000}"/>
    <cellStyle name="0_MIS_Projection_Feb'2009_5171 3 6 2 3 2" xfId="19047" xr:uid="{00000000-0005-0000-0000-0000594A0000}"/>
    <cellStyle name="0_MIS_Projection_Feb'2009_5171 3 6 2 3 2 2" xfId="19048" xr:uid="{00000000-0005-0000-0000-00005A4A0000}"/>
    <cellStyle name="0_MIS_Projection_Feb'2009_5171 3 6 2 3 3" xfId="19049" xr:uid="{00000000-0005-0000-0000-00005B4A0000}"/>
    <cellStyle name="0_MIS_Projection_Feb'2009_5171 3 6 2 3 3 2" xfId="19050" xr:uid="{00000000-0005-0000-0000-00005C4A0000}"/>
    <cellStyle name="0_MIS_Projection_Feb'2009_5171 3 6 2 3 4" xfId="19051" xr:uid="{00000000-0005-0000-0000-00005D4A0000}"/>
    <cellStyle name="0_MIS_Projection_Feb'2009_5171 3 6 2 4" xfId="19052" xr:uid="{00000000-0005-0000-0000-00005E4A0000}"/>
    <cellStyle name="0_MIS_Projection_Feb'2009_5171 3 6 2 4 2" xfId="19053" xr:uid="{00000000-0005-0000-0000-00005F4A0000}"/>
    <cellStyle name="0_MIS_Projection_Feb'2009_5171 3 6 2 5" xfId="19054" xr:uid="{00000000-0005-0000-0000-0000604A0000}"/>
    <cellStyle name="0_MIS_Projection_Feb'2009_5171 3 6 2 5 2" xfId="19055" xr:uid="{00000000-0005-0000-0000-0000614A0000}"/>
    <cellStyle name="0_MIS_Projection_Feb'2009_5171 3 6 2 6" xfId="19056" xr:uid="{00000000-0005-0000-0000-0000624A0000}"/>
    <cellStyle name="0_MIS_Projection_Feb'2009_5171 3 6 3" xfId="19057" xr:uid="{00000000-0005-0000-0000-0000634A0000}"/>
    <cellStyle name="0_MIS_Projection_Feb'2009_5171 3 6 3 2" xfId="19058" xr:uid="{00000000-0005-0000-0000-0000644A0000}"/>
    <cellStyle name="0_MIS_Projection_Feb'2009_5171 3 6 3 2 2" xfId="19059" xr:uid="{00000000-0005-0000-0000-0000654A0000}"/>
    <cellStyle name="0_MIS_Projection_Feb'2009_5171 3 6 3 3" xfId="19060" xr:uid="{00000000-0005-0000-0000-0000664A0000}"/>
    <cellStyle name="0_MIS_Projection_Feb'2009_5171 3 6 3 3 2" xfId="19061" xr:uid="{00000000-0005-0000-0000-0000674A0000}"/>
    <cellStyle name="0_MIS_Projection_Feb'2009_5171 3 6 3 4" xfId="19062" xr:uid="{00000000-0005-0000-0000-0000684A0000}"/>
    <cellStyle name="0_MIS_Projection_Feb'2009_5171 3 6 4" xfId="19063" xr:uid="{00000000-0005-0000-0000-0000694A0000}"/>
    <cellStyle name="0_MIS_Projection_Feb'2009_5171 3 6 4 2" xfId="19064" xr:uid="{00000000-0005-0000-0000-00006A4A0000}"/>
    <cellStyle name="0_MIS_Projection_Feb'2009_5171 3 6 4 2 2" xfId="19065" xr:uid="{00000000-0005-0000-0000-00006B4A0000}"/>
    <cellStyle name="0_MIS_Projection_Feb'2009_5171 3 6 4 3" xfId="19066" xr:uid="{00000000-0005-0000-0000-00006C4A0000}"/>
    <cellStyle name="0_MIS_Projection_Feb'2009_5171 3 6 4 3 2" xfId="19067" xr:uid="{00000000-0005-0000-0000-00006D4A0000}"/>
    <cellStyle name="0_MIS_Projection_Feb'2009_5171 3 6 4 4" xfId="19068" xr:uid="{00000000-0005-0000-0000-00006E4A0000}"/>
    <cellStyle name="0_MIS_Projection_Feb'2009_5171 3 6 5" xfId="19069" xr:uid="{00000000-0005-0000-0000-00006F4A0000}"/>
    <cellStyle name="0_MIS_Projection_Feb'2009_5171 3 6 5 2" xfId="19070" xr:uid="{00000000-0005-0000-0000-0000704A0000}"/>
    <cellStyle name="0_MIS_Projection_Feb'2009_5171 3 6 5 2 2" xfId="19071" xr:uid="{00000000-0005-0000-0000-0000714A0000}"/>
    <cellStyle name="0_MIS_Projection_Feb'2009_5171 3 6 5 3" xfId="19072" xr:uid="{00000000-0005-0000-0000-0000724A0000}"/>
    <cellStyle name="0_MIS_Projection_Feb'2009_5171 3 6 5 3 2" xfId="19073" xr:uid="{00000000-0005-0000-0000-0000734A0000}"/>
    <cellStyle name="0_MIS_Projection_Feb'2009_5171 3 6 5 4" xfId="19074" xr:uid="{00000000-0005-0000-0000-0000744A0000}"/>
    <cellStyle name="0_MIS_Projection_Feb'2009_5171 3 6 6" xfId="19075" xr:uid="{00000000-0005-0000-0000-0000754A0000}"/>
    <cellStyle name="0_MIS_Projection_Feb'2009_5171 3 6 6 2" xfId="19076" xr:uid="{00000000-0005-0000-0000-0000764A0000}"/>
    <cellStyle name="0_MIS_Projection_Feb'2009_5171 3 6 7" xfId="19077" xr:uid="{00000000-0005-0000-0000-0000774A0000}"/>
    <cellStyle name="0_MIS_Projection_Feb'2009_5171 3 6 7 2" xfId="19078" xr:uid="{00000000-0005-0000-0000-0000784A0000}"/>
    <cellStyle name="0_MIS_Projection_Feb'2009_5171 3 6 8" xfId="19079" xr:uid="{00000000-0005-0000-0000-0000794A0000}"/>
    <cellStyle name="0_MIS_Projection_Feb'2009_5171 3 7" xfId="19080" xr:uid="{00000000-0005-0000-0000-00007A4A0000}"/>
    <cellStyle name="0_MIS_Projection_Feb'2009_5171 3 7 2" xfId="19081" xr:uid="{00000000-0005-0000-0000-00007B4A0000}"/>
    <cellStyle name="0_MIS_Projection_Feb'2009_5171 3 7 2 2" xfId="19082" xr:uid="{00000000-0005-0000-0000-00007C4A0000}"/>
    <cellStyle name="0_MIS_Projection_Feb'2009_5171 3 7 2 2 2" xfId="19083" xr:uid="{00000000-0005-0000-0000-00007D4A0000}"/>
    <cellStyle name="0_MIS_Projection_Feb'2009_5171 3 7 2 3" xfId="19084" xr:uid="{00000000-0005-0000-0000-00007E4A0000}"/>
    <cellStyle name="0_MIS_Projection_Feb'2009_5171 3 7 2 3 2" xfId="19085" xr:uid="{00000000-0005-0000-0000-00007F4A0000}"/>
    <cellStyle name="0_MIS_Projection_Feb'2009_5171 3 7 2 4" xfId="19086" xr:uid="{00000000-0005-0000-0000-0000804A0000}"/>
    <cellStyle name="0_MIS_Projection_Feb'2009_5171 3 7 3" xfId="19087" xr:uid="{00000000-0005-0000-0000-0000814A0000}"/>
    <cellStyle name="0_MIS_Projection_Feb'2009_5171 3 7 3 2" xfId="19088" xr:uid="{00000000-0005-0000-0000-0000824A0000}"/>
    <cellStyle name="0_MIS_Projection_Feb'2009_5171 3 7 3 2 2" xfId="19089" xr:uid="{00000000-0005-0000-0000-0000834A0000}"/>
    <cellStyle name="0_MIS_Projection_Feb'2009_5171 3 7 3 3" xfId="19090" xr:uid="{00000000-0005-0000-0000-0000844A0000}"/>
    <cellStyle name="0_MIS_Projection_Feb'2009_5171 3 7 3 3 2" xfId="19091" xr:uid="{00000000-0005-0000-0000-0000854A0000}"/>
    <cellStyle name="0_MIS_Projection_Feb'2009_5171 3 7 3 4" xfId="19092" xr:uid="{00000000-0005-0000-0000-0000864A0000}"/>
    <cellStyle name="0_MIS_Projection_Feb'2009_5171 3 7 4" xfId="19093" xr:uid="{00000000-0005-0000-0000-0000874A0000}"/>
    <cellStyle name="0_MIS_Projection_Feb'2009_5171 3 7 4 2" xfId="19094" xr:uid="{00000000-0005-0000-0000-0000884A0000}"/>
    <cellStyle name="0_MIS_Projection_Feb'2009_5171 3 7 5" xfId="19095" xr:uid="{00000000-0005-0000-0000-0000894A0000}"/>
    <cellStyle name="0_MIS_Projection_Feb'2009_5171 3 7 5 2" xfId="19096" xr:uid="{00000000-0005-0000-0000-00008A4A0000}"/>
    <cellStyle name="0_MIS_Projection_Feb'2009_5171 3 7 6" xfId="19097" xr:uid="{00000000-0005-0000-0000-00008B4A0000}"/>
    <cellStyle name="0_MIS_Projection_Feb'2009_5171 3 8" xfId="19098" xr:uid="{00000000-0005-0000-0000-00008C4A0000}"/>
    <cellStyle name="0_MIS_Projection_Feb'2009_5171 3 8 2" xfId="19099" xr:uid="{00000000-0005-0000-0000-00008D4A0000}"/>
    <cellStyle name="0_MIS_Projection_Feb'2009_5171 3 8 2 2" xfId="19100" xr:uid="{00000000-0005-0000-0000-00008E4A0000}"/>
    <cellStyle name="0_MIS_Projection_Feb'2009_5171 3 8 3" xfId="19101" xr:uid="{00000000-0005-0000-0000-00008F4A0000}"/>
    <cellStyle name="0_MIS_Projection_Feb'2009_5171 3 8 3 2" xfId="19102" xr:uid="{00000000-0005-0000-0000-0000904A0000}"/>
    <cellStyle name="0_MIS_Projection_Feb'2009_5171 3 8 4" xfId="19103" xr:uid="{00000000-0005-0000-0000-0000914A0000}"/>
    <cellStyle name="0_MIS_Projection_Feb'2009_5171 3 9" xfId="19104" xr:uid="{00000000-0005-0000-0000-0000924A0000}"/>
    <cellStyle name="0_MIS_Projection_Feb'2009_5171 3 9 2" xfId="19105" xr:uid="{00000000-0005-0000-0000-0000934A0000}"/>
    <cellStyle name="0_MIS_Projection_Feb'2009_5171 3 9 2 2" xfId="19106" xr:uid="{00000000-0005-0000-0000-0000944A0000}"/>
    <cellStyle name="0_MIS_Projection_Feb'2009_5171 3 9 3" xfId="19107" xr:uid="{00000000-0005-0000-0000-0000954A0000}"/>
    <cellStyle name="0_MIS_Projection_Feb'2009_5171 3 9 3 2" xfId="19108" xr:uid="{00000000-0005-0000-0000-0000964A0000}"/>
    <cellStyle name="0_MIS_Projection_Feb'2009_5171 3 9 4" xfId="19109" xr:uid="{00000000-0005-0000-0000-0000974A0000}"/>
    <cellStyle name="0_MIS_Projection_Feb'2009_5171 4" xfId="19110" xr:uid="{00000000-0005-0000-0000-0000984A0000}"/>
    <cellStyle name="0_MIS_Projection_Feb'2009_5171 4 10" xfId="19111" xr:uid="{00000000-0005-0000-0000-0000994A0000}"/>
    <cellStyle name="0_MIS_Projection_Feb'2009_5171 4 10 2" xfId="19112" xr:uid="{00000000-0005-0000-0000-00009A4A0000}"/>
    <cellStyle name="0_MIS_Projection_Feb'2009_5171 4 10 2 2" xfId="19113" xr:uid="{00000000-0005-0000-0000-00009B4A0000}"/>
    <cellStyle name="0_MIS_Projection_Feb'2009_5171 4 10 3" xfId="19114" xr:uid="{00000000-0005-0000-0000-00009C4A0000}"/>
    <cellStyle name="0_MIS_Projection_Feb'2009_5171 4 10 3 2" xfId="19115" xr:uid="{00000000-0005-0000-0000-00009D4A0000}"/>
    <cellStyle name="0_MIS_Projection_Feb'2009_5171 4 10 4" xfId="19116" xr:uid="{00000000-0005-0000-0000-00009E4A0000}"/>
    <cellStyle name="0_MIS_Projection_Feb'2009_5171 4 11" xfId="19117" xr:uid="{00000000-0005-0000-0000-00009F4A0000}"/>
    <cellStyle name="0_MIS_Projection_Feb'2009_5171 4 11 2" xfId="19118" xr:uid="{00000000-0005-0000-0000-0000A04A0000}"/>
    <cellStyle name="0_MIS_Projection_Feb'2009_5171 4 12" xfId="19119" xr:uid="{00000000-0005-0000-0000-0000A14A0000}"/>
    <cellStyle name="0_MIS_Projection_Feb'2009_5171 4 12 2" xfId="19120" xr:uid="{00000000-0005-0000-0000-0000A24A0000}"/>
    <cellStyle name="0_MIS_Projection_Feb'2009_5171 4 13" xfId="19121" xr:uid="{00000000-0005-0000-0000-0000A34A0000}"/>
    <cellStyle name="0_MIS_Projection_Feb'2009_5171 4 2" xfId="19122" xr:uid="{00000000-0005-0000-0000-0000A44A0000}"/>
    <cellStyle name="0_MIS_Projection_Feb'2009_5171 4 2 2" xfId="19123" xr:uid="{00000000-0005-0000-0000-0000A54A0000}"/>
    <cellStyle name="0_MIS_Projection_Feb'2009_5171 4 2 2 2" xfId="19124" xr:uid="{00000000-0005-0000-0000-0000A64A0000}"/>
    <cellStyle name="0_MIS_Projection_Feb'2009_5171 4 2 2 2 2" xfId="19125" xr:uid="{00000000-0005-0000-0000-0000A74A0000}"/>
    <cellStyle name="0_MIS_Projection_Feb'2009_5171 4 2 2 2 2 2" xfId="19126" xr:uid="{00000000-0005-0000-0000-0000A84A0000}"/>
    <cellStyle name="0_MIS_Projection_Feb'2009_5171 4 2 2 2 3" xfId="19127" xr:uid="{00000000-0005-0000-0000-0000A94A0000}"/>
    <cellStyle name="0_MIS_Projection_Feb'2009_5171 4 2 2 2 3 2" xfId="19128" xr:uid="{00000000-0005-0000-0000-0000AA4A0000}"/>
    <cellStyle name="0_MIS_Projection_Feb'2009_5171 4 2 2 2 4" xfId="19129" xr:uid="{00000000-0005-0000-0000-0000AB4A0000}"/>
    <cellStyle name="0_MIS_Projection_Feb'2009_5171 4 2 2 3" xfId="19130" xr:uid="{00000000-0005-0000-0000-0000AC4A0000}"/>
    <cellStyle name="0_MIS_Projection_Feb'2009_5171 4 2 2 3 2" xfId="19131" xr:uid="{00000000-0005-0000-0000-0000AD4A0000}"/>
    <cellStyle name="0_MIS_Projection_Feb'2009_5171 4 2 2 3 2 2" xfId="19132" xr:uid="{00000000-0005-0000-0000-0000AE4A0000}"/>
    <cellStyle name="0_MIS_Projection_Feb'2009_5171 4 2 2 3 3" xfId="19133" xr:uid="{00000000-0005-0000-0000-0000AF4A0000}"/>
    <cellStyle name="0_MIS_Projection_Feb'2009_5171 4 2 2 3 3 2" xfId="19134" xr:uid="{00000000-0005-0000-0000-0000B04A0000}"/>
    <cellStyle name="0_MIS_Projection_Feb'2009_5171 4 2 2 3 4" xfId="19135" xr:uid="{00000000-0005-0000-0000-0000B14A0000}"/>
    <cellStyle name="0_MIS_Projection_Feb'2009_5171 4 2 2 4" xfId="19136" xr:uid="{00000000-0005-0000-0000-0000B24A0000}"/>
    <cellStyle name="0_MIS_Projection_Feb'2009_5171 4 2 2 4 2" xfId="19137" xr:uid="{00000000-0005-0000-0000-0000B34A0000}"/>
    <cellStyle name="0_MIS_Projection_Feb'2009_5171 4 2 2 5" xfId="19138" xr:uid="{00000000-0005-0000-0000-0000B44A0000}"/>
    <cellStyle name="0_MIS_Projection_Feb'2009_5171 4 2 2 5 2" xfId="19139" xr:uid="{00000000-0005-0000-0000-0000B54A0000}"/>
    <cellStyle name="0_MIS_Projection_Feb'2009_5171 4 2 2 6" xfId="19140" xr:uid="{00000000-0005-0000-0000-0000B64A0000}"/>
    <cellStyle name="0_MIS_Projection_Feb'2009_5171 4 2 3" xfId="19141" xr:uid="{00000000-0005-0000-0000-0000B74A0000}"/>
    <cellStyle name="0_MIS_Projection_Feb'2009_5171 4 2 3 2" xfId="19142" xr:uid="{00000000-0005-0000-0000-0000B84A0000}"/>
    <cellStyle name="0_MIS_Projection_Feb'2009_5171 4 2 3 2 2" xfId="19143" xr:uid="{00000000-0005-0000-0000-0000B94A0000}"/>
    <cellStyle name="0_MIS_Projection_Feb'2009_5171 4 2 3 3" xfId="19144" xr:uid="{00000000-0005-0000-0000-0000BA4A0000}"/>
    <cellStyle name="0_MIS_Projection_Feb'2009_5171 4 2 3 3 2" xfId="19145" xr:uid="{00000000-0005-0000-0000-0000BB4A0000}"/>
    <cellStyle name="0_MIS_Projection_Feb'2009_5171 4 2 3 4" xfId="19146" xr:uid="{00000000-0005-0000-0000-0000BC4A0000}"/>
    <cellStyle name="0_MIS_Projection_Feb'2009_5171 4 2 4" xfId="19147" xr:uid="{00000000-0005-0000-0000-0000BD4A0000}"/>
    <cellStyle name="0_MIS_Projection_Feb'2009_5171 4 2 4 2" xfId="19148" xr:uid="{00000000-0005-0000-0000-0000BE4A0000}"/>
    <cellStyle name="0_MIS_Projection_Feb'2009_5171 4 2 4 2 2" xfId="19149" xr:uid="{00000000-0005-0000-0000-0000BF4A0000}"/>
    <cellStyle name="0_MIS_Projection_Feb'2009_5171 4 2 4 3" xfId="19150" xr:uid="{00000000-0005-0000-0000-0000C04A0000}"/>
    <cellStyle name="0_MIS_Projection_Feb'2009_5171 4 2 4 3 2" xfId="19151" xr:uid="{00000000-0005-0000-0000-0000C14A0000}"/>
    <cellStyle name="0_MIS_Projection_Feb'2009_5171 4 2 4 4" xfId="19152" xr:uid="{00000000-0005-0000-0000-0000C24A0000}"/>
    <cellStyle name="0_MIS_Projection_Feb'2009_5171 4 2 5" xfId="19153" xr:uid="{00000000-0005-0000-0000-0000C34A0000}"/>
    <cellStyle name="0_MIS_Projection_Feb'2009_5171 4 2 5 2" xfId="19154" xr:uid="{00000000-0005-0000-0000-0000C44A0000}"/>
    <cellStyle name="0_MIS_Projection_Feb'2009_5171 4 2 5 2 2" xfId="19155" xr:uid="{00000000-0005-0000-0000-0000C54A0000}"/>
    <cellStyle name="0_MIS_Projection_Feb'2009_5171 4 2 5 3" xfId="19156" xr:uid="{00000000-0005-0000-0000-0000C64A0000}"/>
    <cellStyle name="0_MIS_Projection_Feb'2009_5171 4 2 5 3 2" xfId="19157" xr:uid="{00000000-0005-0000-0000-0000C74A0000}"/>
    <cellStyle name="0_MIS_Projection_Feb'2009_5171 4 2 5 4" xfId="19158" xr:uid="{00000000-0005-0000-0000-0000C84A0000}"/>
    <cellStyle name="0_MIS_Projection_Feb'2009_5171 4 2 6" xfId="19159" xr:uid="{00000000-0005-0000-0000-0000C94A0000}"/>
    <cellStyle name="0_MIS_Projection_Feb'2009_5171 4 2 6 2" xfId="19160" xr:uid="{00000000-0005-0000-0000-0000CA4A0000}"/>
    <cellStyle name="0_MIS_Projection_Feb'2009_5171 4 2 7" xfId="19161" xr:uid="{00000000-0005-0000-0000-0000CB4A0000}"/>
    <cellStyle name="0_MIS_Projection_Feb'2009_5171 4 2 7 2" xfId="19162" xr:uid="{00000000-0005-0000-0000-0000CC4A0000}"/>
    <cellStyle name="0_MIS_Projection_Feb'2009_5171 4 2 8" xfId="19163" xr:uid="{00000000-0005-0000-0000-0000CD4A0000}"/>
    <cellStyle name="0_MIS_Projection_Feb'2009_5171 4 3" xfId="19164" xr:uid="{00000000-0005-0000-0000-0000CE4A0000}"/>
    <cellStyle name="0_MIS_Projection_Feb'2009_5171 4 3 2" xfId="19165" xr:uid="{00000000-0005-0000-0000-0000CF4A0000}"/>
    <cellStyle name="0_MIS_Projection_Feb'2009_5171 4 3 2 2" xfId="19166" xr:uid="{00000000-0005-0000-0000-0000D04A0000}"/>
    <cellStyle name="0_MIS_Projection_Feb'2009_5171 4 3 2 2 2" xfId="19167" xr:uid="{00000000-0005-0000-0000-0000D14A0000}"/>
    <cellStyle name="0_MIS_Projection_Feb'2009_5171 4 3 2 2 2 2" xfId="19168" xr:uid="{00000000-0005-0000-0000-0000D24A0000}"/>
    <cellStyle name="0_MIS_Projection_Feb'2009_5171 4 3 2 2 3" xfId="19169" xr:uid="{00000000-0005-0000-0000-0000D34A0000}"/>
    <cellStyle name="0_MIS_Projection_Feb'2009_5171 4 3 2 2 3 2" xfId="19170" xr:uid="{00000000-0005-0000-0000-0000D44A0000}"/>
    <cellStyle name="0_MIS_Projection_Feb'2009_5171 4 3 2 2 4" xfId="19171" xr:uid="{00000000-0005-0000-0000-0000D54A0000}"/>
    <cellStyle name="0_MIS_Projection_Feb'2009_5171 4 3 2 3" xfId="19172" xr:uid="{00000000-0005-0000-0000-0000D64A0000}"/>
    <cellStyle name="0_MIS_Projection_Feb'2009_5171 4 3 2 3 2" xfId="19173" xr:uid="{00000000-0005-0000-0000-0000D74A0000}"/>
    <cellStyle name="0_MIS_Projection_Feb'2009_5171 4 3 2 3 2 2" xfId="19174" xr:uid="{00000000-0005-0000-0000-0000D84A0000}"/>
    <cellStyle name="0_MIS_Projection_Feb'2009_5171 4 3 2 3 3" xfId="19175" xr:uid="{00000000-0005-0000-0000-0000D94A0000}"/>
    <cellStyle name="0_MIS_Projection_Feb'2009_5171 4 3 2 3 3 2" xfId="19176" xr:uid="{00000000-0005-0000-0000-0000DA4A0000}"/>
    <cellStyle name="0_MIS_Projection_Feb'2009_5171 4 3 2 3 4" xfId="19177" xr:uid="{00000000-0005-0000-0000-0000DB4A0000}"/>
    <cellStyle name="0_MIS_Projection_Feb'2009_5171 4 3 2 4" xfId="19178" xr:uid="{00000000-0005-0000-0000-0000DC4A0000}"/>
    <cellStyle name="0_MIS_Projection_Feb'2009_5171 4 3 2 4 2" xfId="19179" xr:uid="{00000000-0005-0000-0000-0000DD4A0000}"/>
    <cellStyle name="0_MIS_Projection_Feb'2009_5171 4 3 2 5" xfId="19180" xr:uid="{00000000-0005-0000-0000-0000DE4A0000}"/>
    <cellStyle name="0_MIS_Projection_Feb'2009_5171 4 3 2 5 2" xfId="19181" xr:uid="{00000000-0005-0000-0000-0000DF4A0000}"/>
    <cellStyle name="0_MIS_Projection_Feb'2009_5171 4 3 2 6" xfId="19182" xr:uid="{00000000-0005-0000-0000-0000E04A0000}"/>
    <cellStyle name="0_MIS_Projection_Feb'2009_5171 4 3 3" xfId="19183" xr:uid="{00000000-0005-0000-0000-0000E14A0000}"/>
    <cellStyle name="0_MIS_Projection_Feb'2009_5171 4 3 3 2" xfId="19184" xr:uid="{00000000-0005-0000-0000-0000E24A0000}"/>
    <cellStyle name="0_MIS_Projection_Feb'2009_5171 4 3 3 2 2" xfId="19185" xr:uid="{00000000-0005-0000-0000-0000E34A0000}"/>
    <cellStyle name="0_MIS_Projection_Feb'2009_5171 4 3 3 3" xfId="19186" xr:uid="{00000000-0005-0000-0000-0000E44A0000}"/>
    <cellStyle name="0_MIS_Projection_Feb'2009_5171 4 3 3 3 2" xfId="19187" xr:uid="{00000000-0005-0000-0000-0000E54A0000}"/>
    <cellStyle name="0_MIS_Projection_Feb'2009_5171 4 3 3 4" xfId="19188" xr:uid="{00000000-0005-0000-0000-0000E64A0000}"/>
    <cellStyle name="0_MIS_Projection_Feb'2009_5171 4 3 4" xfId="19189" xr:uid="{00000000-0005-0000-0000-0000E74A0000}"/>
    <cellStyle name="0_MIS_Projection_Feb'2009_5171 4 3 4 2" xfId="19190" xr:uid="{00000000-0005-0000-0000-0000E84A0000}"/>
    <cellStyle name="0_MIS_Projection_Feb'2009_5171 4 3 4 2 2" xfId="19191" xr:uid="{00000000-0005-0000-0000-0000E94A0000}"/>
    <cellStyle name="0_MIS_Projection_Feb'2009_5171 4 3 4 3" xfId="19192" xr:uid="{00000000-0005-0000-0000-0000EA4A0000}"/>
    <cellStyle name="0_MIS_Projection_Feb'2009_5171 4 3 4 3 2" xfId="19193" xr:uid="{00000000-0005-0000-0000-0000EB4A0000}"/>
    <cellStyle name="0_MIS_Projection_Feb'2009_5171 4 3 4 4" xfId="19194" xr:uid="{00000000-0005-0000-0000-0000EC4A0000}"/>
    <cellStyle name="0_MIS_Projection_Feb'2009_5171 4 3 5" xfId="19195" xr:uid="{00000000-0005-0000-0000-0000ED4A0000}"/>
    <cellStyle name="0_MIS_Projection_Feb'2009_5171 4 3 5 2" xfId="19196" xr:uid="{00000000-0005-0000-0000-0000EE4A0000}"/>
    <cellStyle name="0_MIS_Projection_Feb'2009_5171 4 3 5 2 2" xfId="19197" xr:uid="{00000000-0005-0000-0000-0000EF4A0000}"/>
    <cellStyle name="0_MIS_Projection_Feb'2009_5171 4 3 5 3" xfId="19198" xr:uid="{00000000-0005-0000-0000-0000F04A0000}"/>
    <cellStyle name="0_MIS_Projection_Feb'2009_5171 4 3 5 3 2" xfId="19199" xr:uid="{00000000-0005-0000-0000-0000F14A0000}"/>
    <cellStyle name="0_MIS_Projection_Feb'2009_5171 4 3 5 4" xfId="19200" xr:uid="{00000000-0005-0000-0000-0000F24A0000}"/>
    <cellStyle name="0_MIS_Projection_Feb'2009_5171 4 3 6" xfId="19201" xr:uid="{00000000-0005-0000-0000-0000F34A0000}"/>
    <cellStyle name="0_MIS_Projection_Feb'2009_5171 4 3 6 2" xfId="19202" xr:uid="{00000000-0005-0000-0000-0000F44A0000}"/>
    <cellStyle name="0_MIS_Projection_Feb'2009_5171 4 3 7" xfId="19203" xr:uid="{00000000-0005-0000-0000-0000F54A0000}"/>
    <cellStyle name="0_MIS_Projection_Feb'2009_5171 4 3 7 2" xfId="19204" xr:uid="{00000000-0005-0000-0000-0000F64A0000}"/>
    <cellStyle name="0_MIS_Projection_Feb'2009_5171 4 3 8" xfId="19205" xr:uid="{00000000-0005-0000-0000-0000F74A0000}"/>
    <cellStyle name="0_MIS_Projection_Feb'2009_5171 4 4" xfId="19206" xr:uid="{00000000-0005-0000-0000-0000F84A0000}"/>
    <cellStyle name="0_MIS_Projection_Feb'2009_5171 4 4 2" xfId="19207" xr:uid="{00000000-0005-0000-0000-0000F94A0000}"/>
    <cellStyle name="0_MIS_Projection_Feb'2009_5171 4 4 2 2" xfId="19208" xr:uid="{00000000-0005-0000-0000-0000FA4A0000}"/>
    <cellStyle name="0_MIS_Projection_Feb'2009_5171 4 4 2 2 2" xfId="19209" xr:uid="{00000000-0005-0000-0000-0000FB4A0000}"/>
    <cellStyle name="0_MIS_Projection_Feb'2009_5171 4 4 2 2 2 2" xfId="19210" xr:uid="{00000000-0005-0000-0000-0000FC4A0000}"/>
    <cellStyle name="0_MIS_Projection_Feb'2009_5171 4 4 2 2 3" xfId="19211" xr:uid="{00000000-0005-0000-0000-0000FD4A0000}"/>
    <cellStyle name="0_MIS_Projection_Feb'2009_5171 4 4 2 2 3 2" xfId="19212" xr:uid="{00000000-0005-0000-0000-0000FE4A0000}"/>
    <cellStyle name="0_MIS_Projection_Feb'2009_5171 4 4 2 2 4" xfId="19213" xr:uid="{00000000-0005-0000-0000-0000FF4A0000}"/>
    <cellStyle name="0_MIS_Projection_Feb'2009_5171 4 4 2 3" xfId="19214" xr:uid="{00000000-0005-0000-0000-0000004B0000}"/>
    <cellStyle name="0_MIS_Projection_Feb'2009_5171 4 4 2 3 2" xfId="19215" xr:uid="{00000000-0005-0000-0000-0000014B0000}"/>
    <cellStyle name="0_MIS_Projection_Feb'2009_5171 4 4 2 3 2 2" xfId="19216" xr:uid="{00000000-0005-0000-0000-0000024B0000}"/>
    <cellStyle name="0_MIS_Projection_Feb'2009_5171 4 4 2 3 3" xfId="19217" xr:uid="{00000000-0005-0000-0000-0000034B0000}"/>
    <cellStyle name="0_MIS_Projection_Feb'2009_5171 4 4 2 3 3 2" xfId="19218" xr:uid="{00000000-0005-0000-0000-0000044B0000}"/>
    <cellStyle name="0_MIS_Projection_Feb'2009_5171 4 4 2 3 4" xfId="19219" xr:uid="{00000000-0005-0000-0000-0000054B0000}"/>
    <cellStyle name="0_MIS_Projection_Feb'2009_5171 4 4 2 4" xfId="19220" xr:uid="{00000000-0005-0000-0000-0000064B0000}"/>
    <cellStyle name="0_MIS_Projection_Feb'2009_5171 4 4 2 4 2" xfId="19221" xr:uid="{00000000-0005-0000-0000-0000074B0000}"/>
    <cellStyle name="0_MIS_Projection_Feb'2009_5171 4 4 2 5" xfId="19222" xr:uid="{00000000-0005-0000-0000-0000084B0000}"/>
    <cellStyle name="0_MIS_Projection_Feb'2009_5171 4 4 2 5 2" xfId="19223" xr:uid="{00000000-0005-0000-0000-0000094B0000}"/>
    <cellStyle name="0_MIS_Projection_Feb'2009_5171 4 4 2 6" xfId="19224" xr:uid="{00000000-0005-0000-0000-00000A4B0000}"/>
    <cellStyle name="0_MIS_Projection_Feb'2009_5171 4 4 3" xfId="19225" xr:uid="{00000000-0005-0000-0000-00000B4B0000}"/>
    <cellStyle name="0_MIS_Projection_Feb'2009_5171 4 4 3 2" xfId="19226" xr:uid="{00000000-0005-0000-0000-00000C4B0000}"/>
    <cellStyle name="0_MIS_Projection_Feb'2009_5171 4 4 3 2 2" xfId="19227" xr:uid="{00000000-0005-0000-0000-00000D4B0000}"/>
    <cellStyle name="0_MIS_Projection_Feb'2009_5171 4 4 3 3" xfId="19228" xr:uid="{00000000-0005-0000-0000-00000E4B0000}"/>
    <cellStyle name="0_MIS_Projection_Feb'2009_5171 4 4 3 3 2" xfId="19229" xr:uid="{00000000-0005-0000-0000-00000F4B0000}"/>
    <cellStyle name="0_MIS_Projection_Feb'2009_5171 4 4 3 4" xfId="19230" xr:uid="{00000000-0005-0000-0000-0000104B0000}"/>
    <cellStyle name="0_MIS_Projection_Feb'2009_5171 4 4 4" xfId="19231" xr:uid="{00000000-0005-0000-0000-0000114B0000}"/>
    <cellStyle name="0_MIS_Projection_Feb'2009_5171 4 4 4 2" xfId="19232" xr:uid="{00000000-0005-0000-0000-0000124B0000}"/>
    <cellStyle name="0_MIS_Projection_Feb'2009_5171 4 4 4 2 2" xfId="19233" xr:uid="{00000000-0005-0000-0000-0000134B0000}"/>
    <cellStyle name="0_MIS_Projection_Feb'2009_5171 4 4 4 3" xfId="19234" xr:uid="{00000000-0005-0000-0000-0000144B0000}"/>
    <cellStyle name="0_MIS_Projection_Feb'2009_5171 4 4 4 3 2" xfId="19235" xr:uid="{00000000-0005-0000-0000-0000154B0000}"/>
    <cellStyle name="0_MIS_Projection_Feb'2009_5171 4 4 4 4" xfId="19236" xr:uid="{00000000-0005-0000-0000-0000164B0000}"/>
    <cellStyle name="0_MIS_Projection_Feb'2009_5171 4 4 5" xfId="19237" xr:uid="{00000000-0005-0000-0000-0000174B0000}"/>
    <cellStyle name="0_MIS_Projection_Feb'2009_5171 4 4 5 2" xfId="19238" xr:uid="{00000000-0005-0000-0000-0000184B0000}"/>
    <cellStyle name="0_MIS_Projection_Feb'2009_5171 4 4 5 2 2" xfId="19239" xr:uid="{00000000-0005-0000-0000-0000194B0000}"/>
    <cellStyle name="0_MIS_Projection_Feb'2009_5171 4 4 5 3" xfId="19240" xr:uid="{00000000-0005-0000-0000-00001A4B0000}"/>
    <cellStyle name="0_MIS_Projection_Feb'2009_5171 4 4 5 3 2" xfId="19241" xr:uid="{00000000-0005-0000-0000-00001B4B0000}"/>
    <cellStyle name="0_MIS_Projection_Feb'2009_5171 4 4 5 4" xfId="19242" xr:uid="{00000000-0005-0000-0000-00001C4B0000}"/>
    <cellStyle name="0_MIS_Projection_Feb'2009_5171 4 4 6" xfId="19243" xr:uid="{00000000-0005-0000-0000-00001D4B0000}"/>
    <cellStyle name="0_MIS_Projection_Feb'2009_5171 4 4 6 2" xfId="19244" xr:uid="{00000000-0005-0000-0000-00001E4B0000}"/>
    <cellStyle name="0_MIS_Projection_Feb'2009_5171 4 4 7" xfId="19245" xr:uid="{00000000-0005-0000-0000-00001F4B0000}"/>
    <cellStyle name="0_MIS_Projection_Feb'2009_5171 4 4 7 2" xfId="19246" xr:uid="{00000000-0005-0000-0000-0000204B0000}"/>
    <cellStyle name="0_MIS_Projection_Feb'2009_5171 4 4 8" xfId="19247" xr:uid="{00000000-0005-0000-0000-0000214B0000}"/>
    <cellStyle name="0_MIS_Projection_Feb'2009_5171 4 5" xfId="19248" xr:uid="{00000000-0005-0000-0000-0000224B0000}"/>
    <cellStyle name="0_MIS_Projection_Feb'2009_5171 4 5 2" xfId="19249" xr:uid="{00000000-0005-0000-0000-0000234B0000}"/>
    <cellStyle name="0_MIS_Projection_Feb'2009_5171 4 5 2 2" xfId="19250" xr:uid="{00000000-0005-0000-0000-0000244B0000}"/>
    <cellStyle name="0_MIS_Projection_Feb'2009_5171 4 5 2 2 2" xfId="19251" xr:uid="{00000000-0005-0000-0000-0000254B0000}"/>
    <cellStyle name="0_MIS_Projection_Feb'2009_5171 4 5 2 2 2 2" xfId="19252" xr:uid="{00000000-0005-0000-0000-0000264B0000}"/>
    <cellStyle name="0_MIS_Projection_Feb'2009_5171 4 5 2 2 3" xfId="19253" xr:uid="{00000000-0005-0000-0000-0000274B0000}"/>
    <cellStyle name="0_MIS_Projection_Feb'2009_5171 4 5 2 2 3 2" xfId="19254" xr:uid="{00000000-0005-0000-0000-0000284B0000}"/>
    <cellStyle name="0_MIS_Projection_Feb'2009_5171 4 5 2 2 4" xfId="19255" xr:uid="{00000000-0005-0000-0000-0000294B0000}"/>
    <cellStyle name="0_MIS_Projection_Feb'2009_5171 4 5 2 3" xfId="19256" xr:uid="{00000000-0005-0000-0000-00002A4B0000}"/>
    <cellStyle name="0_MIS_Projection_Feb'2009_5171 4 5 2 3 2" xfId="19257" xr:uid="{00000000-0005-0000-0000-00002B4B0000}"/>
    <cellStyle name="0_MIS_Projection_Feb'2009_5171 4 5 2 3 2 2" xfId="19258" xr:uid="{00000000-0005-0000-0000-00002C4B0000}"/>
    <cellStyle name="0_MIS_Projection_Feb'2009_5171 4 5 2 3 3" xfId="19259" xr:uid="{00000000-0005-0000-0000-00002D4B0000}"/>
    <cellStyle name="0_MIS_Projection_Feb'2009_5171 4 5 2 3 3 2" xfId="19260" xr:uid="{00000000-0005-0000-0000-00002E4B0000}"/>
    <cellStyle name="0_MIS_Projection_Feb'2009_5171 4 5 2 3 4" xfId="19261" xr:uid="{00000000-0005-0000-0000-00002F4B0000}"/>
    <cellStyle name="0_MIS_Projection_Feb'2009_5171 4 5 2 4" xfId="19262" xr:uid="{00000000-0005-0000-0000-0000304B0000}"/>
    <cellStyle name="0_MIS_Projection_Feb'2009_5171 4 5 2 4 2" xfId="19263" xr:uid="{00000000-0005-0000-0000-0000314B0000}"/>
    <cellStyle name="0_MIS_Projection_Feb'2009_5171 4 5 2 5" xfId="19264" xr:uid="{00000000-0005-0000-0000-0000324B0000}"/>
    <cellStyle name="0_MIS_Projection_Feb'2009_5171 4 5 2 5 2" xfId="19265" xr:uid="{00000000-0005-0000-0000-0000334B0000}"/>
    <cellStyle name="0_MIS_Projection_Feb'2009_5171 4 5 2 6" xfId="19266" xr:uid="{00000000-0005-0000-0000-0000344B0000}"/>
    <cellStyle name="0_MIS_Projection_Feb'2009_5171 4 5 3" xfId="19267" xr:uid="{00000000-0005-0000-0000-0000354B0000}"/>
    <cellStyle name="0_MIS_Projection_Feb'2009_5171 4 5 3 2" xfId="19268" xr:uid="{00000000-0005-0000-0000-0000364B0000}"/>
    <cellStyle name="0_MIS_Projection_Feb'2009_5171 4 5 3 2 2" xfId="19269" xr:uid="{00000000-0005-0000-0000-0000374B0000}"/>
    <cellStyle name="0_MIS_Projection_Feb'2009_5171 4 5 3 3" xfId="19270" xr:uid="{00000000-0005-0000-0000-0000384B0000}"/>
    <cellStyle name="0_MIS_Projection_Feb'2009_5171 4 5 3 3 2" xfId="19271" xr:uid="{00000000-0005-0000-0000-0000394B0000}"/>
    <cellStyle name="0_MIS_Projection_Feb'2009_5171 4 5 3 4" xfId="19272" xr:uid="{00000000-0005-0000-0000-00003A4B0000}"/>
    <cellStyle name="0_MIS_Projection_Feb'2009_5171 4 5 4" xfId="19273" xr:uid="{00000000-0005-0000-0000-00003B4B0000}"/>
    <cellStyle name="0_MIS_Projection_Feb'2009_5171 4 5 4 2" xfId="19274" xr:uid="{00000000-0005-0000-0000-00003C4B0000}"/>
    <cellStyle name="0_MIS_Projection_Feb'2009_5171 4 5 4 2 2" xfId="19275" xr:uid="{00000000-0005-0000-0000-00003D4B0000}"/>
    <cellStyle name="0_MIS_Projection_Feb'2009_5171 4 5 4 3" xfId="19276" xr:uid="{00000000-0005-0000-0000-00003E4B0000}"/>
    <cellStyle name="0_MIS_Projection_Feb'2009_5171 4 5 4 3 2" xfId="19277" xr:uid="{00000000-0005-0000-0000-00003F4B0000}"/>
    <cellStyle name="0_MIS_Projection_Feb'2009_5171 4 5 4 4" xfId="19278" xr:uid="{00000000-0005-0000-0000-0000404B0000}"/>
    <cellStyle name="0_MIS_Projection_Feb'2009_5171 4 5 5" xfId="19279" xr:uid="{00000000-0005-0000-0000-0000414B0000}"/>
    <cellStyle name="0_MIS_Projection_Feb'2009_5171 4 5 5 2" xfId="19280" xr:uid="{00000000-0005-0000-0000-0000424B0000}"/>
    <cellStyle name="0_MIS_Projection_Feb'2009_5171 4 5 5 2 2" xfId="19281" xr:uid="{00000000-0005-0000-0000-0000434B0000}"/>
    <cellStyle name="0_MIS_Projection_Feb'2009_5171 4 5 5 3" xfId="19282" xr:uid="{00000000-0005-0000-0000-0000444B0000}"/>
    <cellStyle name="0_MIS_Projection_Feb'2009_5171 4 5 5 3 2" xfId="19283" xr:uid="{00000000-0005-0000-0000-0000454B0000}"/>
    <cellStyle name="0_MIS_Projection_Feb'2009_5171 4 5 5 4" xfId="19284" xr:uid="{00000000-0005-0000-0000-0000464B0000}"/>
    <cellStyle name="0_MIS_Projection_Feb'2009_5171 4 5 6" xfId="19285" xr:uid="{00000000-0005-0000-0000-0000474B0000}"/>
    <cellStyle name="0_MIS_Projection_Feb'2009_5171 4 5 6 2" xfId="19286" xr:uid="{00000000-0005-0000-0000-0000484B0000}"/>
    <cellStyle name="0_MIS_Projection_Feb'2009_5171 4 5 7" xfId="19287" xr:uid="{00000000-0005-0000-0000-0000494B0000}"/>
    <cellStyle name="0_MIS_Projection_Feb'2009_5171 4 5 7 2" xfId="19288" xr:uid="{00000000-0005-0000-0000-00004A4B0000}"/>
    <cellStyle name="0_MIS_Projection_Feb'2009_5171 4 5 8" xfId="19289" xr:uid="{00000000-0005-0000-0000-00004B4B0000}"/>
    <cellStyle name="0_MIS_Projection_Feb'2009_5171 4 6" xfId="19290" xr:uid="{00000000-0005-0000-0000-00004C4B0000}"/>
    <cellStyle name="0_MIS_Projection_Feb'2009_5171 4 6 2" xfId="19291" xr:uid="{00000000-0005-0000-0000-00004D4B0000}"/>
    <cellStyle name="0_MIS_Projection_Feb'2009_5171 4 6 2 2" xfId="19292" xr:uid="{00000000-0005-0000-0000-00004E4B0000}"/>
    <cellStyle name="0_MIS_Projection_Feb'2009_5171 4 6 2 2 2" xfId="19293" xr:uid="{00000000-0005-0000-0000-00004F4B0000}"/>
    <cellStyle name="0_MIS_Projection_Feb'2009_5171 4 6 2 2 2 2" xfId="19294" xr:uid="{00000000-0005-0000-0000-0000504B0000}"/>
    <cellStyle name="0_MIS_Projection_Feb'2009_5171 4 6 2 2 3" xfId="19295" xr:uid="{00000000-0005-0000-0000-0000514B0000}"/>
    <cellStyle name="0_MIS_Projection_Feb'2009_5171 4 6 2 2 3 2" xfId="19296" xr:uid="{00000000-0005-0000-0000-0000524B0000}"/>
    <cellStyle name="0_MIS_Projection_Feb'2009_5171 4 6 2 2 4" xfId="19297" xr:uid="{00000000-0005-0000-0000-0000534B0000}"/>
    <cellStyle name="0_MIS_Projection_Feb'2009_5171 4 6 2 3" xfId="19298" xr:uid="{00000000-0005-0000-0000-0000544B0000}"/>
    <cellStyle name="0_MIS_Projection_Feb'2009_5171 4 6 2 3 2" xfId="19299" xr:uid="{00000000-0005-0000-0000-0000554B0000}"/>
    <cellStyle name="0_MIS_Projection_Feb'2009_5171 4 6 2 3 2 2" xfId="19300" xr:uid="{00000000-0005-0000-0000-0000564B0000}"/>
    <cellStyle name="0_MIS_Projection_Feb'2009_5171 4 6 2 3 3" xfId="19301" xr:uid="{00000000-0005-0000-0000-0000574B0000}"/>
    <cellStyle name="0_MIS_Projection_Feb'2009_5171 4 6 2 3 3 2" xfId="19302" xr:uid="{00000000-0005-0000-0000-0000584B0000}"/>
    <cellStyle name="0_MIS_Projection_Feb'2009_5171 4 6 2 3 4" xfId="19303" xr:uid="{00000000-0005-0000-0000-0000594B0000}"/>
    <cellStyle name="0_MIS_Projection_Feb'2009_5171 4 6 2 4" xfId="19304" xr:uid="{00000000-0005-0000-0000-00005A4B0000}"/>
    <cellStyle name="0_MIS_Projection_Feb'2009_5171 4 6 2 4 2" xfId="19305" xr:uid="{00000000-0005-0000-0000-00005B4B0000}"/>
    <cellStyle name="0_MIS_Projection_Feb'2009_5171 4 6 2 5" xfId="19306" xr:uid="{00000000-0005-0000-0000-00005C4B0000}"/>
    <cellStyle name="0_MIS_Projection_Feb'2009_5171 4 6 2 5 2" xfId="19307" xr:uid="{00000000-0005-0000-0000-00005D4B0000}"/>
    <cellStyle name="0_MIS_Projection_Feb'2009_5171 4 6 2 6" xfId="19308" xr:uid="{00000000-0005-0000-0000-00005E4B0000}"/>
    <cellStyle name="0_MIS_Projection_Feb'2009_5171 4 6 3" xfId="19309" xr:uid="{00000000-0005-0000-0000-00005F4B0000}"/>
    <cellStyle name="0_MIS_Projection_Feb'2009_5171 4 6 3 2" xfId="19310" xr:uid="{00000000-0005-0000-0000-0000604B0000}"/>
    <cellStyle name="0_MIS_Projection_Feb'2009_5171 4 6 3 2 2" xfId="19311" xr:uid="{00000000-0005-0000-0000-0000614B0000}"/>
    <cellStyle name="0_MIS_Projection_Feb'2009_5171 4 6 3 3" xfId="19312" xr:uid="{00000000-0005-0000-0000-0000624B0000}"/>
    <cellStyle name="0_MIS_Projection_Feb'2009_5171 4 6 3 3 2" xfId="19313" xr:uid="{00000000-0005-0000-0000-0000634B0000}"/>
    <cellStyle name="0_MIS_Projection_Feb'2009_5171 4 6 3 4" xfId="19314" xr:uid="{00000000-0005-0000-0000-0000644B0000}"/>
    <cellStyle name="0_MIS_Projection_Feb'2009_5171 4 6 4" xfId="19315" xr:uid="{00000000-0005-0000-0000-0000654B0000}"/>
    <cellStyle name="0_MIS_Projection_Feb'2009_5171 4 6 4 2" xfId="19316" xr:uid="{00000000-0005-0000-0000-0000664B0000}"/>
    <cellStyle name="0_MIS_Projection_Feb'2009_5171 4 6 4 2 2" xfId="19317" xr:uid="{00000000-0005-0000-0000-0000674B0000}"/>
    <cellStyle name="0_MIS_Projection_Feb'2009_5171 4 6 4 3" xfId="19318" xr:uid="{00000000-0005-0000-0000-0000684B0000}"/>
    <cellStyle name="0_MIS_Projection_Feb'2009_5171 4 6 4 3 2" xfId="19319" xr:uid="{00000000-0005-0000-0000-0000694B0000}"/>
    <cellStyle name="0_MIS_Projection_Feb'2009_5171 4 6 4 4" xfId="19320" xr:uid="{00000000-0005-0000-0000-00006A4B0000}"/>
    <cellStyle name="0_MIS_Projection_Feb'2009_5171 4 6 5" xfId="19321" xr:uid="{00000000-0005-0000-0000-00006B4B0000}"/>
    <cellStyle name="0_MIS_Projection_Feb'2009_5171 4 6 5 2" xfId="19322" xr:uid="{00000000-0005-0000-0000-00006C4B0000}"/>
    <cellStyle name="0_MIS_Projection_Feb'2009_5171 4 6 5 2 2" xfId="19323" xr:uid="{00000000-0005-0000-0000-00006D4B0000}"/>
    <cellStyle name="0_MIS_Projection_Feb'2009_5171 4 6 5 3" xfId="19324" xr:uid="{00000000-0005-0000-0000-00006E4B0000}"/>
    <cellStyle name="0_MIS_Projection_Feb'2009_5171 4 6 5 3 2" xfId="19325" xr:uid="{00000000-0005-0000-0000-00006F4B0000}"/>
    <cellStyle name="0_MIS_Projection_Feb'2009_5171 4 6 5 4" xfId="19326" xr:uid="{00000000-0005-0000-0000-0000704B0000}"/>
    <cellStyle name="0_MIS_Projection_Feb'2009_5171 4 6 6" xfId="19327" xr:uid="{00000000-0005-0000-0000-0000714B0000}"/>
    <cellStyle name="0_MIS_Projection_Feb'2009_5171 4 6 6 2" xfId="19328" xr:uid="{00000000-0005-0000-0000-0000724B0000}"/>
    <cellStyle name="0_MIS_Projection_Feb'2009_5171 4 6 7" xfId="19329" xr:uid="{00000000-0005-0000-0000-0000734B0000}"/>
    <cellStyle name="0_MIS_Projection_Feb'2009_5171 4 6 7 2" xfId="19330" xr:uid="{00000000-0005-0000-0000-0000744B0000}"/>
    <cellStyle name="0_MIS_Projection_Feb'2009_5171 4 6 8" xfId="19331" xr:uid="{00000000-0005-0000-0000-0000754B0000}"/>
    <cellStyle name="0_MIS_Projection_Feb'2009_5171 4 7" xfId="19332" xr:uid="{00000000-0005-0000-0000-0000764B0000}"/>
    <cellStyle name="0_MIS_Projection_Feb'2009_5171 4 7 2" xfId="19333" xr:uid="{00000000-0005-0000-0000-0000774B0000}"/>
    <cellStyle name="0_MIS_Projection_Feb'2009_5171 4 7 2 2" xfId="19334" xr:uid="{00000000-0005-0000-0000-0000784B0000}"/>
    <cellStyle name="0_MIS_Projection_Feb'2009_5171 4 7 2 2 2" xfId="19335" xr:uid="{00000000-0005-0000-0000-0000794B0000}"/>
    <cellStyle name="0_MIS_Projection_Feb'2009_5171 4 7 2 3" xfId="19336" xr:uid="{00000000-0005-0000-0000-00007A4B0000}"/>
    <cellStyle name="0_MIS_Projection_Feb'2009_5171 4 7 2 3 2" xfId="19337" xr:uid="{00000000-0005-0000-0000-00007B4B0000}"/>
    <cellStyle name="0_MIS_Projection_Feb'2009_5171 4 7 2 4" xfId="19338" xr:uid="{00000000-0005-0000-0000-00007C4B0000}"/>
    <cellStyle name="0_MIS_Projection_Feb'2009_5171 4 7 3" xfId="19339" xr:uid="{00000000-0005-0000-0000-00007D4B0000}"/>
    <cellStyle name="0_MIS_Projection_Feb'2009_5171 4 7 3 2" xfId="19340" xr:uid="{00000000-0005-0000-0000-00007E4B0000}"/>
    <cellStyle name="0_MIS_Projection_Feb'2009_5171 4 7 3 2 2" xfId="19341" xr:uid="{00000000-0005-0000-0000-00007F4B0000}"/>
    <cellStyle name="0_MIS_Projection_Feb'2009_5171 4 7 3 3" xfId="19342" xr:uid="{00000000-0005-0000-0000-0000804B0000}"/>
    <cellStyle name="0_MIS_Projection_Feb'2009_5171 4 7 3 3 2" xfId="19343" xr:uid="{00000000-0005-0000-0000-0000814B0000}"/>
    <cellStyle name="0_MIS_Projection_Feb'2009_5171 4 7 3 4" xfId="19344" xr:uid="{00000000-0005-0000-0000-0000824B0000}"/>
    <cellStyle name="0_MIS_Projection_Feb'2009_5171 4 7 4" xfId="19345" xr:uid="{00000000-0005-0000-0000-0000834B0000}"/>
    <cellStyle name="0_MIS_Projection_Feb'2009_5171 4 7 4 2" xfId="19346" xr:uid="{00000000-0005-0000-0000-0000844B0000}"/>
    <cellStyle name="0_MIS_Projection_Feb'2009_5171 4 7 5" xfId="19347" xr:uid="{00000000-0005-0000-0000-0000854B0000}"/>
    <cellStyle name="0_MIS_Projection_Feb'2009_5171 4 7 5 2" xfId="19348" xr:uid="{00000000-0005-0000-0000-0000864B0000}"/>
    <cellStyle name="0_MIS_Projection_Feb'2009_5171 4 7 6" xfId="19349" xr:uid="{00000000-0005-0000-0000-0000874B0000}"/>
    <cellStyle name="0_MIS_Projection_Feb'2009_5171 4 8" xfId="19350" xr:uid="{00000000-0005-0000-0000-0000884B0000}"/>
    <cellStyle name="0_MIS_Projection_Feb'2009_5171 4 8 2" xfId="19351" xr:uid="{00000000-0005-0000-0000-0000894B0000}"/>
    <cellStyle name="0_MIS_Projection_Feb'2009_5171 4 8 2 2" xfId="19352" xr:uid="{00000000-0005-0000-0000-00008A4B0000}"/>
    <cellStyle name="0_MIS_Projection_Feb'2009_5171 4 8 3" xfId="19353" xr:uid="{00000000-0005-0000-0000-00008B4B0000}"/>
    <cellStyle name="0_MIS_Projection_Feb'2009_5171 4 8 3 2" xfId="19354" xr:uid="{00000000-0005-0000-0000-00008C4B0000}"/>
    <cellStyle name="0_MIS_Projection_Feb'2009_5171 4 8 4" xfId="19355" xr:uid="{00000000-0005-0000-0000-00008D4B0000}"/>
    <cellStyle name="0_MIS_Projection_Feb'2009_5171 4 9" xfId="19356" xr:uid="{00000000-0005-0000-0000-00008E4B0000}"/>
    <cellStyle name="0_MIS_Projection_Feb'2009_5171 4 9 2" xfId="19357" xr:uid="{00000000-0005-0000-0000-00008F4B0000}"/>
    <cellStyle name="0_MIS_Projection_Feb'2009_5171 4 9 2 2" xfId="19358" xr:uid="{00000000-0005-0000-0000-0000904B0000}"/>
    <cellStyle name="0_MIS_Projection_Feb'2009_5171 4 9 3" xfId="19359" xr:uid="{00000000-0005-0000-0000-0000914B0000}"/>
    <cellStyle name="0_MIS_Projection_Feb'2009_5171 4 9 3 2" xfId="19360" xr:uid="{00000000-0005-0000-0000-0000924B0000}"/>
    <cellStyle name="0_MIS_Projection_Feb'2009_5171 4 9 4" xfId="19361" xr:uid="{00000000-0005-0000-0000-0000934B0000}"/>
    <cellStyle name="0_MIS_Projection_Feb'2009_5171 5" xfId="19362" xr:uid="{00000000-0005-0000-0000-0000944B0000}"/>
    <cellStyle name="0_MIS_Projection_Feb'2009_5171 5 10" xfId="19363" xr:uid="{00000000-0005-0000-0000-0000954B0000}"/>
    <cellStyle name="0_MIS_Projection_Feb'2009_5171 5 10 2" xfId="19364" xr:uid="{00000000-0005-0000-0000-0000964B0000}"/>
    <cellStyle name="0_MIS_Projection_Feb'2009_5171 5 10 2 2" xfId="19365" xr:uid="{00000000-0005-0000-0000-0000974B0000}"/>
    <cellStyle name="0_MIS_Projection_Feb'2009_5171 5 10 3" xfId="19366" xr:uid="{00000000-0005-0000-0000-0000984B0000}"/>
    <cellStyle name="0_MIS_Projection_Feb'2009_5171 5 10 3 2" xfId="19367" xr:uid="{00000000-0005-0000-0000-0000994B0000}"/>
    <cellStyle name="0_MIS_Projection_Feb'2009_5171 5 10 4" xfId="19368" xr:uid="{00000000-0005-0000-0000-00009A4B0000}"/>
    <cellStyle name="0_MIS_Projection_Feb'2009_5171 5 11" xfId="19369" xr:uid="{00000000-0005-0000-0000-00009B4B0000}"/>
    <cellStyle name="0_MIS_Projection_Feb'2009_5171 5 11 2" xfId="19370" xr:uid="{00000000-0005-0000-0000-00009C4B0000}"/>
    <cellStyle name="0_MIS_Projection_Feb'2009_5171 5 12" xfId="19371" xr:uid="{00000000-0005-0000-0000-00009D4B0000}"/>
    <cellStyle name="0_MIS_Projection_Feb'2009_5171 5 12 2" xfId="19372" xr:uid="{00000000-0005-0000-0000-00009E4B0000}"/>
    <cellStyle name="0_MIS_Projection_Feb'2009_5171 5 13" xfId="19373" xr:uid="{00000000-0005-0000-0000-00009F4B0000}"/>
    <cellStyle name="0_MIS_Projection_Feb'2009_5171 5 2" xfId="19374" xr:uid="{00000000-0005-0000-0000-0000A04B0000}"/>
    <cellStyle name="0_MIS_Projection_Feb'2009_5171 5 2 2" xfId="19375" xr:uid="{00000000-0005-0000-0000-0000A14B0000}"/>
    <cellStyle name="0_MIS_Projection_Feb'2009_5171 5 2 2 2" xfId="19376" xr:uid="{00000000-0005-0000-0000-0000A24B0000}"/>
    <cellStyle name="0_MIS_Projection_Feb'2009_5171 5 2 2 2 2" xfId="19377" xr:uid="{00000000-0005-0000-0000-0000A34B0000}"/>
    <cellStyle name="0_MIS_Projection_Feb'2009_5171 5 2 2 2 2 2" xfId="19378" xr:uid="{00000000-0005-0000-0000-0000A44B0000}"/>
    <cellStyle name="0_MIS_Projection_Feb'2009_5171 5 2 2 2 3" xfId="19379" xr:uid="{00000000-0005-0000-0000-0000A54B0000}"/>
    <cellStyle name="0_MIS_Projection_Feb'2009_5171 5 2 2 2 3 2" xfId="19380" xr:uid="{00000000-0005-0000-0000-0000A64B0000}"/>
    <cellStyle name="0_MIS_Projection_Feb'2009_5171 5 2 2 2 4" xfId="19381" xr:uid="{00000000-0005-0000-0000-0000A74B0000}"/>
    <cellStyle name="0_MIS_Projection_Feb'2009_5171 5 2 2 3" xfId="19382" xr:uid="{00000000-0005-0000-0000-0000A84B0000}"/>
    <cellStyle name="0_MIS_Projection_Feb'2009_5171 5 2 2 3 2" xfId="19383" xr:uid="{00000000-0005-0000-0000-0000A94B0000}"/>
    <cellStyle name="0_MIS_Projection_Feb'2009_5171 5 2 2 3 2 2" xfId="19384" xr:uid="{00000000-0005-0000-0000-0000AA4B0000}"/>
    <cellStyle name="0_MIS_Projection_Feb'2009_5171 5 2 2 3 3" xfId="19385" xr:uid="{00000000-0005-0000-0000-0000AB4B0000}"/>
    <cellStyle name="0_MIS_Projection_Feb'2009_5171 5 2 2 3 3 2" xfId="19386" xr:uid="{00000000-0005-0000-0000-0000AC4B0000}"/>
    <cellStyle name="0_MIS_Projection_Feb'2009_5171 5 2 2 3 4" xfId="19387" xr:uid="{00000000-0005-0000-0000-0000AD4B0000}"/>
    <cellStyle name="0_MIS_Projection_Feb'2009_5171 5 2 2 4" xfId="19388" xr:uid="{00000000-0005-0000-0000-0000AE4B0000}"/>
    <cellStyle name="0_MIS_Projection_Feb'2009_5171 5 2 2 4 2" xfId="19389" xr:uid="{00000000-0005-0000-0000-0000AF4B0000}"/>
    <cellStyle name="0_MIS_Projection_Feb'2009_5171 5 2 2 5" xfId="19390" xr:uid="{00000000-0005-0000-0000-0000B04B0000}"/>
    <cellStyle name="0_MIS_Projection_Feb'2009_5171 5 2 2 5 2" xfId="19391" xr:uid="{00000000-0005-0000-0000-0000B14B0000}"/>
    <cellStyle name="0_MIS_Projection_Feb'2009_5171 5 2 2 6" xfId="19392" xr:uid="{00000000-0005-0000-0000-0000B24B0000}"/>
    <cellStyle name="0_MIS_Projection_Feb'2009_5171 5 2 3" xfId="19393" xr:uid="{00000000-0005-0000-0000-0000B34B0000}"/>
    <cellStyle name="0_MIS_Projection_Feb'2009_5171 5 2 3 2" xfId="19394" xr:uid="{00000000-0005-0000-0000-0000B44B0000}"/>
    <cellStyle name="0_MIS_Projection_Feb'2009_5171 5 2 3 2 2" xfId="19395" xr:uid="{00000000-0005-0000-0000-0000B54B0000}"/>
    <cellStyle name="0_MIS_Projection_Feb'2009_5171 5 2 3 3" xfId="19396" xr:uid="{00000000-0005-0000-0000-0000B64B0000}"/>
    <cellStyle name="0_MIS_Projection_Feb'2009_5171 5 2 3 3 2" xfId="19397" xr:uid="{00000000-0005-0000-0000-0000B74B0000}"/>
    <cellStyle name="0_MIS_Projection_Feb'2009_5171 5 2 3 4" xfId="19398" xr:uid="{00000000-0005-0000-0000-0000B84B0000}"/>
    <cellStyle name="0_MIS_Projection_Feb'2009_5171 5 2 4" xfId="19399" xr:uid="{00000000-0005-0000-0000-0000B94B0000}"/>
    <cellStyle name="0_MIS_Projection_Feb'2009_5171 5 2 4 2" xfId="19400" xr:uid="{00000000-0005-0000-0000-0000BA4B0000}"/>
    <cellStyle name="0_MIS_Projection_Feb'2009_5171 5 2 4 2 2" xfId="19401" xr:uid="{00000000-0005-0000-0000-0000BB4B0000}"/>
    <cellStyle name="0_MIS_Projection_Feb'2009_5171 5 2 4 3" xfId="19402" xr:uid="{00000000-0005-0000-0000-0000BC4B0000}"/>
    <cellStyle name="0_MIS_Projection_Feb'2009_5171 5 2 4 3 2" xfId="19403" xr:uid="{00000000-0005-0000-0000-0000BD4B0000}"/>
    <cellStyle name="0_MIS_Projection_Feb'2009_5171 5 2 4 4" xfId="19404" xr:uid="{00000000-0005-0000-0000-0000BE4B0000}"/>
    <cellStyle name="0_MIS_Projection_Feb'2009_5171 5 2 5" xfId="19405" xr:uid="{00000000-0005-0000-0000-0000BF4B0000}"/>
    <cellStyle name="0_MIS_Projection_Feb'2009_5171 5 2 5 2" xfId="19406" xr:uid="{00000000-0005-0000-0000-0000C04B0000}"/>
    <cellStyle name="0_MIS_Projection_Feb'2009_5171 5 2 5 2 2" xfId="19407" xr:uid="{00000000-0005-0000-0000-0000C14B0000}"/>
    <cellStyle name="0_MIS_Projection_Feb'2009_5171 5 2 5 3" xfId="19408" xr:uid="{00000000-0005-0000-0000-0000C24B0000}"/>
    <cellStyle name="0_MIS_Projection_Feb'2009_5171 5 2 5 3 2" xfId="19409" xr:uid="{00000000-0005-0000-0000-0000C34B0000}"/>
    <cellStyle name="0_MIS_Projection_Feb'2009_5171 5 2 5 4" xfId="19410" xr:uid="{00000000-0005-0000-0000-0000C44B0000}"/>
    <cellStyle name="0_MIS_Projection_Feb'2009_5171 5 2 6" xfId="19411" xr:uid="{00000000-0005-0000-0000-0000C54B0000}"/>
    <cellStyle name="0_MIS_Projection_Feb'2009_5171 5 2 6 2" xfId="19412" xr:uid="{00000000-0005-0000-0000-0000C64B0000}"/>
    <cellStyle name="0_MIS_Projection_Feb'2009_5171 5 2 7" xfId="19413" xr:uid="{00000000-0005-0000-0000-0000C74B0000}"/>
    <cellStyle name="0_MIS_Projection_Feb'2009_5171 5 2 7 2" xfId="19414" xr:uid="{00000000-0005-0000-0000-0000C84B0000}"/>
    <cellStyle name="0_MIS_Projection_Feb'2009_5171 5 2 8" xfId="19415" xr:uid="{00000000-0005-0000-0000-0000C94B0000}"/>
    <cellStyle name="0_MIS_Projection_Feb'2009_5171 5 3" xfId="19416" xr:uid="{00000000-0005-0000-0000-0000CA4B0000}"/>
    <cellStyle name="0_MIS_Projection_Feb'2009_5171 5 3 2" xfId="19417" xr:uid="{00000000-0005-0000-0000-0000CB4B0000}"/>
    <cellStyle name="0_MIS_Projection_Feb'2009_5171 5 3 2 2" xfId="19418" xr:uid="{00000000-0005-0000-0000-0000CC4B0000}"/>
    <cellStyle name="0_MIS_Projection_Feb'2009_5171 5 3 2 2 2" xfId="19419" xr:uid="{00000000-0005-0000-0000-0000CD4B0000}"/>
    <cellStyle name="0_MIS_Projection_Feb'2009_5171 5 3 2 2 2 2" xfId="19420" xr:uid="{00000000-0005-0000-0000-0000CE4B0000}"/>
    <cellStyle name="0_MIS_Projection_Feb'2009_5171 5 3 2 2 3" xfId="19421" xr:uid="{00000000-0005-0000-0000-0000CF4B0000}"/>
    <cellStyle name="0_MIS_Projection_Feb'2009_5171 5 3 2 2 3 2" xfId="19422" xr:uid="{00000000-0005-0000-0000-0000D04B0000}"/>
    <cellStyle name="0_MIS_Projection_Feb'2009_5171 5 3 2 2 4" xfId="19423" xr:uid="{00000000-0005-0000-0000-0000D14B0000}"/>
    <cellStyle name="0_MIS_Projection_Feb'2009_5171 5 3 2 3" xfId="19424" xr:uid="{00000000-0005-0000-0000-0000D24B0000}"/>
    <cellStyle name="0_MIS_Projection_Feb'2009_5171 5 3 2 3 2" xfId="19425" xr:uid="{00000000-0005-0000-0000-0000D34B0000}"/>
    <cellStyle name="0_MIS_Projection_Feb'2009_5171 5 3 2 3 2 2" xfId="19426" xr:uid="{00000000-0005-0000-0000-0000D44B0000}"/>
    <cellStyle name="0_MIS_Projection_Feb'2009_5171 5 3 2 3 3" xfId="19427" xr:uid="{00000000-0005-0000-0000-0000D54B0000}"/>
    <cellStyle name="0_MIS_Projection_Feb'2009_5171 5 3 2 3 3 2" xfId="19428" xr:uid="{00000000-0005-0000-0000-0000D64B0000}"/>
    <cellStyle name="0_MIS_Projection_Feb'2009_5171 5 3 2 3 4" xfId="19429" xr:uid="{00000000-0005-0000-0000-0000D74B0000}"/>
    <cellStyle name="0_MIS_Projection_Feb'2009_5171 5 3 2 4" xfId="19430" xr:uid="{00000000-0005-0000-0000-0000D84B0000}"/>
    <cellStyle name="0_MIS_Projection_Feb'2009_5171 5 3 2 4 2" xfId="19431" xr:uid="{00000000-0005-0000-0000-0000D94B0000}"/>
    <cellStyle name="0_MIS_Projection_Feb'2009_5171 5 3 2 5" xfId="19432" xr:uid="{00000000-0005-0000-0000-0000DA4B0000}"/>
    <cellStyle name="0_MIS_Projection_Feb'2009_5171 5 3 2 5 2" xfId="19433" xr:uid="{00000000-0005-0000-0000-0000DB4B0000}"/>
    <cellStyle name="0_MIS_Projection_Feb'2009_5171 5 3 2 6" xfId="19434" xr:uid="{00000000-0005-0000-0000-0000DC4B0000}"/>
    <cellStyle name="0_MIS_Projection_Feb'2009_5171 5 3 3" xfId="19435" xr:uid="{00000000-0005-0000-0000-0000DD4B0000}"/>
    <cellStyle name="0_MIS_Projection_Feb'2009_5171 5 3 3 2" xfId="19436" xr:uid="{00000000-0005-0000-0000-0000DE4B0000}"/>
    <cellStyle name="0_MIS_Projection_Feb'2009_5171 5 3 3 2 2" xfId="19437" xr:uid="{00000000-0005-0000-0000-0000DF4B0000}"/>
    <cellStyle name="0_MIS_Projection_Feb'2009_5171 5 3 3 3" xfId="19438" xr:uid="{00000000-0005-0000-0000-0000E04B0000}"/>
    <cellStyle name="0_MIS_Projection_Feb'2009_5171 5 3 3 3 2" xfId="19439" xr:uid="{00000000-0005-0000-0000-0000E14B0000}"/>
    <cellStyle name="0_MIS_Projection_Feb'2009_5171 5 3 3 4" xfId="19440" xr:uid="{00000000-0005-0000-0000-0000E24B0000}"/>
    <cellStyle name="0_MIS_Projection_Feb'2009_5171 5 3 4" xfId="19441" xr:uid="{00000000-0005-0000-0000-0000E34B0000}"/>
    <cellStyle name="0_MIS_Projection_Feb'2009_5171 5 3 4 2" xfId="19442" xr:uid="{00000000-0005-0000-0000-0000E44B0000}"/>
    <cellStyle name="0_MIS_Projection_Feb'2009_5171 5 3 4 2 2" xfId="19443" xr:uid="{00000000-0005-0000-0000-0000E54B0000}"/>
    <cellStyle name="0_MIS_Projection_Feb'2009_5171 5 3 4 3" xfId="19444" xr:uid="{00000000-0005-0000-0000-0000E64B0000}"/>
    <cellStyle name="0_MIS_Projection_Feb'2009_5171 5 3 4 3 2" xfId="19445" xr:uid="{00000000-0005-0000-0000-0000E74B0000}"/>
    <cellStyle name="0_MIS_Projection_Feb'2009_5171 5 3 4 4" xfId="19446" xr:uid="{00000000-0005-0000-0000-0000E84B0000}"/>
    <cellStyle name="0_MIS_Projection_Feb'2009_5171 5 3 5" xfId="19447" xr:uid="{00000000-0005-0000-0000-0000E94B0000}"/>
    <cellStyle name="0_MIS_Projection_Feb'2009_5171 5 3 5 2" xfId="19448" xr:uid="{00000000-0005-0000-0000-0000EA4B0000}"/>
    <cellStyle name="0_MIS_Projection_Feb'2009_5171 5 3 5 2 2" xfId="19449" xr:uid="{00000000-0005-0000-0000-0000EB4B0000}"/>
    <cellStyle name="0_MIS_Projection_Feb'2009_5171 5 3 5 3" xfId="19450" xr:uid="{00000000-0005-0000-0000-0000EC4B0000}"/>
    <cellStyle name="0_MIS_Projection_Feb'2009_5171 5 3 5 3 2" xfId="19451" xr:uid="{00000000-0005-0000-0000-0000ED4B0000}"/>
    <cellStyle name="0_MIS_Projection_Feb'2009_5171 5 3 5 4" xfId="19452" xr:uid="{00000000-0005-0000-0000-0000EE4B0000}"/>
    <cellStyle name="0_MIS_Projection_Feb'2009_5171 5 3 6" xfId="19453" xr:uid="{00000000-0005-0000-0000-0000EF4B0000}"/>
    <cellStyle name="0_MIS_Projection_Feb'2009_5171 5 3 6 2" xfId="19454" xr:uid="{00000000-0005-0000-0000-0000F04B0000}"/>
    <cellStyle name="0_MIS_Projection_Feb'2009_5171 5 3 7" xfId="19455" xr:uid="{00000000-0005-0000-0000-0000F14B0000}"/>
    <cellStyle name="0_MIS_Projection_Feb'2009_5171 5 3 7 2" xfId="19456" xr:uid="{00000000-0005-0000-0000-0000F24B0000}"/>
    <cellStyle name="0_MIS_Projection_Feb'2009_5171 5 3 8" xfId="19457" xr:uid="{00000000-0005-0000-0000-0000F34B0000}"/>
    <cellStyle name="0_MIS_Projection_Feb'2009_5171 5 4" xfId="19458" xr:uid="{00000000-0005-0000-0000-0000F44B0000}"/>
    <cellStyle name="0_MIS_Projection_Feb'2009_5171 5 4 2" xfId="19459" xr:uid="{00000000-0005-0000-0000-0000F54B0000}"/>
    <cellStyle name="0_MIS_Projection_Feb'2009_5171 5 4 2 2" xfId="19460" xr:uid="{00000000-0005-0000-0000-0000F64B0000}"/>
    <cellStyle name="0_MIS_Projection_Feb'2009_5171 5 4 2 2 2" xfId="19461" xr:uid="{00000000-0005-0000-0000-0000F74B0000}"/>
    <cellStyle name="0_MIS_Projection_Feb'2009_5171 5 4 2 2 2 2" xfId="19462" xr:uid="{00000000-0005-0000-0000-0000F84B0000}"/>
    <cellStyle name="0_MIS_Projection_Feb'2009_5171 5 4 2 2 3" xfId="19463" xr:uid="{00000000-0005-0000-0000-0000F94B0000}"/>
    <cellStyle name="0_MIS_Projection_Feb'2009_5171 5 4 2 2 3 2" xfId="19464" xr:uid="{00000000-0005-0000-0000-0000FA4B0000}"/>
    <cellStyle name="0_MIS_Projection_Feb'2009_5171 5 4 2 2 4" xfId="19465" xr:uid="{00000000-0005-0000-0000-0000FB4B0000}"/>
    <cellStyle name="0_MIS_Projection_Feb'2009_5171 5 4 2 3" xfId="19466" xr:uid="{00000000-0005-0000-0000-0000FC4B0000}"/>
    <cellStyle name="0_MIS_Projection_Feb'2009_5171 5 4 2 3 2" xfId="19467" xr:uid="{00000000-0005-0000-0000-0000FD4B0000}"/>
    <cellStyle name="0_MIS_Projection_Feb'2009_5171 5 4 2 3 2 2" xfId="19468" xr:uid="{00000000-0005-0000-0000-0000FE4B0000}"/>
    <cellStyle name="0_MIS_Projection_Feb'2009_5171 5 4 2 3 3" xfId="19469" xr:uid="{00000000-0005-0000-0000-0000FF4B0000}"/>
    <cellStyle name="0_MIS_Projection_Feb'2009_5171 5 4 2 3 3 2" xfId="19470" xr:uid="{00000000-0005-0000-0000-0000004C0000}"/>
    <cellStyle name="0_MIS_Projection_Feb'2009_5171 5 4 2 3 4" xfId="19471" xr:uid="{00000000-0005-0000-0000-0000014C0000}"/>
    <cellStyle name="0_MIS_Projection_Feb'2009_5171 5 4 2 4" xfId="19472" xr:uid="{00000000-0005-0000-0000-0000024C0000}"/>
    <cellStyle name="0_MIS_Projection_Feb'2009_5171 5 4 2 4 2" xfId="19473" xr:uid="{00000000-0005-0000-0000-0000034C0000}"/>
    <cellStyle name="0_MIS_Projection_Feb'2009_5171 5 4 2 5" xfId="19474" xr:uid="{00000000-0005-0000-0000-0000044C0000}"/>
    <cellStyle name="0_MIS_Projection_Feb'2009_5171 5 4 2 5 2" xfId="19475" xr:uid="{00000000-0005-0000-0000-0000054C0000}"/>
    <cellStyle name="0_MIS_Projection_Feb'2009_5171 5 4 2 6" xfId="19476" xr:uid="{00000000-0005-0000-0000-0000064C0000}"/>
    <cellStyle name="0_MIS_Projection_Feb'2009_5171 5 4 3" xfId="19477" xr:uid="{00000000-0005-0000-0000-0000074C0000}"/>
    <cellStyle name="0_MIS_Projection_Feb'2009_5171 5 4 3 2" xfId="19478" xr:uid="{00000000-0005-0000-0000-0000084C0000}"/>
    <cellStyle name="0_MIS_Projection_Feb'2009_5171 5 4 3 2 2" xfId="19479" xr:uid="{00000000-0005-0000-0000-0000094C0000}"/>
    <cellStyle name="0_MIS_Projection_Feb'2009_5171 5 4 3 3" xfId="19480" xr:uid="{00000000-0005-0000-0000-00000A4C0000}"/>
    <cellStyle name="0_MIS_Projection_Feb'2009_5171 5 4 3 3 2" xfId="19481" xr:uid="{00000000-0005-0000-0000-00000B4C0000}"/>
    <cellStyle name="0_MIS_Projection_Feb'2009_5171 5 4 3 4" xfId="19482" xr:uid="{00000000-0005-0000-0000-00000C4C0000}"/>
    <cellStyle name="0_MIS_Projection_Feb'2009_5171 5 4 4" xfId="19483" xr:uid="{00000000-0005-0000-0000-00000D4C0000}"/>
    <cellStyle name="0_MIS_Projection_Feb'2009_5171 5 4 4 2" xfId="19484" xr:uid="{00000000-0005-0000-0000-00000E4C0000}"/>
    <cellStyle name="0_MIS_Projection_Feb'2009_5171 5 4 4 2 2" xfId="19485" xr:uid="{00000000-0005-0000-0000-00000F4C0000}"/>
    <cellStyle name="0_MIS_Projection_Feb'2009_5171 5 4 4 3" xfId="19486" xr:uid="{00000000-0005-0000-0000-0000104C0000}"/>
    <cellStyle name="0_MIS_Projection_Feb'2009_5171 5 4 4 3 2" xfId="19487" xr:uid="{00000000-0005-0000-0000-0000114C0000}"/>
    <cellStyle name="0_MIS_Projection_Feb'2009_5171 5 4 4 4" xfId="19488" xr:uid="{00000000-0005-0000-0000-0000124C0000}"/>
    <cellStyle name="0_MIS_Projection_Feb'2009_5171 5 4 5" xfId="19489" xr:uid="{00000000-0005-0000-0000-0000134C0000}"/>
    <cellStyle name="0_MIS_Projection_Feb'2009_5171 5 4 5 2" xfId="19490" xr:uid="{00000000-0005-0000-0000-0000144C0000}"/>
    <cellStyle name="0_MIS_Projection_Feb'2009_5171 5 4 5 2 2" xfId="19491" xr:uid="{00000000-0005-0000-0000-0000154C0000}"/>
    <cellStyle name="0_MIS_Projection_Feb'2009_5171 5 4 5 3" xfId="19492" xr:uid="{00000000-0005-0000-0000-0000164C0000}"/>
    <cellStyle name="0_MIS_Projection_Feb'2009_5171 5 4 5 3 2" xfId="19493" xr:uid="{00000000-0005-0000-0000-0000174C0000}"/>
    <cellStyle name="0_MIS_Projection_Feb'2009_5171 5 4 5 4" xfId="19494" xr:uid="{00000000-0005-0000-0000-0000184C0000}"/>
    <cellStyle name="0_MIS_Projection_Feb'2009_5171 5 4 6" xfId="19495" xr:uid="{00000000-0005-0000-0000-0000194C0000}"/>
    <cellStyle name="0_MIS_Projection_Feb'2009_5171 5 4 6 2" xfId="19496" xr:uid="{00000000-0005-0000-0000-00001A4C0000}"/>
    <cellStyle name="0_MIS_Projection_Feb'2009_5171 5 4 7" xfId="19497" xr:uid="{00000000-0005-0000-0000-00001B4C0000}"/>
    <cellStyle name="0_MIS_Projection_Feb'2009_5171 5 4 7 2" xfId="19498" xr:uid="{00000000-0005-0000-0000-00001C4C0000}"/>
    <cellStyle name="0_MIS_Projection_Feb'2009_5171 5 4 8" xfId="19499" xr:uid="{00000000-0005-0000-0000-00001D4C0000}"/>
    <cellStyle name="0_MIS_Projection_Feb'2009_5171 5 5" xfId="19500" xr:uid="{00000000-0005-0000-0000-00001E4C0000}"/>
    <cellStyle name="0_MIS_Projection_Feb'2009_5171 5 5 2" xfId="19501" xr:uid="{00000000-0005-0000-0000-00001F4C0000}"/>
    <cellStyle name="0_MIS_Projection_Feb'2009_5171 5 5 2 2" xfId="19502" xr:uid="{00000000-0005-0000-0000-0000204C0000}"/>
    <cellStyle name="0_MIS_Projection_Feb'2009_5171 5 5 2 2 2" xfId="19503" xr:uid="{00000000-0005-0000-0000-0000214C0000}"/>
    <cellStyle name="0_MIS_Projection_Feb'2009_5171 5 5 2 2 2 2" xfId="19504" xr:uid="{00000000-0005-0000-0000-0000224C0000}"/>
    <cellStyle name="0_MIS_Projection_Feb'2009_5171 5 5 2 2 3" xfId="19505" xr:uid="{00000000-0005-0000-0000-0000234C0000}"/>
    <cellStyle name="0_MIS_Projection_Feb'2009_5171 5 5 2 2 3 2" xfId="19506" xr:uid="{00000000-0005-0000-0000-0000244C0000}"/>
    <cellStyle name="0_MIS_Projection_Feb'2009_5171 5 5 2 2 4" xfId="19507" xr:uid="{00000000-0005-0000-0000-0000254C0000}"/>
    <cellStyle name="0_MIS_Projection_Feb'2009_5171 5 5 2 3" xfId="19508" xr:uid="{00000000-0005-0000-0000-0000264C0000}"/>
    <cellStyle name="0_MIS_Projection_Feb'2009_5171 5 5 2 3 2" xfId="19509" xr:uid="{00000000-0005-0000-0000-0000274C0000}"/>
    <cellStyle name="0_MIS_Projection_Feb'2009_5171 5 5 2 3 2 2" xfId="19510" xr:uid="{00000000-0005-0000-0000-0000284C0000}"/>
    <cellStyle name="0_MIS_Projection_Feb'2009_5171 5 5 2 3 3" xfId="19511" xr:uid="{00000000-0005-0000-0000-0000294C0000}"/>
    <cellStyle name="0_MIS_Projection_Feb'2009_5171 5 5 2 3 3 2" xfId="19512" xr:uid="{00000000-0005-0000-0000-00002A4C0000}"/>
    <cellStyle name="0_MIS_Projection_Feb'2009_5171 5 5 2 3 4" xfId="19513" xr:uid="{00000000-0005-0000-0000-00002B4C0000}"/>
    <cellStyle name="0_MIS_Projection_Feb'2009_5171 5 5 2 4" xfId="19514" xr:uid="{00000000-0005-0000-0000-00002C4C0000}"/>
    <cellStyle name="0_MIS_Projection_Feb'2009_5171 5 5 2 4 2" xfId="19515" xr:uid="{00000000-0005-0000-0000-00002D4C0000}"/>
    <cellStyle name="0_MIS_Projection_Feb'2009_5171 5 5 2 5" xfId="19516" xr:uid="{00000000-0005-0000-0000-00002E4C0000}"/>
    <cellStyle name="0_MIS_Projection_Feb'2009_5171 5 5 2 5 2" xfId="19517" xr:uid="{00000000-0005-0000-0000-00002F4C0000}"/>
    <cellStyle name="0_MIS_Projection_Feb'2009_5171 5 5 2 6" xfId="19518" xr:uid="{00000000-0005-0000-0000-0000304C0000}"/>
    <cellStyle name="0_MIS_Projection_Feb'2009_5171 5 5 3" xfId="19519" xr:uid="{00000000-0005-0000-0000-0000314C0000}"/>
    <cellStyle name="0_MIS_Projection_Feb'2009_5171 5 5 3 2" xfId="19520" xr:uid="{00000000-0005-0000-0000-0000324C0000}"/>
    <cellStyle name="0_MIS_Projection_Feb'2009_5171 5 5 3 2 2" xfId="19521" xr:uid="{00000000-0005-0000-0000-0000334C0000}"/>
    <cellStyle name="0_MIS_Projection_Feb'2009_5171 5 5 3 3" xfId="19522" xr:uid="{00000000-0005-0000-0000-0000344C0000}"/>
    <cellStyle name="0_MIS_Projection_Feb'2009_5171 5 5 3 3 2" xfId="19523" xr:uid="{00000000-0005-0000-0000-0000354C0000}"/>
    <cellStyle name="0_MIS_Projection_Feb'2009_5171 5 5 3 4" xfId="19524" xr:uid="{00000000-0005-0000-0000-0000364C0000}"/>
    <cellStyle name="0_MIS_Projection_Feb'2009_5171 5 5 4" xfId="19525" xr:uid="{00000000-0005-0000-0000-0000374C0000}"/>
    <cellStyle name="0_MIS_Projection_Feb'2009_5171 5 5 4 2" xfId="19526" xr:uid="{00000000-0005-0000-0000-0000384C0000}"/>
    <cellStyle name="0_MIS_Projection_Feb'2009_5171 5 5 4 2 2" xfId="19527" xr:uid="{00000000-0005-0000-0000-0000394C0000}"/>
    <cellStyle name="0_MIS_Projection_Feb'2009_5171 5 5 4 3" xfId="19528" xr:uid="{00000000-0005-0000-0000-00003A4C0000}"/>
    <cellStyle name="0_MIS_Projection_Feb'2009_5171 5 5 4 3 2" xfId="19529" xr:uid="{00000000-0005-0000-0000-00003B4C0000}"/>
    <cellStyle name="0_MIS_Projection_Feb'2009_5171 5 5 4 4" xfId="19530" xr:uid="{00000000-0005-0000-0000-00003C4C0000}"/>
    <cellStyle name="0_MIS_Projection_Feb'2009_5171 5 5 5" xfId="19531" xr:uid="{00000000-0005-0000-0000-00003D4C0000}"/>
    <cellStyle name="0_MIS_Projection_Feb'2009_5171 5 5 5 2" xfId="19532" xr:uid="{00000000-0005-0000-0000-00003E4C0000}"/>
    <cellStyle name="0_MIS_Projection_Feb'2009_5171 5 5 5 2 2" xfId="19533" xr:uid="{00000000-0005-0000-0000-00003F4C0000}"/>
    <cellStyle name="0_MIS_Projection_Feb'2009_5171 5 5 5 3" xfId="19534" xr:uid="{00000000-0005-0000-0000-0000404C0000}"/>
    <cellStyle name="0_MIS_Projection_Feb'2009_5171 5 5 5 3 2" xfId="19535" xr:uid="{00000000-0005-0000-0000-0000414C0000}"/>
    <cellStyle name="0_MIS_Projection_Feb'2009_5171 5 5 5 4" xfId="19536" xr:uid="{00000000-0005-0000-0000-0000424C0000}"/>
    <cellStyle name="0_MIS_Projection_Feb'2009_5171 5 5 6" xfId="19537" xr:uid="{00000000-0005-0000-0000-0000434C0000}"/>
    <cellStyle name="0_MIS_Projection_Feb'2009_5171 5 5 6 2" xfId="19538" xr:uid="{00000000-0005-0000-0000-0000444C0000}"/>
    <cellStyle name="0_MIS_Projection_Feb'2009_5171 5 5 7" xfId="19539" xr:uid="{00000000-0005-0000-0000-0000454C0000}"/>
    <cellStyle name="0_MIS_Projection_Feb'2009_5171 5 5 7 2" xfId="19540" xr:uid="{00000000-0005-0000-0000-0000464C0000}"/>
    <cellStyle name="0_MIS_Projection_Feb'2009_5171 5 5 8" xfId="19541" xr:uid="{00000000-0005-0000-0000-0000474C0000}"/>
    <cellStyle name="0_MIS_Projection_Feb'2009_5171 5 6" xfId="19542" xr:uid="{00000000-0005-0000-0000-0000484C0000}"/>
    <cellStyle name="0_MIS_Projection_Feb'2009_5171 5 6 2" xfId="19543" xr:uid="{00000000-0005-0000-0000-0000494C0000}"/>
    <cellStyle name="0_MIS_Projection_Feb'2009_5171 5 6 2 2" xfId="19544" xr:uid="{00000000-0005-0000-0000-00004A4C0000}"/>
    <cellStyle name="0_MIS_Projection_Feb'2009_5171 5 6 2 2 2" xfId="19545" xr:uid="{00000000-0005-0000-0000-00004B4C0000}"/>
    <cellStyle name="0_MIS_Projection_Feb'2009_5171 5 6 2 2 2 2" xfId="19546" xr:uid="{00000000-0005-0000-0000-00004C4C0000}"/>
    <cellStyle name="0_MIS_Projection_Feb'2009_5171 5 6 2 2 3" xfId="19547" xr:uid="{00000000-0005-0000-0000-00004D4C0000}"/>
    <cellStyle name="0_MIS_Projection_Feb'2009_5171 5 6 2 2 3 2" xfId="19548" xr:uid="{00000000-0005-0000-0000-00004E4C0000}"/>
    <cellStyle name="0_MIS_Projection_Feb'2009_5171 5 6 2 2 4" xfId="19549" xr:uid="{00000000-0005-0000-0000-00004F4C0000}"/>
    <cellStyle name="0_MIS_Projection_Feb'2009_5171 5 6 2 3" xfId="19550" xr:uid="{00000000-0005-0000-0000-0000504C0000}"/>
    <cellStyle name="0_MIS_Projection_Feb'2009_5171 5 6 2 3 2" xfId="19551" xr:uid="{00000000-0005-0000-0000-0000514C0000}"/>
    <cellStyle name="0_MIS_Projection_Feb'2009_5171 5 6 2 3 2 2" xfId="19552" xr:uid="{00000000-0005-0000-0000-0000524C0000}"/>
    <cellStyle name="0_MIS_Projection_Feb'2009_5171 5 6 2 3 3" xfId="19553" xr:uid="{00000000-0005-0000-0000-0000534C0000}"/>
    <cellStyle name="0_MIS_Projection_Feb'2009_5171 5 6 2 3 3 2" xfId="19554" xr:uid="{00000000-0005-0000-0000-0000544C0000}"/>
    <cellStyle name="0_MIS_Projection_Feb'2009_5171 5 6 2 3 4" xfId="19555" xr:uid="{00000000-0005-0000-0000-0000554C0000}"/>
    <cellStyle name="0_MIS_Projection_Feb'2009_5171 5 6 2 4" xfId="19556" xr:uid="{00000000-0005-0000-0000-0000564C0000}"/>
    <cellStyle name="0_MIS_Projection_Feb'2009_5171 5 6 2 4 2" xfId="19557" xr:uid="{00000000-0005-0000-0000-0000574C0000}"/>
    <cellStyle name="0_MIS_Projection_Feb'2009_5171 5 6 2 5" xfId="19558" xr:uid="{00000000-0005-0000-0000-0000584C0000}"/>
    <cellStyle name="0_MIS_Projection_Feb'2009_5171 5 6 2 5 2" xfId="19559" xr:uid="{00000000-0005-0000-0000-0000594C0000}"/>
    <cellStyle name="0_MIS_Projection_Feb'2009_5171 5 6 2 6" xfId="19560" xr:uid="{00000000-0005-0000-0000-00005A4C0000}"/>
    <cellStyle name="0_MIS_Projection_Feb'2009_5171 5 6 3" xfId="19561" xr:uid="{00000000-0005-0000-0000-00005B4C0000}"/>
    <cellStyle name="0_MIS_Projection_Feb'2009_5171 5 6 3 2" xfId="19562" xr:uid="{00000000-0005-0000-0000-00005C4C0000}"/>
    <cellStyle name="0_MIS_Projection_Feb'2009_5171 5 6 3 2 2" xfId="19563" xr:uid="{00000000-0005-0000-0000-00005D4C0000}"/>
    <cellStyle name="0_MIS_Projection_Feb'2009_5171 5 6 3 3" xfId="19564" xr:uid="{00000000-0005-0000-0000-00005E4C0000}"/>
    <cellStyle name="0_MIS_Projection_Feb'2009_5171 5 6 3 3 2" xfId="19565" xr:uid="{00000000-0005-0000-0000-00005F4C0000}"/>
    <cellStyle name="0_MIS_Projection_Feb'2009_5171 5 6 3 4" xfId="19566" xr:uid="{00000000-0005-0000-0000-0000604C0000}"/>
    <cellStyle name="0_MIS_Projection_Feb'2009_5171 5 6 4" xfId="19567" xr:uid="{00000000-0005-0000-0000-0000614C0000}"/>
    <cellStyle name="0_MIS_Projection_Feb'2009_5171 5 6 4 2" xfId="19568" xr:uid="{00000000-0005-0000-0000-0000624C0000}"/>
    <cellStyle name="0_MIS_Projection_Feb'2009_5171 5 6 4 2 2" xfId="19569" xr:uid="{00000000-0005-0000-0000-0000634C0000}"/>
    <cellStyle name="0_MIS_Projection_Feb'2009_5171 5 6 4 3" xfId="19570" xr:uid="{00000000-0005-0000-0000-0000644C0000}"/>
    <cellStyle name="0_MIS_Projection_Feb'2009_5171 5 6 4 3 2" xfId="19571" xr:uid="{00000000-0005-0000-0000-0000654C0000}"/>
    <cellStyle name="0_MIS_Projection_Feb'2009_5171 5 6 4 4" xfId="19572" xr:uid="{00000000-0005-0000-0000-0000664C0000}"/>
    <cellStyle name="0_MIS_Projection_Feb'2009_5171 5 6 5" xfId="19573" xr:uid="{00000000-0005-0000-0000-0000674C0000}"/>
    <cellStyle name="0_MIS_Projection_Feb'2009_5171 5 6 5 2" xfId="19574" xr:uid="{00000000-0005-0000-0000-0000684C0000}"/>
    <cellStyle name="0_MIS_Projection_Feb'2009_5171 5 6 5 2 2" xfId="19575" xr:uid="{00000000-0005-0000-0000-0000694C0000}"/>
    <cellStyle name="0_MIS_Projection_Feb'2009_5171 5 6 5 3" xfId="19576" xr:uid="{00000000-0005-0000-0000-00006A4C0000}"/>
    <cellStyle name="0_MIS_Projection_Feb'2009_5171 5 6 5 3 2" xfId="19577" xr:uid="{00000000-0005-0000-0000-00006B4C0000}"/>
    <cellStyle name="0_MIS_Projection_Feb'2009_5171 5 6 5 4" xfId="19578" xr:uid="{00000000-0005-0000-0000-00006C4C0000}"/>
    <cellStyle name="0_MIS_Projection_Feb'2009_5171 5 6 6" xfId="19579" xr:uid="{00000000-0005-0000-0000-00006D4C0000}"/>
    <cellStyle name="0_MIS_Projection_Feb'2009_5171 5 6 6 2" xfId="19580" xr:uid="{00000000-0005-0000-0000-00006E4C0000}"/>
    <cellStyle name="0_MIS_Projection_Feb'2009_5171 5 6 7" xfId="19581" xr:uid="{00000000-0005-0000-0000-00006F4C0000}"/>
    <cellStyle name="0_MIS_Projection_Feb'2009_5171 5 6 7 2" xfId="19582" xr:uid="{00000000-0005-0000-0000-0000704C0000}"/>
    <cellStyle name="0_MIS_Projection_Feb'2009_5171 5 6 8" xfId="19583" xr:uid="{00000000-0005-0000-0000-0000714C0000}"/>
    <cellStyle name="0_MIS_Projection_Feb'2009_5171 5 7" xfId="19584" xr:uid="{00000000-0005-0000-0000-0000724C0000}"/>
    <cellStyle name="0_MIS_Projection_Feb'2009_5171 5 7 2" xfId="19585" xr:uid="{00000000-0005-0000-0000-0000734C0000}"/>
    <cellStyle name="0_MIS_Projection_Feb'2009_5171 5 7 2 2" xfId="19586" xr:uid="{00000000-0005-0000-0000-0000744C0000}"/>
    <cellStyle name="0_MIS_Projection_Feb'2009_5171 5 7 2 2 2" xfId="19587" xr:uid="{00000000-0005-0000-0000-0000754C0000}"/>
    <cellStyle name="0_MIS_Projection_Feb'2009_5171 5 7 2 3" xfId="19588" xr:uid="{00000000-0005-0000-0000-0000764C0000}"/>
    <cellStyle name="0_MIS_Projection_Feb'2009_5171 5 7 2 3 2" xfId="19589" xr:uid="{00000000-0005-0000-0000-0000774C0000}"/>
    <cellStyle name="0_MIS_Projection_Feb'2009_5171 5 7 2 4" xfId="19590" xr:uid="{00000000-0005-0000-0000-0000784C0000}"/>
    <cellStyle name="0_MIS_Projection_Feb'2009_5171 5 7 3" xfId="19591" xr:uid="{00000000-0005-0000-0000-0000794C0000}"/>
    <cellStyle name="0_MIS_Projection_Feb'2009_5171 5 7 3 2" xfId="19592" xr:uid="{00000000-0005-0000-0000-00007A4C0000}"/>
    <cellStyle name="0_MIS_Projection_Feb'2009_5171 5 7 3 2 2" xfId="19593" xr:uid="{00000000-0005-0000-0000-00007B4C0000}"/>
    <cellStyle name="0_MIS_Projection_Feb'2009_5171 5 7 3 3" xfId="19594" xr:uid="{00000000-0005-0000-0000-00007C4C0000}"/>
    <cellStyle name="0_MIS_Projection_Feb'2009_5171 5 7 3 3 2" xfId="19595" xr:uid="{00000000-0005-0000-0000-00007D4C0000}"/>
    <cellStyle name="0_MIS_Projection_Feb'2009_5171 5 7 3 4" xfId="19596" xr:uid="{00000000-0005-0000-0000-00007E4C0000}"/>
    <cellStyle name="0_MIS_Projection_Feb'2009_5171 5 7 4" xfId="19597" xr:uid="{00000000-0005-0000-0000-00007F4C0000}"/>
    <cellStyle name="0_MIS_Projection_Feb'2009_5171 5 7 4 2" xfId="19598" xr:uid="{00000000-0005-0000-0000-0000804C0000}"/>
    <cellStyle name="0_MIS_Projection_Feb'2009_5171 5 7 5" xfId="19599" xr:uid="{00000000-0005-0000-0000-0000814C0000}"/>
    <cellStyle name="0_MIS_Projection_Feb'2009_5171 5 7 5 2" xfId="19600" xr:uid="{00000000-0005-0000-0000-0000824C0000}"/>
    <cellStyle name="0_MIS_Projection_Feb'2009_5171 5 7 6" xfId="19601" xr:uid="{00000000-0005-0000-0000-0000834C0000}"/>
    <cellStyle name="0_MIS_Projection_Feb'2009_5171 5 8" xfId="19602" xr:uid="{00000000-0005-0000-0000-0000844C0000}"/>
    <cellStyle name="0_MIS_Projection_Feb'2009_5171 5 8 2" xfId="19603" xr:uid="{00000000-0005-0000-0000-0000854C0000}"/>
    <cellStyle name="0_MIS_Projection_Feb'2009_5171 5 8 2 2" xfId="19604" xr:uid="{00000000-0005-0000-0000-0000864C0000}"/>
    <cellStyle name="0_MIS_Projection_Feb'2009_5171 5 8 3" xfId="19605" xr:uid="{00000000-0005-0000-0000-0000874C0000}"/>
    <cellStyle name="0_MIS_Projection_Feb'2009_5171 5 8 3 2" xfId="19606" xr:uid="{00000000-0005-0000-0000-0000884C0000}"/>
    <cellStyle name="0_MIS_Projection_Feb'2009_5171 5 8 4" xfId="19607" xr:uid="{00000000-0005-0000-0000-0000894C0000}"/>
    <cellStyle name="0_MIS_Projection_Feb'2009_5171 5 9" xfId="19608" xr:uid="{00000000-0005-0000-0000-00008A4C0000}"/>
    <cellStyle name="0_MIS_Projection_Feb'2009_5171 5 9 2" xfId="19609" xr:uid="{00000000-0005-0000-0000-00008B4C0000}"/>
    <cellStyle name="0_MIS_Projection_Feb'2009_5171 5 9 2 2" xfId="19610" xr:uid="{00000000-0005-0000-0000-00008C4C0000}"/>
    <cellStyle name="0_MIS_Projection_Feb'2009_5171 5 9 3" xfId="19611" xr:uid="{00000000-0005-0000-0000-00008D4C0000}"/>
    <cellStyle name="0_MIS_Projection_Feb'2009_5171 5 9 3 2" xfId="19612" xr:uid="{00000000-0005-0000-0000-00008E4C0000}"/>
    <cellStyle name="0_MIS_Projection_Feb'2009_5171 5 9 4" xfId="19613" xr:uid="{00000000-0005-0000-0000-00008F4C0000}"/>
    <cellStyle name="0_MIS_Projection_Feb'2009_5171 6" xfId="19614" xr:uid="{00000000-0005-0000-0000-0000904C0000}"/>
    <cellStyle name="0_MIS_Projection_Feb'2009_5171 6 2" xfId="19615" xr:uid="{00000000-0005-0000-0000-0000914C0000}"/>
    <cellStyle name="0_MIS_Projection_Feb'2009_5171 6 2 2" xfId="19616" xr:uid="{00000000-0005-0000-0000-0000924C0000}"/>
    <cellStyle name="0_MIS_Projection_Feb'2009_5171 6 2 2 2" xfId="19617" xr:uid="{00000000-0005-0000-0000-0000934C0000}"/>
    <cellStyle name="0_MIS_Projection_Feb'2009_5171 6 2 2 2 2" xfId="19618" xr:uid="{00000000-0005-0000-0000-0000944C0000}"/>
    <cellStyle name="0_MIS_Projection_Feb'2009_5171 6 2 2 3" xfId="19619" xr:uid="{00000000-0005-0000-0000-0000954C0000}"/>
    <cellStyle name="0_MIS_Projection_Feb'2009_5171 6 2 2 3 2" xfId="19620" xr:uid="{00000000-0005-0000-0000-0000964C0000}"/>
    <cellStyle name="0_MIS_Projection_Feb'2009_5171 6 2 2 4" xfId="19621" xr:uid="{00000000-0005-0000-0000-0000974C0000}"/>
    <cellStyle name="0_MIS_Projection_Feb'2009_5171 6 2 3" xfId="19622" xr:uid="{00000000-0005-0000-0000-0000984C0000}"/>
    <cellStyle name="0_MIS_Projection_Feb'2009_5171 6 2 3 2" xfId="19623" xr:uid="{00000000-0005-0000-0000-0000994C0000}"/>
    <cellStyle name="0_MIS_Projection_Feb'2009_5171 6 2 3 2 2" xfId="19624" xr:uid="{00000000-0005-0000-0000-00009A4C0000}"/>
    <cellStyle name="0_MIS_Projection_Feb'2009_5171 6 2 3 3" xfId="19625" xr:uid="{00000000-0005-0000-0000-00009B4C0000}"/>
    <cellStyle name="0_MIS_Projection_Feb'2009_5171 6 2 3 3 2" xfId="19626" xr:uid="{00000000-0005-0000-0000-00009C4C0000}"/>
    <cellStyle name="0_MIS_Projection_Feb'2009_5171 6 2 3 4" xfId="19627" xr:uid="{00000000-0005-0000-0000-00009D4C0000}"/>
    <cellStyle name="0_MIS_Projection_Feb'2009_5171 6 2 4" xfId="19628" xr:uid="{00000000-0005-0000-0000-00009E4C0000}"/>
    <cellStyle name="0_MIS_Projection_Feb'2009_5171 6 2 4 2" xfId="19629" xr:uid="{00000000-0005-0000-0000-00009F4C0000}"/>
    <cellStyle name="0_MIS_Projection_Feb'2009_5171 6 2 5" xfId="19630" xr:uid="{00000000-0005-0000-0000-0000A04C0000}"/>
    <cellStyle name="0_MIS_Projection_Feb'2009_5171 6 2 5 2" xfId="19631" xr:uid="{00000000-0005-0000-0000-0000A14C0000}"/>
    <cellStyle name="0_MIS_Projection_Feb'2009_5171 6 2 6" xfId="19632" xr:uid="{00000000-0005-0000-0000-0000A24C0000}"/>
    <cellStyle name="0_MIS_Projection_Feb'2009_5171 6 3" xfId="19633" xr:uid="{00000000-0005-0000-0000-0000A34C0000}"/>
    <cellStyle name="0_MIS_Projection_Feb'2009_5171 6 3 2" xfId="19634" xr:uid="{00000000-0005-0000-0000-0000A44C0000}"/>
    <cellStyle name="0_MIS_Projection_Feb'2009_5171 6 3 2 2" xfId="19635" xr:uid="{00000000-0005-0000-0000-0000A54C0000}"/>
    <cellStyle name="0_MIS_Projection_Feb'2009_5171 6 3 3" xfId="19636" xr:uid="{00000000-0005-0000-0000-0000A64C0000}"/>
    <cellStyle name="0_MIS_Projection_Feb'2009_5171 6 3 3 2" xfId="19637" xr:uid="{00000000-0005-0000-0000-0000A74C0000}"/>
    <cellStyle name="0_MIS_Projection_Feb'2009_5171 6 3 4" xfId="19638" xr:uid="{00000000-0005-0000-0000-0000A84C0000}"/>
    <cellStyle name="0_MIS_Projection_Feb'2009_5171 6 4" xfId="19639" xr:uid="{00000000-0005-0000-0000-0000A94C0000}"/>
    <cellStyle name="0_MIS_Projection_Feb'2009_5171 6 4 2" xfId="19640" xr:uid="{00000000-0005-0000-0000-0000AA4C0000}"/>
    <cellStyle name="0_MIS_Projection_Feb'2009_5171 6 4 2 2" xfId="19641" xr:uid="{00000000-0005-0000-0000-0000AB4C0000}"/>
    <cellStyle name="0_MIS_Projection_Feb'2009_5171 6 4 3" xfId="19642" xr:uid="{00000000-0005-0000-0000-0000AC4C0000}"/>
    <cellStyle name="0_MIS_Projection_Feb'2009_5171 6 4 3 2" xfId="19643" xr:uid="{00000000-0005-0000-0000-0000AD4C0000}"/>
    <cellStyle name="0_MIS_Projection_Feb'2009_5171 6 4 4" xfId="19644" xr:uid="{00000000-0005-0000-0000-0000AE4C0000}"/>
    <cellStyle name="0_MIS_Projection_Feb'2009_5171 6 5" xfId="19645" xr:uid="{00000000-0005-0000-0000-0000AF4C0000}"/>
    <cellStyle name="0_MIS_Projection_Feb'2009_5171 6 5 2" xfId="19646" xr:uid="{00000000-0005-0000-0000-0000B04C0000}"/>
    <cellStyle name="0_MIS_Projection_Feb'2009_5171 6 5 2 2" xfId="19647" xr:uid="{00000000-0005-0000-0000-0000B14C0000}"/>
    <cellStyle name="0_MIS_Projection_Feb'2009_5171 6 5 3" xfId="19648" xr:uid="{00000000-0005-0000-0000-0000B24C0000}"/>
    <cellStyle name="0_MIS_Projection_Feb'2009_5171 6 5 3 2" xfId="19649" xr:uid="{00000000-0005-0000-0000-0000B34C0000}"/>
    <cellStyle name="0_MIS_Projection_Feb'2009_5171 6 5 4" xfId="19650" xr:uid="{00000000-0005-0000-0000-0000B44C0000}"/>
    <cellStyle name="0_MIS_Projection_Feb'2009_5171 6 6" xfId="19651" xr:uid="{00000000-0005-0000-0000-0000B54C0000}"/>
    <cellStyle name="0_MIS_Projection_Feb'2009_5171 6 6 2" xfId="19652" xr:uid="{00000000-0005-0000-0000-0000B64C0000}"/>
    <cellStyle name="0_MIS_Projection_Feb'2009_5171 6 7" xfId="19653" xr:uid="{00000000-0005-0000-0000-0000B74C0000}"/>
    <cellStyle name="0_MIS_Projection_Feb'2009_5171 6 7 2" xfId="19654" xr:uid="{00000000-0005-0000-0000-0000B84C0000}"/>
    <cellStyle name="0_MIS_Projection_Feb'2009_5171 6 8" xfId="19655" xr:uid="{00000000-0005-0000-0000-0000B94C0000}"/>
    <cellStyle name="0_MIS_Projection_Feb'2009_5171 7" xfId="19656" xr:uid="{00000000-0005-0000-0000-0000BA4C0000}"/>
    <cellStyle name="0_MIS_Projection_Feb'2009_5171 7 2" xfId="19657" xr:uid="{00000000-0005-0000-0000-0000BB4C0000}"/>
    <cellStyle name="0_MIS_Projection_Feb'2009_5171 7 2 2" xfId="19658" xr:uid="{00000000-0005-0000-0000-0000BC4C0000}"/>
    <cellStyle name="0_MIS_Projection_Feb'2009_5171 7 2 2 2" xfId="19659" xr:uid="{00000000-0005-0000-0000-0000BD4C0000}"/>
    <cellStyle name="0_MIS_Projection_Feb'2009_5171 7 2 3" xfId="19660" xr:uid="{00000000-0005-0000-0000-0000BE4C0000}"/>
    <cellStyle name="0_MIS_Projection_Feb'2009_5171 7 2 3 2" xfId="19661" xr:uid="{00000000-0005-0000-0000-0000BF4C0000}"/>
    <cellStyle name="0_MIS_Projection_Feb'2009_5171 7 2 4" xfId="19662" xr:uid="{00000000-0005-0000-0000-0000C04C0000}"/>
    <cellStyle name="0_MIS_Projection_Feb'2009_5171 7 3" xfId="19663" xr:uid="{00000000-0005-0000-0000-0000C14C0000}"/>
    <cellStyle name="0_MIS_Projection_Feb'2009_5171 7 3 2" xfId="19664" xr:uid="{00000000-0005-0000-0000-0000C24C0000}"/>
    <cellStyle name="0_MIS_Projection_Feb'2009_5171 7 3 2 2" xfId="19665" xr:uid="{00000000-0005-0000-0000-0000C34C0000}"/>
    <cellStyle name="0_MIS_Projection_Feb'2009_5171 7 3 3" xfId="19666" xr:uid="{00000000-0005-0000-0000-0000C44C0000}"/>
    <cellStyle name="0_MIS_Projection_Feb'2009_5171 7 3 3 2" xfId="19667" xr:uid="{00000000-0005-0000-0000-0000C54C0000}"/>
    <cellStyle name="0_MIS_Projection_Feb'2009_5171 7 3 4" xfId="19668" xr:uid="{00000000-0005-0000-0000-0000C64C0000}"/>
    <cellStyle name="0_MIS_Projection_Feb'2009_5171 7 4" xfId="19669" xr:uid="{00000000-0005-0000-0000-0000C74C0000}"/>
    <cellStyle name="0_MIS_Projection_Feb'2009_5171 7 4 2" xfId="19670" xr:uid="{00000000-0005-0000-0000-0000C84C0000}"/>
    <cellStyle name="0_MIS_Projection_Feb'2009_5171 7 5" xfId="19671" xr:uid="{00000000-0005-0000-0000-0000C94C0000}"/>
    <cellStyle name="0_MIS_Projection_Feb'2009_5171 7 5 2" xfId="19672" xr:uid="{00000000-0005-0000-0000-0000CA4C0000}"/>
    <cellStyle name="0_MIS_Projection_Feb'2009_5171 7 6" xfId="19673" xr:uid="{00000000-0005-0000-0000-0000CB4C0000}"/>
    <cellStyle name="0_MIS_Projection_Feb'2009_5171 8" xfId="19674" xr:uid="{00000000-0005-0000-0000-0000CC4C0000}"/>
    <cellStyle name="0_MIS_Projection_Feb'2009_5171 8 2" xfId="19675" xr:uid="{00000000-0005-0000-0000-0000CD4C0000}"/>
    <cellStyle name="0_MIS_Projection_Feb'2009_5171 8 2 2" xfId="19676" xr:uid="{00000000-0005-0000-0000-0000CE4C0000}"/>
    <cellStyle name="0_MIS_Projection_Feb'2009_5171 8 2 2 2" xfId="19677" xr:uid="{00000000-0005-0000-0000-0000CF4C0000}"/>
    <cellStyle name="0_MIS_Projection_Feb'2009_5171 8 2 3" xfId="19678" xr:uid="{00000000-0005-0000-0000-0000D04C0000}"/>
    <cellStyle name="0_MIS_Projection_Feb'2009_5171 8 2 3 2" xfId="19679" xr:uid="{00000000-0005-0000-0000-0000D14C0000}"/>
    <cellStyle name="0_MIS_Projection_Feb'2009_5171 8 2 4" xfId="19680" xr:uid="{00000000-0005-0000-0000-0000D24C0000}"/>
    <cellStyle name="0_MIS_Projection_Feb'2009_5171 8 3" xfId="19681" xr:uid="{00000000-0005-0000-0000-0000D34C0000}"/>
    <cellStyle name="0_MIS_Projection_Feb'2009_5171 8 3 2" xfId="19682" xr:uid="{00000000-0005-0000-0000-0000D44C0000}"/>
    <cellStyle name="0_MIS_Projection_Feb'2009_5171 8 3 2 2" xfId="19683" xr:uid="{00000000-0005-0000-0000-0000D54C0000}"/>
    <cellStyle name="0_MIS_Projection_Feb'2009_5171 8 3 3" xfId="19684" xr:uid="{00000000-0005-0000-0000-0000D64C0000}"/>
    <cellStyle name="0_MIS_Projection_Feb'2009_5171 8 3 3 2" xfId="19685" xr:uid="{00000000-0005-0000-0000-0000D74C0000}"/>
    <cellStyle name="0_MIS_Projection_Feb'2009_5171 8 3 4" xfId="19686" xr:uid="{00000000-0005-0000-0000-0000D84C0000}"/>
    <cellStyle name="0_MIS_Projection_Feb'2009_5171 8 4" xfId="19687" xr:uid="{00000000-0005-0000-0000-0000D94C0000}"/>
    <cellStyle name="0_MIS_Projection_Feb'2009_5171 8 4 2" xfId="19688" xr:uid="{00000000-0005-0000-0000-0000DA4C0000}"/>
    <cellStyle name="0_MIS_Projection_Feb'2009_5171 8 5" xfId="19689" xr:uid="{00000000-0005-0000-0000-0000DB4C0000}"/>
    <cellStyle name="0_MIS_Projection_Feb'2009_5171 8 5 2" xfId="19690" xr:uid="{00000000-0005-0000-0000-0000DC4C0000}"/>
    <cellStyle name="0_MIS_Projection_Feb'2009_5171 8 6" xfId="19691" xr:uid="{00000000-0005-0000-0000-0000DD4C0000}"/>
    <cellStyle name="0_MIS_Projection_Feb'2009_5171 9" xfId="19692" xr:uid="{00000000-0005-0000-0000-0000DE4C0000}"/>
    <cellStyle name="0_MIS_Projection_Feb'2009_5171 9 2" xfId="19693" xr:uid="{00000000-0005-0000-0000-0000DF4C0000}"/>
    <cellStyle name="0_MIS_Projection_Feb'2009_5171 9 2 2" xfId="19694" xr:uid="{00000000-0005-0000-0000-0000E04C0000}"/>
    <cellStyle name="0_MIS_Projection_Feb'2009_5171 9 3" xfId="19695" xr:uid="{00000000-0005-0000-0000-0000E14C0000}"/>
    <cellStyle name="0_MIS_Projection_Feb'2009_5171 9 3 2" xfId="19696" xr:uid="{00000000-0005-0000-0000-0000E24C0000}"/>
    <cellStyle name="0_MIS_Projection_Feb'2009_5171 9 4" xfId="19697" xr:uid="{00000000-0005-0000-0000-0000E34C0000}"/>
    <cellStyle name="0_MIS_Projection_Feb'2009_5171 9 5" xfId="19698" xr:uid="{00000000-0005-0000-0000-0000E44C0000}"/>
    <cellStyle name="0_ORG CHART FOR CEO MEETING" xfId="19699" xr:uid="{00000000-0005-0000-0000-0000E54C0000}"/>
    <cellStyle name="0_ORG CHART FOR CEO MEETING 10" xfId="19700" xr:uid="{00000000-0005-0000-0000-0000E64C0000}"/>
    <cellStyle name="0_ORG CHART FOR CEO MEETING 11" xfId="19701" xr:uid="{00000000-0005-0000-0000-0000E74C0000}"/>
    <cellStyle name="0_ORG CHART FOR CEO MEETING 12" xfId="19702" xr:uid="{00000000-0005-0000-0000-0000E84C0000}"/>
    <cellStyle name="0_ORG CHART FOR CEO MEETING 2" xfId="19703" xr:uid="{00000000-0005-0000-0000-0000E94C0000}"/>
    <cellStyle name="0_ORG CHART FOR CEO MEETING 2 2" xfId="19704" xr:uid="{00000000-0005-0000-0000-0000EA4C0000}"/>
    <cellStyle name="0_ORG CHART FOR CEO MEETING 2 2 2" xfId="19705" xr:uid="{00000000-0005-0000-0000-0000EB4C0000}"/>
    <cellStyle name="0_ORG CHART FOR CEO MEETING 2 2 2 2" xfId="19706" xr:uid="{00000000-0005-0000-0000-0000EC4C0000}"/>
    <cellStyle name="0_ORG CHART FOR CEO MEETING 2 2 3" xfId="19707" xr:uid="{00000000-0005-0000-0000-0000ED4C0000}"/>
    <cellStyle name="0_ORG CHART FOR CEO MEETING 2 2 3 2" xfId="19708" xr:uid="{00000000-0005-0000-0000-0000EE4C0000}"/>
    <cellStyle name="0_ORG CHART FOR CEO MEETING 2 2 4" xfId="19709" xr:uid="{00000000-0005-0000-0000-0000EF4C0000}"/>
    <cellStyle name="0_ORG CHART FOR CEO MEETING 2 3" xfId="19710" xr:uid="{00000000-0005-0000-0000-0000F04C0000}"/>
    <cellStyle name="0_ORG CHART FOR CEO MEETING 2 3 2" xfId="19711" xr:uid="{00000000-0005-0000-0000-0000F14C0000}"/>
    <cellStyle name="0_ORG CHART FOR CEO MEETING 2 3 2 2" xfId="19712" xr:uid="{00000000-0005-0000-0000-0000F24C0000}"/>
    <cellStyle name="0_ORG CHART FOR CEO MEETING 2 3 3" xfId="19713" xr:uid="{00000000-0005-0000-0000-0000F34C0000}"/>
    <cellStyle name="0_ORG CHART FOR CEO MEETING 2 3 3 2" xfId="19714" xr:uid="{00000000-0005-0000-0000-0000F44C0000}"/>
    <cellStyle name="0_ORG CHART FOR CEO MEETING 2 3 4" xfId="19715" xr:uid="{00000000-0005-0000-0000-0000F54C0000}"/>
    <cellStyle name="0_ORG CHART FOR CEO MEETING 2 4" xfId="19716" xr:uid="{00000000-0005-0000-0000-0000F64C0000}"/>
    <cellStyle name="0_ORG CHART FOR CEO MEETING 2 4 2" xfId="19717" xr:uid="{00000000-0005-0000-0000-0000F74C0000}"/>
    <cellStyle name="0_ORG CHART FOR CEO MEETING 2 5" xfId="19718" xr:uid="{00000000-0005-0000-0000-0000F84C0000}"/>
    <cellStyle name="0_ORG CHART FOR CEO MEETING 2 5 2" xfId="19719" xr:uid="{00000000-0005-0000-0000-0000F94C0000}"/>
    <cellStyle name="0_ORG CHART FOR CEO MEETING 2 6" xfId="19720" xr:uid="{00000000-0005-0000-0000-0000FA4C0000}"/>
    <cellStyle name="0_ORG CHART FOR CEO MEETING 3" xfId="19721" xr:uid="{00000000-0005-0000-0000-0000FB4C0000}"/>
    <cellStyle name="0_ORG CHART FOR CEO MEETING 3 2" xfId="19722" xr:uid="{00000000-0005-0000-0000-0000FC4C0000}"/>
    <cellStyle name="0_ORG CHART FOR CEO MEETING 3 2 2" xfId="19723" xr:uid="{00000000-0005-0000-0000-0000FD4C0000}"/>
    <cellStyle name="0_ORG CHART FOR CEO MEETING 3 3" xfId="19724" xr:uid="{00000000-0005-0000-0000-0000FE4C0000}"/>
    <cellStyle name="0_ORG CHART FOR CEO MEETING 3 3 2" xfId="19725" xr:uid="{00000000-0005-0000-0000-0000FF4C0000}"/>
    <cellStyle name="0_ORG CHART FOR CEO MEETING 3 4" xfId="19726" xr:uid="{00000000-0005-0000-0000-0000004D0000}"/>
    <cellStyle name="0_ORG CHART FOR CEO MEETING 3 5" xfId="19727" xr:uid="{00000000-0005-0000-0000-0000014D0000}"/>
    <cellStyle name="0_ORG CHART FOR CEO MEETING 4" xfId="19728" xr:uid="{00000000-0005-0000-0000-0000024D0000}"/>
    <cellStyle name="0_ORG CHART FOR CEO MEETING 4 2" xfId="19729" xr:uid="{00000000-0005-0000-0000-0000034D0000}"/>
    <cellStyle name="0_ORG CHART FOR CEO MEETING 4 2 2" xfId="19730" xr:uid="{00000000-0005-0000-0000-0000044D0000}"/>
    <cellStyle name="0_ORG CHART FOR CEO MEETING 4 3" xfId="19731" xr:uid="{00000000-0005-0000-0000-0000054D0000}"/>
    <cellStyle name="0_ORG CHART FOR CEO MEETING 4 3 2" xfId="19732" xr:uid="{00000000-0005-0000-0000-0000064D0000}"/>
    <cellStyle name="0_ORG CHART FOR CEO MEETING 4 4" xfId="19733" xr:uid="{00000000-0005-0000-0000-0000074D0000}"/>
    <cellStyle name="0_ORG CHART FOR CEO MEETING 4 5" xfId="19734" xr:uid="{00000000-0005-0000-0000-0000084D0000}"/>
    <cellStyle name="0_ORG CHART FOR CEO MEETING 5" xfId="19735" xr:uid="{00000000-0005-0000-0000-0000094D0000}"/>
    <cellStyle name="0_ORG CHART FOR CEO MEETING 5 2" xfId="19736" xr:uid="{00000000-0005-0000-0000-00000A4D0000}"/>
    <cellStyle name="0_ORG CHART FOR CEO MEETING 5 3" xfId="19737" xr:uid="{00000000-0005-0000-0000-00000B4D0000}"/>
    <cellStyle name="0_ORG CHART FOR CEO MEETING 5 4" xfId="19738" xr:uid="{00000000-0005-0000-0000-00000C4D0000}"/>
    <cellStyle name="0_ORG CHART FOR CEO MEETING 5 5" xfId="19739" xr:uid="{00000000-0005-0000-0000-00000D4D0000}"/>
    <cellStyle name="0_ORG CHART FOR CEO MEETING 6" xfId="19740" xr:uid="{00000000-0005-0000-0000-00000E4D0000}"/>
    <cellStyle name="0_ORG CHART FOR CEO MEETING 6 2" xfId="19741" xr:uid="{00000000-0005-0000-0000-00000F4D0000}"/>
    <cellStyle name="0_ORG CHART FOR CEO MEETING 6 3" xfId="19742" xr:uid="{00000000-0005-0000-0000-0000104D0000}"/>
    <cellStyle name="0_ORG CHART FOR CEO MEETING 6 4" xfId="19743" xr:uid="{00000000-0005-0000-0000-0000114D0000}"/>
    <cellStyle name="0_ORG CHART FOR CEO MEETING 6 5" xfId="19744" xr:uid="{00000000-0005-0000-0000-0000124D0000}"/>
    <cellStyle name="0_ORG CHART FOR CEO MEETING 7" xfId="19745" xr:uid="{00000000-0005-0000-0000-0000134D0000}"/>
    <cellStyle name="0_ORG CHART FOR CEO MEETING 7 2" xfId="19746" xr:uid="{00000000-0005-0000-0000-0000144D0000}"/>
    <cellStyle name="0_ORG CHART FOR CEO MEETING 7 3" xfId="19747" xr:uid="{00000000-0005-0000-0000-0000154D0000}"/>
    <cellStyle name="0_ORG CHART FOR CEO MEETING 7 4" xfId="19748" xr:uid="{00000000-0005-0000-0000-0000164D0000}"/>
    <cellStyle name="0_ORG CHART FOR CEO MEETING 7 5" xfId="19749" xr:uid="{00000000-0005-0000-0000-0000174D0000}"/>
    <cellStyle name="0_ORG CHART FOR CEO MEETING 8" xfId="19750" xr:uid="{00000000-0005-0000-0000-0000184D0000}"/>
    <cellStyle name="0_ORG CHART FOR CEO MEETING 8 2" xfId="19751" xr:uid="{00000000-0005-0000-0000-0000194D0000}"/>
    <cellStyle name="0_ORG CHART FOR CEO MEETING 8 3" xfId="19752" xr:uid="{00000000-0005-0000-0000-00001A4D0000}"/>
    <cellStyle name="0_ORG CHART FOR CEO MEETING 8 4" xfId="19753" xr:uid="{00000000-0005-0000-0000-00001B4D0000}"/>
    <cellStyle name="0_ORG CHART FOR CEO MEETING 8 5" xfId="19754" xr:uid="{00000000-0005-0000-0000-00001C4D0000}"/>
    <cellStyle name="0_ORG CHART FOR CEO MEETING 9" xfId="19755" xr:uid="{00000000-0005-0000-0000-00001D4D0000}"/>
    <cellStyle name="0_organogram" xfId="19756" xr:uid="{00000000-0005-0000-0000-00001E4D0000}"/>
    <cellStyle name="0_organogram 10" xfId="19757" xr:uid="{00000000-0005-0000-0000-00001F4D0000}"/>
    <cellStyle name="0_organogram 10 2" xfId="19758" xr:uid="{00000000-0005-0000-0000-0000204D0000}"/>
    <cellStyle name="0_organogram 10 2 2" xfId="19759" xr:uid="{00000000-0005-0000-0000-0000214D0000}"/>
    <cellStyle name="0_organogram 10 3" xfId="19760" xr:uid="{00000000-0005-0000-0000-0000224D0000}"/>
    <cellStyle name="0_organogram 10 3 2" xfId="19761" xr:uid="{00000000-0005-0000-0000-0000234D0000}"/>
    <cellStyle name="0_organogram 10 4" xfId="19762" xr:uid="{00000000-0005-0000-0000-0000244D0000}"/>
    <cellStyle name="0_organogram 11" xfId="19763" xr:uid="{00000000-0005-0000-0000-0000254D0000}"/>
    <cellStyle name="0_organogram 11 2" xfId="19764" xr:uid="{00000000-0005-0000-0000-0000264D0000}"/>
    <cellStyle name="0_organogram 11 2 2" xfId="19765" xr:uid="{00000000-0005-0000-0000-0000274D0000}"/>
    <cellStyle name="0_organogram 11 3" xfId="19766" xr:uid="{00000000-0005-0000-0000-0000284D0000}"/>
    <cellStyle name="0_organogram 11 3 2" xfId="19767" xr:uid="{00000000-0005-0000-0000-0000294D0000}"/>
    <cellStyle name="0_organogram 11 4" xfId="19768" xr:uid="{00000000-0005-0000-0000-00002A4D0000}"/>
    <cellStyle name="0_organogram 12" xfId="19769" xr:uid="{00000000-0005-0000-0000-00002B4D0000}"/>
    <cellStyle name="0_organogram 12 2" xfId="19770" xr:uid="{00000000-0005-0000-0000-00002C4D0000}"/>
    <cellStyle name="0_organogram 13" xfId="19771" xr:uid="{00000000-0005-0000-0000-00002D4D0000}"/>
    <cellStyle name="0_organogram 13 2" xfId="19772" xr:uid="{00000000-0005-0000-0000-00002E4D0000}"/>
    <cellStyle name="0_organogram 14" xfId="19773" xr:uid="{00000000-0005-0000-0000-00002F4D0000}"/>
    <cellStyle name="0_organogram 14 2" xfId="19774" xr:uid="{00000000-0005-0000-0000-0000304D0000}"/>
    <cellStyle name="0_organogram 15" xfId="19775" xr:uid="{00000000-0005-0000-0000-0000314D0000}"/>
    <cellStyle name="0_organogram 16" xfId="19776" xr:uid="{00000000-0005-0000-0000-0000324D0000}"/>
    <cellStyle name="0_organogram 17" xfId="19777" xr:uid="{00000000-0005-0000-0000-0000334D0000}"/>
    <cellStyle name="0_organogram 18" xfId="19778" xr:uid="{00000000-0005-0000-0000-0000344D0000}"/>
    <cellStyle name="0_organogram 19" xfId="19779" xr:uid="{00000000-0005-0000-0000-0000354D0000}"/>
    <cellStyle name="0_organogram 2" xfId="19780" xr:uid="{00000000-0005-0000-0000-0000364D0000}"/>
    <cellStyle name="0_organogram 2 10" xfId="19781" xr:uid="{00000000-0005-0000-0000-0000374D0000}"/>
    <cellStyle name="0_organogram 2 10 2" xfId="19782" xr:uid="{00000000-0005-0000-0000-0000384D0000}"/>
    <cellStyle name="0_organogram 2 10 2 2" xfId="19783" xr:uid="{00000000-0005-0000-0000-0000394D0000}"/>
    <cellStyle name="0_organogram 2 10 3" xfId="19784" xr:uid="{00000000-0005-0000-0000-00003A4D0000}"/>
    <cellStyle name="0_organogram 2 10 3 2" xfId="19785" xr:uid="{00000000-0005-0000-0000-00003B4D0000}"/>
    <cellStyle name="0_organogram 2 10 4" xfId="19786" xr:uid="{00000000-0005-0000-0000-00003C4D0000}"/>
    <cellStyle name="0_organogram 2 11" xfId="19787" xr:uid="{00000000-0005-0000-0000-00003D4D0000}"/>
    <cellStyle name="0_organogram 2 11 2" xfId="19788" xr:uid="{00000000-0005-0000-0000-00003E4D0000}"/>
    <cellStyle name="0_organogram 2 12" xfId="19789" xr:uid="{00000000-0005-0000-0000-00003F4D0000}"/>
    <cellStyle name="0_organogram 2 12 2" xfId="19790" xr:uid="{00000000-0005-0000-0000-0000404D0000}"/>
    <cellStyle name="0_organogram 2 13" xfId="19791" xr:uid="{00000000-0005-0000-0000-0000414D0000}"/>
    <cellStyle name="0_organogram 2 14" xfId="19792" xr:uid="{00000000-0005-0000-0000-0000424D0000}"/>
    <cellStyle name="0_organogram 2 15" xfId="19793" xr:uid="{00000000-0005-0000-0000-0000434D0000}"/>
    <cellStyle name="0_organogram 2 16" xfId="19794" xr:uid="{00000000-0005-0000-0000-0000444D0000}"/>
    <cellStyle name="0_organogram 2 2" xfId="19795" xr:uid="{00000000-0005-0000-0000-0000454D0000}"/>
    <cellStyle name="0_organogram 2 2 2" xfId="19796" xr:uid="{00000000-0005-0000-0000-0000464D0000}"/>
    <cellStyle name="0_organogram 2 2 2 2" xfId="19797" xr:uid="{00000000-0005-0000-0000-0000474D0000}"/>
    <cellStyle name="0_organogram 2 2 2 2 2" xfId="19798" xr:uid="{00000000-0005-0000-0000-0000484D0000}"/>
    <cellStyle name="0_organogram 2 2 2 2 2 2" xfId="19799" xr:uid="{00000000-0005-0000-0000-0000494D0000}"/>
    <cellStyle name="0_organogram 2 2 2 2 3" xfId="19800" xr:uid="{00000000-0005-0000-0000-00004A4D0000}"/>
    <cellStyle name="0_organogram 2 2 2 2 3 2" xfId="19801" xr:uid="{00000000-0005-0000-0000-00004B4D0000}"/>
    <cellStyle name="0_organogram 2 2 2 2 4" xfId="19802" xr:uid="{00000000-0005-0000-0000-00004C4D0000}"/>
    <cellStyle name="0_organogram 2 2 2 3" xfId="19803" xr:uid="{00000000-0005-0000-0000-00004D4D0000}"/>
    <cellStyle name="0_organogram 2 2 2 3 2" xfId="19804" xr:uid="{00000000-0005-0000-0000-00004E4D0000}"/>
    <cellStyle name="0_organogram 2 2 2 3 2 2" xfId="19805" xr:uid="{00000000-0005-0000-0000-00004F4D0000}"/>
    <cellStyle name="0_organogram 2 2 2 3 3" xfId="19806" xr:uid="{00000000-0005-0000-0000-0000504D0000}"/>
    <cellStyle name="0_organogram 2 2 2 3 3 2" xfId="19807" xr:uid="{00000000-0005-0000-0000-0000514D0000}"/>
    <cellStyle name="0_organogram 2 2 2 3 4" xfId="19808" xr:uid="{00000000-0005-0000-0000-0000524D0000}"/>
    <cellStyle name="0_organogram 2 2 2 4" xfId="19809" xr:uid="{00000000-0005-0000-0000-0000534D0000}"/>
    <cellStyle name="0_organogram 2 2 2 4 2" xfId="19810" xr:uid="{00000000-0005-0000-0000-0000544D0000}"/>
    <cellStyle name="0_organogram 2 2 2 5" xfId="19811" xr:uid="{00000000-0005-0000-0000-0000554D0000}"/>
    <cellStyle name="0_organogram 2 2 2 5 2" xfId="19812" xr:uid="{00000000-0005-0000-0000-0000564D0000}"/>
    <cellStyle name="0_organogram 2 2 2 6" xfId="19813" xr:uid="{00000000-0005-0000-0000-0000574D0000}"/>
    <cellStyle name="0_organogram 2 2 3" xfId="19814" xr:uid="{00000000-0005-0000-0000-0000584D0000}"/>
    <cellStyle name="0_organogram 2 2 3 2" xfId="19815" xr:uid="{00000000-0005-0000-0000-0000594D0000}"/>
    <cellStyle name="0_organogram 2 2 3 2 2" xfId="19816" xr:uid="{00000000-0005-0000-0000-00005A4D0000}"/>
    <cellStyle name="0_organogram 2 2 3 3" xfId="19817" xr:uid="{00000000-0005-0000-0000-00005B4D0000}"/>
    <cellStyle name="0_organogram 2 2 3 3 2" xfId="19818" xr:uid="{00000000-0005-0000-0000-00005C4D0000}"/>
    <cellStyle name="0_organogram 2 2 3 4" xfId="19819" xr:uid="{00000000-0005-0000-0000-00005D4D0000}"/>
    <cellStyle name="0_organogram 2 2 4" xfId="19820" xr:uid="{00000000-0005-0000-0000-00005E4D0000}"/>
    <cellStyle name="0_organogram 2 2 4 2" xfId="19821" xr:uid="{00000000-0005-0000-0000-00005F4D0000}"/>
    <cellStyle name="0_organogram 2 2 4 2 2" xfId="19822" xr:uid="{00000000-0005-0000-0000-0000604D0000}"/>
    <cellStyle name="0_organogram 2 2 4 3" xfId="19823" xr:uid="{00000000-0005-0000-0000-0000614D0000}"/>
    <cellStyle name="0_organogram 2 2 4 3 2" xfId="19824" xr:uid="{00000000-0005-0000-0000-0000624D0000}"/>
    <cellStyle name="0_organogram 2 2 4 4" xfId="19825" xr:uid="{00000000-0005-0000-0000-0000634D0000}"/>
    <cellStyle name="0_organogram 2 2 5" xfId="19826" xr:uid="{00000000-0005-0000-0000-0000644D0000}"/>
    <cellStyle name="0_organogram 2 2 5 2" xfId="19827" xr:uid="{00000000-0005-0000-0000-0000654D0000}"/>
    <cellStyle name="0_organogram 2 2 5 2 2" xfId="19828" xr:uid="{00000000-0005-0000-0000-0000664D0000}"/>
    <cellStyle name="0_organogram 2 2 5 3" xfId="19829" xr:uid="{00000000-0005-0000-0000-0000674D0000}"/>
    <cellStyle name="0_organogram 2 2 5 3 2" xfId="19830" xr:uid="{00000000-0005-0000-0000-0000684D0000}"/>
    <cellStyle name="0_organogram 2 2 5 4" xfId="19831" xr:uid="{00000000-0005-0000-0000-0000694D0000}"/>
    <cellStyle name="0_organogram 2 2 6" xfId="19832" xr:uid="{00000000-0005-0000-0000-00006A4D0000}"/>
    <cellStyle name="0_organogram 2 2 6 2" xfId="19833" xr:uid="{00000000-0005-0000-0000-00006B4D0000}"/>
    <cellStyle name="0_organogram 2 2 7" xfId="19834" xr:uid="{00000000-0005-0000-0000-00006C4D0000}"/>
    <cellStyle name="0_organogram 2 2 7 2" xfId="19835" xr:uid="{00000000-0005-0000-0000-00006D4D0000}"/>
    <cellStyle name="0_organogram 2 2 8" xfId="19836" xr:uid="{00000000-0005-0000-0000-00006E4D0000}"/>
    <cellStyle name="0_organogram 2 3" xfId="19837" xr:uid="{00000000-0005-0000-0000-00006F4D0000}"/>
    <cellStyle name="0_organogram 2 3 2" xfId="19838" xr:uid="{00000000-0005-0000-0000-0000704D0000}"/>
    <cellStyle name="0_organogram 2 3 2 2" xfId="19839" xr:uid="{00000000-0005-0000-0000-0000714D0000}"/>
    <cellStyle name="0_organogram 2 3 2 2 2" xfId="19840" xr:uid="{00000000-0005-0000-0000-0000724D0000}"/>
    <cellStyle name="0_organogram 2 3 2 2 2 2" xfId="19841" xr:uid="{00000000-0005-0000-0000-0000734D0000}"/>
    <cellStyle name="0_organogram 2 3 2 2 3" xfId="19842" xr:uid="{00000000-0005-0000-0000-0000744D0000}"/>
    <cellStyle name="0_organogram 2 3 2 2 3 2" xfId="19843" xr:uid="{00000000-0005-0000-0000-0000754D0000}"/>
    <cellStyle name="0_organogram 2 3 2 2 4" xfId="19844" xr:uid="{00000000-0005-0000-0000-0000764D0000}"/>
    <cellStyle name="0_organogram 2 3 2 3" xfId="19845" xr:uid="{00000000-0005-0000-0000-0000774D0000}"/>
    <cellStyle name="0_organogram 2 3 2 3 2" xfId="19846" xr:uid="{00000000-0005-0000-0000-0000784D0000}"/>
    <cellStyle name="0_organogram 2 3 2 3 2 2" xfId="19847" xr:uid="{00000000-0005-0000-0000-0000794D0000}"/>
    <cellStyle name="0_organogram 2 3 2 3 3" xfId="19848" xr:uid="{00000000-0005-0000-0000-00007A4D0000}"/>
    <cellStyle name="0_organogram 2 3 2 3 3 2" xfId="19849" xr:uid="{00000000-0005-0000-0000-00007B4D0000}"/>
    <cellStyle name="0_organogram 2 3 2 3 4" xfId="19850" xr:uid="{00000000-0005-0000-0000-00007C4D0000}"/>
    <cellStyle name="0_organogram 2 3 2 4" xfId="19851" xr:uid="{00000000-0005-0000-0000-00007D4D0000}"/>
    <cellStyle name="0_organogram 2 3 2 4 2" xfId="19852" xr:uid="{00000000-0005-0000-0000-00007E4D0000}"/>
    <cellStyle name="0_organogram 2 3 2 5" xfId="19853" xr:uid="{00000000-0005-0000-0000-00007F4D0000}"/>
    <cellStyle name="0_organogram 2 3 2 5 2" xfId="19854" xr:uid="{00000000-0005-0000-0000-0000804D0000}"/>
    <cellStyle name="0_organogram 2 3 2 6" xfId="19855" xr:uid="{00000000-0005-0000-0000-0000814D0000}"/>
    <cellStyle name="0_organogram 2 3 3" xfId="19856" xr:uid="{00000000-0005-0000-0000-0000824D0000}"/>
    <cellStyle name="0_organogram 2 3 3 2" xfId="19857" xr:uid="{00000000-0005-0000-0000-0000834D0000}"/>
    <cellStyle name="0_organogram 2 3 3 2 2" xfId="19858" xr:uid="{00000000-0005-0000-0000-0000844D0000}"/>
    <cellStyle name="0_organogram 2 3 3 3" xfId="19859" xr:uid="{00000000-0005-0000-0000-0000854D0000}"/>
    <cellStyle name="0_organogram 2 3 3 3 2" xfId="19860" xr:uid="{00000000-0005-0000-0000-0000864D0000}"/>
    <cellStyle name="0_organogram 2 3 3 4" xfId="19861" xr:uid="{00000000-0005-0000-0000-0000874D0000}"/>
    <cellStyle name="0_organogram 2 3 4" xfId="19862" xr:uid="{00000000-0005-0000-0000-0000884D0000}"/>
    <cellStyle name="0_organogram 2 3 4 2" xfId="19863" xr:uid="{00000000-0005-0000-0000-0000894D0000}"/>
    <cellStyle name="0_organogram 2 3 4 2 2" xfId="19864" xr:uid="{00000000-0005-0000-0000-00008A4D0000}"/>
    <cellStyle name="0_organogram 2 3 4 3" xfId="19865" xr:uid="{00000000-0005-0000-0000-00008B4D0000}"/>
    <cellStyle name="0_organogram 2 3 4 3 2" xfId="19866" xr:uid="{00000000-0005-0000-0000-00008C4D0000}"/>
    <cellStyle name="0_organogram 2 3 4 4" xfId="19867" xr:uid="{00000000-0005-0000-0000-00008D4D0000}"/>
    <cellStyle name="0_organogram 2 3 5" xfId="19868" xr:uid="{00000000-0005-0000-0000-00008E4D0000}"/>
    <cellStyle name="0_organogram 2 3 5 2" xfId="19869" xr:uid="{00000000-0005-0000-0000-00008F4D0000}"/>
    <cellStyle name="0_organogram 2 3 5 2 2" xfId="19870" xr:uid="{00000000-0005-0000-0000-0000904D0000}"/>
    <cellStyle name="0_organogram 2 3 5 3" xfId="19871" xr:uid="{00000000-0005-0000-0000-0000914D0000}"/>
    <cellStyle name="0_organogram 2 3 5 3 2" xfId="19872" xr:uid="{00000000-0005-0000-0000-0000924D0000}"/>
    <cellStyle name="0_organogram 2 3 5 4" xfId="19873" xr:uid="{00000000-0005-0000-0000-0000934D0000}"/>
    <cellStyle name="0_organogram 2 3 6" xfId="19874" xr:uid="{00000000-0005-0000-0000-0000944D0000}"/>
    <cellStyle name="0_organogram 2 3 6 2" xfId="19875" xr:uid="{00000000-0005-0000-0000-0000954D0000}"/>
    <cellStyle name="0_organogram 2 3 7" xfId="19876" xr:uid="{00000000-0005-0000-0000-0000964D0000}"/>
    <cellStyle name="0_organogram 2 3 7 2" xfId="19877" xr:uid="{00000000-0005-0000-0000-0000974D0000}"/>
    <cellStyle name="0_organogram 2 3 8" xfId="19878" xr:uid="{00000000-0005-0000-0000-0000984D0000}"/>
    <cellStyle name="0_organogram 2 4" xfId="19879" xr:uid="{00000000-0005-0000-0000-0000994D0000}"/>
    <cellStyle name="0_organogram 2 4 2" xfId="19880" xr:uid="{00000000-0005-0000-0000-00009A4D0000}"/>
    <cellStyle name="0_organogram 2 4 2 2" xfId="19881" xr:uid="{00000000-0005-0000-0000-00009B4D0000}"/>
    <cellStyle name="0_organogram 2 4 2 2 2" xfId="19882" xr:uid="{00000000-0005-0000-0000-00009C4D0000}"/>
    <cellStyle name="0_organogram 2 4 2 2 2 2" xfId="19883" xr:uid="{00000000-0005-0000-0000-00009D4D0000}"/>
    <cellStyle name="0_organogram 2 4 2 2 3" xfId="19884" xr:uid="{00000000-0005-0000-0000-00009E4D0000}"/>
    <cellStyle name="0_organogram 2 4 2 2 3 2" xfId="19885" xr:uid="{00000000-0005-0000-0000-00009F4D0000}"/>
    <cellStyle name="0_organogram 2 4 2 2 4" xfId="19886" xr:uid="{00000000-0005-0000-0000-0000A04D0000}"/>
    <cellStyle name="0_organogram 2 4 2 3" xfId="19887" xr:uid="{00000000-0005-0000-0000-0000A14D0000}"/>
    <cellStyle name="0_organogram 2 4 2 3 2" xfId="19888" xr:uid="{00000000-0005-0000-0000-0000A24D0000}"/>
    <cellStyle name="0_organogram 2 4 2 3 2 2" xfId="19889" xr:uid="{00000000-0005-0000-0000-0000A34D0000}"/>
    <cellStyle name="0_organogram 2 4 2 3 3" xfId="19890" xr:uid="{00000000-0005-0000-0000-0000A44D0000}"/>
    <cellStyle name="0_organogram 2 4 2 3 3 2" xfId="19891" xr:uid="{00000000-0005-0000-0000-0000A54D0000}"/>
    <cellStyle name="0_organogram 2 4 2 3 4" xfId="19892" xr:uid="{00000000-0005-0000-0000-0000A64D0000}"/>
    <cellStyle name="0_organogram 2 4 2 4" xfId="19893" xr:uid="{00000000-0005-0000-0000-0000A74D0000}"/>
    <cellStyle name="0_organogram 2 4 2 4 2" xfId="19894" xr:uid="{00000000-0005-0000-0000-0000A84D0000}"/>
    <cellStyle name="0_organogram 2 4 2 5" xfId="19895" xr:uid="{00000000-0005-0000-0000-0000A94D0000}"/>
    <cellStyle name="0_organogram 2 4 2 5 2" xfId="19896" xr:uid="{00000000-0005-0000-0000-0000AA4D0000}"/>
    <cellStyle name="0_organogram 2 4 2 6" xfId="19897" xr:uid="{00000000-0005-0000-0000-0000AB4D0000}"/>
    <cellStyle name="0_organogram 2 4 3" xfId="19898" xr:uid="{00000000-0005-0000-0000-0000AC4D0000}"/>
    <cellStyle name="0_organogram 2 4 3 2" xfId="19899" xr:uid="{00000000-0005-0000-0000-0000AD4D0000}"/>
    <cellStyle name="0_organogram 2 4 3 2 2" xfId="19900" xr:uid="{00000000-0005-0000-0000-0000AE4D0000}"/>
    <cellStyle name="0_organogram 2 4 3 3" xfId="19901" xr:uid="{00000000-0005-0000-0000-0000AF4D0000}"/>
    <cellStyle name="0_organogram 2 4 3 3 2" xfId="19902" xr:uid="{00000000-0005-0000-0000-0000B04D0000}"/>
    <cellStyle name="0_organogram 2 4 3 4" xfId="19903" xr:uid="{00000000-0005-0000-0000-0000B14D0000}"/>
    <cellStyle name="0_organogram 2 4 4" xfId="19904" xr:uid="{00000000-0005-0000-0000-0000B24D0000}"/>
    <cellStyle name="0_organogram 2 4 4 2" xfId="19905" xr:uid="{00000000-0005-0000-0000-0000B34D0000}"/>
    <cellStyle name="0_organogram 2 4 4 2 2" xfId="19906" xr:uid="{00000000-0005-0000-0000-0000B44D0000}"/>
    <cellStyle name="0_organogram 2 4 4 3" xfId="19907" xr:uid="{00000000-0005-0000-0000-0000B54D0000}"/>
    <cellStyle name="0_organogram 2 4 4 3 2" xfId="19908" xr:uid="{00000000-0005-0000-0000-0000B64D0000}"/>
    <cellStyle name="0_organogram 2 4 4 4" xfId="19909" xr:uid="{00000000-0005-0000-0000-0000B74D0000}"/>
    <cellStyle name="0_organogram 2 4 5" xfId="19910" xr:uid="{00000000-0005-0000-0000-0000B84D0000}"/>
    <cellStyle name="0_organogram 2 4 5 2" xfId="19911" xr:uid="{00000000-0005-0000-0000-0000B94D0000}"/>
    <cellStyle name="0_organogram 2 4 5 2 2" xfId="19912" xr:uid="{00000000-0005-0000-0000-0000BA4D0000}"/>
    <cellStyle name="0_organogram 2 4 5 3" xfId="19913" xr:uid="{00000000-0005-0000-0000-0000BB4D0000}"/>
    <cellStyle name="0_organogram 2 4 5 3 2" xfId="19914" xr:uid="{00000000-0005-0000-0000-0000BC4D0000}"/>
    <cellStyle name="0_organogram 2 4 5 4" xfId="19915" xr:uid="{00000000-0005-0000-0000-0000BD4D0000}"/>
    <cellStyle name="0_organogram 2 4 6" xfId="19916" xr:uid="{00000000-0005-0000-0000-0000BE4D0000}"/>
    <cellStyle name="0_organogram 2 4 6 2" xfId="19917" xr:uid="{00000000-0005-0000-0000-0000BF4D0000}"/>
    <cellStyle name="0_organogram 2 4 7" xfId="19918" xr:uid="{00000000-0005-0000-0000-0000C04D0000}"/>
    <cellStyle name="0_organogram 2 4 7 2" xfId="19919" xr:uid="{00000000-0005-0000-0000-0000C14D0000}"/>
    <cellStyle name="0_organogram 2 4 8" xfId="19920" xr:uid="{00000000-0005-0000-0000-0000C24D0000}"/>
    <cellStyle name="0_organogram 2 5" xfId="19921" xr:uid="{00000000-0005-0000-0000-0000C34D0000}"/>
    <cellStyle name="0_organogram 2 5 2" xfId="19922" xr:uid="{00000000-0005-0000-0000-0000C44D0000}"/>
    <cellStyle name="0_organogram 2 5 2 2" xfId="19923" xr:uid="{00000000-0005-0000-0000-0000C54D0000}"/>
    <cellStyle name="0_organogram 2 5 2 2 2" xfId="19924" xr:uid="{00000000-0005-0000-0000-0000C64D0000}"/>
    <cellStyle name="0_organogram 2 5 2 2 2 2" xfId="19925" xr:uid="{00000000-0005-0000-0000-0000C74D0000}"/>
    <cellStyle name="0_organogram 2 5 2 2 3" xfId="19926" xr:uid="{00000000-0005-0000-0000-0000C84D0000}"/>
    <cellStyle name="0_organogram 2 5 2 2 3 2" xfId="19927" xr:uid="{00000000-0005-0000-0000-0000C94D0000}"/>
    <cellStyle name="0_organogram 2 5 2 2 4" xfId="19928" xr:uid="{00000000-0005-0000-0000-0000CA4D0000}"/>
    <cellStyle name="0_organogram 2 5 2 3" xfId="19929" xr:uid="{00000000-0005-0000-0000-0000CB4D0000}"/>
    <cellStyle name="0_organogram 2 5 2 3 2" xfId="19930" xr:uid="{00000000-0005-0000-0000-0000CC4D0000}"/>
    <cellStyle name="0_organogram 2 5 2 3 2 2" xfId="19931" xr:uid="{00000000-0005-0000-0000-0000CD4D0000}"/>
    <cellStyle name="0_organogram 2 5 2 3 3" xfId="19932" xr:uid="{00000000-0005-0000-0000-0000CE4D0000}"/>
    <cellStyle name="0_organogram 2 5 2 3 3 2" xfId="19933" xr:uid="{00000000-0005-0000-0000-0000CF4D0000}"/>
    <cellStyle name="0_organogram 2 5 2 3 4" xfId="19934" xr:uid="{00000000-0005-0000-0000-0000D04D0000}"/>
    <cellStyle name="0_organogram 2 5 2 4" xfId="19935" xr:uid="{00000000-0005-0000-0000-0000D14D0000}"/>
    <cellStyle name="0_organogram 2 5 2 4 2" xfId="19936" xr:uid="{00000000-0005-0000-0000-0000D24D0000}"/>
    <cellStyle name="0_organogram 2 5 2 5" xfId="19937" xr:uid="{00000000-0005-0000-0000-0000D34D0000}"/>
    <cellStyle name="0_organogram 2 5 2 5 2" xfId="19938" xr:uid="{00000000-0005-0000-0000-0000D44D0000}"/>
    <cellStyle name="0_organogram 2 5 2 6" xfId="19939" xr:uid="{00000000-0005-0000-0000-0000D54D0000}"/>
    <cellStyle name="0_organogram 2 5 3" xfId="19940" xr:uid="{00000000-0005-0000-0000-0000D64D0000}"/>
    <cellStyle name="0_organogram 2 5 3 2" xfId="19941" xr:uid="{00000000-0005-0000-0000-0000D74D0000}"/>
    <cellStyle name="0_organogram 2 5 3 2 2" xfId="19942" xr:uid="{00000000-0005-0000-0000-0000D84D0000}"/>
    <cellStyle name="0_organogram 2 5 3 3" xfId="19943" xr:uid="{00000000-0005-0000-0000-0000D94D0000}"/>
    <cellStyle name="0_organogram 2 5 3 3 2" xfId="19944" xr:uid="{00000000-0005-0000-0000-0000DA4D0000}"/>
    <cellStyle name="0_organogram 2 5 3 4" xfId="19945" xr:uid="{00000000-0005-0000-0000-0000DB4D0000}"/>
    <cellStyle name="0_organogram 2 5 4" xfId="19946" xr:uid="{00000000-0005-0000-0000-0000DC4D0000}"/>
    <cellStyle name="0_organogram 2 5 4 2" xfId="19947" xr:uid="{00000000-0005-0000-0000-0000DD4D0000}"/>
    <cellStyle name="0_organogram 2 5 4 2 2" xfId="19948" xr:uid="{00000000-0005-0000-0000-0000DE4D0000}"/>
    <cellStyle name="0_organogram 2 5 4 3" xfId="19949" xr:uid="{00000000-0005-0000-0000-0000DF4D0000}"/>
    <cellStyle name="0_organogram 2 5 4 3 2" xfId="19950" xr:uid="{00000000-0005-0000-0000-0000E04D0000}"/>
    <cellStyle name="0_organogram 2 5 4 4" xfId="19951" xr:uid="{00000000-0005-0000-0000-0000E14D0000}"/>
    <cellStyle name="0_organogram 2 5 5" xfId="19952" xr:uid="{00000000-0005-0000-0000-0000E24D0000}"/>
    <cellStyle name="0_organogram 2 5 5 2" xfId="19953" xr:uid="{00000000-0005-0000-0000-0000E34D0000}"/>
    <cellStyle name="0_organogram 2 5 5 2 2" xfId="19954" xr:uid="{00000000-0005-0000-0000-0000E44D0000}"/>
    <cellStyle name="0_organogram 2 5 5 3" xfId="19955" xr:uid="{00000000-0005-0000-0000-0000E54D0000}"/>
    <cellStyle name="0_organogram 2 5 5 3 2" xfId="19956" xr:uid="{00000000-0005-0000-0000-0000E64D0000}"/>
    <cellStyle name="0_organogram 2 5 5 4" xfId="19957" xr:uid="{00000000-0005-0000-0000-0000E74D0000}"/>
    <cellStyle name="0_organogram 2 5 6" xfId="19958" xr:uid="{00000000-0005-0000-0000-0000E84D0000}"/>
    <cellStyle name="0_organogram 2 5 6 2" xfId="19959" xr:uid="{00000000-0005-0000-0000-0000E94D0000}"/>
    <cellStyle name="0_organogram 2 5 7" xfId="19960" xr:uid="{00000000-0005-0000-0000-0000EA4D0000}"/>
    <cellStyle name="0_organogram 2 5 7 2" xfId="19961" xr:uid="{00000000-0005-0000-0000-0000EB4D0000}"/>
    <cellStyle name="0_organogram 2 5 8" xfId="19962" xr:uid="{00000000-0005-0000-0000-0000EC4D0000}"/>
    <cellStyle name="0_organogram 2 6" xfId="19963" xr:uid="{00000000-0005-0000-0000-0000ED4D0000}"/>
    <cellStyle name="0_organogram 2 6 2" xfId="19964" xr:uid="{00000000-0005-0000-0000-0000EE4D0000}"/>
    <cellStyle name="0_organogram 2 6 2 2" xfId="19965" xr:uid="{00000000-0005-0000-0000-0000EF4D0000}"/>
    <cellStyle name="0_organogram 2 6 2 2 2" xfId="19966" xr:uid="{00000000-0005-0000-0000-0000F04D0000}"/>
    <cellStyle name="0_organogram 2 6 2 2 2 2" xfId="19967" xr:uid="{00000000-0005-0000-0000-0000F14D0000}"/>
    <cellStyle name="0_organogram 2 6 2 2 3" xfId="19968" xr:uid="{00000000-0005-0000-0000-0000F24D0000}"/>
    <cellStyle name="0_organogram 2 6 2 2 3 2" xfId="19969" xr:uid="{00000000-0005-0000-0000-0000F34D0000}"/>
    <cellStyle name="0_organogram 2 6 2 2 4" xfId="19970" xr:uid="{00000000-0005-0000-0000-0000F44D0000}"/>
    <cellStyle name="0_organogram 2 6 2 3" xfId="19971" xr:uid="{00000000-0005-0000-0000-0000F54D0000}"/>
    <cellStyle name="0_organogram 2 6 2 3 2" xfId="19972" xr:uid="{00000000-0005-0000-0000-0000F64D0000}"/>
    <cellStyle name="0_organogram 2 6 2 3 2 2" xfId="19973" xr:uid="{00000000-0005-0000-0000-0000F74D0000}"/>
    <cellStyle name="0_organogram 2 6 2 3 3" xfId="19974" xr:uid="{00000000-0005-0000-0000-0000F84D0000}"/>
    <cellStyle name="0_organogram 2 6 2 3 3 2" xfId="19975" xr:uid="{00000000-0005-0000-0000-0000F94D0000}"/>
    <cellStyle name="0_organogram 2 6 2 3 4" xfId="19976" xr:uid="{00000000-0005-0000-0000-0000FA4D0000}"/>
    <cellStyle name="0_organogram 2 6 2 4" xfId="19977" xr:uid="{00000000-0005-0000-0000-0000FB4D0000}"/>
    <cellStyle name="0_organogram 2 6 2 4 2" xfId="19978" xr:uid="{00000000-0005-0000-0000-0000FC4D0000}"/>
    <cellStyle name="0_organogram 2 6 2 5" xfId="19979" xr:uid="{00000000-0005-0000-0000-0000FD4D0000}"/>
    <cellStyle name="0_organogram 2 6 2 5 2" xfId="19980" xr:uid="{00000000-0005-0000-0000-0000FE4D0000}"/>
    <cellStyle name="0_organogram 2 6 2 6" xfId="19981" xr:uid="{00000000-0005-0000-0000-0000FF4D0000}"/>
    <cellStyle name="0_organogram 2 6 3" xfId="19982" xr:uid="{00000000-0005-0000-0000-0000004E0000}"/>
    <cellStyle name="0_organogram 2 6 3 2" xfId="19983" xr:uid="{00000000-0005-0000-0000-0000014E0000}"/>
    <cellStyle name="0_organogram 2 6 3 2 2" xfId="19984" xr:uid="{00000000-0005-0000-0000-0000024E0000}"/>
    <cellStyle name="0_organogram 2 6 3 3" xfId="19985" xr:uid="{00000000-0005-0000-0000-0000034E0000}"/>
    <cellStyle name="0_organogram 2 6 3 3 2" xfId="19986" xr:uid="{00000000-0005-0000-0000-0000044E0000}"/>
    <cellStyle name="0_organogram 2 6 3 4" xfId="19987" xr:uid="{00000000-0005-0000-0000-0000054E0000}"/>
    <cellStyle name="0_organogram 2 6 4" xfId="19988" xr:uid="{00000000-0005-0000-0000-0000064E0000}"/>
    <cellStyle name="0_organogram 2 6 4 2" xfId="19989" xr:uid="{00000000-0005-0000-0000-0000074E0000}"/>
    <cellStyle name="0_organogram 2 6 4 2 2" xfId="19990" xr:uid="{00000000-0005-0000-0000-0000084E0000}"/>
    <cellStyle name="0_organogram 2 6 4 3" xfId="19991" xr:uid="{00000000-0005-0000-0000-0000094E0000}"/>
    <cellStyle name="0_organogram 2 6 4 3 2" xfId="19992" xr:uid="{00000000-0005-0000-0000-00000A4E0000}"/>
    <cellStyle name="0_organogram 2 6 4 4" xfId="19993" xr:uid="{00000000-0005-0000-0000-00000B4E0000}"/>
    <cellStyle name="0_organogram 2 6 5" xfId="19994" xr:uid="{00000000-0005-0000-0000-00000C4E0000}"/>
    <cellStyle name="0_organogram 2 6 5 2" xfId="19995" xr:uid="{00000000-0005-0000-0000-00000D4E0000}"/>
    <cellStyle name="0_organogram 2 6 5 2 2" xfId="19996" xr:uid="{00000000-0005-0000-0000-00000E4E0000}"/>
    <cellStyle name="0_organogram 2 6 5 3" xfId="19997" xr:uid="{00000000-0005-0000-0000-00000F4E0000}"/>
    <cellStyle name="0_organogram 2 6 5 3 2" xfId="19998" xr:uid="{00000000-0005-0000-0000-0000104E0000}"/>
    <cellStyle name="0_organogram 2 6 5 4" xfId="19999" xr:uid="{00000000-0005-0000-0000-0000114E0000}"/>
    <cellStyle name="0_organogram 2 6 6" xfId="20000" xr:uid="{00000000-0005-0000-0000-0000124E0000}"/>
    <cellStyle name="0_organogram 2 6 6 2" xfId="20001" xr:uid="{00000000-0005-0000-0000-0000134E0000}"/>
    <cellStyle name="0_organogram 2 6 7" xfId="20002" xr:uid="{00000000-0005-0000-0000-0000144E0000}"/>
    <cellStyle name="0_organogram 2 6 7 2" xfId="20003" xr:uid="{00000000-0005-0000-0000-0000154E0000}"/>
    <cellStyle name="0_organogram 2 6 8" xfId="20004" xr:uid="{00000000-0005-0000-0000-0000164E0000}"/>
    <cellStyle name="0_organogram 2 7" xfId="20005" xr:uid="{00000000-0005-0000-0000-0000174E0000}"/>
    <cellStyle name="0_organogram 2 7 2" xfId="20006" xr:uid="{00000000-0005-0000-0000-0000184E0000}"/>
    <cellStyle name="0_organogram 2 7 2 2" xfId="20007" xr:uid="{00000000-0005-0000-0000-0000194E0000}"/>
    <cellStyle name="0_organogram 2 7 2 2 2" xfId="20008" xr:uid="{00000000-0005-0000-0000-00001A4E0000}"/>
    <cellStyle name="0_organogram 2 7 2 3" xfId="20009" xr:uid="{00000000-0005-0000-0000-00001B4E0000}"/>
    <cellStyle name="0_organogram 2 7 2 3 2" xfId="20010" xr:uid="{00000000-0005-0000-0000-00001C4E0000}"/>
    <cellStyle name="0_organogram 2 7 2 4" xfId="20011" xr:uid="{00000000-0005-0000-0000-00001D4E0000}"/>
    <cellStyle name="0_organogram 2 7 3" xfId="20012" xr:uid="{00000000-0005-0000-0000-00001E4E0000}"/>
    <cellStyle name="0_organogram 2 7 3 2" xfId="20013" xr:uid="{00000000-0005-0000-0000-00001F4E0000}"/>
    <cellStyle name="0_organogram 2 7 3 2 2" xfId="20014" xr:uid="{00000000-0005-0000-0000-0000204E0000}"/>
    <cellStyle name="0_organogram 2 7 3 3" xfId="20015" xr:uid="{00000000-0005-0000-0000-0000214E0000}"/>
    <cellStyle name="0_organogram 2 7 3 3 2" xfId="20016" xr:uid="{00000000-0005-0000-0000-0000224E0000}"/>
    <cellStyle name="0_organogram 2 7 3 4" xfId="20017" xr:uid="{00000000-0005-0000-0000-0000234E0000}"/>
    <cellStyle name="0_organogram 2 7 4" xfId="20018" xr:uid="{00000000-0005-0000-0000-0000244E0000}"/>
    <cellStyle name="0_organogram 2 7 4 2" xfId="20019" xr:uid="{00000000-0005-0000-0000-0000254E0000}"/>
    <cellStyle name="0_organogram 2 7 5" xfId="20020" xr:uid="{00000000-0005-0000-0000-0000264E0000}"/>
    <cellStyle name="0_organogram 2 7 5 2" xfId="20021" xr:uid="{00000000-0005-0000-0000-0000274E0000}"/>
    <cellStyle name="0_organogram 2 7 6" xfId="20022" xr:uid="{00000000-0005-0000-0000-0000284E0000}"/>
    <cellStyle name="0_organogram 2 8" xfId="20023" xr:uid="{00000000-0005-0000-0000-0000294E0000}"/>
    <cellStyle name="0_organogram 2 8 2" xfId="20024" xr:uid="{00000000-0005-0000-0000-00002A4E0000}"/>
    <cellStyle name="0_organogram 2 8 2 2" xfId="20025" xr:uid="{00000000-0005-0000-0000-00002B4E0000}"/>
    <cellStyle name="0_organogram 2 8 3" xfId="20026" xr:uid="{00000000-0005-0000-0000-00002C4E0000}"/>
    <cellStyle name="0_organogram 2 8 3 2" xfId="20027" xr:uid="{00000000-0005-0000-0000-00002D4E0000}"/>
    <cellStyle name="0_organogram 2 8 4" xfId="20028" xr:uid="{00000000-0005-0000-0000-00002E4E0000}"/>
    <cellStyle name="0_organogram 2 9" xfId="20029" xr:uid="{00000000-0005-0000-0000-00002F4E0000}"/>
    <cellStyle name="0_organogram 2 9 2" xfId="20030" xr:uid="{00000000-0005-0000-0000-0000304E0000}"/>
    <cellStyle name="0_organogram 2 9 2 2" xfId="20031" xr:uid="{00000000-0005-0000-0000-0000314E0000}"/>
    <cellStyle name="0_organogram 2 9 3" xfId="20032" xr:uid="{00000000-0005-0000-0000-0000324E0000}"/>
    <cellStyle name="0_organogram 2 9 3 2" xfId="20033" xr:uid="{00000000-0005-0000-0000-0000334E0000}"/>
    <cellStyle name="0_organogram 2 9 4" xfId="20034" xr:uid="{00000000-0005-0000-0000-0000344E0000}"/>
    <cellStyle name="0_organogram 20" xfId="20035" xr:uid="{00000000-0005-0000-0000-0000354E0000}"/>
    <cellStyle name="0_organogram 21" xfId="20036" xr:uid="{00000000-0005-0000-0000-0000364E0000}"/>
    <cellStyle name="0_organogram 22" xfId="20037" xr:uid="{00000000-0005-0000-0000-0000374E0000}"/>
    <cellStyle name="0_organogram 3" xfId="20038" xr:uid="{00000000-0005-0000-0000-0000384E0000}"/>
    <cellStyle name="0_organogram 3 10" xfId="20039" xr:uid="{00000000-0005-0000-0000-0000394E0000}"/>
    <cellStyle name="0_organogram 3 10 2" xfId="20040" xr:uid="{00000000-0005-0000-0000-00003A4E0000}"/>
    <cellStyle name="0_organogram 3 10 2 2" xfId="20041" xr:uid="{00000000-0005-0000-0000-00003B4E0000}"/>
    <cellStyle name="0_organogram 3 10 3" xfId="20042" xr:uid="{00000000-0005-0000-0000-00003C4E0000}"/>
    <cellStyle name="0_organogram 3 10 3 2" xfId="20043" xr:uid="{00000000-0005-0000-0000-00003D4E0000}"/>
    <cellStyle name="0_organogram 3 10 4" xfId="20044" xr:uid="{00000000-0005-0000-0000-00003E4E0000}"/>
    <cellStyle name="0_organogram 3 11" xfId="20045" xr:uid="{00000000-0005-0000-0000-00003F4E0000}"/>
    <cellStyle name="0_organogram 3 11 2" xfId="20046" xr:uid="{00000000-0005-0000-0000-0000404E0000}"/>
    <cellStyle name="0_organogram 3 12" xfId="20047" xr:uid="{00000000-0005-0000-0000-0000414E0000}"/>
    <cellStyle name="0_organogram 3 12 2" xfId="20048" xr:uid="{00000000-0005-0000-0000-0000424E0000}"/>
    <cellStyle name="0_organogram 3 13" xfId="20049" xr:uid="{00000000-0005-0000-0000-0000434E0000}"/>
    <cellStyle name="0_organogram 3 2" xfId="20050" xr:uid="{00000000-0005-0000-0000-0000444E0000}"/>
    <cellStyle name="0_organogram 3 2 2" xfId="20051" xr:uid="{00000000-0005-0000-0000-0000454E0000}"/>
    <cellStyle name="0_organogram 3 2 2 2" xfId="20052" xr:uid="{00000000-0005-0000-0000-0000464E0000}"/>
    <cellStyle name="0_organogram 3 2 2 2 2" xfId="20053" xr:uid="{00000000-0005-0000-0000-0000474E0000}"/>
    <cellStyle name="0_organogram 3 2 2 2 2 2" xfId="20054" xr:uid="{00000000-0005-0000-0000-0000484E0000}"/>
    <cellStyle name="0_organogram 3 2 2 2 3" xfId="20055" xr:uid="{00000000-0005-0000-0000-0000494E0000}"/>
    <cellStyle name="0_organogram 3 2 2 2 3 2" xfId="20056" xr:uid="{00000000-0005-0000-0000-00004A4E0000}"/>
    <cellStyle name="0_organogram 3 2 2 2 4" xfId="20057" xr:uid="{00000000-0005-0000-0000-00004B4E0000}"/>
    <cellStyle name="0_organogram 3 2 2 3" xfId="20058" xr:uid="{00000000-0005-0000-0000-00004C4E0000}"/>
    <cellStyle name="0_organogram 3 2 2 3 2" xfId="20059" xr:uid="{00000000-0005-0000-0000-00004D4E0000}"/>
    <cellStyle name="0_organogram 3 2 2 3 2 2" xfId="20060" xr:uid="{00000000-0005-0000-0000-00004E4E0000}"/>
    <cellStyle name="0_organogram 3 2 2 3 3" xfId="20061" xr:uid="{00000000-0005-0000-0000-00004F4E0000}"/>
    <cellStyle name="0_organogram 3 2 2 3 3 2" xfId="20062" xr:uid="{00000000-0005-0000-0000-0000504E0000}"/>
    <cellStyle name="0_organogram 3 2 2 3 4" xfId="20063" xr:uid="{00000000-0005-0000-0000-0000514E0000}"/>
    <cellStyle name="0_organogram 3 2 2 4" xfId="20064" xr:uid="{00000000-0005-0000-0000-0000524E0000}"/>
    <cellStyle name="0_organogram 3 2 2 4 2" xfId="20065" xr:uid="{00000000-0005-0000-0000-0000534E0000}"/>
    <cellStyle name="0_organogram 3 2 2 5" xfId="20066" xr:uid="{00000000-0005-0000-0000-0000544E0000}"/>
    <cellStyle name="0_organogram 3 2 2 5 2" xfId="20067" xr:uid="{00000000-0005-0000-0000-0000554E0000}"/>
    <cellStyle name="0_organogram 3 2 2 6" xfId="20068" xr:uid="{00000000-0005-0000-0000-0000564E0000}"/>
    <cellStyle name="0_organogram 3 2 3" xfId="20069" xr:uid="{00000000-0005-0000-0000-0000574E0000}"/>
    <cellStyle name="0_organogram 3 2 3 2" xfId="20070" xr:uid="{00000000-0005-0000-0000-0000584E0000}"/>
    <cellStyle name="0_organogram 3 2 3 2 2" xfId="20071" xr:uid="{00000000-0005-0000-0000-0000594E0000}"/>
    <cellStyle name="0_organogram 3 2 3 3" xfId="20072" xr:uid="{00000000-0005-0000-0000-00005A4E0000}"/>
    <cellStyle name="0_organogram 3 2 3 3 2" xfId="20073" xr:uid="{00000000-0005-0000-0000-00005B4E0000}"/>
    <cellStyle name="0_organogram 3 2 3 4" xfId="20074" xr:uid="{00000000-0005-0000-0000-00005C4E0000}"/>
    <cellStyle name="0_organogram 3 2 4" xfId="20075" xr:uid="{00000000-0005-0000-0000-00005D4E0000}"/>
    <cellStyle name="0_organogram 3 2 4 2" xfId="20076" xr:uid="{00000000-0005-0000-0000-00005E4E0000}"/>
    <cellStyle name="0_organogram 3 2 4 2 2" xfId="20077" xr:uid="{00000000-0005-0000-0000-00005F4E0000}"/>
    <cellStyle name="0_organogram 3 2 4 3" xfId="20078" xr:uid="{00000000-0005-0000-0000-0000604E0000}"/>
    <cellStyle name="0_organogram 3 2 4 3 2" xfId="20079" xr:uid="{00000000-0005-0000-0000-0000614E0000}"/>
    <cellStyle name="0_organogram 3 2 4 4" xfId="20080" xr:uid="{00000000-0005-0000-0000-0000624E0000}"/>
    <cellStyle name="0_organogram 3 2 5" xfId="20081" xr:uid="{00000000-0005-0000-0000-0000634E0000}"/>
    <cellStyle name="0_organogram 3 2 5 2" xfId="20082" xr:uid="{00000000-0005-0000-0000-0000644E0000}"/>
    <cellStyle name="0_organogram 3 2 5 2 2" xfId="20083" xr:uid="{00000000-0005-0000-0000-0000654E0000}"/>
    <cellStyle name="0_organogram 3 2 5 3" xfId="20084" xr:uid="{00000000-0005-0000-0000-0000664E0000}"/>
    <cellStyle name="0_organogram 3 2 5 3 2" xfId="20085" xr:uid="{00000000-0005-0000-0000-0000674E0000}"/>
    <cellStyle name="0_organogram 3 2 5 4" xfId="20086" xr:uid="{00000000-0005-0000-0000-0000684E0000}"/>
    <cellStyle name="0_organogram 3 2 6" xfId="20087" xr:uid="{00000000-0005-0000-0000-0000694E0000}"/>
    <cellStyle name="0_organogram 3 2 6 2" xfId="20088" xr:uid="{00000000-0005-0000-0000-00006A4E0000}"/>
    <cellStyle name="0_organogram 3 2 7" xfId="20089" xr:uid="{00000000-0005-0000-0000-00006B4E0000}"/>
    <cellStyle name="0_organogram 3 2 7 2" xfId="20090" xr:uid="{00000000-0005-0000-0000-00006C4E0000}"/>
    <cellStyle name="0_organogram 3 2 8" xfId="20091" xr:uid="{00000000-0005-0000-0000-00006D4E0000}"/>
    <cellStyle name="0_organogram 3 3" xfId="20092" xr:uid="{00000000-0005-0000-0000-00006E4E0000}"/>
    <cellStyle name="0_organogram 3 3 2" xfId="20093" xr:uid="{00000000-0005-0000-0000-00006F4E0000}"/>
    <cellStyle name="0_organogram 3 3 2 2" xfId="20094" xr:uid="{00000000-0005-0000-0000-0000704E0000}"/>
    <cellStyle name="0_organogram 3 3 2 2 2" xfId="20095" xr:uid="{00000000-0005-0000-0000-0000714E0000}"/>
    <cellStyle name="0_organogram 3 3 2 2 2 2" xfId="20096" xr:uid="{00000000-0005-0000-0000-0000724E0000}"/>
    <cellStyle name="0_organogram 3 3 2 2 3" xfId="20097" xr:uid="{00000000-0005-0000-0000-0000734E0000}"/>
    <cellStyle name="0_organogram 3 3 2 2 3 2" xfId="20098" xr:uid="{00000000-0005-0000-0000-0000744E0000}"/>
    <cellStyle name="0_organogram 3 3 2 2 4" xfId="20099" xr:uid="{00000000-0005-0000-0000-0000754E0000}"/>
    <cellStyle name="0_organogram 3 3 2 3" xfId="20100" xr:uid="{00000000-0005-0000-0000-0000764E0000}"/>
    <cellStyle name="0_organogram 3 3 2 3 2" xfId="20101" xr:uid="{00000000-0005-0000-0000-0000774E0000}"/>
    <cellStyle name="0_organogram 3 3 2 3 2 2" xfId="20102" xr:uid="{00000000-0005-0000-0000-0000784E0000}"/>
    <cellStyle name="0_organogram 3 3 2 3 3" xfId="20103" xr:uid="{00000000-0005-0000-0000-0000794E0000}"/>
    <cellStyle name="0_organogram 3 3 2 3 3 2" xfId="20104" xr:uid="{00000000-0005-0000-0000-00007A4E0000}"/>
    <cellStyle name="0_organogram 3 3 2 3 4" xfId="20105" xr:uid="{00000000-0005-0000-0000-00007B4E0000}"/>
    <cellStyle name="0_organogram 3 3 2 4" xfId="20106" xr:uid="{00000000-0005-0000-0000-00007C4E0000}"/>
    <cellStyle name="0_organogram 3 3 2 4 2" xfId="20107" xr:uid="{00000000-0005-0000-0000-00007D4E0000}"/>
    <cellStyle name="0_organogram 3 3 2 5" xfId="20108" xr:uid="{00000000-0005-0000-0000-00007E4E0000}"/>
    <cellStyle name="0_organogram 3 3 2 5 2" xfId="20109" xr:uid="{00000000-0005-0000-0000-00007F4E0000}"/>
    <cellStyle name="0_organogram 3 3 2 6" xfId="20110" xr:uid="{00000000-0005-0000-0000-0000804E0000}"/>
    <cellStyle name="0_organogram 3 3 3" xfId="20111" xr:uid="{00000000-0005-0000-0000-0000814E0000}"/>
    <cellStyle name="0_organogram 3 3 3 2" xfId="20112" xr:uid="{00000000-0005-0000-0000-0000824E0000}"/>
    <cellStyle name="0_organogram 3 3 3 2 2" xfId="20113" xr:uid="{00000000-0005-0000-0000-0000834E0000}"/>
    <cellStyle name="0_organogram 3 3 3 3" xfId="20114" xr:uid="{00000000-0005-0000-0000-0000844E0000}"/>
    <cellStyle name="0_organogram 3 3 3 3 2" xfId="20115" xr:uid="{00000000-0005-0000-0000-0000854E0000}"/>
    <cellStyle name="0_organogram 3 3 3 4" xfId="20116" xr:uid="{00000000-0005-0000-0000-0000864E0000}"/>
    <cellStyle name="0_organogram 3 3 4" xfId="20117" xr:uid="{00000000-0005-0000-0000-0000874E0000}"/>
    <cellStyle name="0_organogram 3 3 4 2" xfId="20118" xr:uid="{00000000-0005-0000-0000-0000884E0000}"/>
    <cellStyle name="0_organogram 3 3 4 2 2" xfId="20119" xr:uid="{00000000-0005-0000-0000-0000894E0000}"/>
    <cellStyle name="0_organogram 3 3 4 3" xfId="20120" xr:uid="{00000000-0005-0000-0000-00008A4E0000}"/>
    <cellStyle name="0_organogram 3 3 4 3 2" xfId="20121" xr:uid="{00000000-0005-0000-0000-00008B4E0000}"/>
    <cellStyle name="0_organogram 3 3 4 4" xfId="20122" xr:uid="{00000000-0005-0000-0000-00008C4E0000}"/>
    <cellStyle name="0_organogram 3 3 5" xfId="20123" xr:uid="{00000000-0005-0000-0000-00008D4E0000}"/>
    <cellStyle name="0_organogram 3 3 5 2" xfId="20124" xr:uid="{00000000-0005-0000-0000-00008E4E0000}"/>
    <cellStyle name="0_organogram 3 3 5 2 2" xfId="20125" xr:uid="{00000000-0005-0000-0000-00008F4E0000}"/>
    <cellStyle name="0_organogram 3 3 5 3" xfId="20126" xr:uid="{00000000-0005-0000-0000-0000904E0000}"/>
    <cellStyle name="0_organogram 3 3 5 3 2" xfId="20127" xr:uid="{00000000-0005-0000-0000-0000914E0000}"/>
    <cellStyle name="0_organogram 3 3 5 4" xfId="20128" xr:uid="{00000000-0005-0000-0000-0000924E0000}"/>
    <cellStyle name="0_organogram 3 3 6" xfId="20129" xr:uid="{00000000-0005-0000-0000-0000934E0000}"/>
    <cellStyle name="0_organogram 3 3 6 2" xfId="20130" xr:uid="{00000000-0005-0000-0000-0000944E0000}"/>
    <cellStyle name="0_organogram 3 3 7" xfId="20131" xr:uid="{00000000-0005-0000-0000-0000954E0000}"/>
    <cellStyle name="0_organogram 3 3 7 2" xfId="20132" xr:uid="{00000000-0005-0000-0000-0000964E0000}"/>
    <cellStyle name="0_organogram 3 3 8" xfId="20133" xr:uid="{00000000-0005-0000-0000-0000974E0000}"/>
    <cellStyle name="0_organogram 3 4" xfId="20134" xr:uid="{00000000-0005-0000-0000-0000984E0000}"/>
    <cellStyle name="0_organogram 3 4 2" xfId="20135" xr:uid="{00000000-0005-0000-0000-0000994E0000}"/>
    <cellStyle name="0_organogram 3 4 2 2" xfId="20136" xr:uid="{00000000-0005-0000-0000-00009A4E0000}"/>
    <cellStyle name="0_organogram 3 4 2 2 2" xfId="20137" xr:uid="{00000000-0005-0000-0000-00009B4E0000}"/>
    <cellStyle name="0_organogram 3 4 2 2 2 2" xfId="20138" xr:uid="{00000000-0005-0000-0000-00009C4E0000}"/>
    <cellStyle name="0_organogram 3 4 2 2 3" xfId="20139" xr:uid="{00000000-0005-0000-0000-00009D4E0000}"/>
    <cellStyle name="0_organogram 3 4 2 2 3 2" xfId="20140" xr:uid="{00000000-0005-0000-0000-00009E4E0000}"/>
    <cellStyle name="0_organogram 3 4 2 2 4" xfId="20141" xr:uid="{00000000-0005-0000-0000-00009F4E0000}"/>
    <cellStyle name="0_organogram 3 4 2 3" xfId="20142" xr:uid="{00000000-0005-0000-0000-0000A04E0000}"/>
    <cellStyle name="0_organogram 3 4 2 3 2" xfId="20143" xr:uid="{00000000-0005-0000-0000-0000A14E0000}"/>
    <cellStyle name="0_organogram 3 4 2 3 2 2" xfId="20144" xr:uid="{00000000-0005-0000-0000-0000A24E0000}"/>
    <cellStyle name="0_organogram 3 4 2 3 3" xfId="20145" xr:uid="{00000000-0005-0000-0000-0000A34E0000}"/>
    <cellStyle name="0_organogram 3 4 2 3 3 2" xfId="20146" xr:uid="{00000000-0005-0000-0000-0000A44E0000}"/>
    <cellStyle name="0_organogram 3 4 2 3 4" xfId="20147" xr:uid="{00000000-0005-0000-0000-0000A54E0000}"/>
    <cellStyle name="0_organogram 3 4 2 4" xfId="20148" xr:uid="{00000000-0005-0000-0000-0000A64E0000}"/>
    <cellStyle name="0_organogram 3 4 2 4 2" xfId="20149" xr:uid="{00000000-0005-0000-0000-0000A74E0000}"/>
    <cellStyle name="0_organogram 3 4 2 5" xfId="20150" xr:uid="{00000000-0005-0000-0000-0000A84E0000}"/>
    <cellStyle name="0_organogram 3 4 2 5 2" xfId="20151" xr:uid="{00000000-0005-0000-0000-0000A94E0000}"/>
    <cellStyle name="0_organogram 3 4 2 6" xfId="20152" xr:uid="{00000000-0005-0000-0000-0000AA4E0000}"/>
    <cellStyle name="0_organogram 3 4 3" xfId="20153" xr:uid="{00000000-0005-0000-0000-0000AB4E0000}"/>
    <cellStyle name="0_organogram 3 4 3 2" xfId="20154" xr:uid="{00000000-0005-0000-0000-0000AC4E0000}"/>
    <cellStyle name="0_organogram 3 4 3 2 2" xfId="20155" xr:uid="{00000000-0005-0000-0000-0000AD4E0000}"/>
    <cellStyle name="0_organogram 3 4 3 3" xfId="20156" xr:uid="{00000000-0005-0000-0000-0000AE4E0000}"/>
    <cellStyle name="0_organogram 3 4 3 3 2" xfId="20157" xr:uid="{00000000-0005-0000-0000-0000AF4E0000}"/>
    <cellStyle name="0_organogram 3 4 3 4" xfId="20158" xr:uid="{00000000-0005-0000-0000-0000B04E0000}"/>
    <cellStyle name="0_organogram 3 4 4" xfId="20159" xr:uid="{00000000-0005-0000-0000-0000B14E0000}"/>
    <cellStyle name="0_organogram 3 4 4 2" xfId="20160" xr:uid="{00000000-0005-0000-0000-0000B24E0000}"/>
    <cellStyle name="0_organogram 3 4 4 2 2" xfId="20161" xr:uid="{00000000-0005-0000-0000-0000B34E0000}"/>
    <cellStyle name="0_organogram 3 4 4 3" xfId="20162" xr:uid="{00000000-0005-0000-0000-0000B44E0000}"/>
    <cellStyle name="0_organogram 3 4 4 3 2" xfId="20163" xr:uid="{00000000-0005-0000-0000-0000B54E0000}"/>
    <cellStyle name="0_organogram 3 4 4 4" xfId="20164" xr:uid="{00000000-0005-0000-0000-0000B64E0000}"/>
    <cellStyle name="0_organogram 3 4 5" xfId="20165" xr:uid="{00000000-0005-0000-0000-0000B74E0000}"/>
    <cellStyle name="0_organogram 3 4 5 2" xfId="20166" xr:uid="{00000000-0005-0000-0000-0000B84E0000}"/>
    <cellStyle name="0_organogram 3 4 5 2 2" xfId="20167" xr:uid="{00000000-0005-0000-0000-0000B94E0000}"/>
    <cellStyle name="0_organogram 3 4 5 3" xfId="20168" xr:uid="{00000000-0005-0000-0000-0000BA4E0000}"/>
    <cellStyle name="0_organogram 3 4 5 3 2" xfId="20169" xr:uid="{00000000-0005-0000-0000-0000BB4E0000}"/>
    <cellStyle name="0_organogram 3 4 5 4" xfId="20170" xr:uid="{00000000-0005-0000-0000-0000BC4E0000}"/>
    <cellStyle name="0_organogram 3 4 6" xfId="20171" xr:uid="{00000000-0005-0000-0000-0000BD4E0000}"/>
    <cellStyle name="0_organogram 3 4 6 2" xfId="20172" xr:uid="{00000000-0005-0000-0000-0000BE4E0000}"/>
    <cellStyle name="0_organogram 3 4 7" xfId="20173" xr:uid="{00000000-0005-0000-0000-0000BF4E0000}"/>
    <cellStyle name="0_organogram 3 4 7 2" xfId="20174" xr:uid="{00000000-0005-0000-0000-0000C04E0000}"/>
    <cellStyle name="0_organogram 3 4 8" xfId="20175" xr:uid="{00000000-0005-0000-0000-0000C14E0000}"/>
    <cellStyle name="0_organogram 3 5" xfId="20176" xr:uid="{00000000-0005-0000-0000-0000C24E0000}"/>
    <cellStyle name="0_organogram 3 5 2" xfId="20177" xr:uid="{00000000-0005-0000-0000-0000C34E0000}"/>
    <cellStyle name="0_organogram 3 5 2 2" xfId="20178" xr:uid="{00000000-0005-0000-0000-0000C44E0000}"/>
    <cellStyle name="0_organogram 3 5 2 2 2" xfId="20179" xr:uid="{00000000-0005-0000-0000-0000C54E0000}"/>
    <cellStyle name="0_organogram 3 5 2 2 2 2" xfId="20180" xr:uid="{00000000-0005-0000-0000-0000C64E0000}"/>
    <cellStyle name="0_organogram 3 5 2 2 3" xfId="20181" xr:uid="{00000000-0005-0000-0000-0000C74E0000}"/>
    <cellStyle name="0_organogram 3 5 2 2 3 2" xfId="20182" xr:uid="{00000000-0005-0000-0000-0000C84E0000}"/>
    <cellStyle name="0_organogram 3 5 2 2 4" xfId="20183" xr:uid="{00000000-0005-0000-0000-0000C94E0000}"/>
    <cellStyle name="0_organogram 3 5 2 3" xfId="20184" xr:uid="{00000000-0005-0000-0000-0000CA4E0000}"/>
    <cellStyle name="0_organogram 3 5 2 3 2" xfId="20185" xr:uid="{00000000-0005-0000-0000-0000CB4E0000}"/>
    <cellStyle name="0_organogram 3 5 2 3 2 2" xfId="20186" xr:uid="{00000000-0005-0000-0000-0000CC4E0000}"/>
    <cellStyle name="0_organogram 3 5 2 3 3" xfId="20187" xr:uid="{00000000-0005-0000-0000-0000CD4E0000}"/>
    <cellStyle name="0_organogram 3 5 2 3 3 2" xfId="20188" xr:uid="{00000000-0005-0000-0000-0000CE4E0000}"/>
    <cellStyle name="0_organogram 3 5 2 3 4" xfId="20189" xr:uid="{00000000-0005-0000-0000-0000CF4E0000}"/>
    <cellStyle name="0_organogram 3 5 2 4" xfId="20190" xr:uid="{00000000-0005-0000-0000-0000D04E0000}"/>
    <cellStyle name="0_organogram 3 5 2 4 2" xfId="20191" xr:uid="{00000000-0005-0000-0000-0000D14E0000}"/>
    <cellStyle name="0_organogram 3 5 2 5" xfId="20192" xr:uid="{00000000-0005-0000-0000-0000D24E0000}"/>
    <cellStyle name="0_organogram 3 5 2 5 2" xfId="20193" xr:uid="{00000000-0005-0000-0000-0000D34E0000}"/>
    <cellStyle name="0_organogram 3 5 2 6" xfId="20194" xr:uid="{00000000-0005-0000-0000-0000D44E0000}"/>
    <cellStyle name="0_organogram 3 5 3" xfId="20195" xr:uid="{00000000-0005-0000-0000-0000D54E0000}"/>
    <cellStyle name="0_organogram 3 5 3 2" xfId="20196" xr:uid="{00000000-0005-0000-0000-0000D64E0000}"/>
    <cellStyle name="0_organogram 3 5 3 2 2" xfId="20197" xr:uid="{00000000-0005-0000-0000-0000D74E0000}"/>
    <cellStyle name="0_organogram 3 5 3 3" xfId="20198" xr:uid="{00000000-0005-0000-0000-0000D84E0000}"/>
    <cellStyle name="0_organogram 3 5 3 3 2" xfId="20199" xr:uid="{00000000-0005-0000-0000-0000D94E0000}"/>
    <cellStyle name="0_organogram 3 5 3 4" xfId="20200" xr:uid="{00000000-0005-0000-0000-0000DA4E0000}"/>
    <cellStyle name="0_organogram 3 5 4" xfId="20201" xr:uid="{00000000-0005-0000-0000-0000DB4E0000}"/>
    <cellStyle name="0_organogram 3 5 4 2" xfId="20202" xr:uid="{00000000-0005-0000-0000-0000DC4E0000}"/>
    <cellStyle name="0_organogram 3 5 4 2 2" xfId="20203" xr:uid="{00000000-0005-0000-0000-0000DD4E0000}"/>
    <cellStyle name="0_organogram 3 5 4 3" xfId="20204" xr:uid="{00000000-0005-0000-0000-0000DE4E0000}"/>
    <cellStyle name="0_organogram 3 5 4 3 2" xfId="20205" xr:uid="{00000000-0005-0000-0000-0000DF4E0000}"/>
    <cellStyle name="0_organogram 3 5 4 4" xfId="20206" xr:uid="{00000000-0005-0000-0000-0000E04E0000}"/>
    <cellStyle name="0_organogram 3 5 5" xfId="20207" xr:uid="{00000000-0005-0000-0000-0000E14E0000}"/>
    <cellStyle name="0_organogram 3 5 5 2" xfId="20208" xr:uid="{00000000-0005-0000-0000-0000E24E0000}"/>
    <cellStyle name="0_organogram 3 5 5 2 2" xfId="20209" xr:uid="{00000000-0005-0000-0000-0000E34E0000}"/>
    <cellStyle name="0_organogram 3 5 5 3" xfId="20210" xr:uid="{00000000-0005-0000-0000-0000E44E0000}"/>
    <cellStyle name="0_organogram 3 5 5 3 2" xfId="20211" xr:uid="{00000000-0005-0000-0000-0000E54E0000}"/>
    <cellStyle name="0_organogram 3 5 5 4" xfId="20212" xr:uid="{00000000-0005-0000-0000-0000E64E0000}"/>
    <cellStyle name="0_organogram 3 5 6" xfId="20213" xr:uid="{00000000-0005-0000-0000-0000E74E0000}"/>
    <cellStyle name="0_organogram 3 5 6 2" xfId="20214" xr:uid="{00000000-0005-0000-0000-0000E84E0000}"/>
    <cellStyle name="0_organogram 3 5 7" xfId="20215" xr:uid="{00000000-0005-0000-0000-0000E94E0000}"/>
    <cellStyle name="0_organogram 3 5 7 2" xfId="20216" xr:uid="{00000000-0005-0000-0000-0000EA4E0000}"/>
    <cellStyle name="0_organogram 3 5 8" xfId="20217" xr:uid="{00000000-0005-0000-0000-0000EB4E0000}"/>
    <cellStyle name="0_organogram 3 6" xfId="20218" xr:uid="{00000000-0005-0000-0000-0000EC4E0000}"/>
    <cellStyle name="0_organogram 3 6 2" xfId="20219" xr:uid="{00000000-0005-0000-0000-0000ED4E0000}"/>
    <cellStyle name="0_organogram 3 6 2 2" xfId="20220" xr:uid="{00000000-0005-0000-0000-0000EE4E0000}"/>
    <cellStyle name="0_organogram 3 6 2 2 2" xfId="20221" xr:uid="{00000000-0005-0000-0000-0000EF4E0000}"/>
    <cellStyle name="0_organogram 3 6 2 2 2 2" xfId="20222" xr:uid="{00000000-0005-0000-0000-0000F04E0000}"/>
    <cellStyle name="0_organogram 3 6 2 2 3" xfId="20223" xr:uid="{00000000-0005-0000-0000-0000F14E0000}"/>
    <cellStyle name="0_organogram 3 6 2 2 3 2" xfId="20224" xr:uid="{00000000-0005-0000-0000-0000F24E0000}"/>
    <cellStyle name="0_organogram 3 6 2 2 4" xfId="20225" xr:uid="{00000000-0005-0000-0000-0000F34E0000}"/>
    <cellStyle name="0_organogram 3 6 2 3" xfId="20226" xr:uid="{00000000-0005-0000-0000-0000F44E0000}"/>
    <cellStyle name="0_organogram 3 6 2 3 2" xfId="20227" xr:uid="{00000000-0005-0000-0000-0000F54E0000}"/>
    <cellStyle name="0_organogram 3 6 2 3 2 2" xfId="20228" xr:uid="{00000000-0005-0000-0000-0000F64E0000}"/>
    <cellStyle name="0_organogram 3 6 2 3 3" xfId="20229" xr:uid="{00000000-0005-0000-0000-0000F74E0000}"/>
    <cellStyle name="0_organogram 3 6 2 3 3 2" xfId="20230" xr:uid="{00000000-0005-0000-0000-0000F84E0000}"/>
    <cellStyle name="0_organogram 3 6 2 3 4" xfId="20231" xr:uid="{00000000-0005-0000-0000-0000F94E0000}"/>
    <cellStyle name="0_organogram 3 6 2 4" xfId="20232" xr:uid="{00000000-0005-0000-0000-0000FA4E0000}"/>
    <cellStyle name="0_organogram 3 6 2 4 2" xfId="20233" xr:uid="{00000000-0005-0000-0000-0000FB4E0000}"/>
    <cellStyle name="0_organogram 3 6 2 5" xfId="20234" xr:uid="{00000000-0005-0000-0000-0000FC4E0000}"/>
    <cellStyle name="0_organogram 3 6 2 5 2" xfId="20235" xr:uid="{00000000-0005-0000-0000-0000FD4E0000}"/>
    <cellStyle name="0_organogram 3 6 2 6" xfId="20236" xr:uid="{00000000-0005-0000-0000-0000FE4E0000}"/>
    <cellStyle name="0_organogram 3 6 3" xfId="20237" xr:uid="{00000000-0005-0000-0000-0000FF4E0000}"/>
    <cellStyle name="0_organogram 3 6 3 2" xfId="20238" xr:uid="{00000000-0005-0000-0000-0000004F0000}"/>
    <cellStyle name="0_organogram 3 6 3 2 2" xfId="20239" xr:uid="{00000000-0005-0000-0000-0000014F0000}"/>
    <cellStyle name="0_organogram 3 6 3 3" xfId="20240" xr:uid="{00000000-0005-0000-0000-0000024F0000}"/>
    <cellStyle name="0_organogram 3 6 3 3 2" xfId="20241" xr:uid="{00000000-0005-0000-0000-0000034F0000}"/>
    <cellStyle name="0_organogram 3 6 3 4" xfId="20242" xr:uid="{00000000-0005-0000-0000-0000044F0000}"/>
    <cellStyle name="0_organogram 3 6 4" xfId="20243" xr:uid="{00000000-0005-0000-0000-0000054F0000}"/>
    <cellStyle name="0_organogram 3 6 4 2" xfId="20244" xr:uid="{00000000-0005-0000-0000-0000064F0000}"/>
    <cellStyle name="0_organogram 3 6 4 2 2" xfId="20245" xr:uid="{00000000-0005-0000-0000-0000074F0000}"/>
    <cellStyle name="0_organogram 3 6 4 3" xfId="20246" xr:uid="{00000000-0005-0000-0000-0000084F0000}"/>
    <cellStyle name="0_organogram 3 6 4 3 2" xfId="20247" xr:uid="{00000000-0005-0000-0000-0000094F0000}"/>
    <cellStyle name="0_organogram 3 6 4 4" xfId="20248" xr:uid="{00000000-0005-0000-0000-00000A4F0000}"/>
    <cellStyle name="0_organogram 3 6 5" xfId="20249" xr:uid="{00000000-0005-0000-0000-00000B4F0000}"/>
    <cellStyle name="0_organogram 3 6 5 2" xfId="20250" xr:uid="{00000000-0005-0000-0000-00000C4F0000}"/>
    <cellStyle name="0_organogram 3 6 5 2 2" xfId="20251" xr:uid="{00000000-0005-0000-0000-00000D4F0000}"/>
    <cellStyle name="0_organogram 3 6 5 3" xfId="20252" xr:uid="{00000000-0005-0000-0000-00000E4F0000}"/>
    <cellStyle name="0_organogram 3 6 5 3 2" xfId="20253" xr:uid="{00000000-0005-0000-0000-00000F4F0000}"/>
    <cellStyle name="0_organogram 3 6 5 4" xfId="20254" xr:uid="{00000000-0005-0000-0000-0000104F0000}"/>
    <cellStyle name="0_organogram 3 6 6" xfId="20255" xr:uid="{00000000-0005-0000-0000-0000114F0000}"/>
    <cellStyle name="0_organogram 3 6 6 2" xfId="20256" xr:uid="{00000000-0005-0000-0000-0000124F0000}"/>
    <cellStyle name="0_organogram 3 6 7" xfId="20257" xr:uid="{00000000-0005-0000-0000-0000134F0000}"/>
    <cellStyle name="0_organogram 3 6 7 2" xfId="20258" xr:uid="{00000000-0005-0000-0000-0000144F0000}"/>
    <cellStyle name="0_organogram 3 6 8" xfId="20259" xr:uid="{00000000-0005-0000-0000-0000154F0000}"/>
    <cellStyle name="0_organogram 3 7" xfId="20260" xr:uid="{00000000-0005-0000-0000-0000164F0000}"/>
    <cellStyle name="0_organogram 3 7 2" xfId="20261" xr:uid="{00000000-0005-0000-0000-0000174F0000}"/>
    <cellStyle name="0_organogram 3 7 2 2" xfId="20262" xr:uid="{00000000-0005-0000-0000-0000184F0000}"/>
    <cellStyle name="0_organogram 3 7 2 2 2" xfId="20263" xr:uid="{00000000-0005-0000-0000-0000194F0000}"/>
    <cellStyle name="0_organogram 3 7 2 3" xfId="20264" xr:uid="{00000000-0005-0000-0000-00001A4F0000}"/>
    <cellStyle name="0_organogram 3 7 2 3 2" xfId="20265" xr:uid="{00000000-0005-0000-0000-00001B4F0000}"/>
    <cellStyle name="0_organogram 3 7 2 4" xfId="20266" xr:uid="{00000000-0005-0000-0000-00001C4F0000}"/>
    <cellStyle name="0_organogram 3 7 3" xfId="20267" xr:uid="{00000000-0005-0000-0000-00001D4F0000}"/>
    <cellStyle name="0_organogram 3 7 3 2" xfId="20268" xr:uid="{00000000-0005-0000-0000-00001E4F0000}"/>
    <cellStyle name="0_organogram 3 7 3 2 2" xfId="20269" xr:uid="{00000000-0005-0000-0000-00001F4F0000}"/>
    <cellStyle name="0_organogram 3 7 3 3" xfId="20270" xr:uid="{00000000-0005-0000-0000-0000204F0000}"/>
    <cellStyle name="0_organogram 3 7 3 3 2" xfId="20271" xr:uid="{00000000-0005-0000-0000-0000214F0000}"/>
    <cellStyle name="0_organogram 3 7 3 4" xfId="20272" xr:uid="{00000000-0005-0000-0000-0000224F0000}"/>
    <cellStyle name="0_organogram 3 7 4" xfId="20273" xr:uid="{00000000-0005-0000-0000-0000234F0000}"/>
    <cellStyle name="0_organogram 3 7 4 2" xfId="20274" xr:uid="{00000000-0005-0000-0000-0000244F0000}"/>
    <cellStyle name="0_organogram 3 7 5" xfId="20275" xr:uid="{00000000-0005-0000-0000-0000254F0000}"/>
    <cellStyle name="0_organogram 3 7 5 2" xfId="20276" xr:uid="{00000000-0005-0000-0000-0000264F0000}"/>
    <cellStyle name="0_organogram 3 7 6" xfId="20277" xr:uid="{00000000-0005-0000-0000-0000274F0000}"/>
    <cellStyle name="0_organogram 3 8" xfId="20278" xr:uid="{00000000-0005-0000-0000-0000284F0000}"/>
    <cellStyle name="0_organogram 3 8 2" xfId="20279" xr:uid="{00000000-0005-0000-0000-0000294F0000}"/>
    <cellStyle name="0_organogram 3 8 2 2" xfId="20280" xr:uid="{00000000-0005-0000-0000-00002A4F0000}"/>
    <cellStyle name="0_organogram 3 8 3" xfId="20281" xr:uid="{00000000-0005-0000-0000-00002B4F0000}"/>
    <cellStyle name="0_organogram 3 8 3 2" xfId="20282" xr:uid="{00000000-0005-0000-0000-00002C4F0000}"/>
    <cellStyle name="0_organogram 3 8 4" xfId="20283" xr:uid="{00000000-0005-0000-0000-00002D4F0000}"/>
    <cellStyle name="0_organogram 3 9" xfId="20284" xr:uid="{00000000-0005-0000-0000-00002E4F0000}"/>
    <cellStyle name="0_organogram 3 9 2" xfId="20285" xr:uid="{00000000-0005-0000-0000-00002F4F0000}"/>
    <cellStyle name="0_organogram 3 9 2 2" xfId="20286" xr:uid="{00000000-0005-0000-0000-0000304F0000}"/>
    <cellStyle name="0_organogram 3 9 3" xfId="20287" xr:uid="{00000000-0005-0000-0000-0000314F0000}"/>
    <cellStyle name="0_organogram 3 9 3 2" xfId="20288" xr:uid="{00000000-0005-0000-0000-0000324F0000}"/>
    <cellStyle name="0_organogram 3 9 4" xfId="20289" xr:uid="{00000000-0005-0000-0000-0000334F0000}"/>
    <cellStyle name="0_organogram 4" xfId="20290" xr:uid="{00000000-0005-0000-0000-0000344F0000}"/>
    <cellStyle name="0_organogram 4 10" xfId="20291" xr:uid="{00000000-0005-0000-0000-0000354F0000}"/>
    <cellStyle name="0_organogram 4 10 2" xfId="20292" xr:uid="{00000000-0005-0000-0000-0000364F0000}"/>
    <cellStyle name="0_organogram 4 10 2 2" xfId="20293" xr:uid="{00000000-0005-0000-0000-0000374F0000}"/>
    <cellStyle name="0_organogram 4 10 3" xfId="20294" xr:uid="{00000000-0005-0000-0000-0000384F0000}"/>
    <cellStyle name="0_organogram 4 10 3 2" xfId="20295" xr:uid="{00000000-0005-0000-0000-0000394F0000}"/>
    <cellStyle name="0_organogram 4 10 4" xfId="20296" xr:uid="{00000000-0005-0000-0000-00003A4F0000}"/>
    <cellStyle name="0_organogram 4 11" xfId="20297" xr:uid="{00000000-0005-0000-0000-00003B4F0000}"/>
    <cellStyle name="0_organogram 4 11 2" xfId="20298" xr:uid="{00000000-0005-0000-0000-00003C4F0000}"/>
    <cellStyle name="0_organogram 4 12" xfId="20299" xr:uid="{00000000-0005-0000-0000-00003D4F0000}"/>
    <cellStyle name="0_organogram 4 12 2" xfId="20300" xr:uid="{00000000-0005-0000-0000-00003E4F0000}"/>
    <cellStyle name="0_organogram 4 13" xfId="20301" xr:uid="{00000000-0005-0000-0000-00003F4F0000}"/>
    <cellStyle name="0_organogram 4 2" xfId="20302" xr:uid="{00000000-0005-0000-0000-0000404F0000}"/>
    <cellStyle name="0_organogram 4 2 2" xfId="20303" xr:uid="{00000000-0005-0000-0000-0000414F0000}"/>
    <cellStyle name="0_organogram 4 2 2 2" xfId="20304" xr:uid="{00000000-0005-0000-0000-0000424F0000}"/>
    <cellStyle name="0_organogram 4 2 2 2 2" xfId="20305" xr:uid="{00000000-0005-0000-0000-0000434F0000}"/>
    <cellStyle name="0_organogram 4 2 2 2 2 2" xfId="20306" xr:uid="{00000000-0005-0000-0000-0000444F0000}"/>
    <cellStyle name="0_organogram 4 2 2 2 3" xfId="20307" xr:uid="{00000000-0005-0000-0000-0000454F0000}"/>
    <cellStyle name="0_organogram 4 2 2 2 3 2" xfId="20308" xr:uid="{00000000-0005-0000-0000-0000464F0000}"/>
    <cellStyle name="0_organogram 4 2 2 2 4" xfId="20309" xr:uid="{00000000-0005-0000-0000-0000474F0000}"/>
    <cellStyle name="0_organogram 4 2 2 3" xfId="20310" xr:uid="{00000000-0005-0000-0000-0000484F0000}"/>
    <cellStyle name="0_organogram 4 2 2 3 2" xfId="20311" xr:uid="{00000000-0005-0000-0000-0000494F0000}"/>
    <cellStyle name="0_organogram 4 2 2 3 2 2" xfId="20312" xr:uid="{00000000-0005-0000-0000-00004A4F0000}"/>
    <cellStyle name="0_organogram 4 2 2 3 3" xfId="20313" xr:uid="{00000000-0005-0000-0000-00004B4F0000}"/>
    <cellStyle name="0_organogram 4 2 2 3 3 2" xfId="20314" xr:uid="{00000000-0005-0000-0000-00004C4F0000}"/>
    <cellStyle name="0_organogram 4 2 2 3 4" xfId="20315" xr:uid="{00000000-0005-0000-0000-00004D4F0000}"/>
    <cellStyle name="0_organogram 4 2 2 4" xfId="20316" xr:uid="{00000000-0005-0000-0000-00004E4F0000}"/>
    <cellStyle name="0_organogram 4 2 2 4 2" xfId="20317" xr:uid="{00000000-0005-0000-0000-00004F4F0000}"/>
    <cellStyle name="0_organogram 4 2 2 5" xfId="20318" xr:uid="{00000000-0005-0000-0000-0000504F0000}"/>
    <cellStyle name="0_organogram 4 2 2 5 2" xfId="20319" xr:uid="{00000000-0005-0000-0000-0000514F0000}"/>
    <cellStyle name="0_organogram 4 2 2 6" xfId="20320" xr:uid="{00000000-0005-0000-0000-0000524F0000}"/>
    <cellStyle name="0_organogram 4 2 3" xfId="20321" xr:uid="{00000000-0005-0000-0000-0000534F0000}"/>
    <cellStyle name="0_organogram 4 2 3 2" xfId="20322" xr:uid="{00000000-0005-0000-0000-0000544F0000}"/>
    <cellStyle name="0_organogram 4 2 3 2 2" xfId="20323" xr:uid="{00000000-0005-0000-0000-0000554F0000}"/>
    <cellStyle name="0_organogram 4 2 3 3" xfId="20324" xr:uid="{00000000-0005-0000-0000-0000564F0000}"/>
    <cellStyle name="0_organogram 4 2 3 3 2" xfId="20325" xr:uid="{00000000-0005-0000-0000-0000574F0000}"/>
    <cellStyle name="0_organogram 4 2 3 4" xfId="20326" xr:uid="{00000000-0005-0000-0000-0000584F0000}"/>
    <cellStyle name="0_organogram 4 2 4" xfId="20327" xr:uid="{00000000-0005-0000-0000-0000594F0000}"/>
    <cellStyle name="0_organogram 4 2 4 2" xfId="20328" xr:uid="{00000000-0005-0000-0000-00005A4F0000}"/>
    <cellStyle name="0_organogram 4 2 4 2 2" xfId="20329" xr:uid="{00000000-0005-0000-0000-00005B4F0000}"/>
    <cellStyle name="0_organogram 4 2 4 3" xfId="20330" xr:uid="{00000000-0005-0000-0000-00005C4F0000}"/>
    <cellStyle name="0_organogram 4 2 4 3 2" xfId="20331" xr:uid="{00000000-0005-0000-0000-00005D4F0000}"/>
    <cellStyle name="0_organogram 4 2 4 4" xfId="20332" xr:uid="{00000000-0005-0000-0000-00005E4F0000}"/>
    <cellStyle name="0_organogram 4 2 5" xfId="20333" xr:uid="{00000000-0005-0000-0000-00005F4F0000}"/>
    <cellStyle name="0_organogram 4 2 5 2" xfId="20334" xr:uid="{00000000-0005-0000-0000-0000604F0000}"/>
    <cellStyle name="0_organogram 4 2 5 2 2" xfId="20335" xr:uid="{00000000-0005-0000-0000-0000614F0000}"/>
    <cellStyle name="0_organogram 4 2 5 3" xfId="20336" xr:uid="{00000000-0005-0000-0000-0000624F0000}"/>
    <cellStyle name="0_organogram 4 2 5 3 2" xfId="20337" xr:uid="{00000000-0005-0000-0000-0000634F0000}"/>
    <cellStyle name="0_organogram 4 2 5 4" xfId="20338" xr:uid="{00000000-0005-0000-0000-0000644F0000}"/>
    <cellStyle name="0_organogram 4 2 6" xfId="20339" xr:uid="{00000000-0005-0000-0000-0000654F0000}"/>
    <cellStyle name="0_organogram 4 2 6 2" xfId="20340" xr:uid="{00000000-0005-0000-0000-0000664F0000}"/>
    <cellStyle name="0_organogram 4 2 7" xfId="20341" xr:uid="{00000000-0005-0000-0000-0000674F0000}"/>
    <cellStyle name="0_organogram 4 2 7 2" xfId="20342" xr:uid="{00000000-0005-0000-0000-0000684F0000}"/>
    <cellStyle name="0_organogram 4 2 8" xfId="20343" xr:uid="{00000000-0005-0000-0000-0000694F0000}"/>
    <cellStyle name="0_organogram 4 3" xfId="20344" xr:uid="{00000000-0005-0000-0000-00006A4F0000}"/>
    <cellStyle name="0_organogram 4 3 2" xfId="20345" xr:uid="{00000000-0005-0000-0000-00006B4F0000}"/>
    <cellStyle name="0_organogram 4 3 2 2" xfId="20346" xr:uid="{00000000-0005-0000-0000-00006C4F0000}"/>
    <cellStyle name="0_organogram 4 3 2 2 2" xfId="20347" xr:uid="{00000000-0005-0000-0000-00006D4F0000}"/>
    <cellStyle name="0_organogram 4 3 2 2 2 2" xfId="20348" xr:uid="{00000000-0005-0000-0000-00006E4F0000}"/>
    <cellStyle name="0_organogram 4 3 2 2 3" xfId="20349" xr:uid="{00000000-0005-0000-0000-00006F4F0000}"/>
    <cellStyle name="0_organogram 4 3 2 2 3 2" xfId="20350" xr:uid="{00000000-0005-0000-0000-0000704F0000}"/>
    <cellStyle name="0_organogram 4 3 2 2 4" xfId="20351" xr:uid="{00000000-0005-0000-0000-0000714F0000}"/>
    <cellStyle name="0_organogram 4 3 2 3" xfId="20352" xr:uid="{00000000-0005-0000-0000-0000724F0000}"/>
    <cellStyle name="0_organogram 4 3 2 3 2" xfId="20353" xr:uid="{00000000-0005-0000-0000-0000734F0000}"/>
    <cellStyle name="0_organogram 4 3 2 3 2 2" xfId="20354" xr:uid="{00000000-0005-0000-0000-0000744F0000}"/>
    <cellStyle name="0_organogram 4 3 2 3 3" xfId="20355" xr:uid="{00000000-0005-0000-0000-0000754F0000}"/>
    <cellStyle name="0_organogram 4 3 2 3 3 2" xfId="20356" xr:uid="{00000000-0005-0000-0000-0000764F0000}"/>
    <cellStyle name="0_organogram 4 3 2 3 4" xfId="20357" xr:uid="{00000000-0005-0000-0000-0000774F0000}"/>
    <cellStyle name="0_organogram 4 3 2 4" xfId="20358" xr:uid="{00000000-0005-0000-0000-0000784F0000}"/>
    <cellStyle name="0_organogram 4 3 2 4 2" xfId="20359" xr:uid="{00000000-0005-0000-0000-0000794F0000}"/>
    <cellStyle name="0_organogram 4 3 2 5" xfId="20360" xr:uid="{00000000-0005-0000-0000-00007A4F0000}"/>
    <cellStyle name="0_organogram 4 3 2 5 2" xfId="20361" xr:uid="{00000000-0005-0000-0000-00007B4F0000}"/>
    <cellStyle name="0_organogram 4 3 2 6" xfId="20362" xr:uid="{00000000-0005-0000-0000-00007C4F0000}"/>
    <cellStyle name="0_organogram 4 3 3" xfId="20363" xr:uid="{00000000-0005-0000-0000-00007D4F0000}"/>
    <cellStyle name="0_organogram 4 3 3 2" xfId="20364" xr:uid="{00000000-0005-0000-0000-00007E4F0000}"/>
    <cellStyle name="0_organogram 4 3 3 2 2" xfId="20365" xr:uid="{00000000-0005-0000-0000-00007F4F0000}"/>
    <cellStyle name="0_organogram 4 3 3 3" xfId="20366" xr:uid="{00000000-0005-0000-0000-0000804F0000}"/>
    <cellStyle name="0_organogram 4 3 3 3 2" xfId="20367" xr:uid="{00000000-0005-0000-0000-0000814F0000}"/>
    <cellStyle name="0_organogram 4 3 3 4" xfId="20368" xr:uid="{00000000-0005-0000-0000-0000824F0000}"/>
    <cellStyle name="0_organogram 4 3 4" xfId="20369" xr:uid="{00000000-0005-0000-0000-0000834F0000}"/>
    <cellStyle name="0_organogram 4 3 4 2" xfId="20370" xr:uid="{00000000-0005-0000-0000-0000844F0000}"/>
    <cellStyle name="0_organogram 4 3 4 2 2" xfId="20371" xr:uid="{00000000-0005-0000-0000-0000854F0000}"/>
    <cellStyle name="0_organogram 4 3 4 3" xfId="20372" xr:uid="{00000000-0005-0000-0000-0000864F0000}"/>
    <cellStyle name="0_organogram 4 3 4 3 2" xfId="20373" xr:uid="{00000000-0005-0000-0000-0000874F0000}"/>
    <cellStyle name="0_organogram 4 3 4 4" xfId="20374" xr:uid="{00000000-0005-0000-0000-0000884F0000}"/>
    <cellStyle name="0_organogram 4 3 5" xfId="20375" xr:uid="{00000000-0005-0000-0000-0000894F0000}"/>
    <cellStyle name="0_organogram 4 3 5 2" xfId="20376" xr:uid="{00000000-0005-0000-0000-00008A4F0000}"/>
    <cellStyle name="0_organogram 4 3 5 2 2" xfId="20377" xr:uid="{00000000-0005-0000-0000-00008B4F0000}"/>
    <cellStyle name="0_organogram 4 3 5 3" xfId="20378" xr:uid="{00000000-0005-0000-0000-00008C4F0000}"/>
    <cellStyle name="0_organogram 4 3 5 3 2" xfId="20379" xr:uid="{00000000-0005-0000-0000-00008D4F0000}"/>
    <cellStyle name="0_organogram 4 3 5 4" xfId="20380" xr:uid="{00000000-0005-0000-0000-00008E4F0000}"/>
    <cellStyle name="0_organogram 4 3 6" xfId="20381" xr:uid="{00000000-0005-0000-0000-00008F4F0000}"/>
    <cellStyle name="0_organogram 4 3 6 2" xfId="20382" xr:uid="{00000000-0005-0000-0000-0000904F0000}"/>
    <cellStyle name="0_organogram 4 3 7" xfId="20383" xr:uid="{00000000-0005-0000-0000-0000914F0000}"/>
    <cellStyle name="0_organogram 4 3 7 2" xfId="20384" xr:uid="{00000000-0005-0000-0000-0000924F0000}"/>
    <cellStyle name="0_organogram 4 3 8" xfId="20385" xr:uid="{00000000-0005-0000-0000-0000934F0000}"/>
    <cellStyle name="0_organogram 4 4" xfId="20386" xr:uid="{00000000-0005-0000-0000-0000944F0000}"/>
    <cellStyle name="0_organogram 4 4 2" xfId="20387" xr:uid="{00000000-0005-0000-0000-0000954F0000}"/>
    <cellStyle name="0_organogram 4 4 2 2" xfId="20388" xr:uid="{00000000-0005-0000-0000-0000964F0000}"/>
    <cellStyle name="0_organogram 4 4 2 2 2" xfId="20389" xr:uid="{00000000-0005-0000-0000-0000974F0000}"/>
    <cellStyle name="0_organogram 4 4 2 2 2 2" xfId="20390" xr:uid="{00000000-0005-0000-0000-0000984F0000}"/>
    <cellStyle name="0_organogram 4 4 2 2 3" xfId="20391" xr:uid="{00000000-0005-0000-0000-0000994F0000}"/>
    <cellStyle name="0_organogram 4 4 2 2 3 2" xfId="20392" xr:uid="{00000000-0005-0000-0000-00009A4F0000}"/>
    <cellStyle name="0_organogram 4 4 2 2 4" xfId="20393" xr:uid="{00000000-0005-0000-0000-00009B4F0000}"/>
    <cellStyle name="0_organogram 4 4 2 3" xfId="20394" xr:uid="{00000000-0005-0000-0000-00009C4F0000}"/>
    <cellStyle name="0_organogram 4 4 2 3 2" xfId="20395" xr:uid="{00000000-0005-0000-0000-00009D4F0000}"/>
    <cellStyle name="0_organogram 4 4 2 3 2 2" xfId="20396" xr:uid="{00000000-0005-0000-0000-00009E4F0000}"/>
    <cellStyle name="0_organogram 4 4 2 3 3" xfId="20397" xr:uid="{00000000-0005-0000-0000-00009F4F0000}"/>
    <cellStyle name="0_organogram 4 4 2 3 3 2" xfId="20398" xr:uid="{00000000-0005-0000-0000-0000A04F0000}"/>
    <cellStyle name="0_organogram 4 4 2 3 4" xfId="20399" xr:uid="{00000000-0005-0000-0000-0000A14F0000}"/>
    <cellStyle name="0_organogram 4 4 2 4" xfId="20400" xr:uid="{00000000-0005-0000-0000-0000A24F0000}"/>
    <cellStyle name="0_organogram 4 4 2 4 2" xfId="20401" xr:uid="{00000000-0005-0000-0000-0000A34F0000}"/>
    <cellStyle name="0_organogram 4 4 2 5" xfId="20402" xr:uid="{00000000-0005-0000-0000-0000A44F0000}"/>
    <cellStyle name="0_organogram 4 4 2 5 2" xfId="20403" xr:uid="{00000000-0005-0000-0000-0000A54F0000}"/>
    <cellStyle name="0_organogram 4 4 2 6" xfId="20404" xr:uid="{00000000-0005-0000-0000-0000A64F0000}"/>
    <cellStyle name="0_organogram 4 4 3" xfId="20405" xr:uid="{00000000-0005-0000-0000-0000A74F0000}"/>
    <cellStyle name="0_organogram 4 4 3 2" xfId="20406" xr:uid="{00000000-0005-0000-0000-0000A84F0000}"/>
    <cellStyle name="0_organogram 4 4 3 2 2" xfId="20407" xr:uid="{00000000-0005-0000-0000-0000A94F0000}"/>
    <cellStyle name="0_organogram 4 4 3 3" xfId="20408" xr:uid="{00000000-0005-0000-0000-0000AA4F0000}"/>
    <cellStyle name="0_organogram 4 4 3 3 2" xfId="20409" xr:uid="{00000000-0005-0000-0000-0000AB4F0000}"/>
    <cellStyle name="0_organogram 4 4 3 4" xfId="20410" xr:uid="{00000000-0005-0000-0000-0000AC4F0000}"/>
    <cellStyle name="0_organogram 4 4 4" xfId="20411" xr:uid="{00000000-0005-0000-0000-0000AD4F0000}"/>
    <cellStyle name="0_organogram 4 4 4 2" xfId="20412" xr:uid="{00000000-0005-0000-0000-0000AE4F0000}"/>
    <cellStyle name="0_organogram 4 4 4 2 2" xfId="20413" xr:uid="{00000000-0005-0000-0000-0000AF4F0000}"/>
    <cellStyle name="0_organogram 4 4 4 3" xfId="20414" xr:uid="{00000000-0005-0000-0000-0000B04F0000}"/>
    <cellStyle name="0_organogram 4 4 4 3 2" xfId="20415" xr:uid="{00000000-0005-0000-0000-0000B14F0000}"/>
    <cellStyle name="0_organogram 4 4 4 4" xfId="20416" xr:uid="{00000000-0005-0000-0000-0000B24F0000}"/>
    <cellStyle name="0_organogram 4 4 5" xfId="20417" xr:uid="{00000000-0005-0000-0000-0000B34F0000}"/>
    <cellStyle name="0_organogram 4 4 5 2" xfId="20418" xr:uid="{00000000-0005-0000-0000-0000B44F0000}"/>
    <cellStyle name="0_organogram 4 4 5 2 2" xfId="20419" xr:uid="{00000000-0005-0000-0000-0000B54F0000}"/>
    <cellStyle name="0_organogram 4 4 5 3" xfId="20420" xr:uid="{00000000-0005-0000-0000-0000B64F0000}"/>
    <cellStyle name="0_organogram 4 4 5 3 2" xfId="20421" xr:uid="{00000000-0005-0000-0000-0000B74F0000}"/>
    <cellStyle name="0_organogram 4 4 5 4" xfId="20422" xr:uid="{00000000-0005-0000-0000-0000B84F0000}"/>
    <cellStyle name="0_organogram 4 4 6" xfId="20423" xr:uid="{00000000-0005-0000-0000-0000B94F0000}"/>
    <cellStyle name="0_organogram 4 4 6 2" xfId="20424" xr:uid="{00000000-0005-0000-0000-0000BA4F0000}"/>
    <cellStyle name="0_organogram 4 4 7" xfId="20425" xr:uid="{00000000-0005-0000-0000-0000BB4F0000}"/>
    <cellStyle name="0_organogram 4 4 7 2" xfId="20426" xr:uid="{00000000-0005-0000-0000-0000BC4F0000}"/>
    <cellStyle name="0_organogram 4 4 8" xfId="20427" xr:uid="{00000000-0005-0000-0000-0000BD4F0000}"/>
    <cellStyle name="0_organogram 4 5" xfId="20428" xr:uid="{00000000-0005-0000-0000-0000BE4F0000}"/>
    <cellStyle name="0_organogram 4 5 2" xfId="20429" xr:uid="{00000000-0005-0000-0000-0000BF4F0000}"/>
    <cellStyle name="0_organogram 4 5 2 2" xfId="20430" xr:uid="{00000000-0005-0000-0000-0000C04F0000}"/>
    <cellStyle name="0_organogram 4 5 2 2 2" xfId="20431" xr:uid="{00000000-0005-0000-0000-0000C14F0000}"/>
    <cellStyle name="0_organogram 4 5 2 2 2 2" xfId="20432" xr:uid="{00000000-0005-0000-0000-0000C24F0000}"/>
    <cellStyle name="0_organogram 4 5 2 2 3" xfId="20433" xr:uid="{00000000-0005-0000-0000-0000C34F0000}"/>
    <cellStyle name="0_organogram 4 5 2 2 3 2" xfId="20434" xr:uid="{00000000-0005-0000-0000-0000C44F0000}"/>
    <cellStyle name="0_organogram 4 5 2 2 4" xfId="20435" xr:uid="{00000000-0005-0000-0000-0000C54F0000}"/>
    <cellStyle name="0_organogram 4 5 2 3" xfId="20436" xr:uid="{00000000-0005-0000-0000-0000C64F0000}"/>
    <cellStyle name="0_organogram 4 5 2 3 2" xfId="20437" xr:uid="{00000000-0005-0000-0000-0000C74F0000}"/>
    <cellStyle name="0_organogram 4 5 2 3 2 2" xfId="20438" xr:uid="{00000000-0005-0000-0000-0000C84F0000}"/>
    <cellStyle name="0_organogram 4 5 2 3 3" xfId="20439" xr:uid="{00000000-0005-0000-0000-0000C94F0000}"/>
    <cellStyle name="0_organogram 4 5 2 3 3 2" xfId="20440" xr:uid="{00000000-0005-0000-0000-0000CA4F0000}"/>
    <cellStyle name="0_organogram 4 5 2 3 4" xfId="20441" xr:uid="{00000000-0005-0000-0000-0000CB4F0000}"/>
    <cellStyle name="0_organogram 4 5 2 4" xfId="20442" xr:uid="{00000000-0005-0000-0000-0000CC4F0000}"/>
    <cellStyle name="0_organogram 4 5 2 4 2" xfId="20443" xr:uid="{00000000-0005-0000-0000-0000CD4F0000}"/>
    <cellStyle name="0_organogram 4 5 2 5" xfId="20444" xr:uid="{00000000-0005-0000-0000-0000CE4F0000}"/>
    <cellStyle name="0_organogram 4 5 2 5 2" xfId="20445" xr:uid="{00000000-0005-0000-0000-0000CF4F0000}"/>
    <cellStyle name="0_organogram 4 5 2 6" xfId="20446" xr:uid="{00000000-0005-0000-0000-0000D04F0000}"/>
    <cellStyle name="0_organogram 4 5 3" xfId="20447" xr:uid="{00000000-0005-0000-0000-0000D14F0000}"/>
    <cellStyle name="0_organogram 4 5 3 2" xfId="20448" xr:uid="{00000000-0005-0000-0000-0000D24F0000}"/>
    <cellStyle name="0_organogram 4 5 3 2 2" xfId="20449" xr:uid="{00000000-0005-0000-0000-0000D34F0000}"/>
    <cellStyle name="0_organogram 4 5 3 3" xfId="20450" xr:uid="{00000000-0005-0000-0000-0000D44F0000}"/>
    <cellStyle name="0_organogram 4 5 3 3 2" xfId="20451" xr:uid="{00000000-0005-0000-0000-0000D54F0000}"/>
    <cellStyle name="0_organogram 4 5 3 4" xfId="20452" xr:uid="{00000000-0005-0000-0000-0000D64F0000}"/>
    <cellStyle name="0_organogram 4 5 4" xfId="20453" xr:uid="{00000000-0005-0000-0000-0000D74F0000}"/>
    <cellStyle name="0_organogram 4 5 4 2" xfId="20454" xr:uid="{00000000-0005-0000-0000-0000D84F0000}"/>
    <cellStyle name="0_organogram 4 5 4 2 2" xfId="20455" xr:uid="{00000000-0005-0000-0000-0000D94F0000}"/>
    <cellStyle name="0_organogram 4 5 4 3" xfId="20456" xr:uid="{00000000-0005-0000-0000-0000DA4F0000}"/>
    <cellStyle name="0_organogram 4 5 4 3 2" xfId="20457" xr:uid="{00000000-0005-0000-0000-0000DB4F0000}"/>
    <cellStyle name="0_organogram 4 5 4 4" xfId="20458" xr:uid="{00000000-0005-0000-0000-0000DC4F0000}"/>
    <cellStyle name="0_organogram 4 5 5" xfId="20459" xr:uid="{00000000-0005-0000-0000-0000DD4F0000}"/>
    <cellStyle name="0_organogram 4 5 5 2" xfId="20460" xr:uid="{00000000-0005-0000-0000-0000DE4F0000}"/>
    <cellStyle name="0_organogram 4 5 5 2 2" xfId="20461" xr:uid="{00000000-0005-0000-0000-0000DF4F0000}"/>
    <cellStyle name="0_organogram 4 5 5 3" xfId="20462" xr:uid="{00000000-0005-0000-0000-0000E04F0000}"/>
    <cellStyle name="0_organogram 4 5 5 3 2" xfId="20463" xr:uid="{00000000-0005-0000-0000-0000E14F0000}"/>
    <cellStyle name="0_organogram 4 5 5 4" xfId="20464" xr:uid="{00000000-0005-0000-0000-0000E24F0000}"/>
    <cellStyle name="0_organogram 4 5 6" xfId="20465" xr:uid="{00000000-0005-0000-0000-0000E34F0000}"/>
    <cellStyle name="0_organogram 4 5 6 2" xfId="20466" xr:uid="{00000000-0005-0000-0000-0000E44F0000}"/>
    <cellStyle name="0_organogram 4 5 7" xfId="20467" xr:uid="{00000000-0005-0000-0000-0000E54F0000}"/>
    <cellStyle name="0_organogram 4 5 7 2" xfId="20468" xr:uid="{00000000-0005-0000-0000-0000E64F0000}"/>
    <cellStyle name="0_organogram 4 5 8" xfId="20469" xr:uid="{00000000-0005-0000-0000-0000E74F0000}"/>
    <cellStyle name="0_organogram 4 6" xfId="20470" xr:uid="{00000000-0005-0000-0000-0000E84F0000}"/>
    <cellStyle name="0_organogram 4 6 2" xfId="20471" xr:uid="{00000000-0005-0000-0000-0000E94F0000}"/>
    <cellStyle name="0_organogram 4 6 2 2" xfId="20472" xr:uid="{00000000-0005-0000-0000-0000EA4F0000}"/>
    <cellStyle name="0_organogram 4 6 2 2 2" xfId="20473" xr:uid="{00000000-0005-0000-0000-0000EB4F0000}"/>
    <cellStyle name="0_organogram 4 6 2 2 2 2" xfId="20474" xr:uid="{00000000-0005-0000-0000-0000EC4F0000}"/>
    <cellStyle name="0_organogram 4 6 2 2 3" xfId="20475" xr:uid="{00000000-0005-0000-0000-0000ED4F0000}"/>
    <cellStyle name="0_organogram 4 6 2 2 3 2" xfId="20476" xr:uid="{00000000-0005-0000-0000-0000EE4F0000}"/>
    <cellStyle name="0_organogram 4 6 2 2 4" xfId="20477" xr:uid="{00000000-0005-0000-0000-0000EF4F0000}"/>
    <cellStyle name="0_organogram 4 6 2 3" xfId="20478" xr:uid="{00000000-0005-0000-0000-0000F04F0000}"/>
    <cellStyle name="0_organogram 4 6 2 3 2" xfId="20479" xr:uid="{00000000-0005-0000-0000-0000F14F0000}"/>
    <cellStyle name="0_organogram 4 6 2 3 2 2" xfId="20480" xr:uid="{00000000-0005-0000-0000-0000F24F0000}"/>
    <cellStyle name="0_organogram 4 6 2 3 3" xfId="20481" xr:uid="{00000000-0005-0000-0000-0000F34F0000}"/>
    <cellStyle name="0_organogram 4 6 2 3 3 2" xfId="20482" xr:uid="{00000000-0005-0000-0000-0000F44F0000}"/>
    <cellStyle name="0_organogram 4 6 2 3 4" xfId="20483" xr:uid="{00000000-0005-0000-0000-0000F54F0000}"/>
    <cellStyle name="0_organogram 4 6 2 4" xfId="20484" xr:uid="{00000000-0005-0000-0000-0000F64F0000}"/>
    <cellStyle name="0_organogram 4 6 2 4 2" xfId="20485" xr:uid="{00000000-0005-0000-0000-0000F74F0000}"/>
    <cellStyle name="0_organogram 4 6 2 5" xfId="20486" xr:uid="{00000000-0005-0000-0000-0000F84F0000}"/>
    <cellStyle name="0_organogram 4 6 2 5 2" xfId="20487" xr:uid="{00000000-0005-0000-0000-0000F94F0000}"/>
    <cellStyle name="0_organogram 4 6 2 6" xfId="20488" xr:uid="{00000000-0005-0000-0000-0000FA4F0000}"/>
    <cellStyle name="0_organogram 4 6 3" xfId="20489" xr:uid="{00000000-0005-0000-0000-0000FB4F0000}"/>
    <cellStyle name="0_organogram 4 6 3 2" xfId="20490" xr:uid="{00000000-0005-0000-0000-0000FC4F0000}"/>
    <cellStyle name="0_organogram 4 6 3 2 2" xfId="20491" xr:uid="{00000000-0005-0000-0000-0000FD4F0000}"/>
    <cellStyle name="0_organogram 4 6 3 3" xfId="20492" xr:uid="{00000000-0005-0000-0000-0000FE4F0000}"/>
    <cellStyle name="0_organogram 4 6 3 3 2" xfId="20493" xr:uid="{00000000-0005-0000-0000-0000FF4F0000}"/>
    <cellStyle name="0_organogram 4 6 3 4" xfId="20494" xr:uid="{00000000-0005-0000-0000-000000500000}"/>
    <cellStyle name="0_organogram 4 6 4" xfId="20495" xr:uid="{00000000-0005-0000-0000-000001500000}"/>
    <cellStyle name="0_organogram 4 6 4 2" xfId="20496" xr:uid="{00000000-0005-0000-0000-000002500000}"/>
    <cellStyle name="0_organogram 4 6 4 2 2" xfId="20497" xr:uid="{00000000-0005-0000-0000-000003500000}"/>
    <cellStyle name="0_organogram 4 6 4 3" xfId="20498" xr:uid="{00000000-0005-0000-0000-000004500000}"/>
    <cellStyle name="0_organogram 4 6 4 3 2" xfId="20499" xr:uid="{00000000-0005-0000-0000-000005500000}"/>
    <cellStyle name="0_organogram 4 6 4 4" xfId="20500" xr:uid="{00000000-0005-0000-0000-000006500000}"/>
    <cellStyle name="0_organogram 4 6 5" xfId="20501" xr:uid="{00000000-0005-0000-0000-000007500000}"/>
    <cellStyle name="0_organogram 4 6 5 2" xfId="20502" xr:uid="{00000000-0005-0000-0000-000008500000}"/>
    <cellStyle name="0_organogram 4 6 5 2 2" xfId="20503" xr:uid="{00000000-0005-0000-0000-000009500000}"/>
    <cellStyle name="0_organogram 4 6 5 3" xfId="20504" xr:uid="{00000000-0005-0000-0000-00000A500000}"/>
    <cellStyle name="0_organogram 4 6 5 3 2" xfId="20505" xr:uid="{00000000-0005-0000-0000-00000B500000}"/>
    <cellStyle name="0_organogram 4 6 5 4" xfId="20506" xr:uid="{00000000-0005-0000-0000-00000C500000}"/>
    <cellStyle name="0_organogram 4 6 6" xfId="20507" xr:uid="{00000000-0005-0000-0000-00000D500000}"/>
    <cellStyle name="0_organogram 4 6 6 2" xfId="20508" xr:uid="{00000000-0005-0000-0000-00000E500000}"/>
    <cellStyle name="0_organogram 4 6 7" xfId="20509" xr:uid="{00000000-0005-0000-0000-00000F500000}"/>
    <cellStyle name="0_organogram 4 6 7 2" xfId="20510" xr:uid="{00000000-0005-0000-0000-000010500000}"/>
    <cellStyle name="0_organogram 4 6 8" xfId="20511" xr:uid="{00000000-0005-0000-0000-000011500000}"/>
    <cellStyle name="0_organogram 4 7" xfId="20512" xr:uid="{00000000-0005-0000-0000-000012500000}"/>
    <cellStyle name="0_organogram 4 7 2" xfId="20513" xr:uid="{00000000-0005-0000-0000-000013500000}"/>
    <cellStyle name="0_organogram 4 7 2 2" xfId="20514" xr:uid="{00000000-0005-0000-0000-000014500000}"/>
    <cellStyle name="0_organogram 4 7 2 2 2" xfId="20515" xr:uid="{00000000-0005-0000-0000-000015500000}"/>
    <cellStyle name="0_organogram 4 7 2 3" xfId="20516" xr:uid="{00000000-0005-0000-0000-000016500000}"/>
    <cellStyle name="0_organogram 4 7 2 3 2" xfId="20517" xr:uid="{00000000-0005-0000-0000-000017500000}"/>
    <cellStyle name="0_organogram 4 7 2 4" xfId="20518" xr:uid="{00000000-0005-0000-0000-000018500000}"/>
    <cellStyle name="0_organogram 4 7 3" xfId="20519" xr:uid="{00000000-0005-0000-0000-000019500000}"/>
    <cellStyle name="0_organogram 4 7 3 2" xfId="20520" xr:uid="{00000000-0005-0000-0000-00001A500000}"/>
    <cellStyle name="0_organogram 4 7 3 2 2" xfId="20521" xr:uid="{00000000-0005-0000-0000-00001B500000}"/>
    <cellStyle name="0_organogram 4 7 3 3" xfId="20522" xr:uid="{00000000-0005-0000-0000-00001C500000}"/>
    <cellStyle name="0_organogram 4 7 3 3 2" xfId="20523" xr:uid="{00000000-0005-0000-0000-00001D500000}"/>
    <cellStyle name="0_organogram 4 7 3 4" xfId="20524" xr:uid="{00000000-0005-0000-0000-00001E500000}"/>
    <cellStyle name="0_organogram 4 7 4" xfId="20525" xr:uid="{00000000-0005-0000-0000-00001F500000}"/>
    <cellStyle name="0_organogram 4 7 4 2" xfId="20526" xr:uid="{00000000-0005-0000-0000-000020500000}"/>
    <cellStyle name="0_organogram 4 7 5" xfId="20527" xr:uid="{00000000-0005-0000-0000-000021500000}"/>
    <cellStyle name="0_organogram 4 7 5 2" xfId="20528" xr:uid="{00000000-0005-0000-0000-000022500000}"/>
    <cellStyle name="0_organogram 4 7 6" xfId="20529" xr:uid="{00000000-0005-0000-0000-000023500000}"/>
    <cellStyle name="0_organogram 4 8" xfId="20530" xr:uid="{00000000-0005-0000-0000-000024500000}"/>
    <cellStyle name="0_organogram 4 8 2" xfId="20531" xr:uid="{00000000-0005-0000-0000-000025500000}"/>
    <cellStyle name="0_organogram 4 8 2 2" xfId="20532" xr:uid="{00000000-0005-0000-0000-000026500000}"/>
    <cellStyle name="0_organogram 4 8 3" xfId="20533" xr:uid="{00000000-0005-0000-0000-000027500000}"/>
    <cellStyle name="0_organogram 4 8 3 2" xfId="20534" xr:uid="{00000000-0005-0000-0000-000028500000}"/>
    <cellStyle name="0_organogram 4 8 4" xfId="20535" xr:uid="{00000000-0005-0000-0000-000029500000}"/>
    <cellStyle name="0_organogram 4 9" xfId="20536" xr:uid="{00000000-0005-0000-0000-00002A500000}"/>
    <cellStyle name="0_organogram 4 9 2" xfId="20537" xr:uid="{00000000-0005-0000-0000-00002B500000}"/>
    <cellStyle name="0_organogram 4 9 2 2" xfId="20538" xr:uid="{00000000-0005-0000-0000-00002C500000}"/>
    <cellStyle name="0_organogram 4 9 3" xfId="20539" xr:uid="{00000000-0005-0000-0000-00002D500000}"/>
    <cellStyle name="0_organogram 4 9 3 2" xfId="20540" xr:uid="{00000000-0005-0000-0000-00002E500000}"/>
    <cellStyle name="0_organogram 4 9 4" xfId="20541" xr:uid="{00000000-0005-0000-0000-00002F500000}"/>
    <cellStyle name="0_organogram 5" xfId="20542" xr:uid="{00000000-0005-0000-0000-000030500000}"/>
    <cellStyle name="0_organogram 5 10" xfId="20543" xr:uid="{00000000-0005-0000-0000-000031500000}"/>
    <cellStyle name="0_organogram 5 10 2" xfId="20544" xr:uid="{00000000-0005-0000-0000-000032500000}"/>
    <cellStyle name="0_organogram 5 10 2 2" xfId="20545" xr:uid="{00000000-0005-0000-0000-000033500000}"/>
    <cellStyle name="0_organogram 5 10 3" xfId="20546" xr:uid="{00000000-0005-0000-0000-000034500000}"/>
    <cellStyle name="0_organogram 5 10 3 2" xfId="20547" xr:uid="{00000000-0005-0000-0000-000035500000}"/>
    <cellStyle name="0_organogram 5 10 4" xfId="20548" xr:uid="{00000000-0005-0000-0000-000036500000}"/>
    <cellStyle name="0_organogram 5 11" xfId="20549" xr:uid="{00000000-0005-0000-0000-000037500000}"/>
    <cellStyle name="0_organogram 5 11 2" xfId="20550" xr:uid="{00000000-0005-0000-0000-000038500000}"/>
    <cellStyle name="0_organogram 5 12" xfId="20551" xr:uid="{00000000-0005-0000-0000-000039500000}"/>
    <cellStyle name="0_organogram 5 12 2" xfId="20552" xr:uid="{00000000-0005-0000-0000-00003A500000}"/>
    <cellStyle name="0_organogram 5 13" xfId="20553" xr:uid="{00000000-0005-0000-0000-00003B500000}"/>
    <cellStyle name="0_organogram 5 2" xfId="20554" xr:uid="{00000000-0005-0000-0000-00003C500000}"/>
    <cellStyle name="0_organogram 5 2 2" xfId="20555" xr:uid="{00000000-0005-0000-0000-00003D500000}"/>
    <cellStyle name="0_organogram 5 2 2 2" xfId="20556" xr:uid="{00000000-0005-0000-0000-00003E500000}"/>
    <cellStyle name="0_organogram 5 2 2 2 2" xfId="20557" xr:uid="{00000000-0005-0000-0000-00003F500000}"/>
    <cellStyle name="0_organogram 5 2 2 2 2 2" xfId="20558" xr:uid="{00000000-0005-0000-0000-000040500000}"/>
    <cellStyle name="0_organogram 5 2 2 2 3" xfId="20559" xr:uid="{00000000-0005-0000-0000-000041500000}"/>
    <cellStyle name="0_organogram 5 2 2 2 3 2" xfId="20560" xr:uid="{00000000-0005-0000-0000-000042500000}"/>
    <cellStyle name="0_organogram 5 2 2 2 4" xfId="20561" xr:uid="{00000000-0005-0000-0000-000043500000}"/>
    <cellStyle name="0_organogram 5 2 2 3" xfId="20562" xr:uid="{00000000-0005-0000-0000-000044500000}"/>
    <cellStyle name="0_organogram 5 2 2 3 2" xfId="20563" xr:uid="{00000000-0005-0000-0000-000045500000}"/>
    <cellStyle name="0_organogram 5 2 2 3 2 2" xfId="20564" xr:uid="{00000000-0005-0000-0000-000046500000}"/>
    <cellStyle name="0_organogram 5 2 2 3 3" xfId="20565" xr:uid="{00000000-0005-0000-0000-000047500000}"/>
    <cellStyle name="0_organogram 5 2 2 3 3 2" xfId="20566" xr:uid="{00000000-0005-0000-0000-000048500000}"/>
    <cellStyle name="0_organogram 5 2 2 3 4" xfId="20567" xr:uid="{00000000-0005-0000-0000-000049500000}"/>
    <cellStyle name="0_organogram 5 2 2 4" xfId="20568" xr:uid="{00000000-0005-0000-0000-00004A500000}"/>
    <cellStyle name="0_organogram 5 2 2 4 2" xfId="20569" xr:uid="{00000000-0005-0000-0000-00004B500000}"/>
    <cellStyle name="0_organogram 5 2 2 5" xfId="20570" xr:uid="{00000000-0005-0000-0000-00004C500000}"/>
    <cellStyle name="0_organogram 5 2 2 5 2" xfId="20571" xr:uid="{00000000-0005-0000-0000-00004D500000}"/>
    <cellStyle name="0_organogram 5 2 2 6" xfId="20572" xr:uid="{00000000-0005-0000-0000-00004E500000}"/>
    <cellStyle name="0_organogram 5 2 3" xfId="20573" xr:uid="{00000000-0005-0000-0000-00004F500000}"/>
    <cellStyle name="0_organogram 5 2 3 2" xfId="20574" xr:uid="{00000000-0005-0000-0000-000050500000}"/>
    <cellStyle name="0_organogram 5 2 3 2 2" xfId="20575" xr:uid="{00000000-0005-0000-0000-000051500000}"/>
    <cellStyle name="0_organogram 5 2 3 3" xfId="20576" xr:uid="{00000000-0005-0000-0000-000052500000}"/>
    <cellStyle name="0_organogram 5 2 3 3 2" xfId="20577" xr:uid="{00000000-0005-0000-0000-000053500000}"/>
    <cellStyle name="0_organogram 5 2 3 4" xfId="20578" xr:uid="{00000000-0005-0000-0000-000054500000}"/>
    <cellStyle name="0_organogram 5 2 4" xfId="20579" xr:uid="{00000000-0005-0000-0000-000055500000}"/>
    <cellStyle name="0_organogram 5 2 4 2" xfId="20580" xr:uid="{00000000-0005-0000-0000-000056500000}"/>
    <cellStyle name="0_organogram 5 2 4 2 2" xfId="20581" xr:uid="{00000000-0005-0000-0000-000057500000}"/>
    <cellStyle name="0_organogram 5 2 4 3" xfId="20582" xr:uid="{00000000-0005-0000-0000-000058500000}"/>
    <cellStyle name="0_organogram 5 2 4 3 2" xfId="20583" xr:uid="{00000000-0005-0000-0000-000059500000}"/>
    <cellStyle name="0_organogram 5 2 4 4" xfId="20584" xr:uid="{00000000-0005-0000-0000-00005A500000}"/>
    <cellStyle name="0_organogram 5 2 5" xfId="20585" xr:uid="{00000000-0005-0000-0000-00005B500000}"/>
    <cellStyle name="0_organogram 5 2 5 2" xfId="20586" xr:uid="{00000000-0005-0000-0000-00005C500000}"/>
    <cellStyle name="0_organogram 5 2 5 2 2" xfId="20587" xr:uid="{00000000-0005-0000-0000-00005D500000}"/>
    <cellStyle name="0_organogram 5 2 5 3" xfId="20588" xr:uid="{00000000-0005-0000-0000-00005E500000}"/>
    <cellStyle name="0_organogram 5 2 5 3 2" xfId="20589" xr:uid="{00000000-0005-0000-0000-00005F500000}"/>
    <cellStyle name="0_organogram 5 2 5 4" xfId="20590" xr:uid="{00000000-0005-0000-0000-000060500000}"/>
    <cellStyle name="0_organogram 5 2 6" xfId="20591" xr:uid="{00000000-0005-0000-0000-000061500000}"/>
    <cellStyle name="0_organogram 5 2 6 2" xfId="20592" xr:uid="{00000000-0005-0000-0000-000062500000}"/>
    <cellStyle name="0_organogram 5 2 7" xfId="20593" xr:uid="{00000000-0005-0000-0000-000063500000}"/>
    <cellStyle name="0_organogram 5 2 7 2" xfId="20594" xr:uid="{00000000-0005-0000-0000-000064500000}"/>
    <cellStyle name="0_organogram 5 2 8" xfId="20595" xr:uid="{00000000-0005-0000-0000-000065500000}"/>
    <cellStyle name="0_organogram 5 3" xfId="20596" xr:uid="{00000000-0005-0000-0000-000066500000}"/>
    <cellStyle name="0_organogram 5 3 2" xfId="20597" xr:uid="{00000000-0005-0000-0000-000067500000}"/>
    <cellStyle name="0_organogram 5 3 2 2" xfId="20598" xr:uid="{00000000-0005-0000-0000-000068500000}"/>
    <cellStyle name="0_organogram 5 3 2 2 2" xfId="20599" xr:uid="{00000000-0005-0000-0000-000069500000}"/>
    <cellStyle name="0_organogram 5 3 2 2 2 2" xfId="20600" xr:uid="{00000000-0005-0000-0000-00006A500000}"/>
    <cellStyle name="0_organogram 5 3 2 2 3" xfId="20601" xr:uid="{00000000-0005-0000-0000-00006B500000}"/>
    <cellStyle name="0_organogram 5 3 2 2 3 2" xfId="20602" xr:uid="{00000000-0005-0000-0000-00006C500000}"/>
    <cellStyle name="0_organogram 5 3 2 2 4" xfId="20603" xr:uid="{00000000-0005-0000-0000-00006D500000}"/>
    <cellStyle name="0_organogram 5 3 2 3" xfId="20604" xr:uid="{00000000-0005-0000-0000-00006E500000}"/>
    <cellStyle name="0_organogram 5 3 2 3 2" xfId="20605" xr:uid="{00000000-0005-0000-0000-00006F500000}"/>
    <cellStyle name="0_organogram 5 3 2 3 2 2" xfId="20606" xr:uid="{00000000-0005-0000-0000-000070500000}"/>
    <cellStyle name="0_organogram 5 3 2 3 3" xfId="20607" xr:uid="{00000000-0005-0000-0000-000071500000}"/>
    <cellStyle name="0_organogram 5 3 2 3 3 2" xfId="20608" xr:uid="{00000000-0005-0000-0000-000072500000}"/>
    <cellStyle name="0_organogram 5 3 2 3 4" xfId="20609" xr:uid="{00000000-0005-0000-0000-000073500000}"/>
    <cellStyle name="0_organogram 5 3 2 4" xfId="20610" xr:uid="{00000000-0005-0000-0000-000074500000}"/>
    <cellStyle name="0_organogram 5 3 2 4 2" xfId="20611" xr:uid="{00000000-0005-0000-0000-000075500000}"/>
    <cellStyle name="0_organogram 5 3 2 5" xfId="20612" xr:uid="{00000000-0005-0000-0000-000076500000}"/>
    <cellStyle name="0_organogram 5 3 2 5 2" xfId="20613" xr:uid="{00000000-0005-0000-0000-000077500000}"/>
    <cellStyle name="0_organogram 5 3 2 6" xfId="20614" xr:uid="{00000000-0005-0000-0000-000078500000}"/>
    <cellStyle name="0_organogram 5 3 3" xfId="20615" xr:uid="{00000000-0005-0000-0000-000079500000}"/>
    <cellStyle name="0_organogram 5 3 3 2" xfId="20616" xr:uid="{00000000-0005-0000-0000-00007A500000}"/>
    <cellStyle name="0_organogram 5 3 3 2 2" xfId="20617" xr:uid="{00000000-0005-0000-0000-00007B500000}"/>
    <cellStyle name="0_organogram 5 3 3 3" xfId="20618" xr:uid="{00000000-0005-0000-0000-00007C500000}"/>
    <cellStyle name="0_organogram 5 3 3 3 2" xfId="20619" xr:uid="{00000000-0005-0000-0000-00007D500000}"/>
    <cellStyle name="0_organogram 5 3 3 4" xfId="20620" xr:uid="{00000000-0005-0000-0000-00007E500000}"/>
    <cellStyle name="0_organogram 5 3 4" xfId="20621" xr:uid="{00000000-0005-0000-0000-00007F500000}"/>
    <cellStyle name="0_organogram 5 3 4 2" xfId="20622" xr:uid="{00000000-0005-0000-0000-000080500000}"/>
    <cellStyle name="0_organogram 5 3 4 2 2" xfId="20623" xr:uid="{00000000-0005-0000-0000-000081500000}"/>
    <cellStyle name="0_organogram 5 3 4 3" xfId="20624" xr:uid="{00000000-0005-0000-0000-000082500000}"/>
    <cellStyle name="0_organogram 5 3 4 3 2" xfId="20625" xr:uid="{00000000-0005-0000-0000-000083500000}"/>
    <cellStyle name="0_organogram 5 3 4 4" xfId="20626" xr:uid="{00000000-0005-0000-0000-000084500000}"/>
    <cellStyle name="0_organogram 5 3 5" xfId="20627" xr:uid="{00000000-0005-0000-0000-000085500000}"/>
    <cellStyle name="0_organogram 5 3 5 2" xfId="20628" xr:uid="{00000000-0005-0000-0000-000086500000}"/>
    <cellStyle name="0_organogram 5 3 5 2 2" xfId="20629" xr:uid="{00000000-0005-0000-0000-000087500000}"/>
    <cellStyle name="0_organogram 5 3 5 3" xfId="20630" xr:uid="{00000000-0005-0000-0000-000088500000}"/>
    <cellStyle name="0_organogram 5 3 5 3 2" xfId="20631" xr:uid="{00000000-0005-0000-0000-000089500000}"/>
    <cellStyle name="0_organogram 5 3 5 4" xfId="20632" xr:uid="{00000000-0005-0000-0000-00008A500000}"/>
    <cellStyle name="0_organogram 5 3 6" xfId="20633" xr:uid="{00000000-0005-0000-0000-00008B500000}"/>
    <cellStyle name="0_organogram 5 3 6 2" xfId="20634" xr:uid="{00000000-0005-0000-0000-00008C500000}"/>
    <cellStyle name="0_organogram 5 3 7" xfId="20635" xr:uid="{00000000-0005-0000-0000-00008D500000}"/>
    <cellStyle name="0_organogram 5 3 7 2" xfId="20636" xr:uid="{00000000-0005-0000-0000-00008E500000}"/>
    <cellStyle name="0_organogram 5 3 8" xfId="20637" xr:uid="{00000000-0005-0000-0000-00008F500000}"/>
    <cellStyle name="0_organogram 5 4" xfId="20638" xr:uid="{00000000-0005-0000-0000-000090500000}"/>
    <cellStyle name="0_organogram 5 4 2" xfId="20639" xr:uid="{00000000-0005-0000-0000-000091500000}"/>
    <cellStyle name="0_organogram 5 4 2 2" xfId="20640" xr:uid="{00000000-0005-0000-0000-000092500000}"/>
    <cellStyle name="0_organogram 5 4 2 2 2" xfId="20641" xr:uid="{00000000-0005-0000-0000-000093500000}"/>
    <cellStyle name="0_organogram 5 4 2 2 2 2" xfId="20642" xr:uid="{00000000-0005-0000-0000-000094500000}"/>
    <cellStyle name="0_organogram 5 4 2 2 3" xfId="20643" xr:uid="{00000000-0005-0000-0000-000095500000}"/>
    <cellStyle name="0_organogram 5 4 2 2 3 2" xfId="20644" xr:uid="{00000000-0005-0000-0000-000096500000}"/>
    <cellStyle name="0_organogram 5 4 2 2 4" xfId="20645" xr:uid="{00000000-0005-0000-0000-000097500000}"/>
    <cellStyle name="0_organogram 5 4 2 3" xfId="20646" xr:uid="{00000000-0005-0000-0000-000098500000}"/>
    <cellStyle name="0_organogram 5 4 2 3 2" xfId="20647" xr:uid="{00000000-0005-0000-0000-000099500000}"/>
    <cellStyle name="0_organogram 5 4 2 3 2 2" xfId="20648" xr:uid="{00000000-0005-0000-0000-00009A500000}"/>
    <cellStyle name="0_organogram 5 4 2 3 3" xfId="20649" xr:uid="{00000000-0005-0000-0000-00009B500000}"/>
    <cellStyle name="0_organogram 5 4 2 3 3 2" xfId="20650" xr:uid="{00000000-0005-0000-0000-00009C500000}"/>
    <cellStyle name="0_organogram 5 4 2 3 4" xfId="20651" xr:uid="{00000000-0005-0000-0000-00009D500000}"/>
    <cellStyle name="0_organogram 5 4 2 4" xfId="20652" xr:uid="{00000000-0005-0000-0000-00009E500000}"/>
    <cellStyle name="0_organogram 5 4 2 4 2" xfId="20653" xr:uid="{00000000-0005-0000-0000-00009F500000}"/>
    <cellStyle name="0_organogram 5 4 2 5" xfId="20654" xr:uid="{00000000-0005-0000-0000-0000A0500000}"/>
    <cellStyle name="0_organogram 5 4 2 5 2" xfId="20655" xr:uid="{00000000-0005-0000-0000-0000A1500000}"/>
    <cellStyle name="0_organogram 5 4 2 6" xfId="20656" xr:uid="{00000000-0005-0000-0000-0000A2500000}"/>
    <cellStyle name="0_organogram 5 4 3" xfId="20657" xr:uid="{00000000-0005-0000-0000-0000A3500000}"/>
    <cellStyle name="0_organogram 5 4 3 2" xfId="20658" xr:uid="{00000000-0005-0000-0000-0000A4500000}"/>
    <cellStyle name="0_organogram 5 4 3 2 2" xfId="20659" xr:uid="{00000000-0005-0000-0000-0000A5500000}"/>
    <cellStyle name="0_organogram 5 4 3 3" xfId="20660" xr:uid="{00000000-0005-0000-0000-0000A6500000}"/>
    <cellStyle name="0_organogram 5 4 3 3 2" xfId="20661" xr:uid="{00000000-0005-0000-0000-0000A7500000}"/>
    <cellStyle name="0_organogram 5 4 3 4" xfId="20662" xr:uid="{00000000-0005-0000-0000-0000A8500000}"/>
    <cellStyle name="0_organogram 5 4 4" xfId="20663" xr:uid="{00000000-0005-0000-0000-0000A9500000}"/>
    <cellStyle name="0_organogram 5 4 4 2" xfId="20664" xr:uid="{00000000-0005-0000-0000-0000AA500000}"/>
    <cellStyle name="0_organogram 5 4 4 2 2" xfId="20665" xr:uid="{00000000-0005-0000-0000-0000AB500000}"/>
    <cellStyle name="0_organogram 5 4 4 3" xfId="20666" xr:uid="{00000000-0005-0000-0000-0000AC500000}"/>
    <cellStyle name="0_organogram 5 4 4 3 2" xfId="20667" xr:uid="{00000000-0005-0000-0000-0000AD500000}"/>
    <cellStyle name="0_organogram 5 4 4 4" xfId="20668" xr:uid="{00000000-0005-0000-0000-0000AE500000}"/>
    <cellStyle name="0_organogram 5 4 5" xfId="20669" xr:uid="{00000000-0005-0000-0000-0000AF500000}"/>
    <cellStyle name="0_organogram 5 4 5 2" xfId="20670" xr:uid="{00000000-0005-0000-0000-0000B0500000}"/>
    <cellStyle name="0_organogram 5 4 5 2 2" xfId="20671" xr:uid="{00000000-0005-0000-0000-0000B1500000}"/>
    <cellStyle name="0_organogram 5 4 5 3" xfId="20672" xr:uid="{00000000-0005-0000-0000-0000B2500000}"/>
    <cellStyle name="0_organogram 5 4 5 3 2" xfId="20673" xr:uid="{00000000-0005-0000-0000-0000B3500000}"/>
    <cellStyle name="0_organogram 5 4 5 4" xfId="20674" xr:uid="{00000000-0005-0000-0000-0000B4500000}"/>
    <cellStyle name="0_organogram 5 4 6" xfId="20675" xr:uid="{00000000-0005-0000-0000-0000B5500000}"/>
    <cellStyle name="0_organogram 5 4 6 2" xfId="20676" xr:uid="{00000000-0005-0000-0000-0000B6500000}"/>
    <cellStyle name="0_organogram 5 4 7" xfId="20677" xr:uid="{00000000-0005-0000-0000-0000B7500000}"/>
    <cellStyle name="0_organogram 5 4 7 2" xfId="20678" xr:uid="{00000000-0005-0000-0000-0000B8500000}"/>
    <cellStyle name="0_organogram 5 4 8" xfId="20679" xr:uid="{00000000-0005-0000-0000-0000B9500000}"/>
    <cellStyle name="0_organogram 5 5" xfId="20680" xr:uid="{00000000-0005-0000-0000-0000BA500000}"/>
    <cellStyle name="0_organogram 5 5 2" xfId="20681" xr:uid="{00000000-0005-0000-0000-0000BB500000}"/>
    <cellStyle name="0_organogram 5 5 2 2" xfId="20682" xr:uid="{00000000-0005-0000-0000-0000BC500000}"/>
    <cellStyle name="0_organogram 5 5 2 2 2" xfId="20683" xr:uid="{00000000-0005-0000-0000-0000BD500000}"/>
    <cellStyle name="0_organogram 5 5 2 2 2 2" xfId="20684" xr:uid="{00000000-0005-0000-0000-0000BE500000}"/>
    <cellStyle name="0_organogram 5 5 2 2 3" xfId="20685" xr:uid="{00000000-0005-0000-0000-0000BF500000}"/>
    <cellStyle name="0_organogram 5 5 2 2 3 2" xfId="20686" xr:uid="{00000000-0005-0000-0000-0000C0500000}"/>
    <cellStyle name="0_organogram 5 5 2 2 4" xfId="20687" xr:uid="{00000000-0005-0000-0000-0000C1500000}"/>
    <cellStyle name="0_organogram 5 5 2 3" xfId="20688" xr:uid="{00000000-0005-0000-0000-0000C2500000}"/>
    <cellStyle name="0_organogram 5 5 2 3 2" xfId="20689" xr:uid="{00000000-0005-0000-0000-0000C3500000}"/>
    <cellStyle name="0_organogram 5 5 2 3 2 2" xfId="20690" xr:uid="{00000000-0005-0000-0000-0000C4500000}"/>
    <cellStyle name="0_organogram 5 5 2 3 3" xfId="20691" xr:uid="{00000000-0005-0000-0000-0000C5500000}"/>
    <cellStyle name="0_organogram 5 5 2 3 3 2" xfId="20692" xr:uid="{00000000-0005-0000-0000-0000C6500000}"/>
    <cellStyle name="0_organogram 5 5 2 3 4" xfId="20693" xr:uid="{00000000-0005-0000-0000-0000C7500000}"/>
    <cellStyle name="0_organogram 5 5 2 4" xfId="20694" xr:uid="{00000000-0005-0000-0000-0000C8500000}"/>
    <cellStyle name="0_organogram 5 5 2 4 2" xfId="20695" xr:uid="{00000000-0005-0000-0000-0000C9500000}"/>
    <cellStyle name="0_organogram 5 5 2 5" xfId="20696" xr:uid="{00000000-0005-0000-0000-0000CA500000}"/>
    <cellStyle name="0_organogram 5 5 2 5 2" xfId="20697" xr:uid="{00000000-0005-0000-0000-0000CB500000}"/>
    <cellStyle name="0_organogram 5 5 2 6" xfId="20698" xr:uid="{00000000-0005-0000-0000-0000CC500000}"/>
    <cellStyle name="0_organogram 5 5 3" xfId="20699" xr:uid="{00000000-0005-0000-0000-0000CD500000}"/>
    <cellStyle name="0_organogram 5 5 3 2" xfId="20700" xr:uid="{00000000-0005-0000-0000-0000CE500000}"/>
    <cellStyle name="0_organogram 5 5 3 2 2" xfId="20701" xr:uid="{00000000-0005-0000-0000-0000CF500000}"/>
    <cellStyle name="0_organogram 5 5 3 3" xfId="20702" xr:uid="{00000000-0005-0000-0000-0000D0500000}"/>
    <cellStyle name="0_organogram 5 5 3 3 2" xfId="20703" xr:uid="{00000000-0005-0000-0000-0000D1500000}"/>
    <cellStyle name="0_organogram 5 5 3 4" xfId="20704" xr:uid="{00000000-0005-0000-0000-0000D2500000}"/>
    <cellStyle name="0_organogram 5 5 4" xfId="20705" xr:uid="{00000000-0005-0000-0000-0000D3500000}"/>
    <cellStyle name="0_organogram 5 5 4 2" xfId="20706" xr:uid="{00000000-0005-0000-0000-0000D4500000}"/>
    <cellStyle name="0_organogram 5 5 4 2 2" xfId="20707" xr:uid="{00000000-0005-0000-0000-0000D5500000}"/>
    <cellStyle name="0_organogram 5 5 4 3" xfId="20708" xr:uid="{00000000-0005-0000-0000-0000D6500000}"/>
    <cellStyle name="0_organogram 5 5 4 3 2" xfId="20709" xr:uid="{00000000-0005-0000-0000-0000D7500000}"/>
    <cellStyle name="0_organogram 5 5 4 4" xfId="20710" xr:uid="{00000000-0005-0000-0000-0000D8500000}"/>
    <cellStyle name="0_organogram 5 5 5" xfId="20711" xr:uid="{00000000-0005-0000-0000-0000D9500000}"/>
    <cellStyle name="0_organogram 5 5 5 2" xfId="20712" xr:uid="{00000000-0005-0000-0000-0000DA500000}"/>
    <cellStyle name="0_organogram 5 5 5 2 2" xfId="20713" xr:uid="{00000000-0005-0000-0000-0000DB500000}"/>
    <cellStyle name="0_organogram 5 5 5 3" xfId="20714" xr:uid="{00000000-0005-0000-0000-0000DC500000}"/>
    <cellStyle name="0_organogram 5 5 5 3 2" xfId="20715" xr:uid="{00000000-0005-0000-0000-0000DD500000}"/>
    <cellStyle name="0_organogram 5 5 5 4" xfId="20716" xr:uid="{00000000-0005-0000-0000-0000DE500000}"/>
    <cellStyle name="0_organogram 5 5 6" xfId="20717" xr:uid="{00000000-0005-0000-0000-0000DF500000}"/>
    <cellStyle name="0_organogram 5 5 6 2" xfId="20718" xr:uid="{00000000-0005-0000-0000-0000E0500000}"/>
    <cellStyle name="0_organogram 5 5 7" xfId="20719" xr:uid="{00000000-0005-0000-0000-0000E1500000}"/>
    <cellStyle name="0_organogram 5 5 7 2" xfId="20720" xr:uid="{00000000-0005-0000-0000-0000E2500000}"/>
    <cellStyle name="0_organogram 5 5 8" xfId="20721" xr:uid="{00000000-0005-0000-0000-0000E3500000}"/>
    <cellStyle name="0_organogram 5 6" xfId="20722" xr:uid="{00000000-0005-0000-0000-0000E4500000}"/>
    <cellStyle name="0_organogram 5 6 2" xfId="20723" xr:uid="{00000000-0005-0000-0000-0000E5500000}"/>
    <cellStyle name="0_organogram 5 6 2 2" xfId="20724" xr:uid="{00000000-0005-0000-0000-0000E6500000}"/>
    <cellStyle name="0_organogram 5 6 2 2 2" xfId="20725" xr:uid="{00000000-0005-0000-0000-0000E7500000}"/>
    <cellStyle name="0_organogram 5 6 2 2 2 2" xfId="20726" xr:uid="{00000000-0005-0000-0000-0000E8500000}"/>
    <cellStyle name="0_organogram 5 6 2 2 3" xfId="20727" xr:uid="{00000000-0005-0000-0000-0000E9500000}"/>
    <cellStyle name="0_organogram 5 6 2 2 3 2" xfId="20728" xr:uid="{00000000-0005-0000-0000-0000EA500000}"/>
    <cellStyle name="0_organogram 5 6 2 2 4" xfId="20729" xr:uid="{00000000-0005-0000-0000-0000EB500000}"/>
    <cellStyle name="0_organogram 5 6 2 3" xfId="20730" xr:uid="{00000000-0005-0000-0000-0000EC500000}"/>
    <cellStyle name="0_organogram 5 6 2 3 2" xfId="20731" xr:uid="{00000000-0005-0000-0000-0000ED500000}"/>
    <cellStyle name="0_organogram 5 6 2 3 2 2" xfId="20732" xr:uid="{00000000-0005-0000-0000-0000EE500000}"/>
    <cellStyle name="0_organogram 5 6 2 3 3" xfId="20733" xr:uid="{00000000-0005-0000-0000-0000EF500000}"/>
    <cellStyle name="0_organogram 5 6 2 3 3 2" xfId="20734" xr:uid="{00000000-0005-0000-0000-0000F0500000}"/>
    <cellStyle name="0_organogram 5 6 2 3 4" xfId="20735" xr:uid="{00000000-0005-0000-0000-0000F1500000}"/>
    <cellStyle name="0_organogram 5 6 2 4" xfId="20736" xr:uid="{00000000-0005-0000-0000-0000F2500000}"/>
    <cellStyle name="0_organogram 5 6 2 4 2" xfId="20737" xr:uid="{00000000-0005-0000-0000-0000F3500000}"/>
    <cellStyle name="0_organogram 5 6 2 5" xfId="20738" xr:uid="{00000000-0005-0000-0000-0000F4500000}"/>
    <cellStyle name="0_organogram 5 6 2 5 2" xfId="20739" xr:uid="{00000000-0005-0000-0000-0000F5500000}"/>
    <cellStyle name="0_organogram 5 6 2 6" xfId="20740" xr:uid="{00000000-0005-0000-0000-0000F6500000}"/>
    <cellStyle name="0_organogram 5 6 3" xfId="20741" xr:uid="{00000000-0005-0000-0000-0000F7500000}"/>
    <cellStyle name="0_organogram 5 6 3 2" xfId="20742" xr:uid="{00000000-0005-0000-0000-0000F8500000}"/>
    <cellStyle name="0_organogram 5 6 3 2 2" xfId="20743" xr:uid="{00000000-0005-0000-0000-0000F9500000}"/>
    <cellStyle name="0_organogram 5 6 3 3" xfId="20744" xr:uid="{00000000-0005-0000-0000-0000FA500000}"/>
    <cellStyle name="0_organogram 5 6 3 3 2" xfId="20745" xr:uid="{00000000-0005-0000-0000-0000FB500000}"/>
    <cellStyle name="0_organogram 5 6 3 4" xfId="20746" xr:uid="{00000000-0005-0000-0000-0000FC500000}"/>
    <cellStyle name="0_organogram 5 6 4" xfId="20747" xr:uid="{00000000-0005-0000-0000-0000FD500000}"/>
    <cellStyle name="0_organogram 5 6 4 2" xfId="20748" xr:uid="{00000000-0005-0000-0000-0000FE500000}"/>
    <cellStyle name="0_organogram 5 6 4 2 2" xfId="20749" xr:uid="{00000000-0005-0000-0000-0000FF500000}"/>
    <cellStyle name="0_organogram 5 6 4 3" xfId="20750" xr:uid="{00000000-0005-0000-0000-000000510000}"/>
    <cellStyle name="0_organogram 5 6 4 3 2" xfId="20751" xr:uid="{00000000-0005-0000-0000-000001510000}"/>
    <cellStyle name="0_organogram 5 6 4 4" xfId="20752" xr:uid="{00000000-0005-0000-0000-000002510000}"/>
    <cellStyle name="0_organogram 5 6 5" xfId="20753" xr:uid="{00000000-0005-0000-0000-000003510000}"/>
    <cellStyle name="0_organogram 5 6 5 2" xfId="20754" xr:uid="{00000000-0005-0000-0000-000004510000}"/>
    <cellStyle name="0_organogram 5 6 5 2 2" xfId="20755" xr:uid="{00000000-0005-0000-0000-000005510000}"/>
    <cellStyle name="0_organogram 5 6 5 3" xfId="20756" xr:uid="{00000000-0005-0000-0000-000006510000}"/>
    <cellStyle name="0_organogram 5 6 5 3 2" xfId="20757" xr:uid="{00000000-0005-0000-0000-000007510000}"/>
    <cellStyle name="0_organogram 5 6 5 4" xfId="20758" xr:uid="{00000000-0005-0000-0000-000008510000}"/>
    <cellStyle name="0_organogram 5 6 6" xfId="20759" xr:uid="{00000000-0005-0000-0000-000009510000}"/>
    <cellStyle name="0_organogram 5 6 6 2" xfId="20760" xr:uid="{00000000-0005-0000-0000-00000A510000}"/>
    <cellStyle name="0_organogram 5 6 7" xfId="20761" xr:uid="{00000000-0005-0000-0000-00000B510000}"/>
    <cellStyle name="0_organogram 5 6 7 2" xfId="20762" xr:uid="{00000000-0005-0000-0000-00000C510000}"/>
    <cellStyle name="0_organogram 5 6 8" xfId="20763" xr:uid="{00000000-0005-0000-0000-00000D510000}"/>
    <cellStyle name="0_organogram 5 7" xfId="20764" xr:uid="{00000000-0005-0000-0000-00000E510000}"/>
    <cellStyle name="0_organogram 5 7 2" xfId="20765" xr:uid="{00000000-0005-0000-0000-00000F510000}"/>
    <cellStyle name="0_organogram 5 7 2 2" xfId="20766" xr:uid="{00000000-0005-0000-0000-000010510000}"/>
    <cellStyle name="0_organogram 5 7 2 2 2" xfId="20767" xr:uid="{00000000-0005-0000-0000-000011510000}"/>
    <cellStyle name="0_organogram 5 7 2 3" xfId="20768" xr:uid="{00000000-0005-0000-0000-000012510000}"/>
    <cellStyle name="0_organogram 5 7 2 3 2" xfId="20769" xr:uid="{00000000-0005-0000-0000-000013510000}"/>
    <cellStyle name="0_organogram 5 7 2 4" xfId="20770" xr:uid="{00000000-0005-0000-0000-000014510000}"/>
    <cellStyle name="0_organogram 5 7 3" xfId="20771" xr:uid="{00000000-0005-0000-0000-000015510000}"/>
    <cellStyle name="0_organogram 5 7 3 2" xfId="20772" xr:uid="{00000000-0005-0000-0000-000016510000}"/>
    <cellStyle name="0_organogram 5 7 3 2 2" xfId="20773" xr:uid="{00000000-0005-0000-0000-000017510000}"/>
    <cellStyle name="0_organogram 5 7 3 3" xfId="20774" xr:uid="{00000000-0005-0000-0000-000018510000}"/>
    <cellStyle name="0_organogram 5 7 3 3 2" xfId="20775" xr:uid="{00000000-0005-0000-0000-000019510000}"/>
    <cellStyle name="0_organogram 5 7 3 4" xfId="20776" xr:uid="{00000000-0005-0000-0000-00001A510000}"/>
    <cellStyle name="0_organogram 5 7 4" xfId="20777" xr:uid="{00000000-0005-0000-0000-00001B510000}"/>
    <cellStyle name="0_organogram 5 7 4 2" xfId="20778" xr:uid="{00000000-0005-0000-0000-00001C510000}"/>
    <cellStyle name="0_organogram 5 7 5" xfId="20779" xr:uid="{00000000-0005-0000-0000-00001D510000}"/>
    <cellStyle name="0_organogram 5 7 5 2" xfId="20780" xr:uid="{00000000-0005-0000-0000-00001E510000}"/>
    <cellStyle name="0_organogram 5 7 6" xfId="20781" xr:uid="{00000000-0005-0000-0000-00001F510000}"/>
    <cellStyle name="0_organogram 5 8" xfId="20782" xr:uid="{00000000-0005-0000-0000-000020510000}"/>
    <cellStyle name="0_organogram 5 8 2" xfId="20783" xr:uid="{00000000-0005-0000-0000-000021510000}"/>
    <cellStyle name="0_organogram 5 8 2 2" xfId="20784" xr:uid="{00000000-0005-0000-0000-000022510000}"/>
    <cellStyle name="0_organogram 5 8 3" xfId="20785" xr:uid="{00000000-0005-0000-0000-000023510000}"/>
    <cellStyle name="0_organogram 5 8 3 2" xfId="20786" xr:uid="{00000000-0005-0000-0000-000024510000}"/>
    <cellStyle name="0_organogram 5 8 4" xfId="20787" xr:uid="{00000000-0005-0000-0000-000025510000}"/>
    <cellStyle name="0_organogram 5 9" xfId="20788" xr:uid="{00000000-0005-0000-0000-000026510000}"/>
    <cellStyle name="0_organogram 5 9 2" xfId="20789" xr:uid="{00000000-0005-0000-0000-000027510000}"/>
    <cellStyle name="0_organogram 5 9 2 2" xfId="20790" xr:uid="{00000000-0005-0000-0000-000028510000}"/>
    <cellStyle name="0_organogram 5 9 3" xfId="20791" xr:uid="{00000000-0005-0000-0000-000029510000}"/>
    <cellStyle name="0_organogram 5 9 3 2" xfId="20792" xr:uid="{00000000-0005-0000-0000-00002A510000}"/>
    <cellStyle name="0_organogram 5 9 4" xfId="20793" xr:uid="{00000000-0005-0000-0000-00002B510000}"/>
    <cellStyle name="0_organogram 6" xfId="20794" xr:uid="{00000000-0005-0000-0000-00002C510000}"/>
    <cellStyle name="0_organogram 6 2" xfId="20795" xr:uid="{00000000-0005-0000-0000-00002D510000}"/>
    <cellStyle name="0_organogram 6 2 2" xfId="20796" xr:uid="{00000000-0005-0000-0000-00002E510000}"/>
    <cellStyle name="0_organogram 6 2 2 2" xfId="20797" xr:uid="{00000000-0005-0000-0000-00002F510000}"/>
    <cellStyle name="0_organogram 6 2 2 2 2" xfId="20798" xr:uid="{00000000-0005-0000-0000-000030510000}"/>
    <cellStyle name="0_organogram 6 2 2 3" xfId="20799" xr:uid="{00000000-0005-0000-0000-000031510000}"/>
    <cellStyle name="0_organogram 6 2 2 3 2" xfId="20800" xr:uid="{00000000-0005-0000-0000-000032510000}"/>
    <cellStyle name="0_organogram 6 2 2 4" xfId="20801" xr:uid="{00000000-0005-0000-0000-000033510000}"/>
    <cellStyle name="0_organogram 6 2 3" xfId="20802" xr:uid="{00000000-0005-0000-0000-000034510000}"/>
    <cellStyle name="0_organogram 6 2 3 2" xfId="20803" xr:uid="{00000000-0005-0000-0000-000035510000}"/>
    <cellStyle name="0_organogram 6 2 3 2 2" xfId="20804" xr:uid="{00000000-0005-0000-0000-000036510000}"/>
    <cellStyle name="0_organogram 6 2 3 3" xfId="20805" xr:uid="{00000000-0005-0000-0000-000037510000}"/>
    <cellStyle name="0_organogram 6 2 3 3 2" xfId="20806" xr:uid="{00000000-0005-0000-0000-000038510000}"/>
    <cellStyle name="0_organogram 6 2 3 4" xfId="20807" xr:uid="{00000000-0005-0000-0000-000039510000}"/>
    <cellStyle name="0_organogram 6 2 4" xfId="20808" xr:uid="{00000000-0005-0000-0000-00003A510000}"/>
    <cellStyle name="0_organogram 6 2 4 2" xfId="20809" xr:uid="{00000000-0005-0000-0000-00003B510000}"/>
    <cellStyle name="0_organogram 6 2 5" xfId="20810" xr:uid="{00000000-0005-0000-0000-00003C510000}"/>
    <cellStyle name="0_organogram 6 2 5 2" xfId="20811" xr:uid="{00000000-0005-0000-0000-00003D510000}"/>
    <cellStyle name="0_organogram 6 2 6" xfId="20812" xr:uid="{00000000-0005-0000-0000-00003E510000}"/>
    <cellStyle name="0_organogram 6 3" xfId="20813" xr:uid="{00000000-0005-0000-0000-00003F510000}"/>
    <cellStyle name="0_organogram 6 3 2" xfId="20814" xr:uid="{00000000-0005-0000-0000-000040510000}"/>
    <cellStyle name="0_organogram 6 3 2 2" xfId="20815" xr:uid="{00000000-0005-0000-0000-000041510000}"/>
    <cellStyle name="0_organogram 6 3 3" xfId="20816" xr:uid="{00000000-0005-0000-0000-000042510000}"/>
    <cellStyle name="0_organogram 6 3 3 2" xfId="20817" xr:uid="{00000000-0005-0000-0000-000043510000}"/>
    <cellStyle name="0_organogram 6 3 4" xfId="20818" xr:uid="{00000000-0005-0000-0000-000044510000}"/>
    <cellStyle name="0_organogram 6 4" xfId="20819" xr:uid="{00000000-0005-0000-0000-000045510000}"/>
    <cellStyle name="0_organogram 6 4 2" xfId="20820" xr:uid="{00000000-0005-0000-0000-000046510000}"/>
    <cellStyle name="0_organogram 6 4 2 2" xfId="20821" xr:uid="{00000000-0005-0000-0000-000047510000}"/>
    <cellStyle name="0_organogram 6 4 3" xfId="20822" xr:uid="{00000000-0005-0000-0000-000048510000}"/>
    <cellStyle name="0_organogram 6 4 3 2" xfId="20823" xr:uid="{00000000-0005-0000-0000-000049510000}"/>
    <cellStyle name="0_organogram 6 4 4" xfId="20824" xr:uid="{00000000-0005-0000-0000-00004A510000}"/>
    <cellStyle name="0_organogram 6 5" xfId="20825" xr:uid="{00000000-0005-0000-0000-00004B510000}"/>
    <cellStyle name="0_organogram 6 5 2" xfId="20826" xr:uid="{00000000-0005-0000-0000-00004C510000}"/>
    <cellStyle name="0_organogram 6 5 2 2" xfId="20827" xr:uid="{00000000-0005-0000-0000-00004D510000}"/>
    <cellStyle name="0_organogram 6 5 3" xfId="20828" xr:uid="{00000000-0005-0000-0000-00004E510000}"/>
    <cellStyle name="0_organogram 6 5 3 2" xfId="20829" xr:uid="{00000000-0005-0000-0000-00004F510000}"/>
    <cellStyle name="0_organogram 6 5 4" xfId="20830" xr:uid="{00000000-0005-0000-0000-000050510000}"/>
    <cellStyle name="0_organogram 6 6" xfId="20831" xr:uid="{00000000-0005-0000-0000-000051510000}"/>
    <cellStyle name="0_organogram 6 6 2" xfId="20832" xr:uid="{00000000-0005-0000-0000-000052510000}"/>
    <cellStyle name="0_organogram 6 7" xfId="20833" xr:uid="{00000000-0005-0000-0000-000053510000}"/>
    <cellStyle name="0_organogram 6 7 2" xfId="20834" xr:uid="{00000000-0005-0000-0000-000054510000}"/>
    <cellStyle name="0_organogram 6 8" xfId="20835" xr:uid="{00000000-0005-0000-0000-000055510000}"/>
    <cellStyle name="0_organogram 7" xfId="20836" xr:uid="{00000000-0005-0000-0000-000056510000}"/>
    <cellStyle name="0_organogram 7 2" xfId="20837" xr:uid="{00000000-0005-0000-0000-000057510000}"/>
    <cellStyle name="0_organogram 7 2 2" xfId="20838" xr:uid="{00000000-0005-0000-0000-000058510000}"/>
    <cellStyle name="0_organogram 7 2 2 2" xfId="20839" xr:uid="{00000000-0005-0000-0000-000059510000}"/>
    <cellStyle name="0_organogram 7 2 3" xfId="20840" xr:uid="{00000000-0005-0000-0000-00005A510000}"/>
    <cellStyle name="0_organogram 7 2 3 2" xfId="20841" xr:uid="{00000000-0005-0000-0000-00005B510000}"/>
    <cellStyle name="0_organogram 7 2 4" xfId="20842" xr:uid="{00000000-0005-0000-0000-00005C510000}"/>
    <cellStyle name="0_organogram 7 3" xfId="20843" xr:uid="{00000000-0005-0000-0000-00005D510000}"/>
    <cellStyle name="0_organogram 7 3 2" xfId="20844" xr:uid="{00000000-0005-0000-0000-00005E510000}"/>
    <cellStyle name="0_organogram 7 3 2 2" xfId="20845" xr:uid="{00000000-0005-0000-0000-00005F510000}"/>
    <cellStyle name="0_organogram 7 3 3" xfId="20846" xr:uid="{00000000-0005-0000-0000-000060510000}"/>
    <cellStyle name="0_organogram 7 3 3 2" xfId="20847" xr:uid="{00000000-0005-0000-0000-000061510000}"/>
    <cellStyle name="0_organogram 7 3 4" xfId="20848" xr:uid="{00000000-0005-0000-0000-000062510000}"/>
    <cellStyle name="0_organogram 7 4" xfId="20849" xr:uid="{00000000-0005-0000-0000-000063510000}"/>
    <cellStyle name="0_organogram 7 4 2" xfId="20850" xr:uid="{00000000-0005-0000-0000-000064510000}"/>
    <cellStyle name="0_organogram 7 5" xfId="20851" xr:uid="{00000000-0005-0000-0000-000065510000}"/>
    <cellStyle name="0_organogram 7 5 2" xfId="20852" xr:uid="{00000000-0005-0000-0000-000066510000}"/>
    <cellStyle name="0_organogram 7 6" xfId="20853" xr:uid="{00000000-0005-0000-0000-000067510000}"/>
    <cellStyle name="0_organogram 8" xfId="20854" xr:uid="{00000000-0005-0000-0000-000068510000}"/>
    <cellStyle name="0_organogram 8 2" xfId="20855" xr:uid="{00000000-0005-0000-0000-000069510000}"/>
    <cellStyle name="0_organogram 8 2 2" xfId="20856" xr:uid="{00000000-0005-0000-0000-00006A510000}"/>
    <cellStyle name="0_organogram 8 2 2 2" xfId="20857" xr:uid="{00000000-0005-0000-0000-00006B510000}"/>
    <cellStyle name="0_organogram 8 2 3" xfId="20858" xr:uid="{00000000-0005-0000-0000-00006C510000}"/>
    <cellStyle name="0_organogram 8 2 3 2" xfId="20859" xr:uid="{00000000-0005-0000-0000-00006D510000}"/>
    <cellStyle name="0_organogram 8 2 4" xfId="20860" xr:uid="{00000000-0005-0000-0000-00006E510000}"/>
    <cellStyle name="0_organogram 8 3" xfId="20861" xr:uid="{00000000-0005-0000-0000-00006F510000}"/>
    <cellStyle name="0_organogram 8 3 2" xfId="20862" xr:uid="{00000000-0005-0000-0000-000070510000}"/>
    <cellStyle name="0_organogram 8 3 2 2" xfId="20863" xr:uid="{00000000-0005-0000-0000-000071510000}"/>
    <cellStyle name="0_organogram 8 3 3" xfId="20864" xr:uid="{00000000-0005-0000-0000-000072510000}"/>
    <cellStyle name="0_organogram 8 3 3 2" xfId="20865" xr:uid="{00000000-0005-0000-0000-000073510000}"/>
    <cellStyle name="0_organogram 8 3 4" xfId="20866" xr:uid="{00000000-0005-0000-0000-000074510000}"/>
    <cellStyle name="0_organogram 8 4" xfId="20867" xr:uid="{00000000-0005-0000-0000-000075510000}"/>
    <cellStyle name="0_organogram 8 4 2" xfId="20868" xr:uid="{00000000-0005-0000-0000-000076510000}"/>
    <cellStyle name="0_organogram 8 5" xfId="20869" xr:uid="{00000000-0005-0000-0000-000077510000}"/>
    <cellStyle name="0_organogram 8 5 2" xfId="20870" xr:uid="{00000000-0005-0000-0000-000078510000}"/>
    <cellStyle name="0_organogram 8 6" xfId="20871" xr:uid="{00000000-0005-0000-0000-000079510000}"/>
    <cellStyle name="0_organogram 9" xfId="20872" xr:uid="{00000000-0005-0000-0000-00007A510000}"/>
    <cellStyle name="0_organogram 9 2" xfId="20873" xr:uid="{00000000-0005-0000-0000-00007B510000}"/>
    <cellStyle name="0_organogram 9 2 2" xfId="20874" xr:uid="{00000000-0005-0000-0000-00007C510000}"/>
    <cellStyle name="0_organogram 9 3" xfId="20875" xr:uid="{00000000-0005-0000-0000-00007D510000}"/>
    <cellStyle name="0_organogram 9 3 2" xfId="20876" xr:uid="{00000000-0005-0000-0000-00007E510000}"/>
    <cellStyle name="0_organogram 9 4" xfId="20877" xr:uid="{00000000-0005-0000-0000-00007F510000}"/>
    <cellStyle name="0_physical_curve" xfId="20878" xr:uid="{00000000-0005-0000-0000-000080510000}"/>
    <cellStyle name="0_physical_curve 10" xfId="20879" xr:uid="{00000000-0005-0000-0000-000081510000}"/>
    <cellStyle name="0_physical_curve 10 2" xfId="20880" xr:uid="{00000000-0005-0000-0000-000082510000}"/>
    <cellStyle name="0_physical_curve 10 2 2" xfId="20881" xr:uid="{00000000-0005-0000-0000-000083510000}"/>
    <cellStyle name="0_physical_curve 10 3" xfId="20882" xr:uid="{00000000-0005-0000-0000-000084510000}"/>
    <cellStyle name="0_physical_curve 10 3 2" xfId="20883" xr:uid="{00000000-0005-0000-0000-000085510000}"/>
    <cellStyle name="0_physical_curve 10 4" xfId="20884" xr:uid="{00000000-0005-0000-0000-000086510000}"/>
    <cellStyle name="0_physical_curve 11" xfId="20885" xr:uid="{00000000-0005-0000-0000-000087510000}"/>
    <cellStyle name="0_physical_curve 11 2" xfId="20886" xr:uid="{00000000-0005-0000-0000-000088510000}"/>
    <cellStyle name="0_physical_curve 11 2 2" xfId="20887" xr:uid="{00000000-0005-0000-0000-000089510000}"/>
    <cellStyle name="0_physical_curve 11 3" xfId="20888" xr:uid="{00000000-0005-0000-0000-00008A510000}"/>
    <cellStyle name="0_physical_curve 11 3 2" xfId="20889" xr:uid="{00000000-0005-0000-0000-00008B510000}"/>
    <cellStyle name="0_physical_curve 11 4" xfId="20890" xr:uid="{00000000-0005-0000-0000-00008C510000}"/>
    <cellStyle name="0_physical_curve 12" xfId="20891" xr:uid="{00000000-0005-0000-0000-00008D510000}"/>
    <cellStyle name="0_physical_curve 12 2" xfId="20892" xr:uid="{00000000-0005-0000-0000-00008E510000}"/>
    <cellStyle name="0_physical_curve 13" xfId="20893" xr:uid="{00000000-0005-0000-0000-00008F510000}"/>
    <cellStyle name="0_physical_curve 13 2" xfId="20894" xr:uid="{00000000-0005-0000-0000-000090510000}"/>
    <cellStyle name="0_physical_curve 14" xfId="20895" xr:uid="{00000000-0005-0000-0000-000091510000}"/>
    <cellStyle name="0_physical_curve 14 2" xfId="20896" xr:uid="{00000000-0005-0000-0000-000092510000}"/>
    <cellStyle name="0_physical_curve 15" xfId="20897" xr:uid="{00000000-0005-0000-0000-000093510000}"/>
    <cellStyle name="0_physical_curve 16" xfId="20898" xr:uid="{00000000-0005-0000-0000-000094510000}"/>
    <cellStyle name="0_physical_curve 17" xfId="20899" xr:uid="{00000000-0005-0000-0000-000095510000}"/>
    <cellStyle name="0_physical_curve 18" xfId="20900" xr:uid="{00000000-0005-0000-0000-000096510000}"/>
    <cellStyle name="0_physical_curve 19" xfId="20901" xr:uid="{00000000-0005-0000-0000-000097510000}"/>
    <cellStyle name="0_physical_curve 2" xfId="20902" xr:uid="{00000000-0005-0000-0000-000098510000}"/>
    <cellStyle name="0_physical_curve 2 10" xfId="20903" xr:uid="{00000000-0005-0000-0000-000099510000}"/>
    <cellStyle name="0_physical_curve 2 10 2" xfId="20904" xr:uid="{00000000-0005-0000-0000-00009A510000}"/>
    <cellStyle name="0_physical_curve 2 10 2 2" xfId="20905" xr:uid="{00000000-0005-0000-0000-00009B510000}"/>
    <cellStyle name="0_physical_curve 2 10 3" xfId="20906" xr:uid="{00000000-0005-0000-0000-00009C510000}"/>
    <cellStyle name="0_physical_curve 2 10 3 2" xfId="20907" xr:uid="{00000000-0005-0000-0000-00009D510000}"/>
    <cellStyle name="0_physical_curve 2 10 4" xfId="20908" xr:uid="{00000000-0005-0000-0000-00009E510000}"/>
    <cellStyle name="0_physical_curve 2 11" xfId="20909" xr:uid="{00000000-0005-0000-0000-00009F510000}"/>
    <cellStyle name="0_physical_curve 2 11 2" xfId="20910" xr:uid="{00000000-0005-0000-0000-0000A0510000}"/>
    <cellStyle name="0_physical_curve 2 12" xfId="20911" xr:uid="{00000000-0005-0000-0000-0000A1510000}"/>
    <cellStyle name="0_physical_curve 2 12 2" xfId="20912" xr:uid="{00000000-0005-0000-0000-0000A2510000}"/>
    <cellStyle name="0_physical_curve 2 13" xfId="20913" xr:uid="{00000000-0005-0000-0000-0000A3510000}"/>
    <cellStyle name="0_physical_curve 2 14" xfId="20914" xr:uid="{00000000-0005-0000-0000-0000A4510000}"/>
    <cellStyle name="0_physical_curve 2 15" xfId="20915" xr:uid="{00000000-0005-0000-0000-0000A5510000}"/>
    <cellStyle name="0_physical_curve 2 16" xfId="20916" xr:uid="{00000000-0005-0000-0000-0000A6510000}"/>
    <cellStyle name="0_physical_curve 2 2" xfId="20917" xr:uid="{00000000-0005-0000-0000-0000A7510000}"/>
    <cellStyle name="0_physical_curve 2 2 2" xfId="20918" xr:uid="{00000000-0005-0000-0000-0000A8510000}"/>
    <cellStyle name="0_physical_curve 2 2 2 2" xfId="20919" xr:uid="{00000000-0005-0000-0000-0000A9510000}"/>
    <cellStyle name="0_physical_curve 2 2 2 2 2" xfId="20920" xr:uid="{00000000-0005-0000-0000-0000AA510000}"/>
    <cellStyle name="0_physical_curve 2 2 2 2 2 2" xfId="20921" xr:uid="{00000000-0005-0000-0000-0000AB510000}"/>
    <cellStyle name="0_physical_curve 2 2 2 2 3" xfId="20922" xr:uid="{00000000-0005-0000-0000-0000AC510000}"/>
    <cellStyle name="0_physical_curve 2 2 2 2 3 2" xfId="20923" xr:uid="{00000000-0005-0000-0000-0000AD510000}"/>
    <cellStyle name="0_physical_curve 2 2 2 2 4" xfId="20924" xr:uid="{00000000-0005-0000-0000-0000AE510000}"/>
    <cellStyle name="0_physical_curve 2 2 2 3" xfId="20925" xr:uid="{00000000-0005-0000-0000-0000AF510000}"/>
    <cellStyle name="0_physical_curve 2 2 2 3 2" xfId="20926" xr:uid="{00000000-0005-0000-0000-0000B0510000}"/>
    <cellStyle name="0_physical_curve 2 2 2 3 2 2" xfId="20927" xr:uid="{00000000-0005-0000-0000-0000B1510000}"/>
    <cellStyle name="0_physical_curve 2 2 2 3 3" xfId="20928" xr:uid="{00000000-0005-0000-0000-0000B2510000}"/>
    <cellStyle name="0_physical_curve 2 2 2 3 3 2" xfId="20929" xr:uid="{00000000-0005-0000-0000-0000B3510000}"/>
    <cellStyle name="0_physical_curve 2 2 2 3 4" xfId="20930" xr:uid="{00000000-0005-0000-0000-0000B4510000}"/>
    <cellStyle name="0_physical_curve 2 2 2 4" xfId="20931" xr:uid="{00000000-0005-0000-0000-0000B5510000}"/>
    <cellStyle name="0_physical_curve 2 2 2 4 2" xfId="20932" xr:uid="{00000000-0005-0000-0000-0000B6510000}"/>
    <cellStyle name="0_physical_curve 2 2 2 5" xfId="20933" xr:uid="{00000000-0005-0000-0000-0000B7510000}"/>
    <cellStyle name="0_physical_curve 2 2 2 5 2" xfId="20934" xr:uid="{00000000-0005-0000-0000-0000B8510000}"/>
    <cellStyle name="0_physical_curve 2 2 2 6" xfId="20935" xr:uid="{00000000-0005-0000-0000-0000B9510000}"/>
    <cellStyle name="0_physical_curve 2 2 3" xfId="20936" xr:uid="{00000000-0005-0000-0000-0000BA510000}"/>
    <cellStyle name="0_physical_curve 2 2 3 2" xfId="20937" xr:uid="{00000000-0005-0000-0000-0000BB510000}"/>
    <cellStyle name="0_physical_curve 2 2 3 2 2" xfId="20938" xr:uid="{00000000-0005-0000-0000-0000BC510000}"/>
    <cellStyle name="0_physical_curve 2 2 3 3" xfId="20939" xr:uid="{00000000-0005-0000-0000-0000BD510000}"/>
    <cellStyle name="0_physical_curve 2 2 3 3 2" xfId="20940" xr:uid="{00000000-0005-0000-0000-0000BE510000}"/>
    <cellStyle name="0_physical_curve 2 2 3 4" xfId="20941" xr:uid="{00000000-0005-0000-0000-0000BF510000}"/>
    <cellStyle name="0_physical_curve 2 2 4" xfId="20942" xr:uid="{00000000-0005-0000-0000-0000C0510000}"/>
    <cellStyle name="0_physical_curve 2 2 4 2" xfId="20943" xr:uid="{00000000-0005-0000-0000-0000C1510000}"/>
    <cellStyle name="0_physical_curve 2 2 4 2 2" xfId="20944" xr:uid="{00000000-0005-0000-0000-0000C2510000}"/>
    <cellStyle name="0_physical_curve 2 2 4 3" xfId="20945" xr:uid="{00000000-0005-0000-0000-0000C3510000}"/>
    <cellStyle name="0_physical_curve 2 2 4 3 2" xfId="20946" xr:uid="{00000000-0005-0000-0000-0000C4510000}"/>
    <cellStyle name="0_physical_curve 2 2 4 4" xfId="20947" xr:uid="{00000000-0005-0000-0000-0000C5510000}"/>
    <cellStyle name="0_physical_curve 2 2 5" xfId="20948" xr:uid="{00000000-0005-0000-0000-0000C6510000}"/>
    <cellStyle name="0_physical_curve 2 2 5 2" xfId="20949" xr:uid="{00000000-0005-0000-0000-0000C7510000}"/>
    <cellStyle name="0_physical_curve 2 2 5 2 2" xfId="20950" xr:uid="{00000000-0005-0000-0000-0000C8510000}"/>
    <cellStyle name="0_physical_curve 2 2 5 3" xfId="20951" xr:uid="{00000000-0005-0000-0000-0000C9510000}"/>
    <cellStyle name="0_physical_curve 2 2 5 3 2" xfId="20952" xr:uid="{00000000-0005-0000-0000-0000CA510000}"/>
    <cellStyle name="0_physical_curve 2 2 5 4" xfId="20953" xr:uid="{00000000-0005-0000-0000-0000CB510000}"/>
    <cellStyle name="0_physical_curve 2 2 6" xfId="20954" xr:uid="{00000000-0005-0000-0000-0000CC510000}"/>
    <cellStyle name="0_physical_curve 2 2 6 2" xfId="20955" xr:uid="{00000000-0005-0000-0000-0000CD510000}"/>
    <cellStyle name="0_physical_curve 2 2 7" xfId="20956" xr:uid="{00000000-0005-0000-0000-0000CE510000}"/>
    <cellStyle name="0_physical_curve 2 2 7 2" xfId="20957" xr:uid="{00000000-0005-0000-0000-0000CF510000}"/>
    <cellStyle name="0_physical_curve 2 2 8" xfId="20958" xr:uid="{00000000-0005-0000-0000-0000D0510000}"/>
    <cellStyle name="0_physical_curve 2 3" xfId="20959" xr:uid="{00000000-0005-0000-0000-0000D1510000}"/>
    <cellStyle name="0_physical_curve 2 3 2" xfId="20960" xr:uid="{00000000-0005-0000-0000-0000D2510000}"/>
    <cellStyle name="0_physical_curve 2 3 2 2" xfId="20961" xr:uid="{00000000-0005-0000-0000-0000D3510000}"/>
    <cellStyle name="0_physical_curve 2 3 2 2 2" xfId="20962" xr:uid="{00000000-0005-0000-0000-0000D4510000}"/>
    <cellStyle name="0_physical_curve 2 3 2 2 2 2" xfId="20963" xr:uid="{00000000-0005-0000-0000-0000D5510000}"/>
    <cellStyle name="0_physical_curve 2 3 2 2 3" xfId="20964" xr:uid="{00000000-0005-0000-0000-0000D6510000}"/>
    <cellStyle name="0_physical_curve 2 3 2 2 3 2" xfId="20965" xr:uid="{00000000-0005-0000-0000-0000D7510000}"/>
    <cellStyle name="0_physical_curve 2 3 2 2 4" xfId="20966" xr:uid="{00000000-0005-0000-0000-0000D8510000}"/>
    <cellStyle name="0_physical_curve 2 3 2 3" xfId="20967" xr:uid="{00000000-0005-0000-0000-0000D9510000}"/>
    <cellStyle name="0_physical_curve 2 3 2 3 2" xfId="20968" xr:uid="{00000000-0005-0000-0000-0000DA510000}"/>
    <cellStyle name="0_physical_curve 2 3 2 3 2 2" xfId="20969" xr:uid="{00000000-0005-0000-0000-0000DB510000}"/>
    <cellStyle name="0_physical_curve 2 3 2 3 3" xfId="20970" xr:uid="{00000000-0005-0000-0000-0000DC510000}"/>
    <cellStyle name="0_physical_curve 2 3 2 3 3 2" xfId="20971" xr:uid="{00000000-0005-0000-0000-0000DD510000}"/>
    <cellStyle name="0_physical_curve 2 3 2 3 4" xfId="20972" xr:uid="{00000000-0005-0000-0000-0000DE510000}"/>
    <cellStyle name="0_physical_curve 2 3 2 4" xfId="20973" xr:uid="{00000000-0005-0000-0000-0000DF510000}"/>
    <cellStyle name="0_physical_curve 2 3 2 4 2" xfId="20974" xr:uid="{00000000-0005-0000-0000-0000E0510000}"/>
    <cellStyle name="0_physical_curve 2 3 2 5" xfId="20975" xr:uid="{00000000-0005-0000-0000-0000E1510000}"/>
    <cellStyle name="0_physical_curve 2 3 2 5 2" xfId="20976" xr:uid="{00000000-0005-0000-0000-0000E2510000}"/>
    <cellStyle name="0_physical_curve 2 3 2 6" xfId="20977" xr:uid="{00000000-0005-0000-0000-0000E3510000}"/>
    <cellStyle name="0_physical_curve 2 3 3" xfId="20978" xr:uid="{00000000-0005-0000-0000-0000E4510000}"/>
    <cellStyle name="0_physical_curve 2 3 3 2" xfId="20979" xr:uid="{00000000-0005-0000-0000-0000E5510000}"/>
    <cellStyle name="0_physical_curve 2 3 3 2 2" xfId="20980" xr:uid="{00000000-0005-0000-0000-0000E6510000}"/>
    <cellStyle name="0_physical_curve 2 3 3 3" xfId="20981" xr:uid="{00000000-0005-0000-0000-0000E7510000}"/>
    <cellStyle name="0_physical_curve 2 3 3 3 2" xfId="20982" xr:uid="{00000000-0005-0000-0000-0000E8510000}"/>
    <cellStyle name="0_physical_curve 2 3 3 4" xfId="20983" xr:uid="{00000000-0005-0000-0000-0000E9510000}"/>
    <cellStyle name="0_physical_curve 2 3 4" xfId="20984" xr:uid="{00000000-0005-0000-0000-0000EA510000}"/>
    <cellStyle name="0_physical_curve 2 3 4 2" xfId="20985" xr:uid="{00000000-0005-0000-0000-0000EB510000}"/>
    <cellStyle name="0_physical_curve 2 3 4 2 2" xfId="20986" xr:uid="{00000000-0005-0000-0000-0000EC510000}"/>
    <cellStyle name="0_physical_curve 2 3 4 3" xfId="20987" xr:uid="{00000000-0005-0000-0000-0000ED510000}"/>
    <cellStyle name="0_physical_curve 2 3 4 3 2" xfId="20988" xr:uid="{00000000-0005-0000-0000-0000EE510000}"/>
    <cellStyle name="0_physical_curve 2 3 4 4" xfId="20989" xr:uid="{00000000-0005-0000-0000-0000EF510000}"/>
    <cellStyle name="0_physical_curve 2 3 5" xfId="20990" xr:uid="{00000000-0005-0000-0000-0000F0510000}"/>
    <cellStyle name="0_physical_curve 2 3 5 2" xfId="20991" xr:uid="{00000000-0005-0000-0000-0000F1510000}"/>
    <cellStyle name="0_physical_curve 2 3 5 2 2" xfId="20992" xr:uid="{00000000-0005-0000-0000-0000F2510000}"/>
    <cellStyle name="0_physical_curve 2 3 5 3" xfId="20993" xr:uid="{00000000-0005-0000-0000-0000F3510000}"/>
    <cellStyle name="0_physical_curve 2 3 5 3 2" xfId="20994" xr:uid="{00000000-0005-0000-0000-0000F4510000}"/>
    <cellStyle name="0_physical_curve 2 3 5 4" xfId="20995" xr:uid="{00000000-0005-0000-0000-0000F5510000}"/>
    <cellStyle name="0_physical_curve 2 3 6" xfId="20996" xr:uid="{00000000-0005-0000-0000-0000F6510000}"/>
    <cellStyle name="0_physical_curve 2 3 6 2" xfId="20997" xr:uid="{00000000-0005-0000-0000-0000F7510000}"/>
    <cellStyle name="0_physical_curve 2 3 7" xfId="20998" xr:uid="{00000000-0005-0000-0000-0000F8510000}"/>
    <cellStyle name="0_physical_curve 2 3 7 2" xfId="20999" xr:uid="{00000000-0005-0000-0000-0000F9510000}"/>
    <cellStyle name="0_physical_curve 2 3 8" xfId="21000" xr:uid="{00000000-0005-0000-0000-0000FA510000}"/>
    <cellStyle name="0_physical_curve 2 4" xfId="21001" xr:uid="{00000000-0005-0000-0000-0000FB510000}"/>
    <cellStyle name="0_physical_curve 2 4 2" xfId="21002" xr:uid="{00000000-0005-0000-0000-0000FC510000}"/>
    <cellStyle name="0_physical_curve 2 4 2 2" xfId="21003" xr:uid="{00000000-0005-0000-0000-0000FD510000}"/>
    <cellStyle name="0_physical_curve 2 4 2 2 2" xfId="21004" xr:uid="{00000000-0005-0000-0000-0000FE510000}"/>
    <cellStyle name="0_physical_curve 2 4 2 2 2 2" xfId="21005" xr:uid="{00000000-0005-0000-0000-0000FF510000}"/>
    <cellStyle name="0_physical_curve 2 4 2 2 3" xfId="21006" xr:uid="{00000000-0005-0000-0000-000000520000}"/>
    <cellStyle name="0_physical_curve 2 4 2 2 3 2" xfId="21007" xr:uid="{00000000-0005-0000-0000-000001520000}"/>
    <cellStyle name="0_physical_curve 2 4 2 2 4" xfId="21008" xr:uid="{00000000-0005-0000-0000-000002520000}"/>
    <cellStyle name="0_physical_curve 2 4 2 3" xfId="21009" xr:uid="{00000000-0005-0000-0000-000003520000}"/>
    <cellStyle name="0_physical_curve 2 4 2 3 2" xfId="21010" xr:uid="{00000000-0005-0000-0000-000004520000}"/>
    <cellStyle name="0_physical_curve 2 4 2 3 2 2" xfId="21011" xr:uid="{00000000-0005-0000-0000-000005520000}"/>
    <cellStyle name="0_physical_curve 2 4 2 3 3" xfId="21012" xr:uid="{00000000-0005-0000-0000-000006520000}"/>
    <cellStyle name="0_physical_curve 2 4 2 3 3 2" xfId="21013" xr:uid="{00000000-0005-0000-0000-000007520000}"/>
    <cellStyle name="0_physical_curve 2 4 2 3 4" xfId="21014" xr:uid="{00000000-0005-0000-0000-000008520000}"/>
    <cellStyle name="0_physical_curve 2 4 2 4" xfId="21015" xr:uid="{00000000-0005-0000-0000-000009520000}"/>
    <cellStyle name="0_physical_curve 2 4 2 4 2" xfId="21016" xr:uid="{00000000-0005-0000-0000-00000A520000}"/>
    <cellStyle name="0_physical_curve 2 4 2 5" xfId="21017" xr:uid="{00000000-0005-0000-0000-00000B520000}"/>
    <cellStyle name="0_physical_curve 2 4 2 5 2" xfId="21018" xr:uid="{00000000-0005-0000-0000-00000C520000}"/>
    <cellStyle name="0_physical_curve 2 4 2 6" xfId="21019" xr:uid="{00000000-0005-0000-0000-00000D520000}"/>
    <cellStyle name="0_physical_curve 2 4 3" xfId="21020" xr:uid="{00000000-0005-0000-0000-00000E520000}"/>
    <cellStyle name="0_physical_curve 2 4 3 2" xfId="21021" xr:uid="{00000000-0005-0000-0000-00000F520000}"/>
    <cellStyle name="0_physical_curve 2 4 3 2 2" xfId="21022" xr:uid="{00000000-0005-0000-0000-000010520000}"/>
    <cellStyle name="0_physical_curve 2 4 3 3" xfId="21023" xr:uid="{00000000-0005-0000-0000-000011520000}"/>
    <cellStyle name="0_physical_curve 2 4 3 3 2" xfId="21024" xr:uid="{00000000-0005-0000-0000-000012520000}"/>
    <cellStyle name="0_physical_curve 2 4 3 4" xfId="21025" xr:uid="{00000000-0005-0000-0000-000013520000}"/>
    <cellStyle name="0_physical_curve 2 4 4" xfId="21026" xr:uid="{00000000-0005-0000-0000-000014520000}"/>
    <cellStyle name="0_physical_curve 2 4 4 2" xfId="21027" xr:uid="{00000000-0005-0000-0000-000015520000}"/>
    <cellStyle name="0_physical_curve 2 4 4 2 2" xfId="21028" xr:uid="{00000000-0005-0000-0000-000016520000}"/>
    <cellStyle name="0_physical_curve 2 4 4 3" xfId="21029" xr:uid="{00000000-0005-0000-0000-000017520000}"/>
    <cellStyle name="0_physical_curve 2 4 4 3 2" xfId="21030" xr:uid="{00000000-0005-0000-0000-000018520000}"/>
    <cellStyle name="0_physical_curve 2 4 4 4" xfId="21031" xr:uid="{00000000-0005-0000-0000-000019520000}"/>
    <cellStyle name="0_physical_curve 2 4 5" xfId="21032" xr:uid="{00000000-0005-0000-0000-00001A520000}"/>
    <cellStyle name="0_physical_curve 2 4 5 2" xfId="21033" xr:uid="{00000000-0005-0000-0000-00001B520000}"/>
    <cellStyle name="0_physical_curve 2 4 5 2 2" xfId="21034" xr:uid="{00000000-0005-0000-0000-00001C520000}"/>
    <cellStyle name="0_physical_curve 2 4 5 3" xfId="21035" xr:uid="{00000000-0005-0000-0000-00001D520000}"/>
    <cellStyle name="0_physical_curve 2 4 5 3 2" xfId="21036" xr:uid="{00000000-0005-0000-0000-00001E520000}"/>
    <cellStyle name="0_physical_curve 2 4 5 4" xfId="21037" xr:uid="{00000000-0005-0000-0000-00001F520000}"/>
    <cellStyle name="0_physical_curve 2 4 6" xfId="21038" xr:uid="{00000000-0005-0000-0000-000020520000}"/>
    <cellStyle name="0_physical_curve 2 4 6 2" xfId="21039" xr:uid="{00000000-0005-0000-0000-000021520000}"/>
    <cellStyle name="0_physical_curve 2 4 7" xfId="21040" xr:uid="{00000000-0005-0000-0000-000022520000}"/>
    <cellStyle name="0_physical_curve 2 4 7 2" xfId="21041" xr:uid="{00000000-0005-0000-0000-000023520000}"/>
    <cellStyle name="0_physical_curve 2 4 8" xfId="21042" xr:uid="{00000000-0005-0000-0000-000024520000}"/>
    <cellStyle name="0_physical_curve 2 5" xfId="21043" xr:uid="{00000000-0005-0000-0000-000025520000}"/>
    <cellStyle name="0_physical_curve 2 5 2" xfId="21044" xr:uid="{00000000-0005-0000-0000-000026520000}"/>
    <cellStyle name="0_physical_curve 2 5 2 2" xfId="21045" xr:uid="{00000000-0005-0000-0000-000027520000}"/>
    <cellStyle name="0_physical_curve 2 5 2 2 2" xfId="21046" xr:uid="{00000000-0005-0000-0000-000028520000}"/>
    <cellStyle name="0_physical_curve 2 5 2 2 2 2" xfId="21047" xr:uid="{00000000-0005-0000-0000-000029520000}"/>
    <cellStyle name="0_physical_curve 2 5 2 2 3" xfId="21048" xr:uid="{00000000-0005-0000-0000-00002A520000}"/>
    <cellStyle name="0_physical_curve 2 5 2 2 3 2" xfId="21049" xr:uid="{00000000-0005-0000-0000-00002B520000}"/>
    <cellStyle name="0_physical_curve 2 5 2 2 4" xfId="21050" xr:uid="{00000000-0005-0000-0000-00002C520000}"/>
    <cellStyle name="0_physical_curve 2 5 2 3" xfId="21051" xr:uid="{00000000-0005-0000-0000-00002D520000}"/>
    <cellStyle name="0_physical_curve 2 5 2 3 2" xfId="21052" xr:uid="{00000000-0005-0000-0000-00002E520000}"/>
    <cellStyle name="0_physical_curve 2 5 2 3 2 2" xfId="21053" xr:uid="{00000000-0005-0000-0000-00002F520000}"/>
    <cellStyle name="0_physical_curve 2 5 2 3 3" xfId="21054" xr:uid="{00000000-0005-0000-0000-000030520000}"/>
    <cellStyle name="0_physical_curve 2 5 2 3 3 2" xfId="21055" xr:uid="{00000000-0005-0000-0000-000031520000}"/>
    <cellStyle name="0_physical_curve 2 5 2 3 4" xfId="21056" xr:uid="{00000000-0005-0000-0000-000032520000}"/>
    <cellStyle name="0_physical_curve 2 5 2 4" xfId="21057" xr:uid="{00000000-0005-0000-0000-000033520000}"/>
    <cellStyle name="0_physical_curve 2 5 2 4 2" xfId="21058" xr:uid="{00000000-0005-0000-0000-000034520000}"/>
    <cellStyle name="0_physical_curve 2 5 2 5" xfId="21059" xr:uid="{00000000-0005-0000-0000-000035520000}"/>
    <cellStyle name="0_physical_curve 2 5 2 5 2" xfId="21060" xr:uid="{00000000-0005-0000-0000-000036520000}"/>
    <cellStyle name="0_physical_curve 2 5 2 6" xfId="21061" xr:uid="{00000000-0005-0000-0000-000037520000}"/>
    <cellStyle name="0_physical_curve 2 5 3" xfId="21062" xr:uid="{00000000-0005-0000-0000-000038520000}"/>
    <cellStyle name="0_physical_curve 2 5 3 2" xfId="21063" xr:uid="{00000000-0005-0000-0000-000039520000}"/>
    <cellStyle name="0_physical_curve 2 5 3 2 2" xfId="21064" xr:uid="{00000000-0005-0000-0000-00003A520000}"/>
    <cellStyle name="0_physical_curve 2 5 3 3" xfId="21065" xr:uid="{00000000-0005-0000-0000-00003B520000}"/>
    <cellStyle name="0_physical_curve 2 5 3 3 2" xfId="21066" xr:uid="{00000000-0005-0000-0000-00003C520000}"/>
    <cellStyle name="0_physical_curve 2 5 3 4" xfId="21067" xr:uid="{00000000-0005-0000-0000-00003D520000}"/>
    <cellStyle name="0_physical_curve 2 5 4" xfId="21068" xr:uid="{00000000-0005-0000-0000-00003E520000}"/>
    <cellStyle name="0_physical_curve 2 5 4 2" xfId="21069" xr:uid="{00000000-0005-0000-0000-00003F520000}"/>
    <cellStyle name="0_physical_curve 2 5 4 2 2" xfId="21070" xr:uid="{00000000-0005-0000-0000-000040520000}"/>
    <cellStyle name="0_physical_curve 2 5 4 3" xfId="21071" xr:uid="{00000000-0005-0000-0000-000041520000}"/>
    <cellStyle name="0_physical_curve 2 5 4 3 2" xfId="21072" xr:uid="{00000000-0005-0000-0000-000042520000}"/>
    <cellStyle name="0_physical_curve 2 5 4 4" xfId="21073" xr:uid="{00000000-0005-0000-0000-000043520000}"/>
    <cellStyle name="0_physical_curve 2 5 5" xfId="21074" xr:uid="{00000000-0005-0000-0000-000044520000}"/>
    <cellStyle name="0_physical_curve 2 5 5 2" xfId="21075" xr:uid="{00000000-0005-0000-0000-000045520000}"/>
    <cellStyle name="0_physical_curve 2 5 5 2 2" xfId="21076" xr:uid="{00000000-0005-0000-0000-000046520000}"/>
    <cellStyle name="0_physical_curve 2 5 5 3" xfId="21077" xr:uid="{00000000-0005-0000-0000-000047520000}"/>
    <cellStyle name="0_physical_curve 2 5 5 3 2" xfId="21078" xr:uid="{00000000-0005-0000-0000-000048520000}"/>
    <cellStyle name="0_physical_curve 2 5 5 4" xfId="21079" xr:uid="{00000000-0005-0000-0000-000049520000}"/>
    <cellStyle name="0_physical_curve 2 5 6" xfId="21080" xr:uid="{00000000-0005-0000-0000-00004A520000}"/>
    <cellStyle name="0_physical_curve 2 5 6 2" xfId="21081" xr:uid="{00000000-0005-0000-0000-00004B520000}"/>
    <cellStyle name="0_physical_curve 2 5 7" xfId="21082" xr:uid="{00000000-0005-0000-0000-00004C520000}"/>
    <cellStyle name="0_physical_curve 2 5 7 2" xfId="21083" xr:uid="{00000000-0005-0000-0000-00004D520000}"/>
    <cellStyle name="0_physical_curve 2 5 8" xfId="21084" xr:uid="{00000000-0005-0000-0000-00004E520000}"/>
    <cellStyle name="0_physical_curve 2 6" xfId="21085" xr:uid="{00000000-0005-0000-0000-00004F520000}"/>
    <cellStyle name="0_physical_curve 2 6 2" xfId="21086" xr:uid="{00000000-0005-0000-0000-000050520000}"/>
    <cellStyle name="0_physical_curve 2 6 2 2" xfId="21087" xr:uid="{00000000-0005-0000-0000-000051520000}"/>
    <cellStyle name="0_physical_curve 2 6 2 2 2" xfId="21088" xr:uid="{00000000-0005-0000-0000-000052520000}"/>
    <cellStyle name="0_physical_curve 2 6 2 2 2 2" xfId="21089" xr:uid="{00000000-0005-0000-0000-000053520000}"/>
    <cellStyle name="0_physical_curve 2 6 2 2 3" xfId="21090" xr:uid="{00000000-0005-0000-0000-000054520000}"/>
    <cellStyle name="0_physical_curve 2 6 2 2 3 2" xfId="21091" xr:uid="{00000000-0005-0000-0000-000055520000}"/>
    <cellStyle name="0_physical_curve 2 6 2 2 4" xfId="21092" xr:uid="{00000000-0005-0000-0000-000056520000}"/>
    <cellStyle name="0_physical_curve 2 6 2 3" xfId="21093" xr:uid="{00000000-0005-0000-0000-000057520000}"/>
    <cellStyle name="0_physical_curve 2 6 2 3 2" xfId="21094" xr:uid="{00000000-0005-0000-0000-000058520000}"/>
    <cellStyle name="0_physical_curve 2 6 2 3 2 2" xfId="21095" xr:uid="{00000000-0005-0000-0000-000059520000}"/>
    <cellStyle name="0_physical_curve 2 6 2 3 3" xfId="21096" xr:uid="{00000000-0005-0000-0000-00005A520000}"/>
    <cellStyle name="0_physical_curve 2 6 2 3 3 2" xfId="21097" xr:uid="{00000000-0005-0000-0000-00005B520000}"/>
    <cellStyle name="0_physical_curve 2 6 2 3 4" xfId="21098" xr:uid="{00000000-0005-0000-0000-00005C520000}"/>
    <cellStyle name="0_physical_curve 2 6 2 4" xfId="21099" xr:uid="{00000000-0005-0000-0000-00005D520000}"/>
    <cellStyle name="0_physical_curve 2 6 2 4 2" xfId="21100" xr:uid="{00000000-0005-0000-0000-00005E520000}"/>
    <cellStyle name="0_physical_curve 2 6 2 5" xfId="21101" xr:uid="{00000000-0005-0000-0000-00005F520000}"/>
    <cellStyle name="0_physical_curve 2 6 2 5 2" xfId="21102" xr:uid="{00000000-0005-0000-0000-000060520000}"/>
    <cellStyle name="0_physical_curve 2 6 2 6" xfId="21103" xr:uid="{00000000-0005-0000-0000-000061520000}"/>
    <cellStyle name="0_physical_curve 2 6 3" xfId="21104" xr:uid="{00000000-0005-0000-0000-000062520000}"/>
    <cellStyle name="0_physical_curve 2 6 3 2" xfId="21105" xr:uid="{00000000-0005-0000-0000-000063520000}"/>
    <cellStyle name="0_physical_curve 2 6 3 2 2" xfId="21106" xr:uid="{00000000-0005-0000-0000-000064520000}"/>
    <cellStyle name="0_physical_curve 2 6 3 3" xfId="21107" xr:uid="{00000000-0005-0000-0000-000065520000}"/>
    <cellStyle name="0_physical_curve 2 6 3 3 2" xfId="21108" xr:uid="{00000000-0005-0000-0000-000066520000}"/>
    <cellStyle name="0_physical_curve 2 6 3 4" xfId="21109" xr:uid="{00000000-0005-0000-0000-000067520000}"/>
    <cellStyle name="0_physical_curve 2 6 4" xfId="21110" xr:uid="{00000000-0005-0000-0000-000068520000}"/>
    <cellStyle name="0_physical_curve 2 6 4 2" xfId="21111" xr:uid="{00000000-0005-0000-0000-000069520000}"/>
    <cellStyle name="0_physical_curve 2 6 4 2 2" xfId="21112" xr:uid="{00000000-0005-0000-0000-00006A520000}"/>
    <cellStyle name="0_physical_curve 2 6 4 3" xfId="21113" xr:uid="{00000000-0005-0000-0000-00006B520000}"/>
    <cellStyle name="0_physical_curve 2 6 4 3 2" xfId="21114" xr:uid="{00000000-0005-0000-0000-00006C520000}"/>
    <cellStyle name="0_physical_curve 2 6 4 4" xfId="21115" xr:uid="{00000000-0005-0000-0000-00006D520000}"/>
    <cellStyle name="0_physical_curve 2 6 5" xfId="21116" xr:uid="{00000000-0005-0000-0000-00006E520000}"/>
    <cellStyle name="0_physical_curve 2 6 5 2" xfId="21117" xr:uid="{00000000-0005-0000-0000-00006F520000}"/>
    <cellStyle name="0_physical_curve 2 6 5 2 2" xfId="21118" xr:uid="{00000000-0005-0000-0000-000070520000}"/>
    <cellStyle name="0_physical_curve 2 6 5 3" xfId="21119" xr:uid="{00000000-0005-0000-0000-000071520000}"/>
    <cellStyle name="0_physical_curve 2 6 5 3 2" xfId="21120" xr:uid="{00000000-0005-0000-0000-000072520000}"/>
    <cellStyle name="0_physical_curve 2 6 5 4" xfId="21121" xr:uid="{00000000-0005-0000-0000-000073520000}"/>
    <cellStyle name="0_physical_curve 2 6 6" xfId="21122" xr:uid="{00000000-0005-0000-0000-000074520000}"/>
    <cellStyle name="0_physical_curve 2 6 6 2" xfId="21123" xr:uid="{00000000-0005-0000-0000-000075520000}"/>
    <cellStyle name="0_physical_curve 2 6 7" xfId="21124" xr:uid="{00000000-0005-0000-0000-000076520000}"/>
    <cellStyle name="0_physical_curve 2 6 7 2" xfId="21125" xr:uid="{00000000-0005-0000-0000-000077520000}"/>
    <cellStyle name="0_physical_curve 2 6 8" xfId="21126" xr:uid="{00000000-0005-0000-0000-000078520000}"/>
    <cellStyle name="0_physical_curve 2 7" xfId="21127" xr:uid="{00000000-0005-0000-0000-000079520000}"/>
    <cellStyle name="0_physical_curve 2 7 2" xfId="21128" xr:uid="{00000000-0005-0000-0000-00007A520000}"/>
    <cellStyle name="0_physical_curve 2 7 2 2" xfId="21129" xr:uid="{00000000-0005-0000-0000-00007B520000}"/>
    <cellStyle name="0_physical_curve 2 7 2 2 2" xfId="21130" xr:uid="{00000000-0005-0000-0000-00007C520000}"/>
    <cellStyle name="0_physical_curve 2 7 2 3" xfId="21131" xr:uid="{00000000-0005-0000-0000-00007D520000}"/>
    <cellStyle name="0_physical_curve 2 7 2 3 2" xfId="21132" xr:uid="{00000000-0005-0000-0000-00007E520000}"/>
    <cellStyle name="0_physical_curve 2 7 2 4" xfId="21133" xr:uid="{00000000-0005-0000-0000-00007F520000}"/>
    <cellStyle name="0_physical_curve 2 7 3" xfId="21134" xr:uid="{00000000-0005-0000-0000-000080520000}"/>
    <cellStyle name="0_physical_curve 2 7 3 2" xfId="21135" xr:uid="{00000000-0005-0000-0000-000081520000}"/>
    <cellStyle name="0_physical_curve 2 7 3 2 2" xfId="21136" xr:uid="{00000000-0005-0000-0000-000082520000}"/>
    <cellStyle name="0_physical_curve 2 7 3 3" xfId="21137" xr:uid="{00000000-0005-0000-0000-000083520000}"/>
    <cellStyle name="0_physical_curve 2 7 3 3 2" xfId="21138" xr:uid="{00000000-0005-0000-0000-000084520000}"/>
    <cellStyle name="0_physical_curve 2 7 3 4" xfId="21139" xr:uid="{00000000-0005-0000-0000-000085520000}"/>
    <cellStyle name="0_physical_curve 2 7 4" xfId="21140" xr:uid="{00000000-0005-0000-0000-000086520000}"/>
    <cellStyle name="0_physical_curve 2 7 4 2" xfId="21141" xr:uid="{00000000-0005-0000-0000-000087520000}"/>
    <cellStyle name="0_physical_curve 2 7 5" xfId="21142" xr:uid="{00000000-0005-0000-0000-000088520000}"/>
    <cellStyle name="0_physical_curve 2 7 5 2" xfId="21143" xr:uid="{00000000-0005-0000-0000-000089520000}"/>
    <cellStyle name="0_physical_curve 2 7 6" xfId="21144" xr:uid="{00000000-0005-0000-0000-00008A520000}"/>
    <cellStyle name="0_physical_curve 2 8" xfId="21145" xr:uid="{00000000-0005-0000-0000-00008B520000}"/>
    <cellStyle name="0_physical_curve 2 8 2" xfId="21146" xr:uid="{00000000-0005-0000-0000-00008C520000}"/>
    <cellStyle name="0_physical_curve 2 8 2 2" xfId="21147" xr:uid="{00000000-0005-0000-0000-00008D520000}"/>
    <cellStyle name="0_physical_curve 2 8 3" xfId="21148" xr:uid="{00000000-0005-0000-0000-00008E520000}"/>
    <cellStyle name="0_physical_curve 2 8 3 2" xfId="21149" xr:uid="{00000000-0005-0000-0000-00008F520000}"/>
    <cellStyle name="0_physical_curve 2 8 4" xfId="21150" xr:uid="{00000000-0005-0000-0000-000090520000}"/>
    <cellStyle name="0_physical_curve 2 9" xfId="21151" xr:uid="{00000000-0005-0000-0000-000091520000}"/>
    <cellStyle name="0_physical_curve 2 9 2" xfId="21152" xr:uid="{00000000-0005-0000-0000-000092520000}"/>
    <cellStyle name="0_physical_curve 2 9 2 2" xfId="21153" xr:uid="{00000000-0005-0000-0000-000093520000}"/>
    <cellStyle name="0_physical_curve 2 9 3" xfId="21154" xr:uid="{00000000-0005-0000-0000-000094520000}"/>
    <cellStyle name="0_physical_curve 2 9 3 2" xfId="21155" xr:uid="{00000000-0005-0000-0000-000095520000}"/>
    <cellStyle name="0_physical_curve 2 9 4" xfId="21156" xr:uid="{00000000-0005-0000-0000-000096520000}"/>
    <cellStyle name="0_physical_curve 20" xfId="21157" xr:uid="{00000000-0005-0000-0000-000097520000}"/>
    <cellStyle name="0_physical_curve 21" xfId="21158" xr:uid="{00000000-0005-0000-0000-000098520000}"/>
    <cellStyle name="0_physical_curve 22" xfId="21159" xr:uid="{00000000-0005-0000-0000-000099520000}"/>
    <cellStyle name="0_physical_curve 3" xfId="21160" xr:uid="{00000000-0005-0000-0000-00009A520000}"/>
    <cellStyle name="0_physical_curve 3 10" xfId="21161" xr:uid="{00000000-0005-0000-0000-00009B520000}"/>
    <cellStyle name="0_physical_curve 3 10 2" xfId="21162" xr:uid="{00000000-0005-0000-0000-00009C520000}"/>
    <cellStyle name="0_physical_curve 3 10 2 2" xfId="21163" xr:uid="{00000000-0005-0000-0000-00009D520000}"/>
    <cellStyle name="0_physical_curve 3 10 3" xfId="21164" xr:uid="{00000000-0005-0000-0000-00009E520000}"/>
    <cellStyle name="0_physical_curve 3 10 3 2" xfId="21165" xr:uid="{00000000-0005-0000-0000-00009F520000}"/>
    <cellStyle name="0_physical_curve 3 10 4" xfId="21166" xr:uid="{00000000-0005-0000-0000-0000A0520000}"/>
    <cellStyle name="0_physical_curve 3 11" xfId="21167" xr:uid="{00000000-0005-0000-0000-0000A1520000}"/>
    <cellStyle name="0_physical_curve 3 11 2" xfId="21168" xr:uid="{00000000-0005-0000-0000-0000A2520000}"/>
    <cellStyle name="0_physical_curve 3 12" xfId="21169" xr:uid="{00000000-0005-0000-0000-0000A3520000}"/>
    <cellStyle name="0_physical_curve 3 12 2" xfId="21170" xr:uid="{00000000-0005-0000-0000-0000A4520000}"/>
    <cellStyle name="0_physical_curve 3 13" xfId="21171" xr:uid="{00000000-0005-0000-0000-0000A5520000}"/>
    <cellStyle name="0_physical_curve 3 2" xfId="21172" xr:uid="{00000000-0005-0000-0000-0000A6520000}"/>
    <cellStyle name="0_physical_curve 3 2 2" xfId="21173" xr:uid="{00000000-0005-0000-0000-0000A7520000}"/>
    <cellStyle name="0_physical_curve 3 2 2 2" xfId="21174" xr:uid="{00000000-0005-0000-0000-0000A8520000}"/>
    <cellStyle name="0_physical_curve 3 2 2 2 2" xfId="21175" xr:uid="{00000000-0005-0000-0000-0000A9520000}"/>
    <cellStyle name="0_physical_curve 3 2 2 2 2 2" xfId="21176" xr:uid="{00000000-0005-0000-0000-0000AA520000}"/>
    <cellStyle name="0_physical_curve 3 2 2 2 3" xfId="21177" xr:uid="{00000000-0005-0000-0000-0000AB520000}"/>
    <cellStyle name="0_physical_curve 3 2 2 2 3 2" xfId="21178" xr:uid="{00000000-0005-0000-0000-0000AC520000}"/>
    <cellStyle name="0_physical_curve 3 2 2 2 4" xfId="21179" xr:uid="{00000000-0005-0000-0000-0000AD520000}"/>
    <cellStyle name="0_physical_curve 3 2 2 3" xfId="21180" xr:uid="{00000000-0005-0000-0000-0000AE520000}"/>
    <cellStyle name="0_physical_curve 3 2 2 3 2" xfId="21181" xr:uid="{00000000-0005-0000-0000-0000AF520000}"/>
    <cellStyle name="0_physical_curve 3 2 2 3 2 2" xfId="21182" xr:uid="{00000000-0005-0000-0000-0000B0520000}"/>
    <cellStyle name="0_physical_curve 3 2 2 3 3" xfId="21183" xr:uid="{00000000-0005-0000-0000-0000B1520000}"/>
    <cellStyle name="0_physical_curve 3 2 2 3 3 2" xfId="21184" xr:uid="{00000000-0005-0000-0000-0000B2520000}"/>
    <cellStyle name="0_physical_curve 3 2 2 3 4" xfId="21185" xr:uid="{00000000-0005-0000-0000-0000B3520000}"/>
    <cellStyle name="0_physical_curve 3 2 2 4" xfId="21186" xr:uid="{00000000-0005-0000-0000-0000B4520000}"/>
    <cellStyle name="0_physical_curve 3 2 2 4 2" xfId="21187" xr:uid="{00000000-0005-0000-0000-0000B5520000}"/>
    <cellStyle name="0_physical_curve 3 2 2 5" xfId="21188" xr:uid="{00000000-0005-0000-0000-0000B6520000}"/>
    <cellStyle name="0_physical_curve 3 2 2 5 2" xfId="21189" xr:uid="{00000000-0005-0000-0000-0000B7520000}"/>
    <cellStyle name="0_physical_curve 3 2 2 6" xfId="21190" xr:uid="{00000000-0005-0000-0000-0000B8520000}"/>
    <cellStyle name="0_physical_curve 3 2 3" xfId="21191" xr:uid="{00000000-0005-0000-0000-0000B9520000}"/>
    <cellStyle name="0_physical_curve 3 2 3 2" xfId="21192" xr:uid="{00000000-0005-0000-0000-0000BA520000}"/>
    <cellStyle name="0_physical_curve 3 2 3 2 2" xfId="21193" xr:uid="{00000000-0005-0000-0000-0000BB520000}"/>
    <cellStyle name="0_physical_curve 3 2 3 3" xfId="21194" xr:uid="{00000000-0005-0000-0000-0000BC520000}"/>
    <cellStyle name="0_physical_curve 3 2 3 3 2" xfId="21195" xr:uid="{00000000-0005-0000-0000-0000BD520000}"/>
    <cellStyle name="0_physical_curve 3 2 3 4" xfId="21196" xr:uid="{00000000-0005-0000-0000-0000BE520000}"/>
    <cellStyle name="0_physical_curve 3 2 4" xfId="21197" xr:uid="{00000000-0005-0000-0000-0000BF520000}"/>
    <cellStyle name="0_physical_curve 3 2 4 2" xfId="21198" xr:uid="{00000000-0005-0000-0000-0000C0520000}"/>
    <cellStyle name="0_physical_curve 3 2 4 2 2" xfId="21199" xr:uid="{00000000-0005-0000-0000-0000C1520000}"/>
    <cellStyle name="0_physical_curve 3 2 4 3" xfId="21200" xr:uid="{00000000-0005-0000-0000-0000C2520000}"/>
    <cellStyle name="0_physical_curve 3 2 4 3 2" xfId="21201" xr:uid="{00000000-0005-0000-0000-0000C3520000}"/>
    <cellStyle name="0_physical_curve 3 2 4 4" xfId="21202" xr:uid="{00000000-0005-0000-0000-0000C4520000}"/>
    <cellStyle name="0_physical_curve 3 2 5" xfId="21203" xr:uid="{00000000-0005-0000-0000-0000C5520000}"/>
    <cellStyle name="0_physical_curve 3 2 5 2" xfId="21204" xr:uid="{00000000-0005-0000-0000-0000C6520000}"/>
    <cellStyle name="0_physical_curve 3 2 5 2 2" xfId="21205" xr:uid="{00000000-0005-0000-0000-0000C7520000}"/>
    <cellStyle name="0_physical_curve 3 2 5 3" xfId="21206" xr:uid="{00000000-0005-0000-0000-0000C8520000}"/>
    <cellStyle name="0_physical_curve 3 2 5 3 2" xfId="21207" xr:uid="{00000000-0005-0000-0000-0000C9520000}"/>
    <cellStyle name="0_physical_curve 3 2 5 4" xfId="21208" xr:uid="{00000000-0005-0000-0000-0000CA520000}"/>
    <cellStyle name="0_physical_curve 3 2 6" xfId="21209" xr:uid="{00000000-0005-0000-0000-0000CB520000}"/>
    <cellStyle name="0_physical_curve 3 2 6 2" xfId="21210" xr:uid="{00000000-0005-0000-0000-0000CC520000}"/>
    <cellStyle name="0_physical_curve 3 2 7" xfId="21211" xr:uid="{00000000-0005-0000-0000-0000CD520000}"/>
    <cellStyle name="0_physical_curve 3 2 7 2" xfId="21212" xr:uid="{00000000-0005-0000-0000-0000CE520000}"/>
    <cellStyle name="0_physical_curve 3 2 8" xfId="21213" xr:uid="{00000000-0005-0000-0000-0000CF520000}"/>
    <cellStyle name="0_physical_curve 3 3" xfId="21214" xr:uid="{00000000-0005-0000-0000-0000D0520000}"/>
    <cellStyle name="0_physical_curve 3 3 2" xfId="21215" xr:uid="{00000000-0005-0000-0000-0000D1520000}"/>
    <cellStyle name="0_physical_curve 3 3 2 2" xfId="21216" xr:uid="{00000000-0005-0000-0000-0000D2520000}"/>
    <cellStyle name="0_physical_curve 3 3 2 2 2" xfId="21217" xr:uid="{00000000-0005-0000-0000-0000D3520000}"/>
    <cellStyle name="0_physical_curve 3 3 2 2 2 2" xfId="21218" xr:uid="{00000000-0005-0000-0000-0000D4520000}"/>
    <cellStyle name="0_physical_curve 3 3 2 2 3" xfId="21219" xr:uid="{00000000-0005-0000-0000-0000D5520000}"/>
    <cellStyle name="0_physical_curve 3 3 2 2 3 2" xfId="21220" xr:uid="{00000000-0005-0000-0000-0000D6520000}"/>
    <cellStyle name="0_physical_curve 3 3 2 2 4" xfId="21221" xr:uid="{00000000-0005-0000-0000-0000D7520000}"/>
    <cellStyle name="0_physical_curve 3 3 2 3" xfId="21222" xr:uid="{00000000-0005-0000-0000-0000D8520000}"/>
    <cellStyle name="0_physical_curve 3 3 2 3 2" xfId="21223" xr:uid="{00000000-0005-0000-0000-0000D9520000}"/>
    <cellStyle name="0_physical_curve 3 3 2 3 2 2" xfId="21224" xr:uid="{00000000-0005-0000-0000-0000DA520000}"/>
    <cellStyle name="0_physical_curve 3 3 2 3 3" xfId="21225" xr:uid="{00000000-0005-0000-0000-0000DB520000}"/>
    <cellStyle name="0_physical_curve 3 3 2 3 3 2" xfId="21226" xr:uid="{00000000-0005-0000-0000-0000DC520000}"/>
    <cellStyle name="0_physical_curve 3 3 2 3 4" xfId="21227" xr:uid="{00000000-0005-0000-0000-0000DD520000}"/>
    <cellStyle name="0_physical_curve 3 3 2 4" xfId="21228" xr:uid="{00000000-0005-0000-0000-0000DE520000}"/>
    <cellStyle name="0_physical_curve 3 3 2 4 2" xfId="21229" xr:uid="{00000000-0005-0000-0000-0000DF520000}"/>
    <cellStyle name="0_physical_curve 3 3 2 5" xfId="21230" xr:uid="{00000000-0005-0000-0000-0000E0520000}"/>
    <cellStyle name="0_physical_curve 3 3 2 5 2" xfId="21231" xr:uid="{00000000-0005-0000-0000-0000E1520000}"/>
    <cellStyle name="0_physical_curve 3 3 2 6" xfId="21232" xr:uid="{00000000-0005-0000-0000-0000E2520000}"/>
    <cellStyle name="0_physical_curve 3 3 3" xfId="21233" xr:uid="{00000000-0005-0000-0000-0000E3520000}"/>
    <cellStyle name="0_physical_curve 3 3 3 2" xfId="21234" xr:uid="{00000000-0005-0000-0000-0000E4520000}"/>
    <cellStyle name="0_physical_curve 3 3 3 2 2" xfId="21235" xr:uid="{00000000-0005-0000-0000-0000E5520000}"/>
    <cellStyle name="0_physical_curve 3 3 3 3" xfId="21236" xr:uid="{00000000-0005-0000-0000-0000E6520000}"/>
    <cellStyle name="0_physical_curve 3 3 3 3 2" xfId="21237" xr:uid="{00000000-0005-0000-0000-0000E7520000}"/>
    <cellStyle name="0_physical_curve 3 3 3 4" xfId="21238" xr:uid="{00000000-0005-0000-0000-0000E8520000}"/>
    <cellStyle name="0_physical_curve 3 3 4" xfId="21239" xr:uid="{00000000-0005-0000-0000-0000E9520000}"/>
    <cellStyle name="0_physical_curve 3 3 4 2" xfId="21240" xr:uid="{00000000-0005-0000-0000-0000EA520000}"/>
    <cellStyle name="0_physical_curve 3 3 4 2 2" xfId="21241" xr:uid="{00000000-0005-0000-0000-0000EB520000}"/>
    <cellStyle name="0_physical_curve 3 3 4 3" xfId="21242" xr:uid="{00000000-0005-0000-0000-0000EC520000}"/>
    <cellStyle name="0_physical_curve 3 3 4 3 2" xfId="21243" xr:uid="{00000000-0005-0000-0000-0000ED520000}"/>
    <cellStyle name="0_physical_curve 3 3 4 4" xfId="21244" xr:uid="{00000000-0005-0000-0000-0000EE520000}"/>
    <cellStyle name="0_physical_curve 3 3 5" xfId="21245" xr:uid="{00000000-0005-0000-0000-0000EF520000}"/>
    <cellStyle name="0_physical_curve 3 3 5 2" xfId="21246" xr:uid="{00000000-0005-0000-0000-0000F0520000}"/>
    <cellStyle name="0_physical_curve 3 3 5 2 2" xfId="21247" xr:uid="{00000000-0005-0000-0000-0000F1520000}"/>
    <cellStyle name="0_physical_curve 3 3 5 3" xfId="21248" xr:uid="{00000000-0005-0000-0000-0000F2520000}"/>
    <cellStyle name="0_physical_curve 3 3 5 3 2" xfId="21249" xr:uid="{00000000-0005-0000-0000-0000F3520000}"/>
    <cellStyle name="0_physical_curve 3 3 5 4" xfId="21250" xr:uid="{00000000-0005-0000-0000-0000F4520000}"/>
    <cellStyle name="0_physical_curve 3 3 6" xfId="21251" xr:uid="{00000000-0005-0000-0000-0000F5520000}"/>
    <cellStyle name="0_physical_curve 3 3 6 2" xfId="21252" xr:uid="{00000000-0005-0000-0000-0000F6520000}"/>
    <cellStyle name="0_physical_curve 3 3 7" xfId="21253" xr:uid="{00000000-0005-0000-0000-0000F7520000}"/>
    <cellStyle name="0_physical_curve 3 3 7 2" xfId="21254" xr:uid="{00000000-0005-0000-0000-0000F8520000}"/>
    <cellStyle name="0_physical_curve 3 3 8" xfId="21255" xr:uid="{00000000-0005-0000-0000-0000F9520000}"/>
    <cellStyle name="0_physical_curve 3 4" xfId="21256" xr:uid="{00000000-0005-0000-0000-0000FA520000}"/>
    <cellStyle name="0_physical_curve 3 4 2" xfId="21257" xr:uid="{00000000-0005-0000-0000-0000FB520000}"/>
    <cellStyle name="0_physical_curve 3 4 2 2" xfId="21258" xr:uid="{00000000-0005-0000-0000-0000FC520000}"/>
    <cellStyle name="0_physical_curve 3 4 2 2 2" xfId="21259" xr:uid="{00000000-0005-0000-0000-0000FD520000}"/>
    <cellStyle name="0_physical_curve 3 4 2 2 2 2" xfId="21260" xr:uid="{00000000-0005-0000-0000-0000FE520000}"/>
    <cellStyle name="0_physical_curve 3 4 2 2 3" xfId="21261" xr:uid="{00000000-0005-0000-0000-0000FF520000}"/>
    <cellStyle name="0_physical_curve 3 4 2 2 3 2" xfId="21262" xr:uid="{00000000-0005-0000-0000-000000530000}"/>
    <cellStyle name="0_physical_curve 3 4 2 2 4" xfId="21263" xr:uid="{00000000-0005-0000-0000-000001530000}"/>
    <cellStyle name="0_physical_curve 3 4 2 3" xfId="21264" xr:uid="{00000000-0005-0000-0000-000002530000}"/>
    <cellStyle name="0_physical_curve 3 4 2 3 2" xfId="21265" xr:uid="{00000000-0005-0000-0000-000003530000}"/>
    <cellStyle name="0_physical_curve 3 4 2 3 2 2" xfId="21266" xr:uid="{00000000-0005-0000-0000-000004530000}"/>
    <cellStyle name="0_physical_curve 3 4 2 3 3" xfId="21267" xr:uid="{00000000-0005-0000-0000-000005530000}"/>
    <cellStyle name="0_physical_curve 3 4 2 3 3 2" xfId="21268" xr:uid="{00000000-0005-0000-0000-000006530000}"/>
    <cellStyle name="0_physical_curve 3 4 2 3 4" xfId="21269" xr:uid="{00000000-0005-0000-0000-000007530000}"/>
    <cellStyle name="0_physical_curve 3 4 2 4" xfId="21270" xr:uid="{00000000-0005-0000-0000-000008530000}"/>
    <cellStyle name="0_physical_curve 3 4 2 4 2" xfId="21271" xr:uid="{00000000-0005-0000-0000-000009530000}"/>
    <cellStyle name="0_physical_curve 3 4 2 5" xfId="21272" xr:uid="{00000000-0005-0000-0000-00000A530000}"/>
    <cellStyle name="0_physical_curve 3 4 2 5 2" xfId="21273" xr:uid="{00000000-0005-0000-0000-00000B530000}"/>
    <cellStyle name="0_physical_curve 3 4 2 6" xfId="21274" xr:uid="{00000000-0005-0000-0000-00000C530000}"/>
    <cellStyle name="0_physical_curve 3 4 3" xfId="21275" xr:uid="{00000000-0005-0000-0000-00000D530000}"/>
    <cellStyle name="0_physical_curve 3 4 3 2" xfId="21276" xr:uid="{00000000-0005-0000-0000-00000E530000}"/>
    <cellStyle name="0_physical_curve 3 4 3 2 2" xfId="21277" xr:uid="{00000000-0005-0000-0000-00000F530000}"/>
    <cellStyle name="0_physical_curve 3 4 3 3" xfId="21278" xr:uid="{00000000-0005-0000-0000-000010530000}"/>
    <cellStyle name="0_physical_curve 3 4 3 3 2" xfId="21279" xr:uid="{00000000-0005-0000-0000-000011530000}"/>
    <cellStyle name="0_physical_curve 3 4 3 4" xfId="21280" xr:uid="{00000000-0005-0000-0000-000012530000}"/>
    <cellStyle name="0_physical_curve 3 4 4" xfId="21281" xr:uid="{00000000-0005-0000-0000-000013530000}"/>
    <cellStyle name="0_physical_curve 3 4 4 2" xfId="21282" xr:uid="{00000000-0005-0000-0000-000014530000}"/>
    <cellStyle name="0_physical_curve 3 4 4 2 2" xfId="21283" xr:uid="{00000000-0005-0000-0000-000015530000}"/>
    <cellStyle name="0_physical_curve 3 4 4 3" xfId="21284" xr:uid="{00000000-0005-0000-0000-000016530000}"/>
    <cellStyle name="0_physical_curve 3 4 4 3 2" xfId="21285" xr:uid="{00000000-0005-0000-0000-000017530000}"/>
    <cellStyle name="0_physical_curve 3 4 4 4" xfId="21286" xr:uid="{00000000-0005-0000-0000-000018530000}"/>
    <cellStyle name="0_physical_curve 3 4 5" xfId="21287" xr:uid="{00000000-0005-0000-0000-000019530000}"/>
    <cellStyle name="0_physical_curve 3 4 5 2" xfId="21288" xr:uid="{00000000-0005-0000-0000-00001A530000}"/>
    <cellStyle name="0_physical_curve 3 4 5 2 2" xfId="21289" xr:uid="{00000000-0005-0000-0000-00001B530000}"/>
    <cellStyle name="0_physical_curve 3 4 5 3" xfId="21290" xr:uid="{00000000-0005-0000-0000-00001C530000}"/>
    <cellStyle name="0_physical_curve 3 4 5 3 2" xfId="21291" xr:uid="{00000000-0005-0000-0000-00001D530000}"/>
    <cellStyle name="0_physical_curve 3 4 5 4" xfId="21292" xr:uid="{00000000-0005-0000-0000-00001E530000}"/>
    <cellStyle name="0_physical_curve 3 4 6" xfId="21293" xr:uid="{00000000-0005-0000-0000-00001F530000}"/>
    <cellStyle name="0_physical_curve 3 4 6 2" xfId="21294" xr:uid="{00000000-0005-0000-0000-000020530000}"/>
    <cellStyle name="0_physical_curve 3 4 7" xfId="21295" xr:uid="{00000000-0005-0000-0000-000021530000}"/>
    <cellStyle name="0_physical_curve 3 4 7 2" xfId="21296" xr:uid="{00000000-0005-0000-0000-000022530000}"/>
    <cellStyle name="0_physical_curve 3 4 8" xfId="21297" xr:uid="{00000000-0005-0000-0000-000023530000}"/>
    <cellStyle name="0_physical_curve 3 5" xfId="21298" xr:uid="{00000000-0005-0000-0000-000024530000}"/>
    <cellStyle name="0_physical_curve 3 5 2" xfId="21299" xr:uid="{00000000-0005-0000-0000-000025530000}"/>
    <cellStyle name="0_physical_curve 3 5 2 2" xfId="21300" xr:uid="{00000000-0005-0000-0000-000026530000}"/>
    <cellStyle name="0_physical_curve 3 5 2 2 2" xfId="21301" xr:uid="{00000000-0005-0000-0000-000027530000}"/>
    <cellStyle name="0_physical_curve 3 5 2 2 2 2" xfId="21302" xr:uid="{00000000-0005-0000-0000-000028530000}"/>
    <cellStyle name="0_physical_curve 3 5 2 2 3" xfId="21303" xr:uid="{00000000-0005-0000-0000-000029530000}"/>
    <cellStyle name="0_physical_curve 3 5 2 2 3 2" xfId="21304" xr:uid="{00000000-0005-0000-0000-00002A530000}"/>
    <cellStyle name="0_physical_curve 3 5 2 2 4" xfId="21305" xr:uid="{00000000-0005-0000-0000-00002B530000}"/>
    <cellStyle name="0_physical_curve 3 5 2 3" xfId="21306" xr:uid="{00000000-0005-0000-0000-00002C530000}"/>
    <cellStyle name="0_physical_curve 3 5 2 3 2" xfId="21307" xr:uid="{00000000-0005-0000-0000-00002D530000}"/>
    <cellStyle name="0_physical_curve 3 5 2 3 2 2" xfId="21308" xr:uid="{00000000-0005-0000-0000-00002E530000}"/>
    <cellStyle name="0_physical_curve 3 5 2 3 3" xfId="21309" xr:uid="{00000000-0005-0000-0000-00002F530000}"/>
    <cellStyle name="0_physical_curve 3 5 2 3 3 2" xfId="21310" xr:uid="{00000000-0005-0000-0000-000030530000}"/>
    <cellStyle name="0_physical_curve 3 5 2 3 4" xfId="21311" xr:uid="{00000000-0005-0000-0000-000031530000}"/>
    <cellStyle name="0_physical_curve 3 5 2 4" xfId="21312" xr:uid="{00000000-0005-0000-0000-000032530000}"/>
    <cellStyle name="0_physical_curve 3 5 2 4 2" xfId="21313" xr:uid="{00000000-0005-0000-0000-000033530000}"/>
    <cellStyle name="0_physical_curve 3 5 2 5" xfId="21314" xr:uid="{00000000-0005-0000-0000-000034530000}"/>
    <cellStyle name="0_physical_curve 3 5 2 5 2" xfId="21315" xr:uid="{00000000-0005-0000-0000-000035530000}"/>
    <cellStyle name="0_physical_curve 3 5 2 6" xfId="21316" xr:uid="{00000000-0005-0000-0000-000036530000}"/>
    <cellStyle name="0_physical_curve 3 5 3" xfId="21317" xr:uid="{00000000-0005-0000-0000-000037530000}"/>
    <cellStyle name="0_physical_curve 3 5 3 2" xfId="21318" xr:uid="{00000000-0005-0000-0000-000038530000}"/>
    <cellStyle name="0_physical_curve 3 5 3 2 2" xfId="21319" xr:uid="{00000000-0005-0000-0000-000039530000}"/>
    <cellStyle name="0_physical_curve 3 5 3 3" xfId="21320" xr:uid="{00000000-0005-0000-0000-00003A530000}"/>
    <cellStyle name="0_physical_curve 3 5 3 3 2" xfId="21321" xr:uid="{00000000-0005-0000-0000-00003B530000}"/>
    <cellStyle name="0_physical_curve 3 5 3 4" xfId="21322" xr:uid="{00000000-0005-0000-0000-00003C530000}"/>
    <cellStyle name="0_physical_curve 3 5 4" xfId="21323" xr:uid="{00000000-0005-0000-0000-00003D530000}"/>
    <cellStyle name="0_physical_curve 3 5 4 2" xfId="21324" xr:uid="{00000000-0005-0000-0000-00003E530000}"/>
    <cellStyle name="0_physical_curve 3 5 4 2 2" xfId="21325" xr:uid="{00000000-0005-0000-0000-00003F530000}"/>
    <cellStyle name="0_physical_curve 3 5 4 3" xfId="21326" xr:uid="{00000000-0005-0000-0000-000040530000}"/>
    <cellStyle name="0_physical_curve 3 5 4 3 2" xfId="21327" xr:uid="{00000000-0005-0000-0000-000041530000}"/>
    <cellStyle name="0_physical_curve 3 5 4 4" xfId="21328" xr:uid="{00000000-0005-0000-0000-000042530000}"/>
    <cellStyle name="0_physical_curve 3 5 5" xfId="21329" xr:uid="{00000000-0005-0000-0000-000043530000}"/>
    <cellStyle name="0_physical_curve 3 5 5 2" xfId="21330" xr:uid="{00000000-0005-0000-0000-000044530000}"/>
    <cellStyle name="0_physical_curve 3 5 5 2 2" xfId="21331" xr:uid="{00000000-0005-0000-0000-000045530000}"/>
    <cellStyle name="0_physical_curve 3 5 5 3" xfId="21332" xr:uid="{00000000-0005-0000-0000-000046530000}"/>
    <cellStyle name="0_physical_curve 3 5 5 3 2" xfId="21333" xr:uid="{00000000-0005-0000-0000-000047530000}"/>
    <cellStyle name="0_physical_curve 3 5 5 4" xfId="21334" xr:uid="{00000000-0005-0000-0000-000048530000}"/>
    <cellStyle name="0_physical_curve 3 5 6" xfId="21335" xr:uid="{00000000-0005-0000-0000-000049530000}"/>
    <cellStyle name="0_physical_curve 3 5 6 2" xfId="21336" xr:uid="{00000000-0005-0000-0000-00004A530000}"/>
    <cellStyle name="0_physical_curve 3 5 7" xfId="21337" xr:uid="{00000000-0005-0000-0000-00004B530000}"/>
    <cellStyle name="0_physical_curve 3 5 7 2" xfId="21338" xr:uid="{00000000-0005-0000-0000-00004C530000}"/>
    <cellStyle name="0_physical_curve 3 5 8" xfId="21339" xr:uid="{00000000-0005-0000-0000-00004D530000}"/>
    <cellStyle name="0_physical_curve 3 6" xfId="21340" xr:uid="{00000000-0005-0000-0000-00004E530000}"/>
    <cellStyle name="0_physical_curve 3 6 2" xfId="21341" xr:uid="{00000000-0005-0000-0000-00004F530000}"/>
    <cellStyle name="0_physical_curve 3 6 2 2" xfId="21342" xr:uid="{00000000-0005-0000-0000-000050530000}"/>
    <cellStyle name="0_physical_curve 3 6 2 2 2" xfId="21343" xr:uid="{00000000-0005-0000-0000-000051530000}"/>
    <cellStyle name="0_physical_curve 3 6 2 2 2 2" xfId="21344" xr:uid="{00000000-0005-0000-0000-000052530000}"/>
    <cellStyle name="0_physical_curve 3 6 2 2 3" xfId="21345" xr:uid="{00000000-0005-0000-0000-000053530000}"/>
    <cellStyle name="0_physical_curve 3 6 2 2 3 2" xfId="21346" xr:uid="{00000000-0005-0000-0000-000054530000}"/>
    <cellStyle name="0_physical_curve 3 6 2 2 4" xfId="21347" xr:uid="{00000000-0005-0000-0000-000055530000}"/>
    <cellStyle name="0_physical_curve 3 6 2 3" xfId="21348" xr:uid="{00000000-0005-0000-0000-000056530000}"/>
    <cellStyle name="0_physical_curve 3 6 2 3 2" xfId="21349" xr:uid="{00000000-0005-0000-0000-000057530000}"/>
    <cellStyle name="0_physical_curve 3 6 2 3 2 2" xfId="21350" xr:uid="{00000000-0005-0000-0000-000058530000}"/>
    <cellStyle name="0_physical_curve 3 6 2 3 3" xfId="21351" xr:uid="{00000000-0005-0000-0000-000059530000}"/>
    <cellStyle name="0_physical_curve 3 6 2 3 3 2" xfId="21352" xr:uid="{00000000-0005-0000-0000-00005A530000}"/>
    <cellStyle name="0_physical_curve 3 6 2 3 4" xfId="21353" xr:uid="{00000000-0005-0000-0000-00005B530000}"/>
    <cellStyle name="0_physical_curve 3 6 2 4" xfId="21354" xr:uid="{00000000-0005-0000-0000-00005C530000}"/>
    <cellStyle name="0_physical_curve 3 6 2 4 2" xfId="21355" xr:uid="{00000000-0005-0000-0000-00005D530000}"/>
    <cellStyle name="0_physical_curve 3 6 2 5" xfId="21356" xr:uid="{00000000-0005-0000-0000-00005E530000}"/>
    <cellStyle name="0_physical_curve 3 6 2 5 2" xfId="21357" xr:uid="{00000000-0005-0000-0000-00005F530000}"/>
    <cellStyle name="0_physical_curve 3 6 2 6" xfId="21358" xr:uid="{00000000-0005-0000-0000-000060530000}"/>
    <cellStyle name="0_physical_curve 3 6 3" xfId="21359" xr:uid="{00000000-0005-0000-0000-000061530000}"/>
    <cellStyle name="0_physical_curve 3 6 3 2" xfId="21360" xr:uid="{00000000-0005-0000-0000-000062530000}"/>
    <cellStyle name="0_physical_curve 3 6 3 2 2" xfId="21361" xr:uid="{00000000-0005-0000-0000-000063530000}"/>
    <cellStyle name="0_physical_curve 3 6 3 3" xfId="21362" xr:uid="{00000000-0005-0000-0000-000064530000}"/>
    <cellStyle name="0_physical_curve 3 6 3 3 2" xfId="21363" xr:uid="{00000000-0005-0000-0000-000065530000}"/>
    <cellStyle name="0_physical_curve 3 6 3 4" xfId="21364" xr:uid="{00000000-0005-0000-0000-000066530000}"/>
    <cellStyle name="0_physical_curve 3 6 4" xfId="21365" xr:uid="{00000000-0005-0000-0000-000067530000}"/>
    <cellStyle name="0_physical_curve 3 6 4 2" xfId="21366" xr:uid="{00000000-0005-0000-0000-000068530000}"/>
    <cellStyle name="0_physical_curve 3 6 4 2 2" xfId="21367" xr:uid="{00000000-0005-0000-0000-000069530000}"/>
    <cellStyle name="0_physical_curve 3 6 4 3" xfId="21368" xr:uid="{00000000-0005-0000-0000-00006A530000}"/>
    <cellStyle name="0_physical_curve 3 6 4 3 2" xfId="21369" xr:uid="{00000000-0005-0000-0000-00006B530000}"/>
    <cellStyle name="0_physical_curve 3 6 4 4" xfId="21370" xr:uid="{00000000-0005-0000-0000-00006C530000}"/>
    <cellStyle name="0_physical_curve 3 6 5" xfId="21371" xr:uid="{00000000-0005-0000-0000-00006D530000}"/>
    <cellStyle name="0_physical_curve 3 6 5 2" xfId="21372" xr:uid="{00000000-0005-0000-0000-00006E530000}"/>
    <cellStyle name="0_physical_curve 3 6 5 2 2" xfId="21373" xr:uid="{00000000-0005-0000-0000-00006F530000}"/>
    <cellStyle name="0_physical_curve 3 6 5 3" xfId="21374" xr:uid="{00000000-0005-0000-0000-000070530000}"/>
    <cellStyle name="0_physical_curve 3 6 5 3 2" xfId="21375" xr:uid="{00000000-0005-0000-0000-000071530000}"/>
    <cellStyle name="0_physical_curve 3 6 5 4" xfId="21376" xr:uid="{00000000-0005-0000-0000-000072530000}"/>
    <cellStyle name="0_physical_curve 3 6 6" xfId="21377" xr:uid="{00000000-0005-0000-0000-000073530000}"/>
    <cellStyle name="0_physical_curve 3 6 6 2" xfId="21378" xr:uid="{00000000-0005-0000-0000-000074530000}"/>
    <cellStyle name="0_physical_curve 3 6 7" xfId="21379" xr:uid="{00000000-0005-0000-0000-000075530000}"/>
    <cellStyle name="0_physical_curve 3 6 7 2" xfId="21380" xr:uid="{00000000-0005-0000-0000-000076530000}"/>
    <cellStyle name="0_physical_curve 3 6 8" xfId="21381" xr:uid="{00000000-0005-0000-0000-000077530000}"/>
    <cellStyle name="0_physical_curve 3 7" xfId="21382" xr:uid="{00000000-0005-0000-0000-000078530000}"/>
    <cellStyle name="0_physical_curve 3 7 2" xfId="21383" xr:uid="{00000000-0005-0000-0000-000079530000}"/>
    <cellStyle name="0_physical_curve 3 7 2 2" xfId="21384" xr:uid="{00000000-0005-0000-0000-00007A530000}"/>
    <cellStyle name="0_physical_curve 3 7 2 2 2" xfId="21385" xr:uid="{00000000-0005-0000-0000-00007B530000}"/>
    <cellStyle name="0_physical_curve 3 7 2 3" xfId="21386" xr:uid="{00000000-0005-0000-0000-00007C530000}"/>
    <cellStyle name="0_physical_curve 3 7 2 3 2" xfId="21387" xr:uid="{00000000-0005-0000-0000-00007D530000}"/>
    <cellStyle name="0_physical_curve 3 7 2 4" xfId="21388" xr:uid="{00000000-0005-0000-0000-00007E530000}"/>
    <cellStyle name="0_physical_curve 3 7 3" xfId="21389" xr:uid="{00000000-0005-0000-0000-00007F530000}"/>
    <cellStyle name="0_physical_curve 3 7 3 2" xfId="21390" xr:uid="{00000000-0005-0000-0000-000080530000}"/>
    <cellStyle name="0_physical_curve 3 7 3 2 2" xfId="21391" xr:uid="{00000000-0005-0000-0000-000081530000}"/>
    <cellStyle name="0_physical_curve 3 7 3 3" xfId="21392" xr:uid="{00000000-0005-0000-0000-000082530000}"/>
    <cellStyle name="0_physical_curve 3 7 3 3 2" xfId="21393" xr:uid="{00000000-0005-0000-0000-000083530000}"/>
    <cellStyle name="0_physical_curve 3 7 3 4" xfId="21394" xr:uid="{00000000-0005-0000-0000-000084530000}"/>
    <cellStyle name="0_physical_curve 3 7 4" xfId="21395" xr:uid="{00000000-0005-0000-0000-000085530000}"/>
    <cellStyle name="0_physical_curve 3 7 4 2" xfId="21396" xr:uid="{00000000-0005-0000-0000-000086530000}"/>
    <cellStyle name="0_physical_curve 3 7 5" xfId="21397" xr:uid="{00000000-0005-0000-0000-000087530000}"/>
    <cellStyle name="0_physical_curve 3 7 5 2" xfId="21398" xr:uid="{00000000-0005-0000-0000-000088530000}"/>
    <cellStyle name="0_physical_curve 3 7 6" xfId="21399" xr:uid="{00000000-0005-0000-0000-000089530000}"/>
    <cellStyle name="0_physical_curve 3 8" xfId="21400" xr:uid="{00000000-0005-0000-0000-00008A530000}"/>
    <cellStyle name="0_physical_curve 3 8 2" xfId="21401" xr:uid="{00000000-0005-0000-0000-00008B530000}"/>
    <cellStyle name="0_physical_curve 3 8 2 2" xfId="21402" xr:uid="{00000000-0005-0000-0000-00008C530000}"/>
    <cellStyle name="0_physical_curve 3 8 3" xfId="21403" xr:uid="{00000000-0005-0000-0000-00008D530000}"/>
    <cellStyle name="0_physical_curve 3 8 3 2" xfId="21404" xr:uid="{00000000-0005-0000-0000-00008E530000}"/>
    <cellStyle name="0_physical_curve 3 8 4" xfId="21405" xr:uid="{00000000-0005-0000-0000-00008F530000}"/>
    <cellStyle name="0_physical_curve 3 9" xfId="21406" xr:uid="{00000000-0005-0000-0000-000090530000}"/>
    <cellStyle name="0_physical_curve 3 9 2" xfId="21407" xr:uid="{00000000-0005-0000-0000-000091530000}"/>
    <cellStyle name="0_physical_curve 3 9 2 2" xfId="21408" xr:uid="{00000000-0005-0000-0000-000092530000}"/>
    <cellStyle name="0_physical_curve 3 9 3" xfId="21409" xr:uid="{00000000-0005-0000-0000-000093530000}"/>
    <cellStyle name="0_physical_curve 3 9 3 2" xfId="21410" xr:uid="{00000000-0005-0000-0000-000094530000}"/>
    <cellStyle name="0_physical_curve 3 9 4" xfId="21411" xr:uid="{00000000-0005-0000-0000-000095530000}"/>
    <cellStyle name="0_physical_curve 4" xfId="21412" xr:uid="{00000000-0005-0000-0000-000096530000}"/>
    <cellStyle name="0_physical_curve 4 10" xfId="21413" xr:uid="{00000000-0005-0000-0000-000097530000}"/>
    <cellStyle name="0_physical_curve 4 10 2" xfId="21414" xr:uid="{00000000-0005-0000-0000-000098530000}"/>
    <cellStyle name="0_physical_curve 4 10 2 2" xfId="21415" xr:uid="{00000000-0005-0000-0000-000099530000}"/>
    <cellStyle name="0_physical_curve 4 10 3" xfId="21416" xr:uid="{00000000-0005-0000-0000-00009A530000}"/>
    <cellStyle name="0_physical_curve 4 10 3 2" xfId="21417" xr:uid="{00000000-0005-0000-0000-00009B530000}"/>
    <cellStyle name="0_physical_curve 4 10 4" xfId="21418" xr:uid="{00000000-0005-0000-0000-00009C530000}"/>
    <cellStyle name="0_physical_curve 4 11" xfId="21419" xr:uid="{00000000-0005-0000-0000-00009D530000}"/>
    <cellStyle name="0_physical_curve 4 11 2" xfId="21420" xr:uid="{00000000-0005-0000-0000-00009E530000}"/>
    <cellStyle name="0_physical_curve 4 12" xfId="21421" xr:uid="{00000000-0005-0000-0000-00009F530000}"/>
    <cellStyle name="0_physical_curve 4 12 2" xfId="21422" xr:uid="{00000000-0005-0000-0000-0000A0530000}"/>
    <cellStyle name="0_physical_curve 4 13" xfId="21423" xr:uid="{00000000-0005-0000-0000-0000A1530000}"/>
    <cellStyle name="0_physical_curve 4 2" xfId="21424" xr:uid="{00000000-0005-0000-0000-0000A2530000}"/>
    <cellStyle name="0_physical_curve 4 2 2" xfId="21425" xr:uid="{00000000-0005-0000-0000-0000A3530000}"/>
    <cellStyle name="0_physical_curve 4 2 2 2" xfId="21426" xr:uid="{00000000-0005-0000-0000-0000A4530000}"/>
    <cellStyle name="0_physical_curve 4 2 2 2 2" xfId="21427" xr:uid="{00000000-0005-0000-0000-0000A5530000}"/>
    <cellStyle name="0_physical_curve 4 2 2 2 2 2" xfId="21428" xr:uid="{00000000-0005-0000-0000-0000A6530000}"/>
    <cellStyle name="0_physical_curve 4 2 2 2 3" xfId="21429" xr:uid="{00000000-0005-0000-0000-0000A7530000}"/>
    <cellStyle name="0_physical_curve 4 2 2 2 3 2" xfId="21430" xr:uid="{00000000-0005-0000-0000-0000A8530000}"/>
    <cellStyle name="0_physical_curve 4 2 2 2 4" xfId="21431" xr:uid="{00000000-0005-0000-0000-0000A9530000}"/>
    <cellStyle name="0_physical_curve 4 2 2 3" xfId="21432" xr:uid="{00000000-0005-0000-0000-0000AA530000}"/>
    <cellStyle name="0_physical_curve 4 2 2 3 2" xfId="21433" xr:uid="{00000000-0005-0000-0000-0000AB530000}"/>
    <cellStyle name="0_physical_curve 4 2 2 3 2 2" xfId="21434" xr:uid="{00000000-0005-0000-0000-0000AC530000}"/>
    <cellStyle name="0_physical_curve 4 2 2 3 3" xfId="21435" xr:uid="{00000000-0005-0000-0000-0000AD530000}"/>
    <cellStyle name="0_physical_curve 4 2 2 3 3 2" xfId="21436" xr:uid="{00000000-0005-0000-0000-0000AE530000}"/>
    <cellStyle name="0_physical_curve 4 2 2 3 4" xfId="21437" xr:uid="{00000000-0005-0000-0000-0000AF530000}"/>
    <cellStyle name="0_physical_curve 4 2 2 4" xfId="21438" xr:uid="{00000000-0005-0000-0000-0000B0530000}"/>
    <cellStyle name="0_physical_curve 4 2 2 4 2" xfId="21439" xr:uid="{00000000-0005-0000-0000-0000B1530000}"/>
    <cellStyle name="0_physical_curve 4 2 2 5" xfId="21440" xr:uid="{00000000-0005-0000-0000-0000B2530000}"/>
    <cellStyle name="0_physical_curve 4 2 2 5 2" xfId="21441" xr:uid="{00000000-0005-0000-0000-0000B3530000}"/>
    <cellStyle name="0_physical_curve 4 2 2 6" xfId="21442" xr:uid="{00000000-0005-0000-0000-0000B4530000}"/>
    <cellStyle name="0_physical_curve 4 2 3" xfId="21443" xr:uid="{00000000-0005-0000-0000-0000B5530000}"/>
    <cellStyle name="0_physical_curve 4 2 3 2" xfId="21444" xr:uid="{00000000-0005-0000-0000-0000B6530000}"/>
    <cellStyle name="0_physical_curve 4 2 3 2 2" xfId="21445" xr:uid="{00000000-0005-0000-0000-0000B7530000}"/>
    <cellStyle name="0_physical_curve 4 2 3 3" xfId="21446" xr:uid="{00000000-0005-0000-0000-0000B8530000}"/>
    <cellStyle name="0_physical_curve 4 2 3 3 2" xfId="21447" xr:uid="{00000000-0005-0000-0000-0000B9530000}"/>
    <cellStyle name="0_physical_curve 4 2 3 4" xfId="21448" xr:uid="{00000000-0005-0000-0000-0000BA530000}"/>
    <cellStyle name="0_physical_curve 4 2 4" xfId="21449" xr:uid="{00000000-0005-0000-0000-0000BB530000}"/>
    <cellStyle name="0_physical_curve 4 2 4 2" xfId="21450" xr:uid="{00000000-0005-0000-0000-0000BC530000}"/>
    <cellStyle name="0_physical_curve 4 2 4 2 2" xfId="21451" xr:uid="{00000000-0005-0000-0000-0000BD530000}"/>
    <cellStyle name="0_physical_curve 4 2 4 3" xfId="21452" xr:uid="{00000000-0005-0000-0000-0000BE530000}"/>
    <cellStyle name="0_physical_curve 4 2 4 3 2" xfId="21453" xr:uid="{00000000-0005-0000-0000-0000BF530000}"/>
    <cellStyle name="0_physical_curve 4 2 4 4" xfId="21454" xr:uid="{00000000-0005-0000-0000-0000C0530000}"/>
    <cellStyle name="0_physical_curve 4 2 5" xfId="21455" xr:uid="{00000000-0005-0000-0000-0000C1530000}"/>
    <cellStyle name="0_physical_curve 4 2 5 2" xfId="21456" xr:uid="{00000000-0005-0000-0000-0000C2530000}"/>
    <cellStyle name="0_physical_curve 4 2 5 2 2" xfId="21457" xr:uid="{00000000-0005-0000-0000-0000C3530000}"/>
    <cellStyle name="0_physical_curve 4 2 5 3" xfId="21458" xr:uid="{00000000-0005-0000-0000-0000C4530000}"/>
    <cellStyle name="0_physical_curve 4 2 5 3 2" xfId="21459" xr:uid="{00000000-0005-0000-0000-0000C5530000}"/>
    <cellStyle name="0_physical_curve 4 2 5 4" xfId="21460" xr:uid="{00000000-0005-0000-0000-0000C6530000}"/>
    <cellStyle name="0_physical_curve 4 2 6" xfId="21461" xr:uid="{00000000-0005-0000-0000-0000C7530000}"/>
    <cellStyle name="0_physical_curve 4 2 6 2" xfId="21462" xr:uid="{00000000-0005-0000-0000-0000C8530000}"/>
    <cellStyle name="0_physical_curve 4 2 7" xfId="21463" xr:uid="{00000000-0005-0000-0000-0000C9530000}"/>
    <cellStyle name="0_physical_curve 4 2 7 2" xfId="21464" xr:uid="{00000000-0005-0000-0000-0000CA530000}"/>
    <cellStyle name="0_physical_curve 4 2 8" xfId="21465" xr:uid="{00000000-0005-0000-0000-0000CB530000}"/>
    <cellStyle name="0_physical_curve 4 3" xfId="21466" xr:uid="{00000000-0005-0000-0000-0000CC530000}"/>
    <cellStyle name="0_physical_curve 4 3 2" xfId="21467" xr:uid="{00000000-0005-0000-0000-0000CD530000}"/>
    <cellStyle name="0_physical_curve 4 3 2 2" xfId="21468" xr:uid="{00000000-0005-0000-0000-0000CE530000}"/>
    <cellStyle name="0_physical_curve 4 3 2 2 2" xfId="21469" xr:uid="{00000000-0005-0000-0000-0000CF530000}"/>
    <cellStyle name="0_physical_curve 4 3 2 2 2 2" xfId="21470" xr:uid="{00000000-0005-0000-0000-0000D0530000}"/>
    <cellStyle name="0_physical_curve 4 3 2 2 3" xfId="21471" xr:uid="{00000000-0005-0000-0000-0000D1530000}"/>
    <cellStyle name="0_physical_curve 4 3 2 2 3 2" xfId="21472" xr:uid="{00000000-0005-0000-0000-0000D2530000}"/>
    <cellStyle name="0_physical_curve 4 3 2 2 4" xfId="21473" xr:uid="{00000000-0005-0000-0000-0000D3530000}"/>
    <cellStyle name="0_physical_curve 4 3 2 3" xfId="21474" xr:uid="{00000000-0005-0000-0000-0000D4530000}"/>
    <cellStyle name="0_physical_curve 4 3 2 3 2" xfId="21475" xr:uid="{00000000-0005-0000-0000-0000D5530000}"/>
    <cellStyle name="0_physical_curve 4 3 2 3 2 2" xfId="21476" xr:uid="{00000000-0005-0000-0000-0000D6530000}"/>
    <cellStyle name="0_physical_curve 4 3 2 3 3" xfId="21477" xr:uid="{00000000-0005-0000-0000-0000D7530000}"/>
    <cellStyle name="0_physical_curve 4 3 2 3 3 2" xfId="21478" xr:uid="{00000000-0005-0000-0000-0000D8530000}"/>
    <cellStyle name="0_physical_curve 4 3 2 3 4" xfId="21479" xr:uid="{00000000-0005-0000-0000-0000D9530000}"/>
    <cellStyle name="0_physical_curve 4 3 2 4" xfId="21480" xr:uid="{00000000-0005-0000-0000-0000DA530000}"/>
    <cellStyle name="0_physical_curve 4 3 2 4 2" xfId="21481" xr:uid="{00000000-0005-0000-0000-0000DB530000}"/>
    <cellStyle name="0_physical_curve 4 3 2 5" xfId="21482" xr:uid="{00000000-0005-0000-0000-0000DC530000}"/>
    <cellStyle name="0_physical_curve 4 3 2 5 2" xfId="21483" xr:uid="{00000000-0005-0000-0000-0000DD530000}"/>
    <cellStyle name="0_physical_curve 4 3 2 6" xfId="21484" xr:uid="{00000000-0005-0000-0000-0000DE530000}"/>
    <cellStyle name="0_physical_curve 4 3 3" xfId="21485" xr:uid="{00000000-0005-0000-0000-0000DF530000}"/>
    <cellStyle name="0_physical_curve 4 3 3 2" xfId="21486" xr:uid="{00000000-0005-0000-0000-0000E0530000}"/>
    <cellStyle name="0_physical_curve 4 3 3 2 2" xfId="21487" xr:uid="{00000000-0005-0000-0000-0000E1530000}"/>
    <cellStyle name="0_physical_curve 4 3 3 3" xfId="21488" xr:uid="{00000000-0005-0000-0000-0000E2530000}"/>
    <cellStyle name="0_physical_curve 4 3 3 3 2" xfId="21489" xr:uid="{00000000-0005-0000-0000-0000E3530000}"/>
    <cellStyle name="0_physical_curve 4 3 3 4" xfId="21490" xr:uid="{00000000-0005-0000-0000-0000E4530000}"/>
    <cellStyle name="0_physical_curve 4 3 4" xfId="21491" xr:uid="{00000000-0005-0000-0000-0000E5530000}"/>
    <cellStyle name="0_physical_curve 4 3 4 2" xfId="21492" xr:uid="{00000000-0005-0000-0000-0000E6530000}"/>
    <cellStyle name="0_physical_curve 4 3 4 2 2" xfId="21493" xr:uid="{00000000-0005-0000-0000-0000E7530000}"/>
    <cellStyle name="0_physical_curve 4 3 4 3" xfId="21494" xr:uid="{00000000-0005-0000-0000-0000E8530000}"/>
    <cellStyle name="0_physical_curve 4 3 4 3 2" xfId="21495" xr:uid="{00000000-0005-0000-0000-0000E9530000}"/>
    <cellStyle name="0_physical_curve 4 3 4 4" xfId="21496" xr:uid="{00000000-0005-0000-0000-0000EA530000}"/>
    <cellStyle name="0_physical_curve 4 3 5" xfId="21497" xr:uid="{00000000-0005-0000-0000-0000EB530000}"/>
    <cellStyle name="0_physical_curve 4 3 5 2" xfId="21498" xr:uid="{00000000-0005-0000-0000-0000EC530000}"/>
    <cellStyle name="0_physical_curve 4 3 5 2 2" xfId="21499" xr:uid="{00000000-0005-0000-0000-0000ED530000}"/>
    <cellStyle name="0_physical_curve 4 3 5 3" xfId="21500" xr:uid="{00000000-0005-0000-0000-0000EE530000}"/>
    <cellStyle name="0_physical_curve 4 3 5 3 2" xfId="21501" xr:uid="{00000000-0005-0000-0000-0000EF530000}"/>
    <cellStyle name="0_physical_curve 4 3 5 4" xfId="21502" xr:uid="{00000000-0005-0000-0000-0000F0530000}"/>
    <cellStyle name="0_physical_curve 4 3 6" xfId="21503" xr:uid="{00000000-0005-0000-0000-0000F1530000}"/>
    <cellStyle name="0_physical_curve 4 3 6 2" xfId="21504" xr:uid="{00000000-0005-0000-0000-0000F2530000}"/>
    <cellStyle name="0_physical_curve 4 3 7" xfId="21505" xr:uid="{00000000-0005-0000-0000-0000F3530000}"/>
    <cellStyle name="0_physical_curve 4 3 7 2" xfId="21506" xr:uid="{00000000-0005-0000-0000-0000F4530000}"/>
    <cellStyle name="0_physical_curve 4 3 8" xfId="21507" xr:uid="{00000000-0005-0000-0000-0000F5530000}"/>
    <cellStyle name="0_physical_curve 4 4" xfId="21508" xr:uid="{00000000-0005-0000-0000-0000F6530000}"/>
    <cellStyle name="0_physical_curve 4 4 2" xfId="21509" xr:uid="{00000000-0005-0000-0000-0000F7530000}"/>
    <cellStyle name="0_physical_curve 4 4 2 2" xfId="21510" xr:uid="{00000000-0005-0000-0000-0000F8530000}"/>
    <cellStyle name="0_physical_curve 4 4 2 2 2" xfId="21511" xr:uid="{00000000-0005-0000-0000-0000F9530000}"/>
    <cellStyle name="0_physical_curve 4 4 2 2 2 2" xfId="21512" xr:uid="{00000000-0005-0000-0000-0000FA530000}"/>
    <cellStyle name="0_physical_curve 4 4 2 2 3" xfId="21513" xr:uid="{00000000-0005-0000-0000-0000FB530000}"/>
    <cellStyle name="0_physical_curve 4 4 2 2 3 2" xfId="21514" xr:uid="{00000000-0005-0000-0000-0000FC530000}"/>
    <cellStyle name="0_physical_curve 4 4 2 2 4" xfId="21515" xr:uid="{00000000-0005-0000-0000-0000FD530000}"/>
    <cellStyle name="0_physical_curve 4 4 2 3" xfId="21516" xr:uid="{00000000-0005-0000-0000-0000FE530000}"/>
    <cellStyle name="0_physical_curve 4 4 2 3 2" xfId="21517" xr:uid="{00000000-0005-0000-0000-0000FF530000}"/>
    <cellStyle name="0_physical_curve 4 4 2 3 2 2" xfId="21518" xr:uid="{00000000-0005-0000-0000-000000540000}"/>
    <cellStyle name="0_physical_curve 4 4 2 3 3" xfId="21519" xr:uid="{00000000-0005-0000-0000-000001540000}"/>
    <cellStyle name="0_physical_curve 4 4 2 3 3 2" xfId="21520" xr:uid="{00000000-0005-0000-0000-000002540000}"/>
    <cellStyle name="0_physical_curve 4 4 2 3 4" xfId="21521" xr:uid="{00000000-0005-0000-0000-000003540000}"/>
    <cellStyle name="0_physical_curve 4 4 2 4" xfId="21522" xr:uid="{00000000-0005-0000-0000-000004540000}"/>
    <cellStyle name="0_physical_curve 4 4 2 4 2" xfId="21523" xr:uid="{00000000-0005-0000-0000-000005540000}"/>
    <cellStyle name="0_physical_curve 4 4 2 5" xfId="21524" xr:uid="{00000000-0005-0000-0000-000006540000}"/>
    <cellStyle name="0_physical_curve 4 4 2 5 2" xfId="21525" xr:uid="{00000000-0005-0000-0000-000007540000}"/>
    <cellStyle name="0_physical_curve 4 4 2 6" xfId="21526" xr:uid="{00000000-0005-0000-0000-000008540000}"/>
    <cellStyle name="0_physical_curve 4 4 3" xfId="21527" xr:uid="{00000000-0005-0000-0000-000009540000}"/>
    <cellStyle name="0_physical_curve 4 4 3 2" xfId="21528" xr:uid="{00000000-0005-0000-0000-00000A540000}"/>
    <cellStyle name="0_physical_curve 4 4 3 2 2" xfId="21529" xr:uid="{00000000-0005-0000-0000-00000B540000}"/>
    <cellStyle name="0_physical_curve 4 4 3 3" xfId="21530" xr:uid="{00000000-0005-0000-0000-00000C540000}"/>
    <cellStyle name="0_physical_curve 4 4 3 3 2" xfId="21531" xr:uid="{00000000-0005-0000-0000-00000D540000}"/>
    <cellStyle name="0_physical_curve 4 4 3 4" xfId="21532" xr:uid="{00000000-0005-0000-0000-00000E540000}"/>
    <cellStyle name="0_physical_curve 4 4 4" xfId="21533" xr:uid="{00000000-0005-0000-0000-00000F540000}"/>
    <cellStyle name="0_physical_curve 4 4 4 2" xfId="21534" xr:uid="{00000000-0005-0000-0000-000010540000}"/>
    <cellStyle name="0_physical_curve 4 4 4 2 2" xfId="21535" xr:uid="{00000000-0005-0000-0000-000011540000}"/>
    <cellStyle name="0_physical_curve 4 4 4 3" xfId="21536" xr:uid="{00000000-0005-0000-0000-000012540000}"/>
    <cellStyle name="0_physical_curve 4 4 4 3 2" xfId="21537" xr:uid="{00000000-0005-0000-0000-000013540000}"/>
    <cellStyle name="0_physical_curve 4 4 4 4" xfId="21538" xr:uid="{00000000-0005-0000-0000-000014540000}"/>
    <cellStyle name="0_physical_curve 4 4 5" xfId="21539" xr:uid="{00000000-0005-0000-0000-000015540000}"/>
    <cellStyle name="0_physical_curve 4 4 5 2" xfId="21540" xr:uid="{00000000-0005-0000-0000-000016540000}"/>
    <cellStyle name="0_physical_curve 4 4 5 2 2" xfId="21541" xr:uid="{00000000-0005-0000-0000-000017540000}"/>
    <cellStyle name="0_physical_curve 4 4 5 3" xfId="21542" xr:uid="{00000000-0005-0000-0000-000018540000}"/>
    <cellStyle name="0_physical_curve 4 4 5 3 2" xfId="21543" xr:uid="{00000000-0005-0000-0000-000019540000}"/>
    <cellStyle name="0_physical_curve 4 4 5 4" xfId="21544" xr:uid="{00000000-0005-0000-0000-00001A540000}"/>
    <cellStyle name="0_physical_curve 4 4 6" xfId="21545" xr:uid="{00000000-0005-0000-0000-00001B540000}"/>
    <cellStyle name="0_physical_curve 4 4 6 2" xfId="21546" xr:uid="{00000000-0005-0000-0000-00001C540000}"/>
    <cellStyle name="0_physical_curve 4 4 7" xfId="21547" xr:uid="{00000000-0005-0000-0000-00001D540000}"/>
    <cellStyle name="0_physical_curve 4 4 7 2" xfId="21548" xr:uid="{00000000-0005-0000-0000-00001E540000}"/>
    <cellStyle name="0_physical_curve 4 4 8" xfId="21549" xr:uid="{00000000-0005-0000-0000-00001F540000}"/>
    <cellStyle name="0_physical_curve 4 5" xfId="21550" xr:uid="{00000000-0005-0000-0000-000020540000}"/>
    <cellStyle name="0_physical_curve 4 5 2" xfId="21551" xr:uid="{00000000-0005-0000-0000-000021540000}"/>
    <cellStyle name="0_physical_curve 4 5 2 2" xfId="21552" xr:uid="{00000000-0005-0000-0000-000022540000}"/>
    <cellStyle name="0_physical_curve 4 5 2 2 2" xfId="21553" xr:uid="{00000000-0005-0000-0000-000023540000}"/>
    <cellStyle name="0_physical_curve 4 5 2 2 2 2" xfId="21554" xr:uid="{00000000-0005-0000-0000-000024540000}"/>
    <cellStyle name="0_physical_curve 4 5 2 2 3" xfId="21555" xr:uid="{00000000-0005-0000-0000-000025540000}"/>
    <cellStyle name="0_physical_curve 4 5 2 2 3 2" xfId="21556" xr:uid="{00000000-0005-0000-0000-000026540000}"/>
    <cellStyle name="0_physical_curve 4 5 2 2 4" xfId="21557" xr:uid="{00000000-0005-0000-0000-000027540000}"/>
    <cellStyle name="0_physical_curve 4 5 2 3" xfId="21558" xr:uid="{00000000-0005-0000-0000-000028540000}"/>
    <cellStyle name="0_physical_curve 4 5 2 3 2" xfId="21559" xr:uid="{00000000-0005-0000-0000-000029540000}"/>
    <cellStyle name="0_physical_curve 4 5 2 3 2 2" xfId="21560" xr:uid="{00000000-0005-0000-0000-00002A540000}"/>
    <cellStyle name="0_physical_curve 4 5 2 3 3" xfId="21561" xr:uid="{00000000-0005-0000-0000-00002B540000}"/>
    <cellStyle name="0_physical_curve 4 5 2 3 3 2" xfId="21562" xr:uid="{00000000-0005-0000-0000-00002C540000}"/>
    <cellStyle name="0_physical_curve 4 5 2 3 4" xfId="21563" xr:uid="{00000000-0005-0000-0000-00002D540000}"/>
    <cellStyle name="0_physical_curve 4 5 2 4" xfId="21564" xr:uid="{00000000-0005-0000-0000-00002E540000}"/>
    <cellStyle name="0_physical_curve 4 5 2 4 2" xfId="21565" xr:uid="{00000000-0005-0000-0000-00002F540000}"/>
    <cellStyle name="0_physical_curve 4 5 2 5" xfId="21566" xr:uid="{00000000-0005-0000-0000-000030540000}"/>
    <cellStyle name="0_physical_curve 4 5 2 5 2" xfId="21567" xr:uid="{00000000-0005-0000-0000-000031540000}"/>
    <cellStyle name="0_physical_curve 4 5 2 6" xfId="21568" xr:uid="{00000000-0005-0000-0000-000032540000}"/>
    <cellStyle name="0_physical_curve 4 5 3" xfId="21569" xr:uid="{00000000-0005-0000-0000-000033540000}"/>
    <cellStyle name="0_physical_curve 4 5 3 2" xfId="21570" xr:uid="{00000000-0005-0000-0000-000034540000}"/>
    <cellStyle name="0_physical_curve 4 5 3 2 2" xfId="21571" xr:uid="{00000000-0005-0000-0000-000035540000}"/>
    <cellStyle name="0_physical_curve 4 5 3 3" xfId="21572" xr:uid="{00000000-0005-0000-0000-000036540000}"/>
    <cellStyle name="0_physical_curve 4 5 3 3 2" xfId="21573" xr:uid="{00000000-0005-0000-0000-000037540000}"/>
    <cellStyle name="0_physical_curve 4 5 3 4" xfId="21574" xr:uid="{00000000-0005-0000-0000-000038540000}"/>
    <cellStyle name="0_physical_curve 4 5 4" xfId="21575" xr:uid="{00000000-0005-0000-0000-000039540000}"/>
    <cellStyle name="0_physical_curve 4 5 4 2" xfId="21576" xr:uid="{00000000-0005-0000-0000-00003A540000}"/>
    <cellStyle name="0_physical_curve 4 5 4 2 2" xfId="21577" xr:uid="{00000000-0005-0000-0000-00003B540000}"/>
    <cellStyle name="0_physical_curve 4 5 4 3" xfId="21578" xr:uid="{00000000-0005-0000-0000-00003C540000}"/>
    <cellStyle name="0_physical_curve 4 5 4 3 2" xfId="21579" xr:uid="{00000000-0005-0000-0000-00003D540000}"/>
    <cellStyle name="0_physical_curve 4 5 4 4" xfId="21580" xr:uid="{00000000-0005-0000-0000-00003E540000}"/>
    <cellStyle name="0_physical_curve 4 5 5" xfId="21581" xr:uid="{00000000-0005-0000-0000-00003F540000}"/>
    <cellStyle name="0_physical_curve 4 5 5 2" xfId="21582" xr:uid="{00000000-0005-0000-0000-000040540000}"/>
    <cellStyle name="0_physical_curve 4 5 5 2 2" xfId="21583" xr:uid="{00000000-0005-0000-0000-000041540000}"/>
    <cellStyle name="0_physical_curve 4 5 5 3" xfId="21584" xr:uid="{00000000-0005-0000-0000-000042540000}"/>
    <cellStyle name="0_physical_curve 4 5 5 3 2" xfId="21585" xr:uid="{00000000-0005-0000-0000-000043540000}"/>
    <cellStyle name="0_physical_curve 4 5 5 4" xfId="21586" xr:uid="{00000000-0005-0000-0000-000044540000}"/>
    <cellStyle name="0_physical_curve 4 5 6" xfId="21587" xr:uid="{00000000-0005-0000-0000-000045540000}"/>
    <cellStyle name="0_physical_curve 4 5 6 2" xfId="21588" xr:uid="{00000000-0005-0000-0000-000046540000}"/>
    <cellStyle name="0_physical_curve 4 5 7" xfId="21589" xr:uid="{00000000-0005-0000-0000-000047540000}"/>
    <cellStyle name="0_physical_curve 4 5 7 2" xfId="21590" xr:uid="{00000000-0005-0000-0000-000048540000}"/>
    <cellStyle name="0_physical_curve 4 5 8" xfId="21591" xr:uid="{00000000-0005-0000-0000-000049540000}"/>
    <cellStyle name="0_physical_curve 4 6" xfId="21592" xr:uid="{00000000-0005-0000-0000-00004A540000}"/>
    <cellStyle name="0_physical_curve 4 6 2" xfId="21593" xr:uid="{00000000-0005-0000-0000-00004B540000}"/>
    <cellStyle name="0_physical_curve 4 6 2 2" xfId="21594" xr:uid="{00000000-0005-0000-0000-00004C540000}"/>
    <cellStyle name="0_physical_curve 4 6 2 2 2" xfId="21595" xr:uid="{00000000-0005-0000-0000-00004D540000}"/>
    <cellStyle name="0_physical_curve 4 6 2 2 2 2" xfId="21596" xr:uid="{00000000-0005-0000-0000-00004E540000}"/>
    <cellStyle name="0_physical_curve 4 6 2 2 3" xfId="21597" xr:uid="{00000000-0005-0000-0000-00004F540000}"/>
    <cellStyle name="0_physical_curve 4 6 2 2 3 2" xfId="21598" xr:uid="{00000000-0005-0000-0000-000050540000}"/>
    <cellStyle name="0_physical_curve 4 6 2 2 4" xfId="21599" xr:uid="{00000000-0005-0000-0000-000051540000}"/>
    <cellStyle name="0_physical_curve 4 6 2 3" xfId="21600" xr:uid="{00000000-0005-0000-0000-000052540000}"/>
    <cellStyle name="0_physical_curve 4 6 2 3 2" xfId="21601" xr:uid="{00000000-0005-0000-0000-000053540000}"/>
    <cellStyle name="0_physical_curve 4 6 2 3 2 2" xfId="21602" xr:uid="{00000000-0005-0000-0000-000054540000}"/>
    <cellStyle name="0_physical_curve 4 6 2 3 3" xfId="21603" xr:uid="{00000000-0005-0000-0000-000055540000}"/>
    <cellStyle name="0_physical_curve 4 6 2 3 3 2" xfId="21604" xr:uid="{00000000-0005-0000-0000-000056540000}"/>
    <cellStyle name="0_physical_curve 4 6 2 3 4" xfId="21605" xr:uid="{00000000-0005-0000-0000-000057540000}"/>
    <cellStyle name="0_physical_curve 4 6 2 4" xfId="21606" xr:uid="{00000000-0005-0000-0000-000058540000}"/>
    <cellStyle name="0_physical_curve 4 6 2 4 2" xfId="21607" xr:uid="{00000000-0005-0000-0000-000059540000}"/>
    <cellStyle name="0_physical_curve 4 6 2 5" xfId="21608" xr:uid="{00000000-0005-0000-0000-00005A540000}"/>
    <cellStyle name="0_physical_curve 4 6 2 5 2" xfId="21609" xr:uid="{00000000-0005-0000-0000-00005B540000}"/>
    <cellStyle name="0_physical_curve 4 6 2 6" xfId="21610" xr:uid="{00000000-0005-0000-0000-00005C540000}"/>
    <cellStyle name="0_physical_curve 4 6 3" xfId="21611" xr:uid="{00000000-0005-0000-0000-00005D540000}"/>
    <cellStyle name="0_physical_curve 4 6 3 2" xfId="21612" xr:uid="{00000000-0005-0000-0000-00005E540000}"/>
    <cellStyle name="0_physical_curve 4 6 3 2 2" xfId="21613" xr:uid="{00000000-0005-0000-0000-00005F540000}"/>
    <cellStyle name="0_physical_curve 4 6 3 3" xfId="21614" xr:uid="{00000000-0005-0000-0000-000060540000}"/>
    <cellStyle name="0_physical_curve 4 6 3 3 2" xfId="21615" xr:uid="{00000000-0005-0000-0000-000061540000}"/>
    <cellStyle name="0_physical_curve 4 6 3 4" xfId="21616" xr:uid="{00000000-0005-0000-0000-000062540000}"/>
    <cellStyle name="0_physical_curve 4 6 4" xfId="21617" xr:uid="{00000000-0005-0000-0000-000063540000}"/>
    <cellStyle name="0_physical_curve 4 6 4 2" xfId="21618" xr:uid="{00000000-0005-0000-0000-000064540000}"/>
    <cellStyle name="0_physical_curve 4 6 4 2 2" xfId="21619" xr:uid="{00000000-0005-0000-0000-000065540000}"/>
    <cellStyle name="0_physical_curve 4 6 4 3" xfId="21620" xr:uid="{00000000-0005-0000-0000-000066540000}"/>
    <cellStyle name="0_physical_curve 4 6 4 3 2" xfId="21621" xr:uid="{00000000-0005-0000-0000-000067540000}"/>
    <cellStyle name="0_physical_curve 4 6 4 4" xfId="21622" xr:uid="{00000000-0005-0000-0000-000068540000}"/>
    <cellStyle name="0_physical_curve 4 6 5" xfId="21623" xr:uid="{00000000-0005-0000-0000-000069540000}"/>
    <cellStyle name="0_physical_curve 4 6 5 2" xfId="21624" xr:uid="{00000000-0005-0000-0000-00006A540000}"/>
    <cellStyle name="0_physical_curve 4 6 5 2 2" xfId="21625" xr:uid="{00000000-0005-0000-0000-00006B540000}"/>
    <cellStyle name="0_physical_curve 4 6 5 3" xfId="21626" xr:uid="{00000000-0005-0000-0000-00006C540000}"/>
    <cellStyle name="0_physical_curve 4 6 5 3 2" xfId="21627" xr:uid="{00000000-0005-0000-0000-00006D540000}"/>
    <cellStyle name="0_physical_curve 4 6 5 4" xfId="21628" xr:uid="{00000000-0005-0000-0000-00006E540000}"/>
    <cellStyle name="0_physical_curve 4 6 6" xfId="21629" xr:uid="{00000000-0005-0000-0000-00006F540000}"/>
    <cellStyle name="0_physical_curve 4 6 6 2" xfId="21630" xr:uid="{00000000-0005-0000-0000-000070540000}"/>
    <cellStyle name="0_physical_curve 4 6 7" xfId="21631" xr:uid="{00000000-0005-0000-0000-000071540000}"/>
    <cellStyle name="0_physical_curve 4 6 7 2" xfId="21632" xr:uid="{00000000-0005-0000-0000-000072540000}"/>
    <cellStyle name="0_physical_curve 4 6 8" xfId="21633" xr:uid="{00000000-0005-0000-0000-000073540000}"/>
    <cellStyle name="0_physical_curve 4 7" xfId="21634" xr:uid="{00000000-0005-0000-0000-000074540000}"/>
    <cellStyle name="0_physical_curve 4 7 2" xfId="21635" xr:uid="{00000000-0005-0000-0000-000075540000}"/>
    <cellStyle name="0_physical_curve 4 7 2 2" xfId="21636" xr:uid="{00000000-0005-0000-0000-000076540000}"/>
    <cellStyle name="0_physical_curve 4 7 2 2 2" xfId="21637" xr:uid="{00000000-0005-0000-0000-000077540000}"/>
    <cellStyle name="0_physical_curve 4 7 2 3" xfId="21638" xr:uid="{00000000-0005-0000-0000-000078540000}"/>
    <cellStyle name="0_physical_curve 4 7 2 3 2" xfId="21639" xr:uid="{00000000-0005-0000-0000-000079540000}"/>
    <cellStyle name="0_physical_curve 4 7 2 4" xfId="21640" xr:uid="{00000000-0005-0000-0000-00007A540000}"/>
    <cellStyle name="0_physical_curve 4 7 3" xfId="21641" xr:uid="{00000000-0005-0000-0000-00007B540000}"/>
    <cellStyle name="0_physical_curve 4 7 3 2" xfId="21642" xr:uid="{00000000-0005-0000-0000-00007C540000}"/>
    <cellStyle name="0_physical_curve 4 7 3 2 2" xfId="21643" xr:uid="{00000000-0005-0000-0000-00007D540000}"/>
    <cellStyle name="0_physical_curve 4 7 3 3" xfId="21644" xr:uid="{00000000-0005-0000-0000-00007E540000}"/>
    <cellStyle name="0_physical_curve 4 7 3 3 2" xfId="21645" xr:uid="{00000000-0005-0000-0000-00007F540000}"/>
    <cellStyle name="0_physical_curve 4 7 3 4" xfId="21646" xr:uid="{00000000-0005-0000-0000-000080540000}"/>
    <cellStyle name="0_physical_curve 4 7 4" xfId="21647" xr:uid="{00000000-0005-0000-0000-000081540000}"/>
    <cellStyle name="0_physical_curve 4 7 4 2" xfId="21648" xr:uid="{00000000-0005-0000-0000-000082540000}"/>
    <cellStyle name="0_physical_curve 4 7 5" xfId="21649" xr:uid="{00000000-0005-0000-0000-000083540000}"/>
    <cellStyle name="0_physical_curve 4 7 5 2" xfId="21650" xr:uid="{00000000-0005-0000-0000-000084540000}"/>
    <cellStyle name="0_physical_curve 4 7 6" xfId="21651" xr:uid="{00000000-0005-0000-0000-000085540000}"/>
    <cellStyle name="0_physical_curve 4 8" xfId="21652" xr:uid="{00000000-0005-0000-0000-000086540000}"/>
    <cellStyle name="0_physical_curve 4 8 2" xfId="21653" xr:uid="{00000000-0005-0000-0000-000087540000}"/>
    <cellStyle name="0_physical_curve 4 8 2 2" xfId="21654" xr:uid="{00000000-0005-0000-0000-000088540000}"/>
    <cellStyle name="0_physical_curve 4 8 3" xfId="21655" xr:uid="{00000000-0005-0000-0000-000089540000}"/>
    <cellStyle name="0_physical_curve 4 8 3 2" xfId="21656" xr:uid="{00000000-0005-0000-0000-00008A540000}"/>
    <cellStyle name="0_physical_curve 4 8 4" xfId="21657" xr:uid="{00000000-0005-0000-0000-00008B540000}"/>
    <cellStyle name="0_physical_curve 4 9" xfId="21658" xr:uid="{00000000-0005-0000-0000-00008C540000}"/>
    <cellStyle name="0_physical_curve 4 9 2" xfId="21659" xr:uid="{00000000-0005-0000-0000-00008D540000}"/>
    <cellStyle name="0_physical_curve 4 9 2 2" xfId="21660" xr:uid="{00000000-0005-0000-0000-00008E540000}"/>
    <cellStyle name="0_physical_curve 4 9 3" xfId="21661" xr:uid="{00000000-0005-0000-0000-00008F540000}"/>
    <cellStyle name="0_physical_curve 4 9 3 2" xfId="21662" xr:uid="{00000000-0005-0000-0000-000090540000}"/>
    <cellStyle name="0_physical_curve 4 9 4" xfId="21663" xr:uid="{00000000-0005-0000-0000-000091540000}"/>
    <cellStyle name="0_physical_curve 5" xfId="21664" xr:uid="{00000000-0005-0000-0000-000092540000}"/>
    <cellStyle name="0_physical_curve 5 10" xfId="21665" xr:uid="{00000000-0005-0000-0000-000093540000}"/>
    <cellStyle name="0_physical_curve 5 10 2" xfId="21666" xr:uid="{00000000-0005-0000-0000-000094540000}"/>
    <cellStyle name="0_physical_curve 5 10 2 2" xfId="21667" xr:uid="{00000000-0005-0000-0000-000095540000}"/>
    <cellStyle name="0_physical_curve 5 10 3" xfId="21668" xr:uid="{00000000-0005-0000-0000-000096540000}"/>
    <cellStyle name="0_physical_curve 5 10 3 2" xfId="21669" xr:uid="{00000000-0005-0000-0000-000097540000}"/>
    <cellStyle name="0_physical_curve 5 10 4" xfId="21670" xr:uid="{00000000-0005-0000-0000-000098540000}"/>
    <cellStyle name="0_physical_curve 5 11" xfId="21671" xr:uid="{00000000-0005-0000-0000-000099540000}"/>
    <cellStyle name="0_physical_curve 5 11 2" xfId="21672" xr:uid="{00000000-0005-0000-0000-00009A540000}"/>
    <cellStyle name="0_physical_curve 5 12" xfId="21673" xr:uid="{00000000-0005-0000-0000-00009B540000}"/>
    <cellStyle name="0_physical_curve 5 12 2" xfId="21674" xr:uid="{00000000-0005-0000-0000-00009C540000}"/>
    <cellStyle name="0_physical_curve 5 13" xfId="21675" xr:uid="{00000000-0005-0000-0000-00009D540000}"/>
    <cellStyle name="0_physical_curve 5 2" xfId="21676" xr:uid="{00000000-0005-0000-0000-00009E540000}"/>
    <cellStyle name="0_physical_curve 5 2 2" xfId="21677" xr:uid="{00000000-0005-0000-0000-00009F540000}"/>
    <cellStyle name="0_physical_curve 5 2 2 2" xfId="21678" xr:uid="{00000000-0005-0000-0000-0000A0540000}"/>
    <cellStyle name="0_physical_curve 5 2 2 2 2" xfId="21679" xr:uid="{00000000-0005-0000-0000-0000A1540000}"/>
    <cellStyle name="0_physical_curve 5 2 2 2 2 2" xfId="21680" xr:uid="{00000000-0005-0000-0000-0000A2540000}"/>
    <cellStyle name="0_physical_curve 5 2 2 2 3" xfId="21681" xr:uid="{00000000-0005-0000-0000-0000A3540000}"/>
    <cellStyle name="0_physical_curve 5 2 2 2 3 2" xfId="21682" xr:uid="{00000000-0005-0000-0000-0000A4540000}"/>
    <cellStyle name="0_physical_curve 5 2 2 2 4" xfId="21683" xr:uid="{00000000-0005-0000-0000-0000A5540000}"/>
    <cellStyle name="0_physical_curve 5 2 2 3" xfId="21684" xr:uid="{00000000-0005-0000-0000-0000A6540000}"/>
    <cellStyle name="0_physical_curve 5 2 2 3 2" xfId="21685" xr:uid="{00000000-0005-0000-0000-0000A7540000}"/>
    <cellStyle name="0_physical_curve 5 2 2 3 2 2" xfId="21686" xr:uid="{00000000-0005-0000-0000-0000A8540000}"/>
    <cellStyle name="0_physical_curve 5 2 2 3 3" xfId="21687" xr:uid="{00000000-0005-0000-0000-0000A9540000}"/>
    <cellStyle name="0_physical_curve 5 2 2 3 3 2" xfId="21688" xr:uid="{00000000-0005-0000-0000-0000AA540000}"/>
    <cellStyle name="0_physical_curve 5 2 2 3 4" xfId="21689" xr:uid="{00000000-0005-0000-0000-0000AB540000}"/>
    <cellStyle name="0_physical_curve 5 2 2 4" xfId="21690" xr:uid="{00000000-0005-0000-0000-0000AC540000}"/>
    <cellStyle name="0_physical_curve 5 2 2 4 2" xfId="21691" xr:uid="{00000000-0005-0000-0000-0000AD540000}"/>
    <cellStyle name="0_physical_curve 5 2 2 5" xfId="21692" xr:uid="{00000000-0005-0000-0000-0000AE540000}"/>
    <cellStyle name="0_physical_curve 5 2 2 5 2" xfId="21693" xr:uid="{00000000-0005-0000-0000-0000AF540000}"/>
    <cellStyle name="0_physical_curve 5 2 2 6" xfId="21694" xr:uid="{00000000-0005-0000-0000-0000B0540000}"/>
    <cellStyle name="0_physical_curve 5 2 3" xfId="21695" xr:uid="{00000000-0005-0000-0000-0000B1540000}"/>
    <cellStyle name="0_physical_curve 5 2 3 2" xfId="21696" xr:uid="{00000000-0005-0000-0000-0000B2540000}"/>
    <cellStyle name="0_physical_curve 5 2 3 2 2" xfId="21697" xr:uid="{00000000-0005-0000-0000-0000B3540000}"/>
    <cellStyle name="0_physical_curve 5 2 3 3" xfId="21698" xr:uid="{00000000-0005-0000-0000-0000B4540000}"/>
    <cellStyle name="0_physical_curve 5 2 3 3 2" xfId="21699" xr:uid="{00000000-0005-0000-0000-0000B5540000}"/>
    <cellStyle name="0_physical_curve 5 2 3 4" xfId="21700" xr:uid="{00000000-0005-0000-0000-0000B6540000}"/>
    <cellStyle name="0_physical_curve 5 2 4" xfId="21701" xr:uid="{00000000-0005-0000-0000-0000B7540000}"/>
    <cellStyle name="0_physical_curve 5 2 4 2" xfId="21702" xr:uid="{00000000-0005-0000-0000-0000B8540000}"/>
    <cellStyle name="0_physical_curve 5 2 4 2 2" xfId="21703" xr:uid="{00000000-0005-0000-0000-0000B9540000}"/>
    <cellStyle name="0_physical_curve 5 2 4 3" xfId="21704" xr:uid="{00000000-0005-0000-0000-0000BA540000}"/>
    <cellStyle name="0_physical_curve 5 2 4 3 2" xfId="21705" xr:uid="{00000000-0005-0000-0000-0000BB540000}"/>
    <cellStyle name="0_physical_curve 5 2 4 4" xfId="21706" xr:uid="{00000000-0005-0000-0000-0000BC540000}"/>
    <cellStyle name="0_physical_curve 5 2 5" xfId="21707" xr:uid="{00000000-0005-0000-0000-0000BD540000}"/>
    <cellStyle name="0_physical_curve 5 2 5 2" xfId="21708" xr:uid="{00000000-0005-0000-0000-0000BE540000}"/>
    <cellStyle name="0_physical_curve 5 2 5 2 2" xfId="21709" xr:uid="{00000000-0005-0000-0000-0000BF540000}"/>
    <cellStyle name="0_physical_curve 5 2 5 3" xfId="21710" xr:uid="{00000000-0005-0000-0000-0000C0540000}"/>
    <cellStyle name="0_physical_curve 5 2 5 3 2" xfId="21711" xr:uid="{00000000-0005-0000-0000-0000C1540000}"/>
    <cellStyle name="0_physical_curve 5 2 5 4" xfId="21712" xr:uid="{00000000-0005-0000-0000-0000C2540000}"/>
    <cellStyle name="0_physical_curve 5 2 6" xfId="21713" xr:uid="{00000000-0005-0000-0000-0000C3540000}"/>
    <cellStyle name="0_physical_curve 5 2 6 2" xfId="21714" xr:uid="{00000000-0005-0000-0000-0000C4540000}"/>
    <cellStyle name="0_physical_curve 5 2 7" xfId="21715" xr:uid="{00000000-0005-0000-0000-0000C5540000}"/>
    <cellStyle name="0_physical_curve 5 2 7 2" xfId="21716" xr:uid="{00000000-0005-0000-0000-0000C6540000}"/>
    <cellStyle name="0_physical_curve 5 2 8" xfId="21717" xr:uid="{00000000-0005-0000-0000-0000C7540000}"/>
    <cellStyle name="0_physical_curve 5 3" xfId="21718" xr:uid="{00000000-0005-0000-0000-0000C8540000}"/>
    <cellStyle name="0_physical_curve 5 3 2" xfId="21719" xr:uid="{00000000-0005-0000-0000-0000C9540000}"/>
    <cellStyle name="0_physical_curve 5 3 2 2" xfId="21720" xr:uid="{00000000-0005-0000-0000-0000CA540000}"/>
    <cellStyle name="0_physical_curve 5 3 2 2 2" xfId="21721" xr:uid="{00000000-0005-0000-0000-0000CB540000}"/>
    <cellStyle name="0_physical_curve 5 3 2 2 2 2" xfId="21722" xr:uid="{00000000-0005-0000-0000-0000CC540000}"/>
    <cellStyle name="0_physical_curve 5 3 2 2 3" xfId="21723" xr:uid="{00000000-0005-0000-0000-0000CD540000}"/>
    <cellStyle name="0_physical_curve 5 3 2 2 3 2" xfId="21724" xr:uid="{00000000-0005-0000-0000-0000CE540000}"/>
    <cellStyle name="0_physical_curve 5 3 2 2 4" xfId="21725" xr:uid="{00000000-0005-0000-0000-0000CF540000}"/>
    <cellStyle name="0_physical_curve 5 3 2 3" xfId="21726" xr:uid="{00000000-0005-0000-0000-0000D0540000}"/>
    <cellStyle name="0_physical_curve 5 3 2 3 2" xfId="21727" xr:uid="{00000000-0005-0000-0000-0000D1540000}"/>
    <cellStyle name="0_physical_curve 5 3 2 3 2 2" xfId="21728" xr:uid="{00000000-0005-0000-0000-0000D2540000}"/>
    <cellStyle name="0_physical_curve 5 3 2 3 3" xfId="21729" xr:uid="{00000000-0005-0000-0000-0000D3540000}"/>
    <cellStyle name="0_physical_curve 5 3 2 3 3 2" xfId="21730" xr:uid="{00000000-0005-0000-0000-0000D4540000}"/>
    <cellStyle name="0_physical_curve 5 3 2 3 4" xfId="21731" xr:uid="{00000000-0005-0000-0000-0000D5540000}"/>
    <cellStyle name="0_physical_curve 5 3 2 4" xfId="21732" xr:uid="{00000000-0005-0000-0000-0000D6540000}"/>
    <cellStyle name="0_physical_curve 5 3 2 4 2" xfId="21733" xr:uid="{00000000-0005-0000-0000-0000D7540000}"/>
    <cellStyle name="0_physical_curve 5 3 2 5" xfId="21734" xr:uid="{00000000-0005-0000-0000-0000D8540000}"/>
    <cellStyle name="0_physical_curve 5 3 2 5 2" xfId="21735" xr:uid="{00000000-0005-0000-0000-0000D9540000}"/>
    <cellStyle name="0_physical_curve 5 3 2 6" xfId="21736" xr:uid="{00000000-0005-0000-0000-0000DA540000}"/>
    <cellStyle name="0_physical_curve 5 3 3" xfId="21737" xr:uid="{00000000-0005-0000-0000-0000DB540000}"/>
    <cellStyle name="0_physical_curve 5 3 3 2" xfId="21738" xr:uid="{00000000-0005-0000-0000-0000DC540000}"/>
    <cellStyle name="0_physical_curve 5 3 3 2 2" xfId="21739" xr:uid="{00000000-0005-0000-0000-0000DD540000}"/>
    <cellStyle name="0_physical_curve 5 3 3 3" xfId="21740" xr:uid="{00000000-0005-0000-0000-0000DE540000}"/>
    <cellStyle name="0_physical_curve 5 3 3 3 2" xfId="21741" xr:uid="{00000000-0005-0000-0000-0000DF540000}"/>
    <cellStyle name="0_physical_curve 5 3 3 4" xfId="21742" xr:uid="{00000000-0005-0000-0000-0000E0540000}"/>
    <cellStyle name="0_physical_curve 5 3 4" xfId="21743" xr:uid="{00000000-0005-0000-0000-0000E1540000}"/>
    <cellStyle name="0_physical_curve 5 3 4 2" xfId="21744" xr:uid="{00000000-0005-0000-0000-0000E2540000}"/>
    <cellStyle name="0_physical_curve 5 3 4 2 2" xfId="21745" xr:uid="{00000000-0005-0000-0000-0000E3540000}"/>
    <cellStyle name="0_physical_curve 5 3 4 3" xfId="21746" xr:uid="{00000000-0005-0000-0000-0000E4540000}"/>
    <cellStyle name="0_physical_curve 5 3 4 3 2" xfId="21747" xr:uid="{00000000-0005-0000-0000-0000E5540000}"/>
    <cellStyle name="0_physical_curve 5 3 4 4" xfId="21748" xr:uid="{00000000-0005-0000-0000-0000E6540000}"/>
    <cellStyle name="0_physical_curve 5 3 5" xfId="21749" xr:uid="{00000000-0005-0000-0000-0000E7540000}"/>
    <cellStyle name="0_physical_curve 5 3 5 2" xfId="21750" xr:uid="{00000000-0005-0000-0000-0000E8540000}"/>
    <cellStyle name="0_physical_curve 5 3 5 2 2" xfId="21751" xr:uid="{00000000-0005-0000-0000-0000E9540000}"/>
    <cellStyle name="0_physical_curve 5 3 5 3" xfId="21752" xr:uid="{00000000-0005-0000-0000-0000EA540000}"/>
    <cellStyle name="0_physical_curve 5 3 5 3 2" xfId="21753" xr:uid="{00000000-0005-0000-0000-0000EB540000}"/>
    <cellStyle name="0_physical_curve 5 3 5 4" xfId="21754" xr:uid="{00000000-0005-0000-0000-0000EC540000}"/>
    <cellStyle name="0_physical_curve 5 3 6" xfId="21755" xr:uid="{00000000-0005-0000-0000-0000ED540000}"/>
    <cellStyle name="0_physical_curve 5 3 6 2" xfId="21756" xr:uid="{00000000-0005-0000-0000-0000EE540000}"/>
    <cellStyle name="0_physical_curve 5 3 7" xfId="21757" xr:uid="{00000000-0005-0000-0000-0000EF540000}"/>
    <cellStyle name="0_physical_curve 5 3 7 2" xfId="21758" xr:uid="{00000000-0005-0000-0000-0000F0540000}"/>
    <cellStyle name="0_physical_curve 5 3 8" xfId="21759" xr:uid="{00000000-0005-0000-0000-0000F1540000}"/>
    <cellStyle name="0_physical_curve 5 4" xfId="21760" xr:uid="{00000000-0005-0000-0000-0000F2540000}"/>
    <cellStyle name="0_physical_curve 5 4 2" xfId="21761" xr:uid="{00000000-0005-0000-0000-0000F3540000}"/>
    <cellStyle name="0_physical_curve 5 4 2 2" xfId="21762" xr:uid="{00000000-0005-0000-0000-0000F4540000}"/>
    <cellStyle name="0_physical_curve 5 4 2 2 2" xfId="21763" xr:uid="{00000000-0005-0000-0000-0000F5540000}"/>
    <cellStyle name="0_physical_curve 5 4 2 2 2 2" xfId="21764" xr:uid="{00000000-0005-0000-0000-0000F6540000}"/>
    <cellStyle name="0_physical_curve 5 4 2 2 3" xfId="21765" xr:uid="{00000000-0005-0000-0000-0000F7540000}"/>
    <cellStyle name="0_physical_curve 5 4 2 2 3 2" xfId="21766" xr:uid="{00000000-0005-0000-0000-0000F8540000}"/>
    <cellStyle name="0_physical_curve 5 4 2 2 4" xfId="21767" xr:uid="{00000000-0005-0000-0000-0000F9540000}"/>
    <cellStyle name="0_physical_curve 5 4 2 3" xfId="21768" xr:uid="{00000000-0005-0000-0000-0000FA540000}"/>
    <cellStyle name="0_physical_curve 5 4 2 3 2" xfId="21769" xr:uid="{00000000-0005-0000-0000-0000FB540000}"/>
    <cellStyle name="0_physical_curve 5 4 2 3 2 2" xfId="21770" xr:uid="{00000000-0005-0000-0000-0000FC540000}"/>
    <cellStyle name="0_physical_curve 5 4 2 3 3" xfId="21771" xr:uid="{00000000-0005-0000-0000-0000FD540000}"/>
    <cellStyle name="0_physical_curve 5 4 2 3 3 2" xfId="21772" xr:uid="{00000000-0005-0000-0000-0000FE540000}"/>
    <cellStyle name="0_physical_curve 5 4 2 3 4" xfId="21773" xr:uid="{00000000-0005-0000-0000-0000FF540000}"/>
    <cellStyle name="0_physical_curve 5 4 2 4" xfId="21774" xr:uid="{00000000-0005-0000-0000-000000550000}"/>
    <cellStyle name="0_physical_curve 5 4 2 4 2" xfId="21775" xr:uid="{00000000-0005-0000-0000-000001550000}"/>
    <cellStyle name="0_physical_curve 5 4 2 5" xfId="21776" xr:uid="{00000000-0005-0000-0000-000002550000}"/>
    <cellStyle name="0_physical_curve 5 4 2 5 2" xfId="21777" xr:uid="{00000000-0005-0000-0000-000003550000}"/>
    <cellStyle name="0_physical_curve 5 4 2 6" xfId="21778" xr:uid="{00000000-0005-0000-0000-000004550000}"/>
    <cellStyle name="0_physical_curve 5 4 3" xfId="21779" xr:uid="{00000000-0005-0000-0000-000005550000}"/>
    <cellStyle name="0_physical_curve 5 4 3 2" xfId="21780" xr:uid="{00000000-0005-0000-0000-000006550000}"/>
    <cellStyle name="0_physical_curve 5 4 3 2 2" xfId="21781" xr:uid="{00000000-0005-0000-0000-000007550000}"/>
    <cellStyle name="0_physical_curve 5 4 3 3" xfId="21782" xr:uid="{00000000-0005-0000-0000-000008550000}"/>
    <cellStyle name="0_physical_curve 5 4 3 3 2" xfId="21783" xr:uid="{00000000-0005-0000-0000-000009550000}"/>
    <cellStyle name="0_physical_curve 5 4 3 4" xfId="21784" xr:uid="{00000000-0005-0000-0000-00000A550000}"/>
    <cellStyle name="0_physical_curve 5 4 4" xfId="21785" xr:uid="{00000000-0005-0000-0000-00000B550000}"/>
    <cellStyle name="0_physical_curve 5 4 4 2" xfId="21786" xr:uid="{00000000-0005-0000-0000-00000C550000}"/>
    <cellStyle name="0_physical_curve 5 4 4 2 2" xfId="21787" xr:uid="{00000000-0005-0000-0000-00000D550000}"/>
    <cellStyle name="0_physical_curve 5 4 4 3" xfId="21788" xr:uid="{00000000-0005-0000-0000-00000E550000}"/>
    <cellStyle name="0_physical_curve 5 4 4 3 2" xfId="21789" xr:uid="{00000000-0005-0000-0000-00000F550000}"/>
    <cellStyle name="0_physical_curve 5 4 4 4" xfId="21790" xr:uid="{00000000-0005-0000-0000-000010550000}"/>
    <cellStyle name="0_physical_curve 5 4 5" xfId="21791" xr:uid="{00000000-0005-0000-0000-000011550000}"/>
    <cellStyle name="0_physical_curve 5 4 5 2" xfId="21792" xr:uid="{00000000-0005-0000-0000-000012550000}"/>
    <cellStyle name="0_physical_curve 5 4 5 2 2" xfId="21793" xr:uid="{00000000-0005-0000-0000-000013550000}"/>
    <cellStyle name="0_physical_curve 5 4 5 3" xfId="21794" xr:uid="{00000000-0005-0000-0000-000014550000}"/>
    <cellStyle name="0_physical_curve 5 4 5 3 2" xfId="21795" xr:uid="{00000000-0005-0000-0000-000015550000}"/>
    <cellStyle name="0_physical_curve 5 4 5 4" xfId="21796" xr:uid="{00000000-0005-0000-0000-000016550000}"/>
    <cellStyle name="0_physical_curve 5 4 6" xfId="21797" xr:uid="{00000000-0005-0000-0000-000017550000}"/>
    <cellStyle name="0_physical_curve 5 4 6 2" xfId="21798" xr:uid="{00000000-0005-0000-0000-000018550000}"/>
    <cellStyle name="0_physical_curve 5 4 7" xfId="21799" xr:uid="{00000000-0005-0000-0000-000019550000}"/>
    <cellStyle name="0_physical_curve 5 4 7 2" xfId="21800" xr:uid="{00000000-0005-0000-0000-00001A550000}"/>
    <cellStyle name="0_physical_curve 5 4 8" xfId="21801" xr:uid="{00000000-0005-0000-0000-00001B550000}"/>
    <cellStyle name="0_physical_curve 5 5" xfId="21802" xr:uid="{00000000-0005-0000-0000-00001C550000}"/>
    <cellStyle name="0_physical_curve 5 5 2" xfId="21803" xr:uid="{00000000-0005-0000-0000-00001D550000}"/>
    <cellStyle name="0_physical_curve 5 5 2 2" xfId="21804" xr:uid="{00000000-0005-0000-0000-00001E550000}"/>
    <cellStyle name="0_physical_curve 5 5 2 2 2" xfId="21805" xr:uid="{00000000-0005-0000-0000-00001F550000}"/>
    <cellStyle name="0_physical_curve 5 5 2 2 2 2" xfId="21806" xr:uid="{00000000-0005-0000-0000-000020550000}"/>
    <cellStyle name="0_physical_curve 5 5 2 2 3" xfId="21807" xr:uid="{00000000-0005-0000-0000-000021550000}"/>
    <cellStyle name="0_physical_curve 5 5 2 2 3 2" xfId="21808" xr:uid="{00000000-0005-0000-0000-000022550000}"/>
    <cellStyle name="0_physical_curve 5 5 2 2 4" xfId="21809" xr:uid="{00000000-0005-0000-0000-000023550000}"/>
    <cellStyle name="0_physical_curve 5 5 2 3" xfId="21810" xr:uid="{00000000-0005-0000-0000-000024550000}"/>
    <cellStyle name="0_physical_curve 5 5 2 3 2" xfId="21811" xr:uid="{00000000-0005-0000-0000-000025550000}"/>
    <cellStyle name="0_physical_curve 5 5 2 3 2 2" xfId="21812" xr:uid="{00000000-0005-0000-0000-000026550000}"/>
    <cellStyle name="0_physical_curve 5 5 2 3 3" xfId="21813" xr:uid="{00000000-0005-0000-0000-000027550000}"/>
    <cellStyle name="0_physical_curve 5 5 2 3 3 2" xfId="21814" xr:uid="{00000000-0005-0000-0000-000028550000}"/>
    <cellStyle name="0_physical_curve 5 5 2 3 4" xfId="21815" xr:uid="{00000000-0005-0000-0000-000029550000}"/>
    <cellStyle name="0_physical_curve 5 5 2 4" xfId="21816" xr:uid="{00000000-0005-0000-0000-00002A550000}"/>
    <cellStyle name="0_physical_curve 5 5 2 4 2" xfId="21817" xr:uid="{00000000-0005-0000-0000-00002B550000}"/>
    <cellStyle name="0_physical_curve 5 5 2 5" xfId="21818" xr:uid="{00000000-0005-0000-0000-00002C550000}"/>
    <cellStyle name="0_physical_curve 5 5 2 5 2" xfId="21819" xr:uid="{00000000-0005-0000-0000-00002D550000}"/>
    <cellStyle name="0_physical_curve 5 5 2 6" xfId="21820" xr:uid="{00000000-0005-0000-0000-00002E550000}"/>
    <cellStyle name="0_physical_curve 5 5 3" xfId="21821" xr:uid="{00000000-0005-0000-0000-00002F550000}"/>
    <cellStyle name="0_physical_curve 5 5 3 2" xfId="21822" xr:uid="{00000000-0005-0000-0000-000030550000}"/>
    <cellStyle name="0_physical_curve 5 5 3 2 2" xfId="21823" xr:uid="{00000000-0005-0000-0000-000031550000}"/>
    <cellStyle name="0_physical_curve 5 5 3 3" xfId="21824" xr:uid="{00000000-0005-0000-0000-000032550000}"/>
    <cellStyle name="0_physical_curve 5 5 3 3 2" xfId="21825" xr:uid="{00000000-0005-0000-0000-000033550000}"/>
    <cellStyle name="0_physical_curve 5 5 3 4" xfId="21826" xr:uid="{00000000-0005-0000-0000-000034550000}"/>
    <cellStyle name="0_physical_curve 5 5 4" xfId="21827" xr:uid="{00000000-0005-0000-0000-000035550000}"/>
    <cellStyle name="0_physical_curve 5 5 4 2" xfId="21828" xr:uid="{00000000-0005-0000-0000-000036550000}"/>
    <cellStyle name="0_physical_curve 5 5 4 2 2" xfId="21829" xr:uid="{00000000-0005-0000-0000-000037550000}"/>
    <cellStyle name="0_physical_curve 5 5 4 3" xfId="21830" xr:uid="{00000000-0005-0000-0000-000038550000}"/>
    <cellStyle name="0_physical_curve 5 5 4 3 2" xfId="21831" xr:uid="{00000000-0005-0000-0000-000039550000}"/>
    <cellStyle name="0_physical_curve 5 5 4 4" xfId="21832" xr:uid="{00000000-0005-0000-0000-00003A550000}"/>
    <cellStyle name="0_physical_curve 5 5 5" xfId="21833" xr:uid="{00000000-0005-0000-0000-00003B550000}"/>
    <cellStyle name="0_physical_curve 5 5 5 2" xfId="21834" xr:uid="{00000000-0005-0000-0000-00003C550000}"/>
    <cellStyle name="0_physical_curve 5 5 5 2 2" xfId="21835" xr:uid="{00000000-0005-0000-0000-00003D550000}"/>
    <cellStyle name="0_physical_curve 5 5 5 3" xfId="21836" xr:uid="{00000000-0005-0000-0000-00003E550000}"/>
    <cellStyle name="0_physical_curve 5 5 5 3 2" xfId="21837" xr:uid="{00000000-0005-0000-0000-00003F550000}"/>
    <cellStyle name="0_physical_curve 5 5 5 4" xfId="21838" xr:uid="{00000000-0005-0000-0000-000040550000}"/>
    <cellStyle name="0_physical_curve 5 5 6" xfId="21839" xr:uid="{00000000-0005-0000-0000-000041550000}"/>
    <cellStyle name="0_physical_curve 5 5 6 2" xfId="21840" xr:uid="{00000000-0005-0000-0000-000042550000}"/>
    <cellStyle name="0_physical_curve 5 5 7" xfId="21841" xr:uid="{00000000-0005-0000-0000-000043550000}"/>
    <cellStyle name="0_physical_curve 5 5 7 2" xfId="21842" xr:uid="{00000000-0005-0000-0000-000044550000}"/>
    <cellStyle name="0_physical_curve 5 5 8" xfId="21843" xr:uid="{00000000-0005-0000-0000-000045550000}"/>
    <cellStyle name="0_physical_curve 5 6" xfId="21844" xr:uid="{00000000-0005-0000-0000-000046550000}"/>
    <cellStyle name="0_physical_curve 5 6 2" xfId="21845" xr:uid="{00000000-0005-0000-0000-000047550000}"/>
    <cellStyle name="0_physical_curve 5 6 2 2" xfId="21846" xr:uid="{00000000-0005-0000-0000-000048550000}"/>
    <cellStyle name="0_physical_curve 5 6 2 2 2" xfId="21847" xr:uid="{00000000-0005-0000-0000-000049550000}"/>
    <cellStyle name="0_physical_curve 5 6 2 2 2 2" xfId="21848" xr:uid="{00000000-0005-0000-0000-00004A550000}"/>
    <cellStyle name="0_physical_curve 5 6 2 2 3" xfId="21849" xr:uid="{00000000-0005-0000-0000-00004B550000}"/>
    <cellStyle name="0_physical_curve 5 6 2 2 3 2" xfId="21850" xr:uid="{00000000-0005-0000-0000-00004C550000}"/>
    <cellStyle name="0_physical_curve 5 6 2 2 4" xfId="21851" xr:uid="{00000000-0005-0000-0000-00004D550000}"/>
    <cellStyle name="0_physical_curve 5 6 2 3" xfId="21852" xr:uid="{00000000-0005-0000-0000-00004E550000}"/>
    <cellStyle name="0_physical_curve 5 6 2 3 2" xfId="21853" xr:uid="{00000000-0005-0000-0000-00004F550000}"/>
    <cellStyle name="0_physical_curve 5 6 2 3 2 2" xfId="21854" xr:uid="{00000000-0005-0000-0000-000050550000}"/>
    <cellStyle name="0_physical_curve 5 6 2 3 3" xfId="21855" xr:uid="{00000000-0005-0000-0000-000051550000}"/>
    <cellStyle name="0_physical_curve 5 6 2 3 3 2" xfId="21856" xr:uid="{00000000-0005-0000-0000-000052550000}"/>
    <cellStyle name="0_physical_curve 5 6 2 3 4" xfId="21857" xr:uid="{00000000-0005-0000-0000-000053550000}"/>
    <cellStyle name="0_physical_curve 5 6 2 4" xfId="21858" xr:uid="{00000000-0005-0000-0000-000054550000}"/>
    <cellStyle name="0_physical_curve 5 6 2 4 2" xfId="21859" xr:uid="{00000000-0005-0000-0000-000055550000}"/>
    <cellStyle name="0_physical_curve 5 6 2 5" xfId="21860" xr:uid="{00000000-0005-0000-0000-000056550000}"/>
    <cellStyle name="0_physical_curve 5 6 2 5 2" xfId="21861" xr:uid="{00000000-0005-0000-0000-000057550000}"/>
    <cellStyle name="0_physical_curve 5 6 2 6" xfId="21862" xr:uid="{00000000-0005-0000-0000-000058550000}"/>
    <cellStyle name="0_physical_curve 5 6 3" xfId="21863" xr:uid="{00000000-0005-0000-0000-000059550000}"/>
    <cellStyle name="0_physical_curve 5 6 3 2" xfId="21864" xr:uid="{00000000-0005-0000-0000-00005A550000}"/>
    <cellStyle name="0_physical_curve 5 6 3 2 2" xfId="21865" xr:uid="{00000000-0005-0000-0000-00005B550000}"/>
    <cellStyle name="0_physical_curve 5 6 3 3" xfId="21866" xr:uid="{00000000-0005-0000-0000-00005C550000}"/>
    <cellStyle name="0_physical_curve 5 6 3 3 2" xfId="21867" xr:uid="{00000000-0005-0000-0000-00005D550000}"/>
    <cellStyle name="0_physical_curve 5 6 3 4" xfId="21868" xr:uid="{00000000-0005-0000-0000-00005E550000}"/>
    <cellStyle name="0_physical_curve 5 6 4" xfId="21869" xr:uid="{00000000-0005-0000-0000-00005F550000}"/>
    <cellStyle name="0_physical_curve 5 6 4 2" xfId="21870" xr:uid="{00000000-0005-0000-0000-000060550000}"/>
    <cellStyle name="0_physical_curve 5 6 4 2 2" xfId="21871" xr:uid="{00000000-0005-0000-0000-000061550000}"/>
    <cellStyle name="0_physical_curve 5 6 4 3" xfId="21872" xr:uid="{00000000-0005-0000-0000-000062550000}"/>
    <cellStyle name="0_physical_curve 5 6 4 3 2" xfId="21873" xr:uid="{00000000-0005-0000-0000-000063550000}"/>
    <cellStyle name="0_physical_curve 5 6 4 4" xfId="21874" xr:uid="{00000000-0005-0000-0000-000064550000}"/>
    <cellStyle name="0_physical_curve 5 6 5" xfId="21875" xr:uid="{00000000-0005-0000-0000-000065550000}"/>
    <cellStyle name="0_physical_curve 5 6 5 2" xfId="21876" xr:uid="{00000000-0005-0000-0000-000066550000}"/>
    <cellStyle name="0_physical_curve 5 6 5 2 2" xfId="21877" xr:uid="{00000000-0005-0000-0000-000067550000}"/>
    <cellStyle name="0_physical_curve 5 6 5 3" xfId="21878" xr:uid="{00000000-0005-0000-0000-000068550000}"/>
    <cellStyle name="0_physical_curve 5 6 5 3 2" xfId="21879" xr:uid="{00000000-0005-0000-0000-000069550000}"/>
    <cellStyle name="0_physical_curve 5 6 5 4" xfId="21880" xr:uid="{00000000-0005-0000-0000-00006A550000}"/>
    <cellStyle name="0_physical_curve 5 6 6" xfId="21881" xr:uid="{00000000-0005-0000-0000-00006B550000}"/>
    <cellStyle name="0_physical_curve 5 6 6 2" xfId="21882" xr:uid="{00000000-0005-0000-0000-00006C550000}"/>
    <cellStyle name="0_physical_curve 5 6 7" xfId="21883" xr:uid="{00000000-0005-0000-0000-00006D550000}"/>
    <cellStyle name="0_physical_curve 5 6 7 2" xfId="21884" xr:uid="{00000000-0005-0000-0000-00006E550000}"/>
    <cellStyle name="0_physical_curve 5 6 8" xfId="21885" xr:uid="{00000000-0005-0000-0000-00006F550000}"/>
    <cellStyle name="0_physical_curve 5 7" xfId="21886" xr:uid="{00000000-0005-0000-0000-000070550000}"/>
    <cellStyle name="0_physical_curve 5 7 2" xfId="21887" xr:uid="{00000000-0005-0000-0000-000071550000}"/>
    <cellStyle name="0_physical_curve 5 7 2 2" xfId="21888" xr:uid="{00000000-0005-0000-0000-000072550000}"/>
    <cellStyle name="0_physical_curve 5 7 2 2 2" xfId="21889" xr:uid="{00000000-0005-0000-0000-000073550000}"/>
    <cellStyle name="0_physical_curve 5 7 2 3" xfId="21890" xr:uid="{00000000-0005-0000-0000-000074550000}"/>
    <cellStyle name="0_physical_curve 5 7 2 3 2" xfId="21891" xr:uid="{00000000-0005-0000-0000-000075550000}"/>
    <cellStyle name="0_physical_curve 5 7 2 4" xfId="21892" xr:uid="{00000000-0005-0000-0000-000076550000}"/>
    <cellStyle name="0_physical_curve 5 7 3" xfId="21893" xr:uid="{00000000-0005-0000-0000-000077550000}"/>
    <cellStyle name="0_physical_curve 5 7 3 2" xfId="21894" xr:uid="{00000000-0005-0000-0000-000078550000}"/>
    <cellStyle name="0_physical_curve 5 7 3 2 2" xfId="21895" xr:uid="{00000000-0005-0000-0000-000079550000}"/>
    <cellStyle name="0_physical_curve 5 7 3 3" xfId="21896" xr:uid="{00000000-0005-0000-0000-00007A550000}"/>
    <cellStyle name="0_physical_curve 5 7 3 3 2" xfId="21897" xr:uid="{00000000-0005-0000-0000-00007B550000}"/>
    <cellStyle name="0_physical_curve 5 7 3 4" xfId="21898" xr:uid="{00000000-0005-0000-0000-00007C550000}"/>
    <cellStyle name="0_physical_curve 5 7 4" xfId="21899" xr:uid="{00000000-0005-0000-0000-00007D550000}"/>
    <cellStyle name="0_physical_curve 5 7 4 2" xfId="21900" xr:uid="{00000000-0005-0000-0000-00007E550000}"/>
    <cellStyle name="0_physical_curve 5 7 5" xfId="21901" xr:uid="{00000000-0005-0000-0000-00007F550000}"/>
    <cellStyle name="0_physical_curve 5 7 5 2" xfId="21902" xr:uid="{00000000-0005-0000-0000-000080550000}"/>
    <cellStyle name="0_physical_curve 5 7 6" xfId="21903" xr:uid="{00000000-0005-0000-0000-000081550000}"/>
    <cellStyle name="0_physical_curve 5 8" xfId="21904" xr:uid="{00000000-0005-0000-0000-000082550000}"/>
    <cellStyle name="0_physical_curve 5 8 2" xfId="21905" xr:uid="{00000000-0005-0000-0000-000083550000}"/>
    <cellStyle name="0_physical_curve 5 8 2 2" xfId="21906" xr:uid="{00000000-0005-0000-0000-000084550000}"/>
    <cellStyle name="0_physical_curve 5 8 3" xfId="21907" xr:uid="{00000000-0005-0000-0000-000085550000}"/>
    <cellStyle name="0_physical_curve 5 8 3 2" xfId="21908" xr:uid="{00000000-0005-0000-0000-000086550000}"/>
    <cellStyle name="0_physical_curve 5 8 4" xfId="21909" xr:uid="{00000000-0005-0000-0000-000087550000}"/>
    <cellStyle name="0_physical_curve 5 9" xfId="21910" xr:uid="{00000000-0005-0000-0000-000088550000}"/>
    <cellStyle name="0_physical_curve 5 9 2" xfId="21911" xr:uid="{00000000-0005-0000-0000-000089550000}"/>
    <cellStyle name="0_physical_curve 5 9 2 2" xfId="21912" xr:uid="{00000000-0005-0000-0000-00008A550000}"/>
    <cellStyle name="0_physical_curve 5 9 3" xfId="21913" xr:uid="{00000000-0005-0000-0000-00008B550000}"/>
    <cellStyle name="0_physical_curve 5 9 3 2" xfId="21914" xr:uid="{00000000-0005-0000-0000-00008C550000}"/>
    <cellStyle name="0_physical_curve 5 9 4" xfId="21915" xr:uid="{00000000-0005-0000-0000-00008D550000}"/>
    <cellStyle name="0_physical_curve 6" xfId="21916" xr:uid="{00000000-0005-0000-0000-00008E550000}"/>
    <cellStyle name="0_physical_curve 6 2" xfId="21917" xr:uid="{00000000-0005-0000-0000-00008F550000}"/>
    <cellStyle name="0_physical_curve 6 2 2" xfId="21918" xr:uid="{00000000-0005-0000-0000-000090550000}"/>
    <cellStyle name="0_physical_curve 6 2 2 2" xfId="21919" xr:uid="{00000000-0005-0000-0000-000091550000}"/>
    <cellStyle name="0_physical_curve 6 2 2 2 2" xfId="21920" xr:uid="{00000000-0005-0000-0000-000092550000}"/>
    <cellStyle name="0_physical_curve 6 2 2 3" xfId="21921" xr:uid="{00000000-0005-0000-0000-000093550000}"/>
    <cellStyle name="0_physical_curve 6 2 2 3 2" xfId="21922" xr:uid="{00000000-0005-0000-0000-000094550000}"/>
    <cellStyle name="0_physical_curve 6 2 2 4" xfId="21923" xr:uid="{00000000-0005-0000-0000-000095550000}"/>
    <cellStyle name="0_physical_curve 6 2 3" xfId="21924" xr:uid="{00000000-0005-0000-0000-000096550000}"/>
    <cellStyle name="0_physical_curve 6 2 3 2" xfId="21925" xr:uid="{00000000-0005-0000-0000-000097550000}"/>
    <cellStyle name="0_physical_curve 6 2 3 2 2" xfId="21926" xr:uid="{00000000-0005-0000-0000-000098550000}"/>
    <cellStyle name="0_physical_curve 6 2 3 3" xfId="21927" xr:uid="{00000000-0005-0000-0000-000099550000}"/>
    <cellStyle name="0_physical_curve 6 2 3 3 2" xfId="21928" xr:uid="{00000000-0005-0000-0000-00009A550000}"/>
    <cellStyle name="0_physical_curve 6 2 3 4" xfId="21929" xr:uid="{00000000-0005-0000-0000-00009B550000}"/>
    <cellStyle name="0_physical_curve 6 2 4" xfId="21930" xr:uid="{00000000-0005-0000-0000-00009C550000}"/>
    <cellStyle name="0_physical_curve 6 2 4 2" xfId="21931" xr:uid="{00000000-0005-0000-0000-00009D550000}"/>
    <cellStyle name="0_physical_curve 6 2 5" xfId="21932" xr:uid="{00000000-0005-0000-0000-00009E550000}"/>
    <cellStyle name="0_physical_curve 6 2 5 2" xfId="21933" xr:uid="{00000000-0005-0000-0000-00009F550000}"/>
    <cellStyle name="0_physical_curve 6 2 6" xfId="21934" xr:uid="{00000000-0005-0000-0000-0000A0550000}"/>
    <cellStyle name="0_physical_curve 6 3" xfId="21935" xr:uid="{00000000-0005-0000-0000-0000A1550000}"/>
    <cellStyle name="0_physical_curve 6 3 2" xfId="21936" xr:uid="{00000000-0005-0000-0000-0000A2550000}"/>
    <cellStyle name="0_physical_curve 6 3 2 2" xfId="21937" xr:uid="{00000000-0005-0000-0000-0000A3550000}"/>
    <cellStyle name="0_physical_curve 6 3 3" xfId="21938" xr:uid="{00000000-0005-0000-0000-0000A4550000}"/>
    <cellStyle name="0_physical_curve 6 3 3 2" xfId="21939" xr:uid="{00000000-0005-0000-0000-0000A5550000}"/>
    <cellStyle name="0_physical_curve 6 3 4" xfId="21940" xr:uid="{00000000-0005-0000-0000-0000A6550000}"/>
    <cellStyle name="0_physical_curve 6 4" xfId="21941" xr:uid="{00000000-0005-0000-0000-0000A7550000}"/>
    <cellStyle name="0_physical_curve 6 4 2" xfId="21942" xr:uid="{00000000-0005-0000-0000-0000A8550000}"/>
    <cellStyle name="0_physical_curve 6 4 2 2" xfId="21943" xr:uid="{00000000-0005-0000-0000-0000A9550000}"/>
    <cellStyle name="0_physical_curve 6 4 3" xfId="21944" xr:uid="{00000000-0005-0000-0000-0000AA550000}"/>
    <cellStyle name="0_physical_curve 6 4 3 2" xfId="21945" xr:uid="{00000000-0005-0000-0000-0000AB550000}"/>
    <cellStyle name="0_physical_curve 6 4 4" xfId="21946" xr:uid="{00000000-0005-0000-0000-0000AC550000}"/>
    <cellStyle name="0_physical_curve 6 5" xfId="21947" xr:uid="{00000000-0005-0000-0000-0000AD550000}"/>
    <cellStyle name="0_physical_curve 6 5 2" xfId="21948" xr:uid="{00000000-0005-0000-0000-0000AE550000}"/>
    <cellStyle name="0_physical_curve 6 5 2 2" xfId="21949" xr:uid="{00000000-0005-0000-0000-0000AF550000}"/>
    <cellStyle name="0_physical_curve 6 5 3" xfId="21950" xr:uid="{00000000-0005-0000-0000-0000B0550000}"/>
    <cellStyle name="0_physical_curve 6 5 3 2" xfId="21951" xr:uid="{00000000-0005-0000-0000-0000B1550000}"/>
    <cellStyle name="0_physical_curve 6 5 4" xfId="21952" xr:uid="{00000000-0005-0000-0000-0000B2550000}"/>
    <cellStyle name="0_physical_curve 6 6" xfId="21953" xr:uid="{00000000-0005-0000-0000-0000B3550000}"/>
    <cellStyle name="0_physical_curve 6 6 2" xfId="21954" xr:uid="{00000000-0005-0000-0000-0000B4550000}"/>
    <cellStyle name="0_physical_curve 6 7" xfId="21955" xr:uid="{00000000-0005-0000-0000-0000B5550000}"/>
    <cellStyle name="0_physical_curve 6 7 2" xfId="21956" xr:uid="{00000000-0005-0000-0000-0000B6550000}"/>
    <cellStyle name="0_physical_curve 6 8" xfId="21957" xr:uid="{00000000-0005-0000-0000-0000B7550000}"/>
    <cellStyle name="0_physical_curve 7" xfId="21958" xr:uid="{00000000-0005-0000-0000-0000B8550000}"/>
    <cellStyle name="0_physical_curve 7 2" xfId="21959" xr:uid="{00000000-0005-0000-0000-0000B9550000}"/>
    <cellStyle name="0_physical_curve 7 2 2" xfId="21960" xr:uid="{00000000-0005-0000-0000-0000BA550000}"/>
    <cellStyle name="0_physical_curve 7 2 2 2" xfId="21961" xr:uid="{00000000-0005-0000-0000-0000BB550000}"/>
    <cellStyle name="0_physical_curve 7 2 3" xfId="21962" xr:uid="{00000000-0005-0000-0000-0000BC550000}"/>
    <cellStyle name="0_physical_curve 7 2 3 2" xfId="21963" xr:uid="{00000000-0005-0000-0000-0000BD550000}"/>
    <cellStyle name="0_physical_curve 7 2 4" xfId="21964" xr:uid="{00000000-0005-0000-0000-0000BE550000}"/>
    <cellStyle name="0_physical_curve 7 3" xfId="21965" xr:uid="{00000000-0005-0000-0000-0000BF550000}"/>
    <cellStyle name="0_physical_curve 7 3 2" xfId="21966" xr:uid="{00000000-0005-0000-0000-0000C0550000}"/>
    <cellStyle name="0_physical_curve 7 3 2 2" xfId="21967" xr:uid="{00000000-0005-0000-0000-0000C1550000}"/>
    <cellStyle name="0_physical_curve 7 3 3" xfId="21968" xr:uid="{00000000-0005-0000-0000-0000C2550000}"/>
    <cellStyle name="0_physical_curve 7 3 3 2" xfId="21969" xr:uid="{00000000-0005-0000-0000-0000C3550000}"/>
    <cellStyle name="0_physical_curve 7 3 4" xfId="21970" xr:uid="{00000000-0005-0000-0000-0000C4550000}"/>
    <cellStyle name="0_physical_curve 7 4" xfId="21971" xr:uid="{00000000-0005-0000-0000-0000C5550000}"/>
    <cellStyle name="0_physical_curve 7 4 2" xfId="21972" xr:uid="{00000000-0005-0000-0000-0000C6550000}"/>
    <cellStyle name="0_physical_curve 7 5" xfId="21973" xr:uid="{00000000-0005-0000-0000-0000C7550000}"/>
    <cellStyle name="0_physical_curve 7 5 2" xfId="21974" xr:uid="{00000000-0005-0000-0000-0000C8550000}"/>
    <cellStyle name="0_physical_curve 7 6" xfId="21975" xr:uid="{00000000-0005-0000-0000-0000C9550000}"/>
    <cellStyle name="0_physical_curve 8" xfId="21976" xr:uid="{00000000-0005-0000-0000-0000CA550000}"/>
    <cellStyle name="0_physical_curve 8 2" xfId="21977" xr:uid="{00000000-0005-0000-0000-0000CB550000}"/>
    <cellStyle name="0_physical_curve 8 2 2" xfId="21978" xr:uid="{00000000-0005-0000-0000-0000CC550000}"/>
    <cellStyle name="0_physical_curve 8 2 2 2" xfId="21979" xr:uid="{00000000-0005-0000-0000-0000CD550000}"/>
    <cellStyle name="0_physical_curve 8 2 3" xfId="21980" xr:uid="{00000000-0005-0000-0000-0000CE550000}"/>
    <cellStyle name="0_physical_curve 8 2 3 2" xfId="21981" xr:uid="{00000000-0005-0000-0000-0000CF550000}"/>
    <cellStyle name="0_physical_curve 8 2 4" xfId="21982" xr:uid="{00000000-0005-0000-0000-0000D0550000}"/>
    <cellStyle name="0_physical_curve 8 3" xfId="21983" xr:uid="{00000000-0005-0000-0000-0000D1550000}"/>
    <cellStyle name="0_physical_curve 8 3 2" xfId="21984" xr:uid="{00000000-0005-0000-0000-0000D2550000}"/>
    <cellStyle name="0_physical_curve 8 3 2 2" xfId="21985" xr:uid="{00000000-0005-0000-0000-0000D3550000}"/>
    <cellStyle name="0_physical_curve 8 3 3" xfId="21986" xr:uid="{00000000-0005-0000-0000-0000D4550000}"/>
    <cellStyle name="0_physical_curve 8 3 3 2" xfId="21987" xr:uid="{00000000-0005-0000-0000-0000D5550000}"/>
    <cellStyle name="0_physical_curve 8 3 4" xfId="21988" xr:uid="{00000000-0005-0000-0000-0000D6550000}"/>
    <cellStyle name="0_physical_curve 8 4" xfId="21989" xr:uid="{00000000-0005-0000-0000-0000D7550000}"/>
    <cellStyle name="0_physical_curve 8 4 2" xfId="21990" xr:uid="{00000000-0005-0000-0000-0000D8550000}"/>
    <cellStyle name="0_physical_curve 8 5" xfId="21991" xr:uid="{00000000-0005-0000-0000-0000D9550000}"/>
    <cellStyle name="0_physical_curve 8 5 2" xfId="21992" xr:uid="{00000000-0005-0000-0000-0000DA550000}"/>
    <cellStyle name="0_physical_curve 8 6" xfId="21993" xr:uid="{00000000-0005-0000-0000-0000DB550000}"/>
    <cellStyle name="0_physical_curve 9" xfId="21994" xr:uid="{00000000-0005-0000-0000-0000DC550000}"/>
    <cellStyle name="0_physical_curve 9 2" xfId="21995" xr:uid="{00000000-0005-0000-0000-0000DD550000}"/>
    <cellStyle name="0_physical_curve 9 2 2" xfId="21996" xr:uid="{00000000-0005-0000-0000-0000DE550000}"/>
    <cellStyle name="0_physical_curve 9 3" xfId="21997" xr:uid="{00000000-0005-0000-0000-0000DF550000}"/>
    <cellStyle name="0_physical_curve 9 3 2" xfId="21998" xr:uid="{00000000-0005-0000-0000-0000E0550000}"/>
    <cellStyle name="0_physical_curve 9 4" xfId="21999" xr:uid="{00000000-0005-0000-0000-0000E1550000}"/>
    <cellStyle name="0_Planned qty_January'09" xfId="22000" xr:uid="{00000000-0005-0000-0000-0000E2550000}"/>
    <cellStyle name="0_Planned qty_January'09 10" xfId="22001" xr:uid="{00000000-0005-0000-0000-0000E3550000}"/>
    <cellStyle name="0_Planned qty_January'09 10 2" xfId="22002" xr:uid="{00000000-0005-0000-0000-0000E4550000}"/>
    <cellStyle name="0_Planned qty_January'09 10 2 2" xfId="22003" xr:uid="{00000000-0005-0000-0000-0000E5550000}"/>
    <cellStyle name="0_Planned qty_January'09 10 3" xfId="22004" xr:uid="{00000000-0005-0000-0000-0000E6550000}"/>
    <cellStyle name="0_Planned qty_January'09 10 3 2" xfId="22005" xr:uid="{00000000-0005-0000-0000-0000E7550000}"/>
    <cellStyle name="0_Planned qty_January'09 10 4" xfId="22006" xr:uid="{00000000-0005-0000-0000-0000E8550000}"/>
    <cellStyle name="0_Planned qty_January'09 10 5" xfId="22007" xr:uid="{00000000-0005-0000-0000-0000E9550000}"/>
    <cellStyle name="0_Planned qty_January'09 11" xfId="22008" xr:uid="{00000000-0005-0000-0000-0000EA550000}"/>
    <cellStyle name="0_Planned qty_January'09 11 2" xfId="22009" xr:uid="{00000000-0005-0000-0000-0000EB550000}"/>
    <cellStyle name="0_Planned qty_January'09 11 3" xfId="22010" xr:uid="{00000000-0005-0000-0000-0000EC550000}"/>
    <cellStyle name="0_Planned qty_January'09 11 4" xfId="22011" xr:uid="{00000000-0005-0000-0000-0000ED550000}"/>
    <cellStyle name="0_Planned qty_January'09 11 5" xfId="22012" xr:uid="{00000000-0005-0000-0000-0000EE550000}"/>
    <cellStyle name="0_Planned qty_January'09 12" xfId="22013" xr:uid="{00000000-0005-0000-0000-0000EF550000}"/>
    <cellStyle name="0_Planned qty_January'09 12 2" xfId="22014" xr:uid="{00000000-0005-0000-0000-0000F0550000}"/>
    <cellStyle name="0_Planned qty_January'09 13" xfId="22015" xr:uid="{00000000-0005-0000-0000-0000F1550000}"/>
    <cellStyle name="0_Planned qty_January'09 13 2" xfId="22016" xr:uid="{00000000-0005-0000-0000-0000F2550000}"/>
    <cellStyle name="0_Planned qty_January'09 14" xfId="22017" xr:uid="{00000000-0005-0000-0000-0000F3550000}"/>
    <cellStyle name="0_Planned qty_January'09 15" xfId="22018" xr:uid="{00000000-0005-0000-0000-0000F4550000}"/>
    <cellStyle name="0_Planned qty_January'09 16" xfId="22019" xr:uid="{00000000-0005-0000-0000-0000F5550000}"/>
    <cellStyle name="0_Planned qty_January'09 17" xfId="22020" xr:uid="{00000000-0005-0000-0000-0000F6550000}"/>
    <cellStyle name="0_Planned qty_January'09 18" xfId="22021" xr:uid="{00000000-0005-0000-0000-0000F7550000}"/>
    <cellStyle name="0_Planned qty_January'09 19" xfId="22022" xr:uid="{00000000-0005-0000-0000-0000F8550000}"/>
    <cellStyle name="0_Planned qty_January'09 2" xfId="22023" xr:uid="{00000000-0005-0000-0000-0000F9550000}"/>
    <cellStyle name="0_Planned qty_January'09 2 10" xfId="22024" xr:uid="{00000000-0005-0000-0000-0000FA550000}"/>
    <cellStyle name="0_Planned qty_January'09 2 10 2" xfId="22025" xr:uid="{00000000-0005-0000-0000-0000FB550000}"/>
    <cellStyle name="0_Planned qty_January'09 2 11" xfId="22026" xr:uid="{00000000-0005-0000-0000-0000FC550000}"/>
    <cellStyle name="0_Planned qty_January'09 2 11 2" xfId="22027" xr:uid="{00000000-0005-0000-0000-0000FD550000}"/>
    <cellStyle name="0_Planned qty_January'09 2 12" xfId="22028" xr:uid="{00000000-0005-0000-0000-0000FE550000}"/>
    <cellStyle name="0_Planned qty_January'09 2 13" xfId="22029" xr:uid="{00000000-0005-0000-0000-0000FF550000}"/>
    <cellStyle name="0_Planned qty_January'09 2 14" xfId="22030" xr:uid="{00000000-0005-0000-0000-000000560000}"/>
    <cellStyle name="0_Planned qty_January'09 2 15" xfId="22031" xr:uid="{00000000-0005-0000-0000-000001560000}"/>
    <cellStyle name="0_Planned qty_January'09 2 2" xfId="22032" xr:uid="{00000000-0005-0000-0000-000002560000}"/>
    <cellStyle name="0_Planned qty_January'09 2 2 2" xfId="22033" xr:uid="{00000000-0005-0000-0000-000003560000}"/>
    <cellStyle name="0_Planned qty_January'09 2 2 2 2" xfId="22034" xr:uid="{00000000-0005-0000-0000-000004560000}"/>
    <cellStyle name="0_Planned qty_January'09 2 2 2 2 2" xfId="22035" xr:uid="{00000000-0005-0000-0000-000005560000}"/>
    <cellStyle name="0_Planned qty_January'09 2 2 2 2 2 2" xfId="22036" xr:uid="{00000000-0005-0000-0000-000006560000}"/>
    <cellStyle name="0_Planned qty_January'09 2 2 2 2 3" xfId="22037" xr:uid="{00000000-0005-0000-0000-000007560000}"/>
    <cellStyle name="0_Planned qty_January'09 2 2 2 2 3 2" xfId="22038" xr:uid="{00000000-0005-0000-0000-000008560000}"/>
    <cellStyle name="0_Planned qty_January'09 2 2 2 2 4" xfId="22039" xr:uid="{00000000-0005-0000-0000-000009560000}"/>
    <cellStyle name="0_Planned qty_January'09 2 2 2 3" xfId="22040" xr:uid="{00000000-0005-0000-0000-00000A560000}"/>
    <cellStyle name="0_Planned qty_January'09 2 2 2 3 2" xfId="22041" xr:uid="{00000000-0005-0000-0000-00000B560000}"/>
    <cellStyle name="0_Planned qty_January'09 2 2 2 3 2 2" xfId="22042" xr:uid="{00000000-0005-0000-0000-00000C560000}"/>
    <cellStyle name="0_Planned qty_January'09 2 2 2 3 3" xfId="22043" xr:uid="{00000000-0005-0000-0000-00000D560000}"/>
    <cellStyle name="0_Planned qty_January'09 2 2 2 3 3 2" xfId="22044" xr:uid="{00000000-0005-0000-0000-00000E560000}"/>
    <cellStyle name="0_Planned qty_January'09 2 2 2 3 4" xfId="22045" xr:uid="{00000000-0005-0000-0000-00000F560000}"/>
    <cellStyle name="0_Planned qty_January'09 2 2 2 4" xfId="22046" xr:uid="{00000000-0005-0000-0000-000010560000}"/>
    <cellStyle name="0_Planned qty_January'09 2 2 2 4 2" xfId="22047" xr:uid="{00000000-0005-0000-0000-000011560000}"/>
    <cellStyle name="0_Planned qty_January'09 2 2 2 5" xfId="22048" xr:uid="{00000000-0005-0000-0000-000012560000}"/>
    <cellStyle name="0_Planned qty_January'09 2 2 2 5 2" xfId="22049" xr:uid="{00000000-0005-0000-0000-000013560000}"/>
    <cellStyle name="0_Planned qty_January'09 2 2 2 6" xfId="22050" xr:uid="{00000000-0005-0000-0000-000014560000}"/>
    <cellStyle name="0_Planned qty_January'09 2 2 3" xfId="22051" xr:uid="{00000000-0005-0000-0000-000015560000}"/>
    <cellStyle name="0_Planned qty_January'09 2 2 3 2" xfId="22052" xr:uid="{00000000-0005-0000-0000-000016560000}"/>
    <cellStyle name="0_Planned qty_January'09 2 2 3 2 2" xfId="22053" xr:uid="{00000000-0005-0000-0000-000017560000}"/>
    <cellStyle name="0_Planned qty_January'09 2 2 3 3" xfId="22054" xr:uid="{00000000-0005-0000-0000-000018560000}"/>
    <cellStyle name="0_Planned qty_January'09 2 2 3 3 2" xfId="22055" xr:uid="{00000000-0005-0000-0000-000019560000}"/>
    <cellStyle name="0_Planned qty_January'09 2 2 3 4" xfId="22056" xr:uid="{00000000-0005-0000-0000-00001A560000}"/>
    <cellStyle name="0_Planned qty_January'09 2 2 4" xfId="22057" xr:uid="{00000000-0005-0000-0000-00001B560000}"/>
    <cellStyle name="0_Planned qty_January'09 2 2 4 2" xfId="22058" xr:uid="{00000000-0005-0000-0000-00001C560000}"/>
    <cellStyle name="0_Planned qty_January'09 2 2 4 2 2" xfId="22059" xr:uid="{00000000-0005-0000-0000-00001D560000}"/>
    <cellStyle name="0_Planned qty_January'09 2 2 4 3" xfId="22060" xr:uid="{00000000-0005-0000-0000-00001E560000}"/>
    <cellStyle name="0_Planned qty_January'09 2 2 4 3 2" xfId="22061" xr:uid="{00000000-0005-0000-0000-00001F560000}"/>
    <cellStyle name="0_Planned qty_January'09 2 2 4 4" xfId="22062" xr:uid="{00000000-0005-0000-0000-000020560000}"/>
    <cellStyle name="0_Planned qty_January'09 2 2 5" xfId="22063" xr:uid="{00000000-0005-0000-0000-000021560000}"/>
    <cellStyle name="0_Planned qty_January'09 2 2 5 2" xfId="22064" xr:uid="{00000000-0005-0000-0000-000022560000}"/>
    <cellStyle name="0_Planned qty_January'09 2 2 5 2 2" xfId="22065" xr:uid="{00000000-0005-0000-0000-000023560000}"/>
    <cellStyle name="0_Planned qty_January'09 2 2 5 3" xfId="22066" xr:uid="{00000000-0005-0000-0000-000024560000}"/>
    <cellStyle name="0_Planned qty_January'09 2 2 5 3 2" xfId="22067" xr:uid="{00000000-0005-0000-0000-000025560000}"/>
    <cellStyle name="0_Planned qty_January'09 2 2 5 4" xfId="22068" xr:uid="{00000000-0005-0000-0000-000026560000}"/>
    <cellStyle name="0_Planned qty_January'09 2 2 6" xfId="22069" xr:uid="{00000000-0005-0000-0000-000027560000}"/>
    <cellStyle name="0_Planned qty_January'09 2 2 6 2" xfId="22070" xr:uid="{00000000-0005-0000-0000-000028560000}"/>
    <cellStyle name="0_Planned qty_January'09 2 2 7" xfId="22071" xr:uid="{00000000-0005-0000-0000-000029560000}"/>
    <cellStyle name="0_Planned qty_January'09 2 2 7 2" xfId="22072" xr:uid="{00000000-0005-0000-0000-00002A560000}"/>
    <cellStyle name="0_Planned qty_January'09 2 2 8" xfId="22073" xr:uid="{00000000-0005-0000-0000-00002B560000}"/>
    <cellStyle name="0_Planned qty_January'09 2 3" xfId="22074" xr:uid="{00000000-0005-0000-0000-00002C560000}"/>
    <cellStyle name="0_Planned qty_January'09 2 3 2" xfId="22075" xr:uid="{00000000-0005-0000-0000-00002D560000}"/>
    <cellStyle name="0_Planned qty_January'09 2 3 2 2" xfId="22076" xr:uid="{00000000-0005-0000-0000-00002E560000}"/>
    <cellStyle name="0_Planned qty_January'09 2 3 2 2 2" xfId="22077" xr:uid="{00000000-0005-0000-0000-00002F560000}"/>
    <cellStyle name="0_Planned qty_January'09 2 3 2 2 2 2" xfId="22078" xr:uid="{00000000-0005-0000-0000-000030560000}"/>
    <cellStyle name="0_Planned qty_January'09 2 3 2 2 3" xfId="22079" xr:uid="{00000000-0005-0000-0000-000031560000}"/>
    <cellStyle name="0_Planned qty_January'09 2 3 2 2 3 2" xfId="22080" xr:uid="{00000000-0005-0000-0000-000032560000}"/>
    <cellStyle name="0_Planned qty_January'09 2 3 2 2 4" xfId="22081" xr:uid="{00000000-0005-0000-0000-000033560000}"/>
    <cellStyle name="0_Planned qty_January'09 2 3 2 3" xfId="22082" xr:uid="{00000000-0005-0000-0000-000034560000}"/>
    <cellStyle name="0_Planned qty_January'09 2 3 2 3 2" xfId="22083" xr:uid="{00000000-0005-0000-0000-000035560000}"/>
    <cellStyle name="0_Planned qty_January'09 2 3 2 3 2 2" xfId="22084" xr:uid="{00000000-0005-0000-0000-000036560000}"/>
    <cellStyle name="0_Planned qty_January'09 2 3 2 3 3" xfId="22085" xr:uid="{00000000-0005-0000-0000-000037560000}"/>
    <cellStyle name="0_Planned qty_January'09 2 3 2 3 3 2" xfId="22086" xr:uid="{00000000-0005-0000-0000-000038560000}"/>
    <cellStyle name="0_Planned qty_January'09 2 3 2 3 4" xfId="22087" xr:uid="{00000000-0005-0000-0000-000039560000}"/>
    <cellStyle name="0_Planned qty_January'09 2 3 2 4" xfId="22088" xr:uid="{00000000-0005-0000-0000-00003A560000}"/>
    <cellStyle name="0_Planned qty_January'09 2 3 2 4 2" xfId="22089" xr:uid="{00000000-0005-0000-0000-00003B560000}"/>
    <cellStyle name="0_Planned qty_January'09 2 3 2 5" xfId="22090" xr:uid="{00000000-0005-0000-0000-00003C560000}"/>
    <cellStyle name="0_Planned qty_January'09 2 3 2 5 2" xfId="22091" xr:uid="{00000000-0005-0000-0000-00003D560000}"/>
    <cellStyle name="0_Planned qty_January'09 2 3 2 6" xfId="22092" xr:uid="{00000000-0005-0000-0000-00003E560000}"/>
    <cellStyle name="0_Planned qty_January'09 2 3 3" xfId="22093" xr:uid="{00000000-0005-0000-0000-00003F560000}"/>
    <cellStyle name="0_Planned qty_January'09 2 3 3 2" xfId="22094" xr:uid="{00000000-0005-0000-0000-000040560000}"/>
    <cellStyle name="0_Planned qty_January'09 2 3 3 2 2" xfId="22095" xr:uid="{00000000-0005-0000-0000-000041560000}"/>
    <cellStyle name="0_Planned qty_January'09 2 3 3 3" xfId="22096" xr:uid="{00000000-0005-0000-0000-000042560000}"/>
    <cellStyle name="0_Planned qty_January'09 2 3 3 3 2" xfId="22097" xr:uid="{00000000-0005-0000-0000-000043560000}"/>
    <cellStyle name="0_Planned qty_January'09 2 3 3 4" xfId="22098" xr:uid="{00000000-0005-0000-0000-000044560000}"/>
    <cellStyle name="0_Planned qty_January'09 2 3 4" xfId="22099" xr:uid="{00000000-0005-0000-0000-000045560000}"/>
    <cellStyle name="0_Planned qty_January'09 2 3 4 2" xfId="22100" xr:uid="{00000000-0005-0000-0000-000046560000}"/>
    <cellStyle name="0_Planned qty_January'09 2 3 4 2 2" xfId="22101" xr:uid="{00000000-0005-0000-0000-000047560000}"/>
    <cellStyle name="0_Planned qty_January'09 2 3 4 3" xfId="22102" xr:uid="{00000000-0005-0000-0000-000048560000}"/>
    <cellStyle name="0_Planned qty_January'09 2 3 4 3 2" xfId="22103" xr:uid="{00000000-0005-0000-0000-000049560000}"/>
    <cellStyle name="0_Planned qty_January'09 2 3 4 4" xfId="22104" xr:uid="{00000000-0005-0000-0000-00004A560000}"/>
    <cellStyle name="0_Planned qty_January'09 2 3 5" xfId="22105" xr:uid="{00000000-0005-0000-0000-00004B560000}"/>
    <cellStyle name="0_Planned qty_January'09 2 3 5 2" xfId="22106" xr:uid="{00000000-0005-0000-0000-00004C560000}"/>
    <cellStyle name="0_Planned qty_January'09 2 3 5 2 2" xfId="22107" xr:uid="{00000000-0005-0000-0000-00004D560000}"/>
    <cellStyle name="0_Planned qty_January'09 2 3 5 3" xfId="22108" xr:uid="{00000000-0005-0000-0000-00004E560000}"/>
    <cellStyle name="0_Planned qty_January'09 2 3 5 3 2" xfId="22109" xr:uid="{00000000-0005-0000-0000-00004F560000}"/>
    <cellStyle name="0_Planned qty_January'09 2 3 5 4" xfId="22110" xr:uid="{00000000-0005-0000-0000-000050560000}"/>
    <cellStyle name="0_Planned qty_January'09 2 3 6" xfId="22111" xr:uid="{00000000-0005-0000-0000-000051560000}"/>
    <cellStyle name="0_Planned qty_January'09 2 3 6 2" xfId="22112" xr:uid="{00000000-0005-0000-0000-000052560000}"/>
    <cellStyle name="0_Planned qty_January'09 2 3 7" xfId="22113" xr:uid="{00000000-0005-0000-0000-000053560000}"/>
    <cellStyle name="0_Planned qty_January'09 2 3 7 2" xfId="22114" xr:uid="{00000000-0005-0000-0000-000054560000}"/>
    <cellStyle name="0_Planned qty_January'09 2 3 8" xfId="22115" xr:uid="{00000000-0005-0000-0000-000055560000}"/>
    <cellStyle name="0_Planned qty_January'09 2 4" xfId="22116" xr:uid="{00000000-0005-0000-0000-000056560000}"/>
    <cellStyle name="0_Planned qty_January'09 2 4 2" xfId="22117" xr:uid="{00000000-0005-0000-0000-000057560000}"/>
    <cellStyle name="0_Planned qty_January'09 2 4 2 2" xfId="22118" xr:uid="{00000000-0005-0000-0000-000058560000}"/>
    <cellStyle name="0_Planned qty_January'09 2 4 2 2 2" xfId="22119" xr:uid="{00000000-0005-0000-0000-000059560000}"/>
    <cellStyle name="0_Planned qty_January'09 2 4 2 2 2 2" xfId="22120" xr:uid="{00000000-0005-0000-0000-00005A560000}"/>
    <cellStyle name="0_Planned qty_January'09 2 4 2 2 3" xfId="22121" xr:uid="{00000000-0005-0000-0000-00005B560000}"/>
    <cellStyle name="0_Planned qty_January'09 2 4 2 2 3 2" xfId="22122" xr:uid="{00000000-0005-0000-0000-00005C560000}"/>
    <cellStyle name="0_Planned qty_January'09 2 4 2 2 4" xfId="22123" xr:uid="{00000000-0005-0000-0000-00005D560000}"/>
    <cellStyle name="0_Planned qty_January'09 2 4 2 3" xfId="22124" xr:uid="{00000000-0005-0000-0000-00005E560000}"/>
    <cellStyle name="0_Planned qty_January'09 2 4 2 3 2" xfId="22125" xr:uid="{00000000-0005-0000-0000-00005F560000}"/>
    <cellStyle name="0_Planned qty_January'09 2 4 2 3 2 2" xfId="22126" xr:uid="{00000000-0005-0000-0000-000060560000}"/>
    <cellStyle name="0_Planned qty_January'09 2 4 2 3 3" xfId="22127" xr:uid="{00000000-0005-0000-0000-000061560000}"/>
    <cellStyle name="0_Planned qty_January'09 2 4 2 3 3 2" xfId="22128" xr:uid="{00000000-0005-0000-0000-000062560000}"/>
    <cellStyle name="0_Planned qty_January'09 2 4 2 3 4" xfId="22129" xr:uid="{00000000-0005-0000-0000-000063560000}"/>
    <cellStyle name="0_Planned qty_January'09 2 4 2 4" xfId="22130" xr:uid="{00000000-0005-0000-0000-000064560000}"/>
    <cellStyle name="0_Planned qty_January'09 2 4 2 4 2" xfId="22131" xr:uid="{00000000-0005-0000-0000-000065560000}"/>
    <cellStyle name="0_Planned qty_January'09 2 4 2 5" xfId="22132" xr:uid="{00000000-0005-0000-0000-000066560000}"/>
    <cellStyle name="0_Planned qty_January'09 2 4 2 5 2" xfId="22133" xr:uid="{00000000-0005-0000-0000-000067560000}"/>
    <cellStyle name="0_Planned qty_January'09 2 4 2 6" xfId="22134" xr:uid="{00000000-0005-0000-0000-000068560000}"/>
    <cellStyle name="0_Planned qty_January'09 2 4 3" xfId="22135" xr:uid="{00000000-0005-0000-0000-000069560000}"/>
    <cellStyle name="0_Planned qty_January'09 2 4 3 2" xfId="22136" xr:uid="{00000000-0005-0000-0000-00006A560000}"/>
    <cellStyle name="0_Planned qty_January'09 2 4 3 2 2" xfId="22137" xr:uid="{00000000-0005-0000-0000-00006B560000}"/>
    <cellStyle name="0_Planned qty_January'09 2 4 3 3" xfId="22138" xr:uid="{00000000-0005-0000-0000-00006C560000}"/>
    <cellStyle name="0_Planned qty_January'09 2 4 3 3 2" xfId="22139" xr:uid="{00000000-0005-0000-0000-00006D560000}"/>
    <cellStyle name="0_Planned qty_January'09 2 4 3 4" xfId="22140" xr:uid="{00000000-0005-0000-0000-00006E560000}"/>
    <cellStyle name="0_Planned qty_January'09 2 4 4" xfId="22141" xr:uid="{00000000-0005-0000-0000-00006F560000}"/>
    <cellStyle name="0_Planned qty_January'09 2 4 4 2" xfId="22142" xr:uid="{00000000-0005-0000-0000-000070560000}"/>
    <cellStyle name="0_Planned qty_January'09 2 4 4 2 2" xfId="22143" xr:uid="{00000000-0005-0000-0000-000071560000}"/>
    <cellStyle name="0_Planned qty_January'09 2 4 4 3" xfId="22144" xr:uid="{00000000-0005-0000-0000-000072560000}"/>
    <cellStyle name="0_Planned qty_January'09 2 4 4 3 2" xfId="22145" xr:uid="{00000000-0005-0000-0000-000073560000}"/>
    <cellStyle name="0_Planned qty_January'09 2 4 4 4" xfId="22146" xr:uid="{00000000-0005-0000-0000-000074560000}"/>
    <cellStyle name="0_Planned qty_January'09 2 4 5" xfId="22147" xr:uid="{00000000-0005-0000-0000-000075560000}"/>
    <cellStyle name="0_Planned qty_January'09 2 4 5 2" xfId="22148" xr:uid="{00000000-0005-0000-0000-000076560000}"/>
    <cellStyle name="0_Planned qty_January'09 2 4 5 2 2" xfId="22149" xr:uid="{00000000-0005-0000-0000-000077560000}"/>
    <cellStyle name="0_Planned qty_January'09 2 4 5 3" xfId="22150" xr:uid="{00000000-0005-0000-0000-000078560000}"/>
    <cellStyle name="0_Planned qty_January'09 2 4 5 3 2" xfId="22151" xr:uid="{00000000-0005-0000-0000-000079560000}"/>
    <cellStyle name="0_Planned qty_January'09 2 4 5 4" xfId="22152" xr:uid="{00000000-0005-0000-0000-00007A560000}"/>
    <cellStyle name="0_Planned qty_January'09 2 4 6" xfId="22153" xr:uid="{00000000-0005-0000-0000-00007B560000}"/>
    <cellStyle name="0_Planned qty_January'09 2 4 6 2" xfId="22154" xr:uid="{00000000-0005-0000-0000-00007C560000}"/>
    <cellStyle name="0_Planned qty_January'09 2 4 7" xfId="22155" xr:uid="{00000000-0005-0000-0000-00007D560000}"/>
    <cellStyle name="0_Planned qty_January'09 2 4 7 2" xfId="22156" xr:uid="{00000000-0005-0000-0000-00007E560000}"/>
    <cellStyle name="0_Planned qty_January'09 2 4 8" xfId="22157" xr:uid="{00000000-0005-0000-0000-00007F560000}"/>
    <cellStyle name="0_Planned qty_January'09 2 5" xfId="22158" xr:uid="{00000000-0005-0000-0000-000080560000}"/>
    <cellStyle name="0_Planned qty_January'09 2 5 2" xfId="22159" xr:uid="{00000000-0005-0000-0000-000081560000}"/>
    <cellStyle name="0_Planned qty_January'09 2 5 2 2" xfId="22160" xr:uid="{00000000-0005-0000-0000-000082560000}"/>
    <cellStyle name="0_Planned qty_January'09 2 5 2 2 2" xfId="22161" xr:uid="{00000000-0005-0000-0000-000083560000}"/>
    <cellStyle name="0_Planned qty_January'09 2 5 2 2 2 2" xfId="22162" xr:uid="{00000000-0005-0000-0000-000084560000}"/>
    <cellStyle name="0_Planned qty_January'09 2 5 2 2 3" xfId="22163" xr:uid="{00000000-0005-0000-0000-000085560000}"/>
    <cellStyle name="0_Planned qty_January'09 2 5 2 2 3 2" xfId="22164" xr:uid="{00000000-0005-0000-0000-000086560000}"/>
    <cellStyle name="0_Planned qty_January'09 2 5 2 2 4" xfId="22165" xr:uid="{00000000-0005-0000-0000-000087560000}"/>
    <cellStyle name="0_Planned qty_January'09 2 5 2 3" xfId="22166" xr:uid="{00000000-0005-0000-0000-000088560000}"/>
    <cellStyle name="0_Planned qty_January'09 2 5 2 3 2" xfId="22167" xr:uid="{00000000-0005-0000-0000-000089560000}"/>
    <cellStyle name="0_Planned qty_January'09 2 5 2 3 2 2" xfId="22168" xr:uid="{00000000-0005-0000-0000-00008A560000}"/>
    <cellStyle name="0_Planned qty_January'09 2 5 2 3 3" xfId="22169" xr:uid="{00000000-0005-0000-0000-00008B560000}"/>
    <cellStyle name="0_Planned qty_January'09 2 5 2 3 3 2" xfId="22170" xr:uid="{00000000-0005-0000-0000-00008C560000}"/>
    <cellStyle name="0_Planned qty_January'09 2 5 2 3 4" xfId="22171" xr:uid="{00000000-0005-0000-0000-00008D560000}"/>
    <cellStyle name="0_Planned qty_January'09 2 5 2 4" xfId="22172" xr:uid="{00000000-0005-0000-0000-00008E560000}"/>
    <cellStyle name="0_Planned qty_January'09 2 5 2 4 2" xfId="22173" xr:uid="{00000000-0005-0000-0000-00008F560000}"/>
    <cellStyle name="0_Planned qty_January'09 2 5 2 5" xfId="22174" xr:uid="{00000000-0005-0000-0000-000090560000}"/>
    <cellStyle name="0_Planned qty_January'09 2 5 2 5 2" xfId="22175" xr:uid="{00000000-0005-0000-0000-000091560000}"/>
    <cellStyle name="0_Planned qty_January'09 2 5 2 6" xfId="22176" xr:uid="{00000000-0005-0000-0000-000092560000}"/>
    <cellStyle name="0_Planned qty_January'09 2 5 3" xfId="22177" xr:uid="{00000000-0005-0000-0000-000093560000}"/>
    <cellStyle name="0_Planned qty_January'09 2 5 3 2" xfId="22178" xr:uid="{00000000-0005-0000-0000-000094560000}"/>
    <cellStyle name="0_Planned qty_January'09 2 5 3 2 2" xfId="22179" xr:uid="{00000000-0005-0000-0000-000095560000}"/>
    <cellStyle name="0_Planned qty_January'09 2 5 3 3" xfId="22180" xr:uid="{00000000-0005-0000-0000-000096560000}"/>
    <cellStyle name="0_Planned qty_January'09 2 5 3 3 2" xfId="22181" xr:uid="{00000000-0005-0000-0000-000097560000}"/>
    <cellStyle name="0_Planned qty_January'09 2 5 3 4" xfId="22182" xr:uid="{00000000-0005-0000-0000-000098560000}"/>
    <cellStyle name="0_Planned qty_January'09 2 5 4" xfId="22183" xr:uid="{00000000-0005-0000-0000-000099560000}"/>
    <cellStyle name="0_Planned qty_January'09 2 5 4 2" xfId="22184" xr:uid="{00000000-0005-0000-0000-00009A560000}"/>
    <cellStyle name="0_Planned qty_January'09 2 5 4 2 2" xfId="22185" xr:uid="{00000000-0005-0000-0000-00009B560000}"/>
    <cellStyle name="0_Planned qty_January'09 2 5 4 3" xfId="22186" xr:uid="{00000000-0005-0000-0000-00009C560000}"/>
    <cellStyle name="0_Planned qty_January'09 2 5 4 3 2" xfId="22187" xr:uid="{00000000-0005-0000-0000-00009D560000}"/>
    <cellStyle name="0_Planned qty_January'09 2 5 4 4" xfId="22188" xr:uid="{00000000-0005-0000-0000-00009E560000}"/>
    <cellStyle name="0_Planned qty_January'09 2 5 5" xfId="22189" xr:uid="{00000000-0005-0000-0000-00009F560000}"/>
    <cellStyle name="0_Planned qty_January'09 2 5 5 2" xfId="22190" xr:uid="{00000000-0005-0000-0000-0000A0560000}"/>
    <cellStyle name="0_Planned qty_January'09 2 5 5 2 2" xfId="22191" xr:uid="{00000000-0005-0000-0000-0000A1560000}"/>
    <cellStyle name="0_Planned qty_January'09 2 5 5 3" xfId="22192" xr:uid="{00000000-0005-0000-0000-0000A2560000}"/>
    <cellStyle name="0_Planned qty_January'09 2 5 5 3 2" xfId="22193" xr:uid="{00000000-0005-0000-0000-0000A3560000}"/>
    <cellStyle name="0_Planned qty_January'09 2 5 5 4" xfId="22194" xr:uid="{00000000-0005-0000-0000-0000A4560000}"/>
    <cellStyle name="0_Planned qty_January'09 2 5 6" xfId="22195" xr:uid="{00000000-0005-0000-0000-0000A5560000}"/>
    <cellStyle name="0_Planned qty_January'09 2 5 6 2" xfId="22196" xr:uid="{00000000-0005-0000-0000-0000A6560000}"/>
    <cellStyle name="0_Planned qty_January'09 2 5 7" xfId="22197" xr:uid="{00000000-0005-0000-0000-0000A7560000}"/>
    <cellStyle name="0_Planned qty_January'09 2 5 7 2" xfId="22198" xr:uid="{00000000-0005-0000-0000-0000A8560000}"/>
    <cellStyle name="0_Planned qty_January'09 2 5 8" xfId="22199" xr:uid="{00000000-0005-0000-0000-0000A9560000}"/>
    <cellStyle name="0_Planned qty_January'09 2 6" xfId="22200" xr:uid="{00000000-0005-0000-0000-0000AA560000}"/>
    <cellStyle name="0_Planned qty_January'09 2 6 2" xfId="22201" xr:uid="{00000000-0005-0000-0000-0000AB560000}"/>
    <cellStyle name="0_Planned qty_January'09 2 6 2 2" xfId="22202" xr:uid="{00000000-0005-0000-0000-0000AC560000}"/>
    <cellStyle name="0_Planned qty_January'09 2 6 2 2 2" xfId="22203" xr:uid="{00000000-0005-0000-0000-0000AD560000}"/>
    <cellStyle name="0_Planned qty_January'09 2 6 2 2 2 2" xfId="22204" xr:uid="{00000000-0005-0000-0000-0000AE560000}"/>
    <cellStyle name="0_Planned qty_January'09 2 6 2 2 3" xfId="22205" xr:uid="{00000000-0005-0000-0000-0000AF560000}"/>
    <cellStyle name="0_Planned qty_January'09 2 6 2 2 3 2" xfId="22206" xr:uid="{00000000-0005-0000-0000-0000B0560000}"/>
    <cellStyle name="0_Planned qty_January'09 2 6 2 2 4" xfId="22207" xr:uid="{00000000-0005-0000-0000-0000B1560000}"/>
    <cellStyle name="0_Planned qty_January'09 2 6 2 3" xfId="22208" xr:uid="{00000000-0005-0000-0000-0000B2560000}"/>
    <cellStyle name="0_Planned qty_January'09 2 6 2 3 2" xfId="22209" xr:uid="{00000000-0005-0000-0000-0000B3560000}"/>
    <cellStyle name="0_Planned qty_January'09 2 6 2 3 2 2" xfId="22210" xr:uid="{00000000-0005-0000-0000-0000B4560000}"/>
    <cellStyle name="0_Planned qty_January'09 2 6 2 3 3" xfId="22211" xr:uid="{00000000-0005-0000-0000-0000B5560000}"/>
    <cellStyle name="0_Planned qty_January'09 2 6 2 3 3 2" xfId="22212" xr:uid="{00000000-0005-0000-0000-0000B6560000}"/>
    <cellStyle name="0_Planned qty_January'09 2 6 2 3 4" xfId="22213" xr:uid="{00000000-0005-0000-0000-0000B7560000}"/>
    <cellStyle name="0_Planned qty_January'09 2 6 2 4" xfId="22214" xr:uid="{00000000-0005-0000-0000-0000B8560000}"/>
    <cellStyle name="0_Planned qty_January'09 2 6 2 4 2" xfId="22215" xr:uid="{00000000-0005-0000-0000-0000B9560000}"/>
    <cellStyle name="0_Planned qty_January'09 2 6 2 5" xfId="22216" xr:uid="{00000000-0005-0000-0000-0000BA560000}"/>
    <cellStyle name="0_Planned qty_January'09 2 6 2 5 2" xfId="22217" xr:uid="{00000000-0005-0000-0000-0000BB560000}"/>
    <cellStyle name="0_Planned qty_January'09 2 6 2 6" xfId="22218" xr:uid="{00000000-0005-0000-0000-0000BC560000}"/>
    <cellStyle name="0_Planned qty_January'09 2 6 3" xfId="22219" xr:uid="{00000000-0005-0000-0000-0000BD560000}"/>
    <cellStyle name="0_Planned qty_January'09 2 6 3 2" xfId="22220" xr:uid="{00000000-0005-0000-0000-0000BE560000}"/>
    <cellStyle name="0_Planned qty_January'09 2 6 3 2 2" xfId="22221" xr:uid="{00000000-0005-0000-0000-0000BF560000}"/>
    <cellStyle name="0_Planned qty_January'09 2 6 3 3" xfId="22222" xr:uid="{00000000-0005-0000-0000-0000C0560000}"/>
    <cellStyle name="0_Planned qty_January'09 2 6 3 3 2" xfId="22223" xr:uid="{00000000-0005-0000-0000-0000C1560000}"/>
    <cellStyle name="0_Planned qty_January'09 2 6 3 4" xfId="22224" xr:uid="{00000000-0005-0000-0000-0000C2560000}"/>
    <cellStyle name="0_Planned qty_January'09 2 6 4" xfId="22225" xr:uid="{00000000-0005-0000-0000-0000C3560000}"/>
    <cellStyle name="0_Planned qty_January'09 2 6 4 2" xfId="22226" xr:uid="{00000000-0005-0000-0000-0000C4560000}"/>
    <cellStyle name="0_Planned qty_January'09 2 6 4 2 2" xfId="22227" xr:uid="{00000000-0005-0000-0000-0000C5560000}"/>
    <cellStyle name="0_Planned qty_January'09 2 6 4 3" xfId="22228" xr:uid="{00000000-0005-0000-0000-0000C6560000}"/>
    <cellStyle name="0_Planned qty_January'09 2 6 4 3 2" xfId="22229" xr:uid="{00000000-0005-0000-0000-0000C7560000}"/>
    <cellStyle name="0_Planned qty_January'09 2 6 4 4" xfId="22230" xr:uid="{00000000-0005-0000-0000-0000C8560000}"/>
    <cellStyle name="0_Planned qty_January'09 2 6 5" xfId="22231" xr:uid="{00000000-0005-0000-0000-0000C9560000}"/>
    <cellStyle name="0_Planned qty_January'09 2 6 5 2" xfId="22232" xr:uid="{00000000-0005-0000-0000-0000CA560000}"/>
    <cellStyle name="0_Planned qty_January'09 2 6 5 2 2" xfId="22233" xr:uid="{00000000-0005-0000-0000-0000CB560000}"/>
    <cellStyle name="0_Planned qty_January'09 2 6 5 3" xfId="22234" xr:uid="{00000000-0005-0000-0000-0000CC560000}"/>
    <cellStyle name="0_Planned qty_January'09 2 6 5 3 2" xfId="22235" xr:uid="{00000000-0005-0000-0000-0000CD560000}"/>
    <cellStyle name="0_Planned qty_January'09 2 6 5 4" xfId="22236" xr:uid="{00000000-0005-0000-0000-0000CE560000}"/>
    <cellStyle name="0_Planned qty_January'09 2 6 6" xfId="22237" xr:uid="{00000000-0005-0000-0000-0000CF560000}"/>
    <cellStyle name="0_Planned qty_January'09 2 6 6 2" xfId="22238" xr:uid="{00000000-0005-0000-0000-0000D0560000}"/>
    <cellStyle name="0_Planned qty_January'09 2 6 7" xfId="22239" xr:uid="{00000000-0005-0000-0000-0000D1560000}"/>
    <cellStyle name="0_Planned qty_January'09 2 6 7 2" xfId="22240" xr:uid="{00000000-0005-0000-0000-0000D2560000}"/>
    <cellStyle name="0_Planned qty_January'09 2 6 8" xfId="22241" xr:uid="{00000000-0005-0000-0000-0000D3560000}"/>
    <cellStyle name="0_Planned qty_January'09 2 7" xfId="22242" xr:uid="{00000000-0005-0000-0000-0000D4560000}"/>
    <cellStyle name="0_Planned qty_January'09 2 7 2" xfId="22243" xr:uid="{00000000-0005-0000-0000-0000D5560000}"/>
    <cellStyle name="0_Planned qty_January'09 2 7 2 2" xfId="22244" xr:uid="{00000000-0005-0000-0000-0000D6560000}"/>
    <cellStyle name="0_Planned qty_January'09 2 7 2 2 2" xfId="22245" xr:uid="{00000000-0005-0000-0000-0000D7560000}"/>
    <cellStyle name="0_Planned qty_January'09 2 7 2 3" xfId="22246" xr:uid="{00000000-0005-0000-0000-0000D8560000}"/>
    <cellStyle name="0_Planned qty_January'09 2 7 2 3 2" xfId="22247" xr:uid="{00000000-0005-0000-0000-0000D9560000}"/>
    <cellStyle name="0_Planned qty_January'09 2 7 2 4" xfId="22248" xr:uid="{00000000-0005-0000-0000-0000DA560000}"/>
    <cellStyle name="0_Planned qty_January'09 2 7 3" xfId="22249" xr:uid="{00000000-0005-0000-0000-0000DB560000}"/>
    <cellStyle name="0_Planned qty_January'09 2 7 3 2" xfId="22250" xr:uid="{00000000-0005-0000-0000-0000DC560000}"/>
    <cellStyle name="0_Planned qty_January'09 2 7 3 2 2" xfId="22251" xr:uid="{00000000-0005-0000-0000-0000DD560000}"/>
    <cellStyle name="0_Planned qty_January'09 2 7 3 3" xfId="22252" xr:uid="{00000000-0005-0000-0000-0000DE560000}"/>
    <cellStyle name="0_Planned qty_January'09 2 7 3 3 2" xfId="22253" xr:uid="{00000000-0005-0000-0000-0000DF560000}"/>
    <cellStyle name="0_Planned qty_January'09 2 7 3 4" xfId="22254" xr:uid="{00000000-0005-0000-0000-0000E0560000}"/>
    <cellStyle name="0_Planned qty_January'09 2 7 4" xfId="22255" xr:uid="{00000000-0005-0000-0000-0000E1560000}"/>
    <cellStyle name="0_Planned qty_January'09 2 7 4 2" xfId="22256" xr:uid="{00000000-0005-0000-0000-0000E2560000}"/>
    <cellStyle name="0_Planned qty_January'09 2 7 5" xfId="22257" xr:uid="{00000000-0005-0000-0000-0000E3560000}"/>
    <cellStyle name="0_Planned qty_January'09 2 7 5 2" xfId="22258" xr:uid="{00000000-0005-0000-0000-0000E4560000}"/>
    <cellStyle name="0_Planned qty_January'09 2 7 6" xfId="22259" xr:uid="{00000000-0005-0000-0000-0000E5560000}"/>
    <cellStyle name="0_Planned qty_January'09 2 8" xfId="22260" xr:uid="{00000000-0005-0000-0000-0000E6560000}"/>
    <cellStyle name="0_Planned qty_January'09 2 8 2" xfId="22261" xr:uid="{00000000-0005-0000-0000-0000E7560000}"/>
    <cellStyle name="0_Planned qty_January'09 2 8 2 2" xfId="22262" xr:uid="{00000000-0005-0000-0000-0000E8560000}"/>
    <cellStyle name="0_Planned qty_January'09 2 8 3" xfId="22263" xr:uid="{00000000-0005-0000-0000-0000E9560000}"/>
    <cellStyle name="0_Planned qty_January'09 2 8 3 2" xfId="22264" xr:uid="{00000000-0005-0000-0000-0000EA560000}"/>
    <cellStyle name="0_Planned qty_January'09 2 8 4" xfId="22265" xr:uid="{00000000-0005-0000-0000-0000EB560000}"/>
    <cellStyle name="0_Planned qty_January'09 2 9" xfId="22266" xr:uid="{00000000-0005-0000-0000-0000EC560000}"/>
    <cellStyle name="0_Planned qty_January'09 2 9 2" xfId="22267" xr:uid="{00000000-0005-0000-0000-0000ED560000}"/>
    <cellStyle name="0_Planned qty_January'09 2 9 2 2" xfId="22268" xr:uid="{00000000-0005-0000-0000-0000EE560000}"/>
    <cellStyle name="0_Planned qty_January'09 2 9 3" xfId="22269" xr:uid="{00000000-0005-0000-0000-0000EF560000}"/>
    <cellStyle name="0_Planned qty_January'09 2 9 3 2" xfId="22270" xr:uid="{00000000-0005-0000-0000-0000F0560000}"/>
    <cellStyle name="0_Planned qty_January'09 2 9 4" xfId="22271" xr:uid="{00000000-0005-0000-0000-0000F1560000}"/>
    <cellStyle name="0_Planned qty_January'09 20" xfId="22272" xr:uid="{00000000-0005-0000-0000-0000F2560000}"/>
    <cellStyle name="0_Planned qty_January'09 3" xfId="22273" xr:uid="{00000000-0005-0000-0000-0000F3560000}"/>
    <cellStyle name="0_Planned qty_January'09 3 10" xfId="22274" xr:uid="{00000000-0005-0000-0000-0000F4560000}"/>
    <cellStyle name="0_Planned qty_January'09 3 10 2" xfId="22275" xr:uid="{00000000-0005-0000-0000-0000F5560000}"/>
    <cellStyle name="0_Planned qty_January'09 3 10 2 2" xfId="22276" xr:uid="{00000000-0005-0000-0000-0000F6560000}"/>
    <cellStyle name="0_Planned qty_January'09 3 10 3" xfId="22277" xr:uid="{00000000-0005-0000-0000-0000F7560000}"/>
    <cellStyle name="0_Planned qty_January'09 3 10 3 2" xfId="22278" xr:uid="{00000000-0005-0000-0000-0000F8560000}"/>
    <cellStyle name="0_Planned qty_January'09 3 10 4" xfId="22279" xr:uid="{00000000-0005-0000-0000-0000F9560000}"/>
    <cellStyle name="0_Planned qty_January'09 3 11" xfId="22280" xr:uid="{00000000-0005-0000-0000-0000FA560000}"/>
    <cellStyle name="0_Planned qty_January'09 3 11 2" xfId="22281" xr:uid="{00000000-0005-0000-0000-0000FB560000}"/>
    <cellStyle name="0_Planned qty_January'09 3 12" xfId="22282" xr:uid="{00000000-0005-0000-0000-0000FC560000}"/>
    <cellStyle name="0_Planned qty_January'09 3 12 2" xfId="22283" xr:uid="{00000000-0005-0000-0000-0000FD560000}"/>
    <cellStyle name="0_Planned qty_January'09 3 13" xfId="22284" xr:uid="{00000000-0005-0000-0000-0000FE560000}"/>
    <cellStyle name="0_Planned qty_January'09 3 2" xfId="22285" xr:uid="{00000000-0005-0000-0000-0000FF560000}"/>
    <cellStyle name="0_Planned qty_January'09 3 2 2" xfId="22286" xr:uid="{00000000-0005-0000-0000-000000570000}"/>
    <cellStyle name="0_Planned qty_January'09 3 2 2 2" xfId="22287" xr:uid="{00000000-0005-0000-0000-000001570000}"/>
    <cellStyle name="0_Planned qty_January'09 3 2 2 2 2" xfId="22288" xr:uid="{00000000-0005-0000-0000-000002570000}"/>
    <cellStyle name="0_Planned qty_January'09 3 2 2 2 2 2" xfId="22289" xr:uid="{00000000-0005-0000-0000-000003570000}"/>
    <cellStyle name="0_Planned qty_January'09 3 2 2 2 3" xfId="22290" xr:uid="{00000000-0005-0000-0000-000004570000}"/>
    <cellStyle name="0_Planned qty_January'09 3 2 2 2 3 2" xfId="22291" xr:uid="{00000000-0005-0000-0000-000005570000}"/>
    <cellStyle name="0_Planned qty_January'09 3 2 2 2 4" xfId="22292" xr:uid="{00000000-0005-0000-0000-000006570000}"/>
    <cellStyle name="0_Planned qty_January'09 3 2 2 3" xfId="22293" xr:uid="{00000000-0005-0000-0000-000007570000}"/>
    <cellStyle name="0_Planned qty_January'09 3 2 2 3 2" xfId="22294" xr:uid="{00000000-0005-0000-0000-000008570000}"/>
    <cellStyle name="0_Planned qty_January'09 3 2 2 3 2 2" xfId="22295" xr:uid="{00000000-0005-0000-0000-000009570000}"/>
    <cellStyle name="0_Planned qty_January'09 3 2 2 3 3" xfId="22296" xr:uid="{00000000-0005-0000-0000-00000A570000}"/>
    <cellStyle name="0_Planned qty_January'09 3 2 2 3 3 2" xfId="22297" xr:uid="{00000000-0005-0000-0000-00000B570000}"/>
    <cellStyle name="0_Planned qty_January'09 3 2 2 3 4" xfId="22298" xr:uid="{00000000-0005-0000-0000-00000C570000}"/>
    <cellStyle name="0_Planned qty_January'09 3 2 2 4" xfId="22299" xr:uid="{00000000-0005-0000-0000-00000D570000}"/>
    <cellStyle name="0_Planned qty_January'09 3 2 2 4 2" xfId="22300" xr:uid="{00000000-0005-0000-0000-00000E570000}"/>
    <cellStyle name="0_Planned qty_January'09 3 2 2 5" xfId="22301" xr:uid="{00000000-0005-0000-0000-00000F570000}"/>
    <cellStyle name="0_Planned qty_January'09 3 2 2 5 2" xfId="22302" xr:uid="{00000000-0005-0000-0000-000010570000}"/>
    <cellStyle name="0_Planned qty_January'09 3 2 2 6" xfId="22303" xr:uid="{00000000-0005-0000-0000-000011570000}"/>
    <cellStyle name="0_Planned qty_January'09 3 2 3" xfId="22304" xr:uid="{00000000-0005-0000-0000-000012570000}"/>
    <cellStyle name="0_Planned qty_January'09 3 2 3 2" xfId="22305" xr:uid="{00000000-0005-0000-0000-000013570000}"/>
    <cellStyle name="0_Planned qty_January'09 3 2 3 2 2" xfId="22306" xr:uid="{00000000-0005-0000-0000-000014570000}"/>
    <cellStyle name="0_Planned qty_January'09 3 2 3 3" xfId="22307" xr:uid="{00000000-0005-0000-0000-000015570000}"/>
    <cellStyle name="0_Planned qty_January'09 3 2 3 3 2" xfId="22308" xr:uid="{00000000-0005-0000-0000-000016570000}"/>
    <cellStyle name="0_Planned qty_January'09 3 2 3 4" xfId="22309" xr:uid="{00000000-0005-0000-0000-000017570000}"/>
    <cellStyle name="0_Planned qty_January'09 3 2 4" xfId="22310" xr:uid="{00000000-0005-0000-0000-000018570000}"/>
    <cellStyle name="0_Planned qty_January'09 3 2 4 2" xfId="22311" xr:uid="{00000000-0005-0000-0000-000019570000}"/>
    <cellStyle name="0_Planned qty_January'09 3 2 4 2 2" xfId="22312" xr:uid="{00000000-0005-0000-0000-00001A570000}"/>
    <cellStyle name="0_Planned qty_January'09 3 2 4 3" xfId="22313" xr:uid="{00000000-0005-0000-0000-00001B570000}"/>
    <cellStyle name="0_Planned qty_January'09 3 2 4 3 2" xfId="22314" xr:uid="{00000000-0005-0000-0000-00001C570000}"/>
    <cellStyle name="0_Planned qty_January'09 3 2 4 4" xfId="22315" xr:uid="{00000000-0005-0000-0000-00001D570000}"/>
    <cellStyle name="0_Planned qty_January'09 3 2 5" xfId="22316" xr:uid="{00000000-0005-0000-0000-00001E570000}"/>
    <cellStyle name="0_Planned qty_January'09 3 2 5 2" xfId="22317" xr:uid="{00000000-0005-0000-0000-00001F570000}"/>
    <cellStyle name="0_Planned qty_January'09 3 2 5 2 2" xfId="22318" xr:uid="{00000000-0005-0000-0000-000020570000}"/>
    <cellStyle name="0_Planned qty_January'09 3 2 5 3" xfId="22319" xr:uid="{00000000-0005-0000-0000-000021570000}"/>
    <cellStyle name="0_Planned qty_January'09 3 2 5 3 2" xfId="22320" xr:uid="{00000000-0005-0000-0000-000022570000}"/>
    <cellStyle name="0_Planned qty_January'09 3 2 5 4" xfId="22321" xr:uid="{00000000-0005-0000-0000-000023570000}"/>
    <cellStyle name="0_Planned qty_January'09 3 2 6" xfId="22322" xr:uid="{00000000-0005-0000-0000-000024570000}"/>
    <cellStyle name="0_Planned qty_January'09 3 2 6 2" xfId="22323" xr:uid="{00000000-0005-0000-0000-000025570000}"/>
    <cellStyle name="0_Planned qty_January'09 3 2 7" xfId="22324" xr:uid="{00000000-0005-0000-0000-000026570000}"/>
    <cellStyle name="0_Planned qty_January'09 3 2 7 2" xfId="22325" xr:uid="{00000000-0005-0000-0000-000027570000}"/>
    <cellStyle name="0_Planned qty_January'09 3 2 8" xfId="22326" xr:uid="{00000000-0005-0000-0000-000028570000}"/>
    <cellStyle name="0_Planned qty_January'09 3 3" xfId="22327" xr:uid="{00000000-0005-0000-0000-000029570000}"/>
    <cellStyle name="0_Planned qty_January'09 3 3 2" xfId="22328" xr:uid="{00000000-0005-0000-0000-00002A570000}"/>
    <cellStyle name="0_Planned qty_January'09 3 3 2 2" xfId="22329" xr:uid="{00000000-0005-0000-0000-00002B570000}"/>
    <cellStyle name="0_Planned qty_January'09 3 3 2 2 2" xfId="22330" xr:uid="{00000000-0005-0000-0000-00002C570000}"/>
    <cellStyle name="0_Planned qty_January'09 3 3 2 2 2 2" xfId="22331" xr:uid="{00000000-0005-0000-0000-00002D570000}"/>
    <cellStyle name="0_Planned qty_January'09 3 3 2 2 3" xfId="22332" xr:uid="{00000000-0005-0000-0000-00002E570000}"/>
    <cellStyle name="0_Planned qty_January'09 3 3 2 2 3 2" xfId="22333" xr:uid="{00000000-0005-0000-0000-00002F570000}"/>
    <cellStyle name="0_Planned qty_January'09 3 3 2 2 4" xfId="22334" xr:uid="{00000000-0005-0000-0000-000030570000}"/>
    <cellStyle name="0_Planned qty_January'09 3 3 2 3" xfId="22335" xr:uid="{00000000-0005-0000-0000-000031570000}"/>
    <cellStyle name="0_Planned qty_January'09 3 3 2 3 2" xfId="22336" xr:uid="{00000000-0005-0000-0000-000032570000}"/>
    <cellStyle name="0_Planned qty_January'09 3 3 2 3 2 2" xfId="22337" xr:uid="{00000000-0005-0000-0000-000033570000}"/>
    <cellStyle name="0_Planned qty_January'09 3 3 2 3 3" xfId="22338" xr:uid="{00000000-0005-0000-0000-000034570000}"/>
    <cellStyle name="0_Planned qty_January'09 3 3 2 3 3 2" xfId="22339" xr:uid="{00000000-0005-0000-0000-000035570000}"/>
    <cellStyle name="0_Planned qty_January'09 3 3 2 3 4" xfId="22340" xr:uid="{00000000-0005-0000-0000-000036570000}"/>
    <cellStyle name="0_Planned qty_January'09 3 3 2 4" xfId="22341" xr:uid="{00000000-0005-0000-0000-000037570000}"/>
    <cellStyle name="0_Planned qty_January'09 3 3 2 4 2" xfId="22342" xr:uid="{00000000-0005-0000-0000-000038570000}"/>
    <cellStyle name="0_Planned qty_January'09 3 3 2 5" xfId="22343" xr:uid="{00000000-0005-0000-0000-000039570000}"/>
    <cellStyle name="0_Planned qty_January'09 3 3 2 5 2" xfId="22344" xr:uid="{00000000-0005-0000-0000-00003A570000}"/>
    <cellStyle name="0_Planned qty_January'09 3 3 2 6" xfId="22345" xr:uid="{00000000-0005-0000-0000-00003B570000}"/>
    <cellStyle name="0_Planned qty_January'09 3 3 3" xfId="22346" xr:uid="{00000000-0005-0000-0000-00003C570000}"/>
    <cellStyle name="0_Planned qty_January'09 3 3 3 2" xfId="22347" xr:uid="{00000000-0005-0000-0000-00003D570000}"/>
    <cellStyle name="0_Planned qty_January'09 3 3 3 2 2" xfId="22348" xr:uid="{00000000-0005-0000-0000-00003E570000}"/>
    <cellStyle name="0_Planned qty_January'09 3 3 3 3" xfId="22349" xr:uid="{00000000-0005-0000-0000-00003F570000}"/>
    <cellStyle name="0_Planned qty_January'09 3 3 3 3 2" xfId="22350" xr:uid="{00000000-0005-0000-0000-000040570000}"/>
    <cellStyle name="0_Planned qty_January'09 3 3 3 4" xfId="22351" xr:uid="{00000000-0005-0000-0000-000041570000}"/>
    <cellStyle name="0_Planned qty_January'09 3 3 4" xfId="22352" xr:uid="{00000000-0005-0000-0000-000042570000}"/>
    <cellStyle name="0_Planned qty_January'09 3 3 4 2" xfId="22353" xr:uid="{00000000-0005-0000-0000-000043570000}"/>
    <cellStyle name="0_Planned qty_January'09 3 3 4 2 2" xfId="22354" xr:uid="{00000000-0005-0000-0000-000044570000}"/>
    <cellStyle name="0_Planned qty_January'09 3 3 4 3" xfId="22355" xr:uid="{00000000-0005-0000-0000-000045570000}"/>
    <cellStyle name="0_Planned qty_January'09 3 3 4 3 2" xfId="22356" xr:uid="{00000000-0005-0000-0000-000046570000}"/>
    <cellStyle name="0_Planned qty_January'09 3 3 4 4" xfId="22357" xr:uid="{00000000-0005-0000-0000-000047570000}"/>
    <cellStyle name="0_Planned qty_January'09 3 3 5" xfId="22358" xr:uid="{00000000-0005-0000-0000-000048570000}"/>
    <cellStyle name="0_Planned qty_January'09 3 3 5 2" xfId="22359" xr:uid="{00000000-0005-0000-0000-000049570000}"/>
    <cellStyle name="0_Planned qty_January'09 3 3 5 2 2" xfId="22360" xr:uid="{00000000-0005-0000-0000-00004A570000}"/>
    <cellStyle name="0_Planned qty_January'09 3 3 5 3" xfId="22361" xr:uid="{00000000-0005-0000-0000-00004B570000}"/>
    <cellStyle name="0_Planned qty_January'09 3 3 5 3 2" xfId="22362" xr:uid="{00000000-0005-0000-0000-00004C570000}"/>
    <cellStyle name="0_Planned qty_January'09 3 3 5 4" xfId="22363" xr:uid="{00000000-0005-0000-0000-00004D570000}"/>
    <cellStyle name="0_Planned qty_January'09 3 3 6" xfId="22364" xr:uid="{00000000-0005-0000-0000-00004E570000}"/>
    <cellStyle name="0_Planned qty_January'09 3 3 6 2" xfId="22365" xr:uid="{00000000-0005-0000-0000-00004F570000}"/>
    <cellStyle name="0_Planned qty_January'09 3 3 7" xfId="22366" xr:uid="{00000000-0005-0000-0000-000050570000}"/>
    <cellStyle name="0_Planned qty_January'09 3 3 7 2" xfId="22367" xr:uid="{00000000-0005-0000-0000-000051570000}"/>
    <cellStyle name="0_Planned qty_January'09 3 3 8" xfId="22368" xr:uid="{00000000-0005-0000-0000-000052570000}"/>
    <cellStyle name="0_Planned qty_January'09 3 4" xfId="22369" xr:uid="{00000000-0005-0000-0000-000053570000}"/>
    <cellStyle name="0_Planned qty_January'09 3 4 2" xfId="22370" xr:uid="{00000000-0005-0000-0000-000054570000}"/>
    <cellStyle name="0_Planned qty_January'09 3 4 2 2" xfId="22371" xr:uid="{00000000-0005-0000-0000-000055570000}"/>
    <cellStyle name="0_Planned qty_January'09 3 4 2 2 2" xfId="22372" xr:uid="{00000000-0005-0000-0000-000056570000}"/>
    <cellStyle name="0_Planned qty_January'09 3 4 2 2 2 2" xfId="22373" xr:uid="{00000000-0005-0000-0000-000057570000}"/>
    <cellStyle name="0_Planned qty_January'09 3 4 2 2 3" xfId="22374" xr:uid="{00000000-0005-0000-0000-000058570000}"/>
    <cellStyle name="0_Planned qty_January'09 3 4 2 2 3 2" xfId="22375" xr:uid="{00000000-0005-0000-0000-000059570000}"/>
    <cellStyle name="0_Planned qty_January'09 3 4 2 2 4" xfId="22376" xr:uid="{00000000-0005-0000-0000-00005A570000}"/>
    <cellStyle name="0_Planned qty_January'09 3 4 2 3" xfId="22377" xr:uid="{00000000-0005-0000-0000-00005B570000}"/>
    <cellStyle name="0_Planned qty_January'09 3 4 2 3 2" xfId="22378" xr:uid="{00000000-0005-0000-0000-00005C570000}"/>
    <cellStyle name="0_Planned qty_January'09 3 4 2 3 2 2" xfId="22379" xr:uid="{00000000-0005-0000-0000-00005D570000}"/>
    <cellStyle name="0_Planned qty_January'09 3 4 2 3 3" xfId="22380" xr:uid="{00000000-0005-0000-0000-00005E570000}"/>
    <cellStyle name="0_Planned qty_January'09 3 4 2 3 3 2" xfId="22381" xr:uid="{00000000-0005-0000-0000-00005F570000}"/>
    <cellStyle name="0_Planned qty_January'09 3 4 2 3 4" xfId="22382" xr:uid="{00000000-0005-0000-0000-000060570000}"/>
    <cellStyle name="0_Planned qty_January'09 3 4 2 4" xfId="22383" xr:uid="{00000000-0005-0000-0000-000061570000}"/>
    <cellStyle name="0_Planned qty_January'09 3 4 2 4 2" xfId="22384" xr:uid="{00000000-0005-0000-0000-000062570000}"/>
    <cellStyle name="0_Planned qty_January'09 3 4 2 5" xfId="22385" xr:uid="{00000000-0005-0000-0000-000063570000}"/>
    <cellStyle name="0_Planned qty_January'09 3 4 2 5 2" xfId="22386" xr:uid="{00000000-0005-0000-0000-000064570000}"/>
    <cellStyle name="0_Planned qty_January'09 3 4 2 6" xfId="22387" xr:uid="{00000000-0005-0000-0000-000065570000}"/>
    <cellStyle name="0_Planned qty_January'09 3 4 3" xfId="22388" xr:uid="{00000000-0005-0000-0000-000066570000}"/>
    <cellStyle name="0_Planned qty_January'09 3 4 3 2" xfId="22389" xr:uid="{00000000-0005-0000-0000-000067570000}"/>
    <cellStyle name="0_Planned qty_January'09 3 4 3 2 2" xfId="22390" xr:uid="{00000000-0005-0000-0000-000068570000}"/>
    <cellStyle name="0_Planned qty_January'09 3 4 3 3" xfId="22391" xr:uid="{00000000-0005-0000-0000-000069570000}"/>
    <cellStyle name="0_Planned qty_January'09 3 4 3 3 2" xfId="22392" xr:uid="{00000000-0005-0000-0000-00006A570000}"/>
    <cellStyle name="0_Planned qty_January'09 3 4 3 4" xfId="22393" xr:uid="{00000000-0005-0000-0000-00006B570000}"/>
    <cellStyle name="0_Planned qty_January'09 3 4 4" xfId="22394" xr:uid="{00000000-0005-0000-0000-00006C570000}"/>
    <cellStyle name="0_Planned qty_January'09 3 4 4 2" xfId="22395" xr:uid="{00000000-0005-0000-0000-00006D570000}"/>
    <cellStyle name="0_Planned qty_January'09 3 4 4 2 2" xfId="22396" xr:uid="{00000000-0005-0000-0000-00006E570000}"/>
    <cellStyle name="0_Planned qty_January'09 3 4 4 3" xfId="22397" xr:uid="{00000000-0005-0000-0000-00006F570000}"/>
    <cellStyle name="0_Planned qty_January'09 3 4 4 3 2" xfId="22398" xr:uid="{00000000-0005-0000-0000-000070570000}"/>
    <cellStyle name="0_Planned qty_January'09 3 4 4 4" xfId="22399" xr:uid="{00000000-0005-0000-0000-000071570000}"/>
    <cellStyle name="0_Planned qty_January'09 3 4 5" xfId="22400" xr:uid="{00000000-0005-0000-0000-000072570000}"/>
    <cellStyle name="0_Planned qty_January'09 3 4 5 2" xfId="22401" xr:uid="{00000000-0005-0000-0000-000073570000}"/>
    <cellStyle name="0_Planned qty_January'09 3 4 5 2 2" xfId="22402" xr:uid="{00000000-0005-0000-0000-000074570000}"/>
    <cellStyle name="0_Planned qty_January'09 3 4 5 3" xfId="22403" xr:uid="{00000000-0005-0000-0000-000075570000}"/>
    <cellStyle name="0_Planned qty_January'09 3 4 5 3 2" xfId="22404" xr:uid="{00000000-0005-0000-0000-000076570000}"/>
    <cellStyle name="0_Planned qty_January'09 3 4 5 4" xfId="22405" xr:uid="{00000000-0005-0000-0000-000077570000}"/>
    <cellStyle name="0_Planned qty_January'09 3 4 6" xfId="22406" xr:uid="{00000000-0005-0000-0000-000078570000}"/>
    <cellStyle name="0_Planned qty_January'09 3 4 6 2" xfId="22407" xr:uid="{00000000-0005-0000-0000-000079570000}"/>
    <cellStyle name="0_Planned qty_January'09 3 4 7" xfId="22408" xr:uid="{00000000-0005-0000-0000-00007A570000}"/>
    <cellStyle name="0_Planned qty_January'09 3 4 7 2" xfId="22409" xr:uid="{00000000-0005-0000-0000-00007B570000}"/>
    <cellStyle name="0_Planned qty_January'09 3 4 8" xfId="22410" xr:uid="{00000000-0005-0000-0000-00007C570000}"/>
    <cellStyle name="0_Planned qty_January'09 3 5" xfId="22411" xr:uid="{00000000-0005-0000-0000-00007D570000}"/>
    <cellStyle name="0_Planned qty_January'09 3 5 2" xfId="22412" xr:uid="{00000000-0005-0000-0000-00007E570000}"/>
    <cellStyle name="0_Planned qty_January'09 3 5 2 2" xfId="22413" xr:uid="{00000000-0005-0000-0000-00007F570000}"/>
    <cellStyle name="0_Planned qty_January'09 3 5 2 2 2" xfId="22414" xr:uid="{00000000-0005-0000-0000-000080570000}"/>
    <cellStyle name="0_Planned qty_January'09 3 5 2 2 2 2" xfId="22415" xr:uid="{00000000-0005-0000-0000-000081570000}"/>
    <cellStyle name="0_Planned qty_January'09 3 5 2 2 3" xfId="22416" xr:uid="{00000000-0005-0000-0000-000082570000}"/>
    <cellStyle name="0_Planned qty_January'09 3 5 2 2 3 2" xfId="22417" xr:uid="{00000000-0005-0000-0000-000083570000}"/>
    <cellStyle name="0_Planned qty_January'09 3 5 2 2 4" xfId="22418" xr:uid="{00000000-0005-0000-0000-000084570000}"/>
    <cellStyle name="0_Planned qty_January'09 3 5 2 3" xfId="22419" xr:uid="{00000000-0005-0000-0000-000085570000}"/>
    <cellStyle name="0_Planned qty_January'09 3 5 2 3 2" xfId="22420" xr:uid="{00000000-0005-0000-0000-000086570000}"/>
    <cellStyle name="0_Planned qty_January'09 3 5 2 3 2 2" xfId="22421" xr:uid="{00000000-0005-0000-0000-000087570000}"/>
    <cellStyle name="0_Planned qty_January'09 3 5 2 3 3" xfId="22422" xr:uid="{00000000-0005-0000-0000-000088570000}"/>
    <cellStyle name="0_Planned qty_January'09 3 5 2 3 3 2" xfId="22423" xr:uid="{00000000-0005-0000-0000-000089570000}"/>
    <cellStyle name="0_Planned qty_January'09 3 5 2 3 4" xfId="22424" xr:uid="{00000000-0005-0000-0000-00008A570000}"/>
    <cellStyle name="0_Planned qty_January'09 3 5 2 4" xfId="22425" xr:uid="{00000000-0005-0000-0000-00008B570000}"/>
    <cellStyle name="0_Planned qty_January'09 3 5 2 4 2" xfId="22426" xr:uid="{00000000-0005-0000-0000-00008C570000}"/>
    <cellStyle name="0_Planned qty_January'09 3 5 2 5" xfId="22427" xr:uid="{00000000-0005-0000-0000-00008D570000}"/>
    <cellStyle name="0_Planned qty_January'09 3 5 2 5 2" xfId="22428" xr:uid="{00000000-0005-0000-0000-00008E570000}"/>
    <cellStyle name="0_Planned qty_January'09 3 5 2 6" xfId="22429" xr:uid="{00000000-0005-0000-0000-00008F570000}"/>
    <cellStyle name="0_Planned qty_January'09 3 5 3" xfId="22430" xr:uid="{00000000-0005-0000-0000-000090570000}"/>
    <cellStyle name="0_Planned qty_January'09 3 5 3 2" xfId="22431" xr:uid="{00000000-0005-0000-0000-000091570000}"/>
    <cellStyle name="0_Planned qty_January'09 3 5 3 2 2" xfId="22432" xr:uid="{00000000-0005-0000-0000-000092570000}"/>
    <cellStyle name="0_Planned qty_January'09 3 5 3 3" xfId="22433" xr:uid="{00000000-0005-0000-0000-000093570000}"/>
    <cellStyle name="0_Planned qty_January'09 3 5 3 3 2" xfId="22434" xr:uid="{00000000-0005-0000-0000-000094570000}"/>
    <cellStyle name="0_Planned qty_January'09 3 5 3 4" xfId="22435" xr:uid="{00000000-0005-0000-0000-000095570000}"/>
    <cellStyle name="0_Planned qty_January'09 3 5 4" xfId="22436" xr:uid="{00000000-0005-0000-0000-000096570000}"/>
    <cellStyle name="0_Planned qty_January'09 3 5 4 2" xfId="22437" xr:uid="{00000000-0005-0000-0000-000097570000}"/>
    <cellStyle name="0_Planned qty_January'09 3 5 4 2 2" xfId="22438" xr:uid="{00000000-0005-0000-0000-000098570000}"/>
    <cellStyle name="0_Planned qty_January'09 3 5 4 3" xfId="22439" xr:uid="{00000000-0005-0000-0000-000099570000}"/>
    <cellStyle name="0_Planned qty_January'09 3 5 4 3 2" xfId="22440" xr:uid="{00000000-0005-0000-0000-00009A570000}"/>
    <cellStyle name="0_Planned qty_January'09 3 5 4 4" xfId="22441" xr:uid="{00000000-0005-0000-0000-00009B570000}"/>
    <cellStyle name="0_Planned qty_January'09 3 5 5" xfId="22442" xr:uid="{00000000-0005-0000-0000-00009C570000}"/>
    <cellStyle name="0_Planned qty_January'09 3 5 5 2" xfId="22443" xr:uid="{00000000-0005-0000-0000-00009D570000}"/>
    <cellStyle name="0_Planned qty_January'09 3 5 5 2 2" xfId="22444" xr:uid="{00000000-0005-0000-0000-00009E570000}"/>
    <cellStyle name="0_Planned qty_January'09 3 5 5 3" xfId="22445" xr:uid="{00000000-0005-0000-0000-00009F570000}"/>
    <cellStyle name="0_Planned qty_January'09 3 5 5 3 2" xfId="22446" xr:uid="{00000000-0005-0000-0000-0000A0570000}"/>
    <cellStyle name="0_Planned qty_January'09 3 5 5 4" xfId="22447" xr:uid="{00000000-0005-0000-0000-0000A1570000}"/>
    <cellStyle name="0_Planned qty_January'09 3 5 6" xfId="22448" xr:uid="{00000000-0005-0000-0000-0000A2570000}"/>
    <cellStyle name="0_Planned qty_January'09 3 5 6 2" xfId="22449" xr:uid="{00000000-0005-0000-0000-0000A3570000}"/>
    <cellStyle name="0_Planned qty_January'09 3 5 7" xfId="22450" xr:uid="{00000000-0005-0000-0000-0000A4570000}"/>
    <cellStyle name="0_Planned qty_January'09 3 5 7 2" xfId="22451" xr:uid="{00000000-0005-0000-0000-0000A5570000}"/>
    <cellStyle name="0_Planned qty_January'09 3 5 8" xfId="22452" xr:uid="{00000000-0005-0000-0000-0000A6570000}"/>
    <cellStyle name="0_Planned qty_January'09 3 6" xfId="22453" xr:uid="{00000000-0005-0000-0000-0000A7570000}"/>
    <cellStyle name="0_Planned qty_January'09 3 6 2" xfId="22454" xr:uid="{00000000-0005-0000-0000-0000A8570000}"/>
    <cellStyle name="0_Planned qty_January'09 3 6 2 2" xfId="22455" xr:uid="{00000000-0005-0000-0000-0000A9570000}"/>
    <cellStyle name="0_Planned qty_January'09 3 6 2 2 2" xfId="22456" xr:uid="{00000000-0005-0000-0000-0000AA570000}"/>
    <cellStyle name="0_Planned qty_January'09 3 6 2 2 2 2" xfId="22457" xr:uid="{00000000-0005-0000-0000-0000AB570000}"/>
    <cellStyle name="0_Planned qty_January'09 3 6 2 2 3" xfId="22458" xr:uid="{00000000-0005-0000-0000-0000AC570000}"/>
    <cellStyle name="0_Planned qty_January'09 3 6 2 2 3 2" xfId="22459" xr:uid="{00000000-0005-0000-0000-0000AD570000}"/>
    <cellStyle name="0_Planned qty_January'09 3 6 2 2 4" xfId="22460" xr:uid="{00000000-0005-0000-0000-0000AE570000}"/>
    <cellStyle name="0_Planned qty_January'09 3 6 2 3" xfId="22461" xr:uid="{00000000-0005-0000-0000-0000AF570000}"/>
    <cellStyle name="0_Planned qty_January'09 3 6 2 3 2" xfId="22462" xr:uid="{00000000-0005-0000-0000-0000B0570000}"/>
    <cellStyle name="0_Planned qty_January'09 3 6 2 3 2 2" xfId="22463" xr:uid="{00000000-0005-0000-0000-0000B1570000}"/>
    <cellStyle name="0_Planned qty_January'09 3 6 2 3 3" xfId="22464" xr:uid="{00000000-0005-0000-0000-0000B2570000}"/>
    <cellStyle name="0_Planned qty_January'09 3 6 2 3 3 2" xfId="22465" xr:uid="{00000000-0005-0000-0000-0000B3570000}"/>
    <cellStyle name="0_Planned qty_January'09 3 6 2 3 4" xfId="22466" xr:uid="{00000000-0005-0000-0000-0000B4570000}"/>
    <cellStyle name="0_Planned qty_January'09 3 6 2 4" xfId="22467" xr:uid="{00000000-0005-0000-0000-0000B5570000}"/>
    <cellStyle name="0_Planned qty_January'09 3 6 2 4 2" xfId="22468" xr:uid="{00000000-0005-0000-0000-0000B6570000}"/>
    <cellStyle name="0_Planned qty_January'09 3 6 2 5" xfId="22469" xr:uid="{00000000-0005-0000-0000-0000B7570000}"/>
    <cellStyle name="0_Planned qty_January'09 3 6 2 5 2" xfId="22470" xr:uid="{00000000-0005-0000-0000-0000B8570000}"/>
    <cellStyle name="0_Planned qty_January'09 3 6 2 6" xfId="22471" xr:uid="{00000000-0005-0000-0000-0000B9570000}"/>
    <cellStyle name="0_Planned qty_January'09 3 6 3" xfId="22472" xr:uid="{00000000-0005-0000-0000-0000BA570000}"/>
    <cellStyle name="0_Planned qty_January'09 3 6 3 2" xfId="22473" xr:uid="{00000000-0005-0000-0000-0000BB570000}"/>
    <cellStyle name="0_Planned qty_January'09 3 6 3 2 2" xfId="22474" xr:uid="{00000000-0005-0000-0000-0000BC570000}"/>
    <cellStyle name="0_Planned qty_January'09 3 6 3 3" xfId="22475" xr:uid="{00000000-0005-0000-0000-0000BD570000}"/>
    <cellStyle name="0_Planned qty_January'09 3 6 3 3 2" xfId="22476" xr:uid="{00000000-0005-0000-0000-0000BE570000}"/>
    <cellStyle name="0_Planned qty_January'09 3 6 3 4" xfId="22477" xr:uid="{00000000-0005-0000-0000-0000BF570000}"/>
    <cellStyle name="0_Planned qty_January'09 3 6 4" xfId="22478" xr:uid="{00000000-0005-0000-0000-0000C0570000}"/>
    <cellStyle name="0_Planned qty_January'09 3 6 4 2" xfId="22479" xr:uid="{00000000-0005-0000-0000-0000C1570000}"/>
    <cellStyle name="0_Planned qty_January'09 3 6 4 2 2" xfId="22480" xr:uid="{00000000-0005-0000-0000-0000C2570000}"/>
    <cellStyle name="0_Planned qty_January'09 3 6 4 3" xfId="22481" xr:uid="{00000000-0005-0000-0000-0000C3570000}"/>
    <cellStyle name="0_Planned qty_January'09 3 6 4 3 2" xfId="22482" xr:uid="{00000000-0005-0000-0000-0000C4570000}"/>
    <cellStyle name="0_Planned qty_January'09 3 6 4 4" xfId="22483" xr:uid="{00000000-0005-0000-0000-0000C5570000}"/>
    <cellStyle name="0_Planned qty_January'09 3 6 5" xfId="22484" xr:uid="{00000000-0005-0000-0000-0000C6570000}"/>
    <cellStyle name="0_Planned qty_January'09 3 6 5 2" xfId="22485" xr:uid="{00000000-0005-0000-0000-0000C7570000}"/>
    <cellStyle name="0_Planned qty_January'09 3 6 5 2 2" xfId="22486" xr:uid="{00000000-0005-0000-0000-0000C8570000}"/>
    <cellStyle name="0_Planned qty_January'09 3 6 5 3" xfId="22487" xr:uid="{00000000-0005-0000-0000-0000C9570000}"/>
    <cellStyle name="0_Planned qty_January'09 3 6 5 3 2" xfId="22488" xr:uid="{00000000-0005-0000-0000-0000CA570000}"/>
    <cellStyle name="0_Planned qty_January'09 3 6 5 4" xfId="22489" xr:uid="{00000000-0005-0000-0000-0000CB570000}"/>
    <cellStyle name="0_Planned qty_January'09 3 6 6" xfId="22490" xr:uid="{00000000-0005-0000-0000-0000CC570000}"/>
    <cellStyle name="0_Planned qty_January'09 3 6 6 2" xfId="22491" xr:uid="{00000000-0005-0000-0000-0000CD570000}"/>
    <cellStyle name="0_Planned qty_January'09 3 6 7" xfId="22492" xr:uid="{00000000-0005-0000-0000-0000CE570000}"/>
    <cellStyle name="0_Planned qty_January'09 3 6 7 2" xfId="22493" xr:uid="{00000000-0005-0000-0000-0000CF570000}"/>
    <cellStyle name="0_Planned qty_January'09 3 6 8" xfId="22494" xr:uid="{00000000-0005-0000-0000-0000D0570000}"/>
    <cellStyle name="0_Planned qty_January'09 3 7" xfId="22495" xr:uid="{00000000-0005-0000-0000-0000D1570000}"/>
    <cellStyle name="0_Planned qty_January'09 3 7 2" xfId="22496" xr:uid="{00000000-0005-0000-0000-0000D2570000}"/>
    <cellStyle name="0_Planned qty_January'09 3 7 2 2" xfId="22497" xr:uid="{00000000-0005-0000-0000-0000D3570000}"/>
    <cellStyle name="0_Planned qty_January'09 3 7 2 2 2" xfId="22498" xr:uid="{00000000-0005-0000-0000-0000D4570000}"/>
    <cellStyle name="0_Planned qty_January'09 3 7 2 3" xfId="22499" xr:uid="{00000000-0005-0000-0000-0000D5570000}"/>
    <cellStyle name="0_Planned qty_January'09 3 7 2 3 2" xfId="22500" xr:uid="{00000000-0005-0000-0000-0000D6570000}"/>
    <cellStyle name="0_Planned qty_January'09 3 7 2 4" xfId="22501" xr:uid="{00000000-0005-0000-0000-0000D7570000}"/>
    <cellStyle name="0_Planned qty_January'09 3 7 3" xfId="22502" xr:uid="{00000000-0005-0000-0000-0000D8570000}"/>
    <cellStyle name="0_Planned qty_January'09 3 7 3 2" xfId="22503" xr:uid="{00000000-0005-0000-0000-0000D9570000}"/>
    <cellStyle name="0_Planned qty_January'09 3 7 3 2 2" xfId="22504" xr:uid="{00000000-0005-0000-0000-0000DA570000}"/>
    <cellStyle name="0_Planned qty_January'09 3 7 3 3" xfId="22505" xr:uid="{00000000-0005-0000-0000-0000DB570000}"/>
    <cellStyle name="0_Planned qty_January'09 3 7 3 3 2" xfId="22506" xr:uid="{00000000-0005-0000-0000-0000DC570000}"/>
    <cellStyle name="0_Planned qty_January'09 3 7 3 4" xfId="22507" xr:uid="{00000000-0005-0000-0000-0000DD570000}"/>
    <cellStyle name="0_Planned qty_January'09 3 7 4" xfId="22508" xr:uid="{00000000-0005-0000-0000-0000DE570000}"/>
    <cellStyle name="0_Planned qty_January'09 3 7 4 2" xfId="22509" xr:uid="{00000000-0005-0000-0000-0000DF570000}"/>
    <cellStyle name="0_Planned qty_January'09 3 7 5" xfId="22510" xr:uid="{00000000-0005-0000-0000-0000E0570000}"/>
    <cellStyle name="0_Planned qty_January'09 3 7 5 2" xfId="22511" xr:uid="{00000000-0005-0000-0000-0000E1570000}"/>
    <cellStyle name="0_Planned qty_January'09 3 7 6" xfId="22512" xr:uid="{00000000-0005-0000-0000-0000E2570000}"/>
    <cellStyle name="0_Planned qty_January'09 3 8" xfId="22513" xr:uid="{00000000-0005-0000-0000-0000E3570000}"/>
    <cellStyle name="0_Planned qty_January'09 3 8 2" xfId="22514" xr:uid="{00000000-0005-0000-0000-0000E4570000}"/>
    <cellStyle name="0_Planned qty_January'09 3 8 2 2" xfId="22515" xr:uid="{00000000-0005-0000-0000-0000E5570000}"/>
    <cellStyle name="0_Planned qty_January'09 3 8 3" xfId="22516" xr:uid="{00000000-0005-0000-0000-0000E6570000}"/>
    <cellStyle name="0_Planned qty_January'09 3 8 3 2" xfId="22517" xr:uid="{00000000-0005-0000-0000-0000E7570000}"/>
    <cellStyle name="0_Planned qty_January'09 3 8 4" xfId="22518" xr:uid="{00000000-0005-0000-0000-0000E8570000}"/>
    <cellStyle name="0_Planned qty_January'09 3 9" xfId="22519" xr:uid="{00000000-0005-0000-0000-0000E9570000}"/>
    <cellStyle name="0_Planned qty_January'09 3 9 2" xfId="22520" xr:uid="{00000000-0005-0000-0000-0000EA570000}"/>
    <cellStyle name="0_Planned qty_January'09 3 9 2 2" xfId="22521" xr:uid="{00000000-0005-0000-0000-0000EB570000}"/>
    <cellStyle name="0_Planned qty_January'09 3 9 3" xfId="22522" xr:uid="{00000000-0005-0000-0000-0000EC570000}"/>
    <cellStyle name="0_Planned qty_January'09 3 9 3 2" xfId="22523" xr:uid="{00000000-0005-0000-0000-0000ED570000}"/>
    <cellStyle name="0_Planned qty_January'09 3 9 4" xfId="22524" xr:uid="{00000000-0005-0000-0000-0000EE570000}"/>
    <cellStyle name="0_Planned qty_January'09 4" xfId="22525" xr:uid="{00000000-0005-0000-0000-0000EF570000}"/>
    <cellStyle name="0_Planned qty_January'09 4 10" xfId="22526" xr:uid="{00000000-0005-0000-0000-0000F0570000}"/>
    <cellStyle name="0_Planned qty_January'09 4 10 2" xfId="22527" xr:uid="{00000000-0005-0000-0000-0000F1570000}"/>
    <cellStyle name="0_Planned qty_January'09 4 10 2 2" xfId="22528" xr:uid="{00000000-0005-0000-0000-0000F2570000}"/>
    <cellStyle name="0_Planned qty_January'09 4 10 3" xfId="22529" xr:uid="{00000000-0005-0000-0000-0000F3570000}"/>
    <cellStyle name="0_Planned qty_January'09 4 10 3 2" xfId="22530" xr:uid="{00000000-0005-0000-0000-0000F4570000}"/>
    <cellStyle name="0_Planned qty_January'09 4 10 4" xfId="22531" xr:uid="{00000000-0005-0000-0000-0000F5570000}"/>
    <cellStyle name="0_Planned qty_January'09 4 11" xfId="22532" xr:uid="{00000000-0005-0000-0000-0000F6570000}"/>
    <cellStyle name="0_Planned qty_January'09 4 11 2" xfId="22533" xr:uid="{00000000-0005-0000-0000-0000F7570000}"/>
    <cellStyle name="0_Planned qty_January'09 4 12" xfId="22534" xr:uid="{00000000-0005-0000-0000-0000F8570000}"/>
    <cellStyle name="0_Planned qty_January'09 4 12 2" xfId="22535" xr:uid="{00000000-0005-0000-0000-0000F9570000}"/>
    <cellStyle name="0_Planned qty_January'09 4 13" xfId="22536" xr:uid="{00000000-0005-0000-0000-0000FA570000}"/>
    <cellStyle name="0_Planned qty_January'09 4 2" xfId="22537" xr:uid="{00000000-0005-0000-0000-0000FB570000}"/>
    <cellStyle name="0_Planned qty_January'09 4 2 2" xfId="22538" xr:uid="{00000000-0005-0000-0000-0000FC570000}"/>
    <cellStyle name="0_Planned qty_January'09 4 2 2 2" xfId="22539" xr:uid="{00000000-0005-0000-0000-0000FD570000}"/>
    <cellStyle name="0_Planned qty_January'09 4 2 2 2 2" xfId="22540" xr:uid="{00000000-0005-0000-0000-0000FE570000}"/>
    <cellStyle name="0_Planned qty_January'09 4 2 2 2 2 2" xfId="22541" xr:uid="{00000000-0005-0000-0000-0000FF570000}"/>
    <cellStyle name="0_Planned qty_January'09 4 2 2 2 3" xfId="22542" xr:uid="{00000000-0005-0000-0000-000000580000}"/>
    <cellStyle name="0_Planned qty_January'09 4 2 2 2 3 2" xfId="22543" xr:uid="{00000000-0005-0000-0000-000001580000}"/>
    <cellStyle name="0_Planned qty_January'09 4 2 2 2 4" xfId="22544" xr:uid="{00000000-0005-0000-0000-000002580000}"/>
    <cellStyle name="0_Planned qty_January'09 4 2 2 3" xfId="22545" xr:uid="{00000000-0005-0000-0000-000003580000}"/>
    <cellStyle name="0_Planned qty_January'09 4 2 2 3 2" xfId="22546" xr:uid="{00000000-0005-0000-0000-000004580000}"/>
    <cellStyle name="0_Planned qty_January'09 4 2 2 3 2 2" xfId="22547" xr:uid="{00000000-0005-0000-0000-000005580000}"/>
    <cellStyle name="0_Planned qty_January'09 4 2 2 3 3" xfId="22548" xr:uid="{00000000-0005-0000-0000-000006580000}"/>
    <cellStyle name="0_Planned qty_January'09 4 2 2 3 3 2" xfId="22549" xr:uid="{00000000-0005-0000-0000-000007580000}"/>
    <cellStyle name="0_Planned qty_January'09 4 2 2 3 4" xfId="22550" xr:uid="{00000000-0005-0000-0000-000008580000}"/>
    <cellStyle name="0_Planned qty_January'09 4 2 2 4" xfId="22551" xr:uid="{00000000-0005-0000-0000-000009580000}"/>
    <cellStyle name="0_Planned qty_January'09 4 2 2 4 2" xfId="22552" xr:uid="{00000000-0005-0000-0000-00000A580000}"/>
    <cellStyle name="0_Planned qty_January'09 4 2 2 5" xfId="22553" xr:uid="{00000000-0005-0000-0000-00000B580000}"/>
    <cellStyle name="0_Planned qty_January'09 4 2 2 5 2" xfId="22554" xr:uid="{00000000-0005-0000-0000-00000C580000}"/>
    <cellStyle name="0_Planned qty_January'09 4 2 2 6" xfId="22555" xr:uid="{00000000-0005-0000-0000-00000D580000}"/>
    <cellStyle name="0_Planned qty_January'09 4 2 3" xfId="22556" xr:uid="{00000000-0005-0000-0000-00000E580000}"/>
    <cellStyle name="0_Planned qty_January'09 4 2 3 2" xfId="22557" xr:uid="{00000000-0005-0000-0000-00000F580000}"/>
    <cellStyle name="0_Planned qty_January'09 4 2 3 2 2" xfId="22558" xr:uid="{00000000-0005-0000-0000-000010580000}"/>
    <cellStyle name="0_Planned qty_January'09 4 2 3 3" xfId="22559" xr:uid="{00000000-0005-0000-0000-000011580000}"/>
    <cellStyle name="0_Planned qty_January'09 4 2 3 3 2" xfId="22560" xr:uid="{00000000-0005-0000-0000-000012580000}"/>
    <cellStyle name="0_Planned qty_January'09 4 2 3 4" xfId="22561" xr:uid="{00000000-0005-0000-0000-000013580000}"/>
    <cellStyle name="0_Planned qty_January'09 4 2 4" xfId="22562" xr:uid="{00000000-0005-0000-0000-000014580000}"/>
    <cellStyle name="0_Planned qty_January'09 4 2 4 2" xfId="22563" xr:uid="{00000000-0005-0000-0000-000015580000}"/>
    <cellStyle name="0_Planned qty_January'09 4 2 4 2 2" xfId="22564" xr:uid="{00000000-0005-0000-0000-000016580000}"/>
    <cellStyle name="0_Planned qty_January'09 4 2 4 3" xfId="22565" xr:uid="{00000000-0005-0000-0000-000017580000}"/>
    <cellStyle name="0_Planned qty_January'09 4 2 4 3 2" xfId="22566" xr:uid="{00000000-0005-0000-0000-000018580000}"/>
    <cellStyle name="0_Planned qty_January'09 4 2 4 4" xfId="22567" xr:uid="{00000000-0005-0000-0000-000019580000}"/>
    <cellStyle name="0_Planned qty_January'09 4 2 5" xfId="22568" xr:uid="{00000000-0005-0000-0000-00001A580000}"/>
    <cellStyle name="0_Planned qty_January'09 4 2 5 2" xfId="22569" xr:uid="{00000000-0005-0000-0000-00001B580000}"/>
    <cellStyle name="0_Planned qty_January'09 4 2 5 2 2" xfId="22570" xr:uid="{00000000-0005-0000-0000-00001C580000}"/>
    <cellStyle name="0_Planned qty_January'09 4 2 5 3" xfId="22571" xr:uid="{00000000-0005-0000-0000-00001D580000}"/>
    <cellStyle name="0_Planned qty_January'09 4 2 5 3 2" xfId="22572" xr:uid="{00000000-0005-0000-0000-00001E580000}"/>
    <cellStyle name="0_Planned qty_January'09 4 2 5 4" xfId="22573" xr:uid="{00000000-0005-0000-0000-00001F580000}"/>
    <cellStyle name="0_Planned qty_January'09 4 2 6" xfId="22574" xr:uid="{00000000-0005-0000-0000-000020580000}"/>
    <cellStyle name="0_Planned qty_January'09 4 2 6 2" xfId="22575" xr:uid="{00000000-0005-0000-0000-000021580000}"/>
    <cellStyle name="0_Planned qty_January'09 4 2 7" xfId="22576" xr:uid="{00000000-0005-0000-0000-000022580000}"/>
    <cellStyle name="0_Planned qty_January'09 4 2 7 2" xfId="22577" xr:uid="{00000000-0005-0000-0000-000023580000}"/>
    <cellStyle name="0_Planned qty_January'09 4 2 8" xfId="22578" xr:uid="{00000000-0005-0000-0000-000024580000}"/>
    <cellStyle name="0_Planned qty_January'09 4 3" xfId="22579" xr:uid="{00000000-0005-0000-0000-000025580000}"/>
    <cellStyle name="0_Planned qty_January'09 4 3 2" xfId="22580" xr:uid="{00000000-0005-0000-0000-000026580000}"/>
    <cellStyle name="0_Planned qty_January'09 4 3 2 2" xfId="22581" xr:uid="{00000000-0005-0000-0000-000027580000}"/>
    <cellStyle name="0_Planned qty_January'09 4 3 2 2 2" xfId="22582" xr:uid="{00000000-0005-0000-0000-000028580000}"/>
    <cellStyle name="0_Planned qty_January'09 4 3 2 2 2 2" xfId="22583" xr:uid="{00000000-0005-0000-0000-000029580000}"/>
    <cellStyle name="0_Planned qty_January'09 4 3 2 2 3" xfId="22584" xr:uid="{00000000-0005-0000-0000-00002A580000}"/>
    <cellStyle name="0_Planned qty_January'09 4 3 2 2 3 2" xfId="22585" xr:uid="{00000000-0005-0000-0000-00002B580000}"/>
    <cellStyle name="0_Planned qty_January'09 4 3 2 2 4" xfId="22586" xr:uid="{00000000-0005-0000-0000-00002C580000}"/>
    <cellStyle name="0_Planned qty_January'09 4 3 2 3" xfId="22587" xr:uid="{00000000-0005-0000-0000-00002D580000}"/>
    <cellStyle name="0_Planned qty_January'09 4 3 2 3 2" xfId="22588" xr:uid="{00000000-0005-0000-0000-00002E580000}"/>
    <cellStyle name="0_Planned qty_January'09 4 3 2 3 2 2" xfId="22589" xr:uid="{00000000-0005-0000-0000-00002F580000}"/>
    <cellStyle name="0_Planned qty_January'09 4 3 2 3 3" xfId="22590" xr:uid="{00000000-0005-0000-0000-000030580000}"/>
    <cellStyle name="0_Planned qty_January'09 4 3 2 3 3 2" xfId="22591" xr:uid="{00000000-0005-0000-0000-000031580000}"/>
    <cellStyle name="0_Planned qty_January'09 4 3 2 3 4" xfId="22592" xr:uid="{00000000-0005-0000-0000-000032580000}"/>
    <cellStyle name="0_Planned qty_January'09 4 3 2 4" xfId="22593" xr:uid="{00000000-0005-0000-0000-000033580000}"/>
    <cellStyle name="0_Planned qty_January'09 4 3 2 4 2" xfId="22594" xr:uid="{00000000-0005-0000-0000-000034580000}"/>
    <cellStyle name="0_Planned qty_January'09 4 3 2 5" xfId="22595" xr:uid="{00000000-0005-0000-0000-000035580000}"/>
    <cellStyle name="0_Planned qty_January'09 4 3 2 5 2" xfId="22596" xr:uid="{00000000-0005-0000-0000-000036580000}"/>
    <cellStyle name="0_Planned qty_January'09 4 3 2 6" xfId="22597" xr:uid="{00000000-0005-0000-0000-000037580000}"/>
    <cellStyle name="0_Planned qty_January'09 4 3 3" xfId="22598" xr:uid="{00000000-0005-0000-0000-000038580000}"/>
    <cellStyle name="0_Planned qty_January'09 4 3 3 2" xfId="22599" xr:uid="{00000000-0005-0000-0000-000039580000}"/>
    <cellStyle name="0_Planned qty_January'09 4 3 3 2 2" xfId="22600" xr:uid="{00000000-0005-0000-0000-00003A580000}"/>
    <cellStyle name="0_Planned qty_January'09 4 3 3 3" xfId="22601" xr:uid="{00000000-0005-0000-0000-00003B580000}"/>
    <cellStyle name="0_Planned qty_January'09 4 3 3 3 2" xfId="22602" xr:uid="{00000000-0005-0000-0000-00003C580000}"/>
    <cellStyle name="0_Planned qty_January'09 4 3 3 4" xfId="22603" xr:uid="{00000000-0005-0000-0000-00003D580000}"/>
    <cellStyle name="0_Planned qty_January'09 4 3 4" xfId="22604" xr:uid="{00000000-0005-0000-0000-00003E580000}"/>
    <cellStyle name="0_Planned qty_January'09 4 3 4 2" xfId="22605" xr:uid="{00000000-0005-0000-0000-00003F580000}"/>
    <cellStyle name="0_Planned qty_January'09 4 3 4 2 2" xfId="22606" xr:uid="{00000000-0005-0000-0000-000040580000}"/>
    <cellStyle name="0_Planned qty_January'09 4 3 4 3" xfId="22607" xr:uid="{00000000-0005-0000-0000-000041580000}"/>
    <cellStyle name="0_Planned qty_January'09 4 3 4 3 2" xfId="22608" xr:uid="{00000000-0005-0000-0000-000042580000}"/>
    <cellStyle name="0_Planned qty_January'09 4 3 4 4" xfId="22609" xr:uid="{00000000-0005-0000-0000-000043580000}"/>
    <cellStyle name="0_Planned qty_January'09 4 3 5" xfId="22610" xr:uid="{00000000-0005-0000-0000-000044580000}"/>
    <cellStyle name="0_Planned qty_January'09 4 3 5 2" xfId="22611" xr:uid="{00000000-0005-0000-0000-000045580000}"/>
    <cellStyle name="0_Planned qty_January'09 4 3 5 2 2" xfId="22612" xr:uid="{00000000-0005-0000-0000-000046580000}"/>
    <cellStyle name="0_Planned qty_January'09 4 3 5 3" xfId="22613" xr:uid="{00000000-0005-0000-0000-000047580000}"/>
    <cellStyle name="0_Planned qty_January'09 4 3 5 3 2" xfId="22614" xr:uid="{00000000-0005-0000-0000-000048580000}"/>
    <cellStyle name="0_Planned qty_January'09 4 3 5 4" xfId="22615" xr:uid="{00000000-0005-0000-0000-000049580000}"/>
    <cellStyle name="0_Planned qty_January'09 4 3 6" xfId="22616" xr:uid="{00000000-0005-0000-0000-00004A580000}"/>
    <cellStyle name="0_Planned qty_January'09 4 3 6 2" xfId="22617" xr:uid="{00000000-0005-0000-0000-00004B580000}"/>
    <cellStyle name="0_Planned qty_January'09 4 3 7" xfId="22618" xr:uid="{00000000-0005-0000-0000-00004C580000}"/>
    <cellStyle name="0_Planned qty_January'09 4 3 7 2" xfId="22619" xr:uid="{00000000-0005-0000-0000-00004D580000}"/>
    <cellStyle name="0_Planned qty_January'09 4 3 8" xfId="22620" xr:uid="{00000000-0005-0000-0000-00004E580000}"/>
    <cellStyle name="0_Planned qty_January'09 4 4" xfId="22621" xr:uid="{00000000-0005-0000-0000-00004F580000}"/>
    <cellStyle name="0_Planned qty_January'09 4 4 2" xfId="22622" xr:uid="{00000000-0005-0000-0000-000050580000}"/>
    <cellStyle name="0_Planned qty_January'09 4 4 2 2" xfId="22623" xr:uid="{00000000-0005-0000-0000-000051580000}"/>
    <cellStyle name="0_Planned qty_January'09 4 4 2 2 2" xfId="22624" xr:uid="{00000000-0005-0000-0000-000052580000}"/>
    <cellStyle name="0_Planned qty_January'09 4 4 2 2 2 2" xfId="22625" xr:uid="{00000000-0005-0000-0000-000053580000}"/>
    <cellStyle name="0_Planned qty_January'09 4 4 2 2 3" xfId="22626" xr:uid="{00000000-0005-0000-0000-000054580000}"/>
    <cellStyle name="0_Planned qty_January'09 4 4 2 2 3 2" xfId="22627" xr:uid="{00000000-0005-0000-0000-000055580000}"/>
    <cellStyle name="0_Planned qty_January'09 4 4 2 2 4" xfId="22628" xr:uid="{00000000-0005-0000-0000-000056580000}"/>
    <cellStyle name="0_Planned qty_January'09 4 4 2 3" xfId="22629" xr:uid="{00000000-0005-0000-0000-000057580000}"/>
    <cellStyle name="0_Planned qty_January'09 4 4 2 3 2" xfId="22630" xr:uid="{00000000-0005-0000-0000-000058580000}"/>
    <cellStyle name="0_Planned qty_January'09 4 4 2 3 2 2" xfId="22631" xr:uid="{00000000-0005-0000-0000-000059580000}"/>
    <cellStyle name="0_Planned qty_January'09 4 4 2 3 3" xfId="22632" xr:uid="{00000000-0005-0000-0000-00005A580000}"/>
    <cellStyle name="0_Planned qty_January'09 4 4 2 3 3 2" xfId="22633" xr:uid="{00000000-0005-0000-0000-00005B580000}"/>
    <cellStyle name="0_Planned qty_January'09 4 4 2 3 4" xfId="22634" xr:uid="{00000000-0005-0000-0000-00005C580000}"/>
    <cellStyle name="0_Planned qty_January'09 4 4 2 4" xfId="22635" xr:uid="{00000000-0005-0000-0000-00005D580000}"/>
    <cellStyle name="0_Planned qty_January'09 4 4 2 4 2" xfId="22636" xr:uid="{00000000-0005-0000-0000-00005E580000}"/>
    <cellStyle name="0_Planned qty_January'09 4 4 2 5" xfId="22637" xr:uid="{00000000-0005-0000-0000-00005F580000}"/>
    <cellStyle name="0_Planned qty_January'09 4 4 2 5 2" xfId="22638" xr:uid="{00000000-0005-0000-0000-000060580000}"/>
    <cellStyle name="0_Planned qty_January'09 4 4 2 6" xfId="22639" xr:uid="{00000000-0005-0000-0000-000061580000}"/>
    <cellStyle name="0_Planned qty_January'09 4 4 3" xfId="22640" xr:uid="{00000000-0005-0000-0000-000062580000}"/>
    <cellStyle name="0_Planned qty_January'09 4 4 3 2" xfId="22641" xr:uid="{00000000-0005-0000-0000-000063580000}"/>
    <cellStyle name="0_Planned qty_January'09 4 4 3 2 2" xfId="22642" xr:uid="{00000000-0005-0000-0000-000064580000}"/>
    <cellStyle name="0_Planned qty_January'09 4 4 3 3" xfId="22643" xr:uid="{00000000-0005-0000-0000-000065580000}"/>
    <cellStyle name="0_Planned qty_January'09 4 4 3 3 2" xfId="22644" xr:uid="{00000000-0005-0000-0000-000066580000}"/>
    <cellStyle name="0_Planned qty_January'09 4 4 3 4" xfId="22645" xr:uid="{00000000-0005-0000-0000-000067580000}"/>
    <cellStyle name="0_Planned qty_January'09 4 4 4" xfId="22646" xr:uid="{00000000-0005-0000-0000-000068580000}"/>
    <cellStyle name="0_Planned qty_January'09 4 4 4 2" xfId="22647" xr:uid="{00000000-0005-0000-0000-000069580000}"/>
    <cellStyle name="0_Planned qty_January'09 4 4 4 2 2" xfId="22648" xr:uid="{00000000-0005-0000-0000-00006A580000}"/>
    <cellStyle name="0_Planned qty_January'09 4 4 4 3" xfId="22649" xr:uid="{00000000-0005-0000-0000-00006B580000}"/>
    <cellStyle name="0_Planned qty_January'09 4 4 4 3 2" xfId="22650" xr:uid="{00000000-0005-0000-0000-00006C580000}"/>
    <cellStyle name="0_Planned qty_January'09 4 4 4 4" xfId="22651" xr:uid="{00000000-0005-0000-0000-00006D580000}"/>
    <cellStyle name="0_Planned qty_January'09 4 4 5" xfId="22652" xr:uid="{00000000-0005-0000-0000-00006E580000}"/>
    <cellStyle name="0_Planned qty_January'09 4 4 5 2" xfId="22653" xr:uid="{00000000-0005-0000-0000-00006F580000}"/>
    <cellStyle name="0_Planned qty_January'09 4 4 5 2 2" xfId="22654" xr:uid="{00000000-0005-0000-0000-000070580000}"/>
    <cellStyle name="0_Planned qty_January'09 4 4 5 3" xfId="22655" xr:uid="{00000000-0005-0000-0000-000071580000}"/>
    <cellStyle name="0_Planned qty_January'09 4 4 5 3 2" xfId="22656" xr:uid="{00000000-0005-0000-0000-000072580000}"/>
    <cellStyle name="0_Planned qty_January'09 4 4 5 4" xfId="22657" xr:uid="{00000000-0005-0000-0000-000073580000}"/>
    <cellStyle name="0_Planned qty_January'09 4 4 6" xfId="22658" xr:uid="{00000000-0005-0000-0000-000074580000}"/>
    <cellStyle name="0_Planned qty_January'09 4 4 6 2" xfId="22659" xr:uid="{00000000-0005-0000-0000-000075580000}"/>
    <cellStyle name="0_Planned qty_January'09 4 4 7" xfId="22660" xr:uid="{00000000-0005-0000-0000-000076580000}"/>
    <cellStyle name="0_Planned qty_January'09 4 4 7 2" xfId="22661" xr:uid="{00000000-0005-0000-0000-000077580000}"/>
    <cellStyle name="0_Planned qty_January'09 4 4 8" xfId="22662" xr:uid="{00000000-0005-0000-0000-000078580000}"/>
    <cellStyle name="0_Planned qty_January'09 4 5" xfId="22663" xr:uid="{00000000-0005-0000-0000-000079580000}"/>
    <cellStyle name="0_Planned qty_January'09 4 5 2" xfId="22664" xr:uid="{00000000-0005-0000-0000-00007A580000}"/>
    <cellStyle name="0_Planned qty_January'09 4 5 2 2" xfId="22665" xr:uid="{00000000-0005-0000-0000-00007B580000}"/>
    <cellStyle name="0_Planned qty_January'09 4 5 2 2 2" xfId="22666" xr:uid="{00000000-0005-0000-0000-00007C580000}"/>
    <cellStyle name="0_Planned qty_January'09 4 5 2 2 2 2" xfId="22667" xr:uid="{00000000-0005-0000-0000-00007D580000}"/>
    <cellStyle name="0_Planned qty_January'09 4 5 2 2 3" xfId="22668" xr:uid="{00000000-0005-0000-0000-00007E580000}"/>
    <cellStyle name="0_Planned qty_January'09 4 5 2 2 3 2" xfId="22669" xr:uid="{00000000-0005-0000-0000-00007F580000}"/>
    <cellStyle name="0_Planned qty_January'09 4 5 2 2 4" xfId="22670" xr:uid="{00000000-0005-0000-0000-000080580000}"/>
    <cellStyle name="0_Planned qty_January'09 4 5 2 3" xfId="22671" xr:uid="{00000000-0005-0000-0000-000081580000}"/>
    <cellStyle name="0_Planned qty_January'09 4 5 2 3 2" xfId="22672" xr:uid="{00000000-0005-0000-0000-000082580000}"/>
    <cellStyle name="0_Planned qty_January'09 4 5 2 3 2 2" xfId="22673" xr:uid="{00000000-0005-0000-0000-000083580000}"/>
    <cellStyle name="0_Planned qty_January'09 4 5 2 3 3" xfId="22674" xr:uid="{00000000-0005-0000-0000-000084580000}"/>
    <cellStyle name="0_Planned qty_January'09 4 5 2 3 3 2" xfId="22675" xr:uid="{00000000-0005-0000-0000-000085580000}"/>
    <cellStyle name="0_Planned qty_January'09 4 5 2 3 4" xfId="22676" xr:uid="{00000000-0005-0000-0000-000086580000}"/>
    <cellStyle name="0_Planned qty_January'09 4 5 2 4" xfId="22677" xr:uid="{00000000-0005-0000-0000-000087580000}"/>
    <cellStyle name="0_Planned qty_January'09 4 5 2 4 2" xfId="22678" xr:uid="{00000000-0005-0000-0000-000088580000}"/>
    <cellStyle name="0_Planned qty_January'09 4 5 2 5" xfId="22679" xr:uid="{00000000-0005-0000-0000-000089580000}"/>
    <cellStyle name="0_Planned qty_January'09 4 5 2 5 2" xfId="22680" xr:uid="{00000000-0005-0000-0000-00008A580000}"/>
    <cellStyle name="0_Planned qty_January'09 4 5 2 6" xfId="22681" xr:uid="{00000000-0005-0000-0000-00008B580000}"/>
    <cellStyle name="0_Planned qty_January'09 4 5 3" xfId="22682" xr:uid="{00000000-0005-0000-0000-00008C580000}"/>
    <cellStyle name="0_Planned qty_January'09 4 5 3 2" xfId="22683" xr:uid="{00000000-0005-0000-0000-00008D580000}"/>
    <cellStyle name="0_Planned qty_January'09 4 5 3 2 2" xfId="22684" xr:uid="{00000000-0005-0000-0000-00008E580000}"/>
    <cellStyle name="0_Planned qty_January'09 4 5 3 3" xfId="22685" xr:uid="{00000000-0005-0000-0000-00008F580000}"/>
    <cellStyle name="0_Planned qty_January'09 4 5 3 3 2" xfId="22686" xr:uid="{00000000-0005-0000-0000-000090580000}"/>
    <cellStyle name="0_Planned qty_January'09 4 5 3 4" xfId="22687" xr:uid="{00000000-0005-0000-0000-000091580000}"/>
    <cellStyle name="0_Planned qty_January'09 4 5 4" xfId="22688" xr:uid="{00000000-0005-0000-0000-000092580000}"/>
    <cellStyle name="0_Planned qty_January'09 4 5 4 2" xfId="22689" xr:uid="{00000000-0005-0000-0000-000093580000}"/>
    <cellStyle name="0_Planned qty_January'09 4 5 4 2 2" xfId="22690" xr:uid="{00000000-0005-0000-0000-000094580000}"/>
    <cellStyle name="0_Planned qty_January'09 4 5 4 3" xfId="22691" xr:uid="{00000000-0005-0000-0000-000095580000}"/>
    <cellStyle name="0_Planned qty_January'09 4 5 4 3 2" xfId="22692" xr:uid="{00000000-0005-0000-0000-000096580000}"/>
    <cellStyle name="0_Planned qty_January'09 4 5 4 4" xfId="22693" xr:uid="{00000000-0005-0000-0000-000097580000}"/>
    <cellStyle name="0_Planned qty_January'09 4 5 5" xfId="22694" xr:uid="{00000000-0005-0000-0000-000098580000}"/>
    <cellStyle name="0_Planned qty_January'09 4 5 5 2" xfId="22695" xr:uid="{00000000-0005-0000-0000-000099580000}"/>
    <cellStyle name="0_Planned qty_January'09 4 5 5 2 2" xfId="22696" xr:uid="{00000000-0005-0000-0000-00009A580000}"/>
    <cellStyle name="0_Planned qty_January'09 4 5 5 3" xfId="22697" xr:uid="{00000000-0005-0000-0000-00009B580000}"/>
    <cellStyle name="0_Planned qty_January'09 4 5 5 3 2" xfId="22698" xr:uid="{00000000-0005-0000-0000-00009C580000}"/>
    <cellStyle name="0_Planned qty_January'09 4 5 5 4" xfId="22699" xr:uid="{00000000-0005-0000-0000-00009D580000}"/>
    <cellStyle name="0_Planned qty_January'09 4 5 6" xfId="22700" xr:uid="{00000000-0005-0000-0000-00009E580000}"/>
    <cellStyle name="0_Planned qty_January'09 4 5 6 2" xfId="22701" xr:uid="{00000000-0005-0000-0000-00009F580000}"/>
    <cellStyle name="0_Planned qty_January'09 4 5 7" xfId="22702" xr:uid="{00000000-0005-0000-0000-0000A0580000}"/>
    <cellStyle name="0_Planned qty_January'09 4 5 7 2" xfId="22703" xr:uid="{00000000-0005-0000-0000-0000A1580000}"/>
    <cellStyle name="0_Planned qty_January'09 4 5 8" xfId="22704" xr:uid="{00000000-0005-0000-0000-0000A2580000}"/>
    <cellStyle name="0_Planned qty_January'09 4 6" xfId="22705" xr:uid="{00000000-0005-0000-0000-0000A3580000}"/>
    <cellStyle name="0_Planned qty_January'09 4 6 2" xfId="22706" xr:uid="{00000000-0005-0000-0000-0000A4580000}"/>
    <cellStyle name="0_Planned qty_January'09 4 6 2 2" xfId="22707" xr:uid="{00000000-0005-0000-0000-0000A5580000}"/>
    <cellStyle name="0_Planned qty_January'09 4 6 2 2 2" xfId="22708" xr:uid="{00000000-0005-0000-0000-0000A6580000}"/>
    <cellStyle name="0_Planned qty_January'09 4 6 2 2 2 2" xfId="22709" xr:uid="{00000000-0005-0000-0000-0000A7580000}"/>
    <cellStyle name="0_Planned qty_January'09 4 6 2 2 3" xfId="22710" xr:uid="{00000000-0005-0000-0000-0000A8580000}"/>
    <cellStyle name="0_Planned qty_January'09 4 6 2 2 3 2" xfId="22711" xr:uid="{00000000-0005-0000-0000-0000A9580000}"/>
    <cellStyle name="0_Planned qty_January'09 4 6 2 2 4" xfId="22712" xr:uid="{00000000-0005-0000-0000-0000AA580000}"/>
    <cellStyle name="0_Planned qty_January'09 4 6 2 3" xfId="22713" xr:uid="{00000000-0005-0000-0000-0000AB580000}"/>
    <cellStyle name="0_Planned qty_January'09 4 6 2 3 2" xfId="22714" xr:uid="{00000000-0005-0000-0000-0000AC580000}"/>
    <cellStyle name="0_Planned qty_January'09 4 6 2 3 2 2" xfId="22715" xr:uid="{00000000-0005-0000-0000-0000AD580000}"/>
    <cellStyle name="0_Planned qty_January'09 4 6 2 3 3" xfId="22716" xr:uid="{00000000-0005-0000-0000-0000AE580000}"/>
    <cellStyle name="0_Planned qty_January'09 4 6 2 3 3 2" xfId="22717" xr:uid="{00000000-0005-0000-0000-0000AF580000}"/>
    <cellStyle name="0_Planned qty_January'09 4 6 2 3 4" xfId="22718" xr:uid="{00000000-0005-0000-0000-0000B0580000}"/>
    <cellStyle name="0_Planned qty_January'09 4 6 2 4" xfId="22719" xr:uid="{00000000-0005-0000-0000-0000B1580000}"/>
    <cellStyle name="0_Planned qty_January'09 4 6 2 4 2" xfId="22720" xr:uid="{00000000-0005-0000-0000-0000B2580000}"/>
    <cellStyle name="0_Planned qty_January'09 4 6 2 5" xfId="22721" xr:uid="{00000000-0005-0000-0000-0000B3580000}"/>
    <cellStyle name="0_Planned qty_January'09 4 6 2 5 2" xfId="22722" xr:uid="{00000000-0005-0000-0000-0000B4580000}"/>
    <cellStyle name="0_Planned qty_January'09 4 6 2 6" xfId="22723" xr:uid="{00000000-0005-0000-0000-0000B5580000}"/>
    <cellStyle name="0_Planned qty_January'09 4 6 3" xfId="22724" xr:uid="{00000000-0005-0000-0000-0000B6580000}"/>
    <cellStyle name="0_Planned qty_January'09 4 6 3 2" xfId="22725" xr:uid="{00000000-0005-0000-0000-0000B7580000}"/>
    <cellStyle name="0_Planned qty_January'09 4 6 3 2 2" xfId="22726" xr:uid="{00000000-0005-0000-0000-0000B8580000}"/>
    <cellStyle name="0_Planned qty_January'09 4 6 3 3" xfId="22727" xr:uid="{00000000-0005-0000-0000-0000B9580000}"/>
    <cellStyle name="0_Planned qty_January'09 4 6 3 3 2" xfId="22728" xr:uid="{00000000-0005-0000-0000-0000BA580000}"/>
    <cellStyle name="0_Planned qty_January'09 4 6 3 4" xfId="22729" xr:uid="{00000000-0005-0000-0000-0000BB580000}"/>
    <cellStyle name="0_Planned qty_January'09 4 6 4" xfId="22730" xr:uid="{00000000-0005-0000-0000-0000BC580000}"/>
    <cellStyle name="0_Planned qty_January'09 4 6 4 2" xfId="22731" xr:uid="{00000000-0005-0000-0000-0000BD580000}"/>
    <cellStyle name="0_Planned qty_January'09 4 6 4 2 2" xfId="22732" xr:uid="{00000000-0005-0000-0000-0000BE580000}"/>
    <cellStyle name="0_Planned qty_January'09 4 6 4 3" xfId="22733" xr:uid="{00000000-0005-0000-0000-0000BF580000}"/>
    <cellStyle name="0_Planned qty_January'09 4 6 4 3 2" xfId="22734" xr:uid="{00000000-0005-0000-0000-0000C0580000}"/>
    <cellStyle name="0_Planned qty_January'09 4 6 4 4" xfId="22735" xr:uid="{00000000-0005-0000-0000-0000C1580000}"/>
    <cellStyle name="0_Planned qty_January'09 4 6 5" xfId="22736" xr:uid="{00000000-0005-0000-0000-0000C2580000}"/>
    <cellStyle name="0_Planned qty_January'09 4 6 5 2" xfId="22737" xr:uid="{00000000-0005-0000-0000-0000C3580000}"/>
    <cellStyle name="0_Planned qty_January'09 4 6 5 2 2" xfId="22738" xr:uid="{00000000-0005-0000-0000-0000C4580000}"/>
    <cellStyle name="0_Planned qty_January'09 4 6 5 3" xfId="22739" xr:uid="{00000000-0005-0000-0000-0000C5580000}"/>
    <cellStyle name="0_Planned qty_January'09 4 6 5 3 2" xfId="22740" xr:uid="{00000000-0005-0000-0000-0000C6580000}"/>
    <cellStyle name="0_Planned qty_January'09 4 6 5 4" xfId="22741" xr:uid="{00000000-0005-0000-0000-0000C7580000}"/>
    <cellStyle name="0_Planned qty_January'09 4 6 6" xfId="22742" xr:uid="{00000000-0005-0000-0000-0000C8580000}"/>
    <cellStyle name="0_Planned qty_January'09 4 6 6 2" xfId="22743" xr:uid="{00000000-0005-0000-0000-0000C9580000}"/>
    <cellStyle name="0_Planned qty_January'09 4 6 7" xfId="22744" xr:uid="{00000000-0005-0000-0000-0000CA580000}"/>
    <cellStyle name="0_Planned qty_January'09 4 6 7 2" xfId="22745" xr:uid="{00000000-0005-0000-0000-0000CB580000}"/>
    <cellStyle name="0_Planned qty_January'09 4 6 8" xfId="22746" xr:uid="{00000000-0005-0000-0000-0000CC580000}"/>
    <cellStyle name="0_Planned qty_January'09 4 7" xfId="22747" xr:uid="{00000000-0005-0000-0000-0000CD580000}"/>
    <cellStyle name="0_Planned qty_January'09 4 7 2" xfId="22748" xr:uid="{00000000-0005-0000-0000-0000CE580000}"/>
    <cellStyle name="0_Planned qty_January'09 4 7 2 2" xfId="22749" xr:uid="{00000000-0005-0000-0000-0000CF580000}"/>
    <cellStyle name="0_Planned qty_January'09 4 7 2 2 2" xfId="22750" xr:uid="{00000000-0005-0000-0000-0000D0580000}"/>
    <cellStyle name="0_Planned qty_January'09 4 7 2 3" xfId="22751" xr:uid="{00000000-0005-0000-0000-0000D1580000}"/>
    <cellStyle name="0_Planned qty_January'09 4 7 2 3 2" xfId="22752" xr:uid="{00000000-0005-0000-0000-0000D2580000}"/>
    <cellStyle name="0_Planned qty_January'09 4 7 2 4" xfId="22753" xr:uid="{00000000-0005-0000-0000-0000D3580000}"/>
    <cellStyle name="0_Planned qty_January'09 4 7 3" xfId="22754" xr:uid="{00000000-0005-0000-0000-0000D4580000}"/>
    <cellStyle name="0_Planned qty_January'09 4 7 3 2" xfId="22755" xr:uid="{00000000-0005-0000-0000-0000D5580000}"/>
    <cellStyle name="0_Planned qty_January'09 4 7 3 2 2" xfId="22756" xr:uid="{00000000-0005-0000-0000-0000D6580000}"/>
    <cellStyle name="0_Planned qty_January'09 4 7 3 3" xfId="22757" xr:uid="{00000000-0005-0000-0000-0000D7580000}"/>
    <cellStyle name="0_Planned qty_January'09 4 7 3 3 2" xfId="22758" xr:uid="{00000000-0005-0000-0000-0000D8580000}"/>
    <cellStyle name="0_Planned qty_January'09 4 7 3 4" xfId="22759" xr:uid="{00000000-0005-0000-0000-0000D9580000}"/>
    <cellStyle name="0_Planned qty_January'09 4 7 4" xfId="22760" xr:uid="{00000000-0005-0000-0000-0000DA580000}"/>
    <cellStyle name="0_Planned qty_January'09 4 7 4 2" xfId="22761" xr:uid="{00000000-0005-0000-0000-0000DB580000}"/>
    <cellStyle name="0_Planned qty_January'09 4 7 5" xfId="22762" xr:uid="{00000000-0005-0000-0000-0000DC580000}"/>
    <cellStyle name="0_Planned qty_January'09 4 7 5 2" xfId="22763" xr:uid="{00000000-0005-0000-0000-0000DD580000}"/>
    <cellStyle name="0_Planned qty_January'09 4 7 6" xfId="22764" xr:uid="{00000000-0005-0000-0000-0000DE580000}"/>
    <cellStyle name="0_Planned qty_January'09 4 8" xfId="22765" xr:uid="{00000000-0005-0000-0000-0000DF580000}"/>
    <cellStyle name="0_Planned qty_January'09 4 8 2" xfId="22766" xr:uid="{00000000-0005-0000-0000-0000E0580000}"/>
    <cellStyle name="0_Planned qty_January'09 4 8 2 2" xfId="22767" xr:uid="{00000000-0005-0000-0000-0000E1580000}"/>
    <cellStyle name="0_Planned qty_January'09 4 8 3" xfId="22768" xr:uid="{00000000-0005-0000-0000-0000E2580000}"/>
    <cellStyle name="0_Planned qty_January'09 4 8 3 2" xfId="22769" xr:uid="{00000000-0005-0000-0000-0000E3580000}"/>
    <cellStyle name="0_Planned qty_January'09 4 8 4" xfId="22770" xr:uid="{00000000-0005-0000-0000-0000E4580000}"/>
    <cellStyle name="0_Planned qty_January'09 4 9" xfId="22771" xr:uid="{00000000-0005-0000-0000-0000E5580000}"/>
    <cellStyle name="0_Planned qty_January'09 4 9 2" xfId="22772" xr:uid="{00000000-0005-0000-0000-0000E6580000}"/>
    <cellStyle name="0_Planned qty_January'09 4 9 2 2" xfId="22773" xr:uid="{00000000-0005-0000-0000-0000E7580000}"/>
    <cellStyle name="0_Planned qty_January'09 4 9 3" xfId="22774" xr:uid="{00000000-0005-0000-0000-0000E8580000}"/>
    <cellStyle name="0_Planned qty_January'09 4 9 3 2" xfId="22775" xr:uid="{00000000-0005-0000-0000-0000E9580000}"/>
    <cellStyle name="0_Planned qty_January'09 4 9 4" xfId="22776" xr:uid="{00000000-0005-0000-0000-0000EA580000}"/>
    <cellStyle name="0_Planned qty_January'09 5" xfId="22777" xr:uid="{00000000-0005-0000-0000-0000EB580000}"/>
    <cellStyle name="0_Planned qty_January'09 5 10" xfId="22778" xr:uid="{00000000-0005-0000-0000-0000EC580000}"/>
    <cellStyle name="0_Planned qty_January'09 5 10 2" xfId="22779" xr:uid="{00000000-0005-0000-0000-0000ED580000}"/>
    <cellStyle name="0_Planned qty_January'09 5 10 2 2" xfId="22780" xr:uid="{00000000-0005-0000-0000-0000EE580000}"/>
    <cellStyle name="0_Planned qty_January'09 5 10 3" xfId="22781" xr:uid="{00000000-0005-0000-0000-0000EF580000}"/>
    <cellStyle name="0_Planned qty_January'09 5 10 3 2" xfId="22782" xr:uid="{00000000-0005-0000-0000-0000F0580000}"/>
    <cellStyle name="0_Planned qty_January'09 5 10 4" xfId="22783" xr:uid="{00000000-0005-0000-0000-0000F1580000}"/>
    <cellStyle name="0_Planned qty_January'09 5 11" xfId="22784" xr:uid="{00000000-0005-0000-0000-0000F2580000}"/>
    <cellStyle name="0_Planned qty_January'09 5 11 2" xfId="22785" xr:uid="{00000000-0005-0000-0000-0000F3580000}"/>
    <cellStyle name="0_Planned qty_January'09 5 12" xfId="22786" xr:uid="{00000000-0005-0000-0000-0000F4580000}"/>
    <cellStyle name="0_Planned qty_January'09 5 12 2" xfId="22787" xr:uid="{00000000-0005-0000-0000-0000F5580000}"/>
    <cellStyle name="0_Planned qty_January'09 5 13" xfId="22788" xr:uid="{00000000-0005-0000-0000-0000F6580000}"/>
    <cellStyle name="0_Planned qty_January'09 5 2" xfId="22789" xr:uid="{00000000-0005-0000-0000-0000F7580000}"/>
    <cellStyle name="0_Planned qty_January'09 5 2 2" xfId="22790" xr:uid="{00000000-0005-0000-0000-0000F8580000}"/>
    <cellStyle name="0_Planned qty_January'09 5 2 2 2" xfId="22791" xr:uid="{00000000-0005-0000-0000-0000F9580000}"/>
    <cellStyle name="0_Planned qty_January'09 5 2 2 2 2" xfId="22792" xr:uid="{00000000-0005-0000-0000-0000FA580000}"/>
    <cellStyle name="0_Planned qty_January'09 5 2 2 2 2 2" xfId="22793" xr:uid="{00000000-0005-0000-0000-0000FB580000}"/>
    <cellStyle name="0_Planned qty_January'09 5 2 2 2 3" xfId="22794" xr:uid="{00000000-0005-0000-0000-0000FC580000}"/>
    <cellStyle name="0_Planned qty_January'09 5 2 2 2 3 2" xfId="22795" xr:uid="{00000000-0005-0000-0000-0000FD580000}"/>
    <cellStyle name="0_Planned qty_January'09 5 2 2 2 4" xfId="22796" xr:uid="{00000000-0005-0000-0000-0000FE580000}"/>
    <cellStyle name="0_Planned qty_January'09 5 2 2 3" xfId="22797" xr:uid="{00000000-0005-0000-0000-0000FF580000}"/>
    <cellStyle name="0_Planned qty_January'09 5 2 2 3 2" xfId="22798" xr:uid="{00000000-0005-0000-0000-000000590000}"/>
    <cellStyle name="0_Planned qty_January'09 5 2 2 3 2 2" xfId="22799" xr:uid="{00000000-0005-0000-0000-000001590000}"/>
    <cellStyle name="0_Planned qty_January'09 5 2 2 3 3" xfId="22800" xr:uid="{00000000-0005-0000-0000-000002590000}"/>
    <cellStyle name="0_Planned qty_January'09 5 2 2 3 3 2" xfId="22801" xr:uid="{00000000-0005-0000-0000-000003590000}"/>
    <cellStyle name="0_Planned qty_January'09 5 2 2 3 4" xfId="22802" xr:uid="{00000000-0005-0000-0000-000004590000}"/>
    <cellStyle name="0_Planned qty_January'09 5 2 2 4" xfId="22803" xr:uid="{00000000-0005-0000-0000-000005590000}"/>
    <cellStyle name="0_Planned qty_January'09 5 2 2 4 2" xfId="22804" xr:uid="{00000000-0005-0000-0000-000006590000}"/>
    <cellStyle name="0_Planned qty_January'09 5 2 2 5" xfId="22805" xr:uid="{00000000-0005-0000-0000-000007590000}"/>
    <cellStyle name="0_Planned qty_January'09 5 2 2 5 2" xfId="22806" xr:uid="{00000000-0005-0000-0000-000008590000}"/>
    <cellStyle name="0_Planned qty_January'09 5 2 2 6" xfId="22807" xr:uid="{00000000-0005-0000-0000-000009590000}"/>
    <cellStyle name="0_Planned qty_January'09 5 2 3" xfId="22808" xr:uid="{00000000-0005-0000-0000-00000A590000}"/>
    <cellStyle name="0_Planned qty_January'09 5 2 3 2" xfId="22809" xr:uid="{00000000-0005-0000-0000-00000B590000}"/>
    <cellStyle name="0_Planned qty_January'09 5 2 3 2 2" xfId="22810" xr:uid="{00000000-0005-0000-0000-00000C590000}"/>
    <cellStyle name="0_Planned qty_January'09 5 2 3 3" xfId="22811" xr:uid="{00000000-0005-0000-0000-00000D590000}"/>
    <cellStyle name="0_Planned qty_January'09 5 2 3 3 2" xfId="22812" xr:uid="{00000000-0005-0000-0000-00000E590000}"/>
    <cellStyle name="0_Planned qty_January'09 5 2 3 4" xfId="22813" xr:uid="{00000000-0005-0000-0000-00000F590000}"/>
    <cellStyle name="0_Planned qty_January'09 5 2 4" xfId="22814" xr:uid="{00000000-0005-0000-0000-000010590000}"/>
    <cellStyle name="0_Planned qty_January'09 5 2 4 2" xfId="22815" xr:uid="{00000000-0005-0000-0000-000011590000}"/>
    <cellStyle name="0_Planned qty_January'09 5 2 4 2 2" xfId="22816" xr:uid="{00000000-0005-0000-0000-000012590000}"/>
    <cellStyle name="0_Planned qty_January'09 5 2 4 3" xfId="22817" xr:uid="{00000000-0005-0000-0000-000013590000}"/>
    <cellStyle name="0_Planned qty_January'09 5 2 4 3 2" xfId="22818" xr:uid="{00000000-0005-0000-0000-000014590000}"/>
    <cellStyle name="0_Planned qty_January'09 5 2 4 4" xfId="22819" xr:uid="{00000000-0005-0000-0000-000015590000}"/>
    <cellStyle name="0_Planned qty_January'09 5 2 5" xfId="22820" xr:uid="{00000000-0005-0000-0000-000016590000}"/>
    <cellStyle name="0_Planned qty_January'09 5 2 5 2" xfId="22821" xr:uid="{00000000-0005-0000-0000-000017590000}"/>
    <cellStyle name="0_Planned qty_January'09 5 2 5 2 2" xfId="22822" xr:uid="{00000000-0005-0000-0000-000018590000}"/>
    <cellStyle name="0_Planned qty_January'09 5 2 5 3" xfId="22823" xr:uid="{00000000-0005-0000-0000-000019590000}"/>
    <cellStyle name="0_Planned qty_January'09 5 2 5 3 2" xfId="22824" xr:uid="{00000000-0005-0000-0000-00001A590000}"/>
    <cellStyle name="0_Planned qty_January'09 5 2 5 4" xfId="22825" xr:uid="{00000000-0005-0000-0000-00001B590000}"/>
    <cellStyle name="0_Planned qty_January'09 5 2 6" xfId="22826" xr:uid="{00000000-0005-0000-0000-00001C590000}"/>
    <cellStyle name="0_Planned qty_January'09 5 2 6 2" xfId="22827" xr:uid="{00000000-0005-0000-0000-00001D590000}"/>
    <cellStyle name="0_Planned qty_January'09 5 2 7" xfId="22828" xr:uid="{00000000-0005-0000-0000-00001E590000}"/>
    <cellStyle name="0_Planned qty_January'09 5 2 7 2" xfId="22829" xr:uid="{00000000-0005-0000-0000-00001F590000}"/>
    <cellStyle name="0_Planned qty_January'09 5 2 8" xfId="22830" xr:uid="{00000000-0005-0000-0000-000020590000}"/>
    <cellStyle name="0_Planned qty_January'09 5 3" xfId="22831" xr:uid="{00000000-0005-0000-0000-000021590000}"/>
    <cellStyle name="0_Planned qty_January'09 5 3 2" xfId="22832" xr:uid="{00000000-0005-0000-0000-000022590000}"/>
    <cellStyle name="0_Planned qty_January'09 5 3 2 2" xfId="22833" xr:uid="{00000000-0005-0000-0000-000023590000}"/>
    <cellStyle name="0_Planned qty_January'09 5 3 2 2 2" xfId="22834" xr:uid="{00000000-0005-0000-0000-000024590000}"/>
    <cellStyle name="0_Planned qty_January'09 5 3 2 2 2 2" xfId="22835" xr:uid="{00000000-0005-0000-0000-000025590000}"/>
    <cellStyle name="0_Planned qty_January'09 5 3 2 2 3" xfId="22836" xr:uid="{00000000-0005-0000-0000-000026590000}"/>
    <cellStyle name="0_Planned qty_January'09 5 3 2 2 3 2" xfId="22837" xr:uid="{00000000-0005-0000-0000-000027590000}"/>
    <cellStyle name="0_Planned qty_January'09 5 3 2 2 4" xfId="22838" xr:uid="{00000000-0005-0000-0000-000028590000}"/>
    <cellStyle name="0_Planned qty_January'09 5 3 2 3" xfId="22839" xr:uid="{00000000-0005-0000-0000-000029590000}"/>
    <cellStyle name="0_Planned qty_January'09 5 3 2 3 2" xfId="22840" xr:uid="{00000000-0005-0000-0000-00002A590000}"/>
    <cellStyle name="0_Planned qty_January'09 5 3 2 3 2 2" xfId="22841" xr:uid="{00000000-0005-0000-0000-00002B590000}"/>
    <cellStyle name="0_Planned qty_January'09 5 3 2 3 3" xfId="22842" xr:uid="{00000000-0005-0000-0000-00002C590000}"/>
    <cellStyle name="0_Planned qty_January'09 5 3 2 3 3 2" xfId="22843" xr:uid="{00000000-0005-0000-0000-00002D590000}"/>
    <cellStyle name="0_Planned qty_January'09 5 3 2 3 4" xfId="22844" xr:uid="{00000000-0005-0000-0000-00002E590000}"/>
    <cellStyle name="0_Planned qty_January'09 5 3 2 4" xfId="22845" xr:uid="{00000000-0005-0000-0000-00002F590000}"/>
    <cellStyle name="0_Planned qty_January'09 5 3 2 4 2" xfId="22846" xr:uid="{00000000-0005-0000-0000-000030590000}"/>
    <cellStyle name="0_Planned qty_January'09 5 3 2 5" xfId="22847" xr:uid="{00000000-0005-0000-0000-000031590000}"/>
    <cellStyle name="0_Planned qty_January'09 5 3 2 5 2" xfId="22848" xr:uid="{00000000-0005-0000-0000-000032590000}"/>
    <cellStyle name="0_Planned qty_January'09 5 3 2 6" xfId="22849" xr:uid="{00000000-0005-0000-0000-000033590000}"/>
    <cellStyle name="0_Planned qty_January'09 5 3 3" xfId="22850" xr:uid="{00000000-0005-0000-0000-000034590000}"/>
    <cellStyle name="0_Planned qty_January'09 5 3 3 2" xfId="22851" xr:uid="{00000000-0005-0000-0000-000035590000}"/>
    <cellStyle name="0_Planned qty_January'09 5 3 3 2 2" xfId="22852" xr:uid="{00000000-0005-0000-0000-000036590000}"/>
    <cellStyle name="0_Planned qty_January'09 5 3 3 3" xfId="22853" xr:uid="{00000000-0005-0000-0000-000037590000}"/>
    <cellStyle name="0_Planned qty_January'09 5 3 3 3 2" xfId="22854" xr:uid="{00000000-0005-0000-0000-000038590000}"/>
    <cellStyle name="0_Planned qty_January'09 5 3 3 4" xfId="22855" xr:uid="{00000000-0005-0000-0000-000039590000}"/>
    <cellStyle name="0_Planned qty_January'09 5 3 4" xfId="22856" xr:uid="{00000000-0005-0000-0000-00003A590000}"/>
    <cellStyle name="0_Planned qty_January'09 5 3 4 2" xfId="22857" xr:uid="{00000000-0005-0000-0000-00003B590000}"/>
    <cellStyle name="0_Planned qty_January'09 5 3 4 2 2" xfId="22858" xr:uid="{00000000-0005-0000-0000-00003C590000}"/>
    <cellStyle name="0_Planned qty_January'09 5 3 4 3" xfId="22859" xr:uid="{00000000-0005-0000-0000-00003D590000}"/>
    <cellStyle name="0_Planned qty_January'09 5 3 4 3 2" xfId="22860" xr:uid="{00000000-0005-0000-0000-00003E590000}"/>
    <cellStyle name="0_Planned qty_January'09 5 3 4 4" xfId="22861" xr:uid="{00000000-0005-0000-0000-00003F590000}"/>
    <cellStyle name="0_Planned qty_January'09 5 3 5" xfId="22862" xr:uid="{00000000-0005-0000-0000-000040590000}"/>
    <cellStyle name="0_Planned qty_January'09 5 3 5 2" xfId="22863" xr:uid="{00000000-0005-0000-0000-000041590000}"/>
    <cellStyle name="0_Planned qty_January'09 5 3 5 2 2" xfId="22864" xr:uid="{00000000-0005-0000-0000-000042590000}"/>
    <cellStyle name="0_Planned qty_January'09 5 3 5 3" xfId="22865" xr:uid="{00000000-0005-0000-0000-000043590000}"/>
    <cellStyle name="0_Planned qty_January'09 5 3 5 3 2" xfId="22866" xr:uid="{00000000-0005-0000-0000-000044590000}"/>
    <cellStyle name="0_Planned qty_January'09 5 3 5 4" xfId="22867" xr:uid="{00000000-0005-0000-0000-000045590000}"/>
    <cellStyle name="0_Planned qty_January'09 5 3 6" xfId="22868" xr:uid="{00000000-0005-0000-0000-000046590000}"/>
    <cellStyle name="0_Planned qty_January'09 5 3 6 2" xfId="22869" xr:uid="{00000000-0005-0000-0000-000047590000}"/>
    <cellStyle name="0_Planned qty_January'09 5 3 7" xfId="22870" xr:uid="{00000000-0005-0000-0000-000048590000}"/>
    <cellStyle name="0_Planned qty_January'09 5 3 7 2" xfId="22871" xr:uid="{00000000-0005-0000-0000-000049590000}"/>
    <cellStyle name="0_Planned qty_January'09 5 3 8" xfId="22872" xr:uid="{00000000-0005-0000-0000-00004A590000}"/>
    <cellStyle name="0_Planned qty_January'09 5 4" xfId="22873" xr:uid="{00000000-0005-0000-0000-00004B590000}"/>
    <cellStyle name="0_Planned qty_January'09 5 4 2" xfId="22874" xr:uid="{00000000-0005-0000-0000-00004C590000}"/>
    <cellStyle name="0_Planned qty_January'09 5 4 2 2" xfId="22875" xr:uid="{00000000-0005-0000-0000-00004D590000}"/>
    <cellStyle name="0_Planned qty_January'09 5 4 2 2 2" xfId="22876" xr:uid="{00000000-0005-0000-0000-00004E590000}"/>
    <cellStyle name="0_Planned qty_January'09 5 4 2 2 2 2" xfId="22877" xr:uid="{00000000-0005-0000-0000-00004F590000}"/>
    <cellStyle name="0_Planned qty_January'09 5 4 2 2 3" xfId="22878" xr:uid="{00000000-0005-0000-0000-000050590000}"/>
    <cellStyle name="0_Planned qty_January'09 5 4 2 2 3 2" xfId="22879" xr:uid="{00000000-0005-0000-0000-000051590000}"/>
    <cellStyle name="0_Planned qty_January'09 5 4 2 2 4" xfId="22880" xr:uid="{00000000-0005-0000-0000-000052590000}"/>
    <cellStyle name="0_Planned qty_January'09 5 4 2 3" xfId="22881" xr:uid="{00000000-0005-0000-0000-000053590000}"/>
    <cellStyle name="0_Planned qty_January'09 5 4 2 3 2" xfId="22882" xr:uid="{00000000-0005-0000-0000-000054590000}"/>
    <cellStyle name="0_Planned qty_January'09 5 4 2 3 2 2" xfId="22883" xr:uid="{00000000-0005-0000-0000-000055590000}"/>
    <cellStyle name="0_Planned qty_January'09 5 4 2 3 3" xfId="22884" xr:uid="{00000000-0005-0000-0000-000056590000}"/>
    <cellStyle name="0_Planned qty_January'09 5 4 2 3 3 2" xfId="22885" xr:uid="{00000000-0005-0000-0000-000057590000}"/>
    <cellStyle name="0_Planned qty_January'09 5 4 2 3 4" xfId="22886" xr:uid="{00000000-0005-0000-0000-000058590000}"/>
    <cellStyle name="0_Planned qty_January'09 5 4 2 4" xfId="22887" xr:uid="{00000000-0005-0000-0000-000059590000}"/>
    <cellStyle name="0_Planned qty_January'09 5 4 2 4 2" xfId="22888" xr:uid="{00000000-0005-0000-0000-00005A590000}"/>
    <cellStyle name="0_Planned qty_January'09 5 4 2 5" xfId="22889" xr:uid="{00000000-0005-0000-0000-00005B590000}"/>
    <cellStyle name="0_Planned qty_January'09 5 4 2 5 2" xfId="22890" xr:uid="{00000000-0005-0000-0000-00005C590000}"/>
    <cellStyle name="0_Planned qty_January'09 5 4 2 6" xfId="22891" xr:uid="{00000000-0005-0000-0000-00005D590000}"/>
    <cellStyle name="0_Planned qty_January'09 5 4 3" xfId="22892" xr:uid="{00000000-0005-0000-0000-00005E590000}"/>
    <cellStyle name="0_Planned qty_January'09 5 4 3 2" xfId="22893" xr:uid="{00000000-0005-0000-0000-00005F590000}"/>
    <cellStyle name="0_Planned qty_January'09 5 4 3 2 2" xfId="22894" xr:uid="{00000000-0005-0000-0000-000060590000}"/>
    <cellStyle name="0_Planned qty_January'09 5 4 3 3" xfId="22895" xr:uid="{00000000-0005-0000-0000-000061590000}"/>
    <cellStyle name="0_Planned qty_January'09 5 4 3 3 2" xfId="22896" xr:uid="{00000000-0005-0000-0000-000062590000}"/>
    <cellStyle name="0_Planned qty_January'09 5 4 3 4" xfId="22897" xr:uid="{00000000-0005-0000-0000-000063590000}"/>
    <cellStyle name="0_Planned qty_January'09 5 4 4" xfId="22898" xr:uid="{00000000-0005-0000-0000-000064590000}"/>
    <cellStyle name="0_Planned qty_January'09 5 4 4 2" xfId="22899" xr:uid="{00000000-0005-0000-0000-000065590000}"/>
    <cellStyle name="0_Planned qty_January'09 5 4 4 2 2" xfId="22900" xr:uid="{00000000-0005-0000-0000-000066590000}"/>
    <cellStyle name="0_Planned qty_January'09 5 4 4 3" xfId="22901" xr:uid="{00000000-0005-0000-0000-000067590000}"/>
    <cellStyle name="0_Planned qty_January'09 5 4 4 3 2" xfId="22902" xr:uid="{00000000-0005-0000-0000-000068590000}"/>
    <cellStyle name="0_Planned qty_January'09 5 4 4 4" xfId="22903" xr:uid="{00000000-0005-0000-0000-000069590000}"/>
    <cellStyle name="0_Planned qty_January'09 5 4 5" xfId="22904" xr:uid="{00000000-0005-0000-0000-00006A590000}"/>
    <cellStyle name="0_Planned qty_January'09 5 4 5 2" xfId="22905" xr:uid="{00000000-0005-0000-0000-00006B590000}"/>
    <cellStyle name="0_Planned qty_January'09 5 4 5 2 2" xfId="22906" xr:uid="{00000000-0005-0000-0000-00006C590000}"/>
    <cellStyle name="0_Planned qty_January'09 5 4 5 3" xfId="22907" xr:uid="{00000000-0005-0000-0000-00006D590000}"/>
    <cellStyle name="0_Planned qty_January'09 5 4 5 3 2" xfId="22908" xr:uid="{00000000-0005-0000-0000-00006E590000}"/>
    <cellStyle name="0_Planned qty_January'09 5 4 5 4" xfId="22909" xr:uid="{00000000-0005-0000-0000-00006F590000}"/>
    <cellStyle name="0_Planned qty_January'09 5 4 6" xfId="22910" xr:uid="{00000000-0005-0000-0000-000070590000}"/>
    <cellStyle name="0_Planned qty_January'09 5 4 6 2" xfId="22911" xr:uid="{00000000-0005-0000-0000-000071590000}"/>
    <cellStyle name="0_Planned qty_January'09 5 4 7" xfId="22912" xr:uid="{00000000-0005-0000-0000-000072590000}"/>
    <cellStyle name="0_Planned qty_January'09 5 4 7 2" xfId="22913" xr:uid="{00000000-0005-0000-0000-000073590000}"/>
    <cellStyle name="0_Planned qty_January'09 5 4 8" xfId="22914" xr:uid="{00000000-0005-0000-0000-000074590000}"/>
    <cellStyle name="0_Planned qty_January'09 5 5" xfId="22915" xr:uid="{00000000-0005-0000-0000-000075590000}"/>
    <cellStyle name="0_Planned qty_January'09 5 5 2" xfId="22916" xr:uid="{00000000-0005-0000-0000-000076590000}"/>
    <cellStyle name="0_Planned qty_January'09 5 5 2 2" xfId="22917" xr:uid="{00000000-0005-0000-0000-000077590000}"/>
    <cellStyle name="0_Planned qty_January'09 5 5 2 2 2" xfId="22918" xr:uid="{00000000-0005-0000-0000-000078590000}"/>
    <cellStyle name="0_Planned qty_January'09 5 5 2 2 2 2" xfId="22919" xr:uid="{00000000-0005-0000-0000-000079590000}"/>
    <cellStyle name="0_Planned qty_January'09 5 5 2 2 3" xfId="22920" xr:uid="{00000000-0005-0000-0000-00007A590000}"/>
    <cellStyle name="0_Planned qty_January'09 5 5 2 2 3 2" xfId="22921" xr:uid="{00000000-0005-0000-0000-00007B590000}"/>
    <cellStyle name="0_Planned qty_January'09 5 5 2 2 4" xfId="22922" xr:uid="{00000000-0005-0000-0000-00007C590000}"/>
    <cellStyle name="0_Planned qty_January'09 5 5 2 3" xfId="22923" xr:uid="{00000000-0005-0000-0000-00007D590000}"/>
    <cellStyle name="0_Planned qty_January'09 5 5 2 3 2" xfId="22924" xr:uid="{00000000-0005-0000-0000-00007E590000}"/>
    <cellStyle name="0_Planned qty_January'09 5 5 2 3 2 2" xfId="22925" xr:uid="{00000000-0005-0000-0000-00007F590000}"/>
    <cellStyle name="0_Planned qty_January'09 5 5 2 3 3" xfId="22926" xr:uid="{00000000-0005-0000-0000-000080590000}"/>
    <cellStyle name="0_Planned qty_January'09 5 5 2 3 3 2" xfId="22927" xr:uid="{00000000-0005-0000-0000-000081590000}"/>
    <cellStyle name="0_Planned qty_January'09 5 5 2 3 4" xfId="22928" xr:uid="{00000000-0005-0000-0000-000082590000}"/>
    <cellStyle name="0_Planned qty_January'09 5 5 2 4" xfId="22929" xr:uid="{00000000-0005-0000-0000-000083590000}"/>
    <cellStyle name="0_Planned qty_January'09 5 5 2 4 2" xfId="22930" xr:uid="{00000000-0005-0000-0000-000084590000}"/>
    <cellStyle name="0_Planned qty_January'09 5 5 2 5" xfId="22931" xr:uid="{00000000-0005-0000-0000-000085590000}"/>
    <cellStyle name="0_Planned qty_January'09 5 5 2 5 2" xfId="22932" xr:uid="{00000000-0005-0000-0000-000086590000}"/>
    <cellStyle name="0_Planned qty_January'09 5 5 2 6" xfId="22933" xr:uid="{00000000-0005-0000-0000-000087590000}"/>
    <cellStyle name="0_Planned qty_January'09 5 5 3" xfId="22934" xr:uid="{00000000-0005-0000-0000-000088590000}"/>
    <cellStyle name="0_Planned qty_January'09 5 5 3 2" xfId="22935" xr:uid="{00000000-0005-0000-0000-000089590000}"/>
    <cellStyle name="0_Planned qty_January'09 5 5 3 2 2" xfId="22936" xr:uid="{00000000-0005-0000-0000-00008A590000}"/>
    <cellStyle name="0_Planned qty_January'09 5 5 3 3" xfId="22937" xr:uid="{00000000-0005-0000-0000-00008B590000}"/>
    <cellStyle name="0_Planned qty_January'09 5 5 3 3 2" xfId="22938" xr:uid="{00000000-0005-0000-0000-00008C590000}"/>
    <cellStyle name="0_Planned qty_January'09 5 5 3 4" xfId="22939" xr:uid="{00000000-0005-0000-0000-00008D590000}"/>
    <cellStyle name="0_Planned qty_January'09 5 5 4" xfId="22940" xr:uid="{00000000-0005-0000-0000-00008E590000}"/>
    <cellStyle name="0_Planned qty_January'09 5 5 4 2" xfId="22941" xr:uid="{00000000-0005-0000-0000-00008F590000}"/>
    <cellStyle name="0_Planned qty_January'09 5 5 4 2 2" xfId="22942" xr:uid="{00000000-0005-0000-0000-000090590000}"/>
    <cellStyle name="0_Planned qty_January'09 5 5 4 3" xfId="22943" xr:uid="{00000000-0005-0000-0000-000091590000}"/>
    <cellStyle name="0_Planned qty_January'09 5 5 4 3 2" xfId="22944" xr:uid="{00000000-0005-0000-0000-000092590000}"/>
    <cellStyle name="0_Planned qty_January'09 5 5 4 4" xfId="22945" xr:uid="{00000000-0005-0000-0000-000093590000}"/>
    <cellStyle name="0_Planned qty_January'09 5 5 5" xfId="22946" xr:uid="{00000000-0005-0000-0000-000094590000}"/>
    <cellStyle name="0_Planned qty_January'09 5 5 5 2" xfId="22947" xr:uid="{00000000-0005-0000-0000-000095590000}"/>
    <cellStyle name="0_Planned qty_January'09 5 5 5 2 2" xfId="22948" xr:uid="{00000000-0005-0000-0000-000096590000}"/>
    <cellStyle name="0_Planned qty_January'09 5 5 5 3" xfId="22949" xr:uid="{00000000-0005-0000-0000-000097590000}"/>
    <cellStyle name="0_Planned qty_January'09 5 5 5 3 2" xfId="22950" xr:uid="{00000000-0005-0000-0000-000098590000}"/>
    <cellStyle name="0_Planned qty_January'09 5 5 5 4" xfId="22951" xr:uid="{00000000-0005-0000-0000-000099590000}"/>
    <cellStyle name="0_Planned qty_January'09 5 5 6" xfId="22952" xr:uid="{00000000-0005-0000-0000-00009A590000}"/>
    <cellStyle name="0_Planned qty_January'09 5 5 6 2" xfId="22953" xr:uid="{00000000-0005-0000-0000-00009B590000}"/>
    <cellStyle name="0_Planned qty_January'09 5 5 7" xfId="22954" xr:uid="{00000000-0005-0000-0000-00009C590000}"/>
    <cellStyle name="0_Planned qty_January'09 5 5 7 2" xfId="22955" xr:uid="{00000000-0005-0000-0000-00009D590000}"/>
    <cellStyle name="0_Planned qty_January'09 5 5 8" xfId="22956" xr:uid="{00000000-0005-0000-0000-00009E590000}"/>
    <cellStyle name="0_Planned qty_January'09 5 6" xfId="22957" xr:uid="{00000000-0005-0000-0000-00009F590000}"/>
    <cellStyle name="0_Planned qty_January'09 5 6 2" xfId="22958" xr:uid="{00000000-0005-0000-0000-0000A0590000}"/>
    <cellStyle name="0_Planned qty_January'09 5 6 2 2" xfId="22959" xr:uid="{00000000-0005-0000-0000-0000A1590000}"/>
    <cellStyle name="0_Planned qty_January'09 5 6 2 2 2" xfId="22960" xr:uid="{00000000-0005-0000-0000-0000A2590000}"/>
    <cellStyle name="0_Planned qty_January'09 5 6 2 2 2 2" xfId="22961" xr:uid="{00000000-0005-0000-0000-0000A3590000}"/>
    <cellStyle name="0_Planned qty_January'09 5 6 2 2 3" xfId="22962" xr:uid="{00000000-0005-0000-0000-0000A4590000}"/>
    <cellStyle name="0_Planned qty_January'09 5 6 2 2 3 2" xfId="22963" xr:uid="{00000000-0005-0000-0000-0000A5590000}"/>
    <cellStyle name="0_Planned qty_January'09 5 6 2 2 4" xfId="22964" xr:uid="{00000000-0005-0000-0000-0000A6590000}"/>
    <cellStyle name="0_Planned qty_January'09 5 6 2 3" xfId="22965" xr:uid="{00000000-0005-0000-0000-0000A7590000}"/>
    <cellStyle name="0_Planned qty_January'09 5 6 2 3 2" xfId="22966" xr:uid="{00000000-0005-0000-0000-0000A8590000}"/>
    <cellStyle name="0_Planned qty_January'09 5 6 2 3 2 2" xfId="22967" xr:uid="{00000000-0005-0000-0000-0000A9590000}"/>
    <cellStyle name="0_Planned qty_January'09 5 6 2 3 3" xfId="22968" xr:uid="{00000000-0005-0000-0000-0000AA590000}"/>
    <cellStyle name="0_Planned qty_January'09 5 6 2 3 3 2" xfId="22969" xr:uid="{00000000-0005-0000-0000-0000AB590000}"/>
    <cellStyle name="0_Planned qty_January'09 5 6 2 3 4" xfId="22970" xr:uid="{00000000-0005-0000-0000-0000AC590000}"/>
    <cellStyle name="0_Planned qty_January'09 5 6 2 4" xfId="22971" xr:uid="{00000000-0005-0000-0000-0000AD590000}"/>
    <cellStyle name="0_Planned qty_January'09 5 6 2 4 2" xfId="22972" xr:uid="{00000000-0005-0000-0000-0000AE590000}"/>
    <cellStyle name="0_Planned qty_January'09 5 6 2 5" xfId="22973" xr:uid="{00000000-0005-0000-0000-0000AF590000}"/>
    <cellStyle name="0_Planned qty_January'09 5 6 2 5 2" xfId="22974" xr:uid="{00000000-0005-0000-0000-0000B0590000}"/>
    <cellStyle name="0_Planned qty_January'09 5 6 2 6" xfId="22975" xr:uid="{00000000-0005-0000-0000-0000B1590000}"/>
    <cellStyle name="0_Planned qty_January'09 5 6 3" xfId="22976" xr:uid="{00000000-0005-0000-0000-0000B2590000}"/>
    <cellStyle name="0_Planned qty_January'09 5 6 3 2" xfId="22977" xr:uid="{00000000-0005-0000-0000-0000B3590000}"/>
    <cellStyle name="0_Planned qty_January'09 5 6 3 2 2" xfId="22978" xr:uid="{00000000-0005-0000-0000-0000B4590000}"/>
    <cellStyle name="0_Planned qty_January'09 5 6 3 3" xfId="22979" xr:uid="{00000000-0005-0000-0000-0000B5590000}"/>
    <cellStyle name="0_Planned qty_January'09 5 6 3 3 2" xfId="22980" xr:uid="{00000000-0005-0000-0000-0000B6590000}"/>
    <cellStyle name="0_Planned qty_January'09 5 6 3 4" xfId="22981" xr:uid="{00000000-0005-0000-0000-0000B7590000}"/>
    <cellStyle name="0_Planned qty_January'09 5 6 4" xfId="22982" xr:uid="{00000000-0005-0000-0000-0000B8590000}"/>
    <cellStyle name="0_Planned qty_January'09 5 6 4 2" xfId="22983" xr:uid="{00000000-0005-0000-0000-0000B9590000}"/>
    <cellStyle name="0_Planned qty_January'09 5 6 4 2 2" xfId="22984" xr:uid="{00000000-0005-0000-0000-0000BA590000}"/>
    <cellStyle name="0_Planned qty_January'09 5 6 4 3" xfId="22985" xr:uid="{00000000-0005-0000-0000-0000BB590000}"/>
    <cellStyle name="0_Planned qty_January'09 5 6 4 3 2" xfId="22986" xr:uid="{00000000-0005-0000-0000-0000BC590000}"/>
    <cellStyle name="0_Planned qty_January'09 5 6 4 4" xfId="22987" xr:uid="{00000000-0005-0000-0000-0000BD590000}"/>
    <cellStyle name="0_Planned qty_January'09 5 6 5" xfId="22988" xr:uid="{00000000-0005-0000-0000-0000BE590000}"/>
    <cellStyle name="0_Planned qty_January'09 5 6 5 2" xfId="22989" xr:uid="{00000000-0005-0000-0000-0000BF590000}"/>
    <cellStyle name="0_Planned qty_January'09 5 6 5 2 2" xfId="22990" xr:uid="{00000000-0005-0000-0000-0000C0590000}"/>
    <cellStyle name="0_Planned qty_January'09 5 6 5 3" xfId="22991" xr:uid="{00000000-0005-0000-0000-0000C1590000}"/>
    <cellStyle name="0_Planned qty_January'09 5 6 5 3 2" xfId="22992" xr:uid="{00000000-0005-0000-0000-0000C2590000}"/>
    <cellStyle name="0_Planned qty_January'09 5 6 5 4" xfId="22993" xr:uid="{00000000-0005-0000-0000-0000C3590000}"/>
    <cellStyle name="0_Planned qty_January'09 5 6 6" xfId="22994" xr:uid="{00000000-0005-0000-0000-0000C4590000}"/>
    <cellStyle name="0_Planned qty_January'09 5 6 6 2" xfId="22995" xr:uid="{00000000-0005-0000-0000-0000C5590000}"/>
    <cellStyle name="0_Planned qty_January'09 5 6 7" xfId="22996" xr:uid="{00000000-0005-0000-0000-0000C6590000}"/>
    <cellStyle name="0_Planned qty_January'09 5 6 7 2" xfId="22997" xr:uid="{00000000-0005-0000-0000-0000C7590000}"/>
    <cellStyle name="0_Planned qty_January'09 5 6 8" xfId="22998" xr:uid="{00000000-0005-0000-0000-0000C8590000}"/>
    <cellStyle name="0_Planned qty_January'09 5 7" xfId="22999" xr:uid="{00000000-0005-0000-0000-0000C9590000}"/>
    <cellStyle name="0_Planned qty_January'09 5 7 2" xfId="23000" xr:uid="{00000000-0005-0000-0000-0000CA590000}"/>
    <cellStyle name="0_Planned qty_January'09 5 7 2 2" xfId="23001" xr:uid="{00000000-0005-0000-0000-0000CB590000}"/>
    <cellStyle name="0_Planned qty_January'09 5 7 2 2 2" xfId="23002" xr:uid="{00000000-0005-0000-0000-0000CC590000}"/>
    <cellStyle name="0_Planned qty_January'09 5 7 2 3" xfId="23003" xr:uid="{00000000-0005-0000-0000-0000CD590000}"/>
    <cellStyle name="0_Planned qty_January'09 5 7 2 3 2" xfId="23004" xr:uid="{00000000-0005-0000-0000-0000CE590000}"/>
    <cellStyle name="0_Planned qty_January'09 5 7 2 4" xfId="23005" xr:uid="{00000000-0005-0000-0000-0000CF590000}"/>
    <cellStyle name="0_Planned qty_January'09 5 7 3" xfId="23006" xr:uid="{00000000-0005-0000-0000-0000D0590000}"/>
    <cellStyle name="0_Planned qty_January'09 5 7 3 2" xfId="23007" xr:uid="{00000000-0005-0000-0000-0000D1590000}"/>
    <cellStyle name="0_Planned qty_January'09 5 7 3 2 2" xfId="23008" xr:uid="{00000000-0005-0000-0000-0000D2590000}"/>
    <cellStyle name="0_Planned qty_January'09 5 7 3 3" xfId="23009" xr:uid="{00000000-0005-0000-0000-0000D3590000}"/>
    <cellStyle name="0_Planned qty_January'09 5 7 3 3 2" xfId="23010" xr:uid="{00000000-0005-0000-0000-0000D4590000}"/>
    <cellStyle name="0_Planned qty_January'09 5 7 3 4" xfId="23011" xr:uid="{00000000-0005-0000-0000-0000D5590000}"/>
    <cellStyle name="0_Planned qty_January'09 5 7 4" xfId="23012" xr:uid="{00000000-0005-0000-0000-0000D6590000}"/>
    <cellStyle name="0_Planned qty_January'09 5 7 4 2" xfId="23013" xr:uid="{00000000-0005-0000-0000-0000D7590000}"/>
    <cellStyle name="0_Planned qty_January'09 5 7 5" xfId="23014" xr:uid="{00000000-0005-0000-0000-0000D8590000}"/>
    <cellStyle name="0_Planned qty_January'09 5 7 5 2" xfId="23015" xr:uid="{00000000-0005-0000-0000-0000D9590000}"/>
    <cellStyle name="0_Planned qty_January'09 5 7 6" xfId="23016" xr:uid="{00000000-0005-0000-0000-0000DA590000}"/>
    <cellStyle name="0_Planned qty_January'09 5 8" xfId="23017" xr:uid="{00000000-0005-0000-0000-0000DB590000}"/>
    <cellStyle name="0_Planned qty_January'09 5 8 2" xfId="23018" xr:uid="{00000000-0005-0000-0000-0000DC590000}"/>
    <cellStyle name="0_Planned qty_January'09 5 8 2 2" xfId="23019" xr:uid="{00000000-0005-0000-0000-0000DD590000}"/>
    <cellStyle name="0_Planned qty_January'09 5 8 3" xfId="23020" xr:uid="{00000000-0005-0000-0000-0000DE590000}"/>
    <cellStyle name="0_Planned qty_January'09 5 8 3 2" xfId="23021" xr:uid="{00000000-0005-0000-0000-0000DF590000}"/>
    <cellStyle name="0_Planned qty_January'09 5 8 4" xfId="23022" xr:uid="{00000000-0005-0000-0000-0000E0590000}"/>
    <cellStyle name="0_Planned qty_January'09 5 9" xfId="23023" xr:uid="{00000000-0005-0000-0000-0000E1590000}"/>
    <cellStyle name="0_Planned qty_January'09 5 9 2" xfId="23024" xr:uid="{00000000-0005-0000-0000-0000E2590000}"/>
    <cellStyle name="0_Planned qty_January'09 5 9 2 2" xfId="23025" xr:uid="{00000000-0005-0000-0000-0000E3590000}"/>
    <cellStyle name="0_Planned qty_January'09 5 9 3" xfId="23026" xr:uid="{00000000-0005-0000-0000-0000E4590000}"/>
    <cellStyle name="0_Planned qty_January'09 5 9 3 2" xfId="23027" xr:uid="{00000000-0005-0000-0000-0000E5590000}"/>
    <cellStyle name="0_Planned qty_January'09 5 9 4" xfId="23028" xr:uid="{00000000-0005-0000-0000-0000E6590000}"/>
    <cellStyle name="0_Planned qty_January'09 6" xfId="23029" xr:uid="{00000000-0005-0000-0000-0000E7590000}"/>
    <cellStyle name="0_Planned qty_January'09 6 2" xfId="23030" xr:uid="{00000000-0005-0000-0000-0000E8590000}"/>
    <cellStyle name="0_Planned qty_January'09 6 2 2" xfId="23031" xr:uid="{00000000-0005-0000-0000-0000E9590000}"/>
    <cellStyle name="0_Planned qty_January'09 6 2 2 2" xfId="23032" xr:uid="{00000000-0005-0000-0000-0000EA590000}"/>
    <cellStyle name="0_Planned qty_January'09 6 2 2 2 2" xfId="23033" xr:uid="{00000000-0005-0000-0000-0000EB590000}"/>
    <cellStyle name="0_Planned qty_January'09 6 2 2 3" xfId="23034" xr:uid="{00000000-0005-0000-0000-0000EC590000}"/>
    <cellStyle name="0_Planned qty_January'09 6 2 2 3 2" xfId="23035" xr:uid="{00000000-0005-0000-0000-0000ED590000}"/>
    <cellStyle name="0_Planned qty_January'09 6 2 2 4" xfId="23036" xr:uid="{00000000-0005-0000-0000-0000EE590000}"/>
    <cellStyle name="0_Planned qty_January'09 6 2 3" xfId="23037" xr:uid="{00000000-0005-0000-0000-0000EF590000}"/>
    <cellStyle name="0_Planned qty_January'09 6 2 3 2" xfId="23038" xr:uid="{00000000-0005-0000-0000-0000F0590000}"/>
    <cellStyle name="0_Planned qty_January'09 6 2 3 2 2" xfId="23039" xr:uid="{00000000-0005-0000-0000-0000F1590000}"/>
    <cellStyle name="0_Planned qty_January'09 6 2 3 3" xfId="23040" xr:uid="{00000000-0005-0000-0000-0000F2590000}"/>
    <cellStyle name="0_Planned qty_January'09 6 2 3 3 2" xfId="23041" xr:uid="{00000000-0005-0000-0000-0000F3590000}"/>
    <cellStyle name="0_Planned qty_January'09 6 2 3 4" xfId="23042" xr:uid="{00000000-0005-0000-0000-0000F4590000}"/>
    <cellStyle name="0_Planned qty_January'09 6 2 4" xfId="23043" xr:uid="{00000000-0005-0000-0000-0000F5590000}"/>
    <cellStyle name="0_Planned qty_January'09 6 2 4 2" xfId="23044" xr:uid="{00000000-0005-0000-0000-0000F6590000}"/>
    <cellStyle name="0_Planned qty_January'09 6 2 5" xfId="23045" xr:uid="{00000000-0005-0000-0000-0000F7590000}"/>
    <cellStyle name="0_Planned qty_January'09 6 2 5 2" xfId="23046" xr:uid="{00000000-0005-0000-0000-0000F8590000}"/>
    <cellStyle name="0_Planned qty_January'09 6 2 6" xfId="23047" xr:uid="{00000000-0005-0000-0000-0000F9590000}"/>
    <cellStyle name="0_Planned qty_January'09 6 3" xfId="23048" xr:uid="{00000000-0005-0000-0000-0000FA590000}"/>
    <cellStyle name="0_Planned qty_January'09 6 3 2" xfId="23049" xr:uid="{00000000-0005-0000-0000-0000FB590000}"/>
    <cellStyle name="0_Planned qty_January'09 6 3 2 2" xfId="23050" xr:uid="{00000000-0005-0000-0000-0000FC590000}"/>
    <cellStyle name="0_Planned qty_January'09 6 3 3" xfId="23051" xr:uid="{00000000-0005-0000-0000-0000FD590000}"/>
    <cellStyle name="0_Planned qty_January'09 6 3 3 2" xfId="23052" xr:uid="{00000000-0005-0000-0000-0000FE590000}"/>
    <cellStyle name="0_Planned qty_January'09 6 3 4" xfId="23053" xr:uid="{00000000-0005-0000-0000-0000FF590000}"/>
    <cellStyle name="0_Planned qty_January'09 6 4" xfId="23054" xr:uid="{00000000-0005-0000-0000-0000005A0000}"/>
    <cellStyle name="0_Planned qty_January'09 6 4 2" xfId="23055" xr:uid="{00000000-0005-0000-0000-0000015A0000}"/>
    <cellStyle name="0_Planned qty_January'09 6 4 2 2" xfId="23056" xr:uid="{00000000-0005-0000-0000-0000025A0000}"/>
    <cellStyle name="0_Planned qty_January'09 6 4 3" xfId="23057" xr:uid="{00000000-0005-0000-0000-0000035A0000}"/>
    <cellStyle name="0_Planned qty_January'09 6 4 3 2" xfId="23058" xr:uid="{00000000-0005-0000-0000-0000045A0000}"/>
    <cellStyle name="0_Planned qty_January'09 6 4 4" xfId="23059" xr:uid="{00000000-0005-0000-0000-0000055A0000}"/>
    <cellStyle name="0_Planned qty_January'09 6 5" xfId="23060" xr:uid="{00000000-0005-0000-0000-0000065A0000}"/>
    <cellStyle name="0_Planned qty_January'09 6 5 2" xfId="23061" xr:uid="{00000000-0005-0000-0000-0000075A0000}"/>
    <cellStyle name="0_Planned qty_January'09 6 5 2 2" xfId="23062" xr:uid="{00000000-0005-0000-0000-0000085A0000}"/>
    <cellStyle name="0_Planned qty_January'09 6 5 3" xfId="23063" xr:uid="{00000000-0005-0000-0000-0000095A0000}"/>
    <cellStyle name="0_Planned qty_January'09 6 5 3 2" xfId="23064" xr:uid="{00000000-0005-0000-0000-00000A5A0000}"/>
    <cellStyle name="0_Planned qty_January'09 6 5 4" xfId="23065" xr:uid="{00000000-0005-0000-0000-00000B5A0000}"/>
    <cellStyle name="0_Planned qty_January'09 6 6" xfId="23066" xr:uid="{00000000-0005-0000-0000-00000C5A0000}"/>
    <cellStyle name="0_Planned qty_January'09 6 6 2" xfId="23067" xr:uid="{00000000-0005-0000-0000-00000D5A0000}"/>
    <cellStyle name="0_Planned qty_January'09 6 7" xfId="23068" xr:uid="{00000000-0005-0000-0000-00000E5A0000}"/>
    <cellStyle name="0_Planned qty_January'09 6 7 2" xfId="23069" xr:uid="{00000000-0005-0000-0000-00000F5A0000}"/>
    <cellStyle name="0_Planned qty_January'09 6 8" xfId="23070" xr:uid="{00000000-0005-0000-0000-0000105A0000}"/>
    <cellStyle name="0_Planned qty_January'09 7" xfId="23071" xr:uid="{00000000-0005-0000-0000-0000115A0000}"/>
    <cellStyle name="0_Planned qty_January'09 7 2" xfId="23072" xr:uid="{00000000-0005-0000-0000-0000125A0000}"/>
    <cellStyle name="0_Planned qty_January'09 7 2 2" xfId="23073" xr:uid="{00000000-0005-0000-0000-0000135A0000}"/>
    <cellStyle name="0_Planned qty_January'09 7 2 2 2" xfId="23074" xr:uid="{00000000-0005-0000-0000-0000145A0000}"/>
    <cellStyle name="0_Planned qty_January'09 7 2 3" xfId="23075" xr:uid="{00000000-0005-0000-0000-0000155A0000}"/>
    <cellStyle name="0_Planned qty_January'09 7 2 3 2" xfId="23076" xr:uid="{00000000-0005-0000-0000-0000165A0000}"/>
    <cellStyle name="0_Planned qty_January'09 7 2 4" xfId="23077" xr:uid="{00000000-0005-0000-0000-0000175A0000}"/>
    <cellStyle name="0_Planned qty_January'09 7 3" xfId="23078" xr:uid="{00000000-0005-0000-0000-0000185A0000}"/>
    <cellStyle name="0_Planned qty_January'09 7 3 2" xfId="23079" xr:uid="{00000000-0005-0000-0000-0000195A0000}"/>
    <cellStyle name="0_Planned qty_January'09 7 3 2 2" xfId="23080" xr:uid="{00000000-0005-0000-0000-00001A5A0000}"/>
    <cellStyle name="0_Planned qty_January'09 7 3 3" xfId="23081" xr:uid="{00000000-0005-0000-0000-00001B5A0000}"/>
    <cellStyle name="0_Planned qty_January'09 7 3 3 2" xfId="23082" xr:uid="{00000000-0005-0000-0000-00001C5A0000}"/>
    <cellStyle name="0_Planned qty_January'09 7 3 4" xfId="23083" xr:uid="{00000000-0005-0000-0000-00001D5A0000}"/>
    <cellStyle name="0_Planned qty_January'09 7 4" xfId="23084" xr:uid="{00000000-0005-0000-0000-00001E5A0000}"/>
    <cellStyle name="0_Planned qty_January'09 7 4 2" xfId="23085" xr:uid="{00000000-0005-0000-0000-00001F5A0000}"/>
    <cellStyle name="0_Planned qty_January'09 7 5" xfId="23086" xr:uid="{00000000-0005-0000-0000-0000205A0000}"/>
    <cellStyle name="0_Planned qty_January'09 7 5 2" xfId="23087" xr:uid="{00000000-0005-0000-0000-0000215A0000}"/>
    <cellStyle name="0_Planned qty_January'09 7 6" xfId="23088" xr:uid="{00000000-0005-0000-0000-0000225A0000}"/>
    <cellStyle name="0_Planned qty_January'09 8" xfId="23089" xr:uid="{00000000-0005-0000-0000-0000235A0000}"/>
    <cellStyle name="0_Planned qty_January'09 8 2" xfId="23090" xr:uid="{00000000-0005-0000-0000-0000245A0000}"/>
    <cellStyle name="0_Planned qty_January'09 8 2 2" xfId="23091" xr:uid="{00000000-0005-0000-0000-0000255A0000}"/>
    <cellStyle name="0_Planned qty_January'09 8 2 2 2" xfId="23092" xr:uid="{00000000-0005-0000-0000-0000265A0000}"/>
    <cellStyle name="0_Planned qty_January'09 8 2 3" xfId="23093" xr:uid="{00000000-0005-0000-0000-0000275A0000}"/>
    <cellStyle name="0_Planned qty_January'09 8 2 3 2" xfId="23094" xr:uid="{00000000-0005-0000-0000-0000285A0000}"/>
    <cellStyle name="0_Planned qty_January'09 8 2 4" xfId="23095" xr:uid="{00000000-0005-0000-0000-0000295A0000}"/>
    <cellStyle name="0_Planned qty_January'09 8 3" xfId="23096" xr:uid="{00000000-0005-0000-0000-00002A5A0000}"/>
    <cellStyle name="0_Planned qty_January'09 8 3 2" xfId="23097" xr:uid="{00000000-0005-0000-0000-00002B5A0000}"/>
    <cellStyle name="0_Planned qty_January'09 8 3 2 2" xfId="23098" xr:uid="{00000000-0005-0000-0000-00002C5A0000}"/>
    <cellStyle name="0_Planned qty_January'09 8 3 3" xfId="23099" xr:uid="{00000000-0005-0000-0000-00002D5A0000}"/>
    <cellStyle name="0_Planned qty_January'09 8 3 3 2" xfId="23100" xr:uid="{00000000-0005-0000-0000-00002E5A0000}"/>
    <cellStyle name="0_Planned qty_January'09 8 3 4" xfId="23101" xr:uid="{00000000-0005-0000-0000-00002F5A0000}"/>
    <cellStyle name="0_Planned qty_January'09 8 4" xfId="23102" xr:uid="{00000000-0005-0000-0000-0000305A0000}"/>
    <cellStyle name="0_Planned qty_January'09 8 4 2" xfId="23103" xr:uid="{00000000-0005-0000-0000-0000315A0000}"/>
    <cellStyle name="0_Planned qty_January'09 8 5" xfId="23104" xr:uid="{00000000-0005-0000-0000-0000325A0000}"/>
    <cellStyle name="0_Planned qty_January'09 8 5 2" xfId="23105" xr:uid="{00000000-0005-0000-0000-0000335A0000}"/>
    <cellStyle name="0_Planned qty_January'09 8 6" xfId="23106" xr:uid="{00000000-0005-0000-0000-0000345A0000}"/>
    <cellStyle name="0_Planned qty_January'09 9" xfId="23107" xr:uid="{00000000-0005-0000-0000-0000355A0000}"/>
    <cellStyle name="0_Planned qty_January'09 9 2" xfId="23108" xr:uid="{00000000-0005-0000-0000-0000365A0000}"/>
    <cellStyle name="0_Planned qty_January'09 9 2 2" xfId="23109" xr:uid="{00000000-0005-0000-0000-0000375A0000}"/>
    <cellStyle name="0_Planned qty_January'09 9 3" xfId="23110" xr:uid="{00000000-0005-0000-0000-0000385A0000}"/>
    <cellStyle name="0_Planned qty_January'09 9 3 2" xfId="23111" xr:uid="{00000000-0005-0000-0000-0000395A0000}"/>
    <cellStyle name="0_Planned qty_January'09 9 4" xfId="23112" xr:uid="{00000000-0005-0000-0000-00003A5A0000}"/>
    <cellStyle name="0_Planned qty_January'09 9 5" xfId="23113" xr:uid="{00000000-0005-0000-0000-00003B5A0000}"/>
    <cellStyle name="0_PLANNING  DOC 6111 REV 1" xfId="23114" xr:uid="{00000000-0005-0000-0000-00003C5A0000}"/>
    <cellStyle name="0_PLANNING  DOC 6111 REV 1 10" xfId="23115" xr:uid="{00000000-0005-0000-0000-00003D5A0000}"/>
    <cellStyle name="0_PLANNING  DOC 6111 REV 1 10 2" xfId="23116" xr:uid="{00000000-0005-0000-0000-00003E5A0000}"/>
    <cellStyle name="0_PLANNING  DOC 6111 REV 1 10 2 2" xfId="23117" xr:uid="{00000000-0005-0000-0000-00003F5A0000}"/>
    <cellStyle name="0_PLANNING  DOC 6111 REV 1 10 3" xfId="23118" xr:uid="{00000000-0005-0000-0000-0000405A0000}"/>
    <cellStyle name="0_PLANNING  DOC 6111 REV 1 10 3 2" xfId="23119" xr:uid="{00000000-0005-0000-0000-0000415A0000}"/>
    <cellStyle name="0_PLANNING  DOC 6111 REV 1 10 4" xfId="23120" xr:uid="{00000000-0005-0000-0000-0000425A0000}"/>
    <cellStyle name="0_PLANNING  DOC 6111 REV 1 10 5" xfId="23121" xr:uid="{00000000-0005-0000-0000-0000435A0000}"/>
    <cellStyle name="0_PLANNING  DOC 6111 REV 1 11" xfId="23122" xr:uid="{00000000-0005-0000-0000-0000445A0000}"/>
    <cellStyle name="0_PLANNING  DOC 6111 REV 1 11 2" xfId="23123" xr:uid="{00000000-0005-0000-0000-0000455A0000}"/>
    <cellStyle name="0_PLANNING  DOC 6111 REV 1 11 3" xfId="23124" xr:uid="{00000000-0005-0000-0000-0000465A0000}"/>
    <cellStyle name="0_PLANNING  DOC 6111 REV 1 11 4" xfId="23125" xr:uid="{00000000-0005-0000-0000-0000475A0000}"/>
    <cellStyle name="0_PLANNING  DOC 6111 REV 1 11 5" xfId="23126" xr:uid="{00000000-0005-0000-0000-0000485A0000}"/>
    <cellStyle name="0_PLANNING  DOC 6111 REV 1 12" xfId="23127" xr:uid="{00000000-0005-0000-0000-0000495A0000}"/>
    <cellStyle name="0_PLANNING  DOC 6111 REV 1 12 2" xfId="23128" xr:uid="{00000000-0005-0000-0000-00004A5A0000}"/>
    <cellStyle name="0_PLANNING  DOC 6111 REV 1 13" xfId="23129" xr:uid="{00000000-0005-0000-0000-00004B5A0000}"/>
    <cellStyle name="0_PLANNING  DOC 6111 REV 1 13 2" xfId="23130" xr:uid="{00000000-0005-0000-0000-00004C5A0000}"/>
    <cellStyle name="0_PLANNING  DOC 6111 REV 1 14" xfId="23131" xr:uid="{00000000-0005-0000-0000-00004D5A0000}"/>
    <cellStyle name="0_PLANNING  DOC 6111 REV 1 15" xfId="23132" xr:uid="{00000000-0005-0000-0000-00004E5A0000}"/>
    <cellStyle name="0_PLANNING  DOC 6111 REV 1 16" xfId="23133" xr:uid="{00000000-0005-0000-0000-00004F5A0000}"/>
    <cellStyle name="0_PLANNING  DOC 6111 REV 1 17" xfId="23134" xr:uid="{00000000-0005-0000-0000-0000505A0000}"/>
    <cellStyle name="0_PLANNING  DOC 6111 REV 1 18" xfId="23135" xr:uid="{00000000-0005-0000-0000-0000515A0000}"/>
    <cellStyle name="0_PLANNING  DOC 6111 REV 1 19" xfId="23136" xr:uid="{00000000-0005-0000-0000-0000525A0000}"/>
    <cellStyle name="0_PLANNING  DOC 6111 REV 1 2" xfId="23137" xr:uid="{00000000-0005-0000-0000-0000535A0000}"/>
    <cellStyle name="0_PLANNING  DOC 6111 REV 1 2 10" xfId="23138" xr:uid="{00000000-0005-0000-0000-0000545A0000}"/>
    <cellStyle name="0_PLANNING  DOC 6111 REV 1 2 10 2" xfId="23139" xr:uid="{00000000-0005-0000-0000-0000555A0000}"/>
    <cellStyle name="0_PLANNING  DOC 6111 REV 1 2 11" xfId="23140" xr:uid="{00000000-0005-0000-0000-0000565A0000}"/>
    <cellStyle name="0_PLANNING  DOC 6111 REV 1 2 11 2" xfId="23141" xr:uid="{00000000-0005-0000-0000-0000575A0000}"/>
    <cellStyle name="0_PLANNING  DOC 6111 REV 1 2 12" xfId="23142" xr:uid="{00000000-0005-0000-0000-0000585A0000}"/>
    <cellStyle name="0_PLANNING  DOC 6111 REV 1 2 13" xfId="23143" xr:uid="{00000000-0005-0000-0000-0000595A0000}"/>
    <cellStyle name="0_PLANNING  DOC 6111 REV 1 2 14" xfId="23144" xr:uid="{00000000-0005-0000-0000-00005A5A0000}"/>
    <cellStyle name="0_PLANNING  DOC 6111 REV 1 2 15" xfId="23145" xr:uid="{00000000-0005-0000-0000-00005B5A0000}"/>
    <cellStyle name="0_PLANNING  DOC 6111 REV 1 2 2" xfId="23146" xr:uid="{00000000-0005-0000-0000-00005C5A0000}"/>
    <cellStyle name="0_PLANNING  DOC 6111 REV 1 2 2 2" xfId="23147" xr:uid="{00000000-0005-0000-0000-00005D5A0000}"/>
    <cellStyle name="0_PLANNING  DOC 6111 REV 1 2 2 2 2" xfId="23148" xr:uid="{00000000-0005-0000-0000-00005E5A0000}"/>
    <cellStyle name="0_PLANNING  DOC 6111 REV 1 2 2 2 2 2" xfId="23149" xr:uid="{00000000-0005-0000-0000-00005F5A0000}"/>
    <cellStyle name="0_PLANNING  DOC 6111 REV 1 2 2 2 2 2 2" xfId="23150" xr:uid="{00000000-0005-0000-0000-0000605A0000}"/>
    <cellStyle name="0_PLANNING  DOC 6111 REV 1 2 2 2 2 3" xfId="23151" xr:uid="{00000000-0005-0000-0000-0000615A0000}"/>
    <cellStyle name="0_PLANNING  DOC 6111 REV 1 2 2 2 2 3 2" xfId="23152" xr:uid="{00000000-0005-0000-0000-0000625A0000}"/>
    <cellStyle name="0_PLANNING  DOC 6111 REV 1 2 2 2 2 4" xfId="23153" xr:uid="{00000000-0005-0000-0000-0000635A0000}"/>
    <cellStyle name="0_PLANNING  DOC 6111 REV 1 2 2 2 3" xfId="23154" xr:uid="{00000000-0005-0000-0000-0000645A0000}"/>
    <cellStyle name="0_PLANNING  DOC 6111 REV 1 2 2 2 3 2" xfId="23155" xr:uid="{00000000-0005-0000-0000-0000655A0000}"/>
    <cellStyle name="0_PLANNING  DOC 6111 REV 1 2 2 2 3 2 2" xfId="23156" xr:uid="{00000000-0005-0000-0000-0000665A0000}"/>
    <cellStyle name="0_PLANNING  DOC 6111 REV 1 2 2 2 3 3" xfId="23157" xr:uid="{00000000-0005-0000-0000-0000675A0000}"/>
    <cellStyle name="0_PLANNING  DOC 6111 REV 1 2 2 2 3 3 2" xfId="23158" xr:uid="{00000000-0005-0000-0000-0000685A0000}"/>
    <cellStyle name="0_PLANNING  DOC 6111 REV 1 2 2 2 3 4" xfId="23159" xr:uid="{00000000-0005-0000-0000-0000695A0000}"/>
    <cellStyle name="0_PLANNING  DOC 6111 REV 1 2 2 2 4" xfId="23160" xr:uid="{00000000-0005-0000-0000-00006A5A0000}"/>
    <cellStyle name="0_PLANNING  DOC 6111 REV 1 2 2 2 4 2" xfId="23161" xr:uid="{00000000-0005-0000-0000-00006B5A0000}"/>
    <cellStyle name="0_PLANNING  DOC 6111 REV 1 2 2 2 5" xfId="23162" xr:uid="{00000000-0005-0000-0000-00006C5A0000}"/>
    <cellStyle name="0_PLANNING  DOC 6111 REV 1 2 2 2 5 2" xfId="23163" xr:uid="{00000000-0005-0000-0000-00006D5A0000}"/>
    <cellStyle name="0_PLANNING  DOC 6111 REV 1 2 2 2 6" xfId="23164" xr:uid="{00000000-0005-0000-0000-00006E5A0000}"/>
    <cellStyle name="0_PLANNING  DOC 6111 REV 1 2 2 3" xfId="23165" xr:uid="{00000000-0005-0000-0000-00006F5A0000}"/>
    <cellStyle name="0_PLANNING  DOC 6111 REV 1 2 2 3 2" xfId="23166" xr:uid="{00000000-0005-0000-0000-0000705A0000}"/>
    <cellStyle name="0_PLANNING  DOC 6111 REV 1 2 2 3 2 2" xfId="23167" xr:uid="{00000000-0005-0000-0000-0000715A0000}"/>
    <cellStyle name="0_PLANNING  DOC 6111 REV 1 2 2 3 3" xfId="23168" xr:uid="{00000000-0005-0000-0000-0000725A0000}"/>
    <cellStyle name="0_PLANNING  DOC 6111 REV 1 2 2 3 3 2" xfId="23169" xr:uid="{00000000-0005-0000-0000-0000735A0000}"/>
    <cellStyle name="0_PLANNING  DOC 6111 REV 1 2 2 3 4" xfId="23170" xr:uid="{00000000-0005-0000-0000-0000745A0000}"/>
    <cellStyle name="0_PLANNING  DOC 6111 REV 1 2 2 4" xfId="23171" xr:uid="{00000000-0005-0000-0000-0000755A0000}"/>
    <cellStyle name="0_PLANNING  DOC 6111 REV 1 2 2 4 2" xfId="23172" xr:uid="{00000000-0005-0000-0000-0000765A0000}"/>
    <cellStyle name="0_PLANNING  DOC 6111 REV 1 2 2 4 2 2" xfId="23173" xr:uid="{00000000-0005-0000-0000-0000775A0000}"/>
    <cellStyle name="0_PLANNING  DOC 6111 REV 1 2 2 4 3" xfId="23174" xr:uid="{00000000-0005-0000-0000-0000785A0000}"/>
    <cellStyle name="0_PLANNING  DOC 6111 REV 1 2 2 4 3 2" xfId="23175" xr:uid="{00000000-0005-0000-0000-0000795A0000}"/>
    <cellStyle name="0_PLANNING  DOC 6111 REV 1 2 2 4 4" xfId="23176" xr:uid="{00000000-0005-0000-0000-00007A5A0000}"/>
    <cellStyle name="0_PLANNING  DOC 6111 REV 1 2 2 5" xfId="23177" xr:uid="{00000000-0005-0000-0000-00007B5A0000}"/>
    <cellStyle name="0_PLANNING  DOC 6111 REV 1 2 2 5 2" xfId="23178" xr:uid="{00000000-0005-0000-0000-00007C5A0000}"/>
    <cellStyle name="0_PLANNING  DOC 6111 REV 1 2 2 5 2 2" xfId="23179" xr:uid="{00000000-0005-0000-0000-00007D5A0000}"/>
    <cellStyle name="0_PLANNING  DOC 6111 REV 1 2 2 5 3" xfId="23180" xr:uid="{00000000-0005-0000-0000-00007E5A0000}"/>
    <cellStyle name="0_PLANNING  DOC 6111 REV 1 2 2 5 3 2" xfId="23181" xr:uid="{00000000-0005-0000-0000-00007F5A0000}"/>
    <cellStyle name="0_PLANNING  DOC 6111 REV 1 2 2 5 4" xfId="23182" xr:uid="{00000000-0005-0000-0000-0000805A0000}"/>
    <cellStyle name="0_PLANNING  DOC 6111 REV 1 2 2 6" xfId="23183" xr:uid="{00000000-0005-0000-0000-0000815A0000}"/>
    <cellStyle name="0_PLANNING  DOC 6111 REV 1 2 2 6 2" xfId="23184" xr:uid="{00000000-0005-0000-0000-0000825A0000}"/>
    <cellStyle name="0_PLANNING  DOC 6111 REV 1 2 2 7" xfId="23185" xr:uid="{00000000-0005-0000-0000-0000835A0000}"/>
    <cellStyle name="0_PLANNING  DOC 6111 REV 1 2 2 7 2" xfId="23186" xr:uid="{00000000-0005-0000-0000-0000845A0000}"/>
    <cellStyle name="0_PLANNING  DOC 6111 REV 1 2 2 8" xfId="23187" xr:uid="{00000000-0005-0000-0000-0000855A0000}"/>
    <cellStyle name="0_PLANNING  DOC 6111 REV 1 2 3" xfId="23188" xr:uid="{00000000-0005-0000-0000-0000865A0000}"/>
    <cellStyle name="0_PLANNING  DOC 6111 REV 1 2 3 2" xfId="23189" xr:uid="{00000000-0005-0000-0000-0000875A0000}"/>
    <cellStyle name="0_PLANNING  DOC 6111 REV 1 2 3 2 2" xfId="23190" xr:uid="{00000000-0005-0000-0000-0000885A0000}"/>
    <cellStyle name="0_PLANNING  DOC 6111 REV 1 2 3 2 2 2" xfId="23191" xr:uid="{00000000-0005-0000-0000-0000895A0000}"/>
    <cellStyle name="0_PLANNING  DOC 6111 REV 1 2 3 2 2 2 2" xfId="23192" xr:uid="{00000000-0005-0000-0000-00008A5A0000}"/>
    <cellStyle name="0_PLANNING  DOC 6111 REV 1 2 3 2 2 3" xfId="23193" xr:uid="{00000000-0005-0000-0000-00008B5A0000}"/>
    <cellStyle name="0_PLANNING  DOC 6111 REV 1 2 3 2 2 3 2" xfId="23194" xr:uid="{00000000-0005-0000-0000-00008C5A0000}"/>
    <cellStyle name="0_PLANNING  DOC 6111 REV 1 2 3 2 2 4" xfId="23195" xr:uid="{00000000-0005-0000-0000-00008D5A0000}"/>
    <cellStyle name="0_PLANNING  DOC 6111 REV 1 2 3 2 3" xfId="23196" xr:uid="{00000000-0005-0000-0000-00008E5A0000}"/>
    <cellStyle name="0_PLANNING  DOC 6111 REV 1 2 3 2 3 2" xfId="23197" xr:uid="{00000000-0005-0000-0000-00008F5A0000}"/>
    <cellStyle name="0_PLANNING  DOC 6111 REV 1 2 3 2 3 2 2" xfId="23198" xr:uid="{00000000-0005-0000-0000-0000905A0000}"/>
    <cellStyle name="0_PLANNING  DOC 6111 REV 1 2 3 2 3 3" xfId="23199" xr:uid="{00000000-0005-0000-0000-0000915A0000}"/>
    <cellStyle name="0_PLANNING  DOC 6111 REV 1 2 3 2 3 3 2" xfId="23200" xr:uid="{00000000-0005-0000-0000-0000925A0000}"/>
    <cellStyle name="0_PLANNING  DOC 6111 REV 1 2 3 2 3 4" xfId="23201" xr:uid="{00000000-0005-0000-0000-0000935A0000}"/>
    <cellStyle name="0_PLANNING  DOC 6111 REV 1 2 3 2 4" xfId="23202" xr:uid="{00000000-0005-0000-0000-0000945A0000}"/>
    <cellStyle name="0_PLANNING  DOC 6111 REV 1 2 3 2 4 2" xfId="23203" xr:uid="{00000000-0005-0000-0000-0000955A0000}"/>
    <cellStyle name="0_PLANNING  DOC 6111 REV 1 2 3 2 5" xfId="23204" xr:uid="{00000000-0005-0000-0000-0000965A0000}"/>
    <cellStyle name="0_PLANNING  DOC 6111 REV 1 2 3 2 5 2" xfId="23205" xr:uid="{00000000-0005-0000-0000-0000975A0000}"/>
    <cellStyle name="0_PLANNING  DOC 6111 REV 1 2 3 2 6" xfId="23206" xr:uid="{00000000-0005-0000-0000-0000985A0000}"/>
    <cellStyle name="0_PLANNING  DOC 6111 REV 1 2 3 3" xfId="23207" xr:uid="{00000000-0005-0000-0000-0000995A0000}"/>
    <cellStyle name="0_PLANNING  DOC 6111 REV 1 2 3 3 2" xfId="23208" xr:uid="{00000000-0005-0000-0000-00009A5A0000}"/>
    <cellStyle name="0_PLANNING  DOC 6111 REV 1 2 3 3 2 2" xfId="23209" xr:uid="{00000000-0005-0000-0000-00009B5A0000}"/>
    <cellStyle name="0_PLANNING  DOC 6111 REV 1 2 3 3 3" xfId="23210" xr:uid="{00000000-0005-0000-0000-00009C5A0000}"/>
    <cellStyle name="0_PLANNING  DOC 6111 REV 1 2 3 3 3 2" xfId="23211" xr:uid="{00000000-0005-0000-0000-00009D5A0000}"/>
    <cellStyle name="0_PLANNING  DOC 6111 REV 1 2 3 3 4" xfId="23212" xr:uid="{00000000-0005-0000-0000-00009E5A0000}"/>
    <cellStyle name="0_PLANNING  DOC 6111 REV 1 2 3 4" xfId="23213" xr:uid="{00000000-0005-0000-0000-00009F5A0000}"/>
    <cellStyle name="0_PLANNING  DOC 6111 REV 1 2 3 4 2" xfId="23214" xr:uid="{00000000-0005-0000-0000-0000A05A0000}"/>
    <cellStyle name="0_PLANNING  DOC 6111 REV 1 2 3 4 2 2" xfId="23215" xr:uid="{00000000-0005-0000-0000-0000A15A0000}"/>
    <cellStyle name="0_PLANNING  DOC 6111 REV 1 2 3 4 3" xfId="23216" xr:uid="{00000000-0005-0000-0000-0000A25A0000}"/>
    <cellStyle name="0_PLANNING  DOC 6111 REV 1 2 3 4 3 2" xfId="23217" xr:uid="{00000000-0005-0000-0000-0000A35A0000}"/>
    <cellStyle name="0_PLANNING  DOC 6111 REV 1 2 3 4 4" xfId="23218" xr:uid="{00000000-0005-0000-0000-0000A45A0000}"/>
    <cellStyle name="0_PLANNING  DOC 6111 REV 1 2 3 5" xfId="23219" xr:uid="{00000000-0005-0000-0000-0000A55A0000}"/>
    <cellStyle name="0_PLANNING  DOC 6111 REV 1 2 3 5 2" xfId="23220" xr:uid="{00000000-0005-0000-0000-0000A65A0000}"/>
    <cellStyle name="0_PLANNING  DOC 6111 REV 1 2 3 5 2 2" xfId="23221" xr:uid="{00000000-0005-0000-0000-0000A75A0000}"/>
    <cellStyle name="0_PLANNING  DOC 6111 REV 1 2 3 5 3" xfId="23222" xr:uid="{00000000-0005-0000-0000-0000A85A0000}"/>
    <cellStyle name="0_PLANNING  DOC 6111 REV 1 2 3 5 3 2" xfId="23223" xr:uid="{00000000-0005-0000-0000-0000A95A0000}"/>
    <cellStyle name="0_PLANNING  DOC 6111 REV 1 2 3 5 4" xfId="23224" xr:uid="{00000000-0005-0000-0000-0000AA5A0000}"/>
    <cellStyle name="0_PLANNING  DOC 6111 REV 1 2 3 6" xfId="23225" xr:uid="{00000000-0005-0000-0000-0000AB5A0000}"/>
    <cellStyle name="0_PLANNING  DOC 6111 REV 1 2 3 6 2" xfId="23226" xr:uid="{00000000-0005-0000-0000-0000AC5A0000}"/>
    <cellStyle name="0_PLANNING  DOC 6111 REV 1 2 3 7" xfId="23227" xr:uid="{00000000-0005-0000-0000-0000AD5A0000}"/>
    <cellStyle name="0_PLANNING  DOC 6111 REV 1 2 3 7 2" xfId="23228" xr:uid="{00000000-0005-0000-0000-0000AE5A0000}"/>
    <cellStyle name="0_PLANNING  DOC 6111 REV 1 2 3 8" xfId="23229" xr:uid="{00000000-0005-0000-0000-0000AF5A0000}"/>
    <cellStyle name="0_PLANNING  DOC 6111 REV 1 2 4" xfId="23230" xr:uid="{00000000-0005-0000-0000-0000B05A0000}"/>
    <cellStyle name="0_PLANNING  DOC 6111 REV 1 2 4 2" xfId="23231" xr:uid="{00000000-0005-0000-0000-0000B15A0000}"/>
    <cellStyle name="0_PLANNING  DOC 6111 REV 1 2 4 2 2" xfId="23232" xr:uid="{00000000-0005-0000-0000-0000B25A0000}"/>
    <cellStyle name="0_PLANNING  DOC 6111 REV 1 2 4 2 2 2" xfId="23233" xr:uid="{00000000-0005-0000-0000-0000B35A0000}"/>
    <cellStyle name="0_PLANNING  DOC 6111 REV 1 2 4 2 2 2 2" xfId="23234" xr:uid="{00000000-0005-0000-0000-0000B45A0000}"/>
    <cellStyle name="0_PLANNING  DOC 6111 REV 1 2 4 2 2 3" xfId="23235" xr:uid="{00000000-0005-0000-0000-0000B55A0000}"/>
    <cellStyle name="0_PLANNING  DOC 6111 REV 1 2 4 2 2 3 2" xfId="23236" xr:uid="{00000000-0005-0000-0000-0000B65A0000}"/>
    <cellStyle name="0_PLANNING  DOC 6111 REV 1 2 4 2 2 4" xfId="23237" xr:uid="{00000000-0005-0000-0000-0000B75A0000}"/>
    <cellStyle name="0_PLANNING  DOC 6111 REV 1 2 4 2 3" xfId="23238" xr:uid="{00000000-0005-0000-0000-0000B85A0000}"/>
    <cellStyle name="0_PLANNING  DOC 6111 REV 1 2 4 2 3 2" xfId="23239" xr:uid="{00000000-0005-0000-0000-0000B95A0000}"/>
    <cellStyle name="0_PLANNING  DOC 6111 REV 1 2 4 2 3 2 2" xfId="23240" xr:uid="{00000000-0005-0000-0000-0000BA5A0000}"/>
    <cellStyle name="0_PLANNING  DOC 6111 REV 1 2 4 2 3 3" xfId="23241" xr:uid="{00000000-0005-0000-0000-0000BB5A0000}"/>
    <cellStyle name="0_PLANNING  DOC 6111 REV 1 2 4 2 3 3 2" xfId="23242" xr:uid="{00000000-0005-0000-0000-0000BC5A0000}"/>
    <cellStyle name="0_PLANNING  DOC 6111 REV 1 2 4 2 3 4" xfId="23243" xr:uid="{00000000-0005-0000-0000-0000BD5A0000}"/>
    <cellStyle name="0_PLANNING  DOC 6111 REV 1 2 4 2 4" xfId="23244" xr:uid="{00000000-0005-0000-0000-0000BE5A0000}"/>
    <cellStyle name="0_PLANNING  DOC 6111 REV 1 2 4 2 4 2" xfId="23245" xr:uid="{00000000-0005-0000-0000-0000BF5A0000}"/>
    <cellStyle name="0_PLANNING  DOC 6111 REV 1 2 4 2 5" xfId="23246" xr:uid="{00000000-0005-0000-0000-0000C05A0000}"/>
    <cellStyle name="0_PLANNING  DOC 6111 REV 1 2 4 2 5 2" xfId="23247" xr:uid="{00000000-0005-0000-0000-0000C15A0000}"/>
    <cellStyle name="0_PLANNING  DOC 6111 REV 1 2 4 2 6" xfId="23248" xr:uid="{00000000-0005-0000-0000-0000C25A0000}"/>
    <cellStyle name="0_PLANNING  DOC 6111 REV 1 2 4 3" xfId="23249" xr:uid="{00000000-0005-0000-0000-0000C35A0000}"/>
    <cellStyle name="0_PLANNING  DOC 6111 REV 1 2 4 3 2" xfId="23250" xr:uid="{00000000-0005-0000-0000-0000C45A0000}"/>
    <cellStyle name="0_PLANNING  DOC 6111 REV 1 2 4 3 2 2" xfId="23251" xr:uid="{00000000-0005-0000-0000-0000C55A0000}"/>
    <cellStyle name="0_PLANNING  DOC 6111 REV 1 2 4 3 3" xfId="23252" xr:uid="{00000000-0005-0000-0000-0000C65A0000}"/>
    <cellStyle name="0_PLANNING  DOC 6111 REV 1 2 4 3 3 2" xfId="23253" xr:uid="{00000000-0005-0000-0000-0000C75A0000}"/>
    <cellStyle name="0_PLANNING  DOC 6111 REV 1 2 4 3 4" xfId="23254" xr:uid="{00000000-0005-0000-0000-0000C85A0000}"/>
    <cellStyle name="0_PLANNING  DOC 6111 REV 1 2 4 4" xfId="23255" xr:uid="{00000000-0005-0000-0000-0000C95A0000}"/>
    <cellStyle name="0_PLANNING  DOC 6111 REV 1 2 4 4 2" xfId="23256" xr:uid="{00000000-0005-0000-0000-0000CA5A0000}"/>
    <cellStyle name="0_PLANNING  DOC 6111 REV 1 2 4 4 2 2" xfId="23257" xr:uid="{00000000-0005-0000-0000-0000CB5A0000}"/>
    <cellStyle name="0_PLANNING  DOC 6111 REV 1 2 4 4 3" xfId="23258" xr:uid="{00000000-0005-0000-0000-0000CC5A0000}"/>
    <cellStyle name="0_PLANNING  DOC 6111 REV 1 2 4 4 3 2" xfId="23259" xr:uid="{00000000-0005-0000-0000-0000CD5A0000}"/>
    <cellStyle name="0_PLANNING  DOC 6111 REV 1 2 4 4 4" xfId="23260" xr:uid="{00000000-0005-0000-0000-0000CE5A0000}"/>
    <cellStyle name="0_PLANNING  DOC 6111 REV 1 2 4 5" xfId="23261" xr:uid="{00000000-0005-0000-0000-0000CF5A0000}"/>
    <cellStyle name="0_PLANNING  DOC 6111 REV 1 2 4 5 2" xfId="23262" xr:uid="{00000000-0005-0000-0000-0000D05A0000}"/>
    <cellStyle name="0_PLANNING  DOC 6111 REV 1 2 4 5 2 2" xfId="23263" xr:uid="{00000000-0005-0000-0000-0000D15A0000}"/>
    <cellStyle name="0_PLANNING  DOC 6111 REV 1 2 4 5 3" xfId="23264" xr:uid="{00000000-0005-0000-0000-0000D25A0000}"/>
    <cellStyle name="0_PLANNING  DOC 6111 REV 1 2 4 5 3 2" xfId="23265" xr:uid="{00000000-0005-0000-0000-0000D35A0000}"/>
    <cellStyle name="0_PLANNING  DOC 6111 REV 1 2 4 5 4" xfId="23266" xr:uid="{00000000-0005-0000-0000-0000D45A0000}"/>
    <cellStyle name="0_PLANNING  DOC 6111 REV 1 2 4 6" xfId="23267" xr:uid="{00000000-0005-0000-0000-0000D55A0000}"/>
    <cellStyle name="0_PLANNING  DOC 6111 REV 1 2 4 6 2" xfId="23268" xr:uid="{00000000-0005-0000-0000-0000D65A0000}"/>
    <cellStyle name="0_PLANNING  DOC 6111 REV 1 2 4 7" xfId="23269" xr:uid="{00000000-0005-0000-0000-0000D75A0000}"/>
    <cellStyle name="0_PLANNING  DOC 6111 REV 1 2 4 7 2" xfId="23270" xr:uid="{00000000-0005-0000-0000-0000D85A0000}"/>
    <cellStyle name="0_PLANNING  DOC 6111 REV 1 2 4 8" xfId="23271" xr:uid="{00000000-0005-0000-0000-0000D95A0000}"/>
    <cellStyle name="0_PLANNING  DOC 6111 REV 1 2 5" xfId="23272" xr:uid="{00000000-0005-0000-0000-0000DA5A0000}"/>
    <cellStyle name="0_PLANNING  DOC 6111 REV 1 2 5 2" xfId="23273" xr:uid="{00000000-0005-0000-0000-0000DB5A0000}"/>
    <cellStyle name="0_PLANNING  DOC 6111 REV 1 2 5 2 2" xfId="23274" xr:uid="{00000000-0005-0000-0000-0000DC5A0000}"/>
    <cellStyle name="0_PLANNING  DOC 6111 REV 1 2 5 2 2 2" xfId="23275" xr:uid="{00000000-0005-0000-0000-0000DD5A0000}"/>
    <cellStyle name="0_PLANNING  DOC 6111 REV 1 2 5 2 2 2 2" xfId="23276" xr:uid="{00000000-0005-0000-0000-0000DE5A0000}"/>
    <cellStyle name="0_PLANNING  DOC 6111 REV 1 2 5 2 2 3" xfId="23277" xr:uid="{00000000-0005-0000-0000-0000DF5A0000}"/>
    <cellStyle name="0_PLANNING  DOC 6111 REV 1 2 5 2 2 3 2" xfId="23278" xr:uid="{00000000-0005-0000-0000-0000E05A0000}"/>
    <cellStyle name="0_PLANNING  DOC 6111 REV 1 2 5 2 2 4" xfId="23279" xr:uid="{00000000-0005-0000-0000-0000E15A0000}"/>
    <cellStyle name="0_PLANNING  DOC 6111 REV 1 2 5 2 3" xfId="23280" xr:uid="{00000000-0005-0000-0000-0000E25A0000}"/>
    <cellStyle name="0_PLANNING  DOC 6111 REV 1 2 5 2 3 2" xfId="23281" xr:uid="{00000000-0005-0000-0000-0000E35A0000}"/>
    <cellStyle name="0_PLANNING  DOC 6111 REV 1 2 5 2 3 2 2" xfId="23282" xr:uid="{00000000-0005-0000-0000-0000E45A0000}"/>
    <cellStyle name="0_PLANNING  DOC 6111 REV 1 2 5 2 3 3" xfId="23283" xr:uid="{00000000-0005-0000-0000-0000E55A0000}"/>
    <cellStyle name="0_PLANNING  DOC 6111 REV 1 2 5 2 3 3 2" xfId="23284" xr:uid="{00000000-0005-0000-0000-0000E65A0000}"/>
    <cellStyle name="0_PLANNING  DOC 6111 REV 1 2 5 2 3 4" xfId="23285" xr:uid="{00000000-0005-0000-0000-0000E75A0000}"/>
    <cellStyle name="0_PLANNING  DOC 6111 REV 1 2 5 2 4" xfId="23286" xr:uid="{00000000-0005-0000-0000-0000E85A0000}"/>
    <cellStyle name="0_PLANNING  DOC 6111 REV 1 2 5 2 4 2" xfId="23287" xr:uid="{00000000-0005-0000-0000-0000E95A0000}"/>
    <cellStyle name="0_PLANNING  DOC 6111 REV 1 2 5 2 5" xfId="23288" xr:uid="{00000000-0005-0000-0000-0000EA5A0000}"/>
    <cellStyle name="0_PLANNING  DOC 6111 REV 1 2 5 2 5 2" xfId="23289" xr:uid="{00000000-0005-0000-0000-0000EB5A0000}"/>
    <cellStyle name="0_PLANNING  DOC 6111 REV 1 2 5 2 6" xfId="23290" xr:uid="{00000000-0005-0000-0000-0000EC5A0000}"/>
    <cellStyle name="0_PLANNING  DOC 6111 REV 1 2 5 3" xfId="23291" xr:uid="{00000000-0005-0000-0000-0000ED5A0000}"/>
    <cellStyle name="0_PLANNING  DOC 6111 REV 1 2 5 3 2" xfId="23292" xr:uid="{00000000-0005-0000-0000-0000EE5A0000}"/>
    <cellStyle name="0_PLANNING  DOC 6111 REV 1 2 5 3 2 2" xfId="23293" xr:uid="{00000000-0005-0000-0000-0000EF5A0000}"/>
    <cellStyle name="0_PLANNING  DOC 6111 REV 1 2 5 3 3" xfId="23294" xr:uid="{00000000-0005-0000-0000-0000F05A0000}"/>
    <cellStyle name="0_PLANNING  DOC 6111 REV 1 2 5 3 3 2" xfId="23295" xr:uid="{00000000-0005-0000-0000-0000F15A0000}"/>
    <cellStyle name="0_PLANNING  DOC 6111 REV 1 2 5 3 4" xfId="23296" xr:uid="{00000000-0005-0000-0000-0000F25A0000}"/>
    <cellStyle name="0_PLANNING  DOC 6111 REV 1 2 5 4" xfId="23297" xr:uid="{00000000-0005-0000-0000-0000F35A0000}"/>
    <cellStyle name="0_PLANNING  DOC 6111 REV 1 2 5 4 2" xfId="23298" xr:uid="{00000000-0005-0000-0000-0000F45A0000}"/>
    <cellStyle name="0_PLANNING  DOC 6111 REV 1 2 5 4 2 2" xfId="23299" xr:uid="{00000000-0005-0000-0000-0000F55A0000}"/>
    <cellStyle name="0_PLANNING  DOC 6111 REV 1 2 5 4 3" xfId="23300" xr:uid="{00000000-0005-0000-0000-0000F65A0000}"/>
    <cellStyle name="0_PLANNING  DOC 6111 REV 1 2 5 4 3 2" xfId="23301" xr:uid="{00000000-0005-0000-0000-0000F75A0000}"/>
    <cellStyle name="0_PLANNING  DOC 6111 REV 1 2 5 4 4" xfId="23302" xr:uid="{00000000-0005-0000-0000-0000F85A0000}"/>
    <cellStyle name="0_PLANNING  DOC 6111 REV 1 2 5 5" xfId="23303" xr:uid="{00000000-0005-0000-0000-0000F95A0000}"/>
    <cellStyle name="0_PLANNING  DOC 6111 REV 1 2 5 5 2" xfId="23304" xr:uid="{00000000-0005-0000-0000-0000FA5A0000}"/>
    <cellStyle name="0_PLANNING  DOC 6111 REV 1 2 5 5 2 2" xfId="23305" xr:uid="{00000000-0005-0000-0000-0000FB5A0000}"/>
    <cellStyle name="0_PLANNING  DOC 6111 REV 1 2 5 5 3" xfId="23306" xr:uid="{00000000-0005-0000-0000-0000FC5A0000}"/>
    <cellStyle name="0_PLANNING  DOC 6111 REV 1 2 5 5 3 2" xfId="23307" xr:uid="{00000000-0005-0000-0000-0000FD5A0000}"/>
    <cellStyle name="0_PLANNING  DOC 6111 REV 1 2 5 5 4" xfId="23308" xr:uid="{00000000-0005-0000-0000-0000FE5A0000}"/>
    <cellStyle name="0_PLANNING  DOC 6111 REV 1 2 5 6" xfId="23309" xr:uid="{00000000-0005-0000-0000-0000FF5A0000}"/>
    <cellStyle name="0_PLANNING  DOC 6111 REV 1 2 5 6 2" xfId="23310" xr:uid="{00000000-0005-0000-0000-0000005B0000}"/>
    <cellStyle name="0_PLANNING  DOC 6111 REV 1 2 5 7" xfId="23311" xr:uid="{00000000-0005-0000-0000-0000015B0000}"/>
    <cellStyle name="0_PLANNING  DOC 6111 REV 1 2 5 7 2" xfId="23312" xr:uid="{00000000-0005-0000-0000-0000025B0000}"/>
    <cellStyle name="0_PLANNING  DOC 6111 REV 1 2 5 8" xfId="23313" xr:uid="{00000000-0005-0000-0000-0000035B0000}"/>
    <cellStyle name="0_PLANNING  DOC 6111 REV 1 2 6" xfId="23314" xr:uid="{00000000-0005-0000-0000-0000045B0000}"/>
    <cellStyle name="0_PLANNING  DOC 6111 REV 1 2 6 2" xfId="23315" xr:uid="{00000000-0005-0000-0000-0000055B0000}"/>
    <cellStyle name="0_PLANNING  DOC 6111 REV 1 2 6 2 2" xfId="23316" xr:uid="{00000000-0005-0000-0000-0000065B0000}"/>
    <cellStyle name="0_PLANNING  DOC 6111 REV 1 2 6 2 2 2" xfId="23317" xr:uid="{00000000-0005-0000-0000-0000075B0000}"/>
    <cellStyle name="0_PLANNING  DOC 6111 REV 1 2 6 2 2 2 2" xfId="23318" xr:uid="{00000000-0005-0000-0000-0000085B0000}"/>
    <cellStyle name="0_PLANNING  DOC 6111 REV 1 2 6 2 2 3" xfId="23319" xr:uid="{00000000-0005-0000-0000-0000095B0000}"/>
    <cellStyle name="0_PLANNING  DOC 6111 REV 1 2 6 2 2 3 2" xfId="23320" xr:uid="{00000000-0005-0000-0000-00000A5B0000}"/>
    <cellStyle name="0_PLANNING  DOC 6111 REV 1 2 6 2 2 4" xfId="23321" xr:uid="{00000000-0005-0000-0000-00000B5B0000}"/>
    <cellStyle name="0_PLANNING  DOC 6111 REV 1 2 6 2 3" xfId="23322" xr:uid="{00000000-0005-0000-0000-00000C5B0000}"/>
    <cellStyle name="0_PLANNING  DOC 6111 REV 1 2 6 2 3 2" xfId="23323" xr:uid="{00000000-0005-0000-0000-00000D5B0000}"/>
    <cellStyle name="0_PLANNING  DOC 6111 REV 1 2 6 2 3 2 2" xfId="23324" xr:uid="{00000000-0005-0000-0000-00000E5B0000}"/>
    <cellStyle name="0_PLANNING  DOC 6111 REV 1 2 6 2 3 3" xfId="23325" xr:uid="{00000000-0005-0000-0000-00000F5B0000}"/>
    <cellStyle name="0_PLANNING  DOC 6111 REV 1 2 6 2 3 3 2" xfId="23326" xr:uid="{00000000-0005-0000-0000-0000105B0000}"/>
    <cellStyle name="0_PLANNING  DOC 6111 REV 1 2 6 2 3 4" xfId="23327" xr:uid="{00000000-0005-0000-0000-0000115B0000}"/>
    <cellStyle name="0_PLANNING  DOC 6111 REV 1 2 6 2 4" xfId="23328" xr:uid="{00000000-0005-0000-0000-0000125B0000}"/>
    <cellStyle name="0_PLANNING  DOC 6111 REV 1 2 6 2 4 2" xfId="23329" xr:uid="{00000000-0005-0000-0000-0000135B0000}"/>
    <cellStyle name="0_PLANNING  DOC 6111 REV 1 2 6 2 5" xfId="23330" xr:uid="{00000000-0005-0000-0000-0000145B0000}"/>
    <cellStyle name="0_PLANNING  DOC 6111 REV 1 2 6 2 5 2" xfId="23331" xr:uid="{00000000-0005-0000-0000-0000155B0000}"/>
    <cellStyle name="0_PLANNING  DOC 6111 REV 1 2 6 2 6" xfId="23332" xr:uid="{00000000-0005-0000-0000-0000165B0000}"/>
    <cellStyle name="0_PLANNING  DOC 6111 REV 1 2 6 3" xfId="23333" xr:uid="{00000000-0005-0000-0000-0000175B0000}"/>
    <cellStyle name="0_PLANNING  DOC 6111 REV 1 2 6 3 2" xfId="23334" xr:uid="{00000000-0005-0000-0000-0000185B0000}"/>
    <cellStyle name="0_PLANNING  DOC 6111 REV 1 2 6 3 2 2" xfId="23335" xr:uid="{00000000-0005-0000-0000-0000195B0000}"/>
    <cellStyle name="0_PLANNING  DOC 6111 REV 1 2 6 3 3" xfId="23336" xr:uid="{00000000-0005-0000-0000-00001A5B0000}"/>
    <cellStyle name="0_PLANNING  DOC 6111 REV 1 2 6 3 3 2" xfId="23337" xr:uid="{00000000-0005-0000-0000-00001B5B0000}"/>
    <cellStyle name="0_PLANNING  DOC 6111 REV 1 2 6 3 4" xfId="23338" xr:uid="{00000000-0005-0000-0000-00001C5B0000}"/>
    <cellStyle name="0_PLANNING  DOC 6111 REV 1 2 6 4" xfId="23339" xr:uid="{00000000-0005-0000-0000-00001D5B0000}"/>
    <cellStyle name="0_PLANNING  DOC 6111 REV 1 2 6 4 2" xfId="23340" xr:uid="{00000000-0005-0000-0000-00001E5B0000}"/>
    <cellStyle name="0_PLANNING  DOC 6111 REV 1 2 6 4 2 2" xfId="23341" xr:uid="{00000000-0005-0000-0000-00001F5B0000}"/>
    <cellStyle name="0_PLANNING  DOC 6111 REV 1 2 6 4 3" xfId="23342" xr:uid="{00000000-0005-0000-0000-0000205B0000}"/>
    <cellStyle name="0_PLANNING  DOC 6111 REV 1 2 6 4 3 2" xfId="23343" xr:uid="{00000000-0005-0000-0000-0000215B0000}"/>
    <cellStyle name="0_PLANNING  DOC 6111 REV 1 2 6 4 4" xfId="23344" xr:uid="{00000000-0005-0000-0000-0000225B0000}"/>
    <cellStyle name="0_PLANNING  DOC 6111 REV 1 2 6 5" xfId="23345" xr:uid="{00000000-0005-0000-0000-0000235B0000}"/>
    <cellStyle name="0_PLANNING  DOC 6111 REV 1 2 6 5 2" xfId="23346" xr:uid="{00000000-0005-0000-0000-0000245B0000}"/>
    <cellStyle name="0_PLANNING  DOC 6111 REV 1 2 6 5 2 2" xfId="23347" xr:uid="{00000000-0005-0000-0000-0000255B0000}"/>
    <cellStyle name="0_PLANNING  DOC 6111 REV 1 2 6 5 3" xfId="23348" xr:uid="{00000000-0005-0000-0000-0000265B0000}"/>
    <cellStyle name="0_PLANNING  DOC 6111 REV 1 2 6 5 3 2" xfId="23349" xr:uid="{00000000-0005-0000-0000-0000275B0000}"/>
    <cellStyle name="0_PLANNING  DOC 6111 REV 1 2 6 5 4" xfId="23350" xr:uid="{00000000-0005-0000-0000-0000285B0000}"/>
    <cellStyle name="0_PLANNING  DOC 6111 REV 1 2 6 6" xfId="23351" xr:uid="{00000000-0005-0000-0000-0000295B0000}"/>
    <cellStyle name="0_PLANNING  DOC 6111 REV 1 2 6 6 2" xfId="23352" xr:uid="{00000000-0005-0000-0000-00002A5B0000}"/>
    <cellStyle name="0_PLANNING  DOC 6111 REV 1 2 6 7" xfId="23353" xr:uid="{00000000-0005-0000-0000-00002B5B0000}"/>
    <cellStyle name="0_PLANNING  DOC 6111 REV 1 2 6 7 2" xfId="23354" xr:uid="{00000000-0005-0000-0000-00002C5B0000}"/>
    <cellStyle name="0_PLANNING  DOC 6111 REV 1 2 6 8" xfId="23355" xr:uid="{00000000-0005-0000-0000-00002D5B0000}"/>
    <cellStyle name="0_PLANNING  DOC 6111 REV 1 2 7" xfId="23356" xr:uid="{00000000-0005-0000-0000-00002E5B0000}"/>
    <cellStyle name="0_PLANNING  DOC 6111 REV 1 2 7 2" xfId="23357" xr:uid="{00000000-0005-0000-0000-00002F5B0000}"/>
    <cellStyle name="0_PLANNING  DOC 6111 REV 1 2 7 2 2" xfId="23358" xr:uid="{00000000-0005-0000-0000-0000305B0000}"/>
    <cellStyle name="0_PLANNING  DOC 6111 REV 1 2 7 2 2 2" xfId="23359" xr:uid="{00000000-0005-0000-0000-0000315B0000}"/>
    <cellStyle name="0_PLANNING  DOC 6111 REV 1 2 7 2 3" xfId="23360" xr:uid="{00000000-0005-0000-0000-0000325B0000}"/>
    <cellStyle name="0_PLANNING  DOC 6111 REV 1 2 7 2 3 2" xfId="23361" xr:uid="{00000000-0005-0000-0000-0000335B0000}"/>
    <cellStyle name="0_PLANNING  DOC 6111 REV 1 2 7 2 4" xfId="23362" xr:uid="{00000000-0005-0000-0000-0000345B0000}"/>
    <cellStyle name="0_PLANNING  DOC 6111 REV 1 2 7 3" xfId="23363" xr:uid="{00000000-0005-0000-0000-0000355B0000}"/>
    <cellStyle name="0_PLANNING  DOC 6111 REV 1 2 7 3 2" xfId="23364" xr:uid="{00000000-0005-0000-0000-0000365B0000}"/>
    <cellStyle name="0_PLANNING  DOC 6111 REV 1 2 7 3 2 2" xfId="23365" xr:uid="{00000000-0005-0000-0000-0000375B0000}"/>
    <cellStyle name="0_PLANNING  DOC 6111 REV 1 2 7 3 3" xfId="23366" xr:uid="{00000000-0005-0000-0000-0000385B0000}"/>
    <cellStyle name="0_PLANNING  DOC 6111 REV 1 2 7 3 3 2" xfId="23367" xr:uid="{00000000-0005-0000-0000-0000395B0000}"/>
    <cellStyle name="0_PLANNING  DOC 6111 REV 1 2 7 3 4" xfId="23368" xr:uid="{00000000-0005-0000-0000-00003A5B0000}"/>
    <cellStyle name="0_PLANNING  DOC 6111 REV 1 2 7 4" xfId="23369" xr:uid="{00000000-0005-0000-0000-00003B5B0000}"/>
    <cellStyle name="0_PLANNING  DOC 6111 REV 1 2 7 4 2" xfId="23370" xr:uid="{00000000-0005-0000-0000-00003C5B0000}"/>
    <cellStyle name="0_PLANNING  DOC 6111 REV 1 2 7 5" xfId="23371" xr:uid="{00000000-0005-0000-0000-00003D5B0000}"/>
    <cellStyle name="0_PLANNING  DOC 6111 REV 1 2 7 5 2" xfId="23372" xr:uid="{00000000-0005-0000-0000-00003E5B0000}"/>
    <cellStyle name="0_PLANNING  DOC 6111 REV 1 2 7 6" xfId="23373" xr:uid="{00000000-0005-0000-0000-00003F5B0000}"/>
    <cellStyle name="0_PLANNING  DOC 6111 REV 1 2 8" xfId="23374" xr:uid="{00000000-0005-0000-0000-0000405B0000}"/>
    <cellStyle name="0_PLANNING  DOC 6111 REV 1 2 8 2" xfId="23375" xr:uid="{00000000-0005-0000-0000-0000415B0000}"/>
    <cellStyle name="0_PLANNING  DOC 6111 REV 1 2 8 2 2" xfId="23376" xr:uid="{00000000-0005-0000-0000-0000425B0000}"/>
    <cellStyle name="0_PLANNING  DOC 6111 REV 1 2 8 3" xfId="23377" xr:uid="{00000000-0005-0000-0000-0000435B0000}"/>
    <cellStyle name="0_PLANNING  DOC 6111 REV 1 2 8 3 2" xfId="23378" xr:uid="{00000000-0005-0000-0000-0000445B0000}"/>
    <cellStyle name="0_PLANNING  DOC 6111 REV 1 2 8 4" xfId="23379" xr:uid="{00000000-0005-0000-0000-0000455B0000}"/>
    <cellStyle name="0_PLANNING  DOC 6111 REV 1 2 9" xfId="23380" xr:uid="{00000000-0005-0000-0000-0000465B0000}"/>
    <cellStyle name="0_PLANNING  DOC 6111 REV 1 2 9 2" xfId="23381" xr:uid="{00000000-0005-0000-0000-0000475B0000}"/>
    <cellStyle name="0_PLANNING  DOC 6111 REV 1 2 9 2 2" xfId="23382" xr:uid="{00000000-0005-0000-0000-0000485B0000}"/>
    <cellStyle name="0_PLANNING  DOC 6111 REV 1 2 9 3" xfId="23383" xr:uid="{00000000-0005-0000-0000-0000495B0000}"/>
    <cellStyle name="0_PLANNING  DOC 6111 REV 1 2 9 3 2" xfId="23384" xr:uid="{00000000-0005-0000-0000-00004A5B0000}"/>
    <cellStyle name="0_PLANNING  DOC 6111 REV 1 2 9 4" xfId="23385" xr:uid="{00000000-0005-0000-0000-00004B5B0000}"/>
    <cellStyle name="0_PLANNING  DOC 6111 REV 1 20" xfId="23386" xr:uid="{00000000-0005-0000-0000-00004C5B0000}"/>
    <cellStyle name="0_PLANNING  DOC 6111 REV 1 21" xfId="23387" xr:uid="{00000000-0005-0000-0000-00004D5B0000}"/>
    <cellStyle name="0_PLANNING  DOC 6111 REV 1 3" xfId="23388" xr:uid="{00000000-0005-0000-0000-00004E5B0000}"/>
    <cellStyle name="0_PLANNING  DOC 6111 REV 1 3 10" xfId="23389" xr:uid="{00000000-0005-0000-0000-00004F5B0000}"/>
    <cellStyle name="0_PLANNING  DOC 6111 REV 1 3 10 2" xfId="23390" xr:uid="{00000000-0005-0000-0000-0000505B0000}"/>
    <cellStyle name="0_PLANNING  DOC 6111 REV 1 3 10 2 2" xfId="23391" xr:uid="{00000000-0005-0000-0000-0000515B0000}"/>
    <cellStyle name="0_PLANNING  DOC 6111 REV 1 3 10 3" xfId="23392" xr:uid="{00000000-0005-0000-0000-0000525B0000}"/>
    <cellStyle name="0_PLANNING  DOC 6111 REV 1 3 10 3 2" xfId="23393" xr:uid="{00000000-0005-0000-0000-0000535B0000}"/>
    <cellStyle name="0_PLANNING  DOC 6111 REV 1 3 10 4" xfId="23394" xr:uid="{00000000-0005-0000-0000-0000545B0000}"/>
    <cellStyle name="0_PLANNING  DOC 6111 REV 1 3 11" xfId="23395" xr:uid="{00000000-0005-0000-0000-0000555B0000}"/>
    <cellStyle name="0_PLANNING  DOC 6111 REV 1 3 11 2" xfId="23396" xr:uid="{00000000-0005-0000-0000-0000565B0000}"/>
    <cellStyle name="0_PLANNING  DOC 6111 REV 1 3 12" xfId="23397" xr:uid="{00000000-0005-0000-0000-0000575B0000}"/>
    <cellStyle name="0_PLANNING  DOC 6111 REV 1 3 12 2" xfId="23398" xr:uid="{00000000-0005-0000-0000-0000585B0000}"/>
    <cellStyle name="0_PLANNING  DOC 6111 REV 1 3 13" xfId="23399" xr:uid="{00000000-0005-0000-0000-0000595B0000}"/>
    <cellStyle name="0_PLANNING  DOC 6111 REV 1 3 2" xfId="23400" xr:uid="{00000000-0005-0000-0000-00005A5B0000}"/>
    <cellStyle name="0_PLANNING  DOC 6111 REV 1 3 2 2" xfId="23401" xr:uid="{00000000-0005-0000-0000-00005B5B0000}"/>
    <cellStyle name="0_PLANNING  DOC 6111 REV 1 3 2 2 2" xfId="23402" xr:uid="{00000000-0005-0000-0000-00005C5B0000}"/>
    <cellStyle name="0_PLANNING  DOC 6111 REV 1 3 2 2 2 2" xfId="23403" xr:uid="{00000000-0005-0000-0000-00005D5B0000}"/>
    <cellStyle name="0_PLANNING  DOC 6111 REV 1 3 2 2 2 2 2" xfId="23404" xr:uid="{00000000-0005-0000-0000-00005E5B0000}"/>
    <cellStyle name="0_PLANNING  DOC 6111 REV 1 3 2 2 2 3" xfId="23405" xr:uid="{00000000-0005-0000-0000-00005F5B0000}"/>
    <cellStyle name="0_PLANNING  DOC 6111 REV 1 3 2 2 2 3 2" xfId="23406" xr:uid="{00000000-0005-0000-0000-0000605B0000}"/>
    <cellStyle name="0_PLANNING  DOC 6111 REV 1 3 2 2 2 4" xfId="23407" xr:uid="{00000000-0005-0000-0000-0000615B0000}"/>
    <cellStyle name="0_PLANNING  DOC 6111 REV 1 3 2 2 3" xfId="23408" xr:uid="{00000000-0005-0000-0000-0000625B0000}"/>
    <cellStyle name="0_PLANNING  DOC 6111 REV 1 3 2 2 3 2" xfId="23409" xr:uid="{00000000-0005-0000-0000-0000635B0000}"/>
    <cellStyle name="0_PLANNING  DOC 6111 REV 1 3 2 2 3 2 2" xfId="23410" xr:uid="{00000000-0005-0000-0000-0000645B0000}"/>
    <cellStyle name="0_PLANNING  DOC 6111 REV 1 3 2 2 3 3" xfId="23411" xr:uid="{00000000-0005-0000-0000-0000655B0000}"/>
    <cellStyle name="0_PLANNING  DOC 6111 REV 1 3 2 2 3 3 2" xfId="23412" xr:uid="{00000000-0005-0000-0000-0000665B0000}"/>
    <cellStyle name="0_PLANNING  DOC 6111 REV 1 3 2 2 3 4" xfId="23413" xr:uid="{00000000-0005-0000-0000-0000675B0000}"/>
    <cellStyle name="0_PLANNING  DOC 6111 REV 1 3 2 2 4" xfId="23414" xr:uid="{00000000-0005-0000-0000-0000685B0000}"/>
    <cellStyle name="0_PLANNING  DOC 6111 REV 1 3 2 2 4 2" xfId="23415" xr:uid="{00000000-0005-0000-0000-0000695B0000}"/>
    <cellStyle name="0_PLANNING  DOC 6111 REV 1 3 2 2 5" xfId="23416" xr:uid="{00000000-0005-0000-0000-00006A5B0000}"/>
    <cellStyle name="0_PLANNING  DOC 6111 REV 1 3 2 2 5 2" xfId="23417" xr:uid="{00000000-0005-0000-0000-00006B5B0000}"/>
    <cellStyle name="0_PLANNING  DOC 6111 REV 1 3 2 2 6" xfId="23418" xr:uid="{00000000-0005-0000-0000-00006C5B0000}"/>
    <cellStyle name="0_PLANNING  DOC 6111 REV 1 3 2 3" xfId="23419" xr:uid="{00000000-0005-0000-0000-00006D5B0000}"/>
    <cellStyle name="0_PLANNING  DOC 6111 REV 1 3 2 3 2" xfId="23420" xr:uid="{00000000-0005-0000-0000-00006E5B0000}"/>
    <cellStyle name="0_PLANNING  DOC 6111 REV 1 3 2 3 2 2" xfId="23421" xr:uid="{00000000-0005-0000-0000-00006F5B0000}"/>
    <cellStyle name="0_PLANNING  DOC 6111 REV 1 3 2 3 3" xfId="23422" xr:uid="{00000000-0005-0000-0000-0000705B0000}"/>
    <cellStyle name="0_PLANNING  DOC 6111 REV 1 3 2 3 3 2" xfId="23423" xr:uid="{00000000-0005-0000-0000-0000715B0000}"/>
    <cellStyle name="0_PLANNING  DOC 6111 REV 1 3 2 3 4" xfId="23424" xr:uid="{00000000-0005-0000-0000-0000725B0000}"/>
    <cellStyle name="0_PLANNING  DOC 6111 REV 1 3 2 4" xfId="23425" xr:uid="{00000000-0005-0000-0000-0000735B0000}"/>
    <cellStyle name="0_PLANNING  DOC 6111 REV 1 3 2 4 2" xfId="23426" xr:uid="{00000000-0005-0000-0000-0000745B0000}"/>
    <cellStyle name="0_PLANNING  DOC 6111 REV 1 3 2 4 2 2" xfId="23427" xr:uid="{00000000-0005-0000-0000-0000755B0000}"/>
    <cellStyle name="0_PLANNING  DOC 6111 REV 1 3 2 4 3" xfId="23428" xr:uid="{00000000-0005-0000-0000-0000765B0000}"/>
    <cellStyle name="0_PLANNING  DOC 6111 REV 1 3 2 4 3 2" xfId="23429" xr:uid="{00000000-0005-0000-0000-0000775B0000}"/>
    <cellStyle name="0_PLANNING  DOC 6111 REV 1 3 2 4 4" xfId="23430" xr:uid="{00000000-0005-0000-0000-0000785B0000}"/>
    <cellStyle name="0_PLANNING  DOC 6111 REV 1 3 2 5" xfId="23431" xr:uid="{00000000-0005-0000-0000-0000795B0000}"/>
    <cellStyle name="0_PLANNING  DOC 6111 REV 1 3 2 5 2" xfId="23432" xr:uid="{00000000-0005-0000-0000-00007A5B0000}"/>
    <cellStyle name="0_PLANNING  DOC 6111 REV 1 3 2 5 2 2" xfId="23433" xr:uid="{00000000-0005-0000-0000-00007B5B0000}"/>
    <cellStyle name="0_PLANNING  DOC 6111 REV 1 3 2 5 3" xfId="23434" xr:uid="{00000000-0005-0000-0000-00007C5B0000}"/>
    <cellStyle name="0_PLANNING  DOC 6111 REV 1 3 2 5 3 2" xfId="23435" xr:uid="{00000000-0005-0000-0000-00007D5B0000}"/>
    <cellStyle name="0_PLANNING  DOC 6111 REV 1 3 2 5 4" xfId="23436" xr:uid="{00000000-0005-0000-0000-00007E5B0000}"/>
    <cellStyle name="0_PLANNING  DOC 6111 REV 1 3 2 6" xfId="23437" xr:uid="{00000000-0005-0000-0000-00007F5B0000}"/>
    <cellStyle name="0_PLANNING  DOC 6111 REV 1 3 2 6 2" xfId="23438" xr:uid="{00000000-0005-0000-0000-0000805B0000}"/>
    <cellStyle name="0_PLANNING  DOC 6111 REV 1 3 2 7" xfId="23439" xr:uid="{00000000-0005-0000-0000-0000815B0000}"/>
    <cellStyle name="0_PLANNING  DOC 6111 REV 1 3 2 7 2" xfId="23440" xr:uid="{00000000-0005-0000-0000-0000825B0000}"/>
    <cellStyle name="0_PLANNING  DOC 6111 REV 1 3 2 8" xfId="23441" xr:uid="{00000000-0005-0000-0000-0000835B0000}"/>
    <cellStyle name="0_PLANNING  DOC 6111 REV 1 3 3" xfId="23442" xr:uid="{00000000-0005-0000-0000-0000845B0000}"/>
    <cellStyle name="0_PLANNING  DOC 6111 REV 1 3 3 2" xfId="23443" xr:uid="{00000000-0005-0000-0000-0000855B0000}"/>
    <cellStyle name="0_PLANNING  DOC 6111 REV 1 3 3 2 2" xfId="23444" xr:uid="{00000000-0005-0000-0000-0000865B0000}"/>
    <cellStyle name="0_PLANNING  DOC 6111 REV 1 3 3 2 2 2" xfId="23445" xr:uid="{00000000-0005-0000-0000-0000875B0000}"/>
    <cellStyle name="0_PLANNING  DOC 6111 REV 1 3 3 2 2 2 2" xfId="23446" xr:uid="{00000000-0005-0000-0000-0000885B0000}"/>
    <cellStyle name="0_PLANNING  DOC 6111 REV 1 3 3 2 2 3" xfId="23447" xr:uid="{00000000-0005-0000-0000-0000895B0000}"/>
    <cellStyle name="0_PLANNING  DOC 6111 REV 1 3 3 2 2 3 2" xfId="23448" xr:uid="{00000000-0005-0000-0000-00008A5B0000}"/>
    <cellStyle name="0_PLANNING  DOC 6111 REV 1 3 3 2 2 4" xfId="23449" xr:uid="{00000000-0005-0000-0000-00008B5B0000}"/>
    <cellStyle name="0_PLANNING  DOC 6111 REV 1 3 3 2 3" xfId="23450" xr:uid="{00000000-0005-0000-0000-00008C5B0000}"/>
    <cellStyle name="0_PLANNING  DOC 6111 REV 1 3 3 2 3 2" xfId="23451" xr:uid="{00000000-0005-0000-0000-00008D5B0000}"/>
    <cellStyle name="0_PLANNING  DOC 6111 REV 1 3 3 2 3 2 2" xfId="23452" xr:uid="{00000000-0005-0000-0000-00008E5B0000}"/>
    <cellStyle name="0_PLANNING  DOC 6111 REV 1 3 3 2 3 3" xfId="23453" xr:uid="{00000000-0005-0000-0000-00008F5B0000}"/>
    <cellStyle name="0_PLANNING  DOC 6111 REV 1 3 3 2 3 3 2" xfId="23454" xr:uid="{00000000-0005-0000-0000-0000905B0000}"/>
    <cellStyle name="0_PLANNING  DOC 6111 REV 1 3 3 2 3 4" xfId="23455" xr:uid="{00000000-0005-0000-0000-0000915B0000}"/>
    <cellStyle name="0_PLANNING  DOC 6111 REV 1 3 3 2 4" xfId="23456" xr:uid="{00000000-0005-0000-0000-0000925B0000}"/>
    <cellStyle name="0_PLANNING  DOC 6111 REV 1 3 3 2 4 2" xfId="23457" xr:uid="{00000000-0005-0000-0000-0000935B0000}"/>
    <cellStyle name="0_PLANNING  DOC 6111 REV 1 3 3 2 5" xfId="23458" xr:uid="{00000000-0005-0000-0000-0000945B0000}"/>
    <cellStyle name="0_PLANNING  DOC 6111 REV 1 3 3 2 5 2" xfId="23459" xr:uid="{00000000-0005-0000-0000-0000955B0000}"/>
    <cellStyle name="0_PLANNING  DOC 6111 REV 1 3 3 2 6" xfId="23460" xr:uid="{00000000-0005-0000-0000-0000965B0000}"/>
    <cellStyle name="0_PLANNING  DOC 6111 REV 1 3 3 3" xfId="23461" xr:uid="{00000000-0005-0000-0000-0000975B0000}"/>
    <cellStyle name="0_PLANNING  DOC 6111 REV 1 3 3 3 2" xfId="23462" xr:uid="{00000000-0005-0000-0000-0000985B0000}"/>
    <cellStyle name="0_PLANNING  DOC 6111 REV 1 3 3 3 2 2" xfId="23463" xr:uid="{00000000-0005-0000-0000-0000995B0000}"/>
    <cellStyle name="0_PLANNING  DOC 6111 REV 1 3 3 3 3" xfId="23464" xr:uid="{00000000-0005-0000-0000-00009A5B0000}"/>
    <cellStyle name="0_PLANNING  DOC 6111 REV 1 3 3 3 3 2" xfId="23465" xr:uid="{00000000-0005-0000-0000-00009B5B0000}"/>
    <cellStyle name="0_PLANNING  DOC 6111 REV 1 3 3 3 4" xfId="23466" xr:uid="{00000000-0005-0000-0000-00009C5B0000}"/>
    <cellStyle name="0_PLANNING  DOC 6111 REV 1 3 3 4" xfId="23467" xr:uid="{00000000-0005-0000-0000-00009D5B0000}"/>
    <cellStyle name="0_PLANNING  DOC 6111 REV 1 3 3 4 2" xfId="23468" xr:uid="{00000000-0005-0000-0000-00009E5B0000}"/>
    <cellStyle name="0_PLANNING  DOC 6111 REV 1 3 3 4 2 2" xfId="23469" xr:uid="{00000000-0005-0000-0000-00009F5B0000}"/>
    <cellStyle name="0_PLANNING  DOC 6111 REV 1 3 3 4 3" xfId="23470" xr:uid="{00000000-0005-0000-0000-0000A05B0000}"/>
    <cellStyle name="0_PLANNING  DOC 6111 REV 1 3 3 4 3 2" xfId="23471" xr:uid="{00000000-0005-0000-0000-0000A15B0000}"/>
    <cellStyle name="0_PLANNING  DOC 6111 REV 1 3 3 4 4" xfId="23472" xr:uid="{00000000-0005-0000-0000-0000A25B0000}"/>
    <cellStyle name="0_PLANNING  DOC 6111 REV 1 3 3 5" xfId="23473" xr:uid="{00000000-0005-0000-0000-0000A35B0000}"/>
    <cellStyle name="0_PLANNING  DOC 6111 REV 1 3 3 5 2" xfId="23474" xr:uid="{00000000-0005-0000-0000-0000A45B0000}"/>
    <cellStyle name="0_PLANNING  DOC 6111 REV 1 3 3 5 2 2" xfId="23475" xr:uid="{00000000-0005-0000-0000-0000A55B0000}"/>
    <cellStyle name="0_PLANNING  DOC 6111 REV 1 3 3 5 3" xfId="23476" xr:uid="{00000000-0005-0000-0000-0000A65B0000}"/>
    <cellStyle name="0_PLANNING  DOC 6111 REV 1 3 3 5 3 2" xfId="23477" xr:uid="{00000000-0005-0000-0000-0000A75B0000}"/>
    <cellStyle name="0_PLANNING  DOC 6111 REV 1 3 3 5 4" xfId="23478" xr:uid="{00000000-0005-0000-0000-0000A85B0000}"/>
    <cellStyle name="0_PLANNING  DOC 6111 REV 1 3 3 6" xfId="23479" xr:uid="{00000000-0005-0000-0000-0000A95B0000}"/>
    <cellStyle name="0_PLANNING  DOC 6111 REV 1 3 3 6 2" xfId="23480" xr:uid="{00000000-0005-0000-0000-0000AA5B0000}"/>
    <cellStyle name="0_PLANNING  DOC 6111 REV 1 3 3 7" xfId="23481" xr:uid="{00000000-0005-0000-0000-0000AB5B0000}"/>
    <cellStyle name="0_PLANNING  DOC 6111 REV 1 3 3 7 2" xfId="23482" xr:uid="{00000000-0005-0000-0000-0000AC5B0000}"/>
    <cellStyle name="0_PLANNING  DOC 6111 REV 1 3 3 8" xfId="23483" xr:uid="{00000000-0005-0000-0000-0000AD5B0000}"/>
    <cellStyle name="0_PLANNING  DOC 6111 REV 1 3 4" xfId="23484" xr:uid="{00000000-0005-0000-0000-0000AE5B0000}"/>
    <cellStyle name="0_PLANNING  DOC 6111 REV 1 3 4 2" xfId="23485" xr:uid="{00000000-0005-0000-0000-0000AF5B0000}"/>
    <cellStyle name="0_PLANNING  DOC 6111 REV 1 3 4 2 2" xfId="23486" xr:uid="{00000000-0005-0000-0000-0000B05B0000}"/>
    <cellStyle name="0_PLANNING  DOC 6111 REV 1 3 4 2 2 2" xfId="23487" xr:uid="{00000000-0005-0000-0000-0000B15B0000}"/>
    <cellStyle name="0_PLANNING  DOC 6111 REV 1 3 4 2 2 2 2" xfId="23488" xr:uid="{00000000-0005-0000-0000-0000B25B0000}"/>
    <cellStyle name="0_PLANNING  DOC 6111 REV 1 3 4 2 2 3" xfId="23489" xr:uid="{00000000-0005-0000-0000-0000B35B0000}"/>
    <cellStyle name="0_PLANNING  DOC 6111 REV 1 3 4 2 2 3 2" xfId="23490" xr:uid="{00000000-0005-0000-0000-0000B45B0000}"/>
    <cellStyle name="0_PLANNING  DOC 6111 REV 1 3 4 2 2 4" xfId="23491" xr:uid="{00000000-0005-0000-0000-0000B55B0000}"/>
    <cellStyle name="0_PLANNING  DOC 6111 REV 1 3 4 2 3" xfId="23492" xr:uid="{00000000-0005-0000-0000-0000B65B0000}"/>
    <cellStyle name="0_PLANNING  DOC 6111 REV 1 3 4 2 3 2" xfId="23493" xr:uid="{00000000-0005-0000-0000-0000B75B0000}"/>
    <cellStyle name="0_PLANNING  DOC 6111 REV 1 3 4 2 3 2 2" xfId="23494" xr:uid="{00000000-0005-0000-0000-0000B85B0000}"/>
    <cellStyle name="0_PLANNING  DOC 6111 REV 1 3 4 2 3 3" xfId="23495" xr:uid="{00000000-0005-0000-0000-0000B95B0000}"/>
    <cellStyle name="0_PLANNING  DOC 6111 REV 1 3 4 2 3 3 2" xfId="23496" xr:uid="{00000000-0005-0000-0000-0000BA5B0000}"/>
    <cellStyle name="0_PLANNING  DOC 6111 REV 1 3 4 2 3 4" xfId="23497" xr:uid="{00000000-0005-0000-0000-0000BB5B0000}"/>
    <cellStyle name="0_PLANNING  DOC 6111 REV 1 3 4 2 4" xfId="23498" xr:uid="{00000000-0005-0000-0000-0000BC5B0000}"/>
    <cellStyle name="0_PLANNING  DOC 6111 REV 1 3 4 2 4 2" xfId="23499" xr:uid="{00000000-0005-0000-0000-0000BD5B0000}"/>
    <cellStyle name="0_PLANNING  DOC 6111 REV 1 3 4 2 5" xfId="23500" xr:uid="{00000000-0005-0000-0000-0000BE5B0000}"/>
    <cellStyle name="0_PLANNING  DOC 6111 REV 1 3 4 2 5 2" xfId="23501" xr:uid="{00000000-0005-0000-0000-0000BF5B0000}"/>
    <cellStyle name="0_PLANNING  DOC 6111 REV 1 3 4 2 6" xfId="23502" xr:uid="{00000000-0005-0000-0000-0000C05B0000}"/>
    <cellStyle name="0_PLANNING  DOC 6111 REV 1 3 4 3" xfId="23503" xr:uid="{00000000-0005-0000-0000-0000C15B0000}"/>
    <cellStyle name="0_PLANNING  DOC 6111 REV 1 3 4 3 2" xfId="23504" xr:uid="{00000000-0005-0000-0000-0000C25B0000}"/>
    <cellStyle name="0_PLANNING  DOC 6111 REV 1 3 4 3 2 2" xfId="23505" xr:uid="{00000000-0005-0000-0000-0000C35B0000}"/>
    <cellStyle name="0_PLANNING  DOC 6111 REV 1 3 4 3 3" xfId="23506" xr:uid="{00000000-0005-0000-0000-0000C45B0000}"/>
    <cellStyle name="0_PLANNING  DOC 6111 REV 1 3 4 3 3 2" xfId="23507" xr:uid="{00000000-0005-0000-0000-0000C55B0000}"/>
    <cellStyle name="0_PLANNING  DOC 6111 REV 1 3 4 3 4" xfId="23508" xr:uid="{00000000-0005-0000-0000-0000C65B0000}"/>
    <cellStyle name="0_PLANNING  DOC 6111 REV 1 3 4 4" xfId="23509" xr:uid="{00000000-0005-0000-0000-0000C75B0000}"/>
    <cellStyle name="0_PLANNING  DOC 6111 REV 1 3 4 4 2" xfId="23510" xr:uid="{00000000-0005-0000-0000-0000C85B0000}"/>
    <cellStyle name="0_PLANNING  DOC 6111 REV 1 3 4 4 2 2" xfId="23511" xr:uid="{00000000-0005-0000-0000-0000C95B0000}"/>
    <cellStyle name="0_PLANNING  DOC 6111 REV 1 3 4 4 3" xfId="23512" xr:uid="{00000000-0005-0000-0000-0000CA5B0000}"/>
    <cellStyle name="0_PLANNING  DOC 6111 REV 1 3 4 4 3 2" xfId="23513" xr:uid="{00000000-0005-0000-0000-0000CB5B0000}"/>
    <cellStyle name="0_PLANNING  DOC 6111 REV 1 3 4 4 4" xfId="23514" xr:uid="{00000000-0005-0000-0000-0000CC5B0000}"/>
    <cellStyle name="0_PLANNING  DOC 6111 REV 1 3 4 5" xfId="23515" xr:uid="{00000000-0005-0000-0000-0000CD5B0000}"/>
    <cellStyle name="0_PLANNING  DOC 6111 REV 1 3 4 5 2" xfId="23516" xr:uid="{00000000-0005-0000-0000-0000CE5B0000}"/>
    <cellStyle name="0_PLANNING  DOC 6111 REV 1 3 4 5 2 2" xfId="23517" xr:uid="{00000000-0005-0000-0000-0000CF5B0000}"/>
    <cellStyle name="0_PLANNING  DOC 6111 REV 1 3 4 5 3" xfId="23518" xr:uid="{00000000-0005-0000-0000-0000D05B0000}"/>
    <cellStyle name="0_PLANNING  DOC 6111 REV 1 3 4 5 3 2" xfId="23519" xr:uid="{00000000-0005-0000-0000-0000D15B0000}"/>
    <cellStyle name="0_PLANNING  DOC 6111 REV 1 3 4 5 4" xfId="23520" xr:uid="{00000000-0005-0000-0000-0000D25B0000}"/>
    <cellStyle name="0_PLANNING  DOC 6111 REV 1 3 4 6" xfId="23521" xr:uid="{00000000-0005-0000-0000-0000D35B0000}"/>
    <cellStyle name="0_PLANNING  DOC 6111 REV 1 3 4 6 2" xfId="23522" xr:uid="{00000000-0005-0000-0000-0000D45B0000}"/>
    <cellStyle name="0_PLANNING  DOC 6111 REV 1 3 4 7" xfId="23523" xr:uid="{00000000-0005-0000-0000-0000D55B0000}"/>
    <cellStyle name="0_PLANNING  DOC 6111 REV 1 3 4 7 2" xfId="23524" xr:uid="{00000000-0005-0000-0000-0000D65B0000}"/>
    <cellStyle name="0_PLANNING  DOC 6111 REV 1 3 4 8" xfId="23525" xr:uid="{00000000-0005-0000-0000-0000D75B0000}"/>
    <cellStyle name="0_PLANNING  DOC 6111 REV 1 3 5" xfId="23526" xr:uid="{00000000-0005-0000-0000-0000D85B0000}"/>
    <cellStyle name="0_PLANNING  DOC 6111 REV 1 3 5 2" xfId="23527" xr:uid="{00000000-0005-0000-0000-0000D95B0000}"/>
    <cellStyle name="0_PLANNING  DOC 6111 REV 1 3 5 2 2" xfId="23528" xr:uid="{00000000-0005-0000-0000-0000DA5B0000}"/>
    <cellStyle name="0_PLANNING  DOC 6111 REV 1 3 5 2 2 2" xfId="23529" xr:uid="{00000000-0005-0000-0000-0000DB5B0000}"/>
    <cellStyle name="0_PLANNING  DOC 6111 REV 1 3 5 2 2 2 2" xfId="23530" xr:uid="{00000000-0005-0000-0000-0000DC5B0000}"/>
    <cellStyle name="0_PLANNING  DOC 6111 REV 1 3 5 2 2 3" xfId="23531" xr:uid="{00000000-0005-0000-0000-0000DD5B0000}"/>
    <cellStyle name="0_PLANNING  DOC 6111 REV 1 3 5 2 2 3 2" xfId="23532" xr:uid="{00000000-0005-0000-0000-0000DE5B0000}"/>
    <cellStyle name="0_PLANNING  DOC 6111 REV 1 3 5 2 2 4" xfId="23533" xr:uid="{00000000-0005-0000-0000-0000DF5B0000}"/>
    <cellStyle name="0_PLANNING  DOC 6111 REV 1 3 5 2 3" xfId="23534" xr:uid="{00000000-0005-0000-0000-0000E05B0000}"/>
    <cellStyle name="0_PLANNING  DOC 6111 REV 1 3 5 2 3 2" xfId="23535" xr:uid="{00000000-0005-0000-0000-0000E15B0000}"/>
    <cellStyle name="0_PLANNING  DOC 6111 REV 1 3 5 2 3 2 2" xfId="23536" xr:uid="{00000000-0005-0000-0000-0000E25B0000}"/>
    <cellStyle name="0_PLANNING  DOC 6111 REV 1 3 5 2 3 3" xfId="23537" xr:uid="{00000000-0005-0000-0000-0000E35B0000}"/>
    <cellStyle name="0_PLANNING  DOC 6111 REV 1 3 5 2 3 3 2" xfId="23538" xr:uid="{00000000-0005-0000-0000-0000E45B0000}"/>
    <cellStyle name="0_PLANNING  DOC 6111 REV 1 3 5 2 3 4" xfId="23539" xr:uid="{00000000-0005-0000-0000-0000E55B0000}"/>
    <cellStyle name="0_PLANNING  DOC 6111 REV 1 3 5 2 4" xfId="23540" xr:uid="{00000000-0005-0000-0000-0000E65B0000}"/>
    <cellStyle name="0_PLANNING  DOC 6111 REV 1 3 5 2 4 2" xfId="23541" xr:uid="{00000000-0005-0000-0000-0000E75B0000}"/>
    <cellStyle name="0_PLANNING  DOC 6111 REV 1 3 5 2 5" xfId="23542" xr:uid="{00000000-0005-0000-0000-0000E85B0000}"/>
    <cellStyle name="0_PLANNING  DOC 6111 REV 1 3 5 2 5 2" xfId="23543" xr:uid="{00000000-0005-0000-0000-0000E95B0000}"/>
    <cellStyle name="0_PLANNING  DOC 6111 REV 1 3 5 2 6" xfId="23544" xr:uid="{00000000-0005-0000-0000-0000EA5B0000}"/>
    <cellStyle name="0_PLANNING  DOC 6111 REV 1 3 5 3" xfId="23545" xr:uid="{00000000-0005-0000-0000-0000EB5B0000}"/>
    <cellStyle name="0_PLANNING  DOC 6111 REV 1 3 5 3 2" xfId="23546" xr:uid="{00000000-0005-0000-0000-0000EC5B0000}"/>
    <cellStyle name="0_PLANNING  DOC 6111 REV 1 3 5 3 2 2" xfId="23547" xr:uid="{00000000-0005-0000-0000-0000ED5B0000}"/>
    <cellStyle name="0_PLANNING  DOC 6111 REV 1 3 5 3 3" xfId="23548" xr:uid="{00000000-0005-0000-0000-0000EE5B0000}"/>
    <cellStyle name="0_PLANNING  DOC 6111 REV 1 3 5 3 3 2" xfId="23549" xr:uid="{00000000-0005-0000-0000-0000EF5B0000}"/>
    <cellStyle name="0_PLANNING  DOC 6111 REV 1 3 5 3 4" xfId="23550" xr:uid="{00000000-0005-0000-0000-0000F05B0000}"/>
    <cellStyle name="0_PLANNING  DOC 6111 REV 1 3 5 4" xfId="23551" xr:uid="{00000000-0005-0000-0000-0000F15B0000}"/>
    <cellStyle name="0_PLANNING  DOC 6111 REV 1 3 5 4 2" xfId="23552" xr:uid="{00000000-0005-0000-0000-0000F25B0000}"/>
    <cellStyle name="0_PLANNING  DOC 6111 REV 1 3 5 4 2 2" xfId="23553" xr:uid="{00000000-0005-0000-0000-0000F35B0000}"/>
    <cellStyle name="0_PLANNING  DOC 6111 REV 1 3 5 4 3" xfId="23554" xr:uid="{00000000-0005-0000-0000-0000F45B0000}"/>
    <cellStyle name="0_PLANNING  DOC 6111 REV 1 3 5 4 3 2" xfId="23555" xr:uid="{00000000-0005-0000-0000-0000F55B0000}"/>
    <cellStyle name="0_PLANNING  DOC 6111 REV 1 3 5 4 4" xfId="23556" xr:uid="{00000000-0005-0000-0000-0000F65B0000}"/>
    <cellStyle name="0_PLANNING  DOC 6111 REV 1 3 5 5" xfId="23557" xr:uid="{00000000-0005-0000-0000-0000F75B0000}"/>
    <cellStyle name="0_PLANNING  DOC 6111 REV 1 3 5 5 2" xfId="23558" xr:uid="{00000000-0005-0000-0000-0000F85B0000}"/>
    <cellStyle name="0_PLANNING  DOC 6111 REV 1 3 5 5 2 2" xfId="23559" xr:uid="{00000000-0005-0000-0000-0000F95B0000}"/>
    <cellStyle name="0_PLANNING  DOC 6111 REV 1 3 5 5 3" xfId="23560" xr:uid="{00000000-0005-0000-0000-0000FA5B0000}"/>
    <cellStyle name="0_PLANNING  DOC 6111 REV 1 3 5 5 3 2" xfId="23561" xr:uid="{00000000-0005-0000-0000-0000FB5B0000}"/>
    <cellStyle name="0_PLANNING  DOC 6111 REV 1 3 5 5 4" xfId="23562" xr:uid="{00000000-0005-0000-0000-0000FC5B0000}"/>
    <cellStyle name="0_PLANNING  DOC 6111 REV 1 3 5 6" xfId="23563" xr:uid="{00000000-0005-0000-0000-0000FD5B0000}"/>
    <cellStyle name="0_PLANNING  DOC 6111 REV 1 3 5 6 2" xfId="23564" xr:uid="{00000000-0005-0000-0000-0000FE5B0000}"/>
    <cellStyle name="0_PLANNING  DOC 6111 REV 1 3 5 7" xfId="23565" xr:uid="{00000000-0005-0000-0000-0000FF5B0000}"/>
    <cellStyle name="0_PLANNING  DOC 6111 REV 1 3 5 7 2" xfId="23566" xr:uid="{00000000-0005-0000-0000-0000005C0000}"/>
    <cellStyle name="0_PLANNING  DOC 6111 REV 1 3 5 8" xfId="23567" xr:uid="{00000000-0005-0000-0000-0000015C0000}"/>
    <cellStyle name="0_PLANNING  DOC 6111 REV 1 3 6" xfId="23568" xr:uid="{00000000-0005-0000-0000-0000025C0000}"/>
    <cellStyle name="0_PLANNING  DOC 6111 REV 1 3 6 2" xfId="23569" xr:uid="{00000000-0005-0000-0000-0000035C0000}"/>
    <cellStyle name="0_PLANNING  DOC 6111 REV 1 3 6 2 2" xfId="23570" xr:uid="{00000000-0005-0000-0000-0000045C0000}"/>
    <cellStyle name="0_PLANNING  DOC 6111 REV 1 3 6 2 2 2" xfId="23571" xr:uid="{00000000-0005-0000-0000-0000055C0000}"/>
    <cellStyle name="0_PLANNING  DOC 6111 REV 1 3 6 2 2 2 2" xfId="23572" xr:uid="{00000000-0005-0000-0000-0000065C0000}"/>
    <cellStyle name="0_PLANNING  DOC 6111 REV 1 3 6 2 2 3" xfId="23573" xr:uid="{00000000-0005-0000-0000-0000075C0000}"/>
    <cellStyle name="0_PLANNING  DOC 6111 REV 1 3 6 2 2 3 2" xfId="23574" xr:uid="{00000000-0005-0000-0000-0000085C0000}"/>
    <cellStyle name="0_PLANNING  DOC 6111 REV 1 3 6 2 2 4" xfId="23575" xr:uid="{00000000-0005-0000-0000-0000095C0000}"/>
    <cellStyle name="0_PLANNING  DOC 6111 REV 1 3 6 2 3" xfId="23576" xr:uid="{00000000-0005-0000-0000-00000A5C0000}"/>
    <cellStyle name="0_PLANNING  DOC 6111 REV 1 3 6 2 3 2" xfId="23577" xr:uid="{00000000-0005-0000-0000-00000B5C0000}"/>
    <cellStyle name="0_PLANNING  DOC 6111 REV 1 3 6 2 3 2 2" xfId="23578" xr:uid="{00000000-0005-0000-0000-00000C5C0000}"/>
    <cellStyle name="0_PLANNING  DOC 6111 REV 1 3 6 2 3 3" xfId="23579" xr:uid="{00000000-0005-0000-0000-00000D5C0000}"/>
    <cellStyle name="0_PLANNING  DOC 6111 REV 1 3 6 2 3 3 2" xfId="23580" xr:uid="{00000000-0005-0000-0000-00000E5C0000}"/>
    <cellStyle name="0_PLANNING  DOC 6111 REV 1 3 6 2 3 4" xfId="23581" xr:uid="{00000000-0005-0000-0000-00000F5C0000}"/>
    <cellStyle name="0_PLANNING  DOC 6111 REV 1 3 6 2 4" xfId="23582" xr:uid="{00000000-0005-0000-0000-0000105C0000}"/>
    <cellStyle name="0_PLANNING  DOC 6111 REV 1 3 6 2 4 2" xfId="23583" xr:uid="{00000000-0005-0000-0000-0000115C0000}"/>
    <cellStyle name="0_PLANNING  DOC 6111 REV 1 3 6 2 5" xfId="23584" xr:uid="{00000000-0005-0000-0000-0000125C0000}"/>
    <cellStyle name="0_PLANNING  DOC 6111 REV 1 3 6 2 5 2" xfId="23585" xr:uid="{00000000-0005-0000-0000-0000135C0000}"/>
    <cellStyle name="0_PLANNING  DOC 6111 REV 1 3 6 2 6" xfId="23586" xr:uid="{00000000-0005-0000-0000-0000145C0000}"/>
    <cellStyle name="0_PLANNING  DOC 6111 REV 1 3 6 3" xfId="23587" xr:uid="{00000000-0005-0000-0000-0000155C0000}"/>
    <cellStyle name="0_PLANNING  DOC 6111 REV 1 3 6 3 2" xfId="23588" xr:uid="{00000000-0005-0000-0000-0000165C0000}"/>
    <cellStyle name="0_PLANNING  DOC 6111 REV 1 3 6 3 2 2" xfId="23589" xr:uid="{00000000-0005-0000-0000-0000175C0000}"/>
    <cellStyle name="0_PLANNING  DOC 6111 REV 1 3 6 3 3" xfId="23590" xr:uid="{00000000-0005-0000-0000-0000185C0000}"/>
    <cellStyle name="0_PLANNING  DOC 6111 REV 1 3 6 3 3 2" xfId="23591" xr:uid="{00000000-0005-0000-0000-0000195C0000}"/>
    <cellStyle name="0_PLANNING  DOC 6111 REV 1 3 6 3 4" xfId="23592" xr:uid="{00000000-0005-0000-0000-00001A5C0000}"/>
    <cellStyle name="0_PLANNING  DOC 6111 REV 1 3 6 4" xfId="23593" xr:uid="{00000000-0005-0000-0000-00001B5C0000}"/>
    <cellStyle name="0_PLANNING  DOC 6111 REV 1 3 6 4 2" xfId="23594" xr:uid="{00000000-0005-0000-0000-00001C5C0000}"/>
    <cellStyle name="0_PLANNING  DOC 6111 REV 1 3 6 4 2 2" xfId="23595" xr:uid="{00000000-0005-0000-0000-00001D5C0000}"/>
    <cellStyle name="0_PLANNING  DOC 6111 REV 1 3 6 4 3" xfId="23596" xr:uid="{00000000-0005-0000-0000-00001E5C0000}"/>
    <cellStyle name="0_PLANNING  DOC 6111 REV 1 3 6 4 3 2" xfId="23597" xr:uid="{00000000-0005-0000-0000-00001F5C0000}"/>
    <cellStyle name="0_PLANNING  DOC 6111 REV 1 3 6 4 4" xfId="23598" xr:uid="{00000000-0005-0000-0000-0000205C0000}"/>
    <cellStyle name="0_PLANNING  DOC 6111 REV 1 3 6 5" xfId="23599" xr:uid="{00000000-0005-0000-0000-0000215C0000}"/>
    <cellStyle name="0_PLANNING  DOC 6111 REV 1 3 6 5 2" xfId="23600" xr:uid="{00000000-0005-0000-0000-0000225C0000}"/>
    <cellStyle name="0_PLANNING  DOC 6111 REV 1 3 6 5 2 2" xfId="23601" xr:uid="{00000000-0005-0000-0000-0000235C0000}"/>
    <cellStyle name="0_PLANNING  DOC 6111 REV 1 3 6 5 3" xfId="23602" xr:uid="{00000000-0005-0000-0000-0000245C0000}"/>
    <cellStyle name="0_PLANNING  DOC 6111 REV 1 3 6 5 3 2" xfId="23603" xr:uid="{00000000-0005-0000-0000-0000255C0000}"/>
    <cellStyle name="0_PLANNING  DOC 6111 REV 1 3 6 5 4" xfId="23604" xr:uid="{00000000-0005-0000-0000-0000265C0000}"/>
    <cellStyle name="0_PLANNING  DOC 6111 REV 1 3 6 6" xfId="23605" xr:uid="{00000000-0005-0000-0000-0000275C0000}"/>
    <cellStyle name="0_PLANNING  DOC 6111 REV 1 3 6 6 2" xfId="23606" xr:uid="{00000000-0005-0000-0000-0000285C0000}"/>
    <cellStyle name="0_PLANNING  DOC 6111 REV 1 3 6 7" xfId="23607" xr:uid="{00000000-0005-0000-0000-0000295C0000}"/>
    <cellStyle name="0_PLANNING  DOC 6111 REV 1 3 6 7 2" xfId="23608" xr:uid="{00000000-0005-0000-0000-00002A5C0000}"/>
    <cellStyle name="0_PLANNING  DOC 6111 REV 1 3 6 8" xfId="23609" xr:uid="{00000000-0005-0000-0000-00002B5C0000}"/>
    <cellStyle name="0_PLANNING  DOC 6111 REV 1 3 7" xfId="23610" xr:uid="{00000000-0005-0000-0000-00002C5C0000}"/>
    <cellStyle name="0_PLANNING  DOC 6111 REV 1 3 7 2" xfId="23611" xr:uid="{00000000-0005-0000-0000-00002D5C0000}"/>
    <cellStyle name="0_PLANNING  DOC 6111 REV 1 3 7 2 2" xfId="23612" xr:uid="{00000000-0005-0000-0000-00002E5C0000}"/>
    <cellStyle name="0_PLANNING  DOC 6111 REV 1 3 7 2 2 2" xfId="23613" xr:uid="{00000000-0005-0000-0000-00002F5C0000}"/>
    <cellStyle name="0_PLANNING  DOC 6111 REV 1 3 7 2 3" xfId="23614" xr:uid="{00000000-0005-0000-0000-0000305C0000}"/>
    <cellStyle name="0_PLANNING  DOC 6111 REV 1 3 7 2 3 2" xfId="23615" xr:uid="{00000000-0005-0000-0000-0000315C0000}"/>
    <cellStyle name="0_PLANNING  DOC 6111 REV 1 3 7 2 4" xfId="23616" xr:uid="{00000000-0005-0000-0000-0000325C0000}"/>
    <cellStyle name="0_PLANNING  DOC 6111 REV 1 3 7 3" xfId="23617" xr:uid="{00000000-0005-0000-0000-0000335C0000}"/>
    <cellStyle name="0_PLANNING  DOC 6111 REV 1 3 7 3 2" xfId="23618" xr:uid="{00000000-0005-0000-0000-0000345C0000}"/>
    <cellStyle name="0_PLANNING  DOC 6111 REV 1 3 7 3 2 2" xfId="23619" xr:uid="{00000000-0005-0000-0000-0000355C0000}"/>
    <cellStyle name="0_PLANNING  DOC 6111 REV 1 3 7 3 3" xfId="23620" xr:uid="{00000000-0005-0000-0000-0000365C0000}"/>
    <cellStyle name="0_PLANNING  DOC 6111 REV 1 3 7 3 3 2" xfId="23621" xr:uid="{00000000-0005-0000-0000-0000375C0000}"/>
    <cellStyle name="0_PLANNING  DOC 6111 REV 1 3 7 3 4" xfId="23622" xr:uid="{00000000-0005-0000-0000-0000385C0000}"/>
    <cellStyle name="0_PLANNING  DOC 6111 REV 1 3 7 4" xfId="23623" xr:uid="{00000000-0005-0000-0000-0000395C0000}"/>
    <cellStyle name="0_PLANNING  DOC 6111 REV 1 3 7 4 2" xfId="23624" xr:uid="{00000000-0005-0000-0000-00003A5C0000}"/>
    <cellStyle name="0_PLANNING  DOC 6111 REV 1 3 7 5" xfId="23625" xr:uid="{00000000-0005-0000-0000-00003B5C0000}"/>
    <cellStyle name="0_PLANNING  DOC 6111 REV 1 3 7 5 2" xfId="23626" xr:uid="{00000000-0005-0000-0000-00003C5C0000}"/>
    <cellStyle name="0_PLANNING  DOC 6111 REV 1 3 7 6" xfId="23627" xr:uid="{00000000-0005-0000-0000-00003D5C0000}"/>
    <cellStyle name="0_PLANNING  DOC 6111 REV 1 3 8" xfId="23628" xr:uid="{00000000-0005-0000-0000-00003E5C0000}"/>
    <cellStyle name="0_PLANNING  DOC 6111 REV 1 3 8 2" xfId="23629" xr:uid="{00000000-0005-0000-0000-00003F5C0000}"/>
    <cellStyle name="0_PLANNING  DOC 6111 REV 1 3 8 2 2" xfId="23630" xr:uid="{00000000-0005-0000-0000-0000405C0000}"/>
    <cellStyle name="0_PLANNING  DOC 6111 REV 1 3 8 3" xfId="23631" xr:uid="{00000000-0005-0000-0000-0000415C0000}"/>
    <cellStyle name="0_PLANNING  DOC 6111 REV 1 3 8 3 2" xfId="23632" xr:uid="{00000000-0005-0000-0000-0000425C0000}"/>
    <cellStyle name="0_PLANNING  DOC 6111 REV 1 3 8 4" xfId="23633" xr:uid="{00000000-0005-0000-0000-0000435C0000}"/>
    <cellStyle name="0_PLANNING  DOC 6111 REV 1 3 9" xfId="23634" xr:uid="{00000000-0005-0000-0000-0000445C0000}"/>
    <cellStyle name="0_PLANNING  DOC 6111 REV 1 3 9 2" xfId="23635" xr:uid="{00000000-0005-0000-0000-0000455C0000}"/>
    <cellStyle name="0_PLANNING  DOC 6111 REV 1 3 9 2 2" xfId="23636" xr:uid="{00000000-0005-0000-0000-0000465C0000}"/>
    <cellStyle name="0_PLANNING  DOC 6111 REV 1 3 9 3" xfId="23637" xr:uid="{00000000-0005-0000-0000-0000475C0000}"/>
    <cellStyle name="0_PLANNING  DOC 6111 REV 1 3 9 3 2" xfId="23638" xr:uid="{00000000-0005-0000-0000-0000485C0000}"/>
    <cellStyle name="0_PLANNING  DOC 6111 REV 1 3 9 4" xfId="23639" xr:uid="{00000000-0005-0000-0000-0000495C0000}"/>
    <cellStyle name="0_PLANNING  DOC 6111 REV 1 4" xfId="23640" xr:uid="{00000000-0005-0000-0000-00004A5C0000}"/>
    <cellStyle name="0_PLANNING  DOC 6111 REV 1 4 10" xfId="23641" xr:uid="{00000000-0005-0000-0000-00004B5C0000}"/>
    <cellStyle name="0_PLANNING  DOC 6111 REV 1 4 10 2" xfId="23642" xr:uid="{00000000-0005-0000-0000-00004C5C0000}"/>
    <cellStyle name="0_PLANNING  DOC 6111 REV 1 4 10 2 2" xfId="23643" xr:uid="{00000000-0005-0000-0000-00004D5C0000}"/>
    <cellStyle name="0_PLANNING  DOC 6111 REV 1 4 10 3" xfId="23644" xr:uid="{00000000-0005-0000-0000-00004E5C0000}"/>
    <cellStyle name="0_PLANNING  DOC 6111 REV 1 4 10 3 2" xfId="23645" xr:uid="{00000000-0005-0000-0000-00004F5C0000}"/>
    <cellStyle name="0_PLANNING  DOC 6111 REV 1 4 10 4" xfId="23646" xr:uid="{00000000-0005-0000-0000-0000505C0000}"/>
    <cellStyle name="0_PLANNING  DOC 6111 REV 1 4 11" xfId="23647" xr:uid="{00000000-0005-0000-0000-0000515C0000}"/>
    <cellStyle name="0_PLANNING  DOC 6111 REV 1 4 11 2" xfId="23648" xr:uid="{00000000-0005-0000-0000-0000525C0000}"/>
    <cellStyle name="0_PLANNING  DOC 6111 REV 1 4 12" xfId="23649" xr:uid="{00000000-0005-0000-0000-0000535C0000}"/>
    <cellStyle name="0_PLANNING  DOC 6111 REV 1 4 12 2" xfId="23650" xr:uid="{00000000-0005-0000-0000-0000545C0000}"/>
    <cellStyle name="0_PLANNING  DOC 6111 REV 1 4 13" xfId="23651" xr:uid="{00000000-0005-0000-0000-0000555C0000}"/>
    <cellStyle name="0_PLANNING  DOC 6111 REV 1 4 2" xfId="23652" xr:uid="{00000000-0005-0000-0000-0000565C0000}"/>
    <cellStyle name="0_PLANNING  DOC 6111 REV 1 4 2 2" xfId="23653" xr:uid="{00000000-0005-0000-0000-0000575C0000}"/>
    <cellStyle name="0_PLANNING  DOC 6111 REV 1 4 2 2 2" xfId="23654" xr:uid="{00000000-0005-0000-0000-0000585C0000}"/>
    <cellStyle name="0_PLANNING  DOC 6111 REV 1 4 2 2 2 2" xfId="23655" xr:uid="{00000000-0005-0000-0000-0000595C0000}"/>
    <cellStyle name="0_PLANNING  DOC 6111 REV 1 4 2 2 2 2 2" xfId="23656" xr:uid="{00000000-0005-0000-0000-00005A5C0000}"/>
    <cellStyle name="0_PLANNING  DOC 6111 REV 1 4 2 2 2 3" xfId="23657" xr:uid="{00000000-0005-0000-0000-00005B5C0000}"/>
    <cellStyle name="0_PLANNING  DOC 6111 REV 1 4 2 2 2 3 2" xfId="23658" xr:uid="{00000000-0005-0000-0000-00005C5C0000}"/>
    <cellStyle name="0_PLANNING  DOC 6111 REV 1 4 2 2 2 4" xfId="23659" xr:uid="{00000000-0005-0000-0000-00005D5C0000}"/>
    <cellStyle name="0_PLANNING  DOC 6111 REV 1 4 2 2 3" xfId="23660" xr:uid="{00000000-0005-0000-0000-00005E5C0000}"/>
    <cellStyle name="0_PLANNING  DOC 6111 REV 1 4 2 2 3 2" xfId="23661" xr:uid="{00000000-0005-0000-0000-00005F5C0000}"/>
    <cellStyle name="0_PLANNING  DOC 6111 REV 1 4 2 2 3 2 2" xfId="23662" xr:uid="{00000000-0005-0000-0000-0000605C0000}"/>
    <cellStyle name="0_PLANNING  DOC 6111 REV 1 4 2 2 3 3" xfId="23663" xr:uid="{00000000-0005-0000-0000-0000615C0000}"/>
    <cellStyle name="0_PLANNING  DOC 6111 REV 1 4 2 2 3 3 2" xfId="23664" xr:uid="{00000000-0005-0000-0000-0000625C0000}"/>
    <cellStyle name="0_PLANNING  DOC 6111 REV 1 4 2 2 3 4" xfId="23665" xr:uid="{00000000-0005-0000-0000-0000635C0000}"/>
    <cellStyle name="0_PLANNING  DOC 6111 REV 1 4 2 2 4" xfId="23666" xr:uid="{00000000-0005-0000-0000-0000645C0000}"/>
    <cellStyle name="0_PLANNING  DOC 6111 REV 1 4 2 2 4 2" xfId="23667" xr:uid="{00000000-0005-0000-0000-0000655C0000}"/>
    <cellStyle name="0_PLANNING  DOC 6111 REV 1 4 2 2 5" xfId="23668" xr:uid="{00000000-0005-0000-0000-0000665C0000}"/>
    <cellStyle name="0_PLANNING  DOC 6111 REV 1 4 2 2 5 2" xfId="23669" xr:uid="{00000000-0005-0000-0000-0000675C0000}"/>
    <cellStyle name="0_PLANNING  DOC 6111 REV 1 4 2 2 6" xfId="23670" xr:uid="{00000000-0005-0000-0000-0000685C0000}"/>
    <cellStyle name="0_PLANNING  DOC 6111 REV 1 4 2 3" xfId="23671" xr:uid="{00000000-0005-0000-0000-0000695C0000}"/>
    <cellStyle name="0_PLANNING  DOC 6111 REV 1 4 2 3 2" xfId="23672" xr:uid="{00000000-0005-0000-0000-00006A5C0000}"/>
    <cellStyle name="0_PLANNING  DOC 6111 REV 1 4 2 3 2 2" xfId="23673" xr:uid="{00000000-0005-0000-0000-00006B5C0000}"/>
    <cellStyle name="0_PLANNING  DOC 6111 REV 1 4 2 3 3" xfId="23674" xr:uid="{00000000-0005-0000-0000-00006C5C0000}"/>
    <cellStyle name="0_PLANNING  DOC 6111 REV 1 4 2 3 3 2" xfId="23675" xr:uid="{00000000-0005-0000-0000-00006D5C0000}"/>
    <cellStyle name="0_PLANNING  DOC 6111 REV 1 4 2 3 4" xfId="23676" xr:uid="{00000000-0005-0000-0000-00006E5C0000}"/>
    <cellStyle name="0_PLANNING  DOC 6111 REV 1 4 2 4" xfId="23677" xr:uid="{00000000-0005-0000-0000-00006F5C0000}"/>
    <cellStyle name="0_PLANNING  DOC 6111 REV 1 4 2 4 2" xfId="23678" xr:uid="{00000000-0005-0000-0000-0000705C0000}"/>
    <cellStyle name="0_PLANNING  DOC 6111 REV 1 4 2 4 2 2" xfId="23679" xr:uid="{00000000-0005-0000-0000-0000715C0000}"/>
    <cellStyle name="0_PLANNING  DOC 6111 REV 1 4 2 4 3" xfId="23680" xr:uid="{00000000-0005-0000-0000-0000725C0000}"/>
    <cellStyle name="0_PLANNING  DOC 6111 REV 1 4 2 4 3 2" xfId="23681" xr:uid="{00000000-0005-0000-0000-0000735C0000}"/>
    <cellStyle name="0_PLANNING  DOC 6111 REV 1 4 2 4 4" xfId="23682" xr:uid="{00000000-0005-0000-0000-0000745C0000}"/>
    <cellStyle name="0_PLANNING  DOC 6111 REV 1 4 2 5" xfId="23683" xr:uid="{00000000-0005-0000-0000-0000755C0000}"/>
    <cellStyle name="0_PLANNING  DOC 6111 REV 1 4 2 5 2" xfId="23684" xr:uid="{00000000-0005-0000-0000-0000765C0000}"/>
    <cellStyle name="0_PLANNING  DOC 6111 REV 1 4 2 5 2 2" xfId="23685" xr:uid="{00000000-0005-0000-0000-0000775C0000}"/>
    <cellStyle name="0_PLANNING  DOC 6111 REV 1 4 2 5 3" xfId="23686" xr:uid="{00000000-0005-0000-0000-0000785C0000}"/>
    <cellStyle name="0_PLANNING  DOC 6111 REV 1 4 2 5 3 2" xfId="23687" xr:uid="{00000000-0005-0000-0000-0000795C0000}"/>
    <cellStyle name="0_PLANNING  DOC 6111 REV 1 4 2 5 4" xfId="23688" xr:uid="{00000000-0005-0000-0000-00007A5C0000}"/>
    <cellStyle name="0_PLANNING  DOC 6111 REV 1 4 2 6" xfId="23689" xr:uid="{00000000-0005-0000-0000-00007B5C0000}"/>
    <cellStyle name="0_PLANNING  DOC 6111 REV 1 4 2 6 2" xfId="23690" xr:uid="{00000000-0005-0000-0000-00007C5C0000}"/>
    <cellStyle name="0_PLANNING  DOC 6111 REV 1 4 2 7" xfId="23691" xr:uid="{00000000-0005-0000-0000-00007D5C0000}"/>
    <cellStyle name="0_PLANNING  DOC 6111 REV 1 4 2 7 2" xfId="23692" xr:uid="{00000000-0005-0000-0000-00007E5C0000}"/>
    <cellStyle name="0_PLANNING  DOC 6111 REV 1 4 2 8" xfId="23693" xr:uid="{00000000-0005-0000-0000-00007F5C0000}"/>
    <cellStyle name="0_PLANNING  DOC 6111 REV 1 4 3" xfId="23694" xr:uid="{00000000-0005-0000-0000-0000805C0000}"/>
    <cellStyle name="0_PLANNING  DOC 6111 REV 1 4 3 2" xfId="23695" xr:uid="{00000000-0005-0000-0000-0000815C0000}"/>
    <cellStyle name="0_PLANNING  DOC 6111 REV 1 4 3 2 2" xfId="23696" xr:uid="{00000000-0005-0000-0000-0000825C0000}"/>
    <cellStyle name="0_PLANNING  DOC 6111 REV 1 4 3 2 2 2" xfId="23697" xr:uid="{00000000-0005-0000-0000-0000835C0000}"/>
    <cellStyle name="0_PLANNING  DOC 6111 REV 1 4 3 2 2 2 2" xfId="23698" xr:uid="{00000000-0005-0000-0000-0000845C0000}"/>
    <cellStyle name="0_PLANNING  DOC 6111 REV 1 4 3 2 2 3" xfId="23699" xr:uid="{00000000-0005-0000-0000-0000855C0000}"/>
    <cellStyle name="0_PLANNING  DOC 6111 REV 1 4 3 2 2 3 2" xfId="23700" xr:uid="{00000000-0005-0000-0000-0000865C0000}"/>
    <cellStyle name="0_PLANNING  DOC 6111 REV 1 4 3 2 2 4" xfId="23701" xr:uid="{00000000-0005-0000-0000-0000875C0000}"/>
    <cellStyle name="0_PLANNING  DOC 6111 REV 1 4 3 2 3" xfId="23702" xr:uid="{00000000-0005-0000-0000-0000885C0000}"/>
    <cellStyle name="0_PLANNING  DOC 6111 REV 1 4 3 2 3 2" xfId="23703" xr:uid="{00000000-0005-0000-0000-0000895C0000}"/>
    <cellStyle name="0_PLANNING  DOC 6111 REV 1 4 3 2 3 2 2" xfId="23704" xr:uid="{00000000-0005-0000-0000-00008A5C0000}"/>
    <cellStyle name="0_PLANNING  DOC 6111 REV 1 4 3 2 3 3" xfId="23705" xr:uid="{00000000-0005-0000-0000-00008B5C0000}"/>
    <cellStyle name="0_PLANNING  DOC 6111 REV 1 4 3 2 3 3 2" xfId="23706" xr:uid="{00000000-0005-0000-0000-00008C5C0000}"/>
    <cellStyle name="0_PLANNING  DOC 6111 REV 1 4 3 2 3 4" xfId="23707" xr:uid="{00000000-0005-0000-0000-00008D5C0000}"/>
    <cellStyle name="0_PLANNING  DOC 6111 REV 1 4 3 2 4" xfId="23708" xr:uid="{00000000-0005-0000-0000-00008E5C0000}"/>
    <cellStyle name="0_PLANNING  DOC 6111 REV 1 4 3 2 4 2" xfId="23709" xr:uid="{00000000-0005-0000-0000-00008F5C0000}"/>
    <cellStyle name="0_PLANNING  DOC 6111 REV 1 4 3 2 5" xfId="23710" xr:uid="{00000000-0005-0000-0000-0000905C0000}"/>
    <cellStyle name="0_PLANNING  DOC 6111 REV 1 4 3 2 5 2" xfId="23711" xr:uid="{00000000-0005-0000-0000-0000915C0000}"/>
    <cellStyle name="0_PLANNING  DOC 6111 REV 1 4 3 2 6" xfId="23712" xr:uid="{00000000-0005-0000-0000-0000925C0000}"/>
    <cellStyle name="0_PLANNING  DOC 6111 REV 1 4 3 3" xfId="23713" xr:uid="{00000000-0005-0000-0000-0000935C0000}"/>
    <cellStyle name="0_PLANNING  DOC 6111 REV 1 4 3 3 2" xfId="23714" xr:uid="{00000000-0005-0000-0000-0000945C0000}"/>
    <cellStyle name="0_PLANNING  DOC 6111 REV 1 4 3 3 2 2" xfId="23715" xr:uid="{00000000-0005-0000-0000-0000955C0000}"/>
    <cellStyle name="0_PLANNING  DOC 6111 REV 1 4 3 3 3" xfId="23716" xr:uid="{00000000-0005-0000-0000-0000965C0000}"/>
    <cellStyle name="0_PLANNING  DOC 6111 REV 1 4 3 3 3 2" xfId="23717" xr:uid="{00000000-0005-0000-0000-0000975C0000}"/>
    <cellStyle name="0_PLANNING  DOC 6111 REV 1 4 3 3 4" xfId="23718" xr:uid="{00000000-0005-0000-0000-0000985C0000}"/>
    <cellStyle name="0_PLANNING  DOC 6111 REV 1 4 3 4" xfId="23719" xr:uid="{00000000-0005-0000-0000-0000995C0000}"/>
    <cellStyle name="0_PLANNING  DOC 6111 REV 1 4 3 4 2" xfId="23720" xr:uid="{00000000-0005-0000-0000-00009A5C0000}"/>
    <cellStyle name="0_PLANNING  DOC 6111 REV 1 4 3 4 2 2" xfId="23721" xr:uid="{00000000-0005-0000-0000-00009B5C0000}"/>
    <cellStyle name="0_PLANNING  DOC 6111 REV 1 4 3 4 3" xfId="23722" xr:uid="{00000000-0005-0000-0000-00009C5C0000}"/>
    <cellStyle name="0_PLANNING  DOC 6111 REV 1 4 3 4 3 2" xfId="23723" xr:uid="{00000000-0005-0000-0000-00009D5C0000}"/>
    <cellStyle name="0_PLANNING  DOC 6111 REV 1 4 3 4 4" xfId="23724" xr:uid="{00000000-0005-0000-0000-00009E5C0000}"/>
    <cellStyle name="0_PLANNING  DOC 6111 REV 1 4 3 5" xfId="23725" xr:uid="{00000000-0005-0000-0000-00009F5C0000}"/>
    <cellStyle name="0_PLANNING  DOC 6111 REV 1 4 3 5 2" xfId="23726" xr:uid="{00000000-0005-0000-0000-0000A05C0000}"/>
    <cellStyle name="0_PLANNING  DOC 6111 REV 1 4 3 5 2 2" xfId="23727" xr:uid="{00000000-0005-0000-0000-0000A15C0000}"/>
    <cellStyle name="0_PLANNING  DOC 6111 REV 1 4 3 5 3" xfId="23728" xr:uid="{00000000-0005-0000-0000-0000A25C0000}"/>
    <cellStyle name="0_PLANNING  DOC 6111 REV 1 4 3 5 3 2" xfId="23729" xr:uid="{00000000-0005-0000-0000-0000A35C0000}"/>
    <cellStyle name="0_PLANNING  DOC 6111 REV 1 4 3 5 4" xfId="23730" xr:uid="{00000000-0005-0000-0000-0000A45C0000}"/>
    <cellStyle name="0_PLANNING  DOC 6111 REV 1 4 3 6" xfId="23731" xr:uid="{00000000-0005-0000-0000-0000A55C0000}"/>
    <cellStyle name="0_PLANNING  DOC 6111 REV 1 4 3 6 2" xfId="23732" xr:uid="{00000000-0005-0000-0000-0000A65C0000}"/>
    <cellStyle name="0_PLANNING  DOC 6111 REV 1 4 3 7" xfId="23733" xr:uid="{00000000-0005-0000-0000-0000A75C0000}"/>
    <cellStyle name="0_PLANNING  DOC 6111 REV 1 4 3 7 2" xfId="23734" xr:uid="{00000000-0005-0000-0000-0000A85C0000}"/>
    <cellStyle name="0_PLANNING  DOC 6111 REV 1 4 3 8" xfId="23735" xr:uid="{00000000-0005-0000-0000-0000A95C0000}"/>
    <cellStyle name="0_PLANNING  DOC 6111 REV 1 4 4" xfId="23736" xr:uid="{00000000-0005-0000-0000-0000AA5C0000}"/>
    <cellStyle name="0_PLANNING  DOC 6111 REV 1 4 4 2" xfId="23737" xr:uid="{00000000-0005-0000-0000-0000AB5C0000}"/>
    <cellStyle name="0_PLANNING  DOC 6111 REV 1 4 4 2 2" xfId="23738" xr:uid="{00000000-0005-0000-0000-0000AC5C0000}"/>
    <cellStyle name="0_PLANNING  DOC 6111 REV 1 4 4 2 2 2" xfId="23739" xr:uid="{00000000-0005-0000-0000-0000AD5C0000}"/>
    <cellStyle name="0_PLANNING  DOC 6111 REV 1 4 4 2 2 2 2" xfId="23740" xr:uid="{00000000-0005-0000-0000-0000AE5C0000}"/>
    <cellStyle name="0_PLANNING  DOC 6111 REV 1 4 4 2 2 3" xfId="23741" xr:uid="{00000000-0005-0000-0000-0000AF5C0000}"/>
    <cellStyle name="0_PLANNING  DOC 6111 REV 1 4 4 2 2 3 2" xfId="23742" xr:uid="{00000000-0005-0000-0000-0000B05C0000}"/>
    <cellStyle name="0_PLANNING  DOC 6111 REV 1 4 4 2 2 4" xfId="23743" xr:uid="{00000000-0005-0000-0000-0000B15C0000}"/>
    <cellStyle name="0_PLANNING  DOC 6111 REV 1 4 4 2 3" xfId="23744" xr:uid="{00000000-0005-0000-0000-0000B25C0000}"/>
    <cellStyle name="0_PLANNING  DOC 6111 REV 1 4 4 2 3 2" xfId="23745" xr:uid="{00000000-0005-0000-0000-0000B35C0000}"/>
    <cellStyle name="0_PLANNING  DOC 6111 REV 1 4 4 2 3 2 2" xfId="23746" xr:uid="{00000000-0005-0000-0000-0000B45C0000}"/>
    <cellStyle name="0_PLANNING  DOC 6111 REV 1 4 4 2 3 3" xfId="23747" xr:uid="{00000000-0005-0000-0000-0000B55C0000}"/>
    <cellStyle name="0_PLANNING  DOC 6111 REV 1 4 4 2 3 3 2" xfId="23748" xr:uid="{00000000-0005-0000-0000-0000B65C0000}"/>
    <cellStyle name="0_PLANNING  DOC 6111 REV 1 4 4 2 3 4" xfId="23749" xr:uid="{00000000-0005-0000-0000-0000B75C0000}"/>
    <cellStyle name="0_PLANNING  DOC 6111 REV 1 4 4 2 4" xfId="23750" xr:uid="{00000000-0005-0000-0000-0000B85C0000}"/>
    <cellStyle name="0_PLANNING  DOC 6111 REV 1 4 4 2 4 2" xfId="23751" xr:uid="{00000000-0005-0000-0000-0000B95C0000}"/>
    <cellStyle name="0_PLANNING  DOC 6111 REV 1 4 4 2 5" xfId="23752" xr:uid="{00000000-0005-0000-0000-0000BA5C0000}"/>
    <cellStyle name="0_PLANNING  DOC 6111 REV 1 4 4 2 5 2" xfId="23753" xr:uid="{00000000-0005-0000-0000-0000BB5C0000}"/>
    <cellStyle name="0_PLANNING  DOC 6111 REV 1 4 4 2 6" xfId="23754" xr:uid="{00000000-0005-0000-0000-0000BC5C0000}"/>
    <cellStyle name="0_PLANNING  DOC 6111 REV 1 4 4 3" xfId="23755" xr:uid="{00000000-0005-0000-0000-0000BD5C0000}"/>
    <cellStyle name="0_PLANNING  DOC 6111 REV 1 4 4 3 2" xfId="23756" xr:uid="{00000000-0005-0000-0000-0000BE5C0000}"/>
    <cellStyle name="0_PLANNING  DOC 6111 REV 1 4 4 3 2 2" xfId="23757" xr:uid="{00000000-0005-0000-0000-0000BF5C0000}"/>
    <cellStyle name="0_PLANNING  DOC 6111 REV 1 4 4 3 3" xfId="23758" xr:uid="{00000000-0005-0000-0000-0000C05C0000}"/>
    <cellStyle name="0_PLANNING  DOC 6111 REV 1 4 4 3 3 2" xfId="23759" xr:uid="{00000000-0005-0000-0000-0000C15C0000}"/>
    <cellStyle name="0_PLANNING  DOC 6111 REV 1 4 4 3 4" xfId="23760" xr:uid="{00000000-0005-0000-0000-0000C25C0000}"/>
    <cellStyle name="0_PLANNING  DOC 6111 REV 1 4 4 4" xfId="23761" xr:uid="{00000000-0005-0000-0000-0000C35C0000}"/>
    <cellStyle name="0_PLANNING  DOC 6111 REV 1 4 4 4 2" xfId="23762" xr:uid="{00000000-0005-0000-0000-0000C45C0000}"/>
    <cellStyle name="0_PLANNING  DOC 6111 REV 1 4 4 4 2 2" xfId="23763" xr:uid="{00000000-0005-0000-0000-0000C55C0000}"/>
    <cellStyle name="0_PLANNING  DOC 6111 REV 1 4 4 4 3" xfId="23764" xr:uid="{00000000-0005-0000-0000-0000C65C0000}"/>
    <cellStyle name="0_PLANNING  DOC 6111 REV 1 4 4 4 3 2" xfId="23765" xr:uid="{00000000-0005-0000-0000-0000C75C0000}"/>
    <cellStyle name="0_PLANNING  DOC 6111 REV 1 4 4 4 4" xfId="23766" xr:uid="{00000000-0005-0000-0000-0000C85C0000}"/>
    <cellStyle name="0_PLANNING  DOC 6111 REV 1 4 4 5" xfId="23767" xr:uid="{00000000-0005-0000-0000-0000C95C0000}"/>
    <cellStyle name="0_PLANNING  DOC 6111 REV 1 4 4 5 2" xfId="23768" xr:uid="{00000000-0005-0000-0000-0000CA5C0000}"/>
    <cellStyle name="0_PLANNING  DOC 6111 REV 1 4 4 5 2 2" xfId="23769" xr:uid="{00000000-0005-0000-0000-0000CB5C0000}"/>
    <cellStyle name="0_PLANNING  DOC 6111 REV 1 4 4 5 3" xfId="23770" xr:uid="{00000000-0005-0000-0000-0000CC5C0000}"/>
    <cellStyle name="0_PLANNING  DOC 6111 REV 1 4 4 5 3 2" xfId="23771" xr:uid="{00000000-0005-0000-0000-0000CD5C0000}"/>
    <cellStyle name="0_PLANNING  DOC 6111 REV 1 4 4 5 4" xfId="23772" xr:uid="{00000000-0005-0000-0000-0000CE5C0000}"/>
    <cellStyle name="0_PLANNING  DOC 6111 REV 1 4 4 6" xfId="23773" xr:uid="{00000000-0005-0000-0000-0000CF5C0000}"/>
    <cellStyle name="0_PLANNING  DOC 6111 REV 1 4 4 6 2" xfId="23774" xr:uid="{00000000-0005-0000-0000-0000D05C0000}"/>
    <cellStyle name="0_PLANNING  DOC 6111 REV 1 4 4 7" xfId="23775" xr:uid="{00000000-0005-0000-0000-0000D15C0000}"/>
    <cellStyle name="0_PLANNING  DOC 6111 REV 1 4 4 7 2" xfId="23776" xr:uid="{00000000-0005-0000-0000-0000D25C0000}"/>
    <cellStyle name="0_PLANNING  DOC 6111 REV 1 4 4 8" xfId="23777" xr:uid="{00000000-0005-0000-0000-0000D35C0000}"/>
    <cellStyle name="0_PLANNING  DOC 6111 REV 1 4 5" xfId="23778" xr:uid="{00000000-0005-0000-0000-0000D45C0000}"/>
    <cellStyle name="0_PLANNING  DOC 6111 REV 1 4 5 2" xfId="23779" xr:uid="{00000000-0005-0000-0000-0000D55C0000}"/>
    <cellStyle name="0_PLANNING  DOC 6111 REV 1 4 5 2 2" xfId="23780" xr:uid="{00000000-0005-0000-0000-0000D65C0000}"/>
    <cellStyle name="0_PLANNING  DOC 6111 REV 1 4 5 2 2 2" xfId="23781" xr:uid="{00000000-0005-0000-0000-0000D75C0000}"/>
    <cellStyle name="0_PLANNING  DOC 6111 REV 1 4 5 2 2 2 2" xfId="23782" xr:uid="{00000000-0005-0000-0000-0000D85C0000}"/>
    <cellStyle name="0_PLANNING  DOC 6111 REV 1 4 5 2 2 3" xfId="23783" xr:uid="{00000000-0005-0000-0000-0000D95C0000}"/>
    <cellStyle name="0_PLANNING  DOC 6111 REV 1 4 5 2 2 3 2" xfId="23784" xr:uid="{00000000-0005-0000-0000-0000DA5C0000}"/>
    <cellStyle name="0_PLANNING  DOC 6111 REV 1 4 5 2 2 4" xfId="23785" xr:uid="{00000000-0005-0000-0000-0000DB5C0000}"/>
    <cellStyle name="0_PLANNING  DOC 6111 REV 1 4 5 2 3" xfId="23786" xr:uid="{00000000-0005-0000-0000-0000DC5C0000}"/>
    <cellStyle name="0_PLANNING  DOC 6111 REV 1 4 5 2 3 2" xfId="23787" xr:uid="{00000000-0005-0000-0000-0000DD5C0000}"/>
    <cellStyle name="0_PLANNING  DOC 6111 REV 1 4 5 2 3 2 2" xfId="23788" xr:uid="{00000000-0005-0000-0000-0000DE5C0000}"/>
    <cellStyle name="0_PLANNING  DOC 6111 REV 1 4 5 2 3 3" xfId="23789" xr:uid="{00000000-0005-0000-0000-0000DF5C0000}"/>
    <cellStyle name="0_PLANNING  DOC 6111 REV 1 4 5 2 3 3 2" xfId="23790" xr:uid="{00000000-0005-0000-0000-0000E05C0000}"/>
    <cellStyle name="0_PLANNING  DOC 6111 REV 1 4 5 2 3 4" xfId="23791" xr:uid="{00000000-0005-0000-0000-0000E15C0000}"/>
    <cellStyle name="0_PLANNING  DOC 6111 REV 1 4 5 2 4" xfId="23792" xr:uid="{00000000-0005-0000-0000-0000E25C0000}"/>
    <cellStyle name="0_PLANNING  DOC 6111 REV 1 4 5 2 4 2" xfId="23793" xr:uid="{00000000-0005-0000-0000-0000E35C0000}"/>
    <cellStyle name="0_PLANNING  DOC 6111 REV 1 4 5 2 5" xfId="23794" xr:uid="{00000000-0005-0000-0000-0000E45C0000}"/>
    <cellStyle name="0_PLANNING  DOC 6111 REV 1 4 5 2 5 2" xfId="23795" xr:uid="{00000000-0005-0000-0000-0000E55C0000}"/>
    <cellStyle name="0_PLANNING  DOC 6111 REV 1 4 5 2 6" xfId="23796" xr:uid="{00000000-0005-0000-0000-0000E65C0000}"/>
    <cellStyle name="0_PLANNING  DOC 6111 REV 1 4 5 3" xfId="23797" xr:uid="{00000000-0005-0000-0000-0000E75C0000}"/>
    <cellStyle name="0_PLANNING  DOC 6111 REV 1 4 5 3 2" xfId="23798" xr:uid="{00000000-0005-0000-0000-0000E85C0000}"/>
    <cellStyle name="0_PLANNING  DOC 6111 REV 1 4 5 3 2 2" xfId="23799" xr:uid="{00000000-0005-0000-0000-0000E95C0000}"/>
    <cellStyle name="0_PLANNING  DOC 6111 REV 1 4 5 3 3" xfId="23800" xr:uid="{00000000-0005-0000-0000-0000EA5C0000}"/>
    <cellStyle name="0_PLANNING  DOC 6111 REV 1 4 5 3 3 2" xfId="23801" xr:uid="{00000000-0005-0000-0000-0000EB5C0000}"/>
    <cellStyle name="0_PLANNING  DOC 6111 REV 1 4 5 3 4" xfId="23802" xr:uid="{00000000-0005-0000-0000-0000EC5C0000}"/>
    <cellStyle name="0_PLANNING  DOC 6111 REV 1 4 5 4" xfId="23803" xr:uid="{00000000-0005-0000-0000-0000ED5C0000}"/>
    <cellStyle name="0_PLANNING  DOC 6111 REV 1 4 5 4 2" xfId="23804" xr:uid="{00000000-0005-0000-0000-0000EE5C0000}"/>
    <cellStyle name="0_PLANNING  DOC 6111 REV 1 4 5 4 2 2" xfId="23805" xr:uid="{00000000-0005-0000-0000-0000EF5C0000}"/>
    <cellStyle name="0_PLANNING  DOC 6111 REV 1 4 5 4 3" xfId="23806" xr:uid="{00000000-0005-0000-0000-0000F05C0000}"/>
    <cellStyle name="0_PLANNING  DOC 6111 REV 1 4 5 4 3 2" xfId="23807" xr:uid="{00000000-0005-0000-0000-0000F15C0000}"/>
    <cellStyle name="0_PLANNING  DOC 6111 REV 1 4 5 4 4" xfId="23808" xr:uid="{00000000-0005-0000-0000-0000F25C0000}"/>
    <cellStyle name="0_PLANNING  DOC 6111 REV 1 4 5 5" xfId="23809" xr:uid="{00000000-0005-0000-0000-0000F35C0000}"/>
    <cellStyle name="0_PLANNING  DOC 6111 REV 1 4 5 5 2" xfId="23810" xr:uid="{00000000-0005-0000-0000-0000F45C0000}"/>
    <cellStyle name="0_PLANNING  DOC 6111 REV 1 4 5 5 2 2" xfId="23811" xr:uid="{00000000-0005-0000-0000-0000F55C0000}"/>
    <cellStyle name="0_PLANNING  DOC 6111 REV 1 4 5 5 3" xfId="23812" xr:uid="{00000000-0005-0000-0000-0000F65C0000}"/>
    <cellStyle name="0_PLANNING  DOC 6111 REV 1 4 5 5 3 2" xfId="23813" xr:uid="{00000000-0005-0000-0000-0000F75C0000}"/>
    <cellStyle name="0_PLANNING  DOC 6111 REV 1 4 5 5 4" xfId="23814" xr:uid="{00000000-0005-0000-0000-0000F85C0000}"/>
    <cellStyle name="0_PLANNING  DOC 6111 REV 1 4 5 6" xfId="23815" xr:uid="{00000000-0005-0000-0000-0000F95C0000}"/>
    <cellStyle name="0_PLANNING  DOC 6111 REV 1 4 5 6 2" xfId="23816" xr:uid="{00000000-0005-0000-0000-0000FA5C0000}"/>
    <cellStyle name="0_PLANNING  DOC 6111 REV 1 4 5 7" xfId="23817" xr:uid="{00000000-0005-0000-0000-0000FB5C0000}"/>
    <cellStyle name="0_PLANNING  DOC 6111 REV 1 4 5 7 2" xfId="23818" xr:uid="{00000000-0005-0000-0000-0000FC5C0000}"/>
    <cellStyle name="0_PLANNING  DOC 6111 REV 1 4 5 8" xfId="23819" xr:uid="{00000000-0005-0000-0000-0000FD5C0000}"/>
    <cellStyle name="0_PLANNING  DOC 6111 REV 1 4 6" xfId="23820" xr:uid="{00000000-0005-0000-0000-0000FE5C0000}"/>
    <cellStyle name="0_PLANNING  DOC 6111 REV 1 4 6 2" xfId="23821" xr:uid="{00000000-0005-0000-0000-0000FF5C0000}"/>
    <cellStyle name="0_PLANNING  DOC 6111 REV 1 4 6 2 2" xfId="23822" xr:uid="{00000000-0005-0000-0000-0000005D0000}"/>
    <cellStyle name="0_PLANNING  DOC 6111 REV 1 4 6 2 2 2" xfId="23823" xr:uid="{00000000-0005-0000-0000-0000015D0000}"/>
    <cellStyle name="0_PLANNING  DOC 6111 REV 1 4 6 2 2 2 2" xfId="23824" xr:uid="{00000000-0005-0000-0000-0000025D0000}"/>
    <cellStyle name="0_PLANNING  DOC 6111 REV 1 4 6 2 2 3" xfId="23825" xr:uid="{00000000-0005-0000-0000-0000035D0000}"/>
    <cellStyle name="0_PLANNING  DOC 6111 REV 1 4 6 2 2 3 2" xfId="23826" xr:uid="{00000000-0005-0000-0000-0000045D0000}"/>
    <cellStyle name="0_PLANNING  DOC 6111 REV 1 4 6 2 2 4" xfId="23827" xr:uid="{00000000-0005-0000-0000-0000055D0000}"/>
    <cellStyle name="0_PLANNING  DOC 6111 REV 1 4 6 2 3" xfId="23828" xr:uid="{00000000-0005-0000-0000-0000065D0000}"/>
    <cellStyle name="0_PLANNING  DOC 6111 REV 1 4 6 2 3 2" xfId="23829" xr:uid="{00000000-0005-0000-0000-0000075D0000}"/>
    <cellStyle name="0_PLANNING  DOC 6111 REV 1 4 6 2 3 2 2" xfId="23830" xr:uid="{00000000-0005-0000-0000-0000085D0000}"/>
    <cellStyle name="0_PLANNING  DOC 6111 REV 1 4 6 2 3 3" xfId="23831" xr:uid="{00000000-0005-0000-0000-0000095D0000}"/>
    <cellStyle name="0_PLANNING  DOC 6111 REV 1 4 6 2 3 3 2" xfId="23832" xr:uid="{00000000-0005-0000-0000-00000A5D0000}"/>
    <cellStyle name="0_PLANNING  DOC 6111 REV 1 4 6 2 3 4" xfId="23833" xr:uid="{00000000-0005-0000-0000-00000B5D0000}"/>
    <cellStyle name="0_PLANNING  DOC 6111 REV 1 4 6 2 4" xfId="23834" xr:uid="{00000000-0005-0000-0000-00000C5D0000}"/>
    <cellStyle name="0_PLANNING  DOC 6111 REV 1 4 6 2 4 2" xfId="23835" xr:uid="{00000000-0005-0000-0000-00000D5D0000}"/>
    <cellStyle name="0_PLANNING  DOC 6111 REV 1 4 6 2 5" xfId="23836" xr:uid="{00000000-0005-0000-0000-00000E5D0000}"/>
    <cellStyle name="0_PLANNING  DOC 6111 REV 1 4 6 2 5 2" xfId="23837" xr:uid="{00000000-0005-0000-0000-00000F5D0000}"/>
    <cellStyle name="0_PLANNING  DOC 6111 REV 1 4 6 2 6" xfId="23838" xr:uid="{00000000-0005-0000-0000-0000105D0000}"/>
    <cellStyle name="0_PLANNING  DOC 6111 REV 1 4 6 3" xfId="23839" xr:uid="{00000000-0005-0000-0000-0000115D0000}"/>
    <cellStyle name="0_PLANNING  DOC 6111 REV 1 4 6 3 2" xfId="23840" xr:uid="{00000000-0005-0000-0000-0000125D0000}"/>
    <cellStyle name="0_PLANNING  DOC 6111 REV 1 4 6 3 2 2" xfId="23841" xr:uid="{00000000-0005-0000-0000-0000135D0000}"/>
    <cellStyle name="0_PLANNING  DOC 6111 REV 1 4 6 3 3" xfId="23842" xr:uid="{00000000-0005-0000-0000-0000145D0000}"/>
    <cellStyle name="0_PLANNING  DOC 6111 REV 1 4 6 3 3 2" xfId="23843" xr:uid="{00000000-0005-0000-0000-0000155D0000}"/>
    <cellStyle name="0_PLANNING  DOC 6111 REV 1 4 6 3 4" xfId="23844" xr:uid="{00000000-0005-0000-0000-0000165D0000}"/>
    <cellStyle name="0_PLANNING  DOC 6111 REV 1 4 6 4" xfId="23845" xr:uid="{00000000-0005-0000-0000-0000175D0000}"/>
    <cellStyle name="0_PLANNING  DOC 6111 REV 1 4 6 4 2" xfId="23846" xr:uid="{00000000-0005-0000-0000-0000185D0000}"/>
    <cellStyle name="0_PLANNING  DOC 6111 REV 1 4 6 4 2 2" xfId="23847" xr:uid="{00000000-0005-0000-0000-0000195D0000}"/>
    <cellStyle name="0_PLANNING  DOC 6111 REV 1 4 6 4 3" xfId="23848" xr:uid="{00000000-0005-0000-0000-00001A5D0000}"/>
    <cellStyle name="0_PLANNING  DOC 6111 REV 1 4 6 4 3 2" xfId="23849" xr:uid="{00000000-0005-0000-0000-00001B5D0000}"/>
    <cellStyle name="0_PLANNING  DOC 6111 REV 1 4 6 4 4" xfId="23850" xr:uid="{00000000-0005-0000-0000-00001C5D0000}"/>
    <cellStyle name="0_PLANNING  DOC 6111 REV 1 4 6 5" xfId="23851" xr:uid="{00000000-0005-0000-0000-00001D5D0000}"/>
    <cellStyle name="0_PLANNING  DOC 6111 REV 1 4 6 5 2" xfId="23852" xr:uid="{00000000-0005-0000-0000-00001E5D0000}"/>
    <cellStyle name="0_PLANNING  DOC 6111 REV 1 4 6 5 2 2" xfId="23853" xr:uid="{00000000-0005-0000-0000-00001F5D0000}"/>
    <cellStyle name="0_PLANNING  DOC 6111 REV 1 4 6 5 3" xfId="23854" xr:uid="{00000000-0005-0000-0000-0000205D0000}"/>
    <cellStyle name="0_PLANNING  DOC 6111 REV 1 4 6 5 3 2" xfId="23855" xr:uid="{00000000-0005-0000-0000-0000215D0000}"/>
    <cellStyle name="0_PLANNING  DOC 6111 REV 1 4 6 5 4" xfId="23856" xr:uid="{00000000-0005-0000-0000-0000225D0000}"/>
    <cellStyle name="0_PLANNING  DOC 6111 REV 1 4 6 6" xfId="23857" xr:uid="{00000000-0005-0000-0000-0000235D0000}"/>
    <cellStyle name="0_PLANNING  DOC 6111 REV 1 4 6 6 2" xfId="23858" xr:uid="{00000000-0005-0000-0000-0000245D0000}"/>
    <cellStyle name="0_PLANNING  DOC 6111 REV 1 4 6 7" xfId="23859" xr:uid="{00000000-0005-0000-0000-0000255D0000}"/>
    <cellStyle name="0_PLANNING  DOC 6111 REV 1 4 6 7 2" xfId="23860" xr:uid="{00000000-0005-0000-0000-0000265D0000}"/>
    <cellStyle name="0_PLANNING  DOC 6111 REV 1 4 6 8" xfId="23861" xr:uid="{00000000-0005-0000-0000-0000275D0000}"/>
    <cellStyle name="0_PLANNING  DOC 6111 REV 1 4 7" xfId="23862" xr:uid="{00000000-0005-0000-0000-0000285D0000}"/>
    <cellStyle name="0_PLANNING  DOC 6111 REV 1 4 7 2" xfId="23863" xr:uid="{00000000-0005-0000-0000-0000295D0000}"/>
    <cellStyle name="0_PLANNING  DOC 6111 REV 1 4 7 2 2" xfId="23864" xr:uid="{00000000-0005-0000-0000-00002A5D0000}"/>
    <cellStyle name="0_PLANNING  DOC 6111 REV 1 4 7 2 2 2" xfId="23865" xr:uid="{00000000-0005-0000-0000-00002B5D0000}"/>
    <cellStyle name="0_PLANNING  DOC 6111 REV 1 4 7 2 3" xfId="23866" xr:uid="{00000000-0005-0000-0000-00002C5D0000}"/>
    <cellStyle name="0_PLANNING  DOC 6111 REV 1 4 7 2 3 2" xfId="23867" xr:uid="{00000000-0005-0000-0000-00002D5D0000}"/>
    <cellStyle name="0_PLANNING  DOC 6111 REV 1 4 7 2 4" xfId="23868" xr:uid="{00000000-0005-0000-0000-00002E5D0000}"/>
    <cellStyle name="0_PLANNING  DOC 6111 REV 1 4 7 3" xfId="23869" xr:uid="{00000000-0005-0000-0000-00002F5D0000}"/>
    <cellStyle name="0_PLANNING  DOC 6111 REV 1 4 7 3 2" xfId="23870" xr:uid="{00000000-0005-0000-0000-0000305D0000}"/>
    <cellStyle name="0_PLANNING  DOC 6111 REV 1 4 7 3 2 2" xfId="23871" xr:uid="{00000000-0005-0000-0000-0000315D0000}"/>
    <cellStyle name="0_PLANNING  DOC 6111 REV 1 4 7 3 3" xfId="23872" xr:uid="{00000000-0005-0000-0000-0000325D0000}"/>
    <cellStyle name="0_PLANNING  DOC 6111 REV 1 4 7 3 3 2" xfId="23873" xr:uid="{00000000-0005-0000-0000-0000335D0000}"/>
    <cellStyle name="0_PLANNING  DOC 6111 REV 1 4 7 3 4" xfId="23874" xr:uid="{00000000-0005-0000-0000-0000345D0000}"/>
    <cellStyle name="0_PLANNING  DOC 6111 REV 1 4 7 4" xfId="23875" xr:uid="{00000000-0005-0000-0000-0000355D0000}"/>
    <cellStyle name="0_PLANNING  DOC 6111 REV 1 4 7 4 2" xfId="23876" xr:uid="{00000000-0005-0000-0000-0000365D0000}"/>
    <cellStyle name="0_PLANNING  DOC 6111 REV 1 4 7 5" xfId="23877" xr:uid="{00000000-0005-0000-0000-0000375D0000}"/>
    <cellStyle name="0_PLANNING  DOC 6111 REV 1 4 7 5 2" xfId="23878" xr:uid="{00000000-0005-0000-0000-0000385D0000}"/>
    <cellStyle name="0_PLANNING  DOC 6111 REV 1 4 7 6" xfId="23879" xr:uid="{00000000-0005-0000-0000-0000395D0000}"/>
    <cellStyle name="0_PLANNING  DOC 6111 REV 1 4 8" xfId="23880" xr:uid="{00000000-0005-0000-0000-00003A5D0000}"/>
    <cellStyle name="0_PLANNING  DOC 6111 REV 1 4 8 2" xfId="23881" xr:uid="{00000000-0005-0000-0000-00003B5D0000}"/>
    <cellStyle name="0_PLANNING  DOC 6111 REV 1 4 8 2 2" xfId="23882" xr:uid="{00000000-0005-0000-0000-00003C5D0000}"/>
    <cellStyle name="0_PLANNING  DOC 6111 REV 1 4 8 3" xfId="23883" xr:uid="{00000000-0005-0000-0000-00003D5D0000}"/>
    <cellStyle name="0_PLANNING  DOC 6111 REV 1 4 8 3 2" xfId="23884" xr:uid="{00000000-0005-0000-0000-00003E5D0000}"/>
    <cellStyle name="0_PLANNING  DOC 6111 REV 1 4 8 4" xfId="23885" xr:uid="{00000000-0005-0000-0000-00003F5D0000}"/>
    <cellStyle name="0_PLANNING  DOC 6111 REV 1 4 9" xfId="23886" xr:uid="{00000000-0005-0000-0000-0000405D0000}"/>
    <cellStyle name="0_PLANNING  DOC 6111 REV 1 4 9 2" xfId="23887" xr:uid="{00000000-0005-0000-0000-0000415D0000}"/>
    <cellStyle name="0_PLANNING  DOC 6111 REV 1 4 9 2 2" xfId="23888" xr:uid="{00000000-0005-0000-0000-0000425D0000}"/>
    <cellStyle name="0_PLANNING  DOC 6111 REV 1 4 9 3" xfId="23889" xr:uid="{00000000-0005-0000-0000-0000435D0000}"/>
    <cellStyle name="0_PLANNING  DOC 6111 REV 1 4 9 3 2" xfId="23890" xr:uid="{00000000-0005-0000-0000-0000445D0000}"/>
    <cellStyle name="0_PLANNING  DOC 6111 REV 1 4 9 4" xfId="23891" xr:uid="{00000000-0005-0000-0000-0000455D0000}"/>
    <cellStyle name="0_PLANNING  DOC 6111 REV 1 5" xfId="23892" xr:uid="{00000000-0005-0000-0000-0000465D0000}"/>
    <cellStyle name="0_PLANNING  DOC 6111 REV 1 5 10" xfId="23893" xr:uid="{00000000-0005-0000-0000-0000475D0000}"/>
    <cellStyle name="0_PLANNING  DOC 6111 REV 1 5 10 2" xfId="23894" xr:uid="{00000000-0005-0000-0000-0000485D0000}"/>
    <cellStyle name="0_PLANNING  DOC 6111 REV 1 5 10 2 2" xfId="23895" xr:uid="{00000000-0005-0000-0000-0000495D0000}"/>
    <cellStyle name="0_PLANNING  DOC 6111 REV 1 5 10 3" xfId="23896" xr:uid="{00000000-0005-0000-0000-00004A5D0000}"/>
    <cellStyle name="0_PLANNING  DOC 6111 REV 1 5 10 3 2" xfId="23897" xr:uid="{00000000-0005-0000-0000-00004B5D0000}"/>
    <cellStyle name="0_PLANNING  DOC 6111 REV 1 5 10 4" xfId="23898" xr:uid="{00000000-0005-0000-0000-00004C5D0000}"/>
    <cellStyle name="0_PLANNING  DOC 6111 REV 1 5 11" xfId="23899" xr:uid="{00000000-0005-0000-0000-00004D5D0000}"/>
    <cellStyle name="0_PLANNING  DOC 6111 REV 1 5 11 2" xfId="23900" xr:uid="{00000000-0005-0000-0000-00004E5D0000}"/>
    <cellStyle name="0_PLANNING  DOC 6111 REV 1 5 12" xfId="23901" xr:uid="{00000000-0005-0000-0000-00004F5D0000}"/>
    <cellStyle name="0_PLANNING  DOC 6111 REV 1 5 12 2" xfId="23902" xr:uid="{00000000-0005-0000-0000-0000505D0000}"/>
    <cellStyle name="0_PLANNING  DOC 6111 REV 1 5 13" xfId="23903" xr:uid="{00000000-0005-0000-0000-0000515D0000}"/>
    <cellStyle name="0_PLANNING  DOC 6111 REV 1 5 2" xfId="23904" xr:uid="{00000000-0005-0000-0000-0000525D0000}"/>
    <cellStyle name="0_PLANNING  DOC 6111 REV 1 5 2 2" xfId="23905" xr:uid="{00000000-0005-0000-0000-0000535D0000}"/>
    <cellStyle name="0_PLANNING  DOC 6111 REV 1 5 2 2 2" xfId="23906" xr:uid="{00000000-0005-0000-0000-0000545D0000}"/>
    <cellStyle name="0_PLANNING  DOC 6111 REV 1 5 2 2 2 2" xfId="23907" xr:uid="{00000000-0005-0000-0000-0000555D0000}"/>
    <cellStyle name="0_PLANNING  DOC 6111 REV 1 5 2 2 2 2 2" xfId="23908" xr:uid="{00000000-0005-0000-0000-0000565D0000}"/>
    <cellStyle name="0_PLANNING  DOC 6111 REV 1 5 2 2 2 3" xfId="23909" xr:uid="{00000000-0005-0000-0000-0000575D0000}"/>
    <cellStyle name="0_PLANNING  DOC 6111 REV 1 5 2 2 2 3 2" xfId="23910" xr:uid="{00000000-0005-0000-0000-0000585D0000}"/>
    <cellStyle name="0_PLANNING  DOC 6111 REV 1 5 2 2 2 4" xfId="23911" xr:uid="{00000000-0005-0000-0000-0000595D0000}"/>
    <cellStyle name="0_PLANNING  DOC 6111 REV 1 5 2 2 3" xfId="23912" xr:uid="{00000000-0005-0000-0000-00005A5D0000}"/>
    <cellStyle name="0_PLANNING  DOC 6111 REV 1 5 2 2 3 2" xfId="23913" xr:uid="{00000000-0005-0000-0000-00005B5D0000}"/>
    <cellStyle name="0_PLANNING  DOC 6111 REV 1 5 2 2 3 2 2" xfId="23914" xr:uid="{00000000-0005-0000-0000-00005C5D0000}"/>
    <cellStyle name="0_PLANNING  DOC 6111 REV 1 5 2 2 3 3" xfId="23915" xr:uid="{00000000-0005-0000-0000-00005D5D0000}"/>
    <cellStyle name="0_PLANNING  DOC 6111 REV 1 5 2 2 3 3 2" xfId="23916" xr:uid="{00000000-0005-0000-0000-00005E5D0000}"/>
    <cellStyle name="0_PLANNING  DOC 6111 REV 1 5 2 2 3 4" xfId="23917" xr:uid="{00000000-0005-0000-0000-00005F5D0000}"/>
    <cellStyle name="0_PLANNING  DOC 6111 REV 1 5 2 2 4" xfId="23918" xr:uid="{00000000-0005-0000-0000-0000605D0000}"/>
    <cellStyle name="0_PLANNING  DOC 6111 REV 1 5 2 2 4 2" xfId="23919" xr:uid="{00000000-0005-0000-0000-0000615D0000}"/>
    <cellStyle name="0_PLANNING  DOC 6111 REV 1 5 2 2 5" xfId="23920" xr:uid="{00000000-0005-0000-0000-0000625D0000}"/>
    <cellStyle name="0_PLANNING  DOC 6111 REV 1 5 2 2 5 2" xfId="23921" xr:uid="{00000000-0005-0000-0000-0000635D0000}"/>
    <cellStyle name="0_PLANNING  DOC 6111 REV 1 5 2 2 6" xfId="23922" xr:uid="{00000000-0005-0000-0000-0000645D0000}"/>
    <cellStyle name="0_PLANNING  DOC 6111 REV 1 5 2 3" xfId="23923" xr:uid="{00000000-0005-0000-0000-0000655D0000}"/>
    <cellStyle name="0_PLANNING  DOC 6111 REV 1 5 2 3 2" xfId="23924" xr:uid="{00000000-0005-0000-0000-0000665D0000}"/>
    <cellStyle name="0_PLANNING  DOC 6111 REV 1 5 2 3 2 2" xfId="23925" xr:uid="{00000000-0005-0000-0000-0000675D0000}"/>
    <cellStyle name="0_PLANNING  DOC 6111 REV 1 5 2 3 3" xfId="23926" xr:uid="{00000000-0005-0000-0000-0000685D0000}"/>
    <cellStyle name="0_PLANNING  DOC 6111 REV 1 5 2 3 3 2" xfId="23927" xr:uid="{00000000-0005-0000-0000-0000695D0000}"/>
    <cellStyle name="0_PLANNING  DOC 6111 REV 1 5 2 3 4" xfId="23928" xr:uid="{00000000-0005-0000-0000-00006A5D0000}"/>
    <cellStyle name="0_PLANNING  DOC 6111 REV 1 5 2 4" xfId="23929" xr:uid="{00000000-0005-0000-0000-00006B5D0000}"/>
    <cellStyle name="0_PLANNING  DOC 6111 REV 1 5 2 4 2" xfId="23930" xr:uid="{00000000-0005-0000-0000-00006C5D0000}"/>
    <cellStyle name="0_PLANNING  DOC 6111 REV 1 5 2 4 2 2" xfId="23931" xr:uid="{00000000-0005-0000-0000-00006D5D0000}"/>
    <cellStyle name="0_PLANNING  DOC 6111 REV 1 5 2 4 3" xfId="23932" xr:uid="{00000000-0005-0000-0000-00006E5D0000}"/>
    <cellStyle name="0_PLANNING  DOC 6111 REV 1 5 2 4 3 2" xfId="23933" xr:uid="{00000000-0005-0000-0000-00006F5D0000}"/>
    <cellStyle name="0_PLANNING  DOC 6111 REV 1 5 2 4 4" xfId="23934" xr:uid="{00000000-0005-0000-0000-0000705D0000}"/>
    <cellStyle name="0_PLANNING  DOC 6111 REV 1 5 2 5" xfId="23935" xr:uid="{00000000-0005-0000-0000-0000715D0000}"/>
    <cellStyle name="0_PLANNING  DOC 6111 REV 1 5 2 5 2" xfId="23936" xr:uid="{00000000-0005-0000-0000-0000725D0000}"/>
    <cellStyle name="0_PLANNING  DOC 6111 REV 1 5 2 5 2 2" xfId="23937" xr:uid="{00000000-0005-0000-0000-0000735D0000}"/>
    <cellStyle name="0_PLANNING  DOC 6111 REV 1 5 2 5 3" xfId="23938" xr:uid="{00000000-0005-0000-0000-0000745D0000}"/>
    <cellStyle name="0_PLANNING  DOC 6111 REV 1 5 2 5 3 2" xfId="23939" xr:uid="{00000000-0005-0000-0000-0000755D0000}"/>
    <cellStyle name="0_PLANNING  DOC 6111 REV 1 5 2 5 4" xfId="23940" xr:uid="{00000000-0005-0000-0000-0000765D0000}"/>
    <cellStyle name="0_PLANNING  DOC 6111 REV 1 5 2 6" xfId="23941" xr:uid="{00000000-0005-0000-0000-0000775D0000}"/>
    <cellStyle name="0_PLANNING  DOC 6111 REV 1 5 2 6 2" xfId="23942" xr:uid="{00000000-0005-0000-0000-0000785D0000}"/>
    <cellStyle name="0_PLANNING  DOC 6111 REV 1 5 2 7" xfId="23943" xr:uid="{00000000-0005-0000-0000-0000795D0000}"/>
    <cellStyle name="0_PLANNING  DOC 6111 REV 1 5 2 7 2" xfId="23944" xr:uid="{00000000-0005-0000-0000-00007A5D0000}"/>
    <cellStyle name="0_PLANNING  DOC 6111 REV 1 5 2 8" xfId="23945" xr:uid="{00000000-0005-0000-0000-00007B5D0000}"/>
    <cellStyle name="0_PLANNING  DOC 6111 REV 1 5 3" xfId="23946" xr:uid="{00000000-0005-0000-0000-00007C5D0000}"/>
    <cellStyle name="0_PLANNING  DOC 6111 REV 1 5 3 2" xfId="23947" xr:uid="{00000000-0005-0000-0000-00007D5D0000}"/>
    <cellStyle name="0_PLANNING  DOC 6111 REV 1 5 3 2 2" xfId="23948" xr:uid="{00000000-0005-0000-0000-00007E5D0000}"/>
    <cellStyle name="0_PLANNING  DOC 6111 REV 1 5 3 2 2 2" xfId="23949" xr:uid="{00000000-0005-0000-0000-00007F5D0000}"/>
    <cellStyle name="0_PLANNING  DOC 6111 REV 1 5 3 2 2 2 2" xfId="23950" xr:uid="{00000000-0005-0000-0000-0000805D0000}"/>
    <cellStyle name="0_PLANNING  DOC 6111 REV 1 5 3 2 2 3" xfId="23951" xr:uid="{00000000-0005-0000-0000-0000815D0000}"/>
    <cellStyle name="0_PLANNING  DOC 6111 REV 1 5 3 2 2 3 2" xfId="23952" xr:uid="{00000000-0005-0000-0000-0000825D0000}"/>
    <cellStyle name="0_PLANNING  DOC 6111 REV 1 5 3 2 2 4" xfId="23953" xr:uid="{00000000-0005-0000-0000-0000835D0000}"/>
    <cellStyle name="0_PLANNING  DOC 6111 REV 1 5 3 2 3" xfId="23954" xr:uid="{00000000-0005-0000-0000-0000845D0000}"/>
    <cellStyle name="0_PLANNING  DOC 6111 REV 1 5 3 2 3 2" xfId="23955" xr:uid="{00000000-0005-0000-0000-0000855D0000}"/>
    <cellStyle name="0_PLANNING  DOC 6111 REV 1 5 3 2 3 2 2" xfId="23956" xr:uid="{00000000-0005-0000-0000-0000865D0000}"/>
    <cellStyle name="0_PLANNING  DOC 6111 REV 1 5 3 2 3 3" xfId="23957" xr:uid="{00000000-0005-0000-0000-0000875D0000}"/>
    <cellStyle name="0_PLANNING  DOC 6111 REV 1 5 3 2 3 3 2" xfId="23958" xr:uid="{00000000-0005-0000-0000-0000885D0000}"/>
    <cellStyle name="0_PLANNING  DOC 6111 REV 1 5 3 2 3 4" xfId="23959" xr:uid="{00000000-0005-0000-0000-0000895D0000}"/>
    <cellStyle name="0_PLANNING  DOC 6111 REV 1 5 3 2 4" xfId="23960" xr:uid="{00000000-0005-0000-0000-00008A5D0000}"/>
    <cellStyle name="0_PLANNING  DOC 6111 REV 1 5 3 2 4 2" xfId="23961" xr:uid="{00000000-0005-0000-0000-00008B5D0000}"/>
    <cellStyle name="0_PLANNING  DOC 6111 REV 1 5 3 2 5" xfId="23962" xr:uid="{00000000-0005-0000-0000-00008C5D0000}"/>
    <cellStyle name="0_PLANNING  DOC 6111 REV 1 5 3 2 5 2" xfId="23963" xr:uid="{00000000-0005-0000-0000-00008D5D0000}"/>
    <cellStyle name="0_PLANNING  DOC 6111 REV 1 5 3 2 6" xfId="23964" xr:uid="{00000000-0005-0000-0000-00008E5D0000}"/>
    <cellStyle name="0_PLANNING  DOC 6111 REV 1 5 3 3" xfId="23965" xr:uid="{00000000-0005-0000-0000-00008F5D0000}"/>
    <cellStyle name="0_PLANNING  DOC 6111 REV 1 5 3 3 2" xfId="23966" xr:uid="{00000000-0005-0000-0000-0000905D0000}"/>
    <cellStyle name="0_PLANNING  DOC 6111 REV 1 5 3 3 2 2" xfId="23967" xr:uid="{00000000-0005-0000-0000-0000915D0000}"/>
    <cellStyle name="0_PLANNING  DOC 6111 REV 1 5 3 3 3" xfId="23968" xr:uid="{00000000-0005-0000-0000-0000925D0000}"/>
    <cellStyle name="0_PLANNING  DOC 6111 REV 1 5 3 3 3 2" xfId="23969" xr:uid="{00000000-0005-0000-0000-0000935D0000}"/>
    <cellStyle name="0_PLANNING  DOC 6111 REV 1 5 3 3 4" xfId="23970" xr:uid="{00000000-0005-0000-0000-0000945D0000}"/>
    <cellStyle name="0_PLANNING  DOC 6111 REV 1 5 3 4" xfId="23971" xr:uid="{00000000-0005-0000-0000-0000955D0000}"/>
    <cellStyle name="0_PLANNING  DOC 6111 REV 1 5 3 4 2" xfId="23972" xr:uid="{00000000-0005-0000-0000-0000965D0000}"/>
    <cellStyle name="0_PLANNING  DOC 6111 REV 1 5 3 4 2 2" xfId="23973" xr:uid="{00000000-0005-0000-0000-0000975D0000}"/>
    <cellStyle name="0_PLANNING  DOC 6111 REV 1 5 3 4 3" xfId="23974" xr:uid="{00000000-0005-0000-0000-0000985D0000}"/>
    <cellStyle name="0_PLANNING  DOC 6111 REV 1 5 3 4 3 2" xfId="23975" xr:uid="{00000000-0005-0000-0000-0000995D0000}"/>
    <cellStyle name="0_PLANNING  DOC 6111 REV 1 5 3 4 4" xfId="23976" xr:uid="{00000000-0005-0000-0000-00009A5D0000}"/>
    <cellStyle name="0_PLANNING  DOC 6111 REV 1 5 3 5" xfId="23977" xr:uid="{00000000-0005-0000-0000-00009B5D0000}"/>
    <cellStyle name="0_PLANNING  DOC 6111 REV 1 5 3 5 2" xfId="23978" xr:uid="{00000000-0005-0000-0000-00009C5D0000}"/>
    <cellStyle name="0_PLANNING  DOC 6111 REV 1 5 3 5 2 2" xfId="23979" xr:uid="{00000000-0005-0000-0000-00009D5D0000}"/>
    <cellStyle name="0_PLANNING  DOC 6111 REV 1 5 3 5 3" xfId="23980" xr:uid="{00000000-0005-0000-0000-00009E5D0000}"/>
    <cellStyle name="0_PLANNING  DOC 6111 REV 1 5 3 5 3 2" xfId="23981" xr:uid="{00000000-0005-0000-0000-00009F5D0000}"/>
    <cellStyle name="0_PLANNING  DOC 6111 REV 1 5 3 5 4" xfId="23982" xr:uid="{00000000-0005-0000-0000-0000A05D0000}"/>
    <cellStyle name="0_PLANNING  DOC 6111 REV 1 5 3 6" xfId="23983" xr:uid="{00000000-0005-0000-0000-0000A15D0000}"/>
    <cellStyle name="0_PLANNING  DOC 6111 REV 1 5 3 6 2" xfId="23984" xr:uid="{00000000-0005-0000-0000-0000A25D0000}"/>
    <cellStyle name="0_PLANNING  DOC 6111 REV 1 5 3 7" xfId="23985" xr:uid="{00000000-0005-0000-0000-0000A35D0000}"/>
    <cellStyle name="0_PLANNING  DOC 6111 REV 1 5 3 7 2" xfId="23986" xr:uid="{00000000-0005-0000-0000-0000A45D0000}"/>
    <cellStyle name="0_PLANNING  DOC 6111 REV 1 5 3 8" xfId="23987" xr:uid="{00000000-0005-0000-0000-0000A55D0000}"/>
    <cellStyle name="0_PLANNING  DOC 6111 REV 1 5 4" xfId="23988" xr:uid="{00000000-0005-0000-0000-0000A65D0000}"/>
    <cellStyle name="0_PLANNING  DOC 6111 REV 1 5 4 2" xfId="23989" xr:uid="{00000000-0005-0000-0000-0000A75D0000}"/>
    <cellStyle name="0_PLANNING  DOC 6111 REV 1 5 4 2 2" xfId="23990" xr:uid="{00000000-0005-0000-0000-0000A85D0000}"/>
    <cellStyle name="0_PLANNING  DOC 6111 REV 1 5 4 2 2 2" xfId="23991" xr:uid="{00000000-0005-0000-0000-0000A95D0000}"/>
    <cellStyle name="0_PLANNING  DOC 6111 REV 1 5 4 2 2 2 2" xfId="23992" xr:uid="{00000000-0005-0000-0000-0000AA5D0000}"/>
    <cellStyle name="0_PLANNING  DOC 6111 REV 1 5 4 2 2 3" xfId="23993" xr:uid="{00000000-0005-0000-0000-0000AB5D0000}"/>
    <cellStyle name="0_PLANNING  DOC 6111 REV 1 5 4 2 2 3 2" xfId="23994" xr:uid="{00000000-0005-0000-0000-0000AC5D0000}"/>
    <cellStyle name="0_PLANNING  DOC 6111 REV 1 5 4 2 2 4" xfId="23995" xr:uid="{00000000-0005-0000-0000-0000AD5D0000}"/>
    <cellStyle name="0_PLANNING  DOC 6111 REV 1 5 4 2 3" xfId="23996" xr:uid="{00000000-0005-0000-0000-0000AE5D0000}"/>
    <cellStyle name="0_PLANNING  DOC 6111 REV 1 5 4 2 3 2" xfId="23997" xr:uid="{00000000-0005-0000-0000-0000AF5D0000}"/>
    <cellStyle name="0_PLANNING  DOC 6111 REV 1 5 4 2 3 2 2" xfId="23998" xr:uid="{00000000-0005-0000-0000-0000B05D0000}"/>
    <cellStyle name="0_PLANNING  DOC 6111 REV 1 5 4 2 3 3" xfId="23999" xr:uid="{00000000-0005-0000-0000-0000B15D0000}"/>
    <cellStyle name="0_PLANNING  DOC 6111 REV 1 5 4 2 3 3 2" xfId="24000" xr:uid="{00000000-0005-0000-0000-0000B25D0000}"/>
    <cellStyle name="0_PLANNING  DOC 6111 REV 1 5 4 2 3 4" xfId="24001" xr:uid="{00000000-0005-0000-0000-0000B35D0000}"/>
    <cellStyle name="0_PLANNING  DOC 6111 REV 1 5 4 2 4" xfId="24002" xr:uid="{00000000-0005-0000-0000-0000B45D0000}"/>
    <cellStyle name="0_PLANNING  DOC 6111 REV 1 5 4 2 4 2" xfId="24003" xr:uid="{00000000-0005-0000-0000-0000B55D0000}"/>
    <cellStyle name="0_PLANNING  DOC 6111 REV 1 5 4 2 5" xfId="24004" xr:uid="{00000000-0005-0000-0000-0000B65D0000}"/>
    <cellStyle name="0_PLANNING  DOC 6111 REV 1 5 4 2 5 2" xfId="24005" xr:uid="{00000000-0005-0000-0000-0000B75D0000}"/>
    <cellStyle name="0_PLANNING  DOC 6111 REV 1 5 4 2 6" xfId="24006" xr:uid="{00000000-0005-0000-0000-0000B85D0000}"/>
    <cellStyle name="0_PLANNING  DOC 6111 REV 1 5 4 3" xfId="24007" xr:uid="{00000000-0005-0000-0000-0000B95D0000}"/>
    <cellStyle name="0_PLANNING  DOC 6111 REV 1 5 4 3 2" xfId="24008" xr:uid="{00000000-0005-0000-0000-0000BA5D0000}"/>
    <cellStyle name="0_PLANNING  DOC 6111 REV 1 5 4 3 2 2" xfId="24009" xr:uid="{00000000-0005-0000-0000-0000BB5D0000}"/>
    <cellStyle name="0_PLANNING  DOC 6111 REV 1 5 4 3 3" xfId="24010" xr:uid="{00000000-0005-0000-0000-0000BC5D0000}"/>
    <cellStyle name="0_PLANNING  DOC 6111 REV 1 5 4 3 3 2" xfId="24011" xr:uid="{00000000-0005-0000-0000-0000BD5D0000}"/>
    <cellStyle name="0_PLANNING  DOC 6111 REV 1 5 4 3 4" xfId="24012" xr:uid="{00000000-0005-0000-0000-0000BE5D0000}"/>
    <cellStyle name="0_PLANNING  DOC 6111 REV 1 5 4 4" xfId="24013" xr:uid="{00000000-0005-0000-0000-0000BF5D0000}"/>
    <cellStyle name="0_PLANNING  DOC 6111 REV 1 5 4 4 2" xfId="24014" xr:uid="{00000000-0005-0000-0000-0000C05D0000}"/>
    <cellStyle name="0_PLANNING  DOC 6111 REV 1 5 4 4 2 2" xfId="24015" xr:uid="{00000000-0005-0000-0000-0000C15D0000}"/>
    <cellStyle name="0_PLANNING  DOC 6111 REV 1 5 4 4 3" xfId="24016" xr:uid="{00000000-0005-0000-0000-0000C25D0000}"/>
    <cellStyle name="0_PLANNING  DOC 6111 REV 1 5 4 4 3 2" xfId="24017" xr:uid="{00000000-0005-0000-0000-0000C35D0000}"/>
    <cellStyle name="0_PLANNING  DOC 6111 REV 1 5 4 4 4" xfId="24018" xr:uid="{00000000-0005-0000-0000-0000C45D0000}"/>
    <cellStyle name="0_PLANNING  DOC 6111 REV 1 5 4 5" xfId="24019" xr:uid="{00000000-0005-0000-0000-0000C55D0000}"/>
    <cellStyle name="0_PLANNING  DOC 6111 REV 1 5 4 5 2" xfId="24020" xr:uid="{00000000-0005-0000-0000-0000C65D0000}"/>
    <cellStyle name="0_PLANNING  DOC 6111 REV 1 5 4 5 2 2" xfId="24021" xr:uid="{00000000-0005-0000-0000-0000C75D0000}"/>
    <cellStyle name="0_PLANNING  DOC 6111 REV 1 5 4 5 3" xfId="24022" xr:uid="{00000000-0005-0000-0000-0000C85D0000}"/>
    <cellStyle name="0_PLANNING  DOC 6111 REV 1 5 4 5 3 2" xfId="24023" xr:uid="{00000000-0005-0000-0000-0000C95D0000}"/>
    <cellStyle name="0_PLANNING  DOC 6111 REV 1 5 4 5 4" xfId="24024" xr:uid="{00000000-0005-0000-0000-0000CA5D0000}"/>
    <cellStyle name="0_PLANNING  DOC 6111 REV 1 5 4 6" xfId="24025" xr:uid="{00000000-0005-0000-0000-0000CB5D0000}"/>
    <cellStyle name="0_PLANNING  DOC 6111 REV 1 5 4 6 2" xfId="24026" xr:uid="{00000000-0005-0000-0000-0000CC5D0000}"/>
    <cellStyle name="0_PLANNING  DOC 6111 REV 1 5 4 7" xfId="24027" xr:uid="{00000000-0005-0000-0000-0000CD5D0000}"/>
    <cellStyle name="0_PLANNING  DOC 6111 REV 1 5 4 7 2" xfId="24028" xr:uid="{00000000-0005-0000-0000-0000CE5D0000}"/>
    <cellStyle name="0_PLANNING  DOC 6111 REV 1 5 4 8" xfId="24029" xr:uid="{00000000-0005-0000-0000-0000CF5D0000}"/>
    <cellStyle name="0_PLANNING  DOC 6111 REV 1 5 5" xfId="24030" xr:uid="{00000000-0005-0000-0000-0000D05D0000}"/>
    <cellStyle name="0_PLANNING  DOC 6111 REV 1 5 5 2" xfId="24031" xr:uid="{00000000-0005-0000-0000-0000D15D0000}"/>
    <cellStyle name="0_PLANNING  DOC 6111 REV 1 5 5 2 2" xfId="24032" xr:uid="{00000000-0005-0000-0000-0000D25D0000}"/>
    <cellStyle name="0_PLANNING  DOC 6111 REV 1 5 5 2 2 2" xfId="24033" xr:uid="{00000000-0005-0000-0000-0000D35D0000}"/>
    <cellStyle name="0_PLANNING  DOC 6111 REV 1 5 5 2 2 2 2" xfId="24034" xr:uid="{00000000-0005-0000-0000-0000D45D0000}"/>
    <cellStyle name="0_PLANNING  DOC 6111 REV 1 5 5 2 2 3" xfId="24035" xr:uid="{00000000-0005-0000-0000-0000D55D0000}"/>
    <cellStyle name="0_PLANNING  DOC 6111 REV 1 5 5 2 2 3 2" xfId="24036" xr:uid="{00000000-0005-0000-0000-0000D65D0000}"/>
    <cellStyle name="0_PLANNING  DOC 6111 REV 1 5 5 2 2 4" xfId="24037" xr:uid="{00000000-0005-0000-0000-0000D75D0000}"/>
    <cellStyle name="0_PLANNING  DOC 6111 REV 1 5 5 2 3" xfId="24038" xr:uid="{00000000-0005-0000-0000-0000D85D0000}"/>
    <cellStyle name="0_PLANNING  DOC 6111 REV 1 5 5 2 3 2" xfId="24039" xr:uid="{00000000-0005-0000-0000-0000D95D0000}"/>
    <cellStyle name="0_PLANNING  DOC 6111 REV 1 5 5 2 3 2 2" xfId="24040" xr:uid="{00000000-0005-0000-0000-0000DA5D0000}"/>
    <cellStyle name="0_PLANNING  DOC 6111 REV 1 5 5 2 3 3" xfId="24041" xr:uid="{00000000-0005-0000-0000-0000DB5D0000}"/>
    <cellStyle name="0_PLANNING  DOC 6111 REV 1 5 5 2 3 3 2" xfId="24042" xr:uid="{00000000-0005-0000-0000-0000DC5D0000}"/>
    <cellStyle name="0_PLANNING  DOC 6111 REV 1 5 5 2 3 4" xfId="24043" xr:uid="{00000000-0005-0000-0000-0000DD5D0000}"/>
    <cellStyle name="0_PLANNING  DOC 6111 REV 1 5 5 2 4" xfId="24044" xr:uid="{00000000-0005-0000-0000-0000DE5D0000}"/>
    <cellStyle name="0_PLANNING  DOC 6111 REV 1 5 5 2 4 2" xfId="24045" xr:uid="{00000000-0005-0000-0000-0000DF5D0000}"/>
    <cellStyle name="0_PLANNING  DOC 6111 REV 1 5 5 2 5" xfId="24046" xr:uid="{00000000-0005-0000-0000-0000E05D0000}"/>
    <cellStyle name="0_PLANNING  DOC 6111 REV 1 5 5 2 5 2" xfId="24047" xr:uid="{00000000-0005-0000-0000-0000E15D0000}"/>
    <cellStyle name="0_PLANNING  DOC 6111 REV 1 5 5 2 6" xfId="24048" xr:uid="{00000000-0005-0000-0000-0000E25D0000}"/>
    <cellStyle name="0_PLANNING  DOC 6111 REV 1 5 5 3" xfId="24049" xr:uid="{00000000-0005-0000-0000-0000E35D0000}"/>
    <cellStyle name="0_PLANNING  DOC 6111 REV 1 5 5 3 2" xfId="24050" xr:uid="{00000000-0005-0000-0000-0000E45D0000}"/>
    <cellStyle name="0_PLANNING  DOC 6111 REV 1 5 5 3 2 2" xfId="24051" xr:uid="{00000000-0005-0000-0000-0000E55D0000}"/>
    <cellStyle name="0_PLANNING  DOC 6111 REV 1 5 5 3 3" xfId="24052" xr:uid="{00000000-0005-0000-0000-0000E65D0000}"/>
    <cellStyle name="0_PLANNING  DOC 6111 REV 1 5 5 3 3 2" xfId="24053" xr:uid="{00000000-0005-0000-0000-0000E75D0000}"/>
    <cellStyle name="0_PLANNING  DOC 6111 REV 1 5 5 3 4" xfId="24054" xr:uid="{00000000-0005-0000-0000-0000E85D0000}"/>
    <cellStyle name="0_PLANNING  DOC 6111 REV 1 5 5 4" xfId="24055" xr:uid="{00000000-0005-0000-0000-0000E95D0000}"/>
    <cellStyle name="0_PLANNING  DOC 6111 REV 1 5 5 4 2" xfId="24056" xr:uid="{00000000-0005-0000-0000-0000EA5D0000}"/>
    <cellStyle name="0_PLANNING  DOC 6111 REV 1 5 5 4 2 2" xfId="24057" xr:uid="{00000000-0005-0000-0000-0000EB5D0000}"/>
    <cellStyle name="0_PLANNING  DOC 6111 REV 1 5 5 4 3" xfId="24058" xr:uid="{00000000-0005-0000-0000-0000EC5D0000}"/>
    <cellStyle name="0_PLANNING  DOC 6111 REV 1 5 5 4 3 2" xfId="24059" xr:uid="{00000000-0005-0000-0000-0000ED5D0000}"/>
    <cellStyle name="0_PLANNING  DOC 6111 REV 1 5 5 4 4" xfId="24060" xr:uid="{00000000-0005-0000-0000-0000EE5D0000}"/>
    <cellStyle name="0_PLANNING  DOC 6111 REV 1 5 5 5" xfId="24061" xr:uid="{00000000-0005-0000-0000-0000EF5D0000}"/>
    <cellStyle name="0_PLANNING  DOC 6111 REV 1 5 5 5 2" xfId="24062" xr:uid="{00000000-0005-0000-0000-0000F05D0000}"/>
    <cellStyle name="0_PLANNING  DOC 6111 REV 1 5 5 5 2 2" xfId="24063" xr:uid="{00000000-0005-0000-0000-0000F15D0000}"/>
    <cellStyle name="0_PLANNING  DOC 6111 REV 1 5 5 5 3" xfId="24064" xr:uid="{00000000-0005-0000-0000-0000F25D0000}"/>
    <cellStyle name="0_PLANNING  DOC 6111 REV 1 5 5 5 3 2" xfId="24065" xr:uid="{00000000-0005-0000-0000-0000F35D0000}"/>
    <cellStyle name="0_PLANNING  DOC 6111 REV 1 5 5 5 4" xfId="24066" xr:uid="{00000000-0005-0000-0000-0000F45D0000}"/>
    <cellStyle name="0_PLANNING  DOC 6111 REV 1 5 5 6" xfId="24067" xr:uid="{00000000-0005-0000-0000-0000F55D0000}"/>
    <cellStyle name="0_PLANNING  DOC 6111 REV 1 5 5 6 2" xfId="24068" xr:uid="{00000000-0005-0000-0000-0000F65D0000}"/>
    <cellStyle name="0_PLANNING  DOC 6111 REV 1 5 5 7" xfId="24069" xr:uid="{00000000-0005-0000-0000-0000F75D0000}"/>
    <cellStyle name="0_PLANNING  DOC 6111 REV 1 5 5 7 2" xfId="24070" xr:uid="{00000000-0005-0000-0000-0000F85D0000}"/>
    <cellStyle name="0_PLANNING  DOC 6111 REV 1 5 5 8" xfId="24071" xr:uid="{00000000-0005-0000-0000-0000F95D0000}"/>
    <cellStyle name="0_PLANNING  DOC 6111 REV 1 5 6" xfId="24072" xr:uid="{00000000-0005-0000-0000-0000FA5D0000}"/>
    <cellStyle name="0_PLANNING  DOC 6111 REV 1 5 6 2" xfId="24073" xr:uid="{00000000-0005-0000-0000-0000FB5D0000}"/>
    <cellStyle name="0_PLANNING  DOC 6111 REV 1 5 6 2 2" xfId="24074" xr:uid="{00000000-0005-0000-0000-0000FC5D0000}"/>
    <cellStyle name="0_PLANNING  DOC 6111 REV 1 5 6 2 2 2" xfId="24075" xr:uid="{00000000-0005-0000-0000-0000FD5D0000}"/>
    <cellStyle name="0_PLANNING  DOC 6111 REV 1 5 6 2 2 2 2" xfId="24076" xr:uid="{00000000-0005-0000-0000-0000FE5D0000}"/>
    <cellStyle name="0_PLANNING  DOC 6111 REV 1 5 6 2 2 3" xfId="24077" xr:uid="{00000000-0005-0000-0000-0000FF5D0000}"/>
    <cellStyle name="0_PLANNING  DOC 6111 REV 1 5 6 2 2 3 2" xfId="24078" xr:uid="{00000000-0005-0000-0000-0000005E0000}"/>
    <cellStyle name="0_PLANNING  DOC 6111 REV 1 5 6 2 2 4" xfId="24079" xr:uid="{00000000-0005-0000-0000-0000015E0000}"/>
    <cellStyle name="0_PLANNING  DOC 6111 REV 1 5 6 2 3" xfId="24080" xr:uid="{00000000-0005-0000-0000-0000025E0000}"/>
    <cellStyle name="0_PLANNING  DOC 6111 REV 1 5 6 2 3 2" xfId="24081" xr:uid="{00000000-0005-0000-0000-0000035E0000}"/>
    <cellStyle name="0_PLANNING  DOC 6111 REV 1 5 6 2 3 2 2" xfId="24082" xr:uid="{00000000-0005-0000-0000-0000045E0000}"/>
    <cellStyle name="0_PLANNING  DOC 6111 REV 1 5 6 2 3 3" xfId="24083" xr:uid="{00000000-0005-0000-0000-0000055E0000}"/>
    <cellStyle name="0_PLANNING  DOC 6111 REV 1 5 6 2 3 3 2" xfId="24084" xr:uid="{00000000-0005-0000-0000-0000065E0000}"/>
    <cellStyle name="0_PLANNING  DOC 6111 REV 1 5 6 2 3 4" xfId="24085" xr:uid="{00000000-0005-0000-0000-0000075E0000}"/>
    <cellStyle name="0_PLANNING  DOC 6111 REV 1 5 6 2 4" xfId="24086" xr:uid="{00000000-0005-0000-0000-0000085E0000}"/>
    <cellStyle name="0_PLANNING  DOC 6111 REV 1 5 6 2 4 2" xfId="24087" xr:uid="{00000000-0005-0000-0000-0000095E0000}"/>
    <cellStyle name="0_PLANNING  DOC 6111 REV 1 5 6 2 5" xfId="24088" xr:uid="{00000000-0005-0000-0000-00000A5E0000}"/>
    <cellStyle name="0_PLANNING  DOC 6111 REV 1 5 6 2 5 2" xfId="24089" xr:uid="{00000000-0005-0000-0000-00000B5E0000}"/>
    <cellStyle name="0_PLANNING  DOC 6111 REV 1 5 6 2 6" xfId="24090" xr:uid="{00000000-0005-0000-0000-00000C5E0000}"/>
    <cellStyle name="0_PLANNING  DOC 6111 REV 1 5 6 3" xfId="24091" xr:uid="{00000000-0005-0000-0000-00000D5E0000}"/>
    <cellStyle name="0_PLANNING  DOC 6111 REV 1 5 6 3 2" xfId="24092" xr:uid="{00000000-0005-0000-0000-00000E5E0000}"/>
    <cellStyle name="0_PLANNING  DOC 6111 REV 1 5 6 3 2 2" xfId="24093" xr:uid="{00000000-0005-0000-0000-00000F5E0000}"/>
    <cellStyle name="0_PLANNING  DOC 6111 REV 1 5 6 3 3" xfId="24094" xr:uid="{00000000-0005-0000-0000-0000105E0000}"/>
    <cellStyle name="0_PLANNING  DOC 6111 REV 1 5 6 3 3 2" xfId="24095" xr:uid="{00000000-0005-0000-0000-0000115E0000}"/>
    <cellStyle name="0_PLANNING  DOC 6111 REV 1 5 6 3 4" xfId="24096" xr:uid="{00000000-0005-0000-0000-0000125E0000}"/>
    <cellStyle name="0_PLANNING  DOC 6111 REV 1 5 6 4" xfId="24097" xr:uid="{00000000-0005-0000-0000-0000135E0000}"/>
    <cellStyle name="0_PLANNING  DOC 6111 REV 1 5 6 4 2" xfId="24098" xr:uid="{00000000-0005-0000-0000-0000145E0000}"/>
    <cellStyle name="0_PLANNING  DOC 6111 REV 1 5 6 4 2 2" xfId="24099" xr:uid="{00000000-0005-0000-0000-0000155E0000}"/>
    <cellStyle name="0_PLANNING  DOC 6111 REV 1 5 6 4 3" xfId="24100" xr:uid="{00000000-0005-0000-0000-0000165E0000}"/>
    <cellStyle name="0_PLANNING  DOC 6111 REV 1 5 6 4 3 2" xfId="24101" xr:uid="{00000000-0005-0000-0000-0000175E0000}"/>
    <cellStyle name="0_PLANNING  DOC 6111 REV 1 5 6 4 4" xfId="24102" xr:uid="{00000000-0005-0000-0000-0000185E0000}"/>
    <cellStyle name="0_PLANNING  DOC 6111 REV 1 5 6 5" xfId="24103" xr:uid="{00000000-0005-0000-0000-0000195E0000}"/>
    <cellStyle name="0_PLANNING  DOC 6111 REV 1 5 6 5 2" xfId="24104" xr:uid="{00000000-0005-0000-0000-00001A5E0000}"/>
    <cellStyle name="0_PLANNING  DOC 6111 REV 1 5 6 5 2 2" xfId="24105" xr:uid="{00000000-0005-0000-0000-00001B5E0000}"/>
    <cellStyle name="0_PLANNING  DOC 6111 REV 1 5 6 5 3" xfId="24106" xr:uid="{00000000-0005-0000-0000-00001C5E0000}"/>
    <cellStyle name="0_PLANNING  DOC 6111 REV 1 5 6 5 3 2" xfId="24107" xr:uid="{00000000-0005-0000-0000-00001D5E0000}"/>
    <cellStyle name="0_PLANNING  DOC 6111 REV 1 5 6 5 4" xfId="24108" xr:uid="{00000000-0005-0000-0000-00001E5E0000}"/>
    <cellStyle name="0_PLANNING  DOC 6111 REV 1 5 6 6" xfId="24109" xr:uid="{00000000-0005-0000-0000-00001F5E0000}"/>
    <cellStyle name="0_PLANNING  DOC 6111 REV 1 5 6 6 2" xfId="24110" xr:uid="{00000000-0005-0000-0000-0000205E0000}"/>
    <cellStyle name="0_PLANNING  DOC 6111 REV 1 5 6 7" xfId="24111" xr:uid="{00000000-0005-0000-0000-0000215E0000}"/>
    <cellStyle name="0_PLANNING  DOC 6111 REV 1 5 6 7 2" xfId="24112" xr:uid="{00000000-0005-0000-0000-0000225E0000}"/>
    <cellStyle name="0_PLANNING  DOC 6111 REV 1 5 6 8" xfId="24113" xr:uid="{00000000-0005-0000-0000-0000235E0000}"/>
    <cellStyle name="0_PLANNING  DOC 6111 REV 1 5 7" xfId="24114" xr:uid="{00000000-0005-0000-0000-0000245E0000}"/>
    <cellStyle name="0_PLANNING  DOC 6111 REV 1 5 7 2" xfId="24115" xr:uid="{00000000-0005-0000-0000-0000255E0000}"/>
    <cellStyle name="0_PLANNING  DOC 6111 REV 1 5 7 2 2" xfId="24116" xr:uid="{00000000-0005-0000-0000-0000265E0000}"/>
    <cellStyle name="0_PLANNING  DOC 6111 REV 1 5 7 2 2 2" xfId="24117" xr:uid="{00000000-0005-0000-0000-0000275E0000}"/>
    <cellStyle name="0_PLANNING  DOC 6111 REV 1 5 7 2 3" xfId="24118" xr:uid="{00000000-0005-0000-0000-0000285E0000}"/>
    <cellStyle name="0_PLANNING  DOC 6111 REV 1 5 7 2 3 2" xfId="24119" xr:uid="{00000000-0005-0000-0000-0000295E0000}"/>
    <cellStyle name="0_PLANNING  DOC 6111 REV 1 5 7 2 4" xfId="24120" xr:uid="{00000000-0005-0000-0000-00002A5E0000}"/>
    <cellStyle name="0_PLANNING  DOC 6111 REV 1 5 7 3" xfId="24121" xr:uid="{00000000-0005-0000-0000-00002B5E0000}"/>
    <cellStyle name="0_PLANNING  DOC 6111 REV 1 5 7 3 2" xfId="24122" xr:uid="{00000000-0005-0000-0000-00002C5E0000}"/>
    <cellStyle name="0_PLANNING  DOC 6111 REV 1 5 7 3 2 2" xfId="24123" xr:uid="{00000000-0005-0000-0000-00002D5E0000}"/>
    <cellStyle name="0_PLANNING  DOC 6111 REV 1 5 7 3 3" xfId="24124" xr:uid="{00000000-0005-0000-0000-00002E5E0000}"/>
    <cellStyle name="0_PLANNING  DOC 6111 REV 1 5 7 3 3 2" xfId="24125" xr:uid="{00000000-0005-0000-0000-00002F5E0000}"/>
    <cellStyle name="0_PLANNING  DOC 6111 REV 1 5 7 3 4" xfId="24126" xr:uid="{00000000-0005-0000-0000-0000305E0000}"/>
    <cellStyle name="0_PLANNING  DOC 6111 REV 1 5 7 4" xfId="24127" xr:uid="{00000000-0005-0000-0000-0000315E0000}"/>
    <cellStyle name="0_PLANNING  DOC 6111 REV 1 5 7 4 2" xfId="24128" xr:uid="{00000000-0005-0000-0000-0000325E0000}"/>
    <cellStyle name="0_PLANNING  DOC 6111 REV 1 5 7 5" xfId="24129" xr:uid="{00000000-0005-0000-0000-0000335E0000}"/>
    <cellStyle name="0_PLANNING  DOC 6111 REV 1 5 7 5 2" xfId="24130" xr:uid="{00000000-0005-0000-0000-0000345E0000}"/>
    <cellStyle name="0_PLANNING  DOC 6111 REV 1 5 7 6" xfId="24131" xr:uid="{00000000-0005-0000-0000-0000355E0000}"/>
    <cellStyle name="0_PLANNING  DOC 6111 REV 1 5 8" xfId="24132" xr:uid="{00000000-0005-0000-0000-0000365E0000}"/>
    <cellStyle name="0_PLANNING  DOC 6111 REV 1 5 8 2" xfId="24133" xr:uid="{00000000-0005-0000-0000-0000375E0000}"/>
    <cellStyle name="0_PLANNING  DOC 6111 REV 1 5 8 2 2" xfId="24134" xr:uid="{00000000-0005-0000-0000-0000385E0000}"/>
    <cellStyle name="0_PLANNING  DOC 6111 REV 1 5 8 3" xfId="24135" xr:uid="{00000000-0005-0000-0000-0000395E0000}"/>
    <cellStyle name="0_PLANNING  DOC 6111 REV 1 5 8 3 2" xfId="24136" xr:uid="{00000000-0005-0000-0000-00003A5E0000}"/>
    <cellStyle name="0_PLANNING  DOC 6111 REV 1 5 8 4" xfId="24137" xr:uid="{00000000-0005-0000-0000-00003B5E0000}"/>
    <cellStyle name="0_PLANNING  DOC 6111 REV 1 5 9" xfId="24138" xr:uid="{00000000-0005-0000-0000-00003C5E0000}"/>
    <cellStyle name="0_PLANNING  DOC 6111 REV 1 5 9 2" xfId="24139" xr:uid="{00000000-0005-0000-0000-00003D5E0000}"/>
    <cellStyle name="0_PLANNING  DOC 6111 REV 1 5 9 2 2" xfId="24140" xr:uid="{00000000-0005-0000-0000-00003E5E0000}"/>
    <cellStyle name="0_PLANNING  DOC 6111 REV 1 5 9 3" xfId="24141" xr:uid="{00000000-0005-0000-0000-00003F5E0000}"/>
    <cellStyle name="0_PLANNING  DOC 6111 REV 1 5 9 3 2" xfId="24142" xr:uid="{00000000-0005-0000-0000-0000405E0000}"/>
    <cellStyle name="0_PLANNING  DOC 6111 REV 1 5 9 4" xfId="24143" xr:uid="{00000000-0005-0000-0000-0000415E0000}"/>
    <cellStyle name="0_PLANNING  DOC 6111 REV 1 6" xfId="24144" xr:uid="{00000000-0005-0000-0000-0000425E0000}"/>
    <cellStyle name="0_PLANNING  DOC 6111 REV 1 6 2" xfId="24145" xr:uid="{00000000-0005-0000-0000-0000435E0000}"/>
    <cellStyle name="0_PLANNING  DOC 6111 REV 1 6 2 2" xfId="24146" xr:uid="{00000000-0005-0000-0000-0000445E0000}"/>
    <cellStyle name="0_PLANNING  DOC 6111 REV 1 6 2 2 2" xfId="24147" xr:uid="{00000000-0005-0000-0000-0000455E0000}"/>
    <cellStyle name="0_PLANNING  DOC 6111 REV 1 6 2 2 2 2" xfId="24148" xr:uid="{00000000-0005-0000-0000-0000465E0000}"/>
    <cellStyle name="0_PLANNING  DOC 6111 REV 1 6 2 2 3" xfId="24149" xr:uid="{00000000-0005-0000-0000-0000475E0000}"/>
    <cellStyle name="0_PLANNING  DOC 6111 REV 1 6 2 2 3 2" xfId="24150" xr:uid="{00000000-0005-0000-0000-0000485E0000}"/>
    <cellStyle name="0_PLANNING  DOC 6111 REV 1 6 2 2 4" xfId="24151" xr:uid="{00000000-0005-0000-0000-0000495E0000}"/>
    <cellStyle name="0_PLANNING  DOC 6111 REV 1 6 2 3" xfId="24152" xr:uid="{00000000-0005-0000-0000-00004A5E0000}"/>
    <cellStyle name="0_PLANNING  DOC 6111 REV 1 6 2 3 2" xfId="24153" xr:uid="{00000000-0005-0000-0000-00004B5E0000}"/>
    <cellStyle name="0_PLANNING  DOC 6111 REV 1 6 2 3 2 2" xfId="24154" xr:uid="{00000000-0005-0000-0000-00004C5E0000}"/>
    <cellStyle name="0_PLANNING  DOC 6111 REV 1 6 2 3 3" xfId="24155" xr:uid="{00000000-0005-0000-0000-00004D5E0000}"/>
    <cellStyle name="0_PLANNING  DOC 6111 REV 1 6 2 3 3 2" xfId="24156" xr:uid="{00000000-0005-0000-0000-00004E5E0000}"/>
    <cellStyle name="0_PLANNING  DOC 6111 REV 1 6 2 3 4" xfId="24157" xr:uid="{00000000-0005-0000-0000-00004F5E0000}"/>
    <cellStyle name="0_PLANNING  DOC 6111 REV 1 6 2 4" xfId="24158" xr:uid="{00000000-0005-0000-0000-0000505E0000}"/>
    <cellStyle name="0_PLANNING  DOC 6111 REV 1 6 2 4 2" xfId="24159" xr:uid="{00000000-0005-0000-0000-0000515E0000}"/>
    <cellStyle name="0_PLANNING  DOC 6111 REV 1 6 2 5" xfId="24160" xr:uid="{00000000-0005-0000-0000-0000525E0000}"/>
    <cellStyle name="0_PLANNING  DOC 6111 REV 1 6 2 5 2" xfId="24161" xr:uid="{00000000-0005-0000-0000-0000535E0000}"/>
    <cellStyle name="0_PLANNING  DOC 6111 REV 1 6 2 6" xfId="24162" xr:uid="{00000000-0005-0000-0000-0000545E0000}"/>
    <cellStyle name="0_PLANNING  DOC 6111 REV 1 6 3" xfId="24163" xr:uid="{00000000-0005-0000-0000-0000555E0000}"/>
    <cellStyle name="0_PLANNING  DOC 6111 REV 1 6 3 2" xfId="24164" xr:uid="{00000000-0005-0000-0000-0000565E0000}"/>
    <cellStyle name="0_PLANNING  DOC 6111 REV 1 6 3 2 2" xfId="24165" xr:uid="{00000000-0005-0000-0000-0000575E0000}"/>
    <cellStyle name="0_PLANNING  DOC 6111 REV 1 6 3 3" xfId="24166" xr:uid="{00000000-0005-0000-0000-0000585E0000}"/>
    <cellStyle name="0_PLANNING  DOC 6111 REV 1 6 3 3 2" xfId="24167" xr:uid="{00000000-0005-0000-0000-0000595E0000}"/>
    <cellStyle name="0_PLANNING  DOC 6111 REV 1 6 3 4" xfId="24168" xr:uid="{00000000-0005-0000-0000-00005A5E0000}"/>
    <cellStyle name="0_PLANNING  DOC 6111 REV 1 6 4" xfId="24169" xr:uid="{00000000-0005-0000-0000-00005B5E0000}"/>
    <cellStyle name="0_PLANNING  DOC 6111 REV 1 6 4 2" xfId="24170" xr:uid="{00000000-0005-0000-0000-00005C5E0000}"/>
    <cellStyle name="0_PLANNING  DOC 6111 REV 1 6 4 2 2" xfId="24171" xr:uid="{00000000-0005-0000-0000-00005D5E0000}"/>
    <cellStyle name="0_PLANNING  DOC 6111 REV 1 6 4 3" xfId="24172" xr:uid="{00000000-0005-0000-0000-00005E5E0000}"/>
    <cellStyle name="0_PLANNING  DOC 6111 REV 1 6 4 3 2" xfId="24173" xr:uid="{00000000-0005-0000-0000-00005F5E0000}"/>
    <cellStyle name="0_PLANNING  DOC 6111 REV 1 6 4 4" xfId="24174" xr:uid="{00000000-0005-0000-0000-0000605E0000}"/>
    <cellStyle name="0_PLANNING  DOC 6111 REV 1 6 5" xfId="24175" xr:uid="{00000000-0005-0000-0000-0000615E0000}"/>
    <cellStyle name="0_PLANNING  DOC 6111 REV 1 6 5 2" xfId="24176" xr:uid="{00000000-0005-0000-0000-0000625E0000}"/>
    <cellStyle name="0_PLANNING  DOC 6111 REV 1 6 5 2 2" xfId="24177" xr:uid="{00000000-0005-0000-0000-0000635E0000}"/>
    <cellStyle name="0_PLANNING  DOC 6111 REV 1 6 5 3" xfId="24178" xr:uid="{00000000-0005-0000-0000-0000645E0000}"/>
    <cellStyle name="0_PLANNING  DOC 6111 REV 1 6 5 3 2" xfId="24179" xr:uid="{00000000-0005-0000-0000-0000655E0000}"/>
    <cellStyle name="0_PLANNING  DOC 6111 REV 1 6 5 4" xfId="24180" xr:uid="{00000000-0005-0000-0000-0000665E0000}"/>
    <cellStyle name="0_PLANNING  DOC 6111 REV 1 6 6" xfId="24181" xr:uid="{00000000-0005-0000-0000-0000675E0000}"/>
    <cellStyle name="0_PLANNING  DOC 6111 REV 1 6 6 2" xfId="24182" xr:uid="{00000000-0005-0000-0000-0000685E0000}"/>
    <cellStyle name="0_PLANNING  DOC 6111 REV 1 6 7" xfId="24183" xr:uid="{00000000-0005-0000-0000-0000695E0000}"/>
    <cellStyle name="0_PLANNING  DOC 6111 REV 1 6 7 2" xfId="24184" xr:uid="{00000000-0005-0000-0000-00006A5E0000}"/>
    <cellStyle name="0_PLANNING  DOC 6111 REV 1 6 8" xfId="24185" xr:uid="{00000000-0005-0000-0000-00006B5E0000}"/>
    <cellStyle name="0_PLANNING  DOC 6111 REV 1 7" xfId="24186" xr:uid="{00000000-0005-0000-0000-00006C5E0000}"/>
    <cellStyle name="0_PLANNING  DOC 6111 REV 1 7 2" xfId="24187" xr:uid="{00000000-0005-0000-0000-00006D5E0000}"/>
    <cellStyle name="0_PLANNING  DOC 6111 REV 1 7 2 2" xfId="24188" xr:uid="{00000000-0005-0000-0000-00006E5E0000}"/>
    <cellStyle name="0_PLANNING  DOC 6111 REV 1 7 2 2 2" xfId="24189" xr:uid="{00000000-0005-0000-0000-00006F5E0000}"/>
    <cellStyle name="0_PLANNING  DOC 6111 REV 1 7 2 3" xfId="24190" xr:uid="{00000000-0005-0000-0000-0000705E0000}"/>
    <cellStyle name="0_PLANNING  DOC 6111 REV 1 7 2 3 2" xfId="24191" xr:uid="{00000000-0005-0000-0000-0000715E0000}"/>
    <cellStyle name="0_PLANNING  DOC 6111 REV 1 7 2 4" xfId="24192" xr:uid="{00000000-0005-0000-0000-0000725E0000}"/>
    <cellStyle name="0_PLANNING  DOC 6111 REV 1 7 3" xfId="24193" xr:uid="{00000000-0005-0000-0000-0000735E0000}"/>
    <cellStyle name="0_PLANNING  DOC 6111 REV 1 7 3 2" xfId="24194" xr:uid="{00000000-0005-0000-0000-0000745E0000}"/>
    <cellStyle name="0_PLANNING  DOC 6111 REV 1 7 3 2 2" xfId="24195" xr:uid="{00000000-0005-0000-0000-0000755E0000}"/>
    <cellStyle name="0_PLANNING  DOC 6111 REV 1 7 3 3" xfId="24196" xr:uid="{00000000-0005-0000-0000-0000765E0000}"/>
    <cellStyle name="0_PLANNING  DOC 6111 REV 1 7 3 3 2" xfId="24197" xr:uid="{00000000-0005-0000-0000-0000775E0000}"/>
    <cellStyle name="0_PLANNING  DOC 6111 REV 1 7 3 4" xfId="24198" xr:uid="{00000000-0005-0000-0000-0000785E0000}"/>
    <cellStyle name="0_PLANNING  DOC 6111 REV 1 7 4" xfId="24199" xr:uid="{00000000-0005-0000-0000-0000795E0000}"/>
    <cellStyle name="0_PLANNING  DOC 6111 REV 1 7 4 2" xfId="24200" xr:uid="{00000000-0005-0000-0000-00007A5E0000}"/>
    <cellStyle name="0_PLANNING  DOC 6111 REV 1 7 5" xfId="24201" xr:uid="{00000000-0005-0000-0000-00007B5E0000}"/>
    <cellStyle name="0_PLANNING  DOC 6111 REV 1 7 5 2" xfId="24202" xr:uid="{00000000-0005-0000-0000-00007C5E0000}"/>
    <cellStyle name="0_PLANNING  DOC 6111 REV 1 7 6" xfId="24203" xr:uid="{00000000-0005-0000-0000-00007D5E0000}"/>
    <cellStyle name="0_PLANNING  DOC 6111 REV 1 8" xfId="24204" xr:uid="{00000000-0005-0000-0000-00007E5E0000}"/>
    <cellStyle name="0_PLANNING  DOC 6111 REV 1 8 2" xfId="24205" xr:uid="{00000000-0005-0000-0000-00007F5E0000}"/>
    <cellStyle name="0_PLANNING  DOC 6111 REV 1 8 2 2" xfId="24206" xr:uid="{00000000-0005-0000-0000-0000805E0000}"/>
    <cellStyle name="0_PLANNING  DOC 6111 REV 1 8 2 2 2" xfId="24207" xr:uid="{00000000-0005-0000-0000-0000815E0000}"/>
    <cellStyle name="0_PLANNING  DOC 6111 REV 1 8 2 3" xfId="24208" xr:uid="{00000000-0005-0000-0000-0000825E0000}"/>
    <cellStyle name="0_PLANNING  DOC 6111 REV 1 8 2 3 2" xfId="24209" xr:uid="{00000000-0005-0000-0000-0000835E0000}"/>
    <cellStyle name="0_PLANNING  DOC 6111 REV 1 8 2 4" xfId="24210" xr:uid="{00000000-0005-0000-0000-0000845E0000}"/>
    <cellStyle name="0_PLANNING  DOC 6111 REV 1 8 3" xfId="24211" xr:uid="{00000000-0005-0000-0000-0000855E0000}"/>
    <cellStyle name="0_PLANNING  DOC 6111 REV 1 8 3 2" xfId="24212" xr:uid="{00000000-0005-0000-0000-0000865E0000}"/>
    <cellStyle name="0_PLANNING  DOC 6111 REV 1 8 3 2 2" xfId="24213" xr:uid="{00000000-0005-0000-0000-0000875E0000}"/>
    <cellStyle name="0_PLANNING  DOC 6111 REV 1 8 3 3" xfId="24214" xr:uid="{00000000-0005-0000-0000-0000885E0000}"/>
    <cellStyle name="0_PLANNING  DOC 6111 REV 1 8 3 3 2" xfId="24215" xr:uid="{00000000-0005-0000-0000-0000895E0000}"/>
    <cellStyle name="0_PLANNING  DOC 6111 REV 1 8 3 4" xfId="24216" xr:uid="{00000000-0005-0000-0000-00008A5E0000}"/>
    <cellStyle name="0_PLANNING  DOC 6111 REV 1 8 4" xfId="24217" xr:uid="{00000000-0005-0000-0000-00008B5E0000}"/>
    <cellStyle name="0_PLANNING  DOC 6111 REV 1 8 4 2" xfId="24218" xr:uid="{00000000-0005-0000-0000-00008C5E0000}"/>
    <cellStyle name="0_PLANNING  DOC 6111 REV 1 8 5" xfId="24219" xr:uid="{00000000-0005-0000-0000-00008D5E0000}"/>
    <cellStyle name="0_PLANNING  DOC 6111 REV 1 8 5 2" xfId="24220" xr:uid="{00000000-0005-0000-0000-00008E5E0000}"/>
    <cellStyle name="0_PLANNING  DOC 6111 REV 1 8 6" xfId="24221" xr:uid="{00000000-0005-0000-0000-00008F5E0000}"/>
    <cellStyle name="0_PLANNING  DOC 6111 REV 1 9" xfId="24222" xr:uid="{00000000-0005-0000-0000-0000905E0000}"/>
    <cellStyle name="0_PLANNING  DOC 6111 REV 1 9 2" xfId="24223" xr:uid="{00000000-0005-0000-0000-0000915E0000}"/>
    <cellStyle name="0_PLANNING  DOC 6111 REV 1 9 2 2" xfId="24224" xr:uid="{00000000-0005-0000-0000-0000925E0000}"/>
    <cellStyle name="0_PLANNING  DOC 6111 REV 1 9 3" xfId="24225" xr:uid="{00000000-0005-0000-0000-0000935E0000}"/>
    <cellStyle name="0_PLANNING  DOC 6111 REV 1 9 3 2" xfId="24226" xr:uid="{00000000-0005-0000-0000-0000945E0000}"/>
    <cellStyle name="0_PLANNING  DOC 6111 REV 1 9 4" xfId="24227" xr:uid="{00000000-0005-0000-0000-0000955E0000}"/>
    <cellStyle name="0_PLANNING  DOC 6111 REV 1 9 5" xfId="24228" xr:uid="{00000000-0005-0000-0000-0000965E0000}"/>
    <cellStyle name="0_PLANNING  DOC 6111 REV 1_BP_Q1_6120_" xfId="24229" xr:uid="{00000000-0005-0000-0000-0000975E0000}"/>
    <cellStyle name="0_PLANNING  DOC 6111 REV 1_BP_Q1_6120_ 10" xfId="24230" xr:uid="{00000000-0005-0000-0000-0000985E0000}"/>
    <cellStyle name="0_PLANNING  DOC 6111 REV 1_BP_Q1_6120_ 10 2" xfId="24231" xr:uid="{00000000-0005-0000-0000-0000995E0000}"/>
    <cellStyle name="0_PLANNING  DOC 6111 REV 1_BP_Q1_6120_ 10 2 2" xfId="24232" xr:uid="{00000000-0005-0000-0000-00009A5E0000}"/>
    <cellStyle name="0_PLANNING  DOC 6111 REV 1_BP_Q1_6120_ 10 3" xfId="24233" xr:uid="{00000000-0005-0000-0000-00009B5E0000}"/>
    <cellStyle name="0_PLANNING  DOC 6111 REV 1_BP_Q1_6120_ 10 3 2" xfId="24234" xr:uid="{00000000-0005-0000-0000-00009C5E0000}"/>
    <cellStyle name="0_PLANNING  DOC 6111 REV 1_BP_Q1_6120_ 10 4" xfId="24235" xr:uid="{00000000-0005-0000-0000-00009D5E0000}"/>
    <cellStyle name="0_PLANNING  DOC 6111 REV 1_BP_Q1_6120_ 11" xfId="24236" xr:uid="{00000000-0005-0000-0000-00009E5E0000}"/>
    <cellStyle name="0_PLANNING  DOC 6111 REV 1_BP_Q1_6120_ 11 2" xfId="24237" xr:uid="{00000000-0005-0000-0000-00009F5E0000}"/>
    <cellStyle name="0_PLANNING  DOC 6111 REV 1_BP_Q1_6120_ 11 2 2" xfId="24238" xr:uid="{00000000-0005-0000-0000-0000A05E0000}"/>
    <cellStyle name="0_PLANNING  DOC 6111 REV 1_BP_Q1_6120_ 11 3" xfId="24239" xr:uid="{00000000-0005-0000-0000-0000A15E0000}"/>
    <cellStyle name="0_PLANNING  DOC 6111 REV 1_BP_Q1_6120_ 11 3 2" xfId="24240" xr:uid="{00000000-0005-0000-0000-0000A25E0000}"/>
    <cellStyle name="0_PLANNING  DOC 6111 REV 1_BP_Q1_6120_ 11 4" xfId="24241" xr:uid="{00000000-0005-0000-0000-0000A35E0000}"/>
    <cellStyle name="0_PLANNING  DOC 6111 REV 1_BP_Q1_6120_ 12" xfId="24242" xr:uid="{00000000-0005-0000-0000-0000A45E0000}"/>
    <cellStyle name="0_PLANNING  DOC 6111 REV 1_BP_Q1_6120_ 12 2" xfId="24243" xr:uid="{00000000-0005-0000-0000-0000A55E0000}"/>
    <cellStyle name="0_PLANNING  DOC 6111 REV 1_BP_Q1_6120_ 13" xfId="24244" xr:uid="{00000000-0005-0000-0000-0000A65E0000}"/>
    <cellStyle name="0_PLANNING  DOC 6111 REV 1_BP_Q1_6120_ 13 2" xfId="24245" xr:uid="{00000000-0005-0000-0000-0000A75E0000}"/>
    <cellStyle name="0_PLANNING  DOC 6111 REV 1_BP_Q1_6120_ 14" xfId="24246" xr:uid="{00000000-0005-0000-0000-0000A85E0000}"/>
    <cellStyle name="0_PLANNING  DOC 6111 REV 1_BP_Q1_6120_ 14 2" xfId="24247" xr:uid="{00000000-0005-0000-0000-0000A95E0000}"/>
    <cellStyle name="0_PLANNING  DOC 6111 REV 1_BP_Q1_6120_ 15" xfId="24248" xr:uid="{00000000-0005-0000-0000-0000AA5E0000}"/>
    <cellStyle name="0_PLANNING  DOC 6111 REV 1_BP_Q1_6120_ 16" xfId="24249" xr:uid="{00000000-0005-0000-0000-0000AB5E0000}"/>
    <cellStyle name="0_PLANNING  DOC 6111 REV 1_BP_Q1_6120_ 17" xfId="24250" xr:uid="{00000000-0005-0000-0000-0000AC5E0000}"/>
    <cellStyle name="0_PLANNING  DOC 6111 REV 1_BP_Q1_6120_ 18" xfId="24251" xr:uid="{00000000-0005-0000-0000-0000AD5E0000}"/>
    <cellStyle name="0_PLANNING  DOC 6111 REV 1_BP_Q1_6120_ 19" xfId="24252" xr:uid="{00000000-0005-0000-0000-0000AE5E0000}"/>
    <cellStyle name="0_PLANNING  DOC 6111 REV 1_BP_Q1_6120_ 2" xfId="24253" xr:uid="{00000000-0005-0000-0000-0000AF5E0000}"/>
    <cellStyle name="0_PLANNING  DOC 6111 REV 1_BP_Q1_6120_ 2 10" xfId="24254" xr:uid="{00000000-0005-0000-0000-0000B05E0000}"/>
    <cellStyle name="0_PLANNING  DOC 6111 REV 1_BP_Q1_6120_ 2 10 2" xfId="24255" xr:uid="{00000000-0005-0000-0000-0000B15E0000}"/>
    <cellStyle name="0_PLANNING  DOC 6111 REV 1_BP_Q1_6120_ 2 10 2 2" xfId="24256" xr:uid="{00000000-0005-0000-0000-0000B25E0000}"/>
    <cellStyle name="0_PLANNING  DOC 6111 REV 1_BP_Q1_6120_ 2 10 3" xfId="24257" xr:uid="{00000000-0005-0000-0000-0000B35E0000}"/>
    <cellStyle name="0_PLANNING  DOC 6111 REV 1_BP_Q1_6120_ 2 10 3 2" xfId="24258" xr:uid="{00000000-0005-0000-0000-0000B45E0000}"/>
    <cellStyle name="0_PLANNING  DOC 6111 REV 1_BP_Q1_6120_ 2 10 4" xfId="24259" xr:uid="{00000000-0005-0000-0000-0000B55E0000}"/>
    <cellStyle name="0_PLANNING  DOC 6111 REV 1_BP_Q1_6120_ 2 11" xfId="24260" xr:uid="{00000000-0005-0000-0000-0000B65E0000}"/>
    <cellStyle name="0_PLANNING  DOC 6111 REV 1_BP_Q1_6120_ 2 11 2" xfId="24261" xr:uid="{00000000-0005-0000-0000-0000B75E0000}"/>
    <cellStyle name="0_PLANNING  DOC 6111 REV 1_BP_Q1_6120_ 2 12" xfId="24262" xr:uid="{00000000-0005-0000-0000-0000B85E0000}"/>
    <cellStyle name="0_PLANNING  DOC 6111 REV 1_BP_Q1_6120_ 2 12 2" xfId="24263" xr:uid="{00000000-0005-0000-0000-0000B95E0000}"/>
    <cellStyle name="0_PLANNING  DOC 6111 REV 1_BP_Q1_6120_ 2 13" xfId="24264" xr:uid="{00000000-0005-0000-0000-0000BA5E0000}"/>
    <cellStyle name="0_PLANNING  DOC 6111 REV 1_BP_Q1_6120_ 2 14" xfId="24265" xr:uid="{00000000-0005-0000-0000-0000BB5E0000}"/>
    <cellStyle name="0_PLANNING  DOC 6111 REV 1_BP_Q1_6120_ 2 15" xfId="24266" xr:uid="{00000000-0005-0000-0000-0000BC5E0000}"/>
    <cellStyle name="0_PLANNING  DOC 6111 REV 1_BP_Q1_6120_ 2 16" xfId="24267" xr:uid="{00000000-0005-0000-0000-0000BD5E0000}"/>
    <cellStyle name="0_PLANNING  DOC 6111 REV 1_BP_Q1_6120_ 2 2" xfId="24268" xr:uid="{00000000-0005-0000-0000-0000BE5E0000}"/>
    <cellStyle name="0_PLANNING  DOC 6111 REV 1_BP_Q1_6120_ 2 2 2" xfId="24269" xr:uid="{00000000-0005-0000-0000-0000BF5E0000}"/>
    <cellStyle name="0_PLANNING  DOC 6111 REV 1_BP_Q1_6120_ 2 2 2 2" xfId="24270" xr:uid="{00000000-0005-0000-0000-0000C05E0000}"/>
    <cellStyle name="0_PLANNING  DOC 6111 REV 1_BP_Q1_6120_ 2 2 2 2 2" xfId="24271" xr:uid="{00000000-0005-0000-0000-0000C15E0000}"/>
    <cellStyle name="0_PLANNING  DOC 6111 REV 1_BP_Q1_6120_ 2 2 2 2 2 2" xfId="24272" xr:uid="{00000000-0005-0000-0000-0000C25E0000}"/>
    <cellStyle name="0_PLANNING  DOC 6111 REV 1_BP_Q1_6120_ 2 2 2 2 3" xfId="24273" xr:uid="{00000000-0005-0000-0000-0000C35E0000}"/>
    <cellStyle name="0_PLANNING  DOC 6111 REV 1_BP_Q1_6120_ 2 2 2 2 3 2" xfId="24274" xr:uid="{00000000-0005-0000-0000-0000C45E0000}"/>
    <cellStyle name="0_PLANNING  DOC 6111 REV 1_BP_Q1_6120_ 2 2 2 2 4" xfId="24275" xr:uid="{00000000-0005-0000-0000-0000C55E0000}"/>
    <cellStyle name="0_PLANNING  DOC 6111 REV 1_BP_Q1_6120_ 2 2 2 3" xfId="24276" xr:uid="{00000000-0005-0000-0000-0000C65E0000}"/>
    <cellStyle name="0_PLANNING  DOC 6111 REV 1_BP_Q1_6120_ 2 2 2 3 2" xfId="24277" xr:uid="{00000000-0005-0000-0000-0000C75E0000}"/>
    <cellStyle name="0_PLANNING  DOC 6111 REV 1_BP_Q1_6120_ 2 2 2 3 2 2" xfId="24278" xr:uid="{00000000-0005-0000-0000-0000C85E0000}"/>
    <cellStyle name="0_PLANNING  DOC 6111 REV 1_BP_Q1_6120_ 2 2 2 3 3" xfId="24279" xr:uid="{00000000-0005-0000-0000-0000C95E0000}"/>
    <cellStyle name="0_PLANNING  DOC 6111 REV 1_BP_Q1_6120_ 2 2 2 3 3 2" xfId="24280" xr:uid="{00000000-0005-0000-0000-0000CA5E0000}"/>
    <cellStyle name="0_PLANNING  DOC 6111 REV 1_BP_Q1_6120_ 2 2 2 3 4" xfId="24281" xr:uid="{00000000-0005-0000-0000-0000CB5E0000}"/>
    <cellStyle name="0_PLANNING  DOC 6111 REV 1_BP_Q1_6120_ 2 2 2 4" xfId="24282" xr:uid="{00000000-0005-0000-0000-0000CC5E0000}"/>
    <cellStyle name="0_PLANNING  DOC 6111 REV 1_BP_Q1_6120_ 2 2 2 4 2" xfId="24283" xr:uid="{00000000-0005-0000-0000-0000CD5E0000}"/>
    <cellStyle name="0_PLANNING  DOC 6111 REV 1_BP_Q1_6120_ 2 2 2 5" xfId="24284" xr:uid="{00000000-0005-0000-0000-0000CE5E0000}"/>
    <cellStyle name="0_PLANNING  DOC 6111 REV 1_BP_Q1_6120_ 2 2 2 5 2" xfId="24285" xr:uid="{00000000-0005-0000-0000-0000CF5E0000}"/>
    <cellStyle name="0_PLANNING  DOC 6111 REV 1_BP_Q1_6120_ 2 2 2 6" xfId="24286" xr:uid="{00000000-0005-0000-0000-0000D05E0000}"/>
    <cellStyle name="0_PLANNING  DOC 6111 REV 1_BP_Q1_6120_ 2 2 3" xfId="24287" xr:uid="{00000000-0005-0000-0000-0000D15E0000}"/>
    <cellStyle name="0_PLANNING  DOC 6111 REV 1_BP_Q1_6120_ 2 2 3 2" xfId="24288" xr:uid="{00000000-0005-0000-0000-0000D25E0000}"/>
    <cellStyle name="0_PLANNING  DOC 6111 REV 1_BP_Q1_6120_ 2 2 3 2 2" xfId="24289" xr:uid="{00000000-0005-0000-0000-0000D35E0000}"/>
    <cellStyle name="0_PLANNING  DOC 6111 REV 1_BP_Q1_6120_ 2 2 3 3" xfId="24290" xr:uid="{00000000-0005-0000-0000-0000D45E0000}"/>
    <cellStyle name="0_PLANNING  DOC 6111 REV 1_BP_Q1_6120_ 2 2 3 3 2" xfId="24291" xr:uid="{00000000-0005-0000-0000-0000D55E0000}"/>
    <cellStyle name="0_PLANNING  DOC 6111 REV 1_BP_Q1_6120_ 2 2 3 4" xfId="24292" xr:uid="{00000000-0005-0000-0000-0000D65E0000}"/>
    <cellStyle name="0_PLANNING  DOC 6111 REV 1_BP_Q1_6120_ 2 2 4" xfId="24293" xr:uid="{00000000-0005-0000-0000-0000D75E0000}"/>
    <cellStyle name="0_PLANNING  DOC 6111 REV 1_BP_Q1_6120_ 2 2 4 2" xfId="24294" xr:uid="{00000000-0005-0000-0000-0000D85E0000}"/>
    <cellStyle name="0_PLANNING  DOC 6111 REV 1_BP_Q1_6120_ 2 2 4 2 2" xfId="24295" xr:uid="{00000000-0005-0000-0000-0000D95E0000}"/>
    <cellStyle name="0_PLANNING  DOC 6111 REV 1_BP_Q1_6120_ 2 2 4 3" xfId="24296" xr:uid="{00000000-0005-0000-0000-0000DA5E0000}"/>
    <cellStyle name="0_PLANNING  DOC 6111 REV 1_BP_Q1_6120_ 2 2 4 3 2" xfId="24297" xr:uid="{00000000-0005-0000-0000-0000DB5E0000}"/>
    <cellStyle name="0_PLANNING  DOC 6111 REV 1_BP_Q1_6120_ 2 2 4 4" xfId="24298" xr:uid="{00000000-0005-0000-0000-0000DC5E0000}"/>
    <cellStyle name="0_PLANNING  DOC 6111 REV 1_BP_Q1_6120_ 2 2 5" xfId="24299" xr:uid="{00000000-0005-0000-0000-0000DD5E0000}"/>
    <cellStyle name="0_PLANNING  DOC 6111 REV 1_BP_Q1_6120_ 2 2 5 2" xfId="24300" xr:uid="{00000000-0005-0000-0000-0000DE5E0000}"/>
    <cellStyle name="0_PLANNING  DOC 6111 REV 1_BP_Q1_6120_ 2 2 5 2 2" xfId="24301" xr:uid="{00000000-0005-0000-0000-0000DF5E0000}"/>
    <cellStyle name="0_PLANNING  DOC 6111 REV 1_BP_Q1_6120_ 2 2 5 3" xfId="24302" xr:uid="{00000000-0005-0000-0000-0000E05E0000}"/>
    <cellStyle name="0_PLANNING  DOC 6111 REV 1_BP_Q1_6120_ 2 2 5 3 2" xfId="24303" xr:uid="{00000000-0005-0000-0000-0000E15E0000}"/>
    <cellStyle name="0_PLANNING  DOC 6111 REV 1_BP_Q1_6120_ 2 2 5 4" xfId="24304" xr:uid="{00000000-0005-0000-0000-0000E25E0000}"/>
    <cellStyle name="0_PLANNING  DOC 6111 REV 1_BP_Q1_6120_ 2 2 6" xfId="24305" xr:uid="{00000000-0005-0000-0000-0000E35E0000}"/>
    <cellStyle name="0_PLANNING  DOC 6111 REV 1_BP_Q1_6120_ 2 2 6 2" xfId="24306" xr:uid="{00000000-0005-0000-0000-0000E45E0000}"/>
    <cellStyle name="0_PLANNING  DOC 6111 REV 1_BP_Q1_6120_ 2 2 7" xfId="24307" xr:uid="{00000000-0005-0000-0000-0000E55E0000}"/>
    <cellStyle name="0_PLANNING  DOC 6111 REV 1_BP_Q1_6120_ 2 2 7 2" xfId="24308" xr:uid="{00000000-0005-0000-0000-0000E65E0000}"/>
    <cellStyle name="0_PLANNING  DOC 6111 REV 1_BP_Q1_6120_ 2 2 8" xfId="24309" xr:uid="{00000000-0005-0000-0000-0000E75E0000}"/>
    <cellStyle name="0_PLANNING  DOC 6111 REV 1_BP_Q1_6120_ 2 3" xfId="24310" xr:uid="{00000000-0005-0000-0000-0000E85E0000}"/>
    <cellStyle name="0_PLANNING  DOC 6111 REV 1_BP_Q1_6120_ 2 3 2" xfId="24311" xr:uid="{00000000-0005-0000-0000-0000E95E0000}"/>
    <cellStyle name="0_PLANNING  DOC 6111 REV 1_BP_Q1_6120_ 2 3 2 2" xfId="24312" xr:uid="{00000000-0005-0000-0000-0000EA5E0000}"/>
    <cellStyle name="0_PLANNING  DOC 6111 REV 1_BP_Q1_6120_ 2 3 2 2 2" xfId="24313" xr:uid="{00000000-0005-0000-0000-0000EB5E0000}"/>
    <cellStyle name="0_PLANNING  DOC 6111 REV 1_BP_Q1_6120_ 2 3 2 2 2 2" xfId="24314" xr:uid="{00000000-0005-0000-0000-0000EC5E0000}"/>
    <cellStyle name="0_PLANNING  DOC 6111 REV 1_BP_Q1_6120_ 2 3 2 2 3" xfId="24315" xr:uid="{00000000-0005-0000-0000-0000ED5E0000}"/>
    <cellStyle name="0_PLANNING  DOC 6111 REV 1_BP_Q1_6120_ 2 3 2 2 3 2" xfId="24316" xr:uid="{00000000-0005-0000-0000-0000EE5E0000}"/>
    <cellStyle name="0_PLANNING  DOC 6111 REV 1_BP_Q1_6120_ 2 3 2 2 4" xfId="24317" xr:uid="{00000000-0005-0000-0000-0000EF5E0000}"/>
    <cellStyle name="0_PLANNING  DOC 6111 REV 1_BP_Q1_6120_ 2 3 2 3" xfId="24318" xr:uid="{00000000-0005-0000-0000-0000F05E0000}"/>
    <cellStyle name="0_PLANNING  DOC 6111 REV 1_BP_Q1_6120_ 2 3 2 3 2" xfId="24319" xr:uid="{00000000-0005-0000-0000-0000F15E0000}"/>
    <cellStyle name="0_PLANNING  DOC 6111 REV 1_BP_Q1_6120_ 2 3 2 3 2 2" xfId="24320" xr:uid="{00000000-0005-0000-0000-0000F25E0000}"/>
    <cellStyle name="0_PLANNING  DOC 6111 REV 1_BP_Q1_6120_ 2 3 2 3 3" xfId="24321" xr:uid="{00000000-0005-0000-0000-0000F35E0000}"/>
    <cellStyle name="0_PLANNING  DOC 6111 REV 1_BP_Q1_6120_ 2 3 2 3 3 2" xfId="24322" xr:uid="{00000000-0005-0000-0000-0000F45E0000}"/>
    <cellStyle name="0_PLANNING  DOC 6111 REV 1_BP_Q1_6120_ 2 3 2 3 4" xfId="24323" xr:uid="{00000000-0005-0000-0000-0000F55E0000}"/>
    <cellStyle name="0_PLANNING  DOC 6111 REV 1_BP_Q1_6120_ 2 3 2 4" xfId="24324" xr:uid="{00000000-0005-0000-0000-0000F65E0000}"/>
    <cellStyle name="0_PLANNING  DOC 6111 REV 1_BP_Q1_6120_ 2 3 2 4 2" xfId="24325" xr:uid="{00000000-0005-0000-0000-0000F75E0000}"/>
    <cellStyle name="0_PLANNING  DOC 6111 REV 1_BP_Q1_6120_ 2 3 2 5" xfId="24326" xr:uid="{00000000-0005-0000-0000-0000F85E0000}"/>
    <cellStyle name="0_PLANNING  DOC 6111 REV 1_BP_Q1_6120_ 2 3 2 5 2" xfId="24327" xr:uid="{00000000-0005-0000-0000-0000F95E0000}"/>
    <cellStyle name="0_PLANNING  DOC 6111 REV 1_BP_Q1_6120_ 2 3 2 6" xfId="24328" xr:uid="{00000000-0005-0000-0000-0000FA5E0000}"/>
    <cellStyle name="0_PLANNING  DOC 6111 REV 1_BP_Q1_6120_ 2 3 3" xfId="24329" xr:uid="{00000000-0005-0000-0000-0000FB5E0000}"/>
    <cellStyle name="0_PLANNING  DOC 6111 REV 1_BP_Q1_6120_ 2 3 3 2" xfId="24330" xr:uid="{00000000-0005-0000-0000-0000FC5E0000}"/>
    <cellStyle name="0_PLANNING  DOC 6111 REV 1_BP_Q1_6120_ 2 3 3 2 2" xfId="24331" xr:uid="{00000000-0005-0000-0000-0000FD5E0000}"/>
    <cellStyle name="0_PLANNING  DOC 6111 REV 1_BP_Q1_6120_ 2 3 3 3" xfId="24332" xr:uid="{00000000-0005-0000-0000-0000FE5E0000}"/>
    <cellStyle name="0_PLANNING  DOC 6111 REV 1_BP_Q1_6120_ 2 3 3 3 2" xfId="24333" xr:uid="{00000000-0005-0000-0000-0000FF5E0000}"/>
    <cellStyle name="0_PLANNING  DOC 6111 REV 1_BP_Q1_6120_ 2 3 3 4" xfId="24334" xr:uid="{00000000-0005-0000-0000-0000005F0000}"/>
    <cellStyle name="0_PLANNING  DOC 6111 REV 1_BP_Q1_6120_ 2 3 4" xfId="24335" xr:uid="{00000000-0005-0000-0000-0000015F0000}"/>
    <cellStyle name="0_PLANNING  DOC 6111 REV 1_BP_Q1_6120_ 2 3 4 2" xfId="24336" xr:uid="{00000000-0005-0000-0000-0000025F0000}"/>
    <cellStyle name="0_PLANNING  DOC 6111 REV 1_BP_Q1_6120_ 2 3 4 2 2" xfId="24337" xr:uid="{00000000-0005-0000-0000-0000035F0000}"/>
    <cellStyle name="0_PLANNING  DOC 6111 REV 1_BP_Q1_6120_ 2 3 4 3" xfId="24338" xr:uid="{00000000-0005-0000-0000-0000045F0000}"/>
    <cellStyle name="0_PLANNING  DOC 6111 REV 1_BP_Q1_6120_ 2 3 4 3 2" xfId="24339" xr:uid="{00000000-0005-0000-0000-0000055F0000}"/>
    <cellStyle name="0_PLANNING  DOC 6111 REV 1_BP_Q1_6120_ 2 3 4 4" xfId="24340" xr:uid="{00000000-0005-0000-0000-0000065F0000}"/>
    <cellStyle name="0_PLANNING  DOC 6111 REV 1_BP_Q1_6120_ 2 3 5" xfId="24341" xr:uid="{00000000-0005-0000-0000-0000075F0000}"/>
    <cellStyle name="0_PLANNING  DOC 6111 REV 1_BP_Q1_6120_ 2 3 5 2" xfId="24342" xr:uid="{00000000-0005-0000-0000-0000085F0000}"/>
    <cellStyle name="0_PLANNING  DOC 6111 REV 1_BP_Q1_6120_ 2 3 5 2 2" xfId="24343" xr:uid="{00000000-0005-0000-0000-0000095F0000}"/>
    <cellStyle name="0_PLANNING  DOC 6111 REV 1_BP_Q1_6120_ 2 3 5 3" xfId="24344" xr:uid="{00000000-0005-0000-0000-00000A5F0000}"/>
    <cellStyle name="0_PLANNING  DOC 6111 REV 1_BP_Q1_6120_ 2 3 5 3 2" xfId="24345" xr:uid="{00000000-0005-0000-0000-00000B5F0000}"/>
    <cellStyle name="0_PLANNING  DOC 6111 REV 1_BP_Q1_6120_ 2 3 5 4" xfId="24346" xr:uid="{00000000-0005-0000-0000-00000C5F0000}"/>
    <cellStyle name="0_PLANNING  DOC 6111 REV 1_BP_Q1_6120_ 2 3 6" xfId="24347" xr:uid="{00000000-0005-0000-0000-00000D5F0000}"/>
    <cellStyle name="0_PLANNING  DOC 6111 REV 1_BP_Q1_6120_ 2 3 6 2" xfId="24348" xr:uid="{00000000-0005-0000-0000-00000E5F0000}"/>
    <cellStyle name="0_PLANNING  DOC 6111 REV 1_BP_Q1_6120_ 2 3 7" xfId="24349" xr:uid="{00000000-0005-0000-0000-00000F5F0000}"/>
    <cellStyle name="0_PLANNING  DOC 6111 REV 1_BP_Q1_6120_ 2 3 7 2" xfId="24350" xr:uid="{00000000-0005-0000-0000-0000105F0000}"/>
    <cellStyle name="0_PLANNING  DOC 6111 REV 1_BP_Q1_6120_ 2 3 8" xfId="24351" xr:uid="{00000000-0005-0000-0000-0000115F0000}"/>
    <cellStyle name="0_PLANNING  DOC 6111 REV 1_BP_Q1_6120_ 2 4" xfId="24352" xr:uid="{00000000-0005-0000-0000-0000125F0000}"/>
    <cellStyle name="0_PLANNING  DOC 6111 REV 1_BP_Q1_6120_ 2 4 2" xfId="24353" xr:uid="{00000000-0005-0000-0000-0000135F0000}"/>
    <cellStyle name="0_PLANNING  DOC 6111 REV 1_BP_Q1_6120_ 2 4 2 2" xfId="24354" xr:uid="{00000000-0005-0000-0000-0000145F0000}"/>
    <cellStyle name="0_PLANNING  DOC 6111 REV 1_BP_Q1_6120_ 2 4 2 2 2" xfId="24355" xr:uid="{00000000-0005-0000-0000-0000155F0000}"/>
    <cellStyle name="0_PLANNING  DOC 6111 REV 1_BP_Q1_6120_ 2 4 2 2 2 2" xfId="24356" xr:uid="{00000000-0005-0000-0000-0000165F0000}"/>
    <cellStyle name="0_PLANNING  DOC 6111 REV 1_BP_Q1_6120_ 2 4 2 2 3" xfId="24357" xr:uid="{00000000-0005-0000-0000-0000175F0000}"/>
    <cellStyle name="0_PLANNING  DOC 6111 REV 1_BP_Q1_6120_ 2 4 2 2 3 2" xfId="24358" xr:uid="{00000000-0005-0000-0000-0000185F0000}"/>
    <cellStyle name="0_PLANNING  DOC 6111 REV 1_BP_Q1_6120_ 2 4 2 2 4" xfId="24359" xr:uid="{00000000-0005-0000-0000-0000195F0000}"/>
    <cellStyle name="0_PLANNING  DOC 6111 REV 1_BP_Q1_6120_ 2 4 2 3" xfId="24360" xr:uid="{00000000-0005-0000-0000-00001A5F0000}"/>
    <cellStyle name="0_PLANNING  DOC 6111 REV 1_BP_Q1_6120_ 2 4 2 3 2" xfId="24361" xr:uid="{00000000-0005-0000-0000-00001B5F0000}"/>
    <cellStyle name="0_PLANNING  DOC 6111 REV 1_BP_Q1_6120_ 2 4 2 3 2 2" xfId="24362" xr:uid="{00000000-0005-0000-0000-00001C5F0000}"/>
    <cellStyle name="0_PLANNING  DOC 6111 REV 1_BP_Q1_6120_ 2 4 2 3 3" xfId="24363" xr:uid="{00000000-0005-0000-0000-00001D5F0000}"/>
    <cellStyle name="0_PLANNING  DOC 6111 REV 1_BP_Q1_6120_ 2 4 2 3 3 2" xfId="24364" xr:uid="{00000000-0005-0000-0000-00001E5F0000}"/>
    <cellStyle name="0_PLANNING  DOC 6111 REV 1_BP_Q1_6120_ 2 4 2 3 4" xfId="24365" xr:uid="{00000000-0005-0000-0000-00001F5F0000}"/>
    <cellStyle name="0_PLANNING  DOC 6111 REV 1_BP_Q1_6120_ 2 4 2 4" xfId="24366" xr:uid="{00000000-0005-0000-0000-0000205F0000}"/>
    <cellStyle name="0_PLANNING  DOC 6111 REV 1_BP_Q1_6120_ 2 4 2 4 2" xfId="24367" xr:uid="{00000000-0005-0000-0000-0000215F0000}"/>
    <cellStyle name="0_PLANNING  DOC 6111 REV 1_BP_Q1_6120_ 2 4 2 5" xfId="24368" xr:uid="{00000000-0005-0000-0000-0000225F0000}"/>
    <cellStyle name="0_PLANNING  DOC 6111 REV 1_BP_Q1_6120_ 2 4 2 5 2" xfId="24369" xr:uid="{00000000-0005-0000-0000-0000235F0000}"/>
    <cellStyle name="0_PLANNING  DOC 6111 REV 1_BP_Q1_6120_ 2 4 2 6" xfId="24370" xr:uid="{00000000-0005-0000-0000-0000245F0000}"/>
    <cellStyle name="0_PLANNING  DOC 6111 REV 1_BP_Q1_6120_ 2 4 3" xfId="24371" xr:uid="{00000000-0005-0000-0000-0000255F0000}"/>
    <cellStyle name="0_PLANNING  DOC 6111 REV 1_BP_Q1_6120_ 2 4 3 2" xfId="24372" xr:uid="{00000000-0005-0000-0000-0000265F0000}"/>
    <cellStyle name="0_PLANNING  DOC 6111 REV 1_BP_Q1_6120_ 2 4 3 2 2" xfId="24373" xr:uid="{00000000-0005-0000-0000-0000275F0000}"/>
    <cellStyle name="0_PLANNING  DOC 6111 REV 1_BP_Q1_6120_ 2 4 3 3" xfId="24374" xr:uid="{00000000-0005-0000-0000-0000285F0000}"/>
    <cellStyle name="0_PLANNING  DOC 6111 REV 1_BP_Q1_6120_ 2 4 3 3 2" xfId="24375" xr:uid="{00000000-0005-0000-0000-0000295F0000}"/>
    <cellStyle name="0_PLANNING  DOC 6111 REV 1_BP_Q1_6120_ 2 4 3 4" xfId="24376" xr:uid="{00000000-0005-0000-0000-00002A5F0000}"/>
    <cellStyle name="0_PLANNING  DOC 6111 REV 1_BP_Q1_6120_ 2 4 4" xfId="24377" xr:uid="{00000000-0005-0000-0000-00002B5F0000}"/>
    <cellStyle name="0_PLANNING  DOC 6111 REV 1_BP_Q1_6120_ 2 4 4 2" xfId="24378" xr:uid="{00000000-0005-0000-0000-00002C5F0000}"/>
    <cellStyle name="0_PLANNING  DOC 6111 REV 1_BP_Q1_6120_ 2 4 4 2 2" xfId="24379" xr:uid="{00000000-0005-0000-0000-00002D5F0000}"/>
    <cellStyle name="0_PLANNING  DOC 6111 REV 1_BP_Q1_6120_ 2 4 4 3" xfId="24380" xr:uid="{00000000-0005-0000-0000-00002E5F0000}"/>
    <cellStyle name="0_PLANNING  DOC 6111 REV 1_BP_Q1_6120_ 2 4 4 3 2" xfId="24381" xr:uid="{00000000-0005-0000-0000-00002F5F0000}"/>
    <cellStyle name="0_PLANNING  DOC 6111 REV 1_BP_Q1_6120_ 2 4 4 4" xfId="24382" xr:uid="{00000000-0005-0000-0000-0000305F0000}"/>
    <cellStyle name="0_PLANNING  DOC 6111 REV 1_BP_Q1_6120_ 2 4 5" xfId="24383" xr:uid="{00000000-0005-0000-0000-0000315F0000}"/>
    <cellStyle name="0_PLANNING  DOC 6111 REV 1_BP_Q1_6120_ 2 4 5 2" xfId="24384" xr:uid="{00000000-0005-0000-0000-0000325F0000}"/>
    <cellStyle name="0_PLANNING  DOC 6111 REV 1_BP_Q1_6120_ 2 4 5 2 2" xfId="24385" xr:uid="{00000000-0005-0000-0000-0000335F0000}"/>
    <cellStyle name="0_PLANNING  DOC 6111 REV 1_BP_Q1_6120_ 2 4 5 3" xfId="24386" xr:uid="{00000000-0005-0000-0000-0000345F0000}"/>
    <cellStyle name="0_PLANNING  DOC 6111 REV 1_BP_Q1_6120_ 2 4 5 3 2" xfId="24387" xr:uid="{00000000-0005-0000-0000-0000355F0000}"/>
    <cellStyle name="0_PLANNING  DOC 6111 REV 1_BP_Q1_6120_ 2 4 5 4" xfId="24388" xr:uid="{00000000-0005-0000-0000-0000365F0000}"/>
    <cellStyle name="0_PLANNING  DOC 6111 REV 1_BP_Q1_6120_ 2 4 6" xfId="24389" xr:uid="{00000000-0005-0000-0000-0000375F0000}"/>
    <cellStyle name="0_PLANNING  DOC 6111 REV 1_BP_Q1_6120_ 2 4 6 2" xfId="24390" xr:uid="{00000000-0005-0000-0000-0000385F0000}"/>
    <cellStyle name="0_PLANNING  DOC 6111 REV 1_BP_Q1_6120_ 2 4 7" xfId="24391" xr:uid="{00000000-0005-0000-0000-0000395F0000}"/>
    <cellStyle name="0_PLANNING  DOC 6111 REV 1_BP_Q1_6120_ 2 4 7 2" xfId="24392" xr:uid="{00000000-0005-0000-0000-00003A5F0000}"/>
    <cellStyle name="0_PLANNING  DOC 6111 REV 1_BP_Q1_6120_ 2 4 8" xfId="24393" xr:uid="{00000000-0005-0000-0000-00003B5F0000}"/>
    <cellStyle name="0_PLANNING  DOC 6111 REV 1_BP_Q1_6120_ 2 5" xfId="24394" xr:uid="{00000000-0005-0000-0000-00003C5F0000}"/>
    <cellStyle name="0_PLANNING  DOC 6111 REV 1_BP_Q1_6120_ 2 5 2" xfId="24395" xr:uid="{00000000-0005-0000-0000-00003D5F0000}"/>
    <cellStyle name="0_PLANNING  DOC 6111 REV 1_BP_Q1_6120_ 2 5 2 2" xfId="24396" xr:uid="{00000000-0005-0000-0000-00003E5F0000}"/>
    <cellStyle name="0_PLANNING  DOC 6111 REV 1_BP_Q1_6120_ 2 5 2 2 2" xfId="24397" xr:uid="{00000000-0005-0000-0000-00003F5F0000}"/>
    <cellStyle name="0_PLANNING  DOC 6111 REV 1_BP_Q1_6120_ 2 5 2 2 2 2" xfId="24398" xr:uid="{00000000-0005-0000-0000-0000405F0000}"/>
    <cellStyle name="0_PLANNING  DOC 6111 REV 1_BP_Q1_6120_ 2 5 2 2 3" xfId="24399" xr:uid="{00000000-0005-0000-0000-0000415F0000}"/>
    <cellStyle name="0_PLANNING  DOC 6111 REV 1_BP_Q1_6120_ 2 5 2 2 3 2" xfId="24400" xr:uid="{00000000-0005-0000-0000-0000425F0000}"/>
    <cellStyle name="0_PLANNING  DOC 6111 REV 1_BP_Q1_6120_ 2 5 2 2 4" xfId="24401" xr:uid="{00000000-0005-0000-0000-0000435F0000}"/>
    <cellStyle name="0_PLANNING  DOC 6111 REV 1_BP_Q1_6120_ 2 5 2 3" xfId="24402" xr:uid="{00000000-0005-0000-0000-0000445F0000}"/>
    <cellStyle name="0_PLANNING  DOC 6111 REV 1_BP_Q1_6120_ 2 5 2 3 2" xfId="24403" xr:uid="{00000000-0005-0000-0000-0000455F0000}"/>
    <cellStyle name="0_PLANNING  DOC 6111 REV 1_BP_Q1_6120_ 2 5 2 3 2 2" xfId="24404" xr:uid="{00000000-0005-0000-0000-0000465F0000}"/>
    <cellStyle name="0_PLANNING  DOC 6111 REV 1_BP_Q1_6120_ 2 5 2 3 3" xfId="24405" xr:uid="{00000000-0005-0000-0000-0000475F0000}"/>
    <cellStyle name="0_PLANNING  DOC 6111 REV 1_BP_Q1_6120_ 2 5 2 3 3 2" xfId="24406" xr:uid="{00000000-0005-0000-0000-0000485F0000}"/>
    <cellStyle name="0_PLANNING  DOC 6111 REV 1_BP_Q1_6120_ 2 5 2 3 4" xfId="24407" xr:uid="{00000000-0005-0000-0000-0000495F0000}"/>
    <cellStyle name="0_PLANNING  DOC 6111 REV 1_BP_Q1_6120_ 2 5 2 4" xfId="24408" xr:uid="{00000000-0005-0000-0000-00004A5F0000}"/>
    <cellStyle name="0_PLANNING  DOC 6111 REV 1_BP_Q1_6120_ 2 5 2 4 2" xfId="24409" xr:uid="{00000000-0005-0000-0000-00004B5F0000}"/>
    <cellStyle name="0_PLANNING  DOC 6111 REV 1_BP_Q1_6120_ 2 5 2 5" xfId="24410" xr:uid="{00000000-0005-0000-0000-00004C5F0000}"/>
    <cellStyle name="0_PLANNING  DOC 6111 REV 1_BP_Q1_6120_ 2 5 2 5 2" xfId="24411" xr:uid="{00000000-0005-0000-0000-00004D5F0000}"/>
    <cellStyle name="0_PLANNING  DOC 6111 REV 1_BP_Q1_6120_ 2 5 2 6" xfId="24412" xr:uid="{00000000-0005-0000-0000-00004E5F0000}"/>
    <cellStyle name="0_PLANNING  DOC 6111 REV 1_BP_Q1_6120_ 2 5 3" xfId="24413" xr:uid="{00000000-0005-0000-0000-00004F5F0000}"/>
    <cellStyle name="0_PLANNING  DOC 6111 REV 1_BP_Q1_6120_ 2 5 3 2" xfId="24414" xr:uid="{00000000-0005-0000-0000-0000505F0000}"/>
    <cellStyle name="0_PLANNING  DOC 6111 REV 1_BP_Q1_6120_ 2 5 3 2 2" xfId="24415" xr:uid="{00000000-0005-0000-0000-0000515F0000}"/>
    <cellStyle name="0_PLANNING  DOC 6111 REV 1_BP_Q1_6120_ 2 5 3 3" xfId="24416" xr:uid="{00000000-0005-0000-0000-0000525F0000}"/>
    <cellStyle name="0_PLANNING  DOC 6111 REV 1_BP_Q1_6120_ 2 5 3 3 2" xfId="24417" xr:uid="{00000000-0005-0000-0000-0000535F0000}"/>
    <cellStyle name="0_PLANNING  DOC 6111 REV 1_BP_Q1_6120_ 2 5 3 4" xfId="24418" xr:uid="{00000000-0005-0000-0000-0000545F0000}"/>
    <cellStyle name="0_PLANNING  DOC 6111 REV 1_BP_Q1_6120_ 2 5 4" xfId="24419" xr:uid="{00000000-0005-0000-0000-0000555F0000}"/>
    <cellStyle name="0_PLANNING  DOC 6111 REV 1_BP_Q1_6120_ 2 5 4 2" xfId="24420" xr:uid="{00000000-0005-0000-0000-0000565F0000}"/>
    <cellStyle name="0_PLANNING  DOC 6111 REV 1_BP_Q1_6120_ 2 5 4 2 2" xfId="24421" xr:uid="{00000000-0005-0000-0000-0000575F0000}"/>
    <cellStyle name="0_PLANNING  DOC 6111 REV 1_BP_Q1_6120_ 2 5 4 3" xfId="24422" xr:uid="{00000000-0005-0000-0000-0000585F0000}"/>
    <cellStyle name="0_PLANNING  DOC 6111 REV 1_BP_Q1_6120_ 2 5 4 3 2" xfId="24423" xr:uid="{00000000-0005-0000-0000-0000595F0000}"/>
    <cellStyle name="0_PLANNING  DOC 6111 REV 1_BP_Q1_6120_ 2 5 4 4" xfId="24424" xr:uid="{00000000-0005-0000-0000-00005A5F0000}"/>
    <cellStyle name="0_PLANNING  DOC 6111 REV 1_BP_Q1_6120_ 2 5 5" xfId="24425" xr:uid="{00000000-0005-0000-0000-00005B5F0000}"/>
    <cellStyle name="0_PLANNING  DOC 6111 REV 1_BP_Q1_6120_ 2 5 5 2" xfId="24426" xr:uid="{00000000-0005-0000-0000-00005C5F0000}"/>
    <cellStyle name="0_PLANNING  DOC 6111 REV 1_BP_Q1_6120_ 2 5 5 2 2" xfId="24427" xr:uid="{00000000-0005-0000-0000-00005D5F0000}"/>
    <cellStyle name="0_PLANNING  DOC 6111 REV 1_BP_Q1_6120_ 2 5 5 3" xfId="24428" xr:uid="{00000000-0005-0000-0000-00005E5F0000}"/>
    <cellStyle name="0_PLANNING  DOC 6111 REV 1_BP_Q1_6120_ 2 5 5 3 2" xfId="24429" xr:uid="{00000000-0005-0000-0000-00005F5F0000}"/>
    <cellStyle name="0_PLANNING  DOC 6111 REV 1_BP_Q1_6120_ 2 5 5 4" xfId="24430" xr:uid="{00000000-0005-0000-0000-0000605F0000}"/>
    <cellStyle name="0_PLANNING  DOC 6111 REV 1_BP_Q1_6120_ 2 5 6" xfId="24431" xr:uid="{00000000-0005-0000-0000-0000615F0000}"/>
    <cellStyle name="0_PLANNING  DOC 6111 REV 1_BP_Q1_6120_ 2 5 6 2" xfId="24432" xr:uid="{00000000-0005-0000-0000-0000625F0000}"/>
    <cellStyle name="0_PLANNING  DOC 6111 REV 1_BP_Q1_6120_ 2 5 7" xfId="24433" xr:uid="{00000000-0005-0000-0000-0000635F0000}"/>
    <cellStyle name="0_PLANNING  DOC 6111 REV 1_BP_Q1_6120_ 2 5 7 2" xfId="24434" xr:uid="{00000000-0005-0000-0000-0000645F0000}"/>
    <cellStyle name="0_PLANNING  DOC 6111 REV 1_BP_Q1_6120_ 2 5 8" xfId="24435" xr:uid="{00000000-0005-0000-0000-0000655F0000}"/>
    <cellStyle name="0_PLANNING  DOC 6111 REV 1_BP_Q1_6120_ 2 6" xfId="24436" xr:uid="{00000000-0005-0000-0000-0000665F0000}"/>
    <cellStyle name="0_PLANNING  DOC 6111 REV 1_BP_Q1_6120_ 2 6 2" xfId="24437" xr:uid="{00000000-0005-0000-0000-0000675F0000}"/>
    <cellStyle name="0_PLANNING  DOC 6111 REV 1_BP_Q1_6120_ 2 6 2 2" xfId="24438" xr:uid="{00000000-0005-0000-0000-0000685F0000}"/>
    <cellStyle name="0_PLANNING  DOC 6111 REV 1_BP_Q1_6120_ 2 6 2 2 2" xfId="24439" xr:uid="{00000000-0005-0000-0000-0000695F0000}"/>
    <cellStyle name="0_PLANNING  DOC 6111 REV 1_BP_Q1_6120_ 2 6 2 2 2 2" xfId="24440" xr:uid="{00000000-0005-0000-0000-00006A5F0000}"/>
    <cellStyle name="0_PLANNING  DOC 6111 REV 1_BP_Q1_6120_ 2 6 2 2 3" xfId="24441" xr:uid="{00000000-0005-0000-0000-00006B5F0000}"/>
    <cellStyle name="0_PLANNING  DOC 6111 REV 1_BP_Q1_6120_ 2 6 2 2 3 2" xfId="24442" xr:uid="{00000000-0005-0000-0000-00006C5F0000}"/>
    <cellStyle name="0_PLANNING  DOC 6111 REV 1_BP_Q1_6120_ 2 6 2 2 4" xfId="24443" xr:uid="{00000000-0005-0000-0000-00006D5F0000}"/>
    <cellStyle name="0_PLANNING  DOC 6111 REV 1_BP_Q1_6120_ 2 6 2 3" xfId="24444" xr:uid="{00000000-0005-0000-0000-00006E5F0000}"/>
    <cellStyle name="0_PLANNING  DOC 6111 REV 1_BP_Q1_6120_ 2 6 2 3 2" xfId="24445" xr:uid="{00000000-0005-0000-0000-00006F5F0000}"/>
    <cellStyle name="0_PLANNING  DOC 6111 REV 1_BP_Q1_6120_ 2 6 2 3 2 2" xfId="24446" xr:uid="{00000000-0005-0000-0000-0000705F0000}"/>
    <cellStyle name="0_PLANNING  DOC 6111 REV 1_BP_Q1_6120_ 2 6 2 3 3" xfId="24447" xr:uid="{00000000-0005-0000-0000-0000715F0000}"/>
    <cellStyle name="0_PLANNING  DOC 6111 REV 1_BP_Q1_6120_ 2 6 2 3 3 2" xfId="24448" xr:uid="{00000000-0005-0000-0000-0000725F0000}"/>
    <cellStyle name="0_PLANNING  DOC 6111 REV 1_BP_Q1_6120_ 2 6 2 3 4" xfId="24449" xr:uid="{00000000-0005-0000-0000-0000735F0000}"/>
    <cellStyle name="0_PLANNING  DOC 6111 REV 1_BP_Q1_6120_ 2 6 2 4" xfId="24450" xr:uid="{00000000-0005-0000-0000-0000745F0000}"/>
    <cellStyle name="0_PLANNING  DOC 6111 REV 1_BP_Q1_6120_ 2 6 2 4 2" xfId="24451" xr:uid="{00000000-0005-0000-0000-0000755F0000}"/>
    <cellStyle name="0_PLANNING  DOC 6111 REV 1_BP_Q1_6120_ 2 6 2 5" xfId="24452" xr:uid="{00000000-0005-0000-0000-0000765F0000}"/>
    <cellStyle name="0_PLANNING  DOC 6111 REV 1_BP_Q1_6120_ 2 6 2 5 2" xfId="24453" xr:uid="{00000000-0005-0000-0000-0000775F0000}"/>
    <cellStyle name="0_PLANNING  DOC 6111 REV 1_BP_Q1_6120_ 2 6 2 6" xfId="24454" xr:uid="{00000000-0005-0000-0000-0000785F0000}"/>
    <cellStyle name="0_PLANNING  DOC 6111 REV 1_BP_Q1_6120_ 2 6 3" xfId="24455" xr:uid="{00000000-0005-0000-0000-0000795F0000}"/>
    <cellStyle name="0_PLANNING  DOC 6111 REV 1_BP_Q1_6120_ 2 6 3 2" xfId="24456" xr:uid="{00000000-0005-0000-0000-00007A5F0000}"/>
    <cellStyle name="0_PLANNING  DOC 6111 REV 1_BP_Q1_6120_ 2 6 3 2 2" xfId="24457" xr:uid="{00000000-0005-0000-0000-00007B5F0000}"/>
    <cellStyle name="0_PLANNING  DOC 6111 REV 1_BP_Q1_6120_ 2 6 3 3" xfId="24458" xr:uid="{00000000-0005-0000-0000-00007C5F0000}"/>
    <cellStyle name="0_PLANNING  DOC 6111 REV 1_BP_Q1_6120_ 2 6 3 3 2" xfId="24459" xr:uid="{00000000-0005-0000-0000-00007D5F0000}"/>
    <cellStyle name="0_PLANNING  DOC 6111 REV 1_BP_Q1_6120_ 2 6 3 4" xfId="24460" xr:uid="{00000000-0005-0000-0000-00007E5F0000}"/>
    <cellStyle name="0_PLANNING  DOC 6111 REV 1_BP_Q1_6120_ 2 6 4" xfId="24461" xr:uid="{00000000-0005-0000-0000-00007F5F0000}"/>
    <cellStyle name="0_PLANNING  DOC 6111 REV 1_BP_Q1_6120_ 2 6 4 2" xfId="24462" xr:uid="{00000000-0005-0000-0000-0000805F0000}"/>
    <cellStyle name="0_PLANNING  DOC 6111 REV 1_BP_Q1_6120_ 2 6 4 2 2" xfId="24463" xr:uid="{00000000-0005-0000-0000-0000815F0000}"/>
    <cellStyle name="0_PLANNING  DOC 6111 REV 1_BP_Q1_6120_ 2 6 4 3" xfId="24464" xr:uid="{00000000-0005-0000-0000-0000825F0000}"/>
    <cellStyle name="0_PLANNING  DOC 6111 REV 1_BP_Q1_6120_ 2 6 4 3 2" xfId="24465" xr:uid="{00000000-0005-0000-0000-0000835F0000}"/>
    <cellStyle name="0_PLANNING  DOC 6111 REV 1_BP_Q1_6120_ 2 6 4 4" xfId="24466" xr:uid="{00000000-0005-0000-0000-0000845F0000}"/>
    <cellStyle name="0_PLANNING  DOC 6111 REV 1_BP_Q1_6120_ 2 6 5" xfId="24467" xr:uid="{00000000-0005-0000-0000-0000855F0000}"/>
    <cellStyle name="0_PLANNING  DOC 6111 REV 1_BP_Q1_6120_ 2 6 5 2" xfId="24468" xr:uid="{00000000-0005-0000-0000-0000865F0000}"/>
    <cellStyle name="0_PLANNING  DOC 6111 REV 1_BP_Q1_6120_ 2 6 5 2 2" xfId="24469" xr:uid="{00000000-0005-0000-0000-0000875F0000}"/>
    <cellStyle name="0_PLANNING  DOC 6111 REV 1_BP_Q1_6120_ 2 6 5 3" xfId="24470" xr:uid="{00000000-0005-0000-0000-0000885F0000}"/>
    <cellStyle name="0_PLANNING  DOC 6111 REV 1_BP_Q1_6120_ 2 6 5 3 2" xfId="24471" xr:uid="{00000000-0005-0000-0000-0000895F0000}"/>
    <cellStyle name="0_PLANNING  DOC 6111 REV 1_BP_Q1_6120_ 2 6 5 4" xfId="24472" xr:uid="{00000000-0005-0000-0000-00008A5F0000}"/>
    <cellStyle name="0_PLANNING  DOC 6111 REV 1_BP_Q1_6120_ 2 6 6" xfId="24473" xr:uid="{00000000-0005-0000-0000-00008B5F0000}"/>
    <cellStyle name="0_PLANNING  DOC 6111 REV 1_BP_Q1_6120_ 2 6 6 2" xfId="24474" xr:uid="{00000000-0005-0000-0000-00008C5F0000}"/>
    <cellStyle name="0_PLANNING  DOC 6111 REV 1_BP_Q1_6120_ 2 6 7" xfId="24475" xr:uid="{00000000-0005-0000-0000-00008D5F0000}"/>
    <cellStyle name="0_PLANNING  DOC 6111 REV 1_BP_Q1_6120_ 2 6 7 2" xfId="24476" xr:uid="{00000000-0005-0000-0000-00008E5F0000}"/>
    <cellStyle name="0_PLANNING  DOC 6111 REV 1_BP_Q1_6120_ 2 6 8" xfId="24477" xr:uid="{00000000-0005-0000-0000-00008F5F0000}"/>
    <cellStyle name="0_PLANNING  DOC 6111 REV 1_BP_Q1_6120_ 2 7" xfId="24478" xr:uid="{00000000-0005-0000-0000-0000905F0000}"/>
    <cellStyle name="0_PLANNING  DOC 6111 REV 1_BP_Q1_6120_ 2 7 2" xfId="24479" xr:uid="{00000000-0005-0000-0000-0000915F0000}"/>
    <cellStyle name="0_PLANNING  DOC 6111 REV 1_BP_Q1_6120_ 2 7 2 2" xfId="24480" xr:uid="{00000000-0005-0000-0000-0000925F0000}"/>
    <cellStyle name="0_PLANNING  DOC 6111 REV 1_BP_Q1_6120_ 2 7 2 2 2" xfId="24481" xr:uid="{00000000-0005-0000-0000-0000935F0000}"/>
    <cellStyle name="0_PLANNING  DOC 6111 REV 1_BP_Q1_6120_ 2 7 2 3" xfId="24482" xr:uid="{00000000-0005-0000-0000-0000945F0000}"/>
    <cellStyle name="0_PLANNING  DOC 6111 REV 1_BP_Q1_6120_ 2 7 2 3 2" xfId="24483" xr:uid="{00000000-0005-0000-0000-0000955F0000}"/>
    <cellStyle name="0_PLANNING  DOC 6111 REV 1_BP_Q1_6120_ 2 7 2 4" xfId="24484" xr:uid="{00000000-0005-0000-0000-0000965F0000}"/>
    <cellStyle name="0_PLANNING  DOC 6111 REV 1_BP_Q1_6120_ 2 7 3" xfId="24485" xr:uid="{00000000-0005-0000-0000-0000975F0000}"/>
    <cellStyle name="0_PLANNING  DOC 6111 REV 1_BP_Q1_6120_ 2 7 3 2" xfId="24486" xr:uid="{00000000-0005-0000-0000-0000985F0000}"/>
    <cellStyle name="0_PLANNING  DOC 6111 REV 1_BP_Q1_6120_ 2 7 3 2 2" xfId="24487" xr:uid="{00000000-0005-0000-0000-0000995F0000}"/>
    <cellStyle name="0_PLANNING  DOC 6111 REV 1_BP_Q1_6120_ 2 7 3 3" xfId="24488" xr:uid="{00000000-0005-0000-0000-00009A5F0000}"/>
    <cellStyle name="0_PLANNING  DOC 6111 REV 1_BP_Q1_6120_ 2 7 3 3 2" xfId="24489" xr:uid="{00000000-0005-0000-0000-00009B5F0000}"/>
    <cellStyle name="0_PLANNING  DOC 6111 REV 1_BP_Q1_6120_ 2 7 3 4" xfId="24490" xr:uid="{00000000-0005-0000-0000-00009C5F0000}"/>
    <cellStyle name="0_PLANNING  DOC 6111 REV 1_BP_Q1_6120_ 2 7 4" xfId="24491" xr:uid="{00000000-0005-0000-0000-00009D5F0000}"/>
    <cellStyle name="0_PLANNING  DOC 6111 REV 1_BP_Q1_6120_ 2 7 4 2" xfId="24492" xr:uid="{00000000-0005-0000-0000-00009E5F0000}"/>
    <cellStyle name="0_PLANNING  DOC 6111 REV 1_BP_Q1_6120_ 2 7 5" xfId="24493" xr:uid="{00000000-0005-0000-0000-00009F5F0000}"/>
    <cellStyle name="0_PLANNING  DOC 6111 REV 1_BP_Q1_6120_ 2 7 5 2" xfId="24494" xr:uid="{00000000-0005-0000-0000-0000A05F0000}"/>
    <cellStyle name="0_PLANNING  DOC 6111 REV 1_BP_Q1_6120_ 2 7 6" xfId="24495" xr:uid="{00000000-0005-0000-0000-0000A15F0000}"/>
    <cellStyle name="0_PLANNING  DOC 6111 REV 1_BP_Q1_6120_ 2 8" xfId="24496" xr:uid="{00000000-0005-0000-0000-0000A25F0000}"/>
    <cellStyle name="0_PLANNING  DOC 6111 REV 1_BP_Q1_6120_ 2 8 2" xfId="24497" xr:uid="{00000000-0005-0000-0000-0000A35F0000}"/>
    <cellStyle name="0_PLANNING  DOC 6111 REV 1_BP_Q1_6120_ 2 8 2 2" xfId="24498" xr:uid="{00000000-0005-0000-0000-0000A45F0000}"/>
    <cellStyle name="0_PLANNING  DOC 6111 REV 1_BP_Q1_6120_ 2 8 3" xfId="24499" xr:uid="{00000000-0005-0000-0000-0000A55F0000}"/>
    <cellStyle name="0_PLANNING  DOC 6111 REV 1_BP_Q1_6120_ 2 8 3 2" xfId="24500" xr:uid="{00000000-0005-0000-0000-0000A65F0000}"/>
    <cellStyle name="0_PLANNING  DOC 6111 REV 1_BP_Q1_6120_ 2 8 4" xfId="24501" xr:uid="{00000000-0005-0000-0000-0000A75F0000}"/>
    <cellStyle name="0_PLANNING  DOC 6111 REV 1_BP_Q1_6120_ 2 9" xfId="24502" xr:uid="{00000000-0005-0000-0000-0000A85F0000}"/>
    <cellStyle name="0_PLANNING  DOC 6111 REV 1_BP_Q1_6120_ 2 9 2" xfId="24503" xr:uid="{00000000-0005-0000-0000-0000A95F0000}"/>
    <cellStyle name="0_PLANNING  DOC 6111 REV 1_BP_Q1_6120_ 2 9 2 2" xfId="24504" xr:uid="{00000000-0005-0000-0000-0000AA5F0000}"/>
    <cellStyle name="0_PLANNING  DOC 6111 REV 1_BP_Q1_6120_ 2 9 3" xfId="24505" xr:uid="{00000000-0005-0000-0000-0000AB5F0000}"/>
    <cellStyle name="0_PLANNING  DOC 6111 REV 1_BP_Q1_6120_ 2 9 3 2" xfId="24506" xr:uid="{00000000-0005-0000-0000-0000AC5F0000}"/>
    <cellStyle name="0_PLANNING  DOC 6111 REV 1_BP_Q1_6120_ 2 9 4" xfId="24507" xr:uid="{00000000-0005-0000-0000-0000AD5F0000}"/>
    <cellStyle name="0_PLANNING  DOC 6111 REV 1_BP_Q1_6120_ 20" xfId="24508" xr:uid="{00000000-0005-0000-0000-0000AE5F0000}"/>
    <cellStyle name="0_PLANNING  DOC 6111 REV 1_BP_Q1_6120_ 21" xfId="24509" xr:uid="{00000000-0005-0000-0000-0000AF5F0000}"/>
    <cellStyle name="0_PLANNING  DOC 6111 REV 1_BP_Q1_6120_ 22" xfId="24510" xr:uid="{00000000-0005-0000-0000-0000B05F0000}"/>
    <cellStyle name="0_PLANNING  DOC 6111 REV 1_BP_Q1_6120_ 3" xfId="24511" xr:uid="{00000000-0005-0000-0000-0000B15F0000}"/>
    <cellStyle name="0_PLANNING  DOC 6111 REV 1_BP_Q1_6120_ 3 10" xfId="24512" xr:uid="{00000000-0005-0000-0000-0000B25F0000}"/>
    <cellStyle name="0_PLANNING  DOC 6111 REV 1_BP_Q1_6120_ 3 10 2" xfId="24513" xr:uid="{00000000-0005-0000-0000-0000B35F0000}"/>
    <cellStyle name="0_PLANNING  DOC 6111 REV 1_BP_Q1_6120_ 3 10 2 2" xfId="24514" xr:uid="{00000000-0005-0000-0000-0000B45F0000}"/>
    <cellStyle name="0_PLANNING  DOC 6111 REV 1_BP_Q1_6120_ 3 10 3" xfId="24515" xr:uid="{00000000-0005-0000-0000-0000B55F0000}"/>
    <cellStyle name="0_PLANNING  DOC 6111 REV 1_BP_Q1_6120_ 3 10 3 2" xfId="24516" xr:uid="{00000000-0005-0000-0000-0000B65F0000}"/>
    <cellStyle name="0_PLANNING  DOC 6111 REV 1_BP_Q1_6120_ 3 10 4" xfId="24517" xr:uid="{00000000-0005-0000-0000-0000B75F0000}"/>
    <cellStyle name="0_PLANNING  DOC 6111 REV 1_BP_Q1_6120_ 3 11" xfId="24518" xr:uid="{00000000-0005-0000-0000-0000B85F0000}"/>
    <cellStyle name="0_PLANNING  DOC 6111 REV 1_BP_Q1_6120_ 3 11 2" xfId="24519" xr:uid="{00000000-0005-0000-0000-0000B95F0000}"/>
    <cellStyle name="0_PLANNING  DOC 6111 REV 1_BP_Q1_6120_ 3 12" xfId="24520" xr:uid="{00000000-0005-0000-0000-0000BA5F0000}"/>
    <cellStyle name="0_PLANNING  DOC 6111 REV 1_BP_Q1_6120_ 3 12 2" xfId="24521" xr:uid="{00000000-0005-0000-0000-0000BB5F0000}"/>
    <cellStyle name="0_PLANNING  DOC 6111 REV 1_BP_Q1_6120_ 3 13" xfId="24522" xr:uid="{00000000-0005-0000-0000-0000BC5F0000}"/>
    <cellStyle name="0_PLANNING  DOC 6111 REV 1_BP_Q1_6120_ 3 2" xfId="24523" xr:uid="{00000000-0005-0000-0000-0000BD5F0000}"/>
    <cellStyle name="0_PLANNING  DOC 6111 REV 1_BP_Q1_6120_ 3 2 2" xfId="24524" xr:uid="{00000000-0005-0000-0000-0000BE5F0000}"/>
    <cellStyle name="0_PLANNING  DOC 6111 REV 1_BP_Q1_6120_ 3 2 2 2" xfId="24525" xr:uid="{00000000-0005-0000-0000-0000BF5F0000}"/>
    <cellStyle name="0_PLANNING  DOC 6111 REV 1_BP_Q1_6120_ 3 2 2 2 2" xfId="24526" xr:uid="{00000000-0005-0000-0000-0000C05F0000}"/>
    <cellStyle name="0_PLANNING  DOC 6111 REV 1_BP_Q1_6120_ 3 2 2 2 2 2" xfId="24527" xr:uid="{00000000-0005-0000-0000-0000C15F0000}"/>
    <cellStyle name="0_PLANNING  DOC 6111 REV 1_BP_Q1_6120_ 3 2 2 2 3" xfId="24528" xr:uid="{00000000-0005-0000-0000-0000C25F0000}"/>
    <cellStyle name="0_PLANNING  DOC 6111 REV 1_BP_Q1_6120_ 3 2 2 2 3 2" xfId="24529" xr:uid="{00000000-0005-0000-0000-0000C35F0000}"/>
    <cellStyle name="0_PLANNING  DOC 6111 REV 1_BP_Q1_6120_ 3 2 2 2 4" xfId="24530" xr:uid="{00000000-0005-0000-0000-0000C45F0000}"/>
    <cellStyle name="0_PLANNING  DOC 6111 REV 1_BP_Q1_6120_ 3 2 2 3" xfId="24531" xr:uid="{00000000-0005-0000-0000-0000C55F0000}"/>
    <cellStyle name="0_PLANNING  DOC 6111 REV 1_BP_Q1_6120_ 3 2 2 3 2" xfId="24532" xr:uid="{00000000-0005-0000-0000-0000C65F0000}"/>
    <cellStyle name="0_PLANNING  DOC 6111 REV 1_BP_Q1_6120_ 3 2 2 3 2 2" xfId="24533" xr:uid="{00000000-0005-0000-0000-0000C75F0000}"/>
    <cellStyle name="0_PLANNING  DOC 6111 REV 1_BP_Q1_6120_ 3 2 2 3 3" xfId="24534" xr:uid="{00000000-0005-0000-0000-0000C85F0000}"/>
    <cellStyle name="0_PLANNING  DOC 6111 REV 1_BP_Q1_6120_ 3 2 2 3 3 2" xfId="24535" xr:uid="{00000000-0005-0000-0000-0000C95F0000}"/>
    <cellStyle name="0_PLANNING  DOC 6111 REV 1_BP_Q1_6120_ 3 2 2 3 4" xfId="24536" xr:uid="{00000000-0005-0000-0000-0000CA5F0000}"/>
    <cellStyle name="0_PLANNING  DOC 6111 REV 1_BP_Q1_6120_ 3 2 2 4" xfId="24537" xr:uid="{00000000-0005-0000-0000-0000CB5F0000}"/>
    <cellStyle name="0_PLANNING  DOC 6111 REV 1_BP_Q1_6120_ 3 2 2 4 2" xfId="24538" xr:uid="{00000000-0005-0000-0000-0000CC5F0000}"/>
    <cellStyle name="0_PLANNING  DOC 6111 REV 1_BP_Q1_6120_ 3 2 2 5" xfId="24539" xr:uid="{00000000-0005-0000-0000-0000CD5F0000}"/>
    <cellStyle name="0_PLANNING  DOC 6111 REV 1_BP_Q1_6120_ 3 2 2 5 2" xfId="24540" xr:uid="{00000000-0005-0000-0000-0000CE5F0000}"/>
    <cellStyle name="0_PLANNING  DOC 6111 REV 1_BP_Q1_6120_ 3 2 2 6" xfId="24541" xr:uid="{00000000-0005-0000-0000-0000CF5F0000}"/>
    <cellStyle name="0_PLANNING  DOC 6111 REV 1_BP_Q1_6120_ 3 2 3" xfId="24542" xr:uid="{00000000-0005-0000-0000-0000D05F0000}"/>
    <cellStyle name="0_PLANNING  DOC 6111 REV 1_BP_Q1_6120_ 3 2 3 2" xfId="24543" xr:uid="{00000000-0005-0000-0000-0000D15F0000}"/>
    <cellStyle name="0_PLANNING  DOC 6111 REV 1_BP_Q1_6120_ 3 2 3 2 2" xfId="24544" xr:uid="{00000000-0005-0000-0000-0000D25F0000}"/>
    <cellStyle name="0_PLANNING  DOC 6111 REV 1_BP_Q1_6120_ 3 2 3 3" xfId="24545" xr:uid="{00000000-0005-0000-0000-0000D35F0000}"/>
    <cellStyle name="0_PLANNING  DOC 6111 REV 1_BP_Q1_6120_ 3 2 3 3 2" xfId="24546" xr:uid="{00000000-0005-0000-0000-0000D45F0000}"/>
    <cellStyle name="0_PLANNING  DOC 6111 REV 1_BP_Q1_6120_ 3 2 3 4" xfId="24547" xr:uid="{00000000-0005-0000-0000-0000D55F0000}"/>
    <cellStyle name="0_PLANNING  DOC 6111 REV 1_BP_Q1_6120_ 3 2 4" xfId="24548" xr:uid="{00000000-0005-0000-0000-0000D65F0000}"/>
    <cellStyle name="0_PLANNING  DOC 6111 REV 1_BP_Q1_6120_ 3 2 4 2" xfId="24549" xr:uid="{00000000-0005-0000-0000-0000D75F0000}"/>
    <cellStyle name="0_PLANNING  DOC 6111 REV 1_BP_Q1_6120_ 3 2 4 2 2" xfId="24550" xr:uid="{00000000-0005-0000-0000-0000D85F0000}"/>
    <cellStyle name="0_PLANNING  DOC 6111 REV 1_BP_Q1_6120_ 3 2 4 3" xfId="24551" xr:uid="{00000000-0005-0000-0000-0000D95F0000}"/>
    <cellStyle name="0_PLANNING  DOC 6111 REV 1_BP_Q1_6120_ 3 2 4 3 2" xfId="24552" xr:uid="{00000000-0005-0000-0000-0000DA5F0000}"/>
    <cellStyle name="0_PLANNING  DOC 6111 REV 1_BP_Q1_6120_ 3 2 4 4" xfId="24553" xr:uid="{00000000-0005-0000-0000-0000DB5F0000}"/>
    <cellStyle name="0_PLANNING  DOC 6111 REV 1_BP_Q1_6120_ 3 2 5" xfId="24554" xr:uid="{00000000-0005-0000-0000-0000DC5F0000}"/>
    <cellStyle name="0_PLANNING  DOC 6111 REV 1_BP_Q1_6120_ 3 2 5 2" xfId="24555" xr:uid="{00000000-0005-0000-0000-0000DD5F0000}"/>
    <cellStyle name="0_PLANNING  DOC 6111 REV 1_BP_Q1_6120_ 3 2 5 2 2" xfId="24556" xr:uid="{00000000-0005-0000-0000-0000DE5F0000}"/>
    <cellStyle name="0_PLANNING  DOC 6111 REV 1_BP_Q1_6120_ 3 2 5 3" xfId="24557" xr:uid="{00000000-0005-0000-0000-0000DF5F0000}"/>
    <cellStyle name="0_PLANNING  DOC 6111 REV 1_BP_Q1_6120_ 3 2 5 3 2" xfId="24558" xr:uid="{00000000-0005-0000-0000-0000E05F0000}"/>
    <cellStyle name="0_PLANNING  DOC 6111 REV 1_BP_Q1_6120_ 3 2 5 4" xfId="24559" xr:uid="{00000000-0005-0000-0000-0000E15F0000}"/>
    <cellStyle name="0_PLANNING  DOC 6111 REV 1_BP_Q1_6120_ 3 2 6" xfId="24560" xr:uid="{00000000-0005-0000-0000-0000E25F0000}"/>
    <cellStyle name="0_PLANNING  DOC 6111 REV 1_BP_Q1_6120_ 3 2 6 2" xfId="24561" xr:uid="{00000000-0005-0000-0000-0000E35F0000}"/>
    <cellStyle name="0_PLANNING  DOC 6111 REV 1_BP_Q1_6120_ 3 2 7" xfId="24562" xr:uid="{00000000-0005-0000-0000-0000E45F0000}"/>
    <cellStyle name="0_PLANNING  DOC 6111 REV 1_BP_Q1_6120_ 3 2 7 2" xfId="24563" xr:uid="{00000000-0005-0000-0000-0000E55F0000}"/>
    <cellStyle name="0_PLANNING  DOC 6111 REV 1_BP_Q1_6120_ 3 2 8" xfId="24564" xr:uid="{00000000-0005-0000-0000-0000E65F0000}"/>
    <cellStyle name="0_PLANNING  DOC 6111 REV 1_BP_Q1_6120_ 3 3" xfId="24565" xr:uid="{00000000-0005-0000-0000-0000E75F0000}"/>
    <cellStyle name="0_PLANNING  DOC 6111 REV 1_BP_Q1_6120_ 3 3 2" xfId="24566" xr:uid="{00000000-0005-0000-0000-0000E85F0000}"/>
    <cellStyle name="0_PLANNING  DOC 6111 REV 1_BP_Q1_6120_ 3 3 2 2" xfId="24567" xr:uid="{00000000-0005-0000-0000-0000E95F0000}"/>
    <cellStyle name="0_PLANNING  DOC 6111 REV 1_BP_Q1_6120_ 3 3 2 2 2" xfId="24568" xr:uid="{00000000-0005-0000-0000-0000EA5F0000}"/>
    <cellStyle name="0_PLANNING  DOC 6111 REV 1_BP_Q1_6120_ 3 3 2 2 2 2" xfId="24569" xr:uid="{00000000-0005-0000-0000-0000EB5F0000}"/>
    <cellStyle name="0_PLANNING  DOC 6111 REV 1_BP_Q1_6120_ 3 3 2 2 3" xfId="24570" xr:uid="{00000000-0005-0000-0000-0000EC5F0000}"/>
    <cellStyle name="0_PLANNING  DOC 6111 REV 1_BP_Q1_6120_ 3 3 2 2 3 2" xfId="24571" xr:uid="{00000000-0005-0000-0000-0000ED5F0000}"/>
    <cellStyle name="0_PLANNING  DOC 6111 REV 1_BP_Q1_6120_ 3 3 2 2 4" xfId="24572" xr:uid="{00000000-0005-0000-0000-0000EE5F0000}"/>
    <cellStyle name="0_PLANNING  DOC 6111 REV 1_BP_Q1_6120_ 3 3 2 3" xfId="24573" xr:uid="{00000000-0005-0000-0000-0000EF5F0000}"/>
    <cellStyle name="0_PLANNING  DOC 6111 REV 1_BP_Q1_6120_ 3 3 2 3 2" xfId="24574" xr:uid="{00000000-0005-0000-0000-0000F05F0000}"/>
    <cellStyle name="0_PLANNING  DOC 6111 REV 1_BP_Q1_6120_ 3 3 2 3 2 2" xfId="24575" xr:uid="{00000000-0005-0000-0000-0000F15F0000}"/>
    <cellStyle name="0_PLANNING  DOC 6111 REV 1_BP_Q1_6120_ 3 3 2 3 3" xfId="24576" xr:uid="{00000000-0005-0000-0000-0000F25F0000}"/>
    <cellStyle name="0_PLANNING  DOC 6111 REV 1_BP_Q1_6120_ 3 3 2 3 3 2" xfId="24577" xr:uid="{00000000-0005-0000-0000-0000F35F0000}"/>
    <cellStyle name="0_PLANNING  DOC 6111 REV 1_BP_Q1_6120_ 3 3 2 3 4" xfId="24578" xr:uid="{00000000-0005-0000-0000-0000F45F0000}"/>
    <cellStyle name="0_PLANNING  DOC 6111 REV 1_BP_Q1_6120_ 3 3 2 4" xfId="24579" xr:uid="{00000000-0005-0000-0000-0000F55F0000}"/>
    <cellStyle name="0_PLANNING  DOC 6111 REV 1_BP_Q1_6120_ 3 3 2 4 2" xfId="24580" xr:uid="{00000000-0005-0000-0000-0000F65F0000}"/>
    <cellStyle name="0_PLANNING  DOC 6111 REV 1_BP_Q1_6120_ 3 3 2 5" xfId="24581" xr:uid="{00000000-0005-0000-0000-0000F75F0000}"/>
    <cellStyle name="0_PLANNING  DOC 6111 REV 1_BP_Q1_6120_ 3 3 2 5 2" xfId="24582" xr:uid="{00000000-0005-0000-0000-0000F85F0000}"/>
    <cellStyle name="0_PLANNING  DOC 6111 REV 1_BP_Q1_6120_ 3 3 2 6" xfId="24583" xr:uid="{00000000-0005-0000-0000-0000F95F0000}"/>
    <cellStyle name="0_PLANNING  DOC 6111 REV 1_BP_Q1_6120_ 3 3 3" xfId="24584" xr:uid="{00000000-0005-0000-0000-0000FA5F0000}"/>
    <cellStyle name="0_PLANNING  DOC 6111 REV 1_BP_Q1_6120_ 3 3 3 2" xfId="24585" xr:uid="{00000000-0005-0000-0000-0000FB5F0000}"/>
    <cellStyle name="0_PLANNING  DOC 6111 REV 1_BP_Q1_6120_ 3 3 3 2 2" xfId="24586" xr:uid="{00000000-0005-0000-0000-0000FC5F0000}"/>
    <cellStyle name="0_PLANNING  DOC 6111 REV 1_BP_Q1_6120_ 3 3 3 3" xfId="24587" xr:uid="{00000000-0005-0000-0000-0000FD5F0000}"/>
    <cellStyle name="0_PLANNING  DOC 6111 REV 1_BP_Q1_6120_ 3 3 3 3 2" xfId="24588" xr:uid="{00000000-0005-0000-0000-0000FE5F0000}"/>
    <cellStyle name="0_PLANNING  DOC 6111 REV 1_BP_Q1_6120_ 3 3 3 4" xfId="24589" xr:uid="{00000000-0005-0000-0000-0000FF5F0000}"/>
    <cellStyle name="0_PLANNING  DOC 6111 REV 1_BP_Q1_6120_ 3 3 4" xfId="24590" xr:uid="{00000000-0005-0000-0000-000000600000}"/>
    <cellStyle name="0_PLANNING  DOC 6111 REV 1_BP_Q1_6120_ 3 3 4 2" xfId="24591" xr:uid="{00000000-0005-0000-0000-000001600000}"/>
    <cellStyle name="0_PLANNING  DOC 6111 REV 1_BP_Q1_6120_ 3 3 4 2 2" xfId="24592" xr:uid="{00000000-0005-0000-0000-000002600000}"/>
    <cellStyle name="0_PLANNING  DOC 6111 REV 1_BP_Q1_6120_ 3 3 4 3" xfId="24593" xr:uid="{00000000-0005-0000-0000-000003600000}"/>
    <cellStyle name="0_PLANNING  DOC 6111 REV 1_BP_Q1_6120_ 3 3 4 3 2" xfId="24594" xr:uid="{00000000-0005-0000-0000-000004600000}"/>
    <cellStyle name="0_PLANNING  DOC 6111 REV 1_BP_Q1_6120_ 3 3 4 4" xfId="24595" xr:uid="{00000000-0005-0000-0000-000005600000}"/>
    <cellStyle name="0_PLANNING  DOC 6111 REV 1_BP_Q1_6120_ 3 3 5" xfId="24596" xr:uid="{00000000-0005-0000-0000-000006600000}"/>
    <cellStyle name="0_PLANNING  DOC 6111 REV 1_BP_Q1_6120_ 3 3 5 2" xfId="24597" xr:uid="{00000000-0005-0000-0000-000007600000}"/>
    <cellStyle name="0_PLANNING  DOC 6111 REV 1_BP_Q1_6120_ 3 3 5 2 2" xfId="24598" xr:uid="{00000000-0005-0000-0000-000008600000}"/>
    <cellStyle name="0_PLANNING  DOC 6111 REV 1_BP_Q1_6120_ 3 3 5 3" xfId="24599" xr:uid="{00000000-0005-0000-0000-000009600000}"/>
    <cellStyle name="0_PLANNING  DOC 6111 REV 1_BP_Q1_6120_ 3 3 5 3 2" xfId="24600" xr:uid="{00000000-0005-0000-0000-00000A600000}"/>
    <cellStyle name="0_PLANNING  DOC 6111 REV 1_BP_Q1_6120_ 3 3 5 4" xfId="24601" xr:uid="{00000000-0005-0000-0000-00000B600000}"/>
    <cellStyle name="0_PLANNING  DOC 6111 REV 1_BP_Q1_6120_ 3 3 6" xfId="24602" xr:uid="{00000000-0005-0000-0000-00000C600000}"/>
    <cellStyle name="0_PLANNING  DOC 6111 REV 1_BP_Q1_6120_ 3 3 6 2" xfId="24603" xr:uid="{00000000-0005-0000-0000-00000D600000}"/>
    <cellStyle name="0_PLANNING  DOC 6111 REV 1_BP_Q1_6120_ 3 3 7" xfId="24604" xr:uid="{00000000-0005-0000-0000-00000E600000}"/>
    <cellStyle name="0_PLANNING  DOC 6111 REV 1_BP_Q1_6120_ 3 3 7 2" xfId="24605" xr:uid="{00000000-0005-0000-0000-00000F600000}"/>
    <cellStyle name="0_PLANNING  DOC 6111 REV 1_BP_Q1_6120_ 3 3 8" xfId="24606" xr:uid="{00000000-0005-0000-0000-000010600000}"/>
    <cellStyle name="0_PLANNING  DOC 6111 REV 1_BP_Q1_6120_ 3 4" xfId="24607" xr:uid="{00000000-0005-0000-0000-000011600000}"/>
    <cellStyle name="0_PLANNING  DOC 6111 REV 1_BP_Q1_6120_ 3 4 2" xfId="24608" xr:uid="{00000000-0005-0000-0000-000012600000}"/>
    <cellStyle name="0_PLANNING  DOC 6111 REV 1_BP_Q1_6120_ 3 4 2 2" xfId="24609" xr:uid="{00000000-0005-0000-0000-000013600000}"/>
    <cellStyle name="0_PLANNING  DOC 6111 REV 1_BP_Q1_6120_ 3 4 2 2 2" xfId="24610" xr:uid="{00000000-0005-0000-0000-000014600000}"/>
    <cellStyle name="0_PLANNING  DOC 6111 REV 1_BP_Q1_6120_ 3 4 2 2 2 2" xfId="24611" xr:uid="{00000000-0005-0000-0000-000015600000}"/>
    <cellStyle name="0_PLANNING  DOC 6111 REV 1_BP_Q1_6120_ 3 4 2 2 3" xfId="24612" xr:uid="{00000000-0005-0000-0000-000016600000}"/>
    <cellStyle name="0_PLANNING  DOC 6111 REV 1_BP_Q1_6120_ 3 4 2 2 3 2" xfId="24613" xr:uid="{00000000-0005-0000-0000-000017600000}"/>
    <cellStyle name="0_PLANNING  DOC 6111 REV 1_BP_Q1_6120_ 3 4 2 2 4" xfId="24614" xr:uid="{00000000-0005-0000-0000-000018600000}"/>
    <cellStyle name="0_PLANNING  DOC 6111 REV 1_BP_Q1_6120_ 3 4 2 3" xfId="24615" xr:uid="{00000000-0005-0000-0000-000019600000}"/>
    <cellStyle name="0_PLANNING  DOC 6111 REV 1_BP_Q1_6120_ 3 4 2 3 2" xfId="24616" xr:uid="{00000000-0005-0000-0000-00001A600000}"/>
    <cellStyle name="0_PLANNING  DOC 6111 REV 1_BP_Q1_6120_ 3 4 2 3 2 2" xfId="24617" xr:uid="{00000000-0005-0000-0000-00001B600000}"/>
    <cellStyle name="0_PLANNING  DOC 6111 REV 1_BP_Q1_6120_ 3 4 2 3 3" xfId="24618" xr:uid="{00000000-0005-0000-0000-00001C600000}"/>
    <cellStyle name="0_PLANNING  DOC 6111 REV 1_BP_Q1_6120_ 3 4 2 3 3 2" xfId="24619" xr:uid="{00000000-0005-0000-0000-00001D600000}"/>
    <cellStyle name="0_PLANNING  DOC 6111 REV 1_BP_Q1_6120_ 3 4 2 3 4" xfId="24620" xr:uid="{00000000-0005-0000-0000-00001E600000}"/>
    <cellStyle name="0_PLANNING  DOC 6111 REV 1_BP_Q1_6120_ 3 4 2 4" xfId="24621" xr:uid="{00000000-0005-0000-0000-00001F600000}"/>
    <cellStyle name="0_PLANNING  DOC 6111 REV 1_BP_Q1_6120_ 3 4 2 4 2" xfId="24622" xr:uid="{00000000-0005-0000-0000-000020600000}"/>
    <cellStyle name="0_PLANNING  DOC 6111 REV 1_BP_Q1_6120_ 3 4 2 5" xfId="24623" xr:uid="{00000000-0005-0000-0000-000021600000}"/>
    <cellStyle name="0_PLANNING  DOC 6111 REV 1_BP_Q1_6120_ 3 4 2 5 2" xfId="24624" xr:uid="{00000000-0005-0000-0000-000022600000}"/>
    <cellStyle name="0_PLANNING  DOC 6111 REV 1_BP_Q1_6120_ 3 4 2 6" xfId="24625" xr:uid="{00000000-0005-0000-0000-000023600000}"/>
    <cellStyle name="0_PLANNING  DOC 6111 REV 1_BP_Q1_6120_ 3 4 3" xfId="24626" xr:uid="{00000000-0005-0000-0000-000024600000}"/>
    <cellStyle name="0_PLANNING  DOC 6111 REV 1_BP_Q1_6120_ 3 4 3 2" xfId="24627" xr:uid="{00000000-0005-0000-0000-000025600000}"/>
    <cellStyle name="0_PLANNING  DOC 6111 REV 1_BP_Q1_6120_ 3 4 3 2 2" xfId="24628" xr:uid="{00000000-0005-0000-0000-000026600000}"/>
    <cellStyle name="0_PLANNING  DOC 6111 REV 1_BP_Q1_6120_ 3 4 3 3" xfId="24629" xr:uid="{00000000-0005-0000-0000-000027600000}"/>
    <cellStyle name="0_PLANNING  DOC 6111 REV 1_BP_Q1_6120_ 3 4 3 3 2" xfId="24630" xr:uid="{00000000-0005-0000-0000-000028600000}"/>
    <cellStyle name="0_PLANNING  DOC 6111 REV 1_BP_Q1_6120_ 3 4 3 4" xfId="24631" xr:uid="{00000000-0005-0000-0000-000029600000}"/>
    <cellStyle name="0_PLANNING  DOC 6111 REV 1_BP_Q1_6120_ 3 4 4" xfId="24632" xr:uid="{00000000-0005-0000-0000-00002A600000}"/>
    <cellStyle name="0_PLANNING  DOC 6111 REV 1_BP_Q1_6120_ 3 4 4 2" xfId="24633" xr:uid="{00000000-0005-0000-0000-00002B600000}"/>
    <cellStyle name="0_PLANNING  DOC 6111 REV 1_BP_Q1_6120_ 3 4 4 2 2" xfId="24634" xr:uid="{00000000-0005-0000-0000-00002C600000}"/>
    <cellStyle name="0_PLANNING  DOC 6111 REV 1_BP_Q1_6120_ 3 4 4 3" xfId="24635" xr:uid="{00000000-0005-0000-0000-00002D600000}"/>
    <cellStyle name="0_PLANNING  DOC 6111 REV 1_BP_Q1_6120_ 3 4 4 3 2" xfId="24636" xr:uid="{00000000-0005-0000-0000-00002E600000}"/>
    <cellStyle name="0_PLANNING  DOC 6111 REV 1_BP_Q1_6120_ 3 4 4 4" xfId="24637" xr:uid="{00000000-0005-0000-0000-00002F600000}"/>
    <cellStyle name="0_PLANNING  DOC 6111 REV 1_BP_Q1_6120_ 3 4 5" xfId="24638" xr:uid="{00000000-0005-0000-0000-000030600000}"/>
    <cellStyle name="0_PLANNING  DOC 6111 REV 1_BP_Q1_6120_ 3 4 5 2" xfId="24639" xr:uid="{00000000-0005-0000-0000-000031600000}"/>
    <cellStyle name="0_PLANNING  DOC 6111 REV 1_BP_Q1_6120_ 3 4 5 2 2" xfId="24640" xr:uid="{00000000-0005-0000-0000-000032600000}"/>
    <cellStyle name="0_PLANNING  DOC 6111 REV 1_BP_Q1_6120_ 3 4 5 3" xfId="24641" xr:uid="{00000000-0005-0000-0000-000033600000}"/>
    <cellStyle name="0_PLANNING  DOC 6111 REV 1_BP_Q1_6120_ 3 4 5 3 2" xfId="24642" xr:uid="{00000000-0005-0000-0000-000034600000}"/>
    <cellStyle name="0_PLANNING  DOC 6111 REV 1_BP_Q1_6120_ 3 4 5 4" xfId="24643" xr:uid="{00000000-0005-0000-0000-000035600000}"/>
    <cellStyle name="0_PLANNING  DOC 6111 REV 1_BP_Q1_6120_ 3 4 6" xfId="24644" xr:uid="{00000000-0005-0000-0000-000036600000}"/>
    <cellStyle name="0_PLANNING  DOC 6111 REV 1_BP_Q1_6120_ 3 4 6 2" xfId="24645" xr:uid="{00000000-0005-0000-0000-000037600000}"/>
    <cellStyle name="0_PLANNING  DOC 6111 REV 1_BP_Q1_6120_ 3 4 7" xfId="24646" xr:uid="{00000000-0005-0000-0000-000038600000}"/>
    <cellStyle name="0_PLANNING  DOC 6111 REV 1_BP_Q1_6120_ 3 4 7 2" xfId="24647" xr:uid="{00000000-0005-0000-0000-000039600000}"/>
    <cellStyle name="0_PLANNING  DOC 6111 REV 1_BP_Q1_6120_ 3 4 8" xfId="24648" xr:uid="{00000000-0005-0000-0000-00003A600000}"/>
    <cellStyle name="0_PLANNING  DOC 6111 REV 1_BP_Q1_6120_ 3 5" xfId="24649" xr:uid="{00000000-0005-0000-0000-00003B600000}"/>
    <cellStyle name="0_PLANNING  DOC 6111 REV 1_BP_Q1_6120_ 3 5 2" xfId="24650" xr:uid="{00000000-0005-0000-0000-00003C600000}"/>
    <cellStyle name="0_PLANNING  DOC 6111 REV 1_BP_Q1_6120_ 3 5 2 2" xfId="24651" xr:uid="{00000000-0005-0000-0000-00003D600000}"/>
    <cellStyle name="0_PLANNING  DOC 6111 REV 1_BP_Q1_6120_ 3 5 2 2 2" xfId="24652" xr:uid="{00000000-0005-0000-0000-00003E600000}"/>
    <cellStyle name="0_PLANNING  DOC 6111 REV 1_BP_Q1_6120_ 3 5 2 2 2 2" xfId="24653" xr:uid="{00000000-0005-0000-0000-00003F600000}"/>
    <cellStyle name="0_PLANNING  DOC 6111 REV 1_BP_Q1_6120_ 3 5 2 2 3" xfId="24654" xr:uid="{00000000-0005-0000-0000-000040600000}"/>
    <cellStyle name="0_PLANNING  DOC 6111 REV 1_BP_Q1_6120_ 3 5 2 2 3 2" xfId="24655" xr:uid="{00000000-0005-0000-0000-000041600000}"/>
    <cellStyle name="0_PLANNING  DOC 6111 REV 1_BP_Q1_6120_ 3 5 2 2 4" xfId="24656" xr:uid="{00000000-0005-0000-0000-000042600000}"/>
    <cellStyle name="0_PLANNING  DOC 6111 REV 1_BP_Q1_6120_ 3 5 2 3" xfId="24657" xr:uid="{00000000-0005-0000-0000-000043600000}"/>
    <cellStyle name="0_PLANNING  DOC 6111 REV 1_BP_Q1_6120_ 3 5 2 3 2" xfId="24658" xr:uid="{00000000-0005-0000-0000-000044600000}"/>
    <cellStyle name="0_PLANNING  DOC 6111 REV 1_BP_Q1_6120_ 3 5 2 3 2 2" xfId="24659" xr:uid="{00000000-0005-0000-0000-000045600000}"/>
    <cellStyle name="0_PLANNING  DOC 6111 REV 1_BP_Q1_6120_ 3 5 2 3 3" xfId="24660" xr:uid="{00000000-0005-0000-0000-000046600000}"/>
    <cellStyle name="0_PLANNING  DOC 6111 REV 1_BP_Q1_6120_ 3 5 2 3 3 2" xfId="24661" xr:uid="{00000000-0005-0000-0000-000047600000}"/>
    <cellStyle name="0_PLANNING  DOC 6111 REV 1_BP_Q1_6120_ 3 5 2 3 4" xfId="24662" xr:uid="{00000000-0005-0000-0000-000048600000}"/>
    <cellStyle name="0_PLANNING  DOC 6111 REV 1_BP_Q1_6120_ 3 5 2 4" xfId="24663" xr:uid="{00000000-0005-0000-0000-000049600000}"/>
    <cellStyle name="0_PLANNING  DOC 6111 REV 1_BP_Q1_6120_ 3 5 2 4 2" xfId="24664" xr:uid="{00000000-0005-0000-0000-00004A600000}"/>
    <cellStyle name="0_PLANNING  DOC 6111 REV 1_BP_Q1_6120_ 3 5 2 5" xfId="24665" xr:uid="{00000000-0005-0000-0000-00004B600000}"/>
    <cellStyle name="0_PLANNING  DOC 6111 REV 1_BP_Q1_6120_ 3 5 2 5 2" xfId="24666" xr:uid="{00000000-0005-0000-0000-00004C600000}"/>
    <cellStyle name="0_PLANNING  DOC 6111 REV 1_BP_Q1_6120_ 3 5 2 6" xfId="24667" xr:uid="{00000000-0005-0000-0000-00004D600000}"/>
    <cellStyle name="0_PLANNING  DOC 6111 REV 1_BP_Q1_6120_ 3 5 3" xfId="24668" xr:uid="{00000000-0005-0000-0000-00004E600000}"/>
    <cellStyle name="0_PLANNING  DOC 6111 REV 1_BP_Q1_6120_ 3 5 3 2" xfId="24669" xr:uid="{00000000-0005-0000-0000-00004F600000}"/>
    <cellStyle name="0_PLANNING  DOC 6111 REV 1_BP_Q1_6120_ 3 5 3 2 2" xfId="24670" xr:uid="{00000000-0005-0000-0000-000050600000}"/>
    <cellStyle name="0_PLANNING  DOC 6111 REV 1_BP_Q1_6120_ 3 5 3 3" xfId="24671" xr:uid="{00000000-0005-0000-0000-000051600000}"/>
    <cellStyle name="0_PLANNING  DOC 6111 REV 1_BP_Q1_6120_ 3 5 3 3 2" xfId="24672" xr:uid="{00000000-0005-0000-0000-000052600000}"/>
    <cellStyle name="0_PLANNING  DOC 6111 REV 1_BP_Q1_6120_ 3 5 3 4" xfId="24673" xr:uid="{00000000-0005-0000-0000-000053600000}"/>
    <cellStyle name="0_PLANNING  DOC 6111 REV 1_BP_Q1_6120_ 3 5 4" xfId="24674" xr:uid="{00000000-0005-0000-0000-000054600000}"/>
    <cellStyle name="0_PLANNING  DOC 6111 REV 1_BP_Q1_6120_ 3 5 4 2" xfId="24675" xr:uid="{00000000-0005-0000-0000-000055600000}"/>
    <cellStyle name="0_PLANNING  DOC 6111 REV 1_BP_Q1_6120_ 3 5 4 2 2" xfId="24676" xr:uid="{00000000-0005-0000-0000-000056600000}"/>
    <cellStyle name="0_PLANNING  DOC 6111 REV 1_BP_Q1_6120_ 3 5 4 3" xfId="24677" xr:uid="{00000000-0005-0000-0000-000057600000}"/>
    <cellStyle name="0_PLANNING  DOC 6111 REV 1_BP_Q1_6120_ 3 5 4 3 2" xfId="24678" xr:uid="{00000000-0005-0000-0000-000058600000}"/>
    <cellStyle name="0_PLANNING  DOC 6111 REV 1_BP_Q1_6120_ 3 5 4 4" xfId="24679" xr:uid="{00000000-0005-0000-0000-000059600000}"/>
    <cellStyle name="0_PLANNING  DOC 6111 REV 1_BP_Q1_6120_ 3 5 5" xfId="24680" xr:uid="{00000000-0005-0000-0000-00005A600000}"/>
    <cellStyle name="0_PLANNING  DOC 6111 REV 1_BP_Q1_6120_ 3 5 5 2" xfId="24681" xr:uid="{00000000-0005-0000-0000-00005B600000}"/>
    <cellStyle name="0_PLANNING  DOC 6111 REV 1_BP_Q1_6120_ 3 5 5 2 2" xfId="24682" xr:uid="{00000000-0005-0000-0000-00005C600000}"/>
    <cellStyle name="0_PLANNING  DOC 6111 REV 1_BP_Q1_6120_ 3 5 5 3" xfId="24683" xr:uid="{00000000-0005-0000-0000-00005D600000}"/>
    <cellStyle name="0_PLANNING  DOC 6111 REV 1_BP_Q1_6120_ 3 5 5 3 2" xfId="24684" xr:uid="{00000000-0005-0000-0000-00005E600000}"/>
    <cellStyle name="0_PLANNING  DOC 6111 REV 1_BP_Q1_6120_ 3 5 5 4" xfId="24685" xr:uid="{00000000-0005-0000-0000-00005F600000}"/>
    <cellStyle name="0_PLANNING  DOC 6111 REV 1_BP_Q1_6120_ 3 5 6" xfId="24686" xr:uid="{00000000-0005-0000-0000-000060600000}"/>
    <cellStyle name="0_PLANNING  DOC 6111 REV 1_BP_Q1_6120_ 3 5 6 2" xfId="24687" xr:uid="{00000000-0005-0000-0000-000061600000}"/>
    <cellStyle name="0_PLANNING  DOC 6111 REV 1_BP_Q1_6120_ 3 5 7" xfId="24688" xr:uid="{00000000-0005-0000-0000-000062600000}"/>
    <cellStyle name="0_PLANNING  DOC 6111 REV 1_BP_Q1_6120_ 3 5 7 2" xfId="24689" xr:uid="{00000000-0005-0000-0000-000063600000}"/>
    <cellStyle name="0_PLANNING  DOC 6111 REV 1_BP_Q1_6120_ 3 5 8" xfId="24690" xr:uid="{00000000-0005-0000-0000-000064600000}"/>
    <cellStyle name="0_PLANNING  DOC 6111 REV 1_BP_Q1_6120_ 3 6" xfId="24691" xr:uid="{00000000-0005-0000-0000-000065600000}"/>
    <cellStyle name="0_PLANNING  DOC 6111 REV 1_BP_Q1_6120_ 3 6 2" xfId="24692" xr:uid="{00000000-0005-0000-0000-000066600000}"/>
    <cellStyle name="0_PLANNING  DOC 6111 REV 1_BP_Q1_6120_ 3 6 2 2" xfId="24693" xr:uid="{00000000-0005-0000-0000-000067600000}"/>
    <cellStyle name="0_PLANNING  DOC 6111 REV 1_BP_Q1_6120_ 3 6 2 2 2" xfId="24694" xr:uid="{00000000-0005-0000-0000-000068600000}"/>
    <cellStyle name="0_PLANNING  DOC 6111 REV 1_BP_Q1_6120_ 3 6 2 2 2 2" xfId="24695" xr:uid="{00000000-0005-0000-0000-000069600000}"/>
    <cellStyle name="0_PLANNING  DOC 6111 REV 1_BP_Q1_6120_ 3 6 2 2 3" xfId="24696" xr:uid="{00000000-0005-0000-0000-00006A600000}"/>
    <cellStyle name="0_PLANNING  DOC 6111 REV 1_BP_Q1_6120_ 3 6 2 2 3 2" xfId="24697" xr:uid="{00000000-0005-0000-0000-00006B600000}"/>
    <cellStyle name="0_PLANNING  DOC 6111 REV 1_BP_Q1_6120_ 3 6 2 2 4" xfId="24698" xr:uid="{00000000-0005-0000-0000-00006C600000}"/>
    <cellStyle name="0_PLANNING  DOC 6111 REV 1_BP_Q1_6120_ 3 6 2 3" xfId="24699" xr:uid="{00000000-0005-0000-0000-00006D600000}"/>
    <cellStyle name="0_PLANNING  DOC 6111 REV 1_BP_Q1_6120_ 3 6 2 3 2" xfId="24700" xr:uid="{00000000-0005-0000-0000-00006E600000}"/>
    <cellStyle name="0_PLANNING  DOC 6111 REV 1_BP_Q1_6120_ 3 6 2 3 2 2" xfId="24701" xr:uid="{00000000-0005-0000-0000-00006F600000}"/>
    <cellStyle name="0_PLANNING  DOC 6111 REV 1_BP_Q1_6120_ 3 6 2 3 3" xfId="24702" xr:uid="{00000000-0005-0000-0000-000070600000}"/>
    <cellStyle name="0_PLANNING  DOC 6111 REV 1_BP_Q1_6120_ 3 6 2 3 3 2" xfId="24703" xr:uid="{00000000-0005-0000-0000-000071600000}"/>
    <cellStyle name="0_PLANNING  DOC 6111 REV 1_BP_Q1_6120_ 3 6 2 3 4" xfId="24704" xr:uid="{00000000-0005-0000-0000-000072600000}"/>
    <cellStyle name="0_PLANNING  DOC 6111 REV 1_BP_Q1_6120_ 3 6 2 4" xfId="24705" xr:uid="{00000000-0005-0000-0000-000073600000}"/>
    <cellStyle name="0_PLANNING  DOC 6111 REV 1_BP_Q1_6120_ 3 6 2 4 2" xfId="24706" xr:uid="{00000000-0005-0000-0000-000074600000}"/>
    <cellStyle name="0_PLANNING  DOC 6111 REV 1_BP_Q1_6120_ 3 6 2 5" xfId="24707" xr:uid="{00000000-0005-0000-0000-000075600000}"/>
    <cellStyle name="0_PLANNING  DOC 6111 REV 1_BP_Q1_6120_ 3 6 2 5 2" xfId="24708" xr:uid="{00000000-0005-0000-0000-000076600000}"/>
    <cellStyle name="0_PLANNING  DOC 6111 REV 1_BP_Q1_6120_ 3 6 2 6" xfId="24709" xr:uid="{00000000-0005-0000-0000-000077600000}"/>
    <cellStyle name="0_PLANNING  DOC 6111 REV 1_BP_Q1_6120_ 3 6 3" xfId="24710" xr:uid="{00000000-0005-0000-0000-000078600000}"/>
    <cellStyle name="0_PLANNING  DOC 6111 REV 1_BP_Q1_6120_ 3 6 3 2" xfId="24711" xr:uid="{00000000-0005-0000-0000-000079600000}"/>
    <cellStyle name="0_PLANNING  DOC 6111 REV 1_BP_Q1_6120_ 3 6 3 2 2" xfId="24712" xr:uid="{00000000-0005-0000-0000-00007A600000}"/>
    <cellStyle name="0_PLANNING  DOC 6111 REV 1_BP_Q1_6120_ 3 6 3 3" xfId="24713" xr:uid="{00000000-0005-0000-0000-00007B600000}"/>
    <cellStyle name="0_PLANNING  DOC 6111 REV 1_BP_Q1_6120_ 3 6 3 3 2" xfId="24714" xr:uid="{00000000-0005-0000-0000-00007C600000}"/>
    <cellStyle name="0_PLANNING  DOC 6111 REV 1_BP_Q1_6120_ 3 6 3 4" xfId="24715" xr:uid="{00000000-0005-0000-0000-00007D600000}"/>
    <cellStyle name="0_PLANNING  DOC 6111 REV 1_BP_Q1_6120_ 3 6 4" xfId="24716" xr:uid="{00000000-0005-0000-0000-00007E600000}"/>
    <cellStyle name="0_PLANNING  DOC 6111 REV 1_BP_Q1_6120_ 3 6 4 2" xfId="24717" xr:uid="{00000000-0005-0000-0000-00007F600000}"/>
    <cellStyle name="0_PLANNING  DOC 6111 REV 1_BP_Q1_6120_ 3 6 4 2 2" xfId="24718" xr:uid="{00000000-0005-0000-0000-000080600000}"/>
    <cellStyle name="0_PLANNING  DOC 6111 REV 1_BP_Q1_6120_ 3 6 4 3" xfId="24719" xr:uid="{00000000-0005-0000-0000-000081600000}"/>
    <cellStyle name="0_PLANNING  DOC 6111 REV 1_BP_Q1_6120_ 3 6 4 3 2" xfId="24720" xr:uid="{00000000-0005-0000-0000-000082600000}"/>
    <cellStyle name="0_PLANNING  DOC 6111 REV 1_BP_Q1_6120_ 3 6 4 4" xfId="24721" xr:uid="{00000000-0005-0000-0000-000083600000}"/>
    <cellStyle name="0_PLANNING  DOC 6111 REV 1_BP_Q1_6120_ 3 6 5" xfId="24722" xr:uid="{00000000-0005-0000-0000-000084600000}"/>
    <cellStyle name="0_PLANNING  DOC 6111 REV 1_BP_Q1_6120_ 3 6 5 2" xfId="24723" xr:uid="{00000000-0005-0000-0000-000085600000}"/>
    <cellStyle name="0_PLANNING  DOC 6111 REV 1_BP_Q1_6120_ 3 6 5 2 2" xfId="24724" xr:uid="{00000000-0005-0000-0000-000086600000}"/>
    <cellStyle name="0_PLANNING  DOC 6111 REV 1_BP_Q1_6120_ 3 6 5 3" xfId="24725" xr:uid="{00000000-0005-0000-0000-000087600000}"/>
    <cellStyle name="0_PLANNING  DOC 6111 REV 1_BP_Q1_6120_ 3 6 5 3 2" xfId="24726" xr:uid="{00000000-0005-0000-0000-000088600000}"/>
    <cellStyle name="0_PLANNING  DOC 6111 REV 1_BP_Q1_6120_ 3 6 5 4" xfId="24727" xr:uid="{00000000-0005-0000-0000-000089600000}"/>
    <cellStyle name="0_PLANNING  DOC 6111 REV 1_BP_Q1_6120_ 3 6 6" xfId="24728" xr:uid="{00000000-0005-0000-0000-00008A600000}"/>
    <cellStyle name="0_PLANNING  DOC 6111 REV 1_BP_Q1_6120_ 3 6 6 2" xfId="24729" xr:uid="{00000000-0005-0000-0000-00008B600000}"/>
    <cellStyle name="0_PLANNING  DOC 6111 REV 1_BP_Q1_6120_ 3 6 7" xfId="24730" xr:uid="{00000000-0005-0000-0000-00008C600000}"/>
    <cellStyle name="0_PLANNING  DOC 6111 REV 1_BP_Q1_6120_ 3 6 7 2" xfId="24731" xr:uid="{00000000-0005-0000-0000-00008D600000}"/>
    <cellStyle name="0_PLANNING  DOC 6111 REV 1_BP_Q1_6120_ 3 6 8" xfId="24732" xr:uid="{00000000-0005-0000-0000-00008E600000}"/>
    <cellStyle name="0_PLANNING  DOC 6111 REV 1_BP_Q1_6120_ 3 7" xfId="24733" xr:uid="{00000000-0005-0000-0000-00008F600000}"/>
    <cellStyle name="0_PLANNING  DOC 6111 REV 1_BP_Q1_6120_ 3 7 2" xfId="24734" xr:uid="{00000000-0005-0000-0000-000090600000}"/>
    <cellStyle name="0_PLANNING  DOC 6111 REV 1_BP_Q1_6120_ 3 7 2 2" xfId="24735" xr:uid="{00000000-0005-0000-0000-000091600000}"/>
    <cellStyle name="0_PLANNING  DOC 6111 REV 1_BP_Q1_6120_ 3 7 2 2 2" xfId="24736" xr:uid="{00000000-0005-0000-0000-000092600000}"/>
    <cellStyle name="0_PLANNING  DOC 6111 REV 1_BP_Q1_6120_ 3 7 2 3" xfId="24737" xr:uid="{00000000-0005-0000-0000-000093600000}"/>
    <cellStyle name="0_PLANNING  DOC 6111 REV 1_BP_Q1_6120_ 3 7 2 3 2" xfId="24738" xr:uid="{00000000-0005-0000-0000-000094600000}"/>
    <cellStyle name="0_PLANNING  DOC 6111 REV 1_BP_Q1_6120_ 3 7 2 4" xfId="24739" xr:uid="{00000000-0005-0000-0000-000095600000}"/>
    <cellStyle name="0_PLANNING  DOC 6111 REV 1_BP_Q1_6120_ 3 7 3" xfId="24740" xr:uid="{00000000-0005-0000-0000-000096600000}"/>
    <cellStyle name="0_PLANNING  DOC 6111 REV 1_BP_Q1_6120_ 3 7 3 2" xfId="24741" xr:uid="{00000000-0005-0000-0000-000097600000}"/>
    <cellStyle name="0_PLANNING  DOC 6111 REV 1_BP_Q1_6120_ 3 7 3 2 2" xfId="24742" xr:uid="{00000000-0005-0000-0000-000098600000}"/>
    <cellStyle name="0_PLANNING  DOC 6111 REV 1_BP_Q1_6120_ 3 7 3 3" xfId="24743" xr:uid="{00000000-0005-0000-0000-000099600000}"/>
    <cellStyle name="0_PLANNING  DOC 6111 REV 1_BP_Q1_6120_ 3 7 3 3 2" xfId="24744" xr:uid="{00000000-0005-0000-0000-00009A600000}"/>
    <cellStyle name="0_PLANNING  DOC 6111 REV 1_BP_Q1_6120_ 3 7 3 4" xfId="24745" xr:uid="{00000000-0005-0000-0000-00009B600000}"/>
    <cellStyle name="0_PLANNING  DOC 6111 REV 1_BP_Q1_6120_ 3 7 4" xfId="24746" xr:uid="{00000000-0005-0000-0000-00009C600000}"/>
    <cellStyle name="0_PLANNING  DOC 6111 REV 1_BP_Q1_6120_ 3 7 4 2" xfId="24747" xr:uid="{00000000-0005-0000-0000-00009D600000}"/>
    <cellStyle name="0_PLANNING  DOC 6111 REV 1_BP_Q1_6120_ 3 7 5" xfId="24748" xr:uid="{00000000-0005-0000-0000-00009E600000}"/>
    <cellStyle name="0_PLANNING  DOC 6111 REV 1_BP_Q1_6120_ 3 7 5 2" xfId="24749" xr:uid="{00000000-0005-0000-0000-00009F600000}"/>
    <cellStyle name="0_PLANNING  DOC 6111 REV 1_BP_Q1_6120_ 3 7 6" xfId="24750" xr:uid="{00000000-0005-0000-0000-0000A0600000}"/>
    <cellStyle name="0_PLANNING  DOC 6111 REV 1_BP_Q1_6120_ 3 8" xfId="24751" xr:uid="{00000000-0005-0000-0000-0000A1600000}"/>
    <cellStyle name="0_PLANNING  DOC 6111 REV 1_BP_Q1_6120_ 3 8 2" xfId="24752" xr:uid="{00000000-0005-0000-0000-0000A2600000}"/>
    <cellStyle name="0_PLANNING  DOC 6111 REV 1_BP_Q1_6120_ 3 8 2 2" xfId="24753" xr:uid="{00000000-0005-0000-0000-0000A3600000}"/>
    <cellStyle name="0_PLANNING  DOC 6111 REV 1_BP_Q1_6120_ 3 8 3" xfId="24754" xr:uid="{00000000-0005-0000-0000-0000A4600000}"/>
    <cellStyle name="0_PLANNING  DOC 6111 REV 1_BP_Q1_6120_ 3 8 3 2" xfId="24755" xr:uid="{00000000-0005-0000-0000-0000A5600000}"/>
    <cellStyle name="0_PLANNING  DOC 6111 REV 1_BP_Q1_6120_ 3 8 4" xfId="24756" xr:uid="{00000000-0005-0000-0000-0000A6600000}"/>
    <cellStyle name="0_PLANNING  DOC 6111 REV 1_BP_Q1_6120_ 3 9" xfId="24757" xr:uid="{00000000-0005-0000-0000-0000A7600000}"/>
    <cellStyle name="0_PLANNING  DOC 6111 REV 1_BP_Q1_6120_ 3 9 2" xfId="24758" xr:uid="{00000000-0005-0000-0000-0000A8600000}"/>
    <cellStyle name="0_PLANNING  DOC 6111 REV 1_BP_Q1_6120_ 3 9 2 2" xfId="24759" xr:uid="{00000000-0005-0000-0000-0000A9600000}"/>
    <cellStyle name="0_PLANNING  DOC 6111 REV 1_BP_Q1_6120_ 3 9 3" xfId="24760" xr:uid="{00000000-0005-0000-0000-0000AA600000}"/>
    <cellStyle name="0_PLANNING  DOC 6111 REV 1_BP_Q1_6120_ 3 9 3 2" xfId="24761" xr:uid="{00000000-0005-0000-0000-0000AB600000}"/>
    <cellStyle name="0_PLANNING  DOC 6111 REV 1_BP_Q1_6120_ 3 9 4" xfId="24762" xr:uid="{00000000-0005-0000-0000-0000AC600000}"/>
    <cellStyle name="0_PLANNING  DOC 6111 REV 1_BP_Q1_6120_ 4" xfId="24763" xr:uid="{00000000-0005-0000-0000-0000AD600000}"/>
    <cellStyle name="0_PLANNING  DOC 6111 REV 1_BP_Q1_6120_ 4 10" xfId="24764" xr:uid="{00000000-0005-0000-0000-0000AE600000}"/>
    <cellStyle name="0_PLANNING  DOC 6111 REV 1_BP_Q1_6120_ 4 10 2" xfId="24765" xr:uid="{00000000-0005-0000-0000-0000AF600000}"/>
    <cellStyle name="0_PLANNING  DOC 6111 REV 1_BP_Q1_6120_ 4 10 2 2" xfId="24766" xr:uid="{00000000-0005-0000-0000-0000B0600000}"/>
    <cellStyle name="0_PLANNING  DOC 6111 REV 1_BP_Q1_6120_ 4 10 3" xfId="24767" xr:uid="{00000000-0005-0000-0000-0000B1600000}"/>
    <cellStyle name="0_PLANNING  DOC 6111 REV 1_BP_Q1_6120_ 4 10 3 2" xfId="24768" xr:uid="{00000000-0005-0000-0000-0000B2600000}"/>
    <cellStyle name="0_PLANNING  DOC 6111 REV 1_BP_Q1_6120_ 4 10 4" xfId="24769" xr:uid="{00000000-0005-0000-0000-0000B3600000}"/>
    <cellStyle name="0_PLANNING  DOC 6111 REV 1_BP_Q1_6120_ 4 11" xfId="24770" xr:uid="{00000000-0005-0000-0000-0000B4600000}"/>
    <cellStyle name="0_PLANNING  DOC 6111 REV 1_BP_Q1_6120_ 4 11 2" xfId="24771" xr:uid="{00000000-0005-0000-0000-0000B5600000}"/>
    <cellStyle name="0_PLANNING  DOC 6111 REV 1_BP_Q1_6120_ 4 12" xfId="24772" xr:uid="{00000000-0005-0000-0000-0000B6600000}"/>
    <cellStyle name="0_PLANNING  DOC 6111 REV 1_BP_Q1_6120_ 4 12 2" xfId="24773" xr:uid="{00000000-0005-0000-0000-0000B7600000}"/>
    <cellStyle name="0_PLANNING  DOC 6111 REV 1_BP_Q1_6120_ 4 13" xfId="24774" xr:uid="{00000000-0005-0000-0000-0000B8600000}"/>
    <cellStyle name="0_PLANNING  DOC 6111 REV 1_BP_Q1_6120_ 4 2" xfId="24775" xr:uid="{00000000-0005-0000-0000-0000B9600000}"/>
    <cellStyle name="0_PLANNING  DOC 6111 REV 1_BP_Q1_6120_ 4 2 2" xfId="24776" xr:uid="{00000000-0005-0000-0000-0000BA600000}"/>
    <cellStyle name="0_PLANNING  DOC 6111 REV 1_BP_Q1_6120_ 4 2 2 2" xfId="24777" xr:uid="{00000000-0005-0000-0000-0000BB600000}"/>
    <cellStyle name="0_PLANNING  DOC 6111 REV 1_BP_Q1_6120_ 4 2 2 2 2" xfId="24778" xr:uid="{00000000-0005-0000-0000-0000BC600000}"/>
    <cellStyle name="0_PLANNING  DOC 6111 REV 1_BP_Q1_6120_ 4 2 2 2 2 2" xfId="24779" xr:uid="{00000000-0005-0000-0000-0000BD600000}"/>
    <cellStyle name="0_PLANNING  DOC 6111 REV 1_BP_Q1_6120_ 4 2 2 2 3" xfId="24780" xr:uid="{00000000-0005-0000-0000-0000BE600000}"/>
    <cellStyle name="0_PLANNING  DOC 6111 REV 1_BP_Q1_6120_ 4 2 2 2 3 2" xfId="24781" xr:uid="{00000000-0005-0000-0000-0000BF600000}"/>
    <cellStyle name="0_PLANNING  DOC 6111 REV 1_BP_Q1_6120_ 4 2 2 2 4" xfId="24782" xr:uid="{00000000-0005-0000-0000-0000C0600000}"/>
    <cellStyle name="0_PLANNING  DOC 6111 REV 1_BP_Q1_6120_ 4 2 2 3" xfId="24783" xr:uid="{00000000-0005-0000-0000-0000C1600000}"/>
    <cellStyle name="0_PLANNING  DOC 6111 REV 1_BP_Q1_6120_ 4 2 2 3 2" xfId="24784" xr:uid="{00000000-0005-0000-0000-0000C2600000}"/>
    <cellStyle name="0_PLANNING  DOC 6111 REV 1_BP_Q1_6120_ 4 2 2 3 2 2" xfId="24785" xr:uid="{00000000-0005-0000-0000-0000C3600000}"/>
    <cellStyle name="0_PLANNING  DOC 6111 REV 1_BP_Q1_6120_ 4 2 2 3 3" xfId="24786" xr:uid="{00000000-0005-0000-0000-0000C4600000}"/>
    <cellStyle name="0_PLANNING  DOC 6111 REV 1_BP_Q1_6120_ 4 2 2 3 3 2" xfId="24787" xr:uid="{00000000-0005-0000-0000-0000C5600000}"/>
    <cellStyle name="0_PLANNING  DOC 6111 REV 1_BP_Q1_6120_ 4 2 2 3 4" xfId="24788" xr:uid="{00000000-0005-0000-0000-0000C6600000}"/>
    <cellStyle name="0_PLANNING  DOC 6111 REV 1_BP_Q1_6120_ 4 2 2 4" xfId="24789" xr:uid="{00000000-0005-0000-0000-0000C7600000}"/>
    <cellStyle name="0_PLANNING  DOC 6111 REV 1_BP_Q1_6120_ 4 2 2 4 2" xfId="24790" xr:uid="{00000000-0005-0000-0000-0000C8600000}"/>
    <cellStyle name="0_PLANNING  DOC 6111 REV 1_BP_Q1_6120_ 4 2 2 5" xfId="24791" xr:uid="{00000000-0005-0000-0000-0000C9600000}"/>
    <cellStyle name="0_PLANNING  DOC 6111 REV 1_BP_Q1_6120_ 4 2 2 5 2" xfId="24792" xr:uid="{00000000-0005-0000-0000-0000CA600000}"/>
    <cellStyle name="0_PLANNING  DOC 6111 REV 1_BP_Q1_6120_ 4 2 2 6" xfId="24793" xr:uid="{00000000-0005-0000-0000-0000CB600000}"/>
    <cellStyle name="0_PLANNING  DOC 6111 REV 1_BP_Q1_6120_ 4 2 3" xfId="24794" xr:uid="{00000000-0005-0000-0000-0000CC600000}"/>
    <cellStyle name="0_PLANNING  DOC 6111 REV 1_BP_Q1_6120_ 4 2 3 2" xfId="24795" xr:uid="{00000000-0005-0000-0000-0000CD600000}"/>
    <cellStyle name="0_PLANNING  DOC 6111 REV 1_BP_Q1_6120_ 4 2 3 2 2" xfId="24796" xr:uid="{00000000-0005-0000-0000-0000CE600000}"/>
    <cellStyle name="0_PLANNING  DOC 6111 REV 1_BP_Q1_6120_ 4 2 3 3" xfId="24797" xr:uid="{00000000-0005-0000-0000-0000CF600000}"/>
    <cellStyle name="0_PLANNING  DOC 6111 REV 1_BP_Q1_6120_ 4 2 3 3 2" xfId="24798" xr:uid="{00000000-0005-0000-0000-0000D0600000}"/>
    <cellStyle name="0_PLANNING  DOC 6111 REV 1_BP_Q1_6120_ 4 2 3 4" xfId="24799" xr:uid="{00000000-0005-0000-0000-0000D1600000}"/>
    <cellStyle name="0_PLANNING  DOC 6111 REV 1_BP_Q1_6120_ 4 2 4" xfId="24800" xr:uid="{00000000-0005-0000-0000-0000D2600000}"/>
    <cellStyle name="0_PLANNING  DOC 6111 REV 1_BP_Q1_6120_ 4 2 4 2" xfId="24801" xr:uid="{00000000-0005-0000-0000-0000D3600000}"/>
    <cellStyle name="0_PLANNING  DOC 6111 REV 1_BP_Q1_6120_ 4 2 4 2 2" xfId="24802" xr:uid="{00000000-0005-0000-0000-0000D4600000}"/>
    <cellStyle name="0_PLANNING  DOC 6111 REV 1_BP_Q1_6120_ 4 2 4 3" xfId="24803" xr:uid="{00000000-0005-0000-0000-0000D5600000}"/>
    <cellStyle name="0_PLANNING  DOC 6111 REV 1_BP_Q1_6120_ 4 2 4 3 2" xfId="24804" xr:uid="{00000000-0005-0000-0000-0000D6600000}"/>
    <cellStyle name="0_PLANNING  DOC 6111 REV 1_BP_Q1_6120_ 4 2 4 4" xfId="24805" xr:uid="{00000000-0005-0000-0000-0000D7600000}"/>
    <cellStyle name="0_PLANNING  DOC 6111 REV 1_BP_Q1_6120_ 4 2 5" xfId="24806" xr:uid="{00000000-0005-0000-0000-0000D8600000}"/>
    <cellStyle name="0_PLANNING  DOC 6111 REV 1_BP_Q1_6120_ 4 2 5 2" xfId="24807" xr:uid="{00000000-0005-0000-0000-0000D9600000}"/>
    <cellStyle name="0_PLANNING  DOC 6111 REV 1_BP_Q1_6120_ 4 2 5 2 2" xfId="24808" xr:uid="{00000000-0005-0000-0000-0000DA600000}"/>
    <cellStyle name="0_PLANNING  DOC 6111 REV 1_BP_Q1_6120_ 4 2 5 3" xfId="24809" xr:uid="{00000000-0005-0000-0000-0000DB600000}"/>
    <cellStyle name="0_PLANNING  DOC 6111 REV 1_BP_Q1_6120_ 4 2 5 3 2" xfId="24810" xr:uid="{00000000-0005-0000-0000-0000DC600000}"/>
    <cellStyle name="0_PLANNING  DOC 6111 REV 1_BP_Q1_6120_ 4 2 5 4" xfId="24811" xr:uid="{00000000-0005-0000-0000-0000DD600000}"/>
    <cellStyle name="0_PLANNING  DOC 6111 REV 1_BP_Q1_6120_ 4 2 6" xfId="24812" xr:uid="{00000000-0005-0000-0000-0000DE600000}"/>
    <cellStyle name="0_PLANNING  DOC 6111 REV 1_BP_Q1_6120_ 4 2 6 2" xfId="24813" xr:uid="{00000000-0005-0000-0000-0000DF600000}"/>
    <cellStyle name="0_PLANNING  DOC 6111 REV 1_BP_Q1_6120_ 4 2 7" xfId="24814" xr:uid="{00000000-0005-0000-0000-0000E0600000}"/>
    <cellStyle name="0_PLANNING  DOC 6111 REV 1_BP_Q1_6120_ 4 2 7 2" xfId="24815" xr:uid="{00000000-0005-0000-0000-0000E1600000}"/>
    <cellStyle name="0_PLANNING  DOC 6111 REV 1_BP_Q1_6120_ 4 2 8" xfId="24816" xr:uid="{00000000-0005-0000-0000-0000E2600000}"/>
    <cellStyle name="0_PLANNING  DOC 6111 REV 1_BP_Q1_6120_ 4 3" xfId="24817" xr:uid="{00000000-0005-0000-0000-0000E3600000}"/>
    <cellStyle name="0_PLANNING  DOC 6111 REV 1_BP_Q1_6120_ 4 3 2" xfId="24818" xr:uid="{00000000-0005-0000-0000-0000E4600000}"/>
    <cellStyle name="0_PLANNING  DOC 6111 REV 1_BP_Q1_6120_ 4 3 2 2" xfId="24819" xr:uid="{00000000-0005-0000-0000-0000E5600000}"/>
    <cellStyle name="0_PLANNING  DOC 6111 REV 1_BP_Q1_6120_ 4 3 2 2 2" xfId="24820" xr:uid="{00000000-0005-0000-0000-0000E6600000}"/>
    <cellStyle name="0_PLANNING  DOC 6111 REV 1_BP_Q1_6120_ 4 3 2 2 2 2" xfId="24821" xr:uid="{00000000-0005-0000-0000-0000E7600000}"/>
    <cellStyle name="0_PLANNING  DOC 6111 REV 1_BP_Q1_6120_ 4 3 2 2 3" xfId="24822" xr:uid="{00000000-0005-0000-0000-0000E8600000}"/>
    <cellStyle name="0_PLANNING  DOC 6111 REV 1_BP_Q1_6120_ 4 3 2 2 3 2" xfId="24823" xr:uid="{00000000-0005-0000-0000-0000E9600000}"/>
    <cellStyle name="0_PLANNING  DOC 6111 REV 1_BP_Q1_6120_ 4 3 2 2 4" xfId="24824" xr:uid="{00000000-0005-0000-0000-0000EA600000}"/>
    <cellStyle name="0_PLANNING  DOC 6111 REV 1_BP_Q1_6120_ 4 3 2 3" xfId="24825" xr:uid="{00000000-0005-0000-0000-0000EB600000}"/>
    <cellStyle name="0_PLANNING  DOC 6111 REV 1_BP_Q1_6120_ 4 3 2 3 2" xfId="24826" xr:uid="{00000000-0005-0000-0000-0000EC600000}"/>
    <cellStyle name="0_PLANNING  DOC 6111 REV 1_BP_Q1_6120_ 4 3 2 3 2 2" xfId="24827" xr:uid="{00000000-0005-0000-0000-0000ED600000}"/>
    <cellStyle name="0_PLANNING  DOC 6111 REV 1_BP_Q1_6120_ 4 3 2 3 3" xfId="24828" xr:uid="{00000000-0005-0000-0000-0000EE600000}"/>
    <cellStyle name="0_PLANNING  DOC 6111 REV 1_BP_Q1_6120_ 4 3 2 3 3 2" xfId="24829" xr:uid="{00000000-0005-0000-0000-0000EF600000}"/>
    <cellStyle name="0_PLANNING  DOC 6111 REV 1_BP_Q1_6120_ 4 3 2 3 4" xfId="24830" xr:uid="{00000000-0005-0000-0000-0000F0600000}"/>
    <cellStyle name="0_PLANNING  DOC 6111 REV 1_BP_Q1_6120_ 4 3 2 4" xfId="24831" xr:uid="{00000000-0005-0000-0000-0000F1600000}"/>
    <cellStyle name="0_PLANNING  DOC 6111 REV 1_BP_Q1_6120_ 4 3 2 4 2" xfId="24832" xr:uid="{00000000-0005-0000-0000-0000F2600000}"/>
    <cellStyle name="0_PLANNING  DOC 6111 REV 1_BP_Q1_6120_ 4 3 2 5" xfId="24833" xr:uid="{00000000-0005-0000-0000-0000F3600000}"/>
    <cellStyle name="0_PLANNING  DOC 6111 REV 1_BP_Q1_6120_ 4 3 2 5 2" xfId="24834" xr:uid="{00000000-0005-0000-0000-0000F4600000}"/>
    <cellStyle name="0_PLANNING  DOC 6111 REV 1_BP_Q1_6120_ 4 3 2 6" xfId="24835" xr:uid="{00000000-0005-0000-0000-0000F5600000}"/>
    <cellStyle name="0_PLANNING  DOC 6111 REV 1_BP_Q1_6120_ 4 3 3" xfId="24836" xr:uid="{00000000-0005-0000-0000-0000F6600000}"/>
    <cellStyle name="0_PLANNING  DOC 6111 REV 1_BP_Q1_6120_ 4 3 3 2" xfId="24837" xr:uid="{00000000-0005-0000-0000-0000F7600000}"/>
    <cellStyle name="0_PLANNING  DOC 6111 REV 1_BP_Q1_6120_ 4 3 3 2 2" xfId="24838" xr:uid="{00000000-0005-0000-0000-0000F8600000}"/>
    <cellStyle name="0_PLANNING  DOC 6111 REV 1_BP_Q1_6120_ 4 3 3 3" xfId="24839" xr:uid="{00000000-0005-0000-0000-0000F9600000}"/>
    <cellStyle name="0_PLANNING  DOC 6111 REV 1_BP_Q1_6120_ 4 3 3 3 2" xfId="24840" xr:uid="{00000000-0005-0000-0000-0000FA600000}"/>
    <cellStyle name="0_PLANNING  DOC 6111 REV 1_BP_Q1_6120_ 4 3 3 4" xfId="24841" xr:uid="{00000000-0005-0000-0000-0000FB600000}"/>
    <cellStyle name="0_PLANNING  DOC 6111 REV 1_BP_Q1_6120_ 4 3 4" xfId="24842" xr:uid="{00000000-0005-0000-0000-0000FC600000}"/>
    <cellStyle name="0_PLANNING  DOC 6111 REV 1_BP_Q1_6120_ 4 3 4 2" xfId="24843" xr:uid="{00000000-0005-0000-0000-0000FD600000}"/>
    <cellStyle name="0_PLANNING  DOC 6111 REV 1_BP_Q1_6120_ 4 3 4 2 2" xfId="24844" xr:uid="{00000000-0005-0000-0000-0000FE600000}"/>
    <cellStyle name="0_PLANNING  DOC 6111 REV 1_BP_Q1_6120_ 4 3 4 3" xfId="24845" xr:uid="{00000000-0005-0000-0000-0000FF600000}"/>
    <cellStyle name="0_PLANNING  DOC 6111 REV 1_BP_Q1_6120_ 4 3 4 3 2" xfId="24846" xr:uid="{00000000-0005-0000-0000-000000610000}"/>
    <cellStyle name="0_PLANNING  DOC 6111 REV 1_BP_Q1_6120_ 4 3 4 4" xfId="24847" xr:uid="{00000000-0005-0000-0000-000001610000}"/>
    <cellStyle name="0_PLANNING  DOC 6111 REV 1_BP_Q1_6120_ 4 3 5" xfId="24848" xr:uid="{00000000-0005-0000-0000-000002610000}"/>
    <cellStyle name="0_PLANNING  DOC 6111 REV 1_BP_Q1_6120_ 4 3 5 2" xfId="24849" xr:uid="{00000000-0005-0000-0000-000003610000}"/>
    <cellStyle name="0_PLANNING  DOC 6111 REV 1_BP_Q1_6120_ 4 3 5 2 2" xfId="24850" xr:uid="{00000000-0005-0000-0000-000004610000}"/>
    <cellStyle name="0_PLANNING  DOC 6111 REV 1_BP_Q1_6120_ 4 3 5 3" xfId="24851" xr:uid="{00000000-0005-0000-0000-000005610000}"/>
    <cellStyle name="0_PLANNING  DOC 6111 REV 1_BP_Q1_6120_ 4 3 5 3 2" xfId="24852" xr:uid="{00000000-0005-0000-0000-000006610000}"/>
    <cellStyle name="0_PLANNING  DOC 6111 REV 1_BP_Q1_6120_ 4 3 5 4" xfId="24853" xr:uid="{00000000-0005-0000-0000-000007610000}"/>
    <cellStyle name="0_PLANNING  DOC 6111 REV 1_BP_Q1_6120_ 4 3 6" xfId="24854" xr:uid="{00000000-0005-0000-0000-000008610000}"/>
    <cellStyle name="0_PLANNING  DOC 6111 REV 1_BP_Q1_6120_ 4 3 6 2" xfId="24855" xr:uid="{00000000-0005-0000-0000-000009610000}"/>
    <cellStyle name="0_PLANNING  DOC 6111 REV 1_BP_Q1_6120_ 4 3 7" xfId="24856" xr:uid="{00000000-0005-0000-0000-00000A610000}"/>
    <cellStyle name="0_PLANNING  DOC 6111 REV 1_BP_Q1_6120_ 4 3 7 2" xfId="24857" xr:uid="{00000000-0005-0000-0000-00000B610000}"/>
    <cellStyle name="0_PLANNING  DOC 6111 REV 1_BP_Q1_6120_ 4 3 8" xfId="24858" xr:uid="{00000000-0005-0000-0000-00000C610000}"/>
    <cellStyle name="0_PLANNING  DOC 6111 REV 1_BP_Q1_6120_ 4 4" xfId="24859" xr:uid="{00000000-0005-0000-0000-00000D610000}"/>
    <cellStyle name="0_PLANNING  DOC 6111 REV 1_BP_Q1_6120_ 4 4 2" xfId="24860" xr:uid="{00000000-0005-0000-0000-00000E610000}"/>
    <cellStyle name="0_PLANNING  DOC 6111 REV 1_BP_Q1_6120_ 4 4 2 2" xfId="24861" xr:uid="{00000000-0005-0000-0000-00000F610000}"/>
    <cellStyle name="0_PLANNING  DOC 6111 REV 1_BP_Q1_6120_ 4 4 2 2 2" xfId="24862" xr:uid="{00000000-0005-0000-0000-000010610000}"/>
    <cellStyle name="0_PLANNING  DOC 6111 REV 1_BP_Q1_6120_ 4 4 2 2 2 2" xfId="24863" xr:uid="{00000000-0005-0000-0000-000011610000}"/>
    <cellStyle name="0_PLANNING  DOC 6111 REV 1_BP_Q1_6120_ 4 4 2 2 3" xfId="24864" xr:uid="{00000000-0005-0000-0000-000012610000}"/>
    <cellStyle name="0_PLANNING  DOC 6111 REV 1_BP_Q1_6120_ 4 4 2 2 3 2" xfId="24865" xr:uid="{00000000-0005-0000-0000-000013610000}"/>
    <cellStyle name="0_PLANNING  DOC 6111 REV 1_BP_Q1_6120_ 4 4 2 2 4" xfId="24866" xr:uid="{00000000-0005-0000-0000-000014610000}"/>
    <cellStyle name="0_PLANNING  DOC 6111 REV 1_BP_Q1_6120_ 4 4 2 3" xfId="24867" xr:uid="{00000000-0005-0000-0000-000015610000}"/>
    <cellStyle name="0_PLANNING  DOC 6111 REV 1_BP_Q1_6120_ 4 4 2 3 2" xfId="24868" xr:uid="{00000000-0005-0000-0000-000016610000}"/>
    <cellStyle name="0_PLANNING  DOC 6111 REV 1_BP_Q1_6120_ 4 4 2 3 2 2" xfId="24869" xr:uid="{00000000-0005-0000-0000-000017610000}"/>
    <cellStyle name="0_PLANNING  DOC 6111 REV 1_BP_Q1_6120_ 4 4 2 3 3" xfId="24870" xr:uid="{00000000-0005-0000-0000-000018610000}"/>
    <cellStyle name="0_PLANNING  DOC 6111 REV 1_BP_Q1_6120_ 4 4 2 3 3 2" xfId="24871" xr:uid="{00000000-0005-0000-0000-000019610000}"/>
    <cellStyle name="0_PLANNING  DOC 6111 REV 1_BP_Q1_6120_ 4 4 2 3 4" xfId="24872" xr:uid="{00000000-0005-0000-0000-00001A610000}"/>
    <cellStyle name="0_PLANNING  DOC 6111 REV 1_BP_Q1_6120_ 4 4 2 4" xfId="24873" xr:uid="{00000000-0005-0000-0000-00001B610000}"/>
    <cellStyle name="0_PLANNING  DOC 6111 REV 1_BP_Q1_6120_ 4 4 2 4 2" xfId="24874" xr:uid="{00000000-0005-0000-0000-00001C610000}"/>
    <cellStyle name="0_PLANNING  DOC 6111 REV 1_BP_Q1_6120_ 4 4 2 5" xfId="24875" xr:uid="{00000000-0005-0000-0000-00001D610000}"/>
    <cellStyle name="0_PLANNING  DOC 6111 REV 1_BP_Q1_6120_ 4 4 2 5 2" xfId="24876" xr:uid="{00000000-0005-0000-0000-00001E610000}"/>
    <cellStyle name="0_PLANNING  DOC 6111 REV 1_BP_Q1_6120_ 4 4 2 6" xfId="24877" xr:uid="{00000000-0005-0000-0000-00001F610000}"/>
    <cellStyle name="0_PLANNING  DOC 6111 REV 1_BP_Q1_6120_ 4 4 3" xfId="24878" xr:uid="{00000000-0005-0000-0000-000020610000}"/>
    <cellStyle name="0_PLANNING  DOC 6111 REV 1_BP_Q1_6120_ 4 4 3 2" xfId="24879" xr:uid="{00000000-0005-0000-0000-000021610000}"/>
    <cellStyle name="0_PLANNING  DOC 6111 REV 1_BP_Q1_6120_ 4 4 3 2 2" xfId="24880" xr:uid="{00000000-0005-0000-0000-000022610000}"/>
    <cellStyle name="0_PLANNING  DOC 6111 REV 1_BP_Q1_6120_ 4 4 3 3" xfId="24881" xr:uid="{00000000-0005-0000-0000-000023610000}"/>
    <cellStyle name="0_PLANNING  DOC 6111 REV 1_BP_Q1_6120_ 4 4 3 3 2" xfId="24882" xr:uid="{00000000-0005-0000-0000-000024610000}"/>
    <cellStyle name="0_PLANNING  DOC 6111 REV 1_BP_Q1_6120_ 4 4 3 4" xfId="24883" xr:uid="{00000000-0005-0000-0000-000025610000}"/>
    <cellStyle name="0_PLANNING  DOC 6111 REV 1_BP_Q1_6120_ 4 4 4" xfId="24884" xr:uid="{00000000-0005-0000-0000-000026610000}"/>
    <cellStyle name="0_PLANNING  DOC 6111 REV 1_BP_Q1_6120_ 4 4 4 2" xfId="24885" xr:uid="{00000000-0005-0000-0000-000027610000}"/>
    <cellStyle name="0_PLANNING  DOC 6111 REV 1_BP_Q1_6120_ 4 4 4 2 2" xfId="24886" xr:uid="{00000000-0005-0000-0000-000028610000}"/>
    <cellStyle name="0_PLANNING  DOC 6111 REV 1_BP_Q1_6120_ 4 4 4 3" xfId="24887" xr:uid="{00000000-0005-0000-0000-000029610000}"/>
    <cellStyle name="0_PLANNING  DOC 6111 REV 1_BP_Q1_6120_ 4 4 4 3 2" xfId="24888" xr:uid="{00000000-0005-0000-0000-00002A610000}"/>
    <cellStyle name="0_PLANNING  DOC 6111 REV 1_BP_Q1_6120_ 4 4 4 4" xfId="24889" xr:uid="{00000000-0005-0000-0000-00002B610000}"/>
    <cellStyle name="0_PLANNING  DOC 6111 REV 1_BP_Q1_6120_ 4 4 5" xfId="24890" xr:uid="{00000000-0005-0000-0000-00002C610000}"/>
    <cellStyle name="0_PLANNING  DOC 6111 REV 1_BP_Q1_6120_ 4 4 5 2" xfId="24891" xr:uid="{00000000-0005-0000-0000-00002D610000}"/>
    <cellStyle name="0_PLANNING  DOC 6111 REV 1_BP_Q1_6120_ 4 4 5 2 2" xfId="24892" xr:uid="{00000000-0005-0000-0000-00002E610000}"/>
    <cellStyle name="0_PLANNING  DOC 6111 REV 1_BP_Q1_6120_ 4 4 5 3" xfId="24893" xr:uid="{00000000-0005-0000-0000-00002F610000}"/>
    <cellStyle name="0_PLANNING  DOC 6111 REV 1_BP_Q1_6120_ 4 4 5 3 2" xfId="24894" xr:uid="{00000000-0005-0000-0000-000030610000}"/>
    <cellStyle name="0_PLANNING  DOC 6111 REV 1_BP_Q1_6120_ 4 4 5 4" xfId="24895" xr:uid="{00000000-0005-0000-0000-000031610000}"/>
    <cellStyle name="0_PLANNING  DOC 6111 REV 1_BP_Q1_6120_ 4 4 6" xfId="24896" xr:uid="{00000000-0005-0000-0000-000032610000}"/>
    <cellStyle name="0_PLANNING  DOC 6111 REV 1_BP_Q1_6120_ 4 4 6 2" xfId="24897" xr:uid="{00000000-0005-0000-0000-000033610000}"/>
    <cellStyle name="0_PLANNING  DOC 6111 REV 1_BP_Q1_6120_ 4 4 7" xfId="24898" xr:uid="{00000000-0005-0000-0000-000034610000}"/>
    <cellStyle name="0_PLANNING  DOC 6111 REV 1_BP_Q1_6120_ 4 4 7 2" xfId="24899" xr:uid="{00000000-0005-0000-0000-000035610000}"/>
    <cellStyle name="0_PLANNING  DOC 6111 REV 1_BP_Q1_6120_ 4 4 8" xfId="24900" xr:uid="{00000000-0005-0000-0000-000036610000}"/>
    <cellStyle name="0_PLANNING  DOC 6111 REV 1_BP_Q1_6120_ 4 5" xfId="24901" xr:uid="{00000000-0005-0000-0000-000037610000}"/>
    <cellStyle name="0_PLANNING  DOC 6111 REV 1_BP_Q1_6120_ 4 5 2" xfId="24902" xr:uid="{00000000-0005-0000-0000-000038610000}"/>
    <cellStyle name="0_PLANNING  DOC 6111 REV 1_BP_Q1_6120_ 4 5 2 2" xfId="24903" xr:uid="{00000000-0005-0000-0000-000039610000}"/>
    <cellStyle name="0_PLANNING  DOC 6111 REV 1_BP_Q1_6120_ 4 5 2 2 2" xfId="24904" xr:uid="{00000000-0005-0000-0000-00003A610000}"/>
    <cellStyle name="0_PLANNING  DOC 6111 REV 1_BP_Q1_6120_ 4 5 2 2 2 2" xfId="24905" xr:uid="{00000000-0005-0000-0000-00003B610000}"/>
    <cellStyle name="0_PLANNING  DOC 6111 REV 1_BP_Q1_6120_ 4 5 2 2 3" xfId="24906" xr:uid="{00000000-0005-0000-0000-00003C610000}"/>
    <cellStyle name="0_PLANNING  DOC 6111 REV 1_BP_Q1_6120_ 4 5 2 2 3 2" xfId="24907" xr:uid="{00000000-0005-0000-0000-00003D610000}"/>
    <cellStyle name="0_PLANNING  DOC 6111 REV 1_BP_Q1_6120_ 4 5 2 2 4" xfId="24908" xr:uid="{00000000-0005-0000-0000-00003E610000}"/>
    <cellStyle name="0_PLANNING  DOC 6111 REV 1_BP_Q1_6120_ 4 5 2 3" xfId="24909" xr:uid="{00000000-0005-0000-0000-00003F610000}"/>
    <cellStyle name="0_PLANNING  DOC 6111 REV 1_BP_Q1_6120_ 4 5 2 3 2" xfId="24910" xr:uid="{00000000-0005-0000-0000-000040610000}"/>
    <cellStyle name="0_PLANNING  DOC 6111 REV 1_BP_Q1_6120_ 4 5 2 3 2 2" xfId="24911" xr:uid="{00000000-0005-0000-0000-000041610000}"/>
    <cellStyle name="0_PLANNING  DOC 6111 REV 1_BP_Q1_6120_ 4 5 2 3 3" xfId="24912" xr:uid="{00000000-0005-0000-0000-000042610000}"/>
    <cellStyle name="0_PLANNING  DOC 6111 REV 1_BP_Q1_6120_ 4 5 2 3 3 2" xfId="24913" xr:uid="{00000000-0005-0000-0000-000043610000}"/>
    <cellStyle name="0_PLANNING  DOC 6111 REV 1_BP_Q1_6120_ 4 5 2 3 4" xfId="24914" xr:uid="{00000000-0005-0000-0000-000044610000}"/>
    <cellStyle name="0_PLANNING  DOC 6111 REV 1_BP_Q1_6120_ 4 5 2 4" xfId="24915" xr:uid="{00000000-0005-0000-0000-000045610000}"/>
    <cellStyle name="0_PLANNING  DOC 6111 REV 1_BP_Q1_6120_ 4 5 2 4 2" xfId="24916" xr:uid="{00000000-0005-0000-0000-000046610000}"/>
    <cellStyle name="0_PLANNING  DOC 6111 REV 1_BP_Q1_6120_ 4 5 2 5" xfId="24917" xr:uid="{00000000-0005-0000-0000-000047610000}"/>
    <cellStyle name="0_PLANNING  DOC 6111 REV 1_BP_Q1_6120_ 4 5 2 5 2" xfId="24918" xr:uid="{00000000-0005-0000-0000-000048610000}"/>
    <cellStyle name="0_PLANNING  DOC 6111 REV 1_BP_Q1_6120_ 4 5 2 6" xfId="24919" xr:uid="{00000000-0005-0000-0000-000049610000}"/>
    <cellStyle name="0_PLANNING  DOC 6111 REV 1_BP_Q1_6120_ 4 5 3" xfId="24920" xr:uid="{00000000-0005-0000-0000-00004A610000}"/>
    <cellStyle name="0_PLANNING  DOC 6111 REV 1_BP_Q1_6120_ 4 5 3 2" xfId="24921" xr:uid="{00000000-0005-0000-0000-00004B610000}"/>
    <cellStyle name="0_PLANNING  DOC 6111 REV 1_BP_Q1_6120_ 4 5 3 2 2" xfId="24922" xr:uid="{00000000-0005-0000-0000-00004C610000}"/>
    <cellStyle name="0_PLANNING  DOC 6111 REV 1_BP_Q1_6120_ 4 5 3 3" xfId="24923" xr:uid="{00000000-0005-0000-0000-00004D610000}"/>
    <cellStyle name="0_PLANNING  DOC 6111 REV 1_BP_Q1_6120_ 4 5 3 3 2" xfId="24924" xr:uid="{00000000-0005-0000-0000-00004E610000}"/>
    <cellStyle name="0_PLANNING  DOC 6111 REV 1_BP_Q1_6120_ 4 5 3 4" xfId="24925" xr:uid="{00000000-0005-0000-0000-00004F610000}"/>
    <cellStyle name="0_PLANNING  DOC 6111 REV 1_BP_Q1_6120_ 4 5 4" xfId="24926" xr:uid="{00000000-0005-0000-0000-000050610000}"/>
    <cellStyle name="0_PLANNING  DOC 6111 REV 1_BP_Q1_6120_ 4 5 4 2" xfId="24927" xr:uid="{00000000-0005-0000-0000-000051610000}"/>
    <cellStyle name="0_PLANNING  DOC 6111 REV 1_BP_Q1_6120_ 4 5 4 2 2" xfId="24928" xr:uid="{00000000-0005-0000-0000-000052610000}"/>
    <cellStyle name="0_PLANNING  DOC 6111 REV 1_BP_Q1_6120_ 4 5 4 3" xfId="24929" xr:uid="{00000000-0005-0000-0000-000053610000}"/>
    <cellStyle name="0_PLANNING  DOC 6111 REV 1_BP_Q1_6120_ 4 5 4 3 2" xfId="24930" xr:uid="{00000000-0005-0000-0000-000054610000}"/>
    <cellStyle name="0_PLANNING  DOC 6111 REV 1_BP_Q1_6120_ 4 5 4 4" xfId="24931" xr:uid="{00000000-0005-0000-0000-000055610000}"/>
    <cellStyle name="0_PLANNING  DOC 6111 REV 1_BP_Q1_6120_ 4 5 5" xfId="24932" xr:uid="{00000000-0005-0000-0000-000056610000}"/>
    <cellStyle name="0_PLANNING  DOC 6111 REV 1_BP_Q1_6120_ 4 5 5 2" xfId="24933" xr:uid="{00000000-0005-0000-0000-000057610000}"/>
    <cellStyle name="0_PLANNING  DOC 6111 REV 1_BP_Q1_6120_ 4 5 5 2 2" xfId="24934" xr:uid="{00000000-0005-0000-0000-000058610000}"/>
    <cellStyle name="0_PLANNING  DOC 6111 REV 1_BP_Q1_6120_ 4 5 5 3" xfId="24935" xr:uid="{00000000-0005-0000-0000-000059610000}"/>
    <cellStyle name="0_PLANNING  DOC 6111 REV 1_BP_Q1_6120_ 4 5 5 3 2" xfId="24936" xr:uid="{00000000-0005-0000-0000-00005A610000}"/>
    <cellStyle name="0_PLANNING  DOC 6111 REV 1_BP_Q1_6120_ 4 5 5 4" xfId="24937" xr:uid="{00000000-0005-0000-0000-00005B610000}"/>
    <cellStyle name="0_PLANNING  DOC 6111 REV 1_BP_Q1_6120_ 4 5 6" xfId="24938" xr:uid="{00000000-0005-0000-0000-00005C610000}"/>
    <cellStyle name="0_PLANNING  DOC 6111 REV 1_BP_Q1_6120_ 4 5 6 2" xfId="24939" xr:uid="{00000000-0005-0000-0000-00005D610000}"/>
    <cellStyle name="0_PLANNING  DOC 6111 REV 1_BP_Q1_6120_ 4 5 7" xfId="24940" xr:uid="{00000000-0005-0000-0000-00005E610000}"/>
    <cellStyle name="0_PLANNING  DOC 6111 REV 1_BP_Q1_6120_ 4 5 7 2" xfId="24941" xr:uid="{00000000-0005-0000-0000-00005F610000}"/>
    <cellStyle name="0_PLANNING  DOC 6111 REV 1_BP_Q1_6120_ 4 5 8" xfId="24942" xr:uid="{00000000-0005-0000-0000-000060610000}"/>
    <cellStyle name="0_PLANNING  DOC 6111 REV 1_BP_Q1_6120_ 4 6" xfId="24943" xr:uid="{00000000-0005-0000-0000-000061610000}"/>
    <cellStyle name="0_PLANNING  DOC 6111 REV 1_BP_Q1_6120_ 4 6 2" xfId="24944" xr:uid="{00000000-0005-0000-0000-000062610000}"/>
    <cellStyle name="0_PLANNING  DOC 6111 REV 1_BP_Q1_6120_ 4 6 2 2" xfId="24945" xr:uid="{00000000-0005-0000-0000-000063610000}"/>
    <cellStyle name="0_PLANNING  DOC 6111 REV 1_BP_Q1_6120_ 4 6 2 2 2" xfId="24946" xr:uid="{00000000-0005-0000-0000-000064610000}"/>
    <cellStyle name="0_PLANNING  DOC 6111 REV 1_BP_Q1_6120_ 4 6 2 2 2 2" xfId="24947" xr:uid="{00000000-0005-0000-0000-000065610000}"/>
    <cellStyle name="0_PLANNING  DOC 6111 REV 1_BP_Q1_6120_ 4 6 2 2 3" xfId="24948" xr:uid="{00000000-0005-0000-0000-000066610000}"/>
    <cellStyle name="0_PLANNING  DOC 6111 REV 1_BP_Q1_6120_ 4 6 2 2 3 2" xfId="24949" xr:uid="{00000000-0005-0000-0000-000067610000}"/>
    <cellStyle name="0_PLANNING  DOC 6111 REV 1_BP_Q1_6120_ 4 6 2 2 4" xfId="24950" xr:uid="{00000000-0005-0000-0000-000068610000}"/>
    <cellStyle name="0_PLANNING  DOC 6111 REV 1_BP_Q1_6120_ 4 6 2 3" xfId="24951" xr:uid="{00000000-0005-0000-0000-000069610000}"/>
    <cellStyle name="0_PLANNING  DOC 6111 REV 1_BP_Q1_6120_ 4 6 2 3 2" xfId="24952" xr:uid="{00000000-0005-0000-0000-00006A610000}"/>
    <cellStyle name="0_PLANNING  DOC 6111 REV 1_BP_Q1_6120_ 4 6 2 3 2 2" xfId="24953" xr:uid="{00000000-0005-0000-0000-00006B610000}"/>
    <cellStyle name="0_PLANNING  DOC 6111 REV 1_BP_Q1_6120_ 4 6 2 3 3" xfId="24954" xr:uid="{00000000-0005-0000-0000-00006C610000}"/>
    <cellStyle name="0_PLANNING  DOC 6111 REV 1_BP_Q1_6120_ 4 6 2 3 3 2" xfId="24955" xr:uid="{00000000-0005-0000-0000-00006D610000}"/>
    <cellStyle name="0_PLANNING  DOC 6111 REV 1_BP_Q1_6120_ 4 6 2 3 4" xfId="24956" xr:uid="{00000000-0005-0000-0000-00006E610000}"/>
    <cellStyle name="0_PLANNING  DOC 6111 REV 1_BP_Q1_6120_ 4 6 2 4" xfId="24957" xr:uid="{00000000-0005-0000-0000-00006F610000}"/>
    <cellStyle name="0_PLANNING  DOC 6111 REV 1_BP_Q1_6120_ 4 6 2 4 2" xfId="24958" xr:uid="{00000000-0005-0000-0000-000070610000}"/>
    <cellStyle name="0_PLANNING  DOC 6111 REV 1_BP_Q1_6120_ 4 6 2 5" xfId="24959" xr:uid="{00000000-0005-0000-0000-000071610000}"/>
    <cellStyle name="0_PLANNING  DOC 6111 REV 1_BP_Q1_6120_ 4 6 2 5 2" xfId="24960" xr:uid="{00000000-0005-0000-0000-000072610000}"/>
    <cellStyle name="0_PLANNING  DOC 6111 REV 1_BP_Q1_6120_ 4 6 2 6" xfId="24961" xr:uid="{00000000-0005-0000-0000-000073610000}"/>
    <cellStyle name="0_PLANNING  DOC 6111 REV 1_BP_Q1_6120_ 4 6 3" xfId="24962" xr:uid="{00000000-0005-0000-0000-000074610000}"/>
    <cellStyle name="0_PLANNING  DOC 6111 REV 1_BP_Q1_6120_ 4 6 3 2" xfId="24963" xr:uid="{00000000-0005-0000-0000-000075610000}"/>
    <cellStyle name="0_PLANNING  DOC 6111 REV 1_BP_Q1_6120_ 4 6 3 2 2" xfId="24964" xr:uid="{00000000-0005-0000-0000-000076610000}"/>
    <cellStyle name="0_PLANNING  DOC 6111 REV 1_BP_Q1_6120_ 4 6 3 3" xfId="24965" xr:uid="{00000000-0005-0000-0000-000077610000}"/>
    <cellStyle name="0_PLANNING  DOC 6111 REV 1_BP_Q1_6120_ 4 6 3 3 2" xfId="24966" xr:uid="{00000000-0005-0000-0000-000078610000}"/>
    <cellStyle name="0_PLANNING  DOC 6111 REV 1_BP_Q1_6120_ 4 6 3 4" xfId="24967" xr:uid="{00000000-0005-0000-0000-000079610000}"/>
    <cellStyle name="0_PLANNING  DOC 6111 REV 1_BP_Q1_6120_ 4 6 4" xfId="24968" xr:uid="{00000000-0005-0000-0000-00007A610000}"/>
    <cellStyle name="0_PLANNING  DOC 6111 REV 1_BP_Q1_6120_ 4 6 4 2" xfId="24969" xr:uid="{00000000-0005-0000-0000-00007B610000}"/>
    <cellStyle name="0_PLANNING  DOC 6111 REV 1_BP_Q1_6120_ 4 6 4 2 2" xfId="24970" xr:uid="{00000000-0005-0000-0000-00007C610000}"/>
    <cellStyle name="0_PLANNING  DOC 6111 REV 1_BP_Q1_6120_ 4 6 4 3" xfId="24971" xr:uid="{00000000-0005-0000-0000-00007D610000}"/>
    <cellStyle name="0_PLANNING  DOC 6111 REV 1_BP_Q1_6120_ 4 6 4 3 2" xfId="24972" xr:uid="{00000000-0005-0000-0000-00007E610000}"/>
    <cellStyle name="0_PLANNING  DOC 6111 REV 1_BP_Q1_6120_ 4 6 4 4" xfId="24973" xr:uid="{00000000-0005-0000-0000-00007F610000}"/>
    <cellStyle name="0_PLANNING  DOC 6111 REV 1_BP_Q1_6120_ 4 6 5" xfId="24974" xr:uid="{00000000-0005-0000-0000-000080610000}"/>
    <cellStyle name="0_PLANNING  DOC 6111 REV 1_BP_Q1_6120_ 4 6 5 2" xfId="24975" xr:uid="{00000000-0005-0000-0000-000081610000}"/>
    <cellStyle name="0_PLANNING  DOC 6111 REV 1_BP_Q1_6120_ 4 6 5 2 2" xfId="24976" xr:uid="{00000000-0005-0000-0000-000082610000}"/>
    <cellStyle name="0_PLANNING  DOC 6111 REV 1_BP_Q1_6120_ 4 6 5 3" xfId="24977" xr:uid="{00000000-0005-0000-0000-000083610000}"/>
    <cellStyle name="0_PLANNING  DOC 6111 REV 1_BP_Q1_6120_ 4 6 5 3 2" xfId="24978" xr:uid="{00000000-0005-0000-0000-000084610000}"/>
    <cellStyle name="0_PLANNING  DOC 6111 REV 1_BP_Q1_6120_ 4 6 5 4" xfId="24979" xr:uid="{00000000-0005-0000-0000-000085610000}"/>
    <cellStyle name="0_PLANNING  DOC 6111 REV 1_BP_Q1_6120_ 4 6 6" xfId="24980" xr:uid="{00000000-0005-0000-0000-000086610000}"/>
    <cellStyle name="0_PLANNING  DOC 6111 REV 1_BP_Q1_6120_ 4 6 6 2" xfId="24981" xr:uid="{00000000-0005-0000-0000-000087610000}"/>
    <cellStyle name="0_PLANNING  DOC 6111 REV 1_BP_Q1_6120_ 4 6 7" xfId="24982" xr:uid="{00000000-0005-0000-0000-000088610000}"/>
    <cellStyle name="0_PLANNING  DOC 6111 REV 1_BP_Q1_6120_ 4 6 7 2" xfId="24983" xr:uid="{00000000-0005-0000-0000-000089610000}"/>
    <cellStyle name="0_PLANNING  DOC 6111 REV 1_BP_Q1_6120_ 4 6 8" xfId="24984" xr:uid="{00000000-0005-0000-0000-00008A610000}"/>
    <cellStyle name="0_PLANNING  DOC 6111 REV 1_BP_Q1_6120_ 4 7" xfId="24985" xr:uid="{00000000-0005-0000-0000-00008B610000}"/>
    <cellStyle name="0_PLANNING  DOC 6111 REV 1_BP_Q1_6120_ 4 7 2" xfId="24986" xr:uid="{00000000-0005-0000-0000-00008C610000}"/>
    <cellStyle name="0_PLANNING  DOC 6111 REV 1_BP_Q1_6120_ 4 7 2 2" xfId="24987" xr:uid="{00000000-0005-0000-0000-00008D610000}"/>
    <cellStyle name="0_PLANNING  DOC 6111 REV 1_BP_Q1_6120_ 4 7 2 2 2" xfId="24988" xr:uid="{00000000-0005-0000-0000-00008E610000}"/>
    <cellStyle name="0_PLANNING  DOC 6111 REV 1_BP_Q1_6120_ 4 7 2 3" xfId="24989" xr:uid="{00000000-0005-0000-0000-00008F610000}"/>
    <cellStyle name="0_PLANNING  DOC 6111 REV 1_BP_Q1_6120_ 4 7 2 3 2" xfId="24990" xr:uid="{00000000-0005-0000-0000-000090610000}"/>
    <cellStyle name="0_PLANNING  DOC 6111 REV 1_BP_Q1_6120_ 4 7 2 4" xfId="24991" xr:uid="{00000000-0005-0000-0000-000091610000}"/>
    <cellStyle name="0_PLANNING  DOC 6111 REV 1_BP_Q1_6120_ 4 7 3" xfId="24992" xr:uid="{00000000-0005-0000-0000-000092610000}"/>
    <cellStyle name="0_PLANNING  DOC 6111 REV 1_BP_Q1_6120_ 4 7 3 2" xfId="24993" xr:uid="{00000000-0005-0000-0000-000093610000}"/>
    <cellStyle name="0_PLANNING  DOC 6111 REV 1_BP_Q1_6120_ 4 7 3 2 2" xfId="24994" xr:uid="{00000000-0005-0000-0000-000094610000}"/>
    <cellStyle name="0_PLANNING  DOC 6111 REV 1_BP_Q1_6120_ 4 7 3 3" xfId="24995" xr:uid="{00000000-0005-0000-0000-000095610000}"/>
    <cellStyle name="0_PLANNING  DOC 6111 REV 1_BP_Q1_6120_ 4 7 3 3 2" xfId="24996" xr:uid="{00000000-0005-0000-0000-000096610000}"/>
    <cellStyle name="0_PLANNING  DOC 6111 REV 1_BP_Q1_6120_ 4 7 3 4" xfId="24997" xr:uid="{00000000-0005-0000-0000-000097610000}"/>
    <cellStyle name="0_PLANNING  DOC 6111 REV 1_BP_Q1_6120_ 4 7 4" xfId="24998" xr:uid="{00000000-0005-0000-0000-000098610000}"/>
    <cellStyle name="0_PLANNING  DOC 6111 REV 1_BP_Q1_6120_ 4 7 4 2" xfId="24999" xr:uid="{00000000-0005-0000-0000-000099610000}"/>
    <cellStyle name="0_PLANNING  DOC 6111 REV 1_BP_Q1_6120_ 4 7 5" xfId="25000" xr:uid="{00000000-0005-0000-0000-00009A610000}"/>
    <cellStyle name="0_PLANNING  DOC 6111 REV 1_BP_Q1_6120_ 4 7 5 2" xfId="25001" xr:uid="{00000000-0005-0000-0000-00009B610000}"/>
    <cellStyle name="0_PLANNING  DOC 6111 REV 1_BP_Q1_6120_ 4 7 6" xfId="25002" xr:uid="{00000000-0005-0000-0000-00009C610000}"/>
    <cellStyle name="0_PLANNING  DOC 6111 REV 1_BP_Q1_6120_ 4 8" xfId="25003" xr:uid="{00000000-0005-0000-0000-00009D610000}"/>
    <cellStyle name="0_PLANNING  DOC 6111 REV 1_BP_Q1_6120_ 4 8 2" xfId="25004" xr:uid="{00000000-0005-0000-0000-00009E610000}"/>
    <cellStyle name="0_PLANNING  DOC 6111 REV 1_BP_Q1_6120_ 4 8 2 2" xfId="25005" xr:uid="{00000000-0005-0000-0000-00009F610000}"/>
    <cellStyle name="0_PLANNING  DOC 6111 REV 1_BP_Q1_6120_ 4 8 3" xfId="25006" xr:uid="{00000000-0005-0000-0000-0000A0610000}"/>
    <cellStyle name="0_PLANNING  DOC 6111 REV 1_BP_Q1_6120_ 4 8 3 2" xfId="25007" xr:uid="{00000000-0005-0000-0000-0000A1610000}"/>
    <cellStyle name="0_PLANNING  DOC 6111 REV 1_BP_Q1_6120_ 4 8 4" xfId="25008" xr:uid="{00000000-0005-0000-0000-0000A2610000}"/>
    <cellStyle name="0_PLANNING  DOC 6111 REV 1_BP_Q1_6120_ 4 9" xfId="25009" xr:uid="{00000000-0005-0000-0000-0000A3610000}"/>
    <cellStyle name="0_PLANNING  DOC 6111 REV 1_BP_Q1_6120_ 4 9 2" xfId="25010" xr:uid="{00000000-0005-0000-0000-0000A4610000}"/>
    <cellStyle name="0_PLANNING  DOC 6111 REV 1_BP_Q1_6120_ 4 9 2 2" xfId="25011" xr:uid="{00000000-0005-0000-0000-0000A5610000}"/>
    <cellStyle name="0_PLANNING  DOC 6111 REV 1_BP_Q1_6120_ 4 9 3" xfId="25012" xr:uid="{00000000-0005-0000-0000-0000A6610000}"/>
    <cellStyle name="0_PLANNING  DOC 6111 REV 1_BP_Q1_6120_ 4 9 3 2" xfId="25013" xr:uid="{00000000-0005-0000-0000-0000A7610000}"/>
    <cellStyle name="0_PLANNING  DOC 6111 REV 1_BP_Q1_6120_ 4 9 4" xfId="25014" xr:uid="{00000000-0005-0000-0000-0000A8610000}"/>
    <cellStyle name="0_PLANNING  DOC 6111 REV 1_BP_Q1_6120_ 5" xfId="25015" xr:uid="{00000000-0005-0000-0000-0000A9610000}"/>
    <cellStyle name="0_PLANNING  DOC 6111 REV 1_BP_Q1_6120_ 5 10" xfId="25016" xr:uid="{00000000-0005-0000-0000-0000AA610000}"/>
    <cellStyle name="0_PLANNING  DOC 6111 REV 1_BP_Q1_6120_ 5 10 2" xfId="25017" xr:uid="{00000000-0005-0000-0000-0000AB610000}"/>
    <cellStyle name="0_PLANNING  DOC 6111 REV 1_BP_Q1_6120_ 5 10 2 2" xfId="25018" xr:uid="{00000000-0005-0000-0000-0000AC610000}"/>
    <cellStyle name="0_PLANNING  DOC 6111 REV 1_BP_Q1_6120_ 5 10 3" xfId="25019" xr:uid="{00000000-0005-0000-0000-0000AD610000}"/>
    <cellStyle name="0_PLANNING  DOC 6111 REV 1_BP_Q1_6120_ 5 10 3 2" xfId="25020" xr:uid="{00000000-0005-0000-0000-0000AE610000}"/>
    <cellStyle name="0_PLANNING  DOC 6111 REV 1_BP_Q1_6120_ 5 10 4" xfId="25021" xr:uid="{00000000-0005-0000-0000-0000AF610000}"/>
    <cellStyle name="0_PLANNING  DOC 6111 REV 1_BP_Q1_6120_ 5 11" xfId="25022" xr:uid="{00000000-0005-0000-0000-0000B0610000}"/>
    <cellStyle name="0_PLANNING  DOC 6111 REV 1_BP_Q1_6120_ 5 11 2" xfId="25023" xr:uid="{00000000-0005-0000-0000-0000B1610000}"/>
    <cellStyle name="0_PLANNING  DOC 6111 REV 1_BP_Q1_6120_ 5 12" xfId="25024" xr:uid="{00000000-0005-0000-0000-0000B2610000}"/>
    <cellStyle name="0_PLANNING  DOC 6111 REV 1_BP_Q1_6120_ 5 12 2" xfId="25025" xr:uid="{00000000-0005-0000-0000-0000B3610000}"/>
    <cellStyle name="0_PLANNING  DOC 6111 REV 1_BP_Q1_6120_ 5 13" xfId="25026" xr:uid="{00000000-0005-0000-0000-0000B4610000}"/>
    <cellStyle name="0_PLANNING  DOC 6111 REV 1_BP_Q1_6120_ 5 2" xfId="25027" xr:uid="{00000000-0005-0000-0000-0000B5610000}"/>
    <cellStyle name="0_PLANNING  DOC 6111 REV 1_BP_Q1_6120_ 5 2 2" xfId="25028" xr:uid="{00000000-0005-0000-0000-0000B6610000}"/>
    <cellStyle name="0_PLANNING  DOC 6111 REV 1_BP_Q1_6120_ 5 2 2 2" xfId="25029" xr:uid="{00000000-0005-0000-0000-0000B7610000}"/>
    <cellStyle name="0_PLANNING  DOC 6111 REV 1_BP_Q1_6120_ 5 2 2 2 2" xfId="25030" xr:uid="{00000000-0005-0000-0000-0000B8610000}"/>
    <cellStyle name="0_PLANNING  DOC 6111 REV 1_BP_Q1_6120_ 5 2 2 2 2 2" xfId="25031" xr:uid="{00000000-0005-0000-0000-0000B9610000}"/>
    <cellStyle name="0_PLANNING  DOC 6111 REV 1_BP_Q1_6120_ 5 2 2 2 3" xfId="25032" xr:uid="{00000000-0005-0000-0000-0000BA610000}"/>
    <cellStyle name="0_PLANNING  DOC 6111 REV 1_BP_Q1_6120_ 5 2 2 2 3 2" xfId="25033" xr:uid="{00000000-0005-0000-0000-0000BB610000}"/>
    <cellStyle name="0_PLANNING  DOC 6111 REV 1_BP_Q1_6120_ 5 2 2 2 4" xfId="25034" xr:uid="{00000000-0005-0000-0000-0000BC610000}"/>
    <cellStyle name="0_PLANNING  DOC 6111 REV 1_BP_Q1_6120_ 5 2 2 3" xfId="25035" xr:uid="{00000000-0005-0000-0000-0000BD610000}"/>
    <cellStyle name="0_PLANNING  DOC 6111 REV 1_BP_Q1_6120_ 5 2 2 3 2" xfId="25036" xr:uid="{00000000-0005-0000-0000-0000BE610000}"/>
    <cellStyle name="0_PLANNING  DOC 6111 REV 1_BP_Q1_6120_ 5 2 2 3 2 2" xfId="25037" xr:uid="{00000000-0005-0000-0000-0000BF610000}"/>
    <cellStyle name="0_PLANNING  DOC 6111 REV 1_BP_Q1_6120_ 5 2 2 3 3" xfId="25038" xr:uid="{00000000-0005-0000-0000-0000C0610000}"/>
    <cellStyle name="0_PLANNING  DOC 6111 REV 1_BP_Q1_6120_ 5 2 2 3 3 2" xfId="25039" xr:uid="{00000000-0005-0000-0000-0000C1610000}"/>
    <cellStyle name="0_PLANNING  DOC 6111 REV 1_BP_Q1_6120_ 5 2 2 3 4" xfId="25040" xr:uid="{00000000-0005-0000-0000-0000C2610000}"/>
    <cellStyle name="0_PLANNING  DOC 6111 REV 1_BP_Q1_6120_ 5 2 2 4" xfId="25041" xr:uid="{00000000-0005-0000-0000-0000C3610000}"/>
    <cellStyle name="0_PLANNING  DOC 6111 REV 1_BP_Q1_6120_ 5 2 2 4 2" xfId="25042" xr:uid="{00000000-0005-0000-0000-0000C4610000}"/>
    <cellStyle name="0_PLANNING  DOC 6111 REV 1_BP_Q1_6120_ 5 2 2 5" xfId="25043" xr:uid="{00000000-0005-0000-0000-0000C5610000}"/>
    <cellStyle name="0_PLANNING  DOC 6111 REV 1_BP_Q1_6120_ 5 2 2 5 2" xfId="25044" xr:uid="{00000000-0005-0000-0000-0000C6610000}"/>
    <cellStyle name="0_PLANNING  DOC 6111 REV 1_BP_Q1_6120_ 5 2 2 6" xfId="25045" xr:uid="{00000000-0005-0000-0000-0000C7610000}"/>
    <cellStyle name="0_PLANNING  DOC 6111 REV 1_BP_Q1_6120_ 5 2 3" xfId="25046" xr:uid="{00000000-0005-0000-0000-0000C8610000}"/>
    <cellStyle name="0_PLANNING  DOC 6111 REV 1_BP_Q1_6120_ 5 2 3 2" xfId="25047" xr:uid="{00000000-0005-0000-0000-0000C9610000}"/>
    <cellStyle name="0_PLANNING  DOC 6111 REV 1_BP_Q1_6120_ 5 2 3 2 2" xfId="25048" xr:uid="{00000000-0005-0000-0000-0000CA610000}"/>
    <cellStyle name="0_PLANNING  DOC 6111 REV 1_BP_Q1_6120_ 5 2 3 3" xfId="25049" xr:uid="{00000000-0005-0000-0000-0000CB610000}"/>
    <cellStyle name="0_PLANNING  DOC 6111 REV 1_BP_Q1_6120_ 5 2 3 3 2" xfId="25050" xr:uid="{00000000-0005-0000-0000-0000CC610000}"/>
    <cellStyle name="0_PLANNING  DOC 6111 REV 1_BP_Q1_6120_ 5 2 3 4" xfId="25051" xr:uid="{00000000-0005-0000-0000-0000CD610000}"/>
    <cellStyle name="0_PLANNING  DOC 6111 REV 1_BP_Q1_6120_ 5 2 4" xfId="25052" xr:uid="{00000000-0005-0000-0000-0000CE610000}"/>
    <cellStyle name="0_PLANNING  DOC 6111 REV 1_BP_Q1_6120_ 5 2 4 2" xfId="25053" xr:uid="{00000000-0005-0000-0000-0000CF610000}"/>
    <cellStyle name="0_PLANNING  DOC 6111 REV 1_BP_Q1_6120_ 5 2 4 2 2" xfId="25054" xr:uid="{00000000-0005-0000-0000-0000D0610000}"/>
    <cellStyle name="0_PLANNING  DOC 6111 REV 1_BP_Q1_6120_ 5 2 4 3" xfId="25055" xr:uid="{00000000-0005-0000-0000-0000D1610000}"/>
    <cellStyle name="0_PLANNING  DOC 6111 REV 1_BP_Q1_6120_ 5 2 4 3 2" xfId="25056" xr:uid="{00000000-0005-0000-0000-0000D2610000}"/>
    <cellStyle name="0_PLANNING  DOC 6111 REV 1_BP_Q1_6120_ 5 2 4 4" xfId="25057" xr:uid="{00000000-0005-0000-0000-0000D3610000}"/>
    <cellStyle name="0_PLANNING  DOC 6111 REV 1_BP_Q1_6120_ 5 2 5" xfId="25058" xr:uid="{00000000-0005-0000-0000-0000D4610000}"/>
    <cellStyle name="0_PLANNING  DOC 6111 REV 1_BP_Q1_6120_ 5 2 5 2" xfId="25059" xr:uid="{00000000-0005-0000-0000-0000D5610000}"/>
    <cellStyle name="0_PLANNING  DOC 6111 REV 1_BP_Q1_6120_ 5 2 5 2 2" xfId="25060" xr:uid="{00000000-0005-0000-0000-0000D6610000}"/>
    <cellStyle name="0_PLANNING  DOC 6111 REV 1_BP_Q1_6120_ 5 2 5 3" xfId="25061" xr:uid="{00000000-0005-0000-0000-0000D7610000}"/>
    <cellStyle name="0_PLANNING  DOC 6111 REV 1_BP_Q1_6120_ 5 2 5 3 2" xfId="25062" xr:uid="{00000000-0005-0000-0000-0000D8610000}"/>
    <cellStyle name="0_PLANNING  DOC 6111 REV 1_BP_Q1_6120_ 5 2 5 4" xfId="25063" xr:uid="{00000000-0005-0000-0000-0000D9610000}"/>
    <cellStyle name="0_PLANNING  DOC 6111 REV 1_BP_Q1_6120_ 5 2 6" xfId="25064" xr:uid="{00000000-0005-0000-0000-0000DA610000}"/>
    <cellStyle name="0_PLANNING  DOC 6111 REV 1_BP_Q1_6120_ 5 2 6 2" xfId="25065" xr:uid="{00000000-0005-0000-0000-0000DB610000}"/>
    <cellStyle name="0_PLANNING  DOC 6111 REV 1_BP_Q1_6120_ 5 2 7" xfId="25066" xr:uid="{00000000-0005-0000-0000-0000DC610000}"/>
    <cellStyle name="0_PLANNING  DOC 6111 REV 1_BP_Q1_6120_ 5 2 7 2" xfId="25067" xr:uid="{00000000-0005-0000-0000-0000DD610000}"/>
    <cellStyle name="0_PLANNING  DOC 6111 REV 1_BP_Q1_6120_ 5 2 8" xfId="25068" xr:uid="{00000000-0005-0000-0000-0000DE610000}"/>
    <cellStyle name="0_PLANNING  DOC 6111 REV 1_BP_Q1_6120_ 5 3" xfId="25069" xr:uid="{00000000-0005-0000-0000-0000DF610000}"/>
    <cellStyle name="0_PLANNING  DOC 6111 REV 1_BP_Q1_6120_ 5 3 2" xfId="25070" xr:uid="{00000000-0005-0000-0000-0000E0610000}"/>
    <cellStyle name="0_PLANNING  DOC 6111 REV 1_BP_Q1_6120_ 5 3 2 2" xfId="25071" xr:uid="{00000000-0005-0000-0000-0000E1610000}"/>
    <cellStyle name="0_PLANNING  DOC 6111 REV 1_BP_Q1_6120_ 5 3 2 2 2" xfId="25072" xr:uid="{00000000-0005-0000-0000-0000E2610000}"/>
    <cellStyle name="0_PLANNING  DOC 6111 REV 1_BP_Q1_6120_ 5 3 2 2 2 2" xfId="25073" xr:uid="{00000000-0005-0000-0000-0000E3610000}"/>
    <cellStyle name="0_PLANNING  DOC 6111 REV 1_BP_Q1_6120_ 5 3 2 2 3" xfId="25074" xr:uid="{00000000-0005-0000-0000-0000E4610000}"/>
    <cellStyle name="0_PLANNING  DOC 6111 REV 1_BP_Q1_6120_ 5 3 2 2 3 2" xfId="25075" xr:uid="{00000000-0005-0000-0000-0000E5610000}"/>
    <cellStyle name="0_PLANNING  DOC 6111 REV 1_BP_Q1_6120_ 5 3 2 2 4" xfId="25076" xr:uid="{00000000-0005-0000-0000-0000E6610000}"/>
    <cellStyle name="0_PLANNING  DOC 6111 REV 1_BP_Q1_6120_ 5 3 2 3" xfId="25077" xr:uid="{00000000-0005-0000-0000-0000E7610000}"/>
    <cellStyle name="0_PLANNING  DOC 6111 REV 1_BP_Q1_6120_ 5 3 2 3 2" xfId="25078" xr:uid="{00000000-0005-0000-0000-0000E8610000}"/>
    <cellStyle name="0_PLANNING  DOC 6111 REV 1_BP_Q1_6120_ 5 3 2 3 2 2" xfId="25079" xr:uid="{00000000-0005-0000-0000-0000E9610000}"/>
    <cellStyle name="0_PLANNING  DOC 6111 REV 1_BP_Q1_6120_ 5 3 2 3 3" xfId="25080" xr:uid="{00000000-0005-0000-0000-0000EA610000}"/>
    <cellStyle name="0_PLANNING  DOC 6111 REV 1_BP_Q1_6120_ 5 3 2 3 3 2" xfId="25081" xr:uid="{00000000-0005-0000-0000-0000EB610000}"/>
    <cellStyle name="0_PLANNING  DOC 6111 REV 1_BP_Q1_6120_ 5 3 2 3 4" xfId="25082" xr:uid="{00000000-0005-0000-0000-0000EC610000}"/>
    <cellStyle name="0_PLANNING  DOC 6111 REV 1_BP_Q1_6120_ 5 3 2 4" xfId="25083" xr:uid="{00000000-0005-0000-0000-0000ED610000}"/>
    <cellStyle name="0_PLANNING  DOC 6111 REV 1_BP_Q1_6120_ 5 3 2 4 2" xfId="25084" xr:uid="{00000000-0005-0000-0000-0000EE610000}"/>
    <cellStyle name="0_PLANNING  DOC 6111 REV 1_BP_Q1_6120_ 5 3 2 5" xfId="25085" xr:uid="{00000000-0005-0000-0000-0000EF610000}"/>
    <cellStyle name="0_PLANNING  DOC 6111 REV 1_BP_Q1_6120_ 5 3 2 5 2" xfId="25086" xr:uid="{00000000-0005-0000-0000-0000F0610000}"/>
    <cellStyle name="0_PLANNING  DOC 6111 REV 1_BP_Q1_6120_ 5 3 2 6" xfId="25087" xr:uid="{00000000-0005-0000-0000-0000F1610000}"/>
    <cellStyle name="0_PLANNING  DOC 6111 REV 1_BP_Q1_6120_ 5 3 3" xfId="25088" xr:uid="{00000000-0005-0000-0000-0000F2610000}"/>
    <cellStyle name="0_PLANNING  DOC 6111 REV 1_BP_Q1_6120_ 5 3 3 2" xfId="25089" xr:uid="{00000000-0005-0000-0000-0000F3610000}"/>
    <cellStyle name="0_PLANNING  DOC 6111 REV 1_BP_Q1_6120_ 5 3 3 2 2" xfId="25090" xr:uid="{00000000-0005-0000-0000-0000F4610000}"/>
    <cellStyle name="0_PLANNING  DOC 6111 REV 1_BP_Q1_6120_ 5 3 3 3" xfId="25091" xr:uid="{00000000-0005-0000-0000-0000F5610000}"/>
    <cellStyle name="0_PLANNING  DOC 6111 REV 1_BP_Q1_6120_ 5 3 3 3 2" xfId="25092" xr:uid="{00000000-0005-0000-0000-0000F6610000}"/>
    <cellStyle name="0_PLANNING  DOC 6111 REV 1_BP_Q1_6120_ 5 3 3 4" xfId="25093" xr:uid="{00000000-0005-0000-0000-0000F7610000}"/>
    <cellStyle name="0_PLANNING  DOC 6111 REV 1_BP_Q1_6120_ 5 3 4" xfId="25094" xr:uid="{00000000-0005-0000-0000-0000F8610000}"/>
    <cellStyle name="0_PLANNING  DOC 6111 REV 1_BP_Q1_6120_ 5 3 4 2" xfId="25095" xr:uid="{00000000-0005-0000-0000-0000F9610000}"/>
    <cellStyle name="0_PLANNING  DOC 6111 REV 1_BP_Q1_6120_ 5 3 4 2 2" xfId="25096" xr:uid="{00000000-0005-0000-0000-0000FA610000}"/>
    <cellStyle name="0_PLANNING  DOC 6111 REV 1_BP_Q1_6120_ 5 3 4 3" xfId="25097" xr:uid="{00000000-0005-0000-0000-0000FB610000}"/>
    <cellStyle name="0_PLANNING  DOC 6111 REV 1_BP_Q1_6120_ 5 3 4 3 2" xfId="25098" xr:uid="{00000000-0005-0000-0000-0000FC610000}"/>
    <cellStyle name="0_PLANNING  DOC 6111 REV 1_BP_Q1_6120_ 5 3 4 4" xfId="25099" xr:uid="{00000000-0005-0000-0000-0000FD610000}"/>
    <cellStyle name="0_PLANNING  DOC 6111 REV 1_BP_Q1_6120_ 5 3 5" xfId="25100" xr:uid="{00000000-0005-0000-0000-0000FE610000}"/>
    <cellStyle name="0_PLANNING  DOC 6111 REV 1_BP_Q1_6120_ 5 3 5 2" xfId="25101" xr:uid="{00000000-0005-0000-0000-0000FF610000}"/>
    <cellStyle name="0_PLANNING  DOC 6111 REV 1_BP_Q1_6120_ 5 3 5 2 2" xfId="25102" xr:uid="{00000000-0005-0000-0000-000000620000}"/>
    <cellStyle name="0_PLANNING  DOC 6111 REV 1_BP_Q1_6120_ 5 3 5 3" xfId="25103" xr:uid="{00000000-0005-0000-0000-000001620000}"/>
    <cellStyle name="0_PLANNING  DOC 6111 REV 1_BP_Q1_6120_ 5 3 5 3 2" xfId="25104" xr:uid="{00000000-0005-0000-0000-000002620000}"/>
    <cellStyle name="0_PLANNING  DOC 6111 REV 1_BP_Q1_6120_ 5 3 5 4" xfId="25105" xr:uid="{00000000-0005-0000-0000-000003620000}"/>
    <cellStyle name="0_PLANNING  DOC 6111 REV 1_BP_Q1_6120_ 5 3 6" xfId="25106" xr:uid="{00000000-0005-0000-0000-000004620000}"/>
    <cellStyle name="0_PLANNING  DOC 6111 REV 1_BP_Q1_6120_ 5 3 6 2" xfId="25107" xr:uid="{00000000-0005-0000-0000-000005620000}"/>
    <cellStyle name="0_PLANNING  DOC 6111 REV 1_BP_Q1_6120_ 5 3 7" xfId="25108" xr:uid="{00000000-0005-0000-0000-000006620000}"/>
    <cellStyle name="0_PLANNING  DOC 6111 REV 1_BP_Q1_6120_ 5 3 7 2" xfId="25109" xr:uid="{00000000-0005-0000-0000-000007620000}"/>
    <cellStyle name="0_PLANNING  DOC 6111 REV 1_BP_Q1_6120_ 5 3 8" xfId="25110" xr:uid="{00000000-0005-0000-0000-000008620000}"/>
    <cellStyle name="0_PLANNING  DOC 6111 REV 1_BP_Q1_6120_ 5 4" xfId="25111" xr:uid="{00000000-0005-0000-0000-000009620000}"/>
    <cellStyle name="0_PLANNING  DOC 6111 REV 1_BP_Q1_6120_ 5 4 2" xfId="25112" xr:uid="{00000000-0005-0000-0000-00000A620000}"/>
    <cellStyle name="0_PLANNING  DOC 6111 REV 1_BP_Q1_6120_ 5 4 2 2" xfId="25113" xr:uid="{00000000-0005-0000-0000-00000B620000}"/>
    <cellStyle name="0_PLANNING  DOC 6111 REV 1_BP_Q1_6120_ 5 4 2 2 2" xfId="25114" xr:uid="{00000000-0005-0000-0000-00000C620000}"/>
    <cellStyle name="0_PLANNING  DOC 6111 REV 1_BP_Q1_6120_ 5 4 2 2 2 2" xfId="25115" xr:uid="{00000000-0005-0000-0000-00000D620000}"/>
    <cellStyle name="0_PLANNING  DOC 6111 REV 1_BP_Q1_6120_ 5 4 2 2 3" xfId="25116" xr:uid="{00000000-0005-0000-0000-00000E620000}"/>
    <cellStyle name="0_PLANNING  DOC 6111 REV 1_BP_Q1_6120_ 5 4 2 2 3 2" xfId="25117" xr:uid="{00000000-0005-0000-0000-00000F620000}"/>
    <cellStyle name="0_PLANNING  DOC 6111 REV 1_BP_Q1_6120_ 5 4 2 2 4" xfId="25118" xr:uid="{00000000-0005-0000-0000-000010620000}"/>
    <cellStyle name="0_PLANNING  DOC 6111 REV 1_BP_Q1_6120_ 5 4 2 3" xfId="25119" xr:uid="{00000000-0005-0000-0000-000011620000}"/>
    <cellStyle name="0_PLANNING  DOC 6111 REV 1_BP_Q1_6120_ 5 4 2 3 2" xfId="25120" xr:uid="{00000000-0005-0000-0000-000012620000}"/>
    <cellStyle name="0_PLANNING  DOC 6111 REV 1_BP_Q1_6120_ 5 4 2 3 2 2" xfId="25121" xr:uid="{00000000-0005-0000-0000-000013620000}"/>
    <cellStyle name="0_PLANNING  DOC 6111 REV 1_BP_Q1_6120_ 5 4 2 3 3" xfId="25122" xr:uid="{00000000-0005-0000-0000-000014620000}"/>
    <cellStyle name="0_PLANNING  DOC 6111 REV 1_BP_Q1_6120_ 5 4 2 3 3 2" xfId="25123" xr:uid="{00000000-0005-0000-0000-000015620000}"/>
    <cellStyle name="0_PLANNING  DOC 6111 REV 1_BP_Q1_6120_ 5 4 2 3 4" xfId="25124" xr:uid="{00000000-0005-0000-0000-000016620000}"/>
    <cellStyle name="0_PLANNING  DOC 6111 REV 1_BP_Q1_6120_ 5 4 2 4" xfId="25125" xr:uid="{00000000-0005-0000-0000-000017620000}"/>
    <cellStyle name="0_PLANNING  DOC 6111 REV 1_BP_Q1_6120_ 5 4 2 4 2" xfId="25126" xr:uid="{00000000-0005-0000-0000-000018620000}"/>
    <cellStyle name="0_PLANNING  DOC 6111 REV 1_BP_Q1_6120_ 5 4 2 5" xfId="25127" xr:uid="{00000000-0005-0000-0000-000019620000}"/>
    <cellStyle name="0_PLANNING  DOC 6111 REV 1_BP_Q1_6120_ 5 4 2 5 2" xfId="25128" xr:uid="{00000000-0005-0000-0000-00001A620000}"/>
    <cellStyle name="0_PLANNING  DOC 6111 REV 1_BP_Q1_6120_ 5 4 2 6" xfId="25129" xr:uid="{00000000-0005-0000-0000-00001B620000}"/>
    <cellStyle name="0_PLANNING  DOC 6111 REV 1_BP_Q1_6120_ 5 4 3" xfId="25130" xr:uid="{00000000-0005-0000-0000-00001C620000}"/>
    <cellStyle name="0_PLANNING  DOC 6111 REV 1_BP_Q1_6120_ 5 4 3 2" xfId="25131" xr:uid="{00000000-0005-0000-0000-00001D620000}"/>
    <cellStyle name="0_PLANNING  DOC 6111 REV 1_BP_Q1_6120_ 5 4 3 2 2" xfId="25132" xr:uid="{00000000-0005-0000-0000-00001E620000}"/>
    <cellStyle name="0_PLANNING  DOC 6111 REV 1_BP_Q1_6120_ 5 4 3 3" xfId="25133" xr:uid="{00000000-0005-0000-0000-00001F620000}"/>
    <cellStyle name="0_PLANNING  DOC 6111 REV 1_BP_Q1_6120_ 5 4 3 3 2" xfId="25134" xr:uid="{00000000-0005-0000-0000-000020620000}"/>
    <cellStyle name="0_PLANNING  DOC 6111 REV 1_BP_Q1_6120_ 5 4 3 4" xfId="25135" xr:uid="{00000000-0005-0000-0000-000021620000}"/>
    <cellStyle name="0_PLANNING  DOC 6111 REV 1_BP_Q1_6120_ 5 4 4" xfId="25136" xr:uid="{00000000-0005-0000-0000-000022620000}"/>
    <cellStyle name="0_PLANNING  DOC 6111 REV 1_BP_Q1_6120_ 5 4 4 2" xfId="25137" xr:uid="{00000000-0005-0000-0000-000023620000}"/>
    <cellStyle name="0_PLANNING  DOC 6111 REV 1_BP_Q1_6120_ 5 4 4 2 2" xfId="25138" xr:uid="{00000000-0005-0000-0000-000024620000}"/>
    <cellStyle name="0_PLANNING  DOC 6111 REV 1_BP_Q1_6120_ 5 4 4 3" xfId="25139" xr:uid="{00000000-0005-0000-0000-000025620000}"/>
    <cellStyle name="0_PLANNING  DOC 6111 REV 1_BP_Q1_6120_ 5 4 4 3 2" xfId="25140" xr:uid="{00000000-0005-0000-0000-000026620000}"/>
    <cellStyle name="0_PLANNING  DOC 6111 REV 1_BP_Q1_6120_ 5 4 4 4" xfId="25141" xr:uid="{00000000-0005-0000-0000-000027620000}"/>
    <cellStyle name="0_PLANNING  DOC 6111 REV 1_BP_Q1_6120_ 5 4 5" xfId="25142" xr:uid="{00000000-0005-0000-0000-000028620000}"/>
    <cellStyle name="0_PLANNING  DOC 6111 REV 1_BP_Q1_6120_ 5 4 5 2" xfId="25143" xr:uid="{00000000-0005-0000-0000-000029620000}"/>
    <cellStyle name="0_PLANNING  DOC 6111 REV 1_BP_Q1_6120_ 5 4 5 2 2" xfId="25144" xr:uid="{00000000-0005-0000-0000-00002A620000}"/>
    <cellStyle name="0_PLANNING  DOC 6111 REV 1_BP_Q1_6120_ 5 4 5 3" xfId="25145" xr:uid="{00000000-0005-0000-0000-00002B620000}"/>
    <cellStyle name="0_PLANNING  DOC 6111 REV 1_BP_Q1_6120_ 5 4 5 3 2" xfId="25146" xr:uid="{00000000-0005-0000-0000-00002C620000}"/>
    <cellStyle name="0_PLANNING  DOC 6111 REV 1_BP_Q1_6120_ 5 4 5 4" xfId="25147" xr:uid="{00000000-0005-0000-0000-00002D620000}"/>
    <cellStyle name="0_PLANNING  DOC 6111 REV 1_BP_Q1_6120_ 5 4 6" xfId="25148" xr:uid="{00000000-0005-0000-0000-00002E620000}"/>
    <cellStyle name="0_PLANNING  DOC 6111 REV 1_BP_Q1_6120_ 5 4 6 2" xfId="25149" xr:uid="{00000000-0005-0000-0000-00002F620000}"/>
    <cellStyle name="0_PLANNING  DOC 6111 REV 1_BP_Q1_6120_ 5 4 7" xfId="25150" xr:uid="{00000000-0005-0000-0000-000030620000}"/>
    <cellStyle name="0_PLANNING  DOC 6111 REV 1_BP_Q1_6120_ 5 4 7 2" xfId="25151" xr:uid="{00000000-0005-0000-0000-000031620000}"/>
    <cellStyle name="0_PLANNING  DOC 6111 REV 1_BP_Q1_6120_ 5 4 8" xfId="25152" xr:uid="{00000000-0005-0000-0000-000032620000}"/>
    <cellStyle name="0_PLANNING  DOC 6111 REV 1_BP_Q1_6120_ 5 5" xfId="25153" xr:uid="{00000000-0005-0000-0000-000033620000}"/>
    <cellStyle name="0_PLANNING  DOC 6111 REV 1_BP_Q1_6120_ 5 5 2" xfId="25154" xr:uid="{00000000-0005-0000-0000-000034620000}"/>
    <cellStyle name="0_PLANNING  DOC 6111 REV 1_BP_Q1_6120_ 5 5 2 2" xfId="25155" xr:uid="{00000000-0005-0000-0000-000035620000}"/>
    <cellStyle name="0_PLANNING  DOC 6111 REV 1_BP_Q1_6120_ 5 5 2 2 2" xfId="25156" xr:uid="{00000000-0005-0000-0000-000036620000}"/>
    <cellStyle name="0_PLANNING  DOC 6111 REV 1_BP_Q1_6120_ 5 5 2 2 2 2" xfId="25157" xr:uid="{00000000-0005-0000-0000-000037620000}"/>
    <cellStyle name="0_PLANNING  DOC 6111 REV 1_BP_Q1_6120_ 5 5 2 2 3" xfId="25158" xr:uid="{00000000-0005-0000-0000-000038620000}"/>
    <cellStyle name="0_PLANNING  DOC 6111 REV 1_BP_Q1_6120_ 5 5 2 2 3 2" xfId="25159" xr:uid="{00000000-0005-0000-0000-000039620000}"/>
    <cellStyle name="0_PLANNING  DOC 6111 REV 1_BP_Q1_6120_ 5 5 2 2 4" xfId="25160" xr:uid="{00000000-0005-0000-0000-00003A620000}"/>
    <cellStyle name="0_PLANNING  DOC 6111 REV 1_BP_Q1_6120_ 5 5 2 3" xfId="25161" xr:uid="{00000000-0005-0000-0000-00003B620000}"/>
    <cellStyle name="0_PLANNING  DOC 6111 REV 1_BP_Q1_6120_ 5 5 2 3 2" xfId="25162" xr:uid="{00000000-0005-0000-0000-00003C620000}"/>
    <cellStyle name="0_PLANNING  DOC 6111 REV 1_BP_Q1_6120_ 5 5 2 3 2 2" xfId="25163" xr:uid="{00000000-0005-0000-0000-00003D620000}"/>
    <cellStyle name="0_PLANNING  DOC 6111 REV 1_BP_Q1_6120_ 5 5 2 3 3" xfId="25164" xr:uid="{00000000-0005-0000-0000-00003E620000}"/>
    <cellStyle name="0_PLANNING  DOC 6111 REV 1_BP_Q1_6120_ 5 5 2 3 3 2" xfId="25165" xr:uid="{00000000-0005-0000-0000-00003F620000}"/>
    <cellStyle name="0_PLANNING  DOC 6111 REV 1_BP_Q1_6120_ 5 5 2 3 4" xfId="25166" xr:uid="{00000000-0005-0000-0000-000040620000}"/>
    <cellStyle name="0_PLANNING  DOC 6111 REV 1_BP_Q1_6120_ 5 5 2 4" xfId="25167" xr:uid="{00000000-0005-0000-0000-000041620000}"/>
    <cellStyle name="0_PLANNING  DOC 6111 REV 1_BP_Q1_6120_ 5 5 2 4 2" xfId="25168" xr:uid="{00000000-0005-0000-0000-000042620000}"/>
    <cellStyle name="0_PLANNING  DOC 6111 REV 1_BP_Q1_6120_ 5 5 2 5" xfId="25169" xr:uid="{00000000-0005-0000-0000-000043620000}"/>
    <cellStyle name="0_PLANNING  DOC 6111 REV 1_BP_Q1_6120_ 5 5 2 5 2" xfId="25170" xr:uid="{00000000-0005-0000-0000-000044620000}"/>
    <cellStyle name="0_PLANNING  DOC 6111 REV 1_BP_Q1_6120_ 5 5 2 6" xfId="25171" xr:uid="{00000000-0005-0000-0000-000045620000}"/>
    <cellStyle name="0_PLANNING  DOC 6111 REV 1_BP_Q1_6120_ 5 5 3" xfId="25172" xr:uid="{00000000-0005-0000-0000-000046620000}"/>
    <cellStyle name="0_PLANNING  DOC 6111 REV 1_BP_Q1_6120_ 5 5 3 2" xfId="25173" xr:uid="{00000000-0005-0000-0000-000047620000}"/>
    <cellStyle name="0_PLANNING  DOC 6111 REV 1_BP_Q1_6120_ 5 5 3 2 2" xfId="25174" xr:uid="{00000000-0005-0000-0000-000048620000}"/>
    <cellStyle name="0_PLANNING  DOC 6111 REV 1_BP_Q1_6120_ 5 5 3 3" xfId="25175" xr:uid="{00000000-0005-0000-0000-000049620000}"/>
    <cellStyle name="0_PLANNING  DOC 6111 REV 1_BP_Q1_6120_ 5 5 3 3 2" xfId="25176" xr:uid="{00000000-0005-0000-0000-00004A620000}"/>
    <cellStyle name="0_PLANNING  DOC 6111 REV 1_BP_Q1_6120_ 5 5 3 4" xfId="25177" xr:uid="{00000000-0005-0000-0000-00004B620000}"/>
    <cellStyle name="0_PLANNING  DOC 6111 REV 1_BP_Q1_6120_ 5 5 4" xfId="25178" xr:uid="{00000000-0005-0000-0000-00004C620000}"/>
    <cellStyle name="0_PLANNING  DOC 6111 REV 1_BP_Q1_6120_ 5 5 4 2" xfId="25179" xr:uid="{00000000-0005-0000-0000-00004D620000}"/>
    <cellStyle name="0_PLANNING  DOC 6111 REV 1_BP_Q1_6120_ 5 5 4 2 2" xfId="25180" xr:uid="{00000000-0005-0000-0000-00004E620000}"/>
    <cellStyle name="0_PLANNING  DOC 6111 REV 1_BP_Q1_6120_ 5 5 4 3" xfId="25181" xr:uid="{00000000-0005-0000-0000-00004F620000}"/>
    <cellStyle name="0_PLANNING  DOC 6111 REV 1_BP_Q1_6120_ 5 5 4 3 2" xfId="25182" xr:uid="{00000000-0005-0000-0000-000050620000}"/>
    <cellStyle name="0_PLANNING  DOC 6111 REV 1_BP_Q1_6120_ 5 5 4 4" xfId="25183" xr:uid="{00000000-0005-0000-0000-000051620000}"/>
    <cellStyle name="0_PLANNING  DOC 6111 REV 1_BP_Q1_6120_ 5 5 5" xfId="25184" xr:uid="{00000000-0005-0000-0000-000052620000}"/>
    <cellStyle name="0_PLANNING  DOC 6111 REV 1_BP_Q1_6120_ 5 5 5 2" xfId="25185" xr:uid="{00000000-0005-0000-0000-000053620000}"/>
    <cellStyle name="0_PLANNING  DOC 6111 REV 1_BP_Q1_6120_ 5 5 5 2 2" xfId="25186" xr:uid="{00000000-0005-0000-0000-000054620000}"/>
    <cellStyle name="0_PLANNING  DOC 6111 REV 1_BP_Q1_6120_ 5 5 5 3" xfId="25187" xr:uid="{00000000-0005-0000-0000-000055620000}"/>
    <cellStyle name="0_PLANNING  DOC 6111 REV 1_BP_Q1_6120_ 5 5 5 3 2" xfId="25188" xr:uid="{00000000-0005-0000-0000-000056620000}"/>
    <cellStyle name="0_PLANNING  DOC 6111 REV 1_BP_Q1_6120_ 5 5 5 4" xfId="25189" xr:uid="{00000000-0005-0000-0000-000057620000}"/>
    <cellStyle name="0_PLANNING  DOC 6111 REV 1_BP_Q1_6120_ 5 5 6" xfId="25190" xr:uid="{00000000-0005-0000-0000-000058620000}"/>
    <cellStyle name="0_PLANNING  DOC 6111 REV 1_BP_Q1_6120_ 5 5 6 2" xfId="25191" xr:uid="{00000000-0005-0000-0000-000059620000}"/>
    <cellStyle name="0_PLANNING  DOC 6111 REV 1_BP_Q1_6120_ 5 5 7" xfId="25192" xr:uid="{00000000-0005-0000-0000-00005A620000}"/>
    <cellStyle name="0_PLANNING  DOC 6111 REV 1_BP_Q1_6120_ 5 5 7 2" xfId="25193" xr:uid="{00000000-0005-0000-0000-00005B620000}"/>
    <cellStyle name="0_PLANNING  DOC 6111 REV 1_BP_Q1_6120_ 5 5 8" xfId="25194" xr:uid="{00000000-0005-0000-0000-00005C620000}"/>
    <cellStyle name="0_PLANNING  DOC 6111 REV 1_BP_Q1_6120_ 5 6" xfId="25195" xr:uid="{00000000-0005-0000-0000-00005D620000}"/>
    <cellStyle name="0_PLANNING  DOC 6111 REV 1_BP_Q1_6120_ 5 6 2" xfId="25196" xr:uid="{00000000-0005-0000-0000-00005E620000}"/>
    <cellStyle name="0_PLANNING  DOC 6111 REV 1_BP_Q1_6120_ 5 6 2 2" xfId="25197" xr:uid="{00000000-0005-0000-0000-00005F620000}"/>
    <cellStyle name="0_PLANNING  DOC 6111 REV 1_BP_Q1_6120_ 5 6 2 2 2" xfId="25198" xr:uid="{00000000-0005-0000-0000-000060620000}"/>
    <cellStyle name="0_PLANNING  DOC 6111 REV 1_BP_Q1_6120_ 5 6 2 2 2 2" xfId="25199" xr:uid="{00000000-0005-0000-0000-000061620000}"/>
    <cellStyle name="0_PLANNING  DOC 6111 REV 1_BP_Q1_6120_ 5 6 2 2 3" xfId="25200" xr:uid="{00000000-0005-0000-0000-000062620000}"/>
    <cellStyle name="0_PLANNING  DOC 6111 REV 1_BP_Q1_6120_ 5 6 2 2 3 2" xfId="25201" xr:uid="{00000000-0005-0000-0000-000063620000}"/>
    <cellStyle name="0_PLANNING  DOC 6111 REV 1_BP_Q1_6120_ 5 6 2 2 4" xfId="25202" xr:uid="{00000000-0005-0000-0000-000064620000}"/>
    <cellStyle name="0_PLANNING  DOC 6111 REV 1_BP_Q1_6120_ 5 6 2 3" xfId="25203" xr:uid="{00000000-0005-0000-0000-000065620000}"/>
    <cellStyle name="0_PLANNING  DOC 6111 REV 1_BP_Q1_6120_ 5 6 2 3 2" xfId="25204" xr:uid="{00000000-0005-0000-0000-000066620000}"/>
    <cellStyle name="0_PLANNING  DOC 6111 REV 1_BP_Q1_6120_ 5 6 2 3 2 2" xfId="25205" xr:uid="{00000000-0005-0000-0000-000067620000}"/>
    <cellStyle name="0_PLANNING  DOC 6111 REV 1_BP_Q1_6120_ 5 6 2 3 3" xfId="25206" xr:uid="{00000000-0005-0000-0000-000068620000}"/>
    <cellStyle name="0_PLANNING  DOC 6111 REV 1_BP_Q1_6120_ 5 6 2 3 3 2" xfId="25207" xr:uid="{00000000-0005-0000-0000-000069620000}"/>
    <cellStyle name="0_PLANNING  DOC 6111 REV 1_BP_Q1_6120_ 5 6 2 3 4" xfId="25208" xr:uid="{00000000-0005-0000-0000-00006A620000}"/>
    <cellStyle name="0_PLANNING  DOC 6111 REV 1_BP_Q1_6120_ 5 6 2 4" xfId="25209" xr:uid="{00000000-0005-0000-0000-00006B620000}"/>
    <cellStyle name="0_PLANNING  DOC 6111 REV 1_BP_Q1_6120_ 5 6 2 4 2" xfId="25210" xr:uid="{00000000-0005-0000-0000-00006C620000}"/>
    <cellStyle name="0_PLANNING  DOC 6111 REV 1_BP_Q1_6120_ 5 6 2 5" xfId="25211" xr:uid="{00000000-0005-0000-0000-00006D620000}"/>
    <cellStyle name="0_PLANNING  DOC 6111 REV 1_BP_Q1_6120_ 5 6 2 5 2" xfId="25212" xr:uid="{00000000-0005-0000-0000-00006E620000}"/>
    <cellStyle name="0_PLANNING  DOC 6111 REV 1_BP_Q1_6120_ 5 6 2 6" xfId="25213" xr:uid="{00000000-0005-0000-0000-00006F620000}"/>
    <cellStyle name="0_PLANNING  DOC 6111 REV 1_BP_Q1_6120_ 5 6 3" xfId="25214" xr:uid="{00000000-0005-0000-0000-000070620000}"/>
    <cellStyle name="0_PLANNING  DOC 6111 REV 1_BP_Q1_6120_ 5 6 3 2" xfId="25215" xr:uid="{00000000-0005-0000-0000-000071620000}"/>
    <cellStyle name="0_PLANNING  DOC 6111 REV 1_BP_Q1_6120_ 5 6 3 2 2" xfId="25216" xr:uid="{00000000-0005-0000-0000-000072620000}"/>
    <cellStyle name="0_PLANNING  DOC 6111 REV 1_BP_Q1_6120_ 5 6 3 3" xfId="25217" xr:uid="{00000000-0005-0000-0000-000073620000}"/>
    <cellStyle name="0_PLANNING  DOC 6111 REV 1_BP_Q1_6120_ 5 6 3 3 2" xfId="25218" xr:uid="{00000000-0005-0000-0000-000074620000}"/>
    <cellStyle name="0_PLANNING  DOC 6111 REV 1_BP_Q1_6120_ 5 6 3 4" xfId="25219" xr:uid="{00000000-0005-0000-0000-000075620000}"/>
    <cellStyle name="0_PLANNING  DOC 6111 REV 1_BP_Q1_6120_ 5 6 4" xfId="25220" xr:uid="{00000000-0005-0000-0000-000076620000}"/>
    <cellStyle name="0_PLANNING  DOC 6111 REV 1_BP_Q1_6120_ 5 6 4 2" xfId="25221" xr:uid="{00000000-0005-0000-0000-000077620000}"/>
    <cellStyle name="0_PLANNING  DOC 6111 REV 1_BP_Q1_6120_ 5 6 4 2 2" xfId="25222" xr:uid="{00000000-0005-0000-0000-000078620000}"/>
    <cellStyle name="0_PLANNING  DOC 6111 REV 1_BP_Q1_6120_ 5 6 4 3" xfId="25223" xr:uid="{00000000-0005-0000-0000-000079620000}"/>
    <cellStyle name="0_PLANNING  DOC 6111 REV 1_BP_Q1_6120_ 5 6 4 3 2" xfId="25224" xr:uid="{00000000-0005-0000-0000-00007A620000}"/>
    <cellStyle name="0_PLANNING  DOC 6111 REV 1_BP_Q1_6120_ 5 6 4 4" xfId="25225" xr:uid="{00000000-0005-0000-0000-00007B620000}"/>
    <cellStyle name="0_PLANNING  DOC 6111 REV 1_BP_Q1_6120_ 5 6 5" xfId="25226" xr:uid="{00000000-0005-0000-0000-00007C620000}"/>
    <cellStyle name="0_PLANNING  DOC 6111 REV 1_BP_Q1_6120_ 5 6 5 2" xfId="25227" xr:uid="{00000000-0005-0000-0000-00007D620000}"/>
    <cellStyle name="0_PLANNING  DOC 6111 REV 1_BP_Q1_6120_ 5 6 5 2 2" xfId="25228" xr:uid="{00000000-0005-0000-0000-00007E620000}"/>
    <cellStyle name="0_PLANNING  DOC 6111 REV 1_BP_Q1_6120_ 5 6 5 3" xfId="25229" xr:uid="{00000000-0005-0000-0000-00007F620000}"/>
    <cellStyle name="0_PLANNING  DOC 6111 REV 1_BP_Q1_6120_ 5 6 5 3 2" xfId="25230" xr:uid="{00000000-0005-0000-0000-000080620000}"/>
    <cellStyle name="0_PLANNING  DOC 6111 REV 1_BP_Q1_6120_ 5 6 5 4" xfId="25231" xr:uid="{00000000-0005-0000-0000-000081620000}"/>
    <cellStyle name="0_PLANNING  DOC 6111 REV 1_BP_Q1_6120_ 5 6 6" xfId="25232" xr:uid="{00000000-0005-0000-0000-000082620000}"/>
    <cellStyle name="0_PLANNING  DOC 6111 REV 1_BP_Q1_6120_ 5 6 6 2" xfId="25233" xr:uid="{00000000-0005-0000-0000-000083620000}"/>
    <cellStyle name="0_PLANNING  DOC 6111 REV 1_BP_Q1_6120_ 5 6 7" xfId="25234" xr:uid="{00000000-0005-0000-0000-000084620000}"/>
    <cellStyle name="0_PLANNING  DOC 6111 REV 1_BP_Q1_6120_ 5 6 7 2" xfId="25235" xr:uid="{00000000-0005-0000-0000-000085620000}"/>
    <cellStyle name="0_PLANNING  DOC 6111 REV 1_BP_Q1_6120_ 5 6 8" xfId="25236" xr:uid="{00000000-0005-0000-0000-000086620000}"/>
    <cellStyle name="0_PLANNING  DOC 6111 REV 1_BP_Q1_6120_ 5 7" xfId="25237" xr:uid="{00000000-0005-0000-0000-000087620000}"/>
    <cellStyle name="0_PLANNING  DOC 6111 REV 1_BP_Q1_6120_ 5 7 2" xfId="25238" xr:uid="{00000000-0005-0000-0000-000088620000}"/>
    <cellStyle name="0_PLANNING  DOC 6111 REV 1_BP_Q1_6120_ 5 7 2 2" xfId="25239" xr:uid="{00000000-0005-0000-0000-000089620000}"/>
    <cellStyle name="0_PLANNING  DOC 6111 REV 1_BP_Q1_6120_ 5 7 2 2 2" xfId="25240" xr:uid="{00000000-0005-0000-0000-00008A620000}"/>
    <cellStyle name="0_PLANNING  DOC 6111 REV 1_BP_Q1_6120_ 5 7 2 3" xfId="25241" xr:uid="{00000000-0005-0000-0000-00008B620000}"/>
    <cellStyle name="0_PLANNING  DOC 6111 REV 1_BP_Q1_6120_ 5 7 2 3 2" xfId="25242" xr:uid="{00000000-0005-0000-0000-00008C620000}"/>
    <cellStyle name="0_PLANNING  DOC 6111 REV 1_BP_Q1_6120_ 5 7 2 4" xfId="25243" xr:uid="{00000000-0005-0000-0000-00008D620000}"/>
    <cellStyle name="0_PLANNING  DOC 6111 REV 1_BP_Q1_6120_ 5 7 3" xfId="25244" xr:uid="{00000000-0005-0000-0000-00008E620000}"/>
    <cellStyle name="0_PLANNING  DOC 6111 REV 1_BP_Q1_6120_ 5 7 3 2" xfId="25245" xr:uid="{00000000-0005-0000-0000-00008F620000}"/>
    <cellStyle name="0_PLANNING  DOC 6111 REV 1_BP_Q1_6120_ 5 7 3 2 2" xfId="25246" xr:uid="{00000000-0005-0000-0000-000090620000}"/>
    <cellStyle name="0_PLANNING  DOC 6111 REV 1_BP_Q1_6120_ 5 7 3 3" xfId="25247" xr:uid="{00000000-0005-0000-0000-000091620000}"/>
    <cellStyle name="0_PLANNING  DOC 6111 REV 1_BP_Q1_6120_ 5 7 3 3 2" xfId="25248" xr:uid="{00000000-0005-0000-0000-000092620000}"/>
    <cellStyle name="0_PLANNING  DOC 6111 REV 1_BP_Q1_6120_ 5 7 3 4" xfId="25249" xr:uid="{00000000-0005-0000-0000-000093620000}"/>
    <cellStyle name="0_PLANNING  DOC 6111 REV 1_BP_Q1_6120_ 5 7 4" xfId="25250" xr:uid="{00000000-0005-0000-0000-000094620000}"/>
    <cellStyle name="0_PLANNING  DOC 6111 REV 1_BP_Q1_6120_ 5 7 4 2" xfId="25251" xr:uid="{00000000-0005-0000-0000-000095620000}"/>
    <cellStyle name="0_PLANNING  DOC 6111 REV 1_BP_Q1_6120_ 5 7 5" xfId="25252" xr:uid="{00000000-0005-0000-0000-000096620000}"/>
    <cellStyle name="0_PLANNING  DOC 6111 REV 1_BP_Q1_6120_ 5 7 5 2" xfId="25253" xr:uid="{00000000-0005-0000-0000-000097620000}"/>
    <cellStyle name="0_PLANNING  DOC 6111 REV 1_BP_Q1_6120_ 5 7 6" xfId="25254" xr:uid="{00000000-0005-0000-0000-000098620000}"/>
    <cellStyle name="0_PLANNING  DOC 6111 REV 1_BP_Q1_6120_ 5 8" xfId="25255" xr:uid="{00000000-0005-0000-0000-000099620000}"/>
    <cellStyle name="0_PLANNING  DOC 6111 REV 1_BP_Q1_6120_ 5 8 2" xfId="25256" xr:uid="{00000000-0005-0000-0000-00009A620000}"/>
    <cellStyle name="0_PLANNING  DOC 6111 REV 1_BP_Q1_6120_ 5 8 2 2" xfId="25257" xr:uid="{00000000-0005-0000-0000-00009B620000}"/>
    <cellStyle name="0_PLANNING  DOC 6111 REV 1_BP_Q1_6120_ 5 8 3" xfId="25258" xr:uid="{00000000-0005-0000-0000-00009C620000}"/>
    <cellStyle name="0_PLANNING  DOC 6111 REV 1_BP_Q1_6120_ 5 8 3 2" xfId="25259" xr:uid="{00000000-0005-0000-0000-00009D620000}"/>
    <cellStyle name="0_PLANNING  DOC 6111 REV 1_BP_Q1_6120_ 5 8 4" xfId="25260" xr:uid="{00000000-0005-0000-0000-00009E620000}"/>
    <cellStyle name="0_PLANNING  DOC 6111 REV 1_BP_Q1_6120_ 5 9" xfId="25261" xr:uid="{00000000-0005-0000-0000-00009F620000}"/>
    <cellStyle name="0_PLANNING  DOC 6111 REV 1_BP_Q1_6120_ 5 9 2" xfId="25262" xr:uid="{00000000-0005-0000-0000-0000A0620000}"/>
    <cellStyle name="0_PLANNING  DOC 6111 REV 1_BP_Q1_6120_ 5 9 2 2" xfId="25263" xr:uid="{00000000-0005-0000-0000-0000A1620000}"/>
    <cellStyle name="0_PLANNING  DOC 6111 REV 1_BP_Q1_6120_ 5 9 3" xfId="25264" xr:uid="{00000000-0005-0000-0000-0000A2620000}"/>
    <cellStyle name="0_PLANNING  DOC 6111 REV 1_BP_Q1_6120_ 5 9 3 2" xfId="25265" xr:uid="{00000000-0005-0000-0000-0000A3620000}"/>
    <cellStyle name="0_PLANNING  DOC 6111 REV 1_BP_Q1_6120_ 5 9 4" xfId="25266" xr:uid="{00000000-0005-0000-0000-0000A4620000}"/>
    <cellStyle name="0_PLANNING  DOC 6111 REV 1_BP_Q1_6120_ 6" xfId="25267" xr:uid="{00000000-0005-0000-0000-0000A5620000}"/>
    <cellStyle name="0_PLANNING  DOC 6111 REV 1_BP_Q1_6120_ 6 2" xfId="25268" xr:uid="{00000000-0005-0000-0000-0000A6620000}"/>
    <cellStyle name="0_PLANNING  DOC 6111 REV 1_BP_Q1_6120_ 6 2 2" xfId="25269" xr:uid="{00000000-0005-0000-0000-0000A7620000}"/>
    <cellStyle name="0_PLANNING  DOC 6111 REV 1_BP_Q1_6120_ 6 2 2 2" xfId="25270" xr:uid="{00000000-0005-0000-0000-0000A8620000}"/>
    <cellStyle name="0_PLANNING  DOC 6111 REV 1_BP_Q1_6120_ 6 2 2 2 2" xfId="25271" xr:uid="{00000000-0005-0000-0000-0000A9620000}"/>
    <cellStyle name="0_PLANNING  DOC 6111 REV 1_BP_Q1_6120_ 6 2 2 3" xfId="25272" xr:uid="{00000000-0005-0000-0000-0000AA620000}"/>
    <cellStyle name="0_PLANNING  DOC 6111 REV 1_BP_Q1_6120_ 6 2 2 3 2" xfId="25273" xr:uid="{00000000-0005-0000-0000-0000AB620000}"/>
    <cellStyle name="0_PLANNING  DOC 6111 REV 1_BP_Q1_6120_ 6 2 2 4" xfId="25274" xr:uid="{00000000-0005-0000-0000-0000AC620000}"/>
    <cellStyle name="0_PLANNING  DOC 6111 REV 1_BP_Q1_6120_ 6 2 3" xfId="25275" xr:uid="{00000000-0005-0000-0000-0000AD620000}"/>
    <cellStyle name="0_PLANNING  DOC 6111 REV 1_BP_Q1_6120_ 6 2 3 2" xfId="25276" xr:uid="{00000000-0005-0000-0000-0000AE620000}"/>
    <cellStyle name="0_PLANNING  DOC 6111 REV 1_BP_Q1_6120_ 6 2 3 2 2" xfId="25277" xr:uid="{00000000-0005-0000-0000-0000AF620000}"/>
    <cellStyle name="0_PLANNING  DOC 6111 REV 1_BP_Q1_6120_ 6 2 3 3" xfId="25278" xr:uid="{00000000-0005-0000-0000-0000B0620000}"/>
    <cellStyle name="0_PLANNING  DOC 6111 REV 1_BP_Q1_6120_ 6 2 3 3 2" xfId="25279" xr:uid="{00000000-0005-0000-0000-0000B1620000}"/>
    <cellStyle name="0_PLANNING  DOC 6111 REV 1_BP_Q1_6120_ 6 2 3 4" xfId="25280" xr:uid="{00000000-0005-0000-0000-0000B2620000}"/>
    <cellStyle name="0_PLANNING  DOC 6111 REV 1_BP_Q1_6120_ 6 2 4" xfId="25281" xr:uid="{00000000-0005-0000-0000-0000B3620000}"/>
    <cellStyle name="0_PLANNING  DOC 6111 REV 1_BP_Q1_6120_ 6 2 4 2" xfId="25282" xr:uid="{00000000-0005-0000-0000-0000B4620000}"/>
    <cellStyle name="0_PLANNING  DOC 6111 REV 1_BP_Q1_6120_ 6 2 5" xfId="25283" xr:uid="{00000000-0005-0000-0000-0000B5620000}"/>
    <cellStyle name="0_PLANNING  DOC 6111 REV 1_BP_Q1_6120_ 6 2 5 2" xfId="25284" xr:uid="{00000000-0005-0000-0000-0000B6620000}"/>
    <cellStyle name="0_PLANNING  DOC 6111 REV 1_BP_Q1_6120_ 6 2 6" xfId="25285" xr:uid="{00000000-0005-0000-0000-0000B7620000}"/>
    <cellStyle name="0_PLANNING  DOC 6111 REV 1_BP_Q1_6120_ 6 3" xfId="25286" xr:uid="{00000000-0005-0000-0000-0000B8620000}"/>
    <cellStyle name="0_PLANNING  DOC 6111 REV 1_BP_Q1_6120_ 6 3 2" xfId="25287" xr:uid="{00000000-0005-0000-0000-0000B9620000}"/>
    <cellStyle name="0_PLANNING  DOC 6111 REV 1_BP_Q1_6120_ 6 3 2 2" xfId="25288" xr:uid="{00000000-0005-0000-0000-0000BA620000}"/>
    <cellStyle name="0_PLANNING  DOC 6111 REV 1_BP_Q1_6120_ 6 3 3" xfId="25289" xr:uid="{00000000-0005-0000-0000-0000BB620000}"/>
    <cellStyle name="0_PLANNING  DOC 6111 REV 1_BP_Q1_6120_ 6 3 3 2" xfId="25290" xr:uid="{00000000-0005-0000-0000-0000BC620000}"/>
    <cellStyle name="0_PLANNING  DOC 6111 REV 1_BP_Q1_6120_ 6 3 4" xfId="25291" xr:uid="{00000000-0005-0000-0000-0000BD620000}"/>
    <cellStyle name="0_PLANNING  DOC 6111 REV 1_BP_Q1_6120_ 6 4" xfId="25292" xr:uid="{00000000-0005-0000-0000-0000BE620000}"/>
    <cellStyle name="0_PLANNING  DOC 6111 REV 1_BP_Q1_6120_ 6 4 2" xfId="25293" xr:uid="{00000000-0005-0000-0000-0000BF620000}"/>
    <cellStyle name="0_PLANNING  DOC 6111 REV 1_BP_Q1_6120_ 6 4 2 2" xfId="25294" xr:uid="{00000000-0005-0000-0000-0000C0620000}"/>
    <cellStyle name="0_PLANNING  DOC 6111 REV 1_BP_Q1_6120_ 6 4 3" xfId="25295" xr:uid="{00000000-0005-0000-0000-0000C1620000}"/>
    <cellStyle name="0_PLANNING  DOC 6111 REV 1_BP_Q1_6120_ 6 4 3 2" xfId="25296" xr:uid="{00000000-0005-0000-0000-0000C2620000}"/>
    <cellStyle name="0_PLANNING  DOC 6111 REV 1_BP_Q1_6120_ 6 4 4" xfId="25297" xr:uid="{00000000-0005-0000-0000-0000C3620000}"/>
    <cellStyle name="0_PLANNING  DOC 6111 REV 1_BP_Q1_6120_ 6 5" xfId="25298" xr:uid="{00000000-0005-0000-0000-0000C4620000}"/>
    <cellStyle name="0_PLANNING  DOC 6111 REV 1_BP_Q1_6120_ 6 5 2" xfId="25299" xr:uid="{00000000-0005-0000-0000-0000C5620000}"/>
    <cellStyle name="0_PLANNING  DOC 6111 REV 1_BP_Q1_6120_ 6 5 2 2" xfId="25300" xr:uid="{00000000-0005-0000-0000-0000C6620000}"/>
    <cellStyle name="0_PLANNING  DOC 6111 REV 1_BP_Q1_6120_ 6 5 3" xfId="25301" xr:uid="{00000000-0005-0000-0000-0000C7620000}"/>
    <cellStyle name="0_PLANNING  DOC 6111 REV 1_BP_Q1_6120_ 6 5 3 2" xfId="25302" xr:uid="{00000000-0005-0000-0000-0000C8620000}"/>
    <cellStyle name="0_PLANNING  DOC 6111 REV 1_BP_Q1_6120_ 6 5 4" xfId="25303" xr:uid="{00000000-0005-0000-0000-0000C9620000}"/>
    <cellStyle name="0_PLANNING  DOC 6111 REV 1_BP_Q1_6120_ 6 6" xfId="25304" xr:uid="{00000000-0005-0000-0000-0000CA620000}"/>
    <cellStyle name="0_PLANNING  DOC 6111 REV 1_BP_Q1_6120_ 6 6 2" xfId="25305" xr:uid="{00000000-0005-0000-0000-0000CB620000}"/>
    <cellStyle name="0_PLANNING  DOC 6111 REV 1_BP_Q1_6120_ 6 7" xfId="25306" xr:uid="{00000000-0005-0000-0000-0000CC620000}"/>
    <cellStyle name="0_PLANNING  DOC 6111 REV 1_BP_Q1_6120_ 6 7 2" xfId="25307" xr:uid="{00000000-0005-0000-0000-0000CD620000}"/>
    <cellStyle name="0_PLANNING  DOC 6111 REV 1_BP_Q1_6120_ 6 8" xfId="25308" xr:uid="{00000000-0005-0000-0000-0000CE620000}"/>
    <cellStyle name="0_PLANNING  DOC 6111 REV 1_BP_Q1_6120_ 7" xfId="25309" xr:uid="{00000000-0005-0000-0000-0000CF620000}"/>
    <cellStyle name="0_PLANNING  DOC 6111 REV 1_BP_Q1_6120_ 7 2" xfId="25310" xr:uid="{00000000-0005-0000-0000-0000D0620000}"/>
    <cellStyle name="0_PLANNING  DOC 6111 REV 1_BP_Q1_6120_ 7 2 2" xfId="25311" xr:uid="{00000000-0005-0000-0000-0000D1620000}"/>
    <cellStyle name="0_PLANNING  DOC 6111 REV 1_BP_Q1_6120_ 7 2 2 2" xfId="25312" xr:uid="{00000000-0005-0000-0000-0000D2620000}"/>
    <cellStyle name="0_PLANNING  DOC 6111 REV 1_BP_Q1_6120_ 7 2 3" xfId="25313" xr:uid="{00000000-0005-0000-0000-0000D3620000}"/>
    <cellStyle name="0_PLANNING  DOC 6111 REV 1_BP_Q1_6120_ 7 2 3 2" xfId="25314" xr:uid="{00000000-0005-0000-0000-0000D4620000}"/>
    <cellStyle name="0_PLANNING  DOC 6111 REV 1_BP_Q1_6120_ 7 2 4" xfId="25315" xr:uid="{00000000-0005-0000-0000-0000D5620000}"/>
    <cellStyle name="0_PLANNING  DOC 6111 REV 1_BP_Q1_6120_ 7 3" xfId="25316" xr:uid="{00000000-0005-0000-0000-0000D6620000}"/>
    <cellStyle name="0_PLANNING  DOC 6111 REV 1_BP_Q1_6120_ 7 3 2" xfId="25317" xr:uid="{00000000-0005-0000-0000-0000D7620000}"/>
    <cellStyle name="0_PLANNING  DOC 6111 REV 1_BP_Q1_6120_ 7 3 2 2" xfId="25318" xr:uid="{00000000-0005-0000-0000-0000D8620000}"/>
    <cellStyle name="0_PLANNING  DOC 6111 REV 1_BP_Q1_6120_ 7 3 3" xfId="25319" xr:uid="{00000000-0005-0000-0000-0000D9620000}"/>
    <cellStyle name="0_PLANNING  DOC 6111 REV 1_BP_Q1_6120_ 7 3 3 2" xfId="25320" xr:uid="{00000000-0005-0000-0000-0000DA620000}"/>
    <cellStyle name="0_PLANNING  DOC 6111 REV 1_BP_Q1_6120_ 7 3 4" xfId="25321" xr:uid="{00000000-0005-0000-0000-0000DB620000}"/>
    <cellStyle name="0_PLANNING  DOC 6111 REV 1_BP_Q1_6120_ 7 4" xfId="25322" xr:uid="{00000000-0005-0000-0000-0000DC620000}"/>
    <cellStyle name="0_PLANNING  DOC 6111 REV 1_BP_Q1_6120_ 7 4 2" xfId="25323" xr:uid="{00000000-0005-0000-0000-0000DD620000}"/>
    <cellStyle name="0_PLANNING  DOC 6111 REV 1_BP_Q1_6120_ 7 5" xfId="25324" xr:uid="{00000000-0005-0000-0000-0000DE620000}"/>
    <cellStyle name="0_PLANNING  DOC 6111 REV 1_BP_Q1_6120_ 7 5 2" xfId="25325" xr:uid="{00000000-0005-0000-0000-0000DF620000}"/>
    <cellStyle name="0_PLANNING  DOC 6111 REV 1_BP_Q1_6120_ 7 6" xfId="25326" xr:uid="{00000000-0005-0000-0000-0000E0620000}"/>
    <cellStyle name="0_PLANNING  DOC 6111 REV 1_BP_Q1_6120_ 8" xfId="25327" xr:uid="{00000000-0005-0000-0000-0000E1620000}"/>
    <cellStyle name="0_PLANNING  DOC 6111 REV 1_BP_Q1_6120_ 8 2" xfId="25328" xr:uid="{00000000-0005-0000-0000-0000E2620000}"/>
    <cellStyle name="0_PLANNING  DOC 6111 REV 1_BP_Q1_6120_ 8 2 2" xfId="25329" xr:uid="{00000000-0005-0000-0000-0000E3620000}"/>
    <cellStyle name="0_PLANNING  DOC 6111 REV 1_BP_Q1_6120_ 8 2 2 2" xfId="25330" xr:uid="{00000000-0005-0000-0000-0000E4620000}"/>
    <cellStyle name="0_PLANNING  DOC 6111 REV 1_BP_Q1_6120_ 8 2 3" xfId="25331" xr:uid="{00000000-0005-0000-0000-0000E5620000}"/>
    <cellStyle name="0_PLANNING  DOC 6111 REV 1_BP_Q1_6120_ 8 2 3 2" xfId="25332" xr:uid="{00000000-0005-0000-0000-0000E6620000}"/>
    <cellStyle name="0_PLANNING  DOC 6111 REV 1_BP_Q1_6120_ 8 2 4" xfId="25333" xr:uid="{00000000-0005-0000-0000-0000E7620000}"/>
    <cellStyle name="0_PLANNING  DOC 6111 REV 1_BP_Q1_6120_ 8 3" xfId="25334" xr:uid="{00000000-0005-0000-0000-0000E8620000}"/>
    <cellStyle name="0_PLANNING  DOC 6111 REV 1_BP_Q1_6120_ 8 3 2" xfId="25335" xr:uid="{00000000-0005-0000-0000-0000E9620000}"/>
    <cellStyle name="0_PLANNING  DOC 6111 REV 1_BP_Q1_6120_ 8 3 2 2" xfId="25336" xr:uid="{00000000-0005-0000-0000-0000EA620000}"/>
    <cellStyle name="0_PLANNING  DOC 6111 REV 1_BP_Q1_6120_ 8 3 3" xfId="25337" xr:uid="{00000000-0005-0000-0000-0000EB620000}"/>
    <cellStyle name="0_PLANNING  DOC 6111 REV 1_BP_Q1_6120_ 8 3 3 2" xfId="25338" xr:uid="{00000000-0005-0000-0000-0000EC620000}"/>
    <cellStyle name="0_PLANNING  DOC 6111 REV 1_BP_Q1_6120_ 8 3 4" xfId="25339" xr:uid="{00000000-0005-0000-0000-0000ED620000}"/>
    <cellStyle name="0_PLANNING  DOC 6111 REV 1_BP_Q1_6120_ 8 4" xfId="25340" xr:uid="{00000000-0005-0000-0000-0000EE620000}"/>
    <cellStyle name="0_PLANNING  DOC 6111 REV 1_BP_Q1_6120_ 8 4 2" xfId="25341" xr:uid="{00000000-0005-0000-0000-0000EF620000}"/>
    <cellStyle name="0_PLANNING  DOC 6111 REV 1_BP_Q1_6120_ 8 5" xfId="25342" xr:uid="{00000000-0005-0000-0000-0000F0620000}"/>
    <cellStyle name="0_PLANNING  DOC 6111 REV 1_BP_Q1_6120_ 8 5 2" xfId="25343" xr:uid="{00000000-0005-0000-0000-0000F1620000}"/>
    <cellStyle name="0_PLANNING  DOC 6111 REV 1_BP_Q1_6120_ 8 6" xfId="25344" xr:uid="{00000000-0005-0000-0000-0000F2620000}"/>
    <cellStyle name="0_PLANNING  DOC 6111 REV 1_BP_Q1_6120_ 9" xfId="25345" xr:uid="{00000000-0005-0000-0000-0000F3620000}"/>
    <cellStyle name="0_PLANNING  DOC 6111 REV 1_BP_Q1_6120_ 9 2" xfId="25346" xr:uid="{00000000-0005-0000-0000-0000F4620000}"/>
    <cellStyle name="0_PLANNING  DOC 6111 REV 1_BP_Q1_6120_ 9 2 2" xfId="25347" xr:uid="{00000000-0005-0000-0000-0000F5620000}"/>
    <cellStyle name="0_PLANNING  DOC 6111 REV 1_BP_Q1_6120_ 9 3" xfId="25348" xr:uid="{00000000-0005-0000-0000-0000F6620000}"/>
    <cellStyle name="0_PLANNING  DOC 6111 REV 1_BP_Q1_6120_ 9 3 2" xfId="25349" xr:uid="{00000000-0005-0000-0000-0000F7620000}"/>
    <cellStyle name="0_PLANNING  DOC 6111 REV 1_BP_Q1_6120_ 9 4" xfId="25350" xr:uid="{00000000-0005-0000-0000-0000F8620000}"/>
    <cellStyle name="0_RESOURCE REQUIREMENT" xfId="25351" xr:uid="{00000000-0005-0000-0000-0000F9620000}"/>
    <cellStyle name="0_RESOURCE REQUIREMENT 10" xfId="25352" xr:uid="{00000000-0005-0000-0000-0000FA620000}"/>
    <cellStyle name="0_RESOURCE REQUIREMENT 11" xfId="25353" xr:uid="{00000000-0005-0000-0000-0000FB620000}"/>
    <cellStyle name="0_RESOURCE REQUIREMENT 12" xfId="25354" xr:uid="{00000000-0005-0000-0000-0000FC620000}"/>
    <cellStyle name="0_RESOURCE REQUIREMENT 2" xfId="25355" xr:uid="{00000000-0005-0000-0000-0000FD620000}"/>
    <cellStyle name="0_RESOURCE REQUIREMENT 2 2" xfId="25356" xr:uid="{00000000-0005-0000-0000-0000FE620000}"/>
    <cellStyle name="0_RESOURCE REQUIREMENT 2 2 2" xfId="25357" xr:uid="{00000000-0005-0000-0000-0000FF620000}"/>
    <cellStyle name="0_RESOURCE REQUIREMENT 2 2 2 2" xfId="25358" xr:uid="{00000000-0005-0000-0000-000000630000}"/>
    <cellStyle name="0_RESOURCE REQUIREMENT 2 2 3" xfId="25359" xr:uid="{00000000-0005-0000-0000-000001630000}"/>
    <cellStyle name="0_RESOURCE REQUIREMENT 2 2 3 2" xfId="25360" xr:uid="{00000000-0005-0000-0000-000002630000}"/>
    <cellStyle name="0_RESOURCE REQUIREMENT 2 2 4" xfId="25361" xr:uid="{00000000-0005-0000-0000-000003630000}"/>
    <cellStyle name="0_RESOURCE REQUIREMENT 2 3" xfId="25362" xr:uid="{00000000-0005-0000-0000-000004630000}"/>
    <cellStyle name="0_RESOURCE REQUIREMENT 2 3 2" xfId="25363" xr:uid="{00000000-0005-0000-0000-000005630000}"/>
    <cellStyle name="0_RESOURCE REQUIREMENT 2 3 2 2" xfId="25364" xr:uid="{00000000-0005-0000-0000-000006630000}"/>
    <cellStyle name="0_RESOURCE REQUIREMENT 2 3 3" xfId="25365" xr:uid="{00000000-0005-0000-0000-000007630000}"/>
    <cellStyle name="0_RESOURCE REQUIREMENT 2 3 3 2" xfId="25366" xr:uid="{00000000-0005-0000-0000-000008630000}"/>
    <cellStyle name="0_RESOURCE REQUIREMENT 2 3 4" xfId="25367" xr:uid="{00000000-0005-0000-0000-000009630000}"/>
    <cellStyle name="0_RESOURCE REQUIREMENT 2 4" xfId="25368" xr:uid="{00000000-0005-0000-0000-00000A630000}"/>
    <cellStyle name="0_RESOURCE REQUIREMENT 2 4 2" xfId="25369" xr:uid="{00000000-0005-0000-0000-00000B630000}"/>
    <cellStyle name="0_RESOURCE REQUIREMENT 2 5" xfId="25370" xr:uid="{00000000-0005-0000-0000-00000C630000}"/>
    <cellStyle name="0_RESOURCE REQUIREMENT 2 5 2" xfId="25371" xr:uid="{00000000-0005-0000-0000-00000D630000}"/>
    <cellStyle name="0_RESOURCE REQUIREMENT 2 6" xfId="25372" xr:uid="{00000000-0005-0000-0000-00000E630000}"/>
    <cellStyle name="0_RESOURCE REQUIREMENT 3" xfId="25373" xr:uid="{00000000-0005-0000-0000-00000F630000}"/>
    <cellStyle name="0_RESOURCE REQUIREMENT 3 2" xfId="25374" xr:uid="{00000000-0005-0000-0000-000010630000}"/>
    <cellStyle name="0_RESOURCE REQUIREMENT 3 2 2" xfId="25375" xr:uid="{00000000-0005-0000-0000-000011630000}"/>
    <cellStyle name="0_RESOURCE REQUIREMENT 3 3" xfId="25376" xr:uid="{00000000-0005-0000-0000-000012630000}"/>
    <cellStyle name="0_RESOURCE REQUIREMENT 3 3 2" xfId="25377" xr:uid="{00000000-0005-0000-0000-000013630000}"/>
    <cellStyle name="0_RESOURCE REQUIREMENT 3 4" xfId="25378" xr:uid="{00000000-0005-0000-0000-000014630000}"/>
    <cellStyle name="0_RESOURCE REQUIREMENT 3 5" xfId="25379" xr:uid="{00000000-0005-0000-0000-000015630000}"/>
    <cellStyle name="0_RESOURCE REQUIREMENT 4" xfId="25380" xr:uid="{00000000-0005-0000-0000-000016630000}"/>
    <cellStyle name="0_RESOURCE REQUIREMENT 4 2" xfId="25381" xr:uid="{00000000-0005-0000-0000-000017630000}"/>
    <cellStyle name="0_RESOURCE REQUIREMENT 4 2 2" xfId="25382" xr:uid="{00000000-0005-0000-0000-000018630000}"/>
    <cellStyle name="0_RESOURCE REQUIREMENT 4 3" xfId="25383" xr:uid="{00000000-0005-0000-0000-000019630000}"/>
    <cellStyle name="0_RESOURCE REQUIREMENT 4 3 2" xfId="25384" xr:uid="{00000000-0005-0000-0000-00001A630000}"/>
    <cellStyle name="0_RESOURCE REQUIREMENT 4 4" xfId="25385" xr:uid="{00000000-0005-0000-0000-00001B630000}"/>
    <cellStyle name="0_RESOURCE REQUIREMENT 4 5" xfId="25386" xr:uid="{00000000-0005-0000-0000-00001C630000}"/>
    <cellStyle name="0_RESOURCE REQUIREMENT 5" xfId="25387" xr:uid="{00000000-0005-0000-0000-00001D630000}"/>
    <cellStyle name="0_RESOURCE REQUIREMENT 5 2" xfId="25388" xr:uid="{00000000-0005-0000-0000-00001E630000}"/>
    <cellStyle name="0_RESOURCE REQUIREMENT 5 3" xfId="25389" xr:uid="{00000000-0005-0000-0000-00001F630000}"/>
    <cellStyle name="0_RESOURCE REQUIREMENT 5 4" xfId="25390" xr:uid="{00000000-0005-0000-0000-000020630000}"/>
    <cellStyle name="0_RESOURCE REQUIREMENT 5 5" xfId="25391" xr:uid="{00000000-0005-0000-0000-000021630000}"/>
    <cellStyle name="0_RESOURCE REQUIREMENT 6" xfId="25392" xr:uid="{00000000-0005-0000-0000-000022630000}"/>
    <cellStyle name="0_RESOURCE REQUIREMENT 6 2" xfId="25393" xr:uid="{00000000-0005-0000-0000-000023630000}"/>
    <cellStyle name="0_RESOURCE REQUIREMENT 6 3" xfId="25394" xr:uid="{00000000-0005-0000-0000-000024630000}"/>
    <cellStyle name="0_RESOURCE REQUIREMENT 6 4" xfId="25395" xr:uid="{00000000-0005-0000-0000-000025630000}"/>
    <cellStyle name="0_RESOURCE REQUIREMENT 6 5" xfId="25396" xr:uid="{00000000-0005-0000-0000-000026630000}"/>
    <cellStyle name="0_RESOURCE REQUIREMENT 7" xfId="25397" xr:uid="{00000000-0005-0000-0000-000027630000}"/>
    <cellStyle name="0_RESOURCE REQUIREMENT 7 2" xfId="25398" xr:uid="{00000000-0005-0000-0000-000028630000}"/>
    <cellStyle name="0_RESOURCE REQUIREMENT 7 3" xfId="25399" xr:uid="{00000000-0005-0000-0000-000029630000}"/>
    <cellStyle name="0_RESOURCE REQUIREMENT 7 4" xfId="25400" xr:uid="{00000000-0005-0000-0000-00002A630000}"/>
    <cellStyle name="0_RESOURCE REQUIREMENT 7 5" xfId="25401" xr:uid="{00000000-0005-0000-0000-00002B630000}"/>
    <cellStyle name="0_RESOURCE REQUIREMENT 8" xfId="25402" xr:uid="{00000000-0005-0000-0000-00002C630000}"/>
    <cellStyle name="0_RESOURCE REQUIREMENT 8 2" xfId="25403" xr:uid="{00000000-0005-0000-0000-00002D630000}"/>
    <cellStyle name="0_RESOURCE REQUIREMENT 8 3" xfId="25404" xr:uid="{00000000-0005-0000-0000-00002E630000}"/>
    <cellStyle name="0_RESOURCE REQUIREMENT 8 4" xfId="25405" xr:uid="{00000000-0005-0000-0000-00002F630000}"/>
    <cellStyle name="0_RESOURCE REQUIREMENT 8 5" xfId="25406" xr:uid="{00000000-0005-0000-0000-000030630000}"/>
    <cellStyle name="0_RESOURCE REQUIREMENT 9" xfId="25407" xr:uid="{00000000-0005-0000-0000-000031630000}"/>
    <cellStyle name="0_REVIEW_APRIL_6111" xfId="25408" xr:uid="{00000000-0005-0000-0000-000032630000}"/>
    <cellStyle name="0_REVIEW_APRIL_6111 10" xfId="25409" xr:uid="{00000000-0005-0000-0000-000033630000}"/>
    <cellStyle name="0_REVIEW_APRIL_6111 10 2" xfId="25410" xr:uid="{00000000-0005-0000-0000-000034630000}"/>
    <cellStyle name="0_REVIEW_APRIL_6111 10 2 2" xfId="25411" xr:uid="{00000000-0005-0000-0000-000035630000}"/>
    <cellStyle name="0_REVIEW_APRIL_6111 10 3" xfId="25412" xr:uid="{00000000-0005-0000-0000-000036630000}"/>
    <cellStyle name="0_REVIEW_APRIL_6111 10 3 2" xfId="25413" xr:uid="{00000000-0005-0000-0000-000037630000}"/>
    <cellStyle name="0_REVIEW_APRIL_6111 10 4" xfId="25414" xr:uid="{00000000-0005-0000-0000-000038630000}"/>
    <cellStyle name="0_REVIEW_APRIL_6111 11" xfId="25415" xr:uid="{00000000-0005-0000-0000-000039630000}"/>
    <cellStyle name="0_REVIEW_APRIL_6111 11 2" xfId="25416" xr:uid="{00000000-0005-0000-0000-00003A630000}"/>
    <cellStyle name="0_REVIEW_APRIL_6111 11 2 2" xfId="25417" xr:uid="{00000000-0005-0000-0000-00003B630000}"/>
    <cellStyle name="0_REVIEW_APRIL_6111 11 3" xfId="25418" xr:uid="{00000000-0005-0000-0000-00003C630000}"/>
    <cellStyle name="0_REVIEW_APRIL_6111 11 3 2" xfId="25419" xr:uid="{00000000-0005-0000-0000-00003D630000}"/>
    <cellStyle name="0_REVIEW_APRIL_6111 11 4" xfId="25420" xr:uid="{00000000-0005-0000-0000-00003E630000}"/>
    <cellStyle name="0_REVIEW_APRIL_6111 12" xfId="25421" xr:uid="{00000000-0005-0000-0000-00003F630000}"/>
    <cellStyle name="0_REVIEW_APRIL_6111 12 2" xfId="25422" xr:uid="{00000000-0005-0000-0000-000040630000}"/>
    <cellStyle name="0_REVIEW_APRIL_6111 13" xfId="25423" xr:uid="{00000000-0005-0000-0000-000041630000}"/>
    <cellStyle name="0_REVIEW_APRIL_6111 13 2" xfId="25424" xr:uid="{00000000-0005-0000-0000-000042630000}"/>
    <cellStyle name="0_REVIEW_APRIL_6111 14" xfId="25425" xr:uid="{00000000-0005-0000-0000-000043630000}"/>
    <cellStyle name="0_REVIEW_APRIL_6111 14 2" xfId="25426" xr:uid="{00000000-0005-0000-0000-000044630000}"/>
    <cellStyle name="0_REVIEW_APRIL_6111 15" xfId="25427" xr:uid="{00000000-0005-0000-0000-000045630000}"/>
    <cellStyle name="0_REVIEW_APRIL_6111 16" xfId="25428" xr:uid="{00000000-0005-0000-0000-000046630000}"/>
    <cellStyle name="0_REVIEW_APRIL_6111 17" xfId="25429" xr:uid="{00000000-0005-0000-0000-000047630000}"/>
    <cellStyle name="0_REVIEW_APRIL_6111 18" xfId="25430" xr:uid="{00000000-0005-0000-0000-000048630000}"/>
    <cellStyle name="0_REVIEW_APRIL_6111 19" xfId="25431" xr:uid="{00000000-0005-0000-0000-000049630000}"/>
    <cellStyle name="0_REVIEW_APRIL_6111 2" xfId="25432" xr:uid="{00000000-0005-0000-0000-00004A630000}"/>
    <cellStyle name="0_REVIEW_APRIL_6111 2 10" xfId="25433" xr:uid="{00000000-0005-0000-0000-00004B630000}"/>
    <cellStyle name="0_REVIEW_APRIL_6111 2 10 2" xfId="25434" xr:uid="{00000000-0005-0000-0000-00004C630000}"/>
    <cellStyle name="0_REVIEW_APRIL_6111 2 10 2 2" xfId="25435" xr:uid="{00000000-0005-0000-0000-00004D630000}"/>
    <cellStyle name="0_REVIEW_APRIL_6111 2 10 3" xfId="25436" xr:uid="{00000000-0005-0000-0000-00004E630000}"/>
    <cellStyle name="0_REVIEW_APRIL_6111 2 10 3 2" xfId="25437" xr:uid="{00000000-0005-0000-0000-00004F630000}"/>
    <cellStyle name="0_REVIEW_APRIL_6111 2 10 4" xfId="25438" xr:uid="{00000000-0005-0000-0000-000050630000}"/>
    <cellStyle name="0_REVIEW_APRIL_6111 2 11" xfId="25439" xr:uid="{00000000-0005-0000-0000-000051630000}"/>
    <cellStyle name="0_REVIEW_APRIL_6111 2 11 2" xfId="25440" xr:uid="{00000000-0005-0000-0000-000052630000}"/>
    <cellStyle name="0_REVIEW_APRIL_6111 2 12" xfId="25441" xr:uid="{00000000-0005-0000-0000-000053630000}"/>
    <cellStyle name="0_REVIEW_APRIL_6111 2 12 2" xfId="25442" xr:uid="{00000000-0005-0000-0000-000054630000}"/>
    <cellStyle name="0_REVIEW_APRIL_6111 2 13" xfId="25443" xr:uid="{00000000-0005-0000-0000-000055630000}"/>
    <cellStyle name="0_REVIEW_APRIL_6111 2 14" xfId="25444" xr:uid="{00000000-0005-0000-0000-000056630000}"/>
    <cellStyle name="0_REVIEW_APRIL_6111 2 15" xfId="25445" xr:uid="{00000000-0005-0000-0000-000057630000}"/>
    <cellStyle name="0_REVIEW_APRIL_6111 2 16" xfId="25446" xr:uid="{00000000-0005-0000-0000-000058630000}"/>
    <cellStyle name="0_REVIEW_APRIL_6111 2 2" xfId="25447" xr:uid="{00000000-0005-0000-0000-000059630000}"/>
    <cellStyle name="0_REVIEW_APRIL_6111 2 2 2" xfId="25448" xr:uid="{00000000-0005-0000-0000-00005A630000}"/>
    <cellStyle name="0_REVIEW_APRIL_6111 2 2 2 2" xfId="25449" xr:uid="{00000000-0005-0000-0000-00005B630000}"/>
    <cellStyle name="0_REVIEW_APRIL_6111 2 2 2 2 2" xfId="25450" xr:uid="{00000000-0005-0000-0000-00005C630000}"/>
    <cellStyle name="0_REVIEW_APRIL_6111 2 2 2 2 2 2" xfId="25451" xr:uid="{00000000-0005-0000-0000-00005D630000}"/>
    <cellStyle name="0_REVIEW_APRIL_6111 2 2 2 2 3" xfId="25452" xr:uid="{00000000-0005-0000-0000-00005E630000}"/>
    <cellStyle name="0_REVIEW_APRIL_6111 2 2 2 2 3 2" xfId="25453" xr:uid="{00000000-0005-0000-0000-00005F630000}"/>
    <cellStyle name="0_REVIEW_APRIL_6111 2 2 2 2 4" xfId="25454" xr:uid="{00000000-0005-0000-0000-000060630000}"/>
    <cellStyle name="0_REVIEW_APRIL_6111 2 2 2 3" xfId="25455" xr:uid="{00000000-0005-0000-0000-000061630000}"/>
    <cellStyle name="0_REVIEW_APRIL_6111 2 2 2 3 2" xfId="25456" xr:uid="{00000000-0005-0000-0000-000062630000}"/>
    <cellStyle name="0_REVIEW_APRIL_6111 2 2 2 3 2 2" xfId="25457" xr:uid="{00000000-0005-0000-0000-000063630000}"/>
    <cellStyle name="0_REVIEW_APRIL_6111 2 2 2 3 3" xfId="25458" xr:uid="{00000000-0005-0000-0000-000064630000}"/>
    <cellStyle name="0_REVIEW_APRIL_6111 2 2 2 3 3 2" xfId="25459" xr:uid="{00000000-0005-0000-0000-000065630000}"/>
    <cellStyle name="0_REVIEW_APRIL_6111 2 2 2 3 4" xfId="25460" xr:uid="{00000000-0005-0000-0000-000066630000}"/>
    <cellStyle name="0_REVIEW_APRIL_6111 2 2 2 4" xfId="25461" xr:uid="{00000000-0005-0000-0000-000067630000}"/>
    <cellStyle name="0_REVIEW_APRIL_6111 2 2 2 4 2" xfId="25462" xr:uid="{00000000-0005-0000-0000-000068630000}"/>
    <cellStyle name="0_REVIEW_APRIL_6111 2 2 2 5" xfId="25463" xr:uid="{00000000-0005-0000-0000-000069630000}"/>
    <cellStyle name="0_REVIEW_APRIL_6111 2 2 2 5 2" xfId="25464" xr:uid="{00000000-0005-0000-0000-00006A630000}"/>
    <cellStyle name="0_REVIEW_APRIL_6111 2 2 2 6" xfId="25465" xr:uid="{00000000-0005-0000-0000-00006B630000}"/>
    <cellStyle name="0_REVIEW_APRIL_6111 2 2 3" xfId="25466" xr:uid="{00000000-0005-0000-0000-00006C630000}"/>
    <cellStyle name="0_REVIEW_APRIL_6111 2 2 3 2" xfId="25467" xr:uid="{00000000-0005-0000-0000-00006D630000}"/>
    <cellStyle name="0_REVIEW_APRIL_6111 2 2 3 2 2" xfId="25468" xr:uid="{00000000-0005-0000-0000-00006E630000}"/>
    <cellStyle name="0_REVIEW_APRIL_6111 2 2 3 3" xfId="25469" xr:uid="{00000000-0005-0000-0000-00006F630000}"/>
    <cellStyle name="0_REVIEW_APRIL_6111 2 2 3 3 2" xfId="25470" xr:uid="{00000000-0005-0000-0000-000070630000}"/>
    <cellStyle name="0_REVIEW_APRIL_6111 2 2 3 4" xfId="25471" xr:uid="{00000000-0005-0000-0000-000071630000}"/>
    <cellStyle name="0_REVIEW_APRIL_6111 2 2 4" xfId="25472" xr:uid="{00000000-0005-0000-0000-000072630000}"/>
    <cellStyle name="0_REVIEW_APRIL_6111 2 2 4 2" xfId="25473" xr:uid="{00000000-0005-0000-0000-000073630000}"/>
    <cellStyle name="0_REVIEW_APRIL_6111 2 2 4 2 2" xfId="25474" xr:uid="{00000000-0005-0000-0000-000074630000}"/>
    <cellStyle name="0_REVIEW_APRIL_6111 2 2 4 3" xfId="25475" xr:uid="{00000000-0005-0000-0000-000075630000}"/>
    <cellStyle name="0_REVIEW_APRIL_6111 2 2 4 3 2" xfId="25476" xr:uid="{00000000-0005-0000-0000-000076630000}"/>
    <cellStyle name="0_REVIEW_APRIL_6111 2 2 4 4" xfId="25477" xr:uid="{00000000-0005-0000-0000-000077630000}"/>
    <cellStyle name="0_REVIEW_APRIL_6111 2 2 5" xfId="25478" xr:uid="{00000000-0005-0000-0000-000078630000}"/>
    <cellStyle name="0_REVIEW_APRIL_6111 2 2 5 2" xfId="25479" xr:uid="{00000000-0005-0000-0000-000079630000}"/>
    <cellStyle name="0_REVIEW_APRIL_6111 2 2 5 2 2" xfId="25480" xr:uid="{00000000-0005-0000-0000-00007A630000}"/>
    <cellStyle name="0_REVIEW_APRIL_6111 2 2 5 3" xfId="25481" xr:uid="{00000000-0005-0000-0000-00007B630000}"/>
    <cellStyle name="0_REVIEW_APRIL_6111 2 2 5 3 2" xfId="25482" xr:uid="{00000000-0005-0000-0000-00007C630000}"/>
    <cellStyle name="0_REVIEW_APRIL_6111 2 2 5 4" xfId="25483" xr:uid="{00000000-0005-0000-0000-00007D630000}"/>
    <cellStyle name="0_REVIEW_APRIL_6111 2 2 6" xfId="25484" xr:uid="{00000000-0005-0000-0000-00007E630000}"/>
    <cellStyle name="0_REVIEW_APRIL_6111 2 2 6 2" xfId="25485" xr:uid="{00000000-0005-0000-0000-00007F630000}"/>
    <cellStyle name="0_REVIEW_APRIL_6111 2 2 7" xfId="25486" xr:uid="{00000000-0005-0000-0000-000080630000}"/>
    <cellStyle name="0_REVIEW_APRIL_6111 2 2 7 2" xfId="25487" xr:uid="{00000000-0005-0000-0000-000081630000}"/>
    <cellStyle name="0_REVIEW_APRIL_6111 2 2 8" xfId="25488" xr:uid="{00000000-0005-0000-0000-000082630000}"/>
    <cellStyle name="0_REVIEW_APRIL_6111 2 3" xfId="25489" xr:uid="{00000000-0005-0000-0000-000083630000}"/>
    <cellStyle name="0_REVIEW_APRIL_6111 2 3 2" xfId="25490" xr:uid="{00000000-0005-0000-0000-000084630000}"/>
    <cellStyle name="0_REVIEW_APRIL_6111 2 3 2 2" xfId="25491" xr:uid="{00000000-0005-0000-0000-000085630000}"/>
    <cellStyle name="0_REVIEW_APRIL_6111 2 3 2 2 2" xfId="25492" xr:uid="{00000000-0005-0000-0000-000086630000}"/>
    <cellStyle name="0_REVIEW_APRIL_6111 2 3 2 2 2 2" xfId="25493" xr:uid="{00000000-0005-0000-0000-000087630000}"/>
    <cellStyle name="0_REVIEW_APRIL_6111 2 3 2 2 3" xfId="25494" xr:uid="{00000000-0005-0000-0000-000088630000}"/>
    <cellStyle name="0_REVIEW_APRIL_6111 2 3 2 2 3 2" xfId="25495" xr:uid="{00000000-0005-0000-0000-000089630000}"/>
    <cellStyle name="0_REVIEW_APRIL_6111 2 3 2 2 4" xfId="25496" xr:uid="{00000000-0005-0000-0000-00008A630000}"/>
    <cellStyle name="0_REVIEW_APRIL_6111 2 3 2 3" xfId="25497" xr:uid="{00000000-0005-0000-0000-00008B630000}"/>
    <cellStyle name="0_REVIEW_APRIL_6111 2 3 2 3 2" xfId="25498" xr:uid="{00000000-0005-0000-0000-00008C630000}"/>
    <cellStyle name="0_REVIEW_APRIL_6111 2 3 2 3 2 2" xfId="25499" xr:uid="{00000000-0005-0000-0000-00008D630000}"/>
    <cellStyle name="0_REVIEW_APRIL_6111 2 3 2 3 3" xfId="25500" xr:uid="{00000000-0005-0000-0000-00008E630000}"/>
    <cellStyle name="0_REVIEW_APRIL_6111 2 3 2 3 3 2" xfId="25501" xr:uid="{00000000-0005-0000-0000-00008F630000}"/>
    <cellStyle name="0_REVIEW_APRIL_6111 2 3 2 3 4" xfId="25502" xr:uid="{00000000-0005-0000-0000-000090630000}"/>
    <cellStyle name="0_REVIEW_APRIL_6111 2 3 2 4" xfId="25503" xr:uid="{00000000-0005-0000-0000-000091630000}"/>
    <cellStyle name="0_REVIEW_APRIL_6111 2 3 2 4 2" xfId="25504" xr:uid="{00000000-0005-0000-0000-000092630000}"/>
    <cellStyle name="0_REVIEW_APRIL_6111 2 3 2 5" xfId="25505" xr:uid="{00000000-0005-0000-0000-000093630000}"/>
    <cellStyle name="0_REVIEW_APRIL_6111 2 3 2 5 2" xfId="25506" xr:uid="{00000000-0005-0000-0000-000094630000}"/>
    <cellStyle name="0_REVIEW_APRIL_6111 2 3 2 6" xfId="25507" xr:uid="{00000000-0005-0000-0000-000095630000}"/>
    <cellStyle name="0_REVIEW_APRIL_6111 2 3 3" xfId="25508" xr:uid="{00000000-0005-0000-0000-000096630000}"/>
    <cellStyle name="0_REVIEW_APRIL_6111 2 3 3 2" xfId="25509" xr:uid="{00000000-0005-0000-0000-000097630000}"/>
    <cellStyle name="0_REVIEW_APRIL_6111 2 3 3 2 2" xfId="25510" xr:uid="{00000000-0005-0000-0000-000098630000}"/>
    <cellStyle name="0_REVIEW_APRIL_6111 2 3 3 3" xfId="25511" xr:uid="{00000000-0005-0000-0000-000099630000}"/>
    <cellStyle name="0_REVIEW_APRIL_6111 2 3 3 3 2" xfId="25512" xr:uid="{00000000-0005-0000-0000-00009A630000}"/>
    <cellStyle name="0_REVIEW_APRIL_6111 2 3 3 4" xfId="25513" xr:uid="{00000000-0005-0000-0000-00009B630000}"/>
    <cellStyle name="0_REVIEW_APRIL_6111 2 3 4" xfId="25514" xr:uid="{00000000-0005-0000-0000-00009C630000}"/>
    <cellStyle name="0_REVIEW_APRIL_6111 2 3 4 2" xfId="25515" xr:uid="{00000000-0005-0000-0000-00009D630000}"/>
    <cellStyle name="0_REVIEW_APRIL_6111 2 3 4 2 2" xfId="25516" xr:uid="{00000000-0005-0000-0000-00009E630000}"/>
    <cellStyle name="0_REVIEW_APRIL_6111 2 3 4 3" xfId="25517" xr:uid="{00000000-0005-0000-0000-00009F630000}"/>
    <cellStyle name="0_REVIEW_APRIL_6111 2 3 4 3 2" xfId="25518" xr:uid="{00000000-0005-0000-0000-0000A0630000}"/>
    <cellStyle name="0_REVIEW_APRIL_6111 2 3 4 4" xfId="25519" xr:uid="{00000000-0005-0000-0000-0000A1630000}"/>
    <cellStyle name="0_REVIEW_APRIL_6111 2 3 5" xfId="25520" xr:uid="{00000000-0005-0000-0000-0000A2630000}"/>
    <cellStyle name="0_REVIEW_APRIL_6111 2 3 5 2" xfId="25521" xr:uid="{00000000-0005-0000-0000-0000A3630000}"/>
    <cellStyle name="0_REVIEW_APRIL_6111 2 3 5 2 2" xfId="25522" xr:uid="{00000000-0005-0000-0000-0000A4630000}"/>
    <cellStyle name="0_REVIEW_APRIL_6111 2 3 5 3" xfId="25523" xr:uid="{00000000-0005-0000-0000-0000A5630000}"/>
    <cellStyle name="0_REVIEW_APRIL_6111 2 3 5 3 2" xfId="25524" xr:uid="{00000000-0005-0000-0000-0000A6630000}"/>
    <cellStyle name="0_REVIEW_APRIL_6111 2 3 5 4" xfId="25525" xr:uid="{00000000-0005-0000-0000-0000A7630000}"/>
    <cellStyle name="0_REVIEW_APRIL_6111 2 3 6" xfId="25526" xr:uid="{00000000-0005-0000-0000-0000A8630000}"/>
    <cellStyle name="0_REVIEW_APRIL_6111 2 3 6 2" xfId="25527" xr:uid="{00000000-0005-0000-0000-0000A9630000}"/>
    <cellStyle name="0_REVIEW_APRIL_6111 2 3 7" xfId="25528" xr:uid="{00000000-0005-0000-0000-0000AA630000}"/>
    <cellStyle name="0_REVIEW_APRIL_6111 2 3 7 2" xfId="25529" xr:uid="{00000000-0005-0000-0000-0000AB630000}"/>
    <cellStyle name="0_REVIEW_APRIL_6111 2 3 8" xfId="25530" xr:uid="{00000000-0005-0000-0000-0000AC630000}"/>
    <cellStyle name="0_REVIEW_APRIL_6111 2 4" xfId="25531" xr:uid="{00000000-0005-0000-0000-0000AD630000}"/>
    <cellStyle name="0_REVIEW_APRIL_6111 2 4 2" xfId="25532" xr:uid="{00000000-0005-0000-0000-0000AE630000}"/>
    <cellStyle name="0_REVIEW_APRIL_6111 2 4 2 2" xfId="25533" xr:uid="{00000000-0005-0000-0000-0000AF630000}"/>
    <cellStyle name="0_REVIEW_APRIL_6111 2 4 2 2 2" xfId="25534" xr:uid="{00000000-0005-0000-0000-0000B0630000}"/>
    <cellStyle name="0_REVIEW_APRIL_6111 2 4 2 2 2 2" xfId="25535" xr:uid="{00000000-0005-0000-0000-0000B1630000}"/>
    <cellStyle name="0_REVIEW_APRIL_6111 2 4 2 2 3" xfId="25536" xr:uid="{00000000-0005-0000-0000-0000B2630000}"/>
    <cellStyle name="0_REVIEW_APRIL_6111 2 4 2 2 3 2" xfId="25537" xr:uid="{00000000-0005-0000-0000-0000B3630000}"/>
    <cellStyle name="0_REVIEW_APRIL_6111 2 4 2 2 4" xfId="25538" xr:uid="{00000000-0005-0000-0000-0000B4630000}"/>
    <cellStyle name="0_REVIEW_APRIL_6111 2 4 2 3" xfId="25539" xr:uid="{00000000-0005-0000-0000-0000B5630000}"/>
    <cellStyle name="0_REVIEW_APRIL_6111 2 4 2 3 2" xfId="25540" xr:uid="{00000000-0005-0000-0000-0000B6630000}"/>
    <cellStyle name="0_REVIEW_APRIL_6111 2 4 2 3 2 2" xfId="25541" xr:uid="{00000000-0005-0000-0000-0000B7630000}"/>
    <cellStyle name="0_REVIEW_APRIL_6111 2 4 2 3 3" xfId="25542" xr:uid="{00000000-0005-0000-0000-0000B8630000}"/>
    <cellStyle name="0_REVIEW_APRIL_6111 2 4 2 3 3 2" xfId="25543" xr:uid="{00000000-0005-0000-0000-0000B9630000}"/>
    <cellStyle name="0_REVIEW_APRIL_6111 2 4 2 3 4" xfId="25544" xr:uid="{00000000-0005-0000-0000-0000BA630000}"/>
    <cellStyle name="0_REVIEW_APRIL_6111 2 4 2 4" xfId="25545" xr:uid="{00000000-0005-0000-0000-0000BB630000}"/>
    <cellStyle name="0_REVIEW_APRIL_6111 2 4 2 4 2" xfId="25546" xr:uid="{00000000-0005-0000-0000-0000BC630000}"/>
    <cellStyle name="0_REVIEW_APRIL_6111 2 4 2 5" xfId="25547" xr:uid="{00000000-0005-0000-0000-0000BD630000}"/>
    <cellStyle name="0_REVIEW_APRIL_6111 2 4 2 5 2" xfId="25548" xr:uid="{00000000-0005-0000-0000-0000BE630000}"/>
    <cellStyle name="0_REVIEW_APRIL_6111 2 4 2 6" xfId="25549" xr:uid="{00000000-0005-0000-0000-0000BF630000}"/>
    <cellStyle name="0_REVIEW_APRIL_6111 2 4 3" xfId="25550" xr:uid="{00000000-0005-0000-0000-0000C0630000}"/>
    <cellStyle name="0_REVIEW_APRIL_6111 2 4 3 2" xfId="25551" xr:uid="{00000000-0005-0000-0000-0000C1630000}"/>
    <cellStyle name="0_REVIEW_APRIL_6111 2 4 3 2 2" xfId="25552" xr:uid="{00000000-0005-0000-0000-0000C2630000}"/>
    <cellStyle name="0_REVIEW_APRIL_6111 2 4 3 3" xfId="25553" xr:uid="{00000000-0005-0000-0000-0000C3630000}"/>
    <cellStyle name="0_REVIEW_APRIL_6111 2 4 3 3 2" xfId="25554" xr:uid="{00000000-0005-0000-0000-0000C4630000}"/>
    <cellStyle name="0_REVIEW_APRIL_6111 2 4 3 4" xfId="25555" xr:uid="{00000000-0005-0000-0000-0000C5630000}"/>
    <cellStyle name="0_REVIEW_APRIL_6111 2 4 4" xfId="25556" xr:uid="{00000000-0005-0000-0000-0000C6630000}"/>
    <cellStyle name="0_REVIEW_APRIL_6111 2 4 4 2" xfId="25557" xr:uid="{00000000-0005-0000-0000-0000C7630000}"/>
    <cellStyle name="0_REVIEW_APRIL_6111 2 4 4 2 2" xfId="25558" xr:uid="{00000000-0005-0000-0000-0000C8630000}"/>
    <cellStyle name="0_REVIEW_APRIL_6111 2 4 4 3" xfId="25559" xr:uid="{00000000-0005-0000-0000-0000C9630000}"/>
    <cellStyle name="0_REVIEW_APRIL_6111 2 4 4 3 2" xfId="25560" xr:uid="{00000000-0005-0000-0000-0000CA630000}"/>
    <cellStyle name="0_REVIEW_APRIL_6111 2 4 4 4" xfId="25561" xr:uid="{00000000-0005-0000-0000-0000CB630000}"/>
    <cellStyle name="0_REVIEW_APRIL_6111 2 4 5" xfId="25562" xr:uid="{00000000-0005-0000-0000-0000CC630000}"/>
    <cellStyle name="0_REVIEW_APRIL_6111 2 4 5 2" xfId="25563" xr:uid="{00000000-0005-0000-0000-0000CD630000}"/>
    <cellStyle name="0_REVIEW_APRIL_6111 2 4 5 2 2" xfId="25564" xr:uid="{00000000-0005-0000-0000-0000CE630000}"/>
    <cellStyle name="0_REVIEW_APRIL_6111 2 4 5 3" xfId="25565" xr:uid="{00000000-0005-0000-0000-0000CF630000}"/>
    <cellStyle name="0_REVIEW_APRIL_6111 2 4 5 3 2" xfId="25566" xr:uid="{00000000-0005-0000-0000-0000D0630000}"/>
    <cellStyle name="0_REVIEW_APRIL_6111 2 4 5 4" xfId="25567" xr:uid="{00000000-0005-0000-0000-0000D1630000}"/>
    <cellStyle name="0_REVIEW_APRIL_6111 2 4 6" xfId="25568" xr:uid="{00000000-0005-0000-0000-0000D2630000}"/>
    <cellStyle name="0_REVIEW_APRIL_6111 2 4 6 2" xfId="25569" xr:uid="{00000000-0005-0000-0000-0000D3630000}"/>
    <cellStyle name="0_REVIEW_APRIL_6111 2 4 7" xfId="25570" xr:uid="{00000000-0005-0000-0000-0000D4630000}"/>
    <cellStyle name="0_REVIEW_APRIL_6111 2 4 7 2" xfId="25571" xr:uid="{00000000-0005-0000-0000-0000D5630000}"/>
    <cellStyle name="0_REVIEW_APRIL_6111 2 4 8" xfId="25572" xr:uid="{00000000-0005-0000-0000-0000D6630000}"/>
    <cellStyle name="0_REVIEW_APRIL_6111 2 5" xfId="25573" xr:uid="{00000000-0005-0000-0000-0000D7630000}"/>
    <cellStyle name="0_REVIEW_APRIL_6111 2 5 2" xfId="25574" xr:uid="{00000000-0005-0000-0000-0000D8630000}"/>
    <cellStyle name="0_REVIEW_APRIL_6111 2 5 2 2" xfId="25575" xr:uid="{00000000-0005-0000-0000-0000D9630000}"/>
    <cellStyle name="0_REVIEW_APRIL_6111 2 5 2 2 2" xfId="25576" xr:uid="{00000000-0005-0000-0000-0000DA630000}"/>
    <cellStyle name="0_REVIEW_APRIL_6111 2 5 2 2 2 2" xfId="25577" xr:uid="{00000000-0005-0000-0000-0000DB630000}"/>
    <cellStyle name="0_REVIEW_APRIL_6111 2 5 2 2 3" xfId="25578" xr:uid="{00000000-0005-0000-0000-0000DC630000}"/>
    <cellStyle name="0_REVIEW_APRIL_6111 2 5 2 2 3 2" xfId="25579" xr:uid="{00000000-0005-0000-0000-0000DD630000}"/>
    <cellStyle name="0_REVIEW_APRIL_6111 2 5 2 2 4" xfId="25580" xr:uid="{00000000-0005-0000-0000-0000DE630000}"/>
    <cellStyle name="0_REVIEW_APRIL_6111 2 5 2 3" xfId="25581" xr:uid="{00000000-0005-0000-0000-0000DF630000}"/>
    <cellStyle name="0_REVIEW_APRIL_6111 2 5 2 3 2" xfId="25582" xr:uid="{00000000-0005-0000-0000-0000E0630000}"/>
    <cellStyle name="0_REVIEW_APRIL_6111 2 5 2 3 2 2" xfId="25583" xr:uid="{00000000-0005-0000-0000-0000E1630000}"/>
    <cellStyle name="0_REVIEW_APRIL_6111 2 5 2 3 3" xfId="25584" xr:uid="{00000000-0005-0000-0000-0000E2630000}"/>
    <cellStyle name="0_REVIEW_APRIL_6111 2 5 2 3 3 2" xfId="25585" xr:uid="{00000000-0005-0000-0000-0000E3630000}"/>
    <cellStyle name="0_REVIEW_APRIL_6111 2 5 2 3 4" xfId="25586" xr:uid="{00000000-0005-0000-0000-0000E4630000}"/>
    <cellStyle name="0_REVIEW_APRIL_6111 2 5 2 4" xfId="25587" xr:uid="{00000000-0005-0000-0000-0000E5630000}"/>
    <cellStyle name="0_REVIEW_APRIL_6111 2 5 2 4 2" xfId="25588" xr:uid="{00000000-0005-0000-0000-0000E6630000}"/>
    <cellStyle name="0_REVIEW_APRIL_6111 2 5 2 5" xfId="25589" xr:uid="{00000000-0005-0000-0000-0000E7630000}"/>
    <cellStyle name="0_REVIEW_APRIL_6111 2 5 2 5 2" xfId="25590" xr:uid="{00000000-0005-0000-0000-0000E8630000}"/>
    <cellStyle name="0_REVIEW_APRIL_6111 2 5 2 6" xfId="25591" xr:uid="{00000000-0005-0000-0000-0000E9630000}"/>
    <cellStyle name="0_REVIEW_APRIL_6111 2 5 3" xfId="25592" xr:uid="{00000000-0005-0000-0000-0000EA630000}"/>
    <cellStyle name="0_REVIEW_APRIL_6111 2 5 3 2" xfId="25593" xr:uid="{00000000-0005-0000-0000-0000EB630000}"/>
    <cellStyle name="0_REVIEW_APRIL_6111 2 5 3 2 2" xfId="25594" xr:uid="{00000000-0005-0000-0000-0000EC630000}"/>
    <cellStyle name="0_REVIEW_APRIL_6111 2 5 3 3" xfId="25595" xr:uid="{00000000-0005-0000-0000-0000ED630000}"/>
    <cellStyle name="0_REVIEW_APRIL_6111 2 5 3 3 2" xfId="25596" xr:uid="{00000000-0005-0000-0000-0000EE630000}"/>
    <cellStyle name="0_REVIEW_APRIL_6111 2 5 3 4" xfId="25597" xr:uid="{00000000-0005-0000-0000-0000EF630000}"/>
    <cellStyle name="0_REVIEW_APRIL_6111 2 5 4" xfId="25598" xr:uid="{00000000-0005-0000-0000-0000F0630000}"/>
    <cellStyle name="0_REVIEW_APRIL_6111 2 5 4 2" xfId="25599" xr:uid="{00000000-0005-0000-0000-0000F1630000}"/>
    <cellStyle name="0_REVIEW_APRIL_6111 2 5 4 2 2" xfId="25600" xr:uid="{00000000-0005-0000-0000-0000F2630000}"/>
    <cellStyle name="0_REVIEW_APRIL_6111 2 5 4 3" xfId="25601" xr:uid="{00000000-0005-0000-0000-0000F3630000}"/>
    <cellStyle name="0_REVIEW_APRIL_6111 2 5 4 3 2" xfId="25602" xr:uid="{00000000-0005-0000-0000-0000F4630000}"/>
    <cellStyle name="0_REVIEW_APRIL_6111 2 5 4 4" xfId="25603" xr:uid="{00000000-0005-0000-0000-0000F5630000}"/>
    <cellStyle name="0_REVIEW_APRIL_6111 2 5 5" xfId="25604" xr:uid="{00000000-0005-0000-0000-0000F6630000}"/>
    <cellStyle name="0_REVIEW_APRIL_6111 2 5 5 2" xfId="25605" xr:uid="{00000000-0005-0000-0000-0000F7630000}"/>
    <cellStyle name="0_REVIEW_APRIL_6111 2 5 5 2 2" xfId="25606" xr:uid="{00000000-0005-0000-0000-0000F8630000}"/>
    <cellStyle name="0_REVIEW_APRIL_6111 2 5 5 3" xfId="25607" xr:uid="{00000000-0005-0000-0000-0000F9630000}"/>
    <cellStyle name="0_REVIEW_APRIL_6111 2 5 5 3 2" xfId="25608" xr:uid="{00000000-0005-0000-0000-0000FA630000}"/>
    <cellStyle name="0_REVIEW_APRIL_6111 2 5 5 4" xfId="25609" xr:uid="{00000000-0005-0000-0000-0000FB630000}"/>
    <cellStyle name="0_REVIEW_APRIL_6111 2 5 6" xfId="25610" xr:uid="{00000000-0005-0000-0000-0000FC630000}"/>
    <cellStyle name="0_REVIEW_APRIL_6111 2 5 6 2" xfId="25611" xr:uid="{00000000-0005-0000-0000-0000FD630000}"/>
    <cellStyle name="0_REVIEW_APRIL_6111 2 5 7" xfId="25612" xr:uid="{00000000-0005-0000-0000-0000FE630000}"/>
    <cellStyle name="0_REVIEW_APRIL_6111 2 5 7 2" xfId="25613" xr:uid="{00000000-0005-0000-0000-0000FF630000}"/>
    <cellStyle name="0_REVIEW_APRIL_6111 2 5 8" xfId="25614" xr:uid="{00000000-0005-0000-0000-000000640000}"/>
    <cellStyle name="0_REVIEW_APRIL_6111 2 6" xfId="25615" xr:uid="{00000000-0005-0000-0000-000001640000}"/>
    <cellStyle name="0_REVIEW_APRIL_6111 2 6 2" xfId="25616" xr:uid="{00000000-0005-0000-0000-000002640000}"/>
    <cellStyle name="0_REVIEW_APRIL_6111 2 6 2 2" xfId="25617" xr:uid="{00000000-0005-0000-0000-000003640000}"/>
    <cellStyle name="0_REVIEW_APRIL_6111 2 6 2 2 2" xfId="25618" xr:uid="{00000000-0005-0000-0000-000004640000}"/>
    <cellStyle name="0_REVIEW_APRIL_6111 2 6 2 2 2 2" xfId="25619" xr:uid="{00000000-0005-0000-0000-000005640000}"/>
    <cellStyle name="0_REVIEW_APRIL_6111 2 6 2 2 3" xfId="25620" xr:uid="{00000000-0005-0000-0000-000006640000}"/>
    <cellStyle name="0_REVIEW_APRIL_6111 2 6 2 2 3 2" xfId="25621" xr:uid="{00000000-0005-0000-0000-000007640000}"/>
    <cellStyle name="0_REVIEW_APRIL_6111 2 6 2 2 4" xfId="25622" xr:uid="{00000000-0005-0000-0000-000008640000}"/>
    <cellStyle name="0_REVIEW_APRIL_6111 2 6 2 3" xfId="25623" xr:uid="{00000000-0005-0000-0000-000009640000}"/>
    <cellStyle name="0_REVIEW_APRIL_6111 2 6 2 3 2" xfId="25624" xr:uid="{00000000-0005-0000-0000-00000A640000}"/>
    <cellStyle name="0_REVIEW_APRIL_6111 2 6 2 3 2 2" xfId="25625" xr:uid="{00000000-0005-0000-0000-00000B640000}"/>
    <cellStyle name="0_REVIEW_APRIL_6111 2 6 2 3 3" xfId="25626" xr:uid="{00000000-0005-0000-0000-00000C640000}"/>
    <cellStyle name="0_REVIEW_APRIL_6111 2 6 2 3 3 2" xfId="25627" xr:uid="{00000000-0005-0000-0000-00000D640000}"/>
    <cellStyle name="0_REVIEW_APRIL_6111 2 6 2 3 4" xfId="25628" xr:uid="{00000000-0005-0000-0000-00000E640000}"/>
    <cellStyle name="0_REVIEW_APRIL_6111 2 6 2 4" xfId="25629" xr:uid="{00000000-0005-0000-0000-00000F640000}"/>
    <cellStyle name="0_REVIEW_APRIL_6111 2 6 2 4 2" xfId="25630" xr:uid="{00000000-0005-0000-0000-000010640000}"/>
    <cellStyle name="0_REVIEW_APRIL_6111 2 6 2 5" xfId="25631" xr:uid="{00000000-0005-0000-0000-000011640000}"/>
    <cellStyle name="0_REVIEW_APRIL_6111 2 6 2 5 2" xfId="25632" xr:uid="{00000000-0005-0000-0000-000012640000}"/>
    <cellStyle name="0_REVIEW_APRIL_6111 2 6 2 6" xfId="25633" xr:uid="{00000000-0005-0000-0000-000013640000}"/>
    <cellStyle name="0_REVIEW_APRIL_6111 2 6 3" xfId="25634" xr:uid="{00000000-0005-0000-0000-000014640000}"/>
    <cellStyle name="0_REVIEW_APRIL_6111 2 6 3 2" xfId="25635" xr:uid="{00000000-0005-0000-0000-000015640000}"/>
    <cellStyle name="0_REVIEW_APRIL_6111 2 6 3 2 2" xfId="25636" xr:uid="{00000000-0005-0000-0000-000016640000}"/>
    <cellStyle name="0_REVIEW_APRIL_6111 2 6 3 3" xfId="25637" xr:uid="{00000000-0005-0000-0000-000017640000}"/>
    <cellStyle name="0_REVIEW_APRIL_6111 2 6 3 3 2" xfId="25638" xr:uid="{00000000-0005-0000-0000-000018640000}"/>
    <cellStyle name="0_REVIEW_APRIL_6111 2 6 3 4" xfId="25639" xr:uid="{00000000-0005-0000-0000-000019640000}"/>
    <cellStyle name="0_REVIEW_APRIL_6111 2 6 4" xfId="25640" xr:uid="{00000000-0005-0000-0000-00001A640000}"/>
    <cellStyle name="0_REVIEW_APRIL_6111 2 6 4 2" xfId="25641" xr:uid="{00000000-0005-0000-0000-00001B640000}"/>
    <cellStyle name="0_REVIEW_APRIL_6111 2 6 4 2 2" xfId="25642" xr:uid="{00000000-0005-0000-0000-00001C640000}"/>
    <cellStyle name="0_REVIEW_APRIL_6111 2 6 4 3" xfId="25643" xr:uid="{00000000-0005-0000-0000-00001D640000}"/>
    <cellStyle name="0_REVIEW_APRIL_6111 2 6 4 3 2" xfId="25644" xr:uid="{00000000-0005-0000-0000-00001E640000}"/>
    <cellStyle name="0_REVIEW_APRIL_6111 2 6 4 4" xfId="25645" xr:uid="{00000000-0005-0000-0000-00001F640000}"/>
    <cellStyle name="0_REVIEW_APRIL_6111 2 6 5" xfId="25646" xr:uid="{00000000-0005-0000-0000-000020640000}"/>
    <cellStyle name="0_REVIEW_APRIL_6111 2 6 5 2" xfId="25647" xr:uid="{00000000-0005-0000-0000-000021640000}"/>
    <cellStyle name="0_REVIEW_APRIL_6111 2 6 5 2 2" xfId="25648" xr:uid="{00000000-0005-0000-0000-000022640000}"/>
    <cellStyle name="0_REVIEW_APRIL_6111 2 6 5 3" xfId="25649" xr:uid="{00000000-0005-0000-0000-000023640000}"/>
    <cellStyle name="0_REVIEW_APRIL_6111 2 6 5 3 2" xfId="25650" xr:uid="{00000000-0005-0000-0000-000024640000}"/>
    <cellStyle name="0_REVIEW_APRIL_6111 2 6 5 4" xfId="25651" xr:uid="{00000000-0005-0000-0000-000025640000}"/>
    <cellStyle name="0_REVIEW_APRIL_6111 2 6 6" xfId="25652" xr:uid="{00000000-0005-0000-0000-000026640000}"/>
    <cellStyle name="0_REVIEW_APRIL_6111 2 6 6 2" xfId="25653" xr:uid="{00000000-0005-0000-0000-000027640000}"/>
    <cellStyle name="0_REVIEW_APRIL_6111 2 6 7" xfId="25654" xr:uid="{00000000-0005-0000-0000-000028640000}"/>
    <cellStyle name="0_REVIEW_APRIL_6111 2 6 7 2" xfId="25655" xr:uid="{00000000-0005-0000-0000-000029640000}"/>
    <cellStyle name="0_REVIEW_APRIL_6111 2 6 8" xfId="25656" xr:uid="{00000000-0005-0000-0000-00002A640000}"/>
    <cellStyle name="0_REVIEW_APRIL_6111 2 7" xfId="25657" xr:uid="{00000000-0005-0000-0000-00002B640000}"/>
    <cellStyle name="0_REVIEW_APRIL_6111 2 7 2" xfId="25658" xr:uid="{00000000-0005-0000-0000-00002C640000}"/>
    <cellStyle name="0_REVIEW_APRIL_6111 2 7 2 2" xfId="25659" xr:uid="{00000000-0005-0000-0000-00002D640000}"/>
    <cellStyle name="0_REVIEW_APRIL_6111 2 7 2 2 2" xfId="25660" xr:uid="{00000000-0005-0000-0000-00002E640000}"/>
    <cellStyle name="0_REVIEW_APRIL_6111 2 7 2 3" xfId="25661" xr:uid="{00000000-0005-0000-0000-00002F640000}"/>
    <cellStyle name="0_REVIEW_APRIL_6111 2 7 2 3 2" xfId="25662" xr:uid="{00000000-0005-0000-0000-000030640000}"/>
    <cellStyle name="0_REVIEW_APRIL_6111 2 7 2 4" xfId="25663" xr:uid="{00000000-0005-0000-0000-000031640000}"/>
    <cellStyle name="0_REVIEW_APRIL_6111 2 7 3" xfId="25664" xr:uid="{00000000-0005-0000-0000-000032640000}"/>
    <cellStyle name="0_REVIEW_APRIL_6111 2 7 3 2" xfId="25665" xr:uid="{00000000-0005-0000-0000-000033640000}"/>
    <cellStyle name="0_REVIEW_APRIL_6111 2 7 3 2 2" xfId="25666" xr:uid="{00000000-0005-0000-0000-000034640000}"/>
    <cellStyle name="0_REVIEW_APRIL_6111 2 7 3 3" xfId="25667" xr:uid="{00000000-0005-0000-0000-000035640000}"/>
    <cellStyle name="0_REVIEW_APRIL_6111 2 7 3 3 2" xfId="25668" xr:uid="{00000000-0005-0000-0000-000036640000}"/>
    <cellStyle name="0_REVIEW_APRIL_6111 2 7 3 4" xfId="25669" xr:uid="{00000000-0005-0000-0000-000037640000}"/>
    <cellStyle name="0_REVIEW_APRIL_6111 2 7 4" xfId="25670" xr:uid="{00000000-0005-0000-0000-000038640000}"/>
    <cellStyle name="0_REVIEW_APRIL_6111 2 7 4 2" xfId="25671" xr:uid="{00000000-0005-0000-0000-000039640000}"/>
    <cellStyle name="0_REVIEW_APRIL_6111 2 7 5" xfId="25672" xr:uid="{00000000-0005-0000-0000-00003A640000}"/>
    <cellStyle name="0_REVIEW_APRIL_6111 2 7 5 2" xfId="25673" xr:uid="{00000000-0005-0000-0000-00003B640000}"/>
    <cellStyle name="0_REVIEW_APRIL_6111 2 7 6" xfId="25674" xr:uid="{00000000-0005-0000-0000-00003C640000}"/>
    <cellStyle name="0_REVIEW_APRIL_6111 2 8" xfId="25675" xr:uid="{00000000-0005-0000-0000-00003D640000}"/>
    <cellStyle name="0_REVIEW_APRIL_6111 2 8 2" xfId="25676" xr:uid="{00000000-0005-0000-0000-00003E640000}"/>
    <cellStyle name="0_REVIEW_APRIL_6111 2 8 2 2" xfId="25677" xr:uid="{00000000-0005-0000-0000-00003F640000}"/>
    <cellStyle name="0_REVIEW_APRIL_6111 2 8 3" xfId="25678" xr:uid="{00000000-0005-0000-0000-000040640000}"/>
    <cellStyle name="0_REVIEW_APRIL_6111 2 8 3 2" xfId="25679" xr:uid="{00000000-0005-0000-0000-000041640000}"/>
    <cellStyle name="0_REVIEW_APRIL_6111 2 8 4" xfId="25680" xr:uid="{00000000-0005-0000-0000-000042640000}"/>
    <cellStyle name="0_REVIEW_APRIL_6111 2 9" xfId="25681" xr:uid="{00000000-0005-0000-0000-000043640000}"/>
    <cellStyle name="0_REVIEW_APRIL_6111 2 9 2" xfId="25682" xr:uid="{00000000-0005-0000-0000-000044640000}"/>
    <cellStyle name="0_REVIEW_APRIL_6111 2 9 2 2" xfId="25683" xr:uid="{00000000-0005-0000-0000-000045640000}"/>
    <cellStyle name="0_REVIEW_APRIL_6111 2 9 3" xfId="25684" xr:uid="{00000000-0005-0000-0000-000046640000}"/>
    <cellStyle name="0_REVIEW_APRIL_6111 2 9 3 2" xfId="25685" xr:uid="{00000000-0005-0000-0000-000047640000}"/>
    <cellStyle name="0_REVIEW_APRIL_6111 2 9 4" xfId="25686" xr:uid="{00000000-0005-0000-0000-000048640000}"/>
    <cellStyle name="0_REVIEW_APRIL_6111 20" xfId="25687" xr:uid="{00000000-0005-0000-0000-000049640000}"/>
    <cellStyle name="0_REVIEW_APRIL_6111 21" xfId="25688" xr:uid="{00000000-0005-0000-0000-00004A640000}"/>
    <cellStyle name="0_REVIEW_APRIL_6111 22" xfId="25689" xr:uid="{00000000-0005-0000-0000-00004B640000}"/>
    <cellStyle name="0_REVIEW_APRIL_6111 3" xfId="25690" xr:uid="{00000000-0005-0000-0000-00004C640000}"/>
    <cellStyle name="0_REVIEW_APRIL_6111 3 10" xfId="25691" xr:uid="{00000000-0005-0000-0000-00004D640000}"/>
    <cellStyle name="0_REVIEW_APRIL_6111 3 10 2" xfId="25692" xr:uid="{00000000-0005-0000-0000-00004E640000}"/>
    <cellStyle name="0_REVIEW_APRIL_6111 3 10 2 2" xfId="25693" xr:uid="{00000000-0005-0000-0000-00004F640000}"/>
    <cellStyle name="0_REVIEW_APRIL_6111 3 10 3" xfId="25694" xr:uid="{00000000-0005-0000-0000-000050640000}"/>
    <cellStyle name="0_REVIEW_APRIL_6111 3 10 3 2" xfId="25695" xr:uid="{00000000-0005-0000-0000-000051640000}"/>
    <cellStyle name="0_REVIEW_APRIL_6111 3 10 4" xfId="25696" xr:uid="{00000000-0005-0000-0000-000052640000}"/>
    <cellStyle name="0_REVIEW_APRIL_6111 3 11" xfId="25697" xr:uid="{00000000-0005-0000-0000-000053640000}"/>
    <cellStyle name="0_REVIEW_APRIL_6111 3 11 2" xfId="25698" xr:uid="{00000000-0005-0000-0000-000054640000}"/>
    <cellStyle name="0_REVIEW_APRIL_6111 3 12" xfId="25699" xr:uid="{00000000-0005-0000-0000-000055640000}"/>
    <cellStyle name="0_REVIEW_APRIL_6111 3 12 2" xfId="25700" xr:uid="{00000000-0005-0000-0000-000056640000}"/>
    <cellStyle name="0_REVIEW_APRIL_6111 3 13" xfId="25701" xr:uid="{00000000-0005-0000-0000-000057640000}"/>
    <cellStyle name="0_REVIEW_APRIL_6111 3 2" xfId="25702" xr:uid="{00000000-0005-0000-0000-000058640000}"/>
    <cellStyle name="0_REVIEW_APRIL_6111 3 2 2" xfId="25703" xr:uid="{00000000-0005-0000-0000-000059640000}"/>
    <cellStyle name="0_REVIEW_APRIL_6111 3 2 2 2" xfId="25704" xr:uid="{00000000-0005-0000-0000-00005A640000}"/>
    <cellStyle name="0_REVIEW_APRIL_6111 3 2 2 2 2" xfId="25705" xr:uid="{00000000-0005-0000-0000-00005B640000}"/>
    <cellStyle name="0_REVIEW_APRIL_6111 3 2 2 2 2 2" xfId="25706" xr:uid="{00000000-0005-0000-0000-00005C640000}"/>
    <cellStyle name="0_REVIEW_APRIL_6111 3 2 2 2 3" xfId="25707" xr:uid="{00000000-0005-0000-0000-00005D640000}"/>
    <cellStyle name="0_REVIEW_APRIL_6111 3 2 2 2 3 2" xfId="25708" xr:uid="{00000000-0005-0000-0000-00005E640000}"/>
    <cellStyle name="0_REVIEW_APRIL_6111 3 2 2 2 4" xfId="25709" xr:uid="{00000000-0005-0000-0000-00005F640000}"/>
    <cellStyle name="0_REVIEW_APRIL_6111 3 2 2 3" xfId="25710" xr:uid="{00000000-0005-0000-0000-000060640000}"/>
    <cellStyle name="0_REVIEW_APRIL_6111 3 2 2 3 2" xfId="25711" xr:uid="{00000000-0005-0000-0000-000061640000}"/>
    <cellStyle name="0_REVIEW_APRIL_6111 3 2 2 3 2 2" xfId="25712" xr:uid="{00000000-0005-0000-0000-000062640000}"/>
    <cellStyle name="0_REVIEW_APRIL_6111 3 2 2 3 3" xfId="25713" xr:uid="{00000000-0005-0000-0000-000063640000}"/>
    <cellStyle name="0_REVIEW_APRIL_6111 3 2 2 3 3 2" xfId="25714" xr:uid="{00000000-0005-0000-0000-000064640000}"/>
    <cellStyle name="0_REVIEW_APRIL_6111 3 2 2 3 4" xfId="25715" xr:uid="{00000000-0005-0000-0000-000065640000}"/>
    <cellStyle name="0_REVIEW_APRIL_6111 3 2 2 4" xfId="25716" xr:uid="{00000000-0005-0000-0000-000066640000}"/>
    <cellStyle name="0_REVIEW_APRIL_6111 3 2 2 4 2" xfId="25717" xr:uid="{00000000-0005-0000-0000-000067640000}"/>
    <cellStyle name="0_REVIEW_APRIL_6111 3 2 2 5" xfId="25718" xr:uid="{00000000-0005-0000-0000-000068640000}"/>
    <cellStyle name="0_REVIEW_APRIL_6111 3 2 2 5 2" xfId="25719" xr:uid="{00000000-0005-0000-0000-000069640000}"/>
    <cellStyle name="0_REVIEW_APRIL_6111 3 2 2 6" xfId="25720" xr:uid="{00000000-0005-0000-0000-00006A640000}"/>
    <cellStyle name="0_REVIEW_APRIL_6111 3 2 3" xfId="25721" xr:uid="{00000000-0005-0000-0000-00006B640000}"/>
    <cellStyle name="0_REVIEW_APRIL_6111 3 2 3 2" xfId="25722" xr:uid="{00000000-0005-0000-0000-00006C640000}"/>
    <cellStyle name="0_REVIEW_APRIL_6111 3 2 3 2 2" xfId="25723" xr:uid="{00000000-0005-0000-0000-00006D640000}"/>
    <cellStyle name="0_REVIEW_APRIL_6111 3 2 3 3" xfId="25724" xr:uid="{00000000-0005-0000-0000-00006E640000}"/>
    <cellStyle name="0_REVIEW_APRIL_6111 3 2 3 3 2" xfId="25725" xr:uid="{00000000-0005-0000-0000-00006F640000}"/>
    <cellStyle name="0_REVIEW_APRIL_6111 3 2 3 4" xfId="25726" xr:uid="{00000000-0005-0000-0000-000070640000}"/>
    <cellStyle name="0_REVIEW_APRIL_6111 3 2 4" xfId="25727" xr:uid="{00000000-0005-0000-0000-000071640000}"/>
    <cellStyle name="0_REVIEW_APRIL_6111 3 2 4 2" xfId="25728" xr:uid="{00000000-0005-0000-0000-000072640000}"/>
    <cellStyle name="0_REVIEW_APRIL_6111 3 2 4 2 2" xfId="25729" xr:uid="{00000000-0005-0000-0000-000073640000}"/>
    <cellStyle name="0_REVIEW_APRIL_6111 3 2 4 3" xfId="25730" xr:uid="{00000000-0005-0000-0000-000074640000}"/>
    <cellStyle name="0_REVIEW_APRIL_6111 3 2 4 3 2" xfId="25731" xr:uid="{00000000-0005-0000-0000-000075640000}"/>
    <cellStyle name="0_REVIEW_APRIL_6111 3 2 4 4" xfId="25732" xr:uid="{00000000-0005-0000-0000-000076640000}"/>
    <cellStyle name="0_REVIEW_APRIL_6111 3 2 5" xfId="25733" xr:uid="{00000000-0005-0000-0000-000077640000}"/>
    <cellStyle name="0_REVIEW_APRIL_6111 3 2 5 2" xfId="25734" xr:uid="{00000000-0005-0000-0000-000078640000}"/>
    <cellStyle name="0_REVIEW_APRIL_6111 3 2 5 2 2" xfId="25735" xr:uid="{00000000-0005-0000-0000-000079640000}"/>
    <cellStyle name="0_REVIEW_APRIL_6111 3 2 5 3" xfId="25736" xr:uid="{00000000-0005-0000-0000-00007A640000}"/>
    <cellStyle name="0_REVIEW_APRIL_6111 3 2 5 3 2" xfId="25737" xr:uid="{00000000-0005-0000-0000-00007B640000}"/>
    <cellStyle name="0_REVIEW_APRIL_6111 3 2 5 4" xfId="25738" xr:uid="{00000000-0005-0000-0000-00007C640000}"/>
    <cellStyle name="0_REVIEW_APRIL_6111 3 2 6" xfId="25739" xr:uid="{00000000-0005-0000-0000-00007D640000}"/>
    <cellStyle name="0_REVIEW_APRIL_6111 3 2 6 2" xfId="25740" xr:uid="{00000000-0005-0000-0000-00007E640000}"/>
    <cellStyle name="0_REVIEW_APRIL_6111 3 2 7" xfId="25741" xr:uid="{00000000-0005-0000-0000-00007F640000}"/>
    <cellStyle name="0_REVIEW_APRIL_6111 3 2 7 2" xfId="25742" xr:uid="{00000000-0005-0000-0000-000080640000}"/>
    <cellStyle name="0_REVIEW_APRIL_6111 3 2 8" xfId="25743" xr:uid="{00000000-0005-0000-0000-000081640000}"/>
    <cellStyle name="0_REVIEW_APRIL_6111 3 3" xfId="25744" xr:uid="{00000000-0005-0000-0000-000082640000}"/>
    <cellStyle name="0_REVIEW_APRIL_6111 3 3 2" xfId="25745" xr:uid="{00000000-0005-0000-0000-000083640000}"/>
    <cellStyle name="0_REVIEW_APRIL_6111 3 3 2 2" xfId="25746" xr:uid="{00000000-0005-0000-0000-000084640000}"/>
    <cellStyle name="0_REVIEW_APRIL_6111 3 3 2 2 2" xfId="25747" xr:uid="{00000000-0005-0000-0000-000085640000}"/>
    <cellStyle name="0_REVIEW_APRIL_6111 3 3 2 2 2 2" xfId="25748" xr:uid="{00000000-0005-0000-0000-000086640000}"/>
    <cellStyle name="0_REVIEW_APRIL_6111 3 3 2 2 3" xfId="25749" xr:uid="{00000000-0005-0000-0000-000087640000}"/>
    <cellStyle name="0_REVIEW_APRIL_6111 3 3 2 2 3 2" xfId="25750" xr:uid="{00000000-0005-0000-0000-000088640000}"/>
    <cellStyle name="0_REVIEW_APRIL_6111 3 3 2 2 4" xfId="25751" xr:uid="{00000000-0005-0000-0000-000089640000}"/>
    <cellStyle name="0_REVIEW_APRIL_6111 3 3 2 3" xfId="25752" xr:uid="{00000000-0005-0000-0000-00008A640000}"/>
    <cellStyle name="0_REVIEW_APRIL_6111 3 3 2 3 2" xfId="25753" xr:uid="{00000000-0005-0000-0000-00008B640000}"/>
    <cellStyle name="0_REVIEW_APRIL_6111 3 3 2 3 2 2" xfId="25754" xr:uid="{00000000-0005-0000-0000-00008C640000}"/>
    <cellStyle name="0_REVIEW_APRIL_6111 3 3 2 3 3" xfId="25755" xr:uid="{00000000-0005-0000-0000-00008D640000}"/>
    <cellStyle name="0_REVIEW_APRIL_6111 3 3 2 3 3 2" xfId="25756" xr:uid="{00000000-0005-0000-0000-00008E640000}"/>
    <cellStyle name="0_REVIEW_APRIL_6111 3 3 2 3 4" xfId="25757" xr:uid="{00000000-0005-0000-0000-00008F640000}"/>
    <cellStyle name="0_REVIEW_APRIL_6111 3 3 2 4" xfId="25758" xr:uid="{00000000-0005-0000-0000-000090640000}"/>
    <cellStyle name="0_REVIEW_APRIL_6111 3 3 2 4 2" xfId="25759" xr:uid="{00000000-0005-0000-0000-000091640000}"/>
    <cellStyle name="0_REVIEW_APRIL_6111 3 3 2 5" xfId="25760" xr:uid="{00000000-0005-0000-0000-000092640000}"/>
    <cellStyle name="0_REVIEW_APRIL_6111 3 3 2 5 2" xfId="25761" xr:uid="{00000000-0005-0000-0000-000093640000}"/>
    <cellStyle name="0_REVIEW_APRIL_6111 3 3 2 6" xfId="25762" xr:uid="{00000000-0005-0000-0000-000094640000}"/>
    <cellStyle name="0_REVIEW_APRIL_6111 3 3 3" xfId="25763" xr:uid="{00000000-0005-0000-0000-000095640000}"/>
    <cellStyle name="0_REVIEW_APRIL_6111 3 3 3 2" xfId="25764" xr:uid="{00000000-0005-0000-0000-000096640000}"/>
    <cellStyle name="0_REVIEW_APRIL_6111 3 3 3 2 2" xfId="25765" xr:uid="{00000000-0005-0000-0000-000097640000}"/>
    <cellStyle name="0_REVIEW_APRIL_6111 3 3 3 3" xfId="25766" xr:uid="{00000000-0005-0000-0000-000098640000}"/>
    <cellStyle name="0_REVIEW_APRIL_6111 3 3 3 3 2" xfId="25767" xr:uid="{00000000-0005-0000-0000-000099640000}"/>
    <cellStyle name="0_REVIEW_APRIL_6111 3 3 3 4" xfId="25768" xr:uid="{00000000-0005-0000-0000-00009A640000}"/>
    <cellStyle name="0_REVIEW_APRIL_6111 3 3 4" xfId="25769" xr:uid="{00000000-0005-0000-0000-00009B640000}"/>
    <cellStyle name="0_REVIEW_APRIL_6111 3 3 4 2" xfId="25770" xr:uid="{00000000-0005-0000-0000-00009C640000}"/>
    <cellStyle name="0_REVIEW_APRIL_6111 3 3 4 2 2" xfId="25771" xr:uid="{00000000-0005-0000-0000-00009D640000}"/>
    <cellStyle name="0_REVIEW_APRIL_6111 3 3 4 3" xfId="25772" xr:uid="{00000000-0005-0000-0000-00009E640000}"/>
    <cellStyle name="0_REVIEW_APRIL_6111 3 3 4 3 2" xfId="25773" xr:uid="{00000000-0005-0000-0000-00009F640000}"/>
    <cellStyle name="0_REVIEW_APRIL_6111 3 3 4 4" xfId="25774" xr:uid="{00000000-0005-0000-0000-0000A0640000}"/>
    <cellStyle name="0_REVIEW_APRIL_6111 3 3 5" xfId="25775" xr:uid="{00000000-0005-0000-0000-0000A1640000}"/>
    <cellStyle name="0_REVIEW_APRIL_6111 3 3 5 2" xfId="25776" xr:uid="{00000000-0005-0000-0000-0000A2640000}"/>
    <cellStyle name="0_REVIEW_APRIL_6111 3 3 5 2 2" xfId="25777" xr:uid="{00000000-0005-0000-0000-0000A3640000}"/>
    <cellStyle name="0_REVIEW_APRIL_6111 3 3 5 3" xfId="25778" xr:uid="{00000000-0005-0000-0000-0000A4640000}"/>
    <cellStyle name="0_REVIEW_APRIL_6111 3 3 5 3 2" xfId="25779" xr:uid="{00000000-0005-0000-0000-0000A5640000}"/>
    <cellStyle name="0_REVIEW_APRIL_6111 3 3 5 4" xfId="25780" xr:uid="{00000000-0005-0000-0000-0000A6640000}"/>
    <cellStyle name="0_REVIEW_APRIL_6111 3 3 6" xfId="25781" xr:uid="{00000000-0005-0000-0000-0000A7640000}"/>
    <cellStyle name="0_REVIEW_APRIL_6111 3 3 6 2" xfId="25782" xr:uid="{00000000-0005-0000-0000-0000A8640000}"/>
    <cellStyle name="0_REVIEW_APRIL_6111 3 3 7" xfId="25783" xr:uid="{00000000-0005-0000-0000-0000A9640000}"/>
    <cellStyle name="0_REVIEW_APRIL_6111 3 3 7 2" xfId="25784" xr:uid="{00000000-0005-0000-0000-0000AA640000}"/>
    <cellStyle name="0_REVIEW_APRIL_6111 3 3 8" xfId="25785" xr:uid="{00000000-0005-0000-0000-0000AB640000}"/>
    <cellStyle name="0_REVIEW_APRIL_6111 3 4" xfId="25786" xr:uid="{00000000-0005-0000-0000-0000AC640000}"/>
    <cellStyle name="0_REVIEW_APRIL_6111 3 4 2" xfId="25787" xr:uid="{00000000-0005-0000-0000-0000AD640000}"/>
    <cellStyle name="0_REVIEW_APRIL_6111 3 4 2 2" xfId="25788" xr:uid="{00000000-0005-0000-0000-0000AE640000}"/>
    <cellStyle name="0_REVIEW_APRIL_6111 3 4 2 2 2" xfId="25789" xr:uid="{00000000-0005-0000-0000-0000AF640000}"/>
    <cellStyle name="0_REVIEW_APRIL_6111 3 4 2 2 2 2" xfId="25790" xr:uid="{00000000-0005-0000-0000-0000B0640000}"/>
    <cellStyle name="0_REVIEW_APRIL_6111 3 4 2 2 3" xfId="25791" xr:uid="{00000000-0005-0000-0000-0000B1640000}"/>
    <cellStyle name="0_REVIEW_APRIL_6111 3 4 2 2 3 2" xfId="25792" xr:uid="{00000000-0005-0000-0000-0000B2640000}"/>
    <cellStyle name="0_REVIEW_APRIL_6111 3 4 2 2 4" xfId="25793" xr:uid="{00000000-0005-0000-0000-0000B3640000}"/>
    <cellStyle name="0_REVIEW_APRIL_6111 3 4 2 3" xfId="25794" xr:uid="{00000000-0005-0000-0000-0000B4640000}"/>
    <cellStyle name="0_REVIEW_APRIL_6111 3 4 2 3 2" xfId="25795" xr:uid="{00000000-0005-0000-0000-0000B5640000}"/>
    <cellStyle name="0_REVIEW_APRIL_6111 3 4 2 3 2 2" xfId="25796" xr:uid="{00000000-0005-0000-0000-0000B6640000}"/>
    <cellStyle name="0_REVIEW_APRIL_6111 3 4 2 3 3" xfId="25797" xr:uid="{00000000-0005-0000-0000-0000B7640000}"/>
    <cellStyle name="0_REVIEW_APRIL_6111 3 4 2 3 3 2" xfId="25798" xr:uid="{00000000-0005-0000-0000-0000B8640000}"/>
    <cellStyle name="0_REVIEW_APRIL_6111 3 4 2 3 4" xfId="25799" xr:uid="{00000000-0005-0000-0000-0000B9640000}"/>
    <cellStyle name="0_REVIEW_APRIL_6111 3 4 2 4" xfId="25800" xr:uid="{00000000-0005-0000-0000-0000BA640000}"/>
    <cellStyle name="0_REVIEW_APRIL_6111 3 4 2 4 2" xfId="25801" xr:uid="{00000000-0005-0000-0000-0000BB640000}"/>
    <cellStyle name="0_REVIEW_APRIL_6111 3 4 2 5" xfId="25802" xr:uid="{00000000-0005-0000-0000-0000BC640000}"/>
    <cellStyle name="0_REVIEW_APRIL_6111 3 4 2 5 2" xfId="25803" xr:uid="{00000000-0005-0000-0000-0000BD640000}"/>
    <cellStyle name="0_REVIEW_APRIL_6111 3 4 2 6" xfId="25804" xr:uid="{00000000-0005-0000-0000-0000BE640000}"/>
    <cellStyle name="0_REVIEW_APRIL_6111 3 4 3" xfId="25805" xr:uid="{00000000-0005-0000-0000-0000BF640000}"/>
    <cellStyle name="0_REVIEW_APRIL_6111 3 4 3 2" xfId="25806" xr:uid="{00000000-0005-0000-0000-0000C0640000}"/>
    <cellStyle name="0_REVIEW_APRIL_6111 3 4 3 2 2" xfId="25807" xr:uid="{00000000-0005-0000-0000-0000C1640000}"/>
    <cellStyle name="0_REVIEW_APRIL_6111 3 4 3 3" xfId="25808" xr:uid="{00000000-0005-0000-0000-0000C2640000}"/>
    <cellStyle name="0_REVIEW_APRIL_6111 3 4 3 3 2" xfId="25809" xr:uid="{00000000-0005-0000-0000-0000C3640000}"/>
    <cellStyle name="0_REVIEW_APRIL_6111 3 4 3 4" xfId="25810" xr:uid="{00000000-0005-0000-0000-0000C4640000}"/>
    <cellStyle name="0_REVIEW_APRIL_6111 3 4 4" xfId="25811" xr:uid="{00000000-0005-0000-0000-0000C5640000}"/>
    <cellStyle name="0_REVIEW_APRIL_6111 3 4 4 2" xfId="25812" xr:uid="{00000000-0005-0000-0000-0000C6640000}"/>
    <cellStyle name="0_REVIEW_APRIL_6111 3 4 4 2 2" xfId="25813" xr:uid="{00000000-0005-0000-0000-0000C7640000}"/>
    <cellStyle name="0_REVIEW_APRIL_6111 3 4 4 3" xfId="25814" xr:uid="{00000000-0005-0000-0000-0000C8640000}"/>
    <cellStyle name="0_REVIEW_APRIL_6111 3 4 4 3 2" xfId="25815" xr:uid="{00000000-0005-0000-0000-0000C9640000}"/>
    <cellStyle name="0_REVIEW_APRIL_6111 3 4 4 4" xfId="25816" xr:uid="{00000000-0005-0000-0000-0000CA640000}"/>
    <cellStyle name="0_REVIEW_APRIL_6111 3 4 5" xfId="25817" xr:uid="{00000000-0005-0000-0000-0000CB640000}"/>
    <cellStyle name="0_REVIEW_APRIL_6111 3 4 5 2" xfId="25818" xr:uid="{00000000-0005-0000-0000-0000CC640000}"/>
    <cellStyle name="0_REVIEW_APRIL_6111 3 4 5 2 2" xfId="25819" xr:uid="{00000000-0005-0000-0000-0000CD640000}"/>
    <cellStyle name="0_REVIEW_APRIL_6111 3 4 5 3" xfId="25820" xr:uid="{00000000-0005-0000-0000-0000CE640000}"/>
    <cellStyle name="0_REVIEW_APRIL_6111 3 4 5 3 2" xfId="25821" xr:uid="{00000000-0005-0000-0000-0000CF640000}"/>
    <cellStyle name="0_REVIEW_APRIL_6111 3 4 5 4" xfId="25822" xr:uid="{00000000-0005-0000-0000-0000D0640000}"/>
    <cellStyle name="0_REVIEW_APRIL_6111 3 4 6" xfId="25823" xr:uid="{00000000-0005-0000-0000-0000D1640000}"/>
    <cellStyle name="0_REVIEW_APRIL_6111 3 4 6 2" xfId="25824" xr:uid="{00000000-0005-0000-0000-0000D2640000}"/>
    <cellStyle name="0_REVIEW_APRIL_6111 3 4 7" xfId="25825" xr:uid="{00000000-0005-0000-0000-0000D3640000}"/>
    <cellStyle name="0_REVIEW_APRIL_6111 3 4 7 2" xfId="25826" xr:uid="{00000000-0005-0000-0000-0000D4640000}"/>
    <cellStyle name="0_REVIEW_APRIL_6111 3 4 8" xfId="25827" xr:uid="{00000000-0005-0000-0000-0000D5640000}"/>
    <cellStyle name="0_REVIEW_APRIL_6111 3 5" xfId="25828" xr:uid="{00000000-0005-0000-0000-0000D6640000}"/>
    <cellStyle name="0_REVIEW_APRIL_6111 3 5 2" xfId="25829" xr:uid="{00000000-0005-0000-0000-0000D7640000}"/>
    <cellStyle name="0_REVIEW_APRIL_6111 3 5 2 2" xfId="25830" xr:uid="{00000000-0005-0000-0000-0000D8640000}"/>
    <cellStyle name="0_REVIEW_APRIL_6111 3 5 2 2 2" xfId="25831" xr:uid="{00000000-0005-0000-0000-0000D9640000}"/>
    <cellStyle name="0_REVIEW_APRIL_6111 3 5 2 2 2 2" xfId="25832" xr:uid="{00000000-0005-0000-0000-0000DA640000}"/>
    <cellStyle name="0_REVIEW_APRIL_6111 3 5 2 2 3" xfId="25833" xr:uid="{00000000-0005-0000-0000-0000DB640000}"/>
    <cellStyle name="0_REVIEW_APRIL_6111 3 5 2 2 3 2" xfId="25834" xr:uid="{00000000-0005-0000-0000-0000DC640000}"/>
    <cellStyle name="0_REVIEW_APRIL_6111 3 5 2 2 4" xfId="25835" xr:uid="{00000000-0005-0000-0000-0000DD640000}"/>
    <cellStyle name="0_REVIEW_APRIL_6111 3 5 2 3" xfId="25836" xr:uid="{00000000-0005-0000-0000-0000DE640000}"/>
    <cellStyle name="0_REVIEW_APRIL_6111 3 5 2 3 2" xfId="25837" xr:uid="{00000000-0005-0000-0000-0000DF640000}"/>
    <cellStyle name="0_REVIEW_APRIL_6111 3 5 2 3 2 2" xfId="25838" xr:uid="{00000000-0005-0000-0000-0000E0640000}"/>
    <cellStyle name="0_REVIEW_APRIL_6111 3 5 2 3 3" xfId="25839" xr:uid="{00000000-0005-0000-0000-0000E1640000}"/>
    <cellStyle name="0_REVIEW_APRIL_6111 3 5 2 3 3 2" xfId="25840" xr:uid="{00000000-0005-0000-0000-0000E2640000}"/>
    <cellStyle name="0_REVIEW_APRIL_6111 3 5 2 3 4" xfId="25841" xr:uid="{00000000-0005-0000-0000-0000E3640000}"/>
    <cellStyle name="0_REVIEW_APRIL_6111 3 5 2 4" xfId="25842" xr:uid="{00000000-0005-0000-0000-0000E4640000}"/>
    <cellStyle name="0_REVIEW_APRIL_6111 3 5 2 4 2" xfId="25843" xr:uid="{00000000-0005-0000-0000-0000E5640000}"/>
    <cellStyle name="0_REVIEW_APRIL_6111 3 5 2 5" xfId="25844" xr:uid="{00000000-0005-0000-0000-0000E6640000}"/>
    <cellStyle name="0_REVIEW_APRIL_6111 3 5 2 5 2" xfId="25845" xr:uid="{00000000-0005-0000-0000-0000E7640000}"/>
    <cellStyle name="0_REVIEW_APRIL_6111 3 5 2 6" xfId="25846" xr:uid="{00000000-0005-0000-0000-0000E8640000}"/>
    <cellStyle name="0_REVIEW_APRIL_6111 3 5 3" xfId="25847" xr:uid="{00000000-0005-0000-0000-0000E9640000}"/>
    <cellStyle name="0_REVIEW_APRIL_6111 3 5 3 2" xfId="25848" xr:uid="{00000000-0005-0000-0000-0000EA640000}"/>
    <cellStyle name="0_REVIEW_APRIL_6111 3 5 3 2 2" xfId="25849" xr:uid="{00000000-0005-0000-0000-0000EB640000}"/>
    <cellStyle name="0_REVIEW_APRIL_6111 3 5 3 3" xfId="25850" xr:uid="{00000000-0005-0000-0000-0000EC640000}"/>
    <cellStyle name="0_REVIEW_APRIL_6111 3 5 3 3 2" xfId="25851" xr:uid="{00000000-0005-0000-0000-0000ED640000}"/>
    <cellStyle name="0_REVIEW_APRIL_6111 3 5 3 4" xfId="25852" xr:uid="{00000000-0005-0000-0000-0000EE640000}"/>
    <cellStyle name="0_REVIEW_APRIL_6111 3 5 4" xfId="25853" xr:uid="{00000000-0005-0000-0000-0000EF640000}"/>
    <cellStyle name="0_REVIEW_APRIL_6111 3 5 4 2" xfId="25854" xr:uid="{00000000-0005-0000-0000-0000F0640000}"/>
    <cellStyle name="0_REVIEW_APRIL_6111 3 5 4 2 2" xfId="25855" xr:uid="{00000000-0005-0000-0000-0000F1640000}"/>
    <cellStyle name="0_REVIEW_APRIL_6111 3 5 4 3" xfId="25856" xr:uid="{00000000-0005-0000-0000-0000F2640000}"/>
    <cellStyle name="0_REVIEW_APRIL_6111 3 5 4 3 2" xfId="25857" xr:uid="{00000000-0005-0000-0000-0000F3640000}"/>
    <cellStyle name="0_REVIEW_APRIL_6111 3 5 4 4" xfId="25858" xr:uid="{00000000-0005-0000-0000-0000F4640000}"/>
    <cellStyle name="0_REVIEW_APRIL_6111 3 5 5" xfId="25859" xr:uid="{00000000-0005-0000-0000-0000F5640000}"/>
    <cellStyle name="0_REVIEW_APRIL_6111 3 5 5 2" xfId="25860" xr:uid="{00000000-0005-0000-0000-0000F6640000}"/>
    <cellStyle name="0_REVIEW_APRIL_6111 3 5 5 2 2" xfId="25861" xr:uid="{00000000-0005-0000-0000-0000F7640000}"/>
    <cellStyle name="0_REVIEW_APRIL_6111 3 5 5 3" xfId="25862" xr:uid="{00000000-0005-0000-0000-0000F8640000}"/>
    <cellStyle name="0_REVIEW_APRIL_6111 3 5 5 3 2" xfId="25863" xr:uid="{00000000-0005-0000-0000-0000F9640000}"/>
    <cellStyle name="0_REVIEW_APRIL_6111 3 5 5 4" xfId="25864" xr:uid="{00000000-0005-0000-0000-0000FA640000}"/>
    <cellStyle name="0_REVIEW_APRIL_6111 3 5 6" xfId="25865" xr:uid="{00000000-0005-0000-0000-0000FB640000}"/>
    <cellStyle name="0_REVIEW_APRIL_6111 3 5 6 2" xfId="25866" xr:uid="{00000000-0005-0000-0000-0000FC640000}"/>
    <cellStyle name="0_REVIEW_APRIL_6111 3 5 7" xfId="25867" xr:uid="{00000000-0005-0000-0000-0000FD640000}"/>
    <cellStyle name="0_REVIEW_APRIL_6111 3 5 7 2" xfId="25868" xr:uid="{00000000-0005-0000-0000-0000FE640000}"/>
    <cellStyle name="0_REVIEW_APRIL_6111 3 5 8" xfId="25869" xr:uid="{00000000-0005-0000-0000-0000FF640000}"/>
    <cellStyle name="0_REVIEW_APRIL_6111 3 6" xfId="25870" xr:uid="{00000000-0005-0000-0000-000000650000}"/>
    <cellStyle name="0_REVIEW_APRIL_6111 3 6 2" xfId="25871" xr:uid="{00000000-0005-0000-0000-000001650000}"/>
    <cellStyle name="0_REVIEW_APRIL_6111 3 6 2 2" xfId="25872" xr:uid="{00000000-0005-0000-0000-000002650000}"/>
    <cellStyle name="0_REVIEW_APRIL_6111 3 6 2 2 2" xfId="25873" xr:uid="{00000000-0005-0000-0000-000003650000}"/>
    <cellStyle name="0_REVIEW_APRIL_6111 3 6 2 2 2 2" xfId="25874" xr:uid="{00000000-0005-0000-0000-000004650000}"/>
    <cellStyle name="0_REVIEW_APRIL_6111 3 6 2 2 3" xfId="25875" xr:uid="{00000000-0005-0000-0000-000005650000}"/>
    <cellStyle name="0_REVIEW_APRIL_6111 3 6 2 2 3 2" xfId="25876" xr:uid="{00000000-0005-0000-0000-000006650000}"/>
    <cellStyle name="0_REVIEW_APRIL_6111 3 6 2 2 4" xfId="25877" xr:uid="{00000000-0005-0000-0000-000007650000}"/>
    <cellStyle name="0_REVIEW_APRIL_6111 3 6 2 3" xfId="25878" xr:uid="{00000000-0005-0000-0000-000008650000}"/>
    <cellStyle name="0_REVIEW_APRIL_6111 3 6 2 3 2" xfId="25879" xr:uid="{00000000-0005-0000-0000-000009650000}"/>
    <cellStyle name="0_REVIEW_APRIL_6111 3 6 2 3 2 2" xfId="25880" xr:uid="{00000000-0005-0000-0000-00000A650000}"/>
    <cellStyle name="0_REVIEW_APRIL_6111 3 6 2 3 3" xfId="25881" xr:uid="{00000000-0005-0000-0000-00000B650000}"/>
    <cellStyle name="0_REVIEW_APRIL_6111 3 6 2 3 3 2" xfId="25882" xr:uid="{00000000-0005-0000-0000-00000C650000}"/>
    <cellStyle name="0_REVIEW_APRIL_6111 3 6 2 3 4" xfId="25883" xr:uid="{00000000-0005-0000-0000-00000D650000}"/>
    <cellStyle name="0_REVIEW_APRIL_6111 3 6 2 4" xfId="25884" xr:uid="{00000000-0005-0000-0000-00000E650000}"/>
    <cellStyle name="0_REVIEW_APRIL_6111 3 6 2 4 2" xfId="25885" xr:uid="{00000000-0005-0000-0000-00000F650000}"/>
    <cellStyle name="0_REVIEW_APRIL_6111 3 6 2 5" xfId="25886" xr:uid="{00000000-0005-0000-0000-000010650000}"/>
    <cellStyle name="0_REVIEW_APRIL_6111 3 6 2 5 2" xfId="25887" xr:uid="{00000000-0005-0000-0000-000011650000}"/>
    <cellStyle name="0_REVIEW_APRIL_6111 3 6 2 6" xfId="25888" xr:uid="{00000000-0005-0000-0000-000012650000}"/>
    <cellStyle name="0_REVIEW_APRIL_6111 3 6 3" xfId="25889" xr:uid="{00000000-0005-0000-0000-000013650000}"/>
    <cellStyle name="0_REVIEW_APRIL_6111 3 6 3 2" xfId="25890" xr:uid="{00000000-0005-0000-0000-000014650000}"/>
    <cellStyle name="0_REVIEW_APRIL_6111 3 6 3 2 2" xfId="25891" xr:uid="{00000000-0005-0000-0000-000015650000}"/>
    <cellStyle name="0_REVIEW_APRIL_6111 3 6 3 3" xfId="25892" xr:uid="{00000000-0005-0000-0000-000016650000}"/>
    <cellStyle name="0_REVIEW_APRIL_6111 3 6 3 3 2" xfId="25893" xr:uid="{00000000-0005-0000-0000-000017650000}"/>
    <cellStyle name="0_REVIEW_APRIL_6111 3 6 3 4" xfId="25894" xr:uid="{00000000-0005-0000-0000-000018650000}"/>
    <cellStyle name="0_REVIEW_APRIL_6111 3 6 4" xfId="25895" xr:uid="{00000000-0005-0000-0000-000019650000}"/>
    <cellStyle name="0_REVIEW_APRIL_6111 3 6 4 2" xfId="25896" xr:uid="{00000000-0005-0000-0000-00001A650000}"/>
    <cellStyle name="0_REVIEW_APRIL_6111 3 6 4 2 2" xfId="25897" xr:uid="{00000000-0005-0000-0000-00001B650000}"/>
    <cellStyle name="0_REVIEW_APRIL_6111 3 6 4 3" xfId="25898" xr:uid="{00000000-0005-0000-0000-00001C650000}"/>
    <cellStyle name="0_REVIEW_APRIL_6111 3 6 4 3 2" xfId="25899" xr:uid="{00000000-0005-0000-0000-00001D650000}"/>
    <cellStyle name="0_REVIEW_APRIL_6111 3 6 4 4" xfId="25900" xr:uid="{00000000-0005-0000-0000-00001E650000}"/>
    <cellStyle name="0_REVIEW_APRIL_6111 3 6 5" xfId="25901" xr:uid="{00000000-0005-0000-0000-00001F650000}"/>
    <cellStyle name="0_REVIEW_APRIL_6111 3 6 5 2" xfId="25902" xr:uid="{00000000-0005-0000-0000-000020650000}"/>
    <cellStyle name="0_REVIEW_APRIL_6111 3 6 5 2 2" xfId="25903" xr:uid="{00000000-0005-0000-0000-000021650000}"/>
    <cellStyle name="0_REVIEW_APRIL_6111 3 6 5 3" xfId="25904" xr:uid="{00000000-0005-0000-0000-000022650000}"/>
    <cellStyle name="0_REVIEW_APRIL_6111 3 6 5 3 2" xfId="25905" xr:uid="{00000000-0005-0000-0000-000023650000}"/>
    <cellStyle name="0_REVIEW_APRIL_6111 3 6 5 4" xfId="25906" xr:uid="{00000000-0005-0000-0000-000024650000}"/>
    <cellStyle name="0_REVIEW_APRIL_6111 3 6 6" xfId="25907" xr:uid="{00000000-0005-0000-0000-000025650000}"/>
    <cellStyle name="0_REVIEW_APRIL_6111 3 6 6 2" xfId="25908" xr:uid="{00000000-0005-0000-0000-000026650000}"/>
    <cellStyle name="0_REVIEW_APRIL_6111 3 6 7" xfId="25909" xr:uid="{00000000-0005-0000-0000-000027650000}"/>
    <cellStyle name="0_REVIEW_APRIL_6111 3 6 7 2" xfId="25910" xr:uid="{00000000-0005-0000-0000-000028650000}"/>
    <cellStyle name="0_REVIEW_APRIL_6111 3 6 8" xfId="25911" xr:uid="{00000000-0005-0000-0000-000029650000}"/>
    <cellStyle name="0_REVIEW_APRIL_6111 3 7" xfId="25912" xr:uid="{00000000-0005-0000-0000-00002A650000}"/>
    <cellStyle name="0_REVIEW_APRIL_6111 3 7 2" xfId="25913" xr:uid="{00000000-0005-0000-0000-00002B650000}"/>
    <cellStyle name="0_REVIEW_APRIL_6111 3 7 2 2" xfId="25914" xr:uid="{00000000-0005-0000-0000-00002C650000}"/>
    <cellStyle name="0_REVIEW_APRIL_6111 3 7 2 2 2" xfId="25915" xr:uid="{00000000-0005-0000-0000-00002D650000}"/>
    <cellStyle name="0_REVIEW_APRIL_6111 3 7 2 3" xfId="25916" xr:uid="{00000000-0005-0000-0000-00002E650000}"/>
    <cellStyle name="0_REVIEW_APRIL_6111 3 7 2 3 2" xfId="25917" xr:uid="{00000000-0005-0000-0000-00002F650000}"/>
    <cellStyle name="0_REVIEW_APRIL_6111 3 7 2 4" xfId="25918" xr:uid="{00000000-0005-0000-0000-000030650000}"/>
    <cellStyle name="0_REVIEW_APRIL_6111 3 7 3" xfId="25919" xr:uid="{00000000-0005-0000-0000-000031650000}"/>
    <cellStyle name="0_REVIEW_APRIL_6111 3 7 3 2" xfId="25920" xr:uid="{00000000-0005-0000-0000-000032650000}"/>
    <cellStyle name="0_REVIEW_APRIL_6111 3 7 3 2 2" xfId="25921" xr:uid="{00000000-0005-0000-0000-000033650000}"/>
    <cellStyle name="0_REVIEW_APRIL_6111 3 7 3 3" xfId="25922" xr:uid="{00000000-0005-0000-0000-000034650000}"/>
    <cellStyle name="0_REVIEW_APRIL_6111 3 7 3 3 2" xfId="25923" xr:uid="{00000000-0005-0000-0000-000035650000}"/>
    <cellStyle name="0_REVIEW_APRIL_6111 3 7 3 4" xfId="25924" xr:uid="{00000000-0005-0000-0000-000036650000}"/>
    <cellStyle name="0_REVIEW_APRIL_6111 3 7 4" xfId="25925" xr:uid="{00000000-0005-0000-0000-000037650000}"/>
    <cellStyle name="0_REVIEW_APRIL_6111 3 7 4 2" xfId="25926" xr:uid="{00000000-0005-0000-0000-000038650000}"/>
    <cellStyle name="0_REVIEW_APRIL_6111 3 7 5" xfId="25927" xr:uid="{00000000-0005-0000-0000-000039650000}"/>
    <cellStyle name="0_REVIEW_APRIL_6111 3 7 5 2" xfId="25928" xr:uid="{00000000-0005-0000-0000-00003A650000}"/>
    <cellStyle name="0_REVIEW_APRIL_6111 3 7 6" xfId="25929" xr:uid="{00000000-0005-0000-0000-00003B650000}"/>
    <cellStyle name="0_REVIEW_APRIL_6111 3 8" xfId="25930" xr:uid="{00000000-0005-0000-0000-00003C650000}"/>
    <cellStyle name="0_REVIEW_APRIL_6111 3 8 2" xfId="25931" xr:uid="{00000000-0005-0000-0000-00003D650000}"/>
    <cellStyle name="0_REVIEW_APRIL_6111 3 8 2 2" xfId="25932" xr:uid="{00000000-0005-0000-0000-00003E650000}"/>
    <cellStyle name="0_REVIEW_APRIL_6111 3 8 3" xfId="25933" xr:uid="{00000000-0005-0000-0000-00003F650000}"/>
    <cellStyle name="0_REVIEW_APRIL_6111 3 8 3 2" xfId="25934" xr:uid="{00000000-0005-0000-0000-000040650000}"/>
    <cellStyle name="0_REVIEW_APRIL_6111 3 8 4" xfId="25935" xr:uid="{00000000-0005-0000-0000-000041650000}"/>
    <cellStyle name="0_REVIEW_APRIL_6111 3 9" xfId="25936" xr:uid="{00000000-0005-0000-0000-000042650000}"/>
    <cellStyle name="0_REVIEW_APRIL_6111 3 9 2" xfId="25937" xr:uid="{00000000-0005-0000-0000-000043650000}"/>
    <cellStyle name="0_REVIEW_APRIL_6111 3 9 2 2" xfId="25938" xr:uid="{00000000-0005-0000-0000-000044650000}"/>
    <cellStyle name="0_REVIEW_APRIL_6111 3 9 3" xfId="25939" xr:uid="{00000000-0005-0000-0000-000045650000}"/>
    <cellStyle name="0_REVIEW_APRIL_6111 3 9 3 2" xfId="25940" xr:uid="{00000000-0005-0000-0000-000046650000}"/>
    <cellStyle name="0_REVIEW_APRIL_6111 3 9 4" xfId="25941" xr:uid="{00000000-0005-0000-0000-000047650000}"/>
    <cellStyle name="0_REVIEW_APRIL_6111 4" xfId="25942" xr:uid="{00000000-0005-0000-0000-000048650000}"/>
    <cellStyle name="0_REVIEW_APRIL_6111 4 10" xfId="25943" xr:uid="{00000000-0005-0000-0000-000049650000}"/>
    <cellStyle name="0_REVIEW_APRIL_6111 4 10 2" xfId="25944" xr:uid="{00000000-0005-0000-0000-00004A650000}"/>
    <cellStyle name="0_REVIEW_APRIL_6111 4 10 2 2" xfId="25945" xr:uid="{00000000-0005-0000-0000-00004B650000}"/>
    <cellStyle name="0_REVIEW_APRIL_6111 4 10 3" xfId="25946" xr:uid="{00000000-0005-0000-0000-00004C650000}"/>
    <cellStyle name="0_REVIEW_APRIL_6111 4 10 3 2" xfId="25947" xr:uid="{00000000-0005-0000-0000-00004D650000}"/>
    <cellStyle name="0_REVIEW_APRIL_6111 4 10 4" xfId="25948" xr:uid="{00000000-0005-0000-0000-00004E650000}"/>
    <cellStyle name="0_REVIEW_APRIL_6111 4 11" xfId="25949" xr:uid="{00000000-0005-0000-0000-00004F650000}"/>
    <cellStyle name="0_REVIEW_APRIL_6111 4 11 2" xfId="25950" xr:uid="{00000000-0005-0000-0000-000050650000}"/>
    <cellStyle name="0_REVIEW_APRIL_6111 4 12" xfId="25951" xr:uid="{00000000-0005-0000-0000-000051650000}"/>
    <cellStyle name="0_REVIEW_APRIL_6111 4 12 2" xfId="25952" xr:uid="{00000000-0005-0000-0000-000052650000}"/>
    <cellStyle name="0_REVIEW_APRIL_6111 4 13" xfId="25953" xr:uid="{00000000-0005-0000-0000-000053650000}"/>
    <cellStyle name="0_REVIEW_APRIL_6111 4 2" xfId="25954" xr:uid="{00000000-0005-0000-0000-000054650000}"/>
    <cellStyle name="0_REVIEW_APRIL_6111 4 2 2" xfId="25955" xr:uid="{00000000-0005-0000-0000-000055650000}"/>
    <cellStyle name="0_REVIEW_APRIL_6111 4 2 2 2" xfId="25956" xr:uid="{00000000-0005-0000-0000-000056650000}"/>
    <cellStyle name="0_REVIEW_APRIL_6111 4 2 2 2 2" xfId="25957" xr:uid="{00000000-0005-0000-0000-000057650000}"/>
    <cellStyle name="0_REVIEW_APRIL_6111 4 2 2 2 2 2" xfId="25958" xr:uid="{00000000-0005-0000-0000-000058650000}"/>
    <cellStyle name="0_REVIEW_APRIL_6111 4 2 2 2 3" xfId="25959" xr:uid="{00000000-0005-0000-0000-000059650000}"/>
    <cellStyle name="0_REVIEW_APRIL_6111 4 2 2 2 3 2" xfId="25960" xr:uid="{00000000-0005-0000-0000-00005A650000}"/>
    <cellStyle name="0_REVIEW_APRIL_6111 4 2 2 2 4" xfId="25961" xr:uid="{00000000-0005-0000-0000-00005B650000}"/>
    <cellStyle name="0_REVIEW_APRIL_6111 4 2 2 3" xfId="25962" xr:uid="{00000000-0005-0000-0000-00005C650000}"/>
    <cellStyle name="0_REVIEW_APRIL_6111 4 2 2 3 2" xfId="25963" xr:uid="{00000000-0005-0000-0000-00005D650000}"/>
    <cellStyle name="0_REVIEW_APRIL_6111 4 2 2 3 2 2" xfId="25964" xr:uid="{00000000-0005-0000-0000-00005E650000}"/>
    <cellStyle name="0_REVIEW_APRIL_6111 4 2 2 3 3" xfId="25965" xr:uid="{00000000-0005-0000-0000-00005F650000}"/>
    <cellStyle name="0_REVIEW_APRIL_6111 4 2 2 3 3 2" xfId="25966" xr:uid="{00000000-0005-0000-0000-000060650000}"/>
    <cellStyle name="0_REVIEW_APRIL_6111 4 2 2 3 4" xfId="25967" xr:uid="{00000000-0005-0000-0000-000061650000}"/>
    <cellStyle name="0_REVIEW_APRIL_6111 4 2 2 4" xfId="25968" xr:uid="{00000000-0005-0000-0000-000062650000}"/>
    <cellStyle name="0_REVIEW_APRIL_6111 4 2 2 4 2" xfId="25969" xr:uid="{00000000-0005-0000-0000-000063650000}"/>
    <cellStyle name="0_REVIEW_APRIL_6111 4 2 2 5" xfId="25970" xr:uid="{00000000-0005-0000-0000-000064650000}"/>
    <cellStyle name="0_REVIEW_APRIL_6111 4 2 2 5 2" xfId="25971" xr:uid="{00000000-0005-0000-0000-000065650000}"/>
    <cellStyle name="0_REVIEW_APRIL_6111 4 2 2 6" xfId="25972" xr:uid="{00000000-0005-0000-0000-000066650000}"/>
    <cellStyle name="0_REVIEW_APRIL_6111 4 2 3" xfId="25973" xr:uid="{00000000-0005-0000-0000-000067650000}"/>
    <cellStyle name="0_REVIEW_APRIL_6111 4 2 3 2" xfId="25974" xr:uid="{00000000-0005-0000-0000-000068650000}"/>
    <cellStyle name="0_REVIEW_APRIL_6111 4 2 3 2 2" xfId="25975" xr:uid="{00000000-0005-0000-0000-000069650000}"/>
    <cellStyle name="0_REVIEW_APRIL_6111 4 2 3 3" xfId="25976" xr:uid="{00000000-0005-0000-0000-00006A650000}"/>
    <cellStyle name="0_REVIEW_APRIL_6111 4 2 3 3 2" xfId="25977" xr:uid="{00000000-0005-0000-0000-00006B650000}"/>
    <cellStyle name="0_REVIEW_APRIL_6111 4 2 3 4" xfId="25978" xr:uid="{00000000-0005-0000-0000-00006C650000}"/>
    <cellStyle name="0_REVIEW_APRIL_6111 4 2 4" xfId="25979" xr:uid="{00000000-0005-0000-0000-00006D650000}"/>
    <cellStyle name="0_REVIEW_APRIL_6111 4 2 4 2" xfId="25980" xr:uid="{00000000-0005-0000-0000-00006E650000}"/>
    <cellStyle name="0_REVIEW_APRIL_6111 4 2 4 2 2" xfId="25981" xr:uid="{00000000-0005-0000-0000-00006F650000}"/>
    <cellStyle name="0_REVIEW_APRIL_6111 4 2 4 3" xfId="25982" xr:uid="{00000000-0005-0000-0000-000070650000}"/>
    <cellStyle name="0_REVIEW_APRIL_6111 4 2 4 3 2" xfId="25983" xr:uid="{00000000-0005-0000-0000-000071650000}"/>
    <cellStyle name="0_REVIEW_APRIL_6111 4 2 4 4" xfId="25984" xr:uid="{00000000-0005-0000-0000-000072650000}"/>
    <cellStyle name="0_REVIEW_APRIL_6111 4 2 5" xfId="25985" xr:uid="{00000000-0005-0000-0000-000073650000}"/>
    <cellStyle name="0_REVIEW_APRIL_6111 4 2 5 2" xfId="25986" xr:uid="{00000000-0005-0000-0000-000074650000}"/>
    <cellStyle name="0_REVIEW_APRIL_6111 4 2 5 2 2" xfId="25987" xr:uid="{00000000-0005-0000-0000-000075650000}"/>
    <cellStyle name="0_REVIEW_APRIL_6111 4 2 5 3" xfId="25988" xr:uid="{00000000-0005-0000-0000-000076650000}"/>
    <cellStyle name="0_REVIEW_APRIL_6111 4 2 5 3 2" xfId="25989" xr:uid="{00000000-0005-0000-0000-000077650000}"/>
    <cellStyle name="0_REVIEW_APRIL_6111 4 2 5 4" xfId="25990" xr:uid="{00000000-0005-0000-0000-000078650000}"/>
    <cellStyle name="0_REVIEW_APRIL_6111 4 2 6" xfId="25991" xr:uid="{00000000-0005-0000-0000-000079650000}"/>
    <cellStyle name="0_REVIEW_APRIL_6111 4 2 6 2" xfId="25992" xr:uid="{00000000-0005-0000-0000-00007A650000}"/>
    <cellStyle name="0_REVIEW_APRIL_6111 4 2 7" xfId="25993" xr:uid="{00000000-0005-0000-0000-00007B650000}"/>
    <cellStyle name="0_REVIEW_APRIL_6111 4 2 7 2" xfId="25994" xr:uid="{00000000-0005-0000-0000-00007C650000}"/>
    <cellStyle name="0_REVIEW_APRIL_6111 4 2 8" xfId="25995" xr:uid="{00000000-0005-0000-0000-00007D650000}"/>
    <cellStyle name="0_REVIEW_APRIL_6111 4 3" xfId="25996" xr:uid="{00000000-0005-0000-0000-00007E650000}"/>
    <cellStyle name="0_REVIEW_APRIL_6111 4 3 2" xfId="25997" xr:uid="{00000000-0005-0000-0000-00007F650000}"/>
    <cellStyle name="0_REVIEW_APRIL_6111 4 3 2 2" xfId="25998" xr:uid="{00000000-0005-0000-0000-000080650000}"/>
    <cellStyle name="0_REVIEW_APRIL_6111 4 3 2 2 2" xfId="25999" xr:uid="{00000000-0005-0000-0000-000081650000}"/>
    <cellStyle name="0_REVIEW_APRIL_6111 4 3 2 2 2 2" xfId="26000" xr:uid="{00000000-0005-0000-0000-000082650000}"/>
    <cellStyle name="0_REVIEW_APRIL_6111 4 3 2 2 3" xfId="26001" xr:uid="{00000000-0005-0000-0000-000083650000}"/>
    <cellStyle name="0_REVIEW_APRIL_6111 4 3 2 2 3 2" xfId="26002" xr:uid="{00000000-0005-0000-0000-000084650000}"/>
    <cellStyle name="0_REVIEW_APRIL_6111 4 3 2 2 4" xfId="26003" xr:uid="{00000000-0005-0000-0000-000085650000}"/>
    <cellStyle name="0_REVIEW_APRIL_6111 4 3 2 3" xfId="26004" xr:uid="{00000000-0005-0000-0000-000086650000}"/>
    <cellStyle name="0_REVIEW_APRIL_6111 4 3 2 3 2" xfId="26005" xr:uid="{00000000-0005-0000-0000-000087650000}"/>
    <cellStyle name="0_REVIEW_APRIL_6111 4 3 2 3 2 2" xfId="26006" xr:uid="{00000000-0005-0000-0000-000088650000}"/>
    <cellStyle name="0_REVIEW_APRIL_6111 4 3 2 3 3" xfId="26007" xr:uid="{00000000-0005-0000-0000-000089650000}"/>
    <cellStyle name="0_REVIEW_APRIL_6111 4 3 2 3 3 2" xfId="26008" xr:uid="{00000000-0005-0000-0000-00008A650000}"/>
    <cellStyle name="0_REVIEW_APRIL_6111 4 3 2 3 4" xfId="26009" xr:uid="{00000000-0005-0000-0000-00008B650000}"/>
    <cellStyle name="0_REVIEW_APRIL_6111 4 3 2 4" xfId="26010" xr:uid="{00000000-0005-0000-0000-00008C650000}"/>
    <cellStyle name="0_REVIEW_APRIL_6111 4 3 2 4 2" xfId="26011" xr:uid="{00000000-0005-0000-0000-00008D650000}"/>
    <cellStyle name="0_REVIEW_APRIL_6111 4 3 2 5" xfId="26012" xr:uid="{00000000-0005-0000-0000-00008E650000}"/>
    <cellStyle name="0_REVIEW_APRIL_6111 4 3 2 5 2" xfId="26013" xr:uid="{00000000-0005-0000-0000-00008F650000}"/>
    <cellStyle name="0_REVIEW_APRIL_6111 4 3 2 6" xfId="26014" xr:uid="{00000000-0005-0000-0000-000090650000}"/>
    <cellStyle name="0_REVIEW_APRIL_6111 4 3 3" xfId="26015" xr:uid="{00000000-0005-0000-0000-000091650000}"/>
    <cellStyle name="0_REVIEW_APRIL_6111 4 3 3 2" xfId="26016" xr:uid="{00000000-0005-0000-0000-000092650000}"/>
    <cellStyle name="0_REVIEW_APRIL_6111 4 3 3 2 2" xfId="26017" xr:uid="{00000000-0005-0000-0000-000093650000}"/>
    <cellStyle name="0_REVIEW_APRIL_6111 4 3 3 3" xfId="26018" xr:uid="{00000000-0005-0000-0000-000094650000}"/>
    <cellStyle name="0_REVIEW_APRIL_6111 4 3 3 3 2" xfId="26019" xr:uid="{00000000-0005-0000-0000-000095650000}"/>
    <cellStyle name="0_REVIEW_APRIL_6111 4 3 3 4" xfId="26020" xr:uid="{00000000-0005-0000-0000-000096650000}"/>
    <cellStyle name="0_REVIEW_APRIL_6111 4 3 4" xfId="26021" xr:uid="{00000000-0005-0000-0000-000097650000}"/>
    <cellStyle name="0_REVIEW_APRIL_6111 4 3 4 2" xfId="26022" xr:uid="{00000000-0005-0000-0000-000098650000}"/>
    <cellStyle name="0_REVIEW_APRIL_6111 4 3 4 2 2" xfId="26023" xr:uid="{00000000-0005-0000-0000-000099650000}"/>
    <cellStyle name="0_REVIEW_APRIL_6111 4 3 4 3" xfId="26024" xr:uid="{00000000-0005-0000-0000-00009A650000}"/>
    <cellStyle name="0_REVIEW_APRIL_6111 4 3 4 3 2" xfId="26025" xr:uid="{00000000-0005-0000-0000-00009B650000}"/>
    <cellStyle name="0_REVIEW_APRIL_6111 4 3 4 4" xfId="26026" xr:uid="{00000000-0005-0000-0000-00009C650000}"/>
    <cellStyle name="0_REVIEW_APRIL_6111 4 3 5" xfId="26027" xr:uid="{00000000-0005-0000-0000-00009D650000}"/>
    <cellStyle name="0_REVIEW_APRIL_6111 4 3 5 2" xfId="26028" xr:uid="{00000000-0005-0000-0000-00009E650000}"/>
    <cellStyle name="0_REVIEW_APRIL_6111 4 3 5 2 2" xfId="26029" xr:uid="{00000000-0005-0000-0000-00009F650000}"/>
    <cellStyle name="0_REVIEW_APRIL_6111 4 3 5 3" xfId="26030" xr:uid="{00000000-0005-0000-0000-0000A0650000}"/>
    <cellStyle name="0_REVIEW_APRIL_6111 4 3 5 3 2" xfId="26031" xr:uid="{00000000-0005-0000-0000-0000A1650000}"/>
    <cellStyle name="0_REVIEW_APRIL_6111 4 3 5 4" xfId="26032" xr:uid="{00000000-0005-0000-0000-0000A2650000}"/>
    <cellStyle name="0_REVIEW_APRIL_6111 4 3 6" xfId="26033" xr:uid="{00000000-0005-0000-0000-0000A3650000}"/>
    <cellStyle name="0_REVIEW_APRIL_6111 4 3 6 2" xfId="26034" xr:uid="{00000000-0005-0000-0000-0000A4650000}"/>
    <cellStyle name="0_REVIEW_APRIL_6111 4 3 7" xfId="26035" xr:uid="{00000000-0005-0000-0000-0000A5650000}"/>
    <cellStyle name="0_REVIEW_APRIL_6111 4 3 7 2" xfId="26036" xr:uid="{00000000-0005-0000-0000-0000A6650000}"/>
    <cellStyle name="0_REVIEW_APRIL_6111 4 3 8" xfId="26037" xr:uid="{00000000-0005-0000-0000-0000A7650000}"/>
    <cellStyle name="0_REVIEW_APRIL_6111 4 4" xfId="26038" xr:uid="{00000000-0005-0000-0000-0000A8650000}"/>
    <cellStyle name="0_REVIEW_APRIL_6111 4 4 2" xfId="26039" xr:uid="{00000000-0005-0000-0000-0000A9650000}"/>
    <cellStyle name="0_REVIEW_APRIL_6111 4 4 2 2" xfId="26040" xr:uid="{00000000-0005-0000-0000-0000AA650000}"/>
    <cellStyle name="0_REVIEW_APRIL_6111 4 4 2 2 2" xfId="26041" xr:uid="{00000000-0005-0000-0000-0000AB650000}"/>
    <cellStyle name="0_REVIEW_APRIL_6111 4 4 2 2 2 2" xfId="26042" xr:uid="{00000000-0005-0000-0000-0000AC650000}"/>
    <cellStyle name="0_REVIEW_APRIL_6111 4 4 2 2 3" xfId="26043" xr:uid="{00000000-0005-0000-0000-0000AD650000}"/>
    <cellStyle name="0_REVIEW_APRIL_6111 4 4 2 2 3 2" xfId="26044" xr:uid="{00000000-0005-0000-0000-0000AE650000}"/>
    <cellStyle name="0_REVIEW_APRIL_6111 4 4 2 2 4" xfId="26045" xr:uid="{00000000-0005-0000-0000-0000AF650000}"/>
    <cellStyle name="0_REVIEW_APRIL_6111 4 4 2 3" xfId="26046" xr:uid="{00000000-0005-0000-0000-0000B0650000}"/>
    <cellStyle name="0_REVIEW_APRIL_6111 4 4 2 3 2" xfId="26047" xr:uid="{00000000-0005-0000-0000-0000B1650000}"/>
    <cellStyle name="0_REVIEW_APRIL_6111 4 4 2 3 2 2" xfId="26048" xr:uid="{00000000-0005-0000-0000-0000B2650000}"/>
    <cellStyle name="0_REVIEW_APRIL_6111 4 4 2 3 3" xfId="26049" xr:uid="{00000000-0005-0000-0000-0000B3650000}"/>
    <cellStyle name="0_REVIEW_APRIL_6111 4 4 2 3 3 2" xfId="26050" xr:uid="{00000000-0005-0000-0000-0000B4650000}"/>
    <cellStyle name="0_REVIEW_APRIL_6111 4 4 2 3 4" xfId="26051" xr:uid="{00000000-0005-0000-0000-0000B5650000}"/>
    <cellStyle name="0_REVIEW_APRIL_6111 4 4 2 4" xfId="26052" xr:uid="{00000000-0005-0000-0000-0000B6650000}"/>
    <cellStyle name="0_REVIEW_APRIL_6111 4 4 2 4 2" xfId="26053" xr:uid="{00000000-0005-0000-0000-0000B7650000}"/>
    <cellStyle name="0_REVIEW_APRIL_6111 4 4 2 5" xfId="26054" xr:uid="{00000000-0005-0000-0000-0000B8650000}"/>
    <cellStyle name="0_REVIEW_APRIL_6111 4 4 2 5 2" xfId="26055" xr:uid="{00000000-0005-0000-0000-0000B9650000}"/>
    <cellStyle name="0_REVIEW_APRIL_6111 4 4 2 6" xfId="26056" xr:uid="{00000000-0005-0000-0000-0000BA650000}"/>
    <cellStyle name="0_REVIEW_APRIL_6111 4 4 3" xfId="26057" xr:uid="{00000000-0005-0000-0000-0000BB650000}"/>
    <cellStyle name="0_REVIEW_APRIL_6111 4 4 3 2" xfId="26058" xr:uid="{00000000-0005-0000-0000-0000BC650000}"/>
    <cellStyle name="0_REVIEW_APRIL_6111 4 4 3 2 2" xfId="26059" xr:uid="{00000000-0005-0000-0000-0000BD650000}"/>
    <cellStyle name="0_REVIEW_APRIL_6111 4 4 3 3" xfId="26060" xr:uid="{00000000-0005-0000-0000-0000BE650000}"/>
    <cellStyle name="0_REVIEW_APRIL_6111 4 4 3 3 2" xfId="26061" xr:uid="{00000000-0005-0000-0000-0000BF650000}"/>
    <cellStyle name="0_REVIEW_APRIL_6111 4 4 3 4" xfId="26062" xr:uid="{00000000-0005-0000-0000-0000C0650000}"/>
    <cellStyle name="0_REVIEW_APRIL_6111 4 4 4" xfId="26063" xr:uid="{00000000-0005-0000-0000-0000C1650000}"/>
    <cellStyle name="0_REVIEW_APRIL_6111 4 4 4 2" xfId="26064" xr:uid="{00000000-0005-0000-0000-0000C2650000}"/>
    <cellStyle name="0_REVIEW_APRIL_6111 4 4 4 2 2" xfId="26065" xr:uid="{00000000-0005-0000-0000-0000C3650000}"/>
    <cellStyle name="0_REVIEW_APRIL_6111 4 4 4 3" xfId="26066" xr:uid="{00000000-0005-0000-0000-0000C4650000}"/>
    <cellStyle name="0_REVIEW_APRIL_6111 4 4 4 3 2" xfId="26067" xr:uid="{00000000-0005-0000-0000-0000C5650000}"/>
    <cellStyle name="0_REVIEW_APRIL_6111 4 4 4 4" xfId="26068" xr:uid="{00000000-0005-0000-0000-0000C6650000}"/>
    <cellStyle name="0_REVIEW_APRIL_6111 4 4 5" xfId="26069" xr:uid="{00000000-0005-0000-0000-0000C7650000}"/>
    <cellStyle name="0_REVIEW_APRIL_6111 4 4 5 2" xfId="26070" xr:uid="{00000000-0005-0000-0000-0000C8650000}"/>
    <cellStyle name="0_REVIEW_APRIL_6111 4 4 5 2 2" xfId="26071" xr:uid="{00000000-0005-0000-0000-0000C9650000}"/>
    <cellStyle name="0_REVIEW_APRIL_6111 4 4 5 3" xfId="26072" xr:uid="{00000000-0005-0000-0000-0000CA650000}"/>
    <cellStyle name="0_REVIEW_APRIL_6111 4 4 5 3 2" xfId="26073" xr:uid="{00000000-0005-0000-0000-0000CB650000}"/>
    <cellStyle name="0_REVIEW_APRIL_6111 4 4 5 4" xfId="26074" xr:uid="{00000000-0005-0000-0000-0000CC650000}"/>
    <cellStyle name="0_REVIEW_APRIL_6111 4 4 6" xfId="26075" xr:uid="{00000000-0005-0000-0000-0000CD650000}"/>
    <cellStyle name="0_REVIEW_APRIL_6111 4 4 6 2" xfId="26076" xr:uid="{00000000-0005-0000-0000-0000CE650000}"/>
    <cellStyle name="0_REVIEW_APRIL_6111 4 4 7" xfId="26077" xr:uid="{00000000-0005-0000-0000-0000CF650000}"/>
    <cellStyle name="0_REVIEW_APRIL_6111 4 4 7 2" xfId="26078" xr:uid="{00000000-0005-0000-0000-0000D0650000}"/>
    <cellStyle name="0_REVIEW_APRIL_6111 4 4 8" xfId="26079" xr:uid="{00000000-0005-0000-0000-0000D1650000}"/>
    <cellStyle name="0_REVIEW_APRIL_6111 4 5" xfId="26080" xr:uid="{00000000-0005-0000-0000-0000D2650000}"/>
    <cellStyle name="0_REVIEW_APRIL_6111 4 5 2" xfId="26081" xr:uid="{00000000-0005-0000-0000-0000D3650000}"/>
    <cellStyle name="0_REVIEW_APRIL_6111 4 5 2 2" xfId="26082" xr:uid="{00000000-0005-0000-0000-0000D4650000}"/>
    <cellStyle name="0_REVIEW_APRIL_6111 4 5 2 2 2" xfId="26083" xr:uid="{00000000-0005-0000-0000-0000D5650000}"/>
    <cellStyle name="0_REVIEW_APRIL_6111 4 5 2 2 2 2" xfId="26084" xr:uid="{00000000-0005-0000-0000-0000D6650000}"/>
    <cellStyle name="0_REVIEW_APRIL_6111 4 5 2 2 3" xfId="26085" xr:uid="{00000000-0005-0000-0000-0000D7650000}"/>
    <cellStyle name="0_REVIEW_APRIL_6111 4 5 2 2 3 2" xfId="26086" xr:uid="{00000000-0005-0000-0000-0000D8650000}"/>
    <cellStyle name="0_REVIEW_APRIL_6111 4 5 2 2 4" xfId="26087" xr:uid="{00000000-0005-0000-0000-0000D9650000}"/>
    <cellStyle name="0_REVIEW_APRIL_6111 4 5 2 3" xfId="26088" xr:uid="{00000000-0005-0000-0000-0000DA650000}"/>
    <cellStyle name="0_REVIEW_APRIL_6111 4 5 2 3 2" xfId="26089" xr:uid="{00000000-0005-0000-0000-0000DB650000}"/>
    <cellStyle name="0_REVIEW_APRIL_6111 4 5 2 3 2 2" xfId="26090" xr:uid="{00000000-0005-0000-0000-0000DC650000}"/>
    <cellStyle name="0_REVIEW_APRIL_6111 4 5 2 3 3" xfId="26091" xr:uid="{00000000-0005-0000-0000-0000DD650000}"/>
    <cellStyle name="0_REVIEW_APRIL_6111 4 5 2 3 3 2" xfId="26092" xr:uid="{00000000-0005-0000-0000-0000DE650000}"/>
    <cellStyle name="0_REVIEW_APRIL_6111 4 5 2 3 4" xfId="26093" xr:uid="{00000000-0005-0000-0000-0000DF650000}"/>
    <cellStyle name="0_REVIEW_APRIL_6111 4 5 2 4" xfId="26094" xr:uid="{00000000-0005-0000-0000-0000E0650000}"/>
    <cellStyle name="0_REVIEW_APRIL_6111 4 5 2 4 2" xfId="26095" xr:uid="{00000000-0005-0000-0000-0000E1650000}"/>
    <cellStyle name="0_REVIEW_APRIL_6111 4 5 2 5" xfId="26096" xr:uid="{00000000-0005-0000-0000-0000E2650000}"/>
    <cellStyle name="0_REVIEW_APRIL_6111 4 5 2 5 2" xfId="26097" xr:uid="{00000000-0005-0000-0000-0000E3650000}"/>
    <cellStyle name="0_REVIEW_APRIL_6111 4 5 2 6" xfId="26098" xr:uid="{00000000-0005-0000-0000-0000E4650000}"/>
    <cellStyle name="0_REVIEW_APRIL_6111 4 5 3" xfId="26099" xr:uid="{00000000-0005-0000-0000-0000E5650000}"/>
    <cellStyle name="0_REVIEW_APRIL_6111 4 5 3 2" xfId="26100" xr:uid="{00000000-0005-0000-0000-0000E6650000}"/>
    <cellStyle name="0_REVIEW_APRIL_6111 4 5 3 2 2" xfId="26101" xr:uid="{00000000-0005-0000-0000-0000E7650000}"/>
    <cellStyle name="0_REVIEW_APRIL_6111 4 5 3 3" xfId="26102" xr:uid="{00000000-0005-0000-0000-0000E8650000}"/>
    <cellStyle name="0_REVIEW_APRIL_6111 4 5 3 3 2" xfId="26103" xr:uid="{00000000-0005-0000-0000-0000E9650000}"/>
    <cellStyle name="0_REVIEW_APRIL_6111 4 5 3 4" xfId="26104" xr:uid="{00000000-0005-0000-0000-0000EA650000}"/>
    <cellStyle name="0_REVIEW_APRIL_6111 4 5 4" xfId="26105" xr:uid="{00000000-0005-0000-0000-0000EB650000}"/>
    <cellStyle name="0_REVIEW_APRIL_6111 4 5 4 2" xfId="26106" xr:uid="{00000000-0005-0000-0000-0000EC650000}"/>
    <cellStyle name="0_REVIEW_APRIL_6111 4 5 4 2 2" xfId="26107" xr:uid="{00000000-0005-0000-0000-0000ED650000}"/>
    <cellStyle name="0_REVIEW_APRIL_6111 4 5 4 3" xfId="26108" xr:uid="{00000000-0005-0000-0000-0000EE650000}"/>
    <cellStyle name="0_REVIEW_APRIL_6111 4 5 4 3 2" xfId="26109" xr:uid="{00000000-0005-0000-0000-0000EF650000}"/>
    <cellStyle name="0_REVIEW_APRIL_6111 4 5 4 4" xfId="26110" xr:uid="{00000000-0005-0000-0000-0000F0650000}"/>
    <cellStyle name="0_REVIEW_APRIL_6111 4 5 5" xfId="26111" xr:uid="{00000000-0005-0000-0000-0000F1650000}"/>
    <cellStyle name="0_REVIEW_APRIL_6111 4 5 5 2" xfId="26112" xr:uid="{00000000-0005-0000-0000-0000F2650000}"/>
    <cellStyle name="0_REVIEW_APRIL_6111 4 5 5 2 2" xfId="26113" xr:uid="{00000000-0005-0000-0000-0000F3650000}"/>
    <cellStyle name="0_REVIEW_APRIL_6111 4 5 5 3" xfId="26114" xr:uid="{00000000-0005-0000-0000-0000F4650000}"/>
    <cellStyle name="0_REVIEW_APRIL_6111 4 5 5 3 2" xfId="26115" xr:uid="{00000000-0005-0000-0000-0000F5650000}"/>
    <cellStyle name="0_REVIEW_APRIL_6111 4 5 5 4" xfId="26116" xr:uid="{00000000-0005-0000-0000-0000F6650000}"/>
    <cellStyle name="0_REVIEW_APRIL_6111 4 5 6" xfId="26117" xr:uid="{00000000-0005-0000-0000-0000F7650000}"/>
    <cellStyle name="0_REVIEW_APRIL_6111 4 5 6 2" xfId="26118" xr:uid="{00000000-0005-0000-0000-0000F8650000}"/>
    <cellStyle name="0_REVIEW_APRIL_6111 4 5 7" xfId="26119" xr:uid="{00000000-0005-0000-0000-0000F9650000}"/>
    <cellStyle name="0_REVIEW_APRIL_6111 4 5 7 2" xfId="26120" xr:uid="{00000000-0005-0000-0000-0000FA650000}"/>
    <cellStyle name="0_REVIEW_APRIL_6111 4 5 8" xfId="26121" xr:uid="{00000000-0005-0000-0000-0000FB650000}"/>
    <cellStyle name="0_REVIEW_APRIL_6111 4 6" xfId="26122" xr:uid="{00000000-0005-0000-0000-0000FC650000}"/>
    <cellStyle name="0_REVIEW_APRIL_6111 4 6 2" xfId="26123" xr:uid="{00000000-0005-0000-0000-0000FD650000}"/>
    <cellStyle name="0_REVIEW_APRIL_6111 4 6 2 2" xfId="26124" xr:uid="{00000000-0005-0000-0000-0000FE650000}"/>
    <cellStyle name="0_REVIEW_APRIL_6111 4 6 2 2 2" xfId="26125" xr:uid="{00000000-0005-0000-0000-0000FF650000}"/>
    <cellStyle name="0_REVIEW_APRIL_6111 4 6 2 2 2 2" xfId="26126" xr:uid="{00000000-0005-0000-0000-000000660000}"/>
    <cellStyle name="0_REVIEW_APRIL_6111 4 6 2 2 3" xfId="26127" xr:uid="{00000000-0005-0000-0000-000001660000}"/>
    <cellStyle name="0_REVIEW_APRIL_6111 4 6 2 2 3 2" xfId="26128" xr:uid="{00000000-0005-0000-0000-000002660000}"/>
    <cellStyle name="0_REVIEW_APRIL_6111 4 6 2 2 4" xfId="26129" xr:uid="{00000000-0005-0000-0000-000003660000}"/>
    <cellStyle name="0_REVIEW_APRIL_6111 4 6 2 3" xfId="26130" xr:uid="{00000000-0005-0000-0000-000004660000}"/>
    <cellStyle name="0_REVIEW_APRIL_6111 4 6 2 3 2" xfId="26131" xr:uid="{00000000-0005-0000-0000-000005660000}"/>
    <cellStyle name="0_REVIEW_APRIL_6111 4 6 2 3 2 2" xfId="26132" xr:uid="{00000000-0005-0000-0000-000006660000}"/>
    <cellStyle name="0_REVIEW_APRIL_6111 4 6 2 3 3" xfId="26133" xr:uid="{00000000-0005-0000-0000-000007660000}"/>
    <cellStyle name="0_REVIEW_APRIL_6111 4 6 2 3 3 2" xfId="26134" xr:uid="{00000000-0005-0000-0000-000008660000}"/>
    <cellStyle name="0_REVIEW_APRIL_6111 4 6 2 3 4" xfId="26135" xr:uid="{00000000-0005-0000-0000-000009660000}"/>
    <cellStyle name="0_REVIEW_APRIL_6111 4 6 2 4" xfId="26136" xr:uid="{00000000-0005-0000-0000-00000A660000}"/>
    <cellStyle name="0_REVIEW_APRIL_6111 4 6 2 4 2" xfId="26137" xr:uid="{00000000-0005-0000-0000-00000B660000}"/>
    <cellStyle name="0_REVIEW_APRIL_6111 4 6 2 5" xfId="26138" xr:uid="{00000000-0005-0000-0000-00000C660000}"/>
    <cellStyle name="0_REVIEW_APRIL_6111 4 6 2 5 2" xfId="26139" xr:uid="{00000000-0005-0000-0000-00000D660000}"/>
    <cellStyle name="0_REVIEW_APRIL_6111 4 6 2 6" xfId="26140" xr:uid="{00000000-0005-0000-0000-00000E660000}"/>
    <cellStyle name="0_REVIEW_APRIL_6111 4 6 3" xfId="26141" xr:uid="{00000000-0005-0000-0000-00000F660000}"/>
    <cellStyle name="0_REVIEW_APRIL_6111 4 6 3 2" xfId="26142" xr:uid="{00000000-0005-0000-0000-000010660000}"/>
    <cellStyle name="0_REVIEW_APRIL_6111 4 6 3 2 2" xfId="26143" xr:uid="{00000000-0005-0000-0000-000011660000}"/>
    <cellStyle name="0_REVIEW_APRIL_6111 4 6 3 3" xfId="26144" xr:uid="{00000000-0005-0000-0000-000012660000}"/>
    <cellStyle name="0_REVIEW_APRIL_6111 4 6 3 3 2" xfId="26145" xr:uid="{00000000-0005-0000-0000-000013660000}"/>
    <cellStyle name="0_REVIEW_APRIL_6111 4 6 3 4" xfId="26146" xr:uid="{00000000-0005-0000-0000-000014660000}"/>
    <cellStyle name="0_REVIEW_APRIL_6111 4 6 4" xfId="26147" xr:uid="{00000000-0005-0000-0000-000015660000}"/>
    <cellStyle name="0_REVIEW_APRIL_6111 4 6 4 2" xfId="26148" xr:uid="{00000000-0005-0000-0000-000016660000}"/>
    <cellStyle name="0_REVIEW_APRIL_6111 4 6 4 2 2" xfId="26149" xr:uid="{00000000-0005-0000-0000-000017660000}"/>
    <cellStyle name="0_REVIEW_APRIL_6111 4 6 4 3" xfId="26150" xr:uid="{00000000-0005-0000-0000-000018660000}"/>
    <cellStyle name="0_REVIEW_APRIL_6111 4 6 4 3 2" xfId="26151" xr:uid="{00000000-0005-0000-0000-000019660000}"/>
    <cellStyle name="0_REVIEW_APRIL_6111 4 6 4 4" xfId="26152" xr:uid="{00000000-0005-0000-0000-00001A660000}"/>
    <cellStyle name="0_REVIEW_APRIL_6111 4 6 5" xfId="26153" xr:uid="{00000000-0005-0000-0000-00001B660000}"/>
    <cellStyle name="0_REVIEW_APRIL_6111 4 6 5 2" xfId="26154" xr:uid="{00000000-0005-0000-0000-00001C660000}"/>
    <cellStyle name="0_REVIEW_APRIL_6111 4 6 5 2 2" xfId="26155" xr:uid="{00000000-0005-0000-0000-00001D660000}"/>
    <cellStyle name="0_REVIEW_APRIL_6111 4 6 5 3" xfId="26156" xr:uid="{00000000-0005-0000-0000-00001E660000}"/>
    <cellStyle name="0_REVIEW_APRIL_6111 4 6 5 3 2" xfId="26157" xr:uid="{00000000-0005-0000-0000-00001F660000}"/>
    <cellStyle name="0_REVIEW_APRIL_6111 4 6 5 4" xfId="26158" xr:uid="{00000000-0005-0000-0000-000020660000}"/>
    <cellStyle name="0_REVIEW_APRIL_6111 4 6 6" xfId="26159" xr:uid="{00000000-0005-0000-0000-000021660000}"/>
    <cellStyle name="0_REVIEW_APRIL_6111 4 6 6 2" xfId="26160" xr:uid="{00000000-0005-0000-0000-000022660000}"/>
    <cellStyle name="0_REVIEW_APRIL_6111 4 6 7" xfId="26161" xr:uid="{00000000-0005-0000-0000-000023660000}"/>
    <cellStyle name="0_REVIEW_APRIL_6111 4 6 7 2" xfId="26162" xr:uid="{00000000-0005-0000-0000-000024660000}"/>
    <cellStyle name="0_REVIEW_APRIL_6111 4 6 8" xfId="26163" xr:uid="{00000000-0005-0000-0000-000025660000}"/>
    <cellStyle name="0_REVIEW_APRIL_6111 4 7" xfId="26164" xr:uid="{00000000-0005-0000-0000-000026660000}"/>
    <cellStyle name="0_REVIEW_APRIL_6111 4 7 2" xfId="26165" xr:uid="{00000000-0005-0000-0000-000027660000}"/>
    <cellStyle name="0_REVIEW_APRIL_6111 4 7 2 2" xfId="26166" xr:uid="{00000000-0005-0000-0000-000028660000}"/>
    <cellStyle name="0_REVIEW_APRIL_6111 4 7 2 2 2" xfId="26167" xr:uid="{00000000-0005-0000-0000-000029660000}"/>
    <cellStyle name="0_REVIEW_APRIL_6111 4 7 2 3" xfId="26168" xr:uid="{00000000-0005-0000-0000-00002A660000}"/>
    <cellStyle name="0_REVIEW_APRIL_6111 4 7 2 3 2" xfId="26169" xr:uid="{00000000-0005-0000-0000-00002B660000}"/>
    <cellStyle name="0_REVIEW_APRIL_6111 4 7 2 4" xfId="26170" xr:uid="{00000000-0005-0000-0000-00002C660000}"/>
    <cellStyle name="0_REVIEW_APRIL_6111 4 7 3" xfId="26171" xr:uid="{00000000-0005-0000-0000-00002D660000}"/>
    <cellStyle name="0_REVIEW_APRIL_6111 4 7 3 2" xfId="26172" xr:uid="{00000000-0005-0000-0000-00002E660000}"/>
    <cellStyle name="0_REVIEW_APRIL_6111 4 7 3 2 2" xfId="26173" xr:uid="{00000000-0005-0000-0000-00002F660000}"/>
    <cellStyle name="0_REVIEW_APRIL_6111 4 7 3 3" xfId="26174" xr:uid="{00000000-0005-0000-0000-000030660000}"/>
    <cellStyle name="0_REVIEW_APRIL_6111 4 7 3 3 2" xfId="26175" xr:uid="{00000000-0005-0000-0000-000031660000}"/>
    <cellStyle name="0_REVIEW_APRIL_6111 4 7 3 4" xfId="26176" xr:uid="{00000000-0005-0000-0000-000032660000}"/>
    <cellStyle name="0_REVIEW_APRIL_6111 4 7 4" xfId="26177" xr:uid="{00000000-0005-0000-0000-000033660000}"/>
    <cellStyle name="0_REVIEW_APRIL_6111 4 7 4 2" xfId="26178" xr:uid="{00000000-0005-0000-0000-000034660000}"/>
    <cellStyle name="0_REVIEW_APRIL_6111 4 7 5" xfId="26179" xr:uid="{00000000-0005-0000-0000-000035660000}"/>
    <cellStyle name="0_REVIEW_APRIL_6111 4 7 5 2" xfId="26180" xr:uid="{00000000-0005-0000-0000-000036660000}"/>
    <cellStyle name="0_REVIEW_APRIL_6111 4 7 6" xfId="26181" xr:uid="{00000000-0005-0000-0000-000037660000}"/>
    <cellStyle name="0_REVIEW_APRIL_6111 4 8" xfId="26182" xr:uid="{00000000-0005-0000-0000-000038660000}"/>
    <cellStyle name="0_REVIEW_APRIL_6111 4 8 2" xfId="26183" xr:uid="{00000000-0005-0000-0000-000039660000}"/>
    <cellStyle name="0_REVIEW_APRIL_6111 4 8 2 2" xfId="26184" xr:uid="{00000000-0005-0000-0000-00003A660000}"/>
    <cellStyle name="0_REVIEW_APRIL_6111 4 8 3" xfId="26185" xr:uid="{00000000-0005-0000-0000-00003B660000}"/>
    <cellStyle name="0_REVIEW_APRIL_6111 4 8 3 2" xfId="26186" xr:uid="{00000000-0005-0000-0000-00003C660000}"/>
    <cellStyle name="0_REVIEW_APRIL_6111 4 8 4" xfId="26187" xr:uid="{00000000-0005-0000-0000-00003D660000}"/>
    <cellStyle name="0_REVIEW_APRIL_6111 4 9" xfId="26188" xr:uid="{00000000-0005-0000-0000-00003E660000}"/>
    <cellStyle name="0_REVIEW_APRIL_6111 4 9 2" xfId="26189" xr:uid="{00000000-0005-0000-0000-00003F660000}"/>
    <cellStyle name="0_REVIEW_APRIL_6111 4 9 2 2" xfId="26190" xr:uid="{00000000-0005-0000-0000-000040660000}"/>
    <cellStyle name="0_REVIEW_APRIL_6111 4 9 3" xfId="26191" xr:uid="{00000000-0005-0000-0000-000041660000}"/>
    <cellStyle name="0_REVIEW_APRIL_6111 4 9 3 2" xfId="26192" xr:uid="{00000000-0005-0000-0000-000042660000}"/>
    <cellStyle name="0_REVIEW_APRIL_6111 4 9 4" xfId="26193" xr:uid="{00000000-0005-0000-0000-000043660000}"/>
    <cellStyle name="0_REVIEW_APRIL_6111 5" xfId="26194" xr:uid="{00000000-0005-0000-0000-000044660000}"/>
    <cellStyle name="0_REVIEW_APRIL_6111 5 10" xfId="26195" xr:uid="{00000000-0005-0000-0000-000045660000}"/>
    <cellStyle name="0_REVIEW_APRIL_6111 5 10 2" xfId="26196" xr:uid="{00000000-0005-0000-0000-000046660000}"/>
    <cellStyle name="0_REVIEW_APRIL_6111 5 10 2 2" xfId="26197" xr:uid="{00000000-0005-0000-0000-000047660000}"/>
    <cellStyle name="0_REVIEW_APRIL_6111 5 10 3" xfId="26198" xr:uid="{00000000-0005-0000-0000-000048660000}"/>
    <cellStyle name="0_REVIEW_APRIL_6111 5 10 3 2" xfId="26199" xr:uid="{00000000-0005-0000-0000-000049660000}"/>
    <cellStyle name="0_REVIEW_APRIL_6111 5 10 4" xfId="26200" xr:uid="{00000000-0005-0000-0000-00004A660000}"/>
    <cellStyle name="0_REVIEW_APRIL_6111 5 11" xfId="26201" xr:uid="{00000000-0005-0000-0000-00004B660000}"/>
    <cellStyle name="0_REVIEW_APRIL_6111 5 11 2" xfId="26202" xr:uid="{00000000-0005-0000-0000-00004C660000}"/>
    <cellStyle name="0_REVIEW_APRIL_6111 5 12" xfId="26203" xr:uid="{00000000-0005-0000-0000-00004D660000}"/>
    <cellStyle name="0_REVIEW_APRIL_6111 5 12 2" xfId="26204" xr:uid="{00000000-0005-0000-0000-00004E660000}"/>
    <cellStyle name="0_REVIEW_APRIL_6111 5 13" xfId="26205" xr:uid="{00000000-0005-0000-0000-00004F660000}"/>
    <cellStyle name="0_REVIEW_APRIL_6111 5 2" xfId="26206" xr:uid="{00000000-0005-0000-0000-000050660000}"/>
    <cellStyle name="0_REVIEW_APRIL_6111 5 2 2" xfId="26207" xr:uid="{00000000-0005-0000-0000-000051660000}"/>
    <cellStyle name="0_REVIEW_APRIL_6111 5 2 2 2" xfId="26208" xr:uid="{00000000-0005-0000-0000-000052660000}"/>
    <cellStyle name="0_REVIEW_APRIL_6111 5 2 2 2 2" xfId="26209" xr:uid="{00000000-0005-0000-0000-000053660000}"/>
    <cellStyle name="0_REVIEW_APRIL_6111 5 2 2 2 2 2" xfId="26210" xr:uid="{00000000-0005-0000-0000-000054660000}"/>
    <cellStyle name="0_REVIEW_APRIL_6111 5 2 2 2 3" xfId="26211" xr:uid="{00000000-0005-0000-0000-000055660000}"/>
    <cellStyle name="0_REVIEW_APRIL_6111 5 2 2 2 3 2" xfId="26212" xr:uid="{00000000-0005-0000-0000-000056660000}"/>
    <cellStyle name="0_REVIEW_APRIL_6111 5 2 2 2 4" xfId="26213" xr:uid="{00000000-0005-0000-0000-000057660000}"/>
    <cellStyle name="0_REVIEW_APRIL_6111 5 2 2 3" xfId="26214" xr:uid="{00000000-0005-0000-0000-000058660000}"/>
    <cellStyle name="0_REVIEW_APRIL_6111 5 2 2 3 2" xfId="26215" xr:uid="{00000000-0005-0000-0000-000059660000}"/>
    <cellStyle name="0_REVIEW_APRIL_6111 5 2 2 3 2 2" xfId="26216" xr:uid="{00000000-0005-0000-0000-00005A660000}"/>
    <cellStyle name="0_REVIEW_APRIL_6111 5 2 2 3 3" xfId="26217" xr:uid="{00000000-0005-0000-0000-00005B660000}"/>
    <cellStyle name="0_REVIEW_APRIL_6111 5 2 2 3 3 2" xfId="26218" xr:uid="{00000000-0005-0000-0000-00005C660000}"/>
    <cellStyle name="0_REVIEW_APRIL_6111 5 2 2 3 4" xfId="26219" xr:uid="{00000000-0005-0000-0000-00005D660000}"/>
    <cellStyle name="0_REVIEW_APRIL_6111 5 2 2 4" xfId="26220" xr:uid="{00000000-0005-0000-0000-00005E660000}"/>
    <cellStyle name="0_REVIEW_APRIL_6111 5 2 2 4 2" xfId="26221" xr:uid="{00000000-0005-0000-0000-00005F660000}"/>
    <cellStyle name="0_REVIEW_APRIL_6111 5 2 2 5" xfId="26222" xr:uid="{00000000-0005-0000-0000-000060660000}"/>
    <cellStyle name="0_REVIEW_APRIL_6111 5 2 2 5 2" xfId="26223" xr:uid="{00000000-0005-0000-0000-000061660000}"/>
    <cellStyle name="0_REVIEW_APRIL_6111 5 2 2 6" xfId="26224" xr:uid="{00000000-0005-0000-0000-000062660000}"/>
    <cellStyle name="0_REVIEW_APRIL_6111 5 2 3" xfId="26225" xr:uid="{00000000-0005-0000-0000-000063660000}"/>
    <cellStyle name="0_REVIEW_APRIL_6111 5 2 3 2" xfId="26226" xr:uid="{00000000-0005-0000-0000-000064660000}"/>
    <cellStyle name="0_REVIEW_APRIL_6111 5 2 3 2 2" xfId="26227" xr:uid="{00000000-0005-0000-0000-000065660000}"/>
    <cellStyle name="0_REVIEW_APRIL_6111 5 2 3 3" xfId="26228" xr:uid="{00000000-0005-0000-0000-000066660000}"/>
    <cellStyle name="0_REVIEW_APRIL_6111 5 2 3 3 2" xfId="26229" xr:uid="{00000000-0005-0000-0000-000067660000}"/>
    <cellStyle name="0_REVIEW_APRIL_6111 5 2 3 4" xfId="26230" xr:uid="{00000000-0005-0000-0000-000068660000}"/>
    <cellStyle name="0_REVIEW_APRIL_6111 5 2 4" xfId="26231" xr:uid="{00000000-0005-0000-0000-000069660000}"/>
    <cellStyle name="0_REVIEW_APRIL_6111 5 2 4 2" xfId="26232" xr:uid="{00000000-0005-0000-0000-00006A660000}"/>
    <cellStyle name="0_REVIEW_APRIL_6111 5 2 4 2 2" xfId="26233" xr:uid="{00000000-0005-0000-0000-00006B660000}"/>
    <cellStyle name="0_REVIEW_APRIL_6111 5 2 4 3" xfId="26234" xr:uid="{00000000-0005-0000-0000-00006C660000}"/>
    <cellStyle name="0_REVIEW_APRIL_6111 5 2 4 3 2" xfId="26235" xr:uid="{00000000-0005-0000-0000-00006D660000}"/>
    <cellStyle name="0_REVIEW_APRIL_6111 5 2 4 4" xfId="26236" xr:uid="{00000000-0005-0000-0000-00006E660000}"/>
    <cellStyle name="0_REVIEW_APRIL_6111 5 2 5" xfId="26237" xr:uid="{00000000-0005-0000-0000-00006F660000}"/>
    <cellStyle name="0_REVIEW_APRIL_6111 5 2 5 2" xfId="26238" xr:uid="{00000000-0005-0000-0000-000070660000}"/>
    <cellStyle name="0_REVIEW_APRIL_6111 5 2 5 2 2" xfId="26239" xr:uid="{00000000-0005-0000-0000-000071660000}"/>
    <cellStyle name="0_REVIEW_APRIL_6111 5 2 5 3" xfId="26240" xr:uid="{00000000-0005-0000-0000-000072660000}"/>
    <cellStyle name="0_REVIEW_APRIL_6111 5 2 5 3 2" xfId="26241" xr:uid="{00000000-0005-0000-0000-000073660000}"/>
    <cellStyle name="0_REVIEW_APRIL_6111 5 2 5 4" xfId="26242" xr:uid="{00000000-0005-0000-0000-000074660000}"/>
    <cellStyle name="0_REVIEW_APRIL_6111 5 2 6" xfId="26243" xr:uid="{00000000-0005-0000-0000-000075660000}"/>
    <cellStyle name="0_REVIEW_APRIL_6111 5 2 6 2" xfId="26244" xr:uid="{00000000-0005-0000-0000-000076660000}"/>
    <cellStyle name="0_REVIEW_APRIL_6111 5 2 7" xfId="26245" xr:uid="{00000000-0005-0000-0000-000077660000}"/>
    <cellStyle name="0_REVIEW_APRIL_6111 5 2 7 2" xfId="26246" xr:uid="{00000000-0005-0000-0000-000078660000}"/>
    <cellStyle name="0_REVIEW_APRIL_6111 5 2 8" xfId="26247" xr:uid="{00000000-0005-0000-0000-000079660000}"/>
    <cellStyle name="0_REVIEW_APRIL_6111 5 3" xfId="26248" xr:uid="{00000000-0005-0000-0000-00007A660000}"/>
    <cellStyle name="0_REVIEW_APRIL_6111 5 3 2" xfId="26249" xr:uid="{00000000-0005-0000-0000-00007B660000}"/>
    <cellStyle name="0_REVIEW_APRIL_6111 5 3 2 2" xfId="26250" xr:uid="{00000000-0005-0000-0000-00007C660000}"/>
    <cellStyle name="0_REVIEW_APRIL_6111 5 3 2 2 2" xfId="26251" xr:uid="{00000000-0005-0000-0000-00007D660000}"/>
    <cellStyle name="0_REVIEW_APRIL_6111 5 3 2 2 2 2" xfId="26252" xr:uid="{00000000-0005-0000-0000-00007E660000}"/>
    <cellStyle name="0_REVIEW_APRIL_6111 5 3 2 2 3" xfId="26253" xr:uid="{00000000-0005-0000-0000-00007F660000}"/>
    <cellStyle name="0_REVIEW_APRIL_6111 5 3 2 2 3 2" xfId="26254" xr:uid="{00000000-0005-0000-0000-000080660000}"/>
    <cellStyle name="0_REVIEW_APRIL_6111 5 3 2 2 4" xfId="26255" xr:uid="{00000000-0005-0000-0000-000081660000}"/>
    <cellStyle name="0_REVIEW_APRIL_6111 5 3 2 3" xfId="26256" xr:uid="{00000000-0005-0000-0000-000082660000}"/>
    <cellStyle name="0_REVIEW_APRIL_6111 5 3 2 3 2" xfId="26257" xr:uid="{00000000-0005-0000-0000-000083660000}"/>
    <cellStyle name="0_REVIEW_APRIL_6111 5 3 2 3 2 2" xfId="26258" xr:uid="{00000000-0005-0000-0000-000084660000}"/>
    <cellStyle name="0_REVIEW_APRIL_6111 5 3 2 3 3" xfId="26259" xr:uid="{00000000-0005-0000-0000-000085660000}"/>
    <cellStyle name="0_REVIEW_APRIL_6111 5 3 2 3 3 2" xfId="26260" xr:uid="{00000000-0005-0000-0000-000086660000}"/>
    <cellStyle name="0_REVIEW_APRIL_6111 5 3 2 3 4" xfId="26261" xr:uid="{00000000-0005-0000-0000-000087660000}"/>
    <cellStyle name="0_REVIEW_APRIL_6111 5 3 2 4" xfId="26262" xr:uid="{00000000-0005-0000-0000-000088660000}"/>
    <cellStyle name="0_REVIEW_APRIL_6111 5 3 2 4 2" xfId="26263" xr:uid="{00000000-0005-0000-0000-000089660000}"/>
    <cellStyle name="0_REVIEW_APRIL_6111 5 3 2 5" xfId="26264" xr:uid="{00000000-0005-0000-0000-00008A660000}"/>
    <cellStyle name="0_REVIEW_APRIL_6111 5 3 2 5 2" xfId="26265" xr:uid="{00000000-0005-0000-0000-00008B660000}"/>
    <cellStyle name="0_REVIEW_APRIL_6111 5 3 2 6" xfId="26266" xr:uid="{00000000-0005-0000-0000-00008C660000}"/>
    <cellStyle name="0_REVIEW_APRIL_6111 5 3 3" xfId="26267" xr:uid="{00000000-0005-0000-0000-00008D660000}"/>
    <cellStyle name="0_REVIEW_APRIL_6111 5 3 3 2" xfId="26268" xr:uid="{00000000-0005-0000-0000-00008E660000}"/>
    <cellStyle name="0_REVIEW_APRIL_6111 5 3 3 2 2" xfId="26269" xr:uid="{00000000-0005-0000-0000-00008F660000}"/>
    <cellStyle name="0_REVIEW_APRIL_6111 5 3 3 3" xfId="26270" xr:uid="{00000000-0005-0000-0000-000090660000}"/>
    <cellStyle name="0_REVIEW_APRIL_6111 5 3 3 3 2" xfId="26271" xr:uid="{00000000-0005-0000-0000-000091660000}"/>
    <cellStyle name="0_REVIEW_APRIL_6111 5 3 3 4" xfId="26272" xr:uid="{00000000-0005-0000-0000-000092660000}"/>
    <cellStyle name="0_REVIEW_APRIL_6111 5 3 4" xfId="26273" xr:uid="{00000000-0005-0000-0000-000093660000}"/>
    <cellStyle name="0_REVIEW_APRIL_6111 5 3 4 2" xfId="26274" xr:uid="{00000000-0005-0000-0000-000094660000}"/>
    <cellStyle name="0_REVIEW_APRIL_6111 5 3 4 2 2" xfId="26275" xr:uid="{00000000-0005-0000-0000-000095660000}"/>
    <cellStyle name="0_REVIEW_APRIL_6111 5 3 4 3" xfId="26276" xr:uid="{00000000-0005-0000-0000-000096660000}"/>
    <cellStyle name="0_REVIEW_APRIL_6111 5 3 4 3 2" xfId="26277" xr:uid="{00000000-0005-0000-0000-000097660000}"/>
    <cellStyle name="0_REVIEW_APRIL_6111 5 3 4 4" xfId="26278" xr:uid="{00000000-0005-0000-0000-000098660000}"/>
    <cellStyle name="0_REVIEW_APRIL_6111 5 3 5" xfId="26279" xr:uid="{00000000-0005-0000-0000-000099660000}"/>
    <cellStyle name="0_REVIEW_APRIL_6111 5 3 5 2" xfId="26280" xr:uid="{00000000-0005-0000-0000-00009A660000}"/>
    <cellStyle name="0_REVIEW_APRIL_6111 5 3 5 2 2" xfId="26281" xr:uid="{00000000-0005-0000-0000-00009B660000}"/>
    <cellStyle name="0_REVIEW_APRIL_6111 5 3 5 3" xfId="26282" xr:uid="{00000000-0005-0000-0000-00009C660000}"/>
    <cellStyle name="0_REVIEW_APRIL_6111 5 3 5 3 2" xfId="26283" xr:uid="{00000000-0005-0000-0000-00009D660000}"/>
    <cellStyle name="0_REVIEW_APRIL_6111 5 3 5 4" xfId="26284" xr:uid="{00000000-0005-0000-0000-00009E660000}"/>
    <cellStyle name="0_REVIEW_APRIL_6111 5 3 6" xfId="26285" xr:uid="{00000000-0005-0000-0000-00009F660000}"/>
    <cellStyle name="0_REVIEW_APRIL_6111 5 3 6 2" xfId="26286" xr:uid="{00000000-0005-0000-0000-0000A0660000}"/>
    <cellStyle name="0_REVIEW_APRIL_6111 5 3 7" xfId="26287" xr:uid="{00000000-0005-0000-0000-0000A1660000}"/>
    <cellStyle name="0_REVIEW_APRIL_6111 5 3 7 2" xfId="26288" xr:uid="{00000000-0005-0000-0000-0000A2660000}"/>
    <cellStyle name="0_REVIEW_APRIL_6111 5 3 8" xfId="26289" xr:uid="{00000000-0005-0000-0000-0000A3660000}"/>
    <cellStyle name="0_REVIEW_APRIL_6111 5 4" xfId="26290" xr:uid="{00000000-0005-0000-0000-0000A4660000}"/>
    <cellStyle name="0_REVIEW_APRIL_6111 5 4 2" xfId="26291" xr:uid="{00000000-0005-0000-0000-0000A5660000}"/>
    <cellStyle name="0_REVIEW_APRIL_6111 5 4 2 2" xfId="26292" xr:uid="{00000000-0005-0000-0000-0000A6660000}"/>
    <cellStyle name="0_REVIEW_APRIL_6111 5 4 2 2 2" xfId="26293" xr:uid="{00000000-0005-0000-0000-0000A7660000}"/>
    <cellStyle name="0_REVIEW_APRIL_6111 5 4 2 2 2 2" xfId="26294" xr:uid="{00000000-0005-0000-0000-0000A8660000}"/>
    <cellStyle name="0_REVIEW_APRIL_6111 5 4 2 2 3" xfId="26295" xr:uid="{00000000-0005-0000-0000-0000A9660000}"/>
    <cellStyle name="0_REVIEW_APRIL_6111 5 4 2 2 3 2" xfId="26296" xr:uid="{00000000-0005-0000-0000-0000AA660000}"/>
    <cellStyle name="0_REVIEW_APRIL_6111 5 4 2 2 4" xfId="26297" xr:uid="{00000000-0005-0000-0000-0000AB660000}"/>
    <cellStyle name="0_REVIEW_APRIL_6111 5 4 2 3" xfId="26298" xr:uid="{00000000-0005-0000-0000-0000AC660000}"/>
    <cellStyle name="0_REVIEW_APRIL_6111 5 4 2 3 2" xfId="26299" xr:uid="{00000000-0005-0000-0000-0000AD660000}"/>
    <cellStyle name="0_REVIEW_APRIL_6111 5 4 2 3 2 2" xfId="26300" xr:uid="{00000000-0005-0000-0000-0000AE660000}"/>
    <cellStyle name="0_REVIEW_APRIL_6111 5 4 2 3 3" xfId="26301" xr:uid="{00000000-0005-0000-0000-0000AF660000}"/>
    <cellStyle name="0_REVIEW_APRIL_6111 5 4 2 3 3 2" xfId="26302" xr:uid="{00000000-0005-0000-0000-0000B0660000}"/>
    <cellStyle name="0_REVIEW_APRIL_6111 5 4 2 3 4" xfId="26303" xr:uid="{00000000-0005-0000-0000-0000B1660000}"/>
    <cellStyle name="0_REVIEW_APRIL_6111 5 4 2 4" xfId="26304" xr:uid="{00000000-0005-0000-0000-0000B2660000}"/>
    <cellStyle name="0_REVIEW_APRIL_6111 5 4 2 4 2" xfId="26305" xr:uid="{00000000-0005-0000-0000-0000B3660000}"/>
    <cellStyle name="0_REVIEW_APRIL_6111 5 4 2 5" xfId="26306" xr:uid="{00000000-0005-0000-0000-0000B4660000}"/>
    <cellStyle name="0_REVIEW_APRIL_6111 5 4 2 5 2" xfId="26307" xr:uid="{00000000-0005-0000-0000-0000B5660000}"/>
    <cellStyle name="0_REVIEW_APRIL_6111 5 4 2 6" xfId="26308" xr:uid="{00000000-0005-0000-0000-0000B6660000}"/>
    <cellStyle name="0_REVIEW_APRIL_6111 5 4 3" xfId="26309" xr:uid="{00000000-0005-0000-0000-0000B7660000}"/>
    <cellStyle name="0_REVIEW_APRIL_6111 5 4 3 2" xfId="26310" xr:uid="{00000000-0005-0000-0000-0000B8660000}"/>
    <cellStyle name="0_REVIEW_APRIL_6111 5 4 3 2 2" xfId="26311" xr:uid="{00000000-0005-0000-0000-0000B9660000}"/>
    <cellStyle name="0_REVIEW_APRIL_6111 5 4 3 3" xfId="26312" xr:uid="{00000000-0005-0000-0000-0000BA660000}"/>
    <cellStyle name="0_REVIEW_APRIL_6111 5 4 3 3 2" xfId="26313" xr:uid="{00000000-0005-0000-0000-0000BB660000}"/>
    <cellStyle name="0_REVIEW_APRIL_6111 5 4 3 4" xfId="26314" xr:uid="{00000000-0005-0000-0000-0000BC660000}"/>
    <cellStyle name="0_REVIEW_APRIL_6111 5 4 4" xfId="26315" xr:uid="{00000000-0005-0000-0000-0000BD660000}"/>
    <cellStyle name="0_REVIEW_APRIL_6111 5 4 4 2" xfId="26316" xr:uid="{00000000-0005-0000-0000-0000BE660000}"/>
    <cellStyle name="0_REVIEW_APRIL_6111 5 4 4 2 2" xfId="26317" xr:uid="{00000000-0005-0000-0000-0000BF660000}"/>
    <cellStyle name="0_REVIEW_APRIL_6111 5 4 4 3" xfId="26318" xr:uid="{00000000-0005-0000-0000-0000C0660000}"/>
    <cellStyle name="0_REVIEW_APRIL_6111 5 4 4 3 2" xfId="26319" xr:uid="{00000000-0005-0000-0000-0000C1660000}"/>
    <cellStyle name="0_REVIEW_APRIL_6111 5 4 4 4" xfId="26320" xr:uid="{00000000-0005-0000-0000-0000C2660000}"/>
    <cellStyle name="0_REVIEW_APRIL_6111 5 4 5" xfId="26321" xr:uid="{00000000-0005-0000-0000-0000C3660000}"/>
    <cellStyle name="0_REVIEW_APRIL_6111 5 4 5 2" xfId="26322" xr:uid="{00000000-0005-0000-0000-0000C4660000}"/>
    <cellStyle name="0_REVIEW_APRIL_6111 5 4 5 2 2" xfId="26323" xr:uid="{00000000-0005-0000-0000-0000C5660000}"/>
    <cellStyle name="0_REVIEW_APRIL_6111 5 4 5 3" xfId="26324" xr:uid="{00000000-0005-0000-0000-0000C6660000}"/>
    <cellStyle name="0_REVIEW_APRIL_6111 5 4 5 3 2" xfId="26325" xr:uid="{00000000-0005-0000-0000-0000C7660000}"/>
    <cellStyle name="0_REVIEW_APRIL_6111 5 4 5 4" xfId="26326" xr:uid="{00000000-0005-0000-0000-0000C8660000}"/>
    <cellStyle name="0_REVIEW_APRIL_6111 5 4 6" xfId="26327" xr:uid="{00000000-0005-0000-0000-0000C9660000}"/>
    <cellStyle name="0_REVIEW_APRIL_6111 5 4 6 2" xfId="26328" xr:uid="{00000000-0005-0000-0000-0000CA660000}"/>
    <cellStyle name="0_REVIEW_APRIL_6111 5 4 7" xfId="26329" xr:uid="{00000000-0005-0000-0000-0000CB660000}"/>
    <cellStyle name="0_REVIEW_APRIL_6111 5 4 7 2" xfId="26330" xr:uid="{00000000-0005-0000-0000-0000CC660000}"/>
    <cellStyle name="0_REVIEW_APRIL_6111 5 4 8" xfId="26331" xr:uid="{00000000-0005-0000-0000-0000CD660000}"/>
    <cellStyle name="0_REVIEW_APRIL_6111 5 5" xfId="26332" xr:uid="{00000000-0005-0000-0000-0000CE660000}"/>
    <cellStyle name="0_REVIEW_APRIL_6111 5 5 2" xfId="26333" xr:uid="{00000000-0005-0000-0000-0000CF660000}"/>
    <cellStyle name="0_REVIEW_APRIL_6111 5 5 2 2" xfId="26334" xr:uid="{00000000-0005-0000-0000-0000D0660000}"/>
    <cellStyle name="0_REVIEW_APRIL_6111 5 5 2 2 2" xfId="26335" xr:uid="{00000000-0005-0000-0000-0000D1660000}"/>
    <cellStyle name="0_REVIEW_APRIL_6111 5 5 2 2 2 2" xfId="26336" xr:uid="{00000000-0005-0000-0000-0000D2660000}"/>
    <cellStyle name="0_REVIEW_APRIL_6111 5 5 2 2 3" xfId="26337" xr:uid="{00000000-0005-0000-0000-0000D3660000}"/>
    <cellStyle name="0_REVIEW_APRIL_6111 5 5 2 2 3 2" xfId="26338" xr:uid="{00000000-0005-0000-0000-0000D4660000}"/>
    <cellStyle name="0_REVIEW_APRIL_6111 5 5 2 2 4" xfId="26339" xr:uid="{00000000-0005-0000-0000-0000D5660000}"/>
    <cellStyle name="0_REVIEW_APRIL_6111 5 5 2 3" xfId="26340" xr:uid="{00000000-0005-0000-0000-0000D6660000}"/>
    <cellStyle name="0_REVIEW_APRIL_6111 5 5 2 3 2" xfId="26341" xr:uid="{00000000-0005-0000-0000-0000D7660000}"/>
    <cellStyle name="0_REVIEW_APRIL_6111 5 5 2 3 2 2" xfId="26342" xr:uid="{00000000-0005-0000-0000-0000D8660000}"/>
    <cellStyle name="0_REVIEW_APRIL_6111 5 5 2 3 3" xfId="26343" xr:uid="{00000000-0005-0000-0000-0000D9660000}"/>
    <cellStyle name="0_REVIEW_APRIL_6111 5 5 2 3 3 2" xfId="26344" xr:uid="{00000000-0005-0000-0000-0000DA660000}"/>
    <cellStyle name="0_REVIEW_APRIL_6111 5 5 2 3 4" xfId="26345" xr:uid="{00000000-0005-0000-0000-0000DB660000}"/>
    <cellStyle name="0_REVIEW_APRIL_6111 5 5 2 4" xfId="26346" xr:uid="{00000000-0005-0000-0000-0000DC660000}"/>
    <cellStyle name="0_REVIEW_APRIL_6111 5 5 2 4 2" xfId="26347" xr:uid="{00000000-0005-0000-0000-0000DD660000}"/>
    <cellStyle name="0_REVIEW_APRIL_6111 5 5 2 5" xfId="26348" xr:uid="{00000000-0005-0000-0000-0000DE660000}"/>
    <cellStyle name="0_REVIEW_APRIL_6111 5 5 2 5 2" xfId="26349" xr:uid="{00000000-0005-0000-0000-0000DF660000}"/>
    <cellStyle name="0_REVIEW_APRIL_6111 5 5 2 6" xfId="26350" xr:uid="{00000000-0005-0000-0000-0000E0660000}"/>
    <cellStyle name="0_REVIEW_APRIL_6111 5 5 3" xfId="26351" xr:uid="{00000000-0005-0000-0000-0000E1660000}"/>
    <cellStyle name="0_REVIEW_APRIL_6111 5 5 3 2" xfId="26352" xr:uid="{00000000-0005-0000-0000-0000E2660000}"/>
    <cellStyle name="0_REVIEW_APRIL_6111 5 5 3 2 2" xfId="26353" xr:uid="{00000000-0005-0000-0000-0000E3660000}"/>
    <cellStyle name="0_REVIEW_APRIL_6111 5 5 3 3" xfId="26354" xr:uid="{00000000-0005-0000-0000-0000E4660000}"/>
    <cellStyle name="0_REVIEW_APRIL_6111 5 5 3 3 2" xfId="26355" xr:uid="{00000000-0005-0000-0000-0000E5660000}"/>
    <cellStyle name="0_REVIEW_APRIL_6111 5 5 3 4" xfId="26356" xr:uid="{00000000-0005-0000-0000-0000E6660000}"/>
    <cellStyle name="0_REVIEW_APRIL_6111 5 5 4" xfId="26357" xr:uid="{00000000-0005-0000-0000-0000E7660000}"/>
    <cellStyle name="0_REVIEW_APRIL_6111 5 5 4 2" xfId="26358" xr:uid="{00000000-0005-0000-0000-0000E8660000}"/>
    <cellStyle name="0_REVIEW_APRIL_6111 5 5 4 2 2" xfId="26359" xr:uid="{00000000-0005-0000-0000-0000E9660000}"/>
    <cellStyle name="0_REVIEW_APRIL_6111 5 5 4 3" xfId="26360" xr:uid="{00000000-0005-0000-0000-0000EA660000}"/>
    <cellStyle name="0_REVIEW_APRIL_6111 5 5 4 3 2" xfId="26361" xr:uid="{00000000-0005-0000-0000-0000EB660000}"/>
    <cellStyle name="0_REVIEW_APRIL_6111 5 5 4 4" xfId="26362" xr:uid="{00000000-0005-0000-0000-0000EC660000}"/>
    <cellStyle name="0_REVIEW_APRIL_6111 5 5 5" xfId="26363" xr:uid="{00000000-0005-0000-0000-0000ED660000}"/>
    <cellStyle name="0_REVIEW_APRIL_6111 5 5 5 2" xfId="26364" xr:uid="{00000000-0005-0000-0000-0000EE660000}"/>
    <cellStyle name="0_REVIEW_APRIL_6111 5 5 5 2 2" xfId="26365" xr:uid="{00000000-0005-0000-0000-0000EF660000}"/>
    <cellStyle name="0_REVIEW_APRIL_6111 5 5 5 3" xfId="26366" xr:uid="{00000000-0005-0000-0000-0000F0660000}"/>
    <cellStyle name="0_REVIEW_APRIL_6111 5 5 5 3 2" xfId="26367" xr:uid="{00000000-0005-0000-0000-0000F1660000}"/>
    <cellStyle name="0_REVIEW_APRIL_6111 5 5 5 4" xfId="26368" xr:uid="{00000000-0005-0000-0000-0000F2660000}"/>
    <cellStyle name="0_REVIEW_APRIL_6111 5 5 6" xfId="26369" xr:uid="{00000000-0005-0000-0000-0000F3660000}"/>
    <cellStyle name="0_REVIEW_APRIL_6111 5 5 6 2" xfId="26370" xr:uid="{00000000-0005-0000-0000-0000F4660000}"/>
    <cellStyle name="0_REVIEW_APRIL_6111 5 5 7" xfId="26371" xr:uid="{00000000-0005-0000-0000-0000F5660000}"/>
    <cellStyle name="0_REVIEW_APRIL_6111 5 5 7 2" xfId="26372" xr:uid="{00000000-0005-0000-0000-0000F6660000}"/>
    <cellStyle name="0_REVIEW_APRIL_6111 5 5 8" xfId="26373" xr:uid="{00000000-0005-0000-0000-0000F7660000}"/>
    <cellStyle name="0_REVIEW_APRIL_6111 5 6" xfId="26374" xr:uid="{00000000-0005-0000-0000-0000F8660000}"/>
    <cellStyle name="0_REVIEW_APRIL_6111 5 6 2" xfId="26375" xr:uid="{00000000-0005-0000-0000-0000F9660000}"/>
    <cellStyle name="0_REVIEW_APRIL_6111 5 6 2 2" xfId="26376" xr:uid="{00000000-0005-0000-0000-0000FA660000}"/>
    <cellStyle name="0_REVIEW_APRIL_6111 5 6 2 2 2" xfId="26377" xr:uid="{00000000-0005-0000-0000-0000FB660000}"/>
    <cellStyle name="0_REVIEW_APRIL_6111 5 6 2 2 2 2" xfId="26378" xr:uid="{00000000-0005-0000-0000-0000FC660000}"/>
    <cellStyle name="0_REVIEW_APRIL_6111 5 6 2 2 3" xfId="26379" xr:uid="{00000000-0005-0000-0000-0000FD660000}"/>
    <cellStyle name="0_REVIEW_APRIL_6111 5 6 2 2 3 2" xfId="26380" xr:uid="{00000000-0005-0000-0000-0000FE660000}"/>
    <cellStyle name="0_REVIEW_APRIL_6111 5 6 2 2 4" xfId="26381" xr:uid="{00000000-0005-0000-0000-0000FF660000}"/>
    <cellStyle name="0_REVIEW_APRIL_6111 5 6 2 3" xfId="26382" xr:uid="{00000000-0005-0000-0000-000000670000}"/>
    <cellStyle name="0_REVIEW_APRIL_6111 5 6 2 3 2" xfId="26383" xr:uid="{00000000-0005-0000-0000-000001670000}"/>
    <cellStyle name="0_REVIEW_APRIL_6111 5 6 2 3 2 2" xfId="26384" xr:uid="{00000000-0005-0000-0000-000002670000}"/>
    <cellStyle name="0_REVIEW_APRIL_6111 5 6 2 3 3" xfId="26385" xr:uid="{00000000-0005-0000-0000-000003670000}"/>
    <cellStyle name="0_REVIEW_APRIL_6111 5 6 2 3 3 2" xfId="26386" xr:uid="{00000000-0005-0000-0000-000004670000}"/>
    <cellStyle name="0_REVIEW_APRIL_6111 5 6 2 3 4" xfId="26387" xr:uid="{00000000-0005-0000-0000-000005670000}"/>
    <cellStyle name="0_REVIEW_APRIL_6111 5 6 2 4" xfId="26388" xr:uid="{00000000-0005-0000-0000-000006670000}"/>
    <cellStyle name="0_REVIEW_APRIL_6111 5 6 2 4 2" xfId="26389" xr:uid="{00000000-0005-0000-0000-000007670000}"/>
    <cellStyle name="0_REVIEW_APRIL_6111 5 6 2 5" xfId="26390" xr:uid="{00000000-0005-0000-0000-000008670000}"/>
    <cellStyle name="0_REVIEW_APRIL_6111 5 6 2 5 2" xfId="26391" xr:uid="{00000000-0005-0000-0000-000009670000}"/>
    <cellStyle name="0_REVIEW_APRIL_6111 5 6 2 6" xfId="26392" xr:uid="{00000000-0005-0000-0000-00000A670000}"/>
    <cellStyle name="0_REVIEW_APRIL_6111 5 6 3" xfId="26393" xr:uid="{00000000-0005-0000-0000-00000B670000}"/>
    <cellStyle name="0_REVIEW_APRIL_6111 5 6 3 2" xfId="26394" xr:uid="{00000000-0005-0000-0000-00000C670000}"/>
    <cellStyle name="0_REVIEW_APRIL_6111 5 6 3 2 2" xfId="26395" xr:uid="{00000000-0005-0000-0000-00000D670000}"/>
    <cellStyle name="0_REVIEW_APRIL_6111 5 6 3 3" xfId="26396" xr:uid="{00000000-0005-0000-0000-00000E670000}"/>
    <cellStyle name="0_REVIEW_APRIL_6111 5 6 3 3 2" xfId="26397" xr:uid="{00000000-0005-0000-0000-00000F670000}"/>
    <cellStyle name="0_REVIEW_APRIL_6111 5 6 3 4" xfId="26398" xr:uid="{00000000-0005-0000-0000-000010670000}"/>
    <cellStyle name="0_REVIEW_APRIL_6111 5 6 4" xfId="26399" xr:uid="{00000000-0005-0000-0000-000011670000}"/>
    <cellStyle name="0_REVIEW_APRIL_6111 5 6 4 2" xfId="26400" xr:uid="{00000000-0005-0000-0000-000012670000}"/>
    <cellStyle name="0_REVIEW_APRIL_6111 5 6 4 2 2" xfId="26401" xr:uid="{00000000-0005-0000-0000-000013670000}"/>
    <cellStyle name="0_REVIEW_APRIL_6111 5 6 4 3" xfId="26402" xr:uid="{00000000-0005-0000-0000-000014670000}"/>
    <cellStyle name="0_REVIEW_APRIL_6111 5 6 4 3 2" xfId="26403" xr:uid="{00000000-0005-0000-0000-000015670000}"/>
    <cellStyle name="0_REVIEW_APRIL_6111 5 6 4 4" xfId="26404" xr:uid="{00000000-0005-0000-0000-000016670000}"/>
    <cellStyle name="0_REVIEW_APRIL_6111 5 6 5" xfId="26405" xr:uid="{00000000-0005-0000-0000-000017670000}"/>
    <cellStyle name="0_REVIEW_APRIL_6111 5 6 5 2" xfId="26406" xr:uid="{00000000-0005-0000-0000-000018670000}"/>
    <cellStyle name="0_REVIEW_APRIL_6111 5 6 5 2 2" xfId="26407" xr:uid="{00000000-0005-0000-0000-000019670000}"/>
    <cellStyle name="0_REVIEW_APRIL_6111 5 6 5 3" xfId="26408" xr:uid="{00000000-0005-0000-0000-00001A670000}"/>
    <cellStyle name="0_REVIEW_APRIL_6111 5 6 5 3 2" xfId="26409" xr:uid="{00000000-0005-0000-0000-00001B670000}"/>
    <cellStyle name="0_REVIEW_APRIL_6111 5 6 5 4" xfId="26410" xr:uid="{00000000-0005-0000-0000-00001C670000}"/>
    <cellStyle name="0_REVIEW_APRIL_6111 5 6 6" xfId="26411" xr:uid="{00000000-0005-0000-0000-00001D670000}"/>
    <cellStyle name="0_REVIEW_APRIL_6111 5 6 6 2" xfId="26412" xr:uid="{00000000-0005-0000-0000-00001E670000}"/>
    <cellStyle name="0_REVIEW_APRIL_6111 5 6 7" xfId="26413" xr:uid="{00000000-0005-0000-0000-00001F670000}"/>
    <cellStyle name="0_REVIEW_APRIL_6111 5 6 7 2" xfId="26414" xr:uid="{00000000-0005-0000-0000-000020670000}"/>
    <cellStyle name="0_REVIEW_APRIL_6111 5 6 8" xfId="26415" xr:uid="{00000000-0005-0000-0000-000021670000}"/>
    <cellStyle name="0_REVIEW_APRIL_6111 5 7" xfId="26416" xr:uid="{00000000-0005-0000-0000-000022670000}"/>
    <cellStyle name="0_REVIEW_APRIL_6111 5 7 2" xfId="26417" xr:uid="{00000000-0005-0000-0000-000023670000}"/>
    <cellStyle name="0_REVIEW_APRIL_6111 5 7 2 2" xfId="26418" xr:uid="{00000000-0005-0000-0000-000024670000}"/>
    <cellStyle name="0_REVIEW_APRIL_6111 5 7 2 2 2" xfId="26419" xr:uid="{00000000-0005-0000-0000-000025670000}"/>
    <cellStyle name="0_REVIEW_APRIL_6111 5 7 2 3" xfId="26420" xr:uid="{00000000-0005-0000-0000-000026670000}"/>
    <cellStyle name="0_REVIEW_APRIL_6111 5 7 2 3 2" xfId="26421" xr:uid="{00000000-0005-0000-0000-000027670000}"/>
    <cellStyle name="0_REVIEW_APRIL_6111 5 7 2 4" xfId="26422" xr:uid="{00000000-0005-0000-0000-000028670000}"/>
    <cellStyle name="0_REVIEW_APRIL_6111 5 7 3" xfId="26423" xr:uid="{00000000-0005-0000-0000-000029670000}"/>
    <cellStyle name="0_REVIEW_APRIL_6111 5 7 3 2" xfId="26424" xr:uid="{00000000-0005-0000-0000-00002A670000}"/>
    <cellStyle name="0_REVIEW_APRIL_6111 5 7 3 2 2" xfId="26425" xr:uid="{00000000-0005-0000-0000-00002B670000}"/>
    <cellStyle name="0_REVIEW_APRIL_6111 5 7 3 3" xfId="26426" xr:uid="{00000000-0005-0000-0000-00002C670000}"/>
    <cellStyle name="0_REVIEW_APRIL_6111 5 7 3 3 2" xfId="26427" xr:uid="{00000000-0005-0000-0000-00002D670000}"/>
    <cellStyle name="0_REVIEW_APRIL_6111 5 7 3 4" xfId="26428" xr:uid="{00000000-0005-0000-0000-00002E670000}"/>
    <cellStyle name="0_REVIEW_APRIL_6111 5 7 4" xfId="26429" xr:uid="{00000000-0005-0000-0000-00002F670000}"/>
    <cellStyle name="0_REVIEW_APRIL_6111 5 7 4 2" xfId="26430" xr:uid="{00000000-0005-0000-0000-000030670000}"/>
    <cellStyle name="0_REVIEW_APRIL_6111 5 7 5" xfId="26431" xr:uid="{00000000-0005-0000-0000-000031670000}"/>
    <cellStyle name="0_REVIEW_APRIL_6111 5 7 5 2" xfId="26432" xr:uid="{00000000-0005-0000-0000-000032670000}"/>
    <cellStyle name="0_REVIEW_APRIL_6111 5 7 6" xfId="26433" xr:uid="{00000000-0005-0000-0000-000033670000}"/>
    <cellStyle name="0_REVIEW_APRIL_6111 5 8" xfId="26434" xr:uid="{00000000-0005-0000-0000-000034670000}"/>
    <cellStyle name="0_REVIEW_APRIL_6111 5 8 2" xfId="26435" xr:uid="{00000000-0005-0000-0000-000035670000}"/>
    <cellStyle name="0_REVIEW_APRIL_6111 5 8 2 2" xfId="26436" xr:uid="{00000000-0005-0000-0000-000036670000}"/>
    <cellStyle name="0_REVIEW_APRIL_6111 5 8 3" xfId="26437" xr:uid="{00000000-0005-0000-0000-000037670000}"/>
    <cellStyle name="0_REVIEW_APRIL_6111 5 8 3 2" xfId="26438" xr:uid="{00000000-0005-0000-0000-000038670000}"/>
    <cellStyle name="0_REVIEW_APRIL_6111 5 8 4" xfId="26439" xr:uid="{00000000-0005-0000-0000-000039670000}"/>
    <cellStyle name="0_REVIEW_APRIL_6111 5 9" xfId="26440" xr:uid="{00000000-0005-0000-0000-00003A670000}"/>
    <cellStyle name="0_REVIEW_APRIL_6111 5 9 2" xfId="26441" xr:uid="{00000000-0005-0000-0000-00003B670000}"/>
    <cellStyle name="0_REVIEW_APRIL_6111 5 9 2 2" xfId="26442" xr:uid="{00000000-0005-0000-0000-00003C670000}"/>
    <cellStyle name="0_REVIEW_APRIL_6111 5 9 3" xfId="26443" xr:uid="{00000000-0005-0000-0000-00003D670000}"/>
    <cellStyle name="0_REVIEW_APRIL_6111 5 9 3 2" xfId="26444" xr:uid="{00000000-0005-0000-0000-00003E670000}"/>
    <cellStyle name="0_REVIEW_APRIL_6111 5 9 4" xfId="26445" xr:uid="{00000000-0005-0000-0000-00003F670000}"/>
    <cellStyle name="0_REVIEW_APRIL_6111 6" xfId="26446" xr:uid="{00000000-0005-0000-0000-000040670000}"/>
    <cellStyle name="0_REVIEW_APRIL_6111 6 2" xfId="26447" xr:uid="{00000000-0005-0000-0000-000041670000}"/>
    <cellStyle name="0_REVIEW_APRIL_6111 6 2 2" xfId="26448" xr:uid="{00000000-0005-0000-0000-000042670000}"/>
    <cellStyle name="0_REVIEW_APRIL_6111 6 2 2 2" xfId="26449" xr:uid="{00000000-0005-0000-0000-000043670000}"/>
    <cellStyle name="0_REVIEW_APRIL_6111 6 2 2 2 2" xfId="26450" xr:uid="{00000000-0005-0000-0000-000044670000}"/>
    <cellStyle name="0_REVIEW_APRIL_6111 6 2 2 3" xfId="26451" xr:uid="{00000000-0005-0000-0000-000045670000}"/>
    <cellStyle name="0_REVIEW_APRIL_6111 6 2 2 3 2" xfId="26452" xr:uid="{00000000-0005-0000-0000-000046670000}"/>
    <cellStyle name="0_REVIEW_APRIL_6111 6 2 2 4" xfId="26453" xr:uid="{00000000-0005-0000-0000-000047670000}"/>
    <cellStyle name="0_REVIEW_APRIL_6111 6 2 3" xfId="26454" xr:uid="{00000000-0005-0000-0000-000048670000}"/>
    <cellStyle name="0_REVIEW_APRIL_6111 6 2 3 2" xfId="26455" xr:uid="{00000000-0005-0000-0000-000049670000}"/>
    <cellStyle name="0_REVIEW_APRIL_6111 6 2 3 2 2" xfId="26456" xr:uid="{00000000-0005-0000-0000-00004A670000}"/>
    <cellStyle name="0_REVIEW_APRIL_6111 6 2 3 3" xfId="26457" xr:uid="{00000000-0005-0000-0000-00004B670000}"/>
    <cellStyle name="0_REVIEW_APRIL_6111 6 2 3 3 2" xfId="26458" xr:uid="{00000000-0005-0000-0000-00004C670000}"/>
    <cellStyle name="0_REVIEW_APRIL_6111 6 2 3 4" xfId="26459" xr:uid="{00000000-0005-0000-0000-00004D670000}"/>
    <cellStyle name="0_REVIEW_APRIL_6111 6 2 4" xfId="26460" xr:uid="{00000000-0005-0000-0000-00004E670000}"/>
    <cellStyle name="0_REVIEW_APRIL_6111 6 2 4 2" xfId="26461" xr:uid="{00000000-0005-0000-0000-00004F670000}"/>
    <cellStyle name="0_REVIEW_APRIL_6111 6 2 5" xfId="26462" xr:uid="{00000000-0005-0000-0000-000050670000}"/>
    <cellStyle name="0_REVIEW_APRIL_6111 6 2 5 2" xfId="26463" xr:uid="{00000000-0005-0000-0000-000051670000}"/>
    <cellStyle name="0_REVIEW_APRIL_6111 6 2 6" xfId="26464" xr:uid="{00000000-0005-0000-0000-000052670000}"/>
    <cellStyle name="0_REVIEW_APRIL_6111 6 3" xfId="26465" xr:uid="{00000000-0005-0000-0000-000053670000}"/>
    <cellStyle name="0_REVIEW_APRIL_6111 6 3 2" xfId="26466" xr:uid="{00000000-0005-0000-0000-000054670000}"/>
    <cellStyle name="0_REVIEW_APRIL_6111 6 3 2 2" xfId="26467" xr:uid="{00000000-0005-0000-0000-000055670000}"/>
    <cellStyle name="0_REVIEW_APRIL_6111 6 3 3" xfId="26468" xr:uid="{00000000-0005-0000-0000-000056670000}"/>
    <cellStyle name="0_REVIEW_APRIL_6111 6 3 3 2" xfId="26469" xr:uid="{00000000-0005-0000-0000-000057670000}"/>
    <cellStyle name="0_REVIEW_APRIL_6111 6 3 4" xfId="26470" xr:uid="{00000000-0005-0000-0000-000058670000}"/>
    <cellStyle name="0_REVIEW_APRIL_6111 6 4" xfId="26471" xr:uid="{00000000-0005-0000-0000-000059670000}"/>
    <cellStyle name="0_REVIEW_APRIL_6111 6 4 2" xfId="26472" xr:uid="{00000000-0005-0000-0000-00005A670000}"/>
    <cellStyle name="0_REVIEW_APRIL_6111 6 4 2 2" xfId="26473" xr:uid="{00000000-0005-0000-0000-00005B670000}"/>
    <cellStyle name="0_REVIEW_APRIL_6111 6 4 3" xfId="26474" xr:uid="{00000000-0005-0000-0000-00005C670000}"/>
    <cellStyle name="0_REVIEW_APRIL_6111 6 4 3 2" xfId="26475" xr:uid="{00000000-0005-0000-0000-00005D670000}"/>
    <cellStyle name="0_REVIEW_APRIL_6111 6 4 4" xfId="26476" xr:uid="{00000000-0005-0000-0000-00005E670000}"/>
    <cellStyle name="0_REVIEW_APRIL_6111 6 5" xfId="26477" xr:uid="{00000000-0005-0000-0000-00005F670000}"/>
    <cellStyle name="0_REVIEW_APRIL_6111 6 5 2" xfId="26478" xr:uid="{00000000-0005-0000-0000-000060670000}"/>
    <cellStyle name="0_REVIEW_APRIL_6111 6 5 2 2" xfId="26479" xr:uid="{00000000-0005-0000-0000-000061670000}"/>
    <cellStyle name="0_REVIEW_APRIL_6111 6 5 3" xfId="26480" xr:uid="{00000000-0005-0000-0000-000062670000}"/>
    <cellStyle name="0_REVIEW_APRIL_6111 6 5 3 2" xfId="26481" xr:uid="{00000000-0005-0000-0000-000063670000}"/>
    <cellStyle name="0_REVIEW_APRIL_6111 6 5 4" xfId="26482" xr:uid="{00000000-0005-0000-0000-000064670000}"/>
    <cellStyle name="0_REVIEW_APRIL_6111 6 6" xfId="26483" xr:uid="{00000000-0005-0000-0000-000065670000}"/>
    <cellStyle name="0_REVIEW_APRIL_6111 6 6 2" xfId="26484" xr:uid="{00000000-0005-0000-0000-000066670000}"/>
    <cellStyle name="0_REVIEW_APRIL_6111 6 7" xfId="26485" xr:uid="{00000000-0005-0000-0000-000067670000}"/>
    <cellStyle name="0_REVIEW_APRIL_6111 6 7 2" xfId="26486" xr:uid="{00000000-0005-0000-0000-000068670000}"/>
    <cellStyle name="0_REVIEW_APRIL_6111 6 8" xfId="26487" xr:uid="{00000000-0005-0000-0000-000069670000}"/>
    <cellStyle name="0_REVIEW_APRIL_6111 7" xfId="26488" xr:uid="{00000000-0005-0000-0000-00006A670000}"/>
    <cellStyle name="0_REVIEW_APRIL_6111 7 2" xfId="26489" xr:uid="{00000000-0005-0000-0000-00006B670000}"/>
    <cellStyle name="0_REVIEW_APRIL_6111 7 2 2" xfId="26490" xr:uid="{00000000-0005-0000-0000-00006C670000}"/>
    <cellStyle name="0_REVIEW_APRIL_6111 7 2 2 2" xfId="26491" xr:uid="{00000000-0005-0000-0000-00006D670000}"/>
    <cellStyle name="0_REVIEW_APRIL_6111 7 2 3" xfId="26492" xr:uid="{00000000-0005-0000-0000-00006E670000}"/>
    <cellStyle name="0_REVIEW_APRIL_6111 7 2 3 2" xfId="26493" xr:uid="{00000000-0005-0000-0000-00006F670000}"/>
    <cellStyle name="0_REVIEW_APRIL_6111 7 2 4" xfId="26494" xr:uid="{00000000-0005-0000-0000-000070670000}"/>
    <cellStyle name="0_REVIEW_APRIL_6111 7 3" xfId="26495" xr:uid="{00000000-0005-0000-0000-000071670000}"/>
    <cellStyle name="0_REVIEW_APRIL_6111 7 3 2" xfId="26496" xr:uid="{00000000-0005-0000-0000-000072670000}"/>
    <cellStyle name="0_REVIEW_APRIL_6111 7 3 2 2" xfId="26497" xr:uid="{00000000-0005-0000-0000-000073670000}"/>
    <cellStyle name="0_REVIEW_APRIL_6111 7 3 3" xfId="26498" xr:uid="{00000000-0005-0000-0000-000074670000}"/>
    <cellStyle name="0_REVIEW_APRIL_6111 7 3 3 2" xfId="26499" xr:uid="{00000000-0005-0000-0000-000075670000}"/>
    <cellStyle name="0_REVIEW_APRIL_6111 7 3 4" xfId="26500" xr:uid="{00000000-0005-0000-0000-000076670000}"/>
    <cellStyle name="0_REVIEW_APRIL_6111 7 4" xfId="26501" xr:uid="{00000000-0005-0000-0000-000077670000}"/>
    <cellStyle name="0_REVIEW_APRIL_6111 7 4 2" xfId="26502" xr:uid="{00000000-0005-0000-0000-000078670000}"/>
    <cellStyle name="0_REVIEW_APRIL_6111 7 5" xfId="26503" xr:uid="{00000000-0005-0000-0000-000079670000}"/>
    <cellStyle name="0_REVIEW_APRIL_6111 7 5 2" xfId="26504" xr:uid="{00000000-0005-0000-0000-00007A670000}"/>
    <cellStyle name="0_REVIEW_APRIL_6111 7 6" xfId="26505" xr:uid="{00000000-0005-0000-0000-00007B670000}"/>
    <cellStyle name="0_REVIEW_APRIL_6111 8" xfId="26506" xr:uid="{00000000-0005-0000-0000-00007C670000}"/>
    <cellStyle name="0_REVIEW_APRIL_6111 8 2" xfId="26507" xr:uid="{00000000-0005-0000-0000-00007D670000}"/>
    <cellStyle name="0_REVIEW_APRIL_6111 8 2 2" xfId="26508" xr:uid="{00000000-0005-0000-0000-00007E670000}"/>
    <cellStyle name="0_REVIEW_APRIL_6111 8 2 2 2" xfId="26509" xr:uid="{00000000-0005-0000-0000-00007F670000}"/>
    <cellStyle name="0_REVIEW_APRIL_6111 8 2 3" xfId="26510" xr:uid="{00000000-0005-0000-0000-000080670000}"/>
    <cellStyle name="0_REVIEW_APRIL_6111 8 2 3 2" xfId="26511" xr:uid="{00000000-0005-0000-0000-000081670000}"/>
    <cellStyle name="0_REVIEW_APRIL_6111 8 2 4" xfId="26512" xr:uid="{00000000-0005-0000-0000-000082670000}"/>
    <cellStyle name="0_REVIEW_APRIL_6111 8 3" xfId="26513" xr:uid="{00000000-0005-0000-0000-000083670000}"/>
    <cellStyle name="0_REVIEW_APRIL_6111 8 3 2" xfId="26514" xr:uid="{00000000-0005-0000-0000-000084670000}"/>
    <cellStyle name="0_REVIEW_APRIL_6111 8 3 2 2" xfId="26515" xr:uid="{00000000-0005-0000-0000-000085670000}"/>
    <cellStyle name="0_REVIEW_APRIL_6111 8 3 3" xfId="26516" xr:uid="{00000000-0005-0000-0000-000086670000}"/>
    <cellStyle name="0_REVIEW_APRIL_6111 8 3 3 2" xfId="26517" xr:uid="{00000000-0005-0000-0000-000087670000}"/>
    <cellStyle name="0_REVIEW_APRIL_6111 8 3 4" xfId="26518" xr:uid="{00000000-0005-0000-0000-000088670000}"/>
    <cellStyle name="0_REVIEW_APRIL_6111 8 4" xfId="26519" xr:uid="{00000000-0005-0000-0000-000089670000}"/>
    <cellStyle name="0_REVIEW_APRIL_6111 8 4 2" xfId="26520" xr:uid="{00000000-0005-0000-0000-00008A670000}"/>
    <cellStyle name="0_REVIEW_APRIL_6111 8 5" xfId="26521" xr:uid="{00000000-0005-0000-0000-00008B670000}"/>
    <cellStyle name="0_REVIEW_APRIL_6111 8 5 2" xfId="26522" xr:uid="{00000000-0005-0000-0000-00008C670000}"/>
    <cellStyle name="0_REVIEW_APRIL_6111 8 6" xfId="26523" xr:uid="{00000000-0005-0000-0000-00008D670000}"/>
    <cellStyle name="0_REVIEW_APRIL_6111 9" xfId="26524" xr:uid="{00000000-0005-0000-0000-00008E670000}"/>
    <cellStyle name="0_REVIEW_APRIL_6111 9 2" xfId="26525" xr:uid="{00000000-0005-0000-0000-00008F670000}"/>
    <cellStyle name="0_REVIEW_APRIL_6111 9 2 2" xfId="26526" xr:uid="{00000000-0005-0000-0000-000090670000}"/>
    <cellStyle name="0_REVIEW_APRIL_6111 9 3" xfId="26527" xr:uid="{00000000-0005-0000-0000-000091670000}"/>
    <cellStyle name="0_REVIEW_APRIL_6111 9 3 2" xfId="26528" xr:uid="{00000000-0005-0000-0000-000092670000}"/>
    <cellStyle name="0_REVIEW_APRIL_6111 9 4" xfId="26529" xr:uid="{00000000-0005-0000-0000-000093670000}"/>
    <cellStyle name="0_Risk &amp; Mitigation" xfId="26530" xr:uid="{00000000-0005-0000-0000-000094670000}"/>
    <cellStyle name="0_Risk &amp; Mitigation 2" xfId="26531" xr:uid="{00000000-0005-0000-0000-000095670000}"/>
    <cellStyle name="0_Risk &amp; Mitigation 2 2" xfId="26532" xr:uid="{00000000-0005-0000-0000-000096670000}"/>
    <cellStyle name="0_Risk &amp; Mitigation 2 2 2" xfId="26533" xr:uid="{00000000-0005-0000-0000-000097670000}"/>
    <cellStyle name="0_Risk &amp; Mitigation 2 3" xfId="26534" xr:uid="{00000000-0005-0000-0000-000098670000}"/>
    <cellStyle name="0_Risk &amp; Mitigation 2 3 2" xfId="26535" xr:uid="{00000000-0005-0000-0000-000099670000}"/>
    <cellStyle name="0_Risk &amp; Mitigation 2 4" xfId="26536" xr:uid="{00000000-0005-0000-0000-00009A670000}"/>
    <cellStyle name="0_Risk &amp; Mitigation 2 4 2" xfId="26537" xr:uid="{00000000-0005-0000-0000-00009B670000}"/>
    <cellStyle name="0_Risk &amp; Mitigation 2 5" xfId="26538" xr:uid="{00000000-0005-0000-0000-00009C670000}"/>
    <cellStyle name="0_Risk &amp; Mitigation 2 6" xfId="26539" xr:uid="{00000000-0005-0000-0000-00009D670000}"/>
    <cellStyle name="0_Risk &amp; Mitigation 2 7" xfId="26540" xr:uid="{00000000-0005-0000-0000-00009E670000}"/>
    <cellStyle name="0_Risk &amp; Mitigation 3" xfId="26541" xr:uid="{00000000-0005-0000-0000-00009F670000}"/>
    <cellStyle name="0_Risk &amp; Mitigation 3 2" xfId="26542" xr:uid="{00000000-0005-0000-0000-0000A0670000}"/>
    <cellStyle name="0_Risk &amp; Mitigation 4" xfId="26543" xr:uid="{00000000-0005-0000-0000-0000A1670000}"/>
    <cellStyle name="0_Risk &amp; Mitigation 5" xfId="26544" xr:uid="{00000000-0005-0000-0000-0000A2670000}"/>
    <cellStyle name="0_Risk &amp; Mitigation 6" xfId="26545" xr:uid="{00000000-0005-0000-0000-0000A3670000}"/>
    <cellStyle name="0_Risk &amp; Mitigation 7" xfId="26546" xr:uid="{00000000-0005-0000-0000-0000A4670000}"/>
    <cellStyle name="0_Risk &amp; Mitigation 8" xfId="26547" xr:uid="{00000000-0005-0000-0000-0000A5670000}"/>
    <cellStyle name="0_Risk &amp; Mitigation 9" xfId="26548" xr:uid="{00000000-0005-0000-0000-0000A6670000}"/>
    <cellStyle name="0_s curve" xfId="26549" xr:uid="{00000000-0005-0000-0000-0000A7670000}"/>
    <cellStyle name="0_S CURVE &amp; ORG CHART" xfId="26550" xr:uid="{00000000-0005-0000-0000-0000A8670000}"/>
    <cellStyle name="0_S CURVE &amp; ORG CHART 10" xfId="26551" xr:uid="{00000000-0005-0000-0000-0000A9670000}"/>
    <cellStyle name="0_S CURVE &amp; ORG CHART 11" xfId="26552" xr:uid="{00000000-0005-0000-0000-0000AA670000}"/>
    <cellStyle name="0_S CURVE &amp; ORG CHART 12" xfId="26553" xr:uid="{00000000-0005-0000-0000-0000AB670000}"/>
    <cellStyle name="0_S CURVE &amp; ORG CHART 2" xfId="26554" xr:uid="{00000000-0005-0000-0000-0000AC670000}"/>
    <cellStyle name="0_S CURVE &amp; ORG CHART 2 2" xfId="26555" xr:uid="{00000000-0005-0000-0000-0000AD670000}"/>
    <cellStyle name="0_S CURVE &amp; ORG CHART 2 2 2" xfId="26556" xr:uid="{00000000-0005-0000-0000-0000AE670000}"/>
    <cellStyle name="0_S CURVE &amp; ORG CHART 2 2 2 2" xfId="26557" xr:uid="{00000000-0005-0000-0000-0000AF670000}"/>
    <cellStyle name="0_S CURVE &amp; ORG CHART 2 2 3" xfId="26558" xr:uid="{00000000-0005-0000-0000-0000B0670000}"/>
    <cellStyle name="0_S CURVE &amp; ORG CHART 2 2 3 2" xfId="26559" xr:uid="{00000000-0005-0000-0000-0000B1670000}"/>
    <cellStyle name="0_S CURVE &amp; ORG CHART 2 2 4" xfId="26560" xr:uid="{00000000-0005-0000-0000-0000B2670000}"/>
    <cellStyle name="0_S CURVE &amp; ORG CHART 2 3" xfId="26561" xr:uid="{00000000-0005-0000-0000-0000B3670000}"/>
    <cellStyle name="0_S CURVE &amp; ORG CHART 2 3 2" xfId="26562" xr:uid="{00000000-0005-0000-0000-0000B4670000}"/>
    <cellStyle name="0_S CURVE &amp; ORG CHART 2 3 2 2" xfId="26563" xr:uid="{00000000-0005-0000-0000-0000B5670000}"/>
    <cellStyle name="0_S CURVE &amp; ORG CHART 2 3 3" xfId="26564" xr:uid="{00000000-0005-0000-0000-0000B6670000}"/>
    <cellStyle name="0_S CURVE &amp; ORG CHART 2 3 3 2" xfId="26565" xr:uid="{00000000-0005-0000-0000-0000B7670000}"/>
    <cellStyle name="0_S CURVE &amp; ORG CHART 2 3 4" xfId="26566" xr:uid="{00000000-0005-0000-0000-0000B8670000}"/>
    <cellStyle name="0_S CURVE &amp; ORG CHART 2 4" xfId="26567" xr:uid="{00000000-0005-0000-0000-0000B9670000}"/>
    <cellStyle name="0_S CURVE &amp; ORG CHART 2 4 2" xfId="26568" xr:uid="{00000000-0005-0000-0000-0000BA670000}"/>
    <cellStyle name="0_S CURVE &amp; ORG CHART 2 5" xfId="26569" xr:uid="{00000000-0005-0000-0000-0000BB670000}"/>
    <cellStyle name="0_S CURVE &amp; ORG CHART 2 5 2" xfId="26570" xr:uid="{00000000-0005-0000-0000-0000BC670000}"/>
    <cellStyle name="0_S CURVE &amp; ORG CHART 2 6" xfId="26571" xr:uid="{00000000-0005-0000-0000-0000BD670000}"/>
    <cellStyle name="0_S CURVE &amp; ORG CHART 3" xfId="26572" xr:uid="{00000000-0005-0000-0000-0000BE670000}"/>
    <cellStyle name="0_S CURVE &amp; ORG CHART 3 2" xfId="26573" xr:uid="{00000000-0005-0000-0000-0000BF670000}"/>
    <cellStyle name="0_S CURVE &amp; ORG CHART 3 2 2" xfId="26574" xr:uid="{00000000-0005-0000-0000-0000C0670000}"/>
    <cellStyle name="0_S CURVE &amp; ORG CHART 3 3" xfId="26575" xr:uid="{00000000-0005-0000-0000-0000C1670000}"/>
    <cellStyle name="0_S CURVE &amp; ORG CHART 3 3 2" xfId="26576" xr:uid="{00000000-0005-0000-0000-0000C2670000}"/>
    <cellStyle name="0_S CURVE &amp; ORG CHART 3 4" xfId="26577" xr:uid="{00000000-0005-0000-0000-0000C3670000}"/>
    <cellStyle name="0_S CURVE &amp; ORG CHART 3 5" xfId="26578" xr:uid="{00000000-0005-0000-0000-0000C4670000}"/>
    <cellStyle name="0_S CURVE &amp; ORG CHART 4" xfId="26579" xr:uid="{00000000-0005-0000-0000-0000C5670000}"/>
    <cellStyle name="0_S CURVE &amp; ORG CHART 4 2" xfId="26580" xr:uid="{00000000-0005-0000-0000-0000C6670000}"/>
    <cellStyle name="0_S CURVE &amp; ORG CHART 4 2 2" xfId="26581" xr:uid="{00000000-0005-0000-0000-0000C7670000}"/>
    <cellStyle name="0_S CURVE &amp; ORG CHART 4 3" xfId="26582" xr:uid="{00000000-0005-0000-0000-0000C8670000}"/>
    <cellStyle name="0_S CURVE &amp; ORG CHART 4 3 2" xfId="26583" xr:uid="{00000000-0005-0000-0000-0000C9670000}"/>
    <cellStyle name="0_S CURVE &amp; ORG CHART 4 4" xfId="26584" xr:uid="{00000000-0005-0000-0000-0000CA670000}"/>
    <cellStyle name="0_S CURVE &amp; ORG CHART 4 5" xfId="26585" xr:uid="{00000000-0005-0000-0000-0000CB670000}"/>
    <cellStyle name="0_S CURVE &amp; ORG CHART 5" xfId="26586" xr:uid="{00000000-0005-0000-0000-0000CC670000}"/>
    <cellStyle name="0_S CURVE &amp; ORG CHART 5 2" xfId="26587" xr:uid="{00000000-0005-0000-0000-0000CD670000}"/>
    <cellStyle name="0_S CURVE &amp; ORG CHART 5 3" xfId="26588" xr:uid="{00000000-0005-0000-0000-0000CE670000}"/>
    <cellStyle name="0_S CURVE &amp; ORG CHART 5 4" xfId="26589" xr:uid="{00000000-0005-0000-0000-0000CF670000}"/>
    <cellStyle name="0_S CURVE &amp; ORG CHART 5 5" xfId="26590" xr:uid="{00000000-0005-0000-0000-0000D0670000}"/>
    <cellStyle name="0_S CURVE &amp; ORG CHART 6" xfId="26591" xr:uid="{00000000-0005-0000-0000-0000D1670000}"/>
    <cellStyle name="0_S CURVE &amp; ORG CHART 6 2" xfId="26592" xr:uid="{00000000-0005-0000-0000-0000D2670000}"/>
    <cellStyle name="0_S CURVE &amp; ORG CHART 6 3" xfId="26593" xr:uid="{00000000-0005-0000-0000-0000D3670000}"/>
    <cellStyle name="0_S CURVE &amp; ORG CHART 6 4" xfId="26594" xr:uid="{00000000-0005-0000-0000-0000D4670000}"/>
    <cellStyle name="0_S CURVE &amp; ORG CHART 6 5" xfId="26595" xr:uid="{00000000-0005-0000-0000-0000D5670000}"/>
    <cellStyle name="0_S CURVE &amp; ORG CHART 7" xfId="26596" xr:uid="{00000000-0005-0000-0000-0000D6670000}"/>
    <cellStyle name="0_S CURVE &amp; ORG CHART 7 2" xfId="26597" xr:uid="{00000000-0005-0000-0000-0000D7670000}"/>
    <cellStyle name="0_S CURVE &amp; ORG CHART 7 3" xfId="26598" xr:uid="{00000000-0005-0000-0000-0000D8670000}"/>
    <cellStyle name="0_S CURVE &amp; ORG CHART 7 4" xfId="26599" xr:uid="{00000000-0005-0000-0000-0000D9670000}"/>
    <cellStyle name="0_S CURVE &amp; ORG CHART 7 5" xfId="26600" xr:uid="{00000000-0005-0000-0000-0000DA670000}"/>
    <cellStyle name="0_S CURVE &amp; ORG CHART 8" xfId="26601" xr:uid="{00000000-0005-0000-0000-0000DB670000}"/>
    <cellStyle name="0_S CURVE &amp; ORG CHART 8 2" xfId="26602" xr:uid="{00000000-0005-0000-0000-0000DC670000}"/>
    <cellStyle name="0_S CURVE &amp; ORG CHART 8 3" xfId="26603" xr:uid="{00000000-0005-0000-0000-0000DD670000}"/>
    <cellStyle name="0_S CURVE &amp; ORG CHART 8 4" xfId="26604" xr:uid="{00000000-0005-0000-0000-0000DE670000}"/>
    <cellStyle name="0_S CURVE &amp; ORG CHART 8 5" xfId="26605" xr:uid="{00000000-0005-0000-0000-0000DF670000}"/>
    <cellStyle name="0_S CURVE &amp; ORG CHART 9" xfId="26606" xr:uid="{00000000-0005-0000-0000-0000E0670000}"/>
    <cellStyle name="0_s curve 10" xfId="26607" xr:uid="{00000000-0005-0000-0000-0000E1670000}"/>
    <cellStyle name="0_s curve 11" xfId="26608" xr:uid="{00000000-0005-0000-0000-0000E2670000}"/>
    <cellStyle name="0_s curve 12" xfId="26609" xr:uid="{00000000-0005-0000-0000-0000E3670000}"/>
    <cellStyle name="0_s curve 2" xfId="26610" xr:uid="{00000000-0005-0000-0000-0000E4670000}"/>
    <cellStyle name="0_s curve 2 2" xfId="26611" xr:uid="{00000000-0005-0000-0000-0000E5670000}"/>
    <cellStyle name="0_s curve 2 2 2" xfId="26612" xr:uid="{00000000-0005-0000-0000-0000E6670000}"/>
    <cellStyle name="0_s curve 2 2 2 2" xfId="26613" xr:uid="{00000000-0005-0000-0000-0000E7670000}"/>
    <cellStyle name="0_s curve 2 2 3" xfId="26614" xr:uid="{00000000-0005-0000-0000-0000E8670000}"/>
    <cellStyle name="0_s curve 2 2 3 2" xfId="26615" xr:uid="{00000000-0005-0000-0000-0000E9670000}"/>
    <cellStyle name="0_s curve 2 2 4" xfId="26616" xr:uid="{00000000-0005-0000-0000-0000EA670000}"/>
    <cellStyle name="0_s curve 2 3" xfId="26617" xr:uid="{00000000-0005-0000-0000-0000EB670000}"/>
    <cellStyle name="0_s curve 2 3 2" xfId="26618" xr:uid="{00000000-0005-0000-0000-0000EC670000}"/>
    <cellStyle name="0_s curve 2 3 2 2" xfId="26619" xr:uid="{00000000-0005-0000-0000-0000ED670000}"/>
    <cellStyle name="0_s curve 2 3 3" xfId="26620" xr:uid="{00000000-0005-0000-0000-0000EE670000}"/>
    <cellStyle name="0_s curve 2 3 3 2" xfId="26621" xr:uid="{00000000-0005-0000-0000-0000EF670000}"/>
    <cellStyle name="0_s curve 2 3 4" xfId="26622" xr:uid="{00000000-0005-0000-0000-0000F0670000}"/>
    <cellStyle name="0_s curve 2 4" xfId="26623" xr:uid="{00000000-0005-0000-0000-0000F1670000}"/>
    <cellStyle name="0_s curve 2 4 2" xfId="26624" xr:uid="{00000000-0005-0000-0000-0000F2670000}"/>
    <cellStyle name="0_s curve 2 5" xfId="26625" xr:uid="{00000000-0005-0000-0000-0000F3670000}"/>
    <cellStyle name="0_s curve 2 5 2" xfId="26626" xr:uid="{00000000-0005-0000-0000-0000F4670000}"/>
    <cellStyle name="0_s curve 2 6" xfId="26627" xr:uid="{00000000-0005-0000-0000-0000F5670000}"/>
    <cellStyle name="0_s curve 3" xfId="26628" xr:uid="{00000000-0005-0000-0000-0000F6670000}"/>
    <cellStyle name="0_s curve 3 2" xfId="26629" xr:uid="{00000000-0005-0000-0000-0000F7670000}"/>
    <cellStyle name="0_s curve 3 2 2" xfId="26630" xr:uid="{00000000-0005-0000-0000-0000F8670000}"/>
    <cellStyle name="0_s curve 3 3" xfId="26631" xr:uid="{00000000-0005-0000-0000-0000F9670000}"/>
    <cellStyle name="0_s curve 3 3 2" xfId="26632" xr:uid="{00000000-0005-0000-0000-0000FA670000}"/>
    <cellStyle name="0_s curve 3 4" xfId="26633" xr:uid="{00000000-0005-0000-0000-0000FB670000}"/>
    <cellStyle name="0_s curve 3 5" xfId="26634" xr:uid="{00000000-0005-0000-0000-0000FC670000}"/>
    <cellStyle name="0_s curve 4" xfId="26635" xr:uid="{00000000-0005-0000-0000-0000FD670000}"/>
    <cellStyle name="0_s curve 4 2" xfId="26636" xr:uid="{00000000-0005-0000-0000-0000FE670000}"/>
    <cellStyle name="0_s curve 4 2 2" xfId="26637" xr:uid="{00000000-0005-0000-0000-0000FF670000}"/>
    <cellStyle name="0_s curve 4 3" xfId="26638" xr:uid="{00000000-0005-0000-0000-000000680000}"/>
    <cellStyle name="0_s curve 4 3 2" xfId="26639" xr:uid="{00000000-0005-0000-0000-000001680000}"/>
    <cellStyle name="0_s curve 4 4" xfId="26640" xr:uid="{00000000-0005-0000-0000-000002680000}"/>
    <cellStyle name="0_s curve 4 5" xfId="26641" xr:uid="{00000000-0005-0000-0000-000003680000}"/>
    <cellStyle name="0_s curve 5" xfId="26642" xr:uid="{00000000-0005-0000-0000-000004680000}"/>
    <cellStyle name="0_s curve 5 2" xfId="26643" xr:uid="{00000000-0005-0000-0000-000005680000}"/>
    <cellStyle name="0_s curve 5 2 2" xfId="26644" xr:uid="{00000000-0005-0000-0000-000006680000}"/>
    <cellStyle name="0_s curve 5 3" xfId="26645" xr:uid="{00000000-0005-0000-0000-000007680000}"/>
    <cellStyle name="0_s curve 5 3 2" xfId="26646" xr:uid="{00000000-0005-0000-0000-000008680000}"/>
    <cellStyle name="0_s curve 5 4" xfId="26647" xr:uid="{00000000-0005-0000-0000-000009680000}"/>
    <cellStyle name="0_s curve 5 5" xfId="26648" xr:uid="{00000000-0005-0000-0000-00000A680000}"/>
    <cellStyle name="0_s curve 6" xfId="26649" xr:uid="{00000000-0005-0000-0000-00000B680000}"/>
    <cellStyle name="0_s curve 6 2" xfId="26650" xr:uid="{00000000-0005-0000-0000-00000C680000}"/>
    <cellStyle name="0_s curve 6 3" xfId="26651" xr:uid="{00000000-0005-0000-0000-00000D680000}"/>
    <cellStyle name="0_s curve 6 4" xfId="26652" xr:uid="{00000000-0005-0000-0000-00000E680000}"/>
    <cellStyle name="0_s curve 6 5" xfId="26653" xr:uid="{00000000-0005-0000-0000-00000F680000}"/>
    <cellStyle name="0_s curve 7" xfId="26654" xr:uid="{00000000-0005-0000-0000-000010680000}"/>
    <cellStyle name="0_s curve 7 2" xfId="26655" xr:uid="{00000000-0005-0000-0000-000011680000}"/>
    <cellStyle name="0_s curve 7 3" xfId="26656" xr:uid="{00000000-0005-0000-0000-000012680000}"/>
    <cellStyle name="0_s curve 7 4" xfId="26657" xr:uid="{00000000-0005-0000-0000-000013680000}"/>
    <cellStyle name="0_s curve 7 5" xfId="26658" xr:uid="{00000000-0005-0000-0000-000014680000}"/>
    <cellStyle name="0_s curve 8" xfId="26659" xr:uid="{00000000-0005-0000-0000-000015680000}"/>
    <cellStyle name="0_s curve 8 2" xfId="26660" xr:uid="{00000000-0005-0000-0000-000016680000}"/>
    <cellStyle name="0_s curve 8 3" xfId="26661" xr:uid="{00000000-0005-0000-0000-000017680000}"/>
    <cellStyle name="0_s curve 8 4" xfId="26662" xr:uid="{00000000-0005-0000-0000-000018680000}"/>
    <cellStyle name="0_s curve 8 5" xfId="26663" xr:uid="{00000000-0005-0000-0000-000019680000}"/>
    <cellStyle name="0_s curve 9" xfId="26664" xr:uid="{00000000-0005-0000-0000-00001A680000}"/>
    <cellStyle name="0_S Curve, Org 22.10." xfId="26665" xr:uid="{00000000-0005-0000-0000-00001B680000}"/>
    <cellStyle name="0_S Curve, Org 22.10. 10" xfId="26666" xr:uid="{00000000-0005-0000-0000-00001C680000}"/>
    <cellStyle name="0_S Curve, Org 22.10. 10 2" xfId="26667" xr:uid="{00000000-0005-0000-0000-00001D680000}"/>
    <cellStyle name="0_S Curve, Org 22.10. 10 2 2" xfId="26668" xr:uid="{00000000-0005-0000-0000-00001E680000}"/>
    <cellStyle name="0_S Curve, Org 22.10. 10 3" xfId="26669" xr:uid="{00000000-0005-0000-0000-00001F680000}"/>
    <cellStyle name="0_S Curve, Org 22.10. 10 3 2" xfId="26670" xr:uid="{00000000-0005-0000-0000-000020680000}"/>
    <cellStyle name="0_S Curve, Org 22.10. 10 4" xfId="26671" xr:uid="{00000000-0005-0000-0000-000021680000}"/>
    <cellStyle name="0_S Curve, Org 22.10. 11" xfId="26672" xr:uid="{00000000-0005-0000-0000-000022680000}"/>
    <cellStyle name="0_S Curve, Org 22.10. 11 2" xfId="26673" xr:uid="{00000000-0005-0000-0000-000023680000}"/>
    <cellStyle name="0_S Curve, Org 22.10. 11 2 2" xfId="26674" xr:uid="{00000000-0005-0000-0000-000024680000}"/>
    <cellStyle name="0_S Curve, Org 22.10. 11 3" xfId="26675" xr:uid="{00000000-0005-0000-0000-000025680000}"/>
    <cellStyle name="0_S Curve, Org 22.10. 11 3 2" xfId="26676" xr:uid="{00000000-0005-0000-0000-000026680000}"/>
    <cellStyle name="0_S Curve, Org 22.10. 11 4" xfId="26677" xr:uid="{00000000-0005-0000-0000-000027680000}"/>
    <cellStyle name="0_S Curve, Org 22.10. 12" xfId="26678" xr:uid="{00000000-0005-0000-0000-000028680000}"/>
    <cellStyle name="0_S Curve, Org 22.10. 12 2" xfId="26679" xr:uid="{00000000-0005-0000-0000-000029680000}"/>
    <cellStyle name="0_S Curve, Org 22.10. 13" xfId="26680" xr:uid="{00000000-0005-0000-0000-00002A680000}"/>
    <cellStyle name="0_S Curve, Org 22.10. 13 2" xfId="26681" xr:uid="{00000000-0005-0000-0000-00002B680000}"/>
    <cellStyle name="0_S Curve, Org 22.10. 14" xfId="26682" xr:uid="{00000000-0005-0000-0000-00002C680000}"/>
    <cellStyle name="0_S Curve, Org 22.10. 14 2" xfId="26683" xr:uid="{00000000-0005-0000-0000-00002D680000}"/>
    <cellStyle name="0_S Curve, Org 22.10. 15" xfId="26684" xr:uid="{00000000-0005-0000-0000-00002E680000}"/>
    <cellStyle name="0_S Curve, Org 22.10. 16" xfId="26685" xr:uid="{00000000-0005-0000-0000-00002F680000}"/>
    <cellStyle name="0_S Curve, Org 22.10. 17" xfId="26686" xr:uid="{00000000-0005-0000-0000-000030680000}"/>
    <cellStyle name="0_S Curve, Org 22.10. 18" xfId="26687" xr:uid="{00000000-0005-0000-0000-000031680000}"/>
    <cellStyle name="0_S Curve, Org 22.10. 19" xfId="26688" xr:uid="{00000000-0005-0000-0000-000032680000}"/>
    <cellStyle name="0_S Curve, Org 22.10. 2" xfId="26689" xr:uid="{00000000-0005-0000-0000-000033680000}"/>
    <cellStyle name="0_S Curve, Org 22.10. 2 10" xfId="26690" xr:uid="{00000000-0005-0000-0000-000034680000}"/>
    <cellStyle name="0_S Curve, Org 22.10. 2 10 2" xfId="26691" xr:uid="{00000000-0005-0000-0000-000035680000}"/>
    <cellStyle name="0_S Curve, Org 22.10. 2 10 2 2" xfId="26692" xr:uid="{00000000-0005-0000-0000-000036680000}"/>
    <cellStyle name="0_S Curve, Org 22.10. 2 10 3" xfId="26693" xr:uid="{00000000-0005-0000-0000-000037680000}"/>
    <cellStyle name="0_S Curve, Org 22.10. 2 10 3 2" xfId="26694" xr:uid="{00000000-0005-0000-0000-000038680000}"/>
    <cellStyle name="0_S Curve, Org 22.10. 2 10 4" xfId="26695" xr:uid="{00000000-0005-0000-0000-000039680000}"/>
    <cellStyle name="0_S Curve, Org 22.10. 2 11" xfId="26696" xr:uid="{00000000-0005-0000-0000-00003A680000}"/>
    <cellStyle name="0_S Curve, Org 22.10. 2 11 2" xfId="26697" xr:uid="{00000000-0005-0000-0000-00003B680000}"/>
    <cellStyle name="0_S Curve, Org 22.10. 2 12" xfId="26698" xr:uid="{00000000-0005-0000-0000-00003C680000}"/>
    <cellStyle name="0_S Curve, Org 22.10. 2 12 2" xfId="26699" xr:uid="{00000000-0005-0000-0000-00003D680000}"/>
    <cellStyle name="0_S Curve, Org 22.10. 2 13" xfId="26700" xr:uid="{00000000-0005-0000-0000-00003E680000}"/>
    <cellStyle name="0_S Curve, Org 22.10. 2 14" xfId="26701" xr:uid="{00000000-0005-0000-0000-00003F680000}"/>
    <cellStyle name="0_S Curve, Org 22.10. 2 15" xfId="26702" xr:uid="{00000000-0005-0000-0000-000040680000}"/>
    <cellStyle name="0_S Curve, Org 22.10. 2 16" xfId="26703" xr:uid="{00000000-0005-0000-0000-000041680000}"/>
    <cellStyle name="0_S Curve, Org 22.10. 2 2" xfId="26704" xr:uid="{00000000-0005-0000-0000-000042680000}"/>
    <cellStyle name="0_S Curve, Org 22.10. 2 2 2" xfId="26705" xr:uid="{00000000-0005-0000-0000-000043680000}"/>
    <cellStyle name="0_S Curve, Org 22.10. 2 2 2 2" xfId="26706" xr:uid="{00000000-0005-0000-0000-000044680000}"/>
    <cellStyle name="0_S Curve, Org 22.10. 2 2 2 2 2" xfId="26707" xr:uid="{00000000-0005-0000-0000-000045680000}"/>
    <cellStyle name="0_S Curve, Org 22.10. 2 2 2 2 2 2" xfId="26708" xr:uid="{00000000-0005-0000-0000-000046680000}"/>
    <cellStyle name="0_S Curve, Org 22.10. 2 2 2 2 3" xfId="26709" xr:uid="{00000000-0005-0000-0000-000047680000}"/>
    <cellStyle name="0_S Curve, Org 22.10. 2 2 2 2 3 2" xfId="26710" xr:uid="{00000000-0005-0000-0000-000048680000}"/>
    <cellStyle name="0_S Curve, Org 22.10. 2 2 2 2 4" xfId="26711" xr:uid="{00000000-0005-0000-0000-000049680000}"/>
    <cellStyle name="0_S Curve, Org 22.10. 2 2 2 3" xfId="26712" xr:uid="{00000000-0005-0000-0000-00004A680000}"/>
    <cellStyle name="0_S Curve, Org 22.10. 2 2 2 3 2" xfId="26713" xr:uid="{00000000-0005-0000-0000-00004B680000}"/>
    <cellStyle name="0_S Curve, Org 22.10. 2 2 2 3 2 2" xfId="26714" xr:uid="{00000000-0005-0000-0000-00004C680000}"/>
    <cellStyle name="0_S Curve, Org 22.10. 2 2 2 3 3" xfId="26715" xr:uid="{00000000-0005-0000-0000-00004D680000}"/>
    <cellStyle name="0_S Curve, Org 22.10. 2 2 2 3 3 2" xfId="26716" xr:uid="{00000000-0005-0000-0000-00004E680000}"/>
    <cellStyle name="0_S Curve, Org 22.10. 2 2 2 3 4" xfId="26717" xr:uid="{00000000-0005-0000-0000-00004F680000}"/>
    <cellStyle name="0_S Curve, Org 22.10. 2 2 2 4" xfId="26718" xr:uid="{00000000-0005-0000-0000-000050680000}"/>
    <cellStyle name="0_S Curve, Org 22.10. 2 2 2 4 2" xfId="26719" xr:uid="{00000000-0005-0000-0000-000051680000}"/>
    <cellStyle name="0_S Curve, Org 22.10. 2 2 2 5" xfId="26720" xr:uid="{00000000-0005-0000-0000-000052680000}"/>
    <cellStyle name="0_S Curve, Org 22.10. 2 2 2 5 2" xfId="26721" xr:uid="{00000000-0005-0000-0000-000053680000}"/>
    <cellStyle name="0_S Curve, Org 22.10. 2 2 2 6" xfId="26722" xr:uid="{00000000-0005-0000-0000-000054680000}"/>
    <cellStyle name="0_S Curve, Org 22.10. 2 2 3" xfId="26723" xr:uid="{00000000-0005-0000-0000-000055680000}"/>
    <cellStyle name="0_S Curve, Org 22.10. 2 2 3 2" xfId="26724" xr:uid="{00000000-0005-0000-0000-000056680000}"/>
    <cellStyle name="0_S Curve, Org 22.10. 2 2 3 2 2" xfId="26725" xr:uid="{00000000-0005-0000-0000-000057680000}"/>
    <cellStyle name="0_S Curve, Org 22.10. 2 2 3 3" xfId="26726" xr:uid="{00000000-0005-0000-0000-000058680000}"/>
    <cellStyle name="0_S Curve, Org 22.10. 2 2 3 3 2" xfId="26727" xr:uid="{00000000-0005-0000-0000-000059680000}"/>
    <cellStyle name="0_S Curve, Org 22.10. 2 2 3 4" xfId="26728" xr:uid="{00000000-0005-0000-0000-00005A680000}"/>
    <cellStyle name="0_S Curve, Org 22.10. 2 2 4" xfId="26729" xr:uid="{00000000-0005-0000-0000-00005B680000}"/>
    <cellStyle name="0_S Curve, Org 22.10. 2 2 4 2" xfId="26730" xr:uid="{00000000-0005-0000-0000-00005C680000}"/>
    <cellStyle name="0_S Curve, Org 22.10. 2 2 4 2 2" xfId="26731" xr:uid="{00000000-0005-0000-0000-00005D680000}"/>
    <cellStyle name="0_S Curve, Org 22.10. 2 2 4 3" xfId="26732" xr:uid="{00000000-0005-0000-0000-00005E680000}"/>
    <cellStyle name="0_S Curve, Org 22.10. 2 2 4 3 2" xfId="26733" xr:uid="{00000000-0005-0000-0000-00005F680000}"/>
    <cellStyle name="0_S Curve, Org 22.10. 2 2 4 4" xfId="26734" xr:uid="{00000000-0005-0000-0000-000060680000}"/>
    <cellStyle name="0_S Curve, Org 22.10. 2 2 5" xfId="26735" xr:uid="{00000000-0005-0000-0000-000061680000}"/>
    <cellStyle name="0_S Curve, Org 22.10. 2 2 5 2" xfId="26736" xr:uid="{00000000-0005-0000-0000-000062680000}"/>
    <cellStyle name="0_S Curve, Org 22.10. 2 2 5 2 2" xfId="26737" xr:uid="{00000000-0005-0000-0000-000063680000}"/>
    <cellStyle name="0_S Curve, Org 22.10. 2 2 5 3" xfId="26738" xr:uid="{00000000-0005-0000-0000-000064680000}"/>
    <cellStyle name="0_S Curve, Org 22.10. 2 2 5 3 2" xfId="26739" xr:uid="{00000000-0005-0000-0000-000065680000}"/>
    <cellStyle name="0_S Curve, Org 22.10. 2 2 5 4" xfId="26740" xr:uid="{00000000-0005-0000-0000-000066680000}"/>
    <cellStyle name="0_S Curve, Org 22.10. 2 2 6" xfId="26741" xr:uid="{00000000-0005-0000-0000-000067680000}"/>
    <cellStyle name="0_S Curve, Org 22.10. 2 2 6 2" xfId="26742" xr:uid="{00000000-0005-0000-0000-000068680000}"/>
    <cellStyle name="0_S Curve, Org 22.10. 2 2 7" xfId="26743" xr:uid="{00000000-0005-0000-0000-000069680000}"/>
    <cellStyle name="0_S Curve, Org 22.10. 2 2 7 2" xfId="26744" xr:uid="{00000000-0005-0000-0000-00006A680000}"/>
    <cellStyle name="0_S Curve, Org 22.10. 2 2 8" xfId="26745" xr:uid="{00000000-0005-0000-0000-00006B680000}"/>
    <cellStyle name="0_S Curve, Org 22.10. 2 3" xfId="26746" xr:uid="{00000000-0005-0000-0000-00006C680000}"/>
    <cellStyle name="0_S Curve, Org 22.10. 2 3 2" xfId="26747" xr:uid="{00000000-0005-0000-0000-00006D680000}"/>
    <cellStyle name="0_S Curve, Org 22.10. 2 3 2 2" xfId="26748" xr:uid="{00000000-0005-0000-0000-00006E680000}"/>
    <cellStyle name="0_S Curve, Org 22.10. 2 3 2 2 2" xfId="26749" xr:uid="{00000000-0005-0000-0000-00006F680000}"/>
    <cellStyle name="0_S Curve, Org 22.10. 2 3 2 2 2 2" xfId="26750" xr:uid="{00000000-0005-0000-0000-000070680000}"/>
    <cellStyle name="0_S Curve, Org 22.10. 2 3 2 2 3" xfId="26751" xr:uid="{00000000-0005-0000-0000-000071680000}"/>
    <cellStyle name="0_S Curve, Org 22.10. 2 3 2 2 3 2" xfId="26752" xr:uid="{00000000-0005-0000-0000-000072680000}"/>
    <cellStyle name="0_S Curve, Org 22.10. 2 3 2 2 4" xfId="26753" xr:uid="{00000000-0005-0000-0000-000073680000}"/>
    <cellStyle name="0_S Curve, Org 22.10. 2 3 2 3" xfId="26754" xr:uid="{00000000-0005-0000-0000-000074680000}"/>
    <cellStyle name="0_S Curve, Org 22.10. 2 3 2 3 2" xfId="26755" xr:uid="{00000000-0005-0000-0000-000075680000}"/>
    <cellStyle name="0_S Curve, Org 22.10. 2 3 2 3 2 2" xfId="26756" xr:uid="{00000000-0005-0000-0000-000076680000}"/>
    <cellStyle name="0_S Curve, Org 22.10. 2 3 2 3 3" xfId="26757" xr:uid="{00000000-0005-0000-0000-000077680000}"/>
    <cellStyle name="0_S Curve, Org 22.10. 2 3 2 3 3 2" xfId="26758" xr:uid="{00000000-0005-0000-0000-000078680000}"/>
    <cellStyle name="0_S Curve, Org 22.10. 2 3 2 3 4" xfId="26759" xr:uid="{00000000-0005-0000-0000-000079680000}"/>
    <cellStyle name="0_S Curve, Org 22.10. 2 3 2 4" xfId="26760" xr:uid="{00000000-0005-0000-0000-00007A680000}"/>
    <cellStyle name="0_S Curve, Org 22.10. 2 3 2 4 2" xfId="26761" xr:uid="{00000000-0005-0000-0000-00007B680000}"/>
    <cellStyle name="0_S Curve, Org 22.10. 2 3 2 5" xfId="26762" xr:uid="{00000000-0005-0000-0000-00007C680000}"/>
    <cellStyle name="0_S Curve, Org 22.10. 2 3 2 5 2" xfId="26763" xr:uid="{00000000-0005-0000-0000-00007D680000}"/>
    <cellStyle name="0_S Curve, Org 22.10. 2 3 2 6" xfId="26764" xr:uid="{00000000-0005-0000-0000-00007E680000}"/>
    <cellStyle name="0_S Curve, Org 22.10. 2 3 3" xfId="26765" xr:uid="{00000000-0005-0000-0000-00007F680000}"/>
    <cellStyle name="0_S Curve, Org 22.10. 2 3 3 2" xfId="26766" xr:uid="{00000000-0005-0000-0000-000080680000}"/>
    <cellStyle name="0_S Curve, Org 22.10. 2 3 3 2 2" xfId="26767" xr:uid="{00000000-0005-0000-0000-000081680000}"/>
    <cellStyle name="0_S Curve, Org 22.10. 2 3 3 3" xfId="26768" xr:uid="{00000000-0005-0000-0000-000082680000}"/>
    <cellStyle name="0_S Curve, Org 22.10. 2 3 3 3 2" xfId="26769" xr:uid="{00000000-0005-0000-0000-000083680000}"/>
    <cellStyle name="0_S Curve, Org 22.10. 2 3 3 4" xfId="26770" xr:uid="{00000000-0005-0000-0000-000084680000}"/>
    <cellStyle name="0_S Curve, Org 22.10. 2 3 4" xfId="26771" xr:uid="{00000000-0005-0000-0000-000085680000}"/>
    <cellStyle name="0_S Curve, Org 22.10. 2 3 4 2" xfId="26772" xr:uid="{00000000-0005-0000-0000-000086680000}"/>
    <cellStyle name="0_S Curve, Org 22.10. 2 3 4 2 2" xfId="26773" xr:uid="{00000000-0005-0000-0000-000087680000}"/>
    <cellStyle name="0_S Curve, Org 22.10. 2 3 4 3" xfId="26774" xr:uid="{00000000-0005-0000-0000-000088680000}"/>
    <cellStyle name="0_S Curve, Org 22.10. 2 3 4 3 2" xfId="26775" xr:uid="{00000000-0005-0000-0000-000089680000}"/>
    <cellStyle name="0_S Curve, Org 22.10. 2 3 4 4" xfId="26776" xr:uid="{00000000-0005-0000-0000-00008A680000}"/>
    <cellStyle name="0_S Curve, Org 22.10. 2 3 5" xfId="26777" xr:uid="{00000000-0005-0000-0000-00008B680000}"/>
    <cellStyle name="0_S Curve, Org 22.10. 2 3 5 2" xfId="26778" xr:uid="{00000000-0005-0000-0000-00008C680000}"/>
    <cellStyle name="0_S Curve, Org 22.10. 2 3 5 2 2" xfId="26779" xr:uid="{00000000-0005-0000-0000-00008D680000}"/>
    <cellStyle name="0_S Curve, Org 22.10. 2 3 5 3" xfId="26780" xr:uid="{00000000-0005-0000-0000-00008E680000}"/>
    <cellStyle name="0_S Curve, Org 22.10. 2 3 5 3 2" xfId="26781" xr:uid="{00000000-0005-0000-0000-00008F680000}"/>
    <cellStyle name="0_S Curve, Org 22.10. 2 3 5 4" xfId="26782" xr:uid="{00000000-0005-0000-0000-000090680000}"/>
    <cellStyle name="0_S Curve, Org 22.10. 2 3 6" xfId="26783" xr:uid="{00000000-0005-0000-0000-000091680000}"/>
    <cellStyle name="0_S Curve, Org 22.10. 2 3 6 2" xfId="26784" xr:uid="{00000000-0005-0000-0000-000092680000}"/>
    <cellStyle name="0_S Curve, Org 22.10. 2 3 7" xfId="26785" xr:uid="{00000000-0005-0000-0000-000093680000}"/>
    <cellStyle name="0_S Curve, Org 22.10. 2 3 7 2" xfId="26786" xr:uid="{00000000-0005-0000-0000-000094680000}"/>
    <cellStyle name="0_S Curve, Org 22.10. 2 3 8" xfId="26787" xr:uid="{00000000-0005-0000-0000-000095680000}"/>
    <cellStyle name="0_S Curve, Org 22.10. 2 4" xfId="26788" xr:uid="{00000000-0005-0000-0000-000096680000}"/>
    <cellStyle name="0_S Curve, Org 22.10. 2 4 2" xfId="26789" xr:uid="{00000000-0005-0000-0000-000097680000}"/>
    <cellStyle name="0_S Curve, Org 22.10. 2 4 2 2" xfId="26790" xr:uid="{00000000-0005-0000-0000-000098680000}"/>
    <cellStyle name="0_S Curve, Org 22.10. 2 4 2 2 2" xfId="26791" xr:uid="{00000000-0005-0000-0000-000099680000}"/>
    <cellStyle name="0_S Curve, Org 22.10. 2 4 2 2 2 2" xfId="26792" xr:uid="{00000000-0005-0000-0000-00009A680000}"/>
    <cellStyle name="0_S Curve, Org 22.10. 2 4 2 2 3" xfId="26793" xr:uid="{00000000-0005-0000-0000-00009B680000}"/>
    <cellStyle name="0_S Curve, Org 22.10. 2 4 2 2 3 2" xfId="26794" xr:uid="{00000000-0005-0000-0000-00009C680000}"/>
    <cellStyle name="0_S Curve, Org 22.10. 2 4 2 2 4" xfId="26795" xr:uid="{00000000-0005-0000-0000-00009D680000}"/>
    <cellStyle name="0_S Curve, Org 22.10. 2 4 2 3" xfId="26796" xr:uid="{00000000-0005-0000-0000-00009E680000}"/>
    <cellStyle name="0_S Curve, Org 22.10. 2 4 2 3 2" xfId="26797" xr:uid="{00000000-0005-0000-0000-00009F680000}"/>
    <cellStyle name="0_S Curve, Org 22.10. 2 4 2 3 2 2" xfId="26798" xr:uid="{00000000-0005-0000-0000-0000A0680000}"/>
    <cellStyle name="0_S Curve, Org 22.10. 2 4 2 3 3" xfId="26799" xr:uid="{00000000-0005-0000-0000-0000A1680000}"/>
    <cellStyle name="0_S Curve, Org 22.10. 2 4 2 3 3 2" xfId="26800" xr:uid="{00000000-0005-0000-0000-0000A2680000}"/>
    <cellStyle name="0_S Curve, Org 22.10. 2 4 2 3 4" xfId="26801" xr:uid="{00000000-0005-0000-0000-0000A3680000}"/>
    <cellStyle name="0_S Curve, Org 22.10. 2 4 2 4" xfId="26802" xr:uid="{00000000-0005-0000-0000-0000A4680000}"/>
    <cellStyle name="0_S Curve, Org 22.10. 2 4 2 4 2" xfId="26803" xr:uid="{00000000-0005-0000-0000-0000A5680000}"/>
    <cellStyle name="0_S Curve, Org 22.10. 2 4 2 5" xfId="26804" xr:uid="{00000000-0005-0000-0000-0000A6680000}"/>
    <cellStyle name="0_S Curve, Org 22.10. 2 4 2 5 2" xfId="26805" xr:uid="{00000000-0005-0000-0000-0000A7680000}"/>
    <cellStyle name="0_S Curve, Org 22.10. 2 4 2 6" xfId="26806" xr:uid="{00000000-0005-0000-0000-0000A8680000}"/>
    <cellStyle name="0_S Curve, Org 22.10. 2 4 3" xfId="26807" xr:uid="{00000000-0005-0000-0000-0000A9680000}"/>
    <cellStyle name="0_S Curve, Org 22.10. 2 4 3 2" xfId="26808" xr:uid="{00000000-0005-0000-0000-0000AA680000}"/>
    <cellStyle name="0_S Curve, Org 22.10. 2 4 3 2 2" xfId="26809" xr:uid="{00000000-0005-0000-0000-0000AB680000}"/>
    <cellStyle name="0_S Curve, Org 22.10. 2 4 3 3" xfId="26810" xr:uid="{00000000-0005-0000-0000-0000AC680000}"/>
    <cellStyle name="0_S Curve, Org 22.10. 2 4 3 3 2" xfId="26811" xr:uid="{00000000-0005-0000-0000-0000AD680000}"/>
    <cellStyle name="0_S Curve, Org 22.10. 2 4 3 4" xfId="26812" xr:uid="{00000000-0005-0000-0000-0000AE680000}"/>
    <cellStyle name="0_S Curve, Org 22.10. 2 4 4" xfId="26813" xr:uid="{00000000-0005-0000-0000-0000AF680000}"/>
    <cellStyle name="0_S Curve, Org 22.10. 2 4 4 2" xfId="26814" xr:uid="{00000000-0005-0000-0000-0000B0680000}"/>
    <cellStyle name="0_S Curve, Org 22.10. 2 4 4 2 2" xfId="26815" xr:uid="{00000000-0005-0000-0000-0000B1680000}"/>
    <cellStyle name="0_S Curve, Org 22.10. 2 4 4 3" xfId="26816" xr:uid="{00000000-0005-0000-0000-0000B2680000}"/>
    <cellStyle name="0_S Curve, Org 22.10. 2 4 4 3 2" xfId="26817" xr:uid="{00000000-0005-0000-0000-0000B3680000}"/>
    <cellStyle name="0_S Curve, Org 22.10. 2 4 4 4" xfId="26818" xr:uid="{00000000-0005-0000-0000-0000B4680000}"/>
    <cellStyle name="0_S Curve, Org 22.10. 2 4 5" xfId="26819" xr:uid="{00000000-0005-0000-0000-0000B5680000}"/>
    <cellStyle name="0_S Curve, Org 22.10. 2 4 5 2" xfId="26820" xr:uid="{00000000-0005-0000-0000-0000B6680000}"/>
    <cellStyle name="0_S Curve, Org 22.10. 2 4 5 2 2" xfId="26821" xr:uid="{00000000-0005-0000-0000-0000B7680000}"/>
    <cellStyle name="0_S Curve, Org 22.10. 2 4 5 3" xfId="26822" xr:uid="{00000000-0005-0000-0000-0000B8680000}"/>
    <cellStyle name="0_S Curve, Org 22.10. 2 4 5 3 2" xfId="26823" xr:uid="{00000000-0005-0000-0000-0000B9680000}"/>
    <cellStyle name="0_S Curve, Org 22.10. 2 4 5 4" xfId="26824" xr:uid="{00000000-0005-0000-0000-0000BA680000}"/>
    <cellStyle name="0_S Curve, Org 22.10. 2 4 6" xfId="26825" xr:uid="{00000000-0005-0000-0000-0000BB680000}"/>
    <cellStyle name="0_S Curve, Org 22.10. 2 4 6 2" xfId="26826" xr:uid="{00000000-0005-0000-0000-0000BC680000}"/>
    <cellStyle name="0_S Curve, Org 22.10. 2 4 7" xfId="26827" xr:uid="{00000000-0005-0000-0000-0000BD680000}"/>
    <cellStyle name="0_S Curve, Org 22.10. 2 4 7 2" xfId="26828" xr:uid="{00000000-0005-0000-0000-0000BE680000}"/>
    <cellStyle name="0_S Curve, Org 22.10. 2 4 8" xfId="26829" xr:uid="{00000000-0005-0000-0000-0000BF680000}"/>
    <cellStyle name="0_S Curve, Org 22.10. 2 5" xfId="26830" xr:uid="{00000000-0005-0000-0000-0000C0680000}"/>
    <cellStyle name="0_S Curve, Org 22.10. 2 5 2" xfId="26831" xr:uid="{00000000-0005-0000-0000-0000C1680000}"/>
    <cellStyle name="0_S Curve, Org 22.10. 2 5 2 2" xfId="26832" xr:uid="{00000000-0005-0000-0000-0000C2680000}"/>
    <cellStyle name="0_S Curve, Org 22.10. 2 5 2 2 2" xfId="26833" xr:uid="{00000000-0005-0000-0000-0000C3680000}"/>
    <cellStyle name="0_S Curve, Org 22.10. 2 5 2 2 2 2" xfId="26834" xr:uid="{00000000-0005-0000-0000-0000C4680000}"/>
    <cellStyle name="0_S Curve, Org 22.10. 2 5 2 2 3" xfId="26835" xr:uid="{00000000-0005-0000-0000-0000C5680000}"/>
    <cellStyle name="0_S Curve, Org 22.10. 2 5 2 2 3 2" xfId="26836" xr:uid="{00000000-0005-0000-0000-0000C6680000}"/>
    <cellStyle name="0_S Curve, Org 22.10. 2 5 2 2 4" xfId="26837" xr:uid="{00000000-0005-0000-0000-0000C7680000}"/>
    <cellStyle name="0_S Curve, Org 22.10. 2 5 2 3" xfId="26838" xr:uid="{00000000-0005-0000-0000-0000C8680000}"/>
    <cellStyle name="0_S Curve, Org 22.10. 2 5 2 3 2" xfId="26839" xr:uid="{00000000-0005-0000-0000-0000C9680000}"/>
    <cellStyle name="0_S Curve, Org 22.10. 2 5 2 3 2 2" xfId="26840" xr:uid="{00000000-0005-0000-0000-0000CA680000}"/>
    <cellStyle name="0_S Curve, Org 22.10. 2 5 2 3 3" xfId="26841" xr:uid="{00000000-0005-0000-0000-0000CB680000}"/>
    <cellStyle name="0_S Curve, Org 22.10. 2 5 2 3 3 2" xfId="26842" xr:uid="{00000000-0005-0000-0000-0000CC680000}"/>
    <cellStyle name="0_S Curve, Org 22.10. 2 5 2 3 4" xfId="26843" xr:uid="{00000000-0005-0000-0000-0000CD680000}"/>
    <cellStyle name="0_S Curve, Org 22.10. 2 5 2 4" xfId="26844" xr:uid="{00000000-0005-0000-0000-0000CE680000}"/>
    <cellStyle name="0_S Curve, Org 22.10. 2 5 2 4 2" xfId="26845" xr:uid="{00000000-0005-0000-0000-0000CF680000}"/>
    <cellStyle name="0_S Curve, Org 22.10. 2 5 2 5" xfId="26846" xr:uid="{00000000-0005-0000-0000-0000D0680000}"/>
    <cellStyle name="0_S Curve, Org 22.10. 2 5 2 5 2" xfId="26847" xr:uid="{00000000-0005-0000-0000-0000D1680000}"/>
    <cellStyle name="0_S Curve, Org 22.10. 2 5 2 6" xfId="26848" xr:uid="{00000000-0005-0000-0000-0000D2680000}"/>
    <cellStyle name="0_S Curve, Org 22.10. 2 5 3" xfId="26849" xr:uid="{00000000-0005-0000-0000-0000D3680000}"/>
    <cellStyle name="0_S Curve, Org 22.10. 2 5 3 2" xfId="26850" xr:uid="{00000000-0005-0000-0000-0000D4680000}"/>
    <cellStyle name="0_S Curve, Org 22.10. 2 5 3 2 2" xfId="26851" xr:uid="{00000000-0005-0000-0000-0000D5680000}"/>
    <cellStyle name="0_S Curve, Org 22.10. 2 5 3 3" xfId="26852" xr:uid="{00000000-0005-0000-0000-0000D6680000}"/>
    <cellStyle name="0_S Curve, Org 22.10. 2 5 3 3 2" xfId="26853" xr:uid="{00000000-0005-0000-0000-0000D7680000}"/>
    <cellStyle name="0_S Curve, Org 22.10. 2 5 3 4" xfId="26854" xr:uid="{00000000-0005-0000-0000-0000D8680000}"/>
    <cellStyle name="0_S Curve, Org 22.10. 2 5 4" xfId="26855" xr:uid="{00000000-0005-0000-0000-0000D9680000}"/>
    <cellStyle name="0_S Curve, Org 22.10. 2 5 4 2" xfId="26856" xr:uid="{00000000-0005-0000-0000-0000DA680000}"/>
    <cellStyle name="0_S Curve, Org 22.10. 2 5 4 2 2" xfId="26857" xr:uid="{00000000-0005-0000-0000-0000DB680000}"/>
    <cellStyle name="0_S Curve, Org 22.10. 2 5 4 3" xfId="26858" xr:uid="{00000000-0005-0000-0000-0000DC680000}"/>
    <cellStyle name="0_S Curve, Org 22.10. 2 5 4 3 2" xfId="26859" xr:uid="{00000000-0005-0000-0000-0000DD680000}"/>
    <cellStyle name="0_S Curve, Org 22.10. 2 5 4 4" xfId="26860" xr:uid="{00000000-0005-0000-0000-0000DE680000}"/>
    <cellStyle name="0_S Curve, Org 22.10. 2 5 5" xfId="26861" xr:uid="{00000000-0005-0000-0000-0000DF680000}"/>
    <cellStyle name="0_S Curve, Org 22.10. 2 5 5 2" xfId="26862" xr:uid="{00000000-0005-0000-0000-0000E0680000}"/>
    <cellStyle name="0_S Curve, Org 22.10. 2 5 5 2 2" xfId="26863" xr:uid="{00000000-0005-0000-0000-0000E1680000}"/>
    <cellStyle name="0_S Curve, Org 22.10. 2 5 5 3" xfId="26864" xr:uid="{00000000-0005-0000-0000-0000E2680000}"/>
    <cellStyle name="0_S Curve, Org 22.10. 2 5 5 3 2" xfId="26865" xr:uid="{00000000-0005-0000-0000-0000E3680000}"/>
    <cellStyle name="0_S Curve, Org 22.10. 2 5 5 4" xfId="26866" xr:uid="{00000000-0005-0000-0000-0000E4680000}"/>
    <cellStyle name="0_S Curve, Org 22.10. 2 5 6" xfId="26867" xr:uid="{00000000-0005-0000-0000-0000E5680000}"/>
    <cellStyle name="0_S Curve, Org 22.10. 2 5 6 2" xfId="26868" xr:uid="{00000000-0005-0000-0000-0000E6680000}"/>
    <cellStyle name="0_S Curve, Org 22.10. 2 5 7" xfId="26869" xr:uid="{00000000-0005-0000-0000-0000E7680000}"/>
    <cellStyle name="0_S Curve, Org 22.10. 2 5 7 2" xfId="26870" xr:uid="{00000000-0005-0000-0000-0000E8680000}"/>
    <cellStyle name="0_S Curve, Org 22.10. 2 5 8" xfId="26871" xr:uid="{00000000-0005-0000-0000-0000E9680000}"/>
    <cellStyle name="0_S Curve, Org 22.10. 2 6" xfId="26872" xr:uid="{00000000-0005-0000-0000-0000EA680000}"/>
    <cellStyle name="0_S Curve, Org 22.10. 2 6 2" xfId="26873" xr:uid="{00000000-0005-0000-0000-0000EB680000}"/>
    <cellStyle name="0_S Curve, Org 22.10. 2 6 2 2" xfId="26874" xr:uid="{00000000-0005-0000-0000-0000EC680000}"/>
    <cellStyle name="0_S Curve, Org 22.10. 2 6 2 2 2" xfId="26875" xr:uid="{00000000-0005-0000-0000-0000ED680000}"/>
    <cellStyle name="0_S Curve, Org 22.10. 2 6 2 2 2 2" xfId="26876" xr:uid="{00000000-0005-0000-0000-0000EE680000}"/>
    <cellStyle name="0_S Curve, Org 22.10. 2 6 2 2 3" xfId="26877" xr:uid="{00000000-0005-0000-0000-0000EF680000}"/>
    <cellStyle name="0_S Curve, Org 22.10. 2 6 2 2 3 2" xfId="26878" xr:uid="{00000000-0005-0000-0000-0000F0680000}"/>
    <cellStyle name="0_S Curve, Org 22.10. 2 6 2 2 4" xfId="26879" xr:uid="{00000000-0005-0000-0000-0000F1680000}"/>
    <cellStyle name="0_S Curve, Org 22.10. 2 6 2 3" xfId="26880" xr:uid="{00000000-0005-0000-0000-0000F2680000}"/>
    <cellStyle name="0_S Curve, Org 22.10. 2 6 2 3 2" xfId="26881" xr:uid="{00000000-0005-0000-0000-0000F3680000}"/>
    <cellStyle name="0_S Curve, Org 22.10. 2 6 2 3 2 2" xfId="26882" xr:uid="{00000000-0005-0000-0000-0000F4680000}"/>
    <cellStyle name="0_S Curve, Org 22.10. 2 6 2 3 3" xfId="26883" xr:uid="{00000000-0005-0000-0000-0000F5680000}"/>
    <cellStyle name="0_S Curve, Org 22.10. 2 6 2 3 3 2" xfId="26884" xr:uid="{00000000-0005-0000-0000-0000F6680000}"/>
    <cellStyle name="0_S Curve, Org 22.10. 2 6 2 3 4" xfId="26885" xr:uid="{00000000-0005-0000-0000-0000F7680000}"/>
    <cellStyle name="0_S Curve, Org 22.10. 2 6 2 4" xfId="26886" xr:uid="{00000000-0005-0000-0000-0000F8680000}"/>
    <cellStyle name="0_S Curve, Org 22.10. 2 6 2 4 2" xfId="26887" xr:uid="{00000000-0005-0000-0000-0000F9680000}"/>
    <cellStyle name="0_S Curve, Org 22.10. 2 6 2 5" xfId="26888" xr:uid="{00000000-0005-0000-0000-0000FA680000}"/>
    <cellStyle name="0_S Curve, Org 22.10. 2 6 2 5 2" xfId="26889" xr:uid="{00000000-0005-0000-0000-0000FB680000}"/>
    <cellStyle name="0_S Curve, Org 22.10. 2 6 2 6" xfId="26890" xr:uid="{00000000-0005-0000-0000-0000FC680000}"/>
    <cellStyle name="0_S Curve, Org 22.10. 2 6 3" xfId="26891" xr:uid="{00000000-0005-0000-0000-0000FD680000}"/>
    <cellStyle name="0_S Curve, Org 22.10. 2 6 3 2" xfId="26892" xr:uid="{00000000-0005-0000-0000-0000FE680000}"/>
    <cellStyle name="0_S Curve, Org 22.10. 2 6 3 2 2" xfId="26893" xr:uid="{00000000-0005-0000-0000-0000FF680000}"/>
    <cellStyle name="0_S Curve, Org 22.10. 2 6 3 3" xfId="26894" xr:uid="{00000000-0005-0000-0000-000000690000}"/>
    <cellStyle name="0_S Curve, Org 22.10. 2 6 3 3 2" xfId="26895" xr:uid="{00000000-0005-0000-0000-000001690000}"/>
    <cellStyle name="0_S Curve, Org 22.10. 2 6 3 4" xfId="26896" xr:uid="{00000000-0005-0000-0000-000002690000}"/>
    <cellStyle name="0_S Curve, Org 22.10. 2 6 4" xfId="26897" xr:uid="{00000000-0005-0000-0000-000003690000}"/>
    <cellStyle name="0_S Curve, Org 22.10. 2 6 4 2" xfId="26898" xr:uid="{00000000-0005-0000-0000-000004690000}"/>
    <cellStyle name="0_S Curve, Org 22.10. 2 6 4 2 2" xfId="26899" xr:uid="{00000000-0005-0000-0000-000005690000}"/>
    <cellStyle name="0_S Curve, Org 22.10. 2 6 4 3" xfId="26900" xr:uid="{00000000-0005-0000-0000-000006690000}"/>
    <cellStyle name="0_S Curve, Org 22.10. 2 6 4 3 2" xfId="26901" xr:uid="{00000000-0005-0000-0000-000007690000}"/>
    <cellStyle name="0_S Curve, Org 22.10. 2 6 4 4" xfId="26902" xr:uid="{00000000-0005-0000-0000-000008690000}"/>
    <cellStyle name="0_S Curve, Org 22.10. 2 6 5" xfId="26903" xr:uid="{00000000-0005-0000-0000-000009690000}"/>
    <cellStyle name="0_S Curve, Org 22.10. 2 6 5 2" xfId="26904" xr:uid="{00000000-0005-0000-0000-00000A690000}"/>
    <cellStyle name="0_S Curve, Org 22.10. 2 6 5 2 2" xfId="26905" xr:uid="{00000000-0005-0000-0000-00000B690000}"/>
    <cellStyle name="0_S Curve, Org 22.10. 2 6 5 3" xfId="26906" xr:uid="{00000000-0005-0000-0000-00000C690000}"/>
    <cellStyle name="0_S Curve, Org 22.10. 2 6 5 3 2" xfId="26907" xr:uid="{00000000-0005-0000-0000-00000D690000}"/>
    <cellStyle name="0_S Curve, Org 22.10. 2 6 5 4" xfId="26908" xr:uid="{00000000-0005-0000-0000-00000E690000}"/>
    <cellStyle name="0_S Curve, Org 22.10. 2 6 6" xfId="26909" xr:uid="{00000000-0005-0000-0000-00000F690000}"/>
    <cellStyle name="0_S Curve, Org 22.10. 2 6 6 2" xfId="26910" xr:uid="{00000000-0005-0000-0000-000010690000}"/>
    <cellStyle name="0_S Curve, Org 22.10. 2 6 7" xfId="26911" xr:uid="{00000000-0005-0000-0000-000011690000}"/>
    <cellStyle name="0_S Curve, Org 22.10. 2 6 7 2" xfId="26912" xr:uid="{00000000-0005-0000-0000-000012690000}"/>
    <cellStyle name="0_S Curve, Org 22.10. 2 6 8" xfId="26913" xr:uid="{00000000-0005-0000-0000-000013690000}"/>
    <cellStyle name="0_S Curve, Org 22.10. 2 7" xfId="26914" xr:uid="{00000000-0005-0000-0000-000014690000}"/>
    <cellStyle name="0_S Curve, Org 22.10. 2 7 2" xfId="26915" xr:uid="{00000000-0005-0000-0000-000015690000}"/>
    <cellStyle name="0_S Curve, Org 22.10. 2 7 2 2" xfId="26916" xr:uid="{00000000-0005-0000-0000-000016690000}"/>
    <cellStyle name="0_S Curve, Org 22.10. 2 7 2 2 2" xfId="26917" xr:uid="{00000000-0005-0000-0000-000017690000}"/>
    <cellStyle name="0_S Curve, Org 22.10. 2 7 2 3" xfId="26918" xr:uid="{00000000-0005-0000-0000-000018690000}"/>
    <cellStyle name="0_S Curve, Org 22.10. 2 7 2 3 2" xfId="26919" xr:uid="{00000000-0005-0000-0000-000019690000}"/>
    <cellStyle name="0_S Curve, Org 22.10. 2 7 2 4" xfId="26920" xr:uid="{00000000-0005-0000-0000-00001A690000}"/>
    <cellStyle name="0_S Curve, Org 22.10. 2 7 3" xfId="26921" xr:uid="{00000000-0005-0000-0000-00001B690000}"/>
    <cellStyle name="0_S Curve, Org 22.10. 2 7 3 2" xfId="26922" xr:uid="{00000000-0005-0000-0000-00001C690000}"/>
    <cellStyle name="0_S Curve, Org 22.10. 2 7 3 2 2" xfId="26923" xr:uid="{00000000-0005-0000-0000-00001D690000}"/>
    <cellStyle name="0_S Curve, Org 22.10. 2 7 3 3" xfId="26924" xr:uid="{00000000-0005-0000-0000-00001E690000}"/>
    <cellStyle name="0_S Curve, Org 22.10. 2 7 3 3 2" xfId="26925" xr:uid="{00000000-0005-0000-0000-00001F690000}"/>
    <cellStyle name="0_S Curve, Org 22.10. 2 7 3 4" xfId="26926" xr:uid="{00000000-0005-0000-0000-000020690000}"/>
    <cellStyle name="0_S Curve, Org 22.10. 2 7 4" xfId="26927" xr:uid="{00000000-0005-0000-0000-000021690000}"/>
    <cellStyle name="0_S Curve, Org 22.10. 2 7 4 2" xfId="26928" xr:uid="{00000000-0005-0000-0000-000022690000}"/>
    <cellStyle name="0_S Curve, Org 22.10. 2 7 5" xfId="26929" xr:uid="{00000000-0005-0000-0000-000023690000}"/>
    <cellStyle name="0_S Curve, Org 22.10. 2 7 5 2" xfId="26930" xr:uid="{00000000-0005-0000-0000-000024690000}"/>
    <cellStyle name="0_S Curve, Org 22.10. 2 7 6" xfId="26931" xr:uid="{00000000-0005-0000-0000-000025690000}"/>
    <cellStyle name="0_S Curve, Org 22.10. 2 8" xfId="26932" xr:uid="{00000000-0005-0000-0000-000026690000}"/>
    <cellStyle name="0_S Curve, Org 22.10. 2 8 2" xfId="26933" xr:uid="{00000000-0005-0000-0000-000027690000}"/>
    <cellStyle name="0_S Curve, Org 22.10. 2 8 2 2" xfId="26934" xr:uid="{00000000-0005-0000-0000-000028690000}"/>
    <cellStyle name="0_S Curve, Org 22.10. 2 8 3" xfId="26935" xr:uid="{00000000-0005-0000-0000-000029690000}"/>
    <cellStyle name="0_S Curve, Org 22.10. 2 8 3 2" xfId="26936" xr:uid="{00000000-0005-0000-0000-00002A690000}"/>
    <cellStyle name="0_S Curve, Org 22.10. 2 8 4" xfId="26937" xr:uid="{00000000-0005-0000-0000-00002B690000}"/>
    <cellStyle name="0_S Curve, Org 22.10. 2 9" xfId="26938" xr:uid="{00000000-0005-0000-0000-00002C690000}"/>
    <cellStyle name="0_S Curve, Org 22.10. 2 9 2" xfId="26939" xr:uid="{00000000-0005-0000-0000-00002D690000}"/>
    <cellStyle name="0_S Curve, Org 22.10. 2 9 2 2" xfId="26940" xr:uid="{00000000-0005-0000-0000-00002E690000}"/>
    <cellStyle name="0_S Curve, Org 22.10. 2 9 3" xfId="26941" xr:uid="{00000000-0005-0000-0000-00002F690000}"/>
    <cellStyle name="0_S Curve, Org 22.10. 2 9 3 2" xfId="26942" xr:uid="{00000000-0005-0000-0000-000030690000}"/>
    <cellStyle name="0_S Curve, Org 22.10. 2 9 4" xfId="26943" xr:uid="{00000000-0005-0000-0000-000031690000}"/>
    <cellStyle name="0_S Curve, Org 22.10. 20" xfId="26944" xr:uid="{00000000-0005-0000-0000-000032690000}"/>
    <cellStyle name="0_S Curve, Org 22.10. 21" xfId="26945" xr:uid="{00000000-0005-0000-0000-000033690000}"/>
    <cellStyle name="0_S Curve, Org 22.10. 22" xfId="26946" xr:uid="{00000000-0005-0000-0000-000034690000}"/>
    <cellStyle name="0_S Curve, Org 22.10. 3" xfId="26947" xr:uid="{00000000-0005-0000-0000-000035690000}"/>
    <cellStyle name="0_S Curve, Org 22.10. 3 10" xfId="26948" xr:uid="{00000000-0005-0000-0000-000036690000}"/>
    <cellStyle name="0_S Curve, Org 22.10. 3 10 2" xfId="26949" xr:uid="{00000000-0005-0000-0000-000037690000}"/>
    <cellStyle name="0_S Curve, Org 22.10. 3 10 2 2" xfId="26950" xr:uid="{00000000-0005-0000-0000-000038690000}"/>
    <cellStyle name="0_S Curve, Org 22.10. 3 10 3" xfId="26951" xr:uid="{00000000-0005-0000-0000-000039690000}"/>
    <cellStyle name="0_S Curve, Org 22.10. 3 10 3 2" xfId="26952" xr:uid="{00000000-0005-0000-0000-00003A690000}"/>
    <cellStyle name="0_S Curve, Org 22.10. 3 10 4" xfId="26953" xr:uid="{00000000-0005-0000-0000-00003B690000}"/>
    <cellStyle name="0_S Curve, Org 22.10. 3 11" xfId="26954" xr:uid="{00000000-0005-0000-0000-00003C690000}"/>
    <cellStyle name="0_S Curve, Org 22.10. 3 11 2" xfId="26955" xr:uid="{00000000-0005-0000-0000-00003D690000}"/>
    <cellStyle name="0_S Curve, Org 22.10. 3 12" xfId="26956" xr:uid="{00000000-0005-0000-0000-00003E690000}"/>
    <cellStyle name="0_S Curve, Org 22.10. 3 12 2" xfId="26957" xr:uid="{00000000-0005-0000-0000-00003F690000}"/>
    <cellStyle name="0_S Curve, Org 22.10. 3 13" xfId="26958" xr:uid="{00000000-0005-0000-0000-000040690000}"/>
    <cellStyle name="0_S Curve, Org 22.10. 3 2" xfId="26959" xr:uid="{00000000-0005-0000-0000-000041690000}"/>
    <cellStyle name="0_S Curve, Org 22.10. 3 2 2" xfId="26960" xr:uid="{00000000-0005-0000-0000-000042690000}"/>
    <cellStyle name="0_S Curve, Org 22.10. 3 2 2 2" xfId="26961" xr:uid="{00000000-0005-0000-0000-000043690000}"/>
    <cellStyle name="0_S Curve, Org 22.10. 3 2 2 2 2" xfId="26962" xr:uid="{00000000-0005-0000-0000-000044690000}"/>
    <cellStyle name="0_S Curve, Org 22.10. 3 2 2 2 2 2" xfId="26963" xr:uid="{00000000-0005-0000-0000-000045690000}"/>
    <cellStyle name="0_S Curve, Org 22.10. 3 2 2 2 3" xfId="26964" xr:uid="{00000000-0005-0000-0000-000046690000}"/>
    <cellStyle name="0_S Curve, Org 22.10. 3 2 2 2 3 2" xfId="26965" xr:uid="{00000000-0005-0000-0000-000047690000}"/>
    <cellStyle name="0_S Curve, Org 22.10. 3 2 2 2 4" xfId="26966" xr:uid="{00000000-0005-0000-0000-000048690000}"/>
    <cellStyle name="0_S Curve, Org 22.10. 3 2 2 3" xfId="26967" xr:uid="{00000000-0005-0000-0000-000049690000}"/>
    <cellStyle name="0_S Curve, Org 22.10. 3 2 2 3 2" xfId="26968" xr:uid="{00000000-0005-0000-0000-00004A690000}"/>
    <cellStyle name="0_S Curve, Org 22.10. 3 2 2 3 2 2" xfId="26969" xr:uid="{00000000-0005-0000-0000-00004B690000}"/>
    <cellStyle name="0_S Curve, Org 22.10. 3 2 2 3 3" xfId="26970" xr:uid="{00000000-0005-0000-0000-00004C690000}"/>
    <cellStyle name="0_S Curve, Org 22.10. 3 2 2 3 3 2" xfId="26971" xr:uid="{00000000-0005-0000-0000-00004D690000}"/>
    <cellStyle name="0_S Curve, Org 22.10. 3 2 2 3 4" xfId="26972" xr:uid="{00000000-0005-0000-0000-00004E690000}"/>
    <cellStyle name="0_S Curve, Org 22.10. 3 2 2 4" xfId="26973" xr:uid="{00000000-0005-0000-0000-00004F690000}"/>
    <cellStyle name="0_S Curve, Org 22.10. 3 2 2 4 2" xfId="26974" xr:uid="{00000000-0005-0000-0000-000050690000}"/>
    <cellStyle name="0_S Curve, Org 22.10. 3 2 2 5" xfId="26975" xr:uid="{00000000-0005-0000-0000-000051690000}"/>
    <cellStyle name="0_S Curve, Org 22.10. 3 2 2 5 2" xfId="26976" xr:uid="{00000000-0005-0000-0000-000052690000}"/>
    <cellStyle name="0_S Curve, Org 22.10. 3 2 2 6" xfId="26977" xr:uid="{00000000-0005-0000-0000-000053690000}"/>
    <cellStyle name="0_S Curve, Org 22.10. 3 2 3" xfId="26978" xr:uid="{00000000-0005-0000-0000-000054690000}"/>
    <cellStyle name="0_S Curve, Org 22.10. 3 2 3 2" xfId="26979" xr:uid="{00000000-0005-0000-0000-000055690000}"/>
    <cellStyle name="0_S Curve, Org 22.10. 3 2 3 2 2" xfId="26980" xr:uid="{00000000-0005-0000-0000-000056690000}"/>
    <cellStyle name="0_S Curve, Org 22.10. 3 2 3 3" xfId="26981" xr:uid="{00000000-0005-0000-0000-000057690000}"/>
    <cellStyle name="0_S Curve, Org 22.10. 3 2 3 3 2" xfId="26982" xr:uid="{00000000-0005-0000-0000-000058690000}"/>
    <cellStyle name="0_S Curve, Org 22.10. 3 2 3 4" xfId="26983" xr:uid="{00000000-0005-0000-0000-000059690000}"/>
    <cellStyle name="0_S Curve, Org 22.10. 3 2 4" xfId="26984" xr:uid="{00000000-0005-0000-0000-00005A690000}"/>
    <cellStyle name="0_S Curve, Org 22.10. 3 2 4 2" xfId="26985" xr:uid="{00000000-0005-0000-0000-00005B690000}"/>
    <cellStyle name="0_S Curve, Org 22.10. 3 2 4 2 2" xfId="26986" xr:uid="{00000000-0005-0000-0000-00005C690000}"/>
    <cellStyle name="0_S Curve, Org 22.10. 3 2 4 3" xfId="26987" xr:uid="{00000000-0005-0000-0000-00005D690000}"/>
    <cellStyle name="0_S Curve, Org 22.10. 3 2 4 3 2" xfId="26988" xr:uid="{00000000-0005-0000-0000-00005E690000}"/>
    <cellStyle name="0_S Curve, Org 22.10. 3 2 4 4" xfId="26989" xr:uid="{00000000-0005-0000-0000-00005F690000}"/>
    <cellStyle name="0_S Curve, Org 22.10. 3 2 5" xfId="26990" xr:uid="{00000000-0005-0000-0000-000060690000}"/>
    <cellStyle name="0_S Curve, Org 22.10. 3 2 5 2" xfId="26991" xr:uid="{00000000-0005-0000-0000-000061690000}"/>
    <cellStyle name="0_S Curve, Org 22.10. 3 2 5 2 2" xfId="26992" xr:uid="{00000000-0005-0000-0000-000062690000}"/>
    <cellStyle name="0_S Curve, Org 22.10. 3 2 5 3" xfId="26993" xr:uid="{00000000-0005-0000-0000-000063690000}"/>
    <cellStyle name="0_S Curve, Org 22.10. 3 2 5 3 2" xfId="26994" xr:uid="{00000000-0005-0000-0000-000064690000}"/>
    <cellStyle name="0_S Curve, Org 22.10. 3 2 5 4" xfId="26995" xr:uid="{00000000-0005-0000-0000-000065690000}"/>
    <cellStyle name="0_S Curve, Org 22.10. 3 2 6" xfId="26996" xr:uid="{00000000-0005-0000-0000-000066690000}"/>
    <cellStyle name="0_S Curve, Org 22.10. 3 2 6 2" xfId="26997" xr:uid="{00000000-0005-0000-0000-000067690000}"/>
    <cellStyle name="0_S Curve, Org 22.10. 3 2 7" xfId="26998" xr:uid="{00000000-0005-0000-0000-000068690000}"/>
    <cellStyle name="0_S Curve, Org 22.10. 3 2 7 2" xfId="26999" xr:uid="{00000000-0005-0000-0000-000069690000}"/>
    <cellStyle name="0_S Curve, Org 22.10. 3 2 8" xfId="27000" xr:uid="{00000000-0005-0000-0000-00006A690000}"/>
    <cellStyle name="0_S Curve, Org 22.10. 3 3" xfId="27001" xr:uid="{00000000-0005-0000-0000-00006B690000}"/>
    <cellStyle name="0_S Curve, Org 22.10. 3 3 2" xfId="27002" xr:uid="{00000000-0005-0000-0000-00006C690000}"/>
    <cellStyle name="0_S Curve, Org 22.10. 3 3 2 2" xfId="27003" xr:uid="{00000000-0005-0000-0000-00006D690000}"/>
    <cellStyle name="0_S Curve, Org 22.10. 3 3 2 2 2" xfId="27004" xr:uid="{00000000-0005-0000-0000-00006E690000}"/>
    <cellStyle name="0_S Curve, Org 22.10. 3 3 2 2 2 2" xfId="27005" xr:uid="{00000000-0005-0000-0000-00006F690000}"/>
    <cellStyle name="0_S Curve, Org 22.10. 3 3 2 2 3" xfId="27006" xr:uid="{00000000-0005-0000-0000-000070690000}"/>
    <cellStyle name="0_S Curve, Org 22.10. 3 3 2 2 3 2" xfId="27007" xr:uid="{00000000-0005-0000-0000-000071690000}"/>
    <cellStyle name="0_S Curve, Org 22.10. 3 3 2 2 4" xfId="27008" xr:uid="{00000000-0005-0000-0000-000072690000}"/>
    <cellStyle name="0_S Curve, Org 22.10. 3 3 2 3" xfId="27009" xr:uid="{00000000-0005-0000-0000-000073690000}"/>
    <cellStyle name="0_S Curve, Org 22.10. 3 3 2 3 2" xfId="27010" xr:uid="{00000000-0005-0000-0000-000074690000}"/>
    <cellStyle name="0_S Curve, Org 22.10. 3 3 2 3 2 2" xfId="27011" xr:uid="{00000000-0005-0000-0000-000075690000}"/>
    <cellStyle name="0_S Curve, Org 22.10. 3 3 2 3 3" xfId="27012" xr:uid="{00000000-0005-0000-0000-000076690000}"/>
    <cellStyle name="0_S Curve, Org 22.10. 3 3 2 3 3 2" xfId="27013" xr:uid="{00000000-0005-0000-0000-000077690000}"/>
    <cellStyle name="0_S Curve, Org 22.10. 3 3 2 3 4" xfId="27014" xr:uid="{00000000-0005-0000-0000-000078690000}"/>
    <cellStyle name="0_S Curve, Org 22.10. 3 3 2 4" xfId="27015" xr:uid="{00000000-0005-0000-0000-000079690000}"/>
    <cellStyle name="0_S Curve, Org 22.10. 3 3 2 4 2" xfId="27016" xr:uid="{00000000-0005-0000-0000-00007A690000}"/>
    <cellStyle name="0_S Curve, Org 22.10. 3 3 2 5" xfId="27017" xr:uid="{00000000-0005-0000-0000-00007B690000}"/>
    <cellStyle name="0_S Curve, Org 22.10. 3 3 2 5 2" xfId="27018" xr:uid="{00000000-0005-0000-0000-00007C690000}"/>
    <cellStyle name="0_S Curve, Org 22.10. 3 3 2 6" xfId="27019" xr:uid="{00000000-0005-0000-0000-00007D690000}"/>
    <cellStyle name="0_S Curve, Org 22.10. 3 3 3" xfId="27020" xr:uid="{00000000-0005-0000-0000-00007E690000}"/>
    <cellStyle name="0_S Curve, Org 22.10. 3 3 3 2" xfId="27021" xr:uid="{00000000-0005-0000-0000-00007F690000}"/>
    <cellStyle name="0_S Curve, Org 22.10. 3 3 3 2 2" xfId="27022" xr:uid="{00000000-0005-0000-0000-000080690000}"/>
    <cellStyle name="0_S Curve, Org 22.10. 3 3 3 3" xfId="27023" xr:uid="{00000000-0005-0000-0000-000081690000}"/>
    <cellStyle name="0_S Curve, Org 22.10. 3 3 3 3 2" xfId="27024" xr:uid="{00000000-0005-0000-0000-000082690000}"/>
    <cellStyle name="0_S Curve, Org 22.10. 3 3 3 4" xfId="27025" xr:uid="{00000000-0005-0000-0000-000083690000}"/>
    <cellStyle name="0_S Curve, Org 22.10. 3 3 4" xfId="27026" xr:uid="{00000000-0005-0000-0000-000084690000}"/>
    <cellStyle name="0_S Curve, Org 22.10. 3 3 4 2" xfId="27027" xr:uid="{00000000-0005-0000-0000-000085690000}"/>
    <cellStyle name="0_S Curve, Org 22.10. 3 3 4 2 2" xfId="27028" xr:uid="{00000000-0005-0000-0000-000086690000}"/>
    <cellStyle name="0_S Curve, Org 22.10. 3 3 4 3" xfId="27029" xr:uid="{00000000-0005-0000-0000-000087690000}"/>
    <cellStyle name="0_S Curve, Org 22.10. 3 3 4 3 2" xfId="27030" xr:uid="{00000000-0005-0000-0000-000088690000}"/>
    <cellStyle name="0_S Curve, Org 22.10. 3 3 4 4" xfId="27031" xr:uid="{00000000-0005-0000-0000-000089690000}"/>
    <cellStyle name="0_S Curve, Org 22.10. 3 3 5" xfId="27032" xr:uid="{00000000-0005-0000-0000-00008A690000}"/>
    <cellStyle name="0_S Curve, Org 22.10. 3 3 5 2" xfId="27033" xr:uid="{00000000-0005-0000-0000-00008B690000}"/>
    <cellStyle name="0_S Curve, Org 22.10. 3 3 5 2 2" xfId="27034" xr:uid="{00000000-0005-0000-0000-00008C690000}"/>
    <cellStyle name="0_S Curve, Org 22.10. 3 3 5 3" xfId="27035" xr:uid="{00000000-0005-0000-0000-00008D690000}"/>
    <cellStyle name="0_S Curve, Org 22.10. 3 3 5 3 2" xfId="27036" xr:uid="{00000000-0005-0000-0000-00008E690000}"/>
    <cellStyle name="0_S Curve, Org 22.10. 3 3 5 4" xfId="27037" xr:uid="{00000000-0005-0000-0000-00008F690000}"/>
    <cellStyle name="0_S Curve, Org 22.10. 3 3 6" xfId="27038" xr:uid="{00000000-0005-0000-0000-000090690000}"/>
    <cellStyle name="0_S Curve, Org 22.10. 3 3 6 2" xfId="27039" xr:uid="{00000000-0005-0000-0000-000091690000}"/>
    <cellStyle name="0_S Curve, Org 22.10. 3 3 7" xfId="27040" xr:uid="{00000000-0005-0000-0000-000092690000}"/>
    <cellStyle name="0_S Curve, Org 22.10. 3 3 7 2" xfId="27041" xr:uid="{00000000-0005-0000-0000-000093690000}"/>
    <cellStyle name="0_S Curve, Org 22.10. 3 3 8" xfId="27042" xr:uid="{00000000-0005-0000-0000-000094690000}"/>
    <cellStyle name="0_S Curve, Org 22.10. 3 4" xfId="27043" xr:uid="{00000000-0005-0000-0000-000095690000}"/>
    <cellStyle name="0_S Curve, Org 22.10. 3 4 2" xfId="27044" xr:uid="{00000000-0005-0000-0000-000096690000}"/>
    <cellStyle name="0_S Curve, Org 22.10. 3 4 2 2" xfId="27045" xr:uid="{00000000-0005-0000-0000-000097690000}"/>
    <cellStyle name="0_S Curve, Org 22.10. 3 4 2 2 2" xfId="27046" xr:uid="{00000000-0005-0000-0000-000098690000}"/>
    <cellStyle name="0_S Curve, Org 22.10. 3 4 2 2 2 2" xfId="27047" xr:uid="{00000000-0005-0000-0000-000099690000}"/>
    <cellStyle name="0_S Curve, Org 22.10. 3 4 2 2 3" xfId="27048" xr:uid="{00000000-0005-0000-0000-00009A690000}"/>
    <cellStyle name="0_S Curve, Org 22.10. 3 4 2 2 3 2" xfId="27049" xr:uid="{00000000-0005-0000-0000-00009B690000}"/>
    <cellStyle name="0_S Curve, Org 22.10. 3 4 2 2 4" xfId="27050" xr:uid="{00000000-0005-0000-0000-00009C690000}"/>
    <cellStyle name="0_S Curve, Org 22.10. 3 4 2 3" xfId="27051" xr:uid="{00000000-0005-0000-0000-00009D690000}"/>
    <cellStyle name="0_S Curve, Org 22.10. 3 4 2 3 2" xfId="27052" xr:uid="{00000000-0005-0000-0000-00009E690000}"/>
    <cellStyle name="0_S Curve, Org 22.10. 3 4 2 3 2 2" xfId="27053" xr:uid="{00000000-0005-0000-0000-00009F690000}"/>
    <cellStyle name="0_S Curve, Org 22.10. 3 4 2 3 3" xfId="27054" xr:uid="{00000000-0005-0000-0000-0000A0690000}"/>
    <cellStyle name="0_S Curve, Org 22.10. 3 4 2 3 3 2" xfId="27055" xr:uid="{00000000-0005-0000-0000-0000A1690000}"/>
    <cellStyle name="0_S Curve, Org 22.10. 3 4 2 3 4" xfId="27056" xr:uid="{00000000-0005-0000-0000-0000A2690000}"/>
    <cellStyle name="0_S Curve, Org 22.10. 3 4 2 4" xfId="27057" xr:uid="{00000000-0005-0000-0000-0000A3690000}"/>
    <cellStyle name="0_S Curve, Org 22.10. 3 4 2 4 2" xfId="27058" xr:uid="{00000000-0005-0000-0000-0000A4690000}"/>
    <cellStyle name="0_S Curve, Org 22.10. 3 4 2 5" xfId="27059" xr:uid="{00000000-0005-0000-0000-0000A5690000}"/>
    <cellStyle name="0_S Curve, Org 22.10. 3 4 2 5 2" xfId="27060" xr:uid="{00000000-0005-0000-0000-0000A6690000}"/>
    <cellStyle name="0_S Curve, Org 22.10. 3 4 2 6" xfId="27061" xr:uid="{00000000-0005-0000-0000-0000A7690000}"/>
    <cellStyle name="0_S Curve, Org 22.10. 3 4 3" xfId="27062" xr:uid="{00000000-0005-0000-0000-0000A8690000}"/>
    <cellStyle name="0_S Curve, Org 22.10. 3 4 3 2" xfId="27063" xr:uid="{00000000-0005-0000-0000-0000A9690000}"/>
    <cellStyle name="0_S Curve, Org 22.10. 3 4 3 2 2" xfId="27064" xr:uid="{00000000-0005-0000-0000-0000AA690000}"/>
    <cellStyle name="0_S Curve, Org 22.10. 3 4 3 3" xfId="27065" xr:uid="{00000000-0005-0000-0000-0000AB690000}"/>
    <cellStyle name="0_S Curve, Org 22.10. 3 4 3 3 2" xfId="27066" xr:uid="{00000000-0005-0000-0000-0000AC690000}"/>
    <cellStyle name="0_S Curve, Org 22.10. 3 4 3 4" xfId="27067" xr:uid="{00000000-0005-0000-0000-0000AD690000}"/>
    <cellStyle name="0_S Curve, Org 22.10. 3 4 4" xfId="27068" xr:uid="{00000000-0005-0000-0000-0000AE690000}"/>
    <cellStyle name="0_S Curve, Org 22.10. 3 4 4 2" xfId="27069" xr:uid="{00000000-0005-0000-0000-0000AF690000}"/>
    <cellStyle name="0_S Curve, Org 22.10. 3 4 4 2 2" xfId="27070" xr:uid="{00000000-0005-0000-0000-0000B0690000}"/>
    <cellStyle name="0_S Curve, Org 22.10. 3 4 4 3" xfId="27071" xr:uid="{00000000-0005-0000-0000-0000B1690000}"/>
    <cellStyle name="0_S Curve, Org 22.10. 3 4 4 3 2" xfId="27072" xr:uid="{00000000-0005-0000-0000-0000B2690000}"/>
    <cellStyle name="0_S Curve, Org 22.10. 3 4 4 4" xfId="27073" xr:uid="{00000000-0005-0000-0000-0000B3690000}"/>
    <cellStyle name="0_S Curve, Org 22.10. 3 4 5" xfId="27074" xr:uid="{00000000-0005-0000-0000-0000B4690000}"/>
    <cellStyle name="0_S Curve, Org 22.10. 3 4 5 2" xfId="27075" xr:uid="{00000000-0005-0000-0000-0000B5690000}"/>
    <cellStyle name="0_S Curve, Org 22.10. 3 4 5 2 2" xfId="27076" xr:uid="{00000000-0005-0000-0000-0000B6690000}"/>
    <cellStyle name="0_S Curve, Org 22.10. 3 4 5 3" xfId="27077" xr:uid="{00000000-0005-0000-0000-0000B7690000}"/>
    <cellStyle name="0_S Curve, Org 22.10. 3 4 5 3 2" xfId="27078" xr:uid="{00000000-0005-0000-0000-0000B8690000}"/>
    <cellStyle name="0_S Curve, Org 22.10. 3 4 5 4" xfId="27079" xr:uid="{00000000-0005-0000-0000-0000B9690000}"/>
    <cellStyle name="0_S Curve, Org 22.10. 3 4 6" xfId="27080" xr:uid="{00000000-0005-0000-0000-0000BA690000}"/>
    <cellStyle name="0_S Curve, Org 22.10. 3 4 6 2" xfId="27081" xr:uid="{00000000-0005-0000-0000-0000BB690000}"/>
    <cellStyle name="0_S Curve, Org 22.10. 3 4 7" xfId="27082" xr:uid="{00000000-0005-0000-0000-0000BC690000}"/>
    <cellStyle name="0_S Curve, Org 22.10. 3 4 7 2" xfId="27083" xr:uid="{00000000-0005-0000-0000-0000BD690000}"/>
    <cellStyle name="0_S Curve, Org 22.10. 3 4 8" xfId="27084" xr:uid="{00000000-0005-0000-0000-0000BE690000}"/>
    <cellStyle name="0_S Curve, Org 22.10. 3 5" xfId="27085" xr:uid="{00000000-0005-0000-0000-0000BF690000}"/>
    <cellStyle name="0_S Curve, Org 22.10. 3 5 2" xfId="27086" xr:uid="{00000000-0005-0000-0000-0000C0690000}"/>
    <cellStyle name="0_S Curve, Org 22.10. 3 5 2 2" xfId="27087" xr:uid="{00000000-0005-0000-0000-0000C1690000}"/>
    <cellStyle name="0_S Curve, Org 22.10. 3 5 2 2 2" xfId="27088" xr:uid="{00000000-0005-0000-0000-0000C2690000}"/>
    <cellStyle name="0_S Curve, Org 22.10. 3 5 2 2 2 2" xfId="27089" xr:uid="{00000000-0005-0000-0000-0000C3690000}"/>
    <cellStyle name="0_S Curve, Org 22.10. 3 5 2 2 3" xfId="27090" xr:uid="{00000000-0005-0000-0000-0000C4690000}"/>
    <cellStyle name="0_S Curve, Org 22.10. 3 5 2 2 3 2" xfId="27091" xr:uid="{00000000-0005-0000-0000-0000C5690000}"/>
    <cellStyle name="0_S Curve, Org 22.10. 3 5 2 2 4" xfId="27092" xr:uid="{00000000-0005-0000-0000-0000C6690000}"/>
    <cellStyle name="0_S Curve, Org 22.10. 3 5 2 3" xfId="27093" xr:uid="{00000000-0005-0000-0000-0000C7690000}"/>
    <cellStyle name="0_S Curve, Org 22.10. 3 5 2 3 2" xfId="27094" xr:uid="{00000000-0005-0000-0000-0000C8690000}"/>
    <cellStyle name="0_S Curve, Org 22.10. 3 5 2 3 2 2" xfId="27095" xr:uid="{00000000-0005-0000-0000-0000C9690000}"/>
    <cellStyle name="0_S Curve, Org 22.10. 3 5 2 3 3" xfId="27096" xr:uid="{00000000-0005-0000-0000-0000CA690000}"/>
    <cellStyle name="0_S Curve, Org 22.10. 3 5 2 3 3 2" xfId="27097" xr:uid="{00000000-0005-0000-0000-0000CB690000}"/>
    <cellStyle name="0_S Curve, Org 22.10. 3 5 2 3 4" xfId="27098" xr:uid="{00000000-0005-0000-0000-0000CC690000}"/>
    <cellStyle name="0_S Curve, Org 22.10. 3 5 2 4" xfId="27099" xr:uid="{00000000-0005-0000-0000-0000CD690000}"/>
    <cellStyle name="0_S Curve, Org 22.10. 3 5 2 4 2" xfId="27100" xr:uid="{00000000-0005-0000-0000-0000CE690000}"/>
    <cellStyle name="0_S Curve, Org 22.10. 3 5 2 5" xfId="27101" xr:uid="{00000000-0005-0000-0000-0000CF690000}"/>
    <cellStyle name="0_S Curve, Org 22.10. 3 5 2 5 2" xfId="27102" xr:uid="{00000000-0005-0000-0000-0000D0690000}"/>
    <cellStyle name="0_S Curve, Org 22.10. 3 5 2 6" xfId="27103" xr:uid="{00000000-0005-0000-0000-0000D1690000}"/>
    <cellStyle name="0_S Curve, Org 22.10. 3 5 3" xfId="27104" xr:uid="{00000000-0005-0000-0000-0000D2690000}"/>
    <cellStyle name="0_S Curve, Org 22.10. 3 5 3 2" xfId="27105" xr:uid="{00000000-0005-0000-0000-0000D3690000}"/>
    <cellStyle name="0_S Curve, Org 22.10. 3 5 3 2 2" xfId="27106" xr:uid="{00000000-0005-0000-0000-0000D4690000}"/>
    <cellStyle name="0_S Curve, Org 22.10. 3 5 3 3" xfId="27107" xr:uid="{00000000-0005-0000-0000-0000D5690000}"/>
    <cellStyle name="0_S Curve, Org 22.10. 3 5 3 3 2" xfId="27108" xr:uid="{00000000-0005-0000-0000-0000D6690000}"/>
    <cellStyle name="0_S Curve, Org 22.10. 3 5 3 4" xfId="27109" xr:uid="{00000000-0005-0000-0000-0000D7690000}"/>
    <cellStyle name="0_S Curve, Org 22.10. 3 5 4" xfId="27110" xr:uid="{00000000-0005-0000-0000-0000D8690000}"/>
    <cellStyle name="0_S Curve, Org 22.10. 3 5 4 2" xfId="27111" xr:uid="{00000000-0005-0000-0000-0000D9690000}"/>
    <cellStyle name="0_S Curve, Org 22.10. 3 5 4 2 2" xfId="27112" xr:uid="{00000000-0005-0000-0000-0000DA690000}"/>
    <cellStyle name="0_S Curve, Org 22.10. 3 5 4 3" xfId="27113" xr:uid="{00000000-0005-0000-0000-0000DB690000}"/>
    <cellStyle name="0_S Curve, Org 22.10. 3 5 4 3 2" xfId="27114" xr:uid="{00000000-0005-0000-0000-0000DC690000}"/>
    <cellStyle name="0_S Curve, Org 22.10. 3 5 4 4" xfId="27115" xr:uid="{00000000-0005-0000-0000-0000DD690000}"/>
    <cellStyle name="0_S Curve, Org 22.10. 3 5 5" xfId="27116" xr:uid="{00000000-0005-0000-0000-0000DE690000}"/>
    <cellStyle name="0_S Curve, Org 22.10. 3 5 5 2" xfId="27117" xr:uid="{00000000-0005-0000-0000-0000DF690000}"/>
    <cellStyle name="0_S Curve, Org 22.10. 3 5 5 2 2" xfId="27118" xr:uid="{00000000-0005-0000-0000-0000E0690000}"/>
    <cellStyle name="0_S Curve, Org 22.10. 3 5 5 3" xfId="27119" xr:uid="{00000000-0005-0000-0000-0000E1690000}"/>
    <cellStyle name="0_S Curve, Org 22.10. 3 5 5 3 2" xfId="27120" xr:uid="{00000000-0005-0000-0000-0000E2690000}"/>
    <cellStyle name="0_S Curve, Org 22.10. 3 5 5 4" xfId="27121" xr:uid="{00000000-0005-0000-0000-0000E3690000}"/>
    <cellStyle name="0_S Curve, Org 22.10. 3 5 6" xfId="27122" xr:uid="{00000000-0005-0000-0000-0000E4690000}"/>
    <cellStyle name="0_S Curve, Org 22.10. 3 5 6 2" xfId="27123" xr:uid="{00000000-0005-0000-0000-0000E5690000}"/>
    <cellStyle name="0_S Curve, Org 22.10. 3 5 7" xfId="27124" xr:uid="{00000000-0005-0000-0000-0000E6690000}"/>
    <cellStyle name="0_S Curve, Org 22.10. 3 5 7 2" xfId="27125" xr:uid="{00000000-0005-0000-0000-0000E7690000}"/>
    <cellStyle name="0_S Curve, Org 22.10. 3 5 8" xfId="27126" xr:uid="{00000000-0005-0000-0000-0000E8690000}"/>
    <cellStyle name="0_S Curve, Org 22.10. 3 6" xfId="27127" xr:uid="{00000000-0005-0000-0000-0000E9690000}"/>
    <cellStyle name="0_S Curve, Org 22.10. 3 6 2" xfId="27128" xr:uid="{00000000-0005-0000-0000-0000EA690000}"/>
    <cellStyle name="0_S Curve, Org 22.10. 3 6 2 2" xfId="27129" xr:uid="{00000000-0005-0000-0000-0000EB690000}"/>
    <cellStyle name="0_S Curve, Org 22.10. 3 6 2 2 2" xfId="27130" xr:uid="{00000000-0005-0000-0000-0000EC690000}"/>
    <cellStyle name="0_S Curve, Org 22.10. 3 6 2 2 2 2" xfId="27131" xr:uid="{00000000-0005-0000-0000-0000ED690000}"/>
    <cellStyle name="0_S Curve, Org 22.10. 3 6 2 2 3" xfId="27132" xr:uid="{00000000-0005-0000-0000-0000EE690000}"/>
    <cellStyle name="0_S Curve, Org 22.10. 3 6 2 2 3 2" xfId="27133" xr:uid="{00000000-0005-0000-0000-0000EF690000}"/>
    <cellStyle name="0_S Curve, Org 22.10. 3 6 2 2 4" xfId="27134" xr:uid="{00000000-0005-0000-0000-0000F0690000}"/>
    <cellStyle name="0_S Curve, Org 22.10. 3 6 2 3" xfId="27135" xr:uid="{00000000-0005-0000-0000-0000F1690000}"/>
    <cellStyle name="0_S Curve, Org 22.10. 3 6 2 3 2" xfId="27136" xr:uid="{00000000-0005-0000-0000-0000F2690000}"/>
    <cellStyle name="0_S Curve, Org 22.10. 3 6 2 3 2 2" xfId="27137" xr:uid="{00000000-0005-0000-0000-0000F3690000}"/>
    <cellStyle name="0_S Curve, Org 22.10. 3 6 2 3 3" xfId="27138" xr:uid="{00000000-0005-0000-0000-0000F4690000}"/>
    <cellStyle name="0_S Curve, Org 22.10. 3 6 2 3 3 2" xfId="27139" xr:uid="{00000000-0005-0000-0000-0000F5690000}"/>
    <cellStyle name="0_S Curve, Org 22.10. 3 6 2 3 4" xfId="27140" xr:uid="{00000000-0005-0000-0000-0000F6690000}"/>
    <cellStyle name="0_S Curve, Org 22.10. 3 6 2 4" xfId="27141" xr:uid="{00000000-0005-0000-0000-0000F7690000}"/>
    <cellStyle name="0_S Curve, Org 22.10. 3 6 2 4 2" xfId="27142" xr:uid="{00000000-0005-0000-0000-0000F8690000}"/>
    <cellStyle name="0_S Curve, Org 22.10. 3 6 2 5" xfId="27143" xr:uid="{00000000-0005-0000-0000-0000F9690000}"/>
    <cellStyle name="0_S Curve, Org 22.10. 3 6 2 5 2" xfId="27144" xr:uid="{00000000-0005-0000-0000-0000FA690000}"/>
    <cellStyle name="0_S Curve, Org 22.10. 3 6 2 6" xfId="27145" xr:uid="{00000000-0005-0000-0000-0000FB690000}"/>
    <cellStyle name="0_S Curve, Org 22.10. 3 6 3" xfId="27146" xr:uid="{00000000-0005-0000-0000-0000FC690000}"/>
    <cellStyle name="0_S Curve, Org 22.10. 3 6 3 2" xfId="27147" xr:uid="{00000000-0005-0000-0000-0000FD690000}"/>
    <cellStyle name="0_S Curve, Org 22.10. 3 6 3 2 2" xfId="27148" xr:uid="{00000000-0005-0000-0000-0000FE690000}"/>
    <cellStyle name="0_S Curve, Org 22.10. 3 6 3 3" xfId="27149" xr:uid="{00000000-0005-0000-0000-0000FF690000}"/>
    <cellStyle name="0_S Curve, Org 22.10. 3 6 3 3 2" xfId="27150" xr:uid="{00000000-0005-0000-0000-0000006A0000}"/>
    <cellStyle name="0_S Curve, Org 22.10. 3 6 3 4" xfId="27151" xr:uid="{00000000-0005-0000-0000-0000016A0000}"/>
    <cellStyle name="0_S Curve, Org 22.10. 3 6 4" xfId="27152" xr:uid="{00000000-0005-0000-0000-0000026A0000}"/>
    <cellStyle name="0_S Curve, Org 22.10. 3 6 4 2" xfId="27153" xr:uid="{00000000-0005-0000-0000-0000036A0000}"/>
    <cellStyle name="0_S Curve, Org 22.10. 3 6 4 2 2" xfId="27154" xr:uid="{00000000-0005-0000-0000-0000046A0000}"/>
    <cellStyle name="0_S Curve, Org 22.10. 3 6 4 3" xfId="27155" xr:uid="{00000000-0005-0000-0000-0000056A0000}"/>
    <cellStyle name="0_S Curve, Org 22.10. 3 6 4 3 2" xfId="27156" xr:uid="{00000000-0005-0000-0000-0000066A0000}"/>
    <cellStyle name="0_S Curve, Org 22.10. 3 6 4 4" xfId="27157" xr:uid="{00000000-0005-0000-0000-0000076A0000}"/>
    <cellStyle name="0_S Curve, Org 22.10. 3 6 5" xfId="27158" xr:uid="{00000000-0005-0000-0000-0000086A0000}"/>
    <cellStyle name="0_S Curve, Org 22.10. 3 6 5 2" xfId="27159" xr:uid="{00000000-0005-0000-0000-0000096A0000}"/>
    <cellStyle name="0_S Curve, Org 22.10. 3 6 5 2 2" xfId="27160" xr:uid="{00000000-0005-0000-0000-00000A6A0000}"/>
    <cellStyle name="0_S Curve, Org 22.10. 3 6 5 3" xfId="27161" xr:uid="{00000000-0005-0000-0000-00000B6A0000}"/>
    <cellStyle name="0_S Curve, Org 22.10. 3 6 5 3 2" xfId="27162" xr:uid="{00000000-0005-0000-0000-00000C6A0000}"/>
    <cellStyle name="0_S Curve, Org 22.10. 3 6 5 4" xfId="27163" xr:uid="{00000000-0005-0000-0000-00000D6A0000}"/>
    <cellStyle name="0_S Curve, Org 22.10. 3 6 6" xfId="27164" xr:uid="{00000000-0005-0000-0000-00000E6A0000}"/>
    <cellStyle name="0_S Curve, Org 22.10. 3 6 6 2" xfId="27165" xr:uid="{00000000-0005-0000-0000-00000F6A0000}"/>
    <cellStyle name="0_S Curve, Org 22.10. 3 6 7" xfId="27166" xr:uid="{00000000-0005-0000-0000-0000106A0000}"/>
    <cellStyle name="0_S Curve, Org 22.10. 3 6 7 2" xfId="27167" xr:uid="{00000000-0005-0000-0000-0000116A0000}"/>
    <cellStyle name="0_S Curve, Org 22.10. 3 6 8" xfId="27168" xr:uid="{00000000-0005-0000-0000-0000126A0000}"/>
    <cellStyle name="0_S Curve, Org 22.10. 3 7" xfId="27169" xr:uid="{00000000-0005-0000-0000-0000136A0000}"/>
    <cellStyle name="0_S Curve, Org 22.10. 3 7 2" xfId="27170" xr:uid="{00000000-0005-0000-0000-0000146A0000}"/>
    <cellStyle name="0_S Curve, Org 22.10. 3 7 2 2" xfId="27171" xr:uid="{00000000-0005-0000-0000-0000156A0000}"/>
    <cellStyle name="0_S Curve, Org 22.10. 3 7 2 2 2" xfId="27172" xr:uid="{00000000-0005-0000-0000-0000166A0000}"/>
    <cellStyle name="0_S Curve, Org 22.10. 3 7 2 3" xfId="27173" xr:uid="{00000000-0005-0000-0000-0000176A0000}"/>
    <cellStyle name="0_S Curve, Org 22.10. 3 7 2 3 2" xfId="27174" xr:uid="{00000000-0005-0000-0000-0000186A0000}"/>
    <cellStyle name="0_S Curve, Org 22.10. 3 7 2 4" xfId="27175" xr:uid="{00000000-0005-0000-0000-0000196A0000}"/>
    <cellStyle name="0_S Curve, Org 22.10. 3 7 3" xfId="27176" xr:uid="{00000000-0005-0000-0000-00001A6A0000}"/>
    <cellStyle name="0_S Curve, Org 22.10. 3 7 3 2" xfId="27177" xr:uid="{00000000-0005-0000-0000-00001B6A0000}"/>
    <cellStyle name="0_S Curve, Org 22.10. 3 7 3 2 2" xfId="27178" xr:uid="{00000000-0005-0000-0000-00001C6A0000}"/>
    <cellStyle name="0_S Curve, Org 22.10. 3 7 3 3" xfId="27179" xr:uid="{00000000-0005-0000-0000-00001D6A0000}"/>
    <cellStyle name="0_S Curve, Org 22.10. 3 7 3 3 2" xfId="27180" xr:uid="{00000000-0005-0000-0000-00001E6A0000}"/>
    <cellStyle name="0_S Curve, Org 22.10. 3 7 3 4" xfId="27181" xr:uid="{00000000-0005-0000-0000-00001F6A0000}"/>
    <cellStyle name="0_S Curve, Org 22.10. 3 7 4" xfId="27182" xr:uid="{00000000-0005-0000-0000-0000206A0000}"/>
    <cellStyle name="0_S Curve, Org 22.10. 3 7 4 2" xfId="27183" xr:uid="{00000000-0005-0000-0000-0000216A0000}"/>
    <cellStyle name="0_S Curve, Org 22.10. 3 7 5" xfId="27184" xr:uid="{00000000-0005-0000-0000-0000226A0000}"/>
    <cellStyle name="0_S Curve, Org 22.10. 3 7 5 2" xfId="27185" xr:uid="{00000000-0005-0000-0000-0000236A0000}"/>
    <cellStyle name="0_S Curve, Org 22.10. 3 7 6" xfId="27186" xr:uid="{00000000-0005-0000-0000-0000246A0000}"/>
    <cellStyle name="0_S Curve, Org 22.10. 3 8" xfId="27187" xr:uid="{00000000-0005-0000-0000-0000256A0000}"/>
    <cellStyle name="0_S Curve, Org 22.10. 3 8 2" xfId="27188" xr:uid="{00000000-0005-0000-0000-0000266A0000}"/>
    <cellStyle name="0_S Curve, Org 22.10. 3 8 2 2" xfId="27189" xr:uid="{00000000-0005-0000-0000-0000276A0000}"/>
    <cellStyle name="0_S Curve, Org 22.10. 3 8 3" xfId="27190" xr:uid="{00000000-0005-0000-0000-0000286A0000}"/>
    <cellStyle name="0_S Curve, Org 22.10. 3 8 3 2" xfId="27191" xr:uid="{00000000-0005-0000-0000-0000296A0000}"/>
    <cellStyle name="0_S Curve, Org 22.10. 3 8 4" xfId="27192" xr:uid="{00000000-0005-0000-0000-00002A6A0000}"/>
    <cellStyle name="0_S Curve, Org 22.10. 3 9" xfId="27193" xr:uid="{00000000-0005-0000-0000-00002B6A0000}"/>
    <cellStyle name="0_S Curve, Org 22.10. 3 9 2" xfId="27194" xr:uid="{00000000-0005-0000-0000-00002C6A0000}"/>
    <cellStyle name="0_S Curve, Org 22.10. 3 9 2 2" xfId="27195" xr:uid="{00000000-0005-0000-0000-00002D6A0000}"/>
    <cellStyle name="0_S Curve, Org 22.10. 3 9 3" xfId="27196" xr:uid="{00000000-0005-0000-0000-00002E6A0000}"/>
    <cellStyle name="0_S Curve, Org 22.10. 3 9 3 2" xfId="27197" xr:uid="{00000000-0005-0000-0000-00002F6A0000}"/>
    <cellStyle name="0_S Curve, Org 22.10. 3 9 4" xfId="27198" xr:uid="{00000000-0005-0000-0000-0000306A0000}"/>
    <cellStyle name="0_S Curve, Org 22.10. 4" xfId="27199" xr:uid="{00000000-0005-0000-0000-0000316A0000}"/>
    <cellStyle name="0_S Curve, Org 22.10. 4 10" xfId="27200" xr:uid="{00000000-0005-0000-0000-0000326A0000}"/>
    <cellStyle name="0_S Curve, Org 22.10. 4 10 2" xfId="27201" xr:uid="{00000000-0005-0000-0000-0000336A0000}"/>
    <cellStyle name="0_S Curve, Org 22.10. 4 10 2 2" xfId="27202" xr:uid="{00000000-0005-0000-0000-0000346A0000}"/>
    <cellStyle name="0_S Curve, Org 22.10. 4 10 3" xfId="27203" xr:uid="{00000000-0005-0000-0000-0000356A0000}"/>
    <cellStyle name="0_S Curve, Org 22.10. 4 10 3 2" xfId="27204" xr:uid="{00000000-0005-0000-0000-0000366A0000}"/>
    <cellStyle name="0_S Curve, Org 22.10. 4 10 4" xfId="27205" xr:uid="{00000000-0005-0000-0000-0000376A0000}"/>
    <cellStyle name="0_S Curve, Org 22.10. 4 11" xfId="27206" xr:uid="{00000000-0005-0000-0000-0000386A0000}"/>
    <cellStyle name="0_S Curve, Org 22.10. 4 11 2" xfId="27207" xr:uid="{00000000-0005-0000-0000-0000396A0000}"/>
    <cellStyle name="0_S Curve, Org 22.10. 4 12" xfId="27208" xr:uid="{00000000-0005-0000-0000-00003A6A0000}"/>
    <cellStyle name="0_S Curve, Org 22.10. 4 12 2" xfId="27209" xr:uid="{00000000-0005-0000-0000-00003B6A0000}"/>
    <cellStyle name="0_S Curve, Org 22.10. 4 13" xfId="27210" xr:uid="{00000000-0005-0000-0000-00003C6A0000}"/>
    <cellStyle name="0_S Curve, Org 22.10. 4 2" xfId="27211" xr:uid="{00000000-0005-0000-0000-00003D6A0000}"/>
    <cellStyle name="0_S Curve, Org 22.10. 4 2 2" xfId="27212" xr:uid="{00000000-0005-0000-0000-00003E6A0000}"/>
    <cellStyle name="0_S Curve, Org 22.10. 4 2 2 2" xfId="27213" xr:uid="{00000000-0005-0000-0000-00003F6A0000}"/>
    <cellStyle name="0_S Curve, Org 22.10. 4 2 2 2 2" xfId="27214" xr:uid="{00000000-0005-0000-0000-0000406A0000}"/>
    <cellStyle name="0_S Curve, Org 22.10. 4 2 2 2 2 2" xfId="27215" xr:uid="{00000000-0005-0000-0000-0000416A0000}"/>
    <cellStyle name="0_S Curve, Org 22.10. 4 2 2 2 3" xfId="27216" xr:uid="{00000000-0005-0000-0000-0000426A0000}"/>
    <cellStyle name="0_S Curve, Org 22.10. 4 2 2 2 3 2" xfId="27217" xr:uid="{00000000-0005-0000-0000-0000436A0000}"/>
    <cellStyle name="0_S Curve, Org 22.10. 4 2 2 2 4" xfId="27218" xr:uid="{00000000-0005-0000-0000-0000446A0000}"/>
    <cellStyle name="0_S Curve, Org 22.10. 4 2 2 3" xfId="27219" xr:uid="{00000000-0005-0000-0000-0000456A0000}"/>
    <cellStyle name="0_S Curve, Org 22.10. 4 2 2 3 2" xfId="27220" xr:uid="{00000000-0005-0000-0000-0000466A0000}"/>
    <cellStyle name="0_S Curve, Org 22.10. 4 2 2 3 2 2" xfId="27221" xr:uid="{00000000-0005-0000-0000-0000476A0000}"/>
    <cellStyle name="0_S Curve, Org 22.10. 4 2 2 3 3" xfId="27222" xr:uid="{00000000-0005-0000-0000-0000486A0000}"/>
    <cellStyle name="0_S Curve, Org 22.10. 4 2 2 3 3 2" xfId="27223" xr:uid="{00000000-0005-0000-0000-0000496A0000}"/>
    <cellStyle name="0_S Curve, Org 22.10. 4 2 2 3 4" xfId="27224" xr:uid="{00000000-0005-0000-0000-00004A6A0000}"/>
    <cellStyle name="0_S Curve, Org 22.10. 4 2 2 4" xfId="27225" xr:uid="{00000000-0005-0000-0000-00004B6A0000}"/>
    <cellStyle name="0_S Curve, Org 22.10. 4 2 2 4 2" xfId="27226" xr:uid="{00000000-0005-0000-0000-00004C6A0000}"/>
    <cellStyle name="0_S Curve, Org 22.10. 4 2 2 5" xfId="27227" xr:uid="{00000000-0005-0000-0000-00004D6A0000}"/>
    <cellStyle name="0_S Curve, Org 22.10. 4 2 2 5 2" xfId="27228" xr:uid="{00000000-0005-0000-0000-00004E6A0000}"/>
    <cellStyle name="0_S Curve, Org 22.10. 4 2 2 6" xfId="27229" xr:uid="{00000000-0005-0000-0000-00004F6A0000}"/>
    <cellStyle name="0_S Curve, Org 22.10. 4 2 3" xfId="27230" xr:uid="{00000000-0005-0000-0000-0000506A0000}"/>
    <cellStyle name="0_S Curve, Org 22.10. 4 2 3 2" xfId="27231" xr:uid="{00000000-0005-0000-0000-0000516A0000}"/>
    <cellStyle name="0_S Curve, Org 22.10. 4 2 3 2 2" xfId="27232" xr:uid="{00000000-0005-0000-0000-0000526A0000}"/>
    <cellStyle name="0_S Curve, Org 22.10. 4 2 3 3" xfId="27233" xr:uid="{00000000-0005-0000-0000-0000536A0000}"/>
    <cellStyle name="0_S Curve, Org 22.10. 4 2 3 3 2" xfId="27234" xr:uid="{00000000-0005-0000-0000-0000546A0000}"/>
    <cellStyle name="0_S Curve, Org 22.10. 4 2 3 4" xfId="27235" xr:uid="{00000000-0005-0000-0000-0000556A0000}"/>
    <cellStyle name="0_S Curve, Org 22.10. 4 2 4" xfId="27236" xr:uid="{00000000-0005-0000-0000-0000566A0000}"/>
    <cellStyle name="0_S Curve, Org 22.10. 4 2 4 2" xfId="27237" xr:uid="{00000000-0005-0000-0000-0000576A0000}"/>
    <cellStyle name="0_S Curve, Org 22.10. 4 2 4 2 2" xfId="27238" xr:uid="{00000000-0005-0000-0000-0000586A0000}"/>
    <cellStyle name="0_S Curve, Org 22.10. 4 2 4 3" xfId="27239" xr:uid="{00000000-0005-0000-0000-0000596A0000}"/>
    <cellStyle name="0_S Curve, Org 22.10. 4 2 4 3 2" xfId="27240" xr:uid="{00000000-0005-0000-0000-00005A6A0000}"/>
    <cellStyle name="0_S Curve, Org 22.10. 4 2 4 4" xfId="27241" xr:uid="{00000000-0005-0000-0000-00005B6A0000}"/>
    <cellStyle name="0_S Curve, Org 22.10. 4 2 5" xfId="27242" xr:uid="{00000000-0005-0000-0000-00005C6A0000}"/>
    <cellStyle name="0_S Curve, Org 22.10. 4 2 5 2" xfId="27243" xr:uid="{00000000-0005-0000-0000-00005D6A0000}"/>
    <cellStyle name="0_S Curve, Org 22.10. 4 2 5 2 2" xfId="27244" xr:uid="{00000000-0005-0000-0000-00005E6A0000}"/>
    <cellStyle name="0_S Curve, Org 22.10. 4 2 5 3" xfId="27245" xr:uid="{00000000-0005-0000-0000-00005F6A0000}"/>
    <cellStyle name="0_S Curve, Org 22.10. 4 2 5 3 2" xfId="27246" xr:uid="{00000000-0005-0000-0000-0000606A0000}"/>
    <cellStyle name="0_S Curve, Org 22.10. 4 2 5 4" xfId="27247" xr:uid="{00000000-0005-0000-0000-0000616A0000}"/>
    <cellStyle name="0_S Curve, Org 22.10. 4 2 6" xfId="27248" xr:uid="{00000000-0005-0000-0000-0000626A0000}"/>
    <cellStyle name="0_S Curve, Org 22.10. 4 2 6 2" xfId="27249" xr:uid="{00000000-0005-0000-0000-0000636A0000}"/>
    <cellStyle name="0_S Curve, Org 22.10. 4 2 7" xfId="27250" xr:uid="{00000000-0005-0000-0000-0000646A0000}"/>
    <cellStyle name="0_S Curve, Org 22.10. 4 2 7 2" xfId="27251" xr:uid="{00000000-0005-0000-0000-0000656A0000}"/>
    <cellStyle name="0_S Curve, Org 22.10. 4 2 8" xfId="27252" xr:uid="{00000000-0005-0000-0000-0000666A0000}"/>
    <cellStyle name="0_S Curve, Org 22.10. 4 3" xfId="27253" xr:uid="{00000000-0005-0000-0000-0000676A0000}"/>
    <cellStyle name="0_S Curve, Org 22.10. 4 3 2" xfId="27254" xr:uid="{00000000-0005-0000-0000-0000686A0000}"/>
    <cellStyle name="0_S Curve, Org 22.10. 4 3 2 2" xfId="27255" xr:uid="{00000000-0005-0000-0000-0000696A0000}"/>
    <cellStyle name="0_S Curve, Org 22.10. 4 3 2 2 2" xfId="27256" xr:uid="{00000000-0005-0000-0000-00006A6A0000}"/>
    <cellStyle name="0_S Curve, Org 22.10. 4 3 2 2 2 2" xfId="27257" xr:uid="{00000000-0005-0000-0000-00006B6A0000}"/>
    <cellStyle name="0_S Curve, Org 22.10. 4 3 2 2 3" xfId="27258" xr:uid="{00000000-0005-0000-0000-00006C6A0000}"/>
    <cellStyle name="0_S Curve, Org 22.10. 4 3 2 2 3 2" xfId="27259" xr:uid="{00000000-0005-0000-0000-00006D6A0000}"/>
    <cellStyle name="0_S Curve, Org 22.10. 4 3 2 2 4" xfId="27260" xr:uid="{00000000-0005-0000-0000-00006E6A0000}"/>
    <cellStyle name="0_S Curve, Org 22.10. 4 3 2 3" xfId="27261" xr:uid="{00000000-0005-0000-0000-00006F6A0000}"/>
    <cellStyle name="0_S Curve, Org 22.10. 4 3 2 3 2" xfId="27262" xr:uid="{00000000-0005-0000-0000-0000706A0000}"/>
    <cellStyle name="0_S Curve, Org 22.10. 4 3 2 3 2 2" xfId="27263" xr:uid="{00000000-0005-0000-0000-0000716A0000}"/>
    <cellStyle name="0_S Curve, Org 22.10. 4 3 2 3 3" xfId="27264" xr:uid="{00000000-0005-0000-0000-0000726A0000}"/>
    <cellStyle name="0_S Curve, Org 22.10. 4 3 2 3 3 2" xfId="27265" xr:uid="{00000000-0005-0000-0000-0000736A0000}"/>
    <cellStyle name="0_S Curve, Org 22.10. 4 3 2 3 4" xfId="27266" xr:uid="{00000000-0005-0000-0000-0000746A0000}"/>
    <cellStyle name="0_S Curve, Org 22.10. 4 3 2 4" xfId="27267" xr:uid="{00000000-0005-0000-0000-0000756A0000}"/>
    <cellStyle name="0_S Curve, Org 22.10. 4 3 2 4 2" xfId="27268" xr:uid="{00000000-0005-0000-0000-0000766A0000}"/>
    <cellStyle name="0_S Curve, Org 22.10. 4 3 2 5" xfId="27269" xr:uid="{00000000-0005-0000-0000-0000776A0000}"/>
    <cellStyle name="0_S Curve, Org 22.10. 4 3 2 5 2" xfId="27270" xr:uid="{00000000-0005-0000-0000-0000786A0000}"/>
    <cellStyle name="0_S Curve, Org 22.10. 4 3 2 6" xfId="27271" xr:uid="{00000000-0005-0000-0000-0000796A0000}"/>
    <cellStyle name="0_S Curve, Org 22.10. 4 3 3" xfId="27272" xr:uid="{00000000-0005-0000-0000-00007A6A0000}"/>
    <cellStyle name="0_S Curve, Org 22.10. 4 3 3 2" xfId="27273" xr:uid="{00000000-0005-0000-0000-00007B6A0000}"/>
    <cellStyle name="0_S Curve, Org 22.10. 4 3 3 2 2" xfId="27274" xr:uid="{00000000-0005-0000-0000-00007C6A0000}"/>
    <cellStyle name="0_S Curve, Org 22.10. 4 3 3 3" xfId="27275" xr:uid="{00000000-0005-0000-0000-00007D6A0000}"/>
    <cellStyle name="0_S Curve, Org 22.10. 4 3 3 3 2" xfId="27276" xr:uid="{00000000-0005-0000-0000-00007E6A0000}"/>
    <cellStyle name="0_S Curve, Org 22.10. 4 3 3 4" xfId="27277" xr:uid="{00000000-0005-0000-0000-00007F6A0000}"/>
    <cellStyle name="0_S Curve, Org 22.10. 4 3 4" xfId="27278" xr:uid="{00000000-0005-0000-0000-0000806A0000}"/>
    <cellStyle name="0_S Curve, Org 22.10. 4 3 4 2" xfId="27279" xr:uid="{00000000-0005-0000-0000-0000816A0000}"/>
    <cellStyle name="0_S Curve, Org 22.10. 4 3 4 2 2" xfId="27280" xr:uid="{00000000-0005-0000-0000-0000826A0000}"/>
    <cellStyle name="0_S Curve, Org 22.10. 4 3 4 3" xfId="27281" xr:uid="{00000000-0005-0000-0000-0000836A0000}"/>
    <cellStyle name="0_S Curve, Org 22.10. 4 3 4 3 2" xfId="27282" xr:uid="{00000000-0005-0000-0000-0000846A0000}"/>
    <cellStyle name="0_S Curve, Org 22.10. 4 3 4 4" xfId="27283" xr:uid="{00000000-0005-0000-0000-0000856A0000}"/>
    <cellStyle name="0_S Curve, Org 22.10. 4 3 5" xfId="27284" xr:uid="{00000000-0005-0000-0000-0000866A0000}"/>
    <cellStyle name="0_S Curve, Org 22.10. 4 3 5 2" xfId="27285" xr:uid="{00000000-0005-0000-0000-0000876A0000}"/>
    <cellStyle name="0_S Curve, Org 22.10. 4 3 5 2 2" xfId="27286" xr:uid="{00000000-0005-0000-0000-0000886A0000}"/>
    <cellStyle name="0_S Curve, Org 22.10. 4 3 5 3" xfId="27287" xr:uid="{00000000-0005-0000-0000-0000896A0000}"/>
    <cellStyle name="0_S Curve, Org 22.10. 4 3 5 3 2" xfId="27288" xr:uid="{00000000-0005-0000-0000-00008A6A0000}"/>
    <cellStyle name="0_S Curve, Org 22.10. 4 3 5 4" xfId="27289" xr:uid="{00000000-0005-0000-0000-00008B6A0000}"/>
    <cellStyle name="0_S Curve, Org 22.10. 4 3 6" xfId="27290" xr:uid="{00000000-0005-0000-0000-00008C6A0000}"/>
    <cellStyle name="0_S Curve, Org 22.10. 4 3 6 2" xfId="27291" xr:uid="{00000000-0005-0000-0000-00008D6A0000}"/>
    <cellStyle name="0_S Curve, Org 22.10. 4 3 7" xfId="27292" xr:uid="{00000000-0005-0000-0000-00008E6A0000}"/>
    <cellStyle name="0_S Curve, Org 22.10. 4 3 7 2" xfId="27293" xr:uid="{00000000-0005-0000-0000-00008F6A0000}"/>
    <cellStyle name="0_S Curve, Org 22.10. 4 3 8" xfId="27294" xr:uid="{00000000-0005-0000-0000-0000906A0000}"/>
    <cellStyle name="0_S Curve, Org 22.10. 4 4" xfId="27295" xr:uid="{00000000-0005-0000-0000-0000916A0000}"/>
    <cellStyle name="0_S Curve, Org 22.10. 4 4 2" xfId="27296" xr:uid="{00000000-0005-0000-0000-0000926A0000}"/>
    <cellStyle name="0_S Curve, Org 22.10. 4 4 2 2" xfId="27297" xr:uid="{00000000-0005-0000-0000-0000936A0000}"/>
    <cellStyle name="0_S Curve, Org 22.10. 4 4 2 2 2" xfId="27298" xr:uid="{00000000-0005-0000-0000-0000946A0000}"/>
    <cellStyle name="0_S Curve, Org 22.10. 4 4 2 2 2 2" xfId="27299" xr:uid="{00000000-0005-0000-0000-0000956A0000}"/>
    <cellStyle name="0_S Curve, Org 22.10. 4 4 2 2 3" xfId="27300" xr:uid="{00000000-0005-0000-0000-0000966A0000}"/>
    <cellStyle name="0_S Curve, Org 22.10. 4 4 2 2 3 2" xfId="27301" xr:uid="{00000000-0005-0000-0000-0000976A0000}"/>
    <cellStyle name="0_S Curve, Org 22.10. 4 4 2 2 4" xfId="27302" xr:uid="{00000000-0005-0000-0000-0000986A0000}"/>
    <cellStyle name="0_S Curve, Org 22.10. 4 4 2 3" xfId="27303" xr:uid="{00000000-0005-0000-0000-0000996A0000}"/>
    <cellStyle name="0_S Curve, Org 22.10. 4 4 2 3 2" xfId="27304" xr:uid="{00000000-0005-0000-0000-00009A6A0000}"/>
    <cellStyle name="0_S Curve, Org 22.10. 4 4 2 3 2 2" xfId="27305" xr:uid="{00000000-0005-0000-0000-00009B6A0000}"/>
    <cellStyle name="0_S Curve, Org 22.10. 4 4 2 3 3" xfId="27306" xr:uid="{00000000-0005-0000-0000-00009C6A0000}"/>
    <cellStyle name="0_S Curve, Org 22.10. 4 4 2 3 3 2" xfId="27307" xr:uid="{00000000-0005-0000-0000-00009D6A0000}"/>
    <cellStyle name="0_S Curve, Org 22.10. 4 4 2 3 4" xfId="27308" xr:uid="{00000000-0005-0000-0000-00009E6A0000}"/>
    <cellStyle name="0_S Curve, Org 22.10. 4 4 2 4" xfId="27309" xr:uid="{00000000-0005-0000-0000-00009F6A0000}"/>
    <cellStyle name="0_S Curve, Org 22.10. 4 4 2 4 2" xfId="27310" xr:uid="{00000000-0005-0000-0000-0000A06A0000}"/>
    <cellStyle name="0_S Curve, Org 22.10. 4 4 2 5" xfId="27311" xr:uid="{00000000-0005-0000-0000-0000A16A0000}"/>
    <cellStyle name="0_S Curve, Org 22.10. 4 4 2 5 2" xfId="27312" xr:uid="{00000000-0005-0000-0000-0000A26A0000}"/>
    <cellStyle name="0_S Curve, Org 22.10. 4 4 2 6" xfId="27313" xr:uid="{00000000-0005-0000-0000-0000A36A0000}"/>
    <cellStyle name="0_S Curve, Org 22.10. 4 4 3" xfId="27314" xr:uid="{00000000-0005-0000-0000-0000A46A0000}"/>
    <cellStyle name="0_S Curve, Org 22.10. 4 4 3 2" xfId="27315" xr:uid="{00000000-0005-0000-0000-0000A56A0000}"/>
    <cellStyle name="0_S Curve, Org 22.10. 4 4 3 2 2" xfId="27316" xr:uid="{00000000-0005-0000-0000-0000A66A0000}"/>
    <cellStyle name="0_S Curve, Org 22.10. 4 4 3 3" xfId="27317" xr:uid="{00000000-0005-0000-0000-0000A76A0000}"/>
    <cellStyle name="0_S Curve, Org 22.10. 4 4 3 3 2" xfId="27318" xr:uid="{00000000-0005-0000-0000-0000A86A0000}"/>
    <cellStyle name="0_S Curve, Org 22.10. 4 4 3 4" xfId="27319" xr:uid="{00000000-0005-0000-0000-0000A96A0000}"/>
    <cellStyle name="0_S Curve, Org 22.10. 4 4 4" xfId="27320" xr:uid="{00000000-0005-0000-0000-0000AA6A0000}"/>
    <cellStyle name="0_S Curve, Org 22.10. 4 4 4 2" xfId="27321" xr:uid="{00000000-0005-0000-0000-0000AB6A0000}"/>
    <cellStyle name="0_S Curve, Org 22.10. 4 4 4 2 2" xfId="27322" xr:uid="{00000000-0005-0000-0000-0000AC6A0000}"/>
    <cellStyle name="0_S Curve, Org 22.10. 4 4 4 3" xfId="27323" xr:uid="{00000000-0005-0000-0000-0000AD6A0000}"/>
    <cellStyle name="0_S Curve, Org 22.10. 4 4 4 3 2" xfId="27324" xr:uid="{00000000-0005-0000-0000-0000AE6A0000}"/>
    <cellStyle name="0_S Curve, Org 22.10. 4 4 4 4" xfId="27325" xr:uid="{00000000-0005-0000-0000-0000AF6A0000}"/>
    <cellStyle name="0_S Curve, Org 22.10. 4 4 5" xfId="27326" xr:uid="{00000000-0005-0000-0000-0000B06A0000}"/>
    <cellStyle name="0_S Curve, Org 22.10. 4 4 5 2" xfId="27327" xr:uid="{00000000-0005-0000-0000-0000B16A0000}"/>
    <cellStyle name="0_S Curve, Org 22.10. 4 4 5 2 2" xfId="27328" xr:uid="{00000000-0005-0000-0000-0000B26A0000}"/>
    <cellStyle name="0_S Curve, Org 22.10. 4 4 5 3" xfId="27329" xr:uid="{00000000-0005-0000-0000-0000B36A0000}"/>
    <cellStyle name="0_S Curve, Org 22.10. 4 4 5 3 2" xfId="27330" xr:uid="{00000000-0005-0000-0000-0000B46A0000}"/>
    <cellStyle name="0_S Curve, Org 22.10. 4 4 5 4" xfId="27331" xr:uid="{00000000-0005-0000-0000-0000B56A0000}"/>
    <cellStyle name="0_S Curve, Org 22.10. 4 4 6" xfId="27332" xr:uid="{00000000-0005-0000-0000-0000B66A0000}"/>
    <cellStyle name="0_S Curve, Org 22.10. 4 4 6 2" xfId="27333" xr:uid="{00000000-0005-0000-0000-0000B76A0000}"/>
    <cellStyle name="0_S Curve, Org 22.10. 4 4 7" xfId="27334" xr:uid="{00000000-0005-0000-0000-0000B86A0000}"/>
    <cellStyle name="0_S Curve, Org 22.10. 4 4 7 2" xfId="27335" xr:uid="{00000000-0005-0000-0000-0000B96A0000}"/>
    <cellStyle name="0_S Curve, Org 22.10. 4 4 8" xfId="27336" xr:uid="{00000000-0005-0000-0000-0000BA6A0000}"/>
    <cellStyle name="0_S Curve, Org 22.10. 4 5" xfId="27337" xr:uid="{00000000-0005-0000-0000-0000BB6A0000}"/>
    <cellStyle name="0_S Curve, Org 22.10. 4 5 2" xfId="27338" xr:uid="{00000000-0005-0000-0000-0000BC6A0000}"/>
    <cellStyle name="0_S Curve, Org 22.10. 4 5 2 2" xfId="27339" xr:uid="{00000000-0005-0000-0000-0000BD6A0000}"/>
    <cellStyle name="0_S Curve, Org 22.10. 4 5 2 2 2" xfId="27340" xr:uid="{00000000-0005-0000-0000-0000BE6A0000}"/>
    <cellStyle name="0_S Curve, Org 22.10. 4 5 2 2 2 2" xfId="27341" xr:uid="{00000000-0005-0000-0000-0000BF6A0000}"/>
    <cellStyle name="0_S Curve, Org 22.10. 4 5 2 2 3" xfId="27342" xr:uid="{00000000-0005-0000-0000-0000C06A0000}"/>
    <cellStyle name="0_S Curve, Org 22.10. 4 5 2 2 3 2" xfId="27343" xr:uid="{00000000-0005-0000-0000-0000C16A0000}"/>
    <cellStyle name="0_S Curve, Org 22.10. 4 5 2 2 4" xfId="27344" xr:uid="{00000000-0005-0000-0000-0000C26A0000}"/>
    <cellStyle name="0_S Curve, Org 22.10. 4 5 2 3" xfId="27345" xr:uid="{00000000-0005-0000-0000-0000C36A0000}"/>
    <cellStyle name="0_S Curve, Org 22.10. 4 5 2 3 2" xfId="27346" xr:uid="{00000000-0005-0000-0000-0000C46A0000}"/>
    <cellStyle name="0_S Curve, Org 22.10. 4 5 2 3 2 2" xfId="27347" xr:uid="{00000000-0005-0000-0000-0000C56A0000}"/>
    <cellStyle name="0_S Curve, Org 22.10. 4 5 2 3 3" xfId="27348" xr:uid="{00000000-0005-0000-0000-0000C66A0000}"/>
    <cellStyle name="0_S Curve, Org 22.10. 4 5 2 3 3 2" xfId="27349" xr:uid="{00000000-0005-0000-0000-0000C76A0000}"/>
    <cellStyle name="0_S Curve, Org 22.10. 4 5 2 3 4" xfId="27350" xr:uid="{00000000-0005-0000-0000-0000C86A0000}"/>
    <cellStyle name="0_S Curve, Org 22.10. 4 5 2 4" xfId="27351" xr:uid="{00000000-0005-0000-0000-0000C96A0000}"/>
    <cellStyle name="0_S Curve, Org 22.10. 4 5 2 4 2" xfId="27352" xr:uid="{00000000-0005-0000-0000-0000CA6A0000}"/>
    <cellStyle name="0_S Curve, Org 22.10. 4 5 2 5" xfId="27353" xr:uid="{00000000-0005-0000-0000-0000CB6A0000}"/>
    <cellStyle name="0_S Curve, Org 22.10. 4 5 2 5 2" xfId="27354" xr:uid="{00000000-0005-0000-0000-0000CC6A0000}"/>
    <cellStyle name="0_S Curve, Org 22.10. 4 5 2 6" xfId="27355" xr:uid="{00000000-0005-0000-0000-0000CD6A0000}"/>
    <cellStyle name="0_S Curve, Org 22.10. 4 5 3" xfId="27356" xr:uid="{00000000-0005-0000-0000-0000CE6A0000}"/>
    <cellStyle name="0_S Curve, Org 22.10. 4 5 3 2" xfId="27357" xr:uid="{00000000-0005-0000-0000-0000CF6A0000}"/>
    <cellStyle name="0_S Curve, Org 22.10. 4 5 3 2 2" xfId="27358" xr:uid="{00000000-0005-0000-0000-0000D06A0000}"/>
    <cellStyle name="0_S Curve, Org 22.10. 4 5 3 3" xfId="27359" xr:uid="{00000000-0005-0000-0000-0000D16A0000}"/>
    <cellStyle name="0_S Curve, Org 22.10. 4 5 3 3 2" xfId="27360" xr:uid="{00000000-0005-0000-0000-0000D26A0000}"/>
    <cellStyle name="0_S Curve, Org 22.10. 4 5 3 4" xfId="27361" xr:uid="{00000000-0005-0000-0000-0000D36A0000}"/>
    <cellStyle name="0_S Curve, Org 22.10. 4 5 4" xfId="27362" xr:uid="{00000000-0005-0000-0000-0000D46A0000}"/>
    <cellStyle name="0_S Curve, Org 22.10. 4 5 4 2" xfId="27363" xr:uid="{00000000-0005-0000-0000-0000D56A0000}"/>
    <cellStyle name="0_S Curve, Org 22.10. 4 5 4 2 2" xfId="27364" xr:uid="{00000000-0005-0000-0000-0000D66A0000}"/>
    <cellStyle name="0_S Curve, Org 22.10. 4 5 4 3" xfId="27365" xr:uid="{00000000-0005-0000-0000-0000D76A0000}"/>
    <cellStyle name="0_S Curve, Org 22.10. 4 5 4 3 2" xfId="27366" xr:uid="{00000000-0005-0000-0000-0000D86A0000}"/>
    <cellStyle name="0_S Curve, Org 22.10. 4 5 4 4" xfId="27367" xr:uid="{00000000-0005-0000-0000-0000D96A0000}"/>
    <cellStyle name="0_S Curve, Org 22.10. 4 5 5" xfId="27368" xr:uid="{00000000-0005-0000-0000-0000DA6A0000}"/>
    <cellStyle name="0_S Curve, Org 22.10. 4 5 5 2" xfId="27369" xr:uid="{00000000-0005-0000-0000-0000DB6A0000}"/>
    <cellStyle name="0_S Curve, Org 22.10. 4 5 5 2 2" xfId="27370" xr:uid="{00000000-0005-0000-0000-0000DC6A0000}"/>
    <cellStyle name="0_S Curve, Org 22.10. 4 5 5 3" xfId="27371" xr:uid="{00000000-0005-0000-0000-0000DD6A0000}"/>
    <cellStyle name="0_S Curve, Org 22.10. 4 5 5 3 2" xfId="27372" xr:uid="{00000000-0005-0000-0000-0000DE6A0000}"/>
    <cellStyle name="0_S Curve, Org 22.10. 4 5 5 4" xfId="27373" xr:uid="{00000000-0005-0000-0000-0000DF6A0000}"/>
    <cellStyle name="0_S Curve, Org 22.10. 4 5 6" xfId="27374" xr:uid="{00000000-0005-0000-0000-0000E06A0000}"/>
    <cellStyle name="0_S Curve, Org 22.10. 4 5 6 2" xfId="27375" xr:uid="{00000000-0005-0000-0000-0000E16A0000}"/>
    <cellStyle name="0_S Curve, Org 22.10. 4 5 7" xfId="27376" xr:uid="{00000000-0005-0000-0000-0000E26A0000}"/>
    <cellStyle name="0_S Curve, Org 22.10. 4 5 7 2" xfId="27377" xr:uid="{00000000-0005-0000-0000-0000E36A0000}"/>
    <cellStyle name="0_S Curve, Org 22.10. 4 5 8" xfId="27378" xr:uid="{00000000-0005-0000-0000-0000E46A0000}"/>
    <cellStyle name="0_S Curve, Org 22.10. 4 6" xfId="27379" xr:uid="{00000000-0005-0000-0000-0000E56A0000}"/>
    <cellStyle name="0_S Curve, Org 22.10. 4 6 2" xfId="27380" xr:uid="{00000000-0005-0000-0000-0000E66A0000}"/>
    <cellStyle name="0_S Curve, Org 22.10. 4 6 2 2" xfId="27381" xr:uid="{00000000-0005-0000-0000-0000E76A0000}"/>
    <cellStyle name="0_S Curve, Org 22.10. 4 6 2 2 2" xfId="27382" xr:uid="{00000000-0005-0000-0000-0000E86A0000}"/>
    <cellStyle name="0_S Curve, Org 22.10. 4 6 2 2 2 2" xfId="27383" xr:uid="{00000000-0005-0000-0000-0000E96A0000}"/>
    <cellStyle name="0_S Curve, Org 22.10. 4 6 2 2 3" xfId="27384" xr:uid="{00000000-0005-0000-0000-0000EA6A0000}"/>
    <cellStyle name="0_S Curve, Org 22.10. 4 6 2 2 3 2" xfId="27385" xr:uid="{00000000-0005-0000-0000-0000EB6A0000}"/>
    <cellStyle name="0_S Curve, Org 22.10. 4 6 2 2 4" xfId="27386" xr:uid="{00000000-0005-0000-0000-0000EC6A0000}"/>
    <cellStyle name="0_S Curve, Org 22.10. 4 6 2 3" xfId="27387" xr:uid="{00000000-0005-0000-0000-0000ED6A0000}"/>
    <cellStyle name="0_S Curve, Org 22.10. 4 6 2 3 2" xfId="27388" xr:uid="{00000000-0005-0000-0000-0000EE6A0000}"/>
    <cellStyle name="0_S Curve, Org 22.10. 4 6 2 3 2 2" xfId="27389" xr:uid="{00000000-0005-0000-0000-0000EF6A0000}"/>
    <cellStyle name="0_S Curve, Org 22.10. 4 6 2 3 3" xfId="27390" xr:uid="{00000000-0005-0000-0000-0000F06A0000}"/>
    <cellStyle name="0_S Curve, Org 22.10. 4 6 2 3 3 2" xfId="27391" xr:uid="{00000000-0005-0000-0000-0000F16A0000}"/>
    <cellStyle name="0_S Curve, Org 22.10. 4 6 2 3 4" xfId="27392" xr:uid="{00000000-0005-0000-0000-0000F26A0000}"/>
    <cellStyle name="0_S Curve, Org 22.10. 4 6 2 4" xfId="27393" xr:uid="{00000000-0005-0000-0000-0000F36A0000}"/>
    <cellStyle name="0_S Curve, Org 22.10. 4 6 2 4 2" xfId="27394" xr:uid="{00000000-0005-0000-0000-0000F46A0000}"/>
    <cellStyle name="0_S Curve, Org 22.10. 4 6 2 5" xfId="27395" xr:uid="{00000000-0005-0000-0000-0000F56A0000}"/>
    <cellStyle name="0_S Curve, Org 22.10. 4 6 2 5 2" xfId="27396" xr:uid="{00000000-0005-0000-0000-0000F66A0000}"/>
    <cellStyle name="0_S Curve, Org 22.10. 4 6 2 6" xfId="27397" xr:uid="{00000000-0005-0000-0000-0000F76A0000}"/>
    <cellStyle name="0_S Curve, Org 22.10. 4 6 3" xfId="27398" xr:uid="{00000000-0005-0000-0000-0000F86A0000}"/>
    <cellStyle name="0_S Curve, Org 22.10. 4 6 3 2" xfId="27399" xr:uid="{00000000-0005-0000-0000-0000F96A0000}"/>
    <cellStyle name="0_S Curve, Org 22.10. 4 6 3 2 2" xfId="27400" xr:uid="{00000000-0005-0000-0000-0000FA6A0000}"/>
    <cellStyle name="0_S Curve, Org 22.10. 4 6 3 3" xfId="27401" xr:uid="{00000000-0005-0000-0000-0000FB6A0000}"/>
    <cellStyle name="0_S Curve, Org 22.10. 4 6 3 3 2" xfId="27402" xr:uid="{00000000-0005-0000-0000-0000FC6A0000}"/>
    <cellStyle name="0_S Curve, Org 22.10. 4 6 3 4" xfId="27403" xr:uid="{00000000-0005-0000-0000-0000FD6A0000}"/>
    <cellStyle name="0_S Curve, Org 22.10. 4 6 4" xfId="27404" xr:uid="{00000000-0005-0000-0000-0000FE6A0000}"/>
    <cellStyle name="0_S Curve, Org 22.10. 4 6 4 2" xfId="27405" xr:uid="{00000000-0005-0000-0000-0000FF6A0000}"/>
    <cellStyle name="0_S Curve, Org 22.10. 4 6 4 2 2" xfId="27406" xr:uid="{00000000-0005-0000-0000-0000006B0000}"/>
    <cellStyle name="0_S Curve, Org 22.10. 4 6 4 3" xfId="27407" xr:uid="{00000000-0005-0000-0000-0000016B0000}"/>
    <cellStyle name="0_S Curve, Org 22.10. 4 6 4 3 2" xfId="27408" xr:uid="{00000000-0005-0000-0000-0000026B0000}"/>
    <cellStyle name="0_S Curve, Org 22.10. 4 6 4 4" xfId="27409" xr:uid="{00000000-0005-0000-0000-0000036B0000}"/>
    <cellStyle name="0_S Curve, Org 22.10. 4 6 5" xfId="27410" xr:uid="{00000000-0005-0000-0000-0000046B0000}"/>
    <cellStyle name="0_S Curve, Org 22.10. 4 6 5 2" xfId="27411" xr:uid="{00000000-0005-0000-0000-0000056B0000}"/>
    <cellStyle name="0_S Curve, Org 22.10. 4 6 5 2 2" xfId="27412" xr:uid="{00000000-0005-0000-0000-0000066B0000}"/>
    <cellStyle name="0_S Curve, Org 22.10. 4 6 5 3" xfId="27413" xr:uid="{00000000-0005-0000-0000-0000076B0000}"/>
    <cellStyle name="0_S Curve, Org 22.10. 4 6 5 3 2" xfId="27414" xr:uid="{00000000-0005-0000-0000-0000086B0000}"/>
    <cellStyle name="0_S Curve, Org 22.10. 4 6 5 4" xfId="27415" xr:uid="{00000000-0005-0000-0000-0000096B0000}"/>
    <cellStyle name="0_S Curve, Org 22.10. 4 6 6" xfId="27416" xr:uid="{00000000-0005-0000-0000-00000A6B0000}"/>
    <cellStyle name="0_S Curve, Org 22.10. 4 6 6 2" xfId="27417" xr:uid="{00000000-0005-0000-0000-00000B6B0000}"/>
    <cellStyle name="0_S Curve, Org 22.10. 4 6 7" xfId="27418" xr:uid="{00000000-0005-0000-0000-00000C6B0000}"/>
    <cellStyle name="0_S Curve, Org 22.10. 4 6 7 2" xfId="27419" xr:uid="{00000000-0005-0000-0000-00000D6B0000}"/>
    <cellStyle name="0_S Curve, Org 22.10. 4 6 8" xfId="27420" xr:uid="{00000000-0005-0000-0000-00000E6B0000}"/>
    <cellStyle name="0_S Curve, Org 22.10. 4 7" xfId="27421" xr:uid="{00000000-0005-0000-0000-00000F6B0000}"/>
    <cellStyle name="0_S Curve, Org 22.10. 4 7 2" xfId="27422" xr:uid="{00000000-0005-0000-0000-0000106B0000}"/>
    <cellStyle name="0_S Curve, Org 22.10. 4 7 2 2" xfId="27423" xr:uid="{00000000-0005-0000-0000-0000116B0000}"/>
    <cellStyle name="0_S Curve, Org 22.10. 4 7 2 2 2" xfId="27424" xr:uid="{00000000-0005-0000-0000-0000126B0000}"/>
    <cellStyle name="0_S Curve, Org 22.10. 4 7 2 3" xfId="27425" xr:uid="{00000000-0005-0000-0000-0000136B0000}"/>
    <cellStyle name="0_S Curve, Org 22.10. 4 7 2 3 2" xfId="27426" xr:uid="{00000000-0005-0000-0000-0000146B0000}"/>
    <cellStyle name="0_S Curve, Org 22.10. 4 7 2 4" xfId="27427" xr:uid="{00000000-0005-0000-0000-0000156B0000}"/>
    <cellStyle name="0_S Curve, Org 22.10. 4 7 3" xfId="27428" xr:uid="{00000000-0005-0000-0000-0000166B0000}"/>
    <cellStyle name="0_S Curve, Org 22.10. 4 7 3 2" xfId="27429" xr:uid="{00000000-0005-0000-0000-0000176B0000}"/>
    <cellStyle name="0_S Curve, Org 22.10. 4 7 3 2 2" xfId="27430" xr:uid="{00000000-0005-0000-0000-0000186B0000}"/>
    <cellStyle name="0_S Curve, Org 22.10. 4 7 3 3" xfId="27431" xr:uid="{00000000-0005-0000-0000-0000196B0000}"/>
    <cellStyle name="0_S Curve, Org 22.10. 4 7 3 3 2" xfId="27432" xr:uid="{00000000-0005-0000-0000-00001A6B0000}"/>
    <cellStyle name="0_S Curve, Org 22.10. 4 7 3 4" xfId="27433" xr:uid="{00000000-0005-0000-0000-00001B6B0000}"/>
    <cellStyle name="0_S Curve, Org 22.10. 4 7 4" xfId="27434" xr:uid="{00000000-0005-0000-0000-00001C6B0000}"/>
    <cellStyle name="0_S Curve, Org 22.10. 4 7 4 2" xfId="27435" xr:uid="{00000000-0005-0000-0000-00001D6B0000}"/>
    <cellStyle name="0_S Curve, Org 22.10. 4 7 5" xfId="27436" xr:uid="{00000000-0005-0000-0000-00001E6B0000}"/>
    <cellStyle name="0_S Curve, Org 22.10. 4 7 5 2" xfId="27437" xr:uid="{00000000-0005-0000-0000-00001F6B0000}"/>
    <cellStyle name="0_S Curve, Org 22.10. 4 7 6" xfId="27438" xr:uid="{00000000-0005-0000-0000-0000206B0000}"/>
    <cellStyle name="0_S Curve, Org 22.10. 4 8" xfId="27439" xr:uid="{00000000-0005-0000-0000-0000216B0000}"/>
    <cellStyle name="0_S Curve, Org 22.10. 4 8 2" xfId="27440" xr:uid="{00000000-0005-0000-0000-0000226B0000}"/>
    <cellStyle name="0_S Curve, Org 22.10. 4 8 2 2" xfId="27441" xr:uid="{00000000-0005-0000-0000-0000236B0000}"/>
    <cellStyle name="0_S Curve, Org 22.10. 4 8 3" xfId="27442" xr:uid="{00000000-0005-0000-0000-0000246B0000}"/>
    <cellStyle name="0_S Curve, Org 22.10. 4 8 3 2" xfId="27443" xr:uid="{00000000-0005-0000-0000-0000256B0000}"/>
    <cellStyle name="0_S Curve, Org 22.10. 4 8 4" xfId="27444" xr:uid="{00000000-0005-0000-0000-0000266B0000}"/>
    <cellStyle name="0_S Curve, Org 22.10. 4 9" xfId="27445" xr:uid="{00000000-0005-0000-0000-0000276B0000}"/>
    <cellStyle name="0_S Curve, Org 22.10. 4 9 2" xfId="27446" xr:uid="{00000000-0005-0000-0000-0000286B0000}"/>
    <cellStyle name="0_S Curve, Org 22.10. 4 9 2 2" xfId="27447" xr:uid="{00000000-0005-0000-0000-0000296B0000}"/>
    <cellStyle name="0_S Curve, Org 22.10. 4 9 3" xfId="27448" xr:uid="{00000000-0005-0000-0000-00002A6B0000}"/>
    <cellStyle name="0_S Curve, Org 22.10. 4 9 3 2" xfId="27449" xr:uid="{00000000-0005-0000-0000-00002B6B0000}"/>
    <cellStyle name="0_S Curve, Org 22.10. 4 9 4" xfId="27450" xr:uid="{00000000-0005-0000-0000-00002C6B0000}"/>
    <cellStyle name="0_S Curve, Org 22.10. 5" xfId="27451" xr:uid="{00000000-0005-0000-0000-00002D6B0000}"/>
    <cellStyle name="0_S Curve, Org 22.10. 5 10" xfId="27452" xr:uid="{00000000-0005-0000-0000-00002E6B0000}"/>
    <cellStyle name="0_S Curve, Org 22.10. 5 10 2" xfId="27453" xr:uid="{00000000-0005-0000-0000-00002F6B0000}"/>
    <cellStyle name="0_S Curve, Org 22.10. 5 10 2 2" xfId="27454" xr:uid="{00000000-0005-0000-0000-0000306B0000}"/>
    <cellStyle name="0_S Curve, Org 22.10. 5 10 3" xfId="27455" xr:uid="{00000000-0005-0000-0000-0000316B0000}"/>
    <cellStyle name="0_S Curve, Org 22.10. 5 10 3 2" xfId="27456" xr:uid="{00000000-0005-0000-0000-0000326B0000}"/>
    <cellStyle name="0_S Curve, Org 22.10. 5 10 4" xfId="27457" xr:uid="{00000000-0005-0000-0000-0000336B0000}"/>
    <cellStyle name="0_S Curve, Org 22.10. 5 11" xfId="27458" xr:uid="{00000000-0005-0000-0000-0000346B0000}"/>
    <cellStyle name="0_S Curve, Org 22.10. 5 11 2" xfId="27459" xr:uid="{00000000-0005-0000-0000-0000356B0000}"/>
    <cellStyle name="0_S Curve, Org 22.10. 5 12" xfId="27460" xr:uid="{00000000-0005-0000-0000-0000366B0000}"/>
    <cellStyle name="0_S Curve, Org 22.10. 5 12 2" xfId="27461" xr:uid="{00000000-0005-0000-0000-0000376B0000}"/>
    <cellStyle name="0_S Curve, Org 22.10. 5 13" xfId="27462" xr:uid="{00000000-0005-0000-0000-0000386B0000}"/>
    <cellStyle name="0_S Curve, Org 22.10. 5 2" xfId="27463" xr:uid="{00000000-0005-0000-0000-0000396B0000}"/>
    <cellStyle name="0_S Curve, Org 22.10. 5 2 2" xfId="27464" xr:uid="{00000000-0005-0000-0000-00003A6B0000}"/>
    <cellStyle name="0_S Curve, Org 22.10. 5 2 2 2" xfId="27465" xr:uid="{00000000-0005-0000-0000-00003B6B0000}"/>
    <cellStyle name="0_S Curve, Org 22.10. 5 2 2 2 2" xfId="27466" xr:uid="{00000000-0005-0000-0000-00003C6B0000}"/>
    <cellStyle name="0_S Curve, Org 22.10. 5 2 2 2 2 2" xfId="27467" xr:uid="{00000000-0005-0000-0000-00003D6B0000}"/>
    <cellStyle name="0_S Curve, Org 22.10. 5 2 2 2 3" xfId="27468" xr:uid="{00000000-0005-0000-0000-00003E6B0000}"/>
    <cellStyle name="0_S Curve, Org 22.10. 5 2 2 2 3 2" xfId="27469" xr:uid="{00000000-0005-0000-0000-00003F6B0000}"/>
    <cellStyle name="0_S Curve, Org 22.10. 5 2 2 2 4" xfId="27470" xr:uid="{00000000-0005-0000-0000-0000406B0000}"/>
    <cellStyle name="0_S Curve, Org 22.10. 5 2 2 3" xfId="27471" xr:uid="{00000000-0005-0000-0000-0000416B0000}"/>
    <cellStyle name="0_S Curve, Org 22.10. 5 2 2 3 2" xfId="27472" xr:uid="{00000000-0005-0000-0000-0000426B0000}"/>
    <cellStyle name="0_S Curve, Org 22.10. 5 2 2 3 2 2" xfId="27473" xr:uid="{00000000-0005-0000-0000-0000436B0000}"/>
    <cellStyle name="0_S Curve, Org 22.10. 5 2 2 3 3" xfId="27474" xr:uid="{00000000-0005-0000-0000-0000446B0000}"/>
    <cellStyle name="0_S Curve, Org 22.10. 5 2 2 3 3 2" xfId="27475" xr:uid="{00000000-0005-0000-0000-0000456B0000}"/>
    <cellStyle name="0_S Curve, Org 22.10. 5 2 2 3 4" xfId="27476" xr:uid="{00000000-0005-0000-0000-0000466B0000}"/>
    <cellStyle name="0_S Curve, Org 22.10. 5 2 2 4" xfId="27477" xr:uid="{00000000-0005-0000-0000-0000476B0000}"/>
    <cellStyle name="0_S Curve, Org 22.10. 5 2 2 4 2" xfId="27478" xr:uid="{00000000-0005-0000-0000-0000486B0000}"/>
    <cellStyle name="0_S Curve, Org 22.10. 5 2 2 5" xfId="27479" xr:uid="{00000000-0005-0000-0000-0000496B0000}"/>
    <cellStyle name="0_S Curve, Org 22.10. 5 2 2 5 2" xfId="27480" xr:uid="{00000000-0005-0000-0000-00004A6B0000}"/>
    <cellStyle name="0_S Curve, Org 22.10. 5 2 2 6" xfId="27481" xr:uid="{00000000-0005-0000-0000-00004B6B0000}"/>
    <cellStyle name="0_S Curve, Org 22.10. 5 2 3" xfId="27482" xr:uid="{00000000-0005-0000-0000-00004C6B0000}"/>
    <cellStyle name="0_S Curve, Org 22.10. 5 2 3 2" xfId="27483" xr:uid="{00000000-0005-0000-0000-00004D6B0000}"/>
    <cellStyle name="0_S Curve, Org 22.10. 5 2 3 2 2" xfId="27484" xr:uid="{00000000-0005-0000-0000-00004E6B0000}"/>
    <cellStyle name="0_S Curve, Org 22.10. 5 2 3 3" xfId="27485" xr:uid="{00000000-0005-0000-0000-00004F6B0000}"/>
    <cellStyle name="0_S Curve, Org 22.10. 5 2 3 3 2" xfId="27486" xr:uid="{00000000-0005-0000-0000-0000506B0000}"/>
    <cellStyle name="0_S Curve, Org 22.10. 5 2 3 4" xfId="27487" xr:uid="{00000000-0005-0000-0000-0000516B0000}"/>
    <cellStyle name="0_S Curve, Org 22.10. 5 2 4" xfId="27488" xr:uid="{00000000-0005-0000-0000-0000526B0000}"/>
    <cellStyle name="0_S Curve, Org 22.10. 5 2 4 2" xfId="27489" xr:uid="{00000000-0005-0000-0000-0000536B0000}"/>
    <cellStyle name="0_S Curve, Org 22.10. 5 2 4 2 2" xfId="27490" xr:uid="{00000000-0005-0000-0000-0000546B0000}"/>
    <cellStyle name="0_S Curve, Org 22.10. 5 2 4 3" xfId="27491" xr:uid="{00000000-0005-0000-0000-0000556B0000}"/>
    <cellStyle name="0_S Curve, Org 22.10. 5 2 4 3 2" xfId="27492" xr:uid="{00000000-0005-0000-0000-0000566B0000}"/>
    <cellStyle name="0_S Curve, Org 22.10. 5 2 4 4" xfId="27493" xr:uid="{00000000-0005-0000-0000-0000576B0000}"/>
    <cellStyle name="0_S Curve, Org 22.10. 5 2 5" xfId="27494" xr:uid="{00000000-0005-0000-0000-0000586B0000}"/>
    <cellStyle name="0_S Curve, Org 22.10. 5 2 5 2" xfId="27495" xr:uid="{00000000-0005-0000-0000-0000596B0000}"/>
    <cellStyle name="0_S Curve, Org 22.10. 5 2 5 2 2" xfId="27496" xr:uid="{00000000-0005-0000-0000-00005A6B0000}"/>
    <cellStyle name="0_S Curve, Org 22.10. 5 2 5 3" xfId="27497" xr:uid="{00000000-0005-0000-0000-00005B6B0000}"/>
    <cellStyle name="0_S Curve, Org 22.10. 5 2 5 3 2" xfId="27498" xr:uid="{00000000-0005-0000-0000-00005C6B0000}"/>
    <cellStyle name="0_S Curve, Org 22.10. 5 2 5 4" xfId="27499" xr:uid="{00000000-0005-0000-0000-00005D6B0000}"/>
    <cellStyle name="0_S Curve, Org 22.10. 5 2 6" xfId="27500" xr:uid="{00000000-0005-0000-0000-00005E6B0000}"/>
    <cellStyle name="0_S Curve, Org 22.10. 5 2 6 2" xfId="27501" xr:uid="{00000000-0005-0000-0000-00005F6B0000}"/>
    <cellStyle name="0_S Curve, Org 22.10. 5 2 7" xfId="27502" xr:uid="{00000000-0005-0000-0000-0000606B0000}"/>
    <cellStyle name="0_S Curve, Org 22.10. 5 2 7 2" xfId="27503" xr:uid="{00000000-0005-0000-0000-0000616B0000}"/>
    <cellStyle name="0_S Curve, Org 22.10. 5 2 8" xfId="27504" xr:uid="{00000000-0005-0000-0000-0000626B0000}"/>
    <cellStyle name="0_S Curve, Org 22.10. 5 3" xfId="27505" xr:uid="{00000000-0005-0000-0000-0000636B0000}"/>
    <cellStyle name="0_S Curve, Org 22.10. 5 3 2" xfId="27506" xr:uid="{00000000-0005-0000-0000-0000646B0000}"/>
    <cellStyle name="0_S Curve, Org 22.10. 5 3 2 2" xfId="27507" xr:uid="{00000000-0005-0000-0000-0000656B0000}"/>
    <cellStyle name="0_S Curve, Org 22.10. 5 3 2 2 2" xfId="27508" xr:uid="{00000000-0005-0000-0000-0000666B0000}"/>
    <cellStyle name="0_S Curve, Org 22.10. 5 3 2 2 2 2" xfId="27509" xr:uid="{00000000-0005-0000-0000-0000676B0000}"/>
    <cellStyle name="0_S Curve, Org 22.10. 5 3 2 2 3" xfId="27510" xr:uid="{00000000-0005-0000-0000-0000686B0000}"/>
    <cellStyle name="0_S Curve, Org 22.10. 5 3 2 2 3 2" xfId="27511" xr:uid="{00000000-0005-0000-0000-0000696B0000}"/>
    <cellStyle name="0_S Curve, Org 22.10. 5 3 2 2 4" xfId="27512" xr:uid="{00000000-0005-0000-0000-00006A6B0000}"/>
    <cellStyle name="0_S Curve, Org 22.10. 5 3 2 3" xfId="27513" xr:uid="{00000000-0005-0000-0000-00006B6B0000}"/>
    <cellStyle name="0_S Curve, Org 22.10. 5 3 2 3 2" xfId="27514" xr:uid="{00000000-0005-0000-0000-00006C6B0000}"/>
    <cellStyle name="0_S Curve, Org 22.10. 5 3 2 3 2 2" xfId="27515" xr:uid="{00000000-0005-0000-0000-00006D6B0000}"/>
    <cellStyle name="0_S Curve, Org 22.10. 5 3 2 3 3" xfId="27516" xr:uid="{00000000-0005-0000-0000-00006E6B0000}"/>
    <cellStyle name="0_S Curve, Org 22.10. 5 3 2 3 3 2" xfId="27517" xr:uid="{00000000-0005-0000-0000-00006F6B0000}"/>
    <cellStyle name="0_S Curve, Org 22.10. 5 3 2 3 4" xfId="27518" xr:uid="{00000000-0005-0000-0000-0000706B0000}"/>
    <cellStyle name="0_S Curve, Org 22.10. 5 3 2 4" xfId="27519" xr:uid="{00000000-0005-0000-0000-0000716B0000}"/>
    <cellStyle name="0_S Curve, Org 22.10. 5 3 2 4 2" xfId="27520" xr:uid="{00000000-0005-0000-0000-0000726B0000}"/>
    <cellStyle name="0_S Curve, Org 22.10. 5 3 2 5" xfId="27521" xr:uid="{00000000-0005-0000-0000-0000736B0000}"/>
    <cellStyle name="0_S Curve, Org 22.10. 5 3 2 5 2" xfId="27522" xr:uid="{00000000-0005-0000-0000-0000746B0000}"/>
    <cellStyle name="0_S Curve, Org 22.10. 5 3 2 6" xfId="27523" xr:uid="{00000000-0005-0000-0000-0000756B0000}"/>
    <cellStyle name="0_S Curve, Org 22.10. 5 3 3" xfId="27524" xr:uid="{00000000-0005-0000-0000-0000766B0000}"/>
    <cellStyle name="0_S Curve, Org 22.10. 5 3 3 2" xfId="27525" xr:uid="{00000000-0005-0000-0000-0000776B0000}"/>
    <cellStyle name="0_S Curve, Org 22.10. 5 3 3 2 2" xfId="27526" xr:uid="{00000000-0005-0000-0000-0000786B0000}"/>
    <cellStyle name="0_S Curve, Org 22.10. 5 3 3 3" xfId="27527" xr:uid="{00000000-0005-0000-0000-0000796B0000}"/>
    <cellStyle name="0_S Curve, Org 22.10. 5 3 3 3 2" xfId="27528" xr:uid="{00000000-0005-0000-0000-00007A6B0000}"/>
    <cellStyle name="0_S Curve, Org 22.10. 5 3 3 4" xfId="27529" xr:uid="{00000000-0005-0000-0000-00007B6B0000}"/>
    <cellStyle name="0_S Curve, Org 22.10. 5 3 4" xfId="27530" xr:uid="{00000000-0005-0000-0000-00007C6B0000}"/>
    <cellStyle name="0_S Curve, Org 22.10. 5 3 4 2" xfId="27531" xr:uid="{00000000-0005-0000-0000-00007D6B0000}"/>
    <cellStyle name="0_S Curve, Org 22.10. 5 3 4 2 2" xfId="27532" xr:uid="{00000000-0005-0000-0000-00007E6B0000}"/>
    <cellStyle name="0_S Curve, Org 22.10. 5 3 4 3" xfId="27533" xr:uid="{00000000-0005-0000-0000-00007F6B0000}"/>
    <cellStyle name="0_S Curve, Org 22.10. 5 3 4 3 2" xfId="27534" xr:uid="{00000000-0005-0000-0000-0000806B0000}"/>
    <cellStyle name="0_S Curve, Org 22.10. 5 3 4 4" xfId="27535" xr:uid="{00000000-0005-0000-0000-0000816B0000}"/>
    <cellStyle name="0_S Curve, Org 22.10. 5 3 5" xfId="27536" xr:uid="{00000000-0005-0000-0000-0000826B0000}"/>
    <cellStyle name="0_S Curve, Org 22.10. 5 3 5 2" xfId="27537" xr:uid="{00000000-0005-0000-0000-0000836B0000}"/>
    <cellStyle name="0_S Curve, Org 22.10. 5 3 5 2 2" xfId="27538" xr:uid="{00000000-0005-0000-0000-0000846B0000}"/>
    <cellStyle name="0_S Curve, Org 22.10. 5 3 5 3" xfId="27539" xr:uid="{00000000-0005-0000-0000-0000856B0000}"/>
    <cellStyle name="0_S Curve, Org 22.10. 5 3 5 3 2" xfId="27540" xr:uid="{00000000-0005-0000-0000-0000866B0000}"/>
    <cellStyle name="0_S Curve, Org 22.10. 5 3 5 4" xfId="27541" xr:uid="{00000000-0005-0000-0000-0000876B0000}"/>
    <cellStyle name="0_S Curve, Org 22.10. 5 3 6" xfId="27542" xr:uid="{00000000-0005-0000-0000-0000886B0000}"/>
    <cellStyle name="0_S Curve, Org 22.10. 5 3 6 2" xfId="27543" xr:uid="{00000000-0005-0000-0000-0000896B0000}"/>
    <cellStyle name="0_S Curve, Org 22.10. 5 3 7" xfId="27544" xr:uid="{00000000-0005-0000-0000-00008A6B0000}"/>
    <cellStyle name="0_S Curve, Org 22.10. 5 3 7 2" xfId="27545" xr:uid="{00000000-0005-0000-0000-00008B6B0000}"/>
    <cellStyle name="0_S Curve, Org 22.10. 5 3 8" xfId="27546" xr:uid="{00000000-0005-0000-0000-00008C6B0000}"/>
    <cellStyle name="0_S Curve, Org 22.10. 5 4" xfId="27547" xr:uid="{00000000-0005-0000-0000-00008D6B0000}"/>
    <cellStyle name="0_S Curve, Org 22.10. 5 4 2" xfId="27548" xr:uid="{00000000-0005-0000-0000-00008E6B0000}"/>
    <cellStyle name="0_S Curve, Org 22.10. 5 4 2 2" xfId="27549" xr:uid="{00000000-0005-0000-0000-00008F6B0000}"/>
    <cellStyle name="0_S Curve, Org 22.10. 5 4 2 2 2" xfId="27550" xr:uid="{00000000-0005-0000-0000-0000906B0000}"/>
    <cellStyle name="0_S Curve, Org 22.10. 5 4 2 2 2 2" xfId="27551" xr:uid="{00000000-0005-0000-0000-0000916B0000}"/>
    <cellStyle name="0_S Curve, Org 22.10. 5 4 2 2 3" xfId="27552" xr:uid="{00000000-0005-0000-0000-0000926B0000}"/>
    <cellStyle name="0_S Curve, Org 22.10. 5 4 2 2 3 2" xfId="27553" xr:uid="{00000000-0005-0000-0000-0000936B0000}"/>
    <cellStyle name="0_S Curve, Org 22.10. 5 4 2 2 4" xfId="27554" xr:uid="{00000000-0005-0000-0000-0000946B0000}"/>
    <cellStyle name="0_S Curve, Org 22.10. 5 4 2 3" xfId="27555" xr:uid="{00000000-0005-0000-0000-0000956B0000}"/>
    <cellStyle name="0_S Curve, Org 22.10. 5 4 2 3 2" xfId="27556" xr:uid="{00000000-0005-0000-0000-0000966B0000}"/>
    <cellStyle name="0_S Curve, Org 22.10. 5 4 2 3 2 2" xfId="27557" xr:uid="{00000000-0005-0000-0000-0000976B0000}"/>
    <cellStyle name="0_S Curve, Org 22.10. 5 4 2 3 3" xfId="27558" xr:uid="{00000000-0005-0000-0000-0000986B0000}"/>
    <cellStyle name="0_S Curve, Org 22.10. 5 4 2 3 3 2" xfId="27559" xr:uid="{00000000-0005-0000-0000-0000996B0000}"/>
    <cellStyle name="0_S Curve, Org 22.10. 5 4 2 3 4" xfId="27560" xr:uid="{00000000-0005-0000-0000-00009A6B0000}"/>
    <cellStyle name="0_S Curve, Org 22.10. 5 4 2 4" xfId="27561" xr:uid="{00000000-0005-0000-0000-00009B6B0000}"/>
    <cellStyle name="0_S Curve, Org 22.10. 5 4 2 4 2" xfId="27562" xr:uid="{00000000-0005-0000-0000-00009C6B0000}"/>
    <cellStyle name="0_S Curve, Org 22.10. 5 4 2 5" xfId="27563" xr:uid="{00000000-0005-0000-0000-00009D6B0000}"/>
    <cellStyle name="0_S Curve, Org 22.10. 5 4 2 5 2" xfId="27564" xr:uid="{00000000-0005-0000-0000-00009E6B0000}"/>
    <cellStyle name="0_S Curve, Org 22.10. 5 4 2 6" xfId="27565" xr:uid="{00000000-0005-0000-0000-00009F6B0000}"/>
    <cellStyle name="0_S Curve, Org 22.10. 5 4 3" xfId="27566" xr:uid="{00000000-0005-0000-0000-0000A06B0000}"/>
    <cellStyle name="0_S Curve, Org 22.10. 5 4 3 2" xfId="27567" xr:uid="{00000000-0005-0000-0000-0000A16B0000}"/>
    <cellStyle name="0_S Curve, Org 22.10. 5 4 3 2 2" xfId="27568" xr:uid="{00000000-0005-0000-0000-0000A26B0000}"/>
    <cellStyle name="0_S Curve, Org 22.10. 5 4 3 3" xfId="27569" xr:uid="{00000000-0005-0000-0000-0000A36B0000}"/>
    <cellStyle name="0_S Curve, Org 22.10. 5 4 3 3 2" xfId="27570" xr:uid="{00000000-0005-0000-0000-0000A46B0000}"/>
    <cellStyle name="0_S Curve, Org 22.10. 5 4 3 4" xfId="27571" xr:uid="{00000000-0005-0000-0000-0000A56B0000}"/>
    <cellStyle name="0_S Curve, Org 22.10. 5 4 4" xfId="27572" xr:uid="{00000000-0005-0000-0000-0000A66B0000}"/>
    <cellStyle name="0_S Curve, Org 22.10. 5 4 4 2" xfId="27573" xr:uid="{00000000-0005-0000-0000-0000A76B0000}"/>
    <cellStyle name="0_S Curve, Org 22.10. 5 4 4 2 2" xfId="27574" xr:uid="{00000000-0005-0000-0000-0000A86B0000}"/>
    <cellStyle name="0_S Curve, Org 22.10. 5 4 4 3" xfId="27575" xr:uid="{00000000-0005-0000-0000-0000A96B0000}"/>
    <cellStyle name="0_S Curve, Org 22.10. 5 4 4 3 2" xfId="27576" xr:uid="{00000000-0005-0000-0000-0000AA6B0000}"/>
    <cellStyle name="0_S Curve, Org 22.10. 5 4 4 4" xfId="27577" xr:uid="{00000000-0005-0000-0000-0000AB6B0000}"/>
    <cellStyle name="0_S Curve, Org 22.10. 5 4 5" xfId="27578" xr:uid="{00000000-0005-0000-0000-0000AC6B0000}"/>
    <cellStyle name="0_S Curve, Org 22.10. 5 4 5 2" xfId="27579" xr:uid="{00000000-0005-0000-0000-0000AD6B0000}"/>
    <cellStyle name="0_S Curve, Org 22.10. 5 4 5 2 2" xfId="27580" xr:uid="{00000000-0005-0000-0000-0000AE6B0000}"/>
    <cellStyle name="0_S Curve, Org 22.10. 5 4 5 3" xfId="27581" xr:uid="{00000000-0005-0000-0000-0000AF6B0000}"/>
    <cellStyle name="0_S Curve, Org 22.10. 5 4 5 3 2" xfId="27582" xr:uid="{00000000-0005-0000-0000-0000B06B0000}"/>
    <cellStyle name="0_S Curve, Org 22.10. 5 4 5 4" xfId="27583" xr:uid="{00000000-0005-0000-0000-0000B16B0000}"/>
    <cellStyle name="0_S Curve, Org 22.10. 5 4 6" xfId="27584" xr:uid="{00000000-0005-0000-0000-0000B26B0000}"/>
    <cellStyle name="0_S Curve, Org 22.10. 5 4 6 2" xfId="27585" xr:uid="{00000000-0005-0000-0000-0000B36B0000}"/>
    <cellStyle name="0_S Curve, Org 22.10. 5 4 7" xfId="27586" xr:uid="{00000000-0005-0000-0000-0000B46B0000}"/>
    <cellStyle name="0_S Curve, Org 22.10. 5 4 7 2" xfId="27587" xr:uid="{00000000-0005-0000-0000-0000B56B0000}"/>
    <cellStyle name="0_S Curve, Org 22.10. 5 4 8" xfId="27588" xr:uid="{00000000-0005-0000-0000-0000B66B0000}"/>
    <cellStyle name="0_S Curve, Org 22.10. 5 5" xfId="27589" xr:uid="{00000000-0005-0000-0000-0000B76B0000}"/>
    <cellStyle name="0_S Curve, Org 22.10. 5 5 2" xfId="27590" xr:uid="{00000000-0005-0000-0000-0000B86B0000}"/>
    <cellStyle name="0_S Curve, Org 22.10. 5 5 2 2" xfId="27591" xr:uid="{00000000-0005-0000-0000-0000B96B0000}"/>
    <cellStyle name="0_S Curve, Org 22.10. 5 5 2 2 2" xfId="27592" xr:uid="{00000000-0005-0000-0000-0000BA6B0000}"/>
    <cellStyle name="0_S Curve, Org 22.10. 5 5 2 2 2 2" xfId="27593" xr:uid="{00000000-0005-0000-0000-0000BB6B0000}"/>
    <cellStyle name="0_S Curve, Org 22.10. 5 5 2 2 3" xfId="27594" xr:uid="{00000000-0005-0000-0000-0000BC6B0000}"/>
    <cellStyle name="0_S Curve, Org 22.10. 5 5 2 2 3 2" xfId="27595" xr:uid="{00000000-0005-0000-0000-0000BD6B0000}"/>
    <cellStyle name="0_S Curve, Org 22.10. 5 5 2 2 4" xfId="27596" xr:uid="{00000000-0005-0000-0000-0000BE6B0000}"/>
    <cellStyle name="0_S Curve, Org 22.10. 5 5 2 3" xfId="27597" xr:uid="{00000000-0005-0000-0000-0000BF6B0000}"/>
    <cellStyle name="0_S Curve, Org 22.10. 5 5 2 3 2" xfId="27598" xr:uid="{00000000-0005-0000-0000-0000C06B0000}"/>
    <cellStyle name="0_S Curve, Org 22.10. 5 5 2 3 2 2" xfId="27599" xr:uid="{00000000-0005-0000-0000-0000C16B0000}"/>
    <cellStyle name="0_S Curve, Org 22.10. 5 5 2 3 3" xfId="27600" xr:uid="{00000000-0005-0000-0000-0000C26B0000}"/>
    <cellStyle name="0_S Curve, Org 22.10. 5 5 2 3 3 2" xfId="27601" xr:uid="{00000000-0005-0000-0000-0000C36B0000}"/>
    <cellStyle name="0_S Curve, Org 22.10. 5 5 2 3 4" xfId="27602" xr:uid="{00000000-0005-0000-0000-0000C46B0000}"/>
    <cellStyle name="0_S Curve, Org 22.10. 5 5 2 4" xfId="27603" xr:uid="{00000000-0005-0000-0000-0000C56B0000}"/>
    <cellStyle name="0_S Curve, Org 22.10. 5 5 2 4 2" xfId="27604" xr:uid="{00000000-0005-0000-0000-0000C66B0000}"/>
    <cellStyle name="0_S Curve, Org 22.10. 5 5 2 5" xfId="27605" xr:uid="{00000000-0005-0000-0000-0000C76B0000}"/>
    <cellStyle name="0_S Curve, Org 22.10. 5 5 2 5 2" xfId="27606" xr:uid="{00000000-0005-0000-0000-0000C86B0000}"/>
    <cellStyle name="0_S Curve, Org 22.10. 5 5 2 6" xfId="27607" xr:uid="{00000000-0005-0000-0000-0000C96B0000}"/>
    <cellStyle name="0_S Curve, Org 22.10. 5 5 3" xfId="27608" xr:uid="{00000000-0005-0000-0000-0000CA6B0000}"/>
    <cellStyle name="0_S Curve, Org 22.10. 5 5 3 2" xfId="27609" xr:uid="{00000000-0005-0000-0000-0000CB6B0000}"/>
    <cellStyle name="0_S Curve, Org 22.10. 5 5 3 2 2" xfId="27610" xr:uid="{00000000-0005-0000-0000-0000CC6B0000}"/>
    <cellStyle name="0_S Curve, Org 22.10. 5 5 3 3" xfId="27611" xr:uid="{00000000-0005-0000-0000-0000CD6B0000}"/>
    <cellStyle name="0_S Curve, Org 22.10. 5 5 3 3 2" xfId="27612" xr:uid="{00000000-0005-0000-0000-0000CE6B0000}"/>
    <cellStyle name="0_S Curve, Org 22.10. 5 5 3 4" xfId="27613" xr:uid="{00000000-0005-0000-0000-0000CF6B0000}"/>
    <cellStyle name="0_S Curve, Org 22.10. 5 5 4" xfId="27614" xr:uid="{00000000-0005-0000-0000-0000D06B0000}"/>
    <cellStyle name="0_S Curve, Org 22.10. 5 5 4 2" xfId="27615" xr:uid="{00000000-0005-0000-0000-0000D16B0000}"/>
    <cellStyle name="0_S Curve, Org 22.10. 5 5 4 2 2" xfId="27616" xr:uid="{00000000-0005-0000-0000-0000D26B0000}"/>
    <cellStyle name="0_S Curve, Org 22.10. 5 5 4 3" xfId="27617" xr:uid="{00000000-0005-0000-0000-0000D36B0000}"/>
    <cellStyle name="0_S Curve, Org 22.10. 5 5 4 3 2" xfId="27618" xr:uid="{00000000-0005-0000-0000-0000D46B0000}"/>
    <cellStyle name="0_S Curve, Org 22.10. 5 5 4 4" xfId="27619" xr:uid="{00000000-0005-0000-0000-0000D56B0000}"/>
    <cellStyle name="0_S Curve, Org 22.10. 5 5 5" xfId="27620" xr:uid="{00000000-0005-0000-0000-0000D66B0000}"/>
    <cellStyle name="0_S Curve, Org 22.10. 5 5 5 2" xfId="27621" xr:uid="{00000000-0005-0000-0000-0000D76B0000}"/>
    <cellStyle name="0_S Curve, Org 22.10. 5 5 5 2 2" xfId="27622" xr:uid="{00000000-0005-0000-0000-0000D86B0000}"/>
    <cellStyle name="0_S Curve, Org 22.10. 5 5 5 3" xfId="27623" xr:uid="{00000000-0005-0000-0000-0000D96B0000}"/>
    <cellStyle name="0_S Curve, Org 22.10. 5 5 5 3 2" xfId="27624" xr:uid="{00000000-0005-0000-0000-0000DA6B0000}"/>
    <cellStyle name="0_S Curve, Org 22.10. 5 5 5 4" xfId="27625" xr:uid="{00000000-0005-0000-0000-0000DB6B0000}"/>
    <cellStyle name="0_S Curve, Org 22.10. 5 5 6" xfId="27626" xr:uid="{00000000-0005-0000-0000-0000DC6B0000}"/>
    <cellStyle name="0_S Curve, Org 22.10. 5 5 6 2" xfId="27627" xr:uid="{00000000-0005-0000-0000-0000DD6B0000}"/>
    <cellStyle name="0_S Curve, Org 22.10. 5 5 7" xfId="27628" xr:uid="{00000000-0005-0000-0000-0000DE6B0000}"/>
    <cellStyle name="0_S Curve, Org 22.10. 5 5 7 2" xfId="27629" xr:uid="{00000000-0005-0000-0000-0000DF6B0000}"/>
    <cellStyle name="0_S Curve, Org 22.10. 5 5 8" xfId="27630" xr:uid="{00000000-0005-0000-0000-0000E06B0000}"/>
    <cellStyle name="0_S Curve, Org 22.10. 5 6" xfId="27631" xr:uid="{00000000-0005-0000-0000-0000E16B0000}"/>
    <cellStyle name="0_S Curve, Org 22.10. 5 6 2" xfId="27632" xr:uid="{00000000-0005-0000-0000-0000E26B0000}"/>
    <cellStyle name="0_S Curve, Org 22.10. 5 6 2 2" xfId="27633" xr:uid="{00000000-0005-0000-0000-0000E36B0000}"/>
    <cellStyle name="0_S Curve, Org 22.10. 5 6 2 2 2" xfId="27634" xr:uid="{00000000-0005-0000-0000-0000E46B0000}"/>
    <cellStyle name="0_S Curve, Org 22.10. 5 6 2 2 2 2" xfId="27635" xr:uid="{00000000-0005-0000-0000-0000E56B0000}"/>
    <cellStyle name="0_S Curve, Org 22.10. 5 6 2 2 3" xfId="27636" xr:uid="{00000000-0005-0000-0000-0000E66B0000}"/>
    <cellStyle name="0_S Curve, Org 22.10. 5 6 2 2 3 2" xfId="27637" xr:uid="{00000000-0005-0000-0000-0000E76B0000}"/>
    <cellStyle name="0_S Curve, Org 22.10. 5 6 2 2 4" xfId="27638" xr:uid="{00000000-0005-0000-0000-0000E86B0000}"/>
    <cellStyle name="0_S Curve, Org 22.10. 5 6 2 3" xfId="27639" xr:uid="{00000000-0005-0000-0000-0000E96B0000}"/>
    <cellStyle name="0_S Curve, Org 22.10. 5 6 2 3 2" xfId="27640" xr:uid="{00000000-0005-0000-0000-0000EA6B0000}"/>
    <cellStyle name="0_S Curve, Org 22.10. 5 6 2 3 2 2" xfId="27641" xr:uid="{00000000-0005-0000-0000-0000EB6B0000}"/>
    <cellStyle name="0_S Curve, Org 22.10. 5 6 2 3 3" xfId="27642" xr:uid="{00000000-0005-0000-0000-0000EC6B0000}"/>
    <cellStyle name="0_S Curve, Org 22.10. 5 6 2 3 3 2" xfId="27643" xr:uid="{00000000-0005-0000-0000-0000ED6B0000}"/>
    <cellStyle name="0_S Curve, Org 22.10. 5 6 2 3 4" xfId="27644" xr:uid="{00000000-0005-0000-0000-0000EE6B0000}"/>
    <cellStyle name="0_S Curve, Org 22.10. 5 6 2 4" xfId="27645" xr:uid="{00000000-0005-0000-0000-0000EF6B0000}"/>
    <cellStyle name="0_S Curve, Org 22.10. 5 6 2 4 2" xfId="27646" xr:uid="{00000000-0005-0000-0000-0000F06B0000}"/>
    <cellStyle name="0_S Curve, Org 22.10. 5 6 2 5" xfId="27647" xr:uid="{00000000-0005-0000-0000-0000F16B0000}"/>
    <cellStyle name="0_S Curve, Org 22.10. 5 6 2 5 2" xfId="27648" xr:uid="{00000000-0005-0000-0000-0000F26B0000}"/>
    <cellStyle name="0_S Curve, Org 22.10. 5 6 2 6" xfId="27649" xr:uid="{00000000-0005-0000-0000-0000F36B0000}"/>
    <cellStyle name="0_S Curve, Org 22.10. 5 6 3" xfId="27650" xr:uid="{00000000-0005-0000-0000-0000F46B0000}"/>
    <cellStyle name="0_S Curve, Org 22.10. 5 6 3 2" xfId="27651" xr:uid="{00000000-0005-0000-0000-0000F56B0000}"/>
    <cellStyle name="0_S Curve, Org 22.10. 5 6 3 2 2" xfId="27652" xr:uid="{00000000-0005-0000-0000-0000F66B0000}"/>
    <cellStyle name="0_S Curve, Org 22.10. 5 6 3 3" xfId="27653" xr:uid="{00000000-0005-0000-0000-0000F76B0000}"/>
    <cellStyle name="0_S Curve, Org 22.10. 5 6 3 3 2" xfId="27654" xr:uid="{00000000-0005-0000-0000-0000F86B0000}"/>
    <cellStyle name="0_S Curve, Org 22.10. 5 6 3 4" xfId="27655" xr:uid="{00000000-0005-0000-0000-0000F96B0000}"/>
    <cellStyle name="0_S Curve, Org 22.10. 5 6 4" xfId="27656" xr:uid="{00000000-0005-0000-0000-0000FA6B0000}"/>
    <cellStyle name="0_S Curve, Org 22.10. 5 6 4 2" xfId="27657" xr:uid="{00000000-0005-0000-0000-0000FB6B0000}"/>
    <cellStyle name="0_S Curve, Org 22.10. 5 6 4 2 2" xfId="27658" xr:uid="{00000000-0005-0000-0000-0000FC6B0000}"/>
    <cellStyle name="0_S Curve, Org 22.10. 5 6 4 3" xfId="27659" xr:uid="{00000000-0005-0000-0000-0000FD6B0000}"/>
    <cellStyle name="0_S Curve, Org 22.10. 5 6 4 3 2" xfId="27660" xr:uid="{00000000-0005-0000-0000-0000FE6B0000}"/>
    <cellStyle name="0_S Curve, Org 22.10. 5 6 4 4" xfId="27661" xr:uid="{00000000-0005-0000-0000-0000FF6B0000}"/>
    <cellStyle name="0_S Curve, Org 22.10. 5 6 5" xfId="27662" xr:uid="{00000000-0005-0000-0000-0000006C0000}"/>
    <cellStyle name="0_S Curve, Org 22.10. 5 6 5 2" xfId="27663" xr:uid="{00000000-0005-0000-0000-0000016C0000}"/>
    <cellStyle name="0_S Curve, Org 22.10. 5 6 5 2 2" xfId="27664" xr:uid="{00000000-0005-0000-0000-0000026C0000}"/>
    <cellStyle name="0_S Curve, Org 22.10. 5 6 5 3" xfId="27665" xr:uid="{00000000-0005-0000-0000-0000036C0000}"/>
    <cellStyle name="0_S Curve, Org 22.10. 5 6 5 3 2" xfId="27666" xr:uid="{00000000-0005-0000-0000-0000046C0000}"/>
    <cellStyle name="0_S Curve, Org 22.10. 5 6 5 4" xfId="27667" xr:uid="{00000000-0005-0000-0000-0000056C0000}"/>
    <cellStyle name="0_S Curve, Org 22.10. 5 6 6" xfId="27668" xr:uid="{00000000-0005-0000-0000-0000066C0000}"/>
    <cellStyle name="0_S Curve, Org 22.10. 5 6 6 2" xfId="27669" xr:uid="{00000000-0005-0000-0000-0000076C0000}"/>
    <cellStyle name="0_S Curve, Org 22.10. 5 6 7" xfId="27670" xr:uid="{00000000-0005-0000-0000-0000086C0000}"/>
    <cellStyle name="0_S Curve, Org 22.10. 5 6 7 2" xfId="27671" xr:uid="{00000000-0005-0000-0000-0000096C0000}"/>
    <cellStyle name="0_S Curve, Org 22.10. 5 6 8" xfId="27672" xr:uid="{00000000-0005-0000-0000-00000A6C0000}"/>
    <cellStyle name="0_S Curve, Org 22.10. 5 7" xfId="27673" xr:uid="{00000000-0005-0000-0000-00000B6C0000}"/>
    <cellStyle name="0_S Curve, Org 22.10. 5 7 2" xfId="27674" xr:uid="{00000000-0005-0000-0000-00000C6C0000}"/>
    <cellStyle name="0_S Curve, Org 22.10. 5 7 2 2" xfId="27675" xr:uid="{00000000-0005-0000-0000-00000D6C0000}"/>
    <cellStyle name="0_S Curve, Org 22.10. 5 7 2 2 2" xfId="27676" xr:uid="{00000000-0005-0000-0000-00000E6C0000}"/>
    <cellStyle name="0_S Curve, Org 22.10. 5 7 2 3" xfId="27677" xr:uid="{00000000-0005-0000-0000-00000F6C0000}"/>
    <cellStyle name="0_S Curve, Org 22.10. 5 7 2 3 2" xfId="27678" xr:uid="{00000000-0005-0000-0000-0000106C0000}"/>
    <cellStyle name="0_S Curve, Org 22.10. 5 7 2 4" xfId="27679" xr:uid="{00000000-0005-0000-0000-0000116C0000}"/>
    <cellStyle name="0_S Curve, Org 22.10. 5 7 3" xfId="27680" xr:uid="{00000000-0005-0000-0000-0000126C0000}"/>
    <cellStyle name="0_S Curve, Org 22.10. 5 7 3 2" xfId="27681" xr:uid="{00000000-0005-0000-0000-0000136C0000}"/>
    <cellStyle name="0_S Curve, Org 22.10. 5 7 3 2 2" xfId="27682" xr:uid="{00000000-0005-0000-0000-0000146C0000}"/>
    <cellStyle name="0_S Curve, Org 22.10. 5 7 3 3" xfId="27683" xr:uid="{00000000-0005-0000-0000-0000156C0000}"/>
    <cellStyle name="0_S Curve, Org 22.10. 5 7 3 3 2" xfId="27684" xr:uid="{00000000-0005-0000-0000-0000166C0000}"/>
    <cellStyle name="0_S Curve, Org 22.10. 5 7 3 4" xfId="27685" xr:uid="{00000000-0005-0000-0000-0000176C0000}"/>
    <cellStyle name="0_S Curve, Org 22.10. 5 7 4" xfId="27686" xr:uid="{00000000-0005-0000-0000-0000186C0000}"/>
    <cellStyle name="0_S Curve, Org 22.10. 5 7 4 2" xfId="27687" xr:uid="{00000000-0005-0000-0000-0000196C0000}"/>
    <cellStyle name="0_S Curve, Org 22.10. 5 7 5" xfId="27688" xr:uid="{00000000-0005-0000-0000-00001A6C0000}"/>
    <cellStyle name="0_S Curve, Org 22.10. 5 7 5 2" xfId="27689" xr:uid="{00000000-0005-0000-0000-00001B6C0000}"/>
    <cellStyle name="0_S Curve, Org 22.10. 5 7 6" xfId="27690" xr:uid="{00000000-0005-0000-0000-00001C6C0000}"/>
    <cellStyle name="0_S Curve, Org 22.10. 5 8" xfId="27691" xr:uid="{00000000-0005-0000-0000-00001D6C0000}"/>
    <cellStyle name="0_S Curve, Org 22.10. 5 8 2" xfId="27692" xr:uid="{00000000-0005-0000-0000-00001E6C0000}"/>
    <cellStyle name="0_S Curve, Org 22.10. 5 8 2 2" xfId="27693" xr:uid="{00000000-0005-0000-0000-00001F6C0000}"/>
    <cellStyle name="0_S Curve, Org 22.10. 5 8 3" xfId="27694" xr:uid="{00000000-0005-0000-0000-0000206C0000}"/>
    <cellStyle name="0_S Curve, Org 22.10. 5 8 3 2" xfId="27695" xr:uid="{00000000-0005-0000-0000-0000216C0000}"/>
    <cellStyle name="0_S Curve, Org 22.10. 5 8 4" xfId="27696" xr:uid="{00000000-0005-0000-0000-0000226C0000}"/>
    <cellStyle name="0_S Curve, Org 22.10. 5 9" xfId="27697" xr:uid="{00000000-0005-0000-0000-0000236C0000}"/>
    <cellStyle name="0_S Curve, Org 22.10. 5 9 2" xfId="27698" xr:uid="{00000000-0005-0000-0000-0000246C0000}"/>
    <cellStyle name="0_S Curve, Org 22.10. 5 9 2 2" xfId="27699" xr:uid="{00000000-0005-0000-0000-0000256C0000}"/>
    <cellStyle name="0_S Curve, Org 22.10. 5 9 3" xfId="27700" xr:uid="{00000000-0005-0000-0000-0000266C0000}"/>
    <cellStyle name="0_S Curve, Org 22.10. 5 9 3 2" xfId="27701" xr:uid="{00000000-0005-0000-0000-0000276C0000}"/>
    <cellStyle name="0_S Curve, Org 22.10. 5 9 4" xfId="27702" xr:uid="{00000000-0005-0000-0000-0000286C0000}"/>
    <cellStyle name="0_S Curve, Org 22.10. 6" xfId="27703" xr:uid="{00000000-0005-0000-0000-0000296C0000}"/>
    <cellStyle name="0_S Curve, Org 22.10. 6 2" xfId="27704" xr:uid="{00000000-0005-0000-0000-00002A6C0000}"/>
    <cellStyle name="0_S Curve, Org 22.10. 6 2 2" xfId="27705" xr:uid="{00000000-0005-0000-0000-00002B6C0000}"/>
    <cellStyle name="0_S Curve, Org 22.10. 6 2 2 2" xfId="27706" xr:uid="{00000000-0005-0000-0000-00002C6C0000}"/>
    <cellStyle name="0_S Curve, Org 22.10. 6 2 2 2 2" xfId="27707" xr:uid="{00000000-0005-0000-0000-00002D6C0000}"/>
    <cellStyle name="0_S Curve, Org 22.10. 6 2 2 3" xfId="27708" xr:uid="{00000000-0005-0000-0000-00002E6C0000}"/>
    <cellStyle name="0_S Curve, Org 22.10. 6 2 2 3 2" xfId="27709" xr:uid="{00000000-0005-0000-0000-00002F6C0000}"/>
    <cellStyle name="0_S Curve, Org 22.10. 6 2 2 4" xfId="27710" xr:uid="{00000000-0005-0000-0000-0000306C0000}"/>
    <cellStyle name="0_S Curve, Org 22.10. 6 2 3" xfId="27711" xr:uid="{00000000-0005-0000-0000-0000316C0000}"/>
    <cellStyle name="0_S Curve, Org 22.10. 6 2 3 2" xfId="27712" xr:uid="{00000000-0005-0000-0000-0000326C0000}"/>
    <cellStyle name="0_S Curve, Org 22.10. 6 2 3 2 2" xfId="27713" xr:uid="{00000000-0005-0000-0000-0000336C0000}"/>
    <cellStyle name="0_S Curve, Org 22.10. 6 2 3 3" xfId="27714" xr:uid="{00000000-0005-0000-0000-0000346C0000}"/>
    <cellStyle name="0_S Curve, Org 22.10. 6 2 3 3 2" xfId="27715" xr:uid="{00000000-0005-0000-0000-0000356C0000}"/>
    <cellStyle name="0_S Curve, Org 22.10. 6 2 3 4" xfId="27716" xr:uid="{00000000-0005-0000-0000-0000366C0000}"/>
    <cellStyle name="0_S Curve, Org 22.10. 6 2 4" xfId="27717" xr:uid="{00000000-0005-0000-0000-0000376C0000}"/>
    <cellStyle name="0_S Curve, Org 22.10. 6 2 4 2" xfId="27718" xr:uid="{00000000-0005-0000-0000-0000386C0000}"/>
    <cellStyle name="0_S Curve, Org 22.10. 6 2 5" xfId="27719" xr:uid="{00000000-0005-0000-0000-0000396C0000}"/>
    <cellStyle name="0_S Curve, Org 22.10. 6 2 5 2" xfId="27720" xr:uid="{00000000-0005-0000-0000-00003A6C0000}"/>
    <cellStyle name="0_S Curve, Org 22.10. 6 2 6" xfId="27721" xr:uid="{00000000-0005-0000-0000-00003B6C0000}"/>
    <cellStyle name="0_S Curve, Org 22.10. 6 3" xfId="27722" xr:uid="{00000000-0005-0000-0000-00003C6C0000}"/>
    <cellStyle name="0_S Curve, Org 22.10. 6 3 2" xfId="27723" xr:uid="{00000000-0005-0000-0000-00003D6C0000}"/>
    <cellStyle name="0_S Curve, Org 22.10. 6 3 2 2" xfId="27724" xr:uid="{00000000-0005-0000-0000-00003E6C0000}"/>
    <cellStyle name="0_S Curve, Org 22.10. 6 3 3" xfId="27725" xr:uid="{00000000-0005-0000-0000-00003F6C0000}"/>
    <cellStyle name="0_S Curve, Org 22.10. 6 3 3 2" xfId="27726" xr:uid="{00000000-0005-0000-0000-0000406C0000}"/>
    <cellStyle name="0_S Curve, Org 22.10. 6 3 4" xfId="27727" xr:uid="{00000000-0005-0000-0000-0000416C0000}"/>
    <cellStyle name="0_S Curve, Org 22.10. 6 4" xfId="27728" xr:uid="{00000000-0005-0000-0000-0000426C0000}"/>
    <cellStyle name="0_S Curve, Org 22.10. 6 4 2" xfId="27729" xr:uid="{00000000-0005-0000-0000-0000436C0000}"/>
    <cellStyle name="0_S Curve, Org 22.10. 6 4 2 2" xfId="27730" xr:uid="{00000000-0005-0000-0000-0000446C0000}"/>
    <cellStyle name="0_S Curve, Org 22.10. 6 4 3" xfId="27731" xr:uid="{00000000-0005-0000-0000-0000456C0000}"/>
    <cellStyle name="0_S Curve, Org 22.10. 6 4 3 2" xfId="27732" xr:uid="{00000000-0005-0000-0000-0000466C0000}"/>
    <cellStyle name="0_S Curve, Org 22.10. 6 4 4" xfId="27733" xr:uid="{00000000-0005-0000-0000-0000476C0000}"/>
    <cellStyle name="0_S Curve, Org 22.10. 6 5" xfId="27734" xr:uid="{00000000-0005-0000-0000-0000486C0000}"/>
    <cellStyle name="0_S Curve, Org 22.10. 6 5 2" xfId="27735" xr:uid="{00000000-0005-0000-0000-0000496C0000}"/>
    <cellStyle name="0_S Curve, Org 22.10. 6 5 2 2" xfId="27736" xr:uid="{00000000-0005-0000-0000-00004A6C0000}"/>
    <cellStyle name="0_S Curve, Org 22.10. 6 5 3" xfId="27737" xr:uid="{00000000-0005-0000-0000-00004B6C0000}"/>
    <cellStyle name="0_S Curve, Org 22.10. 6 5 3 2" xfId="27738" xr:uid="{00000000-0005-0000-0000-00004C6C0000}"/>
    <cellStyle name="0_S Curve, Org 22.10. 6 5 4" xfId="27739" xr:uid="{00000000-0005-0000-0000-00004D6C0000}"/>
    <cellStyle name="0_S Curve, Org 22.10. 6 6" xfId="27740" xr:uid="{00000000-0005-0000-0000-00004E6C0000}"/>
    <cellStyle name="0_S Curve, Org 22.10. 6 6 2" xfId="27741" xr:uid="{00000000-0005-0000-0000-00004F6C0000}"/>
    <cellStyle name="0_S Curve, Org 22.10. 6 7" xfId="27742" xr:uid="{00000000-0005-0000-0000-0000506C0000}"/>
    <cellStyle name="0_S Curve, Org 22.10. 6 7 2" xfId="27743" xr:uid="{00000000-0005-0000-0000-0000516C0000}"/>
    <cellStyle name="0_S Curve, Org 22.10. 6 8" xfId="27744" xr:uid="{00000000-0005-0000-0000-0000526C0000}"/>
    <cellStyle name="0_S Curve, Org 22.10. 7" xfId="27745" xr:uid="{00000000-0005-0000-0000-0000536C0000}"/>
    <cellStyle name="0_S Curve, Org 22.10. 7 2" xfId="27746" xr:uid="{00000000-0005-0000-0000-0000546C0000}"/>
    <cellStyle name="0_S Curve, Org 22.10. 7 2 2" xfId="27747" xr:uid="{00000000-0005-0000-0000-0000556C0000}"/>
    <cellStyle name="0_S Curve, Org 22.10. 7 2 2 2" xfId="27748" xr:uid="{00000000-0005-0000-0000-0000566C0000}"/>
    <cellStyle name="0_S Curve, Org 22.10. 7 2 3" xfId="27749" xr:uid="{00000000-0005-0000-0000-0000576C0000}"/>
    <cellStyle name="0_S Curve, Org 22.10. 7 2 3 2" xfId="27750" xr:uid="{00000000-0005-0000-0000-0000586C0000}"/>
    <cellStyle name="0_S Curve, Org 22.10. 7 2 4" xfId="27751" xr:uid="{00000000-0005-0000-0000-0000596C0000}"/>
    <cellStyle name="0_S Curve, Org 22.10. 7 3" xfId="27752" xr:uid="{00000000-0005-0000-0000-00005A6C0000}"/>
    <cellStyle name="0_S Curve, Org 22.10. 7 3 2" xfId="27753" xr:uid="{00000000-0005-0000-0000-00005B6C0000}"/>
    <cellStyle name="0_S Curve, Org 22.10. 7 3 2 2" xfId="27754" xr:uid="{00000000-0005-0000-0000-00005C6C0000}"/>
    <cellStyle name="0_S Curve, Org 22.10. 7 3 3" xfId="27755" xr:uid="{00000000-0005-0000-0000-00005D6C0000}"/>
    <cellStyle name="0_S Curve, Org 22.10. 7 3 3 2" xfId="27756" xr:uid="{00000000-0005-0000-0000-00005E6C0000}"/>
    <cellStyle name="0_S Curve, Org 22.10. 7 3 4" xfId="27757" xr:uid="{00000000-0005-0000-0000-00005F6C0000}"/>
    <cellStyle name="0_S Curve, Org 22.10. 7 4" xfId="27758" xr:uid="{00000000-0005-0000-0000-0000606C0000}"/>
    <cellStyle name="0_S Curve, Org 22.10. 7 4 2" xfId="27759" xr:uid="{00000000-0005-0000-0000-0000616C0000}"/>
    <cellStyle name="0_S Curve, Org 22.10. 7 5" xfId="27760" xr:uid="{00000000-0005-0000-0000-0000626C0000}"/>
    <cellStyle name="0_S Curve, Org 22.10. 7 5 2" xfId="27761" xr:uid="{00000000-0005-0000-0000-0000636C0000}"/>
    <cellStyle name="0_S Curve, Org 22.10. 7 6" xfId="27762" xr:uid="{00000000-0005-0000-0000-0000646C0000}"/>
    <cellStyle name="0_S Curve, Org 22.10. 8" xfId="27763" xr:uid="{00000000-0005-0000-0000-0000656C0000}"/>
    <cellStyle name="0_S Curve, Org 22.10. 8 2" xfId="27764" xr:uid="{00000000-0005-0000-0000-0000666C0000}"/>
    <cellStyle name="0_S Curve, Org 22.10. 8 2 2" xfId="27765" xr:uid="{00000000-0005-0000-0000-0000676C0000}"/>
    <cellStyle name="0_S Curve, Org 22.10. 8 2 2 2" xfId="27766" xr:uid="{00000000-0005-0000-0000-0000686C0000}"/>
    <cellStyle name="0_S Curve, Org 22.10. 8 2 3" xfId="27767" xr:uid="{00000000-0005-0000-0000-0000696C0000}"/>
    <cellStyle name="0_S Curve, Org 22.10. 8 2 3 2" xfId="27768" xr:uid="{00000000-0005-0000-0000-00006A6C0000}"/>
    <cellStyle name="0_S Curve, Org 22.10. 8 2 4" xfId="27769" xr:uid="{00000000-0005-0000-0000-00006B6C0000}"/>
    <cellStyle name="0_S Curve, Org 22.10. 8 3" xfId="27770" xr:uid="{00000000-0005-0000-0000-00006C6C0000}"/>
    <cellStyle name="0_S Curve, Org 22.10. 8 3 2" xfId="27771" xr:uid="{00000000-0005-0000-0000-00006D6C0000}"/>
    <cellStyle name="0_S Curve, Org 22.10. 8 3 2 2" xfId="27772" xr:uid="{00000000-0005-0000-0000-00006E6C0000}"/>
    <cellStyle name="0_S Curve, Org 22.10. 8 3 3" xfId="27773" xr:uid="{00000000-0005-0000-0000-00006F6C0000}"/>
    <cellStyle name="0_S Curve, Org 22.10. 8 3 3 2" xfId="27774" xr:uid="{00000000-0005-0000-0000-0000706C0000}"/>
    <cellStyle name="0_S Curve, Org 22.10. 8 3 4" xfId="27775" xr:uid="{00000000-0005-0000-0000-0000716C0000}"/>
    <cellStyle name="0_S Curve, Org 22.10. 8 4" xfId="27776" xr:uid="{00000000-0005-0000-0000-0000726C0000}"/>
    <cellStyle name="0_S Curve, Org 22.10. 8 4 2" xfId="27777" xr:uid="{00000000-0005-0000-0000-0000736C0000}"/>
    <cellStyle name="0_S Curve, Org 22.10. 8 5" xfId="27778" xr:uid="{00000000-0005-0000-0000-0000746C0000}"/>
    <cellStyle name="0_S Curve, Org 22.10. 8 5 2" xfId="27779" xr:uid="{00000000-0005-0000-0000-0000756C0000}"/>
    <cellStyle name="0_S Curve, Org 22.10. 8 6" xfId="27780" xr:uid="{00000000-0005-0000-0000-0000766C0000}"/>
    <cellStyle name="0_S Curve, Org 22.10. 9" xfId="27781" xr:uid="{00000000-0005-0000-0000-0000776C0000}"/>
    <cellStyle name="0_S Curve, Org 22.10. 9 2" xfId="27782" xr:uid="{00000000-0005-0000-0000-0000786C0000}"/>
    <cellStyle name="0_S Curve, Org 22.10. 9 2 2" xfId="27783" xr:uid="{00000000-0005-0000-0000-0000796C0000}"/>
    <cellStyle name="0_S Curve, Org 22.10. 9 3" xfId="27784" xr:uid="{00000000-0005-0000-0000-00007A6C0000}"/>
    <cellStyle name="0_S Curve, Org 22.10. 9 3 2" xfId="27785" xr:uid="{00000000-0005-0000-0000-00007B6C0000}"/>
    <cellStyle name="0_S Curve, Org 22.10. 9 4" xfId="27786" xr:uid="{00000000-0005-0000-0000-00007C6C0000}"/>
    <cellStyle name="0_Sheet1" xfId="27787" xr:uid="{00000000-0005-0000-0000-00007D6C0000}"/>
    <cellStyle name="0_Sheet1 10" xfId="27788" xr:uid="{00000000-0005-0000-0000-00007E6C0000}"/>
    <cellStyle name="0_Sheet1 11" xfId="27789" xr:uid="{00000000-0005-0000-0000-00007F6C0000}"/>
    <cellStyle name="0_Sheet1 12" xfId="27790" xr:uid="{00000000-0005-0000-0000-0000806C0000}"/>
    <cellStyle name="0_Sheet1 13" xfId="27791" xr:uid="{00000000-0005-0000-0000-0000816C0000}"/>
    <cellStyle name="0_Sheet1 2" xfId="27792" xr:uid="{00000000-0005-0000-0000-0000826C0000}"/>
    <cellStyle name="0_Sheet1 2 2" xfId="27793" xr:uid="{00000000-0005-0000-0000-0000836C0000}"/>
    <cellStyle name="0_Sheet1 2 2 2" xfId="27794" xr:uid="{00000000-0005-0000-0000-0000846C0000}"/>
    <cellStyle name="0_Sheet1 2 3" xfId="27795" xr:uid="{00000000-0005-0000-0000-0000856C0000}"/>
    <cellStyle name="0_Sheet1 2 4" xfId="27796" xr:uid="{00000000-0005-0000-0000-0000866C0000}"/>
    <cellStyle name="0_Sheet1 2 5" xfId="27797" xr:uid="{00000000-0005-0000-0000-0000876C0000}"/>
    <cellStyle name="0_Sheet1 2 6" xfId="27798" xr:uid="{00000000-0005-0000-0000-0000886C0000}"/>
    <cellStyle name="0_Sheet1 3" xfId="27799" xr:uid="{00000000-0005-0000-0000-0000896C0000}"/>
    <cellStyle name="0_Sheet1 3 2" xfId="27800" xr:uid="{00000000-0005-0000-0000-00008A6C0000}"/>
    <cellStyle name="0_Sheet1 3 2 2" xfId="27801" xr:uid="{00000000-0005-0000-0000-00008B6C0000}"/>
    <cellStyle name="0_Sheet1 3 3" xfId="27802" xr:uid="{00000000-0005-0000-0000-00008C6C0000}"/>
    <cellStyle name="0_Sheet1 3 4" xfId="27803" xr:uid="{00000000-0005-0000-0000-00008D6C0000}"/>
    <cellStyle name="0_Sheet1 3 5" xfId="27804" xr:uid="{00000000-0005-0000-0000-00008E6C0000}"/>
    <cellStyle name="0_Sheet1 3 6" xfId="27805" xr:uid="{00000000-0005-0000-0000-00008F6C0000}"/>
    <cellStyle name="0_Sheet1 4" xfId="27806" xr:uid="{00000000-0005-0000-0000-0000906C0000}"/>
    <cellStyle name="0_Sheet1 4 2" xfId="27807" xr:uid="{00000000-0005-0000-0000-0000916C0000}"/>
    <cellStyle name="0_Sheet1 4 3" xfId="27808" xr:uid="{00000000-0005-0000-0000-0000926C0000}"/>
    <cellStyle name="0_Sheet1 4 4" xfId="27809" xr:uid="{00000000-0005-0000-0000-0000936C0000}"/>
    <cellStyle name="0_Sheet1 4 5" xfId="27810" xr:uid="{00000000-0005-0000-0000-0000946C0000}"/>
    <cellStyle name="0_Sheet1 4 6" xfId="27811" xr:uid="{00000000-0005-0000-0000-0000956C0000}"/>
    <cellStyle name="0_Sheet1 5" xfId="27812" xr:uid="{00000000-0005-0000-0000-0000966C0000}"/>
    <cellStyle name="0_Sheet1 5 2" xfId="27813" xr:uid="{00000000-0005-0000-0000-0000976C0000}"/>
    <cellStyle name="0_Sheet1 5 3" xfId="27814" xr:uid="{00000000-0005-0000-0000-0000986C0000}"/>
    <cellStyle name="0_Sheet1 5 4" xfId="27815" xr:uid="{00000000-0005-0000-0000-0000996C0000}"/>
    <cellStyle name="0_Sheet1 5 5" xfId="27816" xr:uid="{00000000-0005-0000-0000-00009A6C0000}"/>
    <cellStyle name="0_Sheet1 5 6" xfId="27817" xr:uid="{00000000-0005-0000-0000-00009B6C0000}"/>
    <cellStyle name="0_Sheet1 6" xfId="27818" xr:uid="{00000000-0005-0000-0000-00009C6C0000}"/>
    <cellStyle name="0_Sheet1 6 2" xfId="27819" xr:uid="{00000000-0005-0000-0000-00009D6C0000}"/>
    <cellStyle name="0_Sheet1 6 3" xfId="27820" xr:uid="{00000000-0005-0000-0000-00009E6C0000}"/>
    <cellStyle name="0_Sheet1 6 4" xfId="27821" xr:uid="{00000000-0005-0000-0000-00009F6C0000}"/>
    <cellStyle name="0_Sheet1 6 5" xfId="27822" xr:uid="{00000000-0005-0000-0000-0000A06C0000}"/>
    <cellStyle name="0_Sheet1 6 6" xfId="27823" xr:uid="{00000000-0005-0000-0000-0000A16C0000}"/>
    <cellStyle name="0_Sheet1 7" xfId="27824" xr:uid="{00000000-0005-0000-0000-0000A26C0000}"/>
    <cellStyle name="0_Sheet1 7 2" xfId="27825" xr:uid="{00000000-0005-0000-0000-0000A36C0000}"/>
    <cellStyle name="0_Sheet1 7 3" xfId="27826" xr:uid="{00000000-0005-0000-0000-0000A46C0000}"/>
    <cellStyle name="0_Sheet1 7 4" xfId="27827" xr:uid="{00000000-0005-0000-0000-0000A56C0000}"/>
    <cellStyle name="0_Sheet1 7 5" xfId="27828" xr:uid="{00000000-0005-0000-0000-0000A66C0000}"/>
    <cellStyle name="0_Sheet1 7 6" xfId="27829" xr:uid="{00000000-0005-0000-0000-0000A76C0000}"/>
    <cellStyle name="0_Sheet1 8" xfId="27830" xr:uid="{00000000-0005-0000-0000-0000A86C0000}"/>
    <cellStyle name="0_Sheet1 8 2" xfId="27831" xr:uid="{00000000-0005-0000-0000-0000A96C0000}"/>
    <cellStyle name="0_Sheet1 8 3" xfId="27832" xr:uid="{00000000-0005-0000-0000-0000AA6C0000}"/>
    <cellStyle name="0_Sheet1 8 4" xfId="27833" xr:uid="{00000000-0005-0000-0000-0000AB6C0000}"/>
    <cellStyle name="0_Sheet1 8 5" xfId="27834" xr:uid="{00000000-0005-0000-0000-0000AC6C0000}"/>
    <cellStyle name="0_Sheet1 8 6" xfId="27835" xr:uid="{00000000-0005-0000-0000-0000AD6C0000}"/>
    <cellStyle name="0_Sheet1 9" xfId="27836" xr:uid="{00000000-0005-0000-0000-0000AE6C0000}"/>
    <cellStyle name="0_TAD-6131 Rev1(Audit)" xfId="27837" xr:uid="{00000000-0005-0000-0000-0000AF6C0000}"/>
    <cellStyle name="0_TAD-6131 Rev1(Audit) 10" xfId="27838" xr:uid="{00000000-0005-0000-0000-0000B06C0000}"/>
    <cellStyle name="0_TAD-6131 Rev1(Audit) 10 2" xfId="27839" xr:uid="{00000000-0005-0000-0000-0000B16C0000}"/>
    <cellStyle name="0_TAD-6131 Rev1(Audit) 10 2 2" xfId="27840" xr:uid="{00000000-0005-0000-0000-0000B26C0000}"/>
    <cellStyle name="0_TAD-6131 Rev1(Audit) 10 3" xfId="27841" xr:uid="{00000000-0005-0000-0000-0000B36C0000}"/>
    <cellStyle name="0_TAD-6131 Rev1(Audit) 10 3 2" xfId="27842" xr:uid="{00000000-0005-0000-0000-0000B46C0000}"/>
    <cellStyle name="0_TAD-6131 Rev1(Audit) 10 4" xfId="27843" xr:uid="{00000000-0005-0000-0000-0000B56C0000}"/>
    <cellStyle name="0_TAD-6131 Rev1(Audit) 11" xfId="27844" xr:uid="{00000000-0005-0000-0000-0000B66C0000}"/>
    <cellStyle name="0_TAD-6131 Rev1(Audit) 11 2" xfId="27845" xr:uid="{00000000-0005-0000-0000-0000B76C0000}"/>
    <cellStyle name="0_TAD-6131 Rev1(Audit) 11 2 2" xfId="27846" xr:uid="{00000000-0005-0000-0000-0000B86C0000}"/>
    <cellStyle name="0_TAD-6131 Rev1(Audit) 11 3" xfId="27847" xr:uid="{00000000-0005-0000-0000-0000B96C0000}"/>
    <cellStyle name="0_TAD-6131 Rev1(Audit) 11 3 2" xfId="27848" xr:uid="{00000000-0005-0000-0000-0000BA6C0000}"/>
    <cellStyle name="0_TAD-6131 Rev1(Audit) 11 4" xfId="27849" xr:uid="{00000000-0005-0000-0000-0000BB6C0000}"/>
    <cellStyle name="0_TAD-6131 Rev1(Audit) 12" xfId="27850" xr:uid="{00000000-0005-0000-0000-0000BC6C0000}"/>
    <cellStyle name="0_TAD-6131 Rev1(Audit) 12 2" xfId="27851" xr:uid="{00000000-0005-0000-0000-0000BD6C0000}"/>
    <cellStyle name="0_TAD-6131 Rev1(Audit) 13" xfId="27852" xr:uid="{00000000-0005-0000-0000-0000BE6C0000}"/>
    <cellStyle name="0_TAD-6131 Rev1(Audit) 13 2" xfId="27853" xr:uid="{00000000-0005-0000-0000-0000BF6C0000}"/>
    <cellStyle name="0_TAD-6131 Rev1(Audit) 14" xfId="27854" xr:uid="{00000000-0005-0000-0000-0000C06C0000}"/>
    <cellStyle name="0_TAD-6131 Rev1(Audit) 14 2" xfId="27855" xr:uid="{00000000-0005-0000-0000-0000C16C0000}"/>
    <cellStyle name="0_TAD-6131 Rev1(Audit) 15" xfId="27856" xr:uid="{00000000-0005-0000-0000-0000C26C0000}"/>
    <cellStyle name="0_TAD-6131 Rev1(Audit) 16" xfId="27857" xr:uid="{00000000-0005-0000-0000-0000C36C0000}"/>
    <cellStyle name="0_TAD-6131 Rev1(Audit) 17" xfId="27858" xr:uid="{00000000-0005-0000-0000-0000C46C0000}"/>
    <cellStyle name="0_TAD-6131 Rev1(Audit) 18" xfId="27859" xr:uid="{00000000-0005-0000-0000-0000C56C0000}"/>
    <cellStyle name="0_TAD-6131 Rev1(Audit) 19" xfId="27860" xr:uid="{00000000-0005-0000-0000-0000C66C0000}"/>
    <cellStyle name="0_TAD-6131 Rev1(Audit) 2" xfId="27861" xr:uid="{00000000-0005-0000-0000-0000C76C0000}"/>
    <cellStyle name="0_TAD-6131 Rev1(Audit) 2 10" xfId="27862" xr:uid="{00000000-0005-0000-0000-0000C86C0000}"/>
    <cellStyle name="0_TAD-6131 Rev1(Audit) 2 10 2" xfId="27863" xr:uid="{00000000-0005-0000-0000-0000C96C0000}"/>
    <cellStyle name="0_TAD-6131 Rev1(Audit) 2 10 2 2" xfId="27864" xr:uid="{00000000-0005-0000-0000-0000CA6C0000}"/>
    <cellStyle name="0_TAD-6131 Rev1(Audit) 2 10 3" xfId="27865" xr:uid="{00000000-0005-0000-0000-0000CB6C0000}"/>
    <cellStyle name="0_TAD-6131 Rev1(Audit) 2 10 3 2" xfId="27866" xr:uid="{00000000-0005-0000-0000-0000CC6C0000}"/>
    <cellStyle name="0_TAD-6131 Rev1(Audit) 2 10 4" xfId="27867" xr:uid="{00000000-0005-0000-0000-0000CD6C0000}"/>
    <cellStyle name="0_TAD-6131 Rev1(Audit) 2 11" xfId="27868" xr:uid="{00000000-0005-0000-0000-0000CE6C0000}"/>
    <cellStyle name="0_TAD-6131 Rev1(Audit) 2 11 2" xfId="27869" xr:uid="{00000000-0005-0000-0000-0000CF6C0000}"/>
    <cellStyle name="0_TAD-6131 Rev1(Audit) 2 12" xfId="27870" xr:uid="{00000000-0005-0000-0000-0000D06C0000}"/>
    <cellStyle name="0_TAD-6131 Rev1(Audit) 2 12 2" xfId="27871" xr:uid="{00000000-0005-0000-0000-0000D16C0000}"/>
    <cellStyle name="0_TAD-6131 Rev1(Audit) 2 13" xfId="27872" xr:uid="{00000000-0005-0000-0000-0000D26C0000}"/>
    <cellStyle name="0_TAD-6131 Rev1(Audit) 2 14" xfId="27873" xr:uid="{00000000-0005-0000-0000-0000D36C0000}"/>
    <cellStyle name="0_TAD-6131 Rev1(Audit) 2 15" xfId="27874" xr:uid="{00000000-0005-0000-0000-0000D46C0000}"/>
    <cellStyle name="0_TAD-6131 Rev1(Audit) 2 16" xfId="27875" xr:uid="{00000000-0005-0000-0000-0000D56C0000}"/>
    <cellStyle name="0_TAD-6131 Rev1(Audit) 2 2" xfId="27876" xr:uid="{00000000-0005-0000-0000-0000D66C0000}"/>
    <cellStyle name="0_TAD-6131 Rev1(Audit) 2 2 2" xfId="27877" xr:uid="{00000000-0005-0000-0000-0000D76C0000}"/>
    <cellStyle name="0_TAD-6131 Rev1(Audit) 2 2 2 2" xfId="27878" xr:uid="{00000000-0005-0000-0000-0000D86C0000}"/>
    <cellStyle name="0_TAD-6131 Rev1(Audit) 2 2 2 2 2" xfId="27879" xr:uid="{00000000-0005-0000-0000-0000D96C0000}"/>
    <cellStyle name="0_TAD-6131 Rev1(Audit) 2 2 2 2 2 2" xfId="27880" xr:uid="{00000000-0005-0000-0000-0000DA6C0000}"/>
    <cellStyle name="0_TAD-6131 Rev1(Audit) 2 2 2 2 3" xfId="27881" xr:uid="{00000000-0005-0000-0000-0000DB6C0000}"/>
    <cellStyle name="0_TAD-6131 Rev1(Audit) 2 2 2 2 3 2" xfId="27882" xr:uid="{00000000-0005-0000-0000-0000DC6C0000}"/>
    <cellStyle name="0_TAD-6131 Rev1(Audit) 2 2 2 2 4" xfId="27883" xr:uid="{00000000-0005-0000-0000-0000DD6C0000}"/>
    <cellStyle name="0_TAD-6131 Rev1(Audit) 2 2 2 3" xfId="27884" xr:uid="{00000000-0005-0000-0000-0000DE6C0000}"/>
    <cellStyle name="0_TAD-6131 Rev1(Audit) 2 2 2 3 2" xfId="27885" xr:uid="{00000000-0005-0000-0000-0000DF6C0000}"/>
    <cellStyle name="0_TAD-6131 Rev1(Audit) 2 2 2 3 2 2" xfId="27886" xr:uid="{00000000-0005-0000-0000-0000E06C0000}"/>
    <cellStyle name="0_TAD-6131 Rev1(Audit) 2 2 2 3 3" xfId="27887" xr:uid="{00000000-0005-0000-0000-0000E16C0000}"/>
    <cellStyle name="0_TAD-6131 Rev1(Audit) 2 2 2 3 3 2" xfId="27888" xr:uid="{00000000-0005-0000-0000-0000E26C0000}"/>
    <cellStyle name="0_TAD-6131 Rev1(Audit) 2 2 2 3 4" xfId="27889" xr:uid="{00000000-0005-0000-0000-0000E36C0000}"/>
    <cellStyle name="0_TAD-6131 Rev1(Audit) 2 2 2 4" xfId="27890" xr:uid="{00000000-0005-0000-0000-0000E46C0000}"/>
    <cellStyle name="0_TAD-6131 Rev1(Audit) 2 2 2 4 2" xfId="27891" xr:uid="{00000000-0005-0000-0000-0000E56C0000}"/>
    <cellStyle name="0_TAD-6131 Rev1(Audit) 2 2 2 5" xfId="27892" xr:uid="{00000000-0005-0000-0000-0000E66C0000}"/>
    <cellStyle name="0_TAD-6131 Rev1(Audit) 2 2 2 5 2" xfId="27893" xr:uid="{00000000-0005-0000-0000-0000E76C0000}"/>
    <cellStyle name="0_TAD-6131 Rev1(Audit) 2 2 2 6" xfId="27894" xr:uid="{00000000-0005-0000-0000-0000E86C0000}"/>
    <cellStyle name="0_TAD-6131 Rev1(Audit) 2 2 3" xfId="27895" xr:uid="{00000000-0005-0000-0000-0000E96C0000}"/>
    <cellStyle name="0_TAD-6131 Rev1(Audit) 2 2 3 2" xfId="27896" xr:uid="{00000000-0005-0000-0000-0000EA6C0000}"/>
    <cellStyle name="0_TAD-6131 Rev1(Audit) 2 2 3 2 2" xfId="27897" xr:uid="{00000000-0005-0000-0000-0000EB6C0000}"/>
    <cellStyle name="0_TAD-6131 Rev1(Audit) 2 2 3 3" xfId="27898" xr:uid="{00000000-0005-0000-0000-0000EC6C0000}"/>
    <cellStyle name="0_TAD-6131 Rev1(Audit) 2 2 3 3 2" xfId="27899" xr:uid="{00000000-0005-0000-0000-0000ED6C0000}"/>
    <cellStyle name="0_TAD-6131 Rev1(Audit) 2 2 3 4" xfId="27900" xr:uid="{00000000-0005-0000-0000-0000EE6C0000}"/>
    <cellStyle name="0_TAD-6131 Rev1(Audit) 2 2 4" xfId="27901" xr:uid="{00000000-0005-0000-0000-0000EF6C0000}"/>
    <cellStyle name="0_TAD-6131 Rev1(Audit) 2 2 4 2" xfId="27902" xr:uid="{00000000-0005-0000-0000-0000F06C0000}"/>
    <cellStyle name="0_TAD-6131 Rev1(Audit) 2 2 4 2 2" xfId="27903" xr:uid="{00000000-0005-0000-0000-0000F16C0000}"/>
    <cellStyle name="0_TAD-6131 Rev1(Audit) 2 2 4 3" xfId="27904" xr:uid="{00000000-0005-0000-0000-0000F26C0000}"/>
    <cellStyle name="0_TAD-6131 Rev1(Audit) 2 2 4 3 2" xfId="27905" xr:uid="{00000000-0005-0000-0000-0000F36C0000}"/>
    <cellStyle name="0_TAD-6131 Rev1(Audit) 2 2 4 4" xfId="27906" xr:uid="{00000000-0005-0000-0000-0000F46C0000}"/>
    <cellStyle name="0_TAD-6131 Rev1(Audit) 2 2 5" xfId="27907" xr:uid="{00000000-0005-0000-0000-0000F56C0000}"/>
    <cellStyle name="0_TAD-6131 Rev1(Audit) 2 2 5 2" xfId="27908" xr:uid="{00000000-0005-0000-0000-0000F66C0000}"/>
    <cellStyle name="0_TAD-6131 Rev1(Audit) 2 2 5 2 2" xfId="27909" xr:uid="{00000000-0005-0000-0000-0000F76C0000}"/>
    <cellStyle name="0_TAD-6131 Rev1(Audit) 2 2 5 3" xfId="27910" xr:uid="{00000000-0005-0000-0000-0000F86C0000}"/>
    <cellStyle name="0_TAD-6131 Rev1(Audit) 2 2 5 3 2" xfId="27911" xr:uid="{00000000-0005-0000-0000-0000F96C0000}"/>
    <cellStyle name="0_TAD-6131 Rev1(Audit) 2 2 5 4" xfId="27912" xr:uid="{00000000-0005-0000-0000-0000FA6C0000}"/>
    <cellStyle name="0_TAD-6131 Rev1(Audit) 2 2 6" xfId="27913" xr:uid="{00000000-0005-0000-0000-0000FB6C0000}"/>
    <cellStyle name="0_TAD-6131 Rev1(Audit) 2 2 6 2" xfId="27914" xr:uid="{00000000-0005-0000-0000-0000FC6C0000}"/>
    <cellStyle name="0_TAD-6131 Rev1(Audit) 2 2 7" xfId="27915" xr:uid="{00000000-0005-0000-0000-0000FD6C0000}"/>
    <cellStyle name="0_TAD-6131 Rev1(Audit) 2 2 7 2" xfId="27916" xr:uid="{00000000-0005-0000-0000-0000FE6C0000}"/>
    <cellStyle name="0_TAD-6131 Rev1(Audit) 2 2 8" xfId="27917" xr:uid="{00000000-0005-0000-0000-0000FF6C0000}"/>
    <cellStyle name="0_TAD-6131 Rev1(Audit) 2 3" xfId="27918" xr:uid="{00000000-0005-0000-0000-0000006D0000}"/>
    <cellStyle name="0_TAD-6131 Rev1(Audit) 2 3 2" xfId="27919" xr:uid="{00000000-0005-0000-0000-0000016D0000}"/>
    <cellStyle name="0_TAD-6131 Rev1(Audit) 2 3 2 2" xfId="27920" xr:uid="{00000000-0005-0000-0000-0000026D0000}"/>
    <cellStyle name="0_TAD-6131 Rev1(Audit) 2 3 2 2 2" xfId="27921" xr:uid="{00000000-0005-0000-0000-0000036D0000}"/>
    <cellStyle name="0_TAD-6131 Rev1(Audit) 2 3 2 2 2 2" xfId="27922" xr:uid="{00000000-0005-0000-0000-0000046D0000}"/>
    <cellStyle name="0_TAD-6131 Rev1(Audit) 2 3 2 2 3" xfId="27923" xr:uid="{00000000-0005-0000-0000-0000056D0000}"/>
    <cellStyle name="0_TAD-6131 Rev1(Audit) 2 3 2 2 3 2" xfId="27924" xr:uid="{00000000-0005-0000-0000-0000066D0000}"/>
    <cellStyle name="0_TAD-6131 Rev1(Audit) 2 3 2 2 4" xfId="27925" xr:uid="{00000000-0005-0000-0000-0000076D0000}"/>
    <cellStyle name="0_TAD-6131 Rev1(Audit) 2 3 2 3" xfId="27926" xr:uid="{00000000-0005-0000-0000-0000086D0000}"/>
    <cellStyle name="0_TAD-6131 Rev1(Audit) 2 3 2 3 2" xfId="27927" xr:uid="{00000000-0005-0000-0000-0000096D0000}"/>
    <cellStyle name="0_TAD-6131 Rev1(Audit) 2 3 2 3 2 2" xfId="27928" xr:uid="{00000000-0005-0000-0000-00000A6D0000}"/>
    <cellStyle name="0_TAD-6131 Rev1(Audit) 2 3 2 3 3" xfId="27929" xr:uid="{00000000-0005-0000-0000-00000B6D0000}"/>
    <cellStyle name="0_TAD-6131 Rev1(Audit) 2 3 2 3 3 2" xfId="27930" xr:uid="{00000000-0005-0000-0000-00000C6D0000}"/>
    <cellStyle name="0_TAD-6131 Rev1(Audit) 2 3 2 3 4" xfId="27931" xr:uid="{00000000-0005-0000-0000-00000D6D0000}"/>
    <cellStyle name="0_TAD-6131 Rev1(Audit) 2 3 2 4" xfId="27932" xr:uid="{00000000-0005-0000-0000-00000E6D0000}"/>
    <cellStyle name="0_TAD-6131 Rev1(Audit) 2 3 2 4 2" xfId="27933" xr:uid="{00000000-0005-0000-0000-00000F6D0000}"/>
    <cellStyle name="0_TAD-6131 Rev1(Audit) 2 3 2 5" xfId="27934" xr:uid="{00000000-0005-0000-0000-0000106D0000}"/>
    <cellStyle name="0_TAD-6131 Rev1(Audit) 2 3 2 5 2" xfId="27935" xr:uid="{00000000-0005-0000-0000-0000116D0000}"/>
    <cellStyle name="0_TAD-6131 Rev1(Audit) 2 3 2 6" xfId="27936" xr:uid="{00000000-0005-0000-0000-0000126D0000}"/>
    <cellStyle name="0_TAD-6131 Rev1(Audit) 2 3 3" xfId="27937" xr:uid="{00000000-0005-0000-0000-0000136D0000}"/>
    <cellStyle name="0_TAD-6131 Rev1(Audit) 2 3 3 2" xfId="27938" xr:uid="{00000000-0005-0000-0000-0000146D0000}"/>
    <cellStyle name="0_TAD-6131 Rev1(Audit) 2 3 3 2 2" xfId="27939" xr:uid="{00000000-0005-0000-0000-0000156D0000}"/>
    <cellStyle name="0_TAD-6131 Rev1(Audit) 2 3 3 3" xfId="27940" xr:uid="{00000000-0005-0000-0000-0000166D0000}"/>
    <cellStyle name="0_TAD-6131 Rev1(Audit) 2 3 3 3 2" xfId="27941" xr:uid="{00000000-0005-0000-0000-0000176D0000}"/>
    <cellStyle name="0_TAD-6131 Rev1(Audit) 2 3 3 4" xfId="27942" xr:uid="{00000000-0005-0000-0000-0000186D0000}"/>
    <cellStyle name="0_TAD-6131 Rev1(Audit) 2 3 4" xfId="27943" xr:uid="{00000000-0005-0000-0000-0000196D0000}"/>
    <cellStyle name="0_TAD-6131 Rev1(Audit) 2 3 4 2" xfId="27944" xr:uid="{00000000-0005-0000-0000-00001A6D0000}"/>
    <cellStyle name="0_TAD-6131 Rev1(Audit) 2 3 4 2 2" xfId="27945" xr:uid="{00000000-0005-0000-0000-00001B6D0000}"/>
    <cellStyle name="0_TAD-6131 Rev1(Audit) 2 3 4 3" xfId="27946" xr:uid="{00000000-0005-0000-0000-00001C6D0000}"/>
    <cellStyle name="0_TAD-6131 Rev1(Audit) 2 3 4 3 2" xfId="27947" xr:uid="{00000000-0005-0000-0000-00001D6D0000}"/>
    <cellStyle name="0_TAD-6131 Rev1(Audit) 2 3 4 4" xfId="27948" xr:uid="{00000000-0005-0000-0000-00001E6D0000}"/>
    <cellStyle name="0_TAD-6131 Rev1(Audit) 2 3 5" xfId="27949" xr:uid="{00000000-0005-0000-0000-00001F6D0000}"/>
    <cellStyle name="0_TAD-6131 Rev1(Audit) 2 3 5 2" xfId="27950" xr:uid="{00000000-0005-0000-0000-0000206D0000}"/>
    <cellStyle name="0_TAD-6131 Rev1(Audit) 2 3 5 2 2" xfId="27951" xr:uid="{00000000-0005-0000-0000-0000216D0000}"/>
    <cellStyle name="0_TAD-6131 Rev1(Audit) 2 3 5 3" xfId="27952" xr:uid="{00000000-0005-0000-0000-0000226D0000}"/>
    <cellStyle name="0_TAD-6131 Rev1(Audit) 2 3 5 3 2" xfId="27953" xr:uid="{00000000-0005-0000-0000-0000236D0000}"/>
    <cellStyle name="0_TAD-6131 Rev1(Audit) 2 3 5 4" xfId="27954" xr:uid="{00000000-0005-0000-0000-0000246D0000}"/>
    <cellStyle name="0_TAD-6131 Rev1(Audit) 2 3 6" xfId="27955" xr:uid="{00000000-0005-0000-0000-0000256D0000}"/>
    <cellStyle name="0_TAD-6131 Rev1(Audit) 2 3 6 2" xfId="27956" xr:uid="{00000000-0005-0000-0000-0000266D0000}"/>
    <cellStyle name="0_TAD-6131 Rev1(Audit) 2 3 7" xfId="27957" xr:uid="{00000000-0005-0000-0000-0000276D0000}"/>
    <cellStyle name="0_TAD-6131 Rev1(Audit) 2 3 7 2" xfId="27958" xr:uid="{00000000-0005-0000-0000-0000286D0000}"/>
    <cellStyle name="0_TAD-6131 Rev1(Audit) 2 3 8" xfId="27959" xr:uid="{00000000-0005-0000-0000-0000296D0000}"/>
    <cellStyle name="0_TAD-6131 Rev1(Audit) 2 4" xfId="27960" xr:uid="{00000000-0005-0000-0000-00002A6D0000}"/>
    <cellStyle name="0_TAD-6131 Rev1(Audit) 2 4 2" xfId="27961" xr:uid="{00000000-0005-0000-0000-00002B6D0000}"/>
    <cellStyle name="0_TAD-6131 Rev1(Audit) 2 4 2 2" xfId="27962" xr:uid="{00000000-0005-0000-0000-00002C6D0000}"/>
    <cellStyle name="0_TAD-6131 Rev1(Audit) 2 4 2 2 2" xfId="27963" xr:uid="{00000000-0005-0000-0000-00002D6D0000}"/>
    <cellStyle name="0_TAD-6131 Rev1(Audit) 2 4 2 2 2 2" xfId="27964" xr:uid="{00000000-0005-0000-0000-00002E6D0000}"/>
    <cellStyle name="0_TAD-6131 Rev1(Audit) 2 4 2 2 3" xfId="27965" xr:uid="{00000000-0005-0000-0000-00002F6D0000}"/>
    <cellStyle name="0_TAD-6131 Rev1(Audit) 2 4 2 2 3 2" xfId="27966" xr:uid="{00000000-0005-0000-0000-0000306D0000}"/>
    <cellStyle name="0_TAD-6131 Rev1(Audit) 2 4 2 2 4" xfId="27967" xr:uid="{00000000-0005-0000-0000-0000316D0000}"/>
    <cellStyle name="0_TAD-6131 Rev1(Audit) 2 4 2 3" xfId="27968" xr:uid="{00000000-0005-0000-0000-0000326D0000}"/>
    <cellStyle name="0_TAD-6131 Rev1(Audit) 2 4 2 3 2" xfId="27969" xr:uid="{00000000-0005-0000-0000-0000336D0000}"/>
    <cellStyle name="0_TAD-6131 Rev1(Audit) 2 4 2 3 2 2" xfId="27970" xr:uid="{00000000-0005-0000-0000-0000346D0000}"/>
    <cellStyle name="0_TAD-6131 Rev1(Audit) 2 4 2 3 3" xfId="27971" xr:uid="{00000000-0005-0000-0000-0000356D0000}"/>
    <cellStyle name="0_TAD-6131 Rev1(Audit) 2 4 2 3 3 2" xfId="27972" xr:uid="{00000000-0005-0000-0000-0000366D0000}"/>
    <cellStyle name="0_TAD-6131 Rev1(Audit) 2 4 2 3 4" xfId="27973" xr:uid="{00000000-0005-0000-0000-0000376D0000}"/>
    <cellStyle name="0_TAD-6131 Rev1(Audit) 2 4 2 4" xfId="27974" xr:uid="{00000000-0005-0000-0000-0000386D0000}"/>
    <cellStyle name="0_TAD-6131 Rev1(Audit) 2 4 2 4 2" xfId="27975" xr:uid="{00000000-0005-0000-0000-0000396D0000}"/>
    <cellStyle name="0_TAD-6131 Rev1(Audit) 2 4 2 5" xfId="27976" xr:uid="{00000000-0005-0000-0000-00003A6D0000}"/>
    <cellStyle name="0_TAD-6131 Rev1(Audit) 2 4 2 5 2" xfId="27977" xr:uid="{00000000-0005-0000-0000-00003B6D0000}"/>
    <cellStyle name="0_TAD-6131 Rev1(Audit) 2 4 2 6" xfId="27978" xr:uid="{00000000-0005-0000-0000-00003C6D0000}"/>
    <cellStyle name="0_TAD-6131 Rev1(Audit) 2 4 3" xfId="27979" xr:uid="{00000000-0005-0000-0000-00003D6D0000}"/>
    <cellStyle name="0_TAD-6131 Rev1(Audit) 2 4 3 2" xfId="27980" xr:uid="{00000000-0005-0000-0000-00003E6D0000}"/>
    <cellStyle name="0_TAD-6131 Rev1(Audit) 2 4 3 2 2" xfId="27981" xr:uid="{00000000-0005-0000-0000-00003F6D0000}"/>
    <cellStyle name="0_TAD-6131 Rev1(Audit) 2 4 3 3" xfId="27982" xr:uid="{00000000-0005-0000-0000-0000406D0000}"/>
    <cellStyle name="0_TAD-6131 Rev1(Audit) 2 4 3 3 2" xfId="27983" xr:uid="{00000000-0005-0000-0000-0000416D0000}"/>
    <cellStyle name="0_TAD-6131 Rev1(Audit) 2 4 3 4" xfId="27984" xr:uid="{00000000-0005-0000-0000-0000426D0000}"/>
    <cellStyle name="0_TAD-6131 Rev1(Audit) 2 4 4" xfId="27985" xr:uid="{00000000-0005-0000-0000-0000436D0000}"/>
    <cellStyle name="0_TAD-6131 Rev1(Audit) 2 4 4 2" xfId="27986" xr:uid="{00000000-0005-0000-0000-0000446D0000}"/>
    <cellStyle name="0_TAD-6131 Rev1(Audit) 2 4 4 2 2" xfId="27987" xr:uid="{00000000-0005-0000-0000-0000456D0000}"/>
    <cellStyle name="0_TAD-6131 Rev1(Audit) 2 4 4 3" xfId="27988" xr:uid="{00000000-0005-0000-0000-0000466D0000}"/>
    <cellStyle name="0_TAD-6131 Rev1(Audit) 2 4 4 3 2" xfId="27989" xr:uid="{00000000-0005-0000-0000-0000476D0000}"/>
    <cellStyle name="0_TAD-6131 Rev1(Audit) 2 4 4 4" xfId="27990" xr:uid="{00000000-0005-0000-0000-0000486D0000}"/>
    <cellStyle name="0_TAD-6131 Rev1(Audit) 2 4 5" xfId="27991" xr:uid="{00000000-0005-0000-0000-0000496D0000}"/>
    <cellStyle name="0_TAD-6131 Rev1(Audit) 2 4 5 2" xfId="27992" xr:uid="{00000000-0005-0000-0000-00004A6D0000}"/>
    <cellStyle name="0_TAD-6131 Rev1(Audit) 2 4 5 2 2" xfId="27993" xr:uid="{00000000-0005-0000-0000-00004B6D0000}"/>
    <cellStyle name="0_TAD-6131 Rev1(Audit) 2 4 5 3" xfId="27994" xr:uid="{00000000-0005-0000-0000-00004C6D0000}"/>
    <cellStyle name="0_TAD-6131 Rev1(Audit) 2 4 5 3 2" xfId="27995" xr:uid="{00000000-0005-0000-0000-00004D6D0000}"/>
    <cellStyle name="0_TAD-6131 Rev1(Audit) 2 4 5 4" xfId="27996" xr:uid="{00000000-0005-0000-0000-00004E6D0000}"/>
    <cellStyle name="0_TAD-6131 Rev1(Audit) 2 4 6" xfId="27997" xr:uid="{00000000-0005-0000-0000-00004F6D0000}"/>
    <cellStyle name="0_TAD-6131 Rev1(Audit) 2 4 6 2" xfId="27998" xr:uid="{00000000-0005-0000-0000-0000506D0000}"/>
    <cellStyle name="0_TAD-6131 Rev1(Audit) 2 4 7" xfId="27999" xr:uid="{00000000-0005-0000-0000-0000516D0000}"/>
    <cellStyle name="0_TAD-6131 Rev1(Audit) 2 4 7 2" xfId="28000" xr:uid="{00000000-0005-0000-0000-0000526D0000}"/>
    <cellStyle name="0_TAD-6131 Rev1(Audit) 2 4 8" xfId="28001" xr:uid="{00000000-0005-0000-0000-0000536D0000}"/>
    <cellStyle name="0_TAD-6131 Rev1(Audit) 2 5" xfId="28002" xr:uid="{00000000-0005-0000-0000-0000546D0000}"/>
    <cellStyle name="0_TAD-6131 Rev1(Audit) 2 5 2" xfId="28003" xr:uid="{00000000-0005-0000-0000-0000556D0000}"/>
    <cellStyle name="0_TAD-6131 Rev1(Audit) 2 5 2 2" xfId="28004" xr:uid="{00000000-0005-0000-0000-0000566D0000}"/>
    <cellStyle name="0_TAD-6131 Rev1(Audit) 2 5 2 2 2" xfId="28005" xr:uid="{00000000-0005-0000-0000-0000576D0000}"/>
    <cellStyle name="0_TAD-6131 Rev1(Audit) 2 5 2 2 2 2" xfId="28006" xr:uid="{00000000-0005-0000-0000-0000586D0000}"/>
    <cellStyle name="0_TAD-6131 Rev1(Audit) 2 5 2 2 3" xfId="28007" xr:uid="{00000000-0005-0000-0000-0000596D0000}"/>
    <cellStyle name="0_TAD-6131 Rev1(Audit) 2 5 2 2 3 2" xfId="28008" xr:uid="{00000000-0005-0000-0000-00005A6D0000}"/>
    <cellStyle name="0_TAD-6131 Rev1(Audit) 2 5 2 2 4" xfId="28009" xr:uid="{00000000-0005-0000-0000-00005B6D0000}"/>
    <cellStyle name="0_TAD-6131 Rev1(Audit) 2 5 2 3" xfId="28010" xr:uid="{00000000-0005-0000-0000-00005C6D0000}"/>
    <cellStyle name="0_TAD-6131 Rev1(Audit) 2 5 2 3 2" xfId="28011" xr:uid="{00000000-0005-0000-0000-00005D6D0000}"/>
    <cellStyle name="0_TAD-6131 Rev1(Audit) 2 5 2 3 2 2" xfId="28012" xr:uid="{00000000-0005-0000-0000-00005E6D0000}"/>
    <cellStyle name="0_TAD-6131 Rev1(Audit) 2 5 2 3 3" xfId="28013" xr:uid="{00000000-0005-0000-0000-00005F6D0000}"/>
    <cellStyle name="0_TAD-6131 Rev1(Audit) 2 5 2 3 3 2" xfId="28014" xr:uid="{00000000-0005-0000-0000-0000606D0000}"/>
    <cellStyle name="0_TAD-6131 Rev1(Audit) 2 5 2 3 4" xfId="28015" xr:uid="{00000000-0005-0000-0000-0000616D0000}"/>
    <cellStyle name="0_TAD-6131 Rev1(Audit) 2 5 2 4" xfId="28016" xr:uid="{00000000-0005-0000-0000-0000626D0000}"/>
    <cellStyle name="0_TAD-6131 Rev1(Audit) 2 5 2 4 2" xfId="28017" xr:uid="{00000000-0005-0000-0000-0000636D0000}"/>
    <cellStyle name="0_TAD-6131 Rev1(Audit) 2 5 2 5" xfId="28018" xr:uid="{00000000-0005-0000-0000-0000646D0000}"/>
    <cellStyle name="0_TAD-6131 Rev1(Audit) 2 5 2 5 2" xfId="28019" xr:uid="{00000000-0005-0000-0000-0000656D0000}"/>
    <cellStyle name="0_TAD-6131 Rev1(Audit) 2 5 2 6" xfId="28020" xr:uid="{00000000-0005-0000-0000-0000666D0000}"/>
    <cellStyle name="0_TAD-6131 Rev1(Audit) 2 5 3" xfId="28021" xr:uid="{00000000-0005-0000-0000-0000676D0000}"/>
    <cellStyle name="0_TAD-6131 Rev1(Audit) 2 5 3 2" xfId="28022" xr:uid="{00000000-0005-0000-0000-0000686D0000}"/>
    <cellStyle name="0_TAD-6131 Rev1(Audit) 2 5 3 2 2" xfId="28023" xr:uid="{00000000-0005-0000-0000-0000696D0000}"/>
    <cellStyle name="0_TAD-6131 Rev1(Audit) 2 5 3 3" xfId="28024" xr:uid="{00000000-0005-0000-0000-00006A6D0000}"/>
    <cellStyle name="0_TAD-6131 Rev1(Audit) 2 5 3 3 2" xfId="28025" xr:uid="{00000000-0005-0000-0000-00006B6D0000}"/>
    <cellStyle name="0_TAD-6131 Rev1(Audit) 2 5 3 4" xfId="28026" xr:uid="{00000000-0005-0000-0000-00006C6D0000}"/>
    <cellStyle name="0_TAD-6131 Rev1(Audit) 2 5 4" xfId="28027" xr:uid="{00000000-0005-0000-0000-00006D6D0000}"/>
    <cellStyle name="0_TAD-6131 Rev1(Audit) 2 5 4 2" xfId="28028" xr:uid="{00000000-0005-0000-0000-00006E6D0000}"/>
    <cellStyle name="0_TAD-6131 Rev1(Audit) 2 5 4 2 2" xfId="28029" xr:uid="{00000000-0005-0000-0000-00006F6D0000}"/>
    <cellStyle name="0_TAD-6131 Rev1(Audit) 2 5 4 3" xfId="28030" xr:uid="{00000000-0005-0000-0000-0000706D0000}"/>
    <cellStyle name="0_TAD-6131 Rev1(Audit) 2 5 4 3 2" xfId="28031" xr:uid="{00000000-0005-0000-0000-0000716D0000}"/>
    <cellStyle name="0_TAD-6131 Rev1(Audit) 2 5 4 4" xfId="28032" xr:uid="{00000000-0005-0000-0000-0000726D0000}"/>
    <cellStyle name="0_TAD-6131 Rev1(Audit) 2 5 5" xfId="28033" xr:uid="{00000000-0005-0000-0000-0000736D0000}"/>
    <cellStyle name="0_TAD-6131 Rev1(Audit) 2 5 5 2" xfId="28034" xr:uid="{00000000-0005-0000-0000-0000746D0000}"/>
    <cellStyle name="0_TAD-6131 Rev1(Audit) 2 5 5 2 2" xfId="28035" xr:uid="{00000000-0005-0000-0000-0000756D0000}"/>
    <cellStyle name="0_TAD-6131 Rev1(Audit) 2 5 5 3" xfId="28036" xr:uid="{00000000-0005-0000-0000-0000766D0000}"/>
    <cellStyle name="0_TAD-6131 Rev1(Audit) 2 5 5 3 2" xfId="28037" xr:uid="{00000000-0005-0000-0000-0000776D0000}"/>
    <cellStyle name="0_TAD-6131 Rev1(Audit) 2 5 5 4" xfId="28038" xr:uid="{00000000-0005-0000-0000-0000786D0000}"/>
    <cellStyle name="0_TAD-6131 Rev1(Audit) 2 5 6" xfId="28039" xr:uid="{00000000-0005-0000-0000-0000796D0000}"/>
    <cellStyle name="0_TAD-6131 Rev1(Audit) 2 5 6 2" xfId="28040" xr:uid="{00000000-0005-0000-0000-00007A6D0000}"/>
    <cellStyle name="0_TAD-6131 Rev1(Audit) 2 5 7" xfId="28041" xr:uid="{00000000-0005-0000-0000-00007B6D0000}"/>
    <cellStyle name="0_TAD-6131 Rev1(Audit) 2 5 7 2" xfId="28042" xr:uid="{00000000-0005-0000-0000-00007C6D0000}"/>
    <cellStyle name="0_TAD-6131 Rev1(Audit) 2 5 8" xfId="28043" xr:uid="{00000000-0005-0000-0000-00007D6D0000}"/>
    <cellStyle name="0_TAD-6131 Rev1(Audit) 2 6" xfId="28044" xr:uid="{00000000-0005-0000-0000-00007E6D0000}"/>
    <cellStyle name="0_TAD-6131 Rev1(Audit) 2 6 2" xfId="28045" xr:uid="{00000000-0005-0000-0000-00007F6D0000}"/>
    <cellStyle name="0_TAD-6131 Rev1(Audit) 2 6 2 2" xfId="28046" xr:uid="{00000000-0005-0000-0000-0000806D0000}"/>
    <cellStyle name="0_TAD-6131 Rev1(Audit) 2 6 2 2 2" xfId="28047" xr:uid="{00000000-0005-0000-0000-0000816D0000}"/>
    <cellStyle name="0_TAD-6131 Rev1(Audit) 2 6 2 2 2 2" xfId="28048" xr:uid="{00000000-0005-0000-0000-0000826D0000}"/>
    <cellStyle name="0_TAD-6131 Rev1(Audit) 2 6 2 2 3" xfId="28049" xr:uid="{00000000-0005-0000-0000-0000836D0000}"/>
    <cellStyle name="0_TAD-6131 Rev1(Audit) 2 6 2 2 3 2" xfId="28050" xr:uid="{00000000-0005-0000-0000-0000846D0000}"/>
    <cellStyle name="0_TAD-6131 Rev1(Audit) 2 6 2 2 4" xfId="28051" xr:uid="{00000000-0005-0000-0000-0000856D0000}"/>
    <cellStyle name="0_TAD-6131 Rev1(Audit) 2 6 2 3" xfId="28052" xr:uid="{00000000-0005-0000-0000-0000866D0000}"/>
    <cellStyle name="0_TAD-6131 Rev1(Audit) 2 6 2 3 2" xfId="28053" xr:uid="{00000000-0005-0000-0000-0000876D0000}"/>
    <cellStyle name="0_TAD-6131 Rev1(Audit) 2 6 2 3 2 2" xfId="28054" xr:uid="{00000000-0005-0000-0000-0000886D0000}"/>
    <cellStyle name="0_TAD-6131 Rev1(Audit) 2 6 2 3 3" xfId="28055" xr:uid="{00000000-0005-0000-0000-0000896D0000}"/>
    <cellStyle name="0_TAD-6131 Rev1(Audit) 2 6 2 3 3 2" xfId="28056" xr:uid="{00000000-0005-0000-0000-00008A6D0000}"/>
    <cellStyle name="0_TAD-6131 Rev1(Audit) 2 6 2 3 4" xfId="28057" xr:uid="{00000000-0005-0000-0000-00008B6D0000}"/>
    <cellStyle name="0_TAD-6131 Rev1(Audit) 2 6 2 4" xfId="28058" xr:uid="{00000000-0005-0000-0000-00008C6D0000}"/>
    <cellStyle name="0_TAD-6131 Rev1(Audit) 2 6 2 4 2" xfId="28059" xr:uid="{00000000-0005-0000-0000-00008D6D0000}"/>
    <cellStyle name="0_TAD-6131 Rev1(Audit) 2 6 2 5" xfId="28060" xr:uid="{00000000-0005-0000-0000-00008E6D0000}"/>
    <cellStyle name="0_TAD-6131 Rev1(Audit) 2 6 2 5 2" xfId="28061" xr:uid="{00000000-0005-0000-0000-00008F6D0000}"/>
    <cellStyle name="0_TAD-6131 Rev1(Audit) 2 6 2 6" xfId="28062" xr:uid="{00000000-0005-0000-0000-0000906D0000}"/>
    <cellStyle name="0_TAD-6131 Rev1(Audit) 2 6 3" xfId="28063" xr:uid="{00000000-0005-0000-0000-0000916D0000}"/>
    <cellStyle name="0_TAD-6131 Rev1(Audit) 2 6 3 2" xfId="28064" xr:uid="{00000000-0005-0000-0000-0000926D0000}"/>
    <cellStyle name="0_TAD-6131 Rev1(Audit) 2 6 3 2 2" xfId="28065" xr:uid="{00000000-0005-0000-0000-0000936D0000}"/>
    <cellStyle name="0_TAD-6131 Rev1(Audit) 2 6 3 3" xfId="28066" xr:uid="{00000000-0005-0000-0000-0000946D0000}"/>
    <cellStyle name="0_TAD-6131 Rev1(Audit) 2 6 3 3 2" xfId="28067" xr:uid="{00000000-0005-0000-0000-0000956D0000}"/>
    <cellStyle name="0_TAD-6131 Rev1(Audit) 2 6 3 4" xfId="28068" xr:uid="{00000000-0005-0000-0000-0000966D0000}"/>
    <cellStyle name="0_TAD-6131 Rev1(Audit) 2 6 4" xfId="28069" xr:uid="{00000000-0005-0000-0000-0000976D0000}"/>
    <cellStyle name="0_TAD-6131 Rev1(Audit) 2 6 4 2" xfId="28070" xr:uid="{00000000-0005-0000-0000-0000986D0000}"/>
    <cellStyle name="0_TAD-6131 Rev1(Audit) 2 6 4 2 2" xfId="28071" xr:uid="{00000000-0005-0000-0000-0000996D0000}"/>
    <cellStyle name="0_TAD-6131 Rev1(Audit) 2 6 4 3" xfId="28072" xr:uid="{00000000-0005-0000-0000-00009A6D0000}"/>
    <cellStyle name="0_TAD-6131 Rev1(Audit) 2 6 4 3 2" xfId="28073" xr:uid="{00000000-0005-0000-0000-00009B6D0000}"/>
    <cellStyle name="0_TAD-6131 Rev1(Audit) 2 6 4 4" xfId="28074" xr:uid="{00000000-0005-0000-0000-00009C6D0000}"/>
    <cellStyle name="0_TAD-6131 Rev1(Audit) 2 6 5" xfId="28075" xr:uid="{00000000-0005-0000-0000-00009D6D0000}"/>
    <cellStyle name="0_TAD-6131 Rev1(Audit) 2 6 5 2" xfId="28076" xr:uid="{00000000-0005-0000-0000-00009E6D0000}"/>
    <cellStyle name="0_TAD-6131 Rev1(Audit) 2 6 5 2 2" xfId="28077" xr:uid="{00000000-0005-0000-0000-00009F6D0000}"/>
    <cellStyle name="0_TAD-6131 Rev1(Audit) 2 6 5 3" xfId="28078" xr:uid="{00000000-0005-0000-0000-0000A06D0000}"/>
    <cellStyle name="0_TAD-6131 Rev1(Audit) 2 6 5 3 2" xfId="28079" xr:uid="{00000000-0005-0000-0000-0000A16D0000}"/>
    <cellStyle name="0_TAD-6131 Rev1(Audit) 2 6 5 4" xfId="28080" xr:uid="{00000000-0005-0000-0000-0000A26D0000}"/>
    <cellStyle name="0_TAD-6131 Rev1(Audit) 2 6 6" xfId="28081" xr:uid="{00000000-0005-0000-0000-0000A36D0000}"/>
    <cellStyle name="0_TAD-6131 Rev1(Audit) 2 6 6 2" xfId="28082" xr:uid="{00000000-0005-0000-0000-0000A46D0000}"/>
    <cellStyle name="0_TAD-6131 Rev1(Audit) 2 6 7" xfId="28083" xr:uid="{00000000-0005-0000-0000-0000A56D0000}"/>
    <cellStyle name="0_TAD-6131 Rev1(Audit) 2 6 7 2" xfId="28084" xr:uid="{00000000-0005-0000-0000-0000A66D0000}"/>
    <cellStyle name="0_TAD-6131 Rev1(Audit) 2 6 8" xfId="28085" xr:uid="{00000000-0005-0000-0000-0000A76D0000}"/>
    <cellStyle name="0_TAD-6131 Rev1(Audit) 2 7" xfId="28086" xr:uid="{00000000-0005-0000-0000-0000A86D0000}"/>
    <cellStyle name="0_TAD-6131 Rev1(Audit) 2 7 2" xfId="28087" xr:uid="{00000000-0005-0000-0000-0000A96D0000}"/>
    <cellStyle name="0_TAD-6131 Rev1(Audit) 2 7 2 2" xfId="28088" xr:uid="{00000000-0005-0000-0000-0000AA6D0000}"/>
    <cellStyle name="0_TAD-6131 Rev1(Audit) 2 7 2 2 2" xfId="28089" xr:uid="{00000000-0005-0000-0000-0000AB6D0000}"/>
    <cellStyle name="0_TAD-6131 Rev1(Audit) 2 7 2 3" xfId="28090" xr:uid="{00000000-0005-0000-0000-0000AC6D0000}"/>
    <cellStyle name="0_TAD-6131 Rev1(Audit) 2 7 2 3 2" xfId="28091" xr:uid="{00000000-0005-0000-0000-0000AD6D0000}"/>
    <cellStyle name="0_TAD-6131 Rev1(Audit) 2 7 2 4" xfId="28092" xr:uid="{00000000-0005-0000-0000-0000AE6D0000}"/>
    <cellStyle name="0_TAD-6131 Rev1(Audit) 2 7 3" xfId="28093" xr:uid="{00000000-0005-0000-0000-0000AF6D0000}"/>
    <cellStyle name="0_TAD-6131 Rev1(Audit) 2 7 3 2" xfId="28094" xr:uid="{00000000-0005-0000-0000-0000B06D0000}"/>
    <cellStyle name="0_TAD-6131 Rev1(Audit) 2 7 3 2 2" xfId="28095" xr:uid="{00000000-0005-0000-0000-0000B16D0000}"/>
    <cellStyle name="0_TAD-6131 Rev1(Audit) 2 7 3 3" xfId="28096" xr:uid="{00000000-0005-0000-0000-0000B26D0000}"/>
    <cellStyle name="0_TAD-6131 Rev1(Audit) 2 7 3 3 2" xfId="28097" xr:uid="{00000000-0005-0000-0000-0000B36D0000}"/>
    <cellStyle name="0_TAD-6131 Rev1(Audit) 2 7 3 4" xfId="28098" xr:uid="{00000000-0005-0000-0000-0000B46D0000}"/>
    <cellStyle name="0_TAD-6131 Rev1(Audit) 2 7 4" xfId="28099" xr:uid="{00000000-0005-0000-0000-0000B56D0000}"/>
    <cellStyle name="0_TAD-6131 Rev1(Audit) 2 7 4 2" xfId="28100" xr:uid="{00000000-0005-0000-0000-0000B66D0000}"/>
    <cellStyle name="0_TAD-6131 Rev1(Audit) 2 7 5" xfId="28101" xr:uid="{00000000-0005-0000-0000-0000B76D0000}"/>
    <cellStyle name="0_TAD-6131 Rev1(Audit) 2 7 5 2" xfId="28102" xr:uid="{00000000-0005-0000-0000-0000B86D0000}"/>
    <cellStyle name="0_TAD-6131 Rev1(Audit) 2 7 6" xfId="28103" xr:uid="{00000000-0005-0000-0000-0000B96D0000}"/>
    <cellStyle name="0_TAD-6131 Rev1(Audit) 2 8" xfId="28104" xr:uid="{00000000-0005-0000-0000-0000BA6D0000}"/>
    <cellStyle name="0_TAD-6131 Rev1(Audit) 2 8 2" xfId="28105" xr:uid="{00000000-0005-0000-0000-0000BB6D0000}"/>
    <cellStyle name="0_TAD-6131 Rev1(Audit) 2 8 2 2" xfId="28106" xr:uid="{00000000-0005-0000-0000-0000BC6D0000}"/>
    <cellStyle name="0_TAD-6131 Rev1(Audit) 2 8 3" xfId="28107" xr:uid="{00000000-0005-0000-0000-0000BD6D0000}"/>
    <cellStyle name="0_TAD-6131 Rev1(Audit) 2 8 3 2" xfId="28108" xr:uid="{00000000-0005-0000-0000-0000BE6D0000}"/>
    <cellStyle name="0_TAD-6131 Rev1(Audit) 2 8 4" xfId="28109" xr:uid="{00000000-0005-0000-0000-0000BF6D0000}"/>
    <cellStyle name="0_TAD-6131 Rev1(Audit) 2 9" xfId="28110" xr:uid="{00000000-0005-0000-0000-0000C06D0000}"/>
    <cellStyle name="0_TAD-6131 Rev1(Audit) 2 9 2" xfId="28111" xr:uid="{00000000-0005-0000-0000-0000C16D0000}"/>
    <cellStyle name="0_TAD-6131 Rev1(Audit) 2 9 2 2" xfId="28112" xr:uid="{00000000-0005-0000-0000-0000C26D0000}"/>
    <cellStyle name="0_TAD-6131 Rev1(Audit) 2 9 3" xfId="28113" xr:uid="{00000000-0005-0000-0000-0000C36D0000}"/>
    <cellStyle name="0_TAD-6131 Rev1(Audit) 2 9 3 2" xfId="28114" xr:uid="{00000000-0005-0000-0000-0000C46D0000}"/>
    <cellStyle name="0_TAD-6131 Rev1(Audit) 2 9 4" xfId="28115" xr:uid="{00000000-0005-0000-0000-0000C56D0000}"/>
    <cellStyle name="0_TAD-6131 Rev1(Audit) 20" xfId="28116" xr:uid="{00000000-0005-0000-0000-0000C66D0000}"/>
    <cellStyle name="0_TAD-6131 Rev1(Audit) 21" xfId="28117" xr:uid="{00000000-0005-0000-0000-0000C76D0000}"/>
    <cellStyle name="0_TAD-6131 Rev1(Audit) 22" xfId="28118" xr:uid="{00000000-0005-0000-0000-0000C86D0000}"/>
    <cellStyle name="0_TAD-6131 Rev1(Audit) 3" xfId="28119" xr:uid="{00000000-0005-0000-0000-0000C96D0000}"/>
    <cellStyle name="0_TAD-6131 Rev1(Audit) 3 10" xfId="28120" xr:uid="{00000000-0005-0000-0000-0000CA6D0000}"/>
    <cellStyle name="0_TAD-6131 Rev1(Audit) 3 10 2" xfId="28121" xr:uid="{00000000-0005-0000-0000-0000CB6D0000}"/>
    <cellStyle name="0_TAD-6131 Rev1(Audit) 3 10 2 2" xfId="28122" xr:uid="{00000000-0005-0000-0000-0000CC6D0000}"/>
    <cellStyle name="0_TAD-6131 Rev1(Audit) 3 10 3" xfId="28123" xr:uid="{00000000-0005-0000-0000-0000CD6D0000}"/>
    <cellStyle name="0_TAD-6131 Rev1(Audit) 3 10 3 2" xfId="28124" xr:uid="{00000000-0005-0000-0000-0000CE6D0000}"/>
    <cellStyle name="0_TAD-6131 Rev1(Audit) 3 10 4" xfId="28125" xr:uid="{00000000-0005-0000-0000-0000CF6D0000}"/>
    <cellStyle name="0_TAD-6131 Rev1(Audit) 3 11" xfId="28126" xr:uid="{00000000-0005-0000-0000-0000D06D0000}"/>
    <cellStyle name="0_TAD-6131 Rev1(Audit) 3 11 2" xfId="28127" xr:uid="{00000000-0005-0000-0000-0000D16D0000}"/>
    <cellStyle name="0_TAD-6131 Rev1(Audit) 3 12" xfId="28128" xr:uid="{00000000-0005-0000-0000-0000D26D0000}"/>
    <cellStyle name="0_TAD-6131 Rev1(Audit) 3 12 2" xfId="28129" xr:uid="{00000000-0005-0000-0000-0000D36D0000}"/>
    <cellStyle name="0_TAD-6131 Rev1(Audit) 3 13" xfId="28130" xr:uid="{00000000-0005-0000-0000-0000D46D0000}"/>
    <cellStyle name="0_TAD-6131 Rev1(Audit) 3 2" xfId="28131" xr:uid="{00000000-0005-0000-0000-0000D56D0000}"/>
    <cellStyle name="0_TAD-6131 Rev1(Audit) 3 2 2" xfId="28132" xr:uid="{00000000-0005-0000-0000-0000D66D0000}"/>
    <cellStyle name="0_TAD-6131 Rev1(Audit) 3 2 2 2" xfId="28133" xr:uid="{00000000-0005-0000-0000-0000D76D0000}"/>
    <cellStyle name="0_TAD-6131 Rev1(Audit) 3 2 2 2 2" xfId="28134" xr:uid="{00000000-0005-0000-0000-0000D86D0000}"/>
    <cellStyle name="0_TAD-6131 Rev1(Audit) 3 2 2 2 2 2" xfId="28135" xr:uid="{00000000-0005-0000-0000-0000D96D0000}"/>
    <cellStyle name="0_TAD-6131 Rev1(Audit) 3 2 2 2 3" xfId="28136" xr:uid="{00000000-0005-0000-0000-0000DA6D0000}"/>
    <cellStyle name="0_TAD-6131 Rev1(Audit) 3 2 2 2 3 2" xfId="28137" xr:uid="{00000000-0005-0000-0000-0000DB6D0000}"/>
    <cellStyle name="0_TAD-6131 Rev1(Audit) 3 2 2 2 4" xfId="28138" xr:uid="{00000000-0005-0000-0000-0000DC6D0000}"/>
    <cellStyle name="0_TAD-6131 Rev1(Audit) 3 2 2 3" xfId="28139" xr:uid="{00000000-0005-0000-0000-0000DD6D0000}"/>
    <cellStyle name="0_TAD-6131 Rev1(Audit) 3 2 2 3 2" xfId="28140" xr:uid="{00000000-0005-0000-0000-0000DE6D0000}"/>
    <cellStyle name="0_TAD-6131 Rev1(Audit) 3 2 2 3 2 2" xfId="28141" xr:uid="{00000000-0005-0000-0000-0000DF6D0000}"/>
    <cellStyle name="0_TAD-6131 Rev1(Audit) 3 2 2 3 3" xfId="28142" xr:uid="{00000000-0005-0000-0000-0000E06D0000}"/>
    <cellStyle name="0_TAD-6131 Rev1(Audit) 3 2 2 3 3 2" xfId="28143" xr:uid="{00000000-0005-0000-0000-0000E16D0000}"/>
    <cellStyle name="0_TAD-6131 Rev1(Audit) 3 2 2 3 4" xfId="28144" xr:uid="{00000000-0005-0000-0000-0000E26D0000}"/>
    <cellStyle name="0_TAD-6131 Rev1(Audit) 3 2 2 4" xfId="28145" xr:uid="{00000000-0005-0000-0000-0000E36D0000}"/>
    <cellStyle name="0_TAD-6131 Rev1(Audit) 3 2 2 4 2" xfId="28146" xr:uid="{00000000-0005-0000-0000-0000E46D0000}"/>
    <cellStyle name="0_TAD-6131 Rev1(Audit) 3 2 2 5" xfId="28147" xr:uid="{00000000-0005-0000-0000-0000E56D0000}"/>
    <cellStyle name="0_TAD-6131 Rev1(Audit) 3 2 2 5 2" xfId="28148" xr:uid="{00000000-0005-0000-0000-0000E66D0000}"/>
    <cellStyle name="0_TAD-6131 Rev1(Audit) 3 2 2 6" xfId="28149" xr:uid="{00000000-0005-0000-0000-0000E76D0000}"/>
    <cellStyle name="0_TAD-6131 Rev1(Audit) 3 2 3" xfId="28150" xr:uid="{00000000-0005-0000-0000-0000E86D0000}"/>
    <cellStyle name="0_TAD-6131 Rev1(Audit) 3 2 3 2" xfId="28151" xr:uid="{00000000-0005-0000-0000-0000E96D0000}"/>
    <cellStyle name="0_TAD-6131 Rev1(Audit) 3 2 3 2 2" xfId="28152" xr:uid="{00000000-0005-0000-0000-0000EA6D0000}"/>
    <cellStyle name="0_TAD-6131 Rev1(Audit) 3 2 3 3" xfId="28153" xr:uid="{00000000-0005-0000-0000-0000EB6D0000}"/>
    <cellStyle name="0_TAD-6131 Rev1(Audit) 3 2 3 3 2" xfId="28154" xr:uid="{00000000-0005-0000-0000-0000EC6D0000}"/>
    <cellStyle name="0_TAD-6131 Rev1(Audit) 3 2 3 4" xfId="28155" xr:uid="{00000000-0005-0000-0000-0000ED6D0000}"/>
    <cellStyle name="0_TAD-6131 Rev1(Audit) 3 2 4" xfId="28156" xr:uid="{00000000-0005-0000-0000-0000EE6D0000}"/>
    <cellStyle name="0_TAD-6131 Rev1(Audit) 3 2 4 2" xfId="28157" xr:uid="{00000000-0005-0000-0000-0000EF6D0000}"/>
    <cellStyle name="0_TAD-6131 Rev1(Audit) 3 2 4 2 2" xfId="28158" xr:uid="{00000000-0005-0000-0000-0000F06D0000}"/>
    <cellStyle name="0_TAD-6131 Rev1(Audit) 3 2 4 3" xfId="28159" xr:uid="{00000000-0005-0000-0000-0000F16D0000}"/>
    <cellStyle name="0_TAD-6131 Rev1(Audit) 3 2 4 3 2" xfId="28160" xr:uid="{00000000-0005-0000-0000-0000F26D0000}"/>
    <cellStyle name="0_TAD-6131 Rev1(Audit) 3 2 4 4" xfId="28161" xr:uid="{00000000-0005-0000-0000-0000F36D0000}"/>
    <cellStyle name="0_TAD-6131 Rev1(Audit) 3 2 5" xfId="28162" xr:uid="{00000000-0005-0000-0000-0000F46D0000}"/>
    <cellStyle name="0_TAD-6131 Rev1(Audit) 3 2 5 2" xfId="28163" xr:uid="{00000000-0005-0000-0000-0000F56D0000}"/>
    <cellStyle name="0_TAD-6131 Rev1(Audit) 3 2 5 2 2" xfId="28164" xr:uid="{00000000-0005-0000-0000-0000F66D0000}"/>
    <cellStyle name="0_TAD-6131 Rev1(Audit) 3 2 5 3" xfId="28165" xr:uid="{00000000-0005-0000-0000-0000F76D0000}"/>
    <cellStyle name="0_TAD-6131 Rev1(Audit) 3 2 5 3 2" xfId="28166" xr:uid="{00000000-0005-0000-0000-0000F86D0000}"/>
    <cellStyle name="0_TAD-6131 Rev1(Audit) 3 2 5 4" xfId="28167" xr:uid="{00000000-0005-0000-0000-0000F96D0000}"/>
    <cellStyle name="0_TAD-6131 Rev1(Audit) 3 2 6" xfId="28168" xr:uid="{00000000-0005-0000-0000-0000FA6D0000}"/>
    <cellStyle name="0_TAD-6131 Rev1(Audit) 3 2 6 2" xfId="28169" xr:uid="{00000000-0005-0000-0000-0000FB6D0000}"/>
    <cellStyle name="0_TAD-6131 Rev1(Audit) 3 2 7" xfId="28170" xr:uid="{00000000-0005-0000-0000-0000FC6D0000}"/>
    <cellStyle name="0_TAD-6131 Rev1(Audit) 3 2 7 2" xfId="28171" xr:uid="{00000000-0005-0000-0000-0000FD6D0000}"/>
    <cellStyle name="0_TAD-6131 Rev1(Audit) 3 2 8" xfId="28172" xr:uid="{00000000-0005-0000-0000-0000FE6D0000}"/>
    <cellStyle name="0_TAD-6131 Rev1(Audit) 3 3" xfId="28173" xr:uid="{00000000-0005-0000-0000-0000FF6D0000}"/>
    <cellStyle name="0_TAD-6131 Rev1(Audit) 3 3 2" xfId="28174" xr:uid="{00000000-0005-0000-0000-0000006E0000}"/>
    <cellStyle name="0_TAD-6131 Rev1(Audit) 3 3 2 2" xfId="28175" xr:uid="{00000000-0005-0000-0000-0000016E0000}"/>
    <cellStyle name="0_TAD-6131 Rev1(Audit) 3 3 2 2 2" xfId="28176" xr:uid="{00000000-0005-0000-0000-0000026E0000}"/>
    <cellStyle name="0_TAD-6131 Rev1(Audit) 3 3 2 2 2 2" xfId="28177" xr:uid="{00000000-0005-0000-0000-0000036E0000}"/>
    <cellStyle name="0_TAD-6131 Rev1(Audit) 3 3 2 2 3" xfId="28178" xr:uid="{00000000-0005-0000-0000-0000046E0000}"/>
    <cellStyle name="0_TAD-6131 Rev1(Audit) 3 3 2 2 3 2" xfId="28179" xr:uid="{00000000-0005-0000-0000-0000056E0000}"/>
    <cellStyle name="0_TAD-6131 Rev1(Audit) 3 3 2 2 4" xfId="28180" xr:uid="{00000000-0005-0000-0000-0000066E0000}"/>
    <cellStyle name="0_TAD-6131 Rev1(Audit) 3 3 2 3" xfId="28181" xr:uid="{00000000-0005-0000-0000-0000076E0000}"/>
    <cellStyle name="0_TAD-6131 Rev1(Audit) 3 3 2 3 2" xfId="28182" xr:uid="{00000000-0005-0000-0000-0000086E0000}"/>
    <cellStyle name="0_TAD-6131 Rev1(Audit) 3 3 2 3 2 2" xfId="28183" xr:uid="{00000000-0005-0000-0000-0000096E0000}"/>
    <cellStyle name="0_TAD-6131 Rev1(Audit) 3 3 2 3 3" xfId="28184" xr:uid="{00000000-0005-0000-0000-00000A6E0000}"/>
    <cellStyle name="0_TAD-6131 Rev1(Audit) 3 3 2 3 3 2" xfId="28185" xr:uid="{00000000-0005-0000-0000-00000B6E0000}"/>
    <cellStyle name="0_TAD-6131 Rev1(Audit) 3 3 2 3 4" xfId="28186" xr:uid="{00000000-0005-0000-0000-00000C6E0000}"/>
    <cellStyle name="0_TAD-6131 Rev1(Audit) 3 3 2 4" xfId="28187" xr:uid="{00000000-0005-0000-0000-00000D6E0000}"/>
    <cellStyle name="0_TAD-6131 Rev1(Audit) 3 3 2 4 2" xfId="28188" xr:uid="{00000000-0005-0000-0000-00000E6E0000}"/>
    <cellStyle name="0_TAD-6131 Rev1(Audit) 3 3 2 5" xfId="28189" xr:uid="{00000000-0005-0000-0000-00000F6E0000}"/>
    <cellStyle name="0_TAD-6131 Rev1(Audit) 3 3 2 5 2" xfId="28190" xr:uid="{00000000-0005-0000-0000-0000106E0000}"/>
    <cellStyle name="0_TAD-6131 Rev1(Audit) 3 3 2 6" xfId="28191" xr:uid="{00000000-0005-0000-0000-0000116E0000}"/>
    <cellStyle name="0_TAD-6131 Rev1(Audit) 3 3 3" xfId="28192" xr:uid="{00000000-0005-0000-0000-0000126E0000}"/>
    <cellStyle name="0_TAD-6131 Rev1(Audit) 3 3 3 2" xfId="28193" xr:uid="{00000000-0005-0000-0000-0000136E0000}"/>
    <cellStyle name="0_TAD-6131 Rev1(Audit) 3 3 3 2 2" xfId="28194" xr:uid="{00000000-0005-0000-0000-0000146E0000}"/>
    <cellStyle name="0_TAD-6131 Rev1(Audit) 3 3 3 3" xfId="28195" xr:uid="{00000000-0005-0000-0000-0000156E0000}"/>
    <cellStyle name="0_TAD-6131 Rev1(Audit) 3 3 3 3 2" xfId="28196" xr:uid="{00000000-0005-0000-0000-0000166E0000}"/>
    <cellStyle name="0_TAD-6131 Rev1(Audit) 3 3 3 4" xfId="28197" xr:uid="{00000000-0005-0000-0000-0000176E0000}"/>
    <cellStyle name="0_TAD-6131 Rev1(Audit) 3 3 4" xfId="28198" xr:uid="{00000000-0005-0000-0000-0000186E0000}"/>
    <cellStyle name="0_TAD-6131 Rev1(Audit) 3 3 4 2" xfId="28199" xr:uid="{00000000-0005-0000-0000-0000196E0000}"/>
    <cellStyle name="0_TAD-6131 Rev1(Audit) 3 3 4 2 2" xfId="28200" xr:uid="{00000000-0005-0000-0000-00001A6E0000}"/>
    <cellStyle name="0_TAD-6131 Rev1(Audit) 3 3 4 3" xfId="28201" xr:uid="{00000000-0005-0000-0000-00001B6E0000}"/>
    <cellStyle name="0_TAD-6131 Rev1(Audit) 3 3 4 3 2" xfId="28202" xr:uid="{00000000-0005-0000-0000-00001C6E0000}"/>
    <cellStyle name="0_TAD-6131 Rev1(Audit) 3 3 4 4" xfId="28203" xr:uid="{00000000-0005-0000-0000-00001D6E0000}"/>
    <cellStyle name="0_TAD-6131 Rev1(Audit) 3 3 5" xfId="28204" xr:uid="{00000000-0005-0000-0000-00001E6E0000}"/>
    <cellStyle name="0_TAD-6131 Rev1(Audit) 3 3 5 2" xfId="28205" xr:uid="{00000000-0005-0000-0000-00001F6E0000}"/>
    <cellStyle name="0_TAD-6131 Rev1(Audit) 3 3 5 2 2" xfId="28206" xr:uid="{00000000-0005-0000-0000-0000206E0000}"/>
    <cellStyle name="0_TAD-6131 Rev1(Audit) 3 3 5 3" xfId="28207" xr:uid="{00000000-0005-0000-0000-0000216E0000}"/>
    <cellStyle name="0_TAD-6131 Rev1(Audit) 3 3 5 3 2" xfId="28208" xr:uid="{00000000-0005-0000-0000-0000226E0000}"/>
    <cellStyle name="0_TAD-6131 Rev1(Audit) 3 3 5 4" xfId="28209" xr:uid="{00000000-0005-0000-0000-0000236E0000}"/>
    <cellStyle name="0_TAD-6131 Rev1(Audit) 3 3 6" xfId="28210" xr:uid="{00000000-0005-0000-0000-0000246E0000}"/>
    <cellStyle name="0_TAD-6131 Rev1(Audit) 3 3 6 2" xfId="28211" xr:uid="{00000000-0005-0000-0000-0000256E0000}"/>
    <cellStyle name="0_TAD-6131 Rev1(Audit) 3 3 7" xfId="28212" xr:uid="{00000000-0005-0000-0000-0000266E0000}"/>
    <cellStyle name="0_TAD-6131 Rev1(Audit) 3 3 7 2" xfId="28213" xr:uid="{00000000-0005-0000-0000-0000276E0000}"/>
    <cellStyle name="0_TAD-6131 Rev1(Audit) 3 3 8" xfId="28214" xr:uid="{00000000-0005-0000-0000-0000286E0000}"/>
    <cellStyle name="0_TAD-6131 Rev1(Audit) 3 4" xfId="28215" xr:uid="{00000000-0005-0000-0000-0000296E0000}"/>
    <cellStyle name="0_TAD-6131 Rev1(Audit) 3 4 2" xfId="28216" xr:uid="{00000000-0005-0000-0000-00002A6E0000}"/>
    <cellStyle name="0_TAD-6131 Rev1(Audit) 3 4 2 2" xfId="28217" xr:uid="{00000000-0005-0000-0000-00002B6E0000}"/>
    <cellStyle name="0_TAD-6131 Rev1(Audit) 3 4 2 2 2" xfId="28218" xr:uid="{00000000-0005-0000-0000-00002C6E0000}"/>
    <cellStyle name="0_TAD-6131 Rev1(Audit) 3 4 2 2 2 2" xfId="28219" xr:uid="{00000000-0005-0000-0000-00002D6E0000}"/>
    <cellStyle name="0_TAD-6131 Rev1(Audit) 3 4 2 2 3" xfId="28220" xr:uid="{00000000-0005-0000-0000-00002E6E0000}"/>
    <cellStyle name="0_TAD-6131 Rev1(Audit) 3 4 2 2 3 2" xfId="28221" xr:uid="{00000000-0005-0000-0000-00002F6E0000}"/>
    <cellStyle name="0_TAD-6131 Rev1(Audit) 3 4 2 2 4" xfId="28222" xr:uid="{00000000-0005-0000-0000-0000306E0000}"/>
    <cellStyle name="0_TAD-6131 Rev1(Audit) 3 4 2 3" xfId="28223" xr:uid="{00000000-0005-0000-0000-0000316E0000}"/>
    <cellStyle name="0_TAD-6131 Rev1(Audit) 3 4 2 3 2" xfId="28224" xr:uid="{00000000-0005-0000-0000-0000326E0000}"/>
    <cellStyle name="0_TAD-6131 Rev1(Audit) 3 4 2 3 2 2" xfId="28225" xr:uid="{00000000-0005-0000-0000-0000336E0000}"/>
    <cellStyle name="0_TAD-6131 Rev1(Audit) 3 4 2 3 3" xfId="28226" xr:uid="{00000000-0005-0000-0000-0000346E0000}"/>
    <cellStyle name="0_TAD-6131 Rev1(Audit) 3 4 2 3 3 2" xfId="28227" xr:uid="{00000000-0005-0000-0000-0000356E0000}"/>
    <cellStyle name="0_TAD-6131 Rev1(Audit) 3 4 2 3 4" xfId="28228" xr:uid="{00000000-0005-0000-0000-0000366E0000}"/>
    <cellStyle name="0_TAD-6131 Rev1(Audit) 3 4 2 4" xfId="28229" xr:uid="{00000000-0005-0000-0000-0000376E0000}"/>
    <cellStyle name="0_TAD-6131 Rev1(Audit) 3 4 2 4 2" xfId="28230" xr:uid="{00000000-0005-0000-0000-0000386E0000}"/>
    <cellStyle name="0_TAD-6131 Rev1(Audit) 3 4 2 5" xfId="28231" xr:uid="{00000000-0005-0000-0000-0000396E0000}"/>
    <cellStyle name="0_TAD-6131 Rev1(Audit) 3 4 2 5 2" xfId="28232" xr:uid="{00000000-0005-0000-0000-00003A6E0000}"/>
    <cellStyle name="0_TAD-6131 Rev1(Audit) 3 4 2 6" xfId="28233" xr:uid="{00000000-0005-0000-0000-00003B6E0000}"/>
    <cellStyle name="0_TAD-6131 Rev1(Audit) 3 4 3" xfId="28234" xr:uid="{00000000-0005-0000-0000-00003C6E0000}"/>
    <cellStyle name="0_TAD-6131 Rev1(Audit) 3 4 3 2" xfId="28235" xr:uid="{00000000-0005-0000-0000-00003D6E0000}"/>
    <cellStyle name="0_TAD-6131 Rev1(Audit) 3 4 3 2 2" xfId="28236" xr:uid="{00000000-0005-0000-0000-00003E6E0000}"/>
    <cellStyle name="0_TAD-6131 Rev1(Audit) 3 4 3 3" xfId="28237" xr:uid="{00000000-0005-0000-0000-00003F6E0000}"/>
    <cellStyle name="0_TAD-6131 Rev1(Audit) 3 4 3 3 2" xfId="28238" xr:uid="{00000000-0005-0000-0000-0000406E0000}"/>
    <cellStyle name="0_TAD-6131 Rev1(Audit) 3 4 3 4" xfId="28239" xr:uid="{00000000-0005-0000-0000-0000416E0000}"/>
    <cellStyle name="0_TAD-6131 Rev1(Audit) 3 4 4" xfId="28240" xr:uid="{00000000-0005-0000-0000-0000426E0000}"/>
    <cellStyle name="0_TAD-6131 Rev1(Audit) 3 4 4 2" xfId="28241" xr:uid="{00000000-0005-0000-0000-0000436E0000}"/>
    <cellStyle name="0_TAD-6131 Rev1(Audit) 3 4 4 2 2" xfId="28242" xr:uid="{00000000-0005-0000-0000-0000446E0000}"/>
    <cellStyle name="0_TAD-6131 Rev1(Audit) 3 4 4 3" xfId="28243" xr:uid="{00000000-0005-0000-0000-0000456E0000}"/>
    <cellStyle name="0_TAD-6131 Rev1(Audit) 3 4 4 3 2" xfId="28244" xr:uid="{00000000-0005-0000-0000-0000466E0000}"/>
    <cellStyle name="0_TAD-6131 Rev1(Audit) 3 4 4 4" xfId="28245" xr:uid="{00000000-0005-0000-0000-0000476E0000}"/>
    <cellStyle name="0_TAD-6131 Rev1(Audit) 3 4 5" xfId="28246" xr:uid="{00000000-0005-0000-0000-0000486E0000}"/>
    <cellStyle name="0_TAD-6131 Rev1(Audit) 3 4 5 2" xfId="28247" xr:uid="{00000000-0005-0000-0000-0000496E0000}"/>
    <cellStyle name="0_TAD-6131 Rev1(Audit) 3 4 5 2 2" xfId="28248" xr:uid="{00000000-0005-0000-0000-00004A6E0000}"/>
    <cellStyle name="0_TAD-6131 Rev1(Audit) 3 4 5 3" xfId="28249" xr:uid="{00000000-0005-0000-0000-00004B6E0000}"/>
    <cellStyle name="0_TAD-6131 Rev1(Audit) 3 4 5 3 2" xfId="28250" xr:uid="{00000000-0005-0000-0000-00004C6E0000}"/>
    <cellStyle name="0_TAD-6131 Rev1(Audit) 3 4 5 4" xfId="28251" xr:uid="{00000000-0005-0000-0000-00004D6E0000}"/>
    <cellStyle name="0_TAD-6131 Rev1(Audit) 3 4 6" xfId="28252" xr:uid="{00000000-0005-0000-0000-00004E6E0000}"/>
    <cellStyle name="0_TAD-6131 Rev1(Audit) 3 4 6 2" xfId="28253" xr:uid="{00000000-0005-0000-0000-00004F6E0000}"/>
    <cellStyle name="0_TAD-6131 Rev1(Audit) 3 4 7" xfId="28254" xr:uid="{00000000-0005-0000-0000-0000506E0000}"/>
    <cellStyle name="0_TAD-6131 Rev1(Audit) 3 4 7 2" xfId="28255" xr:uid="{00000000-0005-0000-0000-0000516E0000}"/>
    <cellStyle name="0_TAD-6131 Rev1(Audit) 3 4 8" xfId="28256" xr:uid="{00000000-0005-0000-0000-0000526E0000}"/>
    <cellStyle name="0_TAD-6131 Rev1(Audit) 3 5" xfId="28257" xr:uid="{00000000-0005-0000-0000-0000536E0000}"/>
    <cellStyle name="0_TAD-6131 Rev1(Audit) 3 5 2" xfId="28258" xr:uid="{00000000-0005-0000-0000-0000546E0000}"/>
    <cellStyle name="0_TAD-6131 Rev1(Audit) 3 5 2 2" xfId="28259" xr:uid="{00000000-0005-0000-0000-0000556E0000}"/>
    <cellStyle name="0_TAD-6131 Rev1(Audit) 3 5 2 2 2" xfId="28260" xr:uid="{00000000-0005-0000-0000-0000566E0000}"/>
    <cellStyle name="0_TAD-6131 Rev1(Audit) 3 5 2 2 2 2" xfId="28261" xr:uid="{00000000-0005-0000-0000-0000576E0000}"/>
    <cellStyle name="0_TAD-6131 Rev1(Audit) 3 5 2 2 3" xfId="28262" xr:uid="{00000000-0005-0000-0000-0000586E0000}"/>
    <cellStyle name="0_TAD-6131 Rev1(Audit) 3 5 2 2 3 2" xfId="28263" xr:uid="{00000000-0005-0000-0000-0000596E0000}"/>
    <cellStyle name="0_TAD-6131 Rev1(Audit) 3 5 2 2 4" xfId="28264" xr:uid="{00000000-0005-0000-0000-00005A6E0000}"/>
    <cellStyle name="0_TAD-6131 Rev1(Audit) 3 5 2 3" xfId="28265" xr:uid="{00000000-0005-0000-0000-00005B6E0000}"/>
    <cellStyle name="0_TAD-6131 Rev1(Audit) 3 5 2 3 2" xfId="28266" xr:uid="{00000000-0005-0000-0000-00005C6E0000}"/>
    <cellStyle name="0_TAD-6131 Rev1(Audit) 3 5 2 3 2 2" xfId="28267" xr:uid="{00000000-0005-0000-0000-00005D6E0000}"/>
    <cellStyle name="0_TAD-6131 Rev1(Audit) 3 5 2 3 3" xfId="28268" xr:uid="{00000000-0005-0000-0000-00005E6E0000}"/>
    <cellStyle name="0_TAD-6131 Rev1(Audit) 3 5 2 3 3 2" xfId="28269" xr:uid="{00000000-0005-0000-0000-00005F6E0000}"/>
    <cellStyle name="0_TAD-6131 Rev1(Audit) 3 5 2 3 4" xfId="28270" xr:uid="{00000000-0005-0000-0000-0000606E0000}"/>
    <cellStyle name="0_TAD-6131 Rev1(Audit) 3 5 2 4" xfId="28271" xr:uid="{00000000-0005-0000-0000-0000616E0000}"/>
    <cellStyle name="0_TAD-6131 Rev1(Audit) 3 5 2 4 2" xfId="28272" xr:uid="{00000000-0005-0000-0000-0000626E0000}"/>
    <cellStyle name="0_TAD-6131 Rev1(Audit) 3 5 2 5" xfId="28273" xr:uid="{00000000-0005-0000-0000-0000636E0000}"/>
    <cellStyle name="0_TAD-6131 Rev1(Audit) 3 5 2 5 2" xfId="28274" xr:uid="{00000000-0005-0000-0000-0000646E0000}"/>
    <cellStyle name="0_TAD-6131 Rev1(Audit) 3 5 2 6" xfId="28275" xr:uid="{00000000-0005-0000-0000-0000656E0000}"/>
    <cellStyle name="0_TAD-6131 Rev1(Audit) 3 5 3" xfId="28276" xr:uid="{00000000-0005-0000-0000-0000666E0000}"/>
    <cellStyle name="0_TAD-6131 Rev1(Audit) 3 5 3 2" xfId="28277" xr:uid="{00000000-0005-0000-0000-0000676E0000}"/>
    <cellStyle name="0_TAD-6131 Rev1(Audit) 3 5 3 2 2" xfId="28278" xr:uid="{00000000-0005-0000-0000-0000686E0000}"/>
    <cellStyle name="0_TAD-6131 Rev1(Audit) 3 5 3 3" xfId="28279" xr:uid="{00000000-0005-0000-0000-0000696E0000}"/>
    <cellStyle name="0_TAD-6131 Rev1(Audit) 3 5 3 3 2" xfId="28280" xr:uid="{00000000-0005-0000-0000-00006A6E0000}"/>
    <cellStyle name="0_TAD-6131 Rev1(Audit) 3 5 3 4" xfId="28281" xr:uid="{00000000-0005-0000-0000-00006B6E0000}"/>
    <cellStyle name="0_TAD-6131 Rev1(Audit) 3 5 4" xfId="28282" xr:uid="{00000000-0005-0000-0000-00006C6E0000}"/>
    <cellStyle name="0_TAD-6131 Rev1(Audit) 3 5 4 2" xfId="28283" xr:uid="{00000000-0005-0000-0000-00006D6E0000}"/>
    <cellStyle name="0_TAD-6131 Rev1(Audit) 3 5 4 2 2" xfId="28284" xr:uid="{00000000-0005-0000-0000-00006E6E0000}"/>
    <cellStyle name="0_TAD-6131 Rev1(Audit) 3 5 4 3" xfId="28285" xr:uid="{00000000-0005-0000-0000-00006F6E0000}"/>
    <cellStyle name="0_TAD-6131 Rev1(Audit) 3 5 4 3 2" xfId="28286" xr:uid="{00000000-0005-0000-0000-0000706E0000}"/>
    <cellStyle name="0_TAD-6131 Rev1(Audit) 3 5 4 4" xfId="28287" xr:uid="{00000000-0005-0000-0000-0000716E0000}"/>
    <cellStyle name="0_TAD-6131 Rev1(Audit) 3 5 5" xfId="28288" xr:uid="{00000000-0005-0000-0000-0000726E0000}"/>
    <cellStyle name="0_TAD-6131 Rev1(Audit) 3 5 5 2" xfId="28289" xr:uid="{00000000-0005-0000-0000-0000736E0000}"/>
    <cellStyle name="0_TAD-6131 Rev1(Audit) 3 5 5 2 2" xfId="28290" xr:uid="{00000000-0005-0000-0000-0000746E0000}"/>
    <cellStyle name="0_TAD-6131 Rev1(Audit) 3 5 5 3" xfId="28291" xr:uid="{00000000-0005-0000-0000-0000756E0000}"/>
    <cellStyle name="0_TAD-6131 Rev1(Audit) 3 5 5 3 2" xfId="28292" xr:uid="{00000000-0005-0000-0000-0000766E0000}"/>
    <cellStyle name="0_TAD-6131 Rev1(Audit) 3 5 5 4" xfId="28293" xr:uid="{00000000-0005-0000-0000-0000776E0000}"/>
    <cellStyle name="0_TAD-6131 Rev1(Audit) 3 5 6" xfId="28294" xr:uid="{00000000-0005-0000-0000-0000786E0000}"/>
    <cellStyle name="0_TAD-6131 Rev1(Audit) 3 5 6 2" xfId="28295" xr:uid="{00000000-0005-0000-0000-0000796E0000}"/>
    <cellStyle name="0_TAD-6131 Rev1(Audit) 3 5 7" xfId="28296" xr:uid="{00000000-0005-0000-0000-00007A6E0000}"/>
    <cellStyle name="0_TAD-6131 Rev1(Audit) 3 5 7 2" xfId="28297" xr:uid="{00000000-0005-0000-0000-00007B6E0000}"/>
    <cellStyle name="0_TAD-6131 Rev1(Audit) 3 5 8" xfId="28298" xr:uid="{00000000-0005-0000-0000-00007C6E0000}"/>
    <cellStyle name="0_TAD-6131 Rev1(Audit) 3 6" xfId="28299" xr:uid="{00000000-0005-0000-0000-00007D6E0000}"/>
    <cellStyle name="0_TAD-6131 Rev1(Audit) 3 6 2" xfId="28300" xr:uid="{00000000-0005-0000-0000-00007E6E0000}"/>
    <cellStyle name="0_TAD-6131 Rev1(Audit) 3 6 2 2" xfId="28301" xr:uid="{00000000-0005-0000-0000-00007F6E0000}"/>
    <cellStyle name="0_TAD-6131 Rev1(Audit) 3 6 2 2 2" xfId="28302" xr:uid="{00000000-0005-0000-0000-0000806E0000}"/>
    <cellStyle name="0_TAD-6131 Rev1(Audit) 3 6 2 2 2 2" xfId="28303" xr:uid="{00000000-0005-0000-0000-0000816E0000}"/>
    <cellStyle name="0_TAD-6131 Rev1(Audit) 3 6 2 2 3" xfId="28304" xr:uid="{00000000-0005-0000-0000-0000826E0000}"/>
    <cellStyle name="0_TAD-6131 Rev1(Audit) 3 6 2 2 3 2" xfId="28305" xr:uid="{00000000-0005-0000-0000-0000836E0000}"/>
    <cellStyle name="0_TAD-6131 Rev1(Audit) 3 6 2 2 4" xfId="28306" xr:uid="{00000000-0005-0000-0000-0000846E0000}"/>
    <cellStyle name="0_TAD-6131 Rev1(Audit) 3 6 2 3" xfId="28307" xr:uid="{00000000-0005-0000-0000-0000856E0000}"/>
    <cellStyle name="0_TAD-6131 Rev1(Audit) 3 6 2 3 2" xfId="28308" xr:uid="{00000000-0005-0000-0000-0000866E0000}"/>
    <cellStyle name="0_TAD-6131 Rev1(Audit) 3 6 2 3 2 2" xfId="28309" xr:uid="{00000000-0005-0000-0000-0000876E0000}"/>
    <cellStyle name="0_TAD-6131 Rev1(Audit) 3 6 2 3 3" xfId="28310" xr:uid="{00000000-0005-0000-0000-0000886E0000}"/>
    <cellStyle name="0_TAD-6131 Rev1(Audit) 3 6 2 3 3 2" xfId="28311" xr:uid="{00000000-0005-0000-0000-0000896E0000}"/>
    <cellStyle name="0_TAD-6131 Rev1(Audit) 3 6 2 3 4" xfId="28312" xr:uid="{00000000-0005-0000-0000-00008A6E0000}"/>
    <cellStyle name="0_TAD-6131 Rev1(Audit) 3 6 2 4" xfId="28313" xr:uid="{00000000-0005-0000-0000-00008B6E0000}"/>
    <cellStyle name="0_TAD-6131 Rev1(Audit) 3 6 2 4 2" xfId="28314" xr:uid="{00000000-0005-0000-0000-00008C6E0000}"/>
    <cellStyle name="0_TAD-6131 Rev1(Audit) 3 6 2 5" xfId="28315" xr:uid="{00000000-0005-0000-0000-00008D6E0000}"/>
    <cellStyle name="0_TAD-6131 Rev1(Audit) 3 6 2 5 2" xfId="28316" xr:uid="{00000000-0005-0000-0000-00008E6E0000}"/>
    <cellStyle name="0_TAD-6131 Rev1(Audit) 3 6 2 6" xfId="28317" xr:uid="{00000000-0005-0000-0000-00008F6E0000}"/>
    <cellStyle name="0_TAD-6131 Rev1(Audit) 3 6 3" xfId="28318" xr:uid="{00000000-0005-0000-0000-0000906E0000}"/>
    <cellStyle name="0_TAD-6131 Rev1(Audit) 3 6 3 2" xfId="28319" xr:uid="{00000000-0005-0000-0000-0000916E0000}"/>
    <cellStyle name="0_TAD-6131 Rev1(Audit) 3 6 3 2 2" xfId="28320" xr:uid="{00000000-0005-0000-0000-0000926E0000}"/>
    <cellStyle name="0_TAD-6131 Rev1(Audit) 3 6 3 3" xfId="28321" xr:uid="{00000000-0005-0000-0000-0000936E0000}"/>
    <cellStyle name="0_TAD-6131 Rev1(Audit) 3 6 3 3 2" xfId="28322" xr:uid="{00000000-0005-0000-0000-0000946E0000}"/>
    <cellStyle name="0_TAD-6131 Rev1(Audit) 3 6 3 4" xfId="28323" xr:uid="{00000000-0005-0000-0000-0000956E0000}"/>
    <cellStyle name="0_TAD-6131 Rev1(Audit) 3 6 4" xfId="28324" xr:uid="{00000000-0005-0000-0000-0000966E0000}"/>
    <cellStyle name="0_TAD-6131 Rev1(Audit) 3 6 4 2" xfId="28325" xr:uid="{00000000-0005-0000-0000-0000976E0000}"/>
    <cellStyle name="0_TAD-6131 Rev1(Audit) 3 6 4 2 2" xfId="28326" xr:uid="{00000000-0005-0000-0000-0000986E0000}"/>
    <cellStyle name="0_TAD-6131 Rev1(Audit) 3 6 4 3" xfId="28327" xr:uid="{00000000-0005-0000-0000-0000996E0000}"/>
    <cellStyle name="0_TAD-6131 Rev1(Audit) 3 6 4 3 2" xfId="28328" xr:uid="{00000000-0005-0000-0000-00009A6E0000}"/>
    <cellStyle name="0_TAD-6131 Rev1(Audit) 3 6 4 4" xfId="28329" xr:uid="{00000000-0005-0000-0000-00009B6E0000}"/>
    <cellStyle name="0_TAD-6131 Rev1(Audit) 3 6 5" xfId="28330" xr:uid="{00000000-0005-0000-0000-00009C6E0000}"/>
    <cellStyle name="0_TAD-6131 Rev1(Audit) 3 6 5 2" xfId="28331" xr:uid="{00000000-0005-0000-0000-00009D6E0000}"/>
    <cellStyle name="0_TAD-6131 Rev1(Audit) 3 6 5 2 2" xfId="28332" xr:uid="{00000000-0005-0000-0000-00009E6E0000}"/>
    <cellStyle name="0_TAD-6131 Rev1(Audit) 3 6 5 3" xfId="28333" xr:uid="{00000000-0005-0000-0000-00009F6E0000}"/>
    <cellStyle name="0_TAD-6131 Rev1(Audit) 3 6 5 3 2" xfId="28334" xr:uid="{00000000-0005-0000-0000-0000A06E0000}"/>
    <cellStyle name="0_TAD-6131 Rev1(Audit) 3 6 5 4" xfId="28335" xr:uid="{00000000-0005-0000-0000-0000A16E0000}"/>
    <cellStyle name="0_TAD-6131 Rev1(Audit) 3 6 6" xfId="28336" xr:uid="{00000000-0005-0000-0000-0000A26E0000}"/>
    <cellStyle name="0_TAD-6131 Rev1(Audit) 3 6 6 2" xfId="28337" xr:uid="{00000000-0005-0000-0000-0000A36E0000}"/>
    <cellStyle name="0_TAD-6131 Rev1(Audit) 3 6 7" xfId="28338" xr:uid="{00000000-0005-0000-0000-0000A46E0000}"/>
    <cellStyle name="0_TAD-6131 Rev1(Audit) 3 6 7 2" xfId="28339" xr:uid="{00000000-0005-0000-0000-0000A56E0000}"/>
    <cellStyle name="0_TAD-6131 Rev1(Audit) 3 6 8" xfId="28340" xr:uid="{00000000-0005-0000-0000-0000A66E0000}"/>
    <cellStyle name="0_TAD-6131 Rev1(Audit) 3 7" xfId="28341" xr:uid="{00000000-0005-0000-0000-0000A76E0000}"/>
    <cellStyle name="0_TAD-6131 Rev1(Audit) 3 7 2" xfId="28342" xr:uid="{00000000-0005-0000-0000-0000A86E0000}"/>
    <cellStyle name="0_TAD-6131 Rev1(Audit) 3 7 2 2" xfId="28343" xr:uid="{00000000-0005-0000-0000-0000A96E0000}"/>
    <cellStyle name="0_TAD-6131 Rev1(Audit) 3 7 2 2 2" xfId="28344" xr:uid="{00000000-0005-0000-0000-0000AA6E0000}"/>
    <cellStyle name="0_TAD-6131 Rev1(Audit) 3 7 2 3" xfId="28345" xr:uid="{00000000-0005-0000-0000-0000AB6E0000}"/>
    <cellStyle name="0_TAD-6131 Rev1(Audit) 3 7 2 3 2" xfId="28346" xr:uid="{00000000-0005-0000-0000-0000AC6E0000}"/>
    <cellStyle name="0_TAD-6131 Rev1(Audit) 3 7 2 4" xfId="28347" xr:uid="{00000000-0005-0000-0000-0000AD6E0000}"/>
    <cellStyle name="0_TAD-6131 Rev1(Audit) 3 7 3" xfId="28348" xr:uid="{00000000-0005-0000-0000-0000AE6E0000}"/>
    <cellStyle name="0_TAD-6131 Rev1(Audit) 3 7 3 2" xfId="28349" xr:uid="{00000000-0005-0000-0000-0000AF6E0000}"/>
    <cellStyle name="0_TAD-6131 Rev1(Audit) 3 7 3 2 2" xfId="28350" xr:uid="{00000000-0005-0000-0000-0000B06E0000}"/>
    <cellStyle name="0_TAD-6131 Rev1(Audit) 3 7 3 3" xfId="28351" xr:uid="{00000000-0005-0000-0000-0000B16E0000}"/>
    <cellStyle name="0_TAD-6131 Rev1(Audit) 3 7 3 3 2" xfId="28352" xr:uid="{00000000-0005-0000-0000-0000B26E0000}"/>
    <cellStyle name="0_TAD-6131 Rev1(Audit) 3 7 3 4" xfId="28353" xr:uid="{00000000-0005-0000-0000-0000B36E0000}"/>
    <cellStyle name="0_TAD-6131 Rev1(Audit) 3 7 4" xfId="28354" xr:uid="{00000000-0005-0000-0000-0000B46E0000}"/>
    <cellStyle name="0_TAD-6131 Rev1(Audit) 3 7 4 2" xfId="28355" xr:uid="{00000000-0005-0000-0000-0000B56E0000}"/>
    <cellStyle name="0_TAD-6131 Rev1(Audit) 3 7 5" xfId="28356" xr:uid="{00000000-0005-0000-0000-0000B66E0000}"/>
    <cellStyle name="0_TAD-6131 Rev1(Audit) 3 7 5 2" xfId="28357" xr:uid="{00000000-0005-0000-0000-0000B76E0000}"/>
    <cellStyle name="0_TAD-6131 Rev1(Audit) 3 7 6" xfId="28358" xr:uid="{00000000-0005-0000-0000-0000B86E0000}"/>
    <cellStyle name="0_TAD-6131 Rev1(Audit) 3 8" xfId="28359" xr:uid="{00000000-0005-0000-0000-0000B96E0000}"/>
    <cellStyle name="0_TAD-6131 Rev1(Audit) 3 8 2" xfId="28360" xr:uid="{00000000-0005-0000-0000-0000BA6E0000}"/>
    <cellStyle name="0_TAD-6131 Rev1(Audit) 3 8 2 2" xfId="28361" xr:uid="{00000000-0005-0000-0000-0000BB6E0000}"/>
    <cellStyle name="0_TAD-6131 Rev1(Audit) 3 8 3" xfId="28362" xr:uid="{00000000-0005-0000-0000-0000BC6E0000}"/>
    <cellStyle name="0_TAD-6131 Rev1(Audit) 3 8 3 2" xfId="28363" xr:uid="{00000000-0005-0000-0000-0000BD6E0000}"/>
    <cellStyle name="0_TAD-6131 Rev1(Audit) 3 8 4" xfId="28364" xr:uid="{00000000-0005-0000-0000-0000BE6E0000}"/>
    <cellStyle name="0_TAD-6131 Rev1(Audit) 3 9" xfId="28365" xr:uid="{00000000-0005-0000-0000-0000BF6E0000}"/>
    <cellStyle name="0_TAD-6131 Rev1(Audit) 3 9 2" xfId="28366" xr:uid="{00000000-0005-0000-0000-0000C06E0000}"/>
    <cellStyle name="0_TAD-6131 Rev1(Audit) 3 9 2 2" xfId="28367" xr:uid="{00000000-0005-0000-0000-0000C16E0000}"/>
    <cellStyle name="0_TAD-6131 Rev1(Audit) 3 9 3" xfId="28368" xr:uid="{00000000-0005-0000-0000-0000C26E0000}"/>
    <cellStyle name="0_TAD-6131 Rev1(Audit) 3 9 3 2" xfId="28369" xr:uid="{00000000-0005-0000-0000-0000C36E0000}"/>
    <cellStyle name="0_TAD-6131 Rev1(Audit) 3 9 4" xfId="28370" xr:uid="{00000000-0005-0000-0000-0000C46E0000}"/>
    <cellStyle name="0_TAD-6131 Rev1(Audit) 4" xfId="28371" xr:uid="{00000000-0005-0000-0000-0000C56E0000}"/>
    <cellStyle name="0_TAD-6131 Rev1(Audit) 4 10" xfId="28372" xr:uid="{00000000-0005-0000-0000-0000C66E0000}"/>
    <cellStyle name="0_TAD-6131 Rev1(Audit) 4 10 2" xfId="28373" xr:uid="{00000000-0005-0000-0000-0000C76E0000}"/>
    <cellStyle name="0_TAD-6131 Rev1(Audit) 4 10 2 2" xfId="28374" xr:uid="{00000000-0005-0000-0000-0000C86E0000}"/>
    <cellStyle name="0_TAD-6131 Rev1(Audit) 4 10 3" xfId="28375" xr:uid="{00000000-0005-0000-0000-0000C96E0000}"/>
    <cellStyle name="0_TAD-6131 Rev1(Audit) 4 10 3 2" xfId="28376" xr:uid="{00000000-0005-0000-0000-0000CA6E0000}"/>
    <cellStyle name="0_TAD-6131 Rev1(Audit) 4 10 4" xfId="28377" xr:uid="{00000000-0005-0000-0000-0000CB6E0000}"/>
    <cellStyle name="0_TAD-6131 Rev1(Audit) 4 11" xfId="28378" xr:uid="{00000000-0005-0000-0000-0000CC6E0000}"/>
    <cellStyle name="0_TAD-6131 Rev1(Audit) 4 11 2" xfId="28379" xr:uid="{00000000-0005-0000-0000-0000CD6E0000}"/>
    <cellStyle name="0_TAD-6131 Rev1(Audit) 4 12" xfId="28380" xr:uid="{00000000-0005-0000-0000-0000CE6E0000}"/>
    <cellStyle name="0_TAD-6131 Rev1(Audit) 4 12 2" xfId="28381" xr:uid="{00000000-0005-0000-0000-0000CF6E0000}"/>
    <cellStyle name="0_TAD-6131 Rev1(Audit) 4 13" xfId="28382" xr:uid="{00000000-0005-0000-0000-0000D06E0000}"/>
    <cellStyle name="0_TAD-6131 Rev1(Audit) 4 2" xfId="28383" xr:uid="{00000000-0005-0000-0000-0000D16E0000}"/>
    <cellStyle name="0_TAD-6131 Rev1(Audit) 4 2 2" xfId="28384" xr:uid="{00000000-0005-0000-0000-0000D26E0000}"/>
    <cellStyle name="0_TAD-6131 Rev1(Audit) 4 2 2 2" xfId="28385" xr:uid="{00000000-0005-0000-0000-0000D36E0000}"/>
    <cellStyle name="0_TAD-6131 Rev1(Audit) 4 2 2 2 2" xfId="28386" xr:uid="{00000000-0005-0000-0000-0000D46E0000}"/>
    <cellStyle name="0_TAD-6131 Rev1(Audit) 4 2 2 2 2 2" xfId="28387" xr:uid="{00000000-0005-0000-0000-0000D56E0000}"/>
    <cellStyle name="0_TAD-6131 Rev1(Audit) 4 2 2 2 3" xfId="28388" xr:uid="{00000000-0005-0000-0000-0000D66E0000}"/>
    <cellStyle name="0_TAD-6131 Rev1(Audit) 4 2 2 2 3 2" xfId="28389" xr:uid="{00000000-0005-0000-0000-0000D76E0000}"/>
    <cellStyle name="0_TAD-6131 Rev1(Audit) 4 2 2 2 4" xfId="28390" xr:uid="{00000000-0005-0000-0000-0000D86E0000}"/>
    <cellStyle name="0_TAD-6131 Rev1(Audit) 4 2 2 3" xfId="28391" xr:uid="{00000000-0005-0000-0000-0000D96E0000}"/>
    <cellStyle name="0_TAD-6131 Rev1(Audit) 4 2 2 3 2" xfId="28392" xr:uid="{00000000-0005-0000-0000-0000DA6E0000}"/>
    <cellStyle name="0_TAD-6131 Rev1(Audit) 4 2 2 3 2 2" xfId="28393" xr:uid="{00000000-0005-0000-0000-0000DB6E0000}"/>
    <cellStyle name="0_TAD-6131 Rev1(Audit) 4 2 2 3 3" xfId="28394" xr:uid="{00000000-0005-0000-0000-0000DC6E0000}"/>
    <cellStyle name="0_TAD-6131 Rev1(Audit) 4 2 2 3 3 2" xfId="28395" xr:uid="{00000000-0005-0000-0000-0000DD6E0000}"/>
    <cellStyle name="0_TAD-6131 Rev1(Audit) 4 2 2 3 4" xfId="28396" xr:uid="{00000000-0005-0000-0000-0000DE6E0000}"/>
    <cellStyle name="0_TAD-6131 Rev1(Audit) 4 2 2 4" xfId="28397" xr:uid="{00000000-0005-0000-0000-0000DF6E0000}"/>
    <cellStyle name="0_TAD-6131 Rev1(Audit) 4 2 2 4 2" xfId="28398" xr:uid="{00000000-0005-0000-0000-0000E06E0000}"/>
    <cellStyle name="0_TAD-6131 Rev1(Audit) 4 2 2 5" xfId="28399" xr:uid="{00000000-0005-0000-0000-0000E16E0000}"/>
    <cellStyle name="0_TAD-6131 Rev1(Audit) 4 2 2 5 2" xfId="28400" xr:uid="{00000000-0005-0000-0000-0000E26E0000}"/>
    <cellStyle name="0_TAD-6131 Rev1(Audit) 4 2 2 6" xfId="28401" xr:uid="{00000000-0005-0000-0000-0000E36E0000}"/>
    <cellStyle name="0_TAD-6131 Rev1(Audit) 4 2 3" xfId="28402" xr:uid="{00000000-0005-0000-0000-0000E46E0000}"/>
    <cellStyle name="0_TAD-6131 Rev1(Audit) 4 2 3 2" xfId="28403" xr:uid="{00000000-0005-0000-0000-0000E56E0000}"/>
    <cellStyle name="0_TAD-6131 Rev1(Audit) 4 2 3 2 2" xfId="28404" xr:uid="{00000000-0005-0000-0000-0000E66E0000}"/>
    <cellStyle name="0_TAD-6131 Rev1(Audit) 4 2 3 3" xfId="28405" xr:uid="{00000000-0005-0000-0000-0000E76E0000}"/>
    <cellStyle name="0_TAD-6131 Rev1(Audit) 4 2 3 3 2" xfId="28406" xr:uid="{00000000-0005-0000-0000-0000E86E0000}"/>
    <cellStyle name="0_TAD-6131 Rev1(Audit) 4 2 3 4" xfId="28407" xr:uid="{00000000-0005-0000-0000-0000E96E0000}"/>
    <cellStyle name="0_TAD-6131 Rev1(Audit) 4 2 4" xfId="28408" xr:uid="{00000000-0005-0000-0000-0000EA6E0000}"/>
    <cellStyle name="0_TAD-6131 Rev1(Audit) 4 2 4 2" xfId="28409" xr:uid="{00000000-0005-0000-0000-0000EB6E0000}"/>
    <cellStyle name="0_TAD-6131 Rev1(Audit) 4 2 4 2 2" xfId="28410" xr:uid="{00000000-0005-0000-0000-0000EC6E0000}"/>
    <cellStyle name="0_TAD-6131 Rev1(Audit) 4 2 4 3" xfId="28411" xr:uid="{00000000-0005-0000-0000-0000ED6E0000}"/>
    <cellStyle name="0_TAD-6131 Rev1(Audit) 4 2 4 3 2" xfId="28412" xr:uid="{00000000-0005-0000-0000-0000EE6E0000}"/>
    <cellStyle name="0_TAD-6131 Rev1(Audit) 4 2 4 4" xfId="28413" xr:uid="{00000000-0005-0000-0000-0000EF6E0000}"/>
    <cellStyle name="0_TAD-6131 Rev1(Audit) 4 2 5" xfId="28414" xr:uid="{00000000-0005-0000-0000-0000F06E0000}"/>
    <cellStyle name="0_TAD-6131 Rev1(Audit) 4 2 5 2" xfId="28415" xr:uid="{00000000-0005-0000-0000-0000F16E0000}"/>
    <cellStyle name="0_TAD-6131 Rev1(Audit) 4 2 5 2 2" xfId="28416" xr:uid="{00000000-0005-0000-0000-0000F26E0000}"/>
    <cellStyle name="0_TAD-6131 Rev1(Audit) 4 2 5 3" xfId="28417" xr:uid="{00000000-0005-0000-0000-0000F36E0000}"/>
    <cellStyle name="0_TAD-6131 Rev1(Audit) 4 2 5 3 2" xfId="28418" xr:uid="{00000000-0005-0000-0000-0000F46E0000}"/>
    <cellStyle name="0_TAD-6131 Rev1(Audit) 4 2 5 4" xfId="28419" xr:uid="{00000000-0005-0000-0000-0000F56E0000}"/>
    <cellStyle name="0_TAD-6131 Rev1(Audit) 4 2 6" xfId="28420" xr:uid="{00000000-0005-0000-0000-0000F66E0000}"/>
    <cellStyle name="0_TAD-6131 Rev1(Audit) 4 2 6 2" xfId="28421" xr:uid="{00000000-0005-0000-0000-0000F76E0000}"/>
    <cellStyle name="0_TAD-6131 Rev1(Audit) 4 2 7" xfId="28422" xr:uid="{00000000-0005-0000-0000-0000F86E0000}"/>
    <cellStyle name="0_TAD-6131 Rev1(Audit) 4 2 7 2" xfId="28423" xr:uid="{00000000-0005-0000-0000-0000F96E0000}"/>
    <cellStyle name="0_TAD-6131 Rev1(Audit) 4 2 8" xfId="28424" xr:uid="{00000000-0005-0000-0000-0000FA6E0000}"/>
    <cellStyle name="0_TAD-6131 Rev1(Audit) 4 3" xfId="28425" xr:uid="{00000000-0005-0000-0000-0000FB6E0000}"/>
    <cellStyle name="0_TAD-6131 Rev1(Audit) 4 3 2" xfId="28426" xr:uid="{00000000-0005-0000-0000-0000FC6E0000}"/>
    <cellStyle name="0_TAD-6131 Rev1(Audit) 4 3 2 2" xfId="28427" xr:uid="{00000000-0005-0000-0000-0000FD6E0000}"/>
    <cellStyle name="0_TAD-6131 Rev1(Audit) 4 3 2 2 2" xfId="28428" xr:uid="{00000000-0005-0000-0000-0000FE6E0000}"/>
    <cellStyle name="0_TAD-6131 Rev1(Audit) 4 3 2 2 2 2" xfId="28429" xr:uid="{00000000-0005-0000-0000-0000FF6E0000}"/>
    <cellStyle name="0_TAD-6131 Rev1(Audit) 4 3 2 2 3" xfId="28430" xr:uid="{00000000-0005-0000-0000-0000006F0000}"/>
    <cellStyle name="0_TAD-6131 Rev1(Audit) 4 3 2 2 3 2" xfId="28431" xr:uid="{00000000-0005-0000-0000-0000016F0000}"/>
    <cellStyle name="0_TAD-6131 Rev1(Audit) 4 3 2 2 4" xfId="28432" xr:uid="{00000000-0005-0000-0000-0000026F0000}"/>
    <cellStyle name="0_TAD-6131 Rev1(Audit) 4 3 2 3" xfId="28433" xr:uid="{00000000-0005-0000-0000-0000036F0000}"/>
    <cellStyle name="0_TAD-6131 Rev1(Audit) 4 3 2 3 2" xfId="28434" xr:uid="{00000000-0005-0000-0000-0000046F0000}"/>
    <cellStyle name="0_TAD-6131 Rev1(Audit) 4 3 2 3 2 2" xfId="28435" xr:uid="{00000000-0005-0000-0000-0000056F0000}"/>
    <cellStyle name="0_TAD-6131 Rev1(Audit) 4 3 2 3 3" xfId="28436" xr:uid="{00000000-0005-0000-0000-0000066F0000}"/>
    <cellStyle name="0_TAD-6131 Rev1(Audit) 4 3 2 3 3 2" xfId="28437" xr:uid="{00000000-0005-0000-0000-0000076F0000}"/>
    <cellStyle name="0_TAD-6131 Rev1(Audit) 4 3 2 3 4" xfId="28438" xr:uid="{00000000-0005-0000-0000-0000086F0000}"/>
    <cellStyle name="0_TAD-6131 Rev1(Audit) 4 3 2 4" xfId="28439" xr:uid="{00000000-0005-0000-0000-0000096F0000}"/>
    <cellStyle name="0_TAD-6131 Rev1(Audit) 4 3 2 4 2" xfId="28440" xr:uid="{00000000-0005-0000-0000-00000A6F0000}"/>
    <cellStyle name="0_TAD-6131 Rev1(Audit) 4 3 2 5" xfId="28441" xr:uid="{00000000-0005-0000-0000-00000B6F0000}"/>
    <cellStyle name="0_TAD-6131 Rev1(Audit) 4 3 2 5 2" xfId="28442" xr:uid="{00000000-0005-0000-0000-00000C6F0000}"/>
    <cellStyle name="0_TAD-6131 Rev1(Audit) 4 3 2 6" xfId="28443" xr:uid="{00000000-0005-0000-0000-00000D6F0000}"/>
    <cellStyle name="0_TAD-6131 Rev1(Audit) 4 3 3" xfId="28444" xr:uid="{00000000-0005-0000-0000-00000E6F0000}"/>
    <cellStyle name="0_TAD-6131 Rev1(Audit) 4 3 3 2" xfId="28445" xr:uid="{00000000-0005-0000-0000-00000F6F0000}"/>
    <cellStyle name="0_TAD-6131 Rev1(Audit) 4 3 3 2 2" xfId="28446" xr:uid="{00000000-0005-0000-0000-0000106F0000}"/>
    <cellStyle name="0_TAD-6131 Rev1(Audit) 4 3 3 3" xfId="28447" xr:uid="{00000000-0005-0000-0000-0000116F0000}"/>
    <cellStyle name="0_TAD-6131 Rev1(Audit) 4 3 3 3 2" xfId="28448" xr:uid="{00000000-0005-0000-0000-0000126F0000}"/>
    <cellStyle name="0_TAD-6131 Rev1(Audit) 4 3 3 4" xfId="28449" xr:uid="{00000000-0005-0000-0000-0000136F0000}"/>
    <cellStyle name="0_TAD-6131 Rev1(Audit) 4 3 4" xfId="28450" xr:uid="{00000000-0005-0000-0000-0000146F0000}"/>
    <cellStyle name="0_TAD-6131 Rev1(Audit) 4 3 4 2" xfId="28451" xr:uid="{00000000-0005-0000-0000-0000156F0000}"/>
    <cellStyle name="0_TAD-6131 Rev1(Audit) 4 3 4 2 2" xfId="28452" xr:uid="{00000000-0005-0000-0000-0000166F0000}"/>
    <cellStyle name="0_TAD-6131 Rev1(Audit) 4 3 4 3" xfId="28453" xr:uid="{00000000-0005-0000-0000-0000176F0000}"/>
    <cellStyle name="0_TAD-6131 Rev1(Audit) 4 3 4 3 2" xfId="28454" xr:uid="{00000000-0005-0000-0000-0000186F0000}"/>
    <cellStyle name="0_TAD-6131 Rev1(Audit) 4 3 4 4" xfId="28455" xr:uid="{00000000-0005-0000-0000-0000196F0000}"/>
    <cellStyle name="0_TAD-6131 Rev1(Audit) 4 3 5" xfId="28456" xr:uid="{00000000-0005-0000-0000-00001A6F0000}"/>
    <cellStyle name="0_TAD-6131 Rev1(Audit) 4 3 5 2" xfId="28457" xr:uid="{00000000-0005-0000-0000-00001B6F0000}"/>
    <cellStyle name="0_TAD-6131 Rev1(Audit) 4 3 5 2 2" xfId="28458" xr:uid="{00000000-0005-0000-0000-00001C6F0000}"/>
    <cellStyle name="0_TAD-6131 Rev1(Audit) 4 3 5 3" xfId="28459" xr:uid="{00000000-0005-0000-0000-00001D6F0000}"/>
    <cellStyle name="0_TAD-6131 Rev1(Audit) 4 3 5 3 2" xfId="28460" xr:uid="{00000000-0005-0000-0000-00001E6F0000}"/>
    <cellStyle name="0_TAD-6131 Rev1(Audit) 4 3 5 4" xfId="28461" xr:uid="{00000000-0005-0000-0000-00001F6F0000}"/>
    <cellStyle name="0_TAD-6131 Rev1(Audit) 4 3 6" xfId="28462" xr:uid="{00000000-0005-0000-0000-0000206F0000}"/>
    <cellStyle name="0_TAD-6131 Rev1(Audit) 4 3 6 2" xfId="28463" xr:uid="{00000000-0005-0000-0000-0000216F0000}"/>
    <cellStyle name="0_TAD-6131 Rev1(Audit) 4 3 7" xfId="28464" xr:uid="{00000000-0005-0000-0000-0000226F0000}"/>
    <cellStyle name="0_TAD-6131 Rev1(Audit) 4 3 7 2" xfId="28465" xr:uid="{00000000-0005-0000-0000-0000236F0000}"/>
    <cellStyle name="0_TAD-6131 Rev1(Audit) 4 3 8" xfId="28466" xr:uid="{00000000-0005-0000-0000-0000246F0000}"/>
    <cellStyle name="0_TAD-6131 Rev1(Audit) 4 4" xfId="28467" xr:uid="{00000000-0005-0000-0000-0000256F0000}"/>
    <cellStyle name="0_TAD-6131 Rev1(Audit) 4 4 2" xfId="28468" xr:uid="{00000000-0005-0000-0000-0000266F0000}"/>
    <cellStyle name="0_TAD-6131 Rev1(Audit) 4 4 2 2" xfId="28469" xr:uid="{00000000-0005-0000-0000-0000276F0000}"/>
    <cellStyle name="0_TAD-6131 Rev1(Audit) 4 4 2 2 2" xfId="28470" xr:uid="{00000000-0005-0000-0000-0000286F0000}"/>
    <cellStyle name="0_TAD-6131 Rev1(Audit) 4 4 2 2 2 2" xfId="28471" xr:uid="{00000000-0005-0000-0000-0000296F0000}"/>
    <cellStyle name="0_TAD-6131 Rev1(Audit) 4 4 2 2 3" xfId="28472" xr:uid="{00000000-0005-0000-0000-00002A6F0000}"/>
    <cellStyle name="0_TAD-6131 Rev1(Audit) 4 4 2 2 3 2" xfId="28473" xr:uid="{00000000-0005-0000-0000-00002B6F0000}"/>
    <cellStyle name="0_TAD-6131 Rev1(Audit) 4 4 2 2 4" xfId="28474" xr:uid="{00000000-0005-0000-0000-00002C6F0000}"/>
    <cellStyle name="0_TAD-6131 Rev1(Audit) 4 4 2 3" xfId="28475" xr:uid="{00000000-0005-0000-0000-00002D6F0000}"/>
    <cellStyle name="0_TAD-6131 Rev1(Audit) 4 4 2 3 2" xfId="28476" xr:uid="{00000000-0005-0000-0000-00002E6F0000}"/>
    <cellStyle name="0_TAD-6131 Rev1(Audit) 4 4 2 3 2 2" xfId="28477" xr:uid="{00000000-0005-0000-0000-00002F6F0000}"/>
    <cellStyle name="0_TAD-6131 Rev1(Audit) 4 4 2 3 3" xfId="28478" xr:uid="{00000000-0005-0000-0000-0000306F0000}"/>
    <cellStyle name="0_TAD-6131 Rev1(Audit) 4 4 2 3 3 2" xfId="28479" xr:uid="{00000000-0005-0000-0000-0000316F0000}"/>
    <cellStyle name="0_TAD-6131 Rev1(Audit) 4 4 2 3 4" xfId="28480" xr:uid="{00000000-0005-0000-0000-0000326F0000}"/>
    <cellStyle name="0_TAD-6131 Rev1(Audit) 4 4 2 4" xfId="28481" xr:uid="{00000000-0005-0000-0000-0000336F0000}"/>
    <cellStyle name="0_TAD-6131 Rev1(Audit) 4 4 2 4 2" xfId="28482" xr:uid="{00000000-0005-0000-0000-0000346F0000}"/>
    <cellStyle name="0_TAD-6131 Rev1(Audit) 4 4 2 5" xfId="28483" xr:uid="{00000000-0005-0000-0000-0000356F0000}"/>
    <cellStyle name="0_TAD-6131 Rev1(Audit) 4 4 2 5 2" xfId="28484" xr:uid="{00000000-0005-0000-0000-0000366F0000}"/>
    <cellStyle name="0_TAD-6131 Rev1(Audit) 4 4 2 6" xfId="28485" xr:uid="{00000000-0005-0000-0000-0000376F0000}"/>
    <cellStyle name="0_TAD-6131 Rev1(Audit) 4 4 3" xfId="28486" xr:uid="{00000000-0005-0000-0000-0000386F0000}"/>
    <cellStyle name="0_TAD-6131 Rev1(Audit) 4 4 3 2" xfId="28487" xr:uid="{00000000-0005-0000-0000-0000396F0000}"/>
    <cellStyle name="0_TAD-6131 Rev1(Audit) 4 4 3 2 2" xfId="28488" xr:uid="{00000000-0005-0000-0000-00003A6F0000}"/>
    <cellStyle name="0_TAD-6131 Rev1(Audit) 4 4 3 3" xfId="28489" xr:uid="{00000000-0005-0000-0000-00003B6F0000}"/>
    <cellStyle name="0_TAD-6131 Rev1(Audit) 4 4 3 3 2" xfId="28490" xr:uid="{00000000-0005-0000-0000-00003C6F0000}"/>
    <cellStyle name="0_TAD-6131 Rev1(Audit) 4 4 3 4" xfId="28491" xr:uid="{00000000-0005-0000-0000-00003D6F0000}"/>
    <cellStyle name="0_TAD-6131 Rev1(Audit) 4 4 4" xfId="28492" xr:uid="{00000000-0005-0000-0000-00003E6F0000}"/>
    <cellStyle name="0_TAD-6131 Rev1(Audit) 4 4 4 2" xfId="28493" xr:uid="{00000000-0005-0000-0000-00003F6F0000}"/>
    <cellStyle name="0_TAD-6131 Rev1(Audit) 4 4 4 2 2" xfId="28494" xr:uid="{00000000-0005-0000-0000-0000406F0000}"/>
    <cellStyle name="0_TAD-6131 Rev1(Audit) 4 4 4 3" xfId="28495" xr:uid="{00000000-0005-0000-0000-0000416F0000}"/>
    <cellStyle name="0_TAD-6131 Rev1(Audit) 4 4 4 3 2" xfId="28496" xr:uid="{00000000-0005-0000-0000-0000426F0000}"/>
    <cellStyle name="0_TAD-6131 Rev1(Audit) 4 4 4 4" xfId="28497" xr:uid="{00000000-0005-0000-0000-0000436F0000}"/>
    <cellStyle name="0_TAD-6131 Rev1(Audit) 4 4 5" xfId="28498" xr:uid="{00000000-0005-0000-0000-0000446F0000}"/>
    <cellStyle name="0_TAD-6131 Rev1(Audit) 4 4 5 2" xfId="28499" xr:uid="{00000000-0005-0000-0000-0000456F0000}"/>
    <cellStyle name="0_TAD-6131 Rev1(Audit) 4 4 5 2 2" xfId="28500" xr:uid="{00000000-0005-0000-0000-0000466F0000}"/>
    <cellStyle name="0_TAD-6131 Rev1(Audit) 4 4 5 3" xfId="28501" xr:uid="{00000000-0005-0000-0000-0000476F0000}"/>
    <cellStyle name="0_TAD-6131 Rev1(Audit) 4 4 5 3 2" xfId="28502" xr:uid="{00000000-0005-0000-0000-0000486F0000}"/>
    <cellStyle name="0_TAD-6131 Rev1(Audit) 4 4 5 4" xfId="28503" xr:uid="{00000000-0005-0000-0000-0000496F0000}"/>
    <cellStyle name="0_TAD-6131 Rev1(Audit) 4 4 6" xfId="28504" xr:uid="{00000000-0005-0000-0000-00004A6F0000}"/>
    <cellStyle name="0_TAD-6131 Rev1(Audit) 4 4 6 2" xfId="28505" xr:uid="{00000000-0005-0000-0000-00004B6F0000}"/>
    <cellStyle name="0_TAD-6131 Rev1(Audit) 4 4 7" xfId="28506" xr:uid="{00000000-0005-0000-0000-00004C6F0000}"/>
    <cellStyle name="0_TAD-6131 Rev1(Audit) 4 4 7 2" xfId="28507" xr:uid="{00000000-0005-0000-0000-00004D6F0000}"/>
    <cellStyle name="0_TAD-6131 Rev1(Audit) 4 4 8" xfId="28508" xr:uid="{00000000-0005-0000-0000-00004E6F0000}"/>
    <cellStyle name="0_TAD-6131 Rev1(Audit) 4 5" xfId="28509" xr:uid="{00000000-0005-0000-0000-00004F6F0000}"/>
    <cellStyle name="0_TAD-6131 Rev1(Audit) 4 5 2" xfId="28510" xr:uid="{00000000-0005-0000-0000-0000506F0000}"/>
    <cellStyle name="0_TAD-6131 Rev1(Audit) 4 5 2 2" xfId="28511" xr:uid="{00000000-0005-0000-0000-0000516F0000}"/>
    <cellStyle name="0_TAD-6131 Rev1(Audit) 4 5 2 2 2" xfId="28512" xr:uid="{00000000-0005-0000-0000-0000526F0000}"/>
    <cellStyle name="0_TAD-6131 Rev1(Audit) 4 5 2 2 2 2" xfId="28513" xr:uid="{00000000-0005-0000-0000-0000536F0000}"/>
    <cellStyle name="0_TAD-6131 Rev1(Audit) 4 5 2 2 3" xfId="28514" xr:uid="{00000000-0005-0000-0000-0000546F0000}"/>
    <cellStyle name="0_TAD-6131 Rev1(Audit) 4 5 2 2 3 2" xfId="28515" xr:uid="{00000000-0005-0000-0000-0000556F0000}"/>
    <cellStyle name="0_TAD-6131 Rev1(Audit) 4 5 2 2 4" xfId="28516" xr:uid="{00000000-0005-0000-0000-0000566F0000}"/>
    <cellStyle name="0_TAD-6131 Rev1(Audit) 4 5 2 3" xfId="28517" xr:uid="{00000000-0005-0000-0000-0000576F0000}"/>
    <cellStyle name="0_TAD-6131 Rev1(Audit) 4 5 2 3 2" xfId="28518" xr:uid="{00000000-0005-0000-0000-0000586F0000}"/>
    <cellStyle name="0_TAD-6131 Rev1(Audit) 4 5 2 3 2 2" xfId="28519" xr:uid="{00000000-0005-0000-0000-0000596F0000}"/>
    <cellStyle name="0_TAD-6131 Rev1(Audit) 4 5 2 3 3" xfId="28520" xr:uid="{00000000-0005-0000-0000-00005A6F0000}"/>
    <cellStyle name="0_TAD-6131 Rev1(Audit) 4 5 2 3 3 2" xfId="28521" xr:uid="{00000000-0005-0000-0000-00005B6F0000}"/>
    <cellStyle name="0_TAD-6131 Rev1(Audit) 4 5 2 3 4" xfId="28522" xr:uid="{00000000-0005-0000-0000-00005C6F0000}"/>
    <cellStyle name="0_TAD-6131 Rev1(Audit) 4 5 2 4" xfId="28523" xr:uid="{00000000-0005-0000-0000-00005D6F0000}"/>
    <cellStyle name="0_TAD-6131 Rev1(Audit) 4 5 2 4 2" xfId="28524" xr:uid="{00000000-0005-0000-0000-00005E6F0000}"/>
    <cellStyle name="0_TAD-6131 Rev1(Audit) 4 5 2 5" xfId="28525" xr:uid="{00000000-0005-0000-0000-00005F6F0000}"/>
    <cellStyle name="0_TAD-6131 Rev1(Audit) 4 5 2 5 2" xfId="28526" xr:uid="{00000000-0005-0000-0000-0000606F0000}"/>
    <cellStyle name="0_TAD-6131 Rev1(Audit) 4 5 2 6" xfId="28527" xr:uid="{00000000-0005-0000-0000-0000616F0000}"/>
    <cellStyle name="0_TAD-6131 Rev1(Audit) 4 5 3" xfId="28528" xr:uid="{00000000-0005-0000-0000-0000626F0000}"/>
    <cellStyle name="0_TAD-6131 Rev1(Audit) 4 5 3 2" xfId="28529" xr:uid="{00000000-0005-0000-0000-0000636F0000}"/>
    <cellStyle name="0_TAD-6131 Rev1(Audit) 4 5 3 2 2" xfId="28530" xr:uid="{00000000-0005-0000-0000-0000646F0000}"/>
    <cellStyle name="0_TAD-6131 Rev1(Audit) 4 5 3 3" xfId="28531" xr:uid="{00000000-0005-0000-0000-0000656F0000}"/>
    <cellStyle name="0_TAD-6131 Rev1(Audit) 4 5 3 3 2" xfId="28532" xr:uid="{00000000-0005-0000-0000-0000666F0000}"/>
    <cellStyle name="0_TAD-6131 Rev1(Audit) 4 5 3 4" xfId="28533" xr:uid="{00000000-0005-0000-0000-0000676F0000}"/>
    <cellStyle name="0_TAD-6131 Rev1(Audit) 4 5 4" xfId="28534" xr:uid="{00000000-0005-0000-0000-0000686F0000}"/>
    <cellStyle name="0_TAD-6131 Rev1(Audit) 4 5 4 2" xfId="28535" xr:uid="{00000000-0005-0000-0000-0000696F0000}"/>
    <cellStyle name="0_TAD-6131 Rev1(Audit) 4 5 4 2 2" xfId="28536" xr:uid="{00000000-0005-0000-0000-00006A6F0000}"/>
    <cellStyle name="0_TAD-6131 Rev1(Audit) 4 5 4 3" xfId="28537" xr:uid="{00000000-0005-0000-0000-00006B6F0000}"/>
    <cellStyle name="0_TAD-6131 Rev1(Audit) 4 5 4 3 2" xfId="28538" xr:uid="{00000000-0005-0000-0000-00006C6F0000}"/>
    <cellStyle name="0_TAD-6131 Rev1(Audit) 4 5 4 4" xfId="28539" xr:uid="{00000000-0005-0000-0000-00006D6F0000}"/>
    <cellStyle name="0_TAD-6131 Rev1(Audit) 4 5 5" xfId="28540" xr:uid="{00000000-0005-0000-0000-00006E6F0000}"/>
    <cellStyle name="0_TAD-6131 Rev1(Audit) 4 5 5 2" xfId="28541" xr:uid="{00000000-0005-0000-0000-00006F6F0000}"/>
    <cellStyle name="0_TAD-6131 Rev1(Audit) 4 5 5 2 2" xfId="28542" xr:uid="{00000000-0005-0000-0000-0000706F0000}"/>
    <cellStyle name="0_TAD-6131 Rev1(Audit) 4 5 5 3" xfId="28543" xr:uid="{00000000-0005-0000-0000-0000716F0000}"/>
    <cellStyle name="0_TAD-6131 Rev1(Audit) 4 5 5 3 2" xfId="28544" xr:uid="{00000000-0005-0000-0000-0000726F0000}"/>
    <cellStyle name="0_TAD-6131 Rev1(Audit) 4 5 5 4" xfId="28545" xr:uid="{00000000-0005-0000-0000-0000736F0000}"/>
    <cellStyle name="0_TAD-6131 Rev1(Audit) 4 5 6" xfId="28546" xr:uid="{00000000-0005-0000-0000-0000746F0000}"/>
    <cellStyle name="0_TAD-6131 Rev1(Audit) 4 5 6 2" xfId="28547" xr:uid="{00000000-0005-0000-0000-0000756F0000}"/>
    <cellStyle name="0_TAD-6131 Rev1(Audit) 4 5 7" xfId="28548" xr:uid="{00000000-0005-0000-0000-0000766F0000}"/>
    <cellStyle name="0_TAD-6131 Rev1(Audit) 4 5 7 2" xfId="28549" xr:uid="{00000000-0005-0000-0000-0000776F0000}"/>
    <cellStyle name="0_TAD-6131 Rev1(Audit) 4 5 8" xfId="28550" xr:uid="{00000000-0005-0000-0000-0000786F0000}"/>
    <cellStyle name="0_TAD-6131 Rev1(Audit) 4 6" xfId="28551" xr:uid="{00000000-0005-0000-0000-0000796F0000}"/>
    <cellStyle name="0_TAD-6131 Rev1(Audit) 4 6 2" xfId="28552" xr:uid="{00000000-0005-0000-0000-00007A6F0000}"/>
    <cellStyle name="0_TAD-6131 Rev1(Audit) 4 6 2 2" xfId="28553" xr:uid="{00000000-0005-0000-0000-00007B6F0000}"/>
    <cellStyle name="0_TAD-6131 Rev1(Audit) 4 6 2 2 2" xfId="28554" xr:uid="{00000000-0005-0000-0000-00007C6F0000}"/>
    <cellStyle name="0_TAD-6131 Rev1(Audit) 4 6 2 2 2 2" xfId="28555" xr:uid="{00000000-0005-0000-0000-00007D6F0000}"/>
    <cellStyle name="0_TAD-6131 Rev1(Audit) 4 6 2 2 3" xfId="28556" xr:uid="{00000000-0005-0000-0000-00007E6F0000}"/>
    <cellStyle name="0_TAD-6131 Rev1(Audit) 4 6 2 2 3 2" xfId="28557" xr:uid="{00000000-0005-0000-0000-00007F6F0000}"/>
    <cellStyle name="0_TAD-6131 Rev1(Audit) 4 6 2 2 4" xfId="28558" xr:uid="{00000000-0005-0000-0000-0000806F0000}"/>
    <cellStyle name="0_TAD-6131 Rev1(Audit) 4 6 2 3" xfId="28559" xr:uid="{00000000-0005-0000-0000-0000816F0000}"/>
    <cellStyle name="0_TAD-6131 Rev1(Audit) 4 6 2 3 2" xfId="28560" xr:uid="{00000000-0005-0000-0000-0000826F0000}"/>
    <cellStyle name="0_TAD-6131 Rev1(Audit) 4 6 2 3 2 2" xfId="28561" xr:uid="{00000000-0005-0000-0000-0000836F0000}"/>
    <cellStyle name="0_TAD-6131 Rev1(Audit) 4 6 2 3 3" xfId="28562" xr:uid="{00000000-0005-0000-0000-0000846F0000}"/>
    <cellStyle name="0_TAD-6131 Rev1(Audit) 4 6 2 3 3 2" xfId="28563" xr:uid="{00000000-0005-0000-0000-0000856F0000}"/>
    <cellStyle name="0_TAD-6131 Rev1(Audit) 4 6 2 3 4" xfId="28564" xr:uid="{00000000-0005-0000-0000-0000866F0000}"/>
    <cellStyle name="0_TAD-6131 Rev1(Audit) 4 6 2 4" xfId="28565" xr:uid="{00000000-0005-0000-0000-0000876F0000}"/>
    <cellStyle name="0_TAD-6131 Rev1(Audit) 4 6 2 4 2" xfId="28566" xr:uid="{00000000-0005-0000-0000-0000886F0000}"/>
    <cellStyle name="0_TAD-6131 Rev1(Audit) 4 6 2 5" xfId="28567" xr:uid="{00000000-0005-0000-0000-0000896F0000}"/>
    <cellStyle name="0_TAD-6131 Rev1(Audit) 4 6 2 5 2" xfId="28568" xr:uid="{00000000-0005-0000-0000-00008A6F0000}"/>
    <cellStyle name="0_TAD-6131 Rev1(Audit) 4 6 2 6" xfId="28569" xr:uid="{00000000-0005-0000-0000-00008B6F0000}"/>
    <cellStyle name="0_TAD-6131 Rev1(Audit) 4 6 3" xfId="28570" xr:uid="{00000000-0005-0000-0000-00008C6F0000}"/>
    <cellStyle name="0_TAD-6131 Rev1(Audit) 4 6 3 2" xfId="28571" xr:uid="{00000000-0005-0000-0000-00008D6F0000}"/>
    <cellStyle name="0_TAD-6131 Rev1(Audit) 4 6 3 2 2" xfId="28572" xr:uid="{00000000-0005-0000-0000-00008E6F0000}"/>
    <cellStyle name="0_TAD-6131 Rev1(Audit) 4 6 3 3" xfId="28573" xr:uid="{00000000-0005-0000-0000-00008F6F0000}"/>
    <cellStyle name="0_TAD-6131 Rev1(Audit) 4 6 3 3 2" xfId="28574" xr:uid="{00000000-0005-0000-0000-0000906F0000}"/>
    <cellStyle name="0_TAD-6131 Rev1(Audit) 4 6 3 4" xfId="28575" xr:uid="{00000000-0005-0000-0000-0000916F0000}"/>
    <cellStyle name="0_TAD-6131 Rev1(Audit) 4 6 4" xfId="28576" xr:uid="{00000000-0005-0000-0000-0000926F0000}"/>
    <cellStyle name="0_TAD-6131 Rev1(Audit) 4 6 4 2" xfId="28577" xr:uid="{00000000-0005-0000-0000-0000936F0000}"/>
    <cellStyle name="0_TAD-6131 Rev1(Audit) 4 6 4 2 2" xfId="28578" xr:uid="{00000000-0005-0000-0000-0000946F0000}"/>
    <cellStyle name="0_TAD-6131 Rev1(Audit) 4 6 4 3" xfId="28579" xr:uid="{00000000-0005-0000-0000-0000956F0000}"/>
    <cellStyle name="0_TAD-6131 Rev1(Audit) 4 6 4 3 2" xfId="28580" xr:uid="{00000000-0005-0000-0000-0000966F0000}"/>
    <cellStyle name="0_TAD-6131 Rev1(Audit) 4 6 4 4" xfId="28581" xr:uid="{00000000-0005-0000-0000-0000976F0000}"/>
    <cellStyle name="0_TAD-6131 Rev1(Audit) 4 6 5" xfId="28582" xr:uid="{00000000-0005-0000-0000-0000986F0000}"/>
    <cellStyle name="0_TAD-6131 Rev1(Audit) 4 6 5 2" xfId="28583" xr:uid="{00000000-0005-0000-0000-0000996F0000}"/>
    <cellStyle name="0_TAD-6131 Rev1(Audit) 4 6 5 2 2" xfId="28584" xr:uid="{00000000-0005-0000-0000-00009A6F0000}"/>
    <cellStyle name="0_TAD-6131 Rev1(Audit) 4 6 5 3" xfId="28585" xr:uid="{00000000-0005-0000-0000-00009B6F0000}"/>
    <cellStyle name="0_TAD-6131 Rev1(Audit) 4 6 5 3 2" xfId="28586" xr:uid="{00000000-0005-0000-0000-00009C6F0000}"/>
    <cellStyle name="0_TAD-6131 Rev1(Audit) 4 6 5 4" xfId="28587" xr:uid="{00000000-0005-0000-0000-00009D6F0000}"/>
    <cellStyle name="0_TAD-6131 Rev1(Audit) 4 6 6" xfId="28588" xr:uid="{00000000-0005-0000-0000-00009E6F0000}"/>
    <cellStyle name="0_TAD-6131 Rev1(Audit) 4 6 6 2" xfId="28589" xr:uid="{00000000-0005-0000-0000-00009F6F0000}"/>
    <cellStyle name="0_TAD-6131 Rev1(Audit) 4 6 7" xfId="28590" xr:uid="{00000000-0005-0000-0000-0000A06F0000}"/>
    <cellStyle name="0_TAD-6131 Rev1(Audit) 4 6 7 2" xfId="28591" xr:uid="{00000000-0005-0000-0000-0000A16F0000}"/>
    <cellStyle name="0_TAD-6131 Rev1(Audit) 4 6 8" xfId="28592" xr:uid="{00000000-0005-0000-0000-0000A26F0000}"/>
    <cellStyle name="0_TAD-6131 Rev1(Audit) 4 7" xfId="28593" xr:uid="{00000000-0005-0000-0000-0000A36F0000}"/>
    <cellStyle name="0_TAD-6131 Rev1(Audit) 4 7 2" xfId="28594" xr:uid="{00000000-0005-0000-0000-0000A46F0000}"/>
    <cellStyle name="0_TAD-6131 Rev1(Audit) 4 7 2 2" xfId="28595" xr:uid="{00000000-0005-0000-0000-0000A56F0000}"/>
    <cellStyle name="0_TAD-6131 Rev1(Audit) 4 7 2 2 2" xfId="28596" xr:uid="{00000000-0005-0000-0000-0000A66F0000}"/>
    <cellStyle name="0_TAD-6131 Rev1(Audit) 4 7 2 3" xfId="28597" xr:uid="{00000000-0005-0000-0000-0000A76F0000}"/>
    <cellStyle name="0_TAD-6131 Rev1(Audit) 4 7 2 3 2" xfId="28598" xr:uid="{00000000-0005-0000-0000-0000A86F0000}"/>
    <cellStyle name="0_TAD-6131 Rev1(Audit) 4 7 2 4" xfId="28599" xr:uid="{00000000-0005-0000-0000-0000A96F0000}"/>
    <cellStyle name="0_TAD-6131 Rev1(Audit) 4 7 3" xfId="28600" xr:uid="{00000000-0005-0000-0000-0000AA6F0000}"/>
    <cellStyle name="0_TAD-6131 Rev1(Audit) 4 7 3 2" xfId="28601" xr:uid="{00000000-0005-0000-0000-0000AB6F0000}"/>
    <cellStyle name="0_TAD-6131 Rev1(Audit) 4 7 3 2 2" xfId="28602" xr:uid="{00000000-0005-0000-0000-0000AC6F0000}"/>
    <cellStyle name="0_TAD-6131 Rev1(Audit) 4 7 3 3" xfId="28603" xr:uid="{00000000-0005-0000-0000-0000AD6F0000}"/>
    <cellStyle name="0_TAD-6131 Rev1(Audit) 4 7 3 3 2" xfId="28604" xr:uid="{00000000-0005-0000-0000-0000AE6F0000}"/>
    <cellStyle name="0_TAD-6131 Rev1(Audit) 4 7 3 4" xfId="28605" xr:uid="{00000000-0005-0000-0000-0000AF6F0000}"/>
    <cellStyle name="0_TAD-6131 Rev1(Audit) 4 7 4" xfId="28606" xr:uid="{00000000-0005-0000-0000-0000B06F0000}"/>
    <cellStyle name="0_TAD-6131 Rev1(Audit) 4 7 4 2" xfId="28607" xr:uid="{00000000-0005-0000-0000-0000B16F0000}"/>
    <cellStyle name="0_TAD-6131 Rev1(Audit) 4 7 5" xfId="28608" xr:uid="{00000000-0005-0000-0000-0000B26F0000}"/>
    <cellStyle name="0_TAD-6131 Rev1(Audit) 4 7 5 2" xfId="28609" xr:uid="{00000000-0005-0000-0000-0000B36F0000}"/>
    <cellStyle name="0_TAD-6131 Rev1(Audit) 4 7 6" xfId="28610" xr:uid="{00000000-0005-0000-0000-0000B46F0000}"/>
    <cellStyle name="0_TAD-6131 Rev1(Audit) 4 8" xfId="28611" xr:uid="{00000000-0005-0000-0000-0000B56F0000}"/>
    <cellStyle name="0_TAD-6131 Rev1(Audit) 4 8 2" xfId="28612" xr:uid="{00000000-0005-0000-0000-0000B66F0000}"/>
    <cellStyle name="0_TAD-6131 Rev1(Audit) 4 8 2 2" xfId="28613" xr:uid="{00000000-0005-0000-0000-0000B76F0000}"/>
    <cellStyle name="0_TAD-6131 Rev1(Audit) 4 8 3" xfId="28614" xr:uid="{00000000-0005-0000-0000-0000B86F0000}"/>
    <cellStyle name="0_TAD-6131 Rev1(Audit) 4 8 3 2" xfId="28615" xr:uid="{00000000-0005-0000-0000-0000B96F0000}"/>
    <cellStyle name="0_TAD-6131 Rev1(Audit) 4 8 4" xfId="28616" xr:uid="{00000000-0005-0000-0000-0000BA6F0000}"/>
    <cellStyle name="0_TAD-6131 Rev1(Audit) 4 9" xfId="28617" xr:uid="{00000000-0005-0000-0000-0000BB6F0000}"/>
    <cellStyle name="0_TAD-6131 Rev1(Audit) 4 9 2" xfId="28618" xr:uid="{00000000-0005-0000-0000-0000BC6F0000}"/>
    <cellStyle name="0_TAD-6131 Rev1(Audit) 4 9 2 2" xfId="28619" xr:uid="{00000000-0005-0000-0000-0000BD6F0000}"/>
    <cellStyle name="0_TAD-6131 Rev1(Audit) 4 9 3" xfId="28620" xr:uid="{00000000-0005-0000-0000-0000BE6F0000}"/>
    <cellStyle name="0_TAD-6131 Rev1(Audit) 4 9 3 2" xfId="28621" xr:uid="{00000000-0005-0000-0000-0000BF6F0000}"/>
    <cellStyle name="0_TAD-6131 Rev1(Audit) 4 9 4" xfId="28622" xr:uid="{00000000-0005-0000-0000-0000C06F0000}"/>
    <cellStyle name="0_TAD-6131 Rev1(Audit) 5" xfId="28623" xr:uid="{00000000-0005-0000-0000-0000C16F0000}"/>
    <cellStyle name="0_TAD-6131 Rev1(Audit) 5 10" xfId="28624" xr:uid="{00000000-0005-0000-0000-0000C26F0000}"/>
    <cellStyle name="0_TAD-6131 Rev1(Audit) 5 10 2" xfId="28625" xr:uid="{00000000-0005-0000-0000-0000C36F0000}"/>
    <cellStyle name="0_TAD-6131 Rev1(Audit) 5 10 2 2" xfId="28626" xr:uid="{00000000-0005-0000-0000-0000C46F0000}"/>
    <cellStyle name="0_TAD-6131 Rev1(Audit) 5 10 3" xfId="28627" xr:uid="{00000000-0005-0000-0000-0000C56F0000}"/>
    <cellStyle name="0_TAD-6131 Rev1(Audit) 5 10 3 2" xfId="28628" xr:uid="{00000000-0005-0000-0000-0000C66F0000}"/>
    <cellStyle name="0_TAD-6131 Rev1(Audit) 5 10 4" xfId="28629" xr:uid="{00000000-0005-0000-0000-0000C76F0000}"/>
    <cellStyle name="0_TAD-6131 Rev1(Audit) 5 11" xfId="28630" xr:uid="{00000000-0005-0000-0000-0000C86F0000}"/>
    <cellStyle name="0_TAD-6131 Rev1(Audit) 5 11 2" xfId="28631" xr:uid="{00000000-0005-0000-0000-0000C96F0000}"/>
    <cellStyle name="0_TAD-6131 Rev1(Audit) 5 12" xfId="28632" xr:uid="{00000000-0005-0000-0000-0000CA6F0000}"/>
    <cellStyle name="0_TAD-6131 Rev1(Audit) 5 12 2" xfId="28633" xr:uid="{00000000-0005-0000-0000-0000CB6F0000}"/>
    <cellStyle name="0_TAD-6131 Rev1(Audit) 5 13" xfId="28634" xr:uid="{00000000-0005-0000-0000-0000CC6F0000}"/>
    <cellStyle name="0_TAD-6131 Rev1(Audit) 5 2" xfId="28635" xr:uid="{00000000-0005-0000-0000-0000CD6F0000}"/>
    <cellStyle name="0_TAD-6131 Rev1(Audit) 5 2 2" xfId="28636" xr:uid="{00000000-0005-0000-0000-0000CE6F0000}"/>
    <cellStyle name="0_TAD-6131 Rev1(Audit) 5 2 2 2" xfId="28637" xr:uid="{00000000-0005-0000-0000-0000CF6F0000}"/>
    <cellStyle name="0_TAD-6131 Rev1(Audit) 5 2 2 2 2" xfId="28638" xr:uid="{00000000-0005-0000-0000-0000D06F0000}"/>
    <cellStyle name="0_TAD-6131 Rev1(Audit) 5 2 2 2 2 2" xfId="28639" xr:uid="{00000000-0005-0000-0000-0000D16F0000}"/>
    <cellStyle name="0_TAD-6131 Rev1(Audit) 5 2 2 2 3" xfId="28640" xr:uid="{00000000-0005-0000-0000-0000D26F0000}"/>
    <cellStyle name="0_TAD-6131 Rev1(Audit) 5 2 2 2 3 2" xfId="28641" xr:uid="{00000000-0005-0000-0000-0000D36F0000}"/>
    <cellStyle name="0_TAD-6131 Rev1(Audit) 5 2 2 2 4" xfId="28642" xr:uid="{00000000-0005-0000-0000-0000D46F0000}"/>
    <cellStyle name="0_TAD-6131 Rev1(Audit) 5 2 2 3" xfId="28643" xr:uid="{00000000-0005-0000-0000-0000D56F0000}"/>
    <cellStyle name="0_TAD-6131 Rev1(Audit) 5 2 2 3 2" xfId="28644" xr:uid="{00000000-0005-0000-0000-0000D66F0000}"/>
    <cellStyle name="0_TAD-6131 Rev1(Audit) 5 2 2 3 2 2" xfId="28645" xr:uid="{00000000-0005-0000-0000-0000D76F0000}"/>
    <cellStyle name="0_TAD-6131 Rev1(Audit) 5 2 2 3 3" xfId="28646" xr:uid="{00000000-0005-0000-0000-0000D86F0000}"/>
    <cellStyle name="0_TAD-6131 Rev1(Audit) 5 2 2 3 3 2" xfId="28647" xr:uid="{00000000-0005-0000-0000-0000D96F0000}"/>
    <cellStyle name="0_TAD-6131 Rev1(Audit) 5 2 2 3 4" xfId="28648" xr:uid="{00000000-0005-0000-0000-0000DA6F0000}"/>
    <cellStyle name="0_TAD-6131 Rev1(Audit) 5 2 2 4" xfId="28649" xr:uid="{00000000-0005-0000-0000-0000DB6F0000}"/>
    <cellStyle name="0_TAD-6131 Rev1(Audit) 5 2 2 4 2" xfId="28650" xr:uid="{00000000-0005-0000-0000-0000DC6F0000}"/>
    <cellStyle name="0_TAD-6131 Rev1(Audit) 5 2 2 5" xfId="28651" xr:uid="{00000000-0005-0000-0000-0000DD6F0000}"/>
    <cellStyle name="0_TAD-6131 Rev1(Audit) 5 2 2 5 2" xfId="28652" xr:uid="{00000000-0005-0000-0000-0000DE6F0000}"/>
    <cellStyle name="0_TAD-6131 Rev1(Audit) 5 2 2 6" xfId="28653" xr:uid="{00000000-0005-0000-0000-0000DF6F0000}"/>
    <cellStyle name="0_TAD-6131 Rev1(Audit) 5 2 3" xfId="28654" xr:uid="{00000000-0005-0000-0000-0000E06F0000}"/>
    <cellStyle name="0_TAD-6131 Rev1(Audit) 5 2 3 2" xfId="28655" xr:uid="{00000000-0005-0000-0000-0000E16F0000}"/>
    <cellStyle name="0_TAD-6131 Rev1(Audit) 5 2 3 2 2" xfId="28656" xr:uid="{00000000-0005-0000-0000-0000E26F0000}"/>
    <cellStyle name="0_TAD-6131 Rev1(Audit) 5 2 3 3" xfId="28657" xr:uid="{00000000-0005-0000-0000-0000E36F0000}"/>
    <cellStyle name="0_TAD-6131 Rev1(Audit) 5 2 3 3 2" xfId="28658" xr:uid="{00000000-0005-0000-0000-0000E46F0000}"/>
    <cellStyle name="0_TAD-6131 Rev1(Audit) 5 2 3 4" xfId="28659" xr:uid="{00000000-0005-0000-0000-0000E56F0000}"/>
    <cellStyle name="0_TAD-6131 Rev1(Audit) 5 2 4" xfId="28660" xr:uid="{00000000-0005-0000-0000-0000E66F0000}"/>
    <cellStyle name="0_TAD-6131 Rev1(Audit) 5 2 4 2" xfId="28661" xr:uid="{00000000-0005-0000-0000-0000E76F0000}"/>
    <cellStyle name="0_TAD-6131 Rev1(Audit) 5 2 4 2 2" xfId="28662" xr:uid="{00000000-0005-0000-0000-0000E86F0000}"/>
    <cellStyle name="0_TAD-6131 Rev1(Audit) 5 2 4 3" xfId="28663" xr:uid="{00000000-0005-0000-0000-0000E96F0000}"/>
    <cellStyle name="0_TAD-6131 Rev1(Audit) 5 2 4 3 2" xfId="28664" xr:uid="{00000000-0005-0000-0000-0000EA6F0000}"/>
    <cellStyle name="0_TAD-6131 Rev1(Audit) 5 2 4 4" xfId="28665" xr:uid="{00000000-0005-0000-0000-0000EB6F0000}"/>
    <cellStyle name="0_TAD-6131 Rev1(Audit) 5 2 5" xfId="28666" xr:uid="{00000000-0005-0000-0000-0000EC6F0000}"/>
    <cellStyle name="0_TAD-6131 Rev1(Audit) 5 2 5 2" xfId="28667" xr:uid="{00000000-0005-0000-0000-0000ED6F0000}"/>
    <cellStyle name="0_TAD-6131 Rev1(Audit) 5 2 5 2 2" xfId="28668" xr:uid="{00000000-0005-0000-0000-0000EE6F0000}"/>
    <cellStyle name="0_TAD-6131 Rev1(Audit) 5 2 5 3" xfId="28669" xr:uid="{00000000-0005-0000-0000-0000EF6F0000}"/>
    <cellStyle name="0_TAD-6131 Rev1(Audit) 5 2 5 3 2" xfId="28670" xr:uid="{00000000-0005-0000-0000-0000F06F0000}"/>
    <cellStyle name="0_TAD-6131 Rev1(Audit) 5 2 5 4" xfId="28671" xr:uid="{00000000-0005-0000-0000-0000F16F0000}"/>
    <cellStyle name="0_TAD-6131 Rev1(Audit) 5 2 6" xfId="28672" xr:uid="{00000000-0005-0000-0000-0000F26F0000}"/>
    <cellStyle name="0_TAD-6131 Rev1(Audit) 5 2 6 2" xfId="28673" xr:uid="{00000000-0005-0000-0000-0000F36F0000}"/>
    <cellStyle name="0_TAD-6131 Rev1(Audit) 5 2 7" xfId="28674" xr:uid="{00000000-0005-0000-0000-0000F46F0000}"/>
    <cellStyle name="0_TAD-6131 Rev1(Audit) 5 2 7 2" xfId="28675" xr:uid="{00000000-0005-0000-0000-0000F56F0000}"/>
    <cellStyle name="0_TAD-6131 Rev1(Audit) 5 2 8" xfId="28676" xr:uid="{00000000-0005-0000-0000-0000F66F0000}"/>
    <cellStyle name="0_TAD-6131 Rev1(Audit) 5 3" xfId="28677" xr:uid="{00000000-0005-0000-0000-0000F76F0000}"/>
    <cellStyle name="0_TAD-6131 Rev1(Audit) 5 3 2" xfId="28678" xr:uid="{00000000-0005-0000-0000-0000F86F0000}"/>
    <cellStyle name="0_TAD-6131 Rev1(Audit) 5 3 2 2" xfId="28679" xr:uid="{00000000-0005-0000-0000-0000F96F0000}"/>
    <cellStyle name="0_TAD-6131 Rev1(Audit) 5 3 2 2 2" xfId="28680" xr:uid="{00000000-0005-0000-0000-0000FA6F0000}"/>
    <cellStyle name="0_TAD-6131 Rev1(Audit) 5 3 2 2 2 2" xfId="28681" xr:uid="{00000000-0005-0000-0000-0000FB6F0000}"/>
    <cellStyle name="0_TAD-6131 Rev1(Audit) 5 3 2 2 3" xfId="28682" xr:uid="{00000000-0005-0000-0000-0000FC6F0000}"/>
    <cellStyle name="0_TAD-6131 Rev1(Audit) 5 3 2 2 3 2" xfId="28683" xr:uid="{00000000-0005-0000-0000-0000FD6F0000}"/>
    <cellStyle name="0_TAD-6131 Rev1(Audit) 5 3 2 2 4" xfId="28684" xr:uid="{00000000-0005-0000-0000-0000FE6F0000}"/>
    <cellStyle name="0_TAD-6131 Rev1(Audit) 5 3 2 3" xfId="28685" xr:uid="{00000000-0005-0000-0000-0000FF6F0000}"/>
    <cellStyle name="0_TAD-6131 Rev1(Audit) 5 3 2 3 2" xfId="28686" xr:uid="{00000000-0005-0000-0000-000000700000}"/>
    <cellStyle name="0_TAD-6131 Rev1(Audit) 5 3 2 3 2 2" xfId="28687" xr:uid="{00000000-0005-0000-0000-000001700000}"/>
    <cellStyle name="0_TAD-6131 Rev1(Audit) 5 3 2 3 3" xfId="28688" xr:uid="{00000000-0005-0000-0000-000002700000}"/>
    <cellStyle name="0_TAD-6131 Rev1(Audit) 5 3 2 3 3 2" xfId="28689" xr:uid="{00000000-0005-0000-0000-000003700000}"/>
    <cellStyle name="0_TAD-6131 Rev1(Audit) 5 3 2 3 4" xfId="28690" xr:uid="{00000000-0005-0000-0000-000004700000}"/>
    <cellStyle name="0_TAD-6131 Rev1(Audit) 5 3 2 4" xfId="28691" xr:uid="{00000000-0005-0000-0000-000005700000}"/>
    <cellStyle name="0_TAD-6131 Rev1(Audit) 5 3 2 4 2" xfId="28692" xr:uid="{00000000-0005-0000-0000-000006700000}"/>
    <cellStyle name="0_TAD-6131 Rev1(Audit) 5 3 2 5" xfId="28693" xr:uid="{00000000-0005-0000-0000-000007700000}"/>
    <cellStyle name="0_TAD-6131 Rev1(Audit) 5 3 2 5 2" xfId="28694" xr:uid="{00000000-0005-0000-0000-000008700000}"/>
    <cellStyle name="0_TAD-6131 Rev1(Audit) 5 3 2 6" xfId="28695" xr:uid="{00000000-0005-0000-0000-000009700000}"/>
    <cellStyle name="0_TAD-6131 Rev1(Audit) 5 3 3" xfId="28696" xr:uid="{00000000-0005-0000-0000-00000A700000}"/>
    <cellStyle name="0_TAD-6131 Rev1(Audit) 5 3 3 2" xfId="28697" xr:uid="{00000000-0005-0000-0000-00000B700000}"/>
    <cellStyle name="0_TAD-6131 Rev1(Audit) 5 3 3 2 2" xfId="28698" xr:uid="{00000000-0005-0000-0000-00000C700000}"/>
    <cellStyle name="0_TAD-6131 Rev1(Audit) 5 3 3 3" xfId="28699" xr:uid="{00000000-0005-0000-0000-00000D700000}"/>
    <cellStyle name="0_TAD-6131 Rev1(Audit) 5 3 3 3 2" xfId="28700" xr:uid="{00000000-0005-0000-0000-00000E700000}"/>
    <cellStyle name="0_TAD-6131 Rev1(Audit) 5 3 3 4" xfId="28701" xr:uid="{00000000-0005-0000-0000-00000F700000}"/>
    <cellStyle name="0_TAD-6131 Rev1(Audit) 5 3 4" xfId="28702" xr:uid="{00000000-0005-0000-0000-000010700000}"/>
    <cellStyle name="0_TAD-6131 Rev1(Audit) 5 3 4 2" xfId="28703" xr:uid="{00000000-0005-0000-0000-000011700000}"/>
    <cellStyle name="0_TAD-6131 Rev1(Audit) 5 3 4 2 2" xfId="28704" xr:uid="{00000000-0005-0000-0000-000012700000}"/>
    <cellStyle name="0_TAD-6131 Rev1(Audit) 5 3 4 3" xfId="28705" xr:uid="{00000000-0005-0000-0000-000013700000}"/>
    <cellStyle name="0_TAD-6131 Rev1(Audit) 5 3 4 3 2" xfId="28706" xr:uid="{00000000-0005-0000-0000-000014700000}"/>
    <cellStyle name="0_TAD-6131 Rev1(Audit) 5 3 4 4" xfId="28707" xr:uid="{00000000-0005-0000-0000-000015700000}"/>
    <cellStyle name="0_TAD-6131 Rev1(Audit) 5 3 5" xfId="28708" xr:uid="{00000000-0005-0000-0000-000016700000}"/>
    <cellStyle name="0_TAD-6131 Rev1(Audit) 5 3 5 2" xfId="28709" xr:uid="{00000000-0005-0000-0000-000017700000}"/>
    <cellStyle name="0_TAD-6131 Rev1(Audit) 5 3 5 2 2" xfId="28710" xr:uid="{00000000-0005-0000-0000-000018700000}"/>
    <cellStyle name="0_TAD-6131 Rev1(Audit) 5 3 5 3" xfId="28711" xr:uid="{00000000-0005-0000-0000-000019700000}"/>
    <cellStyle name="0_TAD-6131 Rev1(Audit) 5 3 5 3 2" xfId="28712" xr:uid="{00000000-0005-0000-0000-00001A700000}"/>
    <cellStyle name="0_TAD-6131 Rev1(Audit) 5 3 5 4" xfId="28713" xr:uid="{00000000-0005-0000-0000-00001B700000}"/>
    <cellStyle name="0_TAD-6131 Rev1(Audit) 5 3 6" xfId="28714" xr:uid="{00000000-0005-0000-0000-00001C700000}"/>
    <cellStyle name="0_TAD-6131 Rev1(Audit) 5 3 6 2" xfId="28715" xr:uid="{00000000-0005-0000-0000-00001D700000}"/>
    <cellStyle name="0_TAD-6131 Rev1(Audit) 5 3 7" xfId="28716" xr:uid="{00000000-0005-0000-0000-00001E700000}"/>
    <cellStyle name="0_TAD-6131 Rev1(Audit) 5 3 7 2" xfId="28717" xr:uid="{00000000-0005-0000-0000-00001F700000}"/>
    <cellStyle name="0_TAD-6131 Rev1(Audit) 5 3 8" xfId="28718" xr:uid="{00000000-0005-0000-0000-000020700000}"/>
    <cellStyle name="0_TAD-6131 Rev1(Audit) 5 4" xfId="28719" xr:uid="{00000000-0005-0000-0000-000021700000}"/>
    <cellStyle name="0_TAD-6131 Rev1(Audit) 5 4 2" xfId="28720" xr:uid="{00000000-0005-0000-0000-000022700000}"/>
    <cellStyle name="0_TAD-6131 Rev1(Audit) 5 4 2 2" xfId="28721" xr:uid="{00000000-0005-0000-0000-000023700000}"/>
    <cellStyle name="0_TAD-6131 Rev1(Audit) 5 4 2 2 2" xfId="28722" xr:uid="{00000000-0005-0000-0000-000024700000}"/>
    <cellStyle name="0_TAD-6131 Rev1(Audit) 5 4 2 2 2 2" xfId="28723" xr:uid="{00000000-0005-0000-0000-000025700000}"/>
    <cellStyle name="0_TAD-6131 Rev1(Audit) 5 4 2 2 3" xfId="28724" xr:uid="{00000000-0005-0000-0000-000026700000}"/>
    <cellStyle name="0_TAD-6131 Rev1(Audit) 5 4 2 2 3 2" xfId="28725" xr:uid="{00000000-0005-0000-0000-000027700000}"/>
    <cellStyle name="0_TAD-6131 Rev1(Audit) 5 4 2 2 4" xfId="28726" xr:uid="{00000000-0005-0000-0000-000028700000}"/>
    <cellStyle name="0_TAD-6131 Rev1(Audit) 5 4 2 3" xfId="28727" xr:uid="{00000000-0005-0000-0000-000029700000}"/>
    <cellStyle name="0_TAD-6131 Rev1(Audit) 5 4 2 3 2" xfId="28728" xr:uid="{00000000-0005-0000-0000-00002A700000}"/>
    <cellStyle name="0_TAD-6131 Rev1(Audit) 5 4 2 3 2 2" xfId="28729" xr:uid="{00000000-0005-0000-0000-00002B700000}"/>
    <cellStyle name="0_TAD-6131 Rev1(Audit) 5 4 2 3 3" xfId="28730" xr:uid="{00000000-0005-0000-0000-00002C700000}"/>
    <cellStyle name="0_TAD-6131 Rev1(Audit) 5 4 2 3 3 2" xfId="28731" xr:uid="{00000000-0005-0000-0000-00002D700000}"/>
    <cellStyle name="0_TAD-6131 Rev1(Audit) 5 4 2 3 4" xfId="28732" xr:uid="{00000000-0005-0000-0000-00002E700000}"/>
    <cellStyle name="0_TAD-6131 Rev1(Audit) 5 4 2 4" xfId="28733" xr:uid="{00000000-0005-0000-0000-00002F700000}"/>
    <cellStyle name="0_TAD-6131 Rev1(Audit) 5 4 2 4 2" xfId="28734" xr:uid="{00000000-0005-0000-0000-000030700000}"/>
    <cellStyle name="0_TAD-6131 Rev1(Audit) 5 4 2 5" xfId="28735" xr:uid="{00000000-0005-0000-0000-000031700000}"/>
    <cellStyle name="0_TAD-6131 Rev1(Audit) 5 4 2 5 2" xfId="28736" xr:uid="{00000000-0005-0000-0000-000032700000}"/>
    <cellStyle name="0_TAD-6131 Rev1(Audit) 5 4 2 6" xfId="28737" xr:uid="{00000000-0005-0000-0000-000033700000}"/>
    <cellStyle name="0_TAD-6131 Rev1(Audit) 5 4 3" xfId="28738" xr:uid="{00000000-0005-0000-0000-000034700000}"/>
    <cellStyle name="0_TAD-6131 Rev1(Audit) 5 4 3 2" xfId="28739" xr:uid="{00000000-0005-0000-0000-000035700000}"/>
    <cellStyle name="0_TAD-6131 Rev1(Audit) 5 4 3 2 2" xfId="28740" xr:uid="{00000000-0005-0000-0000-000036700000}"/>
    <cellStyle name="0_TAD-6131 Rev1(Audit) 5 4 3 3" xfId="28741" xr:uid="{00000000-0005-0000-0000-000037700000}"/>
    <cellStyle name="0_TAD-6131 Rev1(Audit) 5 4 3 3 2" xfId="28742" xr:uid="{00000000-0005-0000-0000-000038700000}"/>
    <cellStyle name="0_TAD-6131 Rev1(Audit) 5 4 3 4" xfId="28743" xr:uid="{00000000-0005-0000-0000-000039700000}"/>
    <cellStyle name="0_TAD-6131 Rev1(Audit) 5 4 4" xfId="28744" xr:uid="{00000000-0005-0000-0000-00003A700000}"/>
    <cellStyle name="0_TAD-6131 Rev1(Audit) 5 4 4 2" xfId="28745" xr:uid="{00000000-0005-0000-0000-00003B700000}"/>
    <cellStyle name="0_TAD-6131 Rev1(Audit) 5 4 4 2 2" xfId="28746" xr:uid="{00000000-0005-0000-0000-00003C700000}"/>
    <cellStyle name="0_TAD-6131 Rev1(Audit) 5 4 4 3" xfId="28747" xr:uid="{00000000-0005-0000-0000-00003D700000}"/>
    <cellStyle name="0_TAD-6131 Rev1(Audit) 5 4 4 3 2" xfId="28748" xr:uid="{00000000-0005-0000-0000-00003E700000}"/>
    <cellStyle name="0_TAD-6131 Rev1(Audit) 5 4 4 4" xfId="28749" xr:uid="{00000000-0005-0000-0000-00003F700000}"/>
    <cellStyle name="0_TAD-6131 Rev1(Audit) 5 4 5" xfId="28750" xr:uid="{00000000-0005-0000-0000-000040700000}"/>
    <cellStyle name="0_TAD-6131 Rev1(Audit) 5 4 5 2" xfId="28751" xr:uid="{00000000-0005-0000-0000-000041700000}"/>
    <cellStyle name="0_TAD-6131 Rev1(Audit) 5 4 5 2 2" xfId="28752" xr:uid="{00000000-0005-0000-0000-000042700000}"/>
    <cellStyle name="0_TAD-6131 Rev1(Audit) 5 4 5 3" xfId="28753" xr:uid="{00000000-0005-0000-0000-000043700000}"/>
    <cellStyle name="0_TAD-6131 Rev1(Audit) 5 4 5 3 2" xfId="28754" xr:uid="{00000000-0005-0000-0000-000044700000}"/>
    <cellStyle name="0_TAD-6131 Rev1(Audit) 5 4 5 4" xfId="28755" xr:uid="{00000000-0005-0000-0000-000045700000}"/>
    <cellStyle name="0_TAD-6131 Rev1(Audit) 5 4 6" xfId="28756" xr:uid="{00000000-0005-0000-0000-000046700000}"/>
    <cellStyle name="0_TAD-6131 Rev1(Audit) 5 4 6 2" xfId="28757" xr:uid="{00000000-0005-0000-0000-000047700000}"/>
    <cellStyle name="0_TAD-6131 Rev1(Audit) 5 4 7" xfId="28758" xr:uid="{00000000-0005-0000-0000-000048700000}"/>
    <cellStyle name="0_TAD-6131 Rev1(Audit) 5 4 7 2" xfId="28759" xr:uid="{00000000-0005-0000-0000-000049700000}"/>
    <cellStyle name="0_TAD-6131 Rev1(Audit) 5 4 8" xfId="28760" xr:uid="{00000000-0005-0000-0000-00004A700000}"/>
    <cellStyle name="0_TAD-6131 Rev1(Audit) 5 5" xfId="28761" xr:uid="{00000000-0005-0000-0000-00004B700000}"/>
    <cellStyle name="0_TAD-6131 Rev1(Audit) 5 5 2" xfId="28762" xr:uid="{00000000-0005-0000-0000-00004C700000}"/>
    <cellStyle name="0_TAD-6131 Rev1(Audit) 5 5 2 2" xfId="28763" xr:uid="{00000000-0005-0000-0000-00004D700000}"/>
    <cellStyle name="0_TAD-6131 Rev1(Audit) 5 5 2 2 2" xfId="28764" xr:uid="{00000000-0005-0000-0000-00004E700000}"/>
    <cellStyle name="0_TAD-6131 Rev1(Audit) 5 5 2 2 2 2" xfId="28765" xr:uid="{00000000-0005-0000-0000-00004F700000}"/>
    <cellStyle name="0_TAD-6131 Rev1(Audit) 5 5 2 2 3" xfId="28766" xr:uid="{00000000-0005-0000-0000-000050700000}"/>
    <cellStyle name="0_TAD-6131 Rev1(Audit) 5 5 2 2 3 2" xfId="28767" xr:uid="{00000000-0005-0000-0000-000051700000}"/>
    <cellStyle name="0_TAD-6131 Rev1(Audit) 5 5 2 2 4" xfId="28768" xr:uid="{00000000-0005-0000-0000-000052700000}"/>
    <cellStyle name="0_TAD-6131 Rev1(Audit) 5 5 2 3" xfId="28769" xr:uid="{00000000-0005-0000-0000-000053700000}"/>
    <cellStyle name="0_TAD-6131 Rev1(Audit) 5 5 2 3 2" xfId="28770" xr:uid="{00000000-0005-0000-0000-000054700000}"/>
    <cellStyle name="0_TAD-6131 Rev1(Audit) 5 5 2 3 2 2" xfId="28771" xr:uid="{00000000-0005-0000-0000-000055700000}"/>
    <cellStyle name="0_TAD-6131 Rev1(Audit) 5 5 2 3 3" xfId="28772" xr:uid="{00000000-0005-0000-0000-000056700000}"/>
    <cellStyle name="0_TAD-6131 Rev1(Audit) 5 5 2 3 3 2" xfId="28773" xr:uid="{00000000-0005-0000-0000-000057700000}"/>
    <cellStyle name="0_TAD-6131 Rev1(Audit) 5 5 2 3 4" xfId="28774" xr:uid="{00000000-0005-0000-0000-000058700000}"/>
    <cellStyle name="0_TAD-6131 Rev1(Audit) 5 5 2 4" xfId="28775" xr:uid="{00000000-0005-0000-0000-000059700000}"/>
    <cellStyle name="0_TAD-6131 Rev1(Audit) 5 5 2 4 2" xfId="28776" xr:uid="{00000000-0005-0000-0000-00005A700000}"/>
    <cellStyle name="0_TAD-6131 Rev1(Audit) 5 5 2 5" xfId="28777" xr:uid="{00000000-0005-0000-0000-00005B700000}"/>
    <cellStyle name="0_TAD-6131 Rev1(Audit) 5 5 2 5 2" xfId="28778" xr:uid="{00000000-0005-0000-0000-00005C700000}"/>
    <cellStyle name="0_TAD-6131 Rev1(Audit) 5 5 2 6" xfId="28779" xr:uid="{00000000-0005-0000-0000-00005D700000}"/>
    <cellStyle name="0_TAD-6131 Rev1(Audit) 5 5 3" xfId="28780" xr:uid="{00000000-0005-0000-0000-00005E700000}"/>
    <cellStyle name="0_TAD-6131 Rev1(Audit) 5 5 3 2" xfId="28781" xr:uid="{00000000-0005-0000-0000-00005F700000}"/>
    <cellStyle name="0_TAD-6131 Rev1(Audit) 5 5 3 2 2" xfId="28782" xr:uid="{00000000-0005-0000-0000-000060700000}"/>
    <cellStyle name="0_TAD-6131 Rev1(Audit) 5 5 3 3" xfId="28783" xr:uid="{00000000-0005-0000-0000-000061700000}"/>
    <cellStyle name="0_TAD-6131 Rev1(Audit) 5 5 3 3 2" xfId="28784" xr:uid="{00000000-0005-0000-0000-000062700000}"/>
    <cellStyle name="0_TAD-6131 Rev1(Audit) 5 5 3 4" xfId="28785" xr:uid="{00000000-0005-0000-0000-000063700000}"/>
    <cellStyle name="0_TAD-6131 Rev1(Audit) 5 5 4" xfId="28786" xr:uid="{00000000-0005-0000-0000-000064700000}"/>
    <cellStyle name="0_TAD-6131 Rev1(Audit) 5 5 4 2" xfId="28787" xr:uid="{00000000-0005-0000-0000-000065700000}"/>
    <cellStyle name="0_TAD-6131 Rev1(Audit) 5 5 4 2 2" xfId="28788" xr:uid="{00000000-0005-0000-0000-000066700000}"/>
    <cellStyle name="0_TAD-6131 Rev1(Audit) 5 5 4 3" xfId="28789" xr:uid="{00000000-0005-0000-0000-000067700000}"/>
    <cellStyle name="0_TAD-6131 Rev1(Audit) 5 5 4 3 2" xfId="28790" xr:uid="{00000000-0005-0000-0000-000068700000}"/>
    <cellStyle name="0_TAD-6131 Rev1(Audit) 5 5 4 4" xfId="28791" xr:uid="{00000000-0005-0000-0000-000069700000}"/>
    <cellStyle name="0_TAD-6131 Rev1(Audit) 5 5 5" xfId="28792" xr:uid="{00000000-0005-0000-0000-00006A700000}"/>
    <cellStyle name="0_TAD-6131 Rev1(Audit) 5 5 5 2" xfId="28793" xr:uid="{00000000-0005-0000-0000-00006B700000}"/>
    <cellStyle name="0_TAD-6131 Rev1(Audit) 5 5 5 2 2" xfId="28794" xr:uid="{00000000-0005-0000-0000-00006C700000}"/>
    <cellStyle name="0_TAD-6131 Rev1(Audit) 5 5 5 3" xfId="28795" xr:uid="{00000000-0005-0000-0000-00006D700000}"/>
    <cellStyle name="0_TAD-6131 Rev1(Audit) 5 5 5 3 2" xfId="28796" xr:uid="{00000000-0005-0000-0000-00006E700000}"/>
    <cellStyle name="0_TAD-6131 Rev1(Audit) 5 5 5 4" xfId="28797" xr:uid="{00000000-0005-0000-0000-00006F700000}"/>
    <cellStyle name="0_TAD-6131 Rev1(Audit) 5 5 6" xfId="28798" xr:uid="{00000000-0005-0000-0000-000070700000}"/>
    <cellStyle name="0_TAD-6131 Rev1(Audit) 5 5 6 2" xfId="28799" xr:uid="{00000000-0005-0000-0000-000071700000}"/>
    <cellStyle name="0_TAD-6131 Rev1(Audit) 5 5 7" xfId="28800" xr:uid="{00000000-0005-0000-0000-000072700000}"/>
    <cellStyle name="0_TAD-6131 Rev1(Audit) 5 5 7 2" xfId="28801" xr:uid="{00000000-0005-0000-0000-000073700000}"/>
    <cellStyle name="0_TAD-6131 Rev1(Audit) 5 5 8" xfId="28802" xr:uid="{00000000-0005-0000-0000-000074700000}"/>
    <cellStyle name="0_TAD-6131 Rev1(Audit) 5 6" xfId="28803" xr:uid="{00000000-0005-0000-0000-000075700000}"/>
    <cellStyle name="0_TAD-6131 Rev1(Audit) 5 6 2" xfId="28804" xr:uid="{00000000-0005-0000-0000-000076700000}"/>
    <cellStyle name="0_TAD-6131 Rev1(Audit) 5 6 2 2" xfId="28805" xr:uid="{00000000-0005-0000-0000-000077700000}"/>
    <cellStyle name="0_TAD-6131 Rev1(Audit) 5 6 2 2 2" xfId="28806" xr:uid="{00000000-0005-0000-0000-000078700000}"/>
    <cellStyle name="0_TAD-6131 Rev1(Audit) 5 6 2 2 2 2" xfId="28807" xr:uid="{00000000-0005-0000-0000-000079700000}"/>
    <cellStyle name="0_TAD-6131 Rev1(Audit) 5 6 2 2 3" xfId="28808" xr:uid="{00000000-0005-0000-0000-00007A700000}"/>
    <cellStyle name="0_TAD-6131 Rev1(Audit) 5 6 2 2 3 2" xfId="28809" xr:uid="{00000000-0005-0000-0000-00007B700000}"/>
    <cellStyle name="0_TAD-6131 Rev1(Audit) 5 6 2 2 4" xfId="28810" xr:uid="{00000000-0005-0000-0000-00007C700000}"/>
    <cellStyle name="0_TAD-6131 Rev1(Audit) 5 6 2 3" xfId="28811" xr:uid="{00000000-0005-0000-0000-00007D700000}"/>
    <cellStyle name="0_TAD-6131 Rev1(Audit) 5 6 2 3 2" xfId="28812" xr:uid="{00000000-0005-0000-0000-00007E700000}"/>
    <cellStyle name="0_TAD-6131 Rev1(Audit) 5 6 2 3 2 2" xfId="28813" xr:uid="{00000000-0005-0000-0000-00007F700000}"/>
    <cellStyle name="0_TAD-6131 Rev1(Audit) 5 6 2 3 3" xfId="28814" xr:uid="{00000000-0005-0000-0000-000080700000}"/>
    <cellStyle name="0_TAD-6131 Rev1(Audit) 5 6 2 3 3 2" xfId="28815" xr:uid="{00000000-0005-0000-0000-000081700000}"/>
    <cellStyle name="0_TAD-6131 Rev1(Audit) 5 6 2 3 4" xfId="28816" xr:uid="{00000000-0005-0000-0000-000082700000}"/>
    <cellStyle name="0_TAD-6131 Rev1(Audit) 5 6 2 4" xfId="28817" xr:uid="{00000000-0005-0000-0000-000083700000}"/>
    <cellStyle name="0_TAD-6131 Rev1(Audit) 5 6 2 4 2" xfId="28818" xr:uid="{00000000-0005-0000-0000-000084700000}"/>
    <cellStyle name="0_TAD-6131 Rev1(Audit) 5 6 2 5" xfId="28819" xr:uid="{00000000-0005-0000-0000-000085700000}"/>
    <cellStyle name="0_TAD-6131 Rev1(Audit) 5 6 2 5 2" xfId="28820" xr:uid="{00000000-0005-0000-0000-000086700000}"/>
    <cellStyle name="0_TAD-6131 Rev1(Audit) 5 6 2 6" xfId="28821" xr:uid="{00000000-0005-0000-0000-000087700000}"/>
    <cellStyle name="0_TAD-6131 Rev1(Audit) 5 6 3" xfId="28822" xr:uid="{00000000-0005-0000-0000-000088700000}"/>
    <cellStyle name="0_TAD-6131 Rev1(Audit) 5 6 3 2" xfId="28823" xr:uid="{00000000-0005-0000-0000-000089700000}"/>
    <cellStyle name="0_TAD-6131 Rev1(Audit) 5 6 3 2 2" xfId="28824" xr:uid="{00000000-0005-0000-0000-00008A700000}"/>
    <cellStyle name="0_TAD-6131 Rev1(Audit) 5 6 3 3" xfId="28825" xr:uid="{00000000-0005-0000-0000-00008B700000}"/>
    <cellStyle name="0_TAD-6131 Rev1(Audit) 5 6 3 3 2" xfId="28826" xr:uid="{00000000-0005-0000-0000-00008C700000}"/>
    <cellStyle name="0_TAD-6131 Rev1(Audit) 5 6 3 4" xfId="28827" xr:uid="{00000000-0005-0000-0000-00008D700000}"/>
    <cellStyle name="0_TAD-6131 Rev1(Audit) 5 6 4" xfId="28828" xr:uid="{00000000-0005-0000-0000-00008E700000}"/>
    <cellStyle name="0_TAD-6131 Rev1(Audit) 5 6 4 2" xfId="28829" xr:uid="{00000000-0005-0000-0000-00008F700000}"/>
    <cellStyle name="0_TAD-6131 Rev1(Audit) 5 6 4 2 2" xfId="28830" xr:uid="{00000000-0005-0000-0000-000090700000}"/>
    <cellStyle name="0_TAD-6131 Rev1(Audit) 5 6 4 3" xfId="28831" xr:uid="{00000000-0005-0000-0000-000091700000}"/>
    <cellStyle name="0_TAD-6131 Rev1(Audit) 5 6 4 3 2" xfId="28832" xr:uid="{00000000-0005-0000-0000-000092700000}"/>
    <cellStyle name="0_TAD-6131 Rev1(Audit) 5 6 4 4" xfId="28833" xr:uid="{00000000-0005-0000-0000-000093700000}"/>
    <cellStyle name="0_TAD-6131 Rev1(Audit) 5 6 5" xfId="28834" xr:uid="{00000000-0005-0000-0000-000094700000}"/>
    <cellStyle name="0_TAD-6131 Rev1(Audit) 5 6 5 2" xfId="28835" xr:uid="{00000000-0005-0000-0000-000095700000}"/>
    <cellStyle name="0_TAD-6131 Rev1(Audit) 5 6 5 2 2" xfId="28836" xr:uid="{00000000-0005-0000-0000-000096700000}"/>
    <cellStyle name="0_TAD-6131 Rev1(Audit) 5 6 5 3" xfId="28837" xr:uid="{00000000-0005-0000-0000-000097700000}"/>
    <cellStyle name="0_TAD-6131 Rev1(Audit) 5 6 5 3 2" xfId="28838" xr:uid="{00000000-0005-0000-0000-000098700000}"/>
    <cellStyle name="0_TAD-6131 Rev1(Audit) 5 6 5 4" xfId="28839" xr:uid="{00000000-0005-0000-0000-000099700000}"/>
    <cellStyle name="0_TAD-6131 Rev1(Audit) 5 6 6" xfId="28840" xr:uid="{00000000-0005-0000-0000-00009A700000}"/>
    <cellStyle name="0_TAD-6131 Rev1(Audit) 5 6 6 2" xfId="28841" xr:uid="{00000000-0005-0000-0000-00009B700000}"/>
    <cellStyle name="0_TAD-6131 Rev1(Audit) 5 6 7" xfId="28842" xr:uid="{00000000-0005-0000-0000-00009C700000}"/>
    <cellStyle name="0_TAD-6131 Rev1(Audit) 5 6 7 2" xfId="28843" xr:uid="{00000000-0005-0000-0000-00009D700000}"/>
    <cellStyle name="0_TAD-6131 Rev1(Audit) 5 6 8" xfId="28844" xr:uid="{00000000-0005-0000-0000-00009E700000}"/>
    <cellStyle name="0_TAD-6131 Rev1(Audit) 5 7" xfId="28845" xr:uid="{00000000-0005-0000-0000-00009F700000}"/>
    <cellStyle name="0_TAD-6131 Rev1(Audit) 5 7 2" xfId="28846" xr:uid="{00000000-0005-0000-0000-0000A0700000}"/>
    <cellStyle name="0_TAD-6131 Rev1(Audit) 5 7 2 2" xfId="28847" xr:uid="{00000000-0005-0000-0000-0000A1700000}"/>
    <cellStyle name="0_TAD-6131 Rev1(Audit) 5 7 2 2 2" xfId="28848" xr:uid="{00000000-0005-0000-0000-0000A2700000}"/>
    <cellStyle name="0_TAD-6131 Rev1(Audit) 5 7 2 3" xfId="28849" xr:uid="{00000000-0005-0000-0000-0000A3700000}"/>
    <cellStyle name="0_TAD-6131 Rev1(Audit) 5 7 2 3 2" xfId="28850" xr:uid="{00000000-0005-0000-0000-0000A4700000}"/>
    <cellStyle name="0_TAD-6131 Rev1(Audit) 5 7 2 4" xfId="28851" xr:uid="{00000000-0005-0000-0000-0000A5700000}"/>
    <cellStyle name="0_TAD-6131 Rev1(Audit) 5 7 3" xfId="28852" xr:uid="{00000000-0005-0000-0000-0000A6700000}"/>
    <cellStyle name="0_TAD-6131 Rev1(Audit) 5 7 3 2" xfId="28853" xr:uid="{00000000-0005-0000-0000-0000A7700000}"/>
    <cellStyle name="0_TAD-6131 Rev1(Audit) 5 7 3 2 2" xfId="28854" xr:uid="{00000000-0005-0000-0000-0000A8700000}"/>
    <cellStyle name="0_TAD-6131 Rev1(Audit) 5 7 3 3" xfId="28855" xr:uid="{00000000-0005-0000-0000-0000A9700000}"/>
    <cellStyle name="0_TAD-6131 Rev1(Audit) 5 7 3 3 2" xfId="28856" xr:uid="{00000000-0005-0000-0000-0000AA700000}"/>
    <cellStyle name="0_TAD-6131 Rev1(Audit) 5 7 3 4" xfId="28857" xr:uid="{00000000-0005-0000-0000-0000AB700000}"/>
    <cellStyle name="0_TAD-6131 Rev1(Audit) 5 7 4" xfId="28858" xr:uid="{00000000-0005-0000-0000-0000AC700000}"/>
    <cellStyle name="0_TAD-6131 Rev1(Audit) 5 7 4 2" xfId="28859" xr:uid="{00000000-0005-0000-0000-0000AD700000}"/>
    <cellStyle name="0_TAD-6131 Rev1(Audit) 5 7 5" xfId="28860" xr:uid="{00000000-0005-0000-0000-0000AE700000}"/>
    <cellStyle name="0_TAD-6131 Rev1(Audit) 5 7 5 2" xfId="28861" xr:uid="{00000000-0005-0000-0000-0000AF700000}"/>
    <cellStyle name="0_TAD-6131 Rev1(Audit) 5 7 6" xfId="28862" xr:uid="{00000000-0005-0000-0000-0000B0700000}"/>
    <cellStyle name="0_TAD-6131 Rev1(Audit) 5 8" xfId="28863" xr:uid="{00000000-0005-0000-0000-0000B1700000}"/>
    <cellStyle name="0_TAD-6131 Rev1(Audit) 5 8 2" xfId="28864" xr:uid="{00000000-0005-0000-0000-0000B2700000}"/>
    <cellStyle name="0_TAD-6131 Rev1(Audit) 5 8 2 2" xfId="28865" xr:uid="{00000000-0005-0000-0000-0000B3700000}"/>
    <cellStyle name="0_TAD-6131 Rev1(Audit) 5 8 3" xfId="28866" xr:uid="{00000000-0005-0000-0000-0000B4700000}"/>
    <cellStyle name="0_TAD-6131 Rev1(Audit) 5 8 3 2" xfId="28867" xr:uid="{00000000-0005-0000-0000-0000B5700000}"/>
    <cellStyle name="0_TAD-6131 Rev1(Audit) 5 8 4" xfId="28868" xr:uid="{00000000-0005-0000-0000-0000B6700000}"/>
    <cellStyle name="0_TAD-6131 Rev1(Audit) 5 9" xfId="28869" xr:uid="{00000000-0005-0000-0000-0000B7700000}"/>
    <cellStyle name="0_TAD-6131 Rev1(Audit) 5 9 2" xfId="28870" xr:uid="{00000000-0005-0000-0000-0000B8700000}"/>
    <cellStyle name="0_TAD-6131 Rev1(Audit) 5 9 2 2" xfId="28871" xr:uid="{00000000-0005-0000-0000-0000B9700000}"/>
    <cellStyle name="0_TAD-6131 Rev1(Audit) 5 9 3" xfId="28872" xr:uid="{00000000-0005-0000-0000-0000BA700000}"/>
    <cellStyle name="0_TAD-6131 Rev1(Audit) 5 9 3 2" xfId="28873" xr:uid="{00000000-0005-0000-0000-0000BB700000}"/>
    <cellStyle name="0_TAD-6131 Rev1(Audit) 5 9 4" xfId="28874" xr:uid="{00000000-0005-0000-0000-0000BC700000}"/>
    <cellStyle name="0_TAD-6131 Rev1(Audit) 6" xfId="28875" xr:uid="{00000000-0005-0000-0000-0000BD700000}"/>
    <cellStyle name="0_TAD-6131 Rev1(Audit) 6 2" xfId="28876" xr:uid="{00000000-0005-0000-0000-0000BE700000}"/>
    <cellStyle name="0_TAD-6131 Rev1(Audit) 6 2 2" xfId="28877" xr:uid="{00000000-0005-0000-0000-0000BF700000}"/>
    <cellStyle name="0_TAD-6131 Rev1(Audit) 6 2 2 2" xfId="28878" xr:uid="{00000000-0005-0000-0000-0000C0700000}"/>
    <cellStyle name="0_TAD-6131 Rev1(Audit) 6 2 2 2 2" xfId="28879" xr:uid="{00000000-0005-0000-0000-0000C1700000}"/>
    <cellStyle name="0_TAD-6131 Rev1(Audit) 6 2 2 3" xfId="28880" xr:uid="{00000000-0005-0000-0000-0000C2700000}"/>
    <cellStyle name="0_TAD-6131 Rev1(Audit) 6 2 2 3 2" xfId="28881" xr:uid="{00000000-0005-0000-0000-0000C3700000}"/>
    <cellStyle name="0_TAD-6131 Rev1(Audit) 6 2 2 4" xfId="28882" xr:uid="{00000000-0005-0000-0000-0000C4700000}"/>
    <cellStyle name="0_TAD-6131 Rev1(Audit) 6 2 3" xfId="28883" xr:uid="{00000000-0005-0000-0000-0000C5700000}"/>
    <cellStyle name="0_TAD-6131 Rev1(Audit) 6 2 3 2" xfId="28884" xr:uid="{00000000-0005-0000-0000-0000C6700000}"/>
    <cellStyle name="0_TAD-6131 Rev1(Audit) 6 2 3 2 2" xfId="28885" xr:uid="{00000000-0005-0000-0000-0000C7700000}"/>
    <cellStyle name="0_TAD-6131 Rev1(Audit) 6 2 3 3" xfId="28886" xr:uid="{00000000-0005-0000-0000-0000C8700000}"/>
    <cellStyle name="0_TAD-6131 Rev1(Audit) 6 2 3 3 2" xfId="28887" xr:uid="{00000000-0005-0000-0000-0000C9700000}"/>
    <cellStyle name="0_TAD-6131 Rev1(Audit) 6 2 3 4" xfId="28888" xr:uid="{00000000-0005-0000-0000-0000CA700000}"/>
    <cellStyle name="0_TAD-6131 Rev1(Audit) 6 2 4" xfId="28889" xr:uid="{00000000-0005-0000-0000-0000CB700000}"/>
    <cellStyle name="0_TAD-6131 Rev1(Audit) 6 2 4 2" xfId="28890" xr:uid="{00000000-0005-0000-0000-0000CC700000}"/>
    <cellStyle name="0_TAD-6131 Rev1(Audit) 6 2 5" xfId="28891" xr:uid="{00000000-0005-0000-0000-0000CD700000}"/>
    <cellStyle name="0_TAD-6131 Rev1(Audit) 6 2 5 2" xfId="28892" xr:uid="{00000000-0005-0000-0000-0000CE700000}"/>
    <cellStyle name="0_TAD-6131 Rev1(Audit) 6 2 6" xfId="28893" xr:uid="{00000000-0005-0000-0000-0000CF700000}"/>
    <cellStyle name="0_TAD-6131 Rev1(Audit) 6 3" xfId="28894" xr:uid="{00000000-0005-0000-0000-0000D0700000}"/>
    <cellStyle name="0_TAD-6131 Rev1(Audit) 6 3 2" xfId="28895" xr:uid="{00000000-0005-0000-0000-0000D1700000}"/>
    <cellStyle name="0_TAD-6131 Rev1(Audit) 6 3 2 2" xfId="28896" xr:uid="{00000000-0005-0000-0000-0000D2700000}"/>
    <cellStyle name="0_TAD-6131 Rev1(Audit) 6 3 3" xfId="28897" xr:uid="{00000000-0005-0000-0000-0000D3700000}"/>
    <cellStyle name="0_TAD-6131 Rev1(Audit) 6 3 3 2" xfId="28898" xr:uid="{00000000-0005-0000-0000-0000D4700000}"/>
    <cellStyle name="0_TAD-6131 Rev1(Audit) 6 3 4" xfId="28899" xr:uid="{00000000-0005-0000-0000-0000D5700000}"/>
    <cellStyle name="0_TAD-6131 Rev1(Audit) 6 4" xfId="28900" xr:uid="{00000000-0005-0000-0000-0000D6700000}"/>
    <cellStyle name="0_TAD-6131 Rev1(Audit) 6 4 2" xfId="28901" xr:uid="{00000000-0005-0000-0000-0000D7700000}"/>
    <cellStyle name="0_TAD-6131 Rev1(Audit) 6 4 2 2" xfId="28902" xr:uid="{00000000-0005-0000-0000-0000D8700000}"/>
    <cellStyle name="0_TAD-6131 Rev1(Audit) 6 4 3" xfId="28903" xr:uid="{00000000-0005-0000-0000-0000D9700000}"/>
    <cellStyle name="0_TAD-6131 Rev1(Audit) 6 4 3 2" xfId="28904" xr:uid="{00000000-0005-0000-0000-0000DA700000}"/>
    <cellStyle name="0_TAD-6131 Rev1(Audit) 6 4 4" xfId="28905" xr:uid="{00000000-0005-0000-0000-0000DB700000}"/>
    <cellStyle name="0_TAD-6131 Rev1(Audit) 6 5" xfId="28906" xr:uid="{00000000-0005-0000-0000-0000DC700000}"/>
    <cellStyle name="0_TAD-6131 Rev1(Audit) 6 5 2" xfId="28907" xr:uid="{00000000-0005-0000-0000-0000DD700000}"/>
    <cellStyle name="0_TAD-6131 Rev1(Audit) 6 5 2 2" xfId="28908" xr:uid="{00000000-0005-0000-0000-0000DE700000}"/>
    <cellStyle name="0_TAD-6131 Rev1(Audit) 6 5 3" xfId="28909" xr:uid="{00000000-0005-0000-0000-0000DF700000}"/>
    <cellStyle name="0_TAD-6131 Rev1(Audit) 6 5 3 2" xfId="28910" xr:uid="{00000000-0005-0000-0000-0000E0700000}"/>
    <cellStyle name="0_TAD-6131 Rev1(Audit) 6 5 4" xfId="28911" xr:uid="{00000000-0005-0000-0000-0000E1700000}"/>
    <cellStyle name="0_TAD-6131 Rev1(Audit) 6 6" xfId="28912" xr:uid="{00000000-0005-0000-0000-0000E2700000}"/>
    <cellStyle name="0_TAD-6131 Rev1(Audit) 6 6 2" xfId="28913" xr:uid="{00000000-0005-0000-0000-0000E3700000}"/>
    <cellStyle name="0_TAD-6131 Rev1(Audit) 6 7" xfId="28914" xr:uid="{00000000-0005-0000-0000-0000E4700000}"/>
    <cellStyle name="0_TAD-6131 Rev1(Audit) 6 7 2" xfId="28915" xr:uid="{00000000-0005-0000-0000-0000E5700000}"/>
    <cellStyle name="0_TAD-6131 Rev1(Audit) 6 8" xfId="28916" xr:uid="{00000000-0005-0000-0000-0000E6700000}"/>
    <cellStyle name="0_TAD-6131 Rev1(Audit) 7" xfId="28917" xr:uid="{00000000-0005-0000-0000-0000E7700000}"/>
    <cellStyle name="0_TAD-6131 Rev1(Audit) 7 2" xfId="28918" xr:uid="{00000000-0005-0000-0000-0000E8700000}"/>
    <cellStyle name="0_TAD-6131 Rev1(Audit) 7 2 2" xfId="28919" xr:uid="{00000000-0005-0000-0000-0000E9700000}"/>
    <cellStyle name="0_TAD-6131 Rev1(Audit) 7 2 2 2" xfId="28920" xr:uid="{00000000-0005-0000-0000-0000EA700000}"/>
    <cellStyle name="0_TAD-6131 Rev1(Audit) 7 2 3" xfId="28921" xr:uid="{00000000-0005-0000-0000-0000EB700000}"/>
    <cellStyle name="0_TAD-6131 Rev1(Audit) 7 2 3 2" xfId="28922" xr:uid="{00000000-0005-0000-0000-0000EC700000}"/>
    <cellStyle name="0_TAD-6131 Rev1(Audit) 7 2 4" xfId="28923" xr:uid="{00000000-0005-0000-0000-0000ED700000}"/>
    <cellStyle name="0_TAD-6131 Rev1(Audit) 7 3" xfId="28924" xr:uid="{00000000-0005-0000-0000-0000EE700000}"/>
    <cellStyle name="0_TAD-6131 Rev1(Audit) 7 3 2" xfId="28925" xr:uid="{00000000-0005-0000-0000-0000EF700000}"/>
    <cellStyle name="0_TAD-6131 Rev1(Audit) 7 3 2 2" xfId="28926" xr:uid="{00000000-0005-0000-0000-0000F0700000}"/>
    <cellStyle name="0_TAD-6131 Rev1(Audit) 7 3 3" xfId="28927" xr:uid="{00000000-0005-0000-0000-0000F1700000}"/>
    <cellStyle name="0_TAD-6131 Rev1(Audit) 7 3 3 2" xfId="28928" xr:uid="{00000000-0005-0000-0000-0000F2700000}"/>
    <cellStyle name="0_TAD-6131 Rev1(Audit) 7 3 4" xfId="28929" xr:uid="{00000000-0005-0000-0000-0000F3700000}"/>
    <cellStyle name="0_TAD-6131 Rev1(Audit) 7 4" xfId="28930" xr:uid="{00000000-0005-0000-0000-0000F4700000}"/>
    <cellStyle name="0_TAD-6131 Rev1(Audit) 7 4 2" xfId="28931" xr:uid="{00000000-0005-0000-0000-0000F5700000}"/>
    <cellStyle name="0_TAD-6131 Rev1(Audit) 7 5" xfId="28932" xr:uid="{00000000-0005-0000-0000-0000F6700000}"/>
    <cellStyle name="0_TAD-6131 Rev1(Audit) 7 5 2" xfId="28933" xr:uid="{00000000-0005-0000-0000-0000F7700000}"/>
    <cellStyle name="0_TAD-6131 Rev1(Audit) 7 6" xfId="28934" xr:uid="{00000000-0005-0000-0000-0000F8700000}"/>
    <cellStyle name="0_TAD-6131 Rev1(Audit) 8" xfId="28935" xr:uid="{00000000-0005-0000-0000-0000F9700000}"/>
    <cellStyle name="0_TAD-6131 Rev1(Audit) 8 2" xfId="28936" xr:uid="{00000000-0005-0000-0000-0000FA700000}"/>
    <cellStyle name="0_TAD-6131 Rev1(Audit) 8 2 2" xfId="28937" xr:uid="{00000000-0005-0000-0000-0000FB700000}"/>
    <cellStyle name="0_TAD-6131 Rev1(Audit) 8 2 2 2" xfId="28938" xr:uid="{00000000-0005-0000-0000-0000FC700000}"/>
    <cellStyle name="0_TAD-6131 Rev1(Audit) 8 2 3" xfId="28939" xr:uid="{00000000-0005-0000-0000-0000FD700000}"/>
    <cellStyle name="0_TAD-6131 Rev1(Audit) 8 2 3 2" xfId="28940" xr:uid="{00000000-0005-0000-0000-0000FE700000}"/>
    <cellStyle name="0_TAD-6131 Rev1(Audit) 8 2 4" xfId="28941" xr:uid="{00000000-0005-0000-0000-0000FF700000}"/>
    <cellStyle name="0_TAD-6131 Rev1(Audit) 8 3" xfId="28942" xr:uid="{00000000-0005-0000-0000-000000710000}"/>
    <cellStyle name="0_TAD-6131 Rev1(Audit) 8 3 2" xfId="28943" xr:uid="{00000000-0005-0000-0000-000001710000}"/>
    <cellStyle name="0_TAD-6131 Rev1(Audit) 8 3 2 2" xfId="28944" xr:uid="{00000000-0005-0000-0000-000002710000}"/>
    <cellStyle name="0_TAD-6131 Rev1(Audit) 8 3 3" xfId="28945" xr:uid="{00000000-0005-0000-0000-000003710000}"/>
    <cellStyle name="0_TAD-6131 Rev1(Audit) 8 3 3 2" xfId="28946" xr:uid="{00000000-0005-0000-0000-000004710000}"/>
    <cellStyle name="0_TAD-6131 Rev1(Audit) 8 3 4" xfId="28947" xr:uid="{00000000-0005-0000-0000-000005710000}"/>
    <cellStyle name="0_TAD-6131 Rev1(Audit) 8 4" xfId="28948" xr:uid="{00000000-0005-0000-0000-000006710000}"/>
    <cellStyle name="0_TAD-6131 Rev1(Audit) 8 4 2" xfId="28949" xr:uid="{00000000-0005-0000-0000-000007710000}"/>
    <cellStyle name="0_TAD-6131 Rev1(Audit) 8 5" xfId="28950" xr:uid="{00000000-0005-0000-0000-000008710000}"/>
    <cellStyle name="0_TAD-6131 Rev1(Audit) 8 5 2" xfId="28951" xr:uid="{00000000-0005-0000-0000-000009710000}"/>
    <cellStyle name="0_TAD-6131 Rev1(Audit) 8 6" xfId="28952" xr:uid="{00000000-0005-0000-0000-00000A710000}"/>
    <cellStyle name="0_TAD-6131 Rev1(Audit) 9" xfId="28953" xr:uid="{00000000-0005-0000-0000-00000B710000}"/>
    <cellStyle name="0_TAD-6131 Rev1(Audit) 9 2" xfId="28954" xr:uid="{00000000-0005-0000-0000-00000C710000}"/>
    <cellStyle name="0_TAD-6131 Rev1(Audit) 9 2 2" xfId="28955" xr:uid="{00000000-0005-0000-0000-00000D710000}"/>
    <cellStyle name="0_TAD-6131 Rev1(Audit) 9 3" xfId="28956" xr:uid="{00000000-0005-0000-0000-00000E710000}"/>
    <cellStyle name="0_TAD-6131 Rev1(Audit) 9 3 2" xfId="28957" xr:uid="{00000000-0005-0000-0000-00000F710000}"/>
    <cellStyle name="0_TAD-6131 Rev1(Audit) 9 4" xfId="28958" xr:uid="{00000000-0005-0000-0000-000010710000}"/>
    <cellStyle name="0_TURNAROUND DOC REV 1  - AUDIT" xfId="28959" xr:uid="{00000000-0005-0000-0000-000011710000}"/>
    <cellStyle name="0_TURNAROUND DOC REV 1  - AUDIT 10" xfId="28960" xr:uid="{00000000-0005-0000-0000-000012710000}"/>
    <cellStyle name="0_TURNAROUND DOC REV 1  - AUDIT 11" xfId="28961" xr:uid="{00000000-0005-0000-0000-000013710000}"/>
    <cellStyle name="0_TURNAROUND DOC REV 1  - AUDIT 12" xfId="28962" xr:uid="{00000000-0005-0000-0000-000014710000}"/>
    <cellStyle name="0_TURNAROUND DOC REV 1  - AUDIT 13" xfId="28963" xr:uid="{00000000-0005-0000-0000-000015710000}"/>
    <cellStyle name="0_TURNAROUND DOC REV 1  - AUDIT 2" xfId="28964" xr:uid="{00000000-0005-0000-0000-000016710000}"/>
    <cellStyle name="0_TURNAROUND DOC REV 1  - AUDIT 2 2" xfId="28965" xr:uid="{00000000-0005-0000-0000-000017710000}"/>
    <cellStyle name="0_TURNAROUND DOC REV 1  - AUDIT 2 2 2" xfId="28966" xr:uid="{00000000-0005-0000-0000-000018710000}"/>
    <cellStyle name="0_TURNAROUND DOC REV 1  - AUDIT 2 2 2 2" xfId="28967" xr:uid="{00000000-0005-0000-0000-000019710000}"/>
    <cellStyle name="0_TURNAROUND DOC REV 1  - AUDIT 2 2 3" xfId="28968" xr:uid="{00000000-0005-0000-0000-00001A710000}"/>
    <cellStyle name="0_TURNAROUND DOC REV 1  - AUDIT 2 2 3 2" xfId="28969" xr:uid="{00000000-0005-0000-0000-00001B710000}"/>
    <cellStyle name="0_TURNAROUND DOC REV 1  - AUDIT 2 2 4" xfId="28970" xr:uid="{00000000-0005-0000-0000-00001C710000}"/>
    <cellStyle name="0_TURNAROUND DOC REV 1  - AUDIT 2 3" xfId="28971" xr:uid="{00000000-0005-0000-0000-00001D710000}"/>
    <cellStyle name="0_TURNAROUND DOC REV 1  - AUDIT 2 3 2" xfId="28972" xr:uid="{00000000-0005-0000-0000-00001E710000}"/>
    <cellStyle name="0_TURNAROUND DOC REV 1  - AUDIT 2 3 2 2" xfId="28973" xr:uid="{00000000-0005-0000-0000-00001F710000}"/>
    <cellStyle name="0_TURNAROUND DOC REV 1  - AUDIT 2 3 3" xfId="28974" xr:uid="{00000000-0005-0000-0000-000020710000}"/>
    <cellStyle name="0_TURNAROUND DOC REV 1  - AUDIT 2 3 3 2" xfId="28975" xr:uid="{00000000-0005-0000-0000-000021710000}"/>
    <cellStyle name="0_TURNAROUND DOC REV 1  - AUDIT 2 3 4" xfId="28976" xr:uid="{00000000-0005-0000-0000-000022710000}"/>
    <cellStyle name="0_TURNAROUND DOC REV 1  - AUDIT 2 4" xfId="28977" xr:uid="{00000000-0005-0000-0000-000023710000}"/>
    <cellStyle name="0_TURNAROUND DOC REV 1  - AUDIT 2 4 2" xfId="28978" xr:uid="{00000000-0005-0000-0000-000024710000}"/>
    <cellStyle name="0_TURNAROUND DOC REV 1  - AUDIT 2 5" xfId="28979" xr:uid="{00000000-0005-0000-0000-000025710000}"/>
    <cellStyle name="0_TURNAROUND DOC REV 1  - AUDIT 2 5 2" xfId="28980" xr:uid="{00000000-0005-0000-0000-000026710000}"/>
    <cellStyle name="0_TURNAROUND DOC REV 1  - AUDIT 2 6" xfId="28981" xr:uid="{00000000-0005-0000-0000-000027710000}"/>
    <cellStyle name="0_TURNAROUND DOC REV 1  - AUDIT 3" xfId="28982" xr:uid="{00000000-0005-0000-0000-000028710000}"/>
    <cellStyle name="0_TURNAROUND DOC REV 1  - AUDIT 3 2" xfId="28983" xr:uid="{00000000-0005-0000-0000-000029710000}"/>
    <cellStyle name="0_TURNAROUND DOC REV 1  - AUDIT 3 2 2" xfId="28984" xr:uid="{00000000-0005-0000-0000-00002A710000}"/>
    <cellStyle name="0_TURNAROUND DOC REV 1  - AUDIT 3 3" xfId="28985" xr:uid="{00000000-0005-0000-0000-00002B710000}"/>
    <cellStyle name="0_TURNAROUND DOC REV 1  - AUDIT 3 3 2" xfId="28986" xr:uid="{00000000-0005-0000-0000-00002C710000}"/>
    <cellStyle name="0_TURNAROUND DOC REV 1  - AUDIT 3 4" xfId="28987" xr:uid="{00000000-0005-0000-0000-00002D710000}"/>
    <cellStyle name="0_TURNAROUND DOC REV 1  - AUDIT 3 5" xfId="28988" xr:uid="{00000000-0005-0000-0000-00002E710000}"/>
    <cellStyle name="0_TURNAROUND DOC REV 1  - AUDIT 3 6" xfId="28989" xr:uid="{00000000-0005-0000-0000-00002F710000}"/>
    <cellStyle name="0_TURNAROUND DOC REV 1  - AUDIT 4" xfId="28990" xr:uid="{00000000-0005-0000-0000-000030710000}"/>
    <cellStyle name="0_TURNAROUND DOC REV 1  - AUDIT 4 2" xfId="28991" xr:uid="{00000000-0005-0000-0000-000031710000}"/>
    <cellStyle name="0_TURNAROUND DOC REV 1  - AUDIT 4 2 2" xfId="28992" xr:uid="{00000000-0005-0000-0000-000032710000}"/>
    <cellStyle name="0_TURNAROUND DOC REV 1  - AUDIT 4 3" xfId="28993" xr:uid="{00000000-0005-0000-0000-000033710000}"/>
    <cellStyle name="0_TURNAROUND DOC REV 1  - AUDIT 4 3 2" xfId="28994" xr:uid="{00000000-0005-0000-0000-000034710000}"/>
    <cellStyle name="0_TURNAROUND DOC REV 1  - AUDIT 4 4" xfId="28995" xr:uid="{00000000-0005-0000-0000-000035710000}"/>
    <cellStyle name="0_TURNAROUND DOC REV 1  - AUDIT 4 5" xfId="28996" xr:uid="{00000000-0005-0000-0000-000036710000}"/>
    <cellStyle name="0_TURNAROUND DOC REV 1  - AUDIT 4 6" xfId="28997" xr:uid="{00000000-0005-0000-0000-000037710000}"/>
    <cellStyle name="0_TURNAROUND DOC REV 1  - AUDIT 5" xfId="28998" xr:uid="{00000000-0005-0000-0000-000038710000}"/>
    <cellStyle name="0_TURNAROUND DOC REV 1  - AUDIT 5 2" xfId="28999" xr:uid="{00000000-0005-0000-0000-000039710000}"/>
    <cellStyle name="0_TURNAROUND DOC REV 1  - AUDIT 5 3" xfId="29000" xr:uid="{00000000-0005-0000-0000-00003A710000}"/>
    <cellStyle name="0_TURNAROUND DOC REV 1  - AUDIT 5 4" xfId="29001" xr:uid="{00000000-0005-0000-0000-00003B710000}"/>
    <cellStyle name="0_TURNAROUND DOC REV 1  - AUDIT 5 5" xfId="29002" xr:uid="{00000000-0005-0000-0000-00003C710000}"/>
    <cellStyle name="0_TURNAROUND DOC REV 1  - AUDIT 5 6" xfId="29003" xr:uid="{00000000-0005-0000-0000-00003D710000}"/>
    <cellStyle name="0_TURNAROUND DOC REV 1  - AUDIT 6" xfId="29004" xr:uid="{00000000-0005-0000-0000-00003E710000}"/>
    <cellStyle name="0_TURNAROUND DOC REV 1  - AUDIT 6 2" xfId="29005" xr:uid="{00000000-0005-0000-0000-00003F710000}"/>
    <cellStyle name="0_TURNAROUND DOC REV 1  - AUDIT 6 3" xfId="29006" xr:uid="{00000000-0005-0000-0000-000040710000}"/>
    <cellStyle name="0_TURNAROUND DOC REV 1  - AUDIT 6 4" xfId="29007" xr:uid="{00000000-0005-0000-0000-000041710000}"/>
    <cellStyle name="0_TURNAROUND DOC REV 1  - AUDIT 6 5" xfId="29008" xr:uid="{00000000-0005-0000-0000-000042710000}"/>
    <cellStyle name="0_TURNAROUND DOC REV 1  - AUDIT 6 6" xfId="29009" xr:uid="{00000000-0005-0000-0000-000043710000}"/>
    <cellStyle name="0_TURNAROUND DOC REV 1  - AUDIT 7" xfId="29010" xr:uid="{00000000-0005-0000-0000-000044710000}"/>
    <cellStyle name="0_TURNAROUND DOC REV 1  - AUDIT 7 2" xfId="29011" xr:uid="{00000000-0005-0000-0000-000045710000}"/>
    <cellStyle name="0_TURNAROUND DOC REV 1  - AUDIT 7 3" xfId="29012" xr:uid="{00000000-0005-0000-0000-000046710000}"/>
    <cellStyle name="0_TURNAROUND DOC REV 1  - AUDIT 7 4" xfId="29013" xr:uid="{00000000-0005-0000-0000-000047710000}"/>
    <cellStyle name="0_TURNAROUND DOC REV 1  - AUDIT 7 5" xfId="29014" xr:uid="{00000000-0005-0000-0000-000048710000}"/>
    <cellStyle name="0_TURNAROUND DOC REV 1  - AUDIT 7 6" xfId="29015" xr:uid="{00000000-0005-0000-0000-000049710000}"/>
    <cellStyle name="0_TURNAROUND DOC REV 1  - AUDIT 8" xfId="29016" xr:uid="{00000000-0005-0000-0000-00004A710000}"/>
    <cellStyle name="0_TURNAROUND DOC REV 1  - AUDIT 8 2" xfId="29017" xr:uid="{00000000-0005-0000-0000-00004B710000}"/>
    <cellStyle name="0_TURNAROUND DOC REV 1  - AUDIT 8 3" xfId="29018" xr:uid="{00000000-0005-0000-0000-00004C710000}"/>
    <cellStyle name="0_TURNAROUND DOC REV 1  - AUDIT 8 4" xfId="29019" xr:uid="{00000000-0005-0000-0000-00004D710000}"/>
    <cellStyle name="0_TURNAROUND DOC REV 1  - AUDIT 8 5" xfId="29020" xr:uid="{00000000-0005-0000-0000-00004E710000}"/>
    <cellStyle name="0_TURNAROUND DOC REV 1  - AUDIT 8 6" xfId="29021" xr:uid="{00000000-0005-0000-0000-00004F710000}"/>
    <cellStyle name="0_TURNAROUND DOC REV 1  - AUDIT 9" xfId="29022" xr:uid="{00000000-0005-0000-0000-000050710000}"/>
    <cellStyle name="0_Xl0000067" xfId="29023" xr:uid="{00000000-0005-0000-0000-000051710000}"/>
    <cellStyle name="0_Xl0000067 10" xfId="29024" xr:uid="{00000000-0005-0000-0000-000052710000}"/>
    <cellStyle name="0_Xl0000067 10 2" xfId="29025" xr:uid="{00000000-0005-0000-0000-000053710000}"/>
    <cellStyle name="0_Xl0000067 10 2 2" xfId="29026" xr:uid="{00000000-0005-0000-0000-000054710000}"/>
    <cellStyle name="0_Xl0000067 10 3" xfId="29027" xr:uid="{00000000-0005-0000-0000-000055710000}"/>
    <cellStyle name="0_Xl0000067 10 3 2" xfId="29028" xr:uid="{00000000-0005-0000-0000-000056710000}"/>
    <cellStyle name="0_Xl0000067 10 4" xfId="29029" xr:uid="{00000000-0005-0000-0000-000057710000}"/>
    <cellStyle name="0_Xl0000067 11" xfId="29030" xr:uid="{00000000-0005-0000-0000-000058710000}"/>
    <cellStyle name="0_Xl0000067 11 2" xfId="29031" xr:uid="{00000000-0005-0000-0000-000059710000}"/>
    <cellStyle name="0_Xl0000067 11 2 2" xfId="29032" xr:uid="{00000000-0005-0000-0000-00005A710000}"/>
    <cellStyle name="0_Xl0000067 11 3" xfId="29033" xr:uid="{00000000-0005-0000-0000-00005B710000}"/>
    <cellStyle name="0_Xl0000067 11 3 2" xfId="29034" xr:uid="{00000000-0005-0000-0000-00005C710000}"/>
    <cellStyle name="0_Xl0000067 11 4" xfId="29035" xr:uid="{00000000-0005-0000-0000-00005D710000}"/>
    <cellStyle name="0_Xl0000067 12" xfId="29036" xr:uid="{00000000-0005-0000-0000-00005E710000}"/>
    <cellStyle name="0_Xl0000067 12 2" xfId="29037" xr:uid="{00000000-0005-0000-0000-00005F710000}"/>
    <cellStyle name="0_Xl0000067 13" xfId="29038" xr:uid="{00000000-0005-0000-0000-000060710000}"/>
    <cellStyle name="0_Xl0000067 13 2" xfId="29039" xr:uid="{00000000-0005-0000-0000-000061710000}"/>
    <cellStyle name="0_Xl0000067 14" xfId="29040" xr:uid="{00000000-0005-0000-0000-000062710000}"/>
    <cellStyle name="0_Xl0000067 14 2" xfId="29041" xr:uid="{00000000-0005-0000-0000-000063710000}"/>
    <cellStyle name="0_Xl0000067 15" xfId="29042" xr:uid="{00000000-0005-0000-0000-000064710000}"/>
    <cellStyle name="0_Xl0000067 16" xfId="29043" xr:uid="{00000000-0005-0000-0000-000065710000}"/>
    <cellStyle name="0_Xl0000067 17" xfId="29044" xr:uid="{00000000-0005-0000-0000-000066710000}"/>
    <cellStyle name="0_Xl0000067 18" xfId="29045" xr:uid="{00000000-0005-0000-0000-000067710000}"/>
    <cellStyle name="0_Xl0000067 19" xfId="29046" xr:uid="{00000000-0005-0000-0000-000068710000}"/>
    <cellStyle name="0_Xl0000067 2" xfId="29047" xr:uid="{00000000-0005-0000-0000-000069710000}"/>
    <cellStyle name="0_Xl0000067 2 10" xfId="29048" xr:uid="{00000000-0005-0000-0000-00006A710000}"/>
    <cellStyle name="0_Xl0000067 2 10 2" xfId="29049" xr:uid="{00000000-0005-0000-0000-00006B710000}"/>
    <cellStyle name="0_Xl0000067 2 10 2 2" xfId="29050" xr:uid="{00000000-0005-0000-0000-00006C710000}"/>
    <cellStyle name="0_Xl0000067 2 10 3" xfId="29051" xr:uid="{00000000-0005-0000-0000-00006D710000}"/>
    <cellStyle name="0_Xl0000067 2 10 3 2" xfId="29052" xr:uid="{00000000-0005-0000-0000-00006E710000}"/>
    <cellStyle name="0_Xl0000067 2 10 4" xfId="29053" xr:uid="{00000000-0005-0000-0000-00006F710000}"/>
    <cellStyle name="0_Xl0000067 2 11" xfId="29054" xr:uid="{00000000-0005-0000-0000-000070710000}"/>
    <cellStyle name="0_Xl0000067 2 11 2" xfId="29055" xr:uid="{00000000-0005-0000-0000-000071710000}"/>
    <cellStyle name="0_Xl0000067 2 12" xfId="29056" xr:uid="{00000000-0005-0000-0000-000072710000}"/>
    <cellStyle name="0_Xl0000067 2 12 2" xfId="29057" xr:uid="{00000000-0005-0000-0000-000073710000}"/>
    <cellStyle name="0_Xl0000067 2 13" xfId="29058" xr:uid="{00000000-0005-0000-0000-000074710000}"/>
    <cellStyle name="0_Xl0000067 2 14" xfId="29059" xr:uid="{00000000-0005-0000-0000-000075710000}"/>
    <cellStyle name="0_Xl0000067 2 15" xfId="29060" xr:uid="{00000000-0005-0000-0000-000076710000}"/>
    <cellStyle name="0_Xl0000067 2 16" xfId="29061" xr:uid="{00000000-0005-0000-0000-000077710000}"/>
    <cellStyle name="0_Xl0000067 2 2" xfId="29062" xr:uid="{00000000-0005-0000-0000-000078710000}"/>
    <cellStyle name="0_Xl0000067 2 2 2" xfId="29063" xr:uid="{00000000-0005-0000-0000-000079710000}"/>
    <cellStyle name="0_Xl0000067 2 2 2 2" xfId="29064" xr:uid="{00000000-0005-0000-0000-00007A710000}"/>
    <cellStyle name="0_Xl0000067 2 2 2 2 2" xfId="29065" xr:uid="{00000000-0005-0000-0000-00007B710000}"/>
    <cellStyle name="0_Xl0000067 2 2 2 2 2 2" xfId="29066" xr:uid="{00000000-0005-0000-0000-00007C710000}"/>
    <cellStyle name="0_Xl0000067 2 2 2 2 3" xfId="29067" xr:uid="{00000000-0005-0000-0000-00007D710000}"/>
    <cellStyle name="0_Xl0000067 2 2 2 2 3 2" xfId="29068" xr:uid="{00000000-0005-0000-0000-00007E710000}"/>
    <cellStyle name="0_Xl0000067 2 2 2 2 4" xfId="29069" xr:uid="{00000000-0005-0000-0000-00007F710000}"/>
    <cellStyle name="0_Xl0000067 2 2 2 3" xfId="29070" xr:uid="{00000000-0005-0000-0000-000080710000}"/>
    <cellStyle name="0_Xl0000067 2 2 2 3 2" xfId="29071" xr:uid="{00000000-0005-0000-0000-000081710000}"/>
    <cellStyle name="0_Xl0000067 2 2 2 3 2 2" xfId="29072" xr:uid="{00000000-0005-0000-0000-000082710000}"/>
    <cellStyle name="0_Xl0000067 2 2 2 3 3" xfId="29073" xr:uid="{00000000-0005-0000-0000-000083710000}"/>
    <cellStyle name="0_Xl0000067 2 2 2 3 3 2" xfId="29074" xr:uid="{00000000-0005-0000-0000-000084710000}"/>
    <cellStyle name="0_Xl0000067 2 2 2 3 4" xfId="29075" xr:uid="{00000000-0005-0000-0000-000085710000}"/>
    <cellStyle name="0_Xl0000067 2 2 2 4" xfId="29076" xr:uid="{00000000-0005-0000-0000-000086710000}"/>
    <cellStyle name="0_Xl0000067 2 2 2 4 2" xfId="29077" xr:uid="{00000000-0005-0000-0000-000087710000}"/>
    <cellStyle name="0_Xl0000067 2 2 2 5" xfId="29078" xr:uid="{00000000-0005-0000-0000-000088710000}"/>
    <cellStyle name="0_Xl0000067 2 2 2 5 2" xfId="29079" xr:uid="{00000000-0005-0000-0000-000089710000}"/>
    <cellStyle name="0_Xl0000067 2 2 2 6" xfId="29080" xr:uid="{00000000-0005-0000-0000-00008A710000}"/>
    <cellStyle name="0_Xl0000067 2 2 3" xfId="29081" xr:uid="{00000000-0005-0000-0000-00008B710000}"/>
    <cellStyle name="0_Xl0000067 2 2 3 2" xfId="29082" xr:uid="{00000000-0005-0000-0000-00008C710000}"/>
    <cellStyle name="0_Xl0000067 2 2 3 2 2" xfId="29083" xr:uid="{00000000-0005-0000-0000-00008D710000}"/>
    <cellStyle name="0_Xl0000067 2 2 3 3" xfId="29084" xr:uid="{00000000-0005-0000-0000-00008E710000}"/>
    <cellStyle name="0_Xl0000067 2 2 3 3 2" xfId="29085" xr:uid="{00000000-0005-0000-0000-00008F710000}"/>
    <cellStyle name="0_Xl0000067 2 2 3 4" xfId="29086" xr:uid="{00000000-0005-0000-0000-000090710000}"/>
    <cellStyle name="0_Xl0000067 2 2 4" xfId="29087" xr:uid="{00000000-0005-0000-0000-000091710000}"/>
    <cellStyle name="0_Xl0000067 2 2 4 2" xfId="29088" xr:uid="{00000000-0005-0000-0000-000092710000}"/>
    <cellStyle name="0_Xl0000067 2 2 4 2 2" xfId="29089" xr:uid="{00000000-0005-0000-0000-000093710000}"/>
    <cellStyle name="0_Xl0000067 2 2 4 3" xfId="29090" xr:uid="{00000000-0005-0000-0000-000094710000}"/>
    <cellStyle name="0_Xl0000067 2 2 4 3 2" xfId="29091" xr:uid="{00000000-0005-0000-0000-000095710000}"/>
    <cellStyle name="0_Xl0000067 2 2 4 4" xfId="29092" xr:uid="{00000000-0005-0000-0000-000096710000}"/>
    <cellStyle name="0_Xl0000067 2 2 5" xfId="29093" xr:uid="{00000000-0005-0000-0000-000097710000}"/>
    <cellStyle name="0_Xl0000067 2 2 5 2" xfId="29094" xr:uid="{00000000-0005-0000-0000-000098710000}"/>
    <cellStyle name="0_Xl0000067 2 2 5 2 2" xfId="29095" xr:uid="{00000000-0005-0000-0000-000099710000}"/>
    <cellStyle name="0_Xl0000067 2 2 5 3" xfId="29096" xr:uid="{00000000-0005-0000-0000-00009A710000}"/>
    <cellStyle name="0_Xl0000067 2 2 5 3 2" xfId="29097" xr:uid="{00000000-0005-0000-0000-00009B710000}"/>
    <cellStyle name="0_Xl0000067 2 2 5 4" xfId="29098" xr:uid="{00000000-0005-0000-0000-00009C710000}"/>
    <cellStyle name="0_Xl0000067 2 2 6" xfId="29099" xr:uid="{00000000-0005-0000-0000-00009D710000}"/>
    <cellStyle name="0_Xl0000067 2 2 6 2" xfId="29100" xr:uid="{00000000-0005-0000-0000-00009E710000}"/>
    <cellStyle name="0_Xl0000067 2 2 7" xfId="29101" xr:uid="{00000000-0005-0000-0000-00009F710000}"/>
    <cellStyle name="0_Xl0000067 2 2 7 2" xfId="29102" xr:uid="{00000000-0005-0000-0000-0000A0710000}"/>
    <cellStyle name="0_Xl0000067 2 2 8" xfId="29103" xr:uid="{00000000-0005-0000-0000-0000A1710000}"/>
    <cellStyle name="0_Xl0000067 2 3" xfId="29104" xr:uid="{00000000-0005-0000-0000-0000A2710000}"/>
    <cellStyle name="0_Xl0000067 2 3 2" xfId="29105" xr:uid="{00000000-0005-0000-0000-0000A3710000}"/>
    <cellStyle name="0_Xl0000067 2 3 2 2" xfId="29106" xr:uid="{00000000-0005-0000-0000-0000A4710000}"/>
    <cellStyle name="0_Xl0000067 2 3 2 2 2" xfId="29107" xr:uid="{00000000-0005-0000-0000-0000A5710000}"/>
    <cellStyle name="0_Xl0000067 2 3 2 2 2 2" xfId="29108" xr:uid="{00000000-0005-0000-0000-0000A6710000}"/>
    <cellStyle name="0_Xl0000067 2 3 2 2 3" xfId="29109" xr:uid="{00000000-0005-0000-0000-0000A7710000}"/>
    <cellStyle name="0_Xl0000067 2 3 2 2 3 2" xfId="29110" xr:uid="{00000000-0005-0000-0000-0000A8710000}"/>
    <cellStyle name="0_Xl0000067 2 3 2 2 4" xfId="29111" xr:uid="{00000000-0005-0000-0000-0000A9710000}"/>
    <cellStyle name="0_Xl0000067 2 3 2 3" xfId="29112" xr:uid="{00000000-0005-0000-0000-0000AA710000}"/>
    <cellStyle name="0_Xl0000067 2 3 2 3 2" xfId="29113" xr:uid="{00000000-0005-0000-0000-0000AB710000}"/>
    <cellStyle name="0_Xl0000067 2 3 2 3 2 2" xfId="29114" xr:uid="{00000000-0005-0000-0000-0000AC710000}"/>
    <cellStyle name="0_Xl0000067 2 3 2 3 3" xfId="29115" xr:uid="{00000000-0005-0000-0000-0000AD710000}"/>
    <cellStyle name="0_Xl0000067 2 3 2 3 3 2" xfId="29116" xr:uid="{00000000-0005-0000-0000-0000AE710000}"/>
    <cellStyle name="0_Xl0000067 2 3 2 3 4" xfId="29117" xr:uid="{00000000-0005-0000-0000-0000AF710000}"/>
    <cellStyle name="0_Xl0000067 2 3 2 4" xfId="29118" xr:uid="{00000000-0005-0000-0000-0000B0710000}"/>
    <cellStyle name="0_Xl0000067 2 3 2 4 2" xfId="29119" xr:uid="{00000000-0005-0000-0000-0000B1710000}"/>
    <cellStyle name="0_Xl0000067 2 3 2 5" xfId="29120" xr:uid="{00000000-0005-0000-0000-0000B2710000}"/>
    <cellStyle name="0_Xl0000067 2 3 2 5 2" xfId="29121" xr:uid="{00000000-0005-0000-0000-0000B3710000}"/>
    <cellStyle name="0_Xl0000067 2 3 2 6" xfId="29122" xr:uid="{00000000-0005-0000-0000-0000B4710000}"/>
    <cellStyle name="0_Xl0000067 2 3 3" xfId="29123" xr:uid="{00000000-0005-0000-0000-0000B5710000}"/>
    <cellStyle name="0_Xl0000067 2 3 3 2" xfId="29124" xr:uid="{00000000-0005-0000-0000-0000B6710000}"/>
    <cellStyle name="0_Xl0000067 2 3 3 2 2" xfId="29125" xr:uid="{00000000-0005-0000-0000-0000B7710000}"/>
    <cellStyle name="0_Xl0000067 2 3 3 3" xfId="29126" xr:uid="{00000000-0005-0000-0000-0000B8710000}"/>
    <cellStyle name="0_Xl0000067 2 3 3 3 2" xfId="29127" xr:uid="{00000000-0005-0000-0000-0000B9710000}"/>
    <cellStyle name="0_Xl0000067 2 3 3 4" xfId="29128" xr:uid="{00000000-0005-0000-0000-0000BA710000}"/>
    <cellStyle name="0_Xl0000067 2 3 4" xfId="29129" xr:uid="{00000000-0005-0000-0000-0000BB710000}"/>
    <cellStyle name="0_Xl0000067 2 3 4 2" xfId="29130" xr:uid="{00000000-0005-0000-0000-0000BC710000}"/>
    <cellStyle name="0_Xl0000067 2 3 4 2 2" xfId="29131" xr:uid="{00000000-0005-0000-0000-0000BD710000}"/>
    <cellStyle name="0_Xl0000067 2 3 4 3" xfId="29132" xr:uid="{00000000-0005-0000-0000-0000BE710000}"/>
    <cellStyle name="0_Xl0000067 2 3 4 3 2" xfId="29133" xr:uid="{00000000-0005-0000-0000-0000BF710000}"/>
    <cellStyle name="0_Xl0000067 2 3 4 4" xfId="29134" xr:uid="{00000000-0005-0000-0000-0000C0710000}"/>
    <cellStyle name="0_Xl0000067 2 3 5" xfId="29135" xr:uid="{00000000-0005-0000-0000-0000C1710000}"/>
    <cellStyle name="0_Xl0000067 2 3 5 2" xfId="29136" xr:uid="{00000000-0005-0000-0000-0000C2710000}"/>
    <cellStyle name="0_Xl0000067 2 3 5 2 2" xfId="29137" xr:uid="{00000000-0005-0000-0000-0000C3710000}"/>
    <cellStyle name="0_Xl0000067 2 3 5 3" xfId="29138" xr:uid="{00000000-0005-0000-0000-0000C4710000}"/>
    <cellStyle name="0_Xl0000067 2 3 5 3 2" xfId="29139" xr:uid="{00000000-0005-0000-0000-0000C5710000}"/>
    <cellStyle name="0_Xl0000067 2 3 5 4" xfId="29140" xr:uid="{00000000-0005-0000-0000-0000C6710000}"/>
    <cellStyle name="0_Xl0000067 2 3 6" xfId="29141" xr:uid="{00000000-0005-0000-0000-0000C7710000}"/>
    <cellStyle name="0_Xl0000067 2 3 6 2" xfId="29142" xr:uid="{00000000-0005-0000-0000-0000C8710000}"/>
    <cellStyle name="0_Xl0000067 2 3 7" xfId="29143" xr:uid="{00000000-0005-0000-0000-0000C9710000}"/>
    <cellStyle name="0_Xl0000067 2 3 7 2" xfId="29144" xr:uid="{00000000-0005-0000-0000-0000CA710000}"/>
    <cellStyle name="0_Xl0000067 2 3 8" xfId="29145" xr:uid="{00000000-0005-0000-0000-0000CB710000}"/>
    <cellStyle name="0_Xl0000067 2 4" xfId="29146" xr:uid="{00000000-0005-0000-0000-0000CC710000}"/>
    <cellStyle name="0_Xl0000067 2 4 2" xfId="29147" xr:uid="{00000000-0005-0000-0000-0000CD710000}"/>
    <cellStyle name="0_Xl0000067 2 4 2 2" xfId="29148" xr:uid="{00000000-0005-0000-0000-0000CE710000}"/>
    <cellStyle name="0_Xl0000067 2 4 2 2 2" xfId="29149" xr:uid="{00000000-0005-0000-0000-0000CF710000}"/>
    <cellStyle name="0_Xl0000067 2 4 2 2 2 2" xfId="29150" xr:uid="{00000000-0005-0000-0000-0000D0710000}"/>
    <cellStyle name="0_Xl0000067 2 4 2 2 3" xfId="29151" xr:uid="{00000000-0005-0000-0000-0000D1710000}"/>
    <cellStyle name="0_Xl0000067 2 4 2 2 3 2" xfId="29152" xr:uid="{00000000-0005-0000-0000-0000D2710000}"/>
    <cellStyle name="0_Xl0000067 2 4 2 2 4" xfId="29153" xr:uid="{00000000-0005-0000-0000-0000D3710000}"/>
    <cellStyle name="0_Xl0000067 2 4 2 3" xfId="29154" xr:uid="{00000000-0005-0000-0000-0000D4710000}"/>
    <cellStyle name="0_Xl0000067 2 4 2 3 2" xfId="29155" xr:uid="{00000000-0005-0000-0000-0000D5710000}"/>
    <cellStyle name="0_Xl0000067 2 4 2 3 2 2" xfId="29156" xr:uid="{00000000-0005-0000-0000-0000D6710000}"/>
    <cellStyle name="0_Xl0000067 2 4 2 3 3" xfId="29157" xr:uid="{00000000-0005-0000-0000-0000D7710000}"/>
    <cellStyle name="0_Xl0000067 2 4 2 3 3 2" xfId="29158" xr:uid="{00000000-0005-0000-0000-0000D8710000}"/>
    <cellStyle name="0_Xl0000067 2 4 2 3 4" xfId="29159" xr:uid="{00000000-0005-0000-0000-0000D9710000}"/>
    <cellStyle name="0_Xl0000067 2 4 2 4" xfId="29160" xr:uid="{00000000-0005-0000-0000-0000DA710000}"/>
    <cellStyle name="0_Xl0000067 2 4 2 4 2" xfId="29161" xr:uid="{00000000-0005-0000-0000-0000DB710000}"/>
    <cellStyle name="0_Xl0000067 2 4 2 5" xfId="29162" xr:uid="{00000000-0005-0000-0000-0000DC710000}"/>
    <cellStyle name="0_Xl0000067 2 4 2 5 2" xfId="29163" xr:uid="{00000000-0005-0000-0000-0000DD710000}"/>
    <cellStyle name="0_Xl0000067 2 4 2 6" xfId="29164" xr:uid="{00000000-0005-0000-0000-0000DE710000}"/>
    <cellStyle name="0_Xl0000067 2 4 3" xfId="29165" xr:uid="{00000000-0005-0000-0000-0000DF710000}"/>
    <cellStyle name="0_Xl0000067 2 4 3 2" xfId="29166" xr:uid="{00000000-0005-0000-0000-0000E0710000}"/>
    <cellStyle name="0_Xl0000067 2 4 3 2 2" xfId="29167" xr:uid="{00000000-0005-0000-0000-0000E1710000}"/>
    <cellStyle name="0_Xl0000067 2 4 3 3" xfId="29168" xr:uid="{00000000-0005-0000-0000-0000E2710000}"/>
    <cellStyle name="0_Xl0000067 2 4 3 3 2" xfId="29169" xr:uid="{00000000-0005-0000-0000-0000E3710000}"/>
    <cellStyle name="0_Xl0000067 2 4 3 4" xfId="29170" xr:uid="{00000000-0005-0000-0000-0000E4710000}"/>
    <cellStyle name="0_Xl0000067 2 4 4" xfId="29171" xr:uid="{00000000-0005-0000-0000-0000E5710000}"/>
    <cellStyle name="0_Xl0000067 2 4 4 2" xfId="29172" xr:uid="{00000000-0005-0000-0000-0000E6710000}"/>
    <cellStyle name="0_Xl0000067 2 4 4 2 2" xfId="29173" xr:uid="{00000000-0005-0000-0000-0000E7710000}"/>
    <cellStyle name="0_Xl0000067 2 4 4 3" xfId="29174" xr:uid="{00000000-0005-0000-0000-0000E8710000}"/>
    <cellStyle name="0_Xl0000067 2 4 4 3 2" xfId="29175" xr:uid="{00000000-0005-0000-0000-0000E9710000}"/>
    <cellStyle name="0_Xl0000067 2 4 4 4" xfId="29176" xr:uid="{00000000-0005-0000-0000-0000EA710000}"/>
    <cellStyle name="0_Xl0000067 2 4 5" xfId="29177" xr:uid="{00000000-0005-0000-0000-0000EB710000}"/>
    <cellStyle name="0_Xl0000067 2 4 5 2" xfId="29178" xr:uid="{00000000-0005-0000-0000-0000EC710000}"/>
    <cellStyle name="0_Xl0000067 2 4 5 2 2" xfId="29179" xr:uid="{00000000-0005-0000-0000-0000ED710000}"/>
    <cellStyle name="0_Xl0000067 2 4 5 3" xfId="29180" xr:uid="{00000000-0005-0000-0000-0000EE710000}"/>
    <cellStyle name="0_Xl0000067 2 4 5 3 2" xfId="29181" xr:uid="{00000000-0005-0000-0000-0000EF710000}"/>
    <cellStyle name="0_Xl0000067 2 4 5 4" xfId="29182" xr:uid="{00000000-0005-0000-0000-0000F0710000}"/>
    <cellStyle name="0_Xl0000067 2 4 6" xfId="29183" xr:uid="{00000000-0005-0000-0000-0000F1710000}"/>
    <cellStyle name="0_Xl0000067 2 4 6 2" xfId="29184" xr:uid="{00000000-0005-0000-0000-0000F2710000}"/>
    <cellStyle name="0_Xl0000067 2 4 7" xfId="29185" xr:uid="{00000000-0005-0000-0000-0000F3710000}"/>
    <cellStyle name="0_Xl0000067 2 4 7 2" xfId="29186" xr:uid="{00000000-0005-0000-0000-0000F4710000}"/>
    <cellStyle name="0_Xl0000067 2 4 8" xfId="29187" xr:uid="{00000000-0005-0000-0000-0000F5710000}"/>
    <cellStyle name="0_Xl0000067 2 5" xfId="29188" xr:uid="{00000000-0005-0000-0000-0000F6710000}"/>
    <cellStyle name="0_Xl0000067 2 5 2" xfId="29189" xr:uid="{00000000-0005-0000-0000-0000F7710000}"/>
    <cellStyle name="0_Xl0000067 2 5 2 2" xfId="29190" xr:uid="{00000000-0005-0000-0000-0000F8710000}"/>
    <cellStyle name="0_Xl0000067 2 5 2 2 2" xfId="29191" xr:uid="{00000000-0005-0000-0000-0000F9710000}"/>
    <cellStyle name="0_Xl0000067 2 5 2 2 2 2" xfId="29192" xr:uid="{00000000-0005-0000-0000-0000FA710000}"/>
    <cellStyle name="0_Xl0000067 2 5 2 2 3" xfId="29193" xr:uid="{00000000-0005-0000-0000-0000FB710000}"/>
    <cellStyle name="0_Xl0000067 2 5 2 2 3 2" xfId="29194" xr:uid="{00000000-0005-0000-0000-0000FC710000}"/>
    <cellStyle name="0_Xl0000067 2 5 2 2 4" xfId="29195" xr:uid="{00000000-0005-0000-0000-0000FD710000}"/>
    <cellStyle name="0_Xl0000067 2 5 2 3" xfId="29196" xr:uid="{00000000-0005-0000-0000-0000FE710000}"/>
    <cellStyle name="0_Xl0000067 2 5 2 3 2" xfId="29197" xr:uid="{00000000-0005-0000-0000-0000FF710000}"/>
    <cellStyle name="0_Xl0000067 2 5 2 3 2 2" xfId="29198" xr:uid="{00000000-0005-0000-0000-000000720000}"/>
    <cellStyle name="0_Xl0000067 2 5 2 3 3" xfId="29199" xr:uid="{00000000-0005-0000-0000-000001720000}"/>
    <cellStyle name="0_Xl0000067 2 5 2 3 3 2" xfId="29200" xr:uid="{00000000-0005-0000-0000-000002720000}"/>
    <cellStyle name="0_Xl0000067 2 5 2 3 4" xfId="29201" xr:uid="{00000000-0005-0000-0000-000003720000}"/>
    <cellStyle name="0_Xl0000067 2 5 2 4" xfId="29202" xr:uid="{00000000-0005-0000-0000-000004720000}"/>
    <cellStyle name="0_Xl0000067 2 5 2 4 2" xfId="29203" xr:uid="{00000000-0005-0000-0000-000005720000}"/>
    <cellStyle name="0_Xl0000067 2 5 2 5" xfId="29204" xr:uid="{00000000-0005-0000-0000-000006720000}"/>
    <cellStyle name="0_Xl0000067 2 5 2 5 2" xfId="29205" xr:uid="{00000000-0005-0000-0000-000007720000}"/>
    <cellStyle name="0_Xl0000067 2 5 2 6" xfId="29206" xr:uid="{00000000-0005-0000-0000-000008720000}"/>
    <cellStyle name="0_Xl0000067 2 5 3" xfId="29207" xr:uid="{00000000-0005-0000-0000-000009720000}"/>
    <cellStyle name="0_Xl0000067 2 5 3 2" xfId="29208" xr:uid="{00000000-0005-0000-0000-00000A720000}"/>
    <cellStyle name="0_Xl0000067 2 5 3 2 2" xfId="29209" xr:uid="{00000000-0005-0000-0000-00000B720000}"/>
    <cellStyle name="0_Xl0000067 2 5 3 3" xfId="29210" xr:uid="{00000000-0005-0000-0000-00000C720000}"/>
    <cellStyle name="0_Xl0000067 2 5 3 3 2" xfId="29211" xr:uid="{00000000-0005-0000-0000-00000D720000}"/>
    <cellStyle name="0_Xl0000067 2 5 3 4" xfId="29212" xr:uid="{00000000-0005-0000-0000-00000E720000}"/>
    <cellStyle name="0_Xl0000067 2 5 4" xfId="29213" xr:uid="{00000000-0005-0000-0000-00000F720000}"/>
    <cellStyle name="0_Xl0000067 2 5 4 2" xfId="29214" xr:uid="{00000000-0005-0000-0000-000010720000}"/>
    <cellStyle name="0_Xl0000067 2 5 4 2 2" xfId="29215" xr:uid="{00000000-0005-0000-0000-000011720000}"/>
    <cellStyle name="0_Xl0000067 2 5 4 3" xfId="29216" xr:uid="{00000000-0005-0000-0000-000012720000}"/>
    <cellStyle name="0_Xl0000067 2 5 4 3 2" xfId="29217" xr:uid="{00000000-0005-0000-0000-000013720000}"/>
    <cellStyle name="0_Xl0000067 2 5 4 4" xfId="29218" xr:uid="{00000000-0005-0000-0000-000014720000}"/>
    <cellStyle name="0_Xl0000067 2 5 5" xfId="29219" xr:uid="{00000000-0005-0000-0000-000015720000}"/>
    <cellStyle name="0_Xl0000067 2 5 5 2" xfId="29220" xr:uid="{00000000-0005-0000-0000-000016720000}"/>
    <cellStyle name="0_Xl0000067 2 5 5 2 2" xfId="29221" xr:uid="{00000000-0005-0000-0000-000017720000}"/>
    <cellStyle name="0_Xl0000067 2 5 5 3" xfId="29222" xr:uid="{00000000-0005-0000-0000-000018720000}"/>
    <cellStyle name="0_Xl0000067 2 5 5 3 2" xfId="29223" xr:uid="{00000000-0005-0000-0000-000019720000}"/>
    <cellStyle name="0_Xl0000067 2 5 5 4" xfId="29224" xr:uid="{00000000-0005-0000-0000-00001A720000}"/>
    <cellStyle name="0_Xl0000067 2 5 6" xfId="29225" xr:uid="{00000000-0005-0000-0000-00001B720000}"/>
    <cellStyle name="0_Xl0000067 2 5 6 2" xfId="29226" xr:uid="{00000000-0005-0000-0000-00001C720000}"/>
    <cellStyle name="0_Xl0000067 2 5 7" xfId="29227" xr:uid="{00000000-0005-0000-0000-00001D720000}"/>
    <cellStyle name="0_Xl0000067 2 5 7 2" xfId="29228" xr:uid="{00000000-0005-0000-0000-00001E720000}"/>
    <cellStyle name="0_Xl0000067 2 5 8" xfId="29229" xr:uid="{00000000-0005-0000-0000-00001F720000}"/>
    <cellStyle name="0_Xl0000067 2 6" xfId="29230" xr:uid="{00000000-0005-0000-0000-000020720000}"/>
    <cellStyle name="0_Xl0000067 2 6 2" xfId="29231" xr:uid="{00000000-0005-0000-0000-000021720000}"/>
    <cellStyle name="0_Xl0000067 2 6 2 2" xfId="29232" xr:uid="{00000000-0005-0000-0000-000022720000}"/>
    <cellStyle name="0_Xl0000067 2 6 2 2 2" xfId="29233" xr:uid="{00000000-0005-0000-0000-000023720000}"/>
    <cellStyle name="0_Xl0000067 2 6 2 2 2 2" xfId="29234" xr:uid="{00000000-0005-0000-0000-000024720000}"/>
    <cellStyle name="0_Xl0000067 2 6 2 2 3" xfId="29235" xr:uid="{00000000-0005-0000-0000-000025720000}"/>
    <cellStyle name="0_Xl0000067 2 6 2 2 3 2" xfId="29236" xr:uid="{00000000-0005-0000-0000-000026720000}"/>
    <cellStyle name="0_Xl0000067 2 6 2 2 4" xfId="29237" xr:uid="{00000000-0005-0000-0000-000027720000}"/>
    <cellStyle name="0_Xl0000067 2 6 2 3" xfId="29238" xr:uid="{00000000-0005-0000-0000-000028720000}"/>
    <cellStyle name="0_Xl0000067 2 6 2 3 2" xfId="29239" xr:uid="{00000000-0005-0000-0000-000029720000}"/>
    <cellStyle name="0_Xl0000067 2 6 2 3 2 2" xfId="29240" xr:uid="{00000000-0005-0000-0000-00002A720000}"/>
    <cellStyle name="0_Xl0000067 2 6 2 3 3" xfId="29241" xr:uid="{00000000-0005-0000-0000-00002B720000}"/>
    <cellStyle name="0_Xl0000067 2 6 2 3 3 2" xfId="29242" xr:uid="{00000000-0005-0000-0000-00002C720000}"/>
    <cellStyle name="0_Xl0000067 2 6 2 3 4" xfId="29243" xr:uid="{00000000-0005-0000-0000-00002D720000}"/>
    <cellStyle name="0_Xl0000067 2 6 2 4" xfId="29244" xr:uid="{00000000-0005-0000-0000-00002E720000}"/>
    <cellStyle name="0_Xl0000067 2 6 2 4 2" xfId="29245" xr:uid="{00000000-0005-0000-0000-00002F720000}"/>
    <cellStyle name="0_Xl0000067 2 6 2 5" xfId="29246" xr:uid="{00000000-0005-0000-0000-000030720000}"/>
    <cellStyle name="0_Xl0000067 2 6 2 5 2" xfId="29247" xr:uid="{00000000-0005-0000-0000-000031720000}"/>
    <cellStyle name="0_Xl0000067 2 6 2 6" xfId="29248" xr:uid="{00000000-0005-0000-0000-000032720000}"/>
    <cellStyle name="0_Xl0000067 2 6 3" xfId="29249" xr:uid="{00000000-0005-0000-0000-000033720000}"/>
    <cellStyle name="0_Xl0000067 2 6 3 2" xfId="29250" xr:uid="{00000000-0005-0000-0000-000034720000}"/>
    <cellStyle name="0_Xl0000067 2 6 3 2 2" xfId="29251" xr:uid="{00000000-0005-0000-0000-000035720000}"/>
    <cellStyle name="0_Xl0000067 2 6 3 3" xfId="29252" xr:uid="{00000000-0005-0000-0000-000036720000}"/>
    <cellStyle name="0_Xl0000067 2 6 3 3 2" xfId="29253" xr:uid="{00000000-0005-0000-0000-000037720000}"/>
    <cellStyle name="0_Xl0000067 2 6 3 4" xfId="29254" xr:uid="{00000000-0005-0000-0000-000038720000}"/>
    <cellStyle name="0_Xl0000067 2 6 4" xfId="29255" xr:uid="{00000000-0005-0000-0000-000039720000}"/>
    <cellStyle name="0_Xl0000067 2 6 4 2" xfId="29256" xr:uid="{00000000-0005-0000-0000-00003A720000}"/>
    <cellStyle name="0_Xl0000067 2 6 4 2 2" xfId="29257" xr:uid="{00000000-0005-0000-0000-00003B720000}"/>
    <cellStyle name="0_Xl0000067 2 6 4 3" xfId="29258" xr:uid="{00000000-0005-0000-0000-00003C720000}"/>
    <cellStyle name="0_Xl0000067 2 6 4 3 2" xfId="29259" xr:uid="{00000000-0005-0000-0000-00003D720000}"/>
    <cellStyle name="0_Xl0000067 2 6 4 4" xfId="29260" xr:uid="{00000000-0005-0000-0000-00003E720000}"/>
    <cellStyle name="0_Xl0000067 2 6 5" xfId="29261" xr:uid="{00000000-0005-0000-0000-00003F720000}"/>
    <cellStyle name="0_Xl0000067 2 6 5 2" xfId="29262" xr:uid="{00000000-0005-0000-0000-000040720000}"/>
    <cellStyle name="0_Xl0000067 2 6 5 2 2" xfId="29263" xr:uid="{00000000-0005-0000-0000-000041720000}"/>
    <cellStyle name="0_Xl0000067 2 6 5 3" xfId="29264" xr:uid="{00000000-0005-0000-0000-000042720000}"/>
    <cellStyle name="0_Xl0000067 2 6 5 3 2" xfId="29265" xr:uid="{00000000-0005-0000-0000-000043720000}"/>
    <cellStyle name="0_Xl0000067 2 6 5 4" xfId="29266" xr:uid="{00000000-0005-0000-0000-000044720000}"/>
    <cellStyle name="0_Xl0000067 2 6 6" xfId="29267" xr:uid="{00000000-0005-0000-0000-000045720000}"/>
    <cellStyle name="0_Xl0000067 2 6 6 2" xfId="29268" xr:uid="{00000000-0005-0000-0000-000046720000}"/>
    <cellStyle name="0_Xl0000067 2 6 7" xfId="29269" xr:uid="{00000000-0005-0000-0000-000047720000}"/>
    <cellStyle name="0_Xl0000067 2 6 7 2" xfId="29270" xr:uid="{00000000-0005-0000-0000-000048720000}"/>
    <cellStyle name="0_Xl0000067 2 6 8" xfId="29271" xr:uid="{00000000-0005-0000-0000-000049720000}"/>
    <cellStyle name="0_Xl0000067 2 7" xfId="29272" xr:uid="{00000000-0005-0000-0000-00004A720000}"/>
    <cellStyle name="0_Xl0000067 2 7 2" xfId="29273" xr:uid="{00000000-0005-0000-0000-00004B720000}"/>
    <cellStyle name="0_Xl0000067 2 7 2 2" xfId="29274" xr:uid="{00000000-0005-0000-0000-00004C720000}"/>
    <cellStyle name="0_Xl0000067 2 7 2 2 2" xfId="29275" xr:uid="{00000000-0005-0000-0000-00004D720000}"/>
    <cellStyle name="0_Xl0000067 2 7 2 3" xfId="29276" xr:uid="{00000000-0005-0000-0000-00004E720000}"/>
    <cellStyle name="0_Xl0000067 2 7 2 3 2" xfId="29277" xr:uid="{00000000-0005-0000-0000-00004F720000}"/>
    <cellStyle name="0_Xl0000067 2 7 2 4" xfId="29278" xr:uid="{00000000-0005-0000-0000-000050720000}"/>
    <cellStyle name="0_Xl0000067 2 7 3" xfId="29279" xr:uid="{00000000-0005-0000-0000-000051720000}"/>
    <cellStyle name="0_Xl0000067 2 7 3 2" xfId="29280" xr:uid="{00000000-0005-0000-0000-000052720000}"/>
    <cellStyle name="0_Xl0000067 2 7 3 2 2" xfId="29281" xr:uid="{00000000-0005-0000-0000-000053720000}"/>
    <cellStyle name="0_Xl0000067 2 7 3 3" xfId="29282" xr:uid="{00000000-0005-0000-0000-000054720000}"/>
    <cellStyle name="0_Xl0000067 2 7 3 3 2" xfId="29283" xr:uid="{00000000-0005-0000-0000-000055720000}"/>
    <cellStyle name="0_Xl0000067 2 7 3 4" xfId="29284" xr:uid="{00000000-0005-0000-0000-000056720000}"/>
    <cellStyle name="0_Xl0000067 2 7 4" xfId="29285" xr:uid="{00000000-0005-0000-0000-000057720000}"/>
    <cellStyle name="0_Xl0000067 2 7 4 2" xfId="29286" xr:uid="{00000000-0005-0000-0000-000058720000}"/>
    <cellStyle name="0_Xl0000067 2 7 5" xfId="29287" xr:uid="{00000000-0005-0000-0000-000059720000}"/>
    <cellStyle name="0_Xl0000067 2 7 5 2" xfId="29288" xr:uid="{00000000-0005-0000-0000-00005A720000}"/>
    <cellStyle name="0_Xl0000067 2 7 6" xfId="29289" xr:uid="{00000000-0005-0000-0000-00005B720000}"/>
    <cellStyle name="0_Xl0000067 2 8" xfId="29290" xr:uid="{00000000-0005-0000-0000-00005C720000}"/>
    <cellStyle name="0_Xl0000067 2 8 2" xfId="29291" xr:uid="{00000000-0005-0000-0000-00005D720000}"/>
    <cellStyle name="0_Xl0000067 2 8 2 2" xfId="29292" xr:uid="{00000000-0005-0000-0000-00005E720000}"/>
    <cellStyle name="0_Xl0000067 2 8 3" xfId="29293" xr:uid="{00000000-0005-0000-0000-00005F720000}"/>
    <cellStyle name="0_Xl0000067 2 8 3 2" xfId="29294" xr:uid="{00000000-0005-0000-0000-000060720000}"/>
    <cellStyle name="0_Xl0000067 2 8 4" xfId="29295" xr:uid="{00000000-0005-0000-0000-000061720000}"/>
    <cellStyle name="0_Xl0000067 2 9" xfId="29296" xr:uid="{00000000-0005-0000-0000-000062720000}"/>
    <cellStyle name="0_Xl0000067 2 9 2" xfId="29297" xr:uid="{00000000-0005-0000-0000-000063720000}"/>
    <cellStyle name="0_Xl0000067 2 9 2 2" xfId="29298" xr:uid="{00000000-0005-0000-0000-000064720000}"/>
    <cellStyle name="0_Xl0000067 2 9 3" xfId="29299" xr:uid="{00000000-0005-0000-0000-000065720000}"/>
    <cellStyle name="0_Xl0000067 2 9 3 2" xfId="29300" xr:uid="{00000000-0005-0000-0000-000066720000}"/>
    <cellStyle name="0_Xl0000067 2 9 4" xfId="29301" xr:uid="{00000000-0005-0000-0000-000067720000}"/>
    <cellStyle name="0_Xl0000067 20" xfId="29302" xr:uid="{00000000-0005-0000-0000-000068720000}"/>
    <cellStyle name="0_Xl0000067 21" xfId="29303" xr:uid="{00000000-0005-0000-0000-000069720000}"/>
    <cellStyle name="0_Xl0000067 3" xfId="29304" xr:uid="{00000000-0005-0000-0000-00006A720000}"/>
    <cellStyle name="0_Xl0000067 3 10" xfId="29305" xr:uid="{00000000-0005-0000-0000-00006B720000}"/>
    <cellStyle name="0_Xl0000067 3 10 2" xfId="29306" xr:uid="{00000000-0005-0000-0000-00006C720000}"/>
    <cellStyle name="0_Xl0000067 3 10 2 2" xfId="29307" xr:uid="{00000000-0005-0000-0000-00006D720000}"/>
    <cellStyle name="0_Xl0000067 3 10 3" xfId="29308" xr:uid="{00000000-0005-0000-0000-00006E720000}"/>
    <cellStyle name="0_Xl0000067 3 10 3 2" xfId="29309" xr:uid="{00000000-0005-0000-0000-00006F720000}"/>
    <cellStyle name="0_Xl0000067 3 10 4" xfId="29310" xr:uid="{00000000-0005-0000-0000-000070720000}"/>
    <cellStyle name="0_Xl0000067 3 11" xfId="29311" xr:uid="{00000000-0005-0000-0000-000071720000}"/>
    <cellStyle name="0_Xl0000067 3 11 2" xfId="29312" xr:uid="{00000000-0005-0000-0000-000072720000}"/>
    <cellStyle name="0_Xl0000067 3 12" xfId="29313" xr:uid="{00000000-0005-0000-0000-000073720000}"/>
    <cellStyle name="0_Xl0000067 3 12 2" xfId="29314" xr:uid="{00000000-0005-0000-0000-000074720000}"/>
    <cellStyle name="0_Xl0000067 3 13" xfId="29315" xr:uid="{00000000-0005-0000-0000-000075720000}"/>
    <cellStyle name="0_Xl0000067 3 2" xfId="29316" xr:uid="{00000000-0005-0000-0000-000076720000}"/>
    <cellStyle name="0_Xl0000067 3 2 2" xfId="29317" xr:uid="{00000000-0005-0000-0000-000077720000}"/>
    <cellStyle name="0_Xl0000067 3 2 2 2" xfId="29318" xr:uid="{00000000-0005-0000-0000-000078720000}"/>
    <cellStyle name="0_Xl0000067 3 2 2 2 2" xfId="29319" xr:uid="{00000000-0005-0000-0000-000079720000}"/>
    <cellStyle name="0_Xl0000067 3 2 2 2 2 2" xfId="29320" xr:uid="{00000000-0005-0000-0000-00007A720000}"/>
    <cellStyle name="0_Xl0000067 3 2 2 2 3" xfId="29321" xr:uid="{00000000-0005-0000-0000-00007B720000}"/>
    <cellStyle name="0_Xl0000067 3 2 2 2 3 2" xfId="29322" xr:uid="{00000000-0005-0000-0000-00007C720000}"/>
    <cellStyle name="0_Xl0000067 3 2 2 2 4" xfId="29323" xr:uid="{00000000-0005-0000-0000-00007D720000}"/>
    <cellStyle name="0_Xl0000067 3 2 2 3" xfId="29324" xr:uid="{00000000-0005-0000-0000-00007E720000}"/>
    <cellStyle name="0_Xl0000067 3 2 2 3 2" xfId="29325" xr:uid="{00000000-0005-0000-0000-00007F720000}"/>
    <cellStyle name="0_Xl0000067 3 2 2 3 2 2" xfId="29326" xr:uid="{00000000-0005-0000-0000-000080720000}"/>
    <cellStyle name="0_Xl0000067 3 2 2 3 3" xfId="29327" xr:uid="{00000000-0005-0000-0000-000081720000}"/>
    <cellStyle name="0_Xl0000067 3 2 2 3 3 2" xfId="29328" xr:uid="{00000000-0005-0000-0000-000082720000}"/>
    <cellStyle name="0_Xl0000067 3 2 2 3 4" xfId="29329" xr:uid="{00000000-0005-0000-0000-000083720000}"/>
    <cellStyle name="0_Xl0000067 3 2 2 4" xfId="29330" xr:uid="{00000000-0005-0000-0000-000084720000}"/>
    <cellStyle name="0_Xl0000067 3 2 2 4 2" xfId="29331" xr:uid="{00000000-0005-0000-0000-000085720000}"/>
    <cellStyle name="0_Xl0000067 3 2 2 5" xfId="29332" xr:uid="{00000000-0005-0000-0000-000086720000}"/>
    <cellStyle name="0_Xl0000067 3 2 2 5 2" xfId="29333" xr:uid="{00000000-0005-0000-0000-000087720000}"/>
    <cellStyle name="0_Xl0000067 3 2 2 6" xfId="29334" xr:uid="{00000000-0005-0000-0000-000088720000}"/>
    <cellStyle name="0_Xl0000067 3 2 3" xfId="29335" xr:uid="{00000000-0005-0000-0000-000089720000}"/>
    <cellStyle name="0_Xl0000067 3 2 3 2" xfId="29336" xr:uid="{00000000-0005-0000-0000-00008A720000}"/>
    <cellStyle name="0_Xl0000067 3 2 3 2 2" xfId="29337" xr:uid="{00000000-0005-0000-0000-00008B720000}"/>
    <cellStyle name="0_Xl0000067 3 2 3 3" xfId="29338" xr:uid="{00000000-0005-0000-0000-00008C720000}"/>
    <cellStyle name="0_Xl0000067 3 2 3 3 2" xfId="29339" xr:uid="{00000000-0005-0000-0000-00008D720000}"/>
    <cellStyle name="0_Xl0000067 3 2 3 4" xfId="29340" xr:uid="{00000000-0005-0000-0000-00008E720000}"/>
    <cellStyle name="0_Xl0000067 3 2 4" xfId="29341" xr:uid="{00000000-0005-0000-0000-00008F720000}"/>
    <cellStyle name="0_Xl0000067 3 2 4 2" xfId="29342" xr:uid="{00000000-0005-0000-0000-000090720000}"/>
    <cellStyle name="0_Xl0000067 3 2 4 2 2" xfId="29343" xr:uid="{00000000-0005-0000-0000-000091720000}"/>
    <cellStyle name="0_Xl0000067 3 2 4 3" xfId="29344" xr:uid="{00000000-0005-0000-0000-000092720000}"/>
    <cellStyle name="0_Xl0000067 3 2 4 3 2" xfId="29345" xr:uid="{00000000-0005-0000-0000-000093720000}"/>
    <cellStyle name="0_Xl0000067 3 2 4 4" xfId="29346" xr:uid="{00000000-0005-0000-0000-000094720000}"/>
    <cellStyle name="0_Xl0000067 3 2 5" xfId="29347" xr:uid="{00000000-0005-0000-0000-000095720000}"/>
    <cellStyle name="0_Xl0000067 3 2 5 2" xfId="29348" xr:uid="{00000000-0005-0000-0000-000096720000}"/>
    <cellStyle name="0_Xl0000067 3 2 5 2 2" xfId="29349" xr:uid="{00000000-0005-0000-0000-000097720000}"/>
    <cellStyle name="0_Xl0000067 3 2 5 3" xfId="29350" xr:uid="{00000000-0005-0000-0000-000098720000}"/>
    <cellStyle name="0_Xl0000067 3 2 5 3 2" xfId="29351" xr:uid="{00000000-0005-0000-0000-000099720000}"/>
    <cellStyle name="0_Xl0000067 3 2 5 4" xfId="29352" xr:uid="{00000000-0005-0000-0000-00009A720000}"/>
    <cellStyle name="0_Xl0000067 3 2 6" xfId="29353" xr:uid="{00000000-0005-0000-0000-00009B720000}"/>
    <cellStyle name="0_Xl0000067 3 2 6 2" xfId="29354" xr:uid="{00000000-0005-0000-0000-00009C720000}"/>
    <cellStyle name="0_Xl0000067 3 2 7" xfId="29355" xr:uid="{00000000-0005-0000-0000-00009D720000}"/>
    <cellStyle name="0_Xl0000067 3 2 7 2" xfId="29356" xr:uid="{00000000-0005-0000-0000-00009E720000}"/>
    <cellStyle name="0_Xl0000067 3 2 8" xfId="29357" xr:uid="{00000000-0005-0000-0000-00009F720000}"/>
    <cellStyle name="0_Xl0000067 3 3" xfId="29358" xr:uid="{00000000-0005-0000-0000-0000A0720000}"/>
    <cellStyle name="0_Xl0000067 3 3 2" xfId="29359" xr:uid="{00000000-0005-0000-0000-0000A1720000}"/>
    <cellStyle name="0_Xl0000067 3 3 2 2" xfId="29360" xr:uid="{00000000-0005-0000-0000-0000A2720000}"/>
    <cellStyle name="0_Xl0000067 3 3 2 2 2" xfId="29361" xr:uid="{00000000-0005-0000-0000-0000A3720000}"/>
    <cellStyle name="0_Xl0000067 3 3 2 2 2 2" xfId="29362" xr:uid="{00000000-0005-0000-0000-0000A4720000}"/>
    <cellStyle name="0_Xl0000067 3 3 2 2 3" xfId="29363" xr:uid="{00000000-0005-0000-0000-0000A5720000}"/>
    <cellStyle name="0_Xl0000067 3 3 2 2 3 2" xfId="29364" xr:uid="{00000000-0005-0000-0000-0000A6720000}"/>
    <cellStyle name="0_Xl0000067 3 3 2 2 4" xfId="29365" xr:uid="{00000000-0005-0000-0000-0000A7720000}"/>
    <cellStyle name="0_Xl0000067 3 3 2 3" xfId="29366" xr:uid="{00000000-0005-0000-0000-0000A8720000}"/>
    <cellStyle name="0_Xl0000067 3 3 2 3 2" xfId="29367" xr:uid="{00000000-0005-0000-0000-0000A9720000}"/>
    <cellStyle name="0_Xl0000067 3 3 2 3 2 2" xfId="29368" xr:uid="{00000000-0005-0000-0000-0000AA720000}"/>
    <cellStyle name="0_Xl0000067 3 3 2 3 3" xfId="29369" xr:uid="{00000000-0005-0000-0000-0000AB720000}"/>
    <cellStyle name="0_Xl0000067 3 3 2 3 3 2" xfId="29370" xr:uid="{00000000-0005-0000-0000-0000AC720000}"/>
    <cellStyle name="0_Xl0000067 3 3 2 3 4" xfId="29371" xr:uid="{00000000-0005-0000-0000-0000AD720000}"/>
    <cellStyle name="0_Xl0000067 3 3 2 4" xfId="29372" xr:uid="{00000000-0005-0000-0000-0000AE720000}"/>
    <cellStyle name="0_Xl0000067 3 3 2 4 2" xfId="29373" xr:uid="{00000000-0005-0000-0000-0000AF720000}"/>
    <cellStyle name="0_Xl0000067 3 3 2 5" xfId="29374" xr:uid="{00000000-0005-0000-0000-0000B0720000}"/>
    <cellStyle name="0_Xl0000067 3 3 2 5 2" xfId="29375" xr:uid="{00000000-0005-0000-0000-0000B1720000}"/>
    <cellStyle name="0_Xl0000067 3 3 2 6" xfId="29376" xr:uid="{00000000-0005-0000-0000-0000B2720000}"/>
    <cellStyle name="0_Xl0000067 3 3 3" xfId="29377" xr:uid="{00000000-0005-0000-0000-0000B3720000}"/>
    <cellStyle name="0_Xl0000067 3 3 3 2" xfId="29378" xr:uid="{00000000-0005-0000-0000-0000B4720000}"/>
    <cellStyle name="0_Xl0000067 3 3 3 2 2" xfId="29379" xr:uid="{00000000-0005-0000-0000-0000B5720000}"/>
    <cellStyle name="0_Xl0000067 3 3 3 3" xfId="29380" xr:uid="{00000000-0005-0000-0000-0000B6720000}"/>
    <cellStyle name="0_Xl0000067 3 3 3 3 2" xfId="29381" xr:uid="{00000000-0005-0000-0000-0000B7720000}"/>
    <cellStyle name="0_Xl0000067 3 3 3 4" xfId="29382" xr:uid="{00000000-0005-0000-0000-0000B8720000}"/>
    <cellStyle name="0_Xl0000067 3 3 4" xfId="29383" xr:uid="{00000000-0005-0000-0000-0000B9720000}"/>
    <cellStyle name="0_Xl0000067 3 3 4 2" xfId="29384" xr:uid="{00000000-0005-0000-0000-0000BA720000}"/>
    <cellStyle name="0_Xl0000067 3 3 4 2 2" xfId="29385" xr:uid="{00000000-0005-0000-0000-0000BB720000}"/>
    <cellStyle name="0_Xl0000067 3 3 4 3" xfId="29386" xr:uid="{00000000-0005-0000-0000-0000BC720000}"/>
    <cellStyle name="0_Xl0000067 3 3 4 3 2" xfId="29387" xr:uid="{00000000-0005-0000-0000-0000BD720000}"/>
    <cellStyle name="0_Xl0000067 3 3 4 4" xfId="29388" xr:uid="{00000000-0005-0000-0000-0000BE720000}"/>
    <cellStyle name="0_Xl0000067 3 3 5" xfId="29389" xr:uid="{00000000-0005-0000-0000-0000BF720000}"/>
    <cellStyle name="0_Xl0000067 3 3 5 2" xfId="29390" xr:uid="{00000000-0005-0000-0000-0000C0720000}"/>
    <cellStyle name="0_Xl0000067 3 3 5 2 2" xfId="29391" xr:uid="{00000000-0005-0000-0000-0000C1720000}"/>
    <cellStyle name="0_Xl0000067 3 3 5 3" xfId="29392" xr:uid="{00000000-0005-0000-0000-0000C2720000}"/>
    <cellStyle name="0_Xl0000067 3 3 5 3 2" xfId="29393" xr:uid="{00000000-0005-0000-0000-0000C3720000}"/>
    <cellStyle name="0_Xl0000067 3 3 5 4" xfId="29394" xr:uid="{00000000-0005-0000-0000-0000C4720000}"/>
    <cellStyle name="0_Xl0000067 3 3 6" xfId="29395" xr:uid="{00000000-0005-0000-0000-0000C5720000}"/>
    <cellStyle name="0_Xl0000067 3 3 6 2" xfId="29396" xr:uid="{00000000-0005-0000-0000-0000C6720000}"/>
    <cellStyle name="0_Xl0000067 3 3 7" xfId="29397" xr:uid="{00000000-0005-0000-0000-0000C7720000}"/>
    <cellStyle name="0_Xl0000067 3 3 7 2" xfId="29398" xr:uid="{00000000-0005-0000-0000-0000C8720000}"/>
    <cellStyle name="0_Xl0000067 3 3 8" xfId="29399" xr:uid="{00000000-0005-0000-0000-0000C9720000}"/>
    <cellStyle name="0_Xl0000067 3 4" xfId="29400" xr:uid="{00000000-0005-0000-0000-0000CA720000}"/>
    <cellStyle name="0_Xl0000067 3 4 2" xfId="29401" xr:uid="{00000000-0005-0000-0000-0000CB720000}"/>
    <cellStyle name="0_Xl0000067 3 4 2 2" xfId="29402" xr:uid="{00000000-0005-0000-0000-0000CC720000}"/>
    <cellStyle name="0_Xl0000067 3 4 2 2 2" xfId="29403" xr:uid="{00000000-0005-0000-0000-0000CD720000}"/>
    <cellStyle name="0_Xl0000067 3 4 2 2 2 2" xfId="29404" xr:uid="{00000000-0005-0000-0000-0000CE720000}"/>
    <cellStyle name="0_Xl0000067 3 4 2 2 3" xfId="29405" xr:uid="{00000000-0005-0000-0000-0000CF720000}"/>
    <cellStyle name="0_Xl0000067 3 4 2 2 3 2" xfId="29406" xr:uid="{00000000-0005-0000-0000-0000D0720000}"/>
    <cellStyle name="0_Xl0000067 3 4 2 2 4" xfId="29407" xr:uid="{00000000-0005-0000-0000-0000D1720000}"/>
    <cellStyle name="0_Xl0000067 3 4 2 3" xfId="29408" xr:uid="{00000000-0005-0000-0000-0000D2720000}"/>
    <cellStyle name="0_Xl0000067 3 4 2 3 2" xfId="29409" xr:uid="{00000000-0005-0000-0000-0000D3720000}"/>
    <cellStyle name="0_Xl0000067 3 4 2 3 2 2" xfId="29410" xr:uid="{00000000-0005-0000-0000-0000D4720000}"/>
    <cellStyle name="0_Xl0000067 3 4 2 3 3" xfId="29411" xr:uid="{00000000-0005-0000-0000-0000D5720000}"/>
    <cellStyle name="0_Xl0000067 3 4 2 3 3 2" xfId="29412" xr:uid="{00000000-0005-0000-0000-0000D6720000}"/>
    <cellStyle name="0_Xl0000067 3 4 2 3 4" xfId="29413" xr:uid="{00000000-0005-0000-0000-0000D7720000}"/>
    <cellStyle name="0_Xl0000067 3 4 2 4" xfId="29414" xr:uid="{00000000-0005-0000-0000-0000D8720000}"/>
    <cellStyle name="0_Xl0000067 3 4 2 4 2" xfId="29415" xr:uid="{00000000-0005-0000-0000-0000D9720000}"/>
    <cellStyle name="0_Xl0000067 3 4 2 5" xfId="29416" xr:uid="{00000000-0005-0000-0000-0000DA720000}"/>
    <cellStyle name="0_Xl0000067 3 4 2 5 2" xfId="29417" xr:uid="{00000000-0005-0000-0000-0000DB720000}"/>
    <cellStyle name="0_Xl0000067 3 4 2 6" xfId="29418" xr:uid="{00000000-0005-0000-0000-0000DC720000}"/>
    <cellStyle name="0_Xl0000067 3 4 3" xfId="29419" xr:uid="{00000000-0005-0000-0000-0000DD720000}"/>
    <cellStyle name="0_Xl0000067 3 4 3 2" xfId="29420" xr:uid="{00000000-0005-0000-0000-0000DE720000}"/>
    <cellStyle name="0_Xl0000067 3 4 3 2 2" xfId="29421" xr:uid="{00000000-0005-0000-0000-0000DF720000}"/>
    <cellStyle name="0_Xl0000067 3 4 3 3" xfId="29422" xr:uid="{00000000-0005-0000-0000-0000E0720000}"/>
    <cellStyle name="0_Xl0000067 3 4 3 3 2" xfId="29423" xr:uid="{00000000-0005-0000-0000-0000E1720000}"/>
    <cellStyle name="0_Xl0000067 3 4 3 4" xfId="29424" xr:uid="{00000000-0005-0000-0000-0000E2720000}"/>
    <cellStyle name="0_Xl0000067 3 4 4" xfId="29425" xr:uid="{00000000-0005-0000-0000-0000E3720000}"/>
    <cellStyle name="0_Xl0000067 3 4 4 2" xfId="29426" xr:uid="{00000000-0005-0000-0000-0000E4720000}"/>
    <cellStyle name="0_Xl0000067 3 4 4 2 2" xfId="29427" xr:uid="{00000000-0005-0000-0000-0000E5720000}"/>
    <cellStyle name="0_Xl0000067 3 4 4 3" xfId="29428" xr:uid="{00000000-0005-0000-0000-0000E6720000}"/>
    <cellStyle name="0_Xl0000067 3 4 4 3 2" xfId="29429" xr:uid="{00000000-0005-0000-0000-0000E7720000}"/>
    <cellStyle name="0_Xl0000067 3 4 4 4" xfId="29430" xr:uid="{00000000-0005-0000-0000-0000E8720000}"/>
    <cellStyle name="0_Xl0000067 3 4 5" xfId="29431" xr:uid="{00000000-0005-0000-0000-0000E9720000}"/>
    <cellStyle name="0_Xl0000067 3 4 5 2" xfId="29432" xr:uid="{00000000-0005-0000-0000-0000EA720000}"/>
    <cellStyle name="0_Xl0000067 3 4 5 2 2" xfId="29433" xr:uid="{00000000-0005-0000-0000-0000EB720000}"/>
    <cellStyle name="0_Xl0000067 3 4 5 3" xfId="29434" xr:uid="{00000000-0005-0000-0000-0000EC720000}"/>
    <cellStyle name="0_Xl0000067 3 4 5 3 2" xfId="29435" xr:uid="{00000000-0005-0000-0000-0000ED720000}"/>
    <cellStyle name="0_Xl0000067 3 4 5 4" xfId="29436" xr:uid="{00000000-0005-0000-0000-0000EE720000}"/>
    <cellStyle name="0_Xl0000067 3 4 6" xfId="29437" xr:uid="{00000000-0005-0000-0000-0000EF720000}"/>
    <cellStyle name="0_Xl0000067 3 4 6 2" xfId="29438" xr:uid="{00000000-0005-0000-0000-0000F0720000}"/>
    <cellStyle name="0_Xl0000067 3 4 7" xfId="29439" xr:uid="{00000000-0005-0000-0000-0000F1720000}"/>
    <cellStyle name="0_Xl0000067 3 4 7 2" xfId="29440" xr:uid="{00000000-0005-0000-0000-0000F2720000}"/>
    <cellStyle name="0_Xl0000067 3 4 8" xfId="29441" xr:uid="{00000000-0005-0000-0000-0000F3720000}"/>
    <cellStyle name="0_Xl0000067 3 5" xfId="29442" xr:uid="{00000000-0005-0000-0000-0000F4720000}"/>
    <cellStyle name="0_Xl0000067 3 5 2" xfId="29443" xr:uid="{00000000-0005-0000-0000-0000F5720000}"/>
    <cellStyle name="0_Xl0000067 3 5 2 2" xfId="29444" xr:uid="{00000000-0005-0000-0000-0000F6720000}"/>
    <cellStyle name="0_Xl0000067 3 5 2 2 2" xfId="29445" xr:uid="{00000000-0005-0000-0000-0000F7720000}"/>
    <cellStyle name="0_Xl0000067 3 5 2 2 2 2" xfId="29446" xr:uid="{00000000-0005-0000-0000-0000F8720000}"/>
    <cellStyle name="0_Xl0000067 3 5 2 2 3" xfId="29447" xr:uid="{00000000-0005-0000-0000-0000F9720000}"/>
    <cellStyle name="0_Xl0000067 3 5 2 2 3 2" xfId="29448" xr:uid="{00000000-0005-0000-0000-0000FA720000}"/>
    <cellStyle name="0_Xl0000067 3 5 2 2 4" xfId="29449" xr:uid="{00000000-0005-0000-0000-0000FB720000}"/>
    <cellStyle name="0_Xl0000067 3 5 2 3" xfId="29450" xr:uid="{00000000-0005-0000-0000-0000FC720000}"/>
    <cellStyle name="0_Xl0000067 3 5 2 3 2" xfId="29451" xr:uid="{00000000-0005-0000-0000-0000FD720000}"/>
    <cellStyle name="0_Xl0000067 3 5 2 3 2 2" xfId="29452" xr:uid="{00000000-0005-0000-0000-0000FE720000}"/>
    <cellStyle name="0_Xl0000067 3 5 2 3 3" xfId="29453" xr:uid="{00000000-0005-0000-0000-0000FF720000}"/>
    <cellStyle name="0_Xl0000067 3 5 2 3 3 2" xfId="29454" xr:uid="{00000000-0005-0000-0000-000000730000}"/>
    <cellStyle name="0_Xl0000067 3 5 2 3 4" xfId="29455" xr:uid="{00000000-0005-0000-0000-000001730000}"/>
    <cellStyle name="0_Xl0000067 3 5 2 4" xfId="29456" xr:uid="{00000000-0005-0000-0000-000002730000}"/>
    <cellStyle name="0_Xl0000067 3 5 2 4 2" xfId="29457" xr:uid="{00000000-0005-0000-0000-000003730000}"/>
    <cellStyle name="0_Xl0000067 3 5 2 5" xfId="29458" xr:uid="{00000000-0005-0000-0000-000004730000}"/>
    <cellStyle name="0_Xl0000067 3 5 2 5 2" xfId="29459" xr:uid="{00000000-0005-0000-0000-000005730000}"/>
    <cellStyle name="0_Xl0000067 3 5 2 6" xfId="29460" xr:uid="{00000000-0005-0000-0000-000006730000}"/>
    <cellStyle name="0_Xl0000067 3 5 3" xfId="29461" xr:uid="{00000000-0005-0000-0000-000007730000}"/>
    <cellStyle name="0_Xl0000067 3 5 3 2" xfId="29462" xr:uid="{00000000-0005-0000-0000-000008730000}"/>
    <cellStyle name="0_Xl0000067 3 5 3 2 2" xfId="29463" xr:uid="{00000000-0005-0000-0000-000009730000}"/>
    <cellStyle name="0_Xl0000067 3 5 3 3" xfId="29464" xr:uid="{00000000-0005-0000-0000-00000A730000}"/>
    <cellStyle name="0_Xl0000067 3 5 3 3 2" xfId="29465" xr:uid="{00000000-0005-0000-0000-00000B730000}"/>
    <cellStyle name="0_Xl0000067 3 5 3 4" xfId="29466" xr:uid="{00000000-0005-0000-0000-00000C730000}"/>
    <cellStyle name="0_Xl0000067 3 5 4" xfId="29467" xr:uid="{00000000-0005-0000-0000-00000D730000}"/>
    <cellStyle name="0_Xl0000067 3 5 4 2" xfId="29468" xr:uid="{00000000-0005-0000-0000-00000E730000}"/>
    <cellStyle name="0_Xl0000067 3 5 4 2 2" xfId="29469" xr:uid="{00000000-0005-0000-0000-00000F730000}"/>
    <cellStyle name="0_Xl0000067 3 5 4 3" xfId="29470" xr:uid="{00000000-0005-0000-0000-000010730000}"/>
    <cellStyle name="0_Xl0000067 3 5 4 3 2" xfId="29471" xr:uid="{00000000-0005-0000-0000-000011730000}"/>
    <cellStyle name="0_Xl0000067 3 5 4 4" xfId="29472" xr:uid="{00000000-0005-0000-0000-000012730000}"/>
    <cellStyle name="0_Xl0000067 3 5 5" xfId="29473" xr:uid="{00000000-0005-0000-0000-000013730000}"/>
    <cellStyle name="0_Xl0000067 3 5 5 2" xfId="29474" xr:uid="{00000000-0005-0000-0000-000014730000}"/>
    <cellStyle name="0_Xl0000067 3 5 5 2 2" xfId="29475" xr:uid="{00000000-0005-0000-0000-000015730000}"/>
    <cellStyle name="0_Xl0000067 3 5 5 3" xfId="29476" xr:uid="{00000000-0005-0000-0000-000016730000}"/>
    <cellStyle name="0_Xl0000067 3 5 5 3 2" xfId="29477" xr:uid="{00000000-0005-0000-0000-000017730000}"/>
    <cellStyle name="0_Xl0000067 3 5 5 4" xfId="29478" xr:uid="{00000000-0005-0000-0000-000018730000}"/>
    <cellStyle name="0_Xl0000067 3 5 6" xfId="29479" xr:uid="{00000000-0005-0000-0000-000019730000}"/>
    <cellStyle name="0_Xl0000067 3 5 6 2" xfId="29480" xr:uid="{00000000-0005-0000-0000-00001A730000}"/>
    <cellStyle name="0_Xl0000067 3 5 7" xfId="29481" xr:uid="{00000000-0005-0000-0000-00001B730000}"/>
    <cellStyle name="0_Xl0000067 3 5 7 2" xfId="29482" xr:uid="{00000000-0005-0000-0000-00001C730000}"/>
    <cellStyle name="0_Xl0000067 3 5 8" xfId="29483" xr:uid="{00000000-0005-0000-0000-00001D730000}"/>
    <cellStyle name="0_Xl0000067 3 6" xfId="29484" xr:uid="{00000000-0005-0000-0000-00001E730000}"/>
    <cellStyle name="0_Xl0000067 3 6 2" xfId="29485" xr:uid="{00000000-0005-0000-0000-00001F730000}"/>
    <cellStyle name="0_Xl0000067 3 6 2 2" xfId="29486" xr:uid="{00000000-0005-0000-0000-000020730000}"/>
    <cellStyle name="0_Xl0000067 3 6 2 2 2" xfId="29487" xr:uid="{00000000-0005-0000-0000-000021730000}"/>
    <cellStyle name="0_Xl0000067 3 6 2 2 2 2" xfId="29488" xr:uid="{00000000-0005-0000-0000-000022730000}"/>
    <cellStyle name="0_Xl0000067 3 6 2 2 3" xfId="29489" xr:uid="{00000000-0005-0000-0000-000023730000}"/>
    <cellStyle name="0_Xl0000067 3 6 2 2 3 2" xfId="29490" xr:uid="{00000000-0005-0000-0000-000024730000}"/>
    <cellStyle name="0_Xl0000067 3 6 2 2 4" xfId="29491" xr:uid="{00000000-0005-0000-0000-000025730000}"/>
    <cellStyle name="0_Xl0000067 3 6 2 3" xfId="29492" xr:uid="{00000000-0005-0000-0000-000026730000}"/>
    <cellStyle name="0_Xl0000067 3 6 2 3 2" xfId="29493" xr:uid="{00000000-0005-0000-0000-000027730000}"/>
    <cellStyle name="0_Xl0000067 3 6 2 3 2 2" xfId="29494" xr:uid="{00000000-0005-0000-0000-000028730000}"/>
    <cellStyle name="0_Xl0000067 3 6 2 3 3" xfId="29495" xr:uid="{00000000-0005-0000-0000-000029730000}"/>
    <cellStyle name="0_Xl0000067 3 6 2 3 3 2" xfId="29496" xr:uid="{00000000-0005-0000-0000-00002A730000}"/>
    <cellStyle name="0_Xl0000067 3 6 2 3 4" xfId="29497" xr:uid="{00000000-0005-0000-0000-00002B730000}"/>
    <cellStyle name="0_Xl0000067 3 6 2 4" xfId="29498" xr:uid="{00000000-0005-0000-0000-00002C730000}"/>
    <cellStyle name="0_Xl0000067 3 6 2 4 2" xfId="29499" xr:uid="{00000000-0005-0000-0000-00002D730000}"/>
    <cellStyle name="0_Xl0000067 3 6 2 5" xfId="29500" xr:uid="{00000000-0005-0000-0000-00002E730000}"/>
    <cellStyle name="0_Xl0000067 3 6 2 5 2" xfId="29501" xr:uid="{00000000-0005-0000-0000-00002F730000}"/>
    <cellStyle name="0_Xl0000067 3 6 2 6" xfId="29502" xr:uid="{00000000-0005-0000-0000-000030730000}"/>
    <cellStyle name="0_Xl0000067 3 6 3" xfId="29503" xr:uid="{00000000-0005-0000-0000-000031730000}"/>
    <cellStyle name="0_Xl0000067 3 6 3 2" xfId="29504" xr:uid="{00000000-0005-0000-0000-000032730000}"/>
    <cellStyle name="0_Xl0000067 3 6 3 2 2" xfId="29505" xr:uid="{00000000-0005-0000-0000-000033730000}"/>
    <cellStyle name="0_Xl0000067 3 6 3 3" xfId="29506" xr:uid="{00000000-0005-0000-0000-000034730000}"/>
    <cellStyle name="0_Xl0000067 3 6 3 3 2" xfId="29507" xr:uid="{00000000-0005-0000-0000-000035730000}"/>
    <cellStyle name="0_Xl0000067 3 6 3 4" xfId="29508" xr:uid="{00000000-0005-0000-0000-000036730000}"/>
    <cellStyle name="0_Xl0000067 3 6 4" xfId="29509" xr:uid="{00000000-0005-0000-0000-000037730000}"/>
    <cellStyle name="0_Xl0000067 3 6 4 2" xfId="29510" xr:uid="{00000000-0005-0000-0000-000038730000}"/>
    <cellStyle name="0_Xl0000067 3 6 4 2 2" xfId="29511" xr:uid="{00000000-0005-0000-0000-000039730000}"/>
    <cellStyle name="0_Xl0000067 3 6 4 3" xfId="29512" xr:uid="{00000000-0005-0000-0000-00003A730000}"/>
    <cellStyle name="0_Xl0000067 3 6 4 3 2" xfId="29513" xr:uid="{00000000-0005-0000-0000-00003B730000}"/>
    <cellStyle name="0_Xl0000067 3 6 4 4" xfId="29514" xr:uid="{00000000-0005-0000-0000-00003C730000}"/>
    <cellStyle name="0_Xl0000067 3 6 5" xfId="29515" xr:uid="{00000000-0005-0000-0000-00003D730000}"/>
    <cellStyle name="0_Xl0000067 3 6 5 2" xfId="29516" xr:uid="{00000000-0005-0000-0000-00003E730000}"/>
    <cellStyle name="0_Xl0000067 3 6 5 2 2" xfId="29517" xr:uid="{00000000-0005-0000-0000-00003F730000}"/>
    <cellStyle name="0_Xl0000067 3 6 5 3" xfId="29518" xr:uid="{00000000-0005-0000-0000-000040730000}"/>
    <cellStyle name="0_Xl0000067 3 6 5 3 2" xfId="29519" xr:uid="{00000000-0005-0000-0000-000041730000}"/>
    <cellStyle name="0_Xl0000067 3 6 5 4" xfId="29520" xr:uid="{00000000-0005-0000-0000-000042730000}"/>
    <cellStyle name="0_Xl0000067 3 6 6" xfId="29521" xr:uid="{00000000-0005-0000-0000-000043730000}"/>
    <cellStyle name="0_Xl0000067 3 6 6 2" xfId="29522" xr:uid="{00000000-0005-0000-0000-000044730000}"/>
    <cellStyle name="0_Xl0000067 3 6 7" xfId="29523" xr:uid="{00000000-0005-0000-0000-000045730000}"/>
    <cellStyle name="0_Xl0000067 3 6 7 2" xfId="29524" xr:uid="{00000000-0005-0000-0000-000046730000}"/>
    <cellStyle name="0_Xl0000067 3 6 8" xfId="29525" xr:uid="{00000000-0005-0000-0000-000047730000}"/>
    <cellStyle name="0_Xl0000067 3 7" xfId="29526" xr:uid="{00000000-0005-0000-0000-000048730000}"/>
    <cellStyle name="0_Xl0000067 3 7 2" xfId="29527" xr:uid="{00000000-0005-0000-0000-000049730000}"/>
    <cellStyle name="0_Xl0000067 3 7 2 2" xfId="29528" xr:uid="{00000000-0005-0000-0000-00004A730000}"/>
    <cellStyle name="0_Xl0000067 3 7 2 2 2" xfId="29529" xr:uid="{00000000-0005-0000-0000-00004B730000}"/>
    <cellStyle name="0_Xl0000067 3 7 2 3" xfId="29530" xr:uid="{00000000-0005-0000-0000-00004C730000}"/>
    <cellStyle name="0_Xl0000067 3 7 2 3 2" xfId="29531" xr:uid="{00000000-0005-0000-0000-00004D730000}"/>
    <cellStyle name="0_Xl0000067 3 7 2 4" xfId="29532" xr:uid="{00000000-0005-0000-0000-00004E730000}"/>
    <cellStyle name="0_Xl0000067 3 7 3" xfId="29533" xr:uid="{00000000-0005-0000-0000-00004F730000}"/>
    <cellStyle name="0_Xl0000067 3 7 3 2" xfId="29534" xr:uid="{00000000-0005-0000-0000-000050730000}"/>
    <cellStyle name="0_Xl0000067 3 7 3 2 2" xfId="29535" xr:uid="{00000000-0005-0000-0000-000051730000}"/>
    <cellStyle name="0_Xl0000067 3 7 3 3" xfId="29536" xr:uid="{00000000-0005-0000-0000-000052730000}"/>
    <cellStyle name="0_Xl0000067 3 7 3 3 2" xfId="29537" xr:uid="{00000000-0005-0000-0000-000053730000}"/>
    <cellStyle name="0_Xl0000067 3 7 3 4" xfId="29538" xr:uid="{00000000-0005-0000-0000-000054730000}"/>
    <cellStyle name="0_Xl0000067 3 7 4" xfId="29539" xr:uid="{00000000-0005-0000-0000-000055730000}"/>
    <cellStyle name="0_Xl0000067 3 7 4 2" xfId="29540" xr:uid="{00000000-0005-0000-0000-000056730000}"/>
    <cellStyle name="0_Xl0000067 3 7 5" xfId="29541" xr:uid="{00000000-0005-0000-0000-000057730000}"/>
    <cellStyle name="0_Xl0000067 3 7 5 2" xfId="29542" xr:uid="{00000000-0005-0000-0000-000058730000}"/>
    <cellStyle name="0_Xl0000067 3 7 6" xfId="29543" xr:uid="{00000000-0005-0000-0000-000059730000}"/>
    <cellStyle name="0_Xl0000067 3 8" xfId="29544" xr:uid="{00000000-0005-0000-0000-00005A730000}"/>
    <cellStyle name="0_Xl0000067 3 8 2" xfId="29545" xr:uid="{00000000-0005-0000-0000-00005B730000}"/>
    <cellStyle name="0_Xl0000067 3 8 2 2" xfId="29546" xr:uid="{00000000-0005-0000-0000-00005C730000}"/>
    <cellStyle name="0_Xl0000067 3 8 3" xfId="29547" xr:uid="{00000000-0005-0000-0000-00005D730000}"/>
    <cellStyle name="0_Xl0000067 3 8 3 2" xfId="29548" xr:uid="{00000000-0005-0000-0000-00005E730000}"/>
    <cellStyle name="0_Xl0000067 3 8 4" xfId="29549" xr:uid="{00000000-0005-0000-0000-00005F730000}"/>
    <cellStyle name="0_Xl0000067 3 9" xfId="29550" xr:uid="{00000000-0005-0000-0000-000060730000}"/>
    <cellStyle name="0_Xl0000067 3 9 2" xfId="29551" xr:uid="{00000000-0005-0000-0000-000061730000}"/>
    <cellStyle name="0_Xl0000067 3 9 2 2" xfId="29552" xr:uid="{00000000-0005-0000-0000-000062730000}"/>
    <cellStyle name="0_Xl0000067 3 9 3" xfId="29553" xr:uid="{00000000-0005-0000-0000-000063730000}"/>
    <cellStyle name="0_Xl0000067 3 9 3 2" xfId="29554" xr:uid="{00000000-0005-0000-0000-000064730000}"/>
    <cellStyle name="0_Xl0000067 3 9 4" xfId="29555" xr:uid="{00000000-0005-0000-0000-000065730000}"/>
    <cellStyle name="0_Xl0000067 4" xfId="29556" xr:uid="{00000000-0005-0000-0000-000066730000}"/>
    <cellStyle name="0_Xl0000067 4 10" xfId="29557" xr:uid="{00000000-0005-0000-0000-000067730000}"/>
    <cellStyle name="0_Xl0000067 4 10 2" xfId="29558" xr:uid="{00000000-0005-0000-0000-000068730000}"/>
    <cellStyle name="0_Xl0000067 4 10 2 2" xfId="29559" xr:uid="{00000000-0005-0000-0000-000069730000}"/>
    <cellStyle name="0_Xl0000067 4 10 3" xfId="29560" xr:uid="{00000000-0005-0000-0000-00006A730000}"/>
    <cellStyle name="0_Xl0000067 4 10 3 2" xfId="29561" xr:uid="{00000000-0005-0000-0000-00006B730000}"/>
    <cellStyle name="0_Xl0000067 4 10 4" xfId="29562" xr:uid="{00000000-0005-0000-0000-00006C730000}"/>
    <cellStyle name="0_Xl0000067 4 11" xfId="29563" xr:uid="{00000000-0005-0000-0000-00006D730000}"/>
    <cellStyle name="0_Xl0000067 4 11 2" xfId="29564" xr:uid="{00000000-0005-0000-0000-00006E730000}"/>
    <cellStyle name="0_Xl0000067 4 12" xfId="29565" xr:uid="{00000000-0005-0000-0000-00006F730000}"/>
    <cellStyle name="0_Xl0000067 4 12 2" xfId="29566" xr:uid="{00000000-0005-0000-0000-000070730000}"/>
    <cellStyle name="0_Xl0000067 4 13" xfId="29567" xr:uid="{00000000-0005-0000-0000-000071730000}"/>
    <cellStyle name="0_Xl0000067 4 2" xfId="29568" xr:uid="{00000000-0005-0000-0000-000072730000}"/>
    <cellStyle name="0_Xl0000067 4 2 2" xfId="29569" xr:uid="{00000000-0005-0000-0000-000073730000}"/>
    <cellStyle name="0_Xl0000067 4 2 2 2" xfId="29570" xr:uid="{00000000-0005-0000-0000-000074730000}"/>
    <cellStyle name="0_Xl0000067 4 2 2 2 2" xfId="29571" xr:uid="{00000000-0005-0000-0000-000075730000}"/>
    <cellStyle name="0_Xl0000067 4 2 2 2 2 2" xfId="29572" xr:uid="{00000000-0005-0000-0000-000076730000}"/>
    <cellStyle name="0_Xl0000067 4 2 2 2 3" xfId="29573" xr:uid="{00000000-0005-0000-0000-000077730000}"/>
    <cellStyle name="0_Xl0000067 4 2 2 2 3 2" xfId="29574" xr:uid="{00000000-0005-0000-0000-000078730000}"/>
    <cellStyle name="0_Xl0000067 4 2 2 2 4" xfId="29575" xr:uid="{00000000-0005-0000-0000-000079730000}"/>
    <cellStyle name="0_Xl0000067 4 2 2 3" xfId="29576" xr:uid="{00000000-0005-0000-0000-00007A730000}"/>
    <cellStyle name="0_Xl0000067 4 2 2 3 2" xfId="29577" xr:uid="{00000000-0005-0000-0000-00007B730000}"/>
    <cellStyle name="0_Xl0000067 4 2 2 3 2 2" xfId="29578" xr:uid="{00000000-0005-0000-0000-00007C730000}"/>
    <cellStyle name="0_Xl0000067 4 2 2 3 3" xfId="29579" xr:uid="{00000000-0005-0000-0000-00007D730000}"/>
    <cellStyle name="0_Xl0000067 4 2 2 3 3 2" xfId="29580" xr:uid="{00000000-0005-0000-0000-00007E730000}"/>
    <cellStyle name="0_Xl0000067 4 2 2 3 4" xfId="29581" xr:uid="{00000000-0005-0000-0000-00007F730000}"/>
    <cellStyle name="0_Xl0000067 4 2 2 4" xfId="29582" xr:uid="{00000000-0005-0000-0000-000080730000}"/>
    <cellStyle name="0_Xl0000067 4 2 2 4 2" xfId="29583" xr:uid="{00000000-0005-0000-0000-000081730000}"/>
    <cellStyle name="0_Xl0000067 4 2 2 5" xfId="29584" xr:uid="{00000000-0005-0000-0000-000082730000}"/>
    <cellStyle name="0_Xl0000067 4 2 2 5 2" xfId="29585" xr:uid="{00000000-0005-0000-0000-000083730000}"/>
    <cellStyle name="0_Xl0000067 4 2 2 6" xfId="29586" xr:uid="{00000000-0005-0000-0000-000084730000}"/>
    <cellStyle name="0_Xl0000067 4 2 3" xfId="29587" xr:uid="{00000000-0005-0000-0000-000085730000}"/>
    <cellStyle name="0_Xl0000067 4 2 3 2" xfId="29588" xr:uid="{00000000-0005-0000-0000-000086730000}"/>
    <cellStyle name="0_Xl0000067 4 2 3 2 2" xfId="29589" xr:uid="{00000000-0005-0000-0000-000087730000}"/>
    <cellStyle name="0_Xl0000067 4 2 3 3" xfId="29590" xr:uid="{00000000-0005-0000-0000-000088730000}"/>
    <cellStyle name="0_Xl0000067 4 2 3 3 2" xfId="29591" xr:uid="{00000000-0005-0000-0000-000089730000}"/>
    <cellStyle name="0_Xl0000067 4 2 3 4" xfId="29592" xr:uid="{00000000-0005-0000-0000-00008A730000}"/>
    <cellStyle name="0_Xl0000067 4 2 4" xfId="29593" xr:uid="{00000000-0005-0000-0000-00008B730000}"/>
    <cellStyle name="0_Xl0000067 4 2 4 2" xfId="29594" xr:uid="{00000000-0005-0000-0000-00008C730000}"/>
    <cellStyle name="0_Xl0000067 4 2 4 2 2" xfId="29595" xr:uid="{00000000-0005-0000-0000-00008D730000}"/>
    <cellStyle name="0_Xl0000067 4 2 4 3" xfId="29596" xr:uid="{00000000-0005-0000-0000-00008E730000}"/>
    <cellStyle name="0_Xl0000067 4 2 4 3 2" xfId="29597" xr:uid="{00000000-0005-0000-0000-00008F730000}"/>
    <cellStyle name="0_Xl0000067 4 2 4 4" xfId="29598" xr:uid="{00000000-0005-0000-0000-000090730000}"/>
    <cellStyle name="0_Xl0000067 4 2 5" xfId="29599" xr:uid="{00000000-0005-0000-0000-000091730000}"/>
    <cellStyle name="0_Xl0000067 4 2 5 2" xfId="29600" xr:uid="{00000000-0005-0000-0000-000092730000}"/>
    <cellStyle name="0_Xl0000067 4 2 5 2 2" xfId="29601" xr:uid="{00000000-0005-0000-0000-000093730000}"/>
    <cellStyle name="0_Xl0000067 4 2 5 3" xfId="29602" xr:uid="{00000000-0005-0000-0000-000094730000}"/>
    <cellStyle name="0_Xl0000067 4 2 5 3 2" xfId="29603" xr:uid="{00000000-0005-0000-0000-000095730000}"/>
    <cellStyle name="0_Xl0000067 4 2 5 4" xfId="29604" xr:uid="{00000000-0005-0000-0000-000096730000}"/>
    <cellStyle name="0_Xl0000067 4 2 6" xfId="29605" xr:uid="{00000000-0005-0000-0000-000097730000}"/>
    <cellStyle name="0_Xl0000067 4 2 6 2" xfId="29606" xr:uid="{00000000-0005-0000-0000-000098730000}"/>
    <cellStyle name="0_Xl0000067 4 2 7" xfId="29607" xr:uid="{00000000-0005-0000-0000-000099730000}"/>
    <cellStyle name="0_Xl0000067 4 2 7 2" xfId="29608" xr:uid="{00000000-0005-0000-0000-00009A730000}"/>
    <cellStyle name="0_Xl0000067 4 2 8" xfId="29609" xr:uid="{00000000-0005-0000-0000-00009B730000}"/>
    <cellStyle name="0_Xl0000067 4 3" xfId="29610" xr:uid="{00000000-0005-0000-0000-00009C730000}"/>
    <cellStyle name="0_Xl0000067 4 3 2" xfId="29611" xr:uid="{00000000-0005-0000-0000-00009D730000}"/>
    <cellStyle name="0_Xl0000067 4 3 2 2" xfId="29612" xr:uid="{00000000-0005-0000-0000-00009E730000}"/>
    <cellStyle name="0_Xl0000067 4 3 2 2 2" xfId="29613" xr:uid="{00000000-0005-0000-0000-00009F730000}"/>
    <cellStyle name="0_Xl0000067 4 3 2 2 2 2" xfId="29614" xr:uid="{00000000-0005-0000-0000-0000A0730000}"/>
    <cellStyle name="0_Xl0000067 4 3 2 2 3" xfId="29615" xr:uid="{00000000-0005-0000-0000-0000A1730000}"/>
    <cellStyle name="0_Xl0000067 4 3 2 2 3 2" xfId="29616" xr:uid="{00000000-0005-0000-0000-0000A2730000}"/>
    <cellStyle name="0_Xl0000067 4 3 2 2 4" xfId="29617" xr:uid="{00000000-0005-0000-0000-0000A3730000}"/>
    <cellStyle name="0_Xl0000067 4 3 2 3" xfId="29618" xr:uid="{00000000-0005-0000-0000-0000A4730000}"/>
    <cellStyle name="0_Xl0000067 4 3 2 3 2" xfId="29619" xr:uid="{00000000-0005-0000-0000-0000A5730000}"/>
    <cellStyle name="0_Xl0000067 4 3 2 3 2 2" xfId="29620" xr:uid="{00000000-0005-0000-0000-0000A6730000}"/>
    <cellStyle name="0_Xl0000067 4 3 2 3 3" xfId="29621" xr:uid="{00000000-0005-0000-0000-0000A7730000}"/>
    <cellStyle name="0_Xl0000067 4 3 2 3 3 2" xfId="29622" xr:uid="{00000000-0005-0000-0000-0000A8730000}"/>
    <cellStyle name="0_Xl0000067 4 3 2 3 4" xfId="29623" xr:uid="{00000000-0005-0000-0000-0000A9730000}"/>
    <cellStyle name="0_Xl0000067 4 3 2 4" xfId="29624" xr:uid="{00000000-0005-0000-0000-0000AA730000}"/>
    <cellStyle name="0_Xl0000067 4 3 2 4 2" xfId="29625" xr:uid="{00000000-0005-0000-0000-0000AB730000}"/>
    <cellStyle name="0_Xl0000067 4 3 2 5" xfId="29626" xr:uid="{00000000-0005-0000-0000-0000AC730000}"/>
    <cellStyle name="0_Xl0000067 4 3 2 5 2" xfId="29627" xr:uid="{00000000-0005-0000-0000-0000AD730000}"/>
    <cellStyle name="0_Xl0000067 4 3 2 6" xfId="29628" xr:uid="{00000000-0005-0000-0000-0000AE730000}"/>
    <cellStyle name="0_Xl0000067 4 3 3" xfId="29629" xr:uid="{00000000-0005-0000-0000-0000AF730000}"/>
    <cellStyle name="0_Xl0000067 4 3 3 2" xfId="29630" xr:uid="{00000000-0005-0000-0000-0000B0730000}"/>
    <cellStyle name="0_Xl0000067 4 3 3 2 2" xfId="29631" xr:uid="{00000000-0005-0000-0000-0000B1730000}"/>
    <cellStyle name="0_Xl0000067 4 3 3 3" xfId="29632" xr:uid="{00000000-0005-0000-0000-0000B2730000}"/>
    <cellStyle name="0_Xl0000067 4 3 3 3 2" xfId="29633" xr:uid="{00000000-0005-0000-0000-0000B3730000}"/>
    <cellStyle name="0_Xl0000067 4 3 3 4" xfId="29634" xr:uid="{00000000-0005-0000-0000-0000B4730000}"/>
    <cellStyle name="0_Xl0000067 4 3 4" xfId="29635" xr:uid="{00000000-0005-0000-0000-0000B5730000}"/>
    <cellStyle name="0_Xl0000067 4 3 4 2" xfId="29636" xr:uid="{00000000-0005-0000-0000-0000B6730000}"/>
    <cellStyle name="0_Xl0000067 4 3 4 2 2" xfId="29637" xr:uid="{00000000-0005-0000-0000-0000B7730000}"/>
    <cellStyle name="0_Xl0000067 4 3 4 3" xfId="29638" xr:uid="{00000000-0005-0000-0000-0000B8730000}"/>
    <cellStyle name="0_Xl0000067 4 3 4 3 2" xfId="29639" xr:uid="{00000000-0005-0000-0000-0000B9730000}"/>
    <cellStyle name="0_Xl0000067 4 3 4 4" xfId="29640" xr:uid="{00000000-0005-0000-0000-0000BA730000}"/>
    <cellStyle name="0_Xl0000067 4 3 5" xfId="29641" xr:uid="{00000000-0005-0000-0000-0000BB730000}"/>
    <cellStyle name="0_Xl0000067 4 3 5 2" xfId="29642" xr:uid="{00000000-0005-0000-0000-0000BC730000}"/>
    <cellStyle name="0_Xl0000067 4 3 5 2 2" xfId="29643" xr:uid="{00000000-0005-0000-0000-0000BD730000}"/>
    <cellStyle name="0_Xl0000067 4 3 5 3" xfId="29644" xr:uid="{00000000-0005-0000-0000-0000BE730000}"/>
    <cellStyle name="0_Xl0000067 4 3 5 3 2" xfId="29645" xr:uid="{00000000-0005-0000-0000-0000BF730000}"/>
    <cellStyle name="0_Xl0000067 4 3 5 4" xfId="29646" xr:uid="{00000000-0005-0000-0000-0000C0730000}"/>
    <cellStyle name="0_Xl0000067 4 3 6" xfId="29647" xr:uid="{00000000-0005-0000-0000-0000C1730000}"/>
    <cellStyle name="0_Xl0000067 4 3 6 2" xfId="29648" xr:uid="{00000000-0005-0000-0000-0000C2730000}"/>
    <cellStyle name="0_Xl0000067 4 3 7" xfId="29649" xr:uid="{00000000-0005-0000-0000-0000C3730000}"/>
    <cellStyle name="0_Xl0000067 4 3 7 2" xfId="29650" xr:uid="{00000000-0005-0000-0000-0000C4730000}"/>
    <cellStyle name="0_Xl0000067 4 3 8" xfId="29651" xr:uid="{00000000-0005-0000-0000-0000C5730000}"/>
    <cellStyle name="0_Xl0000067 4 4" xfId="29652" xr:uid="{00000000-0005-0000-0000-0000C6730000}"/>
    <cellStyle name="0_Xl0000067 4 4 2" xfId="29653" xr:uid="{00000000-0005-0000-0000-0000C7730000}"/>
    <cellStyle name="0_Xl0000067 4 4 2 2" xfId="29654" xr:uid="{00000000-0005-0000-0000-0000C8730000}"/>
    <cellStyle name="0_Xl0000067 4 4 2 2 2" xfId="29655" xr:uid="{00000000-0005-0000-0000-0000C9730000}"/>
    <cellStyle name="0_Xl0000067 4 4 2 2 2 2" xfId="29656" xr:uid="{00000000-0005-0000-0000-0000CA730000}"/>
    <cellStyle name="0_Xl0000067 4 4 2 2 3" xfId="29657" xr:uid="{00000000-0005-0000-0000-0000CB730000}"/>
    <cellStyle name="0_Xl0000067 4 4 2 2 3 2" xfId="29658" xr:uid="{00000000-0005-0000-0000-0000CC730000}"/>
    <cellStyle name="0_Xl0000067 4 4 2 2 4" xfId="29659" xr:uid="{00000000-0005-0000-0000-0000CD730000}"/>
    <cellStyle name="0_Xl0000067 4 4 2 3" xfId="29660" xr:uid="{00000000-0005-0000-0000-0000CE730000}"/>
    <cellStyle name="0_Xl0000067 4 4 2 3 2" xfId="29661" xr:uid="{00000000-0005-0000-0000-0000CF730000}"/>
    <cellStyle name="0_Xl0000067 4 4 2 3 2 2" xfId="29662" xr:uid="{00000000-0005-0000-0000-0000D0730000}"/>
    <cellStyle name="0_Xl0000067 4 4 2 3 3" xfId="29663" xr:uid="{00000000-0005-0000-0000-0000D1730000}"/>
    <cellStyle name="0_Xl0000067 4 4 2 3 3 2" xfId="29664" xr:uid="{00000000-0005-0000-0000-0000D2730000}"/>
    <cellStyle name="0_Xl0000067 4 4 2 3 4" xfId="29665" xr:uid="{00000000-0005-0000-0000-0000D3730000}"/>
    <cellStyle name="0_Xl0000067 4 4 2 4" xfId="29666" xr:uid="{00000000-0005-0000-0000-0000D4730000}"/>
    <cellStyle name="0_Xl0000067 4 4 2 4 2" xfId="29667" xr:uid="{00000000-0005-0000-0000-0000D5730000}"/>
    <cellStyle name="0_Xl0000067 4 4 2 5" xfId="29668" xr:uid="{00000000-0005-0000-0000-0000D6730000}"/>
    <cellStyle name="0_Xl0000067 4 4 2 5 2" xfId="29669" xr:uid="{00000000-0005-0000-0000-0000D7730000}"/>
    <cellStyle name="0_Xl0000067 4 4 2 6" xfId="29670" xr:uid="{00000000-0005-0000-0000-0000D8730000}"/>
    <cellStyle name="0_Xl0000067 4 4 3" xfId="29671" xr:uid="{00000000-0005-0000-0000-0000D9730000}"/>
    <cellStyle name="0_Xl0000067 4 4 3 2" xfId="29672" xr:uid="{00000000-0005-0000-0000-0000DA730000}"/>
    <cellStyle name="0_Xl0000067 4 4 3 2 2" xfId="29673" xr:uid="{00000000-0005-0000-0000-0000DB730000}"/>
    <cellStyle name="0_Xl0000067 4 4 3 3" xfId="29674" xr:uid="{00000000-0005-0000-0000-0000DC730000}"/>
    <cellStyle name="0_Xl0000067 4 4 3 3 2" xfId="29675" xr:uid="{00000000-0005-0000-0000-0000DD730000}"/>
    <cellStyle name="0_Xl0000067 4 4 3 4" xfId="29676" xr:uid="{00000000-0005-0000-0000-0000DE730000}"/>
    <cellStyle name="0_Xl0000067 4 4 4" xfId="29677" xr:uid="{00000000-0005-0000-0000-0000DF730000}"/>
    <cellStyle name="0_Xl0000067 4 4 4 2" xfId="29678" xr:uid="{00000000-0005-0000-0000-0000E0730000}"/>
    <cellStyle name="0_Xl0000067 4 4 4 2 2" xfId="29679" xr:uid="{00000000-0005-0000-0000-0000E1730000}"/>
    <cellStyle name="0_Xl0000067 4 4 4 3" xfId="29680" xr:uid="{00000000-0005-0000-0000-0000E2730000}"/>
    <cellStyle name="0_Xl0000067 4 4 4 3 2" xfId="29681" xr:uid="{00000000-0005-0000-0000-0000E3730000}"/>
    <cellStyle name="0_Xl0000067 4 4 4 4" xfId="29682" xr:uid="{00000000-0005-0000-0000-0000E4730000}"/>
    <cellStyle name="0_Xl0000067 4 4 5" xfId="29683" xr:uid="{00000000-0005-0000-0000-0000E5730000}"/>
    <cellStyle name="0_Xl0000067 4 4 5 2" xfId="29684" xr:uid="{00000000-0005-0000-0000-0000E6730000}"/>
    <cellStyle name="0_Xl0000067 4 4 5 2 2" xfId="29685" xr:uid="{00000000-0005-0000-0000-0000E7730000}"/>
    <cellStyle name="0_Xl0000067 4 4 5 3" xfId="29686" xr:uid="{00000000-0005-0000-0000-0000E8730000}"/>
    <cellStyle name="0_Xl0000067 4 4 5 3 2" xfId="29687" xr:uid="{00000000-0005-0000-0000-0000E9730000}"/>
    <cellStyle name="0_Xl0000067 4 4 5 4" xfId="29688" xr:uid="{00000000-0005-0000-0000-0000EA730000}"/>
    <cellStyle name="0_Xl0000067 4 4 6" xfId="29689" xr:uid="{00000000-0005-0000-0000-0000EB730000}"/>
    <cellStyle name="0_Xl0000067 4 4 6 2" xfId="29690" xr:uid="{00000000-0005-0000-0000-0000EC730000}"/>
    <cellStyle name="0_Xl0000067 4 4 7" xfId="29691" xr:uid="{00000000-0005-0000-0000-0000ED730000}"/>
    <cellStyle name="0_Xl0000067 4 4 7 2" xfId="29692" xr:uid="{00000000-0005-0000-0000-0000EE730000}"/>
    <cellStyle name="0_Xl0000067 4 4 8" xfId="29693" xr:uid="{00000000-0005-0000-0000-0000EF730000}"/>
    <cellStyle name="0_Xl0000067 4 5" xfId="29694" xr:uid="{00000000-0005-0000-0000-0000F0730000}"/>
    <cellStyle name="0_Xl0000067 4 5 2" xfId="29695" xr:uid="{00000000-0005-0000-0000-0000F1730000}"/>
    <cellStyle name="0_Xl0000067 4 5 2 2" xfId="29696" xr:uid="{00000000-0005-0000-0000-0000F2730000}"/>
    <cellStyle name="0_Xl0000067 4 5 2 2 2" xfId="29697" xr:uid="{00000000-0005-0000-0000-0000F3730000}"/>
    <cellStyle name="0_Xl0000067 4 5 2 2 2 2" xfId="29698" xr:uid="{00000000-0005-0000-0000-0000F4730000}"/>
    <cellStyle name="0_Xl0000067 4 5 2 2 3" xfId="29699" xr:uid="{00000000-0005-0000-0000-0000F5730000}"/>
    <cellStyle name="0_Xl0000067 4 5 2 2 3 2" xfId="29700" xr:uid="{00000000-0005-0000-0000-0000F6730000}"/>
    <cellStyle name="0_Xl0000067 4 5 2 2 4" xfId="29701" xr:uid="{00000000-0005-0000-0000-0000F7730000}"/>
    <cellStyle name="0_Xl0000067 4 5 2 3" xfId="29702" xr:uid="{00000000-0005-0000-0000-0000F8730000}"/>
    <cellStyle name="0_Xl0000067 4 5 2 3 2" xfId="29703" xr:uid="{00000000-0005-0000-0000-0000F9730000}"/>
    <cellStyle name="0_Xl0000067 4 5 2 3 2 2" xfId="29704" xr:uid="{00000000-0005-0000-0000-0000FA730000}"/>
    <cellStyle name="0_Xl0000067 4 5 2 3 3" xfId="29705" xr:uid="{00000000-0005-0000-0000-0000FB730000}"/>
    <cellStyle name="0_Xl0000067 4 5 2 3 3 2" xfId="29706" xr:uid="{00000000-0005-0000-0000-0000FC730000}"/>
    <cellStyle name="0_Xl0000067 4 5 2 3 4" xfId="29707" xr:uid="{00000000-0005-0000-0000-0000FD730000}"/>
    <cellStyle name="0_Xl0000067 4 5 2 4" xfId="29708" xr:uid="{00000000-0005-0000-0000-0000FE730000}"/>
    <cellStyle name="0_Xl0000067 4 5 2 4 2" xfId="29709" xr:uid="{00000000-0005-0000-0000-0000FF730000}"/>
    <cellStyle name="0_Xl0000067 4 5 2 5" xfId="29710" xr:uid="{00000000-0005-0000-0000-000000740000}"/>
    <cellStyle name="0_Xl0000067 4 5 2 5 2" xfId="29711" xr:uid="{00000000-0005-0000-0000-000001740000}"/>
    <cellStyle name="0_Xl0000067 4 5 2 6" xfId="29712" xr:uid="{00000000-0005-0000-0000-000002740000}"/>
    <cellStyle name="0_Xl0000067 4 5 3" xfId="29713" xr:uid="{00000000-0005-0000-0000-000003740000}"/>
    <cellStyle name="0_Xl0000067 4 5 3 2" xfId="29714" xr:uid="{00000000-0005-0000-0000-000004740000}"/>
    <cellStyle name="0_Xl0000067 4 5 3 2 2" xfId="29715" xr:uid="{00000000-0005-0000-0000-000005740000}"/>
    <cellStyle name="0_Xl0000067 4 5 3 3" xfId="29716" xr:uid="{00000000-0005-0000-0000-000006740000}"/>
    <cellStyle name="0_Xl0000067 4 5 3 3 2" xfId="29717" xr:uid="{00000000-0005-0000-0000-000007740000}"/>
    <cellStyle name="0_Xl0000067 4 5 3 4" xfId="29718" xr:uid="{00000000-0005-0000-0000-000008740000}"/>
    <cellStyle name="0_Xl0000067 4 5 4" xfId="29719" xr:uid="{00000000-0005-0000-0000-000009740000}"/>
    <cellStyle name="0_Xl0000067 4 5 4 2" xfId="29720" xr:uid="{00000000-0005-0000-0000-00000A740000}"/>
    <cellStyle name="0_Xl0000067 4 5 4 2 2" xfId="29721" xr:uid="{00000000-0005-0000-0000-00000B740000}"/>
    <cellStyle name="0_Xl0000067 4 5 4 3" xfId="29722" xr:uid="{00000000-0005-0000-0000-00000C740000}"/>
    <cellStyle name="0_Xl0000067 4 5 4 3 2" xfId="29723" xr:uid="{00000000-0005-0000-0000-00000D740000}"/>
    <cellStyle name="0_Xl0000067 4 5 4 4" xfId="29724" xr:uid="{00000000-0005-0000-0000-00000E740000}"/>
    <cellStyle name="0_Xl0000067 4 5 5" xfId="29725" xr:uid="{00000000-0005-0000-0000-00000F740000}"/>
    <cellStyle name="0_Xl0000067 4 5 5 2" xfId="29726" xr:uid="{00000000-0005-0000-0000-000010740000}"/>
    <cellStyle name="0_Xl0000067 4 5 5 2 2" xfId="29727" xr:uid="{00000000-0005-0000-0000-000011740000}"/>
    <cellStyle name="0_Xl0000067 4 5 5 3" xfId="29728" xr:uid="{00000000-0005-0000-0000-000012740000}"/>
    <cellStyle name="0_Xl0000067 4 5 5 3 2" xfId="29729" xr:uid="{00000000-0005-0000-0000-000013740000}"/>
    <cellStyle name="0_Xl0000067 4 5 5 4" xfId="29730" xr:uid="{00000000-0005-0000-0000-000014740000}"/>
    <cellStyle name="0_Xl0000067 4 5 6" xfId="29731" xr:uid="{00000000-0005-0000-0000-000015740000}"/>
    <cellStyle name="0_Xl0000067 4 5 6 2" xfId="29732" xr:uid="{00000000-0005-0000-0000-000016740000}"/>
    <cellStyle name="0_Xl0000067 4 5 7" xfId="29733" xr:uid="{00000000-0005-0000-0000-000017740000}"/>
    <cellStyle name="0_Xl0000067 4 5 7 2" xfId="29734" xr:uid="{00000000-0005-0000-0000-000018740000}"/>
    <cellStyle name="0_Xl0000067 4 5 8" xfId="29735" xr:uid="{00000000-0005-0000-0000-000019740000}"/>
    <cellStyle name="0_Xl0000067 4 6" xfId="29736" xr:uid="{00000000-0005-0000-0000-00001A740000}"/>
    <cellStyle name="0_Xl0000067 4 6 2" xfId="29737" xr:uid="{00000000-0005-0000-0000-00001B740000}"/>
    <cellStyle name="0_Xl0000067 4 6 2 2" xfId="29738" xr:uid="{00000000-0005-0000-0000-00001C740000}"/>
    <cellStyle name="0_Xl0000067 4 6 2 2 2" xfId="29739" xr:uid="{00000000-0005-0000-0000-00001D740000}"/>
    <cellStyle name="0_Xl0000067 4 6 2 2 2 2" xfId="29740" xr:uid="{00000000-0005-0000-0000-00001E740000}"/>
    <cellStyle name="0_Xl0000067 4 6 2 2 3" xfId="29741" xr:uid="{00000000-0005-0000-0000-00001F740000}"/>
    <cellStyle name="0_Xl0000067 4 6 2 2 3 2" xfId="29742" xr:uid="{00000000-0005-0000-0000-000020740000}"/>
    <cellStyle name="0_Xl0000067 4 6 2 2 4" xfId="29743" xr:uid="{00000000-0005-0000-0000-000021740000}"/>
    <cellStyle name="0_Xl0000067 4 6 2 3" xfId="29744" xr:uid="{00000000-0005-0000-0000-000022740000}"/>
    <cellStyle name="0_Xl0000067 4 6 2 3 2" xfId="29745" xr:uid="{00000000-0005-0000-0000-000023740000}"/>
    <cellStyle name="0_Xl0000067 4 6 2 3 2 2" xfId="29746" xr:uid="{00000000-0005-0000-0000-000024740000}"/>
    <cellStyle name="0_Xl0000067 4 6 2 3 3" xfId="29747" xr:uid="{00000000-0005-0000-0000-000025740000}"/>
    <cellStyle name="0_Xl0000067 4 6 2 3 3 2" xfId="29748" xr:uid="{00000000-0005-0000-0000-000026740000}"/>
    <cellStyle name="0_Xl0000067 4 6 2 3 4" xfId="29749" xr:uid="{00000000-0005-0000-0000-000027740000}"/>
    <cellStyle name="0_Xl0000067 4 6 2 4" xfId="29750" xr:uid="{00000000-0005-0000-0000-000028740000}"/>
    <cellStyle name="0_Xl0000067 4 6 2 4 2" xfId="29751" xr:uid="{00000000-0005-0000-0000-000029740000}"/>
    <cellStyle name="0_Xl0000067 4 6 2 5" xfId="29752" xr:uid="{00000000-0005-0000-0000-00002A740000}"/>
    <cellStyle name="0_Xl0000067 4 6 2 5 2" xfId="29753" xr:uid="{00000000-0005-0000-0000-00002B740000}"/>
    <cellStyle name="0_Xl0000067 4 6 2 6" xfId="29754" xr:uid="{00000000-0005-0000-0000-00002C740000}"/>
    <cellStyle name="0_Xl0000067 4 6 3" xfId="29755" xr:uid="{00000000-0005-0000-0000-00002D740000}"/>
    <cellStyle name="0_Xl0000067 4 6 3 2" xfId="29756" xr:uid="{00000000-0005-0000-0000-00002E740000}"/>
    <cellStyle name="0_Xl0000067 4 6 3 2 2" xfId="29757" xr:uid="{00000000-0005-0000-0000-00002F740000}"/>
    <cellStyle name="0_Xl0000067 4 6 3 3" xfId="29758" xr:uid="{00000000-0005-0000-0000-000030740000}"/>
    <cellStyle name="0_Xl0000067 4 6 3 3 2" xfId="29759" xr:uid="{00000000-0005-0000-0000-000031740000}"/>
    <cellStyle name="0_Xl0000067 4 6 3 4" xfId="29760" xr:uid="{00000000-0005-0000-0000-000032740000}"/>
    <cellStyle name="0_Xl0000067 4 6 4" xfId="29761" xr:uid="{00000000-0005-0000-0000-000033740000}"/>
    <cellStyle name="0_Xl0000067 4 6 4 2" xfId="29762" xr:uid="{00000000-0005-0000-0000-000034740000}"/>
    <cellStyle name="0_Xl0000067 4 6 4 2 2" xfId="29763" xr:uid="{00000000-0005-0000-0000-000035740000}"/>
    <cellStyle name="0_Xl0000067 4 6 4 3" xfId="29764" xr:uid="{00000000-0005-0000-0000-000036740000}"/>
    <cellStyle name="0_Xl0000067 4 6 4 3 2" xfId="29765" xr:uid="{00000000-0005-0000-0000-000037740000}"/>
    <cellStyle name="0_Xl0000067 4 6 4 4" xfId="29766" xr:uid="{00000000-0005-0000-0000-000038740000}"/>
    <cellStyle name="0_Xl0000067 4 6 5" xfId="29767" xr:uid="{00000000-0005-0000-0000-000039740000}"/>
    <cellStyle name="0_Xl0000067 4 6 5 2" xfId="29768" xr:uid="{00000000-0005-0000-0000-00003A740000}"/>
    <cellStyle name="0_Xl0000067 4 6 5 2 2" xfId="29769" xr:uid="{00000000-0005-0000-0000-00003B740000}"/>
    <cellStyle name="0_Xl0000067 4 6 5 3" xfId="29770" xr:uid="{00000000-0005-0000-0000-00003C740000}"/>
    <cellStyle name="0_Xl0000067 4 6 5 3 2" xfId="29771" xr:uid="{00000000-0005-0000-0000-00003D740000}"/>
    <cellStyle name="0_Xl0000067 4 6 5 4" xfId="29772" xr:uid="{00000000-0005-0000-0000-00003E740000}"/>
    <cellStyle name="0_Xl0000067 4 6 6" xfId="29773" xr:uid="{00000000-0005-0000-0000-00003F740000}"/>
    <cellStyle name="0_Xl0000067 4 6 6 2" xfId="29774" xr:uid="{00000000-0005-0000-0000-000040740000}"/>
    <cellStyle name="0_Xl0000067 4 6 7" xfId="29775" xr:uid="{00000000-0005-0000-0000-000041740000}"/>
    <cellStyle name="0_Xl0000067 4 6 7 2" xfId="29776" xr:uid="{00000000-0005-0000-0000-000042740000}"/>
    <cellStyle name="0_Xl0000067 4 6 8" xfId="29777" xr:uid="{00000000-0005-0000-0000-000043740000}"/>
    <cellStyle name="0_Xl0000067 4 7" xfId="29778" xr:uid="{00000000-0005-0000-0000-000044740000}"/>
    <cellStyle name="0_Xl0000067 4 7 2" xfId="29779" xr:uid="{00000000-0005-0000-0000-000045740000}"/>
    <cellStyle name="0_Xl0000067 4 7 2 2" xfId="29780" xr:uid="{00000000-0005-0000-0000-000046740000}"/>
    <cellStyle name="0_Xl0000067 4 7 2 2 2" xfId="29781" xr:uid="{00000000-0005-0000-0000-000047740000}"/>
    <cellStyle name="0_Xl0000067 4 7 2 3" xfId="29782" xr:uid="{00000000-0005-0000-0000-000048740000}"/>
    <cellStyle name="0_Xl0000067 4 7 2 3 2" xfId="29783" xr:uid="{00000000-0005-0000-0000-000049740000}"/>
    <cellStyle name="0_Xl0000067 4 7 2 4" xfId="29784" xr:uid="{00000000-0005-0000-0000-00004A740000}"/>
    <cellStyle name="0_Xl0000067 4 7 3" xfId="29785" xr:uid="{00000000-0005-0000-0000-00004B740000}"/>
    <cellStyle name="0_Xl0000067 4 7 3 2" xfId="29786" xr:uid="{00000000-0005-0000-0000-00004C740000}"/>
    <cellStyle name="0_Xl0000067 4 7 3 2 2" xfId="29787" xr:uid="{00000000-0005-0000-0000-00004D740000}"/>
    <cellStyle name="0_Xl0000067 4 7 3 3" xfId="29788" xr:uid="{00000000-0005-0000-0000-00004E740000}"/>
    <cellStyle name="0_Xl0000067 4 7 3 3 2" xfId="29789" xr:uid="{00000000-0005-0000-0000-00004F740000}"/>
    <cellStyle name="0_Xl0000067 4 7 3 4" xfId="29790" xr:uid="{00000000-0005-0000-0000-000050740000}"/>
    <cellStyle name="0_Xl0000067 4 7 4" xfId="29791" xr:uid="{00000000-0005-0000-0000-000051740000}"/>
    <cellStyle name="0_Xl0000067 4 7 4 2" xfId="29792" xr:uid="{00000000-0005-0000-0000-000052740000}"/>
    <cellStyle name="0_Xl0000067 4 7 5" xfId="29793" xr:uid="{00000000-0005-0000-0000-000053740000}"/>
    <cellStyle name="0_Xl0000067 4 7 5 2" xfId="29794" xr:uid="{00000000-0005-0000-0000-000054740000}"/>
    <cellStyle name="0_Xl0000067 4 7 6" xfId="29795" xr:uid="{00000000-0005-0000-0000-000055740000}"/>
    <cellStyle name="0_Xl0000067 4 8" xfId="29796" xr:uid="{00000000-0005-0000-0000-000056740000}"/>
    <cellStyle name="0_Xl0000067 4 8 2" xfId="29797" xr:uid="{00000000-0005-0000-0000-000057740000}"/>
    <cellStyle name="0_Xl0000067 4 8 2 2" xfId="29798" xr:uid="{00000000-0005-0000-0000-000058740000}"/>
    <cellStyle name="0_Xl0000067 4 8 3" xfId="29799" xr:uid="{00000000-0005-0000-0000-000059740000}"/>
    <cellStyle name="0_Xl0000067 4 8 3 2" xfId="29800" xr:uid="{00000000-0005-0000-0000-00005A740000}"/>
    <cellStyle name="0_Xl0000067 4 8 4" xfId="29801" xr:uid="{00000000-0005-0000-0000-00005B740000}"/>
    <cellStyle name="0_Xl0000067 4 9" xfId="29802" xr:uid="{00000000-0005-0000-0000-00005C740000}"/>
    <cellStyle name="0_Xl0000067 4 9 2" xfId="29803" xr:uid="{00000000-0005-0000-0000-00005D740000}"/>
    <cellStyle name="0_Xl0000067 4 9 2 2" xfId="29804" xr:uid="{00000000-0005-0000-0000-00005E740000}"/>
    <cellStyle name="0_Xl0000067 4 9 3" xfId="29805" xr:uid="{00000000-0005-0000-0000-00005F740000}"/>
    <cellStyle name="0_Xl0000067 4 9 3 2" xfId="29806" xr:uid="{00000000-0005-0000-0000-000060740000}"/>
    <cellStyle name="0_Xl0000067 4 9 4" xfId="29807" xr:uid="{00000000-0005-0000-0000-000061740000}"/>
    <cellStyle name="0_Xl0000067 5" xfId="29808" xr:uid="{00000000-0005-0000-0000-000062740000}"/>
    <cellStyle name="0_Xl0000067 5 10" xfId="29809" xr:uid="{00000000-0005-0000-0000-000063740000}"/>
    <cellStyle name="0_Xl0000067 5 10 2" xfId="29810" xr:uid="{00000000-0005-0000-0000-000064740000}"/>
    <cellStyle name="0_Xl0000067 5 10 2 2" xfId="29811" xr:uid="{00000000-0005-0000-0000-000065740000}"/>
    <cellStyle name="0_Xl0000067 5 10 3" xfId="29812" xr:uid="{00000000-0005-0000-0000-000066740000}"/>
    <cellStyle name="0_Xl0000067 5 10 3 2" xfId="29813" xr:uid="{00000000-0005-0000-0000-000067740000}"/>
    <cellStyle name="0_Xl0000067 5 10 4" xfId="29814" xr:uid="{00000000-0005-0000-0000-000068740000}"/>
    <cellStyle name="0_Xl0000067 5 11" xfId="29815" xr:uid="{00000000-0005-0000-0000-000069740000}"/>
    <cellStyle name="0_Xl0000067 5 11 2" xfId="29816" xr:uid="{00000000-0005-0000-0000-00006A740000}"/>
    <cellStyle name="0_Xl0000067 5 12" xfId="29817" xr:uid="{00000000-0005-0000-0000-00006B740000}"/>
    <cellStyle name="0_Xl0000067 5 12 2" xfId="29818" xr:uid="{00000000-0005-0000-0000-00006C740000}"/>
    <cellStyle name="0_Xl0000067 5 13" xfId="29819" xr:uid="{00000000-0005-0000-0000-00006D740000}"/>
    <cellStyle name="0_Xl0000067 5 2" xfId="29820" xr:uid="{00000000-0005-0000-0000-00006E740000}"/>
    <cellStyle name="0_Xl0000067 5 2 2" xfId="29821" xr:uid="{00000000-0005-0000-0000-00006F740000}"/>
    <cellStyle name="0_Xl0000067 5 2 2 2" xfId="29822" xr:uid="{00000000-0005-0000-0000-000070740000}"/>
    <cellStyle name="0_Xl0000067 5 2 2 2 2" xfId="29823" xr:uid="{00000000-0005-0000-0000-000071740000}"/>
    <cellStyle name="0_Xl0000067 5 2 2 2 2 2" xfId="29824" xr:uid="{00000000-0005-0000-0000-000072740000}"/>
    <cellStyle name="0_Xl0000067 5 2 2 2 3" xfId="29825" xr:uid="{00000000-0005-0000-0000-000073740000}"/>
    <cellStyle name="0_Xl0000067 5 2 2 2 3 2" xfId="29826" xr:uid="{00000000-0005-0000-0000-000074740000}"/>
    <cellStyle name="0_Xl0000067 5 2 2 2 4" xfId="29827" xr:uid="{00000000-0005-0000-0000-000075740000}"/>
    <cellStyle name="0_Xl0000067 5 2 2 3" xfId="29828" xr:uid="{00000000-0005-0000-0000-000076740000}"/>
    <cellStyle name="0_Xl0000067 5 2 2 3 2" xfId="29829" xr:uid="{00000000-0005-0000-0000-000077740000}"/>
    <cellStyle name="0_Xl0000067 5 2 2 3 2 2" xfId="29830" xr:uid="{00000000-0005-0000-0000-000078740000}"/>
    <cellStyle name="0_Xl0000067 5 2 2 3 3" xfId="29831" xr:uid="{00000000-0005-0000-0000-000079740000}"/>
    <cellStyle name="0_Xl0000067 5 2 2 3 3 2" xfId="29832" xr:uid="{00000000-0005-0000-0000-00007A740000}"/>
    <cellStyle name="0_Xl0000067 5 2 2 3 4" xfId="29833" xr:uid="{00000000-0005-0000-0000-00007B740000}"/>
    <cellStyle name="0_Xl0000067 5 2 2 4" xfId="29834" xr:uid="{00000000-0005-0000-0000-00007C740000}"/>
    <cellStyle name="0_Xl0000067 5 2 2 4 2" xfId="29835" xr:uid="{00000000-0005-0000-0000-00007D740000}"/>
    <cellStyle name="0_Xl0000067 5 2 2 5" xfId="29836" xr:uid="{00000000-0005-0000-0000-00007E740000}"/>
    <cellStyle name="0_Xl0000067 5 2 2 5 2" xfId="29837" xr:uid="{00000000-0005-0000-0000-00007F740000}"/>
    <cellStyle name="0_Xl0000067 5 2 2 6" xfId="29838" xr:uid="{00000000-0005-0000-0000-000080740000}"/>
    <cellStyle name="0_Xl0000067 5 2 3" xfId="29839" xr:uid="{00000000-0005-0000-0000-000081740000}"/>
    <cellStyle name="0_Xl0000067 5 2 3 2" xfId="29840" xr:uid="{00000000-0005-0000-0000-000082740000}"/>
    <cellStyle name="0_Xl0000067 5 2 3 2 2" xfId="29841" xr:uid="{00000000-0005-0000-0000-000083740000}"/>
    <cellStyle name="0_Xl0000067 5 2 3 3" xfId="29842" xr:uid="{00000000-0005-0000-0000-000084740000}"/>
    <cellStyle name="0_Xl0000067 5 2 3 3 2" xfId="29843" xr:uid="{00000000-0005-0000-0000-000085740000}"/>
    <cellStyle name="0_Xl0000067 5 2 3 4" xfId="29844" xr:uid="{00000000-0005-0000-0000-000086740000}"/>
    <cellStyle name="0_Xl0000067 5 2 4" xfId="29845" xr:uid="{00000000-0005-0000-0000-000087740000}"/>
    <cellStyle name="0_Xl0000067 5 2 4 2" xfId="29846" xr:uid="{00000000-0005-0000-0000-000088740000}"/>
    <cellStyle name="0_Xl0000067 5 2 4 2 2" xfId="29847" xr:uid="{00000000-0005-0000-0000-000089740000}"/>
    <cellStyle name="0_Xl0000067 5 2 4 3" xfId="29848" xr:uid="{00000000-0005-0000-0000-00008A740000}"/>
    <cellStyle name="0_Xl0000067 5 2 4 3 2" xfId="29849" xr:uid="{00000000-0005-0000-0000-00008B740000}"/>
    <cellStyle name="0_Xl0000067 5 2 4 4" xfId="29850" xr:uid="{00000000-0005-0000-0000-00008C740000}"/>
    <cellStyle name="0_Xl0000067 5 2 5" xfId="29851" xr:uid="{00000000-0005-0000-0000-00008D740000}"/>
    <cellStyle name="0_Xl0000067 5 2 5 2" xfId="29852" xr:uid="{00000000-0005-0000-0000-00008E740000}"/>
    <cellStyle name="0_Xl0000067 5 2 5 2 2" xfId="29853" xr:uid="{00000000-0005-0000-0000-00008F740000}"/>
    <cellStyle name="0_Xl0000067 5 2 5 3" xfId="29854" xr:uid="{00000000-0005-0000-0000-000090740000}"/>
    <cellStyle name="0_Xl0000067 5 2 5 3 2" xfId="29855" xr:uid="{00000000-0005-0000-0000-000091740000}"/>
    <cellStyle name="0_Xl0000067 5 2 5 4" xfId="29856" xr:uid="{00000000-0005-0000-0000-000092740000}"/>
    <cellStyle name="0_Xl0000067 5 2 6" xfId="29857" xr:uid="{00000000-0005-0000-0000-000093740000}"/>
    <cellStyle name="0_Xl0000067 5 2 6 2" xfId="29858" xr:uid="{00000000-0005-0000-0000-000094740000}"/>
    <cellStyle name="0_Xl0000067 5 2 7" xfId="29859" xr:uid="{00000000-0005-0000-0000-000095740000}"/>
    <cellStyle name="0_Xl0000067 5 2 7 2" xfId="29860" xr:uid="{00000000-0005-0000-0000-000096740000}"/>
    <cellStyle name="0_Xl0000067 5 2 8" xfId="29861" xr:uid="{00000000-0005-0000-0000-000097740000}"/>
    <cellStyle name="0_Xl0000067 5 3" xfId="29862" xr:uid="{00000000-0005-0000-0000-000098740000}"/>
    <cellStyle name="0_Xl0000067 5 3 2" xfId="29863" xr:uid="{00000000-0005-0000-0000-000099740000}"/>
    <cellStyle name="0_Xl0000067 5 3 2 2" xfId="29864" xr:uid="{00000000-0005-0000-0000-00009A740000}"/>
    <cellStyle name="0_Xl0000067 5 3 2 2 2" xfId="29865" xr:uid="{00000000-0005-0000-0000-00009B740000}"/>
    <cellStyle name="0_Xl0000067 5 3 2 2 2 2" xfId="29866" xr:uid="{00000000-0005-0000-0000-00009C740000}"/>
    <cellStyle name="0_Xl0000067 5 3 2 2 3" xfId="29867" xr:uid="{00000000-0005-0000-0000-00009D740000}"/>
    <cellStyle name="0_Xl0000067 5 3 2 2 3 2" xfId="29868" xr:uid="{00000000-0005-0000-0000-00009E740000}"/>
    <cellStyle name="0_Xl0000067 5 3 2 2 4" xfId="29869" xr:uid="{00000000-0005-0000-0000-00009F740000}"/>
    <cellStyle name="0_Xl0000067 5 3 2 3" xfId="29870" xr:uid="{00000000-0005-0000-0000-0000A0740000}"/>
    <cellStyle name="0_Xl0000067 5 3 2 3 2" xfId="29871" xr:uid="{00000000-0005-0000-0000-0000A1740000}"/>
    <cellStyle name="0_Xl0000067 5 3 2 3 2 2" xfId="29872" xr:uid="{00000000-0005-0000-0000-0000A2740000}"/>
    <cellStyle name="0_Xl0000067 5 3 2 3 3" xfId="29873" xr:uid="{00000000-0005-0000-0000-0000A3740000}"/>
    <cellStyle name="0_Xl0000067 5 3 2 3 3 2" xfId="29874" xr:uid="{00000000-0005-0000-0000-0000A4740000}"/>
    <cellStyle name="0_Xl0000067 5 3 2 3 4" xfId="29875" xr:uid="{00000000-0005-0000-0000-0000A5740000}"/>
    <cellStyle name="0_Xl0000067 5 3 2 4" xfId="29876" xr:uid="{00000000-0005-0000-0000-0000A6740000}"/>
    <cellStyle name="0_Xl0000067 5 3 2 4 2" xfId="29877" xr:uid="{00000000-0005-0000-0000-0000A7740000}"/>
    <cellStyle name="0_Xl0000067 5 3 2 5" xfId="29878" xr:uid="{00000000-0005-0000-0000-0000A8740000}"/>
    <cellStyle name="0_Xl0000067 5 3 2 5 2" xfId="29879" xr:uid="{00000000-0005-0000-0000-0000A9740000}"/>
    <cellStyle name="0_Xl0000067 5 3 2 6" xfId="29880" xr:uid="{00000000-0005-0000-0000-0000AA740000}"/>
    <cellStyle name="0_Xl0000067 5 3 3" xfId="29881" xr:uid="{00000000-0005-0000-0000-0000AB740000}"/>
    <cellStyle name="0_Xl0000067 5 3 3 2" xfId="29882" xr:uid="{00000000-0005-0000-0000-0000AC740000}"/>
    <cellStyle name="0_Xl0000067 5 3 3 2 2" xfId="29883" xr:uid="{00000000-0005-0000-0000-0000AD740000}"/>
    <cellStyle name="0_Xl0000067 5 3 3 3" xfId="29884" xr:uid="{00000000-0005-0000-0000-0000AE740000}"/>
    <cellStyle name="0_Xl0000067 5 3 3 3 2" xfId="29885" xr:uid="{00000000-0005-0000-0000-0000AF740000}"/>
    <cellStyle name="0_Xl0000067 5 3 3 4" xfId="29886" xr:uid="{00000000-0005-0000-0000-0000B0740000}"/>
    <cellStyle name="0_Xl0000067 5 3 4" xfId="29887" xr:uid="{00000000-0005-0000-0000-0000B1740000}"/>
    <cellStyle name="0_Xl0000067 5 3 4 2" xfId="29888" xr:uid="{00000000-0005-0000-0000-0000B2740000}"/>
    <cellStyle name="0_Xl0000067 5 3 4 2 2" xfId="29889" xr:uid="{00000000-0005-0000-0000-0000B3740000}"/>
    <cellStyle name="0_Xl0000067 5 3 4 3" xfId="29890" xr:uid="{00000000-0005-0000-0000-0000B4740000}"/>
    <cellStyle name="0_Xl0000067 5 3 4 3 2" xfId="29891" xr:uid="{00000000-0005-0000-0000-0000B5740000}"/>
    <cellStyle name="0_Xl0000067 5 3 4 4" xfId="29892" xr:uid="{00000000-0005-0000-0000-0000B6740000}"/>
    <cellStyle name="0_Xl0000067 5 3 5" xfId="29893" xr:uid="{00000000-0005-0000-0000-0000B7740000}"/>
    <cellStyle name="0_Xl0000067 5 3 5 2" xfId="29894" xr:uid="{00000000-0005-0000-0000-0000B8740000}"/>
    <cellStyle name="0_Xl0000067 5 3 5 2 2" xfId="29895" xr:uid="{00000000-0005-0000-0000-0000B9740000}"/>
    <cellStyle name="0_Xl0000067 5 3 5 3" xfId="29896" xr:uid="{00000000-0005-0000-0000-0000BA740000}"/>
    <cellStyle name="0_Xl0000067 5 3 5 3 2" xfId="29897" xr:uid="{00000000-0005-0000-0000-0000BB740000}"/>
    <cellStyle name="0_Xl0000067 5 3 5 4" xfId="29898" xr:uid="{00000000-0005-0000-0000-0000BC740000}"/>
    <cellStyle name="0_Xl0000067 5 3 6" xfId="29899" xr:uid="{00000000-0005-0000-0000-0000BD740000}"/>
    <cellStyle name="0_Xl0000067 5 3 6 2" xfId="29900" xr:uid="{00000000-0005-0000-0000-0000BE740000}"/>
    <cellStyle name="0_Xl0000067 5 3 7" xfId="29901" xr:uid="{00000000-0005-0000-0000-0000BF740000}"/>
    <cellStyle name="0_Xl0000067 5 3 7 2" xfId="29902" xr:uid="{00000000-0005-0000-0000-0000C0740000}"/>
    <cellStyle name="0_Xl0000067 5 3 8" xfId="29903" xr:uid="{00000000-0005-0000-0000-0000C1740000}"/>
    <cellStyle name="0_Xl0000067 5 4" xfId="29904" xr:uid="{00000000-0005-0000-0000-0000C2740000}"/>
    <cellStyle name="0_Xl0000067 5 4 2" xfId="29905" xr:uid="{00000000-0005-0000-0000-0000C3740000}"/>
    <cellStyle name="0_Xl0000067 5 4 2 2" xfId="29906" xr:uid="{00000000-0005-0000-0000-0000C4740000}"/>
    <cellStyle name="0_Xl0000067 5 4 2 2 2" xfId="29907" xr:uid="{00000000-0005-0000-0000-0000C5740000}"/>
    <cellStyle name="0_Xl0000067 5 4 2 2 2 2" xfId="29908" xr:uid="{00000000-0005-0000-0000-0000C6740000}"/>
    <cellStyle name="0_Xl0000067 5 4 2 2 3" xfId="29909" xr:uid="{00000000-0005-0000-0000-0000C7740000}"/>
    <cellStyle name="0_Xl0000067 5 4 2 2 3 2" xfId="29910" xr:uid="{00000000-0005-0000-0000-0000C8740000}"/>
    <cellStyle name="0_Xl0000067 5 4 2 2 4" xfId="29911" xr:uid="{00000000-0005-0000-0000-0000C9740000}"/>
    <cellStyle name="0_Xl0000067 5 4 2 3" xfId="29912" xr:uid="{00000000-0005-0000-0000-0000CA740000}"/>
    <cellStyle name="0_Xl0000067 5 4 2 3 2" xfId="29913" xr:uid="{00000000-0005-0000-0000-0000CB740000}"/>
    <cellStyle name="0_Xl0000067 5 4 2 3 2 2" xfId="29914" xr:uid="{00000000-0005-0000-0000-0000CC740000}"/>
    <cellStyle name="0_Xl0000067 5 4 2 3 3" xfId="29915" xr:uid="{00000000-0005-0000-0000-0000CD740000}"/>
    <cellStyle name="0_Xl0000067 5 4 2 3 3 2" xfId="29916" xr:uid="{00000000-0005-0000-0000-0000CE740000}"/>
    <cellStyle name="0_Xl0000067 5 4 2 3 4" xfId="29917" xr:uid="{00000000-0005-0000-0000-0000CF740000}"/>
    <cellStyle name="0_Xl0000067 5 4 2 4" xfId="29918" xr:uid="{00000000-0005-0000-0000-0000D0740000}"/>
    <cellStyle name="0_Xl0000067 5 4 2 4 2" xfId="29919" xr:uid="{00000000-0005-0000-0000-0000D1740000}"/>
    <cellStyle name="0_Xl0000067 5 4 2 5" xfId="29920" xr:uid="{00000000-0005-0000-0000-0000D2740000}"/>
    <cellStyle name="0_Xl0000067 5 4 2 5 2" xfId="29921" xr:uid="{00000000-0005-0000-0000-0000D3740000}"/>
    <cellStyle name="0_Xl0000067 5 4 2 6" xfId="29922" xr:uid="{00000000-0005-0000-0000-0000D4740000}"/>
    <cellStyle name="0_Xl0000067 5 4 3" xfId="29923" xr:uid="{00000000-0005-0000-0000-0000D5740000}"/>
    <cellStyle name="0_Xl0000067 5 4 3 2" xfId="29924" xr:uid="{00000000-0005-0000-0000-0000D6740000}"/>
    <cellStyle name="0_Xl0000067 5 4 3 2 2" xfId="29925" xr:uid="{00000000-0005-0000-0000-0000D7740000}"/>
    <cellStyle name="0_Xl0000067 5 4 3 3" xfId="29926" xr:uid="{00000000-0005-0000-0000-0000D8740000}"/>
    <cellStyle name="0_Xl0000067 5 4 3 3 2" xfId="29927" xr:uid="{00000000-0005-0000-0000-0000D9740000}"/>
    <cellStyle name="0_Xl0000067 5 4 3 4" xfId="29928" xr:uid="{00000000-0005-0000-0000-0000DA740000}"/>
    <cellStyle name="0_Xl0000067 5 4 4" xfId="29929" xr:uid="{00000000-0005-0000-0000-0000DB740000}"/>
    <cellStyle name="0_Xl0000067 5 4 4 2" xfId="29930" xr:uid="{00000000-0005-0000-0000-0000DC740000}"/>
    <cellStyle name="0_Xl0000067 5 4 4 2 2" xfId="29931" xr:uid="{00000000-0005-0000-0000-0000DD740000}"/>
    <cellStyle name="0_Xl0000067 5 4 4 3" xfId="29932" xr:uid="{00000000-0005-0000-0000-0000DE740000}"/>
    <cellStyle name="0_Xl0000067 5 4 4 3 2" xfId="29933" xr:uid="{00000000-0005-0000-0000-0000DF740000}"/>
    <cellStyle name="0_Xl0000067 5 4 4 4" xfId="29934" xr:uid="{00000000-0005-0000-0000-0000E0740000}"/>
    <cellStyle name="0_Xl0000067 5 4 5" xfId="29935" xr:uid="{00000000-0005-0000-0000-0000E1740000}"/>
    <cellStyle name="0_Xl0000067 5 4 5 2" xfId="29936" xr:uid="{00000000-0005-0000-0000-0000E2740000}"/>
    <cellStyle name="0_Xl0000067 5 4 5 2 2" xfId="29937" xr:uid="{00000000-0005-0000-0000-0000E3740000}"/>
    <cellStyle name="0_Xl0000067 5 4 5 3" xfId="29938" xr:uid="{00000000-0005-0000-0000-0000E4740000}"/>
    <cellStyle name="0_Xl0000067 5 4 5 3 2" xfId="29939" xr:uid="{00000000-0005-0000-0000-0000E5740000}"/>
    <cellStyle name="0_Xl0000067 5 4 5 4" xfId="29940" xr:uid="{00000000-0005-0000-0000-0000E6740000}"/>
    <cellStyle name="0_Xl0000067 5 4 6" xfId="29941" xr:uid="{00000000-0005-0000-0000-0000E7740000}"/>
    <cellStyle name="0_Xl0000067 5 4 6 2" xfId="29942" xr:uid="{00000000-0005-0000-0000-0000E8740000}"/>
    <cellStyle name="0_Xl0000067 5 4 7" xfId="29943" xr:uid="{00000000-0005-0000-0000-0000E9740000}"/>
    <cellStyle name="0_Xl0000067 5 4 7 2" xfId="29944" xr:uid="{00000000-0005-0000-0000-0000EA740000}"/>
    <cellStyle name="0_Xl0000067 5 4 8" xfId="29945" xr:uid="{00000000-0005-0000-0000-0000EB740000}"/>
    <cellStyle name="0_Xl0000067 5 5" xfId="29946" xr:uid="{00000000-0005-0000-0000-0000EC740000}"/>
    <cellStyle name="0_Xl0000067 5 5 2" xfId="29947" xr:uid="{00000000-0005-0000-0000-0000ED740000}"/>
    <cellStyle name="0_Xl0000067 5 5 2 2" xfId="29948" xr:uid="{00000000-0005-0000-0000-0000EE740000}"/>
    <cellStyle name="0_Xl0000067 5 5 2 2 2" xfId="29949" xr:uid="{00000000-0005-0000-0000-0000EF740000}"/>
    <cellStyle name="0_Xl0000067 5 5 2 2 2 2" xfId="29950" xr:uid="{00000000-0005-0000-0000-0000F0740000}"/>
    <cellStyle name="0_Xl0000067 5 5 2 2 3" xfId="29951" xr:uid="{00000000-0005-0000-0000-0000F1740000}"/>
    <cellStyle name="0_Xl0000067 5 5 2 2 3 2" xfId="29952" xr:uid="{00000000-0005-0000-0000-0000F2740000}"/>
    <cellStyle name="0_Xl0000067 5 5 2 2 4" xfId="29953" xr:uid="{00000000-0005-0000-0000-0000F3740000}"/>
    <cellStyle name="0_Xl0000067 5 5 2 3" xfId="29954" xr:uid="{00000000-0005-0000-0000-0000F4740000}"/>
    <cellStyle name="0_Xl0000067 5 5 2 3 2" xfId="29955" xr:uid="{00000000-0005-0000-0000-0000F5740000}"/>
    <cellStyle name="0_Xl0000067 5 5 2 3 2 2" xfId="29956" xr:uid="{00000000-0005-0000-0000-0000F6740000}"/>
    <cellStyle name="0_Xl0000067 5 5 2 3 3" xfId="29957" xr:uid="{00000000-0005-0000-0000-0000F7740000}"/>
    <cellStyle name="0_Xl0000067 5 5 2 3 3 2" xfId="29958" xr:uid="{00000000-0005-0000-0000-0000F8740000}"/>
    <cellStyle name="0_Xl0000067 5 5 2 3 4" xfId="29959" xr:uid="{00000000-0005-0000-0000-0000F9740000}"/>
    <cellStyle name="0_Xl0000067 5 5 2 4" xfId="29960" xr:uid="{00000000-0005-0000-0000-0000FA740000}"/>
    <cellStyle name="0_Xl0000067 5 5 2 4 2" xfId="29961" xr:uid="{00000000-0005-0000-0000-0000FB740000}"/>
    <cellStyle name="0_Xl0000067 5 5 2 5" xfId="29962" xr:uid="{00000000-0005-0000-0000-0000FC740000}"/>
    <cellStyle name="0_Xl0000067 5 5 2 5 2" xfId="29963" xr:uid="{00000000-0005-0000-0000-0000FD740000}"/>
    <cellStyle name="0_Xl0000067 5 5 2 6" xfId="29964" xr:uid="{00000000-0005-0000-0000-0000FE740000}"/>
    <cellStyle name="0_Xl0000067 5 5 3" xfId="29965" xr:uid="{00000000-0005-0000-0000-0000FF740000}"/>
    <cellStyle name="0_Xl0000067 5 5 3 2" xfId="29966" xr:uid="{00000000-0005-0000-0000-000000750000}"/>
    <cellStyle name="0_Xl0000067 5 5 3 2 2" xfId="29967" xr:uid="{00000000-0005-0000-0000-000001750000}"/>
    <cellStyle name="0_Xl0000067 5 5 3 3" xfId="29968" xr:uid="{00000000-0005-0000-0000-000002750000}"/>
    <cellStyle name="0_Xl0000067 5 5 3 3 2" xfId="29969" xr:uid="{00000000-0005-0000-0000-000003750000}"/>
    <cellStyle name="0_Xl0000067 5 5 3 4" xfId="29970" xr:uid="{00000000-0005-0000-0000-000004750000}"/>
    <cellStyle name="0_Xl0000067 5 5 4" xfId="29971" xr:uid="{00000000-0005-0000-0000-000005750000}"/>
    <cellStyle name="0_Xl0000067 5 5 4 2" xfId="29972" xr:uid="{00000000-0005-0000-0000-000006750000}"/>
    <cellStyle name="0_Xl0000067 5 5 4 2 2" xfId="29973" xr:uid="{00000000-0005-0000-0000-000007750000}"/>
    <cellStyle name="0_Xl0000067 5 5 4 3" xfId="29974" xr:uid="{00000000-0005-0000-0000-000008750000}"/>
    <cellStyle name="0_Xl0000067 5 5 4 3 2" xfId="29975" xr:uid="{00000000-0005-0000-0000-000009750000}"/>
    <cellStyle name="0_Xl0000067 5 5 4 4" xfId="29976" xr:uid="{00000000-0005-0000-0000-00000A750000}"/>
    <cellStyle name="0_Xl0000067 5 5 5" xfId="29977" xr:uid="{00000000-0005-0000-0000-00000B750000}"/>
    <cellStyle name="0_Xl0000067 5 5 5 2" xfId="29978" xr:uid="{00000000-0005-0000-0000-00000C750000}"/>
    <cellStyle name="0_Xl0000067 5 5 5 2 2" xfId="29979" xr:uid="{00000000-0005-0000-0000-00000D750000}"/>
    <cellStyle name="0_Xl0000067 5 5 5 3" xfId="29980" xr:uid="{00000000-0005-0000-0000-00000E750000}"/>
    <cellStyle name="0_Xl0000067 5 5 5 3 2" xfId="29981" xr:uid="{00000000-0005-0000-0000-00000F750000}"/>
    <cellStyle name="0_Xl0000067 5 5 5 4" xfId="29982" xr:uid="{00000000-0005-0000-0000-000010750000}"/>
    <cellStyle name="0_Xl0000067 5 5 6" xfId="29983" xr:uid="{00000000-0005-0000-0000-000011750000}"/>
    <cellStyle name="0_Xl0000067 5 5 6 2" xfId="29984" xr:uid="{00000000-0005-0000-0000-000012750000}"/>
    <cellStyle name="0_Xl0000067 5 5 7" xfId="29985" xr:uid="{00000000-0005-0000-0000-000013750000}"/>
    <cellStyle name="0_Xl0000067 5 5 7 2" xfId="29986" xr:uid="{00000000-0005-0000-0000-000014750000}"/>
    <cellStyle name="0_Xl0000067 5 5 8" xfId="29987" xr:uid="{00000000-0005-0000-0000-000015750000}"/>
    <cellStyle name="0_Xl0000067 5 6" xfId="29988" xr:uid="{00000000-0005-0000-0000-000016750000}"/>
    <cellStyle name="0_Xl0000067 5 6 2" xfId="29989" xr:uid="{00000000-0005-0000-0000-000017750000}"/>
    <cellStyle name="0_Xl0000067 5 6 2 2" xfId="29990" xr:uid="{00000000-0005-0000-0000-000018750000}"/>
    <cellStyle name="0_Xl0000067 5 6 2 2 2" xfId="29991" xr:uid="{00000000-0005-0000-0000-000019750000}"/>
    <cellStyle name="0_Xl0000067 5 6 2 2 2 2" xfId="29992" xr:uid="{00000000-0005-0000-0000-00001A750000}"/>
    <cellStyle name="0_Xl0000067 5 6 2 2 3" xfId="29993" xr:uid="{00000000-0005-0000-0000-00001B750000}"/>
    <cellStyle name="0_Xl0000067 5 6 2 2 3 2" xfId="29994" xr:uid="{00000000-0005-0000-0000-00001C750000}"/>
    <cellStyle name="0_Xl0000067 5 6 2 2 4" xfId="29995" xr:uid="{00000000-0005-0000-0000-00001D750000}"/>
    <cellStyle name="0_Xl0000067 5 6 2 3" xfId="29996" xr:uid="{00000000-0005-0000-0000-00001E750000}"/>
    <cellStyle name="0_Xl0000067 5 6 2 3 2" xfId="29997" xr:uid="{00000000-0005-0000-0000-00001F750000}"/>
    <cellStyle name="0_Xl0000067 5 6 2 3 2 2" xfId="29998" xr:uid="{00000000-0005-0000-0000-000020750000}"/>
    <cellStyle name="0_Xl0000067 5 6 2 3 3" xfId="29999" xr:uid="{00000000-0005-0000-0000-000021750000}"/>
    <cellStyle name="0_Xl0000067 5 6 2 3 3 2" xfId="30000" xr:uid="{00000000-0005-0000-0000-000022750000}"/>
    <cellStyle name="0_Xl0000067 5 6 2 3 4" xfId="30001" xr:uid="{00000000-0005-0000-0000-000023750000}"/>
    <cellStyle name="0_Xl0000067 5 6 2 4" xfId="30002" xr:uid="{00000000-0005-0000-0000-000024750000}"/>
    <cellStyle name="0_Xl0000067 5 6 2 4 2" xfId="30003" xr:uid="{00000000-0005-0000-0000-000025750000}"/>
    <cellStyle name="0_Xl0000067 5 6 2 5" xfId="30004" xr:uid="{00000000-0005-0000-0000-000026750000}"/>
    <cellStyle name="0_Xl0000067 5 6 2 5 2" xfId="30005" xr:uid="{00000000-0005-0000-0000-000027750000}"/>
    <cellStyle name="0_Xl0000067 5 6 2 6" xfId="30006" xr:uid="{00000000-0005-0000-0000-000028750000}"/>
    <cellStyle name="0_Xl0000067 5 6 3" xfId="30007" xr:uid="{00000000-0005-0000-0000-000029750000}"/>
    <cellStyle name="0_Xl0000067 5 6 3 2" xfId="30008" xr:uid="{00000000-0005-0000-0000-00002A750000}"/>
    <cellStyle name="0_Xl0000067 5 6 3 2 2" xfId="30009" xr:uid="{00000000-0005-0000-0000-00002B750000}"/>
    <cellStyle name="0_Xl0000067 5 6 3 3" xfId="30010" xr:uid="{00000000-0005-0000-0000-00002C750000}"/>
    <cellStyle name="0_Xl0000067 5 6 3 3 2" xfId="30011" xr:uid="{00000000-0005-0000-0000-00002D750000}"/>
    <cellStyle name="0_Xl0000067 5 6 3 4" xfId="30012" xr:uid="{00000000-0005-0000-0000-00002E750000}"/>
    <cellStyle name="0_Xl0000067 5 6 4" xfId="30013" xr:uid="{00000000-0005-0000-0000-00002F750000}"/>
    <cellStyle name="0_Xl0000067 5 6 4 2" xfId="30014" xr:uid="{00000000-0005-0000-0000-000030750000}"/>
    <cellStyle name="0_Xl0000067 5 6 4 2 2" xfId="30015" xr:uid="{00000000-0005-0000-0000-000031750000}"/>
    <cellStyle name="0_Xl0000067 5 6 4 3" xfId="30016" xr:uid="{00000000-0005-0000-0000-000032750000}"/>
    <cellStyle name="0_Xl0000067 5 6 4 3 2" xfId="30017" xr:uid="{00000000-0005-0000-0000-000033750000}"/>
    <cellStyle name="0_Xl0000067 5 6 4 4" xfId="30018" xr:uid="{00000000-0005-0000-0000-000034750000}"/>
    <cellStyle name="0_Xl0000067 5 6 5" xfId="30019" xr:uid="{00000000-0005-0000-0000-000035750000}"/>
    <cellStyle name="0_Xl0000067 5 6 5 2" xfId="30020" xr:uid="{00000000-0005-0000-0000-000036750000}"/>
    <cellStyle name="0_Xl0000067 5 6 5 2 2" xfId="30021" xr:uid="{00000000-0005-0000-0000-000037750000}"/>
    <cellStyle name="0_Xl0000067 5 6 5 3" xfId="30022" xr:uid="{00000000-0005-0000-0000-000038750000}"/>
    <cellStyle name="0_Xl0000067 5 6 5 3 2" xfId="30023" xr:uid="{00000000-0005-0000-0000-000039750000}"/>
    <cellStyle name="0_Xl0000067 5 6 5 4" xfId="30024" xr:uid="{00000000-0005-0000-0000-00003A750000}"/>
    <cellStyle name="0_Xl0000067 5 6 6" xfId="30025" xr:uid="{00000000-0005-0000-0000-00003B750000}"/>
    <cellStyle name="0_Xl0000067 5 6 6 2" xfId="30026" xr:uid="{00000000-0005-0000-0000-00003C750000}"/>
    <cellStyle name="0_Xl0000067 5 6 7" xfId="30027" xr:uid="{00000000-0005-0000-0000-00003D750000}"/>
    <cellStyle name="0_Xl0000067 5 6 7 2" xfId="30028" xr:uid="{00000000-0005-0000-0000-00003E750000}"/>
    <cellStyle name="0_Xl0000067 5 6 8" xfId="30029" xr:uid="{00000000-0005-0000-0000-00003F750000}"/>
    <cellStyle name="0_Xl0000067 5 7" xfId="30030" xr:uid="{00000000-0005-0000-0000-000040750000}"/>
    <cellStyle name="0_Xl0000067 5 7 2" xfId="30031" xr:uid="{00000000-0005-0000-0000-000041750000}"/>
    <cellStyle name="0_Xl0000067 5 7 2 2" xfId="30032" xr:uid="{00000000-0005-0000-0000-000042750000}"/>
    <cellStyle name="0_Xl0000067 5 7 2 2 2" xfId="30033" xr:uid="{00000000-0005-0000-0000-000043750000}"/>
    <cellStyle name="0_Xl0000067 5 7 2 3" xfId="30034" xr:uid="{00000000-0005-0000-0000-000044750000}"/>
    <cellStyle name="0_Xl0000067 5 7 2 3 2" xfId="30035" xr:uid="{00000000-0005-0000-0000-000045750000}"/>
    <cellStyle name="0_Xl0000067 5 7 2 4" xfId="30036" xr:uid="{00000000-0005-0000-0000-000046750000}"/>
    <cellStyle name="0_Xl0000067 5 7 3" xfId="30037" xr:uid="{00000000-0005-0000-0000-000047750000}"/>
    <cellStyle name="0_Xl0000067 5 7 3 2" xfId="30038" xr:uid="{00000000-0005-0000-0000-000048750000}"/>
    <cellStyle name="0_Xl0000067 5 7 3 2 2" xfId="30039" xr:uid="{00000000-0005-0000-0000-000049750000}"/>
    <cellStyle name="0_Xl0000067 5 7 3 3" xfId="30040" xr:uid="{00000000-0005-0000-0000-00004A750000}"/>
    <cellStyle name="0_Xl0000067 5 7 3 3 2" xfId="30041" xr:uid="{00000000-0005-0000-0000-00004B750000}"/>
    <cellStyle name="0_Xl0000067 5 7 3 4" xfId="30042" xr:uid="{00000000-0005-0000-0000-00004C750000}"/>
    <cellStyle name="0_Xl0000067 5 7 4" xfId="30043" xr:uid="{00000000-0005-0000-0000-00004D750000}"/>
    <cellStyle name="0_Xl0000067 5 7 4 2" xfId="30044" xr:uid="{00000000-0005-0000-0000-00004E750000}"/>
    <cellStyle name="0_Xl0000067 5 7 5" xfId="30045" xr:uid="{00000000-0005-0000-0000-00004F750000}"/>
    <cellStyle name="0_Xl0000067 5 7 5 2" xfId="30046" xr:uid="{00000000-0005-0000-0000-000050750000}"/>
    <cellStyle name="0_Xl0000067 5 7 6" xfId="30047" xr:uid="{00000000-0005-0000-0000-000051750000}"/>
    <cellStyle name="0_Xl0000067 5 8" xfId="30048" xr:uid="{00000000-0005-0000-0000-000052750000}"/>
    <cellStyle name="0_Xl0000067 5 8 2" xfId="30049" xr:uid="{00000000-0005-0000-0000-000053750000}"/>
    <cellStyle name="0_Xl0000067 5 8 2 2" xfId="30050" xr:uid="{00000000-0005-0000-0000-000054750000}"/>
    <cellStyle name="0_Xl0000067 5 8 3" xfId="30051" xr:uid="{00000000-0005-0000-0000-000055750000}"/>
    <cellStyle name="0_Xl0000067 5 8 3 2" xfId="30052" xr:uid="{00000000-0005-0000-0000-000056750000}"/>
    <cellStyle name="0_Xl0000067 5 8 4" xfId="30053" xr:uid="{00000000-0005-0000-0000-000057750000}"/>
    <cellStyle name="0_Xl0000067 5 9" xfId="30054" xr:uid="{00000000-0005-0000-0000-000058750000}"/>
    <cellStyle name="0_Xl0000067 5 9 2" xfId="30055" xr:uid="{00000000-0005-0000-0000-000059750000}"/>
    <cellStyle name="0_Xl0000067 5 9 2 2" xfId="30056" xr:uid="{00000000-0005-0000-0000-00005A750000}"/>
    <cellStyle name="0_Xl0000067 5 9 3" xfId="30057" xr:uid="{00000000-0005-0000-0000-00005B750000}"/>
    <cellStyle name="0_Xl0000067 5 9 3 2" xfId="30058" xr:uid="{00000000-0005-0000-0000-00005C750000}"/>
    <cellStyle name="0_Xl0000067 5 9 4" xfId="30059" xr:uid="{00000000-0005-0000-0000-00005D750000}"/>
    <cellStyle name="0_Xl0000067 6" xfId="30060" xr:uid="{00000000-0005-0000-0000-00005E750000}"/>
    <cellStyle name="0_Xl0000067 6 2" xfId="30061" xr:uid="{00000000-0005-0000-0000-00005F750000}"/>
    <cellStyle name="0_Xl0000067 6 2 2" xfId="30062" xr:uid="{00000000-0005-0000-0000-000060750000}"/>
    <cellStyle name="0_Xl0000067 6 2 2 2" xfId="30063" xr:uid="{00000000-0005-0000-0000-000061750000}"/>
    <cellStyle name="0_Xl0000067 6 2 2 2 2" xfId="30064" xr:uid="{00000000-0005-0000-0000-000062750000}"/>
    <cellStyle name="0_Xl0000067 6 2 2 3" xfId="30065" xr:uid="{00000000-0005-0000-0000-000063750000}"/>
    <cellStyle name="0_Xl0000067 6 2 2 3 2" xfId="30066" xr:uid="{00000000-0005-0000-0000-000064750000}"/>
    <cellStyle name="0_Xl0000067 6 2 2 4" xfId="30067" xr:uid="{00000000-0005-0000-0000-000065750000}"/>
    <cellStyle name="0_Xl0000067 6 2 3" xfId="30068" xr:uid="{00000000-0005-0000-0000-000066750000}"/>
    <cellStyle name="0_Xl0000067 6 2 3 2" xfId="30069" xr:uid="{00000000-0005-0000-0000-000067750000}"/>
    <cellStyle name="0_Xl0000067 6 2 3 2 2" xfId="30070" xr:uid="{00000000-0005-0000-0000-000068750000}"/>
    <cellStyle name="0_Xl0000067 6 2 3 3" xfId="30071" xr:uid="{00000000-0005-0000-0000-000069750000}"/>
    <cellStyle name="0_Xl0000067 6 2 3 3 2" xfId="30072" xr:uid="{00000000-0005-0000-0000-00006A750000}"/>
    <cellStyle name="0_Xl0000067 6 2 3 4" xfId="30073" xr:uid="{00000000-0005-0000-0000-00006B750000}"/>
    <cellStyle name="0_Xl0000067 6 2 4" xfId="30074" xr:uid="{00000000-0005-0000-0000-00006C750000}"/>
    <cellStyle name="0_Xl0000067 6 2 4 2" xfId="30075" xr:uid="{00000000-0005-0000-0000-00006D750000}"/>
    <cellStyle name="0_Xl0000067 6 2 5" xfId="30076" xr:uid="{00000000-0005-0000-0000-00006E750000}"/>
    <cellStyle name="0_Xl0000067 6 2 5 2" xfId="30077" xr:uid="{00000000-0005-0000-0000-00006F750000}"/>
    <cellStyle name="0_Xl0000067 6 2 6" xfId="30078" xr:uid="{00000000-0005-0000-0000-000070750000}"/>
    <cellStyle name="0_Xl0000067 6 3" xfId="30079" xr:uid="{00000000-0005-0000-0000-000071750000}"/>
    <cellStyle name="0_Xl0000067 6 3 2" xfId="30080" xr:uid="{00000000-0005-0000-0000-000072750000}"/>
    <cellStyle name="0_Xl0000067 6 3 2 2" xfId="30081" xr:uid="{00000000-0005-0000-0000-000073750000}"/>
    <cellStyle name="0_Xl0000067 6 3 3" xfId="30082" xr:uid="{00000000-0005-0000-0000-000074750000}"/>
    <cellStyle name="0_Xl0000067 6 3 3 2" xfId="30083" xr:uid="{00000000-0005-0000-0000-000075750000}"/>
    <cellStyle name="0_Xl0000067 6 3 4" xfId="30084" xr:uid="{00000000-0005-0000-0000-000076750000}"/>
    <cellStyle name="0_Xl0000067 6 4" xfId="30085" xr:uid="{00000000-0005-0000-0000-000077750000}"/>
    <cellStyle name="0_Xl0000067 6 4 2" xfId="30086" xr:uid="{00000000-0005-0000-0000-000078750000}"/>
    <cellStyle name="0_Xl0000067 6 4 2 2" xfId="30087" xr:uid="{00000000-0005-0000-0000-000079750000}"/>
    <cellStyle name="0_Xl0000067 6 4 3" xfId="30088" xr:uid="{00000000-0005-0000-0000-00007A750000}"/>
    <cellStyle name="0_Xl0000067 6 4 3 2" xfId="30089" xr:uid="{00000000-0005-0000-0000-00007B750000}"/>
    <cellStyle name="0_Xl0000067 6 4 4" xfId="30090" xr:uid="{00000000-0005-0000-0000-00007C750000}"/>
    <cellStyle name="0_Xl0000067 6 5" xfId="30091" xr:uid="{00000000-0005-0000-0000-00007D750000}"/>
    <cellStyle name="0_Xl0000067 6 5 2" xfId="30092" xr:uid="{00000000-0005-0000-0000-00007E750000}"/>
    <cellStyle name="0_Xl0000067 6 5 2 2" xfId="30093" xr:uid="{00000000-0005-0000-0000-00007F750000}"/>
    <cellStyle name="0_Xl0000067 6 5 3" xfId="30094" xr:uid="{00000000-0005-0000-0000-000080750000}"/>
    <cellStyle name="0_Xl0000067 6 5 3 2" xfId="30095" xr:uid="{00000000-0005-0000-0000-000081750000}"/>
    <cellStyle name="0_Xl0000067 6 5 4" xfId="30096" xr:uid="{00000000-0005-0000-0000-000082750000}"/>
    <cellStyle name="0_Xl0000067 6 6" xfId="30097" xr:uid="{00000000-0005-0000-0000-000083750000}"/>
    <cellStyle name="0_Xl0000067 6 6 2" xfId="30098" xr:uid="{00000000-0005-0000-0000-000084750000}"/>
    <cellStyle name="0_Xl0000067 6 7" xfId="30099" xr:uid="{00000000-0005-0000-0000-000085750000}"/>
    <cellStyle name="0_Xl0000067 6 7 2" xfId="30100" xr:uid="{00000000-0005-0000-0000-000086750000}"/>
    <cellStyle name="0_Xl0000067 6 8" xfId="30101" xr:uid="{00000000-0005-0000-0000-000087750000}"/>
    <cellStyle name="0_Xl0000067 7" xfId="30102" xr:uid="{00000000-0005-0000-0000-000088750000}"/>
    <cellStyle name="0_Xl0000067 7 2" xfId="30103" xr:uid="{00000000-0005-0000-0000-000089750000}"/>
    <cellStyle name="0_Xl0000067 7 2 2" xfId="30104" xr:uid="{00000000-0005-0000-0000-00008A750000}"/>
    <cellStyle name="0_Xl0000067 7 2 2 2" xfId="30105" xr:uid="{00000000-0005-0000-0000-00008B750000}"/>
    <cellStyle name="0_Xl0000067 7 2 3" xfId="30106" xr:uid="{00000000-0005-0000-0000-00008C750000}"/>
    <cellStyle name="0_Xl0000067 7 2 3 2" xfId="30107" xr:uid="{00000000-0005-0000-0000-00008D750000}"/>
    <cellStyle name="0_Xl0000067 7 2 4" xfId="30108" xr:uid="{00000000-0005-0000-0000-00008E750000}"/>
    <cellStyle name="0_Xl0000067 7 3" xfId="30109" xr:uid="{00000000-0005-0000-0000-00008F750000}"/>
    <cellStyle name="0_Xl0000067 7 3 2" xfId="30110" xr:uid="{00000000-0005-0000-0000-000090750000}"/>
    <cellStyle name="0_Xl0000067 7 3 2 2" xfId="30111" xr:uid="{00000000-0005-0000-0000-000091750000}"/>
    <cellStyle name="0_Xl0000067 7 3 3" xfId="30112" xr:uid="{00000000-0005-0000-0000-000092750000}"/>
    <cellStyle name="0_Xl0000067 7 3 3 2" xfId="30113" xr:uid="{00000000-0005-0000-0000-000093750000}"/>
    <cellStyle name="0_Xl0000067 7 3 4" xfId="30114" xr:uid="{00000000-0005-0000-0000-000094750000}"/>
    <cellStyle name="0_Xl0000067 7 4" xfId="30115" xr:uid="{00000000-0005-0000-0000-000095750000}"/>
    <cellStyle name="0_Xl0000067 7 4 2" xfId="30116" xr:uid="{00000000-0005-0000-0000-000096750000}"/>
    <cellStyle name="0_Xl0000067 7 5" xfId="30117" xr:uid="{00000000-0005-0000-0000-000097750000}"/>
    <cellStyle name="0_Xl0000067 7 5 2" xfId="30118" xr:uid="{00000000-0005-0000-0000-000098750000}"/>
    <cellStyle name="0_Xl0000067 7 6" xfId="30119" xr:uid="{00000000-0005-0000-0000-000099750000}"/>
    <cellStyle name="0_Xl0000067 8" xfId="30120" xr:uid="{00000000-0005-0000-0000-00009A750000}"/>
    <cellStyle name="0_Xl0000067 8 2" xfId="30121" xr:uid="{00000000-0005-0000-0000-00009B750000}"/>
    <cellStyle name="0_Xl0000067 8 2 2" xfId="30122" xr:uid="{00000000-0005-0000-0000-00009C750000}"/>
    <cellStyle name="0_Xl0000067 8 2 2 2" xfId="30123" xr:uid="{00000000-0005-0000-0000-00009D750000}"/>
    <cellStyle name="0_Xl0000067 8 2 3" xfId="30124" xr:uid="{00000000-0005-0000-0000-00009E750000}"/>
    <cellStyle name="0_Xl0000067 8 2 3 2" xfId="30125" xr:uid="{00000000-0005-0000-0000-00009F750000}"/>
    <cellStyle name="0_Xl0000067 8 2 4" xfId="30126" xr:uid="{00000000-0005-0000-0000-0000A0750000}"/>
    <cellStyle name="0_Xl0000067 8 3" xfId="30127" xr:uid="{00000000-0005-0000-0000-0000A1750000}"/>
    <cellStyle name="0_Xl0000067 8 3 2" xfId="30128" xr:uid="{00000000-0005-0000-0000-0000A2750000}"/>
    <cellStyle name="0_Xl0000067 8 3 2 2" xfId="30129" xr:uid="{00000000-0005-0000-0000-0000A3750000}"/>
    <cellStyle name="0_Xl0000067 8 3 3" xfId="30130" xr:uid="{00000000-0005-0000-0000-0000A4750000}"/>
    <cellStyle name="0_Xl0000067 8 3 3 2" xfId="30131" xr:uid="{00000000-0005-0000-0000-0000A5750000}"/>
    <cellStyle name="0_Xl0000067 8 3 4" xfId="30132" xr:uid="{00000000-0005-0000-0000-0000A6750000}"/>
    <cellStyle name="0_Xl0000067 8 4" xfId="30133" xr:uid="{00000000-0005-0000-0000-0000A7750000}"/>
    <cellStyle name="0_Xl0000067 8 4 2" xfId="30134" xr:uid="{00000000-0005-0000-0000-0000A8750000}"/>
    <cellStyle name="0_Xl0000067 8 5" xfId="30135" xr:uid="{00000000-0005-0000-0000-0000A9750000}"/>
    <cellStyle name="0_Xl0000067 8 5 2" xfId="30136" xr:uid="{00000000-0005-0000-0000-0000AA750000}"/>
    <cellStyle name="0_Xl0000067 8 6" xfId="30137" xr:uid="{00000000-0005-0000-0000-0000AB750000}"/>
    <cellStyle name="0_Xl0000067 9" xfId="30138" xr:uid="{00000000-0005-0000-0000-0000AC750000}"/>
    <cellStyle name="0_Xl0000067 9 2" xfId="30139" xr:uid="{00000000-0005-0000-0000-0000AD750000}"/>
    <cellStyle name="0_Xl0000067 9 2 2" xfId="30140" xr:uid="{00000000-0005-0000-0000-0000AE750000}"/>
    <cellStyle name="0_Xl0000067 9 3" xfId="30141" xr:uid="{00000000-0005-0000-0000-0000AF750000}"/>
    <cellStyle name="0_Xl0000067 9 3 2" xfId="30142" xr:uid="{00000000-0005-0000-0000-0000B0750000}"/>
    <cellStyle name="0_Xl0000067 9 4" xfId="30143" xr:uid="{00000000-0005-0000-0000-0000B1750000}"/>
    <cellStyle name="20% - Accent1 10" xfId="30144" xr:uid="{00000000-0005-0000-0000-0000B2750000}"/>
    <cellStyle name="20% - Accent1 10 2" xfId="30145" xr:uid="{00000000-0005-0000-0000-0000B3750000}"/>
    <cellStyle name="20% - Accent1 10 3" xfId="30146" xr:uid="{00000000-0005-0000-0000-0000B4750000}"/>
    <cellStyle name="20% - Accent1 10 4" xfId="30147" xr:uid="{00000000-0005-0000-0000-0000B5750000}"/>
    <cellStyle name="20% - Accent1 10 5" xfId="30148" xr:uid="{00000000-0005-0000-0000-0000B6750000}"/>
    <cellStyle name="20% - Accent1 11" xfId="30149" xr:uid="{00000000-0005-0000-0000-0000B7750000}"/>
    <cellStyle name="20% - Accent1 11 2" xfId="30150" xr:uid="{00000000-0005-0000-0000-0000B8750000}"/>
    <cellStyle name="20% - Accent1 12" xfId="30151" xr:uid="{00000000-0005-0000-0000-0000B9750000}"/>
    <cellStyle name="20% - Accent1 12 2" xfId="30152" xr:uid="{00000000-0005-0000-0000-0000BA750000}"/>
    <cellStyle name="20% - Accent1 13" xfId="30153" xr:uid="{00000000-0005-0000-0000-0000BB750000}"/>
    <cellStyle name="20% - Accent1 13 2" xfId="30154" xr:uid="{00000000-0005-0000-0000-0000BC750000}"/>
    <cellStyle name="20% - Accent1 14" xfId="30155" xr:uid="{00000000-0005-0000-0000-0000BD750000}"/>
    <cellStyle name="20% - Accent1 14 2" xfId="30156" xr:uid="{00000000-0005-0000-0000-0000BE750000}"/>
    <cellStyle name="20% - Accent1 15" xfId="30157" xr:uid="{00000000-0005-0000-0000-0000BF750000}"/>
    <cellStyle name="20% - Accent1 15 2" xfId="30158" xr:uid="{00000000-0005-0000-0000-0000C0750000}"/>
    <cellStyle name="20% - Accent1 16" xfId="30159" xr:uid="{00000000-0005-0000-0000-0000C1750000}"/>
    <cellStyle name="20% - Accent1 16 2" xfId="30160" xr:uid="{00000000-0005-0000-0000-0000C2750000}"/>
    <cellStyle name="20% - Accent1 17" xfId="30161" xr:uid="{00000000-0005-0000-0000-0000C3750000}"/>
    <cellStyle name="20% - Accent1 17 2" xfId="30162" xr:uid="{00000000-0005-0000-0000-0000C4750000}"/>
    <cellStyle name="20% - Accent1 18" xfId="30163" xr:uid="{00000000-0005-0000-0000-0000C5750000}"/>
    <cellStyle name="20% - Accent1 18 2" xfId="30164" xr:uid="{00000000-0005-0000-0000-0000C6750000}"/>
    <cellStyle name="20% - Accent1 19" xfId="30165" xr:uid="{00000000-0005-0000-0000-0000C7750000}"/>
    <cellStyle name="20% - Accent1 19 2" xfId="30166" xr:uid="{00000000-0005-0000-0000-0000C8750000}"/>
    <cellStyle name="20% - Accent1 2" xfId="30167" xr:uid="{00000000-0005-0000-0000-0000C9750000}"/>
    <cellStyle name="20% - Accent1 2 10" xfId="30168" xr:uid="{00000000-0005-0000-0000-0000CA750000}"/>
    <cellStyle name="20% - Accent1 2 11" xfId="30169" xr:uid="{00000000-0005-0000-0000-0000CB750000}"/>
    <cellStyle name="20% - Accent1 2 12" xfId="30170" xr:uid="{00000000-0005-0000-0000-0000CC750000}"/>
    <cellStyle name="20% - Accent1 2 13" xfId="30171" xr:uid="{00000000-0005-0000-0000-0000CD750000}"/>
    <cellStyle name="20% - Accent1 2 14" xfId="30172" xr:uid="{00000000-0005-0000-0000-0000CE750000}"/>
    <cellStyle name="20% - Accent1 2 15" xfId="30173" xr:uid="{00000000-0005-0000-0000-0000CF750000}"/>
    <cellStyle name="20% - Accent1 2 16" xfId="30174" xr:uid="{00000000-0005-0000-0000-0000D0750000}"/>
    <cellStyle name="20% - Accent1 2 16 2" xfId="30175" xr:uid="{00000000-0005-0000-0000-0000D1750000}"/>
    <cellStyle name="20% - Accent1 2 16 2 2" xfId="30176" xr:uid="{00000000-0005-0000-0000-0000D2750000}"/>
    <cellStyle name="20% - Accent1 2 16 3" xfId="30177" xr:uid="{00000000-0005-0000-0000-0000D3750000}"/>
    <cellStyle name="20% - Accent1 2 17" xfId="30178" xr:uid="{00000000-0005-0000-0000-0000D4750000}"/>
    <cellStyle name="20% - Accent1 2 17 2" xfId="30179" xr:uid="{00000000-0005-0000-0000-0000D5750000}"/>
    <cellStyle name="20% - Accent1 2 18" xfId="30180" xr:uid="{00000000-0005-0000-0000-0000D6750000}"/>
    <cellStyle name="20% - Accent1 2 19" xfId="30181" xr:uid="{00000000-0005-0000-0000-0000D7750000}"/>
    <cellStyle name="20% - Accent1 2 2" xfId="30182" xr:uid="{00000000-0005-0000-0000-0000D8750000}"/>
    <cellStyle name="20% - Accent1 2 2 2" xfId="30183" xr:uid="{00000000-0005-0000-0000-0000D9750000}"/>
    <cellStyle name="20% - Accent1 2 2 2 2" xfId="30184" xr:uid="{00000000-0005-0000-0000-0000DA750000}"/>
    <cellStyle name="20% - Accent1 2 2 2 3" xfId="30185" xr:uid="{00000000-0005-0000-0000-0000DB750000}"/>
    <cellStyle name="20% - Accent1 2 2 2 4" xfId="30186" xr:uid="{00000000-0005-0000-0000-0000DC750000}"/>
    <cellStyle name="20% - Accent1 2 2 2 5" xfId="30187" xr:uid="{00000000-0005-0000-0000-0000DD750000}"/>
    <cellStyle name="20% - Accent1 2 2 3" xfId="30188" xr:uid="{00000000-0005-0000-0000-0000DE750000}"/>
    <cellStyle name="20% - Accent1 2 2 4" xfId="30189" xr:uid="{00000000-0005-0000-0000-0000DF750000}"/>
    <cellStyle name="20% - Accent1 2 2 5" xfId="30190" xr:uid="{00000000-0005-0000-0000-0000E0750000}"/>
    <cellStyle name="20% - Accent1 2 2 6" xfId="30191" xr:uid="{00000000-0005-0000-0000-0000E1750000}"/>
    <cellStyle name="20% - Accent1 2 2_Proj" xfId="30192" xr:uid="{00000000-0005-0000-0000-0000E2750000}"/>
    <cellStyle name="20% - Accent1 2 3" xfId="30193" xr:uid="{00000000-0005-0000-0000-0000E3750000}"/>
    <cellStyle name="20% - Accent1 2 3 2" xfId="30194" xr:uid="{00000000-0005-0000-0000-0000E4750000}"/>
    <cellStyle name="20% - Accent1 2 3 2 2" xfId="30195" xr:uid="{00000000-0005-0000-0000-0000E5750000}"/>
    <cellStyle name="20% - Accent1 2 4" xfId="30196" xr:uid="{00000000-0005-0000-0000-0000E6750000}"/>
    <cellStyle name="20% - Accent1 2 4 2" xfId="30197" xr:uid="{00000000-0005-0000-0000-0000E7750000}"/>
    <cellStyle name="20% - Accent1 2 5" xfId="30198" xr:uid="{00000000-0005-0000-0000-0000E8750000}"/>
    <cellStyle name="20% - Accent1 2 6" xfId="30199" xr:uid="{00000000-0005-0000-0000-0000E9750000}"/>
    <cellStyle name="20% - Accent1 2 7" xfId="30200" xr:uid="{00000000-0005-0000-0000-0000EA750000}"/>
    <cellStyle name="20% - Accent1 2 8" xfId="30201" xr:uid="{00000000-0005-0000-0000-0000EB750000}"/>
    <cellStyle name="20% - Accent1 2 9" xfId="30202" xr:uid="{00000000-0005-0000-0000-0000EC750000}"/>
    <cellStyle name="20% - Accent1 2_Labour" xfId="30203" xr:uid="{00000000-0005-0000-0000-0000ED750000}"/>
    <cellStyle name="20% - Accent1 20" xfId="30204" xr:uid="{00000000-0005-0000-0000-0000EE750000}"/>
    <cellStyle name="20% - Accent1 20 2" xfId="30205" xr:uid="{00000000-0005-0000-0000-0000EF750000}"/>
    <cellStyle name="20% - Accent1 21" xfId="30206" xr:uid="{00000000-0005-0000-0000-0000F0750000}"/>
    <cellStyle name="20% - Accent1 21 2" xfId="30207" xr:uid="{00000000-0005-0000-0000-0000F1750000}"/>
    <cellStyle name="20% - Accent1 22" xfId="30208" xr:uid="{00000000-0005-0000-0000-0000F2750000}"/>
    <cellStyle name="20% - Accent1 22 2" xfId="30209" xr:uid="{00000000-0005-0000-0000-0000F3750000}"/>
    <cellStyle name="20% - Accent1 23" xfId="30210" xr:uid="{00000000-0005-0000-0000-0000F4750000}"/>
    <cellStyle name="20% - Accent1 24" xfId="30211" xr:uid="{00000000-0005-0000-0000-0000F5750000}"/>
    <cellStyle name="20% - Accent1 25" xfId="30212" xr:uid="{00000000-0005-0000-0000-0000F6750000}"/>
    <cellStyle name="20% - Accent1 26" xfId="30213" xr:uid="{00000000-0005-0000-0000-0000F7750000}"/>
    <cellStyle name="20% - Accent1 27" xfId="30214" xr:uid="{00000000-0005-0000-0000-0000F8750000}"/>
    <cellStyle name="20% - Accent1 28" xfId="30215" xr:uid="{00000000-0005-0000-0000-0000F9750000}"/>
    <cellStyle name="20% - Accent1 29" xfId="30216" xr:uid="{00000000-0005-0000-0000-0000FA750000}"/>
    <cellStyle name="20% - Accent1 3" xfId="30217" xr:uid="{00000000-0005-0000-0000-0000FB750000}"/>
    <cellStyle name="20% - Accent1 3 2" xfId="30218" xr:uid="{00000000-0005-0000-0000-0000FC750000}"/>
    <cellStyle name="20% - Accent1 3 2 2" xfId="30219" xr:uid="{00000000-0005-0000-0000-0000FD750000}"/>
    <cellStyle name="20% - Accent1 3 2 2 2" xfId="30220" xr:uid="{00000000-0005-0000-0000-0000FE750000}"/>
    <cellStyle name="20% - Accent1 3 2 2 3" xfId="30221" xr:uid="{00000000-0005-0000-0000-0000FF750000}"/>
    <cellStyle name="20% - Accent1 3 2 2 4" xfId="30222" xr:uid="{00000000-0005-0000-0000-000000760000}"/>
    <cellStyle name="20% - Accent1 3 2 3" xfId="30223" xr:uid="{00000000-0005-0000-0000-000001760000}"/>
    <cellStyle name="20% - Accent1 3 2 3 2" xfId="30224" xr:uid="{00000000-0005-0000-0000-000002760000}"/>
    <cellStyle name="20% - Accent1 3 2 4" xfId="30225" xr:uid="{00000000-0005-0000-0000-000003760000}"/>
    <cellStyle name="20% - Accent1 3 2 5" xfId="30226" xr:uid="{00000000-0005-0000-0000-000004760000}"/>
    <cellStyle name="20% - Accent1 3 3" xfId="30227" xr:uid="{00000000-0005-0000-0000-000005760000}"/>
    <cellStyle name="20% - Accent1 3 4" xfId="30228" xr:uid="{00000000-0005-0000-0000-000006760000}"/>
    <cellStyle name="20% - Accent1 3 5" xfId="30229" xr:uid="{00000000-0005-0000-0000-000007760000}"/>
    <cellStyle name="20% - Accent1 3 6" xfId="30230" xr:uid="{00000000-0005-0000-0000-000008760000}"/>
    <cellStyle name="20% - Accent1 3_Labour" xfId="30231" xr:uid="{00000000-0005-0000-0000-000009760000}"/>
    <cellStyle name="20% - Accent1 30" xfId="30232" xr:uid="{00000000-0005-0000-0000-00000A760000}"/>
    <cellStyle name="20% - Accent1 31" xfId="30233" xr:uid="{00000000-0005-0000-0000-00000B760000}"/>
    <cellStyle name="20% - Accent1 32" xfId="30234" xr:uid="{00000000-0005-0000-0000-00000C760000}"/>
    <cellStyle name="20% - Accent1 33" xfId="30235" xr:uid="{00000000-0005-0000-0000-00000D760000}"/>
    <cellStyle name="20% - Accent1 34" xfId="30236" xr:uid="{00000000-0005-0000-0000-00000E760000}"/>
    <cellStyle name="20% - Accent1 4" xfId="30237" xr:uid="{00000000-0005-0000-0000-00000F760000}"/>
    <cellStyle name="20% - Accent1 4 2" xfId="30238" xr:uid="{00000000-0005-0000-0000-000010760000}"/>
    <cellStyle name="20% - Accent1 4 2 2" xfId="30239" xr:uid="{00000000-0005-0000-0000-000011760000}"/>
    <cellStyle name="20% - Accent1 4 2 2 2" xfId="30240" xr:uid="{00000000-0005-0000-0000-000012760000}"/>
    <cellStyle name="20% - Accent1 4 2 3" xfId="30241" xr:uid="{00000000-0005-0000-0000-000013760000}"/>
    <cellStyle name="20% - Accent1 4 3" xfId="30242" xr:uid="{00000000-0005-0000-0000-000014760000}"/>
    <cellStyle name="20% - Accent1 4 4" xfId="30243" xr:uid="{00000000-0005-0000-0000-000015760000}"/>
    <cellStyle name="20% - Accent1 4 5" xfId="30244" xr:uid="{00000000-0005-0000-0000-000016760000}"/>
    <cellStyle name="20% - Accent1 4 6" xfId="30245" xr:uid="{00000000-0005-0000-0000-000017760000}"/>
    <cellStyle name="20% - Accent1 4_Labour" xfId="30246" xr:uid="{00000000-0005-0000-0000-000018760000}"/>
    <cellStyle name="20% - Accent1 5" xfId="30247" xr:uid="{00000000-0005-0000-0000-000019760000}"/>
    <cellStyle name="20% - Accent1 5 2" xfId="30248" xr:uid="{00000000-0005-0000-0000-00001A760000}"/>
    <cellStyle name="20% - Accent1 5 2 2" xfId="30249" xr:uid="{00000000-0005-0000-0000-00001B760000}"/>
    <cellStyle name="20% - Accent1 5 2 2 2" xfId="30250" xr:uid="{00000000-0005-0000-0000-00001C760000}"/>
    <cellStyle name="20% - Accent1 5 2 3" xfId="30251" xr:uid="{00000000-0005-0000-0000-00001D760000}"/>
    <cellStyle name="20% - Accent1 5 3" xfId="30252" xr:uid="{00000000-0005-0000-0000-00001E760000}"/>
    <cellStyle name="20% - Accent1 5 3 2" xfId="30253" xr:uid="{00000000-0005-0000-0000-00001F760000}"/>
    <cellStyle name="20% - Accent1 5 4" xfId="30254" xr:uid="{00000000-0005-0000-0000-000020760000}"/>
    <cellStyle name="20% - Accent1 5 5" xfId="30255" xr:uid="{00000000-0005-0000-0000-000021760000}"/>
    <cellStyle name="20% - Accent1 5_Proj" xfId="30256" xr:uid="{00000000-0005-0000-0000-000022760000}"/>
    <cellStyle name="20% - Accent1 6" xfId="30257" xr:uid="{00000000-0005-0000-0000-000023760000}"/>
    <cellStyle name="20% - Accent1 6 2" xfId="30258" xr:uid="{00000000-0005-0000-0000-000024760000}"/>
    <cellStyle name="20% - Accent1 6 2 2" xfId="30259" xr:uid="{00000000-0005-0000-0000-000025760000}"/>
    <cellStyle name="20% - Accent1 6 2 2 2" xfId="30260" xr:uid="{00000000-0005-0000-0000-000026760000}"/>
    <cellStyle name="20% - Accent1 6 2 3" xfId="30261" xr:uid="{00000000-0005-0000-0000-000027760000}"/>
    <cellStyle name="20% - Accent1 6 3" xfId="30262" xr:uid="{00000000-0005-0000-0000-000028760000}"/>
    <cellStyle name="20% - Accent1 6 3 2" xfId="30263" xr:uid="{00000000-0005-0000-0000-000029760000}"/>
    <cellStyle name="20% - Accent1 6 4" xfId="30264" xr:uid="{00000000-0005-0000-0000-00002A760000}"/>
    <cellStyle name="20% - Accent1 6 5" xfId="30265" xr:uid="{00000000-0005-0000-0000-00002B760000}"/>
    <cellStyle name="20% - Accent1 7" xfId="30266" xr:uid="{00000000-0005-0000-0000-00002C760000}"/>
    <cellStyle name="20% - Accent1 7 2" xfId="30267" xr:uid="{00000000-0005-0000-0000-00002D760000}"/>
    <cellStyle name="20% - Accent1 7 3" xfId="30268" xr:uid="{00000000-0005-0000-0000-00002E760000}"/>
    <cellStyle name="20% - Accent1 7 4" xfId="30269" xr:uid="{00000000-0005-0000-0000-00002F760000}"/>
    <cellStyle name="20% - Accent1 7 5" xfId="30270" xr:uid="{00000000-0005-0000-0000-000030760000}"/>
    <cellStyle name="20% - Accent1 8" xfId="30271" xr:uid="{00000000-0005-0000-0000-000031760000}"/>
    <cellStyle name="20% - Accent1 8 2" xfId="30272" xr:uid="{00000000-0005-0000-0000-000032760000}"/>
    <cellStyle name="20% - Accent1 8 3" xfId="30273" xr:uid="{00000000-0005-0000-0000-000033760000}"/>
    <cellStyle name="20% - Accent1 8 4" xfId="30274" xr:uid="{00000000-0005-0000-0000-000034760000}"/>
    <cellStyle name="20% - Accent1 8 5" xfId="30275" xr:uid="{00000000-0005-0000-0000-000035760000}"/>
    <cellStyle name="20% - Accent1 9" xfId="30276" xr:uid="{00000000-0005-0000-0000-000036760000}"/>
    <cellStyle name="20% - Accent1 9 2" xfId="30277" xr:uid="{00000000-0005-0000-0000-000037760000}"/>
    <cellStyle name="20% - Accent1 9 3" xfId="30278" xr:uid="{00000000-0005-0000-0000-000038760000}"/>
    <cellStyle name="20% - Accent1 9 4" xfId="30279" xr:uid="{00000000-0005-0000-0000-000039760000}"/>
    <cellStyle name="20% - Accent1 9 5" xfId="30280" xr:uid="{00000000-0005-0000-0000-00003A760000}"/>
    <cellStyle name="20% - Accent2 10" xfId="30281" xr:uid="{00000000-0005-0000-0000-00003B760000}"/>
    <cellStyle name="20% - Accent2 10 2" xfId="30282" xr:uid="{00000000-0005-0000-0000-00003C760000}"/>
    <cellStyle name="20% - Accent2 10 3" xfId="30283" xr:uid="{00000000-0005-0000-0000-00003D760000}"/>
    <cellStyle name="20% - Accent2 10 4" xfId="30284" xr:uid="{00000000-0005-0000-0000-00003E760000}"/>
    <cellStyle name="20% - Accent2 10 5" xfId="30285" xr:uid="{00000000-0005-0000-0000-00003F760000}"/>
    <cellStyle name="20% - Accent2 11" xfId="30286" xr:uid="{00000000-0005-0000-0000-000040760000}"/>
    <cellStyle name="20% - Accent2 11 2" xfId="30287" xr:uid="{00000000-0005-0000-0000-000041760000}"/>
    <cellStyle name="20% - Accent2 12" xfId="30288" xr:uid="{00000000-0005-0000-0000-000042760000}"/>
    <cellStyle name="20% - Accent2 12 2" xfId="30289" xr:uid="{00000000-0005-0000-0000-000043760000}"/>
    <cellStyle name="20% - Accent2 13" xfId="30290" xr:uid="{00000000-0005-0000-0000-000044760000}"/>
    <cellStyle name="20% - Accent2 13 2" xfId="30291" xr:uid="{00000000-0005-0000-0000-000045760000}"/>
    <cellStyle name="20% - Accent2 14" xfId="30292" xr:uid="{00000000-0005-0000-0000-000046760000}"/>
    <cellStyle name="20% - Accent2 14 2" xfId="30293" xr:uid="{00000000-0005-0000-0000-000047760000}"/>
    <cellStyle name="20% - Accent2 15" xfId="30294" xr:uid="{00000000-0005-0000-0000-000048760000}"/>
    <cellStyle name="20% - Accent2 15 2" xfId="30295" xr:uid="{00000000-0005-0000-0000-000049760000}"/>
    <cellStyle name="20% - Accent2 16" xfId="30296" xr:uid="{00000000-0005-0000-0000-00004A760000}"/>
    <cellStyle name="20% - Accent2 16 2" xfId="30297" xr:uid="{00000000-0005-0000-0000-00004B760000}"/>
    <cellStyle name="20% - Accent2 17" xfId="30298" xr:uid="{00000000-0005-0000-0000-00004C760000}"/>
    <cellStyle name="20% - Accent2 17 2" xfId="30299" xr:uid="{00000000-0005-0000-0000-00004D760000}"/>
    <cellStyle name="20% - Accent2 18" xfId="30300" xr:uid="{00000000-0005-0000-0000-00004E760000}"/>
    <cellStyle name="20% - Accent2 18 2" xfId="30301" xr:uid="{00000000-0005-0000-0000-00004F760000}"/>
    <cellStyle name="20% - Accent2 19" xfId="30302" xr:uid="{00000000-0005-0000-0000-000050760000}"/>
    <cellStyle name="20% - Accent2 19 2" xfId="30303" xr:uid="{00000000-0005-0000-0000-000051760000}"/>
    <cellStyle name="20% - Accent2 2" xfId="30304" xr:uid="{00000000-0005-0000-0000-000052760000}"/>
    <cellStyle name="20% - Accent2 2 10" xfId="30305" xr:uid="{00000000-0005-0000-0000-000053760000}"/>
    <cellStyle name="20% - Accent2 2 11" xfId="30306" xr:uid="{00000000-0005-0000-0000-000054760000}"/>
    <cellStyle name="20% - Accent2 2 12" xfId="30307" xr:uid="{00000000-0005-0000-0000-000055760000}"/>
    <cellStyle name="20% - Accent2 2 13" xfId="30308" xr:uid="{00000000-0005-0000-0000-000056760000}"/>
    <cellStyle name="20% - Accent2 2 14" xfId="30309" xr:uid="{00000000-0005-0000-0000-000057760000}"/>
    <cellStyle name="20% - Accent2 2 15" xfId="30310" xr:uid="{00000000-0005-0000-0000-000058760000}"/>
    <cellStyle name="20% - Accent2 2 16" xfId="30311" xr:uid="{00000000-0005-0000-0000-000059760000}"/>
    <cellStyle name="20% - Accent2 2 16 2" xfId="30312" xr:uid="{00000000-0005-0000-0000-00005A760000}"/>
    <cellStyle name="20% - Accent2 2 16 2 2" xfId="30313" xr:uid="{00000000-0005-0000-0000-00005B760000}"/>
    <cellStyle name="20% - Accent2 2 16 3" xfId="30314" xr:uid="{00000000-0005-0000-0000-00005C760000}"/>
    <cellStyle name="20% - Accent2 2 17" xfId="30315" xr:uid="{00000000-0005-0000-0000-00005D760000}"/>
    <cellStyle name="20% - Accent2 2 17 2" xfId="30316" xr:uid="{00000000-0005-0000-0000-00005E760000}"/>
    <cellStyle name="20% - Accent2 2 18" xfId="30317" xr:uid="{00000000-0005-0000-0000-00005F760000}"/>
    <cellStyle name="20% - Accent2 2 19" xfId="30318" xr:uid="{00000000-0005-0000-0000-000060760000}"/>
    <cellStyle name="20% - Accent2 2 2" xfId="30319" xr:uid="{00000000-0005-0000-0000-000061760000}"/>
    <cellStyle name="20% - Accent2 2 2 2" xfId="30320" xr:uid="{00000000-0005-0000-0000-000062760000}"/>
    <cellStyle name="20% - Accent2 2 2 2 2" xfId="30321" xr:uid="{00000000-0005-0000-0000-000063760000}"/>
    <cellStyle name="20% - Accent2 2 2 2 3" xfId="30322" xr:uid="{00000000-0005-0000-0000-000064760000}"/>
    <cellStyle name="20% - Accent2 2 2 2 4" xfId="30323" xr:uid="{00000000-0005-0000-0000-000065760000}"/>
    <cellStyle name="20% - Accent2 2 2 3" xfId="30324" xr:uid="{00000000-0005-0000-0000-000066760000}"/>
    <cellStyle name="20% - Accent2 2 2 4" xfId="30325" xr:uid="{00000000-0005-0000-0000-000067760000}"/>
    <cellStyle name="20% - Accent2 2 2 5" xfId="30326" xr:uid="{00000000-0005-0000-0000-000068760000}"/>
    <cellStyle name="20% - Accent2 2 2 6" xfId="30327" xr:uid="{00000000-0005-0000-0000-000069760000}"/>
    <cellStyle name="20% - Accent2 2 2_Proj" xfId="30328" xr:uid="{00000000-0005-0000-0000-00006A760000}"/>
    <cellStyle name="20% - Accent2 2 3" xfId="30329" xr:uid="{00000000-0005-0000-0000-00006B760000}"/>
    <cellStyle name="20% - Accent2 2 3 2" xfId="30330" xr:uid="{00000000-0005-0000-0000-00006C760000}"/>
    <cellStyle name="20% - Accent2 2 3 2 2" xfId="30331" xr:uid="{00000000-0005-0000-0000-00006D760000}"/>
    <cellStyle name="20% - Accent2 2 4" xfId="30332" xr:uid="{00000000-0005-0000-0000-00006E760000}"/>
    <cellStyle name="20% - Accent2 2 4 2" xfId="30333" xr:uid="{00000000-0005-0000-0000-00006F760000}"/>
    <cellStyle name="20% - Accent2 2 5" xfId="30334" xr:uid="{00000000-0005-0000-0000-000070760000}"/>
    <cellStyle name="20% - Accent2 2 6" xfId="30335" xr:uid="{00000000-0005-0000-0000-000071760000}"/>
    <cellStyle name="20% - Accent2 2 7" xfId="30336" xr:uid="{00000000-0005-0000-0000-000072760000}"/>
    <cellStyle name="20% - Accent2 2 8" xfId="30337" xr:uid="{00000000-0005-0000-0000-000073760000}"/>
    <cellStyle name="20% - Accent2 2 9" xfId="30338" xr:uid="{00000000-0005-0000-0000-000074760000}"/>
    <cellStyle name="20% - Accent2 2_Labour" xfId="30339" xr:uid="{00000000-0005-0000-0000-000075760000}"/>
    <cellStyle name="20% - Accent2 20" xfId="30340" xr:uid="{00000000-0005-0000-0000-000076760000}"/>
    <cellStyle name="20% - Accent2 20 2" xfId="30341" xr:uid="{00000000-0005-0000-0000-000077760000}"/>
    <cellStyle name="20% - Accent2 21" xfId="30342" xr:uid="{00000000-0005-0000-0000-000078760000}"/>
    <cellStyle name="20% - Accent2 21 2" xfId="30343" xr:uid="{00000000-0005-0000-0000-000079760000}"/>
    <cellStyle name="20% - Accent2 22" xfId="30344" xr:uid="{00000000-0005-0000-0000-00007A760000}"/>
    <cellStyle name="20% - Accent2 22 2" xfId="30345" xr:uid="{00000000-0005-0000-0000-00007B760000}"/>
    <cellStyle name="20% - Accent2 23" xfId="30346" xr:uid="{00000000-0005-0000-0000-00007C760000}"/>
    <cellStyle name="20% - Accent2 24" xfId="30347" xr:uid="{00000000-0005-0000-0000-00007D760000}"/>
    <cellStyle name="20% - Accent2 25" xfId="30348" xr:uid="{00000000-0005-0000-0000-00007E760000}"/>
    <cellStyle name="20% - Accent2 26" xfId="30349" xr:uid="{00000000-0005-0000-0000-00007F760000}"/>
    <cellStyle name="20% - Accent2 27" xfId="30350" xr:uid="{00000000-0005-0000-0000-000080760000}"/>
    <cellStyle name="20% - Accent2 28" xfId="30351" xr:uid="{00000000-0005-0000-0000-000081760000}"/>
    <cellStyle name="20% - Accent2 29" xfId="30352" xr:uid="{00000000-0005-0000-0000-000082760000}"/>
    <cellStyle name="20% - Accent2 3" xfId="30353" xr:uid="{00000000-0005-0000-0000-000083760000}"/>
    <cellStyle name="20% - Accent2 3 2" xfId="30354" xr:uid="{00000000-0005-0000-0000-000084760000}"/>
    <cellStyle name="20% - Accent2 3 2 2" xfId="30355" xr:uid="{00000000-0005-0000-0000-000085760000}"/>
    <cellStyle name="20% - Accent2 3 2 2 2" xfId="30356" xr:uid="{00000000-0005-0000-0000-000086760000}"/>
    <cellStyle name="20% - Accent2 3 2 2 3" xfId="30357" xr:uid="{00000000-0005-0000-0000-000087760000}"/>
    <cellStyle name="20% - Accent2 3 2 2 4" xfId="30358" xr:uid="{00000000-0005-0000-0000-000088760000}"/>
    <cellStyle name="20% - Accent2 3 2 3" xfId="30359" xr:uid="{00000000-0005-0000-0000-000089760000}"/>
    <cellStyle name="20% - Accent2 3 2 3 2" xfId="30360" xr:uid="{00000000-0005-0000-0000-00008A760000}"/>
    <cellStyle name="20% - Accent2 3 2 4" xfId="30361" xr:uid="{00000000-0005-0000-0000-00008B760000}"/>
    <cellStyle name="20% - Accent2 3 2 5" xfId="30362" xr:uid="{00000000-0005-0000-0000-00008C760000}"/>
    <cellStyle name="20% - Accent2 3 3" xfId="30363" xr:uid="{00000000-0005-0000-0000-00008D760000}"/>
    <cellStyle name="20% - Accent2 3 4" xfId="30364" xr:uid="{00000000-0005-0000-0000-00008E760000}"/>
    <cellStyle name="20% - Accent2 3 5" xfId="30365" xr:uid="{00000000-0005-0000-0000-00008F760000}"/>
    <cellStyle name="20% - Accent2 3 6" xfId="30366" xr:uid="{00000000-0005-0000-0000-000090760000}"/>
    <cellStyle name="20% - Accent2 3_Labour" xfId="30367" xr:uid="{00000000-0005-0000-0000-000091760000}"/>
    <cellStyle name="20% - Accent2 30" xfId="30368" xr:uid="{00000000-0005-0000-0000-000092760000}"/>
    <cellStyle name="20% - Accent2 31" xfId="30369" xr:uid="{00000000-0005-0000-0000-000093760000}"/>
    <cellStyle name="20% - Accent2 32" xfId="30370" xr:uid="{00000000-0005-0000-0000-000094760000}"/>
    <cellStyle name="20% - Accent2 33" xfId="30371" xr:uid="{00000000-0005-0000-0000-000095760000}"/>
    <cellStyle name="20% - Accent2 34" xfId="30372" xr:uid="{00000000-0005-0000-0000-000096760000}"/>
    <cellStyle name="20% - Accent2 4" xfId="30373" xr:uid="{00000000-0005-0000-0000-000097760000}"/>
    <cellStyle name="20% - Accent2 4 2" xfId="30374" xr:uid="{00000000-0005-0000-0000-000098760000}"/>
    <cellStyle name="20% - Accent2 4 2 2" xfId="30375" xr:uid="{00000000-0005-0000-0000-000099760000}"/>
    <cellStyle name="20% - Accent2 4 2 2 2" xfId="30376" xr:uid="{00000000-0005-0000-0000-00009A760000}"/>
    <cellStyle name="20% - Accent2 4 2 3" xfId="30377" xr:uid="{00000000-0005-0000-0000-00009B760000}"/>
    <cellStyle name="20% - Accent2 4 3" xfId="30378" xr:uid="{00000000-0005-0000-0000-00009C760000}"/>
    <cellStyle name="20% - Accent2 4 4" xfId="30379" xr:uid="{00000000-0005-0000-0000-00009D760000}"/>
    <cellStyle name="20% - Accent2 4 5" xfId="30380" xr:uid="{00000000-0005-0000-0000-00009E760000}"/>
    <cellStyle name="20% - Accent2 4 6" xfId="30381" xr:uid="{00000000-0005-0000-0000-00009F760000}"/>
    <cellStyle name="20% - Accent2 4_Labour" xfId="30382" xr:uid="{00000000-0005-0000-0000-0000A0760000}"/>
    <cellStyle name="20% - Accent2 5" xfId="30383" xr:uid="{00000000-0005-0000-0000-0000A1760000}"/>
    <cellStyle name="20% - Accent2 5 2" xfId="30384" xr:uid="{00000000-0005-0000-0000-0000A2760000}"/>
    <cellStyle name="20% - Accent2 5 2 2" xfId="30385" xr:uid="{00000000-0005-0000-0000-0000A3760000}"/>
    <cellStyle name="20% - Accent2 5 2 2 2" xfId="30386" xr:uid="{00000000-0005-0000-0000-0000A4760000}"/>
    <cellStyle name="20% - Accent2 5 2 3" xfId="30387" xr:uid="{00000000-0005-0000-0000-0000A5760000}"/>
    <cellStyle name="20% - Accent2 5 3" xfId="30388" xr:uid="{00000000-0005-0000-0000-0000A6760000}"/>
    <cellStyle name="20% - Accent2 5 3 2" xfId="30389" xr:uid="{00000000-0005-0000-0000-0000A7760000}"/>
    <cellStyle name="20% - Accent2 5 4" xfId="30390" xr:uid="{00000000-0005-0000-0000-0000A8760000}"/>
    <cellStyle name="20% - Accent2 5 5" xfId="30391" xr:uid="{00000000-0005-0000-0000-0000A9760000}"/>
    <cellStyle name="20% - Accent2 5_Proj" xfId="30392" xr:uid="{00000000-0005-0000-0000-0000AA760000}"/>
    <cellStyle name="20% - Accent2 6" xfId="30393" xr:uid="{00000000-0005-0000-0000-0000AB760000}"/>
    <cellStyle name="20% - Accent2 6 2" xfId="30394" xr:uid="{00000000-0005-0000-0000-0000AC760000}"/>
    <cellStyle name="20% - Accent2 6 2 2" xfId="30395" xr:uid="{00000000-0005-0000-0000-0000AD760000}"/>
    <cellStyle name="20% - Accent2 6 2 2 2" xfId="30396" xr:uid="{00000000-0005-0000-0000-0000AE760000}"/>
    <cellStyle name="20% - Accent2 6 2 3" xfId="30397" xr:uid="{00000000-0005-0000-0000-0000AF760000}"/>
    <cellStyle name="20% - Accent2 6 3" xfId="30398" xr:uid="{00000000-0005-0000-0000-0000B0760000}"/>
    <cellStyle name="20% - Accent2 6 3 2" xfId="30399" xr:uid="{00000000-0005-0000-0000-0000B1760000}"/>
    <cellStyle name="20% - Accent2 6 4" xfId="30400" xr:uid="{00000000-0005-0000-0000-0000B2760000}"/>
    <cellStyle name="20% - Accent2 6 5" xfId="30401" xr:uid="{00000000-0005-0000-0000-0000B3760000}"/>
    <cellStyle name="20% - Accent2 7" xfId="30402" xr:uid="{00000000-0005-0000-0000-0000B4760000}"/>
    <cellStyle name="20% - Accent2 7 2" xfId="30403" xr:uid="{00000000-0005-0000-0000-0000B5760000}"/>
    <cellStyle name="20% - Accent2 7 3" xfId="30404" xr:uid="{00000000-0005-0000-0000-0000B6760000}"/>
    <cellStyle name="20% - Accent2 7 4" xfId="30405" xr:uid="{00000000-0005-0000-0000-0000B7760000}"/>
    <cellStyle name="20% - Accent2 7 5" xfId="30406" xr:uid="{00000000-0005-0000-0000-0000B8760000}"/>
    <cellStyle name="20% - Accent2 8" xfId="30407" xr:uid="{00000000-0005-0000-0000-0000B9760000}"/>
    <cellStyle name="20% - Accent2 8 2" xfId="30408" xr:uid="{00000000-0005-0000-0000-0000BA760000}"/>
    <cellStyle name="20% - Accent2 8 3" xfId="30409" xr:uid="{00000000-0005-0000-0000-0000BB760000}"/>
    <cellStyle name="20% - Accent2 8 4" xfId="30410" xr:uid="{00000000-0005-0000-0000-0000BC760000}"/>
    <cellStyle name="20% - Accent2 8 5" xfId="30411" xr:uid="{00000000-0005-0000-0000-0000BD760000}"/>
    <cellStyle name="20% - Accent2 9" xfId="30412" xr:uid="{00000000-0005-0000-0000-0000BE760000}"/>
    <cellStyle name="20% - Accent2 9 2" xfId="30413" xr:uid="{00000000-0005-0000-0000-0000BF760000}"/>
    <cellStyle name="20% - Accent2 9 3" xfId="30414" xr:uid="{00000000-0005-0000-0000-0000C0760000}"/>
    <cellStyle name="20% - Accent2 9 4" xfId="30415" xr:uid="{00000000-0005-0000-0000-0000C1760000}"/>
    <cellStyle name="20% - Accent2 9 5" xfId="30416" xr:uid="{00000000-0005-0000-0000-0000C2760000}"/>
    <cellStyle name="20% - Accent3 10" xfId="30417" xr:uid="{00000000-0005-0000-0000-0000C3760000}"/>
    <cellStyle name="20% - Accent3 10 2" xfId="30418" xr:uid="{00000000-0005-0000-0000-0000C4760000}"/>
    <cellStyle name="20% - Accent3 10 3" xfId="30419" xr:uid="{00000000-0005-0000-0000-0000C5760000}"/>
    <cellStyle name="20% - Accent3 10 4" xfId="30420" xr:uid="{00000000-0005-0000-0000-0000C6760000}"/>
    <cellStyle name="20% - Accent3 10 5" xfId="30421" xr:uid="{00000000-0005-0000-0000-0000C7760000}"/>
    <cellStyle name="20% - Accent3 11" xfId="30422" xr:uid="{00000000-0005-0000-0000-0000C8760000}"/>
    <cellStyle name="20% - Accent3 11 2" xfId="30423" xr:uid="{00000000-0005-0000-0000-0000C9760000}"/>
    <cellStyle name="20% - Accent3 12" xfId="30424" xr:uid="{00000000-0005-0000-0000-0000CA760000}"/>
    <cellStyle name="20% - Accent3 12 2" xfId="30425" xr:uid="{00000000-0005-0000-0000-0000CB760000}"/>
    <cellStyle name="20% - Accent3 13" xfId="30426" xr:uid="{00000000-0005-0000-0000-0000CC760000}"/>
    <cellStyle name="20% - Accent3 13 2" xfId="30427" xr:uid="{00000000-0005-0000-0000-0000CD760000}"/>
    <cellStyle name="20% - Accent3 14" xfId="30428" xr:uid="{00000000-0005-0000-0000-0000CE760000}"/>
    <cellStyle name="20% - Accent3 14 2" xfId="30429" xr:uid="{00000000-0005-0000-0000-0000CF760000}"/>
    <cellStyle name="20% - Accent3 15" xfId="30430" xr:uid="{00000000-0005-0000-0000-0000D0760000}"/>
    <cellStyle name="20% - Accent3 15 2" xfId="30431" xr:uid="{00000000-0005-0000-0000-0000D1760000}"/>
    <cellStyle name="20% - Accent3 16" xfId="30432" xr:uid="{00000000-0005-0000-0000-0000D2760000}"/>
    <cellStyle name="20% - Accent3 16 2" xfId="30433" xr:uid="{00000000-0005-0000-0000-0000D3760000}"/>
    <cellStyle name="20% - Accent3 17" xfId="30434" xr:uid="{00000000-0005-0000-0000-0000D4760000}"/>
    <cellStyle name="20% - Accent3 17 2" xfId="30435" xr:uid="{00000000-0005-0000-0000-0000D5760000}"/>
    <cellStyle name="20% - Accent3 18" xfId="30436" xr:uid="{00000000-0005-0000-0000-0000D6760000}"/>
    <cellStyle name="20% - Accent3 18 2" xfId="30437" xr:uid="{00000000-0005-0000-0000-0000D7760000}"/>
    <cellStyle name="20% - Accent3 19" xfId="30438" xr:uid="{00000000-0005-0000-0000-0000D8760000}"/>
    <cellStyle name="20% - Accent3 19 2" xfId="30439" xr:uid="{00000000-0005-0000-0000-0000D9760000}"/>
    <cellStyle name="20% - Accent3 2" xfId="30440" xr:uid="{00000000-0005-0000-0000-0000DA760000}"/>
    <cellStyle name="20% - Accent3 2 10" xfId="30441" xr:uid="{00000000-0005-0000-0000-0000DB760000}"/>
    <cellStyle name="20% - Accent3 2 11" xfId="30442" xr:uid="{00000000-0005-0000-0000-0000DC760000}"/>
    <cellStyle name="20% - Accent3 2 12" xfId="30443" xr:uid="{00000000-0005-0000-0000-0000DD760000}"/>
    <cellStyle name="20% - Accent3 2 13" xfId="30444" xr:uid="{00000000-0005-0000-0000-0000DE760000}"/>
    <cellStyle name="20% - Accent3 2 14" xfId="30445" xr:uid="{00000000-0005-0000-0000-0000DF760000}"/>
    <cellStyle name="20% - Accent3 2 15" xfId="30446" xr:uid="{00000000-0005-0000-0000-0000E0760000}"/>
    <cellStyle name="20% - Accent3 2 16" xfId="30447" xr:uid="{00000000-0005-0000-0000-0000E1760000}"/>
    <cellStyle name="20% - Accent3 2 16 2" xfId="30448" xr:uid="{00000000-0005-0000-0000-0000E2760000}"/>
    <cellStyle name="20% - Accent3 2 16 2 2" xfId="30449" xr:uid="{00000000-0005-0000-0000-0000E3760000}"/>
    <cellStyle name="20% - Accent3 2 16 3" xfId="30450" xr:uid="{00000000-0005-0000-0000-0000E4760000}"/>
    <cellStyle name="20% - Accent3 2 17" xfId="30451" xr:uid="{00000000-0005-0000-0000-0000E5760000}"/>
    <cellStyle name="20% - Accent3 2 17 2" xfId="30452" xr:uid="{00000000-0005-0000-0000-0000E6760000}"/>
    <cellStyle name="20% - Accent3 2 18" xfId="30453" xr:uid="{00000000-0005-0000-0000-0000E7760000}"/>
    <cellStyle name="20% - Accent3 2 19" xfId="30454" xr:uid="{00000000-0005-0000-0000-0000E8760000}"/>
    <cellStyle name="20% - Accent3 2 2" xfId="30455" xr:uid="{00000000-0005-0000-0000-0000E9760000}"/>
    <cellStyle name="20% - Accent3 2 2 2" xfId="30456" xr:uid="{00000000-0005-0000-0000-0000EA760000}"/>
    <cellStyle name="20% - Accent3 2 2 2 2" xfId="30457" xr:uid="{00000000-0005-0000-0000-0000EB760000}"/>
    <cellStyle name="20% - Accent3 2 2 2 3" xfId="30458" xr:uid="{00000000-0005-0000-0000-0000EC760000}"/>
    <cellStyle name="20% - Accent3 2 2 2 4" xfId="30459" xr:uid="{00000000-0005-0000-0000-0000ED760000}"/>
    <cellStyle name="20% - Accent3 2 2 3" xfId="30460" xr:uid="{00000000-0005-0000-0000-0000EE760000}"/>
    <cellStyle name="20% - Accent3 2 2 4" xfId="30461" xr:uid="{00000000-0005-0000-0000-0000EF760000}"/>
    <cellStyle name="20% - Accent3 2 2 5" xfId="30462" xr:uid="{00000000-0005-0000-0000-0000F0760000}"/>
    <cellStyle name="20% - Accent3 2 2 6" xfId="30463" xr:uid="{00000000-0005-0000-0000-0000F1760000}"/>
    <cellStyle name="20% - Accent3 2 2_Proj" xfId="30464" xr:uid="{00000000-0005-0000-0000-0000F2760000}"/>
    <cellStyle name="20% - Accent3 2 3" xfId="30465" xr:uid="{00000000-0005-0000-0000-0000F3760000}"/>
    <cellStyle name="20% - Accent3 2 3 2" xfId="30466" xr:uid="{00000000-0005-0000-0000-0000F4760000}"/>
    <cellStyle name="20% - Accent3 2 3 2 2" xfId="30467" xr:uid="{00000000-0005-0000-0000-0000F5760000}"/>
    <cellStyle name="20% - Accent3 2 4" xfId="30468" xr:uid="{00000000-0005-0000-0000-0000F6760000}"/>
    <cellStyle name="20% - Accent3 2 4 2" xfId="30469" xr:uid="{00000000-0005-0000-0000-0000F7760000}"/>
    <cellStyle name="20% - Accent3 2 5" xfId="30470" xr:uid="{00000000-0005-0000-0000-0000F8760000}"/>
    <cellStyle name="20% - Accent3 2 6" xfId="30471" xr:uid="{00000000-0005-0000-0000-0000F9760000}"/>
    <cellStyle name="20% - Accent3 2 7" xfId="30472" xr:uid="{00000000-0005-0000-0000-0000FA760000}"/>
    <cellStyle name="20% - Accent3 2 8" xfId="30473" xr:uid="{00000000-0005-0000-0000-0000FB760000}"/>
    <cellStyle name="20% - Accent3 2 9" xfId="30474" xr:uid="{00000000-0005-0000-0000-0000FC760000}"/>
    <cellStyle name="20% - Accent3 2_Labour" xfId="30475" xr:uid="{00000000-0005-0000-0000-0000FD760000}"/>
    <cellStyle name="20% - Accent3 20" xfId="30476" xr:uid="{00000000-0005-0000-0000-0000FE760000}"/>
    <cellStyle name="20% - Accent3 20 2" xfId="30477" xr:uid="{00000000-0005-0000-0000-0000FF760000}"/>
    <cellStyle name="20% - Accent3 21" xfId="30478" xr:uid="{00000000-0005-0000-0000-000000770000}"/>
    <cellStyle name="20% - Accent3 21 2" xfId="30479" xr:uid="{00000000-0005-0000-0000-000001770000}"/>
    <cellStyle name="20% - Accent3 22" xfId="30480" xr:uid="{00000000-0005-0000-0000-000002770000}"/>
    <cellStyle name="20% - Accent3 22 2" xfId="30481" xr:uid="{00000000-0005-0000-0000-000003770000}"/>
    <cellStyle name="20% - Accent3 23" xfId="30482" xr:uid="{00000000-0005-0000-0000-000004770000}"/>
    <cellStyle name="20% - Accent3 24" xfId="30483" xr:uid="{00000000-0005-0000-0000-000005770000}"/>
    <cellStyle name="20% - Accent3 25" xfId="30484" xr:uid="{00000000-0005-0000-0000-000006770000}"/>
    <cellStyle name="20% - Accent3 26" xfId="30485" xr:uid="{00000000-0005-0000-0000-000007770000}"/>
    <cellStyle name="20% - Accent3 27" xfId="30486" xr:uid="{00000000-0005-0000-0000-000008770000}"/>
    <cellStyle name="20% - Accent3 28" xfId="30487" xr:uid="{00000000-0005-0000-0000-000009770000}"/>
    <cellStyle name="20% - Accent3 29" xfId="30488" xr:uid="{00000000-0005-0000-0000-00000A770000}"/>
    <cellStyle name="20% - Accent3 3" xfId="30489" xr:uid="{00000000-0005-0000-0000-00000B770000}"/>
    <cellStyle name="20% - Accent3 3 2" xfId="30490" xr:uid="{00000000-0005-0000-0000-00000C770000}"/>
    <cellStyle name="20% - Accent3 3 2 2" xfId="30491" xr:uid="{00000000-0005-0000-0000-00000D770000}"/>
    <cellStyle name="20% - Accent3 3 2 2 2" xfId="30492" xr:uid="{00000000-0005-0000-0000-00000E770000}"/>
    <cellStyle name="20% - Accent3 3 2 2 3" xfId="30493" xr:uid="{00000000-0005-0000-0000-00000F770000}"/>
    <cellStyle name="20% - Accent3 3 2 2 4" xfId="30494" xr:uid="{00000000-0005-0000-0000-000010770000}"/>
    <cellStyle name="20% - Accent3 3 2 3" xfId="30495" xr:uid="{00000000-0005-0000-0000-000011770000}"/>
    <cellStyle name="20% - Accent3 3 2 3 2" xfId="30496" xr:uid="{00000000-0005-0000-0000-000012770000}"/>
    <cellStyle name="20% - Accent3 3 2 4" xfId="30497" xr:uid="{00000000-0005-0000-0000-000013770000}"/>
    <cellStyle name="20% - Accent3 3 2 5" xfId="30498" xr:uid="{00000000-0005-0000-0000-000014770000}"/>
    <cellStyle name="20% - Accent3 3 3" xfId="30499" xr:uid="{00000000-0005-0000-0000-000015770000}"/>
    <cellStyle name="20% - Accent3 3 4" xfId="30500" xr:uid="{00000000-0005-0000-0000-000016770000}"/>
    <cellStyle name="20% - Accent3 3 5" xfId="30501" xr:uid="{00000000-0005-0000-0000-000017770000}"/>
    <cellStyle name="20% - Accent3 3 6" xfId="30502" xr:uid="{00000000-0005-0000-0000-000018770000}"/>
    <cellStyle name="20% - Accent3 3_Labour" xfId="30503" xr:uid="{00000000-0005-0000-0000-000019770000}"/>
    <cellStyle name="20% - Accent3 30" xfId="30504" xr:uid="{00000000-0005-0000-0000-00001A770000}"/>
    <cellStyle name="20% - Accent3 31" xfId="30505" xr:uid="{00000000-0005-0000-0000-00001B770000}"/>
    <cellStyle name="20% - Accent3 32" xfId="30506" xr:uid="{00000000-0005-0000-0000-00001C770000}"/>
    <cellStyle name="20% - Accent3 33" xfId="30507" xr:uid="{00000000-0005-0000-0000-00001D770000}"/>
    <cellStyle name="20% - Accent3 34" xfId="30508" xr:uid="{00000000-0005-0000-0000-00001E770000}"/>
    <cellStyle name="20% - Accent3 4" xfId="30509" xr:uid="{00000000-0005-0000-0000-00001F770000}"/>
    <cellStyle name="20% - Accent3 4 2" xfId="30510" xr:uid="{00000000-0005-0000-0000-000020770000}"/>
    <cellStyle name="20% - Accent3 4 2 2" xfId="30511" xr:uid="{00000000-0005-0000-0000-000021770000}"/>
    <cellStyle name="20% - Accent3 4 2 2 2" xfId="30512" xr:uid="{00000000-0005-0000-0000-000022770000}"/>
    <cellStyle name="20% - Accent3 4 2 3" xfId="30513" xr:uid="{00000000-0005-0000-0000-000023770000}"/>
    <cellStyle name="20% - Accent3 4 3" xfId="30514" xr:uid="{00000000-0005-0000-0000-000024770000}"/>
    <cellStyle name="20% - Accent3 4 4" xfId="30515" xr:uid="{00000000-0005-0000-0000-000025770000}"/>
    <cellStyle name="20% - Accent3 4 5" xfId="30516" xr:uid="{00000000-0005-0000-0000-000026770000}"/>
    <cellStyle name="20% - Accent3 4 6" xfId="30517" xr:uid="{00000000-0005-0000-0000-000027770000}"/>
    <cellStyle name="20% - Accent3 4_Labour" xfId="30518" xr:uid="{00000000-0005-0000-0000-000028770000}"/>
    <cellStyle name="20% - Accent3 5" xfId="30519" xr:uid="{00000000-0005-0000-0000-000029770000}"/>
    <cellStyle name="20% - Accent3 5 2" xfId="30520" xr:uid="{00000000-0005-0000-0000-00002A770000}"/>
    <cellStyle name="20% - Accent3 5 2 2" xfId="30521" xr:uid="{00000000-0005-0000-0000-00002B770000}"/>
    <cellStyle name="20% - Accent3 5 2 2 2" xfId="30522" xr:uid="{00000000-0005-0000-0000-00002C770000}"/>
    <cellStyle name="20% - Accent3 5 2 3" xfId="30523" xr:uid="{00000000-0005-0000-0000-00002D770000}"/>
    <cellStyle name="20% - Accent3 5 3" xfId="30524" xr:uid="{00000000-0005-0000-0000-00002E770000}"/>
    <cellStyle name="20% - Accent3 5 3 2" xfId="30525" xr:uid="{00000000-0005-0000-0000-00002F770000}"/>
    <cellStyle name="20% - Accent3 5 4" xfId="30526" xr:uid="{00000000-0005-0000-0000-000030770000}"/>
    <cellStyle name="20% - Accent3 5 5" xfId="30527" xr:uid="{00000000-0005-0000-0000-000031770000}"/>
    <cellStyle name="20% - Accent3 5_Proj" xfId="30528" xr:uid="{00000000-0005-0000-0000-000032770000}"/>
    <cellStyle name="20% - Accent3 6" xfId="30529" xr:uid="{00000000-0005-0000-0000-000033770000}"/>
    <cellStyle name="20% - Accent3 6 2" xfId="30530" xr:uid="{00000000-0005-0000-0000-000034770000}"/>
    <cellStyle name="20% - Accent3 6 2 2" xfId="30531" xr:uid="{00000000-0005-0000-0000-000035770000}"/>
    <cellStyle name="20% - Accent3 6 2 2 2" xfId="30532" xr:uid="{00000000-0005-0000-0000-000036770000}"/>
    <cellStyle name="20% - Accent3 6 2 3" xfId="30533" xr:uid="{00000000-0005-0000-0000-000037770000}"/>
    <cellStyle name="20% - Accent3 6 3" xfId="30534" xr:uid="{00000000-0005-0000-0000-000038770000}"/>
    <cellStyle name="20% - Accent3 6 3 2" xfId="30535" xr:uid="{00000000-0005-0000-0000-000039770000}"/>
    <cellStyle name="20% - Accent3 6 4" xfId="30536" xr:uid="{00000000-0005-0000-0000-00003A770000}"/>
    <cellStyle name="20% - Accent3 6 5" xfId="30537" xr:uid="{00000000-0005-0000-0000-00003B770000}"/>
    <cellStyle name="20% - Accent3 7" xfId="30538" xr:uid="{00000000-0005-0000-0000-00003C770000}"/>
    <cellStyle name="20% - Accent3 7 2" xfId="30539" xr:uid="{00000000-0005-0000-0000-00003D770000}"/>
    <cellStyle name="20% - Accent3 7 3" xfId="30540" xr:uid="{00000000-0005-0000-0000-00003E770000}"/>
    <cellStyle name="20% - Accent3 7 4" xfId="30541" xr:uid="{00000000-0005-0000-0000-00003F770000}"/>
    <cellStyle name="20% - Accent3 7 5" xfId="30542" xr:uid="{00000000-0005-0000-0000-000040770000}"/>
    <cellStyle name="20% - Accent3 8" xfId="30543" xr:uid="{00000000-0005-0000-0000-000041770000}"/>
    <cellStyle name="20% - Accent3 8 2" xfId="30544" xr:uid="{00000000-0005-0000-0000-000042770000}"/>
    <cellStyle name="20% - Accent3 8 3" xfId="30545" xr:uid="{00000000-0005-0000-0000-000043770000}"/>
    <cellStyle name="20% - Accent3 8 4" xfId="30546" xr:uid="{00000000-0005-0000-0000-000044770000}"/>
    <cellStyle name="20% - Accent3 8 5" xfId="30547" xr:uid="{00000000-0005-0000-0000-000045770000}"/>
    <cellStyle name="20% - Accent3 9" xfId="30548" xr:uid="{00000000-0005-0000-0000-000046770000}"/>
    <cellStyle name="20% - Accent3 9 2" xfId="30549" xr:uid="{00000000-0005-0000-0000-000047770000}"/>
    <cellStyle name="20% - Accent3 9 3" xfId="30550" xr:uid="{00000000-0005-0000-0000-000048770000}"/>
    <cellStyle name="20% - Accent3 9 4" xfId="30551" xr:uid="{00000000-0005-0000-0000-000049770000}"/>
    <cellStyle name="20% - Accent3 9 5" xfId="30552" xr:uid="{00000000-0005-0000-0000-00004A770000}"/>
    <cellStyle name="20% - Accent4 10" xfId="30553" xr:uid="{00000000-0005-0000-0000-00004B770000}"/>
    <cellStyle name="20% - Accent4 10 2" xfId="30554" xr:uid="{00000000-0005-0000-0000-00004C770000}"/>
    <cellStyle name="20% - Accent4 10 3" xfId="30555" xr:uid="{00000000-0005-0000-0000-00004D770000}"/>
    <cellStyle name="20% - Accent4 10 4" xfId="30556" xr:uid="{00000000-0005-0000-0000-00004E770000}"/>
    <cellStyle name="20% - Accent4 10 5" xfId="30557" xr:uid="{00000000-0005-0000-0000-00004F770000}"/>
    <cellStyle name="20% - Accent4 11" xfId="30558" xr:uid="{00000000-0005-0000-0000-000050770000}"/>
    <cellStyle name="20% - Accent4 11 2" xfId="30559" xr:uid="{00000000-0005-0000-0000-000051770000}"/>
    <cellStyle name="20% - Accent4 12" xfId="30560" xr:uid="{00000000-0005-0000-0000-000052770000}"/>
    <cellStyle name="20% - Accent4 12 2" xfId="30561" xr:uid="{00000000-0005-0000-0000-000053770000}"/>
    <cellStyle name="20% - Accent4 13" xfId="30562" xr:uid="{00000000-0005-0000-0000-000054770000}"/>
    <cellStyle name="20% - Accent4 13 2" xfId="30563" xr:uid="{00000000-0005-0000-0000-000055770000}"/>
    <cellStyle name="20% - Accent4 14" xfId="30564" xr:uid="{00000000-0005-0000-0000-000056770000}"/>
    <cellStyle name="20% - Accent4 14 2" xfId="30565" xr:uid="{00000000-0005-0000-0000-000057770000}"/>
    <cellStyle name="20% - Accent4 15" xfId="30566" xr:uid="{00000000-0005-0000-0000-000058770000}"/>
    <cellStyle name="20% - Accent4 15 2" xfId="30567" xr:uid="{00000000-0005-0000-0000-000059770000}"/>
    <cellStyle name="20% - Accent4 16" xfId="30568" xr:uid="{00000000-0005-0000-0000-00005A770000}"/>
    <cellStyle name="20% - Accent4 16 2" xfId="30569" xr:uid="{00000000-0005-0000-0000-00005B770000}"/>
    <cellStyle name="20% - Accent4 17" xfId="30570" xr:uid="{00000000-0005-0000-0000-00005C770000}"/>
    <cellStyle name="20% - Accent4 17 2" xfId="30571" xr:uid="{00000000-0005-0000-0000-00005D770000}"/>
    <cellStyle name="20% - Accent4 18" xfId="30572" xr:uid="{00000000-0005-0000-0000-00005E770000}"/>
    <cellStyle name="20% - Accent4 18 2" xfId="30573" xr:uid="{00000000-0005-0000-0000-00005F770000}"/>
    <cellStyle name="20% - Accent4 19" xfId="30574" xr:uid="{00000000-0005-0000-0000-000060770000}"/>
    <cellStyle name="20% - Accent4 19 2" xfId="30575" xr:uid="{00000000-0005-0000-0000-000061770000}"/>
    <cellStyle name="20% - Accent4 2" xfId="30576" xr:uid="{00000000-0005-0000-0000-000062770000}"/>
    <cellStyle name="20% - Accent4 2 10" xfId="30577" xr:uid="{00000000-0005-0000-0000-000063770000}"/>
    <cellStyle name="20% - Accent4 2 11" xfId="30578" xr:uid="{00000000-0005-0000-0000-000064770000}"/>
    <cellStyle name="20% - Accent4 2 12" xfId="30579" xr:uid="{00000000-0005-0000-0000-000065770000}"/>
    <cellStyle name="20% - Accent4 2 13" xfId="30580" xr:uid="{00000000-0005-0000-0000-000066770000}"/>
    <cellStyle name="20% - Accent4 2 14" xfId="30581" xr:uid="{00000000-0005-0000-0000-000067770000}"/>
    <cellStyle name="20% - Accent4 2 15" xfId="30582" xr:uid="{00000000-0005-0000-0000-000068770000}"/>
    <cellStyle name="20% - Accent4 2 16" xfId="30583" xr:uid="{00000000-0005-0000-0000-000069770000}"/>
    <cellStyle name="20% - Accent4 2 16 2" xfId="30584" xr:uid="{00000000-0005-0000-0000-00006A770000}"/>
    <cellStyle name="20% - Accent4 2 16 2 2" xfId="30585" xr:uid="{00000000-0005-0000-0000-00006B770000}"/>
    <cellStyle name="20% - Accent4 2 16 3" xfId="30586" xr:uid="{00000000-0005-0000-0000-00006C770000}"/>
    <cellStyle name="20% - Accent4 2 17" xfId="30587" xr:uid="{00000000-0005-0000-0000-00006D770000}"/>
    <cellStyle name="20% - Accent4 2 17 2" xfId="30588" xr:uid="{00000000-0005-0000-0000-00006E770000}"/>
    <cellStyle name="20% - Accent4 2 18" xfId="30589" xr:uid="{00000000-0005-0000-0000-00006F770000}"/>
    <cellStyle name="20% - Accent4 2 19" xfId="30590" xr:uid="{00000000-0005-0000-0000-000070770000}"/>
    <cellStyle name="20% - Accent4 2 2" xfId="30591" xr:uid="{00000000-0005-0000-0000-000071770000}"/>
    <cellStyle name="20% - Accent4 2 2 2" xfId="30592" xr:uid="{00000000-0005-0000-0000-000072770000}"/>
    <cellStyle name="20% - Accent4 2 2 2 2" xfId="30593" xr:uid="{00000000-0005-0000-0000-000073770000}"/>
    <cellStyle name="20% - Accent4 2 2 2 3" xfId="30594" xr:uid="{00000000-0005-0000-0000-000074770000}"/>
    <cellStyle name="20% - Accent4 2 2 2 4" xfId="30595" xr:uid="{00000000-0005-0000-0000-000075770000}"/>
    <cellStyle name="20% - Accent4 2 2 3" xfId="30596" xr:uid="{00000000-0005-0000-0000-000076770000}"/>
    <cellStyle name="20% - Accent4 2 2 4" xfId="30597" xr:uid="{00000000-0005-0000-0000-000077770000}"/>
    <cellStyle name="20% - Accent4 2 2 5" xfId="30598" xr:uid="{00000000-0005-0000-0000-000078770000}"/>
    <cellStyle name="20% - Accent4 2 2 6" xfId="30599" xr:uid="{00000000-0005-0000-0000-000079770000}"/>
    <cellStyle name="20% - Accent4 2 2_Proj" xfId="30600" xr:uid="{00000000-0005-0000-0000-00007A770000}"/>
    <cellStyle name="20% - Accent4 2 3" xfId="30601" xr:uid="{00000000-0005-0000-0000-00007B770000}"/>
    <cellStyle name="20% - Accent4 2 3 2" xfId="30602" xr:uid="{00000000-0005-0000-0000-00007C770000}"/>
    <cellStyle name="20% - Accent4 2 3 2 2" xfId="30603" xr:uid="{00000000-0005-0000-0000-00007D770000}"/>
    <cellStyle name="20% - Accent4 2 4" xfId="30604" xr:uid="{00000000-0005-0000-0000-00007E770000}"/>
    <cellStyle name="20% - Accent4 2 4 2" xfId="30605" xr:uid="{00000000-0005-0000-0000-00007F770000}"/>
    <cellStyle name="20% - Accent4 2 5" xfId="30606" xr:uid="{00000000-0005-0000-0000-000080770000}"/>
    <cellStyle name="20% - Accent4 2 6" xfId="30607" xr:uid="{00000000-0005-0000-0000-000081770000}"/>
    <cellStyle name="20% - Accent4 2 7" xfId="30608" xr:uid="{00000000-0005-0000-0000-000082770000}"/>
    <cellStyle name="20% - Accent4 2 8" xfId="30609" xr:uid="{00000000-0005-0000-0000-000083770000}"/>
    <cellStyle name="20% - Accent4 2 9" xfId="30610" xr:uid="{00000000-0005-0000-0000-000084770000}"/>
    <cellStyle name="20% - Accent4 2_Labour" xfId="30611" xr:uid="{00000000-0005-0000-0000-000085770000}"/>
    <cellStyle name="20% - Accent4 20" xfId="30612" xr:uid="{00000000-0005-0000-0000-000086770000}"/>
    <cellStyle name="20% - Accent4 20 2" xfId="30613" xr:uid="{00000000-0005-0000-0000-000087770000}"/>
    <cellStyle name="20% - Accent4 21" xfId="30614" xr:uid="{00000000-0005-0000-0000-000088770000}"/>
    <cellStyle name="20% - Accent4 21 2" xfId="30615" xr:uid="{00000000-0005-0000-0000-000089770000}"/>
    <cellStyle name="20% - Accent4 22" xfId="30616" xr:uid="{00000000-0005-0000-0000-00008A770000}"/>
    <cellStyle name="20% - Accent4 22 2" xfId="30617" xr:uid="{00000000-0005-0000-0000-00008B770000}"/>
    <cellStyle name="20% - Accent4 23" xfId="30618" xr:uid="{00000000-0005-0000-0000-00008C770000}"/>
    <cellStyle name="20% - Accent4 24" xfId="30619" xr:uid="{00000000-0005-0000-0000-00008D770000}"/>
    <cellStyle name="20% - Accent4 25" xfId="30620" xr:uid="{00000000-0005-0000-0000-00008E770000}"/>
    <cellStyle name="20% - Accent4 26" xfId="30621" xr:uid="{00000000-0005-0000-0000-00008F770000}"/>
    <cellStyle name="20% - Accent4 27" xfId="30622" xr:uid="{00000000-0005-0000-0000-000090770000}"/>
    <cellStyle name="20% - Accent4 28" xfId="30623" xr:uid="{00000000-0005-0000-0000-000091770000}"/>
    <cellStyle name="20% - Accent4 29" xfId="30624" xr:uid="{00000000-0005-0000-0000-000092770000}"/>
    <cellStyle name="20% - Accent4 3" xfId="30625" xr:uid="{00000000-0005-0000-0000-000093770000}"/>
    <cellStyle name="20% - Accent4 3 2" xfId="30626" xr:uid="{00000000-0005-0000-0000-000094770000}"/>
    <cellStyle name="20% - Accent4 3 2 2" xfId="30627" xr:uid="{00000000-0005-0000-0000-000095770000}"/>
    <cellStyle name="20% - Accent4 3 2 2 2" xfId="30628" xr:uid="{00000000-0005-0000-0000-000096770000}"/>
    <cellStyle name="20% - Accent4 3 2 2 3" xfId="30629" xr:uid="{00000000-0005-0000-0000-000097770000}"/>
    <cellStyle name="20% - Accent4 3 2 2 4" xfId="30630" xr:uid="{00000000-0005-0000-0000-000098770000}"/>
    <cellStyle name="20% - Accent4 3 2 3" xfId="30631" xr:uid="{00000000-0005-0000-0000-000099770000}"/>
    <cellStyle name="20% - Accent4 3 2 3 2" xfId="30632" xr:uid="{00000000-0005-0000-0000-00009A770000}"/>
    <cellStyle name="20% - Accent4 3 2 4" xfId="30633" xr:uid="{00000000-0005-0000-0000-00009B770000}"/>
    <cellStyle name="20% - Accent4 3 2 5" xfId="30634" xr:uid="{00000000-0005-0000-0000-00009C770000}"/>
    <cellStyle name="20% - Accent4 3 3" xfId="30635" xr:uid="{00000000-0005-0000-0000-00009D770000}"/>
    <cellStyle name="20% - Accent4 3 4" xfId="30636" xr:uid="{00000000-0005-0000-0000-00009E770000}"/>
    <cellStyle name="20% - Accent4 3 5" xfId="30637" xr:uid="{00000000-0005-0000-0000-00009F770000}"/>
    <cellStyle name="20% - Accent4 3 6" xfId="30638" xr:uid="{00000000-0005-0000-0000-0000A0770000}"/>
    <cellStyle name="20% - Accent4 3_Labour" xfId="30639" xr:uid="{00000000-0005-0000-0000-0000A1770000}"/>
    <cellStyle name="20% - Accent4 30" xfId="30640" xr:uid="{00000000-0005-0000-0000-0000A2770000}"/>
    <cellStyle name="20% - Accent4 31" xfId="30641" xr:uid="{00000000-0005-0000-0000-0000A3770000}"/>
    <cellStyle name="20% - Accent4 32" xfId="30642" xr:uid="{00000000-0005-0000-0000-0000A4770000}"/>
    <cellStyle name="20% - Accent4 33" xfId="30643" xr:uid="{00000000-0005-0000-0000-0000A5770000}"/>
    <cellStyle name="20% - Accent4 34" xfId="30644" xr:uid="{00000000-0005-0000-0000-0000A6770000}"/>
    <cellStyle name="20% - Accent4 4" xfId="30645" xr:uid="{00000000-0005-0000-0000-0000A7770000}"/>
    <cellStyle name="20% - Accent4 4 2" xfId="30646" xr:uid="{00000000-0005-0000-0000-0000A8770000}"/>
    <cellStyle name="20% - Accent4 4 2 2" xfId="30647" xr:uid="{00000000-0005-0000-0000-0000A9770000}"/>
    <cellStyle name="20% - Accent4 4 2 2 2" xfId="30648" xr:uid="{00000000-0005-0000-0000-0000AA770000}"/>
    <cellStyle name="20% - Accent4 4 2 3" xfId="30649" xr:uid="{00000000-0005-0000-0000-0000AB770000}"/>
    <cellStyle name="20% - Accent4 4 3" xfId="30650" xr:uid="{00000000-0005-0000-0000-0000AC770000}"/>
    <cellStyle name="20% - Accent4 4 4" xfId="30651" xr:uid="{00000000-0005-0000-0000-0000AD770000}"/>
    <cellStyle name="20% - Accent4 4 5" xfId="30652" xr:uid="{00000000-0005-0000-0000-0000AE770000}"/>
    <cellStyle name="20% - Accent4 4 6" xfId="30653" xr:uid="{00000000-0005-0000-0000-0000AF770000}"/>
    <cellStyle name="20% - Accent4 4_Labour" xfId="30654" xr:uid="{00000000-0005-0000-0000-0000B0770000}"/>
    <cellStyle name="20% - Accent4 5" xfId="30655" xr:uid="{00000000-0005-0000-0000-0000B1770000}"/>
    <cellStyle name="20% - Accent4 5 2" xfId="30656" xr:uid="{00000000-0005-0000-0000-0000B2770000}"/>
    <cellStyle name="20% - Accent4 5 2 2" xfId="30657" xr:uid="{00000000-0005-0000-0000-0000B3770000}"/>
    <cellStyle name="20% - Accent4 5 2 2 2" xfId="30658" xr:uid="{00000000-0005-0000-0000-0000B4770000}"/>
    <cellStyle name="20% - Accent4 5 2 3" xfId="30659" xr:uid="{00000000-0005-0000-0000-0000B5770000}"/>
    <cellStyle name="20% - Accent4 5 3" xfId="30660" xr:uid="{00000000-0005-0000-0000-0000B6770000}"/>
    <cellStyle name="20% - Accent4 5 3 2" xfId="30661" xr:uid="{00000000-0005-0000-0000-0000B7770000}"/>
    <cellStyle name="20% - Accent4 5 4" xfId="30662" xr:uid="{00000000-0005-0000-0000-0000B8770000}"/>
    <cellStyle name="20% - Accent4 5 5" xfId="30663" xr:uid="{00000000-0005-0000-0000-0000B9770000}"/>
    <cellStyle name="20% - Accent4 5_Proj" xfId="30664" xr:uid="{00000000-0005-0000-0000-0000BA770000}"/>
    <cellStyle name="20% - Accent4 6" xfId="30665" xr:uid="{00000000-0005-0000-0000-0000BB770000}"/>
    <cellStyle name="20% - Accent4 6 2" xfId="30666" xr:uid="{00000000-0005-0000-0000-0000BC770000}"/>
    <cellStyle name="20% - Accent4 6 2 2" xfId="30667" xr:uid="{00000000-0005-0000-0000-0000BD770000}"/>
    <cellStyle name="20% - Accent4 6 2 2 2" xfId="30668" xr:uid="{00000000-0005-0000-0000-0000BE770000}"/>
    <cellStyle name="20% - Accent4 6 2 3" xfId="30669" xr:uid="{00000000-0005-0000-0000-0000BF770000}"/>
    <cellStyle name="20% - Accent4 6 3" xfId="30670" xr:uid="{00000000-0005-0000-0000-0000C0770000}"/>
    <cellStyle name="20% - Accent4 6 3 2" xfId="30671" xr:uid="{00000000-0005-0000-0000-0000C1770000}"/>
    <cellStyle name="20% - Accent4 6 4" xfId="30672" xr:uid="{00000000-0005-0000-0000-0000C2770000}"/>
    <cellStyle name="20% - Accent4 6 5" xfId="30673" xr:uid="{00000000-0005-0000-0000-0000C3770000}"/>
    <cellStyle name="20% - Accent4 7" xfId="30674" xr:uid="{00000000-0005-0000-0000-0000C4770000}"/>
    <cellStyle name="20% - Accent4 7 2" xfId="30675" xr:uid="{00000000-0005-0000-0000-0000C5770000}"/>
    <cellStyle name="20% - Accent4 7 3" xfId="30676" xr:uid="{00000000-0005-0000-0000-0000C6770000}"/>
    <cellStyle name="20% - Accent4 7 4" xfId="30677" xr:uid="{00000000-0005-0000-0000-0000C7770000}"/>
    <cellStyle name="20% - Accent4 7 5" xfId="30678" xr:uid="{00000000-0005-0000-0000-0000C8770000}"/>
    <cellStyle name="20% - Accent4 8" xfId="30679" xr:uid="{00000000-0005-0000-0000-0000C9770000}"/>
    <cellStyle name="20% - Accent4 8 2" xfId="30680" xr:uid="{00000000-0005-0000-0000-0000CA770000}"/>
    <cellStyle name="20% - Accent4 8 3" xfId="30681" xr:uid="{00000000-0005-0000-0000-0000CB770000}"/>
    <cellStyle name="20% - Accent4 8 4" xfId="30682" xr:uid="{00000000-0005-0000-0000-0000CC770000}"/>
    <cellStyle name="20% - Accent4 8 5" xfId="30683" xr:uid="{00000000-0005-0000-0000-0000CD770000}"/>
    <cellStyle name="20% - Accent4 9" xfId="30684" xr:uid="{00000000-0005-0000-0000-0000CE770000}"/>
    <cellStyle name="20% - Accent4 9 2" xfId="30685" xr:uid="{00000000-0005-0000-0000-0000CF770000}"/>
    <cellStyle name="20% - Accent4 9 3" xfId="30686" xr:uid="{00000000-0005-0000-0000-0000D0770000}"/>
    <cellStyle name="20% - Accent4 9 4" xfId="30687" xr:uid="{00000000-0005-0000-0000-0000D1770000}"/>
    <cellStyle name="20% - Accent4 9 5" xfId="30688" xr:uid="{00000000-0005-0000-0000-0000D2770000}"/>
    <cellStyle name="20% - Accent5 10" xfId="30689" xr:uid="{00000000-0005-0000-0000-0000D3770000}"/>
    <cellStyle name="20% - Accent5 10 2" xfId="30690" xr:uid="{00000000-0005-0000-0000-0000D4770000}"/>
    <cellStyle name="20% - Accent5 10 3" xfId="30691" xr:uid="{00000000-0005-0000-0000-0000D5770000}"/>
    <cellStyle name="20% - Accent5 10 4" xfId="30692" xr:uid="{00000000-0005-0000-0000-0000D6770000}"/>
    <cellStyle name="20% - Accent5 10 5" xfId="30693" xr:uid="{00000000-0005-0000-0000-0000D7770000}"/>
    <cellStyle name="20% - Accent5 11" xfId="30694" xr:uid="{00000000-0005-0000-0000-0000D8770000}"/>
    <cellStyle name="20% - Accent5 11 2" xfId="30695" xr:uid="{00000000-0005-0000-0000-0000D9770000}"/>
    <cellStyle name="20% - Accent5 12" xfId="30696" xr:uid="{00000000-0005-0000-0000-0000DA770000}"/>
    <cellStyle name="20% - Accent5 12 2" xfId="30697" xr:uid="{00000000-0005-0000-0000-0000DB770000}"/>
    <cellStyle name="20% - Accent5 13" xfId="30698" xr:uid="{00000000-0005-0000-0000-0000DC770000}"/>
    <cellStyle name="20% - Accent5 13 2" xfId="30699" xr:uid="{00000000-0005-0000-0000-0000DD770000}"/>
    <cellStyle name="20% - Accent5 14" xfId="30700" xr:uid="{00000000-0005-0000-0000-0000DE770000}"/>
    <cellStyle name="20% - Accent5 14 2" xfId="30701" xr:uid="{00000000-0005-0000-0000-0000DF770000}"/>
    <cellStyle name="20% - Accent5 15" xfId="30702" xr:uid="{00000000-0005-0000-0000-0000E0770000}"/>
    <cellStyle name="20% - Accent5 15 2" xfId="30703" xr:uid="{00000000-0005-0000-0000-0000E1770000}"/>
    <cellStyle name="20% - Accent5 16" xfId="30704" xr:uid="{00000000-0005-0000-0000-0000E2770000}"/>
    <cellStyle name="20% - Accent5 16 2" xfId="30705" xr:uid="{00000000-0005-0000-0000-0000E3770000}"/>
    <cellStyle name="20% - Accent5 17" xfId="30706" xr:uid="{00000000-0005-0000-0000-0000E4770000}"/>
    <cellStyle name="20% - Accent5 17 2" xfId="30707" xr:uid="{00000000-0005-0000-0000-0000E5770000}"/>
    <cellStyle name="20% - Accent5 18" xfId="30708" xr:uid="{00000000-0005-0000-0000-0000E6770000}"/>
    <cellStyle name="20% - Accent5 18 2" xfId="30709" xr:uid="{00000000-0005-0000-0000-0000E7770000}"/>
    <cellStyle name="20% - Accent5 19" xfId="30710" xr:uid="{00000000-0005-0000-0000-0000E8770000}"/>
    <cellStyle name="20% - Accent5 19 2" xfId="30711" xr:uid="{00000000-0005-0000-0000-0000E9770000}"/>
    <cellStyle name="20% - Accent5 2" xfId="30712" xr:uid="{00000000-0005-0000-0000-0000EA770000}"/>
    <cellStyle name="20% - Accent5 2 10" xfId="30713" xr:uid="{00000000-0005-0000-0000-0000EB770000}"/>
    <cellStyle name="20% - Accent5 2 11" xfId="30714" xr:uid="{00000000-0005-0000-0000-0000EC770000}"/>
    <cellStyle name="20% - Accent5 2 12" xfId="30715" xr:uid="{00000000-0005-0000-0000-0000ED770000}"/>
    <cellStyle name="20% - Accent5 2 13" xfId="30716" xr:uid="{00000000-0005-0000-0000-0000EE770000}"/>
    <cellStyle name="20% - Accent5 2 14" xfId="30717" xr:uid="{00000000-0005-0000-0000-0000EF770000}"/>
    <cellStyle name="20% - Accent5 2 15" xfId="30718" xr:uid="{00000000-0005-0000-0000-0000F0770000}"/>
    <cellStyle name="20% - Accent5 2 16" xfId="30719" xr:uid="{00000000-0005-0000-0000-0000F1770000}"/>
    <cellStyle name="20% - Accent5 2 16 2" xfId="30720" xr:uid="{00000000-0005-0000-0000-0000F2770000}"/>
    <cellStyle name="20% - Accent5 2 16 2 2" xfId="30721" xr:uid="{00000000-0005-0000-0000-0000F3770000}"/>
    <cellStyle name="20% - Accent5 2 16 3" xfId="30722" xr:uid="{00000000-0005-0000-0000-0000F4770000}"/>
    <cellStyle name="20% - Accent5 2 17" xfId="30723" xr:uid="{00000000-0005-0000-0000-0000F5770000}"/>
    <cellStyle name="20% - Accent5 2 17 2" xfId="30724" xr:uid="{00000000-0005-0000-0000-0000F6770000}"/>
    <cellStyle name="20% - Accent5 2 18" xfId="30725" xr:uid="{00000000-0005-0000-0000-0000F7770000}"/>
    <cellStyle name="20% - Accent5 2 19" xfId="30726" xr:uid="{00000000-0005-0000-0000-0000F8770000}"/>
    <cellStyle name="20% - Accent5 2 2" xfId="30727" xr:uid="{00000000-0005-0000-0000-0000F9770000}"/>
    <cellStyle name="20% - Accent5 2 2 2" xfId="30728" xr:uid="{00000000-0005-0000-0000-0000FA770000}"/>
    <cellStyle name="20% - Accent5 2 2 2 2" xfId="30729" xr:uid="{00000000-0005-0000-0000-0000FB770000}"/>
    <cellStyle name="20% - Accent5 2 2 2 3" xfId="30730" xr:uid="{00000000-0005-0000-0000-0000FC770000}"/>
    <cellStyle name="20% - Accent5 2 2 2 4" xfId="30731" xr:uid="{00000000-0005-0000-0000-0000FD770000}"/>
    <cellStyle name="20% - Accent5 2 2 3" xfId="30732" xr:uid="{00000000-0005-0000-0000-0000FE770000}"/>
    <cellStyle name="20% - Accent5 2 2 4" xfId="30733" xr:uid="{00000000-0005-0000-0000-0000FF770000}"/>
    <cellStyle name="20% - Accent5 2 2 5" xfId="30734" xr:uid="{00000000-0005-0000-0000-000000780000}"/>
    <cellStyle name="20% - Accent5 2 2 6" xfId="30735" xr:uid="{00000000-0005-0000-0000-000001780000}"/>
    <cellStyle name="20% - Accent5 2 2_Proj" xfId="30736" xr:uid="{00000000-0005-0000-0000-000002780000}"/>
    <cellStyle name="20% - Accent5 2 3" xfId="30737" xr:uid="{00000000-0005-0000-0000-000003780000}"/>
    <cellStyle name="20% - Accent5 2 3 2" xfId="30738" xr:uid="{00000000-0005-0000-0000-000004780000}"/>
    <cellStyle name="20% - Accent5 2 3 2 2" xfId="30739" xr:uid="{00000000-0005-0000-0000-000005780000}"/>
    <cellStyle name="20% - Accent5 2 4" xfId="30740" xr:uid="{00000000-0005-0000-0000-000006780000}"/>
    <cellStyle name="20% - Accent5 2 4 2" xfId="30741" xr:uid="{00000000-0005-0000-0000-000007780000}"/>
    <cellStyle name="20% - Accent5 2 5" xfId="30742" xr:uid="{00000000-0005-0000-0000-000008780000}"/>
    <cellStyle name="20% - Accent5 2 6" xfId="30743" xr:uid="{00000000-0005-0000-0000-000009780000}"/>
    <cellStyle name="20% - Accent5 2 7" xfId="30744" xr:uid="{00000000-0005-0000-0000-00000A780000}"/>
    <cellStyle name="20% - Accent5 2 8" xfId="30745" xr:uid="{00000000-0005-0000-0000-00000B780000}"/>
    <cellStyle name="20% - Accent5 2 9" xfId="30746" xr:uid="{00000000-0005-0000-0000-00000C780000}"/>
    <cellStyle name="20% - Accent5 2_Labour" xfId="30747" xr:uid="{00000000-0005-0000-0000-00000D780000}"/>
    <cellStyle name="20% - Accent5 20" xfId="30748" xr:uid="{00000000-0005-0000-0000-00000E780000}"/>
    <cellStyle name="20% - Accent5 20 2" xfId="30749" xr:uid="{00000000-0005-0000-0000-00000F780000}"/>
    <cellStyle name="20% - Accent5 21" xfId="30750" xr:uid="{00000000-0005-0000-0000-000010780000}"/>
    <cellStyle name="20% - Accent5 21 2" xfId="30751" xr:uid="{00000000-0005-0000-0000-000011780000}"/>
    <cellStyle name="20% - Accent5 22" xfId="30752" xr:uid="{00000000-0005-0000-0000-000012780000}"/>
    <cellStyle name="20% - Accent5 22 2" xfId="30753" xr:uid="{00000000-0005-0000-0000-000013780000}"/>
    <cellStyle name="20% - Accent5 23" xfId="30754" xr:uid="{00000000-0005-0000-0000-000014780000}"/>
    <cellStyle name="20% - Accent5 24" xfId="30755" xr:uid="{00000000-0005-0000-0000-000015780000}"/>
    <cellStyle name="20% - Accent5 25" xfId="30756" xr:uid="{00000000-0005-0000-0000-000016780000}"/>
    <cellStyle name="20% - Accent5 26" xfId="30757" xr:uid="{00000000-0005-0000-0000-000017780000}"/>
    <cellStyle name="20% - Accent5 27" xfId="30758" xr:uid="{00000000-0005-0000-0000-000018780000}"/>
    <cellStyle name="20% - Accent5 28" xfId="30759" xr:uid="{00000000-0005-0000-0000-000019780000}"/>
    <cellStyle name="20% - Accent5 29" xfId="30760" xr:uid="{00000000-0005-0000-0000-00001A780000}"/>
    <cellStyle name="20% - Accent5 3" xfId="30761" xr:uid="{00000000-0005-0000-0000-00001B780000}"/>
    <cellStyle name="20% - Accent5 3 2" xfId="30762" xr:uid="{00000000-0005-0000-0000-00001C780000}"/>
    <cellStyle name="20% - Accent5 3 2 2" xfId="30763" xr:uid="{00000000-0005-0000-0000-00001D780000}"/>
    <cellStyle name="20% - Accent5 3 2 2 2" xfId="30764" xr:uid="{00000000-0005-0000-0000-00001E780000}"/>
    <cellStyle name="20% - Accent5 3 2 2 3" xfId="30765" xr:uid="{00000000-0005-0000-0000-00001F780000}"/>
    <cellStyle name="20% - Accent5 3 2 2 4" xfId="30766" xr:uid="{00000000-0005-0000-0000-000020780000}"/>
    <cellStyle name="20% - Accent5 3 2 3" xfId="30767" xr:uid="{00000000-0005-0000-0000-000021780000}"/>
    <cellStyle name="20% - Accent5 3 2 3 2" xfId="30768" xr:uid="{00000000-0005-0000-0000-000022780000}"/>
    <cellStyle name="20% - Accent5 3 2 4" xfId="30769" xr:uid="{00000000-0005-0000-0000-000023780000}"/>
    <cellStyle name="20% - Accent5 3 2 5" xfId="30770" xr:uid="{00000000-0005-0000-0000-000024780000}"/>
    <cellStyle name="20% - Accent5 3 3" xfId="30771" xr:uid="{00000000-0005-0000-0000-000025780000}"/>
    <cellStyle name="20% - Accent5 3 4" xfId="30772" xr:uid="{00000000-0005-0000-0000-000026780000}"/>
    <cellStyle name="20% - Accent5 3 5" xfId="30773" xr:uid="{00000000-0005-0000-0000-000027780000}"/>
    <cellStyle name="20% - Accent5 3 6" xfId="30774" xr:uid="{00000000-0005-0000-0000-000028780000}"/>
    <cellStyle name="20% - Accent5 3_Labour" xfId="30775" xr:uid="{00000000-0005-0000-0000-000029780000}"/>
    <cellStyle name="20% - Accent5 30" xfId="30776" xr:uid="{00000000-0005-0000-0000-00002A780000}"/>
    <cellStyle name="20% - Accent5 31" xfId="30777" xr:uid="{00000000-0005-0000-0000-00002B780000}"/>
    <cellStyle name="20% - Accent5 32" xfId="30778" xr:uid="{00000000-0005-0000-0000-00002C780000}"/>
    <cellStyle name="20% - Accent5 33" xfId="30779" xr:uid="{00000000-0005-0000-0000-00002D780000}"/>
    <cellStyle name="20% - Accent5 34" xfId="30780" xr:uid="{00000000-0005-0000-0000-00002E780000}"/>
    <cellStyle name="20% - Accent5 4" xfId="30781" xr:uid="{00000000-0005-0000-0000-00002F780000}"/>
    <cellStyle name="20% - Accent5 4 2" xfId="30782" xr:uid="{00000000-0005-0000-0000-000030780000}"/>
    <cellStyle name="20% - Accent5 4 2 2" xfId="30783" xr:uid="{00000000-0005-0000-0000-000031780000}"/>
    <cellStyle name="20% - Accent5 4 2 2 2" xfId="30784" xr:uid="{00000000-0005-0000-0000-000032780000}"/>
    <cellStyle name="20% - Accent5 4 2 3" xfId="30785" xr:uid="{00000000-0005-0000-0000-000033780000}"/>
    <cellStyle name="20% - Accent5 4 3" xfId="30786" xr:uid="{00000000-0005-0000-0000-000034780000}"/>
    <cellStyle name="20% - Accent5 4 4" xfId="30787" xr:uid="{00000000-0005-0000-0000-000035780000}"/>
    <cellStyle name="20% - Accent5 4 5" xfId="30788" xr:uid="{00000000-0005-0000-0000-000036780000}"/>
    <cellStyle name="20% - Accent5 4 6" xfId="30789" xr:uid="{00000000-0005-0000-0000-000037780000}"/>
    <cellStyle name="20% - Accent5 4_Labour" xfId="30790" xr:uid="{00000000-0005-0000-0000-000038780000}"/>
    <cellStyle name="20% - Accent5 5" xfId="30791" xr:uid="{00000000-0005-0000-0000-000039780000}"/>
    <cellStyle name="20% - Accent5 5 2" xfId="30792" xr:uid="{00000000-0005-0000-0000-00003A780000}"/>
    <cellStyle name="20% - Accent5 5 2 2" xfId="30793" xr:uid="{00000000-0005-0000-0000-00003B780000}"/>
    <cellStyle name="20% - Accent5 5 2 2 2" xfId="30794" xr:uid="{00000000-0005-0000-0000-00003C780000}"/>
    <cellStyle name="20% - Accent5 5 2 3" xfId="30795" xr:uid="{00000000-0005-0000-0000-00003D780000}"/>
    <cellStyle name="20% - Accent5 5 3" xfId="30796" xr:uid="{00000000-0005-0000-0000-00003E780000}"/>
    <cellStyle name="20% - Accent5 5 3 2" xfId="30797" xr:uid="{00000000-0005-0000-0000-00003F780000}"/>
    <cellStyle name="20% - Accent5 5 4" xfId="30798" xr:uid="{00000000-0005-0000-0000-000040780000}"/>
    <cellStyle name="20% - Accent5 5 5" xfId="30799" xr:uid="{00000000-0005-0000-0000-000041780000}"/>
    <cellStyle name="20% - Accent5 5_Proj" xfId="30800" xr:uid="{00000000-0005-0000-0000-000042780000}"/>
    <cellStyle name="20% - Accent5 6" xfId="30801" xr:uid="{00000000-0005-0000-0000-000043780000}"/>
    <cellStyle name="20% - Accent5 6 2" xfId="30802" xr:uid="{00000000-0005-0000-0000-000044780000}"/>
    <cellStyle name="20% - Accent5 6 2 2" xfId="30803" xr:uid="{00000000-0005-0000-0000-000045780000}"/>
    <cellStyle name="20% - Accent5 6 2 2 2" xfId="30804" xr:uid="{00000000-0005-0000-0000-000046780000}"/>
    <cellStyle name="20% - Accent5 6 2 3" xfId="30805" xr:uid="{00000000-0005-0000-0000-000047780000}"/>
    <cellStyle name="20% - Accent5 6 3" xfId="30806" xr:uid="{00000000-0005-0000-0000-000048780000}"/>
    <cellStyle name="20% - Accent5 6 3 2" xfId="30807" xr:uid="{00000000-0005-0000-0000-000049780000}"/>
    <cellStyle name="20% - Accent5 6 4" xfId="30808" xr:uid="{00000000-0005-0000-0000-00004A780000}"/>
    <cellStyle name="20% - Accent5 6 5" xfId="30809" xr:uid="{00000000-0005-0000-0000-00004B780000}"/>
    <cellStyle name="20% - Accent5 7" xfId="30810" xr:uid="{00000000-0005-0000-0000-00004C780000}"/>
    <cellStyle name="20% - Accent5 7 2" xfId="30811" xr:uid="{00000000-0005-0000-0000-00004D780000}"/>
    <cellStyle name="20% - Accent5 7 3" xfId="30812" xr:uid="{00000000-0005-0000-0000-00004E780000}"/>
    <cellStyle name="20% - Accent5 7 4" xfId="30813" xr:uid="{00000000-0005-0000-0000-00004F780000}"/>
    <cellStyle name="20% - Accent5 7 5" xfId="30814" xr:uid="{00000000-0005-0000-0000-000050780000}"/>
    <cellStyle name="20% - Accent5 8" xfId="30815" xr:uid="{00000000-0005-0000-0000-000051780000}"/>
    <cellStyle name="20% - Accent5 8 2" xfId="30816" xr:uid="{00000000-0005-0000-0000-000052780000}"/>
    <cellStyle name="20% - Accent5 8 3" xfId="30817" xr:uid="{00000000-0005-0000-0000-000053780000}"/>
    <cellStyle name="20% - Accent5 8 4" xfId="30818" xr:uid="{00000000-0005-0000-0000-000054780000}"/>
    <cellStyle name="20% - Accent5 8 5" xfId="30819" xr:uid="{00000000-0005-0000-0000-000055780000}"/>
    <cellStyle name="20% - Accent5 9" xfId="30820" xr:uid="{00000000-0005-0000-0000-000056780000}"/>
    <cellStyle name="20% - Accent5 9 2" xfId="30821" xr:uid="{00000000-0005-0000-0000-000057780000}"/>
    <cellStyle name="20% - Accent5 9 3" xfId="30822" xr:uid="{00000000-0005-0000-0000-000058780000}"/>
    <cellStyle name="20% - Accent5 9 4" xfId="30823" xr:uid="{00000000-0005-0000-0000-000059780000}"/>
    <cellStyle name="20% - Accent5 9 5" xfId="30824" xr:uid="{00000000-0005-0000-0000-00005A780000}"/>
    <cellStyle name="20% - Accent6 10" xfId="30825" xr:uid="{00000000-0005-0000-0000-00005B780000}"/>
    <cellStyle name="20% - Accent6 10 2" xfId="30826" xr:uid="{00000000-0005-0000-0000-00005C780000}"/>
    <cellStyle name="20% - Accent6 10 3" xfId="30827" xr:uid="{00000000-0005-0000-0000-00005D780000}"/>
    <cellStyle name="20% - Accent6 10 4" xfId="30828" xr:uid="{00000000-0005-0000-0000-00005E780000}"/>
    <cellStyle name="20% - Accent6 10 5" xfId="30829" xr:uid="{00000000-0005-0000-0000-00005F780000}"/>
    <cellStyle name="20% - Accent6 11" xfId="30830" xr:uid="{00000000-0005-0000-0000-000060780000}"/>
    <cellStyle name="20% - Accent6 11 2" xfId="30831" xr:uid="{00000000-0005-0000-0000-000061780000}"/>
    <cellStyle name="20% - Accent6 12" xfId="30832" xr:uid="{00000000-0005-0000-0000-000062780000}"/>
    <cellStyle name="20% - Accent6 12 2" xfId="30833" xr:uid="{00000000-0005-0000-0000-000063780000}"/>
    <cellStyle name="20% - Accent6 13" xfId="30834" xr:uid="{00000000-0005-0000-0000-000064780000}"/>
    <cellStyle name="20% - Accent6 13 2" xfId="30835" xr:uid="{00000000-0005-0000-0000-000065780000}"/>
    <cellStyle name="20% - Accent6 14" xfId="30836" xr:uid="{00000000-0005-0000-0000-000066780000}"/>
    <cellStyle name="20% - Accent6 14 2" xfId="30837" xr:uid="{00000000-0005-0000-0000-000067780000}"/>
    <cellStyle name="20% - Accent6 15" xfId="30838" xr:uid="{00000000-0005-0000-0000-000068780000}"/>
    <cellStyle name="20% - Accent6 15 2" xfId="30839" xr:uid="{00000000-0005-0000-0000-000069780000}"/>
    <cellStyle name="20% - Accent6 16" xfId="30840" xr:uid="{00000000-0005-0000-0000-00006A780000}"/>
    <cellStyle name="20% - Accent6 16 2" xfId="30841" xr:uid="{00000000-0005-0000-0000-00006B780000}"/>
    <cellStyle name="20% - Accent6 17" xfId="30842" xr:uid="{00000000-0005-0000-0000-00006C780000}"/>
    <cellStyle name="20% - Accent6 17 2" xfId="30843" xr:uid="{00000000-0005-0000-0000-00006D780000}"/>
    <cellStyle name="20% - Accent6 18" xfId="30844" xr:uid="{00000000-0005-0000-0000-00006E780000}"/>
    <cellStyle name="20% - Accent6 18 2" xfId="30845" xr:uid="{00000000-0005-0000-0000-00006F780000}"/>
    <cellStyle name="20% - Accent6 19" xfId="30846" xr:uid="{00000000-0005-0000-0000-000070780000}"/>
    <cellStyle name="20% - Accent6 19 2" xfId="30847" xr:uid="{00000000-0005-0000-0000-000071780000}"/>
    <cellStyle name="20% - Accent6 2" xfId="30848" xr:uid="{00000000-0005-0000-0000-000072780000}"/>
    <cellStyle name="20% - Accent6 2 10" xfId="30849" xr:uid="{00000000-0005-0000-0000-000073780000}"/>
    <cellStyle name="20% - Accent6 2 11" xfId="30850" xr:uid="{00000000-0005-0000-0000-000074780000}"/>
    <cellStyle name="20% - Accent6 2 12" xfId="30851" xr:uid="{00000000-0005-0000-0000-000075780000}"/>
    <cellStyle name="20% - Accent6 2 13" xfId="30852" xr:uid="{00000000-0005-0000-0000-000076780000}"/>
    <cellStyle name="20% - Accent6 2 14" xfId="30853" xr:uid="{00000000-0005-0000-0000-000077780000}"/>
    <cellStyle name="20% - Accent6 2 15" xfId="30854" xr:uid="{00000000-0005-0000-0000-000078780000}"/>
    <cellStyle name="20% - Accent6 2 16" xfId="30855" xr:uid="{00000000-0005-0000-0000-000079780000}"/>
    <cellStyle name="20% - Accent6 2 16 2" xfId="30856" xr:uid="{00000000-0005-0000-0000-00007A780000}"/>
    <cellStyle name="20% - Accent6 2 16 2 2" xfId="30857" xr:uid="{00000000-0005-0000-0000-00007B780000}"/>
    <cellStyle name="20% - Accent6 2 16 3" xfId="30858" xr:uid="{00000000-0005-0000-0000-00007C780000}"/>
    <cellStyle name="20% - Accent6 2 17" xfId="30859" xr:uid="{00000000-0005-0000-0000-00007D780000}"/>
    <cellStyle name="20% - Accent6 2 17 2" xfId="30860" xr:uid="{00000000-0005-0000-0000-00007E780000}"/>
    <cellStyle name="20% - Accent6 2 18" xfId="30861" xr:uid="{00000000-0005-0000-0000-00007F780000}"/>
    <cellStyle name="20% - Accent6 2 19" xfId="30862" xr:uid="{00000000-0005-0000-0000-000080780000}"/>
    <cellStyle name="20% - Accent6 2 2" xfId="30863" xr:uid="{00000000-0005-0000-0000-000081780000}"/>
    <cellStyle name="20% - Accent6 2 2 2" xfId="30864" xr:uid="{00000000-0005-0000-0000-000082780000}"/>
    <cellStyle name="20% - Accent6 2 2 2 2" xfId="30865" xr:uid="{00000000-0005-0000-0000-000083780000}"/>
    <cellStyle name="20% - Accent6 2 2 2 3" xfId="30866" xr:uid="{00000000-0005-0000-0000-000084780000}"/>
    <cellStyle name="20% - Accent6 2 2 2 4" xfId="30867" xr:uid="{00000000-0005-0000-0000-000085780000}"/>
    <cellStyle name="20% - Accent6 2 2 3" xfId="30868" xr:uid="{00000000-0005-0000-0000-000086780000}"/>
    <cellStyle name="20% - Accent6 2 2 4" xfId="30869" xr:uid="{00000000-0005-0000-0000-000087780000}"/>
    <cellStyle name="20% - Accent6 2 2 5" xfId="30870" xr:uid="{00000000-0005-0000-0000-000088780000}"/>
    <cellStyle name="20% - Accent6 2 2 6" xfId="30871" xr:uid="{00000000-0005-0000-0000-000089780000}"/>
    <cellStyle name="20% - Accent6 2 2_Proj" xfId="30872" xr:uid="{00000000-0005-0000-0000-00008A780000}"/>
    <cellStyle name="20% - Accent6 2 3" xfId="30873" xr:uid="{00000000-0005-0000-0000-00008B780000}"/>
    <cellStyle name="20% - Accent6 2 3 2" xfId="30874" xr:uid="{00000000-0005-0000-0000-00008C780000}"/>
    <cellStyle name="20% - Accent6 2 3 2 2" xfId="30875" xr:uid="{00000000-0005-0000-0000-00008D780000}"/>
    <cellStyle name="20% - Accent6 2 4" xfId="30876" xr:uid="{00000000-0005-0000-0000-00008E780000}"/>
    <cellStyle name="20% - Accent6 2 4 2" xfId="30877" xr:uid="{00000000-0005-0000-0000-00008F780000}"/>
    <cellStyle name="20% - Accent6 2 5" xfId="30878" xr:uid="{00000000-0005-0000-0000-000090780000}"/>
    <cellStyle name="20% - Accent6 2 6" xfId="30879" xr:uid="{00000000-0005-0000-0000-000091780000}"/>
    <cellStyle name="20% - Accent6 2 7" xfId="30880" xr:uid="{00000000-0005-0000-0000-000092780000}"/>
    <cellStyle name="20% - Accent6 2 8" xfId="30881" xr:uid="{00000000-0005-0000-0000-000093780000}"/>
    <cellStyle name="20% - Accent6 2 9" xfId="30882" xr:uid="{00000000-0005-0000-0000-000094780000}"/>
    <cellStyle name="20% - Accent6 2_Labour" xfId="30883" xr:uid="{00000000-0005-0000-0000-000095780000}"/>
    <cellStyle name="20% - Accent6 20" xfId="30884" xr:uid="{00000000-0005-0000-0000-000096780000}"/>
    <cellStyle name="20% - Accent6 20 2" xfId="30885" xr:uid="{00000000-0005-0000-0000-000097780000}"/>
    <cellStyle name="20% - Accent6 21" xfId="30886" xr:uid="{00000000-0005-0000-0000-000098780000}"/>
    <cellStyle name="20% - Accent6 21 2" xfId="30887" xr:uid="{00000000-0005-0000-0000-000099780000}"/>
    <cellStyle name="20% - Accent6 22" xfId="30888" xr:uid="{00000000-0005-0000-0000-00009A780000}"/>
    <cellStyle name="20% - Accent6 22 2" xfId="30889" xr:uid="{00000000-0005-0000-0000-00009B780000}"/>
    <cellStyle name="20% - Accent6 23" xfId="30890" xr:uid="{00000000-0005-0000-0000-00009C780000}"/>
    <cellStyle name="20% - Accent6 24" xfId="30891" xr:uid="{00000000-0005-0000-0000-00009D780000}"/>
    <cellStyle name="20% - Accent6 25" xfId="30892" xr:uid="{00000000-0005-0000-0000-00009E780000}"/>
    <cellStyle name="20% - Accent6 26" xfId="30893" xr:uid="{00000000-0005-0000-0000-00009F780000}"/>
    <cellStyle name="20% - Accent6 27" xfId="30894" xr:uid="{00000000-0005-0000-0000-0000A0780000}"/>
    <cellStyle name="20% - Accent6 28" xfId="30895" xr:uid="{00000000-0005-0000-0000-0000A1780000}"/>
    <cellStyle name="20% - Accent6 29" xfId="30896" xr:uid="{00000000-0005-0000-0000-0000A2780000}"/>
    <cellStyle name="20% - Accent6 3" xfId="30897" xr:uid="{00000000-0005-0000-0000-0000A3780000}"/>
    <cellStyle name="20% - Accent6 3 2" xfId="30898" xr:uid="{00000000-0005-0000-0000-0000A4780000}"/>
    <cellStyle name="20% - Accent6 3 2 2" xfId="30899" xr:uid="{00000000-0005-0000-0000-0000A5780000}"/>
    <cellStyle name="20% - Accent6 3 2 2 2" xfId="30900" xr:uid="{00000000-0005-0000-0000-0000A6780000}"/>
    <cellStyle name="20% - Accent6 3 2 2 3" xfId="30901" xr:uid="{00000000-0005-0000-0000-0000A7780000}"/>
    <cellStyle name="20% - Accent6 3 2 2 4" xfId="30902" xr:uid="{00000000-0005-0000-0000-0000A8780000}"/>
    <cellStyle name="20% - Accent6 3 2 3" xfId="30903" xr:uid="{00000000-0005-0000-0000-0000A9780000}"/>
    <cellStyle name="20% - Accent6 3 2 3 2" xfId="30904" xr:uid="{00000000-0005-0000-0000-0000AA780000}"/>
    <cellStyle name="20% - Accent6 3 2 4" xfId="30905" xr:uid="{00000000-0005-0000-0000-0000AB780000}"/>
    <cellStyle name="20% - Accent6 3 2 5" xfId="30906" xr:uid="{00000000-0005-0000-0000-0000AC780000}"/>
    <cellStyle name="20% - Accent6 3 3" xfId="30907" xr:uid="{00000000-0005-0000-0000-0000AD780000}"/>
    <cellStyle name="20% - Accent6 3 4" xfId="30908" xr:uid="{00000000-0005-0000-0000-0000AE780000}"/>
    <cellStyle name="20% - Accent6 3 5" xfId="30909" xr:uid="{00000000-0005-0000-0000-0000AF780000}"/>
    <cellStyle name="20% - Accent6 3 6" xfId="30910" xr:uid="{00000000-0005-0000-0000-0000B0780000}"/>
    <cellStyle name="20% - Accent6 3_Labour" xfId="30911" xr:uid="{00000000-0005-0000-0000-0000B1780000}"/>
    <cellStyle name="20% - Accent6 30" xfId="30912" xr:uid="{00000000-0005-0000-0000-0000B2780000}"/>
    <cellStyle name="20% - Accent6 31" xfId="30913" xr:uid="{00000000-0005-0000-0000-0000B3780000}"/>
    <cellStyle name="20% - Accent6 32" xfId="30914" xr:uid="{00000000-0005-0000-0000-0000B4780000}"/>
    <cellStyle name="20% - Accent6 33" xfId="30915" xr:uid="{00000000-0005-0000-0000-0000B5780000}"/>
    <cellStyle name="20% - Accent6 34" xfId="30916" xr:uid="{00000000-0005-0000-0000-0000B6780000}"/>
    <cellStyle name="20% - Accent6 4" xfId="30917" xr:uid="{00000000-0005-0000-0000-0000B7780000}"/>
    <cellStyle name="20% - Accent6 4 2" xfId="30918" xr:uid="{00000000-0005-0000-0000-0000B8780000}"/>
    <cellStyle name="20% - Accent6 4 2 2" xfId="30919" xr:uid="{00000000-0005-0000-0000-0000B9780000}"/>
    <cellStyle name="20% - Accent6 4 2 2 2" xfId="30920" xr:uid="{00000000-0005-0000-0000-0000BA780000}"/>
    <cellStyle name="20% - Accent6 4 2 3" xfId="30921" xr:uid="{00000000-0005-0000-0000-0000BB780000}"/>
    <cellStyle name="20% - Accent6 4 3" xfId="30922" xr:uid="{00000000-0005-0000-0000-0000BC780000}"/>
    <cellStyle name="20% - Accent6 4 4" xfId="30923" xr:uid="{00000000-0005-0000-0000-0000BD780000}"/>
    <cellStyle name="20% - Accent6 4 5" xfId="30924" xr:uid="{00000000-0005-0000-0000-0000BE780000}"/>
    <cellStyle name="20% - Accent6 4 6" xfId="30925" xr:uid="{00000000-0005-0000-0000-0000BF780000}"/>
    <cellStyle name="20% - Accent6 4_Labour" xfId="30926" xr:uid="{00000000-0005-0000-0000-0000C0780000}"/>
    <cellStyle name="20% - Accent6 5" xfId="30927" xr:uid="{00000000-0005-0000-0000-0000C1780000}"/>
    <cellStyle name="20% - Accent6 5 2" xfId="30928" xr:uid="{00000000-0005-0000-0000-0000C2780000}"/>
    <cellStyle name="20% - Accent6 5 2 2" xfId="30929" xr:uid="{00000000-0005-0000-0000-0000C3780000}"/>
    <cellStyle name="20% - Accent6 5 2 2 2" xfId="30930" xr:uid="{00000000-0005-0000-0000-0000C4780000}"/>
    <cellStyle name="20% - Accent6 5 2 3" xfId="30931" xr:uid="{00000000-0005-0000-0000-0000C5780000}"/>
    <cellStyle name="20% - Accent6 5 3" xfId="30932" xr:uid="{00000000-0005-0000-0000-0000C6780000}"/>
    <cellStyle name="20% - Accent6 5 3 2" xfId="30933" xr:uid="{00000000-0005-0000-0000-0000C7780000}"/>
    <cellStyle name="20% - Accent6 5 4" xfId="30934" xr:uid="{00000000-0005-0000-0000-0000C8780000}"/>
    <cellStyle name="20% - Accent6 5 5" xfId="30935" xr:uid="{00000000-0005-0000-0000-0000C9780000}"/>
    <cellStyle name="20% - Accent6 5_Proj" xfId="30936" xr:uid="{00000000-0005-0000-0000-0000CA780000}"/>
    <cellStyle name="20% - Accent6 6" xfId="30937" xr:uid="{00000000-0005-0000-0000-0000CB780000}"/>
    <cellStyle name="20% - Accent6 6 2" xfId="30938" xr:uid="{00000000-0005-0000-0000-0000CC780000}"/>
    <cellStyle name="20% - Accent6 6 2 2" xfId="30939" xr:uid="{00000000-0005-0000-0000-0000CD780000}"/>
    <cellStyle name="20% - Accent6 6 2 2 2" xfId="30940" xr:uid="{00000000-0005-0000-0000-0000CE780000}"/>
    <cellStyle name="20% - Accent6 6 2 3" xfId="30941" xr:uid="{00000000-0005-0000-0000-0000CF780000}"/>
    <cellStyle name="20% - Accent6 6 3" xfId="30942" xr:uid="{00000000-0005-0000-0000-0000D0780000}"/>
    <cellStyle name="20% - Accent6 6 3 2" xfId="30943" xr:uid="{00000000-0005-0000-0000-0000D1780000}"/>
    <cellStyle name="20% - Accent6 6 4" xfId="30944" xr:uid="{00000000-0005-0000-0000-0000D2780000}"/>
    <cellStyle name="20% - Accent6 6 5" xfId="30945" xr:uid="{00000000-0005-0000-0000-0000D3780000}"/>
    <cellStyle name="20% - Accent6 7" xfId="30946" xr:uid="{00000000-0005-0000-0000-0000D4780000}"/>
    <cellStyle name="20% - Accent6 7 2" xfId="30947" xr:uid="{00000000-0005-0000-0000-0000D5780000}"/>
    <cellStyle name="20% - Accent6 7 3" xfId="30948" xr:uid="{00000000-0005-0000-0000-0000D6780000}"/>
    <cellStyle name="20% - Accent6 7 4" xfId="30949" xr:uid="{00000000-0005-0000-0000-0000D7780000}"/>
    <cellStyle name="20% - Accent6 7 5" xfId="30950" xr:uid="{00000000-0005-0000-0000-0000D8780000}"/>
    <cellStyle name="20% - Accent6 8" xfId="30951" xr:uid="{00000000-0005-0000-0000-0000D9780000}"/>
    <cellStyle name="20% - Accent6 8 2" xfId="30952" xr:uid="{00000000-0005-0000-0000-0000DA780000}"/>
    <cellStyle name="20% - Accent6 8 3" xfId="30953" xr:uid="{00000000-0005-0000-0000-0000DB780000}"/>
    <cellStyle name="20% - Accent6 8 4" xfId="30954" xr:uid="{00000000-0005-0000-0000-0000DC780000}"/>
    <cellStyle name="20% - Accent6 8 5" xfId="30955" xr:uid="{00000000-0005-0000-0000-0000DD780000}"/>
    <cellStyle name="20% - Accent6 9" xfId="30956" xr:uid="{00000000-0005-0000-0000-0000DE780000}"/>
    <cellStyle name="20% - Accent6 9 2" xfId="30957" xr:uid="{00000000-0005-0000-0000-0000DF780000}"/>
    <cellStyle name="20% - Accent6 9 3" xfId="30958" xr:uid="{00000000-0005-0000-0000-0000E0780000}"/>
    <cellStyle name="20% - Accent6 9 4" xfId="30959" xr:uid="{00000000-0005-0000-0000-0000E1780000}"/>
    <cellStyle name="20% - Accent6 9 5" xfId="30960" xr:uid="{00000000-0005-0000-0000-0000E2780000}"/>
    <cellStyle name="40% - Accent1 10" xfId="30961" xr:uid="{00000000-0005-0000-0000-0000E3780000}"/>
    <cellStyle name="40% - Accent1 10 2" xfId="30962" xr:uid="{00000000-0005-0000-0000-0000E4780000}"/>
    <cellStyle name="40% - Accent1 10 3" xfId="30963" xr:uid="{00000000-0005-0000-0000-0000E5780000}"/>
    <cellStyle name="40% - Accent1 10 4" xfId="30964" xr:uid="{00000000-0005-0000-0000-0000E6780000}"/>
    <cellStyle name="40% - Accent1 10 5" xfId="30965" xr:uid="{00000000-0005-0000-0000-0000E7780000}"/>
    <cellStyle name="40% - Accent1 11" xfId="30966" xr:uid="{00000000-0005-0000-0000-0000E8780000}"/>
    <cellStyle name="40% - Accent1 11 2" xfId="30967" xr:uid="{00000000-0005-0000-0000-0000E9780000}"/>
    <cellStyle name="40% - Accent1 12" xfId="30968" xr:uid="{00000000-0005-0000-0000-0000EA780000}"/>
    <cellStyle name="40% - Accent1 12 2" xfId="30969" xr:uid="{00000000-0005-0000-0000-0000EB780000}"/>
    <cellStyle name="40% - Accent1 13" xfId="30970" xr:uid="{00000000-0005-0000-0000-0000EC780000}"/>
    <cellStyle name="40% - Accent1 13 2" xfId="30971" xr:uid="{00000000-0005-0000-0000-0000ED780000}"/>
    <cellStyle name="40% - Accent1 14" xfId="30972" xr:uid="{00000000-0005-0000-0000-0000EE780000}"/>
    <cellStyle name="40% - Accent1 14 2" xfId="30973" xr:uid="{00000000-0005-0000-0000-0000EF780000}"/>
    <cellStyle name="40% - Accent1 15" xfId="30974" xr:uid="{00000000-0005-0000-0000-0000F0780000}"/>
    <cellStyle name="40% - Accent1 15 2" xfId="30975" xr:uid="{00000000-0005-0000-0000-0000F1780000}"/>
    <cellStyle name="40% - Accent1 16" xfId="30976" xr:uid="{00000000-0005-0000-0000-0000F2780000}"/>
    <cellStyle name="40% - Accent1 16 2" xfId="30977" xr:uid="{00000000-0005-0000-0000-0000F3780000}"/>
    <cellStyle name="40% - Accent1 17" xfId="30978" xr:uid="{00000000-0005-0000-0000-0000F4780000}"/>
    <cellStyle name="40% - Accent1 17 2" xfId="30979" xr:uid="{00000000-0005-0000-0000-0000F5780000}"/>
    <cellStyle name="40% - Accent1 18" xfId="30980" xr:uid="{00000000-0005-0000-0000-0000F6780000}"/>
    <cellStyle name="40% - Accent1 18 2" xfId="30981" xr:uid="{00000000-0005-0000-0000-0000F7780000}"/>
    <cellStyle name="40% - Accent1 19" xfId="30982" xr:uid="{00000000-0005-0000-0000-0000F8780000}"/>
    <cellStyle name="40% - Accent1 19 2" xfId="30983" xr:uid="{00000000-0005-0000-0000-0000F9780000}"/>
    <cellStyle name="40% - Accent1 2" xfId="30984" xr:uid="{00000000-0005-0000-0000-0000FA780000}"/>
    <cellStyle name="40% - Accent1 2 10" xfId="30985" xr:uid="{00000000-0005-0000-0000-0000FB780000}"/>
    <cellStyle name="40% - Accent1 2 11" xfId="30986" xr:uid="{00000000-0005-0000-0000-0000FC780000}"/>
    <cellStyle name="40% - Accent1 2 12" xfId="30987" xr:uid="{00000000-0005-0000-0000-0000FD780000}"/>
    <cellStyle name="40% - Accent1 2 13" xfId="30988" xr:uid="{00000000-0005-0000-0000-0000FE780000}"/>
    <cellStyle name="40% - Accent1 2 14" xfId="30989" xr:uid="{00000000-0005-0000-0000-0000FF780000}"/>
    <cellStyle name="40% - Accent1 2 15" xfId="30990" xr:uid="{00000000-0005-0000-0000-000000790000}"/>
    <cellStyle name="40% - Accent1 2 16" xfId="30991" xr:uid="{00000000-0005-0000-0000-000001790000}"/>
    <cellStyle name="40% - Accent1 2 16 2" xfId="30992" xr:uid="{00000000-0005-0000-0000-000002790000}"/>
    <cellStyle name="40% - Accent1 2 16 2 2" xfId="30993" xr:uid="{00000000-0005-0000-0000-000003790000}"/>
    <cellStyle name="40% - Accent1 2 16 3" xfId="30994" xr:uid="{00000000-0005-0000-0000-000004790000}"/>
    <cellStyle name="40% - Accent1 2 17" xfId="30995" xr:uid="{00000000-0005-0000-0000-000005790000}"/>
    <cellStyle name="40% - Accent1 2 17 2" xfId="30996" xr:uid="{00000000-0005-0000-0000-000006790000}"/>
    <cellStyle name="40% - Accent1 2 18" xfId="30997" xr:uid="{00000000-0005-0000-0000-000007790000}"/>
    <cellStyle name="40% - Accent1 2 19" xfId="30998" xr:uid="{00000000-0005-0000-0000-000008790000}"/>
    <cellStyle name="40% - Accent1 2 2" xfId="30999" xr:uid="{00000000-0005-0000-0000-000009790000}"/>
    <cellStyle name="40% - Accent1 2 2 2" xfId="31000" xr:uid="{00000000-0005-0000-0000-00000A790000}"/>
    <cellStyle name="40% - Accent1 2 2 2 2" xfId="31001" xr:uid="{00000000-0005-0000-0000-00000B790000}"/>
    <cellStyle name="40% - Accent1 2 2 2 3" xfId="31002" xr:uid="{00000000-0005-0000-0000-00000C790000}"/>
    <cellStyle name="40% - Accent1 2 2 2 4" xfId="31003" xr:uid="{00000000-0005-0000-0000-00000D790000}"/>
    <cellStyle name="40% - Accent1 2 2 3" xfId="31004" xr:uid="{00000000-0005-0000-0000-00000E790000}"/>
    <cellStyle name="40% - Accent1 2 2 4" xfId="31005" xr:uid="{00000000-0005-0000-0000-00000F790000}"/>
    <cellStyle name="40% - Accent1 2 2 5" xfId="31006" xr:uid="{00000000-0005-0000-0000-000010790000}"/>
    <cellStyle name="40% - Accent1 2 2 6" xfId="31007" xr:uid="{00000000-0005-0000-0000-000011790000}"/>
    <cellStyle name="40% - Accent1 2 2_Proj" xfId="31008" xr:uid="{00000000-0005-0000-0000-000012790000}"/>
    <cellStyle name="40% - Accent1 2 3" xfId="31009" xr:uid="{00000000-0005-0000-0000-000013790000}"/>
    <cellStyle name="40% - Accent1 2 3 2" xfId="31010" xr:uid="{00000000-0005-0000-0000-000014790000}"/>
    <cellStyle name="40% - Accent1 2 3 2 2" xfId="31011" xr:uid="{00000000-0005-0000-0000-000015790000}"/>
    <cellStyle name="40% - Accent1 2 4" xfId="31012" xr:uid="{00000000-0005-0000-0000-000016790000}"/>
    <cellStyle name="40% - Accent1 2 4 2" xfId="31013" xr:uid="{00000000-0005-0000-0000-000017790000}"/>
    <cellStyle name="40% - Accent1 2 5" xfId="31014" xr:uid="{00000000-0005-0000-0000-000018790000}"/>
    <cellStyle name="40% - Accent1 2 6" xfId="31015" xr:uid="{00000000-0005-0000-0000-000019790000}"/>
    <cellStyle name="40% - Accent1 2 7" xfId="31016" xr:uid="{00000000-0005-0000-0000-00001A790000}"/>
    <cellStyle name="40% - Accent1 2 8" xfId="31017" xr:uid="{00000000-0005-0000-0000-00001B790000}"/>
    <cellStyle name="40% - Accent1 2 9" xfId="31018" xr:uid="{00000000-0005-0000-0000-00001C790000}"/>
    <cellStyle name="40% - Accent1 2_Labour" xfId="31019" xr:uid="{00000000-0005-0000-0000-00001D790000}"/>
    <cellStyle name="40% - Accent1 20" xfId="31020" xr:uid="{00000000-0005-0000-0000-00001E790000}"/>
    <cellStyle name="40% - Accent1 20 2" xfId="31021" xr:uid="{00000000-0005-0000-0000-00001F790000}"/>
    <cellStyle name="40% - Accent1 21" xfId="31022" xr:uid="{00000000-0005-0000-0000-000020790000}"/>
    <cellStyle name="40% - Accent1 21 2" xfId="31023" xr:uid="{00000000-0005-0000-0000-000021790000}"/>
    <cellStyle name="40% - Accent1 22" xfId="31024" xr:uid="{00000000-0005-0000-0000-000022790000}"/>
    <cellStyle name="40% - Accent1 22 2" xfId="31025" xr:uid="{00000000-0005-0000-0000-000023790000}"/>
    <cellStyle name="40% - Accent1 23" xfId="31026" xr:uid="{00000000-0005-0000-0000-000024790000}"/>
    <cellStyle name="40% - Accent1 24" xfId="31027" xr:uid="{00000000-0005-0000-0000-000025790000}"/>
    <cellStyle name="40% - Accent1 25" xfId="31028" xr:uid="{00000000-0005-0000-0000-000026790000}"/>
    <cellStyle name="40% - Accent1 26" xfId="31029" xr:uid="{00000000-0005-0000-0000-000027790000}"/>
    <cellStyle name="40% - Accent1 27" xfId="31030" xr:uid="{00000000-0005-0000-0000-000028790000}"/>
    <cellStyle name="40% - Accent1 28" xfId="31031" xr:uid="{00000000-0005-0000-0000-000029790000}"/>
    <cellStyle name="40% - Accent1 29" xfId="31032" xr:uid="{00000000-0005-0000-0000-00002A790000}"/>
    <cellStyle name="40% - Accent1 3" xfId="31033" xr:uid="{00000000-0005-0000-0000-00002B790000}"/>
    <cellStyle name="40% - Accent1 3 2" xfId="31034" xr:uid="{00000000-0005-0000-0000-00002C790000}"/>
    <cellStyle name="40% - Accent1 3 2 2" xfId="31035" xr:uid="{00000000-0005-0000-0000-00002D790000}"/>
    <cellStyle name="40% - Accent1 3 2 2 2" xfId="31036" xr:uid="{00000000-0005-0000-0000-00002E790000}"/>
    <cellStyle name="40% - Accent1 3 2 2 3" xfId="31037" xr:uid="{00000000-0005-0000-0000-00002F790000}"/>
    <cellStyle name="40% - Accent1 3 2 2 4" xfId="31038" xr:uid="{00000000-0005-0000-0000-000030790000}"/>
    <cellStyle name="40% - Accent1 3 2 3" xfId="31039" xr:uid="{00000000-0005-0000-0000-000031790000}"/>
    <cellStyle name="40% - Accent1 3 2 3 2" xfId="31040" xr:uid="{00000000-0005-0000-0000-000032790000}"/>
    <cellStyle name="40% - Accent1 3 2 4" xfId="31041" xr:uid="{00000000-0005-0000-0000-000033790000}"/>
    <cellStyle name="40% - Accent1 3 2 5" xfId="31042" xr:uid="{00000000-0005-0000-0000-000034790000}"/>
    <cellStyle name="40% - Accent1 3 3" xfId="31043" xr:uid="{00000000-0005-0000-0000-000035790000}"/>
    <cellStyle name="40% - Accent1 3 4" xfId="31044" xr:uid="{00000000-0005-0000-0000-000036790000}"/>
    <cellStyle name="40% - Accent1 3 5" xfId="31045" xr:uid="{00000000-0005-0000-0000-000037790000}"/>
    <cellStyle name="40% - Accent1 3 6" xfId="31046" xr:uid="{00000000-0005-0000-0000-000038790000}"/>
    <cellStyle name="40% - Accent1 3_Labour" xfId="31047" xr:uid="{00000000-0005-0000-0000-000039790000}"/>
    <cellStyle name="40% - Accent1 30" xfId="31048" xr:uid="{00000000-0005-0000-0000-00003A790000}"/>
    <cellStyle name="40% - Accent1 31" xfId="31049" xr:uid="{00000000-0005-0000-0000-00003B790000}"/>
    <cellStyle name="40% - Accent1 32" xfId="31050" xr:uid="{00000000-0005-0000-0000-00003C790000}"/>
    <cellStyle name="40% - Accent1 33" xfId="31051" xr:uid="{00000000-0005-0000-0000-00003D790000}"/>
    <cellStyle name="40% - Accent1 34" xfId="31052" xr:uid="{00000000-0005-0000-0000-00003E790000}"/>
    <cellStyle name="40% - Accent1 4" xfId="31053" xr:uid="{00000000-0005-0000-0000-00003F790000}"/>
    <cellStyle name="40% - Accent1 4 2" xfId="31054" xr:uid="{00000000-0005-0000-0000-000040790000}"/>
    <cellStyle name="40% - Accent1 4 2 2" xfId="31055" xr:uid="{00000000-0005-0000-0000-000041790000}"/>
    <cellStyle name="40% - Accent1 4 2 2 2" xfId="31056" xr:uid="{00000000-0005-0000-0000-000042790000}"/>
    <cellStyle name="40% - Accent1 4 2 3" xfId="31057" xr:uid="{00000000-0005-0000-0000-000043790000}"/>
    <cellStyle name="40% - Accent1 4 3" xfId="31058" xr:uid="{00000000-0005-0000-0000-000044790000}"/>
    <cellStyle name="40% - Accent1 4 4" xfId="31059" xr:uid="{00000000-0005-0000-0000-000045790000}"/>
    <cellStyle name="40% - Accent1 4 5" xfId="31060" xr:uid="{00000000-0005-0000-0000-000046790000}"/>
    <cellStyle name="40% - Accent1 4 6" xfId="31061" xr:uid="{00000000-0005-0000-0000-000047790000}"/>
    <cellStyle name="40% - Accent1 4_Labour" xfId="31062" xr:uid="{00000000-0005-0000-0000-000048790000}"/>
    <cellStyle name="40% - Accent1 5" xfId="31063" xr:uid="{00000000-0005-0000-0000-000049790000}"/>
    <cellStyle name="40% - Accent1 5 2" xfId="31064" xr:uid="{00000000-0005-0000-0000-00004A790000}"/>
    <cellStyle name="40% - Accent1 5 2 2" xfId="31065" xr:uid="{00000000-0005-0000-0000-00004B790000}"/>
    <cellStyle name="40% - Accent1 5 2 2 2" xfId="31066" xr:uid="{00000000-0005-0000-0000-00004C790000}"/>
    <cellStyle name="40% - Accent1 5 2 3" xfId="31067" xr:uid="{00000000-0005-0000-0000-00004D790000}"/>
    <cellStyle name="40% - Accent1 5 3" xfId="31068" xr:uid="{00000000-0005-0000-0000-00004E790000}"/>
    <cellStyle name="40% - Accent1 5 3 2" xfId="31069" xr:uid="{00000000-0005-0000-0000-00004F790000}"/>
    <cellStyle name="40% - Accent1 5 4" xfId="31070" xr:uid="{00000000-0005-0000-0000-000050790000}"/>
    <cellStyle name="40% - Accent1 5 5" xfId="31071" xr:uid="{00000000-0005-0000-0000-000051790000}"/>
    <cellStyle name="40% - Accent1 5_Proj" xfId="31072" xr:uid="{00000000-0005-0000-0000-000052790000}"/>
    <cellStyle name="40% - Accent1 6" xfId="31073" xr:uid="{00000000-0005-0000-0000-000053790000}"/>
    <cellStyle name="40% - Accent1 6 2" xfId="31074" xr:uid="{00000000-0005-0000-0000-000054790000}"/>
    <cellStyle name="40% - Accent1 6 2 2" xfId="31075" xr:uid="{00000000-0005-0000-0000-000055790000}"/>
    <cellStyle name="40% - Accent1 6 2 2 2" xfId="31076" xr:uid="{00000000-0005-0000-0000-000056790000}"/>
    <cellStyle name="40% - Accent1 6 2 3" xfId="31077" xr:uid="{00000000-0005-0000-0000-000057790000}"/>
    <cellStyle name="40% - Accent1 6 3" xfId="31078" xr:uid="{00000000-0005-0000-0000-000058790000}"/>
    <cellStyle name="40% - Accent1 6 3 2" xfId="31079" xr:uid="{00000000-0005-0000-0000-000059790000}"/>
    <cellStyle name="40% - Accent1 6 4" xfId="31080" xr:uid="{00000000-0005-0000-0000-00005A790000}"/>
    <cellStyle name="40% - Accent1 6 5" xfId="31081" xr:uid="{00000000-0005-0000-0000-00005B790000}"/>
    <cellStyle name="40% - Accent1 7" xfId="31082" xr:uid="{00000000-0005-0000-0000-00005C790000}"/>
    <cellStyle name="40% - Accent1 7 2" xfId="31083" xr:uid="{00000000-0005-0000-0000-00005D790000}"/>
    <cellStyle name="40% - Accent1 7 3" xfId="31084" xr:uid="{00000000-0005-0000-0000-00005E790000}"/>
    <cellStyle name="40% - Accent1 7 4" xfId="31085" xr:uid="{00000000-0005-0000-0000-00005F790000}"/>
    <cellStyle name="40% - Accent1 7 5" xfId="31086" xr:uid="{00000000-0005-0000-0000-000060790000}"/>
    <cellStyle name="40% - Accent1 8" xfId="31087" xr:uid="{00000000-0005-0000-0000-000061790000}"/>
    <cellStyle name="40% - Accent1 8 2" xfId="31088" xr:uid="{00000000-0005-0000-0000-000062790000}"/>
    <cellStyle name="40% - Accent1 8 3" xfId="31089" xr:uid="{00000000-0005-0000-0000-000063790000}"/>
    <cellStyle name="40% - Accent1 8 4" xfId="31090" xr:uid="{00000000-0005-0000-0000-000064790000}"/>
    <cellStyle name="40% - Accent1 8 5" xfId="31091" xr:uid="{00000000-0005-0000-0000-000065790000}"/>
    <cellStyle name="40% - Accent1 9" xfId="31092" xr:uid="{00000000-0005-0000-0000-000066790000}"/>
    <cellStyle name="40% - Accent1 9 2" xfId="31093" xr:uid="{00000000-0005-0000-0000-000067790000}"/>
    <cellStyle name="40% - Accent1 9 3" xfId="31094" xr:uid="{00000000-0005-0000-0000-000068790000}"/>
    <cellStyle name="40% - Accent1 9 4" xfId="31095" xr:uid="{00000000-0005-0000-0000-000069790000}"/>
    <cellStyle name="40% - Accent1 9 5" xfId="31096" xr:uid="{00000000-0005-0000-0000-00006A790000}"/>
    <cellStyle name="40% - Accent2 10" xfId="31097" xr:uid="{00000000-0005-0000-0000-00006B790000}"/>
    <cellStyle name="40% - Accent2 10 2" xfId="31098" xr:uid="{00000000-0005-0000-0000-00006C790000}"/>
    <cellStyle name="40% - Accent2 10 3" xfId="31099" xr:uid="{00000000-0005-0000-0000-00006D790000}"/>
    <cellStyle name="40% - Accent2 10 4" xfId="31100" xr:uid="{00000000-0005-0000-0000-00006E790000}"/>
    <cellStyle name="40% - Accent2 10 5" xfId="31101" xr:uid="{00000000-0005-0000-0000-00006F790000}"/>
    <cellStyle name="40% - Accent2 11" xfId="31102" xr:uid="{00000000-0005-0000-0000-000070790000}"/>
    <cellStyle name="40% - Accent2 11 2" xfId="31103" xr:uid="{00000000-0005-0000-0000-000071790000}"/>
    <cellStyle name="40% - Accent2 12" xfId="31104" xr:uid="{00000000-0005-0000-0000-000072790000}"/>
    <cellStyle name="40% - Accent2 12 2" xfId="31105" xr:uid="{00000000-0005-0000-0000-000073790000}"/>
    <cellStyle name="40% - Accent2 13" xfId="31106" xr:uid="{00000000-0005-0000-0000-000074790000}"/>
    <cellStyle name="40% - Accent2 13 2" xfId="31107" xr:uid="{00000000-0005-0000-0000-000075790000}"/>
    <cellStyle name="40% - Accent2 14" xfId="31108" xr:uid="{00000000-0005-0000-0000-000076790000}"/>
    <cellStyle name="40% - Accent2 14 2" xfId="31109" xr:uid="{00000000-0005-0000-0000-000077790000}"/>
    <cellStyle name="40% - Accent2 15" xfId="31110" xr:uid="{00000000-0005-0000-0000-000078790000}"/>
    <cellStyle name="40% - Accent2 15 2" xfId="31111" xr:uid="{00000000-0005-0000-0000-000079790000}"/>
    <cellStyle name="40% - Accent2 16" xfId="31112" xr:uid="{00000000-0005-0000-0000-00007A790000}"/>
    <cellStyle name="40% - Accent2 16 2" xfId="31113" xr:uid="{00000000-0005-0000-0000-00007B790000}"/>
    <cellStyle name="40% - Accent2 17" xfId="31114" xr:uid="{00000000-0005-0000-0000-00007C790000}"/>
    <cellStyle name="40% - Accent2 17 2" xfId="31115" xr:uid="{00000000-0005-0000-0000-00007D790000}"/>
    <cellStyle name="40% - Accent2 18" xfId="31116" xr:uid="{00000000-0005-0000-0000-00007E790000}"/>
    <cellStyle name="40% - Accent2 18 2" xfId="31117" xr:uid="{00000000-0005-0000-0000-00007F790000}"/>
    <cellStyle name="40% - Accent2 19" xfId="31118" xr:uid="{00000000-0005-0000-0000-000080790000}"/>
    <cellStyle name="40% - Accent2 19 2" xfId="31119" xr:uid="{00000000-0005-0000-0000-000081790000}"/>
    <cellStyle name="40% - Accent2 2" xfId="31120" xr:uid="{00000000-0005-0000-0000-000082790000}"/>
    <cellStyle name="40% - Accent2 2 10" xfId="31121" xr:uid="{00000000-0005-0000-0000-000083790000}"/>
    <cellStyle name="40% - Accent2 2 11" xfId="31122" xr:uid="{00000000-0005-0000-0000-000084790000}"/>
    <cellStyle name="40% - Accent2 2 12" xfId="31123" xr:uid="{00000000-0005-0000-0000-000085790000}"/>
    <cellStyle name="40% - Accent2 2 13" xfId="31124" xr:uid="{00000000-0005-0000-0000-000086790000}"/>
    <cellStyle name="40% - Accent2 2 14" xfId="31125" xr:uid="{00000000-0005-0000-0000-000087790000}"/>
    <cellStyle name="40% - Accent2 2 15" xfId="31126" xr:uid="{00000000-0005-0000-0000-000088790000}"/>
    <cellStyle name="40% - Accent2 2 16" xfId="31127" xr:uid="{00000000-0005-0000-0000-000089790000}"/>
    <cellStyle name="40% - Accent2 2 16 2" xfId="31128" xr:uid="{00000000-0005-0000-0000-00008A790000}"/>
    <cellStyle name="40% - Accent2 2 16 2 2" xfId="31129" xr:uid="{00000000-0005-0000-0000-00008B790000}"/>
    <cellStyle name="40% - Accent2 2 16 3" xfId="31130" xr:uid="{00000000-0005-0000-0000-00008C790000}"/>
    <cellStyle name="40% - Accent2 2 17" xfId="31131" xr:uid="{00000000-0005-0000-0000-00008D790000}"/>
    <cellStyle name="40% - Accent2 2 17 2" xfId="31132" xr:uid="{00000000-0005-0000-0000-00008E790000}"/>
    <cellStyle name="40% - Accent2 2 18" xfId="31133" xr:uid="{00000000-0005-0000-0000-00008F790000}"/>
    <cellStyle name="40% - Accent2 2 19" xfId="31134" xr:uid="{00000000-0005-0000-0000-000090790000}"/>
    <cellStyle name="40% - Accent2 2 2" xfId="31135" xr:uid="{00000000-0005-0000-0000-000091790000}"/>
    <cellStyle name="40% - Accent2 2 2 2" xfId="31136" xr:uid="{00000000-0005-0000-0000-000092790000}"/>
    <cellStyle name="40% - Accent2 2 2 2 2" xfId="31137" xr:uid="{00000000-0005-0000-0000-000093790000}"/>
    <cellStyle name="40% - Accent2 2 2 2 3" xfId="31138" xr:uid="{00000000-0005-0000-0000-000094790000}"/>
    <cellStyle name="40% - Accent2 2 2 2 4" xfId="31139" xr:uid="{00000000-0005-0000-0000-000095790000}"/>
    <cellStyle name="40% - Accent2 2 2 3" xfId="31140" xr:uid="{00000000-0005-0000-0000-000096790000}"/>
    <cellStyle name="40% - Accent2 2 2 4" xfId="31141" xr:uid="{00000000-0005-0000-0000-000097790000}"/>
    <cellStyle name="40% - Accent2 2 2 5" xfId="31142" xr:uid="{00000000-0005-0000-0000-000098790000}"/>
    <cellStyle name="40% - Accent2 2 2 6" xfId="31143" xr:uid="{00000000-0005-0000-0000-000099790000}"/>
    <cellStyle name="40% - Accent2 2 2_Proj" xfId="31144" xr:uid="{00000000-0005-0000-0000-00009A790000}"/>
    <cellStyle name="40% - Accent2 2 3" xfId="31145" xr:uid="{00000000-0005-0000-0000-00009B790000}"/>
    <cellStyle name="40% - Accent2 2 3 2" xfId="31146" xr:uid="{00000000-0005-0000-0000-00009C790000}"/>
    <cellStyle name="40% - Accent2 2 3 2 2" xfId="31147" xr:uid="{00000000-0005-0000-0000-00009D790000}"/>
    <cellStyle name="40% - Accent2 2 4" xfId="31148" xr:uid="{00000000-0005-0000-0000-00009E790000}"/>
    <cellStyle name="40% - Accent2 2 4 2" xfId="31149" xr:uid="{00000000-0005-0000-0000-00009F790000}"/>
    <cellStyle name="40% - Accent2 2 5" xfId="31150" xr:uid="{00000000-0005-0000-0000-0000A0790000}"/>
    <cellStyle name="40% - Accent2 2 6" xfId="31151" xr:uid="{00000000-0005-0000-0000-0000A1790000}"/>
    <cellStyle name="40% - Accent2 2 7" xfId="31152" xr:uid="{00000000-0005-0000-0000-0000A2790000}"/>
    <cellStyle name="40% - Accent2 2 8" xfId="31153" xr:uid="{00000000-0005-0000-0000-0000A3790000}"/>
    <cellStyle name="40% - Accent2 2 9" xfId="31154" xr:uid="{00000000-0005-0000-0000-0000A4790000}"/>
    <cellStyle name="40% - Accent2 2_Labour" xfId="31155" xr:uid="{00000000-0005-0000-0000-0000A5790000}"/>
    <cellStyle name="40% - Accent2 20" xfId="31156" xr:uid="{00000000-0005-0000-0000-0000A6790000}"/>
    <cellStyle name="40% - Accent2 20 2" xfId="31157" xr:uid="{00000000-0005-0000-0000-0000A7790000}"/>
    <cellStyle name="40% - Accent2 21" xfId="31158" xr:uid="{00000000-0005-0000-0000-0000A8790000}"/>
    <cellStyle name="40% - Accent2 21 2" xfId="31159" xr:uid="{00000000-0005-0000-0000-0000A9790000}"/>
    <cellStyle name="40% - Accent2 22" xfId="31160" xr:uid="{00000000-0005-0000-0000-0000AA790000}"/>
    <cellStyle name="40% - Accent2 22 2" xfId="31161" xr:uid="{00000000-0005-0000-0000-0000AB790000}"/>
    <cellStyle name="40% - Accent2 23" xfId="31162" xr:uid="{00000000-0005-0000-0000-0000AC790000}"/>
    <cellStyle name="40% - Accent2 24" xfId="31163" xr:uid="{00000000-0005-0000-0000-0000AD790000}"/>
    <cellStyle name="40% - Accent2 25" xfId="31164" xr:uid="{00000000-0005-0000-0000-0000AE790000}"/>
    <cellStyle name="40% - Accent2 26" xfId="31165" xr:uid="{00000000-0005-0000-0000-0000AF790000}"/>
    <cellStyle name="40% - Accent2 27" xfId="31166" xr:uid="{00000000-0005-0000-0000-0000B0790000}"/>
    <cellStyle name="40% - Accent2 28" xfId="31167" xr:uid="{00000000-0005-0000-0000-0000B1790000}"/>
    <cellStyle name="40% - Accent2 29" xfId="31168" xr:uid="{00000000-0005-0000-0000-0000B2790000}"/>
    <cellStyle name="40% - Accent2 3" xfId="31169" xr:uid="{00000000-0005-0000-0000-0000B3790000}"/>
    <cellStyle name="40% - Accent2 3 2" xfId="31170" xr:uid="{00000000-0005-0000-0000-0000B4790000}"/>
    <cellStyle name="40% - Accent2 3 2 2" xfId="31171" xr:uid="{00000000-0005-0000-0000-0000B5790000}"/>
    <cellStyle name="40% - Accent2 3 2 2 2" xfId="31172" xr:uid="{00000000-0005-0000-0000-0000B6790000}"/>
    <cellStyle name="40% - Accent2 3 2 2 3" xfId="31173" xr:uid="{00000000-0005-0000-0000-0000B7790000}"/>
    <cellStyle name="40% - Accent2 3 2 2 4" xfId="31174" xr:uid="{00000000-0005-0000-0000-0000B8790000}"/>
    <cellStyle name="40% - Accent2 3 2 3" xfId="31175" xr:uid="{00000000-0005-0000-0000-0000B9790000}"/>
    <cellStyle name="40% - Accent2 3 2 3 2" xfId="31176" xr:uid="{00000000-0005-0000-0000-0000BA790000}"/>
    <cellStyle name="40% - Accent2 3 2 4" xfId="31177" xr:uid="{00000000-0005-0000-0000-0000BB790000}"/>
    <cellStyle name="40% - Accent2 3 2 5" xfId="31178" xr:uid="{00000000-0005-0000-0000-0000BC790000}"/>
    <cellStyle name="40% - Accent2 3 3" xfId="31179" xr:uid="{00000000-0005-0000-0000-0000BD790000}"/>
    <cellStyle name="40% - Accent2 3 4" xfId="31180" xr:uid="{00000000-0005-0000-0000-0000BE790000}"/>
    <cellStyle name="40% - Accent2 3 5" xfId="31181" xr:uid="{00000000-0005-0000-0000-0000BF790000}"/>
    <cellStyle name="40% - Accent2 3 6" xfId="31182" xr:uid="{00000000-0005-0000-0000-0000C0790000}"/>
    <cellStyle name="40% - Accent2 3_Labour" xfId="31183" xr:uid="{00000000-0005-0000-0000-0000C1790000}"/>
    <cellStyle name="40% - Accent2 30" xfId="31184" xr:uid="{00000000-0005-0000-0000-0000C2790000}"/>
    <cellStyle name="40% - Accent2 31" xfId="31185" xr:uid="{00000000-0005-0000-0000-0000C3790000}"/>
    <cellStyle name="40% - Accent2 32" xfId="31186" xr:uid="{00000000-0005-0000-0000-0000C4790000}"/>
    <cellStyle name="40% - Accent2 33" xfId="31187" xr:uid="{00000000-0005-0000-0000-0000C5790000}"/>
    <cellStyle name="40% - Accent2 34" xfId="31188" xr:uid="{00000000-0005-0000-0000-0000C6790000}"/>
    <cellStyle name="40% - Accent2 4" xfId="31189" xr:uid="{00000000-0005-0000-0000-0000C7790000}"/>
    <cellStyle name="40% - Accent2 4 2" xfId="31190" xr:uid="{00000000-0005-0000-0000-0000C8790000}"/>
    <cellStyle name="40% - Accent2 4 2 2" xfId="31191" xr:uid="{00000000-0005-0000-0000-0000C9790000}"/>
    <cellStyle name="40% - Accent2 4 2 2 2" xfId="31192" xr:uid="{00000000-0005-0000-0000-0000CA790000}"/>
    <cellStyle name="40% - Accent2 4 2 3" xfId="31193" xr:uid="{00000000-0005-0000-0000-0000CB790000}"/>
    <cellStyle name="40% - Accent2 4 3" xfId="31194" xr:uid="{00000000-0005-0000-0000-0000CC790000}"/>
    <cellStyle name="40% - Accent2 4 4" xfId="31195" xr:uid="{00000000-0005-0000-0000-0000CD790000}"/>
    <cellStyle name="40% - Accent2 4 5" xfId="31196" xr:uid="{00000000-0005-0000-0000-0000CE790000}"/>
    <cellStyle name="40% - Accent2 4 6" xfId="31197" xr:uid="{00000000-0005-0000-0000-0000CF790000}"/>
    <cellStyle name="40% - Accent2 4_Labour" xfId="31198" xr:uid="{00000000-0005-0000-0000-0000D0790000}"/>
    <cellStyle name="40% - Accent2 5" xfId="31199" xr:uid="{00000000-0005-0000-0000-0000D1790000}"/>
    <cellStyle name="40% - Accent2 5 2" xfId="31200" xr:uid="{00000000-0005-0000-0000-0000D2790000}"/>
    <cellStyle name="40% - Accent2 5 2 2" xfId="31201" xr:uid="{00000000-0005-0000-0000-0000D3790000}"/>
    <cellStyle name="40% - Accent2 5 2 2 2" xfId="31202" xr:uid="{00000000-0005-0000-0000-0000D4790000}"/>
    <cellStyle name="40% - Accent2 5 2 3" xfId="31203" xr:uid="{00000000-0005-0000-0000-0000D5790000}"/>
    <cellStyle name="40% - Accent2 5 3" xfId="31204" xr:uid="{00000000-0005-0000-0000-0000D6790000}"/>
    <cellStyle name="40% - Accent2 5 3 2" xfId="31205" xr:uid="{00000000-0005-0000-0000-0000D7790000}"/>
    <cellStyle name="40% - Accent2 5 4" xfId="31206" xr:uid="{00000000-0005-0000-0000-0000D8790000}"/>
    <cellStyle name="40% - Accent2 5 5" xfId="31207" xr:uid="{00000000-0005-0000-0000-0000D9790000}"/>
    <cellStyle name="40% - Accent2 5_Proj" xfId="31208" xr:uid="{00000000-0005-0000-0000-0000DA790000}"/>
    <cellStyle name="40% - Accent2 6" xfId="31209" xr:uid="{00000000-0005-0000-0000-0000DB790000}"/>
    <cellStyle name="40% - Accent2 6 2" xfId="31210" xr:uid="{00000000-0005-0000-0000-0000DC790000}"/>
    <cellStyle name="40% - Accent2 6 2 2" xfId="31211" xr:uid="{00000000-0005-0000-0000-0000DD790000}"/>
    <cellStyle name="40% - Accent2 6 2 2 2" xfId="31212" xr:uid="{00000000-0005-0000-0000-0000DE790000}"/>
    <cellStyle name="40% - Accent2 6 2 3" xfId="31213" xr:uid="{00000000-0005-0000-0000-0000DF790000}"/>
    <cellStyle name="40% - Accent2 6 3" xfId="31214" xr:uid="{00000000-0005-0000-0000-0000E0790000}"/>
    <cellStyle name="40% - Accent2 6 3 2" xfId="31215" xr:uid="{00000000-0005-0000-0000-0000E1790000}"/>
    <cellStyle name="40% - Accent2 6 4" xfId="31216" xr:uid="{00000000-0005-0000-0000-0000E2790000}"/>
    <cellStyle name="40% - Accent2 6 5" xfId="31217" xr:uid="{00000000-0005-0000-0000-0000E3790000}"/>
    <cellStyle name="40% - Accent2 7" xfId="31218" xr:uid="{00000000-0005-0000-0000-0000E4790000}"/>
    <cellStyle name="40% - Accent2 7 2" xfId="31219" xr:uid="{00000000-0005-0000-0000-0000E5790000}"/>
    <cellStyle name="40% - Accent2 7 3" xfId="31220" xr:uid="{00000000-0005-0000-0000-0000E6790000}"/>
    <cellStyle name="40% - Accent2 7 4" xfId="31221" xr:uid="{00000000-0005-0000-0000-0000E7790000}"/>
    <cellStyle name="40% - Accent2 7 5" xfId="31222" xr:uid="{00000000-0005-0000-0000-0000E8790000}"/>
    <cellStyle name="40% - Accent2 8" xfId="31223" xr:uid="{00000000-0005-0000-0000-0000E9790000}"/>
    <cellStyle name="40% - Accent2 8 2" xfId="31224" xr:uid="{00000000-0005-0000-0000-0000EA790000}"/>
    <cellStyle name="40% - Accent2 8 3" xfId="31225" xr:uid="{00000000-0005-0000-0000-0000EB790000}"/>
    <cellStyle name="40% - Accent2 8 4" xfId="31226" xr:uid="{00000000-0005-0000-0000-0000EC790000}"/>
    <cellStyle name="40% - Accent2 8 5" xfId="31227" xr:uid="{00000000-0005-0000-0000-0000ED790000}"/>
    <cellStyle name="40% - Accent2 9" xfId="31228" xr:uid="{00000000-0005-0000-0000-0000EE790000}"/>
    <cellStyle name="40% - Accent2 9 2" xfId="31229" xr:uid="{00000000-0005-0000-0000-0000EF790000}"/>
    <cellStyle name="40% - Accent2 9 3" xfId="31230" xr:uid="{00000000-0005-0000-0000-0000F0790000}"/>
    <cellStyle name="40% - Accent2 9 4" xfId="31231" xr:uid="{00000000-0005-0000-0000-0000F1790000}"/>
    <cellStyle name="40% - Accent2 9 5" xfId="31232" xr:uid="{00000000-0005-0000-0000-0000F2790000}"/>
    <cellStyle name="40% - Accent3 10" xfId="31233" xr:uid="{00000000-0005-0000-0000-0000F3790000}"/>
    <cellStyle name="40% - Accent3 10 2" xfId="31234" xr:uid="{00000000-0005-0000-0000-0000F4790000}"/>
    <cellStyle name="40% - Accent3 10 3" xfId="31235" xr:uid="{00000000-0005-0000-0000-0000F5790000}"/>
    <cellStyle name="40% - Accent3 10 4" xfId="31236" xr:uid="{00000000-0005-0000-0000-0000F6790000}"/>
    <cellStyle name="40% - Accent3 10 5" xfId="31237" xr:uid="{00000000-0005-0000-0000-0000F7790000}"/>
    <cellStyle name="40% - Accent3 11" xfId="31238" xr:uid="{00000000-0005-0000-0000-0000F8790000}"/>
    <cellStyle name="40% - Accent3 11 2" xfId="31239" xr:uid="{00000000-0005-0000-0000-0000F9790000}"/>
    <cellStyle name="40% - Accent3 12" xfId="31240" xr:uid="{00000000-0005-0000-0000-0000FA790000}"/>
    <cellStyle name="40% - Accent3 12 2" xfId="31241" xr:uid="{00000000-0005-0000-0000-0000FB790000}"/>
    <cellStyle name="40% - Accent3 13" xfId="31242" xr:uid="{00000000-0005-0000-0000-0000FC790000}"/>
    <cellStyle name="40% - Accent3 13 2" xfId="31243" xr:uid="{00000000-0005-0000-0000-0000FD790000}"/>
    <cellStyle name="40% - Accent3 14" xfId="31244" xr:uid="{00000000-0005-0000-0000-0000FE790000}"/>
    <cellStyle name="40% - Accent3 14 2" xfId="31245" xr:uid="{00000000-0005-0000-0000-0000FF790000}"/>
    <cellStyle name="40% - Accent3 15" xfId="31246" xr:uid="{00000000-0005-0000-0000-0000007A0000}"/>
    <cellStyle name="40% - Accent3 15 2" xfId="31247" xr:uid="{00000000-0005-0000-0000-0000017A0000}"/>
    <cellStyle name="40% - Accent3 16" xfId="31248" xr:uid="{00000000-0005-0000-0000-0000027A0000}"/>
    <cellStyle name="40% - Accent3 16 2" xfId="31249" xr:uid="{00000000-0005-0000-0000-0000037A0000}"/>
    <cellStyle name="40% - Accent3 17" xfId="31250" xr:uid="{00000000-0005-0000-0000-0000047A0000}"/>
    <cellStyle name="40% - Accent3 17 2" xfId="31251" xr:uid="{00000000-0005-0000-0000-0000057A0000}"/>
    <cellStyle name="40% - Accent3 18" xfId="31252" xr:uid="{00000000-0005-0000-0000-0000067A0000}"/>
    <cellStyle name="40% - Accent3 18 2" xfId="31253" xr:uid="{00000000-0005-0000-0000-0000077A0000}"/>
    <cellStyle name="40% - Accent3 19" xfId="31254" xr:uid="{00000000-0005-0000-0000-0000087A0000}"/>
    <cellStyle name="40% - Accent3 19 2" xfId="31255" xr:uid="{00000000-0005-0000-0000-0000097A0000}"/>
    <cellStyle name="40% - Accent3 2" xfId="31256" xr:uid="{00000000-0005-0000-0000-00000A7A0000}"/>
    <cellStyle name="40% - Accent3 2 10" xfId="31257" xr:uid="{00000000-0005-0000-0000-00000B7A0000}"/>
    <cellStyle name="40% - Accent3 2 11" xfId="31258" xr:uid="{00000000-0005-0000-0000-00000C7A0000}"/>
    <cellStyle name="40% - Accent3 2 12" xfId="31259" xr:uid="{00000000-0005-0000-0000-00000D7A0000}"/>
    <cellStyle name="40% - Accent3 2 13" xfId="31260" xr:uid="{00000000-0005-0000-0000-00000E7A0000}"/>
    <cellStyle name="40% - Accent3 2 14" xfId="31261" xr:uid="{00000000-0005-0000-0000-00000F7A0000}"/>
    <cellStyle name="40% - Accent3 2 15" xfId="31262" xr:uid="{00000000-0005-0000-0000-0000107A0000}"/>
    <cellStyle name="40% - Accent3 2 16" xfId="31263" xr:uid="{00000000-0005-0000-0000-0000117A0000}"/>
    <cellStyle name="40% - Accent3 2 16 2" xfId="31264" xr:uid="{00000000-0005-0000-0000-0000127A0000}"/>
    <cellStyle name="40% - Accent3 2 16 2 2" xfId="31265" xr:uid="{00000000-0005-0000-0000-0000137A0000}"/>
    <cellStyle name="40% - Accent3 2 16 3" xfId="31266" xr:uid="{00000000-0005-0000-0000-0000147A0000}"/>
    <cellStyle name="40% - Accent3 2 17" xfId="31267" xr:uid="{00000000-0005-0000-0000-0000157A0000}"/>
    <cellStyle name="40% - Accent3 2 17 2" xfId="31268" xr:uid="{00000000-0005-0000-0000-0000167A0000}"/>
    <cellStyle name="40% - Accent3 2 18" xfId="31269" xr:uid="{00000000-0005-0000-0000-0000177A0000}"/>
    <cellStyle name="40% - Accent3 2 19" xfId="31270" xr:uid="{00000000-0005-0000-0000-0000187A0000}"/>
    <cellStyle name="40% - Accent3 2 2" xfId="31271" xr:uid="{00000000-0005-0000-0000-0000197A0000}"/>
    <cellStyle name="40% - Accent3 2 2 2" xfId="31272" xr:uid="{00000000-0005-0000-0000-00001A7A0000}"/>
    <cellStyle name="40% - Accent3 2 2 2 2" xfId="31273" xr:uid="{00000000-0005-0000-0000-00001B7A0000}"/>
    <cellStyle name="40% - Accent3 2 2 2 3" xfId="31274" xr:uid="{00000000-0005-0000-0000-00001C7A0000}"/>
    <cellStyle name="40% - Accent3 2 2 2 4" xfId="31275" xr:uid="{00000000-0005-0000-0000-00001D7A0000}"/>
    <cellStyle name="40% - Accent3 2 2 3" xfId="31276" xr:uid="{00000000-0005-0000-0000-00001E7A0000}"/>
    <cellStyle name="40% - Accent3 2 2 4" xfId="31277" xr:uid="{00000000-0005-0000-0000-00001F7A0000}"/>
    <cellStyle name="40% - Accent3 2 2 5" xfId="31278" xr:uid="{00000000-0005-0000-0000-0000207A0000}"/>
    <cellStyle name="40% - Accent3 2 2 6" xfId="31279" xr:uid="{00000000-0005-0000-0000-0000217A0000}"/>
    <cellStyle name="40% - Accent3 2 2_Proj" xfId="31280" xr:uid="{00000000-0005-0000-0000-0000227A0000}"/>
    <cellStyle name="40% - Accent3 2 3" xfId="31281" xr:uid="{00000000-0005-0000-0000-0000237A0000}"/>
    <cellStyle name="40% - Accent3 2 3 2" xfId="31282" xr:uid="{00000000-0005-0000-0000-0000247A0000}"/>
    <cellStyle name="40% - Accent3 2 3 2 2" xfId="31283" xr:uid="{00000000-0005-0000-0000-0000257A0000}"/>
    <cellStyle name="40% - Accent3 2 4" xfId="31284" xr:uid="{00000000-0005-0000-0000-0000267A0000}"/>
    <cellStyle name="40% - Accent3 2 4 2" xfId="31285" xr:uid="{00000000-0005-0000-0000-0000277A0000}"/>
    <cellStyle name="40% - Accent3 2 5" xfId="31286" xr:uid="{00000000-0005-0000-0000-0000287A0000}"/>
    <cellStyle name="40% - Accent3 2 6" xfId="31287" xr:uid="{00000000-0005-0000-0000-0000297A0000}"/>
    <cellStyle name="40% - Accent3 2 7" xfId="31288" xr:uid="{00000000-0005-0000-0000-00002A7A0000}"/>
    <cellStyle name="40% - Accent3 2 8" xfId="31289" xr:uid="{00000000-0005-0000-0000-00002B7A0000}"/>
    <cellStyle name="40% - Accent3 2 9" xfId="31290" xr:uid="{00000000-0005-0000-0000-00002C7A0000}"/>
    <cellStyle name="40% - Accent3 2_Labour" xfId="31291" xr:uid="{00000000-0005-0000-0000-00002D7A0000}"/>
    <cellStyle name="40% - Accent3 20" xfId="31292" xr:uid="{00000000-0005-0000-0000-00002E7A0000}"/>
    <cellStyle name="40% - Accent3 20 2" xfId="31293" xr:uid="{00000000-0005-0000-0000-00002F7A0000}"/>
    <cellStyle name="40% - Accent3 21" xfId="31294" xr:uid="{00000000-0005-0000-0000-0000307A0000}"/>
    <cellStyle name="40% - Accent3 21 2" xfId="31295" xr:uid="{00000000-0005-0000-0000-0000317A0000}"/>
    <cellStyle name="40% - Accent3 22" xfId="31296" xr:uid="{00000000-0005-0000-0000-0000327A0000}"/>
    <cellStyle name="40% - Accent3 22 2" xfId="31297" xr:uid="{00000000-0005-0000-0000-0000337A0000}"/>
    <cellStyle name="40% - Accent3 23" xfId="31298" xr:uid="{00000000-0005-0000-0000-0000347A0000}"/>
    <cellStyle name="40% - Accent3 24" xfId="31299" xr:uid="{00000000-0005-0000-0000-0000357A0000}"/>
    <cellStyle name="40% - Accent3 25" xfId="31300" xr:uid="{00000000-0005-0000-0000-0000367A0000}"/>
    <cellStyle name="40% - Accent3 26" xfId="31301" xr:uid="{00000000-0005-0000-0000-0000377A0000}"/>
    <cellStyle name="40% - Accent3 27" xfId="31302" xr:uid="{00000000-0005-0000-0000-0000387A0000}"/>
    <cellStyle name="40% - Accent3 28" xfId="31303" xr:uid="{00000000-0005-0000-0000-0000397A0000}"/>
    <cellStyle name="40% - Accent3 29" xfId="31304" xr:uid="{00000000-0005-0000-0000-00003A7A0000}"/>
    <cellStyle name="40% - Accent3 3" xfId="31305" xr:uid="{00000000-0005-0000-0000-00003B7A0000}"/>
    <cellStyle name="40% - Accent3 3 2" xfId="31306" xr:uid="{00000000-0005-0000-0000-00003C7A0000}"/>
    <cellStyle name="40% - Accent3 3 2 2" xfId="31307" xr:uid="{00000000-0005-0000-0000-00003D7A0000}"/>
    <cellStyle name="40% - Accent3 3 2 2 2" xfId="31308" xr:uid="{00000000-0005-0000-0000-00003E7A0000}"/>
    <cellStyle name="40% - Accent3 3 2 2 3" xfId="31309" xr:uid="{00000000-0005-0000-0000-00003F7A0000}"/>
    <cellStyle name="40% - Accent3 3 2 2 4" xfId="31310" xr:uid="{00000000-0005-0000-0000-0000407A0000}"/>
    <cellStyle name="40% - Accent3 3 2 3" xfId="31311" xr:uid="{00000000-0005-0000-0000-0000417A0000}"/>
    <cellStyle name="40% - Accent3 3 2 3 2" xfId="31312" xr:uid="{00000000-0005-0000-0000-0000427A0000}"/>
    <cellStyle name="40% - Accent3 3 2 4" xfId="31313" xr:uid="{00000000-0005-0000-0000-0000437A0000}"/>
    <cellStyle name="40% - Accent3 3 2 5" xfId="31314" xr:uid="{00000000-0005-0000-0000-0000447A0000}"/>
    <cellStyle name="40% - Accent3 3 3" xfId="31315" xr:uid="{00000000-0005-0000-0000-0000457A0000}"/>
    <cellStyle name="40% - Accent3 3 4" xfId="31316" xr:uid="{00000000-0005-0000-0000-0000467A0000}"/>
    <cellStyle name="40% - Accent3 3 5" xfId="31317" xr:uid="{00000000-0005-0000-0000-0000477A0000}"/>
    <cellStyle name="40% - Accent3 3 6" xfId="31318" xr:uid="{00000000-0005-0000-0000-0000487A0000}"/>
    <cellStyle name="40% - Accent3 3_Labour" xfId="31319" xr:uid="{00000000-0005-0000-0000-0000497A0000}"/>
    <cellStyle name="40% - Accent3 30" xfId="31320" xr:uid="{00000000-0005-0000-0000-00004A7A0000}"/>
    <cellStyle name="40% - Accent3 31" xfId="31321" xr:uid="{00000000-0005-0000-0000-00004B7A0000}"/>
    <cellStyle name="40% - Accent3 32" xfId="31322" xr:uid="{00000000-0005-0000-0000-00004C7A0000}"/>
    <cellStyle name="40% - Accent3 33" xfId="31323" xr:uid="{00000000-0005-0000-0000-00004D7A0000}"/>
    <cellStyle name="40% - Accent3 34" xfId="31324" xr:uid="{00000000-0005-0000-0000-00004E7A0000}"/>
    <cellStyle name="40% - Accent3 4" xfId="31325" xr:uid="{00000000-0005-0000-0000-00004F7A0000}"/>
    <cellStyle name="40% - Accent3 4 2" xfId="31326" xr:uid="{00000000-0005-0000-0000-0000507A0000}"/>
    <cellStyle name="40% - Accent3 4 2 2" xfId="31327" xr:uid="{00000000-0005-0000-0000-0000517A0000}"/>
    <cellStyle name="40% - Accent3 4 2 2 2" xfId="31328" xr:uid="{00000000-0005-0000-0000-0000527A0000}"/>
    <cellStyle name="40% - Accent3 4 2 3" xfId="31329" xr:uid="{00000000-0005-0000-0000-0000537A0000}"/>
    <cellStyle name="40% - Accent3 4 3" xfId="31330" xr:uid="{00000000-0005-0000-0000-0000547A0000}"/>
    <cellStyle name="40% - Accent3 4 4" xfId="31331" xr:uid="{00000000-0005-0000-0000-0000557A0000}"/>
    <cellStyle name="40% - Accent3 4 5" xfId="31332" xr:uid="{00000000-0005-0000-0000-0000567A0000}"/>
    <cellStyle name="40% - Accent3 4 6" xfId="31333" xr:uid="{00000000-0005-0000-0000-0000577A0000}"/>
    <cellStyle name="40% - Accent3 4_Labour" xfId="31334" xr:uid="{00000000-0005-0000-0000-0000587A0000}"/>
    <cellStyle name="40% - Accent3 5" xfId="31335" xr:uid="{00000000-0005-0000-0000-0000597A0000}"/>
    <cellStyle name="40% - Accent3 5 2" xfId="31336" xr:uid="{00000000-0005-0000-0000-00005A7A0000}"/>
    <cellStyle name="40% - Accent3 5 2 2" xfId="31337" xr:uid="{00000000-0005-0000-0000-00005B7A0000}"/>
    <cellStyle name="40% - Accent3 5 2 2 2" xfId="31338" xr:uid="{00000000-0005-0000-0000-00005C7A0000}"/>
    <cellStyle name="40% - Accent3 5 2 3" xfId="31339" xr:uid="{00000000-0005-0000-0000-00005D7A0000}"/>
    <cellStyle name="40% - Accent3 5 3" xfId="31340" xr:uid="{00000000-0005-0000-0000-00005E7A0000}"/>
    <cellStyle name="40% - Accent3 5 3 2" xfId="31341" xr:uid="{00000000-0005-0000-0000-00005F7A0000}"/>
    <cellStyle name="40% - Accent3 5 4" xfId="31342" xr:uid="{00000000-0005-0000-0000-0000607A0000}"/>
    <cellStyle name="40% - Accent3 5 5" xfId="31343" xr:uid="{00000000-0005-0000-0000-0000617A0000}"/>
    <cellStyle name="40% - Accent3 5_Proj" xfId="31344" xr:uid="{00000000-0005-0000-0000-0000627A0000}"/>
    <cellStyle name="40% - Accent3 6" xfId="31345" xr:uid="{00000000-0005-0000-0000-0000637A0000}"/>
    <cellStyle name="40% - Accent3 6 2" xfId="31346" xr:uid="{00000000-0005-0000-0000-0000647A0000}"/>
    <cellStyle name="40% - Accent3 6 2 2" xfId="31347" xr:uid="{00000000-0005-0000-0000-0000657A0000}"/>
    <cellStyle name="40% - Accent3 6 2 2 2" xfId="31348" xr:uid="{00000000-0005-0000-0000-0000667A0000}"/>
    <cellStyle name="40% - Accent3 6 2 3" xfId="31349" xr:uid="{00000000-0005-0000-0000-0000677A0000}"/>
    <cellStyle name="40% - Accent3 6 3" xfId="31350" xr:uid="{00000000-0005-0000-0000-0000687A0000}"/>
    <cellStyle name="40% - Accent3 6 3 2" xfId="31351" xr:uid="{00000000-0005-0000-0000-0000697A0000}"/>
    <cellStyle name="40% - Accent3 6 4" xfId="31352" xr:uid="{00000000-0005-0000-0000-00006A7A0000}"/>
    <cellStyle name="40% - Accent3 6 5" xfId="31353" xr:uid="{00000000-0005-0000-0000-00006B7A0000}"/>
    <cellStyle name="40% - Accent3 7" xfId="31354" xr:uid="{00000000-0005-0000-0000-00006C7A0000}"/>
    <cellStyle name="40% - Accent3 7 2" xfId="31355" xr:uid="{00000000-0005-0000-0000-00006D7A0000}"/>
    <cellStyle name="40% - Accent3 7 3" xfId="31356" xr:uid="{00000000-0005-0000-0000-00006E7A0000}"/>
    <cellStyle name="40% - Accent3 7 4" xfId="31357" xr:uid="{00000000-0005-0000-0000-00006F7A0000}"/>
    <cellStyle name="40% - Accent3 7 5" xfId="31358" xr:uid="{00000000-0005-0000-0000-0000707A0000}"/>
    <cellStyle name="40% - Accent3 8" xfId="31359" xr:uid="{00000000-0005-0000-0000-0000717A0000}"/>
    <cellStyle name="40% - Accent3 8 2" xfId="31360" xr:uid="{00000000-0005-0000-0000-0000727A0000}"/>
    <cellStyle name="40% - Accent3 8 3" xfId="31361" xr:uid="{00000000-0005-0000-0000-0000737A0000}"/>
    <cellStyle name="40% - Accent3 8 4" xfId="31362" xr:uid="{00000000-0005-0000-0000-0000747A0000}"/>
    <cellStyle name="40% - Accent3 8 5" xfId="31363" xr:uid="{00000000-0005-0000-0000-0000757A0000}"/>
    <cellStyle name="40% - Accent3 9" xfId="31364" xr:uid="{00000000-0005-0000-0000-0000767A0000}"/>
    <cellStyle name="40% - Accent3 9 2" xfId="31365" xr:uid="{00000000-0005-0000-0000-0000777A0000}"/>
    <cellStyle name="40% - Accent3 9 3" xfId="31366" xr:uid="{00000000-0005-0000-0000-0000787A0000}"/>
    <cellStyle name="40% - Accent3 9 4" xfId="31367" xr:uid="{00000000-0005-0000-0000-0000797A0000}"/>
    <cellStyle name="40% - Accent3 9 5" xfId="31368" xr:uid="{00000000-0005-0000-0000-00007A7A0000}"/>
    <cellStyle name="40% - Accent4 10" xfId="31369" xr:uid="{00000000-0005-0000-0000-00007B7A0000}"/>
    <cellStyle name="40% - Accent4 10 2" xfId="31370" xr:uid="{00000000-0005-0000-0000-00007C7A0000}"/>
    <cellStyle name="40% - Accent4 10 3" xfId="31371" xr:uid="{00000000-0005-0000-0000-00007D7A0000}"/>
    <cellStyle name="40% - Accent4 10 4" xfId="31372" xr:uid="{00000000-0005-0000-0000-00007E7A0000}"/>
    <cellStyle name="40% - Accent4 10 5" xfId="31373" xr:uid="{00000000-0005-0000-0000-00007F7A0000}"/>
    <cellStyle name="40% - Accent4 11" xfId="31374" xr:uid="{00000000-0005-0000-0000-0000807A0000}"/>
    <cellStyle name="40% - Accent4 11 2" xfId="31375" xr:uid="{00000000-0005-0000-0000-0000817A0000}"/>
    <cellStyle name="40% - Accent4 12" xfId="31376" xr:uid="{00000000-0005-0000-0000-0000827A0000}"/>
    <cellStyle name="40% - Accent4 12 2" xfId="31377" xr:uid="{00000000-0005-0000-0000-0000837A0000}"/>
    <cellStyle name="40% - Accent4 13" xfId="31378" xr:uid="{00000000-0005-0000-0000-0000847A0000}"/>
    <cellStyle name="40% - Accent4 13 2" xfId="31379" xr:uid="{00000000-0005-0000-0000-0000857A0000}"/>
    <cellStyle name="40% - Accent4 14" xfId="31380" xr:uid="{00000000-0005-0000-0000-0000867A0000}"/>
    <cellStyle name="40% - Accent4 14 2" xfId="31381" xr:uid="{00000000-0005-0000-0000-0000877A0000}"/>
    <cellStyle name="40% - Accent4 15" xfId="31382" xr:uid="{00000000-0005-0000-0000-0000887A0000}"/>
    <cellStyle name="40% - Accent4 15 2" xfId="31383" xr:uid="{00000000-0005-0000-0000-0000897A0000}"/>
    <cellStyle name="40% - Accent4 16" xfId="31384" xr:uid="{00000000-0005-0000-0000-00008A7A0000}"/>
    <cellStyle name="40% - Accent4 16 2" xfId="31385" xr:uid="{00000000-0005-0000-0000-00008B7A0000}"/>
    <cellStyle name="40% - Accent4 17" xfId="31386" xr:uid="{00000000-0005-0000-0000-00008C7A0000}"/>
    <cellStyle name="40% - Accent4 17 2" xfId="31387" xr:uid="{00000000-0005-0000-0000-00008D7A0000}"/>
    <cellStyle name="40% - Accent4 18" xfId="31388" xr:uid="{00000000-0005-0000-0000-00008E7A0000}"/>
    <cellStyle name="40% - Accent4 18 2" xfId="31389" xr:uid="{00000000-0005-0000-0000-00008F7A0000}"/>
    <cellStyle name="40% - Accent4 19" xfId="31390" xr:uid="{00000000-0005-0000-0000-0000907A0000}"/>
    <cellStyle name="40% - Accent4 19 2" xfId="31391" xr:uid="{00000000-0005-0000-0000-0000917A0000}"/>
    <cellStyle name="40% - Accent4 2" xfId="31392" xr:uid="{00000000-0005-0000-0000-0000927A0000}"/>
    <cellStyle name="40% - Accent4 2 10" xfId="31393" xr:uid="{00000000-0005-0000-0000-0000937A0000}"/>
    <cellStyle name="40% - Accent4 2 11" xfId="31394" xr:uid="{00000000-0005-0000-0000-0000947A0000}"/>
    <cellStyle name="40% - Accent4 2 12" xfId="31395" xr:uid="{00000000-0005-0000-0000-0000957A0000}"/>
    <cellStyle name="40% - Accent4 2 13" xfId="31396" xr:uid="{00000000-0005-0000-0000-0000967A0000}"/>
    <cellStyle name="40% - Accent4 2 14" xfId="31397" xr:uid="{00000000-0005-0000-0000-0000977A0000}"/>
    <cellStyle name="40% - Accent4 2 15" xfId="31398" xr:uid="{00000000-0005-0000-0000-0000987A0000}"/>
    <cellStyle name="40% - Accent4 2 16" xfId="31399" xr:uid="{00000000-0005-0000-0000-0000997A0000}"/>
    <cellStyle name="40% - Accent4 2 16 2" xfId="31400" xr:uid="{00000000-0005-0000-0000-00009A7A0000}"/>
    <cellStyle name="40% - Accent4 2 16 2 2" xfId="31401" xr:uid="{00000000-0005-0000-0000-00009B7A0000}"/>
    <cellStyle name="40% - Accent4 2 16 3" xfId="31402" xr:uid="{00000000-0005-0000-0000-00009C7A0000}"/>
    <cellStyle name="40% - Accent4 2 17" xfId="31403" xr:uid="{00000000-0005-0000-0000-00009D7A0000}"/>
    <cellStyle name="40% - Accent4 2 17 2" xfId="31404" xr:uid="{00000000-0005-0000-0000-00009E7A0000}"/>
    <cellStyle name="40% - Accent4 2 18" xfId="31405" xr:uid="{00000000-0005-0000-0000-00009F7A0000}"/>
    <cellStyle name="40% - Accent4 2 19" xfId="31406" xr:uid="{00000000-0005-0000-0000-0000A07A0000}"/>
    <cellStyle name="40% - Accent4 2 2" xfId="31407" xr:uid="{00000000-0005-0000-0000-0000A17A0000}"/>
    <cellStyle name="40% - Accent4 2 2 2" xfId="31408" xr:uid="{00000000-0005-0000-0000-0000A27A0000}"/>
    <cellStyle name="40% - Accent4 2 2 2 2" xfId="31409" xr:uid="{00000000-0005-0000-0000-0000A37A0000}"/>
    <cellStyle name="40% - Accent4 2 2 2 3" xfId="31410" xr:uid="{00000000-0005-0000-0000-0000A47A0000}"/>
    <cellStyle name="40% - Accent4 2 2 2 4" xfId="31411" xr:uid="{00000000-0005-0000-0000-0000A57A0000}"/>
    <cellStyle name="40% - Accent4 2 2 3" xfId="31412" xr:uid="{00000000-0005-0000-0000-0000A67A0000}"/>
    <cellStyle name="40% - Accent4 2 2 4" xfId="31413" xr:uid="{00000000-0005-0000-0000-0000A77A0000}"/>
    <cellStyle name="40% - Accent4 2 2 5" xfId="31414" xr:uid="{00000000-0005-0000-0000-0000A87A0000}"/>
    <cellStyle name="40% - Accent4 2 2 6" xfId="31415" xr:uid="{00000000-0005-0000-0000-0000A97A0000}"/>
    <cellStyle name="40% - Accent4 2 2_Proj" xfId="31416" xr:uid="{00000000-0005-0000-0000-0000AA7A0000}"/>
    <cellStyle name="40% - Accent4 2 3" xfId="31417" xr:uid="{00000000-0005-0000-0000-0000AB7A0000}"/>
    <cellStyle name="40% - Accent4 2 3 2" xfId="31418" xr:uid="{00000000-0005-0000-0000-0000AC7A0000}"/>
    <cellStyle name="40% - Accent4 2 3 2 2" xfId="31419" xr:uid="{00000000-0005-0000-0000-0000AD7A0000}"/>
    <cellStyle name="40% - Accent4 2 4" xfId="31420" xr:uid="{00000000-0005-0000-0000-0000AE7A0000}"/>
    <cellStyle name="40% - Accent4 2 4 2" xfId="31421" xr:uid="{00000000-0005-0000-0000-0000AF7A0000}"/>
    <cellStyle name="40% - Accent4 2 5" xfId="31422" xr:uid="{00000000-0005-0000-0000-0000B07A0000}"/>
    <cellStyle name="40% - Accent4 2 6" xfId="31423" xr:uid="{00000000-0005-0000-0000-0000B17A0000}"/>
    <cellStyle name="40% - Accent4 2 7" xfId="31424" xr:uid="{00000000-0005-0000-0000-0000B27A0000}"/>
    <cellStyle name="40% - Accent4 2 8" xfId="31425" xr:uid="{00000000-0005-0000-0000-0000B37A0000}"/>
    <cellStyle name="40% - Accent4 2 9" xfId="31426" xr:uid="{00000000-0005-0000-0000-0000B47A0000}"/>
    <cellStyle name="40% - Accent4 2_Labour" xfId="31427" xr:uid="{00000000-0005-0000-0000-0000B57A0000}"/>
    <cellStyle name="40% - Accent4 20" xfId="31428" xr:uid="{00000000-0005-0000-0000-0000B67A0000}"/>
    <cellStyle name="40% - Accent4 20 2" xfId="31429" xr:uid="{00000000-0005-0000-0000-0000B77A0000}"/>
    <cellStyle name="40% - Accent4 21" xfId="31430" xr:uid="{00000000-0005-0000-0000-0000B87A0000}"/>
    <cellStyle name="40% - Accent4 21 2" xfId="31431" xr:uid="{00000000-0005-0000-0000-0000B97A0000}"/>
    <cellStyle name="40% - Accent4 22" xfId="31432" xr:uid="{00000000-0005-0000-0000-0000BA7A0000}"/>
    <cellStyle name="40% - Accent4 22 2" xfId="31433" xr:uid="{00000000-0005-0000-0000-0000BB7A0000}"/>
    <cellStyle name="40% - Accent4 23" xfId="31434" xr:uid="{00000000-0005-0000-0000-0000BC7A0000}"/>
    <cellStyle name="40% - Accent4 24" xfId="31435" xr:uid="{00000000-0005-0000-0000-0000BD7A0000}"/>
    <cellStyle name="40% - Accent4 25" xfId="31436" xr:uid="{00000000-0005-0000-0000-0000BE7A0000}"/>
    <cellStyle name="40% - Accent4 26" xfId="31437" xr:uid="{00000000-0005-0000-0000-0000BF7A0000}"/>
    <cellStyle name="40% - Accent4 27" xfId="31438" xr:uid="{00000000-0005-0000-0000-0000C07A0000}"/>
    <cellStyle name="40% - Accent4 28" xfId="31439" xr:uid="{00000000-0005-0000-0000-0000C17A0000}"/>
    <cellStyle name="40% - Accent4 29" xfId="31440" xr:uid="{00000000-0005-0000-0000-0000C27A0000}"/>
    <cellStyle name="40% - Accent4 3" xfId="31441" xr:uid="{00000000-0005-0000-0000-0000C37A0000}"/>
    <cellStyle name="40% - Accent4 3 2" xfId="31442" xr:uid="{00000000-0005-0000-0000-0000C47A0000}"/>
    <cellStyle name="40% - Accent4 3 2 2" xfId="31443" xr:uid="{00000000-0005-0000-0000-0000C57A0000}"/>
    <cellStyle name="40% - Accent4 3 2 2 2" xfId="31444" xr:uid="{00000000-0005-0000-0000-0000C67A0000}"/>
    <cellStyle name="40% - Accent4 3 2 2 3" xfId="31445" xr:uid="{00000000-0005-0000-0000-0000C77A0000}"/>
    <cellStyle name="40% - Accent4 3 2 2 4" xfId="31446" xr:uid="{00000000-0005-0000-0000-0000C87A0000}"/>
    <cellStyle name="40% - Accent4 3 2 3" xfId="31447" xr:uid="{00000000-0005-0000-0000-0000C97A0000}"/>
    <cellStyle name="40% - Accent4 3 2 3 2" xfId="31448" xr:uid="{00000000-0005-0000-0000-0000CA7A0000}"/>
    <cellStyle name="40% - Accent4 3 2 4" xfId="31449" xr:uid="{00000000-0005-0000-0000-0000CB7A0000}"/>
    <cellStyle name="40% - Accent4 3 2 5" xfId="31450" xr:uid="{00000000-0005-0000-0000-0000CC7A0000}"/>
    <cellStyle name="40% - Accent4 3 3" xfId="31451" xr:uid="{00000000-0005-0000-0000-0000CD7A0000}"/>
    <cellStyle name="40% - Accent4 3 4" xfId="31452" xr:uid="{00000000-0005-0000-0000-0000CE7A0000}"/>
    <cellStyle name="40% - Accent4 3 5" xfId="31453" xr:uid="{00000000-0005-0000-0000-0000CF7A0000}"/>
    <cellStyle name="40% - Accent4 3 6" xfId="31454" xr:uid="{00000000-0005-0000-0000-0000D07A0000}"/>
    <cellStyle name="40% - Accent4 3_Labour" xfId="31455" xr:uid="{00000000-0005-0000-0000-0000D17A0000}"/>
    <cellStyle name="40% - Accent4 30" xfId="31456" xr:uid="{00000000-0005-0000-0000-0000D27A0000}"/>
    <cellStyle name="40% - Accent4 31" xfId="31457" xr:uid="{00000000-0005-0000-0000-0000D37A0000}"/>
    <cellStyle name="40% - Accent4 32" xfId="31458" xr:uid="{00000000-0005-0000-0000-0000D47A0000}"/>
    <cellStyle name="40% - Accent4 33" xfId="31459" xr:uid="{00000000-0005-0000-0000-0000D57A0000}"/>
    <cellStyle name="40% - Accent4 34" xfId="31460" xr:uid="{00000000-0005-0000-0000-0000D67A0000}"/>
    <cellStyle name="40% - Accent4 4" xfId="31461" xr:uid="{00000000-0005-0000-0000-0000D77A0000}"/>
    <cellStyle name="40% - Accent4 4 2" xfId="31462" xr:uid="{00000000-0005-0000-0000-0000D87A0000}"/>
    <cellStyle name="40% - Accent4 4 2 2" xfId="31463" xr:uid="{00000000-0005-0000-0000-0000D97A0000}"/>
    <cellStyle name="40% - Accent4 4 2 2 2" xfId="31464" xr:uid="{00000000-0005-0000-0000-0000DA7A0000}"/>
    <cellStyle name="40% - Accent4 4 2 3" xfId="31465" xr:uid="{00000000-0005-0000-0000-0000DB7A0000}"/>
    <cellStyle name="40% - Accent4 4 3" xfId="31466" xr:uid="{00000000-0005-0000-0000-0000DC7A0000}"/>
    <cellStyle name="40% - Accent4 4 4" xfId="31467" xr:uid="{00000000-0005-0000-0000-0000DD7A0000}"/>
    <cellStyle name="40% - Accent4 4 5" xfId="31468" xr:uid="{00000000-0005-0000-0000-0000DE7A0000}"/>
    <cellStyle name="40% - Accent4 4 6" xfId="31469" xr:uid="{00000000-0005-0000-0000-0000DF7A0000}"/>
    <cellStyle name="40% - Accent4 4_Labour" xfId="31470" xr:uid="{00000000-0005-0000-0000-0000E07A0000}"/>
    <cellStyle name="40% - Accent4 5" xfId="31471" xr:uid="{00000000-0005-0000-0000-0000E17A0000}"/>
    <cellStyle name="40% - Accent4 5 2" xfId="31472" xr:uid="{00000000-0005-0000-0000-0000E27A0000}"/>
    <cellStyle name="40% - Accent4 5 2 2" xfId="31473" xr:uid="{00000000-0005-0000-0000-0000E37A0000}"/>
    <cellStyle name="40% - Accent4 5 2 2 2" xfId="31474" xr:uid="{00000000-0005-0000-0000-0000E47A0000}"/>
    <cellStyle name="40% - Accent4 5 2 3" xfId="31475" xr:uid="{00000000-0005-0000-0000-0000E57A0000}"/>
    <cellStyle name="40% - Accent4 5 3" xfId="31476" xr:uid="{00000000-0005-0000-0000-0000E67A0000}"/>
    <cellStyle name="40% - Accent4 5 3 2" xfId="31477" xr:uid="{00000000-0005-0000-0000-0000E77A0000}"/>
    <cellStyle name="40% - Accent4 5 4" xfId="31478" xr:uid="{00000000-0005-0000-0000-0000E87A0000}"/>
    <cellStyle name="40% - Accent4 5 5" xfId="31479" xr:uid="{00000000-0005-0000-0000-0000E97A0000}"/>
    <cellStyle name="40% - Accent4 5_Proj" xfId="31480" xr:uid="{00000000-0005-0000-0000-0000EA7A0000}"/>
    <cellStyle name="40% - Accent4 6" xfId="31481" xr:uid="{00000000-0005-0000-0000-0000EB7A0000}"/>
    <cellStyle name="40% - Accent4 6 2" xfId="31482" xr:uid="{00000000-0005-0000-0000-0000EC7A0000}"/>
    <cellStyle name="40% - Accent4 6 2 2" xfId="31483" xr:uid="{00000000-0005-0000-0000-0000ED7A0000}"/>
    <cellStyle name="40% - Accent4 6 2 2 2" xfId="31484" xr:uid="{00000000-0005-0000-0000-0000EE7A0000}"/>
    <cellStyle name="40% - Accent4 6 2 3" xfId="31485" xr:uid="{00000000-0005-0000-0000-0000EF7A0000}"/>
    <cellStyle name="40% - Accent4 6 3" xfId="31486" xr:uid="{00000000-0005-0000-0000-0000F07A0000}"/>
    <cellStyle name="40% - Accent4 6 3 2" xfId="31487" xr:uid="{00000000-0005-0000-0000-0000F17A0000}"/>
    <cellStyle name="40% - Accent4 6 4" xfId="31488" xr:uid="{00000000-0005-0000-0000-0000F27A0000}"/>
    <cellStyle name="40% - Accent4 6 5" xfId="31489" xr:uid="{00000000-0005-0000-0000-0000F37A0000}"/>
    <cellStyle name="40% - Accent4 7" xfId="31490" xr:uid="{00000000-0005-0000-0000-0000F47A0000}"/>
    <cellStyle name="40% - Accent4 7 2" xfId="31491" xr:uid="{00000000-0005-0000-0000-0000F57A0000}"/>
    <cellStyle name="40% - Accent4 7 3" xfId="31492" xr:uid="{00000000-0005-0000-0000-0000F67A0000}"/>
    <cellStyle name="40% - Accent4 7 4" xfId="31493" xr:uid="{00000000-0005-0000-0000-0000F77A0000}"/>
    <cellStyle name="40% - Accent4 7 5" xfId="31494" xr:uid="{00000000-0005-0000-0000-0000F87A0000}"/>
    <cellStyle name="40% - Accent4 8" xfId="31495" xr:uid="{00000000-0005-0000-0000-0000F97A0000}"/>
    <cellStyle name="40% - Accent4 8 2" xfId="31496" xr:uid="{00000000-0005-0000-0000-0000FA7A0000}"/>
    <cellStyle name="40% - Accent4 8 3" xfId="31497" xr:uid="{00000000-0005-0000-0000-0000FB7A0000}"/>
    <cellStyle name="40% - Accent4 8 4" xfId="31498" xr:uid="{00000000-0005-0000-0000-0000FC7A0000}"/>
    <cellStyle name="40% - Accent4 8 5" xfId="31499" xr:uid="{00000000-0005-0000-0000-0000FD7A0000}"/>
    <cellStyle name="40% - Accent4 9" xfId="31500" xr:uid="{00000000-0005-0000-0000-0000FE7A0000}"/>
    <cellStyle name="40% - Accent4 9 2" xfId="31501" xr:uid="{00000000-0005-0000-0000-0000FF7A0000}"/>
    <cellStyle name="40% - Accent4 9 3" xfId="31502" xr:uid="{00000000-0005-0000-0000-0000007B0000}"/>
    <cellStyle name="40% - Accent4 9 4" xfId="31503" xr:uid="{00000000-0005-0000-0000-0000017B0000}"/>
    <cellStyle name="40% - Accent4 9 5" xfId="31504" xr:uid="{00000000-0005-0000-0000-0000027B0000}"/>
    <cellStyle name="40% - Accent5 10" xfId="31505" xr:uid="{00000000-0005-0000-0000-0000037B0000}"/>
    <cellStyle name="40% - Accent5 10 2" xfId="31506" xr:uid="{00000000-0005-0000-0000-0000047B0000}"/>
    <cellStyle name="40% - Accent5 10 3" xfId="31507" xr:uid="{00000000-0005-0000-0000-0000057B0000}"/>
    <cellStyle name="40% - Accent5 10 4" xfId="31508" xr:uid="{00000000-0005-0000-0000-0000067B0000}"/>
    <cellStyle name="40% - Accent5 10 5" xfId="31509" xr:uid="{00000000-0005-0000-0000-0000077B0000}"/>
    <cellStyle name="40% - Accent5 11" xfId="31510" xr:uid="{00000000-0005-0000-0000-0000087B0000}"/>
    <cellStyle name="40% - Accent5 11 2" xfId="31511" xr:uid="{00000000-0005-0000-0000-0000097B0000}"/>
    <cellStyle name="40% - Accent5 12" xfId="31512" xr:uid="{00000000-0005-0000-0000-00000A7B0000}"/>
    <cellStyle name="40% - Accent5 12 2" xfId="31513" xr:uid="{00000000-0005-0000-0000-00000B7B0000}"/>
    <cellStyle name="40% - Accent5 13" xfId="31514" xr:uid="{00000000-0005-0000-0000-00000C7B0000}"/>
    <cellStyle name="40% - Accent5 13 2" xfId="31515" xr:uid="{00000000-0005-0000-0000-00000D7B0000}"/>
    <cellStyle name="40% - Accent5 14" xfId="31516" xr:uid="{00000000-0005-0000-0000-00000E7B0000}"/>
    <cellStyle name="40% - Accent5 14 2" xfId="31517" xr:uid="{00000000-0005-0000-0000-00000F7B0000}"/>
    <cellStyle name="40% - Accent5 15" xfId="31518" xr:uid="{00000000-0005-0000-0000-0000107B0000}"/>
    <cellStyle name="40% - Accent5 15 2" xfId="31519" xr:uid="{00000000-0005-0000-0000-0000117B0000}"/>
    <cellStyle name="40% - Accent5 16" xfId="31520" xr:uid="{00000000-0005-0000-0000-0000127B0000}"/>
    <cellStyle name="40% - Accent5 16 2" xfId="31521" xr:uid="{00000000-0005-0000-0000-0000137B0000}"/>
    <cellStyle name="40% - Accent5 17" xfId="31522" xr:uid="{00000000-0005-0000-0000-0000147B0000}"/>
    <cellStyle name="40% - Accent5 17 2" xfId="31523" xr:uid="{00000000-0005-0000-0000-0000157B0000}"/>
    <cellStyle name="40% - Accent5 18" xfId="31524" xr:uid="{00000000-0005-0000-0000-0000167B0000}"/>
    <cellStyle name="40% - Accent5 18 2" xfId="31525" xr:uid="{00000000-0005-0000-0000-0000177B0000}"/>
    <cellStyle name="40% - Accent5 19" xfId="31526" xr:uid="{00000000-0005-0000-0000-0000187B0000}"/>
    <cellStyle name="40% - Accent5 19 2" xfId="31527" xr:uid="{00000000-0005-0000-0000-0000197B0000}"/>
    <cellStyle name="40% - Accent5 2" xfId="31528" xr:uid="{00000000-0005-0000-0000-00001A7B0000}"/>
    <cellStyle name="40% - Accent5 2 10" xfId="31529" xr:uid="{00000000-0005-0000-0000-00001B7B0000}"/>
    <cellStyle name="40% - Accent5 2 11" xfId="31530" xr:uid="{00000000-0005-0000-0000-00001C7B0000}"/>
    <cellStyle name="40% - Accent5 2 12" xfId="31531" xr:uid="{00000000-0005-0000-0000-00001D7B0000}"/>
    <cellStyle name="40% - Accent5 2 13" xfId="31532" xr:uid="{00000000-0005-0000-0000-00001E7B0000}"/>
    <cellStyle name="40% - Accent5 2 14" xfId="31533" xr:uid="{00000000-0005-0000-0000-00001F7B0000}"/>
    <cellStyle name="40% - Accent5 2 15" xfId="31534" xr:uid="{00000000-0005-0000-0000-0000207B0000}"/>
    <cellStyle name="40% - Accent5 2 16" xfId="31535" xr:uid="{00000000-0005-0000-0000-0000217B0000}"/>
    <cellStyle name="40% - Accent5 2 16 2" xfId="31536" xr:uid="{00000000-0005-0000-0000-0000227B0000}"/>
    <cellStyle name="40% - Accent5 2 16 2 2" xfId="31537" xr:uid="{00000000-0005-0000-0000-0000237B0000}"/>
    <cellStyle name="40% - Accent5 2 16 3" xfId="31538" xr:uid="{00000000-0005-0000-0000-0000247B0000}"/>
    <cellStyle name="40% - Accent5 2 17" xfId="31539" xr:uid="{00000000-0005-0000-0000-0000257B0000}"/>
    <cellStyle name="40% - Accent5 2 17 2" xfId="31540" xr:uid="{00000000-0005-0000-0000-0000267B0000}"/>
    <cellStyle name="40% - Accent5 2 18" xfId="31541" xr:uid="{00000000-0005-0000-0000-0000277B0000}"/>
    <cellStyle name="40% - Accent5 2 19" xfId="31542" xr:uid="{00000000-0005-0000-0000-0000287B0000}"/>
    <cellStyle name="40% - Accent5 2 2" xfId="31543" xr:uid="{00000000-0005-0000-0000-0000297B0000}"/>
    <cellStyle name="40% - Accent5 2 2 2" xfId="31544" xr:uid="{00000000-0005-0000-0000-00002A7B0000}"/>
    <cellStyle name="40% - Accent5 2 2 2 2" xfId="31545" xr:uid="{00000000-0005-0000-0000-00002B7B0000}"/>
    <cellStyle name="40% - Accent5 2 2 2 3" xfId="31546" xr:uid="{00000000-0005-0000-0000-00002C7B0000}"/>
    <cellStyle name="40% - Accent5 2 2 2 4" xfId="31547" xr:uid="{00000000-0005-0000-0000-00002D7B0000}"/>
    <cellStyle name="40% - Accent5 2 2 3" xfId="31548" xr:uid="{00000000-0005-0000-0000-00002E7B0000}"/>
    <cellStyle name="40% - Accent5 2 2 4" xfId="31549" xr:uid="{00000000-0005-0000-0000-00002F7B0000}"/>
    <cellStyle name="40% - Accent5 2 2 5" xfId="31550" xr:uid="{00000000-0005-0000-0000-0000307B0000}"/>
    <cellStyle name="40% - Accent5 2 2 6" xfId="31551" xr:uid="{00000000-0005-0000-0000-0000317B0000}"/>
    <cellStyle name="40% - Accent5 2 2_Proj" xfId="31552" xr:uid="{00000000-0005-0000-0000-0000327B0000}"/>
    <cellStyle name="40% - Accent5 2 3" xfId="31553" xr:uid="{00000000-0005-0000-0000-0000337B0000}"/>
    <cellStyle name="40% - Accent5 2 3 2" xfId="31554" xr:uid="{00000000-0005-0000-0000-0000347B0000}"/>
    <cellStyle name="40% - Accent5 2 3 2 2" xfId="31555" xr:uid="{00000000-0005-0000-0000-0000357B0000}"/>
    <cellStyle name="40% - Accent5 2 4" xfId="31556" xr:uid="{00000000-0005-0000-0000-0000367B0000}"/>
    <cellStyle name="40% - Accent5 2 4 2" xfId="31557" xr:uid="{00000000-0005-0000-0000-0000377B0000}"/>
    <cellStyle name="40% - Accent5 2 5" xfId="31558" xr:uid="{00000000-0005-0000-0000-0000387B0000}"/>
    <cellStyle name="40% - Accent5 2 6" xfId="31559" xr:uid="{00000000-0005-0000-0000-0000397B0000}"/>
    <cellStyle name="40% - Accent5 2 7" xfId="31560" xr:uid="{00000000-0005-0000-0000-00003A7B0000}"/>
    <cellStyle name="40% - Accent5 2 8" xfId="31561" xr:uid="{00000000-0005-0000-0000-00003B7B0000}"/>
    <cellStyle name="40% - Accent5 2 9" xfId="31562" xr:uid="{00000000-0005-0000-0000-00003C7B0000}"/>
    <cellStyle name="40% - Accent5 2_Labour" xfId="31563" xr:uid="{00000000-0005-0000-0000-00003D7B0000}"/>
    <cellStyle name="40% - Accent5 20" xfId="31564" xr:uid="{00000000-0005-0000-0000-00003E7B0000}"/>
    <cellStyle name="40% - Accent5 20 2" xfId="31565" xr:uid="{00000000-0005-0000-0000-00003F7B0000}"/>
    <cellStyle name="40% - Accent5 21" xfId="31566" xr:uid="{00000000-0005-0000-0000-0000407B0000}"/>
    <cellStyle name="40% - Accent5 21 2" xfId="31567" xr:uid="{00000000-0005-0000-0000-0000417B0000}"/>
    <cellStyle name="40% - Accent5 22" xfId="31568" xr:uid="{00000000-0005-0000-0000-0000427B0000}"/>
    <cellStyle name="40% - Accent5 22 2" xfId="31569" xr:uid="{00000000-0005-0000-0000-0000437B0000}"/>
    <cellStyle name="40% - Accent5 23" xfId="31570" xr:uid="{00000000-0005-0000-0000-0000447B0000}"/>
    <cellStyle name="40% - Accent5 24" xfId="31571" xr:uid="{00000000-0005-0000-0000-0000457B0000}"/>
    <cellStyle name="40% - Accent5 25" xfId="31572" xr:uid="{00000000-0005-0000-0000-0000467B0000}"/>
    <cellStyle name="40% - Accent5 26" xfId="31573" xr:uid="{00000000-0005-0000-0000-0000477B0000}"/>
    <cellStyle name="40% - Accent5 27" xfId="31574" xr:uid="{00000000-0005-0000-0000-0000487B0000}"/>
    <cellStyle name="40% - Accent5 28" xfId="31575" xr:uid="{00000000-0005-0000-0000-0000497B0000}"/>
    <cellStyle name="40% - Accent5 29" xfId="31576" xr:uid="{00000000-0005-0000-0000-00004A7B0000}"/>
    <cellStyle name="40% - Accent5 3" xfId="31577" xr:uid="{00000000-0005-0000-0000-00004B7B0000}"/>
    <cellStyle name="40% - Accent5 3 2" xfId="31578" xr:uid="{00000000-0005-0000-0000-00004C7B0000}"/>
    <cellStyle name="40% - Accent5 3 2 2" xfId="31579" xr:uid="{00000000-0005-0000-0000-00004D7B0000}"/>
    <cellStyle name="40% - Accent5 3 2 2 2" xfId="31580" xr:uid="{00000000-0005-0000-0000-00004E7B0000}"/>
    <cellStyle name="40% - Accent5 3 2 2 3" xfId="31581" xr:uid="{00000000-0005-0000-0000-00004F7B0000}"/>
    <cellStyle name="40% - Accent5 3 2 2 4" xfId="31582" xr:uid="{00000000-0005-0000-0000-0000507B0000}"/>
    <cellStyle name="40% - Accent5 3 2 3" xfId="31583" xr:uid="{00000000-0005-0000-0000-0000517B0000}"/>
    <cellStyle name="40% - Accent5 3 2 3 2" xfId="31584" xr:uid="{00000000-0005-0000-0000-0000527B0000}"/>
    <cellStyle name="40% - Accent5 3 2 4" xfId="31585" xr:uid="{00000000-0005-0000-0000-0000537B0000}"/>
    <cellStyle name="40% - Accent5 3 2 5" xfId="31586" xr:uid="{00000000-0005-0000-0000-0000547B0000}"/>
    <cellStyle name="40% - Accent5 3 3" xfId="31587" xr:uid="{00000000-0005-0000-0000-0000557B0000}"/>
    <cellStyle name="40% - Accent5 3 4" xfId="31588" xr:uid="{00000000-0005-0000-0000-0000567B0000}"/>
    <cellStyle name="40% - Accent5 3 5" xfId="31589" xr:uid="{00000000-0005-0000-0000-0000577B0000}"/>
    <cellStyle name="40% - Accent5 3 6" xfId="31590" xr:uid="{00000000-0005-0000-0000-0000587B0000}"/>
    <cellStyle name="40% - Accent5 3_Labour" xfId="31591" xr:uid="{00000000-0005-0000-0000-0000597B0000}"/>
    <cellStyle name="40% - Accent5 30" xfId="31592" xr:uid="{00000000-0005-0000-0000-00005A7B0000}"/>
    <cellStyle name="40% - Accent5 31" xfId="31593" xr:uid="{00000000-0005-0000-0000-00005B7B0000}"/>
    <cellStyle name="40% - Accent5 32" xfId="31594" xr:uid="{00000000-0005-0000-0000-00005C7B0000}"/>
    <cellStyle name="40% - Accent5 33" xfId="31595" xr:uid="{00000000-0005-0000-0000-00005D7B0000}"/>
    <cellStyle name="40% - Accent5 34" xfId="31596" xr:uid="{00000000-0005-0000-0000-00005E7B0000}"/>
    <cellStyle name="40% - Accent5 4" xfId="31597" xr:uid="{00000000-0005-0000-0000-00005F7B0000}"/>
    <cellStyle name="40% - Accent5 4 2" xfId="31598" xr:uid="{00000000-0005-0000-0000-0000607B0000}"/>
    <cellStyle name="40% - Accent5 4 2 2" xfId="31599" xr:uid="{00000000-0005-0000-0000-0000617B0000}"/>
    <cellStyle name="40% - Accent5 4 2 2 2" xfId="31600" xr:uid="{00000000-0005-0000-0000-0000627B0000}"/>
    <cellStyle name="40% - Accent5 4 2 3" xfId="31601" xr:uid="{00000000-0005-0000-0000-0000637B0000}"/>
    <cellStyle name="40% - Accent5 4 3" xfId="31602" xr:uid="{00000000-0005-0000-0000-0000647B0000}"/>
    <cellStyle name="40% - Accent5 4 4" xfId="31603" xr:uid="{00000000-0005-0000-0000-0000657B0000}"/>
    <cellStyle name="40% - Accent5 4 5" xfId="31604" xr:uid="{00000000-0005-0000-0000-0000667B0000}"/>
    <cellStyle name="40% - Accent5 4 6" xfId="31605" xr:uid="{00000000-0005-0000-0000-0000677B0000}"/>
    <cellStyle name="40% - Accent5 4_Labour" xfId="31606" xr:uid="{00000000-0005-0000-0000-0000687B0000}"/>
    <cellStyle name="40% - Accent5 5" xfId="31607" xr:uid="{00000000-0005-0000-0000-0000697B0000}"/>
    <cellStyle name="40% - Accent5 5 2" xfId="31608" xr:uid="{00000000-0005-0000-0000-00006A7B0000}"/>
    <cellStyle name="40% - Accent5 5 2 2" xfId="31609" xr:uid="{00000000-0005-0000-0000-00006B7B0000}"/>
    <cellStyle name="40% - Accent5 5 2 2 2" xfId="31610" xr:uid="{00000000-0005-0000-0000-00006C7B0000}"/>
    <cellStyle name="40% - Accent5 5 2 3" xfId="31611" xr:uid="{00000000-0005-0000-0000-00006D7B0000}"/>
    <cellStyle name="40% - Accent5 5 3" xfId="31612" xr:uid="{00000000-0005-0000-0000-00006E7B0000}"/>
    <cellStyle name="40% - Accent5 5 3 2" xfId="31613" xr:uid="{00000000-0005-0000-0000-00006F7B0000}"/>
    <cellStyle name="40% - Accent5 5 4" xfId="31614" xr:uid="{00000000-0005-0000-0000-0000707B0000}"/>
    <cellStyle name="40% - Accent5 5 5" xfId="31615" xr:uid="{00000000-0005-0000-0000-0000717B0000}"/>
    <cellStyle name="40% - Accent5 5_Proj" xfId="31616" xr:uid="{00000000-0005-0000-0000-0000727B0000}"/>
    <cellStyle name="40% - Accent5 6" xfId="31617" xr:uid="{00000000-0005-0000-0000-0000737B0000}"/>
    <cellStyle name="40% - Accent5 6 2" xfId="31618" xr:uid="{00000000-0005-0000-0000-0000747B0000}"/>
    <cellStyle name="40% - Accent5 6 2 2" xfId="31619" xr:uid="{00000000-0005-0000-0000-0000757B0000}"/>
    <cellStyle name="40% - Accent5 6 2 2 2" xfId="31620" xr:uid="{00000000-0005-0000-0000-0000767B0000}"/>
    <cellStyle name="40% - Accent5 6 2 3" xfId="31621" xr:uid="{00000000-0005-0000-0000-0000777B0000}"/>
    <cellStyle name="40% - Accent5 6 3" xfId="31622" xr:uid="{00000000-0005-0000-0000-0000787B0000}"/>
    <cellStyle name="40% - Accent5 6 3 2" xfId="31623" xr:uid="{00000000-0005-0000-0000-0000797B0000}"/>
    <cellStyle name="40% - Accent5 6 4" xfId="31624" xr:uid="{00000000-0005-0000-0000-00007A7B0000}"/>
    <cellStyle name="40% - Accent5 6 5" xfId="31625" xr:uid="{00000000-0005-0000-0000-00007B7B0000}"/>
    <cellStyle name="40% - Accent5 7" xfId="31626" xr:uid="{00000000-0005-0000-0000-00007C7B0000}"/>
    <cellStyle name="40% - Accent5 7 2" xfId="31627" xr:uid="{00000000-0005-0000-0000-00007D7B0000}"/>
    <cellStyle name="40% - Accent5 7 3" xfId="31628" xr:uid="{00000000-0005-0000-0000-00007E7B0000}"/>
    <cellStyle name="40% - Accent5 7 4" xfId="31629" xr:uid="{00000000-0005-0000-0000-00007F7B0000}"/>
    <cellStyle name="40% - Accent5 7 5" xfId="31630" xr:uid="{00000000-0005-0000-0000-0000807B0000}"/>
    <cellStyle name="40% - Accent5 8" xfId="31631" xr:uid="{00000000-0005-0000-0000-0000817B0000}"/>
    <cellStyle name="40% - Accent5 8 2" xfId="31632" xr:uid="{00000000-0005-0000-0000-0000827B0000}"/>
    <cellStyle name="40% - Accent5 8 3" xfId="31633" xr:uid="{00000000-0005-0000-0000-0000837B0000}"/>
    <cellStyle name="40% - Accent5 8 4" xfId="31634" xr:uid="{00000000-0005-0000-0000-0000847B0000}"/>
    <cellStyle name="40% - Accent5 8 5" xfId="31635" xr:uid="{00000000-0005-0000-0000-0000857B0000}"/>
    <cellStyle name="40% - Accent5 9" xfId="31636" xr:uid="{00000000-0005-0000-0000-0000867B0000}"/>
    <cellStyle name="40% - Accent5 9 2" xfId="31637" xr:uid="{00000000-0005-0000-0000-0000877B0000}"/>
    <cellStyle name="40% - Accent5 9 3" xfId="31638" xr:uid="{00000000-0005-0000-0000-0000887B0000}"/>
    <cellStyle name="40% - Accent5 9 4" xfId="31639" xr:uid="{00000000-0005-0000-0000-0000897B0000}"/>
    <cellStyle name="40% - Accent5 9 5" xfId="31640" xr:uid="{00000000-0005-0000-0000-00008A7B0000}"/>
    <cellStyle name="40% - Accent6 10" xfId="31641" xr:uid="{00000000-0005-0000-0000-00008B7B0000}"/>
    <cellStyle name="40% - Accent6 10 2" xfId="31642" xr:uid="{00000000-0005-0000-0000-00008C7B0000}"/>
    <cellStyle name="40% - Accent6 10 3" xfId="31643" xr:uid="{00000000-0005-0000-0000-00008D7B0000}"/>
    <cellStyle name="40% - Accent6 10 4" xfId="31644" xr:uid="{00000000-0005-0000-0000-00008E7B0000}"/>
    <cellStyle name="40% - Accent6 10 5" xfId="31645" xr:uid="{00000000-0005-0000-0000-00008F7B0000}"/>
    <cellStyle name="40% - Accent6 11" xfId="31646" xr:uid="{00000000-0005-0000-0000-0000907B0000}"/>
    <cellStyle name="40% - Accent6 11 2" xfId="31647" xr:uid="{00000000-0005-0000-0000-0000917B0000}"/>
    <cellStyle name="40% - Accent6 12" xfId="31648" xr:uid="{00000000-0005-0000-0000-0000927B0000}"/>
    <cellStyle name="40% - Accent6 12 2" xfId="31649" xr:uid="{00000000-0005-0000-0000-0000937B0000}"/>
    <cellStyle name="40% - Accent6 13" xfId="31650" xr:uid="{00000000-0005-0000-0000-0000947B0000}"/>
    <cellStyle name="40% - Accent6 13 2" xfId="31651" xr:uid="{00000000-0005-0000-0000-0000957B0000}"/>
    <cellStyle name="40% - Accent6 14" xfId="31652" xr:uid="{00000000-0005-0000-0000-0000967B0000}"/>
    <cellStyle name="40% - Accent6 14 2" xfId="31653" xr:uid="{00000000-0005-0000-0000-0000977B0000}"/>
    <cellStyle name="40% - Accent6 15" xfId="31654" xr:uid="{00000000-0005-0000-0000-0000987B0000}"/>
    <cellStyle name="40% - Accent6 15 2" xfId="31655" xr:uid="{00000000-0005-0000-0000-0000997B0000}"/>
    <cellStyle name="40% - Accent6 16" xfId="31656" xr:uid="{00000000-0005-0000-0000-00009A7B0000}"/>
    <cellStyle name="40% - Accent6 16 2" xfId="31657" xr:uid="{00000000-0005-0000-0000-00009B7B0000}"/>
    <cellStyle name="40% - Accent6 17" xfId="31658" xr:uid="{00000000-0005-0000-0000-00009C7B0000}"/>
    <cellStyle name="40% - Accent6 17 2" xfId="31659" xr:uid="{00000000-0005-0000-0000-00009D7B0000}"/>
    <cellStyle name="40% - Accent6 18" xfId="31660" xr:uid="{00000000-0005-0000-0000-00009E7B0000}"/>
    <cellStyle name="40% - Accent6 18 2" xfId="31661" xr:uid="{00000000-0005-0000-0000-00009F7B0000}"/>
    <cellStyle name="40% - Accent6 19" xfId="31662" xr:uid="{00000000-0005-0000-0000-0000A07B0000}"/>
    <cellStyle name="40% - Accent6 19 2" xfId="31663" xr:uid="{00000000-0005-0000-0000-0000A17B0000}"/>
    <cellStyle name="40% - Accent6 2" xfId="31664" xr:uid="{00000000-0005-0000-0000-0000A27B0000}"/>
    <cellStyle name="40% - Accent6 2 10" xfId="31665" xr:uid="{00000000-0005-0000-0000-0000A37B0000}"/>
    <cellStyle name="40% - Accent6 2 11" xfId="31666" xr:uid="{00000000-0005-0000-0000-0000A47B0000}"/>
    <cellStyle name="40% - Accent6 2 12" xfId="31667" xr:uid="{00000000-0005-0000-0000-0000A57B0000}"/>
    <cellStyle name="40% - Accent6 2 13" xfId="31668" xr:uid="{00000000-0005-0000-0000-0000A67B0000}"/>
    <cellStyle name="40% - Accent6 2 14" xfId="31669" xr:uid="{00000000-0005-0000-0000-0000A77B0000}"/>
    <cellStyle name="40% - Accent6 2 15" xfId="31670" xr:uid="{00000000-0005-0000-0000-0000A87B0000}"/>
    <cellStyle name="40% - Accent6 2 16" xfId="31671" xr:uid="{00000000-0005-0000-0000-0000A97B0000}"/>
    <cellStyle name="40% - Accent6 2 16 2" xfId="31672" xr:uid="{00000000-0005-0000-0000-0000AA7B0000}"/>
    <cellStyle name="40% - Accent6 2 16 2 2" xfId="31673" xr:uid="{00000000-0005-0000-0000-0000AB7B0000}"/>
    <cellStyle name="40% - Accent6 2 16 3" xfId="31674" xr:uid="{00000000-0005-0000-0000-0000AC7B0000}"/>
    <cellStyle name="40% - Accent6 2 17" xfId="31675" xr:uid="{00000000-0005-0000-0000-0000AD7B0000}"/>
    <cellStyle name="40% - Accent6 2 17 2" xfId="31676" xr:uid="{00000000-0005-0000-0000-0000AE7B0000}"/>
    <cellStyle name="40% - Accent6 2 18" xfId="31677" xr:uid="{00000000-0005-0000-0000-0000AF7B0000}"/>
    <cellStyle name="40% - Accent6 2 19" xfId="31678" xr:uid="{00000000-0005-0000-0000-0000B07B0000}"/>
    <cellStyle name="40% - Accent6 2 2" xfId="31679" xr:uid="{00000000-0005-0000-0000-0000B17B0000}"/>
    <cellStyle name="40% - Accent6 2 2 2" xfId="31680" xr:uid="{00000000-0005-0000-0000-0000B27B0000}"/>
    <cellStyle name="40% - Accent6 2 2 2 2" xfId="31681" xr:uid="{00000000-0005-0000-0000-0000B37B0000}"/>
    <cellStyle name="40% - Accent6 2 2 2 3" xfId="31682" xr:uid="{00000000-0005-0000-0000-0000B47B0000}"/>
    <cellStyle name="40% - Accent6 2 2 2 4" xfId="31683" xr:uid="{00000000-0005-0000-0000-0000B57B0000}"/>
    <cellStyle name="40% - Accent6 2 2 3" xfId="31684" xr:uid="{00000000-0005-0000-0000-0000B67B0000}"/>
    <cellStyle name="40% - Accent6 2 2 4" xfId="31685" xr:uid="{00000000-0005-0000-0000-0000B77B0000}"/>
    <cellStyle name="40% - Accent6 2 2 5" xfId="31686" xr:uid="{00000000-0005-0000-0000-0000B87B0000}"/>
    <cellStyle name="40% - Accent6 2 2 6" xfId="31687" xr:uid="{00000000-0005-0000-0000-0000B97B0000}"/>
    <cellStyle name="40% - Accent6 2 2_Proj" xfId="31688" xr:uid="{00000000-0005-0000-0000-0000BA7B0000}"/>
    <cellStyle name="40% - Accent6 2 3" xfId="31689" xr:uid="{00000000-0005-0000-0000-0000BB7B0000}"/>
    <cellStyle name="40% - Accent6 2 3 2" xfId="31690" xr:uid="{00000000-0005-0000-0000-0000BC7B0000}"/>
    <cellStyle name="40% - Accent6 2 3 2 2" xfId="31691" xr:uid="{00000000-0005-0000-0000-0000BD7B0000}"/>
    <cellStyle name="40% - Accent6 2 4" xfId="31692" xr:uid="{00000000-0005-0000-0000-0000BE7B0000}"/>
    <cellStyle name="40% - Accent6 2 4 2" xfId="31693" xr:uid="{00000000-0005-0000-0000-0000BF7B0000}"/>
    <cellStyle name="40% - Accent6 2 5" xfId="31694" xr:uid="{00000000-0005-0000-0000-0000C07B0000}"/>
    <cellStyle name="40% - Accent6 2 6" xfId="31695" xr:uid="{00000000-0005-0000-0000-0000C17B0000}"/>
    <cellStyle name="40% - Accent6 2 7" xfId="31696" xr:uid="{00000000-0005-0000-0000-0000C27B0000}"/>
    <cellStyle name="40% - Accent6 2 8" xfId="31697" xr:uid="{00000000-0005-0000-0000-0000C37B0000}"/>
    <cellStyle name="40% - Accent6 2 9" xfId="31698" xr:uid="{00000000-0005-0000-0000-0000C47B0000}"/>
    <cellStyle name="40% - Accent6 2_Labour" xfId="31699" xr:uid="{00000000-0005-0000-0000-0000C57B0000}"/>
    <cellStyle name="40% - Accent6 20" xfId="31700" xr:uid="{00000000-0005-0000-0000-0000C67B0000}"/>
    <cellStyle name="40% - Accent6 20 2" xfId="31701" xr:uid="{00000000-0005-0000-0000-0000C77B0000}"/>
    <cellStyle name="40% - Accent6 21" xfId="31702" xr:uid="{00000000-0005-0000-0000-0000C87B0000}"/>
    <cellStyle name="40% - Accent6 21 2" xfId="31703" xr:uid="{00000000-0005-0000-0000-0000C97B0000}"/>
    <cellStyle name="40% - Accent6 22" xfId="31704" xr:uid="{00000000-0005-0000-0000-0000CA7B0000}"/>
    <cellStyle name="40% - Accent6 22 2" xfId="31705" xr:uid="{00000000-0005-0000-0000-0000CB7B0000}"/>
    <cellStyle name="40% - Accent6 23" xfId="31706" xr:uid="{00000000-0005-0000-0000-0000CC7B0000}"/>
    <cellStyle name="40% - Accent6 24" xfId="31707" xr:uid="{00000000-0005-0000-0000-0000CD7B0000}"/>
    <cellStyle name="40% - Accent6 25" xfId="31708" xr:uid="{00000000-0005-0000-0000-0000CE7B0000}"/>
    <cellStyle name="40% - Accent6 26" xfId="31709" xr:uid="{00000000-0005-0000-0000-0000CF7B0000}"/>
    <cellStyle name="40% - Accent6 27" xfId="31710" xr:uid="{00000000-0005-0000-0000-0000D07B0000}"/>
    <cellStyle name="40% - Accent6 28" xfId="31711" xr:uid="{00000000-0005-0000-0000-0000D17B0000}"/>
    <cellStyle name="40% - Accent6 29" xfId="31712" xr:uid="{00000000-0005-0000-0000-0000D27B0000}"/>
    <cellStyle name="40% - Accent6 3" xfId="31713" xr:uid="{00000000-0005-0000-0000-0000D37B0000}"/>
    <cellStyle name="40% - Accent6 3 2" xfId="31714" xr:uid="{00000000-0005-0000-0000-0000D47B0000}"/>
    <cellStyle name="40% - Accent6 3 2 2" xfId="31715" xr:uid="{00000000-0005-0000-0000-0000D57B0000}"/>
    <cellStyle name="40% - Accent6 3 2 2 2" xfId="31716" xr:uid="{00000000-0005-0000-0000-0000D67B0000}"/>
    <cellStyle name="40% - Accent6 3 2 2 3" xfId="31717" xr:uid="{00000000-0005-0000-0000-0000D77B0000}"/>
    <cellStyle name="40% - Accent6 3 2 2 4" xfId="31718" xr:uid="{00000000-0005-0000-0000-0000D87B0000}"/>
    <cellStyle name="40% - Accent6 3 2 3" xfId="31719" xr:uid="{00000000-0005-0000-0000-0000D97B0000}"/>
    <cellStyle name="40% - Accent6 3 2 3 2" xfId="31720" xr:uid="{00000000-0005-0000-0000-0000DA7B0000}"/>
    <cellStyle name="40% - Accent6 3 2 4" xfId="31721" xr:uid="{00000000-0005-0000-0000-0000DB7B0000}"/>
    <cellStyle name="40% - Accent6 3 2 5" xfId="31722" xr:uid="{00000000-0005-0000-0000-0000DC7B0000}"/>
    <cellStyle name="40% - Accent6 3 3" xfId="31723" xr:uid="{00000000-0005-0000-0000-0000DD7B0000}"/>
    <cellStyle name="40% - Accent6 3 4" xfId="31724" xr:uid="{00000000-0005-0000-0000-0000DE7B0000}"/>
    <cellStyle name="40% - Accent6 3 5" xfId="31725" xr:uid="{00000000-0005-0000-0000-0000DF7B0000}"/>
    <cellStyle name="40% - Accent6 3 6" xfId="31726" xr:uid="{00000000-0005-0000-0000-0000E07B0000}"/>
    <cellStyle name="40% - Accent6 3_Labour" xfId="31727" xr:uid="{00000000-0005-0000-0000-0000E17B0000}"/>
    <cellStyle name="40% - Accent6 30" xfId="31728" xr:uid="{00000000-0005-0000-0000-0000E27B0000}"/>
    <cellStyle name="40% - Accent6 31" xfId="31729" xr:uid="{00000000-0005-0000-0000-0000E37B0000}"/>
    <cellStyle name="40% - Accent6 32" xfId="31730" xr:uid="{00000000-0005-0000-0000-0000E47B0000}"/>
    <cellStyle name="40% - Accent6 33" xfId="31731" xr:uid="{00000000-0005-0000-0000-0000E57B0000}"/>
    <cellStyle name="40% - Accent6 34" xfId="31732" xr:uid="{00000000-0005-0000-0000-0000E67B0000}"/>
    <cellStyle name="40% - Accent6 4" xfId="31733" xr:uid="{00000000-0005-0000-0000-0000E77B0000}"/>
    <cellStyle name="40% - Accent6 4 2" xfId="31734" xr:uid="{00000000-0005-0000-0000-0000E87B0000}"/>
    <cellStyle name="40% - Accent6 4 2 2" xfId="31735" xr:uid="{00000000-0005-0000-0000-0000E97B0000}"/>
    <cellStyle name="40% - Accent6 4 2 2 2" xfId="31736" xr:uid="{00000000-0005-0000-0000-0000EA7B0000}"/>
    <cellStyle name="40% - Accent6 4 2 3" xfId="31737" xr:uid="{00000000-0005-0000-0000-0000EB7B0000}"/>
    <cellStyle name="40% - Accent6 4 3" xfId="31738" xr:uid="{00000000-0005-0000-0000-0000EC7B0000}"/>
    <cellStyle name="40% - Accent6 4 4" xfId="31739" xr:uid="{00000000-0005-0000-0000-0000ED7B0000}"/>
    <cellStyle name="40% - Accent6 4 5" xfId="31740" xr:uid="{00000000-0005-0000-0000-0000EE7B0000}"/>
    <cellStyle name="40% - Accent6 4 6" xfId="31741" xr:uid="{00000000-0005-0000-0000-0000EF7B0000}"/>
    <cellStyle name="40% - Accent6 4_Labour" xfId="31742" xr:uid="{00000000-0005-0000-0000-0000F07B0000}"/>
    <cellStyle name="40% - Accent6 5" xfId="31743" xr:uid="{00000000-0005-0000-0000-0000F17B0000}"/>
    <cellStyle name="40% - Accent6 5 2" xfId="31744" xr:uid="{00000000-0005-0000-0000-0000F27B0000}"/>
    <cellStyle name="40% - Accent6 5 2 2" xfId="31745" xr:uid="{00000000-0005-0000-0000-0000F37B0000}"/>
    <cellStyle name="40% - Accent6 5 2 2 2" xfId="31746" xr:uid="{00000000-0005-0000-0000-0000F47B0000}"/>
    <cellStyle name="40% - Accent6 5 2 3" xfId="31747" xr:uid="{00000000-0005-0000-0000-0000F57B0000}"/>
    <cellStyle name="40% - Accent6 5 3" xfId="31748" xr:uid="{00000000-0005-0000-0000-0000F67B0000}"/>
    <cellStyle name="40% - Accent6 5 3 2" xfId="31749" xr:uid="{00000000-0005-0000-0000-0000F77B0000}"/>
    <cellStyle name="40% - Accent6 5 4" xfId="31750" xr:uid="{00000000-0005-0000-0000-0000F87B0000}"/>
    <cellStyle name="40% - Accent6 5 5" xfId="31751" xr:uid="{00000000-0005-0000-0000-0000F97B0000}"/>
    <cellStyle name="40% - Accent6 5_Proj" xfId="31752" xr:uid="{00000000-0005-0000-0000-0000FA7B0000}"/>
    <cellStyle name="40% - Accent6 6" xfId="31753" xr:uid="{00000000-0005-0000-0000-0000FB7B0000}"/>
    <cellStyle name="40% - Accent6 6 2" xfId="31754" xr:uid="{00000000-0005-0000-0000-0000FC7B0000}"/>
    <cellStyle name="40% - Accent6 6 2 2" xfId="31755" xr:uid="{00000000-0005-0000-0000-0000FD7B0000}"/>
    <cellStyle name="40% - Accent6 6 2 2 2" xfId="31756" xr:uid="{00000000-0005-0000-0000-0000FE7B0000}"/>
    <cellStyle name="40% - Accent6 6 2 3" xfId="31757" xr:uid="{00000000-0005-0000-0000-0000FF7B0000}"/>
    <cellStyle name="40% - Accent6 6 3" xfId="31758" xr:uid="{00000000-0005-0000-0000-0000007C0000}"/>
    <cellStyle name="40% - Accent6 6 3 2" xfId="31759" xr:uid="{00000000-0005-0000-0000-0000017C0000}"/>
    <cellStyle name="40% - Accent6 6 4" xfId="31760" xr:uid="{00000000-0005-0000-0000-0000027C0000}"/>
    <cellStyle name="40% - Accent6 6 5" xfId="31761" xr:uid="{00000000-0005-0000-0000-0000037C0000}"/>
    <cellStyle name="40% - Accent6 7" xfId="31762" xr:uid="{00000000-0005-0000-0000-0000047C0000}"/>
    <cellStyle name="40% - Accent6 7 2" xfId="31763" xr:uid="{00000000-0005-0000-0000-0000057C0000}"/>
    <cellStyle name="40% - Accent6 7 3" xfId="31764" xr:uid="{00000000-0005-0000-0000-0000067C0000}"/>
    <cellStyle name="40% - Accent6 7 4" xfId="31765" xr:uid="{00000000-0005-0000-0000-0000077C0000}"/>
    <cellStyle name="40% - Accent6 7 5" xfId="31766" xr:uid="{00000000-0005-0000-0000-0000087C0000}"/>
    <cellStyle name="40% - Accent6 8" xfId="31767" xr:uid="{00000000-0005-0000-0000-0000097C0000}"/>
    <cellStyle name="40% - Accent6 8 2" xfId="31768" xr:uid="{00000000-0005-0000-0000-00000A7C0000}"/>
    <cellStyle name="40% - Accent6 8 3" xfId="31769" xr:uid="{00000000-0005-0000-0000-00000B7C0000}"/>
    <cellStyle name="40% - Accent6 8 4" xfId="31770" xr:uid="{00000000-0005-0000-0000-00000C7C0000}"/>
    <cellStyle name="40% - Accent6 8 5" xfId="31771" xr:uid="{00000000-0005-0000-0000-00000D7C0000}"/>
    <cellStyle name="40% - Accent6 9" xfId="31772" xr:uid="{00000000-0005-0000-0000-00000E7C0000}"/>
    <cellStyle name="40% - Accent6 9 2" xfId="31773" xr:uid="{00000000-0005-0000-0000-00000F7C0000}"/>
    <cellStyle name="40% - Accent6 9 3" xfId="31774" xr:uid="{00000000-0005-0000-0000-0000107C0000}"/>
    <cellStyle name="40% - Accent6 9 4" xfId="31775" xr:uid="{00000000-0005-0000-0000-0000117C0000}"/>
    <cellStyle name="40% - Accent6 9 5" xfId="31776" xr:uid="{00000000-0005-0000-0000-0000127C0000}"/>
    <cellStyle name="5" xfId="31777" xr:uid="{00000000-0005-0000-0000-0000137C0000}"/>
    <cellStyle name="5 2" xfId="31778" xr:uid="{00000000-0005-0000-0000-0000147C0000}"/>
    <cellStyle name="60% - Accent1 10" xfId="31779" xr:uid="{00000000-0005-0000-0000-0000157C0000}"/>
    <cellStyle name="60% - Accent1 10 2" xfId="31780" xr:uid="{00000000-0005-0000-0000-0000167C0000}"/>
    <cellStyle name="60% - Accent1 11" xfId="31781" xr:uid="{00000000-0005-0000-0000-0000177C0000}"/>
    <cellStyle name="60% - Accent1 11 2" xfId="31782" xr:uid="{00000000-0005-0000-0000-0000187C0000}"/>
    <cellStyle name="60% - Accent1 12" xfId="31783" xr:uid="{00000000-0005-0000-0000-0000197C0000}"/>
    <cellStyle name="60% - Accent1 12 2" xfId="31784" xr:uid="{00000000-0005-0000-0000-00001A7C0000}"/>
    <cellStyle name="60% - Accent1 13" xfId="31785" xr:uid="{00000000-0005-0000-0000-00001B7C0000}"/>
    <cellStyle name="60% - Accent1 13 2" xfId="31786" xr:uid="{00000000-0005-0000-0000-00001C7C0000}"/>
    <cellStyle name="60% - Accent1 14" xfId="31787" xr:uid="{00000000-0005-0000-0000-00001D7C0000}"/>
    <cellStyle name="60% - Accent1 14 2" xfId="31788" xr:uid="{00000000-0005-0000-0000-00001E7C0000}"/>
    <cellStyle name="60% - Accent1 15" xfId="31789" xr:uid="{00000000-0005-0000-0000-00001F7C0000}"/>
    <cellStyle name="60% - Accent1 15 2" xfId="31790" xr:uid="{00000000-0005-0000-0000-0000207C0000}"/>
    <cellStyle name="60% - Accent1 16" xfId="31791" xr:uid="{00000000-0005-0000-0000-0000217C0000}"/>
    <cellStyle name="60% - Accent1 16 2" xfId="31792" xr:uid="{00000000-0005-0000-0000-0000227C0000}"/>
    <cellStyle name="60% - Accent1 17" xfId="31793" xr:uid="{00000000-0005-0000-0000-0000237C0000}"/>
    <cellStyle name="60% - Accent1 17 2" xfId="31794" xr:uid="{00000000-0005-0000-0000-0000247C0000}"/>
    <cellStyle name="60% - Accent1 18" xfId="31795" xr:uid="{00000000-0005-0000-0000-0000257C0000}"/>
    <cellStyle name="60% - Accent1 18 2" xfId="31796" xr:uid="{00000000-0005-0000-0000-0000267C0000}"/>
    <cellStyle name="60% - Accent1 19" xfId="31797" xr:uid="{00000000-0005-0000-0000-0000277C0000}"/>
    <cellStyle name="60% - Accent1 19 2" xfId="31798" xr:uid="{00000000-0005-0000-0000-0000287C0000}"/>
    <cellStyle name="60% - Accent1 2" xfId="31799" xr:uid="{00000000-0005-0000-0000-0000297C0000}"/>
    <cellStyle name="60% - Accent1 2 10" xfId="31800" xr:uid="{00000000-0005-0000-0000-00002A7C0000}"/>
    <cellStyle name="60% - Accent1 2 11" xfId="31801" xr:uid="{00000000-0005-0000-0000-00002B7C0000}"/>
    <cellStyle name="60% - Accent1 2 12" xfId="31802" xr:uid="{00000000-0005-0000-0000-00002C7C0000}"/>
    <cellStyle name="60% - Accent1 2 13" xfId="31803" xr:uid="{00000000-0005-0000-0000-00002D7C0000}"/>
    <cellStyle name="60% - Accent1 2 14" xfId="31804" xr:uid="{00000000-0005-0000-0000-00002E7C0000}"/>
    <cellStyle name="60% - Accent1 2 15" xfId="31805" xr:uid="{00000000-0005-0000-0000-00002F7C0000}"/>
    <cellStyle name="60% - Accent1 2 16" xfId="31806" xr:uid="{00000000-0005-0000-0000-0000307C0000}"/>
    <cellStyle name="60% - Accent1 2 17" xfId="31807" xr:uid="{00000000-0005-0000-0000-0000317C0000}"/>
    <cellStyle name="60% - Accent1 2 2" xfId="31808" xr:uid="{00000000-0005-0000-0000-0000327C0000}"/>
    <cellStyle name="60% - Accent1 2 2 2" xfId="31809" xr:uid="{00000000-0005-0000-0000-0000337C0000}"/>
    <cellStyle name="60% - Accent1 2 3" xfId="31810" xr:uid="{00000000-0005-0000-0000-0000347C0000}"/>
    <cellStyle name="60% - Accent1 2 3 2" xfId="31811" xr:uid="{00000000-0005-0000-0000-0000357C0000}"/>
    <cellStyle name="60% - Accent1 2 4" xfId="31812" xr:uid="{00000000-0005-0000-0000-0000367C0000}"/>
    <cellStyle name="60% - Accent1 2 5" xfId="31813" xr:uid="{00000000-0005-0000-0000-0000377C0000}"/>
    <cellStyle name="60% - Accent1 2 6" xfId="31814" xr:uid="{00000000-0005-0000-0000-0000387C0000}"/>
    <cellStyle name="60% - Accent1 2 7" xfId="31815" xr:uid="{00000000-0005-0000-0000-0000397C0000}"/>
    <cellStyle name="60% - Accent1 2 8" xfId="31816" xr:uid="{00000000-0005-0000-0000-00003A7C0000}"/>
    <cellStyle name="60% - Accent1 2 9" xfId="31817" xr:uid="{00000000-0005-0000-0000-00003B7C0000}"/>
    <cellStyle name="60% - Accent1 2_Proj" xfId="31818" xr:uid="{00000000-0005-0000-0000-00003C7C0000}"/>
    <cellStyle name="60% - Accent1 20" xfId="31819" xr:uid="{00000000-0005-0000-0000-00003D7C0000}"/>
    <cellStyle name="60% - Accent1 20 2" xfId="31820" xr:uid="{00000000-0005-0000-0000-00003E7C0000}"/>
    <cellStyle name="60% - Accent1 21" xfId="31821" xr:uid="{00000000-0005-0000-0000-00003F7C0000}"/>
    <cellStyle name="60% - Accent1 21 2" xfId="31822" xr:uid="{00000000-0005-0000-0000-0000407C0000}"/>
    <cellStyle name="60% - Accent1 22" xfId="31823" xr:uid="{00000000-0005-0000-0000-0000417C0000}"/>
    <cellStyle name="60% - Accent1 22 2" xfId="31824" xr:uid="{00000000-0005-0000-0000-0000427C0000}"/>
    <cellStyle name="60% - Accent1 23" xfId="31825" xr:uid="{00000000-0005-0000-0000-0000437C0000}"/>
    <cellStyle name="60% - Accent1 24" xfId="31826" xr:uid="{00000000-0005-0000-0000-0000447C0000}"/>
    <cellStyle name="60% - Accent1 25" xfId="31827" xr:uid="{00000000-0005-0000-0000-0000457C0000}"/>
    <cellStyle name="60% - Accent1 26" xfId="31828" xr:uid="{00000000-0005-0000-0000-0000467C0000}"/>
    <cellStyle name="60% - Accent1 27" xfId="31829" xr:uid="{00000000-0005-0000-0000-0000477C0000}"/>
    <cellStyle name="60% - Accent1 28" xfId="31830" xr:uid="{00000000-0005-0000-0000-0000487C0000}"/>
    <cellStyle name="60% - Accent1 29" xfId="31831" xr:uid="{00000000-0005-0000-0000-0000497C0000}"/>
    <cellStyle name="60% - Accent1 3" xfId="31832" xr:uid="{00000000-0005-0000-0000-00004A7C0000}"/>
    <cellStyle name="60% - Accent1 3 2" xfId="31833" xr:uid="{00000000-0005-0000-0000-00004B7C0000}"/>
    <cellStyle name="60% - Accent1 3 2 2" xfId="31834" xr:uid="{00000000-0005-0000-0000-00004C7C0000}"/>
    <cellStyle name="60% - Accent1 3 3" xfId="31835" xr:uid="{00000000-0005-0000-0000-00004D7C0000}"/>
    <cellStyle name="60% - Accent1 3 4" xfId="31836" xr:uid="{00000000-0005-0000-0000-00004E7C0000}"/>
    <cellStyle name="60% - Accent1 3 5" xfId="31837" xr:uid="{00000000-0005-0000-0000-00004F7C0000}"/>
    <cellStyle name="60% - Accent1 3 6" xfId="31838" xr:uid="{00000000-0005-0000-0000-0000507C0000}"/>
    <cellStyle name="60% - Accent1 30" xfId="31839" xr:uid="{00000000-0005-0000-0000-0000517C0000}"/>
    <cellStyle name="60% - Accent1 31" xfId="31840" xr:uid="{00000000-0005-0000-0000-0000527C0000}"/>
    <cellStyle name="60% - Accent1 32" xfId="31841" xr:uid="{00000000-0005-0000-0000-0000537C0000}"/>
    <cellStyle name="60% - Accent1 33" xfId="31842" xr:uid="{00000000-0005-0000-0000-0000547C0000}"/>
    <cellStyle name="60% - Accent1 34" xfId="31843" xr:uid="{00000000-0005-0000-0000-0000557C0000}"/>
    <cellStyle name="60% - Accent1 4" xfId="31844" xr:uid="{00000000-0005-0000-0000-0000567C0000}"/>
    <cellStyle name="60% - Accent1 4 2" xfId="31845" xr:uid="{00000000-0005-0000-0000-0000577C0000}"/>
    <cellStyle name="60% - Accent1 4 3" xfId="31846" xr:uid="{00000000-0005-0000-0000-0000587C0000}"/>
    <cellStyle name="60% - Accent1 4 4" xfId="31847" xr:uid="{00000000-0005-0000-0000-0000597C0000}"/>
    <cellStyle name="60% - Accent1 4 5" xfId="31848" xr:uid="{00000000-0005-0000-0000-00005A7C0000}"/>
    <cellStyle name="60% - Accent1 4_Proj" xfId="31849" xr:uid="{00000000-0005-0000-0000-00005B7C0000}"/>
    <cellStyle name="60% - Accent1 5" xfId="31850" xr:uid="{00000000-0005-0000-0000-00005C7C0000}"/>
    <cellStyle name="60% - Accent1 5 2" xfId="31851" xr:uid="{00000000-0005-0000-0000-00005D7C0000}"/>
    <cellStyle name="60% - Accent1 5 3" xfId="31852" xr:uid="{00000000-0005-0000-0000-00005E7C0000}"/>
    <cellStyle name="60% - Accent1 5 4" xfId="31853" xr:uid="{00000000-0005-0000-0000-00005F7C0000}"/>
    <cellStyle name="60% - Accent1 5 5" xfId="31854" xr:uid="{00000000-0005-0000-0000-0000607C0000}"/>
    <cellStyle name="60% - Accent1 6" xfId="31855" xr:uid="{00000000-0005-0000-0000-0000617C0000}"/>
    <cellStyle name="60% - Accent1 6 2" xfId="31856" xr:uid="{00000000-0005-0000-0000-0000627C0000}"/>
    <cellStyle name="60% - Accent1 6 3" xfId="31857" xr:uid="{00000000-0005-0000-0000-0000637C0000}"/>
    <cellStyle name="60% - Accent1 6 4" xfId="31858" xr:uid="{00000000-0005-0000-0000-0000647C0000}"/>
    <cellStyle name="60% - Accent1 6 5" xfId="31859" xr:uid="{00000000-0005-0000-0000-0000657C0000}"/>
    <cellStyle name="60% - Accent1 7" xfId="31860" xr:uid="{00000000-0005-0000-0000-0000667C0000}"/>
    <cellStyle name="60% - Accent1 7 2" xfId="31861" xr:uid="{00000000-0005-0000-0000-0000677C0000}"/>
    <cellStyle name="60% - Accent1 7 3" xfId="31862" xr:uid="{00000000-0005-0000-0000-0000687C0000}"/>
    <cellStyle name="60% - Accent1 7 4" xfId="31863" xr:uid="{00000000-0005-0000-0000-0000697C0000}"/>
    <cellStyle name="60% - Accent1 7 5" xfId="31864" xr:uid="{00000000-0005-0000-0000-00006A7C0000}"/>
    <cellStyle name="60% - Accent1 8" xfId="31865" xr:uid="{00000000-0005-0000-0000-00006B7C0000}"/>
    <cellStyle name="60% - Accent1 8 2" xfId="31866" xr:uid="{00000000-0005-0000-0000-00006C7C0000}"/>
    <cellStyle name="60% - Accent1 8 3" xfId="31867" xr:uid="{00000000-0005-0000-0000-00006D7C0000}"/>
    <cellStyle name="60% - Accent1 8 4" xfId="31868" xr:uid="{00000000-0005-0000-0000-00006E7C0000}"/>
    <cellStyle name="60% - Accent1 8 5" xfId="31869" xr:uid="{00000000-0005-0000-0000-00006F7C0000}"/>
    <cellStyle name="60% - Accent1 9" xfId="31870" xr:uid="{00000000-0005-0000-0000-0000707C0000}"/>
    <cellStyle name="60% - Accent1 9 2" xfId="31871" xr:uid="{00000000-0005-0000-0000-0000717C0000}"/>
    <cellStyle name="60% - Accent1 9 3" xfId="31872" xr:uid="{00000000-0005-0000-0000-0000727C0000}"/>
    <cellStyle name="60% - Accent1 9 4" xfId="31873" xr:uid="{00000000-0005-0000-0000-0000737C0000}"/>
    <cellStyle name="60% - Accent1 9 5" xfId="31874" xr:uid="{00000000-0005-0000-0000-0000747C0000}"/>
    <cellStyle name="60% - Accent2 10" xfId="31875" xr:uid="{00000000-0005-0000-0000-0000757C0000}"/>
    <cellStyle name="60% - Accent2 10 2" xfId="31876" xr:uid="{00000000-0005-0000-0000-0000767C0000}"/>
    <cellStyle name="60% - Accent2 10 3" xfId="31877" xr:uid="{00000000-0005-0000-0000-0000777C0000}"/>
    <cellStyle name="60% - Accent2 10 4" xfId="31878" xr:uid="{00000000-0005-0000-0000-0000787C0000}"/>
    <cellStyle name="60% - Accent2 10 5" xfId="31879" xr:uid="{00000000-0005-0000-0000-0000797C0000}"/>
    <cellStyle name="60% - Accent2 11" xfId="31880" xr:uid="{00000000-0005-0000-0000-00007A7C0000}"/>
    <cellStyle name="60% - Accent2 11 2" xfId="31881" xr:uid="{00000000-0005-0000-0000-00007B7C0000}"/>
    <cellStyle name="60% - Accent2 12" xfId="31882" xr:uid="{00000000-0005-0000-0000-00007C7C0000}"/>
    <cellStyle name="60% - Accent2 12 2" xfId="31883" xr:uid="{00000000-0005-0000-0000-00007D7C0000}"/>
    <cellStyle name="60% - Accent2 13" xfId="31884" xr:uid="{00000000-0005-0000-0000-00007E7C0000}"/>
    <cellStyle name="60% - Accent2 13 2" xfId="31885" xr:uid="{00000000-0005-0000-0000-00007F7C0000}"/>
    <cellStyle name="60% - Accent2 14" xfId="31886" xr:uid="{00000000-0005-0000-0000-0000807C0000}"/>
    <cellStyle name="60% - Accent2 14 2" xfId="31887" xr:uid="{00000000-0005-0000-0000-0000817C0000}"/>
    <cellStyle name="60% - Accent2 15" xfId="31888" xr:uid="{00000000-0005-0000-0000-0000827C0000}"/>
    <cellStyle name="60% - Accent2 15 2" xfId="31889" xr:uid="{00000000-0005-0000-0000-0000837C0000}"/>
    <cellStyle name="60% - Accent2 16" xfId="31890" xr:uid="{00000000-0005-0000-0000-0000847C0000}"/>
    <cellStyle name="60% - Accent2 16 2" xfId="31891" xr:uid="{00000000-0005-0000-0000-0000857C0000}"/>
    <cellStyle name="60% - Accent2 17" xfId="31892" xr:uid="{00000000-0005-0000-0000-0000867C0000}"/>
    <cellStyle name="60% - Accent2 17 2" xfId="31893" xr:uid="{00000000-0005-0000-0000-0000877C0000}"/>
    <cellStyle name="60% - Accent2 18" xfId="31894" xr:uid="{00000000-0005-0000-0000-0000887C0000}"/>
    <cellStyle name="60% - Accent2 18 2" xfId="31895" xr:uid="{00000000-0005-0000-0000-0000897C0000}"/>
    <cellStyle name="60% - Accent2 19" xfId="31896" xr:uid="{00000000-0005-0000-0000-00008A7C0000}"/>
    <cellStyle name="60% - Accent2 19 2" xfId="31897" xr:uid="{00000000-0005-0000-0000-00008B7C0000}"/>
    <cellStyle name="60% - Accent2 2" xfId="31898" xr:uid="{00000000-0005-0000-0000-00008C7C0000}"/>
    <cellStyle name="60% - Accent2 2 10" xfId="31899" xr:uid="{00000000-0005-0000-0000-00008D7C0000}"/>
    <cellStyle name="60% - Accent2 2 11" xfId="31900" xr:uid="{00000000-0005-0000-0000-00008E7C0000}"/>
    <cellStyle name="60% - Accent2 2 12" xfId="31901" xr:uid="{00000000-0005-0000-0000-00008F7C0000}"/>
    <cellStyle name="60% - Accent2 2 13" xfId="31902" xr:uid="{00000000-0005-0000-0000-0000907C0000}"/>
    <cellStyle name="60% - Accent2 2 14" xfId="31903" xr:uid="{00000000-0005-0000-0000-0000917C0000}"/>
    <cellStyle name="60% - Accent2 2 15" xfId="31904" xr:uid="{00000000-0005-0000-0000-0000927C0000}"/>
    <cellStyle name="60% - Accent2 2 16" xfId="31905" xr:uid="{00000000-0005-0000-0000-0000937C0000}"/>
    <cellStyle name="60% - Accent2 2 17" xfId="31906" xr:uid="{00000000-0005-0000-0000-0000947C0000}"/>
    <cellStyle name="60% - Accent2 2 18" xfId="31907" xr:uid="{00000000-0005-0000-0000-0000957C0000}"/>
    <cellStyle name="60% - Accent2 2 19" xfId="31908" xr:uid="{00000000-0005-0000-0000-0000967C0000}"/>
    <cellStyle name="60% - Accent2 2 2" xfId="31909" xr:uid="{00000000-0005-0000-0000-0000977C0000}"/>
    <cellStyle name="60% - Accent2 2 2 2" xfId="31910" xr:uid="{00000000-0005-0000-0000-0000987C0000}"/>
    <cellStyle name="60% - Accent2 2 3" xfId="31911" xr:uid="{00000000-0005-0000-0000-0000997C0000}"/>
    <cellStyle name="60% - Accent2 2 3 2" xfId="31912" xr:uid="{00000000-0005-0000-0000-00009A7C0000}"/>
    <cellStyle name="60% - Accent2 2 4" xfId="31913" xr:uid="{00000000-0005-0000-0000-00009B7C0000}"/>
    <cellStyle name="60% - Accent2 2 4 2" xfId="31914" xr:uid="{00000000-0005-0000-0000-00009C7C0000}"/>
    <cellStyle name="60% - Accent2 2 5" xfId="31915" xr:uid="{00000000-0005-0000-0000-00009D7C0000}"/>
    <cellStyle name="60% - Accent2 2 6" xfId="31916" xr:uid="{00000000-0005-0000-0000-00009E7C0000}"/>
    <cellStyle name="60% - Accent2 2 7" xfId="31917" xr:uid="{00000000-0005-0000-0000-00009F7C0000}"/>
    <cellStyle name="60% - Accent2 2 8" xfId="31918" xr:uid="{00000000-0005-0000-0000-0000A07C0000}"/>
    <cellStyle name="60% - Accent2 2 9" xfId="31919" xr:uid="{00000000-0005-0000-0000-0000A17C0000}"/>
    <cellStyle name="60% - Accent2 2_Labour" xfId="31920" xr:uid="{00000000-0005-0000-0000-0000A27C0000}"/>
    <cellStyle name="60% - Accent2 20" xfId="31921" xr:uid="{00000000-0005-0000-0000-0000A37C0000}"/>
    <cellStyle name="60% - Accent2 20 2" xfId="31922" xr:uid="{00000000-0005-0000-0000-0000A47C0000}"/>
    <cellStyle name="60% - Accent2 21" xfId="31923" xr:uid="{00000000-0005-0000-0000-0000A57C0000}"/>
    <cellStyle name="60% - Accent2 21 2" xfId="31924" xr:uid="{00000000-0005-0000-0000-0000A67C0000}"/>
    <cellStyle name="60% - Accent2 22" xfId="31925" xr:uid="{00000000-0005-0000-0000-0000A77C0000}"/>
    <cellStyle name="60% - Accent2 22 2" xfId="31926" xr:uid="{00000000-0005-0000-0000-0000A87C0000}"/>
    <cellStyle name="60% - Accent2 23" xfId="31927" xr:uid="{00000000-0005-0000-0000-0000A97C0000}"/>
    <cellStyle name="60% - Accent2 24" xfId="31928" xr:uid="{00000000-0005-0000-0000-0000AA7C0000}"/>
    <cellStyle name="60% - Accent2 25" xfId="31929" xr:uid="{00000000-0005-0000-0000-0000AB7C0000}"/>
    <cellStyle name="60% - Accent2 26" xfId="31930" xr:uid="{00000000-0005-0000-0000-0000AC7C0000}"/>
    <cellStyle name="60% - Accent2 27" xfId="31931" xr:uid="{00000000-0005-0000-0000-0000AD7C0000}"/>
    <cellStyle name="60% - Accent2 28" xfId="31932" xr:uid="{00000000-0005-0000-0000-0000AE7C0000}"/>
    <cellStyle name="60% - Accent2 29" xfId="31933" xr:uid="{00000000-0005-0000-0000-0000AF7C0000}"/>
    <cellStyle name="60% - Accent2 3" xfId="31934" xr:uid="{00000000-0005-0000-0000-0000B07C0000}"/>
    <cellStyle name="60% - Accent2 3 2" xfId="31935" xr:uid="{00000000-0005-0000-0000-0000B17C0000}"/>
    <cellStyle name="60% - Accent2 3 2 2" xfId="31936" xr:uid="{00000000-0005-0000-0000-0000B27C0000}"/>
    <cellStyle name="60% - Accent2 3 3" xfId="31937" xr:uid="{00000000-0005-0000-0000-0000B37C0000}"/>
    <cellStyle name="60% - Accent2 3 4" xfId="31938" xr:uid="{00000000-0005-0000-0000-0000B47C0000}"/>
    <cellStyle name="60% - Accent2 3 5" xfId="31939" xr:uid="{00000000-0005-0000-0000-0000B57C0000}"/>
    <cellStyle name="60% - Accent2 30" xfId="31940" xr:uid="{00000000-0005-0000-0000-0000B67C0000}"/>
    <cellStyle name="60% - Accent2 31" xfId="31941" xr:uid="{00000000-0005-0000-0000-0000B77C0000}"/>
    <cellStyle name="60% - Accent2 32" xfId="31942" xr:uid="{00000000-0005-0000-0000-0000B87C0000}"/>
    <cellStyle name="60% - Accent2 33" xfId="31943" xr:uid="{00000000-0005-0000-0000-0000B97C0000}"/>
    <cellStyle name="60% - Accent2 34" xfId="31944" xr:uid="{00000000-0005-0000-0000-0000BA7C0000}"/>
    <cellStyle name="60% - Accent2 4" xfId="31945" xr:uid="{00000000-0005-0000-0000-0000BB7C0000}"/>
    <cellStyle name="60% - Accent2 4 2" xfId="31946" xr:uid="{00000000-0005-0000-0000-0000BC7C0000}"/>
    <cellStyle name="60% - Accent2 4 3" xfId="31947" xr:uid="{00000000-0005-0000-0000-0000BD7C0000}"/>
    <cellStyle name="60% - Accent2 4 4" xfId="31948" xr:uid="{00000000-0005-0000-0000-0000BE7C0000}"/>
    <cellStyle name="60% - Accent2 4 5" xfId="31949" xr:uid="{00000000-0005-0000-0000-0000BF7C0000}"/>
    <cellStyle name="60% - Accent2 4_Proj" xfId="31950" xr:uid="{00000000-0005-0000-0000-0000C07C0000}"/>
    <cellStyle name="60% - Accent2 5" xfId="31951" xr:uid="{00000000-0005-0000-0000-0000C17C0000}"/>
    <cellStyle name="60% - Accent2 5 2" xfId="31952" xr:uid="{00000000-0005-0000-0000-0000C27C0000}"/>
    <cellStyle name="60% - Accent2 5 3" xfId="31953" xr:uid="{00000000-0005-0000-0000-0000C37C0000}"/>
    <cellStyle name="60% - Accent2 5 4" xfId="31954" xr:uid="{00000000-0005-0000-0000-0000C47C0000}"/>
    <cellStyle name="60% - Accent2 5 5" xfId="31955" xr:uid="{00000000-0005-0000-0000-0000C57C0000}"/>
    <cellStyle name="60% - Accent2 6" xfId="31956" xr:uid="{00000000-0005-0000-0000-0000C67C0000}"/>
    <cellStyle name="60% - Accent2 6 2" xfId="31957" xr:uid="{00000000-0005-0000-0000-0000C77C0000}"/>
    <cellStyle name="60% - Accent2 6 3" xfId="31958" xr:uid="{00000000-0005-0000-0000-0000C87C0000}"/>
    <cellStyle name="60% - Accent2 6 4" xfId="31959" xr:uid="{00000000-0005-0000-0000-0000C97C0000}"/>
    <cellStyle name="60% - Accent2 6 5" xfId="31960" xr:uid="{00000000-0005-0000-0000-0000CA7C0000}"/>
    <cellStyle name="60% - Accent2 7" xfId="31961" xr:uid="{00000000-0005-0000-0000-0000CB7C0000}"/>
    <cellStyle name="60% - Accent2 7 2" xfId="31962" xr:uid="{00000000-0005-0000-0000-0000CC7C0000}"/>
    <cellStyle name="60% - Accent2 7 3" xfId="31963" xr:uid="{00000000-0005-0000-0000-0000CD7C0000}"/>
    <cellStyle name="60% - Accent2 7 4" xfId="31964" xr:uid="{00000000-0005-0000-0000-0000CE7C0000}"/>
    <cellStyle name="60% - Accent2 7 5" xfId="31965" xr:uid="{00000000-0005-0000-0000-0000CF7C0000}"/>
    <cellStyle name="60% - Accent2 8" xfId="31966" xr:uid="{00000000-0005-0000-0000-0000D07C0000}"/>
    <cellStyle name="60% - Accent2 8 2" xfId="31967" xr:uid="{00000000-0005-0000-0000-0000D17C0000}"/>
    <cellStyle name="60% - Accent2 8 3" xfId="31968" xr:uid="{00000000-0005-0000-0000-0000D27C0000}"/>
    <cellStyle name="60% - Accent2 8 4" xfId="31969" xr:uid="{00000000-0005-0000-0000-0000D37C0000}"/>
    <cellStyle name="60% - Accent2 8 5" xfId="31970" xr:uid="{00000000-0005-0000-0000-0000D47C0000}"/>
    <cellStyle name="60% - Accent2 9" xfId="31971" xr:uid="{00000000-0005-0000-0000-0000D57C0000}"/>
    <cellStyle name="60% - Accent2 9 2" xfId="31972" xr:uid="{00000000-0005-0000-0000-0000D67C0000}"/>
    <cellStyle name="60% - Accent2 9 3" xfId="31973" xr:uid="{00000000-0005-0000-0000-0000D77C0000}"/>
    <cellStyle name="60% - Accent2 9 4" xfId="31974" xr:uid="{00000000-0005-0000-0000-0000D87C0000}"/>
    <cellStyle name="60% - Accent2 9 5" xfId="31975" xr:uid="{00000000-0005-0000-0000-0000D97C0000}"/>
    <cellStyle name="60% - Accent3 10" xfId="31976" xr:uid="{00000000-0005-0000-0000-0000DA7C0000}"/>
    <cellStyle name="60% - Accent3 10 2" xfId="31977" xr:uid="{00000000-0005-0000-0000-0000DB7C0000}"/>
    <cellStyle name="60% - Accent3 11" xfId="31978" xr:uid="{00000000-0005-0000-0000-0000DC7C0000}"/>
    <cellStyle name="60% - Accent3 11 2" xfId="31979" xr:uid="{00000000-0005-0000-0000-0000DD7C0000}"/>
    <cellStyle name="60% - Accent3 12" xfId="31980" xr:uid="{00000000-0005-0000-0000-0000DE7C0000}"/>
    <cellStyle name="60% - Accent3 12 2" xfId="31981" xr:uid="{00000000-0005-0000-0000-0000DF7C0000}"/>
    <cellStyle name="60% - Accent3 13" xfId="31982" xr:uid="{00000000-0005-0000-0000-0000E07C0000}"/>
    <cellStyle name="60% - Accent3 13 2" xfId="31983" xr:uid="{00000000-0005-0000-0000-0000E17C0000}"/>
    <cellStyle name="60% - Accent3 14" xfId="31984" xr:uid="{00000000-0005-0000-0000-0000E27C0000}"/>
    <cellStyle name="60% - Accent3 14 2" xfId="31985" xr:uid="{00000000-0005-0000-0000-0000E37C0000}"/>
    <cellStyle name="60% - Accent3 15" xfId="31986" xr:uid="{00000000-0005-0000-0000-0000E47C0000}"/>
    <cellStyle name="60% - Accent3 15 2" xfId="31987" xr:uid="{00000000-0005-0000-0000-0000E57C0000}"/>
    <cellStyle name="60% - Accent3 16" xfId="31988" xr:uid="{00000000-0005-0000-0000-0000E67C0000}"/>
    <cellStyle name="60% - Accent3 16 2" xfId="31989" xr:uid="{00000000-0005-0000-0000-0000E77C0000}"/>
    <cellStyle name="60% - Accent3 17" xfId="31990" xr:uid="{00000000-0005-0000-0000-0000E87C0000}"/>
    <cellStyle name="60% - Accent3 17 2" xfId="31991" xr:uid="{00000000-0005-0000-0000-0000E97C0000}"/>
    <cellStyle name="60% - Accent3 18" xfId="31992" xr:uid="{00000000-0005-0000-0000-0000EA7C0000}"/>
    <cellStyle name="60% - Accent3 18 2" xfId="31993" xr:uid="{00000000-0005-0000-0000-0000EB7C0000}"/>
    <cellStyle name="60% - Accent3 19" xfId="31994" xr:uid="{00000000-0005-0000-0000-0000EC7C0000}"/>
    <cellStyle name="60% - Accent3 19 2" xfId="31995" xr:uid="{00000000-0005-0000-0000-0000ED7C0000}"/>
    <cellStyle name="60% - Accent3 2" xfId="31996" xr:uid="{00000000-0005-0000-0000-0000EE7C0000}"/>
    <cellStyle name="60% - Accent3 2 10" xfId="31997" xr:uid="{00000000-0005-0000-0000-0000EF7C0000}"/>
    <cellStyle name="60% - Accent3 2 11" xfId="31998" xr:uid="{00000000-0005-0000-0000-0000F07C0000}"/>
    <cellStyle name="60% - Accent3 2 12" xfId="31999" xr:uid="{00000000-0005-0000-0000-0000F17C0000}"/>
    <cellStyle name="60% - Accent3 2 13" xfId="32000" xr:uid="{00000000-0005-0000-0000-0000F27C0000}"/>
    <cellStyle name="60% - Accent3 2 14" xfId="32001" xr:uid="{00000000-0005-0000-0000-0000F37C0000}"/>
    <cellStyle name="60% - Accent3 2 15" xfId="32002" xr:uid="{00000000-0005-0000-0000-0000F47C0000}"/>
    <cellStyle name="60% - Accent3 2 16" xfId="32003" xr:uid="{00000000-0005-0000-0000-0000F57C0000}"/>
    <cellStyle name="60% - Accent3 2 17" xfId="32004" xr:uid="{00000000-0005-0000-0000-0000F67C0000}"/>
    <cellStyle name="60% - Accent3 2 2" xfId="32005" xr:uid="{00000000-0005-0000-0000-0000F77C0000}"/>
    <cellStyle name="60% - Accent3 2 2 2" xfId="32006" xr:uid="{00000000-0005-0000-0000-0000F87C0000}"/>
    <cellStyle name="60% - Accent3 2 3" xfId="32007" xr:uid="{00000000-0005-0000-0000-0000F97C0000}"/>
    <cellStyle name="60% - Accent3 2 3 2" xfId="32008" xr:uid="{00000000-0005-0000-0000-0000FA7C0000}"/>
    <cellStyle name="60% - Accent3 2 4" xfId="32009" xr:uid="{00000000-0005-0000-0000-0000FB7C0000}"/>
    <cellStyle name="60% - Accent3 2 5" xfId="32010" xr:uid="{00000000-0005-0000-0000-0000FC7C0000}"/>
    <cellStyle name="60% - Accent3 2 6" xfId="32011" xr:uid="{00000000-0005-0000-0000-0000FD7C0000}"/>
    <cellStyle name="60% - Accent3 2 7" xfId="32012" xr:uid="{00000000-0005-0000-0000-0000FE7C0000}"/>
    <cellStyle name="60% - Accent3 2 8" xfId="32013" xr:uid="{00000000-0005-0000-0000-0000FF7C0000}"/>
    <cellStyle name="60% - Accent3 2 9" xfId="32014" xr:uid="{00000000-0005-0000-0000-0000007D0000}"/>
    <cellStyle name="60% - Accent3 2_Proj" xfId="32015" xr:uid="{00000000-0005-0000-0000-0000017D0000}"/>
    <cellStyle name="60% - Accent3 20" xfId="32016" xr:uid="{00000000-0005-0000-0000-0000027D0000}"/>
    <cellStyle name="60% - Accent3 20 2" xfId="32017" xr:uid="{00000000-0005-0000-0000-0000037D0000}"/>
    <cellStyle name="60% - Accent3 21" xfId="32018" xr:uid="{00000000-0005-0000-0000-0000047D0000}"/>
    <cellStyle name="60% - Accent3 21 2" xfId="32019" xr:uid="{00000000-0005-0000-0000-0000057D0000}"/>
    <cellStyle name="60% - Accent3 22" xfId="32020" xr:uid="{00000000-0005-0000-0000-0000067D0000}"/>
    <cellStyle name="60% - Accent3 22 2" xfId="32021" xr:uid="{00000000-0005-0000-0000-0000077D0000}"/>
    <cellStyle name="60% - Accent3 23" xfId="32022" xr:uid="{00000000-0005-0000-0000-0000087D0000}"/>
    <cellStyle name="60% - Accent3 24" xfId="32023" xr:uid="{00000000-0005-0000-0000-0000097D0000}"/>
    <cellStyle name="60% - Accent3 25" xfId="32024" xr:uid="{00000000-0005-0000-0000-00000A7D0000}"/>
    <cellStyle name="60% - Accent3 26" xfId="32025" xr:uid="{00000000-0005-0000-0000-00000B7D0000}"/>
    <cellStyle name="60% - Accent3 27" xfId="32026" xr:uid="{00000000-0005-0000-0000-00000C7D0000}"/>
    <cellStyle name="60% - Accent3 28" xfId="32027" xr:uid="{00000000-0005-0000-0000-00000D7D0000}"/>
    <cellStyle name="60% - Accent3 29" xfId="32028" xr:uid="{00000000-0005-0000-0000-00000E7D0000}"/>
    <cellStyle name="60% - Accent3 3" xfId="32029" xr:uid="{00000000-0005-0000-0000-00000F7D0000}"/>
    <cellStyle name="60% - Accent3 3 2" xfId="32030" xr:uid="{00000000-0005-0000-0000-0000107D0000}"/>
    <cellStyle name="60% - Accent3 3 2 2" xfId="32031" xr:uid="{00000000-0005-0000-0000-0000117D0000}"/>
    <cellStyle name="60% - Accent3 3 3" xfId="32032" xr:uid="{00000000-0005-0000-0000-0000127D0000}"/>
    <cellStyle name="60% - Accent3 3 4" xfId="32033" xr:uid="{00000000-0005-0000-0000-0000137D0000}"/>
    <cellStyle name="60% - Accent3 3 5" xfId="32034" xr:uid="{00000000-0005-0000-0000-0000147D0000}"/>
    <cellStyle name="60% - Accent3 3 6" xfId="32035" xr:uid="{00000000-0005-0000-0000-0000157D0000}"/>
    <cellStyle name="60% - Accent3 30" xfId="32036" xr:uid="{00000000-0005-0000-0000-0000167D0000}"/>
    <cellStyle name="60% - Accent3 31" xfId="32037" xr:uid="{00000000-0005-0000-0000-0000177D0000}"/>
    <cellStyle name="60% - Accent3 32" xfId="32038" xr:uid="{00000000-0005-0000-0000-0000187D0000}"/>
    <cellStyle name="60% - Accent3 33" xfId="32039" xr:uid="{00000000-0005-0000-0000-0000197D0000}"/>
    <cellStyle name="60% - Accent3 34" xfId="32040" xr:uid="{00000000-0005-0000-0000-00001A7D0000}"/>
    <cellStyle name="60% - Accent3 4" xfId="32041" xr:uid="{00000000-0005-0000-0000-00001B7D0000}"/>
    <cellStyle name="60% - Accent3 4 2" xfId="32042" xr:uid="{00000000-0005-0000-0000-00001C7D0000}"/>
    <cellStyle name="60% - Accent3 4 3" xfId="32043" xr:uid="{00000000-0005-0000-0000-00001D7D0000}"/>
    <cellStyle name="60% - Accent3 4 4" xfId="32044" xr:uid="{00000000-0005-0000-0000-00001E7D0000}"/>
    <cellStyle name="60% - Accent3 4 5" xfId="32045" xr:uid="{00000000-0005-0000-0000-00001F7D0000}"/>
    <cellStyle name="60% - Accent3 4_Proj" xfId="32046" xr:uid="{00000000-0005-0000-0000-0000207D0000}"/>
    <cellStyle name="60% - Accent3 5" xfId="32047" xr:uid="{00000000-0005-0000-0000-0000217D0000}"/>
    <cellStyle name="60% - Accent3 5 2" xfId="32048" xr:uid="{00000000-0005-0000-0000-0000227D0000}"/>
    <cellStyle name="60% - Accent3 5 3" xfId="32049" xr:uid="{00000000-0005-0000-0000-0000237D0000}"/>
    <cellStyle name="60% - Accent3 5 4" xfId="32050" xr:uid="{00000000-0005-0000-0000-0000247D0000}"/>
    <cellStyle name="60% - Accent3 5 5" xfId="32051" xr:uid="{00000000-0005-0000-0000-0000257D0000}"/>
    <cellStyle name="60% - Accent3 6" xfId="32052" xr:uid="{00000000-0005-0000-0000-0000267D0000}"/>
    <cellStyle name="60% - Accent3 6 2" xfId="32053" xr:uid="{00000000-0005-0000-0000-0000277D0000}"/>
    <cellStyle name="60% - Accent3 6 3" xfId="32054" xr:uid="{00000000-0005-0000-0000-0000287D0000}"/>
    <cellStyle name="60% - Accent3 6 4" xfId="32055" xr:uid="{00000000-0005-0000-0000-0000297D0000}"/>
    <cellStyle name="60% - Accent3 6 5" xfId="32056" xr:uid="{00000000-0005-0000-0000-00002A7D0000}"/>
    <cellStyle name="60% - Accent3 7" xfId="32057" xr:uid="{00000000-0005-0000-0000-00002B7D0000}"/>
    <cellStyle name="60% - Accent3 7 2" xfId="32058" xr:uid="{00000000-0005-0000-0000-00002C7D0000}"/>
    <cellStyle name="60% - Accent3 7 3" xfId="32059" xr:uid="{00000000-0005-0000-0000-00002D7D0000}"/>
    <cellStyle name="60% - Accent3 7 4" xfId="32060" xr:uid="{00000000-0005-0000-0000-00002E7D0000}"/>
    <cellStyle name="60% - Accent3 7 5" xfId="32061" xr:uid="{00000000-0005-0000-0000-00002F7D0000}"/>
    <cellStyle name="60% - Accent3 8" xfId="32062" xr:uid="{00000000-0005-0000-0000-0000307D0000}"/>
    <cellStyle name="60% - Accent3 8 2" xfId="32063" xr:uid="{00000000-0005-0000-0000-0000317D0000}"/>
    <cellStyle name="60% - Accent3 8 3" xfId="32064" xr:uid="{00000000-0005-0000-0000-0000327D0000}"/>
    <cellStyle name="60% - Accent3 8 4" xfId="32065" xr:uid="{00000000-0005-0000-0000-0000337D0000}"/>
    <cellStyle name="60% - Accent3 8 5" xfId="32066" xr:uid="{00000000-0005-0000-0000-0000347D0000}"/>
    <cellStyle name="60% - Accent3 9" xfId="32067" xr:uid="{00000000-0005-0000-0000-0000357D0000}"/>
    <cellStyle name="60% - Accent3 9 2" xfId="32068" xr:uid="{00000000-0005-0000-0000-0000367D0000}"/>
    <cellStyle name="60% - Accent3 9 3" xfId="32069" xr:uid="{00000000-0005-0000-0000-0000377D0000}"/>
    <cellStyle name="60% - Accent3 9 4" xfId="32070" xr:uid="{00000000-0005-0000-0000-0000387D0000}"/>
    <cellStyle name="60% - Accent3 9 5" xfId="32071" xr:uid="{00000000-0005-0000-0000-0000397D0000}"/>
    <cellStyle name="60% - Accent4 10" xfId="32072" xr:uid="{00000000-0005-0000-0000-00003A7D0000}"/>
    <cellStyle name="60% - Accent4 10 2" xfId="32073" xr:uid="{00000000-0005-0000-0000-00003B7D0000}"/>
    <cellStyle name="60% - Accent4 10 3" xfId="32074" xr:uid="{00000000-0005-0000-0000-00003C7D0000}"/>
    <cellStyle name="60% - Accent4 10 4" xfId="32075" xr:uid="{00000000-0005-0000-0000-00003D7D0000}"/>
    <cellStyle name="60% - Accent4 10 5" xfId="32076" xr:uid="{00000000-0005-0000-0000-00003E7D0000}"/>
    <cellStyle name="60% - Accent4 11" xfId="32077" xr:uid="{00000000-0005-0000-0000-00003F7D0000}"/>
    <cellStyle name="60% - Accent4 11 2" xfId="32078" xr:uid="{00000000-0005-0000-0000-0000407D0000}"/>
    <cellStyle name="60% - Accent4 12" xfId="32079" xr:uid="{00000000-0005-0000-0000-0000417D0000}"/>
    <cellStyle name="60% - Accent4 12 2" xfId="32080" xr:uid="{00000000-0005-0000-0000-0000427D0000}"/>
    <cellStyle name="60% - Accent4 13" xfId="32081" xr:uid="{00000000-0005-0000-0000-0000437D0000}"/>
    <cellStyle name="60% - Accent4 13 2" xfId="32082" xr:uid="{00000000-0005-0000-0000-0000447D0000}"/>
    <cellStyle name="60% - Accent4 14" xfId="32083" xr:uid="{00000000-0005-0000-0000-0000457D0000}"/>
    <cellStyle name="60% - Accent4 14 2" xfId="32084" xr:uid="{00000000-0005-0000-0000-0000467D0000}"/>
    <cellStyle name="60% - Accent4 15" xfId="32085" xr:uid="{00000000-0005-0000-0000-0000477D0000}"/>
    <cellStyle name="60% - Accent4 15 2" xfId="32086" xr:uid="{00000000-0005-0000-0000-0000487D0000}"/>
    <cellStyle name="60% - Accent4 16" xfId="32087" xr:uid="{00000000-0005-0000-0000-0000497D0000}"/>
    <cellStyle name="60% - Accent4 16 2" xfId="32088" xr:uid="{00000000-0005-0000-0000-00004A7D0000}"/>
    <cellStyle name="60% - Accent4 17" xfId="32089" xr:uid="{00000000-0005-0000-0000-00004B7D0000}"/>
    <cellStyle name="60% - Accent4 17 2" xfId="32090" xr:uid="{00000000-0005-0000-0000-00004C7D0000}"/>
    <cellStyle name="60% - Accent4 18" xfId="32091" xr:uid="{00000000-0005-0000-0000-00004D7D0000}"/>
    <cellStyle name="60% - Accent4 18 2" xfId="32092" xr:uid="{00000000-0005-0000-0000-00004E7D0000}"/>
    <cellStyle name="60% - Accent4 19" xfId="32093" xr:uid="{00000000-0005-0000-0000-00004F7D0000}"/>
    <cellStyle name="60% - Accent4 19 2" xfId="32094" xr:uid="{00000000-0005-0000-0000-0000507D0000}"/>
    <cellStyle name="60% - Accent4 2" xfId="32095" xr:uid="{00000000-0005-0000-0000-0000517D0000}"/>
    <cellStyle name="60% - Accent4 2 10" xfId="32096" xr:uid="{00000000-0005-0000-0000-0000527D0000}"/>
    <cellStyle name="60% - Accent4 2 11" xfId="32097" xr:uid="{00000000-0005-0000-0000-0000537D0000}"/>
    <cellStyle name="60% - Accent4 2 12" xfId="32098" xr:uid="{00000000-0005-0000-0000-0000547D0000}"/>
    <cellStyle name="60% - Accent4 2 13" xfId="32099" xr:uid="{00000000-0005-0000-0000-0000557D0000}"/>
    <cellStyle name="60% - Accent4 2 14" xfId="32100" xr:uid="{00000000-0005-0000-0000-0000567D0000}"/>
    <cellStyle name="60% - Accent4 2 15" xfId="32101" xr:uid="{00000000-0005-0000-0000-0000577D0000}"/>
    <cellStyle name="60% - Accent4 2 16" xfId="32102" xr:uid="{00000000-0005-0000-0000-0000587D0000}"/>
    <cellStyle name="60% - Accent4 2 17" xfId="32103" xr:uid="{00000000-0005-0000-0000-0000597D0000}"/>
    <cellStyle name="60% - Accent4 2 18" xfId="32104" xr:uid="{00000000-0005-0000-0000-00005A7D0000}"/>
    <cellStyle name="60% - Accent4 2 19" xfId="32105" xr:uid="{00000000-0005-0000-0000-00005B7D0000}"/>
    <cellStyle name="60% - Accent4 2 2" xfId="32106" xr:uid="{00000000-0005-0000-0000-00005C7D0000}"/>
    <cellStyle name="60% - Accent4 2 2 2" xfId="32107" xr:uid="{00000000-0005-0000-0000-00005D7D0000}"/>
    <cellStyle name="60% - Accent4 2 3" xfId="32108" xr:uid="{00000000-0005-0000-0000-00005E7D0000}"/>
    <cellStyle name="60% - Accent4 2 3 2" xfId="32109" xr:uid="{00000000-0005-0000-0000-00005F7D0000}"/>
    <cellStyle name="60% - Accent4 2 4" xfId="32110" xr:uid="{00000000-0005-0000-0000-0000607D0000}"/>
    <cellStyle name="60% - Accent4 2 4 2" xfId="32111" xr:uid="{00000000-0005-0000-0000-0000617D0000}"/>
    <cellStyle name="60% - Accent4 2 5" xfId="32112" xr:uid="{00000000-0005-0000-0000-0000627D0000}"/>
    <cellStyle name="60% - Accent4 2 6" xfId="32113" xr:uid="{00000000-0005-0000-0000-0000637D0000}"/>
    <cellStyle name="60% - Accent4 2 7" xfId="32114" xr:uid="{00000000-0005-0000-0000-0000647D0000}"/>
    <cellStyle name="60% - Accent4 2 8" xfId="32115" xr:uid="{00000000-0005-0000-0000-0000657D0000}"/>
    <cellStyle name="60% - Accent4 2 9" xfId="32116" xr:uid="{00000000-0005-0000-0000-0000667D0000}"/>
    <cellStyle name="60% - Accent4 2_Labour" xfId="32117" xr:uid="{00000000-0005-0000-0000-0000677D0000}"/>
    <cellStyle name="60% - Accent4 20" xfId="32118" xr:uid="{00000000-0005-0000-0000-0000687D0000}"/>
    <cellStyle name="60% - Accent4 20 2" xfId="32119" xr:uid="{00000000-0005-0000-0000-0000697D0000}"/>
    <cellStyle name="60% - Accent4 21" xfId="32120" xr:uid="{00000000-0005-0000-0000-00006A7D0000}"/>
    <cellStyle name="60% - Accent4 21 2" xfId="32121" xr:uid="{00000000-0005-0000-0000-00006B7D0000}"/>
    <cellStyle name="60% - Accent4 22" xfId="32122" xr:uid="{00000000-0005-0000-0000-00006C7D0000}"/>
    <cellStyle name="60% - Accent4 22 2" xfId="32123" xr:uid="{00000000-0005-0000-0000-00006D7D0000}"/>
    <cellStyle name="60% - Accent4 23" xfId="32124" xr:uid="{00000000-0005-0000-0000-00006E7D0000}"/>
    <cellStyle name="60% - Accent4 24" xfId="32125" xr:uid="{00000000-0005-0000-0000-00006F7D0000}"/>
    <cellStyle name="60% - Accent4 25" xfId="32126" xr:uid="{00000000-0005-0000-0000-0000707D0000}"/>
    <cellStyle name="60% - Accent4 26" xfId="32127" xr:uid="{00000000-0005-0000-0000-0000717D0000}"/>
    <cellStyle name="60% - Accent4 27" xfId="32128" xr:uid="{00000000-0005-0000-0000-0000727D0000}"/>
    <cellStyle name="60% - Accent4 28" xfId="32129" xr:uid="{00000000-0005-0000-0000-0000737D0000}"/>
    <cellStyle name="60% - Accent4 29" xfId="32130" xr:uid="{00000000-0005-0000-0000-0000747D0000}"/>
    <cellStyle name="60% - Accent4 3" xfId="32131" xr:uid="{00000000-0005-0000-0000-0000757D0000}"/>
    <cellStyle name="60% - Accent4 3 2" xfId="32132" xr:uid="{00000000-0005-0000-0000-0000767D0000}"/>
    <cellStyle name="60% - Accent4 3 2 2" xfId="32133" xr:uid="{00000000-0005-0000-0000-0000777D0000}"/>
    <cellStyle name="60% - Accent4 3 3" xfId="32134" xr:uid="{00000000-0005-0000-0000-0000787D0000}"/>
    <cellStyle name="60% - Accent4 3 4" xfId="32135" xr:uid="{00000000-0005-0000-0000-0000797D0000}"/>
    <cellStyle name="60% - Accent4 3 5" xfId="32136" xr:uid="{00000000-0005-0000-0000-00007A7D0000}"/>
    <cellStyle name="60% - Accent4 30" xfId="32137" xr:uid="{00000000-0005-0000-0000-00007B7D0000}"/>
    <cellStyle name="60% - Accent4 31" xfId="32138" xr:uid="{00000000-0005-0000-0000-00007C7D0000}"/>
    <cellStyle name="60% - Accent4 32" xfId="32139" xr:uid="{00000000-0005-0000-0000-00007D7D0000}"/>
    <cellStyle name="60% - Accent4 33" xfId="32140" xr:uid="{00000000-0005-0000-0000-00007E7D0000}"/>
    <cellStyle name="60% - Accent4 34" xfId="32141" xr:uid="{00000000-0005-0000-0000-00007F7D0000}"/>
    <cellStyle name="60% - Accent4 4" xfId="32142" xr:uid="{00000000-0005-0000-0000-0000807D0000}"/>
    <cellStyle name="60% - Accent4 4 2" xfId="32143" xr:uid="{00000000-0005-0000-0000-0000817D0000}"/>
    <cellStyle name="60% - Accent4 4 3" xfId="32144" xr:uid="{00000000-0005-0000-0000-0000827D0000}"/>
    <cellStyle name="60% - Accent4 4 4" xfId="32145" xr:uid="{00000000-0005-0000-0000-0000837D0000}"/>
    <cellStyle name="60% - Accent4 4 5" xfId="32146" xr:uid="{00000000-0005-0000-0000-0000847D0000}"/>
    <cellStyle name="60% - Accent4 4_Proj" xfId="32147" xr:uid="{00000000-0005-0000-0000-0000857D0000}"/>
    <cellStyle name="60% - Accent4 5" xfId="32148" xr:uid="{00000000-0005-0000-0000-0000867D0000}"/>
    <cellStyle name="60% - Accent4 5 2" xfId="32149" xr:uid="{00000000-0005-0000-0000-0000877D0000}"/>
    <cellStyle name="60% - Accent4 5 3" xfId="32150" xr:uid="{00000000-0005-0000-0000-0000887D0000}"/>
    <cellStyle name="60% - Accent4 5 4" xfId="32151" xr:uid="{00000000-0005-0000-0000-0000897D0000}"/>
    <cellStyle name="60% - Accent4 5 5" xfId="32152" xr:uid="{00000000-0005-0000-0000-00008A7D0000}"/>
    <cellStyle name="60% - Accent4 6" xfId="32153" xr:uid="{00000000-0005-0000-0000-00008B7D0000}"/>
    <cellStyle name="60% - Accent4 6 2" xfId="32154" xr:uid="{00000000-0005-0000-0000-00008C7D0000}"/>
    <cellStyle name="60% - Accent4 6 3" xfId="32155" xr:uid="{00000000-0005-0000-0000-00008D7D0000}"/>
    <cellStyle name="60% - Accent4 6 4" xfId="32156" xr:uid="{00000000-0005-0000-0000-00008E7D0000}"/>
    <cellStyle name="60% - Accent4 6 5" xfId="32157" xr:uid="{00000000-0005-0000-0000-00008F7D0000}"/>
    <cellStyle name="60% - Accent4 7" xfId="32158" xr:uid="{00000000-0005-0000-0000-0000907D0000}"/>
    <cellStyle name="60% - Accent4 7 2" xfId="32159" xr:uid="{00000000-0005-0000-0000-0000917D0000}"/>
    <cellStyle name="60% - Accent4 7 3" xfId="32160" xr:uid="{00000000-0005-0000-0000-0000927D0000}"/>
    <cellStyle name="60% - Accent4 7 4" xfId="32161" xr:uid="{00000000-0005-0000-0000-0000937D0000}"/>
    <cellStyle name="60% - Accent4 7 5" xfId="32162" xr:uid="{00000000-0005-0000-0000-0000947D0000}"/>
    <cellStyle name="60% - Accent4 8" xfId="32163" xr:uid="{00000000-0005-0000-0000-0000957D0000}"/>
    <cellStyle name="60% - Accent4 8 2" xfId="32164" xr:uid="{00000000-0005-0000-0000-0000967D0000}"/>
    <cellStyle name="60% - Accent4 8 3" xfId="32165" xr:uid="{00000000-0005-0000-0000-0000977D0000}"/>
    <cellStyle name="60% - Accent4 8 4" xfId="32166" xr:uid="{00000000-0005-0000-0000-0000987D0000}"/>
    <cellStyle name="60% - Accent4 8 5" xfId="32167" xr:uid="{00000000-0005-0000-0000-0000997D0000}"/>
    <cellStyle name="60% - Accent4 9" xfId="32168" xr:uid="{00000000-0005-0000-0000-00009A7D0000}"/>
    <cellStyle name="60% - Accent4 9 2" xfId="32169" xr:uid="{00000000-0005-0000-0000-00009B7D0000}"/>
    <cellStyle name="60% - Accent4 9 3" xfId="32170" xr:uid="{00000000-0005-0000-0000-00009C7D0000}"/>
    <cellStyle name="60% - Accent4 9 4" xfId="32171" xr:uid="{00000000-0005-0000-0000-00009D7D0000}"/>
    <cellStyle name="60% - Accent4 9 5" xfId="32172" xr:uid="{00000000-0005-0000-0000-00009E7D0000}"/>
    <cellStyle name="60% - Accent5 10" xfId="32173" xr:uid="{00000000-0005-0000-0000-00009F7D0000}"/>
    <cellStyle name="60% - Accent5 10 2" xfId="32174" xr:uid="{00000000-0005-0000-0000-0000A07D0000}"/>
    <cellStyle name="60% - Accent5 10 3" xfId="32175" xr:uid="{00000000-0005-0000-0000-0000A17D0000}"/>
    <cellStyle name="60% - Accent5 10 4" xfId="32176" xr:uid="{00000000-0005-0000-0000-0000A27D0000}"/>
    <cellStyle name="60% - Accent5 10 5" xfId="32177" xr:uid="{00000000-0005-0000-0000-0000A37D0000}"/>
    <cellStyle name="60% - Accent5 11" xfId="32178" xr:uid="{00000000-0005-0000-0000-0000A47D0000}"/>
    <cellStyle name="60% - Accent5 11 2" xfId="32179" xr:uid="{00000000-0005-0000-0000-0000A57D0000}"/>
    <cellStyle name="60% - Accent5 12" xfId="32180" xr:uid="{00000000-0005-0000-0000-0000A67D0000}"/>
    <cellStyle name="60% - Accent5 12 2" xfId="32181" xr:uid="{00000000-0005-0000-0000-0000A77D0000}"/>
    <cellStyle name="60% - Accent5 13" xfId="32182" xr:uid="{00000000-0005-0000-0000-0000A87D0000}"/>
    <cellStyle name="60% - Accent5 13 2" xfId="32183" xr:uid="{00000000-0005-0000-0000-0000A97D0000}"/>
    <cellStyle name="60% - Accent5 14" xfId="32184" xr:uid="{00000000-0005-0000-0000-0000AA7D0000}"/>
    <cellStyle name="60% - Accent5 14 2" xfId="32185" xr:uid="{00000000-0005-0000-0000-0000AB7D0000}"/>
    <cellStyle name="60% - Accent5 15" xfId="32186" xr:uid="{00000000-0005-0000-0000-0000AC7D0000}"/>
    <cellStyle name="60% - Accent5 15 2" xfId="32187" xr:uid="{00000000-0005-0000-0000-0000AD7D0000}"/>
    <cellStyle name="60% - Accent5 16" xfId="32188" xr:uid="{00000000-0005-0000-0000-0000AE7D0000}"/>
    <cellStyle name="60% - Accent5 16 2" xfId="32189" xr:uid="{00000000-0005-0000-0000-0000AF7D0000}"/>
    <cellStyle name="60% - Accent5 17" xfId="32190" xr:uid="{00000000-0005-0000-0000-0000B07D0000}"/>
    <cellStyle name="60% - Accent5 17 2" xfId="32191" xr:uid="{00000000-0005-0000-0000-0000B17D0000}"/>
    <cellStyle name="60% - Accent5 18" xfId="32192" xr:uid="{00000000-0005-0000-0000-0000B27D0000}"/>
    <cellStyle name="60% - Accent5 18 2" xfId="32193" xr:uid="{00000000-0005-0000-0000-0000B37D0000}"/>
    <cellStyle name="60% - Accent5 19" xfId="32194" xr:uid="{00000000-0005-0000-0000-0000B47D0000}"/>
    <cellStyle name="60% - Accent5 19 2" xfId="32195" xr:uid="{00000000-0005-0000-0000-0000B57D0000}"/>
    <cellStyle name="60% - Accent5 2" xfId="32196" xr:uid="{00000000-0005-0000-0000-0000B67D0000}"/>
    <cellStyle name="60% - Accent5 2 10" xfId="32197" xr:uid="{00000000-0005-0000-0000-0000B77D0000}"/>
    <cellStyle name="60% - Accent5 2 11" xfId="32198" xr:uid="{00000000-0005-0000-0000-0000B87D0000}"/>
    <cellStyle name="60% - Accent5 2 12" xfId="32199" xr:uid="{00000000-0005-0000-0000-0000B97D0000}"/>
    <cellStyle name="60% - Accent5 2 13" xfId="32200" xr:uid="{00000000-0005-0000-0000-0000BA7D0000}"/>
    <cellStyle name="60% - Accent5 2 14" xfId="32201" xr:uid="{00000000-0005-0000-0000-0000BB7D0000}"/>
    <cellStyle name="60% - Accent5 2 15" xfId="32202" xr:uid="{00000000-0005-0000-0000-0000BC7D0000}"/>
    <cellStyle name="60% - Accent5 2 16" xfId="32203" xr:uid="{00000000-0005-0000-0000-0000BD7D0000}"/>
    <cellStyle name="60% - Accent5 2 17" xfId="32204" xr:uid="{00000000-0005-0000-0000-0000BE7D0000}"/>
    <cellStyle name="60% - Accent5 2 18" xfId="32205" xr:uid="{00000000-0005-0000-0000-0000BF7D0000}"/>
    <cellStyle name="60% - Accent5 2 19" xfId="32206" xr:uid="{00000000-0005-0000-0000-0000C07D0000}"/>
    <cellStyle name="60% - Accent5 2 2" xfId="32207" xr:uid="{00000000-0005-0000-0000-0000C17D0000}"/>
    <cellStyle name="60% - Accent5 2 2 2" xfId="32208" xr:uid="{00000000-0005-0000-0000-0000C27D0000}"/>
    <cellStyle name="60% - Accent5 2 3" xfId="32209" xr:uid="{00000000-0005-0000-0000-0000C37D0000}"/>
    <cellStyle name="60% - Accent5 2 3 2" xfId="32210" xr:uid="{00000000-0005-0000-0000-0000C47D0000}"/>
    <cellStyle name="60% - Accent5 2 4" xfId="32211" xr:uid="{00000000-0005-0000-0000-0000C57D0000}"/>
    <cellStyle name="60% - Accent5 2 4 2" xfId="32212" xr:uid="{00000000-0005-0000-0000-0000C67D0000}"/>
    <cellStyle name="60% - Accent5 2 5" xfId="32213" xr:uid="{00000000-0005-0000-0000-0000C77D0000}"/>
    <cellStyle name="60% - Accent5 2 6" xfId="32214" xr:uid="{00000000-0005-0000-0000-0000C87D0000}"/>
    <cellStyle name="60% - Accent5 2 7" xfId="32215" xr:uid="{00000000-0005-0000-0000-0000C97D0000}"/>
    <cellStyle name="60% - Accent5 2 8" xfId="32216" xr:uid="{00000000-0005-0000-0000-0000CA7D0000}"/>
    <cellStyle name="60% - Accent5 2 9" xfId="32217" xr:uid="{00000000-0005-0000-0000-0000CB7D0000}"/>
    <cellStyle name="60% - Accent5 2_Labour" xfId="32218" xr:uid="{00000000-0005-0000-0000-0000CC7D0000}"/>
    <cellStyle name="60% - Accent5 20" xfId="32219" xr:uid="{00000000-0005-0000-0000-0000CD7D0000}"/>
    <cellStyle name="60% - Accent5 20 2" xfId="32220" xr:uid="{00000000-0005-0000-0000-0000CE7D0000}"/>
    <cellStyle name="60% - Accent5 21" xfId="32221" xr:uid="{00000000-0005-0000-0000-0000CF7D0000}"/>
    <cellStyle name="60% - Accent5 21 2" xfId="32222" xr:uid="{00000000-0005-0000-0000-0000D07D0000}"/>
    <cellStyle name="60% - Accent5 22" xfId="32223" xr:uid="{00000000-0005-0000-0000-0000D17D0000}"/>
    <cellStyle name="60% - Accent5 22 2" xfId="32224" xr:uid="{00000000-0005-0000-0000-0000D27D0000}"/>
    <cellStyle name="60% - Accent5 23" xfId="32225" xr:uid="{00000000-0005-0000-0000-0000D37D0000}"/>
    <cellStyle name="60% - Accent5 24" xfId="32226" xr:uid="{00000000-0005-0000-0000-0000D47D0000}"/>
    <cellStyle name="60% - Accent5 25" xfId="32227" xr:uid="{00000000-0005-0000-0000-0000D57D0000}"/>
    <cellStyle name="60% - Accent5 26" xfId="32228" xr:uid="{00000000-0005-0000-0000-0000D67D0000}"/>
    <cellStyle name="60% - Accent5 27" xfId="32229" xr:uid="{00000000-0005-0000-0000-0000D77D0000}"/>
    <cellStyle name="60% - Accent5 28" xfId="32230" xr:uid="{00000000-0005-0000-0000-0000D87D0000}"/>
    <cellStyle name="60% - Accent5 29" xfId="32231" xr:uid="{00000000-0005-0000-0000-0000D97D0000}"/>
    <cellStyle name="60% - Accent5 3" xfId="32232" xr:uid="{00000000-0005-0000-0000-0000DA7D0000}"/>
    <cellStyle name="60% - Accent5 3 2" xfId="32233" xr:uid="{00000000-0005-0000-0000-0000DB7D0000}"/>
    <cellStyle name="60% - Accent5 3 2 2" xfId="32234" xr:uid="{00000000-0005-0000-0000-0000DC7D0000}"/>
    <cellStyle name="60% - Accent5 3 3" xfId="32235" xr:uid="{00000000-0005-0000-0000-0000DD7D0000}"/>
    <cellStyle name="60% - Accent5 3 4" xfId="32236" xr:uid="{00000000-0005-0000-0000-0000DE7D0000}"/>
    <cellStyle name="60% - Accent5 3 5" xfId="32237" xr:uid="{00000000-0005-0000-0000-0000DF7D0000}"/>
    <cellStyle name="60% - Accent5 30" xfId="32238" xr:uid="{00000000-0005-0000-0000-0000E07D0000}"/>
    <cellStyle name="60% - Accent5 31" xfId="32239" xr:uid="{00000000-0005-0000-0000-0000E17D0000}"/>
    <cellStyle name="60% - Accent5 32" xfId="32240" xr:uid="{00000000-0005-0000-0000-0000E27D0000}"/>
    <cellStyle name="60% - Accent5 33" xfId="32241" xr:uid="{00000000-0005-0000-0000-0000E37D0000}"/>
    <cellStyle name="60% - Accent5 34" xfId="32242" xr:uid="{00000000-0005-0000-0000-0000E47D0000}"/>
    <cellStyle name="60% - Accent5 4" xfId="32243" xr:uid="{00000000-0005-0000-0000-0000E57D0000}"/>
    <cellStyle name="60% - Accent5 4 2" xfId="32244" xr:uid="{00000000-0005-0000-0000-0000E67D0000}"/>
    <cellStyle name="60% - Accent5 4 3" xfId="32245" xr:uid="{00000000-0005-0000-0000-0000E77D0000}"/>
    <cellStyle name="60% - Accent5 4 4" xfId="32246" xr:uid="{00000000-0005-0000-0000-0000E87D0000}"/>
    <cellStyle name="60% - Accent5 4 5" xfId="32247" xr:uid="{00000000-0005-0000-0000-0000E97D0000}"/>
    <cellStyle name="60% - Accent5 4_Proj" xfId="32248" xr:uid="{00000000-0005-0000-0000-0000EA7D0000}"/>
    <cellStyle name="60% - Accent5 5" xfId="32249" xr:uid="{00000000-0005-0000-0000-0000EB7D0000}"/>
    <cellStyle name="60% - Accent5 5 2" xfId="32250" xr:uid="{00000000-0005-0000-0000-0000EC7D0000}"/>
    <cellStyle name="60% - Accent5 5 3" xfId="32251" xr:uid="{00000000-0005-0000-0000-0000ED7D0000}"/>
    <cellStyle name="60% - Accent5 5 4" xfId="32252" xr:uid="{00000000-0005-0000-0000-0000EE7D0000}"/>
    <cellStyle name="60% - Accent5 5 5" xfId="32253" xr:uid="{00000000-0005-0000-0000-0000EF7D0000}"/>
    <cellStyle name="60% - Accent5 6" xfId="32254" xr:uid="{00000000-0005-0000-0000-0000F07D0000}"/>
    <cellStyle name="60% - Accent5 6 2" xfId="32255" xr:uid="{00000000-0005-0000-0000-0000F17D0000}"/>
    <cellStyle name="60% - Accent5 6 3" xfId="32256" xr:uid="{00000000-0005-0000-0000-0000F27D0000}"/>
    <cellStyle name="60% - Accent5 6 4" xfId="32257" xr:uid="{00000000-0005-0000-0000-0000F37D0000}"/>
    <cellStyle name="60% - Accent5 6 5" xfId="32258" xr:uid="{00000000-0005-0000-0000-0000F47D0000}"/>
    <cellStyle name="60% - Accent5 7" xfId="32259" xr:uid="{00000000-0005-0000-0000-0000F57D0000}"/>
    <cellStyle name="60% - Accent5 7 2" xfId="32260" xr:uid="{00000000-0005-0000-0000-0000F67D0000}"/>
    <cellStyle name="60% - Accent5 7 3" xfId="32261" xr:uid="{00000000-0005-0000-0000-0000F77D0000}"/>
    <cellStyle name="60% - Accent5 7 4" xfId="32262" xr:uid="{00000000-0005-0000-0000-0000F87D0000}"/>
    <cellStyle name="60% - Accent5 7 5" xfId="32263" xr:uid="{00000000-0005-0000-0000-0000F97D0000}"/>
    <cellStyle name="60% - Accent5 8" xfId="32264" xr:uid="{00000000-0005-0000-0000-0000FA7D0000}"/>
    <cellStyle name="60% - Accent5 8 2" xfId="32265" xr:uid="{00000000-0005-0000-0000-0000FB7D0000}"/>
    <cellStyle name="60% - Accent5 8 3" xfId="32266" xr:uid="{00000000-0005-0000-0000-0000FC7D0000}"/>
    <cellStyle name="60% - Accent5 8 4" xfId="32267" xr:uid="{00000000-0005-0000-0000-0000FD7D0000}"/>
    <cellStyle name="60% - Accent5 8 5" xfId="32268" xr:uid="{00000000-0005-0000-0000-0000FE7D0000}"/>
    <cellStyle name="60% - Accent5 9" xfId="32269" xr:uid="{00000000-0005-0000-0000-0000FF7D0000}"/>
    <cellStyle name="60% - Accent5 9 2" xfId="32270" xr:uid="{00000000-0005-0000-0000-0000007E0000}"/>
    <cellStyle name="60% - Accent5 9 3" xfId="32271" xr:uid="{00000000-0005-0000-0000-0000017E0000}"/>
    <cellStyle name="60% - Accent5 9 4" xfId="32272" xr:uid="{00000000-0005-0000-0000-0000027E0000}"/>
    <cellStyle name="60% - Accent5 9 5" xfId="32273" xr:uid="{00000000-0005-0000-0000-0000037E0000}"/>
    <cellStyle name="60% - Accent6 10" xfId="32274" xr:uid="{00000000-0005-0000-0000-0000047E0000}"/>
    <cellStyle name="60% - Accent6 10 2" xfId="32275" xr:uid="{00000000-0005-0000-0000-0000057E0000}"/>
    <cellStyle name="60% - Accent6 10 3" xfId="32276" xr:uid="{00000000-0005-0000-0000-0000067E0000}"/>
    <cellStyle name="60% - Accent6 10 4" xfId="32277" xr:uid="{00000000-0005-0000-0000-0000077E0000}"/>
    <cellStyle name="60% - Accent6 10 5" xfId="32278" xr:uid="{00000000-0005-0000-0000-0000087E0000}"/>
    <cellStyle name="60% - Accent6 11" xfId="32279" xr:uid="{00000000-0005-0000-0000-0000097E0000}"/>
    <cellStyle name="60% - Accent6 11 2" xfId="32280" xr:uid="{00000000-0005-0000-0000-00000A7E0000}"/>
    <cellStyle name="60% - Accent6 12" xfId="32281" xr:uid="{00000000-0005-0000-0000-00000B7E0000}"/>
    <cellStyle name="60% - Accent6 12 2" xfId="32282" xr:uid="{00000000-0005-0000-0000-00000C7E0000}"/>
    <cellStyle name="60% - Accent6 13" xfId="32283" xr:uid="{00000000-0005-0000-0000-00000D7E0000}"/>
    <cellStyle name="60% - Accent6 13 2" xfId="32284" xr:uid="{00000000-0005-0000-0000-00000E7E0000}"/>
    <cellStyle name="60% - Accent6 14" xfId="32285" xr:uid="{00000000-0005-0000-0000-00000F7E0000}"/>
    <cellStyle name="60% - Accent6 14 2" xfId="32286" xr:uid="{00000000-0005-0000-0000-0000107E0000}"/>
    <cellStyle name="60% - Accent6 15" xfId="32287" xr:uid="{00000000-0005-0000-0000-0000117E0000}"/>
    <cellStyle name="60% - Accent6 15 2" xfId="32288" xr:uid="{00000000-0005-0000-0000-0000127E0000}"/>
    <cellStyle name="60% - Accent6 16" xfId="32289" xr:uid="{00000000-0005-0000-0000-0000137E0000}"/>
    <cellStyle name="60% - Accent6 16 2" xfId="32290" xr:uid="{00000000-0005-0000-0000-0000147E0000}"/>
    <cellStyle name="60% - Accent6 17" xfId="32291" xr:uid="{00000000-0005-0000-0000-0000157E0000}"/>
    <cellStyle name="60% - Accent6 17 2" xfId="32292" xr:uid="{00000000-0005-0000-0000-0000167E0000}"/>
    <cellStyle name="60% - Accent6 18" xfId="32293" xr:uid="{00000000-0005-0000-0000-0000177E0000}"/>
    <cellStyle name="60% - Accent6 18 2" xfId="32294" xr:uid="{00000000-0005-0000-0000-0000187E0000}"/>
    <cellStyle name="60% - Accent6 19" xfId="32295" xr:uid="{00000000-0005-0000-0000-0000197E0000}"/>
    <cellStyle name="60% - Accent6 19 2" xfId="32296" xr:uid="{00000000-0005-0000-0000-00001A7E0000}"/>
    <cellStyle name="60% - Accent6 2" xfId="32297" xr:uid="{00000000-0005-0000-0000-00001B7E0000}"/>
    <cellStyle name="60% - Accent6 2 10" xfId="32298" xr:uid="{00000000-0005-0000-0000-00001C7E0000}"/>
    <cellStyle name="60% - Accent6 2 11" xfId="32299" xr:uid="{00000000-0005-0000-0000-00001D7E0000}"/>
    <cellStyle name="60% - Accent6 2 12" xfId="32300" xr:uid="{00000000-0005-0000-0000-00001E7E0000}"/>
    <cellStyle name="60% - Accent6 2 13" xfId="32301" xr:uid="{00000000-0005-0000-0000-00001F7E0000}"/>
    <cellStyle name="60% - Accent6 2 14" xfId="32302" xr:uid="{00000000-0005-0000-0000-0000207E0000}"/>
    <cellStyle name="60% - Accent6 2 15" xfId="32303" xr:uid="{00000000-0005-0000-0000-0000217E0000}"/>
    <cellStyle name="60% - Accent6 2 16" xfId="32304" xr:uid="{00000000-0005-0000-0000-0000227E0000}"/>
    <cellStyle name="60% - Accent6 2 17" xfId="32305" xr:uid="{00000000-0005-0000-0000-0000237E0000}"/>
    <cellStyle name="60% - Accent6 2 18" xfId="32306" xr:uid="{00000000-0005-0000-0000-0000247E0000}"/>
    <cellStyle name="60% - Accent6 2 19" xfId="32307" xr:uid="{00000000-0005-0000-0000-0000257E0000}"/>
    <cellStyle name="60% - Accent6 2 2" xfId="32308" xr:uid="{00000000-0005-0000-0000-0000267E0000}"/>
    <cellStyle name="60% - Accent6 2 2 2" xfId="32309" xr:uid="{00000000-0005-0000-0000-0000277E0000}"/>
    <cellStyle name="60% - Accent6 2 3" xfId="32310" xr:uid="{00000000-0005-0000-0000-0000287E0000}"/>
    <cellStyle name="60% - Accent6 2 3 2" xfId="32311" xr:uid="{00000000-0005-0000-0000-0000297E0000}"/>
    <cellStyle name="60% - Accent6 2 4" xfId="32312" xr:uid="{00000000-0005-0000-0000-00002A7E0000}"/>
    <cellStyle name="60% - Accent6 2 4 2" xfId="32313" xr:uid="{00000000-0005-0000-0000-00002B7E0000}"/>
    <cellStyle name="60% - Accent6 2 5" xfId="32314" xr:uid="{00000000-0005-0000-0000-00002C7E0000}"/>
    <cellStyle name="60% - Accent6 2 6" xfId="32315" xr:uid="{00000000-0005-0000-0000-00002D7E0000}"/>
    <cellStyle name="60% - Accent6 2 7" xfId="32316" xr:uid="{00000000-0005-0000-0000-00002E7E0000}"/>
    <cellStyle name="60% - Accent6 2 8" xfId="32317" xr:uid="{00000000-0005-0000-0000-00002F7E0000}"/>
    <cellStyle name="60% - Accent6 2 9" xfId="32318" xr:uid="{00000000-0005-0000-0000-0000307E0000}"/>
    <cellStyle name="60% - Accent6 2_Labour" xfId="32319" xr:uid="{00000000-0005-0000-0000-0000317E0000}"/>
    <cellStyle name="60% - Accent6 20" xfId="32320" xr:uid="{00000000-0005-0000-0000-0000327E0000}"/>
    <cellStyle name="60% - Accent6 20 2" xfId="32321" xr:uid="{00000000-0005-0000-0000-0000337E0000}"/>
    <cellStyle name="60% - Accent6 21" xfId="32322" xr:uid="{00000000-0005-0000-0000-0000347E0000}"/>
    <cellStyle name="60% - Accent6 21 2" xfId="32323" xr:uid="{00000000-0005-0000-0000-0000357E0000}"/>
    <cellStyle name="60% - Accent6 22" xfId="32324" xr:uid="{00000000-0005-0000-0000-0000367E0000}"/>
    <cellStyle name="60% - Accent6 22 2" xfId="32325" xr:uid="{00000000-0005-0000-0000-0000377E0000}"/>
    <cellStyle name="60% - Accent6 23" xfId="32326" xr:uid="{00000000-0005-0000-0000-0000387E0000}"/>
    <cellStyle name="60% - Accent6 24" xfId="32327" xr:uid="{00000000-0005-0000-0000-0000397E0000}"/>
    <cellStyle name="60% - Accent6 25" xfId="32328" xr:uid="{00000000-0005-0000-0000-00003A7E0000}"/>
    <cellStyle name="60% - Accent6 26" xfId="32329" xr:uid="{00000000-0005-0000-0000-00003B7E0000}"/>
    <cellStyle name="60% - Accent6 27" xfId="32330" xr:uid="{00000000-0005-0000-0000-00003C7E0000}"/>
    <cellStyle name="60% - Accent6 28" xfId="32331" xr:uid="{00000000-0005-0000-0000-00003D7E0000}"/>
    <cellStyle name="60% - Accent6 29" xfId="32332" xr:uid="{00000000-0005-0000-0000-00003E7E0000}"/>
    <cellStyle name="60% - Accent6 3" xfId="32333" xr:uid="{00000000-0005-0000-0000-00003F7E0000}"/>
    <cellStyle name="60% - Accent6 3 2" xfId="32334" xr:uid="{00000000-0005-0000-0000-0000407E0000}"/>
    <cellStyle name="60% - Accent6 3 2 2" xfId="32335" xr:uid="{00000000-0005-0000-0000-0000417E0000}"/>
    <cellStyle name="60% - Accent6 3 3" xfId="32336" xr:uid="{00000000-0005-0000-0000-0000427E0000}"/>
    <cellStyle name="60% - Accent6 3 4" xfId="32337" xr:uid="{00000000-0005-0000-0000-0000437E0000}"/>
    <cellStyle name="60% - Accent6 3 5" xfId="32338" xr:uid="{00000000-0005-0000-0000-0000447E0000}"/>
    <cellStyle name="60% - Accent6 30" xfId="32339" xr:uid="{00000000-0005-0000-0000-0000457E0000}"/>
    <cellStyle name="60% - Accent6 31" xfId="32340" xr:uid="{00000000-0005-0000-0000-0000467E0000}"/>
    <cellStyle name="60% - Accent6 32" xfId="32341" xr:uid="{00000000-0005-0000-0000-0000477E0000}"/>
    <cellStyle name="60% - Accent6 33" xfId="32342" xr:uid="{00000000-0005-0000-0000-0000487E0000}"/>
    <cellStyle name="60% - Accent6 34" xfId="32343" xr:uid="{00000000-0005-0000-0000-0000497E0000}"/>
    <cellStyle name="60% - Accent6 4" xfId="32344" xr:uid="{00000000-0005-0000-0000-00004A7E0000}"/>
    <cellStyle name="60% - Accent6 4 2" xfId="32345" xr:uid="{00000000-0005-0000-0000-00004B7E0000}"/>
    <cellStyle name="60% - Accent6 4 3" xfId="32346" xr:uid="{00000000-0005-0000-0000-00004C7E0000}"/>
    <cellStyle name="60% - Accent6 4 4" xfId="32347" xr:uid="{00000000-0005-0000-0000-00004D7E0000}"/>
    <cellStyle name="60% - Accent6 4 5" xfId="32348" xr:uid="{00000000-0005-0000-0000-00004E7E0000}"/>
    <cellStyle name="60% - Accent6 4_Proj" xfId="32349" xr:uid="{00000000-0005-0000-0000-00004F7E0000}"/>
    <cellStyle name="60% - Accent6 5" xfId="32350" xr:uid="{00000000-0005-0000-0000-0000507E0000}"/>
    <cellStyle name="60% - Accent6 5 2" xfId="32351" xr:uid="{00000000-0005-0000-0000-0000517E0000}"/>
    <cellStyle name="60% - Accent6 5 3" xfId="32352" xr:uid="{00000000-0005-0000-0000-0000527E0000}"/>
    <cellStyle name="60% - Accent6 5 4" xfId="32353" xr:uid="{00000000-0005-0000-0000-0000537E0000}"/>
    <cellStyle name="60% - Accent6 5 5" xfId="32354" xr:uid="{00000000-0005-0000-0000-0000547E0000}"/>
    <cellStyle name="60% - Accent6 6" xfId="32355" xr:uid="{00000000-0005-0000-0000-0000557E0000}"/>
    <cellStyle name="60% - Accent6 6 2" xfId="32356" xr:uid="{00000000-0005-0000-0000-0000567E0000}"/>
    <cellStyle name="60% - Accent6 6 3" xfId="32357" xr:uid="{00000000-0005-0000-0000-0000577E0000}"/>
    <cellStyle name="60% - Accent6 6 4" xfId="32358" xr:uid="{00000000-0005-0000-0000-0000587E0000}"/>
    <cellStyle name="60% - Accent6 6 5" xfId="32359" xr:uid="{00000000-0005-0000-0000-0000597E0000}"/>
    <cellStyle name="60% - Accent6 7" xfId="32360" xr:uid="{00000000-0005-0000-0000-00005A7E0000}"/>
    <cellStyle name="60% - Accent6 7 2" xfId="32361" xr:uid="{00000000-0005-0000-0000-00005B7E0000}"/>
    <cellStyle name="60% - Accent6 7 3" xfId="32362" xr:uid="{00000000-0005-0000-0000-00005C7E0000}"/>
    <cellStyle name="60% - Accent6 7 4" xfId="32363" xr:uid="{00000000-0005-0000-0000-00005D7E0000}"/>
    <cellStyle name="60% - Accent6 7 5" xfId="32364" xr:uid="{00000000-0005-0000-0000-00005E7E0000}"/>
    <cellStyle name="60% - Accent6 8" xfId="32365" xr:uid="{00000000-0005-0000-0000-00005F7E0000}"/>
    <cellStyle name="60% - Accent6 8 2" xfId="32366" xr:uid="{00000000-0005-0000-0000-0000607E0000}"/>
    <cellStyle name="60% - Accent6 8 3" xfId="32367" xr:uid="{00000000-0005-0000-0000-0000617E0000}"/>
    <cellStyle name="60% - Accent6 8 4" xfId="32368" xr:uid="{00000000-0005-0000-0000-0000627E0000}"/>
    <cellStyle name="60% - Accent6 8 5" xfId="32369" xr:uid="{00000000-0005-0000-0000-0000637E0000}"/>
    <cellStyle name="60% - Accent6 9" xfId="32370" xr:uid="{00000000-0005-0000-0000-0000647E0000}"/>
    <cellStyle name="60% - Accent6 9 2" xfId="32371" xr:uid="{00000000-0005-0000-0000-0000657E0000}"/>
    <cellStyle name="60% - Accent6 9 3" xfId="32372" xr:uid="{00000000-0005-0000-0000-0000667E0000}"/>
    <cellStyle name="60% - Accent6 9 4" xfId="32373" xr:uid="{00000000-0005-0000-0000-0000677E0000}"/>
    <cellStyle name="60% - Accent6 9 5" xfId="32374" xr:uid="{00000000-0005-0000-0000-0000687E0000}"/>
    <cellStyle name="75" xfId="32375" xr:uid="{00000000-0005-0000-0000-0000697E0000}"/>
    <cellStyle name="75 2" xfId="32376" xr:uid="{00000000-0005-0000-0000-00006A7E0000}"/>
    <cellStyle name="9.5" xfId="32377" xr:uid="{00000000-0005-0000-0000-00006B7E0000}"/>
    <cellStyle name="Accent1 10" xfId="32378" xr:uid="{00000000-0005-0000-0000-00006C7E0000}"/>
    <cellStyle name="Accent1 10 2" xfId="32379" xr:uid="{00000000-0005-0000-0000-00006D7E0000}"/>
    <cellStyle name="Accent1 10 3" xfId="32380" xr:uid="{00000000-0005-0000-0000-00006E7E0000}"/>
    <cellStyle name="Accent1 10 4" xfId="32381" xr:uid="{00000000-0005-0000-0000-00006F7E0000}"/>
    <cellStyle name="Accent1 10 5" xfId="32382" xr:uid="{00000000-0005-0000-0000-0000707E0000}"/>
    <cellStyle name="Accent1 11" xfId="32383" xr:uid="{00000000-0005-0000-0000-0000717E0000}"/>
    <cellStyle name="Accent1 11 2" xfId="32384" xr:uid="{00000000-0005-0000-0000-0000727E0000}"/>
    <cellStyle name="Accent1 12" xfId="32385" xr:uid="{00000000-0005-0000-0000-0000737E0000}"/>
    <cellStyle name="Accent1 12 2" xfId="32386" xr:uid="{00000000-0005-0000-0000-0000747E0000}"/>
    <cellStyle name="Accent1 13" xfId="32387" xr:uid="{00000000-0005-0000-0000-0000757E0000}"/>
    <cellStyle name="Accent1 13 2" xfId="32388" xr:uid="{00000000-0005-0000-0000-0000767E0000}"/>
    <cellStyle name="Accent1 14" xfId="32389" xr:uid="{00000000-0005-0000-0000-0000777E0000}"/>
    <cellStyle name="Accent1 14 2" xfId="32390" xr:uid="{00000000-0005-0000-0000-0000787E0000}"/>
    <cellStyle name="Accent1 15" xfId="32391" xr:uid="{00000000-0005-0000-0000-0000797E0000}"/>
    <cellStyle name="Accent1 15 2" xfId="32392" xr:uid="{00000000-0005-0000-0000-00007A7E0000}"/>
    <cellStyle name="Accent1 16" xfId="32393" xr:uid="{00000000-0005-0000-0000-00007B7E0000}"/>
    <cellStyle name="Accent1 16 2" xfId="32394" xr:uid="{00000000-0005-0000-0000-00007C7E0000}"/>
    <cellStyle name="Accent1 17" xfId="32395" xr:uid="{00000000-0005-0000-0000-00007D7E0000}"/>
    <cellStyle name="Accent1 17 2" xfId="32396" xr:uid="{00000000-0005-0000-0000-00007E7E0000}"/>
    <cellStyle name="Accent1 18" xfId="32397" xr:uid="{00000000-0005-0000-0000-00007F7E0000}"/>
    <cellStyle name="Accent1 18 2" xfId="32398" xr:uid="{00000000-0005-0000-0000-0000807E0000}"/>
    <cellStyle name="Accent1 19" xfId="32399" xr:uid="{00000000-0005-0000-0000-0000817E0000}"/>
    <cellStyle name="Accent1 19 2" xfId="32400" xr:uid="{00000000-0005-0000-0000-0000827E0000}"/>
    <cellStyle name="Accent1 2" xfId="32401" xr:uid="{00000000-0005-0000-0000-0000837E0000}"/>
    <cellStyle name="Accent1 2 10" xfId="32402" xr:uid="{00000000-0005-0000-0000-0000847E0000}"/>
    <cellStyle name="Accent1 2 11" xfId="32403" xr:uid="{00000000-0005-0000-0000-0000857E0000}"/>
    <cellStyle name="Accent1 2 12" xfId="32404" xr:uid="{00000000-0005-0000-0000-0000867E0000}"/>
    <cellStyle name="Accent1 2 13" xfId="32405" xr:uid="{00000000-0005-0000-0000-0000877E0000}"/>
    <cellStyle name="Accent1 2 14" xfId="32406" xr:uid="{00000000-0005-0000-0000-0000887E0000}"/>
    <cellStyle name="Accent1 2 15" xfId="32407" xr:uid="{00000000-0005-0000-0000-0000897E0000}"/>
    <cellStyle name="Accent1 2 16" xfId="32408" xr:uid="{00000000-0005-0000-0000-00008A7E0000}"/>
    <cellStyle name="Accent1 2 17" xfId="32409" xr:uid="{00000000-0005-0000-0000-00008B7E0000}"/>
    <cellStyle name="Accent1 2 18" xfId="32410" xr:uid="{00000000-0005-0000-0000-00008C7E0000}"/>
    <cellStyle name="Accent1 2 19" xfId="32411" xr:uid="{00000000-0005-0000-0000-00008D7E0000}"/>
    <cellStyle name="Accent1 2 2" xfId="32412" xr:uid="{00000000-0005-0000-0000-00008E7E0000}"/>
    <cellStyle name="Accent1 2 2 2" xfId="32413" xr:uid="{00000000-0005-0000-0000-00008F7E0000}"/>
    <cellStyle name="Accent1 2 3" xfId="32414" xr:uid="{00000000-0005-0000-0000-0000907E0000}"/>
    <cellStyle name="Accent1 2 3 2" xfId="32415" xr:uid="{00000000-0005-0000-0000-0000917E0000}"/>
    <cellStyle name="Accent1 2 4" xfId="32416" xr:uid="{00000000-0005-0000-0000-0000927E0000}"/>
    <cellStyle name="Accent1 2 4 2" xfId="32417" xr:uid="{00000000-0005-0000-0000-0000937E0000}"/>
    <cellStyle name="Accent1 2 5" xfId="32418" xr:uid="{00000000-0005-0000-0000-0000947E0000}"/>
    <cellStyle name="Accent1 2 6" xfId="32419" xr:uid="{00000000-0005-0000-0000-0000957E0000}"/>
    <cellStyle name="Accent1 2 7" xfId="32420" xr:uid="{00000000-0005-0000-0000-0000967E0000}"/>
    <cellStyle name="Accent1 2 8" xfId="32421" xr:uid="{00000000-0005-0000-0000-0000977E0000}"/>
    <cellStyle name="Accent1 2 9" xfId="32422" xr:uid="{00000000-0005-0000-0000-0000987E0000}"/>
    <cellStyle name="Accent1 2_Labour" xfId="32423" xr:uid="{00000000-0005-0000-0000-0000997E0000}"/>
    <cellStyle name="Accent1 20" xfId="32424" xr:uid="{00000000-0005-0000-0000-00009A7E0000}"/>
    <cellStyle name="Accent1 20 2" xfId="32425" xr:uid="{00000000-0005-0000-0000-00009B7E0000}"/>
    <cellStyle name="Accent1 21" xfId="32426" xr:uid="{00000000-0005-0000-0000-00009C7E0000}"/>
    <cellStyle name="Accent1 21 2" xfId="32427" xr:uid="{00000000-0005-0000-0000-00009D7E0000}"/>
    <cellStyle name="Accent1 22" xfId="32428" xr:uid="{00000000-0005-0000-0000-00009E7E0000}"/>
    <cellStyle name="Accent1 22 2" xfId="32429" xr:uid="{00000000-0005-0000-0000-00009F7E0000}"/>
    <cellStyle name="Accent1 23" xfId="32430" xr:uid="{00000000-0005-0000-0000-0000A07E0000}"/>
    <cellStyle name="Accent1 24" xfId="32431" xr:uid="{00000000-0005-0000-0000-0000A17E0000}"/>
    <cellStyle name="Accent1 25" xfId="32432" xr:uid="{00000000-0005-0000-0000-0000A27E0000}"/>
    <cellStyle name="Accent1 26" xfId="32433" xr:uid="{00000000-0005-0000-0000-0000A37E0000}"/>
    <cellStyle name="Accent1 27" xfId="32434" xr:uid="{00000000-0005-0000-0000-0000A47E0000}"/>
    <cellStyle name="Accent1 28" xfId="32435" xr:uid="{00000000-0005-0000-0000-0000A57E0000}"/>
    <cellStyle name="Accent1 29" xfId="32436" xr:uid="{00000000-0005-0000-0000-0000A67E0000}"/>
    <cellStyle name="Accent1 3" xfId="32437" xr:uid="{00000000-0005-0000-0000-0000A77E0000}"/>
    <cellStyle name="Accent1 3 2" xfId="32438" xr:uid="{00000000-0005-0000-0000-0000A87E0000}"/>
    <cellStyle name="Accent1 3 2 2" xfId="32439" xr:uid="{00000000-0005-0000-0000-0000A97E0000}"/>
    <cellStyle name="Accent1 3 3" xfId="32440" xr:uid="{00000000-0005-0000-0000-0000AA7E0000}"/>
    <cellStyle name="Accent1 3 4" xfId="32441" xr:uid="{00000000-0005-0000-0000-0000AB7E0000}"/>
    <cellStyle name="Accent1 3 5" xfId="32442" xr:uid="{00000000-0005-0000-0000-0000AC7E0000}"/>
    <cellStyle name="Accent1 30" xfId="32443" xr:uid="{00000000-0005-0000-0000-0000AD7E0000}"/>
    <cellStyle name="Accent1 31" xfId="32444" xr:uid="{00000000-0005-0000-0000-0000AE7E0000}"/>
    <cellStyle name="Accent1 32" xfId="32445" xr:uid="{00000000-0005-0000-0000-0000AF7E0000}"/>
    <cellStyle name="Accent1 33" xfId="32446" xr:uid="{00000000-0005-0000-0000-0000B07E0000}"/>
    <cellStyle name="Accent1 34" xfId="32447" xr:uid="{00000000-0005-0000-0000-0000B17E0000}"/>
    <cellStyle name="Accent1 4" xfId="32448" xr:uid="{00000000-0005-0000-0000-0000B27E0000}"/>
    <cellStyle name="Accent1 4 2" xfId="32449" xr:uid="{00000000-0005-0000-0000-0000B37E0000}"/>
    <cellStyle name="Accent1 4 3" xfId="32450" xr:uid="{00000000-0005-0000-0000-0000B47E0000}"/>
    <cellStyle name="Accent1 4 4" xfId="32451" xr:uid="{00000000-0005-0000-0000-0000B57E0000}"/>
    <cellStyle name="Accent1 4 5" xfId="32452" xr:uid="{00000000-0005-0000-0000-0000B67E0000}"/>
    <cellStyle name="Accent1 4_Proj" xfId="32453" xr:uid="{00000000-0005-0000-0000-0000B77E0000}"/>
    <cellStyle name="Accent1 5" xfId="32454" xr:uid="{00000000-0005-0000-0000-0000B87E0000}"/>
    <cellStyle name="Accent1 5 2" xfId="32455" xr:uid="{00000000-0005-0000-0000-0000B97E0000}"/>
    <cellStyle name="Accent1 5 3" xfId="32456" xr:uid="{00000000-0005-0000-0000-0000BA7E0000}"/>
    <cellStyle name="Accent1 5 4" xfId="32457" xr:uid="{00000000-0005-0000-0000-0000BB7E0000}"/>
    <cellStyle name="Accent1 5 5" xfId="32458" xr:uid="{00000000-0005-0000-0000-0000BC7E0000}"/>
    <cellStyle name="Accent1 6" xfId="32459" xr:uid="{00000000-0005-0000-0000-0000BD7E0000}"/>
    <cellStyle name="Accent1 6 2" xfId="32460" xr:uid="{00000000-0005-0000-0000-0000BE7E0000}"/>
    <cellStyle name="Accent1 6 3" xfId="32461" xr:uid="{00000000-0005-0000-0000-0000BF7E0000}"/>
    <cellStyle name="Accent1 6 4" xfId="32462" xr:uid="{00000000-0005-0000-0000-0000C07E0000}"/>
    <cellStyle name="Accent1 6 5" xfId="32463" xr:uid="{00000000-0005-0000-0000-0000C17E0000}"/>
    <cellStyle name="Accent1 7" xfId="32464" xr:uid="{00000000-0005-0000-0000-0000C27E0000}"/>
    <cellStyle name="Accent1 7 2" xfId="32465" xr:uid="{00000000-0005-0000-0000-0000C37E0000}"/>
    <cellStyle name="Accent1 7 3" xfId="32466" xr:uid="{00000000-0005-0000-0000-0000C47E0000}"/>
    <cellStyle name="Accent1 7 4" xfId="32467" xr:uid="{00000000-0005-0000-0000-0000C57E0000}"/>
    <cellStyle name="Accent1 7 5" xfId="32468" xr:uid="{00000000-0005-0000-0000-0000C67E0000}"/>
    <cellStyle name="Accent1 8" xfId="32469" xr:uid="{00000000-0005-0000-0000-0000C77E0000}"/>
    <cellStyle name="Accent1 8 2" xfId="32470" xr:uid="{00000000-0005-0000-0000-0000C87E0000}"/>
    <cellStyle name="Accent1 8 3" xfId="32471" xr:uid="{00000000-0005-0000-0000-0000C97E0000}"/>
    <cellStyle name="Accent1 8 4" xfId="32472" xr:uid="{00000000-0005-0000-0000-0000CA7E0000}"/>
    <cellStyle name="Accent1 8 5" xfId="32473" xr:uid="{00000000-0005-0000-0000-0000CB7E0000}"/>
    <cellStyle name="Accent1 9" xfId="32474" xr:uid="{00000000-0005-0000-0000-0000CC7E0000}"/>
    <cellStyle name="Accent1 9 2" xfId="32475" xr:uid="{00000000-0005-0000-0000-0000CD7E0000}"/>
    <cellStyle name="Accent1 9 3" xfId="32476" xr:uid="{00000000-0005-0000-0000-0000CE7E0000}"/>
    <cellStyle name="Accent1 9 4" xfId="32477" xr:uid="{00000000-0005-0000-0000-0000CF7E0000}"/>
    <cellStyle name="Accent1 9 5" xfId="32478" xr:uid="{00000000-0005-0000-0000-0000D07E0000}"/>
    <cellStyle name="Accent2 10" xfId="32479" xr:uid="{00000000-0005-0000-0000-0000D17E0000}"/>
    <cellStyle name="Accent2 10 2" xfId="32480" xr:uid="{00000000-0005-0000-0000-0000D27E0000}"/>
    <cellStyle name="Accent2 10 3" xfId="32481" xr:uid="{00000000-0005-0000-0000-0000D37E0000}"/>
    <cellStyle name="Accent2 10 4" xfId="32482" xr:uid="{00000000-0005-0000-0000-0000D47E0000}"/>
    <cellStyle name="Accent2 10 5" xfId="32483" xr:uid="{00000000-0005-0000-0000-0000D57E0000}"/>
    <cellStyle name="Accent2 11" xfId="32484" xr:uid="{00000000-0005-0000-0000-0000D67E0000}"/>
    <cellStyle name="Accent2 11 2" xfId="32485" xr:uid="{00000000-0005-0000-0000-0000D77E0000}"/>
    <cellStyle name="Accent2 12" xfId="32486" xr:uid="{00000000-0005-0000-0000-0000D87E0000}"/>
    <cellStyle name="Accent2 12 2" xfId="32487" xr:uid="{00000000-0005-0000-0000-0000D97E0000}"/>
    <cellStyle name="Accent2 13" xfId="32488" xr:uid="{00000000-0005-0000-0000-0000DA7E0000}"/>
    <cellStyle name="Accent2 13 2" xfId="32489" xr:uid="{00000000-0005-0000-0000-0000DB7E0000}"/>
    <cellStyle name="Accent2 14" xfId="32490" xr:uid="{00000000-0005-0000-0000-0000DC7E0000}"/>
    <cellStyle name="Accent2 14 2" xfId="32491" xr:uid="{00000000-0005-0000-0000-0000DD7E0000}"/>
    <cellStyle name="Accent2 15" xfId="32492" xr:uid="{00000000-0005-0000-0000-0000DE7E0000}"/>
    <cellStyle name="Accent2 15 2" xfId="32493" xr:uid="{00000000-0005-0000-0000-0000DF7E0000}"/>
    <cellStyle name="Accent2 16" xfId="32494" xr:uid="{00000000-0005-0000-0000-0000E07E0000}"/>
    <cellStyle name="Accent2 16 2" xfId="32495" xr:uid="{00000000-0005-0000-0000-0000E17E0000}"/>
    <cellStyle name="Accent2 17" xfId="32496" xr:uid="{00000000-0005-0000-0000-0000E27E0000}"/>
    <cellStyle name="Accent2 17 2" xfId="32497" xr:uid="{00000000-0005-0000-0000-0000E37E0000}"/>
    <cellStyle name="Accent2 18" xfId="32498" xr:uid="{00000000-0005-0000-0000-0000E47E0000}"/>
    <cellStyle name="Accent2 18 2" xfId="32499" xr:uid="{00000000-0005-0000-0000-0000E57E0000}"/>
    <cellStyle name="Accent2 19" xfId="32500" xr:uid="{00000000-0005-0000-0000-0000E67E0000}"/>
    <cellStyle name="Accent2 19 2" xfId="32501" xr:uid="{00000000-0005-0000-0000-0000E77E0000}"/>
    <cellStyle name="Accent2 2" xfId="32502" xr:uid="{00000000-0005-0000-0000-0000E87E0000}"/>
    <cellStyle name="Accent2 2 10" xfId="32503" xr:uid="{00000000-0005-0000-0000-0000E97E0000}"/>
    <cellStyle name="Accent2 2 11" xfId="32504" xr:uid="{00000000-0005-0000-0000-0000EA7E0000}"/>
    <cellStyle name="Accent2 2 12" xfId="32505" xr:uid="{00000000-0005-0000-0000-0000EB7E0000}"/>
    <cellStyle name="Accent2 2 13" xfId="32506" xr:uid="{00000000-0005-0000-0000-0000EC7E0000}"/>
    <cellStyle name="Accent2 2 14" xfId="32507" xr:uid="{00000000-0005-0000-0000-0000ED7E0000}"/>
    <cellStyle name="Accent2 2 15" xfId="32508" xr:uid="{00000000-0005-0000-0000-0000EE7E0000}"/>
    <cellStyle name="Accent2 2 16" xfId="32509" xr:uid="{00000000-0005-0000-0000-0000EF7E0000}"/>
    <cellStyle name="Accent2 2 17" xfId="32510" xr:uid="{00000000-0005-0000-0000-0000F07E0000}"/>
    <cellStyle name="Accent2 2 18" xfId="32511" xr:uid="{00000000-0005-0000-0000-0000F17E0000}"/>
    <cellStyle name="Accent2 2 19" xfId="32512" xr:uid="{00000000-0005-0000-0000-0000F27E0000}"/>
    <cellStyle name="Accent2 2 2" xfId="32513" xr:uid="{00000000-0005-0000-0000-0000F37E0000}"/>
    <cellStyle name="Accent2 2 2 2" xfId="32514" xr:uid="{00000000-0005-0000-0000-0000F47E0000}"/>
    <cellStyle name="Accent2 2 3" xfId="32515" xr:uid="{00000000-0005-0000-0000-0000F57E0000}"/>
    <cellStyle name="Accent2 2 3 2" xfId="32516" xr:uid="{00000000-0005-0000-0000-0000F67E0000}"/>
    <cellStyle name="Accent2 2 4" xfId="32517" xr:uid="{00000000-0005-0000-0000-0000F77E0000}"/>
    <cellStyle name="Accent2 2 4 2" xfId="32518" xr:uid="{00000000-0005-0000-0000-0000F87E0000}"/>
    <cellStyle name="Accent2 2 5" xfId="32519" xr:uid="{00000000-0005-0000-0000-0000F97E0000}"/>
    <cellStyle name="Accent2 2 6" xfId="32520" xr:uid="{00000000-0005-0000-0000-0000FA7E0000}"/>
    <cellStyle name="Accent2 2 7" xfId="32521" xr:uid="{00000000-0005-0000-0000-0000FB7E0000}"/>
    <cellStyle name="Accent2 2 8" xfId="32522" xr:uid="{00000000-0005-0000-0000-0000FC7E0000}"/>
    <cellStyle name="Accent2 2 9" xfId="32523" xr:uid="{00000000-0005-0000-0000-0000FD7E0000}"/>
    <cellStyle name="Accent2 2_Labour" xfId="32524" xr:uid="{00000000-0005-0000-0000-0000FE7E0000}"/>
    <cellStyle name="Accent2 20" xfId="32525" xr:uid="{00000000-0005-0000-0000-0000FF7E0000}"/>
    <cellStyle name="Accent2 20 2" xfId="32526" xr:uid="{00000000-0005-0000-0000-0000007F0000}"/>
    <cellStyle name="Accent2 21" xfId="32527" xr:uid="{00000000-0005-0000-0000-0000017F0000}"/>
    <cellStyle name="Accent2 21 2" xfId="32528" xr:uid="{00000000-0005-0000-0000-0000027F0000}"/>
    <cellStyle name="Accent2 22" xfId="32529" xr:uid="{00000000-0005-0000-0000-0000037F0000}"/>
    <cellStyle name="Accent2 22 2" xfId="32530" xr:uid="{00000000-0005-0000-0000-0000047F0000}"/>
    <cellStyle name="Accent2 23" xfId="32531" xr:uid="{00000000-0005-0000-0000-0000057F0000}"/>
    <cellStyle name="Accent2 24" xfId="32532" xr:uid="{00000000-0005-0000-0000-0000067F0000}"/>
    <cellStyle name="Accent2 25" xfId="32533" xr:uid="{00000000-0005-0000-0000-0000077F0000}"/>
    <cellStyle name="Accent2 26" xfId="32534" xr:uid="{00000000-0005-0000-0000-0000087F0000}"/>
    <cellStyle name="Accent2 27" xfId="32535" xr:uid="{00000000-0005-0000-0000-0000097F0000}"/>
    <cellStyle name="Accent2 28" xfId="32536" xr:uid="{00000000-0005-0000-0000-00000A7F0000}"/>
    <cellStyle name="Accent2 29" xfId="32537" xr:uid="{00000000-0005-0000-0000-00000B7F0000}"/>
    <cellStyle name="Accent2 3" xfId="32538" xr:uid="{00000000-0005-0000-0000-00000C7F0000}"/>
    <cellStyle name="Accent2 3 2" xfId="32539" xr:uid="{00000000-0005-0000-0000-00000D7F0000}"/>
    <cellStyle name="Accent2 3 2 2" xfId="32540" xr:uid="{00000000-0005-0000-0000-00000E7F0000}"/>
    <cellStyle name="Accent2 3 3" xfId="32541" xr:uid="{00000000-0005-0000-0000-00000F7F0000}"/>
    <cellStyle name="Accent2 3 4" xfId="32542" xr:uid="{00000000-0005-0000-0000-0000107F0000}"/>
    <cellStyle name="Accent2 3 5" xfId="32543" xr:uid="{00000000-0005-0000-0000-0000117F0000}"/>
    <cellStyle name="Accent2 30" xfId="32544" xr:uid="{00000000-0005-0000-0000-0000127F0000}"/>
    <cellStyle name="Accent2 31" xfId="32545" xr:uid="{00000000-0005-0000-0000-0000137F0000}"/>
    <cellStyle name="Accent2 32" xfId="32546" xr:uid="{00000000-0005-0000-0000-0000147F0000}"/>
    <cellStyle name="Accent2 33" xfId="32547" xr:uid="{00000000-0005-0000-0000-0000157F0000}"/>
    <cellStyle name="Accent2 34" xfId="32548" xr:uid="{00000000-0005-0000-0000-0000167F0000}"/>
    <cellStyle name="Accent2 4" xfId="32549" xr:uid="{00000000-0005-0000-0000-0000177F0000}"/>
    <cellStyle name="Accent2 4 2" xfId="32550" xr:uid="{00000000-0005-0000-0000-0000187F0000}"/>
    <cellStyle name="Accent2 4 3" xfId="32551" xr:uid="{00000000-0005-0000-0000-0000197F0000}"/>
    <cellStyle name="Accent2 4 4" xfId="32552" xr:uid="{00000000-0005-0000-0000-00001A7F0000}"/>
    <cellStyle name="Accent2 4 5" xfId="32553" xr:uid="{00000000-0005-0000-0000-00001B7F0000}"/>
    <cellStyle name="Accent2 4_Proj" xfId="32554" xr:uid="{00000000-0005-0000-0000-00001C7F0000}"/>
    <cellStyle name="Accent2 5" xfId="32555" xr:uid="{00000000-0005-0000-0000-00001D7F0000}"/>
    <cellStyle name="Accent2 5 2" xfId="32556" xr:uid="{00000000-0005-0000-0000-00001E7F0000}"/>
    <cellStyle name="Accent2 5 3" xfId="32557" xr:uid="{00000000-0005-0000-0000-00001F7F0000}"/>
    <cellStyle name="Accent2 5 4" xfId="32558" xr:uid="{00000000-0005-0000-0000-0000207F0000}"/>
    <cellStyle name="Accent2 5 5" xfId="32559" xr:uid="{00000000-0005-0000-0000-0000217F0000}"/>
    <cellStyle name="Accent2 6" xfId="32560" xr:uid="{00000000-0005-0000-0000-0000227F0000}"/>
    <cellStyle name="Accent2 6 2" xfId="32561" xr:uid="{00000000-0005-0000-0000-0000237F0000}"/>
    <cellStyle name="Accent2 6 3" xfId="32562" xr:uid="{00000000-0005-0000-0000-0000247F0000}"/>
    <cellStyle name="Accent2 6 4" xfId="32563" xr:uid="{00000000-0005-0000-0000-0000257F0000}"/>
    <cellStyle name="Accent2 6 5" xfId="32564" xr:uid="{00000000-0005-0000-0000-0000267F0000}"/>
    <cellStyle name="Accent2 7" xfId="32565" xr:uid="{00000000-0005-0000-0000-0000277F0000}"/>
    <cellStyle name="Accent2 7 2" xfId="32566" xr:uid="{00000000-0005-0000-0000-0000287F0000}"/>
    <cellStyle name="Accent2 7 3" xfId="32567" xr:uid="{00000000-0005-0000-0000-0000297F0000}"/>
    <cellStyle name="Accent2 7 4" xfId="32568" xr:uid="{00000000-0005-0000-0000-00002A7F0000}"/>
    <cellStyle name="Accent2 7 5" xfId="32569" xr:uid="{00000000-0005-0000-0000-00002B7F0000}"/>
    <cellStyle name="Accent2 8" xfId="32570" xr:uid="{00000000-0005-0000-0000-00002C7F0000}"/>
    <cellStyle name="Accent2 8 2" xfId="32571" xr:uid="{00000000-0005-0000-0000-00002D7F0000}"/>
    <cellStyle name="Accent2 8 3" xfId="32572" xr:uid="{00000000-0005-0000-0000-00002E7F0000}"/>
    <cellStyle name="Accent2 8 4" xfId="32573" xr:uid="{00000000-0005-0000-0000-00002F7F0000}"/>
    <cellStyle name="Accent2 8 5" xfId="32574" xr:uid="{00000000-0005-0000-0000-0000307F0000}"/>
    <cellStyle name="Accent2 9" xfId="32575" xr:uid="{00000000-0005-0000-0000-0000317F0000}"/>
    <cellStyle name="Accent2 9 2" xfId="32576" xr:uid="{00000000-0005-0000-0000-0000327F0000}"/>
    <cellStyle name="Accent2 9 3" xfId="32577" xr:uid="{00000000-0005-0000-0000-0000337F0000}"/>
    <cellStyle name="Accent2 9 4" xfId="32578" xr:uid="{00000000-0005-0000-0000-0000347F0000}"/>
    <cellStyle name="Accent2 9 5" xfId="32579" xr:uid="{00000000-0005-0000-0000-0000357F0000}"/>
    <cellStyle name="Accent3 10" xfId="32580" xr:uid="{00000000-0005-0000-0000-0000367F0000}"/>
    <cellStyle name="Accent3 10 2" xfId="32581" xr:uid="{00000000-0005-0000-0000-0000377F0000}"/>
    <cellStyle name="Accent3 10 3" xfId="32582" xr:uid="{00000000-0005-0000-0000-0000387F0000}"/>
    <cellStyle name="Accent3 10 4" xfId="32583" xr:uid="{00000000-0005-0000-0000-0000397F0000}"/>
    <cellStyle name="Accent3 10 5" xfId="32584" xr:uid="{00000000-0005-0000-0000-00003A7F0000}"/>
    <cellStyle name="Accent3 11" xfId="32585" xr:uid="{00000000-0005-0000-0000-00003B7F0000}"/>
    <cellStyle name="Accent3 11 2" xfId="32586" xr:uid="{00000000-0005-0000-0000-00003C7F0000}"/>
    <cellStyle name="Accent3 12" xfId="32587" xr:uid="{00000000-0005-0000-0000-00003D7F0000}"/>
    <cellStyle name="Accent3 12 2" xfId="32588" xr:uid="{00000000-0005-0000-0000-00003E7F0000}"/>
    <cellStyle name="Accent3 13" xfId="32589" xr:uid="{00000000-0005-0000-0000-00003F7F0000}"/>
    <cellStyle name="Accent3 13 2" xfId="32590" xr:uid="{00000000-0005-0000-0000-0000407F0000}"/>
    <cellStyle name="Accent3 14" xfId="32591" xr:uid="{00000000-0005-0000-0000-0000417F0000}"/>
    <cellStyle name="Accent3 14 2" xfId="32592" xr:uid="{00000000-0005-0000-0000-0000427F0000}"/>
    <cellStyle name="Accent3 15" xfId="32593" xr:uid="{00000000-0005-0000-0000-0000437F0000}"/>
    <cellStyle name="Accent3 15 2" xfId="32594" xr:uid="{00000000-0005-0000-0000-0000447F0000}"/>
    <cellStyle name="Accent3 16" xfId="32595" xr:uid="{00000000-0005-0000-0000-0000457F0000}"/>
    <cellStyle name="Accent3 16 2" xfId="32596" xr:uid="{00000000-0005-0000-0000-0000467F0000}"/>
    <cellStyle name="Accent3 17" xfId="32597" xr:uid="{00000000-0005-0000-0000-0000477F0000}"/>
    <cellStyle name="Accent3 17 2" xfId="32598" xr:uid="{00000000-0005-0000-0000-0000487F0000}"/>
    <cellStyle name="Accent3 18" xfId="32599" xr:uid="{00000000-0005-0000-0000-0000497F0000}"/>
    <cellStyle name="Accent3 18 2" xfId="32600" xr:uid="{00000000-0005-0000-0000-00004A7F0000}"/>
    <cellStyle name="Accent3 19" xfId="32601" xr:uid="{00000000-0005-0000-0000-00004B7F0000}"/>
    <cellStyle name="Accent3 19 2" xfId="32602" xr:uid="{00000000-0005-0000-0000-00004C7F0000}"/>
    <cellStyle name="Accent3 2" xfId="32603" xr:uid="{00000000-0005-0000-0000-00004D7F0000}"/>
    <cellStyle name="Accent3 2 10" xfId="32604" xr:uid="{00000000-0005-0000-0000-00004E7F0000}"/>
    <cellStyle name="Accent3 2 11" xfId="32605" xr:uid="{00000000-0005-0000-0000-00004F7F0000}"/>
    <cellStyle name="Accent3 2 12" xfId="32606" xr:uid="{00000000-0005-0000-0000-0000507F0000}"/>
    <cellStyle name="Accent3 2 13" xfId="32607" xr:uid="{00000000-0005-0000-0000-0000517F0000}"/>
    <cellStyle name="Accent3 2 14" xfId="32608" xr:uid="{00000000-0005-0000-0000-0000527F0000}"/>
    <cellStyle name="Accent3 2 15" xfId="32609" xr:uid="{00000000-0005-0000-0000-0000537F0000}"/>
    <cellStyle name="Accent3 2 16" xfId="32610" xr:uid="{00000000-0005-0000-0000-0000547F0000}"/>
    <cellStyle name="Accent3 2 17" xfId="32611" xr:uid="{00000000-0005-0000-0000-0000557F0000}"/>
    <cellStyle name="Accent3 2 18" xfId="32612" xr:uid="{00000000-0005-0000-0000-0000567F0000}"/>
    <cellStyle name="Accent3 2 19" xfId="32613" xr:uid="{00000000-0005-0000-0000-0000577F0000}"/>
    <cellStyle name="Accent3 2 2" xfId="32614" xr:uid="{00000000-0005-0000-0000-0000587F0000}"/>
    <cellStyle name="Accent3 2 2 2" xfId="32615" xr:uid="{00000000-0005-0000-0000-0000597F0000}"/>
    <cellStyle name="Accent3 2 3" xfId="32616" xr:uid="{00000000-0005-0000-0000-00005A7F0000}"/>
    <cellStyle name="Accent3 2 3 2" xfId="32617" xr:uid="{00000000-0005-0000-0000-00005B7F0000}"/>
    <cellStyle name="Accent3 2 4" xfId="32618" xr:uid="{00000000-0005-0000-0000-00005C7F0000}"/>
    <cellStyle name="Accent3 2 4 2" xfId="32619" xr:uid="{00000000-0005-0000-0000-00005D7F0000}"/>
    <cellStyle name="Accent3 2 5" xfId="32620" xr:uid="{00000000-0005-0000-0000-00005E7F0000}"/>
    <cellStyle name="Accent3 2 6" xfId="32621" xr:uid="{00000000-0005-0000-0000-00005F7F0000}"/>
    <cellStyle name="Accent3 2 7" xfId="32622" xr:uid="{00000000-0005-0000-0000-0000607F0000}"/>
    <cellStyle name="Accent3 2 8" xfId="32623" xr:uid="{00000000-0005-0000-0000-0000617F0000}"/>
    <cellStyle name="Accent3 2 9" xfId="32624" xr:uid="{00000000-0005-0000-0000-0000627F0000}"/>
    <cellStyle name="Accent3 2_Labour" xfId="32625" xr:uid="{00000000-0005-0000-0000-0000637F0000}"/>
    <cellStyle name="Accent3 20" xfId="32626" xr:uid="{00000000-0005-0000-0000-0000647F0000}"/>
    <cellStyle name="Accent3 20 2" xfId="32627" xr:uid="{00000000-0005-0000-0000-0000657F0000}"/>
    <cellStyle name="Accent3 21" xfId="32628" xr:uid="{00000000-0005-0000-0000-0000667F0000}"/>
    <cellStyle name="Accent3 21 2" xfId="32629" xr:uid="{00000000-0005-0000-0000-0000677F0000}"/>
    <cellStyle name="Accent3 22" xfId="32630" xr:uid="{00000000-0005-0000-0000-0000687F0000}"/>
    <cellStyle name="Accent3 22 2" xfId="32631" xr:uid="{00000000-0005-0000-0000-0000697F0000}"/>
    <cellStyle name="Accent3 23" xfId="32632" xr:uid="{00000000-0005-0000-0000-00006A7F0000}"/>
    <cellStyle name="Accent3 24" xfId="32633" xr:uid="{00000000-0005-0000-0000-00006B7F0000}"/>
    <cellStyle name="Accent3 25" xfId="32634" xr:uid="{00000000-0005-0000-0000-00006C7F0000}"/>
    <cellStyle name="Accent3 26" xfId="32635" xr:uid="{00000000-0005-0000-0000-00006D7F0000}"/>
    <cellStyle name="Accent3 27" xfId="32636" xr:uid="{00000000-0005-0000-0000-00006E7F0000}"/>
    <cellStyle name="Accent3 28" xfId="32637" xr:uid="{00000000-0005-0000-0000-00006F7F0000}"/>
    <cellStyle name="Accent3 29" xfId="32638" xr:uid="{00000000-0005-0000-0000-0000707F0000}"/>
    <cellStyle name="Accent3 3" xfId="32639" xr:uid="{00000000-0005-0000-0000-0000717F0000}"/>
    <cellStyle name="Accent3 3 2" xfId="32640" xr:uid="{00000000-0005-0000-0000-0000727F0000}"/>
    <cellStyle name="Accent3 3 2 2" xfId="32641" xr:uid="{00000000-0005-0000-0000-0000737F0000}"/>
    <cellStyle name="Accent3 3 3" xfId="32642" xr:uid="{00000000-0005-0000-0000-0000747F0000}"/>
    <cellStyle name="Accent3 3 4" xfId="32643" xr:uid="{00000000-0005-0000-0000-0000757F0000}"/>
    <cellStyle name="Accent3 3 5" xfId="32644" xr:uid="{00000000-0005-0000-0000-0000767F0000}"/>
    <cellStyle name="Accent3 30" xfId="32645" xr:uid="{00000000-0005-0000-0000-0000777F0000}"/>
    <cellStyle name="Accent3 31" xfId="32646" xr:uid="{00000000-0005-0000-0000-0000787F0000}"/>
    <cellStyle name="Accent3 32" xfId="32647" xr:uid="{00000000-0005-0000-0000-0000797F0000}"/>
    <cellStyle name="Accent3 33" xfId="32648" xr:uid="{00000000-0005-0000-0000-00007A7F0000}"/>
    <cellStyle name="Accent3 34" xfId="32649" xr:uid="{00000000-0005-0000-0000-00007B7F0000}"/>
    <cellStyle name="Accent3 4" xfId="32650" xr:uid="{00000000-0005-0000-0000-00007C7F0000}"/>
    <cellStyle name="Accent3 4 2" xfId="32651" xr:uid="{00000000-0005-0000-0000-00007D7F0000}"/>
    <cellStyle name="Accent3 4 3" xfId="32652" xr:uid="{00000000-0005-0000-0000-00007E7F0000}"/>
    <cellStyle name="Accent3 4 4" xfId="32653" xr:uid="{00000000-0005-0000-0000-00007F7F0000}"/>
    <cellStyle name="Accent3 4 5" xfId="32654" xr:uid="{00000000-0005-0000-0000-0000807F0000}"/>
    <cellStyle name="Accent3 4_Proj" xfId="32655" xr:uid="{00000000-0005-0000-0000-0000817F0000}"/>
    <cellStyle name="Accent3 5" xfId="32656" xr:uid="{00000000-0005-0000-0000-0000827F0000}"/>
    <cellStyle name="Accent3 5 2" xfId="32657" xr:uid="{00000000-0005-0000-0000-0000837F0000}"/>
    <cellStyle name="Accent3 5 3" xfId="32658" xr:uid="{00000000-0005-0000-0000-0000847F0000}"/>
    <cellStyle name="Accent3 5 4" xfId="32659" xr:uid="{00000000-0005-0000-0000-0000857F0000}"/>
    <cellStyle name="Accent3 5 5" xfId="32660" xr:uid="{00000000-0005-0000-0000-0000867F0000}"/>
    <cellStyle name="Accent3 6" xfId="32661" xr:uid="{00000000-0005-0000-0000-0000877F0000}"/>
    <cellStyle name="Accent3 6 2" xfId="32662" xr:uid="{00000000-0005-0000-0000-0000887F0000}"/>
    <cellStyle name="Accent3 6 3" xfId="32663" xr:uid="{00000000-0005-0000-0000-0000897F0000}"/>
    <cellStyle name="Accent3 6 4" xfId="32664" xr:uid="{00000000-0005-0000-0000-00008A7F0000}"/>
    <cellStyle name="Accent3 6 5" xfId="32665" xr:uid="{00000000-0005-0000-0000-00008B7F0000}"/>
    <cellStyle name="Accent3 7" xfId="32666" xr:uid="{00000000-0005-0000-0000-00008C7F0000}"/>
    <cellStyle name="Accent3 7 2" xfId="32667" xr:uid="{00000000-0005-0000-0000-00008D7F0000}"/>
    <cellStyle name="Accent3 7 3" xfId="32668" xr:uid="{00000000-0005-0000-0000-00008E7F0000}"/>
    <cellStyle name="Accent3 7 4" xfId="32669" xr:uid="{00000000-0005-0000-0000-00008F7F0000}"/>
    <cellStyle name="Accent3 7 5" xfId="32670" xr:uid="{00000000-0005-0000-0000-0000907F0000}"/>
    <cellStyle name="Accent3 8" xfId="32671" xr:uid="{00000000-0005-0000-0000-0000917F0000}"/>
    <cellStyle name="Accent3 8 2" xfId="32672" xr:uid="{00000000-0005-0000-0000-0000927F0000}"/>
    <cellStyle name="Accent3 8 3" xfId="32673" xr:uid="{00000000-0005-0000-0000-0000937F0000}"/>
    <cellStyle name="Accent3 8 4" xfId="32674" xr:uid="{00000000-0005-0000-0000-0000947F0000}"/>
    <cellStyle name="Accent3 8 5" xfId="32675" xr:uid="{00000000-0005-0000-0000-0000957F0000}"/>
    <cellStyle name="Accent3 9" xfId="32676" xr:uid="{00000000-0005-0000-0000-0000967F0000}"/>
    <cellStyle name="Accent3 9 2" xfId="32677" xr:uid="{00000000-0005-0000-0000-0000977F0000}"/>
    <cellStyle name="Accent3 9 3" xfId="32678" xr:uid="{00000000-0005-0000-0000-0000987F0000}"/>
    <cellStyle name="Accent3 9 4" xfId="32679" xr:uid="{00000000-0005-0000-0000-0000997F0000}"/>
    <cellStyle name="Accent3 9 5" xfId="32680" xr:uid="{00000000-0005-0000-0000-00009A7F0000}"/>
    <cellStyle name="Accent4 10" xfId="32681" xr:uid="{00000000-0005-0000-0000-00009B7F0000}"/>
    <cellStyle name="Accent4 10 2" xfId="32682" xr:uid="{00000000-0005-0000-0000-00009C7F0000}"/>
    <cellStyle name="Accent4 10 3" xfId="32683" xr:uid="{00000000-0005-0000-0000-00009D7F0000}"/>
    <cellStyle name="Accent4 10 4" xfId="32684" xr:uid="{00000000-0005-0000-0000-00009E7F0000}"/>
    <cellStyle name="Accent4 10 5" xfId="32685" xr:uid="{00000000-0005-0000-0000-00009F7F0000}"/>
    <cellStyle name="Accent4 11" xfId="32686" xr:uid="{00000000-0005-0000-0000-0000A07F0000}"/>
    <cellStyle name="Accent4 11 2" xfId="32687" xr:uid="{00000000-0005-0000-0000-0000A17F0000}"/>
    <cellStyle name="Accent4 12" xfId="32688" xr:uid="{00000000-0005-0000-0000-0000A27F0000}"/>
    <cellStyle name="Accent4 12 2" xfId="32689" xr:uid="{00000000-0005-0000-0000-0000A37F0000}"/>
    <cellStyle name="Accent4 13" xfId="32690" xr:uid="{00000000-0005-0000-0000-0000A47F0000}"/>
    <cellStyle name="Accent4 13 2" xfId="32691" xr:uid="{00000000-0005-0000-0000-0000A57F0000}"/>
    <cellStyle name="Accent4 14" xfId="32692" xr:uid="{00000000-0005-0000-0000-0000A67F0000}"/>
    <cellStyle name="Accent4 14 2" xfId="32693" xr:uid="{00000000-0005-0000-0000-0000A77F0000}"/>
    <cellStyle name="Accent4 15" xfId="32694" xr:uid="{00000000-0005-0000-0000-0000A87F0000}"/>
    <cellStyle name="Accent4 15 2" xfId="32695" xr:uid="{00000000-0005-0000-0000-0000A97F0000}"/>
    <cellStyle name="Accent4 16" xfId="32696" xr:uid="{00000000-0005-0000-0000-0000AA7F0000}"/>
    <cellStyle name="Accent4 16 2" xfId="32697" xr:uid="{00000000-0005-0000-0000-0000AB7F0000}"/>
    <cellStyle name="Accent4 17" xfId="32698" xr:uid="{00000000-0005-0000-0000-0000AC7F0000}"/>
    <cellStyle name="Accent4 17 2" xfId="32699" xr:uid="{00000000-0005-0000-0000-0000AD7F0000}"/>
    <cellStyle name="Accent4 18" xfId="32700" xr:uid="{00000000-0005-0000-0000-0000AE7F0000}"/>
    <cellStyle name="Accent4 18 2" xfId="32701" xr:uid="{00000000-0005-0000-0000-0000AF7F0000}"/>
    <cellStyle name="Accent4 19" xfId="32702" xr:uid="{00000000-0005-0000-0000-0000B07F0000}"/>
    <cellStyle name="Accent4 19 2" xfId="32703" xr:uid="{00000000-0005-0000-0000-0000B17F0000}"/>
    <cellStyle name="Accent4 2" xfId="32704" xr:uid="{00000000-0005-0000-0000-0000B27F0000}"/>
    <cellStyle name="Accent4 2 10" xfId="32705" xr:uid="{00000000-0005-0000-0000-0000B37F0000}"/>
    <cellStyle name="Accent4 2 11" xfId="32706" xr:uid="{00000000-0005-0000-0000-0000B47F0000}"/>
    <cellStyle name="Accent4 2 12" xfId="32707" xr:uid="{00000000-0005-0000-0000-0000B57F0000}"/>
    <cellStyle name="Accent4 2 13" xfId="32708" xr:uid="{00000000-0005-0000-0000-0000B67F0000}"/>
    <cellStyle name="Accent4 2 14" xfId="32709" xr:uid="{00000000-0005-0000-0000-0000B77F0000}"/>
    <cellStyle name="Accent4 2 15" xfId="32710" xr:uid="{00000000-0005-0000-0000-0000B87F0000}"/>
    <cellStyle name="Accent4 2 16" xfId="32711" xr:uid="{00000000-0005-0000-0000-0000B97F0000}"/>
    <cellStyle name="Accent4 2 17" xfId="32712" xr:uid="{00000000-0005-0000-0000-0000BA7F0000}"/>
    <cellStyle name="Accent4 2 18" xfId="32713" xr:uid="{00000000-0005-0000-0000-0000BB7F0000}"/>
    <cellStyle name="Accent4 2 19" xfId="32714" xr:uid="{00000000-0005-0000-0000-0000BC7F0000}"/>
    <cellStyle name="Accent4 2 2" xfId="32715" xr:uid="{00000000-0005-0000-0000-0000BD7F0000}"/>
    <cellStyle name="Accent4 2 2 2" xfId="32716" xr:uid="{00000000-0005-0000-0000-0000BE7F0000}"/>
    <cellStyle name="Accent4 2 3" xfId="32717" xr:uid="{00000000-0005-0000-0000-0000BF7F0000}"/>
    <cellStyle name="Accent4 2 3 2" xfId="32718" xr:uid="{00000000-0005-0000-0000-0000C07F0000}"/>
    <cellStyle name="Accent4 2 4" xfId="32719" xr:uid="{00000000-0005-0000-0000-0000C17F0000}"/>
    <cellStyle name="Accent4 2 4 2" xfId="32720" xr:uid="{00000000-0005-0000-0000-0000C27F0000}"/>
    <cellStyle name="Accent4 2 5" xfId="32721" xr:uid="{00000000-0005-0000-0000-0000C37F0000}"/>
    <cellStyle name="Accent4 2 6" xfId="32722" xr:uid="{00000000-0005-0000-0000-0000C47F0000}"/>
    <cellStyle name="Accent4 2 7" xfId="32723" xr:uid="{00000000-0005-0000-0000-0000C57F0000}"/>
    <cellStyle name="Accent4 2 8" xfId="32724" xr:uid="{00000000-0005-0000-0000-0000C67F0000}"/>
    <cellStyle name="Accent4 2 9" xfId="32725" xr:uid="{00000000-0005-0000-0000-0000C77F0000}"/>
    <cellStyle name="Accent4 2_Labour" xfId="32726" xr:uid="{00000000-0005-0000-0000-0000C87F0000}"/>
    <cellStyle name="Accent4 20" xfId="32727" xr:uid="{00000000-0005-0000-0000-0000C97F0000}"/>
    <cellStyle name="Accent4 20 2" xfId="32728" xr:uid="{00000000-0005-0000-0000-0000CA7F0000}"/>
    <cellStyle name="Accent4 21" xfId="32729" xr:uid="{00000000-0005-0000-0000-0000CB7F0000}"/>
    <cellStyle name="Accent4 21 2" xfId="32730" xr:uid="{00000000-0005-0000-0000-0000CC7F0000}"/>
    <cellStyle name="Accent4 22" xfId="32731" xr:uid="{00000000-0005-0000-0000-0000CD7F0000}"/>
    <cellStyle name="Accent4 22 2" xfId="32732" xr:uid="{00000000-0005-0000-0000-0000CE7F0000}"/>
    <cellStyle name="Accent4 23" xfId="32733" xr:uid="{00000000-0005-0000-0000-0000CF7F0000}"/>
    <cellStyle name="Accent4 24" xfId="32734" xr:uid="{00000000-0005-0000-0000-0000D07F0000}"/>
    <cellStyle name="Accent4 25" xfId="32735" xr:uid="{00000000-0005-0000-0000-0000D17F0000}"/>
    <cellStyle name="Accent4 26" xfId="32736" xr:uid="{00000000-0005-0000-0000-0000D27F0000}"/>
    <cellStyle name="Accent4 27" xfId="32737" xr:uid="{00000000-0005-0000-0000-0000D37F0000}"/>
    <cellStyle name="Accent4 28" xfId="32738" xr:uid="{00000000-0005-0000-0000-0000D47F0000}"/>
    <cellStyle name="Accent4 29" xfId="32739" xr:uid="{00000000-0005-0000-0000-0000D57F0000}"/>
    <cellStyle name="Accent4 3" xfId="32740" xr:uid="{00000000-0005-0000-0000-0000D67F0000}"/>
    <cellStyle name="Accent4 3 2" xfId="32741" xr:uid="{00000000-0005-0000-0000-0000D77F0000}"/>
    <cellStyle name="Accent4 3 2 2" xfId="32742" xr:uid="{00000000-0005-0000-0000-0000D87F0000}"/>
    <cellStyle name="Accent4 3 3" xfId="32743" xr:uid="{00000000-0005-0000-0000-0000D97F0000}"/>
    <cellStyle name="Accent4 3 4" xfId="32744" xr:uid="{00000000-0005-0000-0000-0000DA7F0000}"/>
    <cellStyle name="Accent4 3 5" xfId="32745" xr:uid="{00000000-0005-0000-0000-0000DB7F0000}"/>
    <cellStyle name="Accent4 30" xfId="32746" xr:uid="{00000000-0005-0000-0000-0000DC7F0000}"/>
    <cellStyle name="Accent4 31" xfId="32747" xr:uid="{00000000-0005-0000-0000-0000DD7F0000}"/>
    <cellStyle name="Accent4 32" xfId="32748" xr:uid="{00000000-0005-0000-0000-0000DE7F0000}"/>
    <cellStyle name="Accent4 33" xfId="32749" xr:uid="{00000000-0005-0000-0000-0000DF7F0000}"/>
    <cellStyle name="Accent4 34" xfId="32750" xr:uid="{00000000-0005-0000-0000-0000E07F0000}"/>
    <cellStyle name="Accent4 4" xfId="32751" xr:uid="{00000000-0005-0000-0000-0000E17F0000}"/>
    <cellStyle name="Accent4 4 2" xfId="32752" xr:uid="{00000000-0005-0000-0000-0000E27F0000}"/>
    <cellStyle name="Accent4 4 3" xfId="32753" xr:uid="{00000000-0005-0000-0000-0000E37F0000}"/>
    <cellStyle name="Accent4 4 4" xfId="32754" xr:uid="{00000000-0005-0000-0000-0000E47F0000}"/>
    <cellStyle name="Accent4 4 5" xfId="32755" xr:uid="{00000000-0005-0000-0000-0000E57F0000}"/>
    <cellStyle name="Accent4 4_Proj" xfId="32756" xr:uid="{00000000-0005-0000-0000-0000E67F0000}"/>
    <cellStyle name="Accent4 5" xfId="32757" xr:uid="{00000000-0005-0000-0000-0000E77F0000}"/>
    <cellStyle name="Accent4 5 2" xfId="32758" xr:uid="{00000000-0005-0000-0000-0000E87F0000}"/>
    <cellStyle name="Accent4 5 3" xfId="32759" xr:uid="{00000000-0005-0000-0000-0000E97F0000}"/>
    <cellStyle name="Accent4 5 4" xfId="32760" xr:uid="{00000000-0005-0000-0000-0000EA7F0000}"/>
    <cellStyle name="Accent4 5 5" xfId="32761" xr:uid="{00000000-0005-0000-0000-0000EB7F0000}"/>
    <cellStyle name="Accent4 6" xfId="32762" xr:uid="{00000000-0005-0000-0000-0000EC7F0000}"/>
    <cellStyle name="Accent4 6 2" xfId="32763" xr:uid="{00000000-0005-0000-0000-0000ED7F0000}"/>
    <cellStyle name="Accent4 6 3" xfId="32764" xr:uid="{00000000-0005-0000-0000-0000EE7F0000}"/>
    <cellStyle name="Accent4 6 4" xfId="32765" xr:uid="{00000000-0005-0000-0000-0000EF7F0000}"/>
    <cellStyle name="Accent4 6 5" xfId="32766" xr:uid="{00000000-0005-0000-0000-0000F07F0000}"/>
    <cellStyle name="Accent4 7" xfId="32767" xr:uid="{00000000-0005-0000-0000-0000F17F0000}"/>
    <cellStyle name="Accent4 7 2" xfId="32768" xr:uid="{00000000-0005-0000-0000-0000F27F0000}"/>
    <cellStyle name="Accent4 7 3" xfId="32769" xr:uid="{00000000-0005-0000-0000-0000F37F0000}"/>
    <cellStyle name="Accent4 7 4" xfId="32770" xr:uid="{00000000-0005-0000-0000-0000F47F0000}"/>
    <cellStyle name="Accent4 7 5" xfId="32771" xr:uid="{00000000-0005-0000-0000-0000F57F0000}"/>
    <cellStyle name="Accent4 8" xfId="32772" xr:uid="{00000000-0005-0000-0000-0000F67F0000}"/>
    <cellStyle name="Accent4 8 2" xfId="32773" xr:uid="{00000000-0005-0000-0000-0000F77F0000}"/>
    <cellStyle name="Accent4 8 3" xfId="32774" xr:uid="{00000000-0005-0000-0000-0000F87F0000}"/>
    <cellStyle name="Accent4 8 4" xfId="32775" xr:uid="{00000000-0005-0000-0000-0000F97F0000}"/>
    <cellStyle name="Accent4 8 5" xfId="32776" xr:uid="{00000000-0005-0000-0000-0000FA7F0000}"/>
    <cellStyle name="Accent4 9" xfId="32777" xr:uid="{00000000-0005-0000-0000-0000FB7F0000}"/>
    <cellStyle name="Accent4 9 2" xfId="32778" xr:uid="{00000000-0005-0000-0000-0000FC7F0000}"/>
    <cellStyle name="Accent4 9 3" xfId="32779" xr:uid="{00000000-0005-0000-0000-0000FD7F0000}"/>
    <cellStyle name="Accent4 9 4" xfId="32780" xr:uid="{00000000-0005-0000-0000-0000FE7F0000}"/>
    <cellStyle name="Accent4 9 5" xfId="32781" xr:uid="{00000000-0005-0000-0000-0000FF7F0000}"/>
    <cellStyle name="Accent5 10" xfId="32782" xr:uid="{00000000-0005-0000-0000-000000800000}"/>
    <cellStyle name="Accent5 10 2" xfId="32783" xr:uid="{00000000-0005-0000-0000-000001800000}"/>
    <cellStyle name="Accent5 10 3" xfId="32784" xr:uid="{00000000-0005-0000-0000-000002800000}"/>
    <cellStyle name="Accent5 10 4" xfId="32785" xr:uid="{00000000-0005-0000-0000-000003800000}"/>
    <cellStyle name="Accent5 10 5" xfId="32786" xr:uid="{00000000-0005-0000-0000-000004800000}"/>
    <cellStyle name="Accent5 11" xfId="32787" xr:uid="{00000000-0005-0000-0000-000005800000}"/>
    <cellStyle name="Accent5 11 2" xfId="32788" xr:uid="{00000000-0005-0000-0000-000006800000}"/>
    <cellStyle name="Accent5 12" xfId="32789" xr:uid="{00000000-0005-0000-0000-000007800000}"/>
    <cellStyle name="Accent5 12 2" xfId="32790" xr:uid="{00000000-0005-0000-0000-000008800000}"/>
    <cellStyle name="Accent5 13" xfId="32791" xr:uid="{00000000-0005-0000-0000-000009800000}"/>
    <cellStyle name="Accent5 13 2" xfId="32792" xr:uid="{00000000-0005-0000-0000-00000A800000}"/>
    <cellStyle name="Accent5 14" xfId="32793" xr:uid="{00000000-0005-0000-0000-00000B800000}"/>
    <cellStyle name="Accent5 14 2" xfId="32794" xr:uid="{00000000-0005-0000-0000-00000C800000}"/>
    <cellStyle name="Accent5 15" xfId="32795" xr:uid="{00000000-0005-0000-0000-00000D800000}"/>
    <cellStyle name="Accent5 15 2" xfId="32796" xr:uid="{00000000-0005-0000-0000-00000E800000}"/>
    <cellStyle name="Accent5 16" xfId="32797" xr:uid="{00000000-0005-0000-0000-00000F800000}"/>
    <cellStyle name="Accent5 16 2" xfId="32798" xr:uid="{00000000-0005-0000-0000-000010800000}"/>
    <cellStyle name="Accent5 17" xfId="32799" xr:uid="{00000000-0005-0000-0000-000011800000}"/>
    <cellStyle name="Accent5 17 2" xfId="32800" xr:uid="{00000000-0005-0000-0000-000012800000}"/>
    <cellStyle name="Accent5 18" xfId="32801" xr:uid="{00000000-0005-0000-0000-000013800000}"/>
    <cellStyle name="Accent5 18 2" xfId="32802" xr:uid="{00000000-0005-0000-0000-000014800000}"/>
    <cellStyle name="Accent5 19" xfId="32803" xr:uid="{00000000-0005-0000-0000-000015800000}"/>
    <cellStyle name="Accent5 19 2" xfId="32804" xr:uid="{00000000-0005-0000-0000-000016800000}"/>
    <cellStyle name="Accent5 2" xfId="32805" xr:uid="{00000000-0005-0000-0000-000017800000}"/>
    <cellStyle name="Accent5 2 10" xfId="32806" xr:uid="{00000000-0005-0000-0000-000018800000}"/>
    <cellStyle name="Accent5 2 11" xfId="32807" xr:uid="{00000000-0005-0000-0000-000019800000}"/>
    <cellStyle name="Accent5 2 12" xfId="32808" xr:uid="{00000000-0005-0000-0000-00001A800000}"/>
    <cellStyle name="Accent5 2 13" xfId="32809" xr:uid="{00000000-0005-0000-0000-00001B800000}"/>
    <cellStyle name="Accent5 2 14" xfId="32810" xr:uid="{00000000-0005-0000-0000-00001C800000}"/>
    <cellStyle name="Accent5 2 15" xfId="32811" xr:uid="{00000000-0005-0000-0000-00001D800000}"/>
    <cellStyle name="Accent5 2 16" xfId="32812" xr:uid="{00000000-0005-0000-0000-00001E800000}"/>
    <cellStyle name="Accent5 2 17" xfId="32813" xr:uid="{00000000-0005-0000-0000-00001F800000}"/>
    <cellStyle name="Accent5 2 18" xfId="32814" xr:uid="{00000000-0005-0000-0000-000020800000}"/>
    <cellStyle name="Accent5 2 19" xfId="32815" xr:uid="{00000000-0005-0000-0000-000021800000}"/>
    <cellStyle name="Accent5 2 2" xfId="32816" xr:uid="{00000000-0005-0000-0000-000022800000}"/>
    <cellStyle name="Accent5 2 2 2" xfId="32817" xr:uid="{00000000-0005-0000-0000-000023800000}"/>
    <cellStyle name="Accent5 2 3" xfId="32818" xr:uid="{00000000-0005-0000-0000-000024800000}"/>
    <cellStyle name="Accent5 2 3 2" xfId="32819" xr:uid="{00000000-0005-0000-0000-000025800000}"/>
    <cellStyle name="Accent5 2 4" xfId="32820" xr:uid="{00000000-0005-0000-0000-000026800000}"/>
    <cellStyle name="Accent5 2 4 2" xfId="32821" xr:uid="{00000000-0005-0000-0000-000027800000}"/>
    <cellStyle name="Accent5 2 5" xfId="32822" xr:uid="{00000000-0005-0000-0000-000028800000}"/>
    <cellStyle name="Accent5 2 6" xfId="32823" xr:uid="{00000000-0005-0000-0000-000029800000}"/>
    <cellStyle name="Accent5 2 7" xfId="32824" xr:uid="{00000000-0005-0000-0000-00002A800000}"/>
    <cellStyle name="Accent5 2 8" xfId="32825" xr:uid="{00000000-0005-0000-0000-00002B800000}"/>
    <cellStyle name="Accent5 2 9" xfId="32826" xr:uid="{00000000-0005-0000-0000-00002C800000}"/>
    <cellStyle name="Accent5 2_Labour" xfId="32827" xr:uid="{00000000-0005-0000-0000-00002D800000}"/>
    <cellStyle name="Accent5 20" xfId="32828" xr:uid="{00000000-0005-0000-0000-00002E800000}"/>
    <cellStyle name="Accent5 20 2" xfId="32829" xr:uid="{00000000-0005-0000-0000-00002F800000}"/>
    <cellStyle name="Accent5 21" xfId="32830" xr:uid="{00000000-0005-0000-0000-000030800000}"/>
    <cellStyle name="Accent5 21 2" xfId="32831" xr:uid="{00000000-0005-0000-0000-000031800000}"/>
    <cellStyle name="Accent5 22" xfId="32832" xr:uid="{00000000-0005-0000-0000-000032800000}"/>
    <cellStyle name="Accent5 22 2" xfId="32833" xr:uid="{00000000-0005-0000-0000-000033800000}"/>
    <cellStyle name="Accent5 23" xfId="32834" xr:uid="{00000000-0005-0000-0000-000034800000}"/>
    <cellStyle name="Accent5 24" xfId="32835" xr:uid="{00000000-0005-0000-0000-000035800000}"/>
    <cellStyle name="Accent5 25" xfId="32836" xr:uid="{00000000-0005-0000-0000-000036800000}"/>
    <cellStyle name="Accent5 26" xfId="32837" xr:uid="{00000000-0005-0000-0000-000037800000}"/>
    <cellStyle name="Accent5 27" xfId="32838" xr:uid="{00000000-0005-0000-0000-000038800000}"/>
    <cellStyle name="Accent5 28" xfId="32839" xr:uid="{00000000-0005-0000-0000-000039800000}"/>
    <cellStyle name="Accent5 29" xfId="32840" xr:uid="{00000000-0005-0000-0000-00003A800000}"/>
    <cellStyle name="Accent5 3" xfId="32841" xr:uid="{00000000-0005-0000-0000-00003B800000}"/>
    <cellStyle name="Accent5 3 2" xfId="32842" xr:uid="{00000000-0005-0000-0000-00003C800000}"/>
    <cellStyle name="Accent5 3 2 2" xfId="32843" xr:uid="{00000000-0005-0000-0000-00003D800000}"/>
    <cellStyle name="Accent5 3 3" xfId="32844" xr:uid="{00000000-0005-0000-0000-00003E800000}"/>
    <cellStyle name="Accent5 3 4" xfId="32845" xr:uid="{00000000-0005-0000-0000-00003F800000}"/>
    <cellStyle name="Accent5 3 5" xfId="32846" xr:uid="{00000000-0005-0000-0000-000040800000}"/>
    <cellStyle name="Accent5 30" xfId="32847" xr:uid="{00000000-0005-0000-0000-000041800000}"/>
    <cellStyle name="Accent5 31" xfId="32848" xr:uid="{00000000-0005-0000-0000-000042800000}"/>
    <cellStyle name="Accent5 32" xfId="32849" xr:uid="{00000000-0005-0000-0000-000043800000}"/>
    <cellStyle name="Accent5 33" xfId="32850" xr:uid="{00000000-0005-0000-0000-000044800000}"/>
    <cellStyle name="Accent5 34" xfId="32851" xr:uid="{00000000-0005-0000-0000-000045800000}"/>
    <cellStyle name="Accent5 4" xfId="32852" xr:uid="{00000000-0005-0000-0000-000046800000}"/>
    <cellStyle name="Accent5 4 2" xfId="32853" xr:uid="{00000000-0005-0000-0000-000047800000}"/>
    <cellStyle name="Accent5 4 3" xfId="32854" xr:uid="{00000000-0005-0000-0000-000048800000}"/>
    <cellStyle name="Accent5 4 4" xfId="32855" xr:uid="{00000000-0005-0000-0000-000049800000}"/>
    <cellStyle name="Accent5 4 5" xfId="32856" xr:uid="{00000000-0005-0000-0000-00004A800000}"/>
    <cellStyle name="Accent5 4_Proj" xfId="32857" xr:uid="{00000000-0005-0000-0000-00004B800000}"/>
    <cellStyle name="Accent5 5" xfId="32858" xr:uid="{00000000-0005-0000-0000-00004C800000}"/>
    <cellStyle name="Accent5 5 2" xfId="32859" xr:uid="{00000000-0005-0000-0000-00004D800000}"/>
    <cellStyle name="Accent5 5 3" xfId="32860" xr:uid="{00000000-0005-0000-0000-00004E800000}"/>
    <cellStyle name="Accent5 5 4" xfId="32861" xr:uid="{00000000-0005-0000-0000-00004F800000}"/>
    <cellStyle name="Accent5 5 5" xfId="32862" xr:uid="{00000000-0005-0000-0000-000050800000}"/>
    <cellStyle name="Accent5 6" xfId="32863" xr:uid="{00000000-0005-0000-0000-000051800000}"/>
    <cellStyle name="Accent5 6 2" xfId="32864" xr:uid="{00000000-0005-0000-0000-000052800000}"/>
    <cellStyle name="Accent5 6 3" xfId="32865" xr:uid="{00000000-0005-0000-0000-000053800000}"/>
    <cellStyle name="Accent5 6 4" xfId="32866" xr:uid="{00000000-0005-0000-0000-000054800000}"/>
    <cellStyle name="Accent5 6 5" xfId="32867" xr:uid="{00000000-0005-0000-0000-000055800000}"/>
    <cellStyle name="Accent5 7" xfId="32868" xr:uid="{00000000-0005-0000-0000-000056800000}"/>
    <cellStyle name="Accent5 7 2" xfId="32869" xr:uid="{00000000-0005-0000-0000-000057800000}"/>
    <cellStyle name="Accent5 7 3" xfId="32870" xr:uid="{00000000-0005-0000-0000-000058800000}"/>
    <cellStyle name="Accent5 7 4" xfId="32871" xr:uid="{00000000-0005-0000-0000-000059800000}"/>
    <cellStyle name="Accent5 7 5" xfId="32872" xr:uid="{00000000-0005-0000-0000-00005A800000}"/>
    <cellStyle name="Accent5 8" xfId="32873" xr:uid="{00000000-0005-0000-0000-00005B800000}"/>
    <cellStyle name="Accent5 8 2" xfId="32874" xr:uid="{00000000-0005-0000-0000-00005C800000}"/>
    <cellStyle name="Accent5 8 3" xfId="32875" xr:uid="{00000000-0005-0000-0000-00005D800000}"/>
    <cellStyle name="Accent5 8 4" xfId="32876" xr:uid="{00000000-0005-0000-0000-00005E800000}"/>
    <cellStyle name="Accent5 8 5" xfId="32877" xr:uid="{00000000-0005-0000-0000-00005F800000}"/>
    <cellStyle name="Accent5 9" xfId="32878" xr:uid="{00000000-0005-0000-0000-000060800000}"/>
    <cellStyle name="Accent5 9 2" xfId="32879" xr:uid="{00000000-0005-0000-0000-000061800000}"/>
    <cellStyle name="Accent5 9 3" xfId="32880" xr:uid="{00000000-0005-0000-0000-000062800000}"/>
    <cellStyle name="Accent5 9 4" xfId="32881" xr:uid="{00000000-0005-0000-0000-000063800000}"/>
    <cellStyle name="Accent5 9 5" xfId="32882" xr:uid="{00000000-0005-0000-0000-000064800000}"/>
    <cellStyle name="Accent6 10" xfId="32883" xr:uid="{00000000-0005-0000-0000-000065800000}"/>
    <cellStyle name="Accent6 10 2" xfId="32884" xr:uid="{00000000-0005-0000-0000-000066800000}"/>
    <cellStyle name="Accent6 10 3" xfId="32885" xr:uid="{00000000-0005-0000-0000-000067800000}"/>
    <cellStyle name="Accent6 10 4" xfId="32886" xr:uid="{00000000-0005-0000-0000-000068800000}"/>
    <cellStyle name="Accent6 10 5" xfId="32887" xr:uid="{00000000-0005-0000-0000-000069800000}"/>
    <cellStyle name="Accent6 11" xfId="32888" xr:uid="{00000000-0005-0000-0000-00006A800000}"/>
    <cellStyle name="Accent6 11 2" xfId="32889" xr:uid="{00000000-0005-0000-0000-00006B800000}"/>
    <cellStyle name="Accent6 12" xfId="32890" xr:uid="{00000000-0005-0000-0000-00006C800000}"/>
    <cellStyle name="Accent6 12 2" xfId="32891" xr:uid="{00000000-0005-0000-0000-00006D800000}"/>
    <cellStyle name="Accent6 13" xfId="32892" xr:uid="{00000000-0005-0000-0000-00006E800000}"/>
    <cellStyle name="Accent6 13 2" xfId="32893" xr:uid="{00000000-0005-0000-0000-00006F800000}"/>
    <cellStyle name="Accent6 14" xfId="32894" xr:uid="{00000000-0005-0000-0000-000070800000}"/>
    <cellStyle name="Accent6 14 2" xfId="32895" xr:uid="{00000000-0005-0000-0000-000071800000}"/>
    <cellStyle name="Accent6 15" xfId="32896" xr:uid="{00000000-0005-0000-0000-000072800000}"/>
    <cellStyle name="Accent6 15 2" xfId="32897" xr:uid="{00000000-0005-0000-0000-000073800000}"/>
    <cellStyle name="Accent6 16" xfId="32898" xr:uid="{00000000-0005-0000-0000-000074800000}"/>
    <cellStyle name="Accent6 16 2" xfId="32899" xr:uid="{00000000-0005-0000-0000-000075800000}"/>
    <cellStyle name="Accent6 17" xfId="32900" xr:uid="{00000000-0005-0000-0000-000076800000}"/>
    <cellStyle name="Accent6 17 2" xfId="32901" xr:uid="{00000000-0005-0000-0000-000077800000}"/>
    <cellStyle name="Accent6 18" xfId="32902" xr:uid="{00000000-0005-0000-0000-000078800000}"/>
    <cellStyle name="Accent6 18 2" xfId="32903" xr:uid="{00000000-0005-0000-0000-000079800000}"/>
    <cellStyle name="Accent6 19" xfId="32904" xr:uid="{00000000-0005-0000-0000-00007A800000}"/>
    <cellStyle name="Accent6 19 2" xfId="32905" xr:uid="{00000000-0005-0000-0000-00007B800000}"/>
    <cellStyle name="Accent6 2" xfId="32906" xr:uid="{00000000-0005-0000-0000-00007C800000}"/>
    <cellStyle name="Accent6 2 10" xfId="32907" xr:uid="{00000000-0005-0000-0000-00007D800000}"/>
    <cellStyle name="Accent6 2 11" xfId="32908" xr:uid="{00000000-0005-0000-0000-00007E800000}"/>
    <cellStyle name="Accent6 2 12" xfId="32909" xr:uid="{00000000-0005-0000-0000-00007F800000}"/>
    <cellStyle name="Accent6 2 13" xfId="32910" xr:uid="{00000000-0005-0000-0000-000080800000}"/>
    <cellStyle name="Accent6 2 14" xfId="32911" xr:uid="{00000000-0005-0000-0000-000081800000}"/>
    <cellStyle name="Accent6 2 15" xfId="32912" xr:uid="{00000000-0005-0000-0000-000082800000}"/>
    <cellStyle name="Accent6 2 16" xfId="32913" xr:uid="{00000000-0005-0000-0000-000083800000}"/>
    <cellStyle name="Accent6 2 17" xfId="32914" xr:uid="{00000000-0005-0000-0000-000084800000}"/>
    <cellStyle name="Accent6 2 18" xfId="32915" xr:uid="{00000000-0005-0000-0000-000085800000}"/>
    <cellStyle name="Accent6 2 19" xfId="32916" xr:uid="{00000000-0005-0000-0000-000086800000}"/>
    <cellStyle name="Accent6 2 2" xfId="32917" xr:uid="{00000000-0005-0000-0000-000087800000}"/>
    <cellStyle name="Accent6 2 2 2" xfId="32918" xr:uid="{00000000-0005-0000-0000-000088800000}"/>
    <cellStyle name="Accent6 2 3" xfId="32919" xr:uid="{00000000-0005-0000-0000-000089800000}"/>
    <cellStyle name="Accent6 2 3 2" xfId="32920" xr:uid="{00000000-0005-0000-0000-00008A800000}"/>
    <cellStyle name="Accent6 2 4" xfId="32921" xr:uid="{00000000-0005-0000-0000-00008B800000}"/>
    <cellStyle name="Accent6 2 4 2" xfId="32922" xr:uid="{00000000-0005-0000-0000-00008C800000}"/>
    <cellStyle name="Accent6 2 5" xfId="32923" xr:uid="{00000000-0005-0000-0000-00008D800000}"/>
    <cellStyle name="Accent6 2 6" xfId="32924" xr:uid="{00000000-0005-0000-0000-00008E800000}"/>
    <cellStyle name="Accent6 2 7" xfId="32925" xr:uid="{00000000-0005-0000-0000-00008F800000}"/>
    <cellStyle name="Accent6 2 8" xfId="32926" xr:uid="{00000000-0005-0000-0000-000090800000}"/>
    <cellStyle name="Accent6 2 9" xfId="32927" xr:uid="{00000000-0005-0000-0000-000091800000}"/>
    <cellStyle name="Accent6 2_Labour" xfId="32928" xr:uid="{00000000-0005-0000-0000-000092800000}"/>
    <cellStyle name="Accent6 20" xfId="32929" xr:uid="{00000000-0005-0000-0000-000093800000}"/>
    <cellStyle name="Accent6 20 2" xfId="32930" xr:uid="{00000000-0005-0000-0000-000094800000}"/>
    <cellStyle name="Accent6 21" xfId="32931" xr:uid="{00000000-0005-0000-0000-000095800000}"/>
    <cellStyle name="Accent6 21 2" xfId="32932" xr:uid="{00000000-0005-0000-0000-000096800000}"/>
    <cellStyle name="Accent6 22" xfId="32933" xr:uid="{00000000-0005-0000-0000-000097800000}"/>
    <cellStyle name="Accent6 22 2" xfId="32934" xr:uid="{00000000-0005-0000-0000-000098800000}"/>
    <cellStyle name="Accent6 23" xfId="32935" xr:uid="{00000000-0005-0000-0000-000099800000}"/>
    <cellStyle name="Accent6 24" xfId="32936" xr:uid="{00000000-0005-0000-0000-00009A800000}"/>
    <cellStyle name="Accent6 25" xfId="32937" xr:uid="{00000000-0005-0000-0000-00009B800000}"/>
    <cellStyle name="Accent6 26" xfId="32938" xr:uid="{00000000-0005-0000-0000-00009C800000}"/>
    <cellStyle name="Accent6 27" xfId="32939" xr:uid="{00000000-0005-0000-0000-00009D800000}"/>
    <cellStyle name="Accent6 28" xfId="32940" xr:uid="{00000000-0005-0000-0000-00009E800000}"/>
    <cellStyle name="Accent6 29" xfId="32941" xr:uid="{00000000-0005-0000-0000-00009F800000}"/>
    <cellStyle name="Accent6 3" xfId="32942" xr:uid="{00000000-0005-0000-0000-0000A0800000}"/>
    <cellStyle name="Accent6 3 2" xfId="32943" xr:uid="{00000000-0005-0000-0000-0000A1800000}"/>
    <cellStyle name="Accent6 3 2 2" xfId="32944" xr:uid="{00000000-0005-0000-0000-0000A2800000}"/>
    <cellStyle name="Accent6 3 3" xfId="32945" xr:uid="{00000000-0005-0000-0000-0000A3800000}"/>
    <cellStyle name="Accent6 3 4" xfId="32946" xr:uid="{00000000-0005-0000-0000-0000A4800000}"/>
    <cellStyle name="Accent6 3 5" xfId="32947" xr:uid="{00000000-0005-0000-0000-0000A5800000}"/>
    <cellStyle name="Accent6 30" xfId="32948" xr:uid="{00000000-0005-0000-0000-0000A6800000}"/>
    <cellStyle name="Accent6 31" xfId="32949" xr:uid="{00000000-0005-0000-0000-0000A7800000}"/>
    <cellStyle name="Accent6 32" xfId="32950" xr:uid="{00000000-0005-0000-0000-0000A8800000}"/>
    <cellStyle name="Accent6 33" xfId="32951" xr:uid="{00000000-0005-0000-0000-0000A9800000}"/>
    <cellStyle name="Accent6 34" xfId="32952" xr:uid="{00000000-0005-0000-0000-0000AA800000}"/>
    <cellStyle name="Accent6 4" xfId="32953" xr:uid="{00000000-0005-0000-0000-0000AB800000}"/>
    <cellStyle name="Accent6 4 2" xfId="32954" xr:uid="{00000000-0005-0000-0000-0000AC800000}"/>
    <cellStyle name="Accent6 4 3" xfId="32955" xr:uid="{00000000-0005-0000-0000-0000AD800000}"/>
    <cellStyle name="Accent6 4 4" xfId="32956" xr:uid="{00000000-0005-0000-0000-0000AE800000}"/>
    <cellStyle name="Accent6 4 5" xfId="32957" xr:uid="{00000000-0005-0000-0000-0000AF800000}"/>
    <cellStyle name="Accent6 4_Proj" xfId="32958" xr:uid="{00000000-0005-0000-0000-0000B0800000}"/>
    <cellStyle name="Accent6 5" xfId="32959" xr:uid="{00000000-0005-0000-0000-0000B1800000}"/>
    <cellStyle name="Accent6 5 2" xfId="32960" xr:uid="{00000000-0005-0000-0000-0000B2800000}"/>
    <cellStyle name="Accent6 5 3" xfId="32961" xr:uid="{00000000-0005-0000-0000-0000B3800000}"/>
    <cellStyle name="Accent6 5 4" xfId="32962" xr:uid="{00000000-0005-0000-0000-0000B4800000}"/>
    <cellStyle name="Accent6 5 5" xfId="32963" xr:uid="{00000000-0005-0000-0000-0000B5800000}"/>
    <cellStyle name="Accent6 6" xfId="32964" xr:uid="{00000000-0005-0000-0000-0000B6800000}"/>
    <cellStyle name="Accent6 6 2" xfId="32965" xr:uid="{00000000-0005-0000-0000-0000B7800000}"/>
    <cellStyle name="Accent6 6 3" xfId="32966" xr:uid="{00000000-0005-0000-0000-0000B8800000}"/>
    <cellStyle name="Accent6 6 4" xfId="32967" xr:uid="{00000000-0005-0000-0000-0000B9800000}"/>
    <cellStyle name="Accent6 6 5" xfId="32968" xr:uid="{00000000-0005-0000-0000-0000BA800000}"/>
    <cellStyle name="Accent6 7" xfId="32969" xr:uid="{00000000-0005-0000-0000-0000BB800000}"/>
    <cellStyle name="Accent6 7 2" xfId="32970" xr:uid="{00000000-0005-0000-0000-0000BC800000}"/>
    <cellStyle name="Accent6 7 3" xfId="32971" xr:uid="{00000000-0005-0000-0000-0000BD800000}"/>
    <cellStyle name="Accent6 7 4" xfId="32972" xr:uid="{00000000-0005-0000-0000-0000BE800000}"/>
    <cellStyle name="Accent6 7 5" xfId="32973" xr:uid="{00000000-0005-0000-0000-0000BF800000}"/>
    <cellStyle name="Accent6 8" xfId="32974" xr:uid="{00000000-0005-0000-0000-0000C0800000}"/>
    <cellStyle name="Accent6 8 2" xfId="32975" xr:uid="{00000000-0005-0000-0000-0000C1800000}"/>
    <cellStyle name="Accent6 8 3" xfId="32976" xr:uid="{00000000-0005-0000-0000-0000C2800000}"/>
    <cellStyle name="Accent6 8 4" xfId="32977" xr:uid="{00000000-0005-0000-0000-0000C3800000}"/>
    <cellStyle name="Accent6 8 5" xfId="32978" xr:uid="{00000000-0005-0000-0000-0000C4800000}"/>
    <cellStyle name="Accent6 9" xfId="32979" xr:uid="{00000000-0005-0000-0000-0000C5800000}"/>
    <cellStyle name="Accent6 9 2" xfId="32980" xr:uid="{00000000-0005-0000-0000-0000C6800000}"/>
    <cellStyle name="Accent6 9 3" xfId="32981" xr:uid="{00000000-0005-0000-0000-0000C7800000}"/>
    <cellStyle name="Accent6 9 4" xfId="32982" xr:uid="{00000000-0005-0000-0000-0000C8800000}"/>
    <cellStyle name="Accent6 9 5" xfId="32983" xr:uid="{00000000-0005-0000-0000-0000C9800000}"/>
    <cellStyle name="Actual Date" xfId="32984" xr:uid="{00000000-0005-0000-0000-0000CA800000}"/>
    <cellStyle name="Actual Date 2" xfId="32985" xr:uid="{00000000-0005-0000-0000-0000CB800000}"/>
    <cellStyle name="Actual Date 2 2" xfId="32986" xr:uid="{00000000-0005-0000-0000-0000CC800000}"/>
    <cellStyle name="Actual Date 3" xfId="32987" xr:uid="{00000000-0005-0000-0000-0000CD800000}"/>
    <cellStyle name="Actual Date 3 2" xfId="32988" xr:uid="{00000000-0005-0000-0000-0000CE800000}"/>
    <cellStyle name="Actual Date 4" xfId="32989" xr:uid="{00000000-0005-0000-0000-0000CF800000}"/>
    <cellStyle name="Actual Date 4 2" xfId="32990" xr:uid="{00000000-0005-0000-0000-0000D0800000}"/>
    <cellStyle name="Actual Date 5" xfId="32991" xr:uid="{00000000-0005-0000-0000-0000D1800000}"/>
    <cellStyle name="Actual Date 6" xfId="32992" xr:uid="{00000000-0005-0000-0000-0000D2800000}"/>
    <cellStyle name="Actual Date 7" xfId="32993" xr:uid="{00000000-0005-0000-0000-0000D3800000}"/>
    <cellStyle name="Actual Date 8" xfId="32994" xr:uid="{00000000-0005-0000-0000-0000D4800000}"/>
    <cellStyle name="AeE­ [0]_´eºnC￥ " xfId="32995" xr:uid="{00000000-0005-0000-0000-0000D5800000}"/>
    <cellStyle name="ÅëÈ­ [0]_±âÅ¸" xfId="32996" xr:uid="{00000000-0005-0000-0000-0000D6800000}"/>
    <cellStyle name="AeE­ [0]_½C¿¹PL " xfId="32997" xr:uid="{00000000-0005-0000-0000-0000D7800000}"/>
    <cellStyle name="AeE­_´eºnC￥ " xfId="32998" xr:uid="{00000000-0005-0000-0000-0000D8800000}"/>
    <cellStyle name="ÅëÈ­_±âÅ¸" xfId="32999" xr:uid="{00000000-0005-0000-0000-0000D9800000}"/>
    <cellStyle name="AeE­_½C¿¹PL " xfId="33000" xr:uid="{00000000-0005-0000-0000-0000DA800000}"/>
    <cellStyle name="args.style" xfId="33001" xr:uid="{00000000-0005-0000-0000-0000DB800000}"/>
    <cellStyle name="Arial1 - Style1" xfId="33002" xr:uid="{00000000-0005-0000-0000-0000DC800000}"/>
    <cellStyle name="Arial1 - Style2" xfId="33003" xr:uid="{00000000-0005-0000-0000-0000DD800000}"/>
    <cellStyle name="Arial10" xfId="33004" xr:uid="{00000000-0005-0000-0000-0000DE800000}"/>
    <cellStyle name="AÞ¸¶ [0]_´eºnC￥ " xfId="33005" xr:uid="{00000000-0005-0000-0000-0000DF800000}"/>
    <cellStyle name="ÄÞ¸¶ [0]_±âÅ¸" xfId="33006" xr:uid="{00000000-0005-0000-0000-0000E0800000}"/>
    <cellStyle name="AÞ¸¶ [0]_½C¿¹PL " xfId="33007" xr:uid="{00000000-0005-0000-0000-0000E1800000}"/>
    <cellStyle name="AÞ¸¶_´eºnC￥ " xfId="33008" xr:uid="{00000000-0005-0000-0000-0000E2800000}"/>
    <cellStyle name="ÄÞ¸¶_±âÅ¸" xfId="33009" xr:uid="{00000000-0005-0000-0000-0000E3800000}"/>
    <cellStyle name="AÞ¸¶_½C¿¹PL " xfId="33010" xr:uid="{00000000-0005-0000-0000-0000E4800000}"/>
    <cellStyle name="Bad 10" xfId="33011" xr:uid="{00000000-0005-0000-0000-0000E5800000}"/>
    <cellStyle name="Bad 10 2" xfId="33012" xr:uid="{00000000-0005-0000-0000-0000E6800000}"/>
    <cellStyle name="Bad 10 3" xfId="33013" xr:uid="{00000000-0005-0000-0000-0000E7800000}"/>
    <cellStyle name="Bad 10 4" xfId="33014" xr:uid="{00000000-0005-0000-0000-0000E8800000}"/>
    <cellStyle name="Bad 10 5" xfId="33015" xr:uid="{00000000-0005-0000-0000-0000E9800000}"/>
    <cellStyle name="Bad 11" xfId="33016" xr:uid="{00000000-0005-0000-0000-0000EA800000}"/>
    <cellStyle name="Bad 11 2" xfId="33017" xr:uid="{00000000-0005-0000-0000-0000EB800000}"/>
    <cellStyle name="Bad 12" xfId="33018" xr:uid="{00000000-0005-0000-0000-0000EC800000}"/>
    <cellStyle name="Bad 12 2" xfId="33019" xr:uid="{00000000-0005-0000-0000-0000ED800000}"/>
    <cellStyle name="Bad 13" xfId="33020" xr:uid="{00000000-0005-0000-0000-0000EE800000}"/>
    <cellStyle name="Bad 13 2" xfId="33021" xr:uid="{00000000-0005-0000-0000-0000EF800000}"/>
    <cellStyle name="Bad 14" xfId="33022" xr:uid="{00000000-0005-0000-0000-0000F0800000}"/>
    <cellStyle name="Bad 14 2" xfId="33023" xr:uid="{00000000-0005-0000-0000-0000F1800000}"/>
    <cellStyle name="Bad 15" xfId="33024" xr:uid="{00000000-0005-0000-0000-0000F2800000}"/>
    <cellStyle name="Bad 15 2" xfId="33025" xr:uid="{00000000-0005-0000-0000-0000F3800000}"/>
    <cellStyle name="Bad 16" xfId="33026" xr:uid="{00000000-0005-0000-0000-0000F4800000}"/>
    <cellStyle name="Bad 16 2" xfId="33027" xr:uid="{00000000-0005-0000-0000-0000F5800000}"/>
    <cellStyle name="Bad 17" xfId="33028" xr:uid="{00000000-0005-0000-0000-0000F6800000}"/>
    <cellStyle name="Bad 17 2" xfId="33029" xr:uid="{00000000-0005-0000-0000-0000F7800000}"/>
    <cellStyle name="Bad 18" xfId="33030" xr:uid="{00000000-0005-0000-0000-0000F8800000}"/>
    <cellStyle name="Bad 18 2" xfId="33031" xr:uid="{00000000-0005-0000-0000-0000F9800000}"/>
    <cellStyle name="Bad 19" xfId="33032" xr:uid="{00000000-0005-0000-0000-0000FA800000}"/>
    <cellStyle name="Bad 19 2" xfId="33033" xr:uid="{00000000-0005-0000-0000-0000FB800000}"/>
    <cellStyle name="Bad 2" xfId="33034" xr:uid="{00000000-0005-0000-0000-0000FC800000}"/>
    <cellStyle name="Bad 2 10" xfId="33035" xr:uid="{00000000-0005-0000-0000-0000FD800000}"/>
    <cellStyle name="Bad 2 11" xfId="33036" xr:uid="{00000000-0005-0000-0000-0000FE800000}"/>
    <cellStyle name="Bad 2 12" xfId="33037" xr:uid="{00000000-0005-0000-0000-0000FF800000}"/>
    <cellStyle name="Bad 2 13" xfId="33038" xr:uid="{00000000-0005-0000-0000-000000810000}"/>
    <cellStyle name="Bad 2 14" xfId="33039" xr:uid="{00000000-0005-0000-0000-000001810000}"/>
    <cellStyle name="Bad 2 15" xfId="33040" xr:uid="{00000000-0005-0000-0000-000002810000}"/>
    <cellStyle name="Bad 2 16" xfId="33041" xr:uid="{00000000-0005-0000-0000-000003810000}"/>
    <cellStyle name="Bad 2 17" xfId="33042" xr:uid="{00000000-0005-0000-0000-000004810000}"/>
    <cellStyle name="Bad 2 18" xfId="33043" xr:uid="{00000000-0005-0000-0000-000005810000}"/>
    <cellStyle name="Bad 2 19" xfId="33044" xr:uid="{00000000-0005-0000-0000-000006810000}"/>
    <cellStyle name="Bad 2 2" xfId="33045" xr:uid="{00000000-0005-0000-0000-000007810000}"/>
    <cellStyle name="Bad 2 2 2" xfId="33046" xr:uid="{00000000-0005-0000-0000-000008810000}"/>
    <cellStyle name="Bad 2 3" xfId="33047" xr:uid="{00000000-0005-0000-0000-000009810000}"/>
    <cellStyle name="Bad 2 3 2" xfId="33048" xr:uid="{00000000-0005-0000-0000-00000A810000}"/>
    <cellStyle name="Bad 2 4" xfId="33049" xr:uid="{00000000-0005-0000-0000-00000B810000}"/>
    <cellStyle name="Bad 2 4 2" xfId="33050" xr:uid="{00000000-0005-0000-0000-00000C810000}"/>
    <cellStyle name="Bad 2 5" xfId="33051" xr:uid="{00000000-0005-0000-0000-00000D810000}"/>
    <cellStyle name="Bad 2 6" xfId="33052" xr:uid="{00000000-0005-0000-0000-00000E810000}"/>
    <cellStyle name="Bad 2 7" xfId="33053" xr:uid="{00000000-0005-0000-0000-00000F810000}"/>
    <cellStyle name="Bad 2 8" xfId="33054" xr:uid="{00000000-0005-0000-0000-000010810000}"/>
    <cellStyle name="Bad 2 9" xfId="33055" xr:uid="{00000000-0005-0000-0000-000011810000}"/>
    <cellStyle name="Bad 2_Labour" xfId="33056" xr:uid="{00000000-0005-0000-0000-000012810000}"/>
    <cellStyle name="Bad 20" xfId="33057" xr:uid="{00000000-0005-0000-0000-000013810000}"/>
    <cellStyle name="Bad 20 2" xfId="33058" xr:uid="{00000000-0005-0000-0000-000014810000}"/>
    <cellStyle name="Bad 21" xfId="33059" xr:uid="{00000000-0005-0000-0000-000015810000}"/>
    <cellStyle name="Bad 21 2" xfId="33060" xr:uid="{00000000-0005-0000-0000-000016810000}"/>
    <cellStyle name="Bad 22" xfId="33061" xr:uid="{00000000-0005-0000-0000-000017810000}"/>
    <cellStyle name="Bad 22 2" xfId="33062" xr:uid="{00000000-0005-0000-0000-000018810000}"/>
    <cellStyle name="Bad 23" xfId="33063" xr:uid="{00000000-0005-0000-0000-000019810000}"/>
    <cellStyle name="Bad 24" xfId="33064" xr:uid="{00000000-0005-0000-0000-00001A810000}"/>
    <cellStyle name="Bad 25" xfId="33065" xr:uid="{00000000-0005-0000-0000-00001B810000}"/>
    <cellStyle name="Bad 26" xfId="33066" xr:uid="{00000000-0005-0000-0000-00001C810000}"/>
    <cellStyle name="Bad 27" xfId="33067" xr:uid="{00000000-0005-0000-0000-00001D810000}"/>
    <cellStyle name="Bad 28" xfId="33068" xr:uid="{00000000-0005-0000-0000-00001E810000}"/>
    <cellStyle name="Bad 29" xfId="33069" xr:uid="{00000000-0005-0000-0000-00001F810000}"/>
    <cellStyle name="Bad 3" xfId="33070" xr:uid="{00000000-0005-0000-0000-000020810000}"/>
    <cellStyle name="Bad 3 2" xfId="33071" xr:uid="{00000000-0005-0000-0000-000021810000}"/>
    <cellStyle name="Bad 3 2 2" xfId="33072" xr:uid="{00000000-0005-0000-0000-000022810000}"/>
    <cellStyle name="Bad 3 3" xfId="33073" xr:uid="{00000000-0005-0000-0000-000023810000}"/>
    <cellStyle name="Bad 3 4" xfId="33074" xr:uid="{00000000-0005-0000-0000-000024810000}"/>
    <cellStyle name="Bad 3 5" xfId="33075" xr:uid="{00000000-0005-0000-0000-000025810000}"/>
    <cellStyle name="Bad 30" xfId="33076" xr:uid="{00000000-0005-0000-0000-000026810000}"/>
    <cellStyle name="Bad 31" xfId="33077" xr:uid="{00000000-0005-0000-0000-000027810000}"/>
    <cellStyle name="Bad 32" xfId="33078" xr:uid="{00000000-0005-0000-0000-000028810000}"/>
    <cellStyle name="Bad 33" xfId="33079" xr:uid="{00000000-0005-0000-0000-000029810000}"/>
    <cellStyle name="Bad 34" xfId="33080" xr:uid="{00000000-0005-0000-0000-00002A810000}"/>
    <cellStyle name="Bad 4" xfId="33081" xr:uid="{00000000-0005-0000-0000-00002B810000}"/>
    <cellStyle name="Bad 4 2" xfId="33082" xr:uid="{00000000-0005-0000-0000-00002C810000}"/>
    <cellStyle name="Bad 4 3" xfId="33083" xr:uid="{00000000-0005-0000-0000-00002D810000}"/>
    <cellStyle name="Bad 4 4" xfId="33084" xr:uid="{00000000-0005-0000-0000-00002E810000}"/>
    <cellStyle name="Bad 4 5" xfId="33085" xr:uid="{00000000-0005-0000-0000-00002F810000}"/>
    <cellStyle name="Bad 4_Proj" xfId="33086" xr:uid="{00000000-0005-0000-0000-000030810000}"/>
    <cellStyle name="Bad 5" xfId="33087" xr:uid="{00000000-0005-0000-0000-000031810000}"/>
    <cellStyle name="Bad 5 2" xfId="33088" xr:uid="{00000000-0005-0000-0000-000032810000}"/>
    <cellStyle name="Bad 5 3" xfId="33089" xr:uid="{00000000-0005-0000-0000-000033810000}"/>
    <cellStyle name="Bad 5 4" xfId="33090" xr:uid="{00000000-0005-0000-0000-000034810000}"/>
    <cellStyle name="Bad 5 5" xfId="33091" xr:uid="{00000000-0005-0000-0000-000035810000}"/>
    <cellStyle name="Bad 6" xfId="33092" xr:uid="{00000000-0005-0000-0000-000036810000}"/>
    <cellStyle name="Bad 6 2" xfId="33093" xr:uid="{00000000-0005-0000-0000-000037810000}"/>
    <cellStyle name="Bad 6 3" xfId="33094" xr:uid="{00000000-0005-0000-0000-000038810000}"/>
    <cellStyle name="Bad 6 4" xfId="33095" xr:uid="{00000000-0005-0000-0000-000039810000}"/>
    <cellStyle name="Bad 6 5" xfId="33096" xr:uid="{00000000-0005-0000-0000-00003A810000}"/>
    <cellStyle name="Bad 7" xfId="33097" xr:uid="{00000000-0005-0000-0000-00003B810000}"/>
    <cellStyle name="Bad 7 2" xfId="33098" xr:uid="{00000000-0005-0000-0000-00003C810000}"/>
    <cellStyle name="Bad 7 3" xfId="33099" xr:uid="{00000000-0005-0000-0000-00003D810000}"/>
    <cellStyle name="Bad 7 4" xfId="33100" xr:uid="{00000000-0005-0000-0000-00003E810000}"/>
    <cellStyle name="Bad 7 5" xfId="33101" xr:uid="{00000000-0005-0000-0000-00003F810000}"/>
    <cellStyle name="Bad 8" xfId="33102" xr:uid="{00000000-0005-0000-0000-000040810000}"/>
    <cellStyle name="Bad 8 2" xfId="33103" xr:uid="{00000000-0005-0000-0000-000041810000}"/>
    <cellStyle name="Bad 8 3" xfId="33104" xr:uid="{00000000-0005-0000-0000-000042810000}"/>
    <cellStyle name="Bad 8 4" xfId="33105" xr:uid="{00000000-0005-0000-0000-000043810000}"/>
    <cellStyle name="Bad 8 5" xfId="33106" xr:uid="{00000000-0005-0000-0000-000044810000}"/>
    <cellStyle name="Bad 9" xfId="33107" xr:uid="{00000000-0005-0000-0000-000045810000}"/>
    <cellStyle name="Bad 9 2" xfId="33108" xr:uid="{00000000-0005-0000-0000-000046810000}"/>
    <cellStyle name="Bad 9 3" xfId="33109" xr:uid="{00000000-0005-0000-0000-000047810000}"/>
    <cellStyle name="Bad 9 4" xfId="33110" xr:uid="{00000000-0005-0000-0000-000048810000}"/>
    <cellStyle name="Bad 9 5" xfId="33111" xr:uid="{00000000-0005-0000-0000-000049810000}"/>
    <cellStyle name="Black" xfId="33112" xr:uid="{00000000-0005-0000-0000-00004A810000}"/>
    <cellStyle name="Block" xfId="33113" xr:uid="{00000000-0005-0000-0000-00004B810000}"/>
    <cellStyle name="Body" xfId="33114" xr:uid="{00000000-0005-0000-0000-00004C810000}"/>
    <cellStyle name="Bold grey title1" xfId="33115" xr:uid="{00000000-0005-0000-0000-00004D810000}"/>
    <cellStyle name="Bold grey title1 2" xfId="33116" xr:uid="{00000000-0005-0000-0000-00004E810000}"/>
    <cellStyle name="Bold grey title1 2 2" xfId="33117" xr:uid="{00000000-0005-0000-0000-00004F810000}"/>
    <cellStyle name="Bold grey title1 2 3" xfId="33118" xr:uid="{00000000-0005-0000-0000-000050810000}"/>
    <cellStyle name="Bold grey title1 2 4" xfId="33119" xr:uid="{00000000-0005-0000-0000-000051810000}"/>
    <cellStyle name="Bold grey title1 2 5" xfId="33120" xr:uid="{00000000-0005-0000-0000-000052810000}"/>
    <cellStyle name="Bold grey title1 3" xfId="33121" xr:uid="{00000000-0005-0000-0000-000053810000}"/>
    <cellStyle name="Bold grey title1 4" xfId="33122" xr:uid="{00000000-0005-0000-0000-000054810000}"/>
    <cellStyle name="Bold grey title1 5" xfId="33123" xr:uid="{00000000-0005-0000-0000-000055810000}"/>
    <cellStyle name="Bold grey title1 6" xfId="33124" xr:uid="{00000000-0005-0000-0000-000056810000}"/>
    <cellStyle name="Border" xfId="33125" xr:uid="{00000000-0005-0000-0000-000057810000}"/>
    <cellStyle name="Border 10" xfId="33126" xr:uid="{00000000-0005-0000-0000-000058810000}"/>
    <cellStyle name="Border 10 2" xfId="33127" xr:uid="{00000000-0005-0000-0000-000059810000}"/>
    <cellStyle name="Border 10 2 2" xfId="33128" xr:uid="{00000000-0005-0000-0000-00005A810000}"/>
    <cellStyle name="Border 10 3" xfId="33129" xr:uid="{00000000-0005-0000-0000-00005B810000}"/>
    <cellStyle name="Border 10 3 2" xfId="33130" xr:uid="{00000000-0005-0000-0000-00005C810000}"/>
    <cellStyle name="Border 11" xfId="33131" xr:uid="{00000000-0005-0000-0000-00005D810000}"/>
    <cellStyle name="Border 11 2" xfId="33132" xr:uid="{00000000-0005-0000-0000-00005E810000}"/>
    <cellStyle name="Border 11 2 2" xfId="33133" xr:uid="{00000000-0005-0000-0000-00005F810000}"/>
    <cellStyle name="Border 11 3" xfId="33134" xr:uid="{00000000-0005-0000-0000-000060810000}"/>
    <cellStyle name="Border 11 3 2" xfId="33135" xr:uid="{00000000-0005-0000-0000-000061810000}"/>
    <cellStyle name="Border 12" xfId="33136" xr:uid="{00000000-0005-0000-0000-000062810000}"/>
    <cellStyle name="Border 12 2" xfId="33137" xr:uid="{00000000-0005-0000-0000-000063810000}"/>
    <cellStyle name="Border 13" xfId="33138" xr:uid="{00000000-0005-0000-0000-000064810000}"/>
    <cellStyle name="Border 13 2" xfId="33139" xr:uid="{00000000-0005-0000-0000-000065810000}"/>
    <cellStyle name="Border 14" xfId="33140" xr:uid="{00000000-0005-0000-0000-000066810000}"/>
    <cellStyle name="Border 15" xfId="33141" xr:uid="{00000000-0005-0000-0000-000067810000}"/>
    <cellStyle name="Border 16" xfId="33142" xr:uid="{00000000-0005-0000-0000-000068810000}"/>
    <cellStyle name="Border 17" xfId="33143" xr:uid="{00000000-0005-0000-0000-000069810000}"/>
    <cellStyle name="Border 18" xfId="33144" xr:uid="{00000000-0005-0000-0000-00006A810000}"/>
    <cellStyle name="Border 19" xfId="33145" xr:uid="{00000000-0005-0000-0000-00006B810000}"/>
    <cellStyle name="Border 2" xfId="33146" xr:uid="{00000000-0005-0000-0000-00006C810000}"/>
    <cellStyle name="Border 2 10" xfId="33147" xr:uid="{00000000-0005-0000-0000-00006D810000}"/>
    <cellStyle name="Border 2 11" xfId="33148" xr:uid="{00000000-0005-0000-0000-00006E810000}"/>
    <cellStyle name="Border 2 2" xfId="33149" xr:uid="{00000000-0005-0000-0000-00006F810000}"/>
    <cellStyle name="Border 2 2 2" xfId="33150" xr:uid="{00000000-0005-0000-0000-000070810000}"/>
    <cellStyle name="Border 2 2 2 2" xfId="33151" xr:uid="{00000000-0005-0000-0000-000071810000}"/>
    <cellStyle name="Border 2 2 2 2 2" xfId="33152" xr:uid="{00000000-0005-0000-0000-000072810000}"/>
    <cellStyle name="Border 2 2 2 3" xfId="33153" xr:uid="{00000000-0005-0000-0000-000073810000}"/>
    <cellStyle name="Border 2 2 2 3 2" xfId="33154" xr:uid="{00000000-0005-0000-0000-000074810000}"/>
    <cellStyle name="Border 2 2 3" xfId="33155" xr:uid="{00000000-0005-0000-0000-000075810000}"/>
    <cellStyle name="Border 2 2 3 2" xfId="33156" xr:uid="{00000000-0005-0000-0000-000076810000}"/>
    <cellStyle name="Border 2 2 4" xfId="33157" xr:uid="{00000000-0005-0000-0000-000077810000}"/>
    <cellStyle name="Border 2 2 4 2" xfId="33158" xr:uid="{00000000-0005-0000-0000-000078810000}"/>
    <cellStyle name="Border 2 3" xfId="33159" xr:uid="{00000000-0005-0000-0000-000079810000}"/>
    <cellStyle name="Border 2 3 2" xfId="33160" xr:uid="{00000000-0005-0000-0000-00007A810000}"/>
    <cellStyle name="Border 2 3 2 2" xfId="33161" xr:uid="{00000000-0005-0000-0000-00007B810000}"/>
    <cellStyle name="Border 2 3 2 2 2" xfId="33162" xr:uid="{00000000-0005-0000-0000-00007C810000}"/>
    <cellStyle name="Border 2 3 2 3" xfId="33163" xr:uid="{00000000-0005-0000-0000-00007D810000}"/>
    <cellStyle name="Border 2 3 2 3 2" xfId="33164" xr:uid="{00000000-0005-0000-0000-00007E810000}"/>
    <cellStyle name="Border 2 3 3" xfId="33165" xr:uid="{00000000-0005-0000-0000-00007F810000}"/>
    <cellStyle name="Border 2 3 3 2" xfId="33166" xr:uid="{00000000-0005-0000-0000-000080810000}"/>
    <cellStyle name="Border 2 3 4" xfId="33167" xr:uid="{00000000-0005-0000-0000-000081810000}"/>
    <cellStyle name="Border 2 3 4 2" xfId="33168" xr:uid="{00000000-0005-0000-0000-000082810000}"/>
    <cellStyle name="Border 2 4" xfId="33169" xr:uid="{00000000-0005-0000-0000-000083810000}"/>
    <cellStyle name="Border 2 4 2" xfId="33170" xr:uid="{00000000-0005-0000-0000-000084810000}"/>
    <cellStyle name="Border 2 4 2 2" xfId="33171" xr:uid="{00000000-0005-0000-0000-000085810000}"/>
    <cellStyle name="Border 2 4 2 2 2" xfId="33172" xr:uid="{00000000-0005-0000-0000-000086810000}"/>
    <cellStyle name="Border 2 4 2 3" xfId="33173" xr:uid="{00000000-0005-0000-0000-000087810000}"/>
    <cellStyle name="Border 2 4 2 3 2" xfId="33174" xr:uid="{00000000-0005-0000-0000-000088810000}"/>
    <cellStyle name="Border 2 4 3" xfId="33175" xr:uid="{00000000-0005-0000-0000-000089810000}"/>
    <cellStyle name="Border 2 4 3 2" xfId="33176" xr:uid="{00000000-0005-0000-0000-00008A810000}"/>
    <cellStyle name="Border 2 4 4" xfId="33177" xr:uid="{00000000-0005-0000-0000-00008B810000}"/>
    <cellStyle name="Border 2 4 4 2" xfId="33178" xr:uid="{00000000-0005-0000-0000-00008C810000}"/>
    <cellStyle name="Border 2 5" xfId="33179" xr:uid="{00000000-0005-0000-0000-00008D810000}"/>
    <cellStyle name="Border 2 5 2" xfId="33180" xr:uid="{00000000-0005-0000-0000-00008E810000}"/>
    <cellStyle name="Border 2 5 2 2" xfId="33181" xr:uid="{00000000-0005-0000-0000-00008F810000}"/>
    <cellStyle name="Border 2 5 2 2 2" xfId="33182" xr:uid="{00000000-0005-0000-0000-000090810000}"/>
    <cellStyle name="Border 2 5 2 3" xfId="33183" xr:uid="{00000000-0005-0000-0000-000091810000}"/>
    <cellStyle name="Border 2 5 2 3 2" xfId="33184" xr:uid="{00000000-0005-0000-0000-000092810000}"/>
    <cellStyle name="Border 2 5 3" xfId="33185" xr:uid="{00000000-0005-0000-0000-000093810000}"/>
    <cellStyle name="Border 2 5 3 2" xfId="33186" xr:uid="{00000000-0005-0000-0000-000094810000}"/>
    <cellStyle name="Border 2 5 4" xfId="33187" xr:uid="{00000000-0005-0000-0000-000095810000}"/>
    <cellStyle name="Border 2 5 4 2" xfId="33188" xr:uid="{00000000-0005-0000-0000-000096810000}"/>
    <cellStyle name="Border 2 6" xfId="33189" xr:uid="{00000000-0005-0000-0000-000097810000}"/>
    <cellStyle name="Border 2 6 2" xfId="33190" xr:uid="{00000000-0005-0000-0000-000098810000}"/>
    <cellStyle name="Border 2 6 2 2" xfId="33191" xr:uid="{00000000-0005-0000-0000-000099810000}"/>
    <cellStyle name="Border 2 6 2 2 2" xfId="33192" xr:uid="{00000000-0005-0000-0000-00009A810000}"/>
    <cellStyle name="Border 2 6 2 3" xfId="33193" xr:uid="{00000000-0005-0000-0000-00009B810000}"/>
    <cellStyle name="Border 2 6 2 3 2" xfId="33194" xr:uid="{00000000-0005-0000-0000-00009C810000}"/>
    <cellStyle name="Border 2 6 3" xfId="33195" xr:uid="{00000000-0005-0000-0000-00009D810000}"/>
    <cellStyle name="Border 2 6 3 2" xfId="33196" xr:uid="{00000000-0005-0000-0000-00009E810000}"/>
    <cellStyle name="Border 2 6 4" xfId="33197" xr:uid="{00000000-0005-0000-0000-00009F810000}"/>
    <cellStyle name="Border 2 6 4 2" xfId="33198" xr:uid="{00000000-0005-0000-0000-0000A0810000}"/>
    <cellStyle name="Border 2 7" xfId="33199" xr:uid="{00000000-0005-0000-0000-0000A1810000}"/>
    <cellStyle name="Border 2 7 2" xfId="33200" xr:uid="{00000000-0005-0000-0000-0000A2810000}"/>
    <cellStyle name="Border 2 7 2 2" xfId="33201" xr:uid="{00000000-0005-0000-0000-0000A3810000}"/>
    <cellStyle name="Border 2 7 3" xfId="33202" xr:uid="{00000000-0005-0000-0000-0000A4810000}"/>
    <cellStyle name="Border 2 7 3 2" xfId="33203" xr:uid="{00000000-0005-0000-0000-0000A5810000}"/>
    <cellStyle name="Border 2 8" xfId="33204" xr:uid="{00000000-0005-0000-0000-0000A6810000}"/>
    <cellStyle name="Border 2 8 2" xfId="33205" xr:uid="{00000000-0005-0000-0000-0000A7810000}"/>
    <cellStyle name="Border 2 9" xfId="33206" xr:uid="{00000000-0005-0000-0000-0000A8810000}"/>
    <cellStyle name="Border 2 9 2" xfId="33207" xr:uid="{00000000-0005-0000-0000-0000A9810000}"/>
    <cellStyle name="Border 3" xfId="33208" xr:uid="{00000000-0005-0000-0000-0000AA810000}"/>
    <cellStyle name="Border 3 2" xfId="33209" xr:uid="{00000000-0005-0000-0000-0000AB810000}"/>
    <cellStyle name="Border 3 2 2" xfId="33210" xr:uid="{00000000-0005-0000-0000-0000AC810000}"/>
    <cellStyle name="Border 3 2 2 2" xfId="33211" xr:uid="{00000000-0005-0000-0000-0000AD810000}"/>
    <cellStyle name="Border 3 2 2 2 2" xfId="33212" xr:uid="{00000000-0005-0000-0000-0000AE810000}"/>
    <cellStyle name="Border 3 2 2 3" xfId="33213" xr:uid="{00000000-0005-0000-0000-0000AF810000}"/>
    <cellStyle name="Border 3 2 2 3 2" xfId="33214" xr:uid="{00000000-0005-0000-0000-0000B0810000}"/>
    <cellStyle name="Border 3 2 3" xfId="33215" xr:uid="{00000000-0005-0000-0000-0000B1810000}"/>
    <cellStyle name="Border 3 2 3 2" xfId="33216" xr:uid="{00000000-0005-0000-0000-0000B2810000}"/>
    <cellStyle name="Border 3 2 4" xfId="33217" xr:uid="{00000000-0005-0000-0000-0000B3810000}"/>
    <cellStyle name="Border 3 2 4 2" xfId="33218" xr:uid="{00000000-0005-0000-0000-0000B4810000}"/>
    <cellStyle name="Border 3 3" xfId="33219" xr:uid="{00000000-0005-0000-0000-0000B5810000}"/>
    <cellStyle name="Border 3 3 2" xfId="33220" xr:uid="{00000000-0005-0000-0000-0000B6810000}"/>
    <cellStyle name="Border 3 3 2 2" xfId="33221" xr:uid="{00000000-0005-0000-0000-0000B7810000}"/>
    <cellStyle name="Border 3 3 2 2 2" xfId="33222" xr:uid="{00000000-0005-0000-0000-0000B8810000}"/>
    <cellStyle name="Border 3 3 2 3" xfId="33223" xr:uid="{00000000-0005-0000-0000-0000B9810000}"/>
    <cellStyle name="Border 3 3 2 3 2" xfId="33224" xr:uid="{00000000-0005-0000-0000-0000BA810000}"/>
    <cellStyle name="Border 3 3 3" xfId="33225" xr:uid="{00000000-0005-0000-0000-0000BB810000}"/>
    <cellStyle name="Border 3 3 3 2" xfId="33226" xr:uid="{00000000-0005-0000-0000-0000BC810000}"/>
    <cellStyle name="Border 3 3 4" xfId="33227" xr:uid="{00000000-0005-0000-0000-0000BD810000}"/>
    <cellStyle name="Border 3 3 4 2" xfId="33228" xr:uid="{00000000-0005-0000-0000-0000BE810000}"/>
    <cellStyle name="Border 3 4" xfId="33229" xr:uid="{00000000-0005-0000-0000-0000BF810000}"/>
    <cellStyle name="Border 3 4 2" xfId="33230" xr:uid="{00000000-0005-0000-0000-0000C0810000}"/>
    <cellStyle name="Border 3 4 2 2" xfId="33231" xr:uid="{00000000-0005-0000-0000-0000C1810000}"/>
    <cellStyle name="Border 3 4 2 2 2" xfId="33232" xr:uid="{00000000-0005-0000-0000-0000C2810000}"/>
    <cellStyle name="Border 3 4 2 3" xfId="33233" xr:uid="{00000000-0005-0000-0000-0000C3810000}"/>
    <cellStyle name="Border 3 4 2 3 2" xfId="33234" xr:uid="{00000000-0005-0000-0000-0000C4810000}"/>
    <cellStyle name="Border 3 4 3" xfId="33235" xr:uid="{00000000-0005-0000-0000-0000C5810000}"/>
    <cellStyle name="Border 3 4 3 2" xfId="33236" xr:uid="{00000000-0005-0000-0000-0000C6810000}"/>
    <cellStyle name="Border 3 4 4" xfId="33237" xr:uid="{00000000-0005-0000-0000-0000C7810000}"/>
    <cellStyle name="Border 3 4 4 2" xfId="33238" xr:uid="{00000000-0005-0000-0000-0000C8810000}"/>
    <cellStyle name="Border 3 5" xfId="33239" xr:uid="{00000000-0005-0000-0000-0000C9810000}"/>
    <cellStyle name="Border 3 5 2" xfId="33240" xr:uid="{00000000-0005-0000-0000-0000CA810000}"/>
    <cellStyle name="Border 3 5 2 2" xfId="33241" xr:uid="{00000000-0005-0000-0000-0000CB810000}"/>
    <cellStyle name="Border 3 5 2 2 2" xfId="33242" xr:uid="{00000000-0005-0000-0000-0000CC810000}"/>
    <cellStyle name="Border 3 5 2 3" xfId="33243" xr:uid="{00000000-0005-0000-0000-0000CD810000}"/>
    <cellStyle name="Border 3 5 2 3 2" xfId="33244" xr:uid="{00000000-0005-0000-0000-0000CE810000}"/>
    <cellStyle name="Border 3 5 3" xfId="33245" xr:uid="{00000000-0005-0000-0000-0000CF810000}"/>
    <cellStyle name="Border 3 5 3 2" xfId="33246" xr:uid="{00000000-0005-0000-0000-0000D0810000}"/>
    <cellStyle name="Border 3 5 4" xfId="33247" xr:uid="{00000000-0005-0000-0000-0000D1810000}"/>
    <cellStyle name="Border 3 5 4 2" xfId="33248" xr:uid="{00000000-0005-0000-0000-0000D2810000}"/>
    <cellStyle name="Border 3 6" xfId="33249" xr:uid="{00000000-0005-0000-0000-0000D3810000}"/>
    <cellStyle name="Border 3 6 2" xfId="33250" xr:uid="{00000000-0005-0000-0000-0000D4810000}"/>
    <cellStyle name="Border 3 6 2 2" xfId="33251" xr:uid="{00000000-0005-0000-0000-0000D5810000}"/>
    <cellStyle name="Border 3 6 2 2 2" xfId="33252" xr:uid="{00000000-0005-0000-0000-0000D6810000}"/>
    <cellStyle name="Border 3 6 2 3" xfId="33253" xr:uid="{00000000-0005-0000-0000-0000D7810000}"/>
    <cellStyle name="Border 3 6 2 3 2" xfId="33254" xr:uid="{00000000-0005-0000-0000-0000D8810000}"/>
    <cellStyle name="Border 3 6 3" xfId="33255" xr:uid="{00000000-0005-0000-0000-0000D9810000}"/>
    <cellStyle name="Border 3 6 3 2" xfId="33256" xr:uid="{00000000-0005-0000-0000-0000DA810000}"/>
    <cellStyle name="Border 3 6 4" xfId="33257" xr:uid="{00000000-0005-0000-0000-0000DB810000}"/>
    <cellStyle name="Border 3 6 4 2" xfId="33258" xr:uid="{00000000-0005-0000-0000-0000DC810000}"/>
    <cellStyle name="Border 3 7" xfId="33259" xr:uid="{00000000-0005-0000-0000-0000DD810000}"/>
    <cellStyle name="Border 3 7 2" xfId="33260" xr:uid="{00000000-0005-0000-0000-0000DE810000}"/>
    <cellStyle name="Border 3 7 2 2" xfId="33261" xr:uid="{00000000-0005-0000-0000-0000DF810000}"/>
    <cellStyle name="Border 3 7 3" xfId="33262" xr:uid="{00000000-0005-0000-0000-0000E0810000}"/>
    <cellStyle name="Border 3 7 3 2" xfId="33263" xr:uid="{00000000-0005-0000-0000-0000E1810000}"/>
    <cellStyle name="Border 3 8" xfId="33264" xr:uid="{00000000-0005-0000-0000-0000E2810000}"/>
    <cellStyle name="Border 3 8 2" xfId="33265" xr:uid="{00000000-0005-0000-0000-0000E3810000}"/>
    <cellStyle name="Border 3 9" xfId="33266" xr:uid="{00000000-0005-0000-0000-0000E4810000}"/>
    <cellStyle name="Border 3 9 2" xfId="33267" xr:uid="{00000000-0005-0000-0000-0000E5810000}"/>
    <cellStyle name="Border 4" xfId="33268" xr:uid="{00000000-0005-0000-0000-0000E6810000}"/>
    <cellStyle name="Border 4 2" xfId="33269" xr:uid="{00000000-0005-0000-0000-0000E7810000}"/>
    <cellStyle name="Border 4 2 2" xfId="33270" xr:uid="{00000000-0005-0000-0000-0000E8810000}"/>
    <cellStyle name="Border 4 2 2 2" xfId="33271" xr:uid="{00000000-0005-0000-0000-0000E9810000}"/>
    <cellStyle name="Border 4 2 2 2 2" xfId="33272" xr:uid="{00000000-0005-0000-0000-0000EA810000}"/>
    <cellStyle name="Border 4 2 2 3" xfId="33273" xr:uid="{00000000-0005-0000-0000-0000EB810000}"/>
    <cellStyle name="Border 4 2 2 3 2" xfId="33274" xr:uid="{00000000-0005-0000-0000-0000EC810000}"/>
    <cellStyle name="Border 4 2 3" xfId="33275" xr:uid="{00000000-0005-0000-0000-0000ED810000}"/>
    <cellStyle name="Border 4 2 3 2" xfId="33276" xr:uid="{00000000-0005-0000-0000-0000EE810000}"/>
    <cellStyle name="Border 4 2 4" xfId="33277" xr:uid="{00000000-0005-0000-0000-0000EF810000}"/>
    <cellStyle name="Border 4 2 4 2" xfId="33278" xr:uid="{00000000-0005-0000-0000-0000F0810000}"/>
    <cellStyle name="Border 4 3" xfId="33279" xr:uid="{00000000-0005-0000-0000-0000F1810000}"/>
    <cellStyle name="Border 4 3 2" xfId="33280" xr:uid="{00000000-0005-0000-0000-0000F2810000}"/>
    <cellStyle name="Border 4 3 2 2" xfId="33281" xr:uid="{00000000-0005-0000-0000-0000F3810000}"/>
    <cellStyle name="Border 4 3 2 2 2" xfId="33282" xr:uid="{00000000-0005-0000-0000-0000F4810000}"/>
    <cellStyle name="Border 4 3 2 3" xfId="33283" xr:uid="{00000000-0005-0000-0000-0000F5810000}"/>
    <cellStyle name="Border 4 3 2 3 2" xfId="33284" xr:uid="{00000000-0005-0000-0000-0000F6810000}"/>
    <cellStyle name="Border 4 3 3" xfId="33285" xr:uid="{00000000-0005-0000-0000-0000F7810000}"/>
    <cellStyle name="Border 4 3 3 2" xfId="33286" xr:uid="{00000000-0005-0000-0000-0000F8810000}"/>
    <cellStyle name="Border 4 3 4" xfId="33287" xr:uid="{00000000-0005-0000-0000-0000F9810000}"/>
    <cellStyle name="Border 4 3 4 2" xfId="33288" xr:uid="{00000000-0005-0000-0000-0000FA810000}"/>
    <cellStyle name="Border 4 4" xfId="33289" xr:uid="{00000000-0005-0000-0000-0000FB810000}"/>
    <cellStyle name="Border 4 4 2" xfId="33290" xr:uid="{00000000-0005-0000-0000-0000FC810000}"/>
    <cellStyle name="Border 4 4 2 2" xfId="33291" xr:uid="{00000000-0005-0000-0000-0000FD810000}"/>
    <cellStyle name="Border 4 4 2 2 2" xfId="33292" xr:uid="{00000000-0005-0000-0000-0000FE810000}"/>
    <cellStyle name="Border 4 4 2 3" xfId="33293" xr:uid="{00000000-0005-0000-0000-0000FF810000}"/>
    <cellStyle name="Border 4 4 2 3 2" xfId="33294" xr:uid="{00000000-0005-0000-0000-000000820000}"/>
    <cellStyle name="Border 4 4 3" xfId="33295" xr:uid="{00000000-0005-0000-0000-000001820000}"/>
    <cellStyle name="Border 4 4 3 2" xfId="33296" xr:uid="{00000000-0005-0000-0000-000002820000}"/>
    <cellStyle name="Border 4 4 4" xfId="33297" xr:uid="{00000000-0005-0000-0000-000003820000}"/>
    <cellStyle name="Border 4 4 4 2" xfId="33298" xr:uid="{00000000-0005-0000-0000-000004820000}"/>
    <cellStyle name="Border 4 5" xfId="33299" xr:uid="{00000000-0005-0000-0000-000005820000}"/>
    <cellStyle name="Border 4 5 2" xfId="33300" xr:uid="{00000000-0005-0000-0000-000006820000}"/>
    <cellStyle name="Border 4 5 2 2" xfId="33301" xr:uid="{00000000-0005-0000-0000-000007820000}"/>
    <cellStyle name="Border 4 5 2 2 2" xfId="33302" xr:uid="{00000000-0005-0000-0000-000008820000}"/>
    <cellStyle name="Border 4 5 2 3" xfId="33303" xr:uid="{00000000-0005-0000-0000-000009820000}"/>
    <cellStyle name="Border 4 5 2 3 2" xfId="33304" xr:uid="{00000000-0005-0000-0000-00000A820000}"/>
    <cellStyle name="Border 4 5 3" xfId="33305" xr:uid="{00000000-0005-0000-0000-00000B820000}"/>
    <cellStyle name="Border 4 5 3 2" xfId="33306" xr:uid="{00000000-0005-0000-0000-00000C820000}"/>
    <cellStyle name="Border 4 5 4" xfId="33307" xr:uid="{00000000-0005-0000-0000-00000D820000}"/>
    <cellStyle name="Border 4 5 4 2" xfId="33308" xr:uid="{00000000-0005-0000-0000-00000E820000}"/>
    <cellStyle name="Border 4 6" xfId="33309" xr:uid="{00000000-0005-0000-0000-00000F820000}"/>
    <cellStyle name="Border 4 6 2" xfId="33310" xr:uid="{00000000-0005-0000-0000-000010820000}"/>
    <cellStyle name="Border 4 6 2 2" xfId="33311" xr:uid="{00000000-0005-0000-0000-000011820000}"/>
    <cellStyle name="Border 4 6 2 2 2" xfId="33312" xr:uid="{00000000-0005-0000-0000-000012820000}"/>
    <cellStyle name="Border 4 6 2 3" xfId="33313" xr:uid="{00000000-0005-0000-0000-000013820000}"/>
    <cellStyle name="Border 4 6 2 3 2" xfId="33314" xr:uid="{00000000-0005-0000-0000-000014820000}"/>
    <cellStyle name="Border 4 6 3" xfId="33315" xr:uid="{00000000-0005-0000-0000-000015820000}"/>
    <cellStyle name="Border 4 6 3 2" xfId="33316" xr:uid="{00000000-0005-0000-0000-000016820000}"/>
    <cellStyle name="Border 4 6 4" xfId="33317" xr:uid="{00000000-0005-0000-0000-000017820000}"/>
    <cellStyle name="Border 4 6 4 2" xfId="33318" xr:uid="{00000000-0005-0000-0000-000018820000}"/>
    <cellStyle name="Border 4 7" xfId="33319" xr:uid="{00000000-0005-0000-0000-000019820000}"/>
    <cellStyle name="Border 4 7 2" xfId="33320" xr:uid="{00000000-0005-0000-0000-00001A820000}"/>
    <cellStyle name="Border 4 7 2 2" xfId="33321" xr:uid="{00000000-0005-0000-0000-00001B820000}"/>
    <cellStyle name="Border 4 7 3" xfId="33322" xr:uid="{00000000-0005-0000-0000-00001C820000}"/>
    <cellStyle name="Border 4 7 3 2" xfId="33323" xr:uid="{00000000-0005-0000-0000-00001D820000}"/>
    <cellStyle name="Border 4 8" xfId="33324" xr:uid="{00000000-0005-0000-0000-00001E820000}"/>
    <cellStyle name="Border 4 8 2" xfId="33325" xr:uid="{00000000-0005-0000-0000-00001F820000}"/>
    <cellStyle name="Border 4 9" xfId="33326" xr:uid="{00000000-0005-0000-0000-000020820000}"/>
    <cellStyle name="Border 4 9 2" xfId="33327" xr:uid="{00000000-0005-0000-0000-000021820000}"/>
    <cellStyle name="Border 5" xfId="33328" xr:uid="{00000000-0005-0000-0000-000022820000}"/>
    <cellStyle name="Border 5 2" xfId="33329" xr:uid="{00000000-0005-0000-0000-000023820000}"/>
    <cellStyle name="Border 5 2 2" xfId="33330" xr:uid="{00000000-0005-0000-0000-000024820000}"/>
    <cellStyle name="Border 5 2 2 2" xfId="33331" xr:uid="{00000000-0005-0000-0000-000025820000}"/>
    <cellStyle name="Border 5 2 2 2 2" xfId="33332" xr:uid="{00000000-0005-0000-0000-000026820000}"/>
    <cellStyle name="Border 5 2 2 3" xfId="33333" xr:uid="{00000000-0005-0000-0000-000027820000}"/>
    <cellStyle name="Border 5 2 2 3 2" xfId="33334" xr:uid="{00000000-0005-0000-0000-000028820000}"/>
    <cellStyle name="Border 5 2 3" xfId="33335" xr:uid="{00000000-0005-0000-0000-000029820000}"/>
    <cellStyle name="Border 5 2 3 2" xfId="33336" xr:uid="{00000000-0005-0000-0000-00002A820000}"/>
    <cellStyle name="Border 5 2 4" xfId="33337" xr:uid="{00000000-0005-0000-0000-00002B820000}"/>
    <cellStyle name="Border 5 2 4 2" xfId="33338" xr:uid="{00000000-0005-0000-0000-00002C820000}"/>
    <cellStyle name="Border 5 3" xfId="33339" xr:uid="{00000000-0005-0000-0000-00002D820000}"/>
    <cellStyle name="Border 5 3 2" xfId="33340" xr:uid="{00000000-0005-0000-0000-00002E820000}"/>
    <cellStyle name="Border 5 3 2 2" xfId="33341" xr:uid="{00000000-0005-0000-0000-00002F820000}"/>
    <cellStyle name="Border 5 3 2 2 2" xfId="33342" xr:uid="{00000000-0005-0000-0000-000030820000}"/>
    <cellStyle name="Border 5 3 2 3" xfId="33343" xr:uid="{00000000-0005-0000-0000-000031820000}"/>
    <cellStyle name="Border 5 3 2 3 2" xfId="33344" xr:uid="{00000000-0005-0000-0000-000032820000}"/>
    <cellStyle name="Border 5 3 3" xfId="33345" xr:uid="{00000000-0005-0000-0000-000033820000}"/>
    <cellStyle name="Border 5 3 3 2" xfId="33346" xr:uid="{00000000-0005-0000-0000-000034820000}"/>
    <cellStyle name="Border 5 3 4" xfId="33347" xr:uid="{00000000-0005-0000-0000-000035820000}"/>
    <cellStyle name="Border 5 3 4 2" xfId="33348" xr:uid="{00000000-0005-0000-0000-000036820000}"/>
    <cellStyle name="Border 5 4" xfId="33349" xr:uid="{00000000-0005-0000-0000-000037820000}"/>
    <cellStyle name="Border 5 4 2" xfId="33350" xr:uid="{00000000-0005-0000-0000-000038820000}"/>
    <cellStyle name="Border 5 4 2 2" xfId="33351" xr:uid="{00000000-0005-0000-0000-000039820000}"/>
    <cellStyle name="Border 5 4 2 2 2" xfId="33352" xr:uid="{00000000-0005-0000-0000-00003A820000}"/>
    <cellStyle name="Border 5 4 2 3" xfId="33353" xr:uid="{00000000-0005-0000-0000-00003B820000}"/>
    <cellStyle name="Border 5 4 2 3 2" xfId="33354" xr:uid="{00000000-0005-0000-0000-00003C820000}"/>
    <cellStyle name="Border 5 4 3" xfId="33355" xr:uid="{00000000-0005-0000-0000-00003D820000}"/>
    <cellStyle name="Border 5 4 3 2" xfId="33356" xr:uid="{00000000-0005-0000-0000-00003E820000}"/>
    <cellStyle name="Border 5 4 4" xfId="33357" xr:uid="{00000000-0005-0000-0000-00003F820000}"/>
    <cellStyle name="Border 5 4 4 2" xfId="33358" xr:uid="{00000000-0005-0000-0000-000040820000}"/>
    <cellStyle name="Border 5 5" xfId="33359" xr:uid="{00000000-0005-0000-0000-000041820000}"/>
    <cellStyle name="Border 5 5 2" xfId="33360" xr:uid="{00000000-0005-0000-0000-000042820000}"/>
    <cellStyle name="Border 5 5 2 2" xfId="33361" xr:uid="{00000000-0005-0000-0000-000043820000}"/>
    <cellStyle name="Border 5 5 2 2 2" xfId="33362" xr:uid="{00000000-0005-0000-0000-000044820000}"/>
    <cellStyle name="Border 5 5 2 3" xfId="33363" xr:uid="{00000000-0005-0000-0000-000045820000}"/>
    <cellStyle name="Border 5 5 2 3 2" xfId="33364" xr:uid="{00000000-0005-0000-0000-000046820000}"/>
    <cellStyle name="Border 5 5 3" xfId="33365" xr:uid="{00000000-0005-0000-0000-000047820000}"/>
    <cellStyle name="Border 5 5 3 2" xfId="33366" xr:uid="{00000000-0005-0000-0000-000048820000}"/>
    <cellStyle name="Border 5 5 4" xfId="33367" xr:uid="{00000000-0005-0000-0000-000049820000}"/>
    <cellStyle name="Border 5 5 4 2" xfId="33368" xr:uid="{00000000-0005-0000-0000-00004A820000}"/>
    <cellStyle name="Border 5 6" xfId="33369" xr:uid="{00000000-0005-0000-0000-00004B820000}"/>
    <cellStyle name="Border 5 6 2" xfId="33370" xr:uid="{00000000-0005-0000-0000-00004C820000}"/>
    <cellStyle name="Border 5 6 2 2" xfId="33371" xr:uid="{00000000-0005-0000-0000-00004D820000}"/>
    <cellStyle name="Border 5 6 2 2 2" xfId="33372" xr:uid="{00000000-0005-0000-0000-00004E820000}"/>
    <cellStyle name="Border 5 6 2 3" xfId="33373" xr:uid="{00000000-0005-0000-0000-00004F820000}"/>
    <cellStyle name="Border 5 6 2 3 2" xfId="33374" xr:uid="{00000000-0005-0000-0000-000050820000}"/>
    <cellStyle name="Border 5 6 3" xfId="33375" xr:uid="{00000000-0005-0000-0000-000051820000}"/>
    <cellStyle name="Border 5 6 3 2" xfId="33376" xr:uid="{00000000-0005-0000-0000-000052820000}"/>
    <cellStyle name="Border 5 6 4" xfId="33377" xr:uid="{00000000-0005-0000-0000-000053820000}"/>
    <cellStyle name="Border 5 6 4 2" xfId="33378" xr:uid="{00000000-0005-0000-0000-000054820000}"/>
    <cellStyle name="Border 5 7" xfId="33379" xr:uid="{00000000-0005-0000-0000-000055820000}"/>
    <cellStyle name="Border 5 7 2" xfId="33380" xr:uid="{00000000-0005-0000-0000-000056820000}"/>
    <cellStyle name="Border 5 7 2 2" xfId="33381" xr:uid="{00000000-0005-0000-0000-000057820000}"/>
    <cellStyle name="Border 5 7 3" xfId="33382" xr:uid="{00000000-0005-0000-0000-000058820000}"/>
    <cellStyle name="Border 5 7 3 2" xfId="33383" xr:uid="{00000000-0005-0000-0000-000059820000}"/>
    <cellStyle name="Border 5 8" xfId="33384" xr:uid="{00000000-0005-0000-0000-00005A820000}"/>
    <cellStyle name="Border 5 8 2" xfId="33385" xr:uid="{00000000-0005-0000-0000-00005B820000}"/>
    <cellStyle name="Border 5 9" xfId="33386" xr:uid="{00000000-0005-0000-0000-00005C820000}"/>
    <cellStyle name="Border 5 9 2" xfId="33387" xr:uid="{00000000-0005-0000-0000-00005D820000}"/>
    <cellStyle name="Border 6" xfId="33388" xr:uid="{00000000-0005-0000-0000-00005E820000}"/>
    <cellStyle name="Border 6 2" xfId="33389" xr:uid="{00000000-0005-0000-0000-00005F820000}"/>
    <cellStyle name="Border 6 2 2" xfId="33390" xr:uid="{00000000-0005-0000-0000-000060820000}"/>
    <cellStyle name="Border 6 2 2 2" xfId="33391" xr:uid="{00000000-0005-0000-0000-000061820000}"/>
    <cellStyle name="Border 6 2 2 2 2" xfId="33392" xr:uid="{00000000-0005-0000-0000-000062820000}"/>
    <cellStyle name="Border 6 2 2 3" xfId="33393" xr:uid="{00000000-0005-0000-0000-000063820000}"/>
    <cellStyle name="Border 6 2 2 3 2" xfId="33394" xr:uid="{00000000-0005-0000-0000-000064820000}"/>
    <cellStyle name="Border 6 2 3" xfId="33395" xr:uid="{00000000-0005-0000-0000-000065820000}"/>
    <cellStyle name="Border 6 2 3 2" xfId="33396" xr:uid="{00000000-0005-0000-0000-000066820000}"/>
    <cellStyle name="Border 6 2 4" xfId="33397" xr:uid="{00000000-0005-0000-0000-000067820000}"/>
    <cellStyle name="Border 6 2 4 2" xfId="33398" xr:uid="{00000000-0005-0000-0000-000068820000}"/>
    <cellStyle name="Border 6 3" xfId="33399" xr:uid="{00000000-0005-0000-0000-000069820000}"/>
    <cellStyle name="Border 6 3 2" xfId="33400" xr:uid="{00000000-0005-0000-0000-00006A820000}"/>
    <cellStyle name="Border 6 3 2 2" xfId="33401" xr:uid="{00000000-0005-0000-0000-00006B820000}"/>
    <cellStyle name="Border 6 3 2 2 2" xfId="33402" xr:uid="{00000000-0005-0000-0000-00006C820000}"/>
    <cellStyle name="Border 6 3 2 3" xfId="33403" xr:uid="{00000000-0005-0000-0000-00006D820000}"/>
    <cellStyle name="Border 6 3 2 3 2" xfId="33404" xr:uid="{00000000-0005-0000-0000-00006E820000}"/>
    <cellStyle name="Border 6 3 3" xfId="33405" xr:uid="{00000000-0005-0000-0000-00006F820000}"/>
    <cellStyle name="Border 6 3 3 2" xfId="33406" xr:uid="{00000000-0005-0000-0000-000070820000}"/>
    <cellStyle name="Border 6 3 4" xfId="33407" xr:uid="{00000000-0005-0000-0000-000071820000}"/>
    <cellStyle name="Border 6 3 4 2" xfId="33408" xr:uid="{00000000-0005-0000-0000-000072820000}"/>
    <cellStyle name="Border 6 4" xfId="33409" xr:uid="{00000000-0005-0000-0000-000073820000}"/>
    <cellStyle name="Border 6 4 2" xfId="33410" xr:uid="{00000000-0005-0000-0000-000074820000}"/>
    <cellStyle name="Border 6 4 2 2" xfId="33411" xr:uid="{00000000-0005-0000-0000-000075820000}"/>
    <cellStyle name="Border 6 4 2 2 2" xfId="33412" xr:uid="{00000000-0005-0000-0000-000076820000}"/>
    <cellStyle name="Border 6 4 2 3" xfId="33413" xr:uid="{00000000-0005-0000-0000-000077820000}"/>
    <cellStyle name="Border 6 4 2 3 2" xfId="33414" xr:uid="{00000000-0005-0000-0000-000078820000}"/>
    <cellStyle name="Border 6 4 3" xfId="33415" xr:uid="{00000000-0005-0000-0000-000079820000}"/>
    <cellStyle name="Border 6 4 3 2" xfId="33416" xr:uid="{00000000-0005-0000-0000-00007A820000}"/>
    <cellStyle name="Border 6 4 4" xfId="33417" xr:uid="{00000000-0005-0000-0000-00007B820000}"/>
    <cellStyle name="Border 6 4 4 2" xfId="33418" xr:uid="{00000000-0005-0000-0000-00007C820000}"/>
    <cellStyle name="Border 6 5" xfId="33419" xr:uid="{00000000-0005-0000-0000-00007D820000}"/>
    <cellStyle name="Border 6 5 2" xfId="33420" xr:uid="{00000000-0005-0000-0000-00007E820000}"/>
    <cellStyle name="Border 6 5 2 2" xfId="33421" xr:uid="{00000000-0005-0000-0000-00007F820000}"/>
    <cellStyle name="Border 6 5 2 2 2" xfId="33422" xr:uid="{00000000-0005-0000-0000-000080820000}"/>
    <cellStyle name="Border 6 5 2 3" xfId="33423" xr:uid="{00000000-0005-0000-0000-000081820000}"/>
    <cellStyle name="Border 6 5 2 3 2" xfId="33424" xr:uid="{00000000-0005-0000-0000-000082820000}"/>
    <cellStyle name="Border 6 5 3" xfId="33425" xr:uid="{00000000-0005-0000-0000-000083820000}"/>
    <cellStyle name="Border 6 5 3 2" xfId="33426" xr:uid="{00000000-0005-0000-0000-000084820000}"/>
    <cellStyle name="Border 6 5 4" xfId="33427" xr:uid="{00000000-0005-0000-0000-000085820000}"/>
    <cellStyle name="Border 6 5 4 2" xfId="33428" xr:uid="{00000000-0005-0000-0000-000086820000}"/>
    <cellStyle name="Border 6 6" xfId="33429" xr:uid="{00000000-0005-0000-0000-000087820000}"/>
    <cellStyle name="Border 6 6 2" xfId="33430" xr:uid="{00000000-0005-0000-0000-000088820000}"/>
    <cellStyle name="Border 6 6 2 2" xfId="33431" xr:uid="{00000000-0005-0000-0000-000089820000}"/>
    <cellStyle name="Border 6 6 2 2 2" xfId="33432" xr:uid="{00000000-0005-0000-0000-00008A820000}"/>
    <cellStyle name="Border 6 6 2 3" xfId="33433" xr:uid="{00000000-0005-0000-0000-00008B820000}"/>
    <cellStyle name="Border 6 6 2 3 2" xfId="33434" xr:uid="{00000000-0005-0000-0000-00008C820000}"/>
    <cellStyle name="Border 6 6 3" xfId="33435" xr:uid="{00000000-0005-0000-0000-00008D820000}"/>
    <cellStyle name="Border 6 6 3 2" xfId="33436" xr:uid="{00000000-0005-0000-0000-00008E820000}"/>
    <cellStyle name="Border 6 6 4" xfId="33437" xr:uid="{00000000-0005-0000-0000-00008F820000}"/>
    <cellStyle name="Border 6 6 4 2" xfId="33438" xr:uid="{00000000-0005-0000-0000-000090820000}"/>
    <cellStyle name="Border 6 7" xfId="33439" xr:uid="{00000000-0005-0000-0000-000091820000}"/>
    <cellStyle name="Border 6 7 2" xfId="33440" xr:uid="{00000000-0005-0000-0000-000092820000}"/>
    <cellStyle name="Border 6 7 2 2" xfId="33441" xr:uid="{00000000-0005-0000-0000-000093820000}"/>
    <cellStyle name="Border 6 7 3" xfId="33442" xr:uid="{00000000-0005-0000-0000-000094820000}"/>
    <cellStyle name="Border 6 7 3 2" xfId="33443" xr:uid="{00000000-0005-0000-0000-000095820000}"/>
    <cellStyle name="Border 6 8" xfId="33444" xr:uid="{00000000-0005-0000-0000-000096820000}"/>
    <cellStyle name="Border 6 8 2" xfId="33445" xr:uid="{00000000-0005-0000-0000-000097820000}"/>
    <cellStyle name="Border 6 9" xfId="33446" xr:uid="{00000000-0005-0000-0000-000098820000}"/>
    <cellStyle name="Border 6 9 2" xfId="33447" xr:uid="{00000000-0005-0000-0000-000099820000}"/>
    <cellStyle name="Border 7" xfId="33448" xr:uid="{00000000-0005-0000-0000-00009A820000}"/>
    <cellStyle name="Border 7 2" xfId="33449" xr:uid="{00000000-0005-0000-0000-00009B820000}"/>
    <cellStyle name="Border 7 2 2" xfId="33450" xr:uid="{00000000-0005-0000-0000-00009C820000}"/>
    <cellStyle name="Border 7 2 2 2" xfId="33451" xr:uid="{00000000-0005-0000-0000-00009D820000}"/>
    <cellStyle name="Border 7 2 3" xfId="33452" xr:uid="{00000000-0005-0000-0000-00009E820000}"/>
    <cellStyle name="Border 7 2 3 2" xfId="33453" xr:uid="{00000000-0005-0000-0000-00009F820000}"/>
    <cellStyle name="Border 7 3" xfId="33454" xr:uid="{00000000-0005-0000-0000-0000A0820000}"/>
    <cellStyle name="Border 7 3 2" xfId="33455" xr:uid="{00000000-0005-0000-0000-0000A1820000}"/>
    <cellStyle name="Border 7 4" xfId="33456" xr:uid="{00000000-0005-0000-0000-0000A2820000}"/>
    <cellStyle name="Border 7 4 2" xfId="33457" xr:uid="{00000000-0005-0000-0000-0000A3820000}"/>
    <cellStyle name="Border 8" xfId="33458" xr:uid="{00000000-0005-0000-0000-0000A4820000}"/>
    <cellStyle name="Border 8 2" xfId="33459" xr:uid="{00000000-0005-0000-0000-0000A5820000}"/>
    <cellStyle name="Border 8 2 2" xfId="33460" xr:uid="{00000000-0005-0000-0000-0000A6820000}"/>
    <cellStyle name="Border 8 2 2 2" xfId="33461" xr:uid="{00000000-0005-0000-0000-0000A7820000}"/>
    <cellStyle name="Border 8 2 3" xfId="33462" xr:uid="{00000000-0005-0000-0000-0000A8820000}"/>
    <cellStyle name="Border 8 2 3 2" xfId="33463" xr:uid="{00000000-0005-0000-0000-0000A9820000}"/>
    <cellStyle name="Border 8 3" xfId="33464" xr:uid="{00000000-0005-0000-0000-0000AA820000}"/>
    <cellStyle name="Border 8 3 2" xfId="33465" xr:uid="{00000000-0005-0000-0000-0000AB820000}"/>
    <cellStyle name="Border 8 4" xfId="33466" xr:uid="{00000000-0005-0000-0000-0000AC820000}"/>
    <cellStyle name="Border 8 4 2" xfId="33467" xr:uid="{00000000-0005-0000-0000-0000AD820000}"/>
    <cellStyle name="Border 9" xfId="33468" xr:uid="{00000000-0005-0000-0000-0000AE820000}"/>
    <cellStyle name="Border 9 2" xfId="33469" xr:uid="{00000000-0005-0000-0000-0000AF820000}"/>
    <cellStyle name="Border 9 2 2" xfId="33470" xr:uid="{00000000-0005-0000-0000-0000B0820000}"/>
    <cellStyle name="Border 9 2 2 2" xfId="33471" xr:uid="{00000000-0005-0000-0000-0000B1820000}"/>
    <cellStyle name="Border 9 2 3" xfId="33472" xr:uid="{00000000-0005-0000-0000-0000B2820000}"/>
    <cellStyle name="Border 9 2 3 2" xfId="33473" xr:uid="{00000000-0005-0000-0000-0000B3820000}"/>
    <cellStyle name="Border 9 3" xfId="33474" xr:uid="{00000000-0005-0000-0000-0000B4820000}"/>
    <cellStyle name="Border 9 3 2" xfId="33475" xr:uid="{00000000-0005-0000-0000-0000B5820000}"/>
    <cellStyle name="Border 9 3 2 2" xfId="33476" xr:uid="{00000000-0005-0000-0000-0000B6820000}"/>
    <cellStyle name="Border 9 3 3" xfId="33477" xr:uid="{00000000-0005-0000-0000-0000B7820000}"/>
    <cellStyle name="Border 9 3 3 2" xfId="33478" xr:uid="{00000000-0005-0000-0000-0000B8820000}"/>
    <cellStyle name="Border 9 4" xfId="33479" xr:uid="{00000000-0005-0000-0000-0000B9820000}"/>
    <cellStyle name="Border 9 4 2" xfId="33480" xr:uid="{00000000-0005-0000-0000-0000BA820000}"/>
    <cellStyle name="Border 9 5" xfId="33481" xr:uid="{00000000-0005-0000-0000-0000BB820000}"/>
    <cellStyle name="Border 9 5 2" xfId="33482" xr:uid="{00000000-0005-0000-0000-0000BC820000}"/>
    <cellStyle name="Brief" xfId="33483" xr:uid="{00000000-0005-0000-0000-0000BD820000}"/>
    <cellStyle name="C                      " xfId="33484" xr:uid="{00000000-0005-0000-0000-0000BE820000}"/>
    <cellStyle name="C￥AØ_´eºnC￥ (2)_1_ºI´eAa°ø " xfId="33485" xr:uid="{00000000-0005-0000-0000-0000BF820000}"/>
    <cellStyle name="Ç¥ÁØ_¿¬°£´©°è¿¹»ó" xfId="33486" xr:uid="{00000000-0005-0000-0000-0000C0820000}"/>
    <cellStyle name="C￥AØ_½C¿¹PL " xfId="33487" xr:uid="{00000000-0005-0000-0000-0000C1820000}"/>
    <cellStyle name="Calc Currency (0)" xfId="33488" xr:uid="{00000000-0005-0000-0000-0000C2820000}"/>
    <cellStyle name="Calc Currency (0) 2" xfId="33489" xr:uid="{00000000-0005-0000-0000-0000C3820000}"/>
    <cellStyle name="Calc Currency (0) 3" xfId="33490" xr:uid="{00000000-0005-0000-0000-0000C4820000}"/>
    <cellStyle name="Calc Currency (0) 4" xfId="33491" xr:uid="{00000000-0005-0000-0000-0000C5820000}"/>
    <cellStyle name="Calc Currency (2)" xfId="33492" xr:uid="{00000000-0005-0000-0000-0000C6820000}"/>
    <cellStyle name="Calc Percent (0)" xfId="33493" xr:uid="{00000000-0005-0000-0000-0000C7820000}"/>
    <cellStyle name="Calc Percent (1)" xfId="33494" xr:uid="{00000000-0005-0000-0000-0000C8820000}"/>
    <cellStyle name="Calc Percent (2)" xfId="33495" xr:uid="{00000000-0005-0000-0000-0000C9820000}"/>
    <cellStyle name="Calc Units (0)" xfId="33496" xr:uid="{00000000-0005-0000-0000-0000CA820000}"/>
    <cellStyle name="Calc Units (1)" xfId="33497" xr:uid="{00000000-0005-0000-0000-0000CB820000}"/>
    <cellStyle name="Calc Units (2)" xfId="33498" xr:uid="{00000000-0005-0000-0000-0000CC820000}"/>
    <cellStyle name="Calculation 10" xfId="33499" xr:uid="{00000000-0005-0000-0000-0000CD820000}"/>
    <cellStyle name="Calculation 10 10" xfId="33500" xr:uid="{00000000-0005-0000-0000-0000CE820000}"/>
    <cellStyle name="Calculation 10 2" xfId="33501" xr:uid="{00000000-0005-0000-0000-0000CF820000}"/>
    <cellStyle name="Calculation 10 2 2" xfId="33502" xr:uid="{00000000-0005-0000-0000-0000D0820000}"/>
    <cellStyle name="Calculation 10 2 3" xfId="33503" xr:uid="{00000000-0005-0000-0000-0000D1820000}"/>
    <cellStyle name="Calculation 10 2 4" xfId="33504" xr:uid="{00000000-0005-0000-0000-0000D2820000}"/>
    <cellStyle name="Calculation 10 2 5" xfId="33505" xr:uid="{00000000-0005-0000-0000-0000D3820000}"/>
    <cellStyle name="Calculation 10 3" xfId="33506" xr:uid="{00000000-0005-0000-0000-0000D4820000}"/>
    <cellStyle name="Calculation 10 3 2" xfId="33507" xr:uid="{00000000-0005-0000-0000-0000D5820000}"/>
    <cellStyle name="Calculation 10 3 3" xfId="33508" xr:uid="{00000000-0005-0000-0000-0000D6820000}"/>
    <cellStyle name="Calculation 10 4" xfId="33509" xr:uid="{00000000-0005-0000-0000-0000D7820000}"/>
    <cellStyle name="Calculation 10 4 2" xfId="33510" xr:uid="{00000000-0005-0000-0000-0000D8820000}"/>
    <cellStyle name="Calculation 10 4 3" xfId="33511" xr:uid="{00000000-0005-0000-0000-0000D9820000}"/>
    <cellStyle name="Calculation 10 5" xfId="33512" xr:uid="{00000000-0005-0000-0000-0000DA820000}"/>
    <cellStyle name="Calculation 10 5 2" xfId="33513" xr:uid="{00000000-0005-0000-0000-0000DB820000}"/>
    <cellStyle name="Calculation 10 5 3" xfId="33514" xr:uid="{00000000-0005-0000-0000-0000DC820000}"/>
    <cellStyle name="Calculation 10 6" xfId="33515" xr:uid="{00000000-0005-0000-0000-0000DD820000}"/>
    <cellStyle name="Calculation 10 6 2" xfId="33516" xr:uid="{00000000-0005-0000-0000-0000DE820000}"/>
    <cellStyle name="Calculation 10 6 3" xfId="33517" xr:uid="{00000000-0005-0000-0000-0000DF820000}"/>
    <cellStyle name="Calculation 10 7" xfId="33518" xr:uid="{00000000-0005-0000-0000-0000E0820000}"/>
    <cellStyle name="Calculation 10 8" xfId="33519" xr:uid="{00000000-0005-0000-0000-0000E1820000}"/>
    <cellStyle name="Calculation 10 9" xfId="33520" xr:uid="{00000000-0005-0000-0000-0000E2820000}"/>
    <cellStyle name="Calculation 11" xfId="33521" xr:uid="{00000000-0005-0000-0000-0000E3820000}"/>
    <cellStyle name="Calculation 11 10" xfId="33522" xr:uid="{00000000-0005-0000-0000-0000E4820000}"/>
    <cellStyle name="Calculation 11 2" xfId="33523" xr:uid="{00000000-0005-0000-0000-0000E5820000}"/>
    <cellStyle name="Calculation 11 2 2" xfId="33524" xr:uid="{00000000-0005-0000-0000-0000E6820000}"/>
    <cellStyle name="Calculation 11 2 3" xfId="33525" xr:uid="{00000000-0005-0000-0000-0000E7820000}"/>
    <cellStyle name="Calculation 11 2 4" xfId="33526" xr:uid="{00000000-0005-0000-0000-0000E8820000}"/>
    <cellStyle name="Calculation 11 2 5" xfId="33527" xr:uid="{00000000-0005-0000-0000-0000E9820000}"/>
    <cellStyle name="Calculation 11 3" xfId="33528" xr:uid="{00000000-0005-0000-0000-0000EA820000}"/>
    <cellStyle name="Calculation 11 3 2" xfId="33529" xr:uid="{00000000-0005-0000-0000-0000EB820000}"/>
    <cellStyle name="Calculation 11 3 3" xfId="33530" xr:uid="{00000000-0005-0000-0000-0000EC820000}"/>
    <cellStyle name="Calculation 11 4" xfId="33531" xr:uid="{00000000-0005-0000-0000-0000ED820000}"/>
    <cellStyle name="Calculation 11 4 2" xfId="33532" xr:uid="{00000000-0005-0000-0000-0000EE820000}"/>
    <cellStyle name="Calculation 11 4 3" xfId="33533" xr:uid="{00000000-0005-0000-0000-0000EF820000}"/>
    <cellStyle name="Calculation 11 5" xfId="33534" xr:uid="{00000000-0005-0000-0000-0000F0820000}"/>
    <cellStyle name="Calculation 11 5 2" xfId="33535" xr:uid="{00000000-0005-0000-0000-0000F1820000}"/>
    <cellStyle name="Calculation 11 5 3" xfId="33536" xr:uid="{00000000-0005-0000-0000-0000F2820000}"/>
    <cellStyle name="Calculation 11 6" xfId="33537" xr:uid="{00000000-0005-0000-0000-0000F3820000}"/>
    <cellStyle name="Calculation 11 6 2" xfId="33538" xr:uid="{00000000-0005-0000-0000-0000F4820000}"/>
    <cellStyle name="Calculation 11 6 3" xfId="33539" xr:uid="{00000000-0005-0000-0000-0000F5820000}"/>
    <cellStyle name="Calculation 11 7" xfId="33540" xr:uid="{00000000-0005-0000-0000-0000F6820000}"/>
    <cellStyle name="Calculation 11 8" xfId="33541" xr:uid="{00000000-0005-0000-0000-0000F7820000}"/>
    <cellStyle name="Calculation 11 9" xfId="33542" xr:uid="{00000000-0005-0000-0000-0000F8820000}"/>
    <cellStyle name="Calculation 12" xfId="33543" xr:uid="{00000000-0005-0000-0000-0000F9820000}"/>
    <cellStyle name="Calculation 12 10" xfId="33544" xr:uid="{00000000-0005-0000-0000-0000FA820000}"/>
    <cellStyle name="Calculation 12 2" xfId="33545" xr:uid="{00000000-0005-0000-0000-0000FB820000}"/>
    <cellStyle name="Calculation 12 2 2" xfId="33546" xr:uid="{00000000-0005-0000-0000-0000FC820000}"/>
    <cellStyle name="Calculation 12 2 3" xfId="33547" xr:uid="{00000000-0005-0000-0000-0000FD820000}"/>
    <cellStyle name="Calculation 12 2 4" xfId="33548" xr:uid="{00000000-0005-0000-0000-0000FE820000}"/>
    <cellStyle name="Calculation 12 2 5" xfId="33549" xr:uid="{00000000-0005-0000-0000-0000FF820000}"/>
    <cellStyle name="Calculation 12 3" xfId="33550" xr:uid="{00000000-0005-0000-0000-000000830000}"/>
    <cellStyle name="Calculation 12 3 2" xfId="33551" xr:uid="{00000000-0005-0000-0000-000001830000}"/>
    <cellStyle name="Calculation 12 3 3" xfId="33552" xr:uid="{00000000-0005-0000-0000-000002830000}"/>
    <cellStyle name="Calculation 12 4" xfId="33553" xr:uid="{00000000-0005-0000-0000-000003830000}"/>
    <cellStyle name="Calculation 12 4 2" xfId="33554" xr:uid="{00000000-0005-0000-0000-000004830000}"/>
    <cellStyle name="Calculation 12 4 3" xfId="33555" xr:uid="{00000000-0005-0000-0000-000005830000}"/>
    <cellStyle name="Calculation 12 5" xfId="33556" xr:uid="{00000000-0005-0000-0000-000006830000}"/>
    <cellStyle name="Calculation 12 5 2" xfId="33557" xr:uid="{00000000-0005-0000-0000-000007830000}"/>
    <cellStyle name="Calculation 12 5 3" xfId="33558" xr:uid="{00000000-0005-0000-0000-000008830000}"/>
    <cellStyle name="Calculation 12 6" xfId="33559" xr:uid="{00000000-0005-0000-0000-000009830000}"/>
    <cellStyle name="Calculation 12 6 2" xfId="33560" xr:uid="{00000000-0005-0000-0000-00000A830000}"/>
    <cellStyle name="Calculation 12 6 3" xfId="33561" xr:uid="{00000000-0005-0000-0000-00000B830000}"/>
    <cellStyle name="Calculation 12 7" xfId="33562" xr:uid="{00000000-0005-0000-0000-00000C830000}"/>
    <cellStyle name="Calculation 12 8" xfId="33563" xr:uid="{00000000-0005-0000-0000-00000D830000}"/>
    <cellStyle name="Calculation 12 9" xfId="33564" xr:uid="{00000000-0005-0000-0000-00000E830000}"/>
    <cellStyle name="Calculation 13" xfId="33565" xr:uid="{00000000-0005-0000-0000-00000F830000}"/>
    <cellStyle name="Calculation 13 10" xfId="33566" xr:uid="{00000000-0005-0000-0000-000010830000}"/>
    <cellStyle name="Calculation 13 2" xfId="33567" xr:uid="{00000000-0005-0000-0000-000011830000}"/>
    <cellStyle name="Calculation 13 2 2" xfId="33568" xr:uid="{00000000-0005-0000-0000-000012830000}"/>
    <cellStyle name="Calculation 13 2 3" xfId="33569" xr:uid="{00000000-0005-0000-0000-000013830000}"/>
    <cellStyle name="Calculation 13 2 4" xfId="33570" xr:uid="{00000000-0005-0000-0000-000014830000}"/>
    <cellStyle name="Calculation 13 2 5" xfId="33571" xr:uid="{00000000-0005-0000-0000-000015830000}"/>
    <cellStyle name="Calculation 13 3" xfId="33572" xr:uid="{00000000-0005-0000-0000-000016830000}"/>
    <cellStyle name="Calculation 13 3 2" xfId="33573" xr:uid="{00000000-0005-0000-0000-000017830000}"/>
    <cellStyle name="Calculation 13 3 3" xfId="33574" xr:uid="{00000000-0005-0000-0000-000018830000}"/>
    <cellStyle name="Calculation 13 4" xfId="33575" xr:uid="{00000000-0005-0000-0000-000019830000}"/>
    <cellStyle name="Calculation 13 4 2" xfId="33576" xr:uid="{00000000-0005-0000-0000-00001A830000}"/>
    <cellStyle name="Calculation 13 4 3" xfId="33577" xr:uid="{00000000-0005-0000-0000-00001B830000}"/>
    <cellStyle name="Calculation 13 5" xfId="33578" xr:uid="{00000000-0005-0000-0000-00001C830000}"/>
    <cellStyle name="Calculation 13 5 2" xfId="33579" xr:uid="{00000000-0005-0000-0000-00001D830000}"/>
    <cellStyle name="Calculation 13 5 3" xfId="33580" xr:uid="{00000000-0005-0000-0000-00001E830000}"/>
    <cellStyle name="Calculation 13 6" xfId="33581" xr:uid="{00000000-0005-0000-0000-00001F830000}"/>
    <cellStyle name="Calculation 13 6 2" xfId="33582" xr:uid="{00000000-0005-0000-0000-000020830000}"/>
    <cellStyle name="Calculation 13 6 3" xfId="33583" xr:uid="{00000000-0005-0000-0000-000021830000}"/>
    <cellStyle name="Calculation 13 7" xfId="33584" xr:uid="{00000000-0005-0000-0000-000022830000}"/>
    <cellStyle name="Calculation 13 8" xfId="33585" xr:uid="{00000000-0005-0000-0000-000023830000}"/>
    <cellStyle name="Calculation 13 9" xfId="33586" xr:uid="{00000000-0005-0000-0000-000024830000}"/>
    <cellStyle name="Calculation 14" xfId="33587" xr:uid="{00000000-0005-0000-0000-000025830000}"/>
    <cellStyle name="Calculation 14 10" xfId="33588" xr:uid="{00000000-0005-0000-0000-000026830000}"/>
    <cellStyle name="Calculation 14 2" xfId="33589" xr:uid="{00000000-0005-0000-0000-000027830000}"/>
    <cellStyle name="Calculation 14 2 2" xfId="33590" xr:uid="{00000000-0005-0000-0000-000028830000}"/>
    <cellStyle name="Calculation 14 2 3" xfId="33591" xr:uid="{00000000-0005-0000-0000-000029830000}"/>
    <cellStyle name="Calculation 14 2 4" xfId="33592" xr:uid="{00000000-0005-0000-0000-00002A830000}"/>
    <cellStyle name="Calculation 14 2 5" xfId="33593" xr:uid="{00000000-0005-0000-0000-00002B830000}"/>
    <cellStyle name="Calculation 14 3" xfId="33594" xr:uid="{00000000-0005-0000-0000-00002C830000}"/>
    <cellStyle name="Calculation 14 3 2" xfId="33595" xr:uid="{00000000-0005-0000-0000-00002D830000}"/>
    <cellStyle name="Calculation 14 3 3" xfId="33596" xr:uid="{00000000-0005-0000-0000-00002E830000}"/>
    <cellStyle name="Calculation 14 4" xfId="33597" xr:uid="{00000000-0005-0000-0000-00002F830000}"/>
    <cellStyle name="Calculation 14 4 2" xfId="33598" xr:uid="{00000000-0005-0000-0000-000030830000}"/>
    <cellStyle name="Calculation 14 4 3" xfId="33599" xr:uid="{00000000-0005-0000-0000-000031830000}"/>
    <cellStyle name="Calculation 14 5" xfId="33600" xr:uid="{00000000-0005-0000-0000-000032830000}"/>
    <cellStyle name="Calculation 14 5 2" xfId="33601" xr:uid="{00000000-0005-0000-0000-000033830000}"/>
    <cellStyle name="Calculation 14 5 3" xfId="33602" xr:uid="{00000000-0005-0000-0000-000034830000}"/>
    <cellStyle name="Calculation 14 6" xfId="33603" xr:uid="{00000000-0005-0000-0000-000035830000}"/>
    <cellStyle name="Calculation 14 6 2" xfId="33604" xr:uid="{00000000-0005-0000-0000-000036830000}"/>
    <cellStyle name="Calculation 14 6 3" xfId="33605" xr:uid="{00000000-0005-0000-0000-000037830000}"/>
    <cellStyle name="Calculation 14 7" xfId="33606" xr:uid="{00000000-0005-0000-0000-000038830000}"/>
    <cellStyle name="Calculation 14 8" xfId="33607" xr:uid="{00000000-0005-0000-0000-000039830000}"/>
    <cellStyle name="Calculation 14 9" xfId="33608" xr:uid="{00000000-0005-0000-0000-00003A830000}"/>
    <cellStyle name="Calculation 15" xfId="33609" xr:uid="{00000000-0005-0000-0000-00003B830000}"/>
    <cellStyle name="Calculation 15 10" xfId="33610" xr:uid="{00000000-0005-0000-0000-00003C830000}"/>
    <cellStyle name="Calculation 15 2" xfId="33611" xr:uid="{00000000-0005-0000-0000-00003D830000}"/>
    <cellStyle name="Calculation 15 2 2" xfId="33612" xr:uid="{00000000-0005-0000-0000-00003E830000}"/>
    <cellStyle name="Calculation 15 2 3" xfId="33613" xr:uid="{00000000-0005-0000-0000-00003F830000}"/>
    <cellStyle name="Calculation 15 2 4" xfId="33614" xr:uid="{00000000-0005-0000-0000-000040830000}"/>
    <cellStyle name="Calculation 15 2 5" xfId="33615" xr:uid="{00000000-0005-0000-0000-000041830000}"/>
    <cellStyle name="Calculation 15 3" xfId="33616" xr:uid="{00000000-0005-0000-0000-000042830000}"/>
    <cellStyle name="Calculation 15 3 2" xfId="33617" xr:uid="{00000000-0005-0000-0000-000043830000}"/>
    <cellStyle name="Calculation 15 3 3" xfId="33618" xr:uid="{00000000-0005-0000-0000-000044830000}"/>
    <cellStyle name="Calculation 15 4" xfId="33619" xr:uid="{00000000-0005-0000-0000-000045830000}"/>
    <cellStyle name="Calculation 15 4 2" xfId="33620" xr:uid="{00000000-0005-0000-0000-000046830000}"/>
    <cellStyle name="Calculation 15 4 3" xfId="33621" xr:uid="{00000000-0005-0000-0000-000047830000}"/>
    <cellStyle name="Calculation 15 5" xfId="33622" xr:uid="{00000000-0005-0000-0000-000048830000}"/>
    <cellStyle name="Calculation 15 5 2" xfId="33623" xr:uid="{00000000-0005-0000-0000-000049830000}"/>
    <cellStyle name="Calculation 15 5 3" xfId="33624" xr:uid="{00000000-0005-0000-0000-00004A830000}"/>
    <cellStyle name="Calculation 15 6" xfId="33625" xr:uid="{00000000-0005-0000-0000-00004B830000}"/>
    <cellStyle name="Calculation 15 6 2" xfId="33626" xr:uid="{00000000-0005-0000-0000-00004C830000}"/>
    <cellStyle name="Calculation 15 6 3" xfId="33627" xr:uid="{00000000-0005-0000-0000-00004D830000}"/>
    <cellStyle name="Calculation 15 7" xfId="33628" xr:uid="{00000000-0005-0000-0000-00004E830000}"/>
    <cellStyle name="Calculation 15 8" xfId="33629" xr:uid="{00000000-0005-0000-0000-00004F830000}"/>
    <cellStyle name="Calculation 15 9" xfId="33630" xr:uid="{00000000-0005-0000-0000-000050830000}"/>
    <cellStyle name="Calculation 16" xfId="33631" xr:uid="{00000000-0005-0000-0000-000051830000}"/>
    <cellStyle name="Calculation 16 10" xfId="33632" xr:uid="{00000000-0005-0000-0000-000052830000}"/>
    <cellStyle name="Calculation 16 2" xfId="33633" xr:uid="{00000000-0005-0000-0000-000053830000}"/>
    <cellStyle name="Calculation 16 2 2" xfId="33634" xr:uid="{00000000-0005-0000-0000-000054830000}"/>
    <cellStyle name="Calculation 16 2 3" xfId="33635" xr:uid="{00000000-0005-0000-0000-000055830000}"/>
    <cellStyle name="Calculation 16 2 4" xfId="33636" xr:uid="{00000000-0005-0000-0000-000056830000}"/>
    <cellStyle name="Calculation 16 2 5" xfId="33637" xr:uid="{00000000-0005-0000-0000-000057830000}"/>
    <cellStyle name="Calculation 16 3" xfId="33638" xr:uid="{00000000-0005-0000-0000-000058830000}"/>
    <cellStyle name="Calculation 16 3 2" xfId="33639" xr:uid="{00000000-0005-0000-0000-000059830000}"/>
    <cellStyle name="Calculation 16 3 3" xfId="33640" xr:uid="{00000000-0005-0000-0000-00005A830000}"/>
    <cellStyle name="Calculation 16 4" xfId="33641" xr:uid="{00000000-0005-0000-0000-00005B830000}"/>
    <cellStyle name="Calculation 16 4 2" xfId="33642" xr:uid="{00000000-0005-0000-0000-00005C830000}"/>
    <cellStyle name="Calculation 16 4 3" xfId="33643" xr:uid="{00000000-0005-0000-0000-00005D830000}"/>
    <cellStyle name="Calculation 16 5" xfId="33644" xr:uid="{00000000-0005-0000-0000-00005E830000}"/>
    <cellStyle name="Calculation 16 5 2" xfId="33645" xr:uid="{00000000-0005-0000-0000-00005F830000}"/>
    <cellStyle name="Calculation 16 5 3" xfId="33646" xr:uid="{00000000-0005-0000-0000-000060830000}"/>
    <cellStyle name="Calculation 16 6" xfId="33647" xr:uid="{00000000-0005-0000-0000-000061830000}"/>
    <cellStyle name="Calculation 16 6 2" xfId="33648" xr:uid="{00000000-0005-0000-0000-000062830000}"/>
    <cellStyle name="Calculation 16 6 3" xfId="33649" xr:uid="{00000000-0005-0000-0000-000063830000}"/>
    <cellStyle name="Calculation 16 7" xfId="33650" xr:uid="{00000000-0005-0000-0000-000064830000}"/>
    <cellStyle name="Calculation 16 8" xfId="33651" xr:uid="{00000000-0005-0000-0000-000065830000}"/>
    <cellStyle name="Calculation 16 9" xfId="33652" xr:uid="{00000000-0005-0000-0000-000066830000}"/>
    <cellStyle name="Calculation 17" xfId="33653" xr:uid="{00000000-0005-0000-0000-000067830000}"/>
    <cellStyle name="Calculation 17 10" xfId="33654" xr:uid="{00000000-0005-0000-0000-000068830000}"/>
    <cellStyle name="Calculation 17 2" xfId="33655" xr:uid="{00000000-0005-0000-0000-000069830000}"/>
    <cellStyle name="Calculation 17 2 2" xfId="33656" xr:uid="{00000000-0005-0000-0000-00006A830000}"/>
    <cellStyle name="Calculation 17 2 3" xfId="33657" xr:uid="{00000000-0005-0000-0000-00006B830000}"/>
    <cellStyle name="Calculation 17 2 4" xfId="33658" xr:uid="{00000000-0005-0000-0000-00006C830000}"/>
    <cellStyle name="Calculation 17 2 5" xfId="33659" xr:uid="{00000000-0005-0000-0000-00006D830000}"/>
    <cellStyle name="Calculation 17 3" xfId="33660" xr:uid="{00000000-0005-0000-0000-00006E830000}"/>
    <cellStyle name="Calculation 17 3 2" xfId="33661" xr:uid="{00000000-0005-0000-0000-00006F830000}"/>
    <cellStyle name="Calculation 17 3 3" xfId="33662" xr:uid="{00000000-0005-0000-0000-000070830000}"/>
    <cellStyle name="Calculation 17 4" xfId="33663" xr:uid="{00000000-0005-0000-0000-000071830000}"/>
    <cellStyle name="Calculation 17 4 2" xfId="33664" xr:uid="{00000000-0005-0000-0000-000072830000}"/>
    <cellStyle name="Calculation 17 4 3" xfId="33665" xr:uid="{00000000-0005-0000-0000-000073830000}"/>
    <cellStyle name="Calculation 17 5" xfId="33666" xr:uid="{00000000-0005-0000-0000-000074830000}"/>
    <cellStyle name="Calculation 17 5 2" xfId="33667" xr:uid="{00000000-0005-0000-0000-000075830000}"/>
    <cellStyle name="Calculation 17 5 3" xfId="33668" xr:uid="{00000000-0005-0000-0000-000076830000}"/>
    <cellStyle name="Calculation 17 6" xfId="33669" xr:uid="{00000000-0005-0000-0000-000077830000}"/>
    <cellStyle name="Calculation 17 6 2" xfId="33670" xr:uid="{00000000-0005-0000-0000-000078830000}"/>
    <cellStyle name="Calculation 17 6 3" xfId="33671" xr:uid="{00000000-0005-0000-0000-000079830000}"/>
    <cellStyle name="Calculation 17 7" xfId="33672" xr:uid="{00000000-0005-0000-0000-00007A830000}"/>
    <cellStyle name="Calculation 17 8" xfId="33673" xr:uid="{00000000-0005-0000-0000-00007B830000}"/>
    <cellStyle name="Calculation 17 9" xfId="33674" xr:uid="{00000000-0005-0000-0000-00007C830000}"/>
    <cellStyle name="Calculation 18" xfId="33675" xr:uid="{00000000-0005-0000-0000-00007D830000}"/>
    <cellStyle name="Calculation 18 10" xfId="33676" xr:uid="{00000000-0005-0000-0000-00007E830000}"/>
    <cellStyle name="Calculation 18 2" xfId="33677" xr:uid="{00000000-0005-0000-0000-00007F830000}"/>
    <cellStyle name="Calculation 18 2 2" xfId="33678" xr:uid="{00000000-0005-0000-0000-000080830000}"/>
    <cellStyle name="Calculation 18 2 3" xfId="33679" xr:uid="{00000000-0005-0000-0000-000081830000}"/>
    <cellStyle name="Calculation 18 2 4" xfId="33680" xr:uid="{00000000-0005-0000-0000-000082830000}"/>
    <cellStyle name="Calculation 18 2 5" xfId="33681" xr:uid="{00000000-0005-0000-0000-000083830000}"/>
    <cellStyle name="Calculation 18 3" xfId="33682" xr:uid="{00000000-0005-0000-0000-000084830000}"/>
    <cellStyle name="Calculation 18 3 2" xfId="33683" xr:uid="{00000000-0005-0000-0000-000085830000}"/>
    <cellStyle name="Calculation 18 3 3" xfId="33684" xr:uid="{00000000-0005-0000-0000-000086830000}"/>
    <cellStyle name="Calculation 18 4" xfId="33685" xr:uid="{00000000-0005-0000-0000-000087830000}"/>
    <cellStyle name="Calculation 18 4 2" xfId="33686" xr:uid="{00000000-0005-0000-0000-000088830000}"/>
    <cellStyle name="Calculation 18 4 3" xfId="33687" xr:uid="{00000000-0005-0000-0000-000089830000}"/>
    <cellStyle name="Calculation 18 5" xfId="33688" xr:uid="{00000000-0005-0000-0000-00008A830000}"/>
    <cellStyle name="Calculation 18 5 2" xfId="33689" xr:uid="{00000000-0005-0000-0000-00008B830000}"/>
    <cellStyle name="Calculation 18 5 3" xfId="33690" xr:uid="{00000000-0005-0000-0000-00008C830000}"/>
    <cellStyle name="Calculation 18 6" xfId="33691" xr:uid="{00000000-0005-0000-0000-00008D830000}"/>
    <cellStyle name="Calculation 18 6 2" xfId="33692" xr:uid="{00000000-0005-0000-0000-00008E830000}"/>
    <cellStyle name="Calculation 18 6 3" xfId="33693" xr:uid="{00000000-0005-0000-0000-00008F830000}"/>
    <cellStyle name="Calculation 18 7" xfId="33694" xr:uid="{00000000-0005-0000-0000-000090830000}"/>
    <cellStyle name="Calculation 18 8" xfId="33695" xr:uid="{00000000-0005-0000-0000-000091830000}"/>
    <cellStyle name="Calculation 18 9" xfId="33696" xr:uid="{00000000-0005-0000-0000-000092830000}"/>
    <cellStyle name="Calculation 19" xfId="33697" xr:uid="{00000000-0005-0000-0000-000093830000}"/>
    <cellStyle name="Calculation 19 10" xfId="33698" xr:uid="{00000000-0005-0000-0000-000094830000}"/>
    <cellStyle name="Calculation 19 2" xfId="33699" xr:uid="{00000000-0005-0000-0000-000095830000}"/>
    <cellStyle name="Calculation 19 2 2" xfId="33700" xr:uid="{00000000-0005-0000-0000-000096830000}"/>
    <cellStyle name="Calculation 19 2 3" xfId="33701" xr:uid="{00000000-0005-0000-0000-000097830000}"/>
    <cellStyle name="Calculation 19 2 4" xfId="33702" xr:uid="{00000000-0005-0000-0000-000098830000}"/>
    <cellStyle name="Calculation 19 2 5" xfId="33703" xr:uid="{00000000-0005-0000-0000-000099830000}"/>
    <cellStyle name="Calculation 19 3" xfId="33704" xr:uid="{00000000-0005-0000-0000-00009A830000}"/>
    <cellStyle name="Calculation 19 3 2" xfId="33705" xr:uid="{00000000-0005-0000-0000-00009B830000}"/>
    <cellStyle name="Calculation 19 3 3" xfId="33706" xr:uid="{00000000-0005-0000-0000-00009C830000}"/>
    <cellStyle name="Calculation 19 4" xfId="33707" xr:uid="{00000000-0005-0000-0000-00009D830000}"/>
    <cellStyle name="Calculation 19 4 2" xfId="33708" xr:uid="{00000000-0005-0000-0000-00009E830000}"/>
    <cellStyle name="Calculation 19 4 3" xfId="33709" xr:uid="{00000000-0005-0000-0000-00009F830000}"/>
    <cellStyle name="Calculation 19 5" xfId="33710" xr:uid="{00000000-0005-0000-0000-0000A0830000}"/>
    <cellStyle name="Calculation 19 5 2" xfId="33711" xr:uid="{00000000-0005-0000-0000-0000A1830000}"/>
    <cellStyle name="Calculation 19 5 3" xfId="33712" xr:uid="{00000000-0005-0000-0000-0000A2830000}"/>
    <cellStyle name="Calculation 19 6" xfId="33713" xr:uid="{00000000-0005-0000-0000-0000A3830000}"/>
    <cellStyle name="Calculation 19 6 2" xfId="33714" xr:uid="{00000000-0005-0000-0000-0000A4830000}"/>
    <cellStyle name="Calculation 19 6 3" xfId="33715" xr:uid="{00000000-0005-0000-0000-0000A5830000}"/>
    <cellStyle name="Calculation 19 7" xfId="33716" xr:uid="{00000000-0005-0000-0000-0000A6830000}"/>
    <cellStyle name="Calculation 19 8" xfId="33717" xr:uid="{00000000-0005-0000-0000-0000A7830000}"/>
    <cellStyle name="Calculation 19 9" xfId="33718" xr:uid="{00000000-0005-0000-0000-0000A8830000}"/>
    <cellStyle name="Calculation 2" xfId="33719" xr:uid="{00000000-0005-0000-0000-0000A9830000}"/>
    <cellStyle name="Calculation 2 10" xfId="33720" xr:uid="{00000000-0005-0000-0000-0000AA830000}"/>
    <cellStyle name="Calculation 2 10 2" xfId="33721" xr:uid="{00000000-0005-0000-0000-0000AB830000}"/>
    <cellStyle name="Calculation 2 10 2 2" xfId="33722" xr:uid="{00000000-0005-0000-0000-0000AC830000}"/>
    <cellStyle name="Calculation 2 10 2 3" xfId="33723" xr:uid="{00000000-0005-0000-0000-0000AD830000}"/>
    <cellStyle name="Calculation 2 10 3" xfId="33724" xr:uid="{00000000-0005-0000-0000-0000AE830000}"/>
    <cellStyle name="Calculation 2 10 3 2" xfId="33725" xr:uid="{00000000-0005-0000-0000-0000AF830000}"/>
    <cellStyle name="Calculation 2 10 3 3" xfId="33726" xr:uid="{00000000-0005-0000-0000-0000B0830000}"/>
    <cellStyle name="Calculation 2 10 4" xfId="33727" xr:uid="{00000000-0005-0000-0000-0000B1830000}"/>
    <cellStyle name="Calculation 2 10 4 2" xfId="33728" xr:uid="{00000000-0005-0000-0000-0000B2830000}"/>
    <cellStyle name="Calculation 2 10 4 3" xfId="33729" xr:uid="{00000000-0005-0000-0000-0000B3830000}"/>
    <cellStyle name="Calculation 2 10 5" xfId="33730" xr:uid="{00000000-0005-0000-0000-0000B4830000}"/>
    <cellStyle name="Calculation 2 10 6" xfId="33731" xr:uid="{00000000-0005-0000-0000-0000B5830000}"/>
    <cellStyle name="Calculation 2 10 7" xfId="33732" xr:uid="{00000000-0005-0000-0000-0000B6830000}"/>
    <cellStyle name="Calculation 2 10 8" xfId="33733" xr:uid="{00000000-0005-0000-0000-0000B7830000}"/>
    <cellStyle name="Calculation 2 10 9" xfId="33734" xr:uid="{00000000-0005-0000-0000-0000B8830000}"/>
    <cellStyle name="Calculation 2 11" xfId="33735" xr:uid="{00000000-0005-0000-0000-0000B9830000}"/>
    <cellStyle name="Calculation 2 11 2" xfId="33736" xr:uid="{00000000-0005-0000-0000-0000BA830000}"/>
    <cellStyle name="Calculation 2 11 2 2" xfId="33737" xr:uid="{00000000-0005-0000-0000-0000BB830000}"/>
    <cellStyle name="Calculation 2 11 2 3" xfId="33738" xr:uid="{00000000-0005-0000-0000-0000BC830000}"/>
    <cellStyle name="Calculation 2 11 3" xfId="33739" xr:uid="{00000000-0005-0000-0000-0000BD830000}"/>
    <cellStyle name="Calculation 2 11 3 2" xfId="33740" xr:uid="{00000000-0005-0000-0000-0000BE830000}"/>
    <cellStyle name="Calculation 2 11 3 3" xfId="33741" xr:uid="{00000000-0005-0000-0000-0000BF830000}"/>
    <cellStyle name="Calculation 2 11 4" xfId="33742" xr:uid="{00000000-0005-0000-0000-0000C0830000}"/>
    <cellStyle name="Calculation 2 11 4 2" xfId="33743" xr:uid="{00000000-0005-0000-0000-0000C1830000}"/>
    <cellStyle name="Calculation 2 11 4 3" xfId="33744" xr:uid="{00000000-0005-0000-0000-0000C2830000}"/>
    <cellStyle name="Calculation 2 11 5" xfId="33745" xr:uid="{00000000-0005-0000-0000-0000C3830000}"/>
    <cellStyle name="Calculation 2 11 6" xfId="33746" xr:uid="{00000000-0005-0000-0000-0000C4830000}"/>
    <cellStyle name="Calculation 2 11 7" xfId="33747" xr:uid="{00000000-0005-0000-0000-0000C5830000}"/>
    <cellStyle name="Calculation 2 11 8" xfId="33748" xr:uid="{00000000-0005-0000-0000-0000C6830000}"/>
    <cellStyle name="Calculation 2 11 9" xfId="33749" xr:uid="{00000000-0005-0000-0000-0000C7830000}"/>
    <cellStyle name="Calculation 2 12" xfId="33750" xr:uid="{00000000-0005-0000-0000-0000C8830000}"/>
    <cellStyle name="Calculation 2 12 2" xfId="33751" xr:uid="{00000000-0005-0000-0000-0000C9830000}"/>
    <cellStyle name="Calculation 2 12 2 2" xfId="33752" xr:uid="{00000000-0005-0000-0000-0000CA830000}"/>
    <cellStyle name="Calculation 2 12 2 3" xfId="33753" xr:uid="{00000000-0005-0000-0000-0000CB830000}"/>
    <cellStyle name="Calculation 2 12 3" xfId="33754" xr:uid="{00000000-0005-0000-0000-0000CC830000}"/>
    <cellStyle name="Calculation 2 12 3 2" xfId="33755" xr:uid="{00000000-0005-0000-0000-0000CD830000}"/>
    <cellStyle name="Calculation 2 12 3 3" xfId="33756" xr:uid="{00000000-0005-0000-0000-0000CE830000}"/>
    <cellStyle name="Calculation 2 12 4" xfId="33757" xr:uid="{00000000-0005-0000-0000-0000CF830000}"/>
    <cellStyle name="Calculation 2 12 4 2" xfId="33758" xr:uid="{00000000-0005-0000-0000-0000D0830000}"/>
    <cellStyle name="Calculation 2 12 4 3" xfId="33759" xr:uid="{00000000-0005-0000-0000-0000D1830000}"/>
    <cellStyle name="Calculation 2 12 5" xfId="33760" xr:uid="{00000000-0005-0000-0000-0000D2830000}"/>
    <cellStyle name="Calculation 2 12 6" xfId="33761" xr:uid="{00000000-0005-0000-0000-0000D3830000}"/>
    <cellStyle name="Calculation 2 12 7" xfId="33762" xr:uid="{00000000-0005-0000-0000-0000D4830000}"/>
    <cellStyle name="Calculation 2 12 8" xfId="33763" xr:uid="{00000000-0005-0000-0000-0000D5830000}"/>
    <cellStyle name="Calculation 2 12 9" xfId="33764" xr:uid="{00000000-0005-0000-0000-0000D6830000}"/>
    <cellStyle name="Calculation 2 13" xfId="33765" xr:uid="{00000000-0005-0000-0000-0000D7830000}"/>
    <cellStyle name="Calculation 2 13 2" xfId="33766" xr:uid="{00000000-0005-0000-0000-0000D8830000}"/>
    <cellStyle name="Calculation 2 13 2 2" xfId="33767" xr:uid="{00000000-0005-0000-0000-0000D9830000}"/>
    <cellStyle name="Calculation 2 13 2 3" xfId="33768" xr:uid="{00000000-0005-0000-0000-0000DA830000}"/>
    <cellStyle name="Calculation 2 13 3" xfId="33769" xr:uid="{00000000-0005-0000-0000-0000DB830000}"/>
    <cellStyle name="Calculation 2 13 3 2" xfId="33770" xr:uid="{00000000-0005-0000-0000-0000DC830000}"/>
    <cellStyle name="Calculation 2 13 3 3" xfId="33771" xr:uid="{00000000-0005-0000-0000-0000DD830000}"/>
    <cellStyle name="Calculation 2 13 4" xfId="33772" xr:uid="{00000000-0005-0000-0000-0000DE830000}"/>
    <cellStyle name="Calculation 2 13 4 2" xfId="33773" xr:uid="{00000000-0005-0000-0000-0000DF830000}"/>
    <cellStyle name="Calculation 2 13 4 3" xfId="33774" xr:uid="{00000000-0005-0000-0000-0000E0830000}"/>
    <cellStyle name="Calculation 2 13 5" xfId="33775" xr:uid="{00000000-0005-0000-0000-0000E1830000}"/>
    <cellStyle name="Calculation 2 13 6" xfId="33776" xr:uid="{00000000-0005-0000-0000-0000E2830000}"/>
    <cellStyle name="Calculation 2 13 7" xfId="33777" xr:uid="{00000000-0005-0000-0000-0000E3830000}"/>
    <cellStyle name="Calculation 2 14" xfId="33778" xr:uid="{00000000-0005-0000-0000-0000E4830000}"/>
    <cellStyle name="Calculation 2 14 2" xfId="33779" xr:uid="{00000000-0005-0000-0000-0000E5830000}"/>
    <cellStyle name="Calculation 2 14 2 2" xfId="33780" xr:uid="{00000000-0005-0000-0000-0000E6830000}"/>
    <cellStyle name="Calculation 2 14 2 3" xfId="33781" xr:uid="{00000000-0005-0000-0000-0000E7830000}"/>
    <cellStyle name="Calculation 2 14 3" xfId="33782" xr:uid="{00000000-0005-0000-0000-0000E8830000}"/>
    <cellStyle name="Calculation 2 14 3 2" xfId="33783" xr:uid="{00000000-0005-0000-0000-0000E9830000}"/>
    <cellStyle name="Calculation 2 14 3 3" xfId="33784" xr:uid="{00000000-0005-0000-0000-0000EA830000}"/>
    <cellStyle name="Calculation 2 14 4" xfId="33785" xr:uid="{00000000-0005-0000-0000-0000EB830000}"/>
    <cellStyle name="Calculation 2 14 4 2" xfId="33786" xr:uid="{00000000-0005-0000-0000-0000EC830000}"/>
    <cellStyle name="Calculation 2 14 4 3" xfId="33787" xr:uid="{00000000-0005-0000-0000-0000ED830000}"/>
    <cellStyle name="Calculation 2 14 5" xfId="33788" xr:uid="{00000000-0005-0000-0000-0000EE830000}"/>
    <cellStyle name="Calculation 2 14 6" xfId="33789" xr:uid="{00000000-0005-0000-0000-0000EF830000}"/>
    <cellStyle name="Calculation 2 14 7" xfId="33790" xr:uid="{00000000-0005-0000-0000-0000F0830000}"/>
    <cellStyle name="Calculation 2 15" xfId="33791" xr:uid="{00000000-0005-0000-0000-0000F1830000}"/>
    <cellStyle name="Calculation 2 15 2" xfId="33792" xr:uid="{00000000-0005-0000-0000-0000F2830000}"/>
    <cellStyle name="Calculation 2 15 2 2" xfId="33793" xr:uid="{00000000-0005-0000-0000-0000F3830000}"/>
    <cellStyle name="Calculation 2 15 2 3" xfId="33794" xr:uid="{00000000-0005-0000-0000-0000F4830000}"/>
    <cellStyle name="Calculation 2 15 3" xfId="33795" xr:uid="{00000000-0005-0000-0000-0000F5830000}"/>
    <cellStyle name="Calculation 2 15 3 2" xfId="33796" xr:uid="{00000000-0005-0000-0000-0000F6830000}"/>
    <cellStyle name="Calculation 2 15 3 3" xfId="33797" xr:uid="{00000000-0005-0000-0000-0000F7830000}"/>
    <cellStyle name="Calculation 2 15 4" xfId="33798" xr:uid="{00000000-0005-0000-0000-0000F8830000}"/>
    <cellStyle name="Calculation 2 15 4 2" xfId="33799" xr:uid="{00000000-0005-0000-0000-0000F9830000}"/>
    <cellStyle name="Calculation 2 15 4 3" xfId="33800" xr:uid="{00000000-0005-0000-0000-0000FA830000}"/>
    <cellStyle name="Calculation 2 15 5" xfId="33801" xr:uid="{00000000-0005-0000-0000-0000FB830000}"/>
    <cellStyle name="Calculation 2 15 6" xfId="33802" xr:uid="{00000000-0005-0000-0000-0000FC830000}"/>
    <cellStyle name="Calculation 2 15 7" xfId="33803" xr:uid="{00000000-0005-0000-0000-0000FD830000}"/>
    <cellStyle name="Calculation 2 16" xfId="33804" xr:uid="{00000000-0005-0000-0000-0000FE830000}"/>
    <cellStyle name="Calculation 2 16 2" xfId="33805" xr:uid="{00000000-0005-0000-0000-0000FF830000}"/>
    <cellStyle name="Calculation 2 16 3" xfId="33806" xr:uid="{00000000-0005-0000-0000-000000840000}"/>
    <cellStyle name="Calculation 2 17" xfId="33807" xr:uid="{00000000-0005-0000-0000-000001840000}"/>
    <cellStyle name="Calculation 2 17 2" xfId="33808" xr:uid="{00000000-0005-0000-0000-000002840000}"/>
    <cellStyle name="Calculation 2 17 3" xfId="33809" xr:uid="{00000000-0005-0000-0000-000003840000}"/>
    <cellStyle name="Calculation 2 18" xfId="33810" xr:uid="{00000000-0005-0000-0000-000004840000}"/>
    <cellStyle name="Calculation 2 18 2" xfId="33811" xr:uid="{00000000-0005-0000-0000-000005840000}"/>
    <cellStyle name="Calculation 2 18 3" xfId="33812" xr:uid="{00000000-0005-0000-0000-000006840000}"/>
    <cellStyle name="Calculation 2 19" xfId="33813" xr:uid="{00000000-0005-0000-0000-000007840000}"/>
    <cellStyle name="Calculation 2 19 2" xfId="33814" xr:uid="{00000000-0005-0000-0000-000008840000}"/>
    <cellStyle name="Calculation 2 19 3" xfId="33815" xr:uid="{00000000-0005-0000-0000-000009840000}"/>
    <cellStyle name="Calculation 2 2" xfId="33816" xr:uid="{00000000-0005-0000-0000-00000A840000}"/>
    <cellStyle name="Calculation 2 2 10" xfId="33817" xr:uid="{00000000-0005-0000-0000-00000B840000}"/>
    <cellStyle name="Calculation 2 2 11" xfId="33818" xr:uid="{00000000-0005-0000-0000-00000C840000}"/>
    <cellStyle name="Calculation 2 2 12" xfId="33819" xr:uid="{00000000-0005-0000-0000-00000D840000}"/>
    <cellStyle name="Calculation 2 2 13" xfId="33820" xr:uid="{00000000-0005-0000-0000-00000E840000}"/>
    <cellStyle name="Calculation 2 2 14" xfId="33821" xr:uid="{00000000-0005-0000-0000-00000F840000}"/>
    <cellStyle name="Calculation 2 2 15" xfId="33822" xr:uid="{00000000-0005-0000-0000-000010840000}"/>
    <cellStyle name="Calculation 2 2 16" xfId="33823" xr:uid="{00000000-0005-0000-0000-000011840000}"/>
    <cellStyle name="Calculation 2 2 17" xfId="33824" xr:uid="{00000000-0005-0000-0000-000012840000}"/>
    <cellStyle name="Calculation 2 2 18" xfId="33825" xr:uid="{00000000-0005-0000-0000-000013840000}"/>
    <cellStyle name="Calculation 2 2 19" xfId="33826" xr:uid="{00000000-0005-0000-0000-000014840000}"/>
    <cellStyle name="Calculation 2 2 2" xfId="33827" xr:uid="{00000000-0005-0000-0000-000015840000}"/>
    <cellStyle name="Calculation 2 2 2 2" xfId="33828" xr:uid="{00000000-0005-0000-0000-000016840000}"/>
    <cellStyle name="Calculation 2 2 2 2 2" xfId="33829" xr:uid="{00000000-0005-0000-0000-000017840000}"/>
    <cellStyle name="Calculation 2 2 2 2 2 2" xfId="33830" xr:uid="{00000000-0005-0000-0000-000018840000}"/>
    <cellStyle name="Calculation 2 2 2 2 3" xfId="33831" xr:uid="{00000000-0005-0000-0000-000019840000}"/>
    <cellStyle name="Calculation 2 2 2 3" xfId="33832" xr:uid="{00000000-0005-0000-0000-00001A840000}"/>
    <cellStyle name="Calculation 2 2 2 3 2" xfId="33833" xr:uid="{00000000-0005-0000-0000-00001B840000}"/>
    <cellStyle name="Calculation 2 2 2 3 2 2" xfId="33834" xr:uid="{00000000-0005-0000-0000-00001C840000}"/>
    <cellStyle name="Calculation 2 2 2 3 3" xfId="33835" xr:uid="{00000000-0005-0000-0000-00001D840000}"/>
    <cellStyle name="Calculation 2 2 2 4" xfId="33836" xr:uid="{00000000-0005-0000-0000-00001E840000}"/>
    <cellStyle name="Calculation 2 2 2 4 2" xfId="33837" xr:uid="{00000000-0005-0000-0000-00001F840000}"/>
    <cellStyle name="Calculation 2 2 2 4 3" xfId="33838" xr:uid="{00000000-0005-0000-0000-000020840000}"/>
    <cellStyle name="Calculation 2 2 2 5" xfId="33839" xr:uid="{00000000-0005-0000-0000-000021840000}"/>
    <cellStyle name="Calculation 2 2 2 5 2" xfId="33840" xr:uid="{00000000-0005-0000-0000-000022840000}"/>
    <cellStyle name="Calculation 2 2 2 6" xfId="33841" xr:uid="{00000000-0005-0000-0000-000023840000}"/>
    <cellStyle name="Calculation 2 2 2 7" xfId="33842" xr:uid="{00000000-0005-0000-0000-000024840000}"/>
    <cellStyle name="Calculation 2 2 2 8" xfId="33843" xr:uid="{00000000-0005-0000-0000-000025840000}"/>
    <cellStyle name="Calculation 2 2 20" xfId="33844" xr:uid="{00000000-0005-0000-0000-000026840000}"/>
    <cellStyle name="Calculation 2 2 21" xfId="33845" xr:uid="{00000000-0005-0000-0000-000027840000}"/>
    <cellStyle name="Calculation 2 2 3" xfId="33846" xr:uid="{00000000-0005-0000-0000-000028840000}"/>
    <cellStyle name="Calculation 2 2 3 2" xfId="33847" xr:uid="{00000000-0005-0000-0000-000029840000}"/>
    <cellStyle name="Calculation 2 2 3 2 2" xfId="33848" xr:uid="{00000000-0005-0000-0000-00002A840000}"/>
    <cellStyle name="Calculation 2 2 3 2 2 2" xfId="33849" xr:uid="{00000000-0005-0000-0000-00002B840000}"/>
    <cellStyle name="Calculation 2 2 3 2 3" xfId="33850" xr:uid="{00000000-0005-0000-0000-00002C840000}"/>
    <cellStyle name="Calculation 2 2 3 3" xfId="33851" xr:uid="{00000000-0005-0000-0000-00002D840000}"/>
    <cellStyle name="Calculation 2 2 3 3 2" xfId="33852" xr:uid="{00000000-0005-0000-0000-00002E840000}"/>
    <cellStyle name="Calculation 2 2 3 3 2 2" xfId="33853" xr:uid="{00000000-0005-0000-0000-00002F840000}"/>
    <cellStyle name="Calculation 2 2 3 3 3" xfId="33854" xr:uid="{00000000-0005-0000-0000-000030840000}"/>
    <cellStyle name="Calculation 2 2 3 4" xfId="33855" xr:uid="{00000000-0005-0000-0000-000031840000}"/>
    <cellStyle name="Calculation 2 2 3 4 2" xfId="33856" xr:uid="{00000000-0005-0000-0000-000032840000}"/>
    <cellStyle name="Calculation 2 2 3 5" xfId="33857" xr:uid="{00000000-0005-0000-0000-000033840000}"/>
    <cellStyle name="Calculation 2 2 4" xfId="33858" xr:uid="{00000000-0005-0000-0000-000034840000}"/>
    <cellStyle name="Calculation 2 2 4 2" xfId="33859" xr:uid="{00000000-0005-0000-0000-000035840000}"/>
    <cellStyle name="Calculation 2 2 4 2 2" xfId="33860" xr:uid="{00000000-0005-0000-0000-000036840000}"/>
    <cellStyle name="Calculation 2 2 4 2 2 2" xfId="33861" xr:uid="{00000000-0005-0000-0000-000037840000}"/>
    <cellStyle name="Calculation 2 2 4 2 3" xfId="33862" xr:uid="{00000000-0005-0000-0000-000038840000}"/>
    <cellStyle name="Calculation 2 2 4 3" xfId="33863" xr:uid="{00000000-0005-0000-0000-000039840000}"/>
    <cellStyle name="Calculation 2 2 4 3 2" xfId="33864" xr:uid="{00000000-0005-0000-0000-00003A840000}"/>
    <cellStyle name="Calculation 2 2 4 3 2 2" xfId="33865" xr:uid="{00000000-0005-0000-0000-00003B840000}"/>
    <cellStyle name="Calculation 2 2 4 3 3" xfId="33866" xr:uid="{00000000-0005-0000-0000-00003C840000}"/>
    <cellStyle name="Calculation 2 2 4 4" xfId="33867" xr:uid="{00000000-0005-0000-0000-00003D840000}"/>
    <cellStyle name="Calculation 2 2 4 4 2" xfId="33868" xr:uid="{00000000-0005-0000-0000-00003E840000}"/>
    <cellStyle name="Calculation 2 2 4 5" xfId="33869" xr:uid="{00000000-0005-0000-0000-00003F840000}"/>
    <cellStyle name="Calculation 2 2 5" xfId="33870" xr:uid="{00000000-0005-0000-0000-000040840000}"/>
    <cellStyle name="Calculation 2 2 5 2" xfId="33871" xr:uid="{00000000-0005-0000-0000-000041840000}"/>
    <cellStyle name="Calculation 2 2 5 2 2" xfId="33872" xr:uid="{00000000-0005-0000-0000-000042840000}"/>
    <cellStyle name="Calculation 2 2 5 2 2 2" xfId="33873" xr:uid="{00000000-0005-0000-0000-000043840000}"/>
    <cellStyle name="Calculation 2 2 5 2 3" xfId="33874" xr:uid="{00000000-0005-0000-0000-000044840000}"/>
    <cellStyle name="Calculation 2 2 5 3" xfId="33875" xr:uid="{00000000-0005-0000-0000-000045840000}"/>
    <cellStyle name="Calculation 2 2 5 3 2" xfId="33876" xr:uid="{00000000-0005-0000-0000-000046840000}"/>
    <cellStyle name="Calculation 2 2 5 3 2 2" xfId="33877" xr:uid="{00000000-0005-0000-0000-000047840000}"/>
    <cellStyle name="Calculation 2 2 5 3 3" xfId="33878" xr:uid="{00000000-0005-0000-0000-000048840000}"/>
    <cellStyle name="Calculation 2 2 5 4" xfId="33879" xr:uid="{00000000-0005-0000-0000-000049840000}"/>
    <cellStyle name="Calculation 2 2 5 4 2" xfId="33880" xr:uid="{00000000-0005-0000-0000-00004A840000}"/>
    <cellStyle name="Calculation 2 2 5 5" xfId="33881" xr:uid="{00000000-0005-0000-0000-00004B840000}"/>
    <cellStyle name="Calculation 2 2 6" xfId="33882" xr:uid="{00000000-0005-0000-0000-00004C840000}"/>
    <cellStyle name="Calculation 2 2 6 2" xfId="33883" xr:uid="{00000000-0005-0000-0000-00004D840000}"/>
    <cellStyle name="Calculation 2 2 6 2 2" xfId="33884" xr:uid="{00000000-0005-0000-0000-00004E840000}"/>
    <cellStyle name="Calculation 2 2 6 2 2 2" xfId="33885" xr:uid="{00000000-0005-0000-0000-00004F840000}"/>
    <cellStyle name="Calculation 2 2 6 2 3" xfId="33886" xr:uid="{00000000-0005-0000-0000-000050840000}"/>
    <cellStyle name="Calculation 2 2 6 3" xfId="33887" xr:uid="{00000000-0005-0000-0000-000051840000}"/>
    <cellStyle name="Calculation 2 2 6 3 2" xfId="33888" xr:uid="{00000000-0005-0000-0000-000052840000}"/>
    <cellStyle name="Calculation 2 2 6 3 2 2" xfId="33889" xr:uid="{00000000-0005-0000-0000-000053840000}"/>
    <cellStyle name="Calculation 2 2 6 3 3" xfId="33890" xr:uid="{00000000-0005-0000-0000-000054840000}"/>
    <cellStyle name="Calculation 2 2 6 4" xfId="33891" xr:uid="{00000000-0005-0000-0000-000055840000}"/>
    <cellStyle name="Calculation 2 2 6 4 2" xfId="33892" xr:uid="{00000000-0005-0000-0000-000056840000}"/>
    <cellStyle name="Calculation 2 2 6 5" xfId="33893" xr:uid="{00000000-0005-0000-0000-000057840000}"/>
    <cellStyle name="Calculation 2 2 7" xfId="33894" xr:uid="{00000000-0005-0000-0000-000058840000}"/>
    <cellStyle name="Calculation 2 2 7 2" xfId="33895" xr:uid="{00000000-0005-0000-0000-000059840000}"/>
    <cellStyle name="Calculation 2 2 7 2 2" xfId="33896" xr:uid="{00000000-0005-0000-0000-00005A840000}"/>
    <cellStyle name="Calculation 2 2 7 3" xfId="33897" xr:uid="{00000000-0005-0000-0000-00005B840000}"/>
    <cellStyle name="Calculation 2 2 8" xfId="33898" xr:uid="{00000000-0005-0000-0000-00005C840000}"/>
    <cellStyle name="Calculation 2 2 8 2" xfId="33899" xr:uid="{00000000-0005-0000-0000-00005D840000}"/>
    <cellStyle name="Calculation 2 2 8 2 2" xfId="33900" xr:uid="{00000000-0005-0000-0000-00005E840000}"/>
    <cellStyle name="Calculation 2 2 8 3" xfId="33901" xr:uid="{00000000-0005-0000-0000-00005F840000}"/>
    <cellStyle name="Calculation 2 2 9" xfId="33902" xr:uid="{00000000-0005-0000-0000-000060840000}"/>
    <cellStyle name="Calculation 2 2 9 2" xfId="33903" xr:uid="{00000000-0005-0000-0000-000061840000}"/>
    <cellStyle name="Calculation 2 20" xfId="33904" xr:uid="{00000000-0005-0000-0000-000062840000}"/>
    <cellStyle name="Calculation 2 21" xfId="33905" xr:uid="{00000000-0005-0000-0000-000063840000}"/>
    <cellStyle name="Calculation 2 22" xfId="33906" xr:uid="{00000000-0005-0000-0000-000064840000}"/>
    <cellStyle name="Calculation 2 23" xfId="33907" xr:uid="{00000000-0005-0000-0000-000065840000}"/>
    <cellStyle name="Calculation 2 24" xfId="33908" xr:uid="{00000000-0005-0000-0000-000066840000}"/>
    <cellStyle name="Calculation 2 3" xfId="33909" xr:uid="{00000000-0005-0000-0000-000067840000}"/>
    <cellStyle name="Calculation 2 3 10" xfId="33910" xr:uid="{00000000-0005-0000-0000-000068840000}"/>
    <cellStyle name="Calculation 2 3 11" xfId="33911" xr:uid="{00000000-0005-0000-0000-000069840000}"/>
    <cellStyle name="Calculation 2 3 12" xfId="33912" xr:uid="{00000000-0005-0000-0000-00006A840000}"/>
    <cellStyle name="Calculation 2 3 13" xfId="33913" xr:uid="{00000000-0005-0000-0000-00006B840000}"/>
    <cellStyle name="Calculation 2 3 14" xfId="33914" xr:uid="{00000000-0005-0000-0000-00006C840000}"/>
    <cellStyle name="Calculation 2 3 15" xfId="33915" xr:uid="{00000000-0005-0000-0000-00006D840000}"/>
    <cellStyle name="Calculation 2 3 16" xfId="33916" xr:uid="{00000000-0005-0000-0000-00006E840000}"/>
    <cellStyle name="Calculation 2 3 17" xfId="33917" xr:uid="{00000000-0005-0000-0000-00006F840000}"/>
    <cellStyle name="Calculation 2 3 18" xfId="33918" xr:uid="{00000000-0005-0000-0000-000070840000}"/>
    <cellStyle name="Calculation 2 3 19" xfId="33919" xr:uid="{00000000-0005-0000-0000-000071840000}"/>
    <cellStyle name="Calculation 2 3 2" xfId="33920" xr:uid="{00000000-0005-0000-0000-000072840000}"/>
    <cellStyle name="Calculation 2 3 2 2" xfId="33921" xr:uid="{00000000-0005-0000-0000-000073840000}"/>
    <cellStyle name="Calculation 2 3 2 2 2" xfId="33922" xr:uid="{00000000-0005-0000-0000-000074840000}"/>
    <cellStyle name="Calculation 2 3 2 2 2 2" xfId="33923" xr:uid="{00000000-0005-0000-0000-000075840000}"/>
    <cellStyle name="Calculation 2 3 2 2 3" xfId="33924" xr:uid="{00000000-0005-0000-0000-000076840000}"/>
    <cellStyle name="Calculation 2 3 2 3" xfId="33925" xr:uid="{00000000-0005-0000-0000-000077840000}"/>
    <cellStyle name="Calculation 2 3 2 3 2" xfId="33926" xr:uid="{00000000-0005-0000-0000-000078840000}"/>
    <cellStyle name="Calculation 2 3 2 3 2 2" xfId="33927" xr:uid="{00000000-0005-0000-0000-000079840000}"/>
    <cellStyle name="Calculation 2 3 2 3 3" xfId="33928" xr:uid="{00000000-0005-0000-0000-00007A840000}"/>
    <cellStyle name="Calculation 2 3 2 4" xfId="33929" xr:uid="{00000000-0005-0000-0000-00007B840000}"/>
    <cellStyle name="Calculation 2 3 2 4 2" xfId="33930" xr:uid="{00000000-0005-0000-0000-00007C840000}"/>
    <cellStyle name="Calculation 2 3 2 5" xfId="33931" xr:uid="{00000000-0005-0000-0000-00007D840000}"/>
    <cellStyle name="Calculation 2 3 20" xfId="33932" xr:uid="{00000000-0005-0000-0000-00007E840000}"/>
    <cellStyle name="Calculation 2 3 21" xfId="33933" xr:uid="{00000000-0005-0000-0000-00007F840000}"/>
    <cellStyle name="Calculation 2 3 3" xfId="33934" xr:uid="{00000000-0005-0000-0000-000080840000}"/>
    <cellStyle name="Calculation 2 3 3 2" xfId="33935" xr:uid="{00000000-0005-0000-0000-000081840000}"/>
    <cellStyle name="Calculation 2 3 3 2 2" xfId="33936" xr:uid="{00000000-0005-0000-0000-000082840000}"/>
    <cellStyle name="Calculation 2 3 3 2 2 2" xfId="33937" xr:uid="{00000000-0005-0000-0000-000083840000}"/>
    <cellStyle name="Calculation 2 3 3 2 3" xfId="33938" xr:uid="{00000000-0005-0000-0000-000084840000}"/>
    <cellStyle name="Calculation 2 3 3 3" xfId="33939" xr:uid="{00000000-0005-0000-0000-000085840000}"/>
    <cellStyle name="Calculation 2 3 3 3 2" xfId="33940" xr:uid="{00000000-0005-0000-0000-000086840000}"/>
    <cellStyle name="Calculation 2 3 3 3 2 2" xfId="33941" xr:uid="{00000000-0005-0000-0000-000087840000}"/>
    <cellStyle name="Calculation 2 3 3 3 3" xfId="33942" xr:uid="{00000000-0005-0000-0000-000088840000}"/>
    <cellStyle name="Calculation 2 3 3 4" xfId="33943" xr:uid="{00000000-0005-0000-0000-000089840000}"/>
    <cellStyle name="Calculation 2 3 3 4 2" xfId="33944" xr:uid="{00000000-0005-0000-0000-00008A840000}"/>
    <cellStyle name="Calculation 2 3 3 5" xfId="33945" xr:uid="{00000000-0005-0000-0000-00008B840000}"/>
    <cellStyle name="Calculation 2 3 4" xfId="33946" xr:uid="{00000000-0005-0000-0000-00008C840000}"/>
    <cellStyle name="Calculation 2 3 4 2" xfId="33947" xr:uid="{00000000-0005-0000-0000-00008D840000}"/>
    <cellStyle name="Calculation 2 3 4 2 2" xfId="33948" xr:uid="{00000000-0005-0000-0000-00008E840000}"/>
    <cellStyle name="Calculation 2 3 4 2 2 2" xfId="33949" xr:uid="{00000000-0005-0000-0000-00008F840000}"/>
    <cellStyle name="Calculation 2 3 4 2 3" xfId="33950" xr:uid="{00000000-0005-0000-0000-000090840000}"/>
    <cellStyle name="Calculation 2 3 4 3" xfId="33951" xr:uid="{00000000-0005-0000-0000-000091840000}"/>
    <cellStyle name="Calculation 2 3 4 3 2" xfId="33952" xr:uid="{00000000-0005-0000-0000-000092840000}"/>
    <cellStyle name="Calculation 2 3 4 3 2 2" xfId="33953" xr:uid="{00000000-0005-0000-0000-000093840000}"/>
    <cellStyle name="Calculation 2 3 4 3 3" xfId="33954" xr:uid="{00000000-0005-0000-0000-000094840000}"/>
    <cellStyle name="Calculation 2 3 4 4" xfId="33955" xr:uid="{00000000-0005-0000-0000-000095840000}"/>
    <cellStyle name="Calculation 2 3 4 4 2" xfId="33956" xr:uid="{00000000-0005-0000-0000-000096840000}"/>
    <cellStyle name="Calculation 2 3 4 5" xfId="33957" xr:uid="{00000000-0005-0000-0000-000097840000}"/>
    <cellStyle name="Calculation 2 3 5" xfId="33958" xr:uid="{00000000-0005-0000-0000-000098840000}"/>
    <cellStyle name="Calculation 2 3 5 2" xfId="33959" xr:uid="{00000000-0005-0000-0000-000099840000}"/>
    <cellStyle name="Calculation 2 3 5 2 2" xfId="33960" xr:uid="{00000000-0005-0000-0000-00009A840000}"/>
    <cellStyle name="Calculation 2 3 5 2 2 2" xfId="33961" xr:uid="{00000000-0005-0000-0000-00009B840000}"/>
    <cellStyle name="Calculation 2 3 5 2 3" xfId="33962" xr:uid="{00000000-0005-0000-0000-00009C840000}"/>
    <cellStyle name="Calculation 2 3 5 3" xfId="33963" xr:uid="{00000000-0005-0000-0000-00009D840000}"/>
    <cellStyle name="Calculation 2 3 5 3 2" xfId="33964" xr:uid="{00000000-0005-0000-0000-00009E840000}"/>
    <cellStyle name="Calculation 2 3 5 3 2 2" xfId="33965" xr:uid="{00000000-0005-0000-0000-00009F840000}"/>
    <cellStyle name="Calculation 2 3 5 3 3" xfId="33966" xr:uid="{00000000-0005-0000-0000-0000A0840000}"/>
    <cellStyle name="Calculation 2 3 5 4" xfId="33967" xr:uid="{00000000-0005-0000-0000-0000A1840000}"/>
    <cellStyle name="Calculation 2 3 5 4 2" xfId="33968" xr:uid="{00000000-0005-0000-0000-0000A2840000}"/>
    <cellStyle name="Calculation 2 3 5 5" xfId="33969" xr:uid="{00000000-0005-0000-0000-0000A3840000}"/>
    <cellStyle name="Calculation 2 3 6" xfId="33970" xr:uid="{00000000-0005-0000-0000-0000A4840000}"/>
    <cellStyle name="Calculation 2 3 6 2" xfId="33971" xr:uid="{00000000-0005-0000-0000-0000A5840000}"/>
    <cellStyle name="Calculation 2 3 6 2 2" xfId="33972" xr:uid="{00000000-0005-0000-0000-0000A6840000}"/>
    <cellStyle name="Calculation 2 3 6 2 2 2" xfId="33973" xr:uid="{00000000-0005-0000-0000-0000A7840000}"/>
    <cellStyle name="Calculation 2 3 6 2 3" xfId="33974" xr:uid="{00000000-0005-0000-0000-0000A8840000}"/>
    <cellStyle name="Calculation 2 3 6 3" xfId="33975" xr:uid="{00000000-0005-0000-0000-0000A9840000}"/>
    <cellStyle name="Calculation 2 3 6 3 2" xfId="33976" xr:uid="{00000000-0005-0000-0000-0000AA840000}"/>
    <cellStyle name="Calculation 2 3 6 3 2 2" xfId="33977" xr:uid="{00000000-0005-0000-0000-0000AB840000}"/>
    <cellStyle name="Calculation 2 3 6 3 3" xfId="33978" xr:uid="{00000000-0005-0000-0000-0000AC840000}"/>
    <cellStyle name="Calculation 2 3 6 4" xfId="33979" xr:uid="{00000000-0005-0000-0000-0000AD840000}"/>
    <cellStyle name="Calculation 2 3 6 4 2" xfId="33980" xr:uid="{00000000-0005-0000-0000-0000AE840000}"/>
    <cellStyle name="Calculation 2 3 6 5" xfId="33981" xr:uid="{00000000-0005-0000-0000-0000AF840000}"/>
    <cellStyle name="Calculation 2 3 7" xfId="33982" xr:uid="{00000000-0005-0000-0000-0000B0840000}"/>
    <cellStyle name="Calculation 2 3 7 2" xfId="33983" xr:uid="{00000000-0005-0000-0000-0000B1840000}"/>
    <cellStyle name="Calculation 2 3 7 2 2" xfId="33984" xr:uid="{00000000-0005-0000-0000-0000B2840000}"/>
    <cellStyle name="Calculation 2 3 7 3" xfId="33985" xr:uid="{00000000-0005-0000-0000-0000B3840000}"/>
    <cellStyle name="Calculation 2 3 8" xfId="33986" xr:uid="{00000000-0005-0000-0000-0000B4840000}"/>
    <cellStyle name="Calculation 2 3 8 2" xfId="33987" xr:uid="{00000000-0005-0000-0000-0000B5840000}"/>
    <cellStyle name="Calculation 2 3 8 2 2" xfId="33988" xr:uid="{00000000-0005-0000-0000-0000B6840000}"/>
    <cellStyle name="Calculation 2 3 8 3" xfId="33989" xr:uid="{00000000-0005-0000-0000-0000B7840000}"/>
    <cellStyle name="Calculation 2 3 9" xfId="33990" xr:uid="{00000000-0005-0000-0000-0000B8840000}"/>
    <cellStyle name="Calculation 2 3 9 2" xfId="33991" xr:uid="{00000000-0005-0000-0000-0000B9840000}"/>
    <cellStyle name="Calculation 2 4" xfId="33992" xr:uid="{00000000-0005-0000-0000-0000BA840000}"/>
    <cellStyle name="Calculation 2 4 10" xfId="33993" xr:uid="{00000000-0005-0000-0000-0000BB840000}"/>
    <cellStyle name="Calculation 2 4 11" xfId="33994" xr:uid="{00000000-0005-0000-0000-0000BC840000}"/>
    <cellStyle name="Calculation 2 4 12" xfId="33995" xr:uid="{00000000-0005-0000-0000-0000BD840000}"/>
    <cellStyle name="Calculation 2 4 13" xfId="33996" xr:uid="{00000000-0005-0000-0000-0000BE840000}"/>
    <cellStyle name="Calculation 2 4 14" xfId="33997" xr:uid="{00000000-0005-0000-0000-0000BF840000}"/>
    <cellStyle name="Calculation 2 4 15" xfId="33998" xr:uid="{00000000-0005-0000-0000-0000C0840000}"/>
    <cellStyle name="Calculation 2 4 16" xfId="33999" xr:uid="{00000000-0005-0000-0000-0000C1840000}"/>
    <cellStyle name="Calculation 2 4 2" xfId="34000" xr:uid="{00000000-0005-0000-0000-0000C2840000}"/>
    <cellStyle name="Calculation 2 4 2 2" xfId="34001" xr:uid="{00000000-0005-0000-0000-0000C3840000}"/>
    <cellStyle name="Calculation 2 4 2 2 2" xfId="34002" xr:uid="{00000000-0005-0000-0000-0000C4840000}"/>
    <cellStyle name="Calculation 2 4 2 2 2 2" xfId="34003" xr:uid="{00000000-0005-0000-0000-0000C5840000}"/>
    <cellStyle name="Calculation 2 4 2 2 3" xfId="34004" xr:uid="{00000000-0005-0000-0000-0000C6840000}"/>
    <cellStyle name="Calculation 2 4 2 3" xfId="34005" xr:uid="{00000000-0005-0000-0000-0000C7840000}"/>
    <cellStyle name="Calculation 2 4 2 3 2" xfId="34006" xr:uid="{00000000-0005-0000-0000-0000C8840000}"/>
    <cellStyle name="Calculation 2 4 2 3 2 2" xfId="34007" xr:uid="{00000000-0005-0000-0000-0000C9840000}"/>
    <cellStyle name="Calculation 2 4 2 3 3" xfId="34008" xr:uid="{00000000-0005-0000-0000-0000CA840000}"/>
    <cellStyle name="Calculation 2 4 2 4" xfId="34009" xr:uid="{00000000-0005-0000-0000-0000CB840000}"/>
    <cellStyle name="Calculation 2 4 2 4 2" xfId="34010" xr:uid="{00000000-0005-0000-0000-0000CC840000}"/>
    <cellStyle name="Calculation 2 4 2 5" xfId="34011" xr:uid="{00000000-0005-0000-0000-0000CD840000}"/>
    <cellStyle name="Calculation 2 4 3" xfId="34012" xr:uid="{00000000-0005-0000-0000-0000CE840000}"/>
    <cellStyle name="Calculation 2 4 3 2" xfId="34013" xr:uid="{00000000-0005-0000-0000-0000CF840000}"/>
    <cellStyle name="Calculation 2 4 3 2 2" xfId="34014" xr:uid="{00000000-0005-0000-0000-0000D0840000}"/>
    <cellStyle name="Calculation 2 4 3 2 2 2" xfId="34015" xr:uid="{00000000-0005-0000-0000-0000D1840000}"/>
    <cellStyle name="Calculation 2 4 3 2 3" xfId="34016" xr:uid="{00000000-0005-0000-0000-0000D2840000}"/>
    <cellStyle name="Calculation 2 4 3 3" xfId="34017" xr:uid="{00000000-0005-0000-0000-0000D3840000}"/>
    <cellStyle name="Calculation 2 4 3 3 2" xfId="34018" xr:uid="{00000000-0005-0000-0000-0000D4840000}"/>
    <cellStyle name="Calculation 2 4 3 3 2 2" xfId="34019" xr:uid="{00000000-0005-0000-0000-0000D5840000}"/>
    <cellStyle name="Calculation 2 4 3 3 3" xfId="34020" xr:uid="{00000000-0005-0000-0000-0000D6840000}"/>
    <cellStyle name="Calculation 2 4 3 4" xfId="34021" xr:uid="{00000000-0005-0000-0000-0000D7840000}"/>
    <cellStyle name="Calculation 2 4 3 4 2" xfId="34022" xr:uid="{00000000-0005-0000-0000-0000D8840000}"/>
    <cellStyle name="Calculation 2 4 3 5" xfId="34023" xr:uid="{00000000-0005-0000-0000-0000D9840000}"/>
    <cellStyle name="Calculation 2 4 4" xfId="34024" xr:uid="{00000000-0005-0000-0000-0000DA840000}"/>
    <cellStyle name="Calculation 2 4 4 2" xfId="34025" xr:uid="{00000000-0005-0000-0000-0000DB840000}"/>
    <cellStyle name="Calculation 2 4 4 2 2" xfId="34026" xr:uid="{00000000-0005-0000-0000-0000DC840000}"/>
    <cellStyle name="Calculation 2 4 4 2 2 2" xfId="34027" xr:uid="{00000000-0005-0000-0000-0000DD840000}"/>
    <cellStyle name="Calculation 2 4 4 2 3" xfId="34028" xr:uid="{00000000-0005-0000-0000-0000DE840000}"/>
    <cellStyle name="Calculation 2 4 4 3" xfId="34029" xr:uid="{00000000-0005-0000-0000-0000DF840000}"/>
    <cellStyle name="Calculation 2 4 4 3 2" xfId="34030" xr:uid="{00000000-0005-0000-0000-0000E0840000}"/>
    <cellStyle name="Calculation 2 4 4 3 2 2" xfId="34031" xr:uid="{00000000-0005-0000-0000-0000E1840000}"/>
    <cellStyle name="Calculation 2 4 4 3 3" xfId="34032" xr:uid="{00000000-0005-0000-0000-0000E2840000}"/>
    <cellStyle name="Calculation 2 4 4 4" xfId="34033" xr:uid="{00000000-0005-0000-0000-0000E3840000}"/>
    <cellStyle name="Calculation 2 4 4 4 2" xfId="34034" xr:uid="{00000000-0005-0000-0000-0000E4840000}"/>
    <cellStyle name="Calculation 2 4 4 5" xfId="34035" xr:uid="{00000000-0005-0000-0000-0000E5840000}"/>
    <cellStyle name="Calculation 2 4 5" xfId="34036" xr:uid="{00000000-0005-0000-0000-0000E6840000}"/>
    <cellStyle name="Calculation 2 4 5 2" xfId="34037" xr:uid="{00000000-0005-0000-0000-0000E7840000}"/>
    <cellStyle name="Calculation 2 4 5 2 2" xfId="34038" xr:uid="{00000000-0005-0000-0000-0000E8840000}"/>
    <cellStyle name="Calculation 2 4 5 2 2 2" xfId="34039" xr:uid="{00000000-0005-0000-0000-0000E9840000}"/>
    <cellStyle name="Calculation 2 4 5 2 3" xfId="34040" xr:uid="{00000000-0005-0000-0000-0000EA840000}"/>
    <cellStyle name="Calculation 2 4 5 3" xfId="34041" xr:uid="{00000000-0005-0000-0000-0000EB840000}"/>
    <cellStyle name="Calculation 2 4 5 3 2" xfId="34042" xr:uid="{00000000-0005-0000-0000-0000EC840000}"/>
    <cellStyle name="Calculation 2 4 5 3 2 2" xfId="34043" xr:uid="{00000000-0005-0000-0000-0000ED840000}"/>
    <cellStyle name="Calculation 2 4 5 3 3" xfId="34044" xr:uid="{00000000-0005-0000-0000-0000EE840000}"/>
    <cellStyle name="Calculation 2 4 5 4" xfId="34045" xr:uid="{00000000-0005-0000-0000-0000EF840000}"/>
    <cellStyle name="Calculation 2 4 5 4 2" xfId="34046" xr:uid="{00000000-0005-0000-0000-0000F0840000}"/>
    <cellStyle name="Calculation 2 4 5 5" xfId="34047" xr:uid="{00000000-0005-0000-0000-0000F1840000}"/>
    <cellStyle name="Calculation 2 4 6" xfId="34048" xr:uid="{00000000-0005-0000-0000-0000F2840000}"/>
    <cellStyle name="Calculation 2 4 6 2" xfId="34049" xr:uid="{00000000-0005-0000-0000-0000F3840000}"/>
    <cellStyle name="Calculation 2 4 6 2 2" xfId="34050" xr:uid="{00000000-0005-0000-0000-0000F4840000}"/>
    <cellStyle name="Calculation 2 4 6 2 2 2" xfId="34051" xr:uid="{00000000-0005-0000-0000-0000F5840000}"/>
    <cellStyle name="Calculation 2 4 6 2 3" xfId="34052" xr:uid="{00000000-0005-0000-0000-0000F6840000}"/>
    <cellStyle name="Calculation 2 4 6 3" xfId="34053" xr:uid="{00000000-0005-0000-0000-0000F7840000}"/>
    <cellStyle name="Calculation 2 4 6 3 2" xfId="34054" xr:uid="{00000000-0005-0000-0000-0000F8840000}"/>
    <cellStyle name="Calculation 2 4 6 3 2 2" xfId="34055" xr:uid="{00000000-0005-0000-0000-0000F9840000}"/>
    <cellStyle name="Calculation 2 4 6 3 3" xfId="34056" xr:uid="{00000000-0005-0000-0000-0000FA840000}"/>
    <cellStyle name="Calculation 2 4 6 4" xfId="34057" xr:uid="{00000000-0005-0000-0000-0000FB840000}"/>
    <cellStyle name="Calculation 2 4 6 4 2" xfId="34058" xr:uid="{00000000-0005-0000-0000-0000FC840000}"/>
    <cellStyle name="Calculation 2 4 6 5" xfId="34059" xr:uid="{00000000-0005-0000-0000-0000FD840000}"/>
    <cellStyle name="Calculation 2 4 7" xfId="34060" xr:uid="{00000000-0005-0000-0000-0000FE840000}"/>
    <cellStyle name="Calculation 2 4 7 2" xfId="34061" xr:uid="{00000000-0005-0000-0000-0000FF840000}"/>
    <cellStyle name="Calculation 2 4 7 2 2" xfId="34062" xr:uid="{00000000-0005-0000-0000-000000850000}"/>
    <cellStyle name="Calculation 2 4 7 3" xfId="34063" xr:uid="{00000000-0005-0000-0000-000001850000}"/>
    <cellStyle name="Calculation 2 4 8" xfId="34064" xr:uid="{00000000-0005-0000-0000-000002850000}"/>
    <cellStyle name="Calculation 2 4 8 2" xfId="34065" xr:uid="{00000000-0005-0000-0000-000003850000}"/>
    <cellStyle name="Calculation 2 4 8 2 2" xfId="34066" xr:uid="{00000000-0005-0000-0000-000004850000}"/>
    <cellStyle name="Calculation 2 4 8 3" xfId="34067" xr:uid="{00000000-0005-0000-0000-000005850000}"/>
    <cellStyle name="Calculation 2 4 9" xfId="34068" xr:uid="{00000000-0005-0000-0000-000006850000}"/>
    <cellStyle name="Calculation 2 4 9 2" xfId="34069" xr:uid="{00000000-0005-0000-0000-000007850000}"/>
    <cellStyle name="Calculation 2 5" xfId="34070" xr:uid="{00000000-0005-0000-0000-000008850000}"/>
    <cellStyle name="Calculation 2 5 10" xfId="34071" xr:uid="{00000000-0005-0000-0000-000009850000}"/>
    <cellStyle name="Calculation 2 5 11" xfId="34072" xr:uid="{00000000-0005-0000-0000-00000A850000}"/>
    <cellStyle name="Calculation 2 5 12" xfId="34073" xr:uid="{00000000-0005-0000-0000-00000B850000}"/>
    <cellStyle name="Calculation 2 5 13" xfId="34074" xr:uid="{00000000-0005-0000-0000-00000C850000}"/>
    <cellStyle name="Calculation 2 5 14" xfId="34075" xr:uid="{00000000-0005-0000-0000-00000D850000}"/>
    <cellStyle name="Calculation 2 5 15" xfId="34076" xr:uid="{00000000-0005-0000-0000-00000E850000}"/>
    <cellStyle name="Calculation 2 5 16" xfId="34077" xr:uid="{00000000-0005-0000-0000-00000F850000}"/>
    <cellStyle name="Calculation 2 5 2" xfId="34078" xr:uid="{00000000-0005-0000-0000-000010850000}"/>
    <cellStyle name="Calculation 2 5 2 2" xfId="34079" xr:uid="{00000000-0005-0000-0000-000011850000}"/>
    <cellStyle name="Calculation 2 5 2 2 2" xfId="34080" xr:uid="{00000000-0005-0000-0000-000012850000}"/>
    <cellStyle name="Calculation 2 5 2 2 2 2" xfId="34081" xr:uid="{00000000-0005-0000-0000-000013850000}"/>
    <cellStyle name="Calculation 2 5 2 2 3" xfId="34082" xr:uid="{00000000-0005-0000-0000-000014850000}"/>
    <cellStyle name="Calculation 2 5 2 3" xfId="34083" xr:uid="{00000000-0005-0000-0000-000015850000}"/>
    <cellStyle name="Calculation 2 5 2 3 2" xfId="34084" xr:uid="{00000000-0005-0000-0000-000016850000}"/>
    <cellStyle name="Calculation 2 5 2 3 2 2" xfId="34085" xr:uid="{00000000-0005-0000-0000-000017850000}"/>
    <cellStyle name="Calculation 2 5 2 3 3" xfId="34086" xr:uid="{00000000-0005-0000-0000-000018850000}"/>
    <cellStyle name="Calculation 2 5 2 4" xfId="34087" xr:uid="{00000000-0005-0000-0000-000019850000}"/>
    <cellStyle name="Calculation 2 5 2 4 2" xfId="34088" xr:uid="{00000000-0005-0000-0000-00001A850000}"/>
    <cellStyle name="Calculation 2 5 2 5" xfId="34089" xr:uid="{00000000-0005-0000-0000-00001B850000}"/>
    <cellStyle name="Calculation 2 5 3" xfId="34090" xr:uid="{00000000-0005-0000-0000-00001C850000}"/>
    <cellStyle name="Calculation 2 5 3 2" xfId="34091" xr:uid="{00000000-0005-0000-0000-00001D850000}"/>
    <cellStyle name="Calculation 2 5 3 2 2" xfId="34092" xr:uid="{00000000-0005-0000-0000-00001E850000}"/>
    <cellStyle name="Calculation 2 5 3 2 2 2" xfId="34093" xr:uid="{00000000-0005-0000-0000-00001F850000}"/>
    <cellStyle name="Calculation 2 5 3 2 3" xfId="34094" xr:uid="{00000000-0005-0000-0000-000020850000}"/>
    <cellStyle name="Calculation 2 5 3 3" xfId="34095" xr:uid="{00000000-0005-0000-0000-000021850000}"/>
    <cellStyle name="Calculation 2 5 3 3 2" xfId="34096" xr:uid="{00000000-0005-0000-0000-000022850000}"/>
    <cellStyle name="Calculation 2 5 3 3 2 2" xfId="34097" xr:uid="{00000000-0005-0000-0000-000023850000}"/>
    <cellStyle name="Calculation 2 5 3 3 3" xfId="34098" xr:uid="{00000000-0005-0000-0000-000024850000}"/>
    <cellStyle name="Calculation 2 5 3 4" xfId="34099" xr:uid="{00000000-0005-0000-0000-000025850000}"/>
    <cellStyle name="Calculation 2 5 3 4 2" xfId="34100" xr:uid="{00000000-0005-0000-0000-000026850000}"/>
    <cellStyle name="Calculation 2 5 3 5" xfId="34101" xr:uid="{00000000-0005-0000-0000-000027850000}"/>
    <cellStyle name="Calculation 2 5 4" xfId="34102" xr:uid="{00000000-0005-0000-0000-000028850000}"/>
    <cellStyle name="Calculation 2 5 4 2" xfId="34103" xr:uid="{00000000-0005-0000-0000-000029850000}"/>
    <cellStyle name="Calculation 2 5 4 2 2" xfId="34104" xr:uid="{00000000-0005-0000-0000-00002A850000}"/>
    <cellStyle name="Calculation 2 5 4 2 2 2" xfId="34105" xr:uid="{00000000-0005-0000-0000-00002B850000}"/>
    <cellStyle name="Calculation 2 5 4 2 3" xfId="34106" xr:uid="{00000000-0005-0000-0000-00002C850000}"/>
    <cellStyle name="Calculation 2 5 4 3" xfId="34107" xr:uid="{00000000-0005-0000-0000-00002D850000}"/>
    <cellStyle name="Calculation 2 5 4 3 2" xfId="34108" xr:uid="{00000000-0005-0000-0000-00002E850000}"/>
    <cellStyle name="Calculation 2 5 4 3 2 2" xfId="34109" xr:uid="{00000000-0005-0000-0000-00002F850000}"/>
    <cellStyle name="Calculation 2 5 4 3 3" xfId="34110" xr:uid="{00000000-0005-0000-0000-000030850000}"/>
    <cellStyle name="Calculation 2 5 4 4" xfId="34111" xr:uid="{00000000-0005-0000-0000-000031850000}"/>
    <cellStyle name="Calculation 2 5 4 4 2" xfId="34112" xr:uid="{00000000-0005-0000-0000-000032850000}"/>
    <cellStyle name="Calculation 2 5 4 5" xfId="34113" xr:uid="{00000000-0005-0000-0000-000033850000}"/>
    <cellStyle name="Calculation 2 5 5" xfId="34114" xr:uid="{00000000-0005-0000-0000-000034850000}"/>
    <cellStyle name="Calculation 2 5 5 2" xfId="34115" xr:uid="{00000000-0005-0000-0000-000035850000}"/>
    <cellStyle name="Calculation 2 5 5 2 2" xfId="34116" xr:uid="{00000000-0005-0000-0000-000036850000}"/>
    <cellStyle name="Calculation 2 5 5 2 2 2" xfId="34117" xr:uid="{00000000-0005-0000-0000-000037850000}"/>
    <cellStyle name="Calculation 2 5 5 2 3" xfId="34118" xr:uid="{00000000-0005-0000-0000-000038850000}"/>
    <cellStyle name="Calculation 2 5 5 3" xfId="34119" xr:uid="{00000000-0005-0000-0000-000039850000}"/>
    <cellStyle name="Calculation 2 5 5 3 2" xfId="34120" xr:uid="{00000000-0005-0000-0000-00003A850000}"/>
    <cellStyle name="Calculation 2 5 5 3 2 2" xfId="34121" xr:uid="{00000000-0005-0000-0000-00003B850000}"/>
    <cellStyle name="Calculation 2 5 5 3 3" xfId="34122" xr:uid="{00000000-0005-0000-0000-00003C850000}"/>
    <cellStyle name="Calculation 2 5 5 4" xfId="34123" xr:uid="{00000000-0005-0000-0000-00003D850000}"/>
    <cellStyle name="Calculation 2 5 5 4 2" xfId="34124" xr:uid="{00000000-0005-0000-0000-00003E850000}"/>
    <cellStyle name="Calculation 2 5 5 5" xfId="34125" xr:uid="{00000000-0005-0000-0000-00003F850000}"/>
    <cellStyle name="Calculation 2 5 6" xfId="34126" xr:uid="{00000000-0005-0000-0000-000040850000}"/>
    <cellStyle name="Calculation 2 5 6 2" xfId="34127" xr:uid="{00000000-0005-0000-0000-000041850000}"/>
    <cellStyle name="Calculation 2 5 6 2 2" xfId="34128" xr:uid="{00000000-0005-0000-0000-000042850000}"/>
    <cellStyle name="Calculation 2 5 6 2 2 2" xfId="34129" xr:uid="{00000000-0005-0000-0000-000043850000}"/>
    <cellStyle name="Calculation 2 5 6 2 3" xfId="34130" xr:uid="{00000000-0005-0000-0000-000044850000}"/>
    <cellStyle name="Calculation 2 5 6 3" xfId="34131" xr:uid="{00000000-0005-0000-0000-000045850000}"/>
    <cellStyle name="Calculation 2 5 6 3 2" xfId="34132" xr:uid="{00000000-0005-0000-0000-000046850000}"/>
    <cellStyle name="Calculation 2 5 6 3 2 2" xfId="34133" xr:uid="{00000000-0005-0000-0000-000047850000}"/>
    <cellStyle name="Calculation 2 5 6 3 3" xfId="34134" xr:uid="{00000000-0005-0000-0000-000048850000}"/>
    <cellStyle name="Calculation 2 5 6 4" xfId="34135" xr:uid="{00000000-0005-0000-0000-000049850000}"/>
    <cellStyle name="Calculation 2 5 6 4 2" xfId="34136" xr:uid="{00000000-0005-0000-0000-00004A850000}"/>
    <cellStyle name="Calculation 2 5 6 5" xfId="34137" xr:uid="{00000000-0005-0000-0000-00004B850000}"/>
    <cellStyle name="Calculation 2 5 7" xfId="34138" xr:uid="{00000000-0005-0000-0000-00004C850000}"/>
    <cellStyle name="Calculation 2 5 7 2" xfId="34139" xr:uid="{00000000-0005-0000-0000-00004D850000}"/>
    <cellStyle name="Calculation 2 5 7 2 2" xfId="34140" xr:uid="{00000000-0005-0000-0000-00004E850000}"/>
    <cellStyle name="Calculation 2 5 7 3" xfId="34141" xr:uid="{00000000-0005-0000-0000-00004F850000}"/>
    <cellStyle name="Calculation 2 5 8" xfId="34142" xr:uid="{00000000-0005-0000-0000-000050850000}"/>
    <cellStyle name="Calculation 2 5 8 2" xfId="34143" xr:uid="{00000000-0005-0000-0000-000051850000}"/>
    <cellStyle name="Calculation 2 5 8 2 2" xfId="34144" xr:uid="{00000000-0005-0000-0000-000052850000}"/>
    <cellStyle name="Calculation 2 5 8 3" xfId="34145" xr:uid="{00000000-0005-0000-0000-000053850000}"/>
    <cellStyle name="Calculation 2 5 9" xfId="34146" xr:uid="{00000000-0005-0000-0000-000054850000}"/>
    <cellStyle name="Calculation 2 5 9 2" xfId="34147" xr:uid="{00000000-0005-0000-0000-000055850000}"/>
    <cellStyle name="Calculation 2 6" xfId="34148" xr:uid="{00000000-0005-0000-0000-000056850000}"/>
    <cellStyle name="Calculation 2 6 10" xfId="34149" xr:uid="{00000000-0005-0000-0000-000057850000}"/>
    <cellStyle name="Calculation 2 6 11" xfId="34150" xr:uid="{00000000-0005-0000-0000-000058850000}"/>
    <cellStyle name="Calculation 2 6 12" xfId="34151" xr:uid="{00000000-0005-0000-0000-000059850000}"/>
    <cellStyle name="Calculation 2 6 13" xfId="34152" xr:uid="{00000000-0005-0000-0000-00005A850000}"/>
    <cellStyle name="Calculation 2 6 14" xfId="34153" xr:uid="{00000000-0005-0000-0000-00005B850000}"/>
    <cellStyle name="Calculation 2 6 15" xfId="34154" xr:uid="{00000000-0005-0000-0000-00005C850000}"/>
    <cellStyle name="Calculation 2 6 16" xfId="34155" xr:uid="{00000000-0005-0000-0000-00005D850000}"/>
    <cellStyle name="Calculation 2 6 2" xfId="34156" xr:uid="{00000000-0005-0000-0000-00005E850000}"/>
    <cellStyle name="Calculation 2 6 2 2" xfId="34157" xr:uid="{00000000-0005-0000-0000-00005F850000}"/>
    <cellStyle name="Calculation 2 6 2 2 2" xfId="34158" xr:uid="{00000000-0005-0000-0000-000060850000}"/>
    <cellStyle name="Calculation 2 6 2 2 2 2" xfId="34159" xr:uid="{00000000-0005-0000-0000-000061850000}"/>
    <cellStyle name="Calculation 2 6 2 2 3" xfId="34160" xr:uid="{00000000-0005-0000-0000-000062850000}"/>
    <cellStyle name="Calculation 2 6 2 3" xfId="34161" xr:uid="{00000000-0005-0000-0000-000063850000}"/>
    <cellStyle name="Calculation 2 6 2 3 2" xfId="34162" xr:uid="{00000000-0005-0000-0000-000064850000}"/>
    <cellStyle name="Calculation 2 6 2 3 2 2" xfId="34163" xr:uid="{00000000-0005-0000-0000-000065850000}"/>
    <cellStyle name="Calculation 2 6 2 3 3" xfId="34164" xr:uid="{00000000-0005-0000-0000-000066850000}"/>
    <cellStyle name="Calculation 2 6 2 4" xfId="34165" xr:uid="{00000000-0005-0000-0000-000067850000}"/>
    <cellStyle name="Calculation 2 6 2 4 2" xfId="34166" xr:uid="{00000000-0005-0000-0000-000068850000}"/>
    <cellStyle name="Calculation 2 6 2 5" xfId="34167" xr:uid="{00000000-0005-0000-0000-000069850000}"/>
    <cellStyle name="Calculation 2 6 3" xfId="34168" xr:uid="{00000000-0005-0000-0000-00006A850000}"/>
    <cellStyle name="Calculation 2 6 3 2" xfId="34169" xr:uid="{00000000-0005-0000-0000-00006B850000}"/>
    <cellStyle name="Calculation 2 6 3 2 2" xfId="34170" xr:uid="{00000000-0005-0000-0000-00006C850000}"/>
    <cellStyle name="Calculation 2 6 3 2 2 2" xfId="34171" xr:uid="{00000000-0005-0000-0000-00006D850000}"/>
    <cellStyle name="Calculation 2 6 3 2 3" xfId="34172" xr:uid="{00000000-0005-0000-0000-00006E850000}"/>
    <cellStyle name="Calculation 2 6 3 3" xfId="34173" xr:uid="{00000000-0005-0000-0000-00006F850000}"/>
    <cellStyle name="Calculation 2 6 3 3 2" xfId="34174" xr:uid="{00000000-0005-0000-0000-000070850000}"/>
    <cellStyle name="Calculation 2 6 3 3 2 2" xfId="34175" xr:uid="{00000000-0005-0000-0000-000071850000}"/>
    <cellStyle name="Calculation 2 6 3 3 3" xfId="34176" xr:uid="{00000000-0005-0000-0000-000072850000}"/>
    <cellStyle name="Calculation 2 6 3 4" xfId="34177" xr:uid="{00000000-0005-0000-0000-000073850000}"/>
    <cellStyle name="Calculation 2 6 3 4 2" xfId="34178" xr:uid="{00000000-0005-0000-0000-000074850000}"/>
    <cellStyle name="Calculation 2 6 3 5" xfId="34179" xr:uid="{00000000-0005-0000-0000-000075850000}"/>
    <cellStyle name="Calculation 2 6 4" xfId="34180" xr:uid="{00000000-0005-0000-0000-000076850000}"/>
    <cellStyle name="Calculation 2 6 4 2" xfId="34181" xr:uid="{00000000-0005-0000-0000-000077850000}"/>
    <cellStyle name="Calculation 2 6 4 2 2" xfId="34182" xr:uid="{00000000-0005-0000-0000-000078850000}"/>
    <cellStyle name="Calculation 2 6 4 2 2 2" xfId="34183" xr:uid="{00000000-0005-0000-0000-000079850000}"/>
    <cellStyle name="Calculation 2 6 4 2 3" xfId="34184" xr:uid="{00000000-0005-0000-0000-00007A850000}"/>
    <cellStyle name="Calculation 2 6 4 3" xfId="34185" xr:uid="{00000000-0005-0000-0000-00007B850000}"/>
    <cellStyle name="Calculation 2 6 4 3 2" xfId="34186" xr:uid="{00000000-0005-0000-0000-00007C850000}"/>
    <cellStyle name="Calculation 2 6 4 3 2 2" xfId="34187" xr:uid="{00000000-0005-0000-0000-00007D850000}"/>
    <cellStyle name="Calculation 2 6 4 3 3" xfId="34188" xr:uid="{00000000-0005-0000-0000-00007E850000}"/>
    <cellStyle name="Calculation 2 6 4 4" xfId="34189" xr:uid="{00000000-0005-0000-0000-00007F850000}"/>
    <cellStyle name="Calculation 2 6 4 4 2" xfId="34190" xr:uid="{00000000-0005-0000-0000-000080850000}"/>
    <cellStyle name="Calculation 2 6 4 5" xfId="34191" xr:uid="{00000000-0005-0000-0000-000081850000}"/>
    <cellStyle name="Calculation 2 6 5" xfId="34192" xr:uid="{00000000-0005-0000-0000-000082850000}"/>
    <cellStyle name="Calculation 2 6 5 2" xfId="34193" xr:uid="{00000000-0005-0000-0000-000083850000}"/>
    <cellStyle name="Calculation 2 6 5 2 2" xfId="34194" xr:uid="{00000000-0005-0000-0000-000084850000}"/>
    <cellStyle name="Calculation 2 6 5 2 2 2" xfId="34195" xr:uid="{00000000-0005-0000-0000-000085850000}"/>
    <cellStyle name="Calculation 2 6 5 2 3" xfId="34196" xr:uid="{00000000-0005-0000-0000-000086850000}"/>
    <cellStyle name="Calculation 2 6 5 3" xfId="34197" xr:uid="{00000000-0005-0000-0000-000087850000}"/>
    <cellStyle name="Calculation 2 6 5 3 2" xfId="34198" xr:uid="{00000000-0005-0000-0000-000088850000}"/>
    <cellStyle name="Calculation 2 6 5 3 2 2" xfId="34199" xr:uid="{00000000-0005-0000-0000-000089850000}"/>
    <cellStyle name="Calculation 2 6 5 3 3" xfId="34200" xr:uid="{00000000-0005-0000-0000-00008A850000}"/>
    <cellStyle name="Calculation 2 6 5 4" xfId="34201" xr:uid="{00000000-0005-0000-0000-00008B850000}"/>
    <cellStyle name="Calculation 2 6 5 4 2" xfId="34202" xr:uid="{00000000-0005-0000-0000-00008C850000}"/>
    <cellStyle name="Calculation 2 6 5 5" xfId="34203" xr:uid="{00000000-0005-0000-0000-00008D850000}"/>
    <cellStyle name="Calculation 2 6 6" xfId="34204" xr:uid="{00000000-0005-0000-0000-00008E850000}"/>
    <cellStyle name="Calculation 2 6 6 2" xfId="34205" xr:uid="{00000000-0005-0000-0000-00008F850000}"/>
    <cellStyle name="Calculation 2 6 6 2 2" xfId="34206" xr:uid="{00000000-0005-0000-0000-000090850000}"/>
    <cellStyle name="Calculation 2 6 6 2 2 2" xfId="34207" xr:uid="{00000000-0005-0000-0000-000091850000}"/>
    <cellStyle name="Calculation 2 6 6 2 3" xfId="34208" xr:uid="{00000000-0005-0000-0000-000092850000}"/>
    <cellStyle name="Calculation 2 6 6 3" xfId="34209" xr:uid="{00000000-0005-0000-0000-000093850000}"/>
    <cellStyle name="Calculation 2 6 6 3 2" xfId="34210" xr:uid="{00000000-0005-0000-0000-000094850000}"/>
    <cellStyle name="Calculation 2 6 6 3 2 2" xfId="34211" xr:uid="{00000000-0005-0000-0000-000095850000}"/>
    <cellStyle name="Calculation 2 6 6 3 3" xfId="34212" xr:uid="{00000000-0005-0000-0000-000096850000}"/>
    <cellStyle name="Calculation 2 6 6 4" xfId="34213" xr:uid="{00000000-0005-0000-0000-000097850000}"/>
    <cellStyle name="Calculation 2 6 6 4 2" xfId="34214" xr:uid="{00000000-0005-0000-0000-000098850000}"/>
    <cellStyle name="Calculation 2 6 6 5" xfId="34215" xr:uid="{00000000-0005-0000-0000-000099850000}"/>
    <cellStyle name="Calculation 2 6 7" xfId="34216" xr:uid="{00000000-0005-0000-0000-00009A850000}"/>
    <cellStyle name="Calculation 2 6 7 2" xfId="34217" xr:uid="{00000000-0005-0000-0000-00009B850000}"/>
    <cellStyle name="Calculation 2 6 7 2 2" xfId="34218" xr:uid="{00000000-0005-0000-0000-00009C850000}"/>
    <cellStyle name="Calculation 2 6 7 3" xfId="34219" xr:uid="{00000000-0005-0000-0000-00009D850000}"/>
    <cellStyle name="Calculation 2 6 8" xfId="34220" xr:uid="{00000000-0005-0000-0000-00009E850000}"/>
    <cellStyle name="Calculation 2 6 8 2" xfId="34221" xr:uid="{00000000-0005-0000-0000-00009F850000}"/>
    <cellStyle name="Calculation 2 6 8 2 2" xfId="34222" xr:uid="{00000000-0005-0000-0000-0000A0850000}"/>
    <cellStyle name="Calculation 2 6 8 3" xfId="34223" xr:uid="{00000000-0005-0000-0000-0000A1850000}"/>
    <cellStyle name="Calculation 2 6 9" xfId="34224" xr:uid="{00000000-0005-0000-0000-0000A2850000}"/>
    <cellStyle name="Calculation 2 6 9 2" xfId="34225" xr:uid="{00000000-0005-0000-0000-0000A3850000}"/>
    <cellStyle name="Calculation 2 7" xfId="34226" xr:uid="{00000000-0005-0000-0000-0000A4850000}"/>
    <cellStyle name="Calculation 2 7 10" xfId="34227" xr:uid="{00000000-0005-0000-0000-0000A5850000}"/>
    <cellStyle name="Calculation 2 7 11" xfId="34228" xr:uid="{00000000-0005-0000-0000-0000A6850000}"/>
    <cellStyle name="Calculation 2 7 2" xfId="34229" xr:uid="{00000000-0005-0000-0000-0000A7850000}"/>
    <cellStyle name="Calculation 2 7 2 2" xfId="34230" xr:uid="{00000000-0005-0000-0000-0000A8850000}"/>
    <cellStyle name="Calculation 2 7 2 2 2" xfId="34231" xr:uid="{00000000-0005-0000-0000-0000A9850000}"/>
    <cellStyle name="Calculation 2 7 2 3" xfId="34232" xr:uid="{00000000-0005-0000-0000-0000AA850000}"/>
    <cellStyle name="Calculation 2 7 3" xfId="34233" xr:uid="{00000000-0005-0000-0000-0000AB850000}"/>
    <cellStyle name="Calculation 2 7 3 2" xfId="34234" xr:uid="{00000000-0005-0000-0000-0000AC850000}"/>
    <cellStyle name="Calculation 2 7 3 2 2" xfId="34235" xr:uid="{00000000-0005-0000-0000-0000AD850000}"/>
    <cellStyle name="Calculation 2 7 3 3" xfId="34236" xr:uid="{00000000-0005-0000-0000-0000AE850000}"/>
    <cellStyle name="Calculation 2 7 4" xfId="34237" xr:uid="{00000000-0005-0000-0000-0000AF850000}"/>
    <cellStyle name="Calculation 2 7 4 2" xfId="34238" xr:uid="{00000000-0005-0000-0000-0000B0850000}"/>
    <cellStyle name="Calculation 2 7 4 3" xfId="34239" xr:uid="{00000000-0005-0000-0000-0000B1850000}"/>
    <cellStyle name="Calculation 2 7 5" xfId="34240" xr:uid="{00000000-0005-0000-0000-0000B2850000}"/>
    <cellStyle name="Calculation 2 7 6" xfId="34241" xr:uid="{00000000-0005-0000-0000-0000B3850000}"/>
    <cellStyle name="Calculation 2 7 7" xfId="34242" xr:uid="{00000000-0005-0000-0000-0000B4850000}"/>
    <cellStyle name="Calculation 2 7 8" xfId="34243" xr:uid="{00000000-0005-0000-0000-0000B5850000}"/>
    <cellStyle name="Calculation 2 7 9" xfId="34244" xr:uid="{00000000-0005-0000-0000-0000B6850000}"/>
    <cellStyle name="Calculation 2 8" xfId="34245" xr:uid="{00000000-0005-0000-0000-0000B7850000}"/>
    <cellStyle name="Calculation 2 8 10" xfId="34246" xr:uid="{00000000-0005-0000-0000-0000B8850000}"/>
    <cellStyle name="Calculation 2 8 11" xfId="34247" xr:uid="{00000000-0005-0000-0000-0000B9850000}"/>
    <cellStyle name="Calculation 2 8 2" xfId="34248" xr:uid="{00000000-0005-0000-0000-0000BA850000}"/>
    <cellStyle name="Calculation 2 8 2 2" xfId="34249" xr:uid="{00000000-0005-0000-0000-0000BB850000}"/>
    <cellStyle name="Calculation 2 8 2 2 2" xfId="34250" xr:uid="{00000000-0005-0000-0000-0000BC850000}"/>
    <cellStyle name="Calculation 2 8 2 3" xfId="34251" xr:uid="{00000000-0005-0000-0000-0000BD850000}"/>
    <cellStyle name="Calculation 2 8 3" xfId="34252" xr:uid="{00000000-0005-0000-0000-0000BE850000}"/>
    <cellStyle name="Calculation 2 8 3 2" xfId="34253" xr:uid="{00000000-0005-0000-0000-0000BF850000}"/>
    <cellStyle name="Calculation 2 8 3 2 2" xfId="34254" xr:uid="{00000000-0005-0000-0000-0000C0850000}"/>
    <cellStyle name="Calculation 2 8 3 3" xfId="34255" xr:uid="{00000000-0005-0000-0000-0000C1850000}"/>
    <cellStyle name="Calculation 2 8 4" xfId="34256" xr:uid="{00000000-0005-0000-0000-0000C2850000}"/>
    <cellStyle name="Calculation 2 8 4 2" xfId="34257" xr:uid="{00000000-0005-0000-0000-0000C3850000}"/>
    <cellStyle name="Calculation 2 8 4 3" xfId="34258" xr:uid="{00000000-0005-0000-0000-0000C4850000}"/>
    <cellStyle name="Calculation 2 8 5" xfId="34259" xr:uid="{00000000-0005-0000-0000-0000C5850000}"/>
    <cellStyle name="Calculation 2 8 6" xfId="34260" xr:uid="{00000000-0005-0000-0000-0000C6850000}"/>
    <cellStyle name="Calculation 2 8 7" xfId="34261" xr:uid="{00000000-0005-0000-0000-0000C7850000}"/>
    <cellStyle name="Calculation 2 8 8" xfId="34262" xr:uid="{00000000-0005-0000-0000-0000C8850000}"/>
    <cellStyle name="Calculation 2 8 9" xfId="34263" xr:uid="{00000000-0005-0000-0000-0000C9850000}"/>
    <cellStyle name="Calculation 2 9" xfId="34264" xr:uid="{00000000-0005-0000-0000-0000CA850000}"/>
    <cellStyle name="Calculation 2 9 10" xfId="34265" xr:uid="{00000000-0005-0000-0000-0000CB850000}"/>
    <cellStyle name="Calculation 2 9 11" xfId="34266" xr:uid="{00000000-0005-0000-0000-0000CC850000}"/>
    <cellStyle name="Calculation 2 9 12" xfId="34267" xr:uid="{00000000-0005-0000-0000-0000CD850000}"/>
    <cellStyle name="Calculation 2 9 13" xfId="34268" xr:uid="{00000000-0005-0000-0000-0000CE850000}"/>
    <cellStyle name="Calculation 2 9 2" xfId="34269" xr:uid="{00000000-0005-0000-0000-0000CF850000}"/>
    <cellStyle name="Calculation 2 9 2 2" xfId="34270" xr:uid="{00000000-0005-0000-0000-0000D0850000}"/>
    <cellStyle name="Calculation 2 9 2 2 2" xfId="34271" xr:uid="{00000000-0005-0000-0000-0000D1850000}"/>
    <cellStyle name="Calculation 2 9 2 3" xfId="34272" xr:uid="{00000000-0005-0000-0000-0000D2850000}"/>
    <cellStyle name="Calculation 2 9 3" xfId="34273" xr:uid="{00000000-0005-0000-0000-0000D3850000}"/>
    <cellStyle name="Calculation 2 9 3 2" xfId="34274" xr:uid="{00000000-0005-0000-0000-0000D4850000}"/>
    <cellStyle name="Calculation 2 9 3 2 2" xfId="34275" xr:uid="{00000000-0005-0000-0000-0000D5850000}"/>
    <cellStyle name="Calculation 2 9 3 3" xfId="34276" xr:uid="{00000000-0005-0000-0000-0000D6850000}"/>
    <cellStyle name="Calculation 2 9 4" xfId="34277" xr:uid="{00000000-0005-0000-0000-0000D7850000}"/>
    <cellStyle name="Calculation 2 9 4 2" xfId="34278" xr:uid="{00000000-0005-0000-0000-0000D8850000}"/>
    <cellStyle name="Calculation 2 9 4 2 2" xfId="34279" xr:uid="{00000000-0005-0000-0000-0000D9850000}"/>
    <cellStyle name="Calculation 2 9 4 3" xfId="34280" xr:uid="{00000000-0005-0000-0000-0000DA850000}"/>
    <cellStyle name="Calculation 2 9 5" xfId="34281" xr:uid="{00000000-0005-0000-0000-0000DB850000}"/>
    <cellStyle name="Calculation 2 9 5 2" xfId="34282" xr:uid="{00000000-0005-0000-0000-0000DC850000}"/>
    <cellStyle name="Calculation 2 9 6" xfId="34283" xr:uid="{00000000-0005-0000-0000-0000DD850000}"/>
    <cellStyle name="Calculation 2 9 6 2" xfId="34284" xr:uid="{00000000-0005-0000-0000-0000DE850000}"/>
    <cellStyle name="Calculation 2 9 7" xfId="34285" xr:uid="{00000000-0005-0000-0000-0000DF850000}"/>
    <cellStyle name="Calculation 2 9 8" xfId="34286" xr:uid="{00000000-0005-0000-0000-0000E0850000}"/>
    <cellStyle name="Calculation 2 9 9" xfId="34287" xr:uid="{00000000-0005-0000-0000-0000E1850000}"/>
    <cellStyle name="Calculation 2_Labour" xfId="34288" xr:uid="{00000000-0005-0000-0000-0000E2850000}"/>
    <cellStyle name="Calculation 20" xfId="34289" xr:uid="{00000000-0005-0000-0000-0000E3850000}"/>
    <cellStyle name="Calculation 20 10" xfId="34290" xr:uid="{00000000-0005-0000-0000-0000E4850000}"/>
    <cellStyle name="Calculation 20 2" xfId="34291" xr:uid="{00000000-0005-0000-0000-0000E5850000}"/>
    <cellStyle name="Calculation 20 2 2" xfId="34292" xr:uid="{00000000-0005-0000-0000-0000E6850000}"/>
    <cellStyle name="Calculation 20 2 3" xfId="34293" xr:uid="{00000000-0005-0000-0000-0000E7850000}"/>
    <cellStyle name="Calculation 20 2 4" xfId="34294" xr:uid="{00000000-0005-0000-0000-0000E8850000}"/>
    <cellStyle name="Calculation 20 2 5" xfId="34295" xr:uid="{00000000-0005-0000-0000-0000E9850000}"/>
    <cellStyle name="Calculation 20 3" xfId="34296" xr:uid="{00000000-0005-0000-0000-0000EA850000}"/>
    <cellStyle name="Calculation 20 3 2" xfId="34297" xr:uid="{00000000-0005-0000-0000-0000EB850000}"/>
    <cellStyle name="Calculation 20 3 3" xfId="34298" xr:uid="{00000000-0005-0000-0000-0000EC850000}"/>
    <cellStyle name="Calculation 20 4" xfId="34299" xr:uid="{00000000-0005-0000-0000-0000ED850000}"/>
    <cellStyle name="Calculation 20 4 2" xfId="34300" xr:uid="{00000000-0005-0000-0000-0000EE850000}"/>
    <cellStyle name="Calculation 20 4 3" xfId="34301" xr:uid="{00000000-0005-0000-0000-0000EF850000}"/>
    <cellStyle name="Calculation 20 5" xfId="34302" xr:uid="{00000000-0005-0000-0000-0000F0850000}"/>
    <cellStyle name="Calculation 20 5 2" xfId="34303" xr:uid="{00000000-0005-0000-0000-0000F1850000}"/>
    <cellStyle name="Calculation 20 5 3" xfId="34304" xr:uid="{00000000-0005-0000-0000-0000F2850000}"/>
    <cellStyle name="Calculation 20 6" xfId="34305" xr:uid="{00000000-0005-0000-0000-0000F3850000}"/>
    <cellStyle name="Calculation 20 6 2" xfId="34306" xr:uid="{00000000-0005-0000-0000-0000F4850000}"/>
    <cellStyle name="Calculation 20 6 3" xfId="34307" xr:uid="{00000000-0005-0000-0000-0000F5850000}"/>
    <cellStyle name="Calculation 20 7" xfId="34308" xr:uid="{00000000-0005-0000-0000-0000F6850000}"/>
    <cellStyle name="Calculation 20 8" xfId="34309" xr:uid="{00000000-0005-0000-0000-0000F7850000}"/>
    <cellStyle name="Calculation 20 9" xfId="34310" xr:uid="{00000000-0005-0000-0000-0000F8850000}"/>
    <cellStyle name="Calculation 21" xfId="34311" xr:uid="{00000000-0005-0000-0000-0000F9850000}"/>
    <cellStyle name="Calculation 21 10" xfId="34312" xr:uid="{00000000-0005-0000-0000-0000FA850000}"/>
    <cellStyle name="Calculation 21 2" xfId="34313" xr:uid="{00000000-0005-0000-0000-0000FB850000}"/>
    <cellStyle name="Calculation 21 2 2" xfId="34314" xr:uid="{00000000-0005-0000-0000-0000FC850000}"/>
    <cellStyle name="Calculation 21 2 3" xfId="34315" xr:uid="{00000000-0005-0000-0000-0000FD850000}"/>
    <cellStyle name="Calculation 21 2 4" xfId="34316" xr:uid="{00000000-0005-0000-0000-0000FE850000}"/>
    <cellStyle name="Calculation 21 2 5" xfId="34317" xr:uid="{00000000-0005-0000-0000-0000FF850000}"/>
    <cellStyle name="Calculation 21 3" xfId="34318" xr:uid="{00000000-0005-0000-0000-000000860000}"/>
    <cellStyle name="Calculation 21 3 2" xfId="34319" xr:uid="{00000000-0005-0000-0000-000001860000}"/>
    <cellStyle name="Calculation 21 3 3" xfId="34320" xr:uid="{00000000-0005-0000-0000-000002860000}"/>
    <cellStyle name="Calculation 21 4" xfId="34321" xr:uid="{00000000-0005-0000-0000-000003860000}"/>
    <cellStyle name="Calculation 21 4 2" xfId="34322" xr:uid="{00000000-0005-0000-0000-000004860000}"/>
    <cellStyle name="Calculation 21 4 3" xfId="34323" xr:uid="{00000000-0005-0000-0000-000005860000}"/>
    <cellStyle name="Calculation 21 5" xfId="34324" xr:uid="{00000000-0005-0000-0000-000006860000}"/>
    <cellStyle name="Calculation 21 5 2" xfId="34325" xr:uid="{00000000-0005-0000-0000-000007860000}"/>
    <cellStyle name="Calculation 21 5 3" xfId="34326" xr:uid="{00000000-0005-0000-0000-000008860000}"/>
    <cellStyle name="Calculation 21 6" xfId="34327" xr:uid="{00000000-0005-0000-0000-000009860000}"/>
    <cellStyle name="Calculation 21 6 2" xfId="34328" xr:uid="{00000000-0005-0000-0000-00000A860000}"/>
    <cellStyle name="Calculation 21 6 3" xfId="34329" xr:uid="{00000000-0005-0000-0000-00000B860000}"/>
    <cellStyle name="Calculation 21 7" xfId="34330" xr:uid="{00000000-0005-0000-0000-00000C860000}"/>
    <cellStyle name="Calculation 21 8" xfId="34331" xr:uid="{00000000-0005-0000-0000-00000D860000}"/>
    <cellStyle name="Calculation 21 9" xfId="34332" xr:uid="{00000000-0005-0000-0000-00000E860000}"/>
    <cellStyle name="Calculation 22" xfId="34333" xr:uid="{00000000-0005-0000-0000-00000F860000}"/>
    <cellStyle name="Calculation 22 10" xfId="34334" xr:uid="{00000000-0005-0000-0000-000010860000}"/>
    <cellStyle name="Calculation 22 2" xfId="34335" xr:uid="{00000000-0005-0000-0000-000011860000}"/>
    <cellStyle name="Calculation 22 2 2" xfId="34336" xr:uid="{00000000-0005-0000-0000-000012860000}"/>
    <cellStyle name="Calculation 22 2 3" xfId="34337" xr:uid="{00000000-0005-0000-0000-000013860000}"/>
    <cellStyle name="Calculation 22 2 4" xfId="34338" xr:uid="{00000000-0005-0000-0000-000014860000}"/>
    <cellStyle name="Calculation 22 2 5" xfId="34339" xr:uid="{00000000-0005-0000-0000-000015860000}"/>
    <cellStyle name="Calculation 22 3" xfId="34340" xr:uid="{00000000-0005-0000-0000-000016860000}"/>
    <cellStyle name="Calculation 22 3 2" xfId="34341" xr:uid="{00000000-0005-0000-0000-000017860000}"/>
    <cellStyle name="Calculation 22 3 3" xfId="34342" xr:uid="{00000000-0005-0000-0000-000018860000}"/>
    <cellStyle name="Calculation 22 4" xfId="34343" xr:uid="{00000000-0005-0000-0000-000019860000}"/>
    <cellStyle name="Calculation 22 4 2" xfId="34344" xr:uid="{00000000-0005-0000-0000-00001A860000}"/>
    <cellStyle name="Calculation 22 4 3" xfId="34345" xr:uid="{00000000-0005-0000-0000-00001B860000}"/>
    <cellStyle name="Calculation 22 5" xfId="34346" xr:uid="{00000000-0005-0000-0000-00001C860000}"/>
    <cellStyle name="Calculation 22 5 2" xfId="34347" xr:uid="{00000000-0005-0000-0000-00001D860000}"/>
    <cellStyle name="Calculation 22 5 3" xfId="34348" xr:uid="{00000000-0005-0000-0000-00001E860000}"/>
    <cellStyle name="Calculation 22 6" xfId="34349" xr:uid="{00000000-0005-0000-0000-00001F860000}"/>
    <cellStyle name="Calculation 22 6 2" xfId="34350" xr:uid="{00000000-0005-0000-0000-000020860000}"/>
    <cellStyle name="Calculation 22 6 3" xfId="34351" xr:uid="{00000000-0005-0000-0000-000021860000}"/>
    <cellStyle name="Calculation 22 7" xfId="34352" xr:uid="{00000000-0005-0000-0000-000022860000}"/>
    <cellStyle name="Calculation 22 8" xfId="34353" xr:uid="{00000000-0005-0000-0000-000023860000}"/>
    <cellStyle name="Calculation 22 9" xfId="34354" xr:uid="{00000000-0005-0000-0000-000024860000}"/>
    <cellStyle name="Calculation 23" xfId="34355" xr:uid="{00000000-0005-0000-0000-000025860000}"/>
    <cellStyle name="Calculation 23 2" xfId="34356" xr:uid="{00000000-0005-0000-0000-000026860000}"/>
    <cellStyle name="Calculation 23 2 2" xfId="34357" xr:uid="{00000000-0005-0000-0000-000027860000}"/>
    <cellStyle name="Calculation 23 2 3" xfId="34358" xr:uid="{00000000-0005-0000-0000-000028860000}"/>
    <cellStyle name="Calculation 23 2 4" xfId="34359" xr:uid="{00000000-0005-0000-0000-000029860000}"/>
    <cellStyle name="Calculation 23 2 5" xfId="34360" xr:uid="{00000000-0005-0000-0000-00002A860000}"/>
    <cellStyle name="Calculation 23 3" xfId="34361" xr:uid="{00000000-0005-0000-0000-00002B860000}"/>
    <cellStyle name="Calculation 23 3 2" xfId="34362" xr:uid="{00000000-0005-0000-0000-00002C860000}"/>
    <cellStyle name="Calculation 23 3 3" xfId="34363" xr:uid="{00000000-0005-0000-0000-00002D860000}"/>
    <cellStyle name="Calculation 23 4" xfId="34364" xr:uid="{00000000-0005-0000-0000-00002E860000}"/>
    <cellStyle name="Calculation 23 4 2" xfId="34365" xr:uid="{00000000-0005-0000-0000-00002F860000}"/>
    <cellStyle name="Calculation 23 4 3" xfId="34366" xr:uid="{00000000-0005-0000-0000-000030860000}"/>
    <cellStyle name="Calculation 23 5" xfId="34367" xr:uid="{00000000-0005-0000-0000-000031860000}"/>
    <cellStyle name="Calculation 23 5 2" xfId="34368" xr:uid="{00000000-0005-0000-0000-000032860000}"/>
    <cellStyle name="Calculation 23 5 3" xfId="34369" xr:uid="{00000000-0005-0000-0000-000033860000}"/>
    <cellStyle name="Calculation 23 6" xfId="34370" xr:uid="{00000000-0005-0000-0000-000034860000}"/>
    <cellStyle name="Calculation 23 6 2" xfId="34371" xr:uid="{00000000-0005-0000-0000-000035860000}"/>
    <cellStyle name="Calculation 23 7" xfId="34372" xr:uid="{00000000-0005-0000-0000-000036860000}"/>
    <cellStyle name="Calculation 23 8" xfId="34373" xr:uid="{00000000-0005-0000-0000-000037860000}"/>
    <cellStyle name="Calculation 23 9" xfId="34374" xr:uid="{00000000-0005-0000-0000-000038860000}"/>
    <cellStyle name="Calculation 24" xfId="34375" xr:uid="{00000000-0005-0000-0000-000039860000}"/>
    <cellStyle name="Calculation 24 2" xfId="34376" xr:uid="{00000000-0005-0000-0000-00003A860000}"/>
    <cellStyle name="Calculation 24 2 2" xfId="34377" xr:uid="{00000000-0005-0000-0000-00003B860000}"/>
    <cellStyle name="Calculation 24 2 3" xfId="34378" xr:uid="{00000000-0005-0000-0000-00003C860000}"/>
    <cellStyle name="Calculation 24 2 4" xfId="34379" xr:uid="{00000000-0005-0000-0000-00003D860000}"/>
    <cellStyle name="Calculation 24 2 5" xfId="34380" xr:uid="{00000000-0005-0000-0000-00003E860000}"/>
    <cellStyle name="Calculation 24 3" xfId="34381" xr:uid="{00000000-0005-0000-0000-00003F860000}"/>
    <cellStyle name="Calculation 24 3 2" xfId="34382" xr:uid="{00000000-0005-0000-0000-000040860000}"/>
    <cellStyle name="Calculation 24 3 3" xfId="34383" xr:uid="{00000000-0005-0000-0000-000041860000}"/>
    <cellStyle name="Calculation 24 4" xfId="34384" xr:uid="{00000000-0005-0000-0000-000042860000}"/>
    <cellStyle name="Calculation 24 4 2" xfId="34385" xr:uid="{00000000-0005-0000-0000-000043860000}"/>
    <cellStyle name="Calculation 24 4 3" xfId="34386" xr:uid="{00000000-0005-0000-0000-000044860000}"/>
    <cellStyle name="Calculation 24 5" xfId="34387" xr:uid="{00000000-0005-0000-0000-000045860000}"/>
    <cellStyle name="Calculation 24 5 2" xfId="34388" xr:uid="{00000000-0005-0000-0000-000046860000}"/>
    <cellStyle name="Calculation 24 5 3" xfId="34389" xr:uid="{00000000-0005-0000-0000-000047860000}"/>
    <cellStyle name="Calculation 24 6" xfId="34390" xr:uid="{00000000-0005-0000-0000-000048860000}"/>
    <cellStyle name="Calculation 24 6 2" xfId="34391" xr:uid="{00000000-0005-0000-0000-000049860000}"/>
    <cellStyle name="Calculation 24 7" xfId="34392" xr:uid="{00000000-0005-0000-0000-00004A860000}"/>
    <cellStyle name="Calculation 24 8" xfId="34393" xr:uid="{00000000-0005-0000-0000-00004B860000}"/>
    <cellStyle name="Calculation 24 9" xfId="34394" xr:uid="{00000000-0005-0000-0000-00004C860000}"/>
    <cellStyle name="Calculation 25" xfId="34395" xr:uid="{00000000-0005-0000-0000-00004D860000}"/>
    <cellStyle name="Calculation 25 2" xfId="34396" xr:uid="{00000000-0005-0000-0000-00004E860000}"/>
    <cellStyle name="Calculation 25 2 2" xfId="34397" xr:uid="{00000000-0005-0000-0000-00004F860000}"/>
    <cellStyle name="Calculation 25 2 3" xfId="34398" xr:uid="{00000000-0005-0000-0000-000050860000}"/>
    <cellStyle name="Calculation 25 2 4" xfId="34399" xr:uid="{00000000-0005-0000-0000-000051860000}"/>
    <cellStyle name="Calculation 25 2 5" xfId="34400" xr:uid="{00000000-0005-0000-0000-000052860000}"/>
    <cellStyle name="Calculation 25 3" xfId="34401" xr:uid="{00000000-0005-0000-0000-000053860000}"/>
    <cellStyle name="Calculation 25 3 2" xfId="34402" xr:uid="{00000000-0005-0000-0000-000054860000}"/>
    <cellStyle name="Calculation 25 3 3" xfId="34403" xr:uid="{00000000-0005-0000-0000-000055860000}"/>
    <cellStyle name="Calculation 25 4" xfId="34404" xr:uid="{00000000-0005-0000-0000-000056860000}"/>
    <cellStyle name="Calculation 25 4 2" xfId="34405" xr:uid="{00000000-0005-0000-0000-000057860000}"/>
    <cellStyle name="Calculation 25 4 3" xfId="34406" xr:uid="{00000000-0005-0000-0000-000058860000}"/>
    <cellStyle name="Calculation 25 5" xfId="34407" xr:uid="{00000000-0005-0000-0000-000059860000}"/>
    <cellStyle name="Calculation 25 5 2" xfId="34408" xr:uid="{00000000-0005-0000-0000-00005A860000}"/>
    <cellStyle name="Calculation 25 5 3" xfId="34409" xr:uid="{00000000-0005-0000-0000-00005B860000}"/>
    <cellStyle name="Calculation 25 6" xfId="34410" xr:uid="{00000000-0005-0000-0000-00005C860000}"/>
    <cellStyle name="Calculation 25 6 2" xfId="34411" xr:uid="{00000000-0005-0000-0000-00005D860000}"/>
    <cellStyle name="Calculation 25 7" xfId="34412" xr:uid="{00000000-0005-0000-0000-00005E860000}"/>
    <cellStyle name="Calculation 25 8" xfId="34413" xr:uid="{00000000-0005-0000-0000-00005F860000}"/>
    <cellStyle name="Calculation 25 9" xfId="34414" xr:uid="{00000000-0005-0000-0000-000060860000}"/>
    <cellStyle name="Calculation 26" xfId="34415" xr:uid="{00000000-0005-0000-0000-000061860000}"/>
    <cellStyle name="Calculation 26 2" xfId="34416" xr:uid="{00000000-0005-0000-0000-000062860000}"/>
    <cellStyle name="Calculation 26 2 2" xfId="34417" xr:uid="{00000000-0005-0000-0000-000063860000}"/>
    <cellStyle name="Calculation 26 2 3" xfId="34418" xr:uid="{00000000-0005-0000-0000-000064860000}"/>
    <cellStyle name="Calculation 26 2 4" xfId="34419" xr:uid="{00000000-0005-0000-0000-000065860000}"/>
    <cellStyle name="Calculation 26 2 5" xfId="34420" xr:uid="{00000000-0005-0000-0000-000066860000}"/>
    <cellStyle name="Calculation 26 3" xfId="34421" xr:uid="{00000000-0005-0000-0000-000067860000}"/>
    <cellStyle name="Calculation 26 3 2" xfId="34422" xr:uid="{00000000-0005-0000-0000-000068860000}"/>
    <cellStyle name="Calculation 26 3 3" xfId="34423" xr:uid="{00000000-0005-0000-0000-000069860000}"/>
    <cellStyle name="Calculation 26 4" xfId="34424" xr:uid="{00000000-0005-0000-0000-00006A860000}"/>
    <cellStyle name="Calculation 26 4 2" xfId="34425" xr:uid="{00000000-0005-0000-0000-00006B860000}"/>
    <cellStyle name="Calculation 26 4 3" xfId="34426" xr:uid="{00000000-0005-0000-0000-00006C860000}"/>
    <cellStyle name="Calculation 26 5" xfId="34427" xr:uid="{00000000-0005-0000-0000-00006D860000}"/>
    <cellStyle name="Calculation 26 5 2" xfId="34428" xr:uid="{00000000-0005-0000-0000-00006E860000}"/>
    <cellStyle name="Calculation 26 5 3" xfId="34429" xr:uid="{00000000-0005-0000-0000-00006F860000}"/>
    <cellStyle name="Calculation 26 6" xfId="34430" xr:uid="{00000000-0005-0000-0000-000070860000}"/>
    <cellStyle name="Calculation 26 6 2" xfId="34431" xr:uid="{00000000-0005-0000-0000-000071860000}"/>
    <cellStyle name="Calculation 26 7" xfId="34432" xr:uid="{00000000-0005-0000-0000-000072860000}"/>
    <cellStyle name="Calculation 26 8" xfId="34433" xr:uid="{00000000-0005-0000-0000-000073860000}"/>
    <cellStyle name="Calculation 26 9" xfId="34434" xr:uid="{00000000-0005-0000-0000-000074860000}"/>
    <cellStyle name="Calculation 27" xfId="34435" xr:uid="{00000000-0005-0000-0000-000075860000}"/>
    <cellStyle name="Calculation 27 2" xfId="34436" xr:uid="{00000000-0005-0000-0000-000076860000}"/>
    <cellStyle name="Calculation 27 2 2" xfId="34437" xr:uid="{00000000-0005-0000-0000-000077860000}"/>
    <cellStyle name="Calculation 27 2 3" xfId="34438" xr:uid="{00000000-0005-0000-0000-000078860000}"/>
    <cellStyle name="Calculation 27 2 4" xfId="34439" xr:uid="{00000000-0005-0000-0000-000079860000}"/>
    <cellStyle name="Calculation 27 2 5" xfId="34440" xr:uid="{00000000-0005-0000-0000-00007A860000}"/>
    <cellStyle name="Calculation 27 3" xfId="34441" xr:uid="{00000000-0005-0000-0000-00007B860000}"/>
    <cellStyle name="Calculation 27 3 2" xfId="34442" xr:uid="{00000000-0005-0000-0000-00007C860000}"/>
    <cellStyle name="Calculation 27 3 3" xfId="34443" xr:uid="{00000000-0005-0000-0000-00007D860000}"/>
    <cellStyle name="Calculation 27 4" xfId="34444" xr:uid="{00000000-0005-0000-0000-00007E860000}"/>
    <cellStyle name="Calculation 27 4 2" xfId="34445" xr:uid="{00000000-0005-0000-0000-00007F860000}"/>
    <cellStyle name="Calculation 27 4 3" xfId="34446" xr:uid="{00000000-0005-0000-0000-000080860000}"/>
    <cellStyle name="Calculation 27 5" xfId="34447" xr:uid="{00000000-0005-0000-0000-000081860000}"/>
    <cellStyle name="Calculation 27 5 2" xfId="34448" xr:uid="{00000000-0005-0000-0000-000082860000}"/>
    <cellStyle name="Calculation 27 5 3" xfId="34449" xr:uid="{00000000-0005-0000-0000-000083860000}"/>
    <cellStyle name="Calculation 27 6" xfId="34450" xr:uid="{00000000-0005-0000-0000-000084860000}"/>
    <cellStyle name="Calculation 27 6 2" xfId="34451" xr:uid="{00000000-0005-0000-0000-000085860000}"/>
    <cellStyle name="Calculation 27 7" xfId="34452" xr:uid="{00000000-0005-0000-0000-000086860000}"/>
    <cellStyle name="Calculation 27 8" xfId="34453" xr:uid="{00000000-0005-0000-0000-000087860000}"/>
    <cellStyle name="Calculation 27 9" xfId="34454" xr:uid="{00000000-0005-0000-0000-000088860000}"/>
    <cellStyle name="Calculation 28" xfId="34455" xr:uid="{00000000-0005-0000-0000-000089860000}"/>
    <cellStyle name="Calculation 28 2" xfId="34456" xr:uid="{00000000-0005-0000-0000-00008A860000}"/>
    <cellStyle name="Calculation 28 2 2" xfId="34457" xr:uid="{00000000-0005-0000-0000-00008B860000}"/>
    <cellStyle name="Calculation 28 2 3" xfId="34458" xr:uid="{00000000-0005-0000-0000-00008C860000}"/>
    <cellStyle name="Calculation 28 2 4" xfId="34459" xr:uid="{00000000-0005-0000-0000-00008D860000}"/>
    <cellStyle name="Calculation 28 2 5" xfId="34460" xr:uid="{00000000-0005-0000-0000-00008E860000}"/>
    <cellStyle name="Calculation 28 3" xfId="34461" xr:uid="{00000000-0005-0000-0000-00008F860000}"/>
    <cellStyle name="Calculation 28 3 2" xfId="34462" xr:uid="{00000000-0005-0000-0000-000090860000}"/>
    <cellStyle name="Calculation 28 3 3" xfId="34463" xr:uid="{00000000-0005-0000-0000-000091860000}"/>
    <cellStyle name="Calculation 28 4" xfId="34464" xr:uid="{00000000-0005-0000-0000-000092860000}"/>
    <cellStyle name="Calculation 28 4 2" xfId="34465" xr:uid="{00000000-0005-0000-0000-000093860000}"/>
    <cellStyle name="Calculation 28 4 3" xfId="34466" xr:uid="{00000000-0005-0000-0000-000094860000}"/>
    <cellStyle name="Calculation 28 5" xfId="34467" xr:uid="{00000000-0005-0000-0000-000095860000}"/>
    <cellStyle name="Calculation 28 5 2" xfId="34468" xr:uid="{00000000-0005-0000-0000-000096860000}"/>
    <cellStyle name="Calculation 28 5 3" xfId="34469" xr:uid="{00000000-0005-0000-0000-000097860000}"/>
    <cellStyle name="Calculation 28 6" xfId="34470" xr:uid="{00000000-0005-0000-0000-000098860000}"/>
    <cellStyle name="Calculation 28 6 2" xfId="34471" xr:uid="{00000000-0005-0000-0000-000099860000}"/>
    <cellStyle name="Calculation 28 7" xfId="34472" xr:uid="{00000000-0005-0000-0000-00009A860000}"/>
    <cellStyle name="Calculation 28 8" xfId="34473" xr:uid="{00000000-0005-0000-0000-00009B860000}"/>
    <cellStyle name="Calculation 28 9" xfId="34474" xr:uid="{00000000-0005-0000-0000-00009C860000}"/>
    <cellStyle name="Calculation 29" xfId="34475" xr:uid="{00000000-0005-0000-0000-00009D860000}"/>
    <cellStyle name="Calculation 29 2" xfId="34476" xr:uid="{00000000-0005-0000-0000-00009E860000}"/>
    <cellStyle name="Calculation 29 2 2" xfId="34477" xr:uid="{00000000-0005-0000-0000-00009F860000}"/>
    <cellStyle name="Calculation 29 2 3" xfId="34478" xr:uid="{00000000-0005-0000-0000-0000A0860000}"/>
    <cellStyle name="Calculation 29 2 4" xfId="34479" xr:uid="{00000000-0005-0000-0000-0000A1860000}"/>
    <cellStyle name="Calculation 29 2 5" xfId="34480" xr:uid="{00000000-0005-0000-0000-0000A2860000}"/>
    <cellStyle name="Calculation 29 3" xfId="34481" xr:uid="{00000000-0005-0000-0000-0000A3860000}"/>
    <cellStyle name="Calculation 29 3 2" xfId="34482" xr:uid="{00000000-0005-0000-0000-0000A4860000}"/>
    <cellStyle name="Calculation 29 3 3" xfId="34483" xr:uid="{00000000-0005-0000-0000-0000A5860000}"/>
    <cellStyle name="Calculation 29 4" xfId="34484" xr:uid="{00000000-0005-0000-0000-0000A6860000}"/>
    <cellStyle name="Calculation 29 4 2" xfId="34485" xr:uid="{00000000-0005-0000-0000-0000A7860000}"/>
    <cellStyle name="Calculation 29 4 3" xfId="34486" xr:uid="{00000000-0005-0000-0000-0000A8860000}"/>
    <cellStyle name="Calculation 29 5" xfId="34487" xr:uid="{00000000-0005-0000-0000-0000A9860000}"/>
    <cellStyle name="Calculation 29 5 2" xfId="34488" xr:uid="{00000000-0005-0000-0000-0000AA860000}"/>
    <cellStyle name="Calculation 29 5 3" xfId="34489" xr:uid="{00000000-0005-0000-0000-0000AB860000}"/>
    <cellStyle name="Calculation 29 6" xfId="34490" xr:uid="{00000000-0005-0000-0000-0000AC860000}"/>
    <cellStyle name="Calculation 29 6 2" xfId="34491" xr:uid="{00000000-0005-0000-0000-0000AD860000}"/>
    <cellStyle name="Calculation 29 7" xfId="34492" xr:uid="{00000000-0005-0000-0000-0000AE860000}"/>
    <cellStyle name="Calculation 29 8" xfId="34493" xr:uid="{00000000-0005-0000-0000-0000AF860000}"/>
    <cellStyle name="Calculation 29 9" xfId="34494" xr:uid="{00000000-0005-0000-0000-0000B0860000}"/>
    <cellStyle name="Calculation 3" xfId="34495" xr:uid="{00000000-0005-0000-0000-0000B1860000}"/>
    <cellStyle name="Calculation 3 10" xfId="34496" xr:uid="{00000000-0005-0000-0000-0000B2860000}"/>
    <cellStyle name="Calculation 3 11" xfId="34497" xr:uid="{00000000-0005-0000-0000-0000B3860000}"/>
    <cellStyle name="Calculation 3 12" xfId="34498" xr:uid="{00000000-0005-0000-0000-0000B4860000}"/>
    <cellStyle name="Calculation 3 2" xfId="34499" xr:uid="{00000000-0005-0000-0000-0000B5860000}"/>
    <cellStyle name="Calculation 3 2 10" xfId="34500" xr:uid="{00000000-0005-0000-0000-0000B6860000}"/>
    <cellStyle name="Calculation 3 2 11" xfId="34501" xr:uid="{00000000-0005-0000-0000-0000B7860000}"/>
    <cellStyle name="Calculation 3 2 2" xfId="34502" xr:uid="{00000000-0005-0000-0000-0000B8860000}"/>
    <cellStyle name="Calculation 3 2 2 2" xfId="34503" xr:uid="{00000000-0005-0000-0000-0000B9860000}"/>
    <cellStyle name="Calculation 3 2 2 2 2" xfId="34504" xr:uid="{00000000-0005-0000-0000-0000BA860000}"/>
    <cellStyle name="Calculation 3 2 2 2 3" xfId="34505" xr:uid="{00000000-0005-0000-0000-0000BB860000}"/>
    <cellStyle name="Calculation 3 2 2 3" xfId="34506" xr:uid="{00000000-0005-0000-0000-0000BC860000}"/>
    <cellStyle name="Calculation 3 2 2 3 2" xfId="34507" xr:uid="{00000000-0005-0000-0000-0000BD860000}"/>
    <cellStyle name="Calculation 3 2 2 3 3" xfId="34508" xr:uid="{00000000-0005-0000-0000-0000BE860000}"/>
    <cellStyle name="Calculation 3 2 2 4" xfId="34509" xr:uid="{00000000-0005-0000-0000-0000BF860000}"/>
    <cellStyle name="Calculation 3 2 2 4 2" xfId="34510" xr:uid="{00000000-0005-0000-0000-0000C0860000}"/>
    <cellStyle name="Calculation 3 2 2 5" xfId="34511" xr:uid="{00000000-0005-0000-0000-0000C1860000}"/>
    <cellStyle name="Calculation 3 2 3" xfId="34512" xr:uid="{00000000-0005-0000-0000-0000C2860000}"/>
    <cellStyle name="Calculation 3 2 3 2" xfId="34513" xr:uid="{00000000-0005-0000-0000-0000C3860000}"/>
    <cellStyle name="Calculation 3 2 3 3" xfId="34514" xr:uid="{00000000-0005-0000-0000-0000C4860000}"/>
    <cellStyle name="Calculation 3 2 4" xfId="34515" xr:uid="{00000000-0005-0000-0000-0000C5860000}"/>
    <cellStyle name="Calculation 3 2 4 2" xfId="34516" xr:uid="{00000000-0005-0000-0000-0000C6860000}"/>
    <cellStyle name="Calculation 3 2 4 3" xfId="34517" xr:uid="{00000000-0005-0000-0000-0000C7860000}"/>
    <cellStyle name="Calculation 3 2 5" xfId="34518" xr:uid="{00000000-0005-0000-0000-0000C8860000}"/>
    <cellStyle name="Calculation 3 2 5 2" xfId="34519" xr:uid="{00000000-0005-0000-0000-0000C9860000}"/>
    <cellStyle name="Calculation 3 2 5 3" xfId="34520" xr:uid="{00000000-0005-0000-0000-0000CA860000}"/>
    <cellStyle name="Calculation 3 2 6" xfId="34521" xr:uid="{00000000-0005-0000-0000-0000CB860000}"/>
    <cellStyle name="Calculation 3 2 6 2" xfId="34522" xr:uid="{00000000-0005-0000-0000-0000CC860000}"/>
    <cellStyle name="Calculation 3 2 6 3" xfId="34523" xr:uid="{00000000-0005-0000-0000-0000CD860000}"/>
    <cellStyle name="Calculation 3 2 7" xfId="34524" xr:uid="{00000000-0005-0000-0000-0000CE860000}"/>
    <cellStyle name="Calculation 3 2 8" xfId="34525" xr:uid="{00000000-0005-0000-0000-0000CF860000}"/>
    <cellStyle name="Calculation 3 2 9" xfId="34526" xr:uid="{00000000-0005-0000-0000-0000D0860000}"/>
    <cellStyle name="Calculation 3 3" xfId="34527" xr:uid="{00000000-0005-0000-0000-0000D1860000}"/>
    <cellStyle name="Calculation 3 3 2" xfId="34528" xr:uid="{00000000-0005-0000-0000-0000D2860000}"/>
    <cellStyle name="Calculation 3 3 3" xfId="34529" xr:uid="{00000000-0005-0000-0000-0000D3860000}"/>
    <cellStyle name="Calculation 3 4" xfId="34530" xr:uid="{00000000-0005-0000-0000-0000D4860000}"/>
    <cellStyle name="Calculation 3 4 2" xfId="34531" xr:uid="{00000000-0005-0000-0000-0000D5860000}"/>
    <cellStyle name="Calculation 3 4 3" xfId="34532" xr:uid="{00000000-0005-0000-0000-0000D6860000}"/>
    <cellStyle name="Calculation 3 5" xfId="34533" xr:uid="{00000000-0005-0000-0000-0000D7860000}"/>
    <cellStyle name="Calculation 3 5 2" xfId="34534" xr:uid="{00000000-0005-0000-0000-0000D8860000}"/>
    <cellStyle name="Calculation 3 5 3" xfId="34535" xr:uid="{00000000-0005-0000-0000-0000D9860000}"/>
    <cellStyle name="Calculation 3 6" xfId="34536" xr:uid="{00000000-0005-0000-0000-0000DA860000}"/>
    <cellStyle name="Calculation 3 6 2" xfId="34537" xr:uid="{00000000-0005-0000-0000-0000DB860000}"/>
    <cellStyle name="Calculation 3 6 3" xfId="34538" xr:uid="{00000000-0005-0000-0000-0000DC860000}"/>
    <cellStyle name="Calculation 3 7" xfId="34539" xr:uid="{00000000-0005-0000-0000-0000DD860000}"/>
    <cellStyle name="Calculation 3 8" xfId="34540" xr:uid="{00000000-0005-0000-0000-0000DE860000}"/>
    <cellStyle name="Calculation 3 9" xfId="34541" xr:uid="{00000000-0005-0000-0000-0000DF860000}"/>
    <cellStyle name="Calculation 30" xfId="34542" xr:uid="{00000000-0005-0000-0000-0000E0860000}"/>
    <cellStyle name="Calculation 30 2" xfId="34543" xr:uid="{00000000-0005-0000-0000-0000E1860000}"/>
    <cellStyle name="Calculation 30 2 2" xfId="34544" xr:uid="{00000000-0005-0000-0000-0000E2860000}"/>
    <cellStyle name="Calculation 30 2 3" xfId="34545" xr:uid="{00000000-0005-0000-0000-0000E3860000}"/>
    <cellStyle name="Calculation 30 2 4" xfId="34546" xr:uid="{00000000-0005-0000-0000-0000E4860000}"/>
    <cellStyle name="Calculation 30 2 5" xfId="34547" xr:uid="{00000000-0005-0000-0000-0000E5860000}"/>
    <cellStyle name="Calculation 30 3" xfId="34548" xr:uid="{00000000-0005-0000-0000-0000E6860000}"/>
    <cellStyle name="Calculation 30 3 2" xfId="34549" xr:uid="{00000000-0005-0000-0000-0000E7860000}"/>
    <cellStyle name="Calculation 30 3 3" xfId="34550" xr:uid="{00000000-0005-0000-0000-0000E8860000}"/>
    <cellStyle name="Calculation 30 4" xfId="34551" xr:uid="{00000000-0005-0000-0000-0000E9860000}"/>
    <cellStyle name="Calculation 30 4 2" xfId="34552" xr:uid="{00000000-0005-0000-0000-0000EA860000}"/>
    <cellStyle name="Calculation 30 4 3" xfId="34553" xr:uid="{00000000-0005-0000-0000-0000EB860000}"/>
    <cellStyle name="Calculation 30 5" xfId="34554" xr:uid="{00000000-0005-0000-0000-0000EC860000}"/>
    <cellStyle name="Calculation 30 5 2" xfId="34555" xr:uid="{00000000-0005-0000-0000-0000ED860000}"/>
    <cellStyle name="Calculation 30 5 3" xfId="34556" xr:uid="{00000000-0005-0000-0000-0000EE860000}"/>
    <cellStyle name="Calculation 30 6" xfId="34557" xr:uid="{00000000-0005-0000-0000-0000EF860000}"/>
    <cellStyle name="Calculation 30 6 2" xfId="34558" xr:uid="{00000000-0005-0000-0000-0000F0860000}"/>
    <cellStyle name="Calculation 30 7" xfId="34559" xr:uid="{00000000-0005-0000-0000-0000F1860000}"/>
    <cellStyle name="Calculation 30 8" xfId="34560" xr:uid="{00000000-0005-0000-0000-0000F2860000}"/>
    <cellStyle name="Calculation 30 9" xfId="34561" xr:uid="{00000000-0005-0000-0000-0000F3860000}"/>
    <cellStyle name="Calculation 31" xfId="34562" xr:uid="{00000000-0005-0000-0000-0000F4860000}"/>
    <cellStyle name="Calculation 31 2" xfId="34563" xr:uid="{00000000-0005-0000-0000-0000F5860000}"/>
    <cellStyle name="Calculation 31 2 2" xfId="34564" xr:uid="{00000000-0005-0000-0000-0000F6860000}"/>
    <cellStyle name="Calculation 31 2 3" xfId="34565" xr:uid="{00000000-0005-0000-0000-0000F7860000}"/>
    <cellStyle name="Calculation 31 2 4" xfId="34566" xr:uid="{00000000-0005-0000-0000-0000F8860000}"/>
    <cellStyle name="Calculation 31 2 5" xfId="34567" xr:uid="{00000000-0005-0000-0000-0000F9860000}"/>
    <cellStyle name="Calculation 31 3" xfId="34568" xr:uid="{00000000-0005-0000-0000-0000FA860000}"/>
    <cellStyle name="Calculation 31 3 2" xfId="34569" xr:uid="{00000000-0005-0000-0000-0000FB860000}"/>
    <cellStyle name="Calculation 31 3 3" xfId="34570" xr:uid="{00000000-0005-0000-0000-0000FC860000}"/>
    <cellStyle name="Calculation 31 4" xfId="34571" xr:uid="{00000000-0005-0000-0000-0000FD860000}"/>
    <cellStyle name="Calculation 31 4 2" xfId="34572" xr:uid="{00000000-0005-0000-0000-0000FE860000}"/>
    <cellStyle name="Calculation 31 4 3" xfId="34573" xr:uid="{00000000-0005-0000-0000-0000FF860000}"/>
    <cellStyle name="Calculation 31 5" xfId="34574" xr:uid="{00000000-0005-0000-0000-000000870000}"/>
    <cellStyle name="Calculation 31 5 2" xfId="34575" xr:uid="{00000000-0005-0000-0000-000001870000}"/>
    <cellStyle name="Calculation 31 5 3" xfId="34576" xr:uid="{00000000-0005-0000-0000-000002870000}"/>
    <cellStyle name="Calculation 31 6" xfId="34577" xr:uid="{00000000-0005-0000-0000-000003870000}"/>
    <cellStyle name="Calculation 31 6 2" xfId="34578" xr:uid="{00000000-0005-0000-0000-000004870000}"/>
    <cellStyle name="Calculation 31 7" xfId="34579" xr:uid="{00000000-0005-0000-0000-000005870000}"/>
    <cellStyle name="Calculation 31 8" xfId="34580" xr:uid="{00000000-0005-0000-0000-000006870000}"/>
    <cellStyle name="Calculation 31 9" xfId="34581" xr:uid="{00000000-0005-0000-0000-000007870000}"/>
    <cellStyle name="Calculation 32" xfId="34582" xr:uid="{00000000-0005-0000-0000-000008870000}"/>
    <cellStyle name="Calculation 32 2" xfId="34583" xr:uid="{00000000-0005-0000-0000-000009870000}"/>
    <cellStyle name="Calculation 32 2 2" xfId="34584" xr:uid="{00000000-0005-0000-0000-00000A870000}"/>
    <cellStyle name="Calculation 32 2 3" xfId="34585" xr:uid="{00000000-0005-0000-0000-00000B870000}"/>
    <cellStyle name="Calculation 32 2 4" xfId="34586" xr:uid="{00000000-0005-0000-0000-00000C870000}"/>
    <cellStyle name="Calculation 32 2 5" xfId="34587" xr:uid="{00000000-0005-0000-0000-00000D870000}"/>
    <cellStyle name="Calculation 32 3" xfId="34588" xr:uid="{00000000-0005-0000-0000-00000E870000}"/>
    <cellStyle name="Calculation 32 3 2" xfId="34589" xr:uid="{00000000-0005-0000-0000-00000F870000}"/>
    <cellStyle name="Calculation 32 3 3" xfId="34590" xr:uid="{00000000-0005-0000-0000-000010870000}"/>
    <cellStyle name="Calculation 32 4" xfId="34591" xr:uid="{00000000-0005-0000-0000-000011870000}"/>
    <cellStyle name="Calculation 32 4 2" xfId="34592" xr:uid="{00000000-0005-0000-0000-000012870000}"/>
    <cellStyle name="Calculation 32 4 3" xfId="34593" xr:uid="{00000000-0005-0000-0000-000013870000}"/>
    <cellStyle name="Calculation 32 5" xfId="34594" xr:uid="{00000000-0005-0000-0000-000014870000}"/>
    <cellStyle name="Calculation 32 5 2" xfId="34595" xr:uid="{00000000-0005-0000-0000-000015870000}"/>
    <cellStyle name="Calculation 32 5 3" xfId="34596" xr:uid="{00000000-0005-0000-0000-000016870000}"/>
    <cellStyle name="Calculation 32 6" xfId="34597" xr:uid="{00000000-0005-0000-0000-000017870000}"/>
    <cellStyle name="Calculation 32 6 2" xfId="34598" xr:uid="{00000000-0005-0000-0000-000018870000}"/>
    <cellStyle name="Calculation 32 7" xfId="34599" xr:uid="{00000000-0005-0000-0000-000019870000}"/>
    <cellStyle name="Calculation 32 8" xfId="34600" xr:uid="{00000000-0005-0000-0000-00001A870000}"/>
    <cellStyle name="Calculation 32 9" xfId="34601" xr:uid="{00000000-0005-0000-0000-00001B870000}"/>
    <cellStyle name="Calculation 33" xfId="34602" xr:uid="{00000000-0005-0000-0000-00001C870000}"/>
    <cellStyle name="Calculation 33 2" xfId="34603" xr:uid="{00000000-0005-0000-0000-00001D870000}"/>
    <cellStyle name="Calculation 33 2 2" xfId="34604" xr:uid="{00000000-0005-0000-0000-00001E870000}"/>
    <cellStyle name="Calculation 33 2 3" xfId="34605" xr:uid="{00000000-0005-0000-0000-00001F870000}"/>
    <cellStyle name="Calculation 33 2 4" xfId="34606" xr:uid="{00000000-0005-0000-0000-000020870000}"/>
    <cellStyle name="Calculation 33 2 5" xfId="34607" xr:uid="{00000000-0005-0000-0000-000021870000}"/>
    <cellStyle name="Calculation 33 3" xfId="34608" xr:uid="{00000000-0005-0000-0000-000022870000}"/>
    <cellStyle name="Calculation 33 3 2" xfId="34609" xr:uid="{00000000-0005-0000-0000-000023870000}"/>
    <cellStyle name="Calculation 33 3 3" xfId="34610" xr:uid="{00000000-0005-0000-0000-000024870000}"/>
    <cellStyle name="Calculation 33 4" xfId="34611" xr:uid="{00000000-0005-0000-0000-000025870000}"/>
    <cellStyle name="Calculation 33 4 2" xfId="34612" xr:uid="{00000000-0005-0000-0000-000026870000}"/>
    <cellStyle name="Calculation 33 4 3" xfId="34613" xr:uid="{00000000-0005-0000-0000-000027870000}"/>
    <cellStyle name="Calculation 33 5" xfId="34614" xr:uid="{00000000-0005-0000-0000-000028870000}"/>
    <cellStyle name="Calculation 33 5 2" xfId="34615" xr:uid="{00000000-0005-0000-0000-000029870000}"/>
    <cellStyle name="Calculation 33 5 3" xfId="34616" xr:uid="{00000000-0005-0000-0000-00002A870000}"/>
    <cellStyle name="Calculation 33 6" xfId="34617" xr:uid="{00000000-0005-0000-0000-00002B870000}"/>
    <cellStyle name="Calculation 33 6 2" xfId="34618" xr:uid="{00000000-0005-0000-0000-00002C870000}"/>
    <cellStyle name="Calculation 33 7" xfId="34619" xr:uid="{00000000-0005-0000-0000-00002D870000}"/>
    <cellStyle name="Calculation 33 8" xfId="34620" xr:uid="{00000000-0005-0000-0000-00002E870000}"/>
    <cellStyle name="Calculation 33 9" xfId="34621" xr:uid="{00000000-0005-0000-0000-00002F870000}"/>
    <cellStyle name="Calculation 34" xfId="34622" xr:uid="{00000000-0005-0000-0000-000030870000}"/>
    <cellStyle name="Calculation 34 2" xfId="34623" xr:uid="{00000000-0005-0000-0000-000031870000}"/>
    <cellStyle name="Calculation 34 3" xfId="34624" xr:uid="{00000000-0005-0000-0000-000032870000}"/>
    <cellStyle name="Calculation 35" xfId="34625" xr:uid="{00000000-0005-0000-0000-000033870000}"/>
    <cellStyle name="Calculation 35 2" xfId="34626" xr:uid="{00000000-0005-0000-0000-000034870000}"/>
    <cellStyle name="Calculation 35 3" xfId="34627" xr:uid="{00000000-0005-0000-0000-000035870000}"/>
    <cellStyle name="Calculation 36" xfId="34628" xr:uid="{00000000-0005-0000-0000-000036870000}"/>
    <cellStyle name="Calculation 36 2" xfId="34629" xr:uid="{00000000-0005-0000-0000-000037870000}"/>
    <cellStyle name="Calculation 36 3" xfId="34630" xr:uid="{00000000-0005-0000-0000-000038870000}"/>
    <cellStyle name="Calculation 37" xfId="34631" xr:uid="{00000000-0005-0000-0000-000039870000}"/>
    <cellStyle name="Calculation 37 2" xfId="34632" xr:uid="{00000000-0005-0000-0000-00003A870000}"/>
    <cellStyle name="Calculation 37 3" xfId="34633" xr:uid="{00000000-0005-0000-0000-00003B870000}"/>
    <cellStyle name="Calculation 4" xfId="34634" xr:uid="{00000000-0005-0000-0000-00003C870000}"/>
    <cellStyle name="Calculation 4 10" xfId="34635" xr:uid="{00000000-0005-0000-0000-00003D870000}"/>
    <cellStyle name="Calculation 4 11" xfId="34636" xr:uid="{00000000-0005-0000-0000-00003E870000}"/>
    <cellStyle name="Calculation 4 2" xfId="34637" xr:uid="{00000000-0005-0000-0000-00003F870000}"/>
    <cellStyle name="Calculation 4 2 2" xfId="34638" xr:uid="{00000000-0005-0000-0000-000040870000}"/>
    <cellStyle name="Calculation 4 2 3" xfId="34639" xr:uid="{00000000-0005-0000-0000-000041870000}"/>
    <cellStyle name="Calculation 4 2 4" xfId="34640" xr:uid="{00000000-0005-0000-0000-000042870000}"/>
    <cellStyle name="Calculation 4 2 5" xfId="34641" xr:uid="{00000000-0005-0000-0000-000043870000}"/>
    <cellStyle name="Calculation 4 3" xfId="34642" xr:uid="{00000000-0005-0000-0000-000044870000}"/>
    <cellStyle name="Calculation 4 3 2" xfId="34643" xr:uid="{00000000-0005-0000-0000-000045870000}"/>
    <cellStyle name="Calculation 4 3 3" xfId="34644" xr:uid="{00000000-0005-0000-0000-000046870000}"/>
    <cellStyle name="Calculation 4 4" xfId="34645" xr:uid="{00000000-0005-0000-0000-000047870000}"/>
    <cellStyle name="Calculation 4 4 2" xfId="34646" xr:uid="{00000000-0005-0000-0000-000048870000}"/>
    <cellStyle name="Calculation 4 4 3" xfId="34647" xr:uid="{00000000-0005-0000-0000-000049870000}"/>
    <cellStyle name="Calculation 4 5" xfId="34648" xr:uid="{00000000-0005-0000-0000-00004A870000}"/>
    <cellStyle name="Calculation 4 5 2" xfId="34649" xr:uid="{00000000-0005-0000-0000-00004B870000}"/>
    <cellStyle name="Calculation 4 5 3" xfId="34650" xr:uid="{00000000-0005-0000-0000-00004C870000}"/>
    <cellStyle name="Calculation 4 6" xfId="34651" xr:uid="{00000000-0005-0000-0000-00004D870000}"/>
    <cellStyle name="Calculation 4 6 2" xfId="34652" xr:uid="{00000000-0005-0000-0000-00004E870000}"/>
    <cellStyle name="Calculation 4 6 3" xfId="34653" xr:uid="{00000000-0005-0000-0000-00004F870000}"/>
    <cellStyle name="Calculation 4 7" xfId="34654" xr:uid="{00000000-0005-0000-0000-000050870000}"/>
    <cellStyle name="Calculation 4 8" xfId="34655" xr:uid="{00000000-0005-0000-0000-000051870000}"/>
    <cellStyle name="Calculation 4 9" xfId="34656" xr:uid="{00000000-0005-0000-0000-000052870000}"/>
    <cellStyle name="Calculation 4_Proj" xfId="34657" xr:uid="{00000000-0005-0000-0000-000053870000}"/>
    <cellStyle name="Calculation 5" xfId="34658" xr:uid="{00000000-0005-0000-0000-000054870000}"/>
    <cellStyle name="Calculation 5 10" xfId="34659" xr:uid="{00000000-0005-0000-0000-000055870000}"/>
    <cellStyle name="Calculation 5 2" xfId="34660" xr:uid="{00000000-0005-0000-0000-000056870000}"/>
    <cellStyle name="Calculation 5 2 2" xfId="34661" xr:uid="{00000000-0005-0000-0000-000057870000}"/>
    <cellStyle name="Calculation 5 2 3" xfId="34662" xr:uid="{00000000-0005-0000-0000-000058870000}"/>
    <cellStyle name="Calculation 5 2 4" xfId="34663" xr:uid="{00000000-0005-0000-0000-000059870000}"/>
    <cellStyle name="Calculation 5 2 5" xfId="34664" xr:uid="{00000000-0005-0000-0000-00005A870000}"/>
    <cellStyle name="Calculation 5 3" xfId="34665" xr:uid="{00000000-0005-0000-0000-00005B870000}"/>
    <cellStyle name="Calculation 5 3 2" xfId="34666" xr:uid="{00000000-0005-0000-0000-00005C870000}"/>
    <cellStyle name="Calculation 5 3 3" xfId="34667" xr:uid="{00000000-0005-0000-0000-00005D870000}"/>
    <cellStyle name="Calculation 5 4" xfId="34668" xr:uid="{00000000-0005-0000-0000-00005E870000}"/>
    <cellStyle name="Calculation 5 4 2" xfId="34669" xr:uid="{00000000-0005-0000-0000-00005F870000}"/>
    <cellStyle name="Calculation 5 4 3" xfId="34670" xr:uid="{00000000-0005-0000-0000-000060870000}"/>
    <cellStyle name="Calculation 5 5" xfId="34671" xr:uid="{00000000-0005-0000-0000-000061870000}"/>
    <cellStyle name="Calculation 5 5 2" xfId="34672" xr:uid="{00000000-0005-0000-0000-000062870000}"/>
    <cellStyle name="Calculation 5 5 3" xfId="34673" xr:uid="{00000000-0005-0000-0000-000063870000}"/>
    <cellStyle name="Calculation 5 6" xfId="34674" xr:uid="{00000000-0005-0000-0000-000064870000}"/>
    <cellStyle name="Calculation 5 6 2" xfId="34675" xr:uid="{00000000-0005-0000-0000-000065870000}"/>
    <cellStyle name="Calculation 5 6 3" xfId="34676" xr:uid="{00000000-0005-0000-0000-000066870000}"/>
    <cellStyle name="Calculation 5 7" xfId="34677" xr:uid="{00000000-0005-0000-0000-000067870000}"/>
    <cellStyle name="Calculation 5 8" xfId="34678" xr:uid="{00000000-0005-0000-0000-000068870000}"/>
    <cellStyle name="Calculation 5 9" xfId="34679" xr:uid="{00000000-0005-0000-0000-000069870000}"/>
    <cellStyle name="Calculation 6" xfId="34680" xr:uid="{00000000-0005-0000-0000-00006A870000}"/>
    <cellStyle name="Calculation 6 10" xfId="34681" xr:uid="{00000000-0005-0000-0000-00006B870000}"/>
    <cellStyle name="Calculation 6 2" xfId="34682" xr:uid="{00000000-0005-0000-0000-00006C870000}"/>
    <cellStyle name="Calculation 6 2 2" xfId="34683" xr:uid="{00000000-0005-0000-0000-00006D870000}"/>
    <cellStyle name="Calculation 6 2 3" xfId="34684" xr:uid="{00000000-0005-0000-0000-00006E870000}"/>
    <cellStyle name="Calculation 6 2 4" xfId="34685" xr:uid="{00000000-0005-0000-0000-00006F870000}"/>
    <cellStyle name="Calculation 6 2 5" xfId="34686" xr:uid="{00000000-0005-0000-0000-000070870000}"/>
    <cellStyle name="Calculation 6 3" xfId="34687" xr:uid="{00000000-0005-0000-0000-000071870000}"/>
    <cellStyle name="Calculation 6 3 2" xfId="34688" xr:uid="{00000000-0005-0000-0000-000072870000}"/>
    <cellStyle name="Calculation 6 3 3" xfId="34689" xr:uid="{00000000-0005-0000-0000-000073870000}"/>
    <cellStyle name="Calculation 6 4" xfId="34690" xr:uid="{00000000-0005-0000-0000-000074870000}"/>
    <cellStyle name="Calculation 6 4 2" xfId="34691" xr:uid="{00000000-0005-0000-0000-000075870000}"/>
    <cellStyle name="Calculation 6 4 3" xfId="34692" xr:uid="{00000000-0005-0000-0000-000076870000}"/>
    <cellStyle name="Calculation 6 5" xfId="34693" xr:uid="{00000000-0005-0000-0000-000077870000}"/>
    <cellStyle name="Calculation 6 5 2" xfId="34694" xr:uid="{00000000-0005-0000-0000-000078870000}"/>
    <cellStyle name="Calculation 6 5 3" xfId="34695" xr:uid="{00000000-0005-0000-0000-000079870000}"/>
    <cellStyle name="Calculation 6 6" xfId="34696" xr:uid="{00000000-0005-0000-0000-00007A870000}"/>
    <cellStyle name="Calculation 6 6 2" xfId="34697" xr:uid="{00000000-0005-0000-0000-00007B870000}"/>
    <cellStyle name="Calculation 6 6 3" xfId="34698" xr:uid="{00000000-0005-0000-0000-00007C870000}"/>
    <cellStyle name="Calculation 6 7" xfId="34699" xr:uid="{00000000-0005-0000-0000-00007D870000}"/>
    <cellStyle name="Calculation 6 8" xfId="34700" xr:uid="{00000000-0005-0000-0000-00007E870000}"/>
    <cellStyle name="Calculation 6 9" xfId="34701" xr:uid="{00000000-0005-0000-0000-00007F870000}"/>
    <cellStyle name="Calculation 7" xfId="34702" xr:uid="{00000000-0005-0000-0000-000080870000}"/>
    <cellStyle name="Calculation 7 10" xfId="34703" xr:uid="{00000000-0005-0000-0000-000081870000}"/>
    <cellStyle name="Calculation 7 2" xfId="34704" xr:uid="{00000000-0005-0000-0000-000082870000}"/>
    <cellStyle name="Calculation 7 2 2" xfId="34705" xr:uid="{00000000-0005-0000-0000-000083870000}"/>
    <cellStyle name="Calculation 7 2 3" xfId="34706" xr:uid="{00000000-0005-0000-0000-000084870000}"/>
    <cellStyle name="Calculation 7 2 4" xfId="34707" xr:uid="{00000000-0005-0000-0000-000085870000}"/>
    <cellStyle name="Calculation 7 2 5" xfId="34708" xr:uid="{00000000-0005-0000-0000-000086870000}"/>
    <cellStyle name="Calculation 7 3" xfId="34709" xr:uid="{00000000-0005-0000-0000-000087870000}"/>
    <cellStyle name="Calculation 7 3 2" xfId="34710" xr:uid="{00000000-0005-0000-0000-000088870000}"/>
    <cellStyle name="Calculation 7 3 3" xfId="34711" xr:uid="{00000000-0005-0000-0000-000089870000}"/>
    <cellStyle name="Calculation 7 4" xfId="34712" xr:uid="{00000000-0005-0000-0000-00008A870000}"/>
    <cellStyle name="Calculation 7 4 2" xfId="34713" xr:uid="{00000000-0005-0000-0000-00008B870000}"/>
    <cellStyle name="Calculation 7 4 3" xfId="34714" xr:uid="{00000000-0005-0000-0000-00008C870000}"/>
    <cellStyle name="Calculation 7 5" xfId="34715" xr:uid="{00000000-0005-0000-0000-00008D870000}"/>
    <cellStyle name="Calculation 7 5 2" xfId="34716" xr:uid="{00000000-0005-0000-0000-00008E870000}"/>
    <cellStyle name="Calculation 7 5 3" xfId="34717" xr:uid="{00000000-0005-0000-0000-00008F870000}"/>
    <cellStyle name="Calculation 7 6" xfId="34718" xr:uid="{00000000-0005-0000-0000-000090870000}"/>
    <cellStyle name="Calculation 7 6 2" xfId="34719" xr:uid="{00000000-0005-0000-0000-000091870000}"/>
    <cellStyle name="Calculation 7 6 3" xfId="34720" xr:uid="{00000000-0005-0000-0000-000092870000}"/>
    <cellStyle name="Calculation 7 7" xfId="34721" xr:uid="{00000000-0005-0000-0000-000093870000}"/>
    <cellStyle name="Calculation 7 8" xfId="34722" xr:uid="{00000000-0005-0000-0000-000094870000}"/>
    <cellStyle name="Calculation 7 9" xfId="34723" xr:uid="{00000000-0005-0000-0000-000095870000}"/>
    <cellStyle name="Calculation 8" xfId="34724" xr:uid="{00000000-0005-0000-0000-000096870000}"/>
    <cellStyle name="Calculation 8 10" xfId="34725" xr:uid="{00000000-0005-0000-0000-000097870000}"/>
    <cellStyle name="Calculation 8 2" xfId="34726" xr:uid="{00000000-0005-0000-0000-000098870000}"/>
    <cellStyle name="Calculation 8 2 2" xfId="34727" xr:uid="{00000000-0005-0000-0000-000099870000}"/>
    <cellStyle name="Calculation 8 2 3" xfId="34728" xr:uid="{00000000-0005-0000-0000-00009A870000}"/>
    <cellStyle name="Calculation 8 2 4" xfId="34729" xr:uid="{00000000-0005-0000-0000-00009B870000}"/>
    <cellStyle name="Calculation 8 2 5" xfId="34730" xr:uid="{00000000-0005-0000-0000-00009C870000}"/>
    <cellStyle name="Calculation 8 3" xfId="34731" xr:uid="{00000000-0005-0000-0000-00009D870000}"/>
    <cellStyle name="Calculation 8 3 2" xfId="34732" xr:uid="{00000000-0005-0000-0000-00009E870000}"/>
    <cellStyle name="Calculation 8 3 3" xfId="34733" xr:uid="{00000000-0005-0000-0000-00009F870000}"/>
    <cellStyle name="Calculation 8 4" xfId="34734" xr:uid="{00000000-0005-0000-0000-0000A0870000}"/>
    <cellStyle name="Calculation 8 4 2" xfId="34735" xr:uid="{00000000-0005-0000-0000-0000A1870000}"/>
    <cellStyle name="Calculation 8 4 3" xfId="34736" xr:uid="{00000000-0005-0000-0000-0000A2870000}"/>
    <cellStyle name="Calculation 8 5" xfId="34737" xr:uid="{00000000-0005-0000-0000-0000A3870000}"/>
    <cellStyle name="Calculation 8 5 2" xfId="34738" xr:uid="{00000000-0005-0000-0000-0000A4870000}"/>
    <cellStyle name="Calculation 8 5 3" xfId="34739" xr:uid="{00000000-0005-0000-0000-0000A5870000}"/>
    <cellStyle name="Calculation 8 6" xfId="34740" xr:uid="{00000000-0005-0000-0000-0000A6870000}"/>
    <cellStyle name="Calculation 8 6 2" xfId="34741" xr:uid="{00000000-0005-0000-0000-0000A7870000}"/>
    <cellStyle name="Calculation 8 6 3" xfId="34742" xr:uid="{00000000-0005-0000-0000-0000A8870000}"/>
    <cellStyle name="Calculation 8 7" xfId="34743" xr:uid="{00000000-0005-0000-0000-0000A9870000}"/>
    <cellStyle name="Calculation 8 8" xfId="34744" xr:uid="{00000000-0005-0000-0000-0000AA870000}"/>
    <cellStyle name="Calculation 8 9" xfId="34745" xr:uid="{00000000-0005-0000-0000-0000AB870000}"/>
    <cellStyle name="Calculation 9" xfId="34746" xr:uid="{00000000-0005-0000-0000-0000AC870000}"/>
    <cellStyle name="Calculation 9 10" xfId="34747" xr:uid="{00000000-0005-0000-0000-0000AD870000}"/>
    <cellStyle name="Calculation 9 2" xfId="34748" xr:uid="{00000000-0005-0000-0000-0000AE870000}"/>
    <cellStyle name="Calculation 9 2 2" xfId="34749" xr:uid="{00000000-0005-0000-0000-0000AF870000}"/>
    <cellStyle name="Calculation 9 2 3" xfId="34750" xr:uid="{00000000-0005-0000-0000-0000B0870000}"/>
    <cellStyle name="Calculation 9 2 4" xfId="34751" xr:uid="{00000000-0005-0000-0000-0000B1870000}"/>
    <cellStyle name="Calculation 9 2 5" xfId="34752" xr:uid="{00000000-0005-0000-0000-0000B2870000}"/>
    <cellStyle name="Calculation 9 3" xfId="34753" xr:uid="{00000000-0005-0000-0000-0000B3870000}"/>
    <cellStyle name="Calculation 9 3 2" xfId="34754" xr:uid="{00000000-0005-0000-0000-0000B4870000}"/>
    <cellStyle name="Calculation 9 3 3" xfId="34755" xr:uid="{00000000-0005-0000-0000-0000B5870000}"/>
    <cellStyle name="Calculation 9 4" xfId="34756" xr:uid="{00000000-0005-0000-0000-0000B6870000}"/>
    <cellStyle name="Calculation 9 4 2" xfId="34757" xr:uid="{00000000-0005-0000-0000-0000B7870000}"/>
    <cellStyle name="Calculation 9 4 3" xfId="34758" xr:uid="{00000000-0005-0000-0000-0000B8870000}"/>
    <cellStyle name="Calculation 9 5" xfId="34759" xr:uid="{00000000-0005-0000-0000-0000B9870000}"/>
    <cellStyle name="Calculation 9 5 2" xfId="34760" xr:uid="{00000000-0005-0000-0000-0000BA870000}"/>
    <cellStyle name="Calculation 9 5 3" xfId="34761" xr:uid="{00000000-0005-0000-0000-0000BB870000}"/>
    <cellStyle name="Calculation 9 6" xfId="34762" xr:uid="{00000000-0005-0000-0000-0000BC870000}"/>
    <cellStyle name="Calculation 9 6 2" xfId="34763" xr:uid="{00000000-0005-0000-0000-0000BD870000}"/>
    <cellStyle name="Calculation 9 6 3" xfId="34764" xr:uid="{00000000-0005-0000-0000-0000BE870000}"/>
    <cellStyle name="Calculation 9 7" xfId="34765" xr:uid="{00000000-0005-0000-0000-0000BF870000}"/>
    <cellStyle name="Calculation 9 8" xfId="34766" xr:uid="{00000000-0005-0000-0000-0000C0870000}"/>
    <cellStyle name="Calculation 9 9" xfId="34767" xr:uid="{00000000-0005-0000-0000-0000C1870000}"/>
    <cellStyle name="category" xfId="34768" xr:uid="{00000000-0005-0000-0000-0000C2870000}"/>
    <cellStyle name="Check Cell 10" xfId="34769" xr:uid="{00000000-0005-0000-0000-0000C3870000}"/>
    <cellStyle name="Check Cell 10 2" xfId="34770" xr:uid="{00000000-0005-0000-0000-0000C4870000}"/>
    <cellStyle name="Check Cell 10 2 2" xfId="34771" xr:uid="{00000000-0005-0000-0000-0000C5870000}"/>
    <cellStyle name="Check Cell 10 3" xfId="34772" xr:uid="{00000000-0005-0000-0000-0000C6870000}"/>
    <cellStyle name="Check Cell 10 4" xfId="34773" xr:uid="{00000000-0005-0000-0000-0000C7870000}"/>
    <cellStyle name="Check Cell 10 5" xfId="34774" xr:uid="{00000000-0005-0000-0000-0000C8870000}"/>
    <cellStyle name="Check Cell 11" xfId="34775" xr:uid="{00000000-0005-0000-0000-0000C9870000}"/>
    <cellStyle name="Check Cell 11 2" xfId="34776" xr:uid="{00000000-0005-0000-0000-0000CA870000}"/>
    <cellStyle name="Check Cell 11 2 2" xfId="34777" xr:uid="{00000000-0005-0000-0000-0000CB870000}"/>
    <cellStyle name="Check Cell 11 3" xfId="34778" xr:uid="{00000000-0005-0000-0000-0000CC870000}"/>
    <cellStyle name="Check Cell 11 4" xfId="34779" xr:uid="{00000000-0005-0000-0000-0000CD870000}"/>
    <cellStyle name="Check Cell 11 5" xfId="34780" xr:uid="{00000000-0005-0000-0000-0000CE870000}"/>
    <cellStyle name="Check Cell 12" xfId="34781" xr:uid="{00000000-0005-0000-0000-0000CF870000}"/>
    <cellStyle name="Check Cell 12 2" xfId="34782" xr:uid="{00000000-0005-0000-0000-0000D0870000}"/>
    <cellStyle name="Check Cell 12 2 2" xfId="34783" xr:uid="{00000000-0005-0000-0000-0000D1870000}"/>
    <cellStyle name="Check Cell 12 3" xfId="34784" xr:uid="{00000000-0005-0000-0000-0000D2870000}"/>
    <cellStyle name="Check Cell 12 4" xfId="34785" xr:uid="{00000000-0005-0000-0000-0000D3870000}"/>
    <cellStyle name="Check Cell 12 5" xfId="34786" xr:uid="{00000000-0005-0000-0000-0000D4870000}"/>
    <cellStyle name="Check Cell 13" xfId="34787" xr:uid="{00000000-0005-0000-0000-0000D5870000}"/>
    <cellStyle name="Check Cell 13 2" xfId="34788" xr:uid="{00000000-0005-0000-0000-0000D6870000}"/>
    <cellStyle name="Check Cell 13 2 2" xfId="34789" xr:uid="{00000000-0005-0000-0000-0000D7870000}"/>
    <cellStyle name="Check Cell 13 3" xfId="34790" xr:uid="{00000000-0005-0000-0000-0000D8870000}"/>
    <cellStyle name="Check Cell 13 4" xfId="34791" xr:uid="{00000000-0005-0000-0000-0000D9870000}"/>
    <cellStyle name="Check Cell 13 5" xfId="34792" xr:uid="{00000000-0005-0000-0000-0000DA870000}"/>
    <cellStyle name="Check Cell 14" xfId="34793" xr:uid="{00000000-0005-0000-0000-0000DB870000}"/>
    <cellStyle name="Check Cell 14 2" xfId="34794" xr:uid="{00000000-0005-0000-0000-0000DC870000}"/>
    <cellStyle name="Check Cell 14 2 2" xfId="34795" xr:uid="{00000000-0005-0000-0000-0000DD870000}"/>
    <cellStyle name="Check Cell 14 3" xfId="34796" xr:uid="{00000000-0005-0000-0000-0000DE870000}"/>
    <cellStyle name="Check Cell 14 4" xfId="34797" xr:uid="{00000000-0005-0000-0000-0000DF870000}"/>
    <cellStyle name="Check Cell 14 5" xfId="34798" xr:uid="{00000000-0005-0000-0000-0000E0870000}"/>
    <cellStyle name="Check Cell 15" xfId="34799" xr:uid="{00000000-0005-0000-0000-0000E1870000}"/>
    <cellStyle name="Check Cell 15 2" xfId="34800" xr:uid="{00000000-0005-0000-0000-0000E2870000}"/>
    <cellStyle name="Check Cell 15 2 2" xfId="34801" xr:uid="{00000000-0005-0000-0000-0000E3870000}"/>
    <cellStyle name="Check Cell 15 3" xfId="34802" xr:uid="{00000000-0005-0000-0000-0000E4870000}"/>
    <cellStyle name="Check Cell 15 4" xfId="34803" xr:uid="{00000000-0005-0000-0000-0000E5870000}"/>
    <cellStyle name="Check Cell 15 5" xfId="34804" xr:uid="{00000000-0005-0000-0000-0000E6870000}"/>
    <cellStyle name="Check Cell 16" xfId="34805" xr:uid="{00000000-0005-0000-0000-0000E7870000}"/>
    <cellStyle name="Check Cell 16 2" xfId="34806" xr:uid="{00000000-0005-0000-0000-0000E8870000}"/>
    <cellStyle name="Check Cell 16 2 2" xfId="34807" xr:uid="{00000000-0005-0000-0000-0000E9870000}"/>
    <cellStyle name="Check Cell 16 3" xfId="34808" xr:uid="{00000000-0005-0000-0000-0000EA870000}"/>
    <cellStyle name="Check Cell 16 4" xfId="34809" xr:uid="{00000000-0005-0000-0000-0000EB870000}"/>
    <cellStyle name="Check Cell 16 5" xfId="34810" xr:uid="{00000000-0005-0000-0000-0000EC870000}"/>
    <cellStyle name="Check Cell 17" xfId="34811" xr:uid="{00000000-0005-0000-0000-0000ED870000}"/>
    <cellStyle name="Check Cell 17 2" xfId="34812" xr:uid="{00000000-0005-0000-0000-0000EE870000}"/>
    <cellStyle name="Check Cell 17 2 2" xfId="34813" xr:uid="{00000000-0005-0000-0000-0000EF870000}"/>
    <cellStyle name="Check Cell 17 3" xfId="34814" xr:uid="{00000000-0005-0000-0000-0000F0870000}"/>
    <cellStyle name="Check Cell 17 4" xfId="34815" xr:uid="{00000000-0005-0000-0000-0000F1870000}"/>
    <cellStyle name="Check Cell 17 5" xfId="34816" xr:uid="{00000000-0005-0000-0000-0000F2870000}"/>
    <cellStyle name="Check Cell 18" xfId="34817" xr:uid="{00000000-0005-0000-0000-0000F3870000}"/>
    <cellStyle name="Check Cell 18 2" xfId="34818" xr:uid="{00000000-0005-0000-0000-0000F4870000}"/>
    <cellStyle name="Check Cell 18 2 2" xfId="34819" xr:uid="{00000000-0005-0000-0000-0000F5870000}"/>
    <cellStyle name="Check Cell 18 3" xfId="34820" xr:uid="{00000000-0005-0000-0000-0000F6870000}"/>
    <cellStyle name="Check Cell 18 4" xfId="34821" xr:uid="{00000000-0005-0000-0000-0000F7870000}"/>
    <cellStyle name="Check Cell 18 5" xfId="34822" xr:uid="{00000000-0005-0000-0000-0000F8870000}"/>
    <cellStyle name="Check Cell 19" xfId="34823" xr:uid="{00000000-0005-0000-0000-0000F9870000}"/>
    <cellStyle name="Check Cell 19 2" xfId="34824" xr:uid="{00000000-0005-0000-0000-0000FA870000}"/>
    <cellStyle name="Check Cell 19 2 2" xfId="34825" xr:uid="{00000000-0005-0000-0000-0000FB870000}"/>
    <cellStyle name="Check Cell 19 3" xfId="34826" xr:uid="{00000000-0005-0000-0000-0000FC870000}"/>
    <cellStyle name="Check Cell 19 4" xfId="34827" xr:uid="{00000000-0005-0000-0000-0000FD870000}"/>
    <cellStyle name="Check Cell 19 5" xfId="34828" xr:uid="{00000000-0005-0000-0000-0000FE870000}"/>
    <cellStyle name="Check Cell 2" xfId="34829" xr:uid="{00000000-0005-0000-0000-0000FF870000}"/>
    <cellStyle name="Check Cell 2 10" xfId="34830" xr:uid="{00000000-0005-0000-0000-000000880000}"/>
    <cellStyle name="Check Cell 2 10 2" xfId="34831" xr:uid="{00000000-0005-0000-0000-000001880000}"/>
    <cellStyle name="Check Cell 2 10 2 2" xfId="34832" xr:uid="{00000000-0005-0000-0000-000002880000}"/>
    <cellStyle name="Check Cell 2 10 3" xfId="34833" xr:uid="{00000000-0005-0000-0000-000003880000}"/>
    <cellStyle name="Check Cell 2 10 4" xfId="34834" xr:uid="{00000000-0005-0000-0000-000004880000}"/>
    <cellStyle name="Check Cell 2 10 5" xfId="34835" xr:uid="{00000000-0005-0000-0000-000005880000}"/>
    <cellStyle name="Check Cell 2 11" xfId="34836" xr:uid="{00000000-0005-0000-0000-000006880000}"/>
    <cellStyle name="Check Cell 2 11 2" xfId="34837" xr:uid="{00000000-0005-0000-0000-000007880000}"/>
    <cellStyle name="Check Cell 2 11 2 2" xfId="34838" xr:uid="{00000000-0005-0000-0000-000008880000}"/>
    <cellStyle name="Check Cell 2 11 3" xfId="34839" xr:uid="{00000000-0005-0000-0000-000009880000}"/>
    <cellStyle name="Check Cell 2 11 4" xfId="34840" xr:uid="{00000000-0005-0000-0000-00000A880000}"/>
    <cellStyle name="Check Cell 2 11 5" xfId="34841" xr:uid="{00000000-0005-0000-0000-00000B880000}"/>
    <cellStyle name="Check Cell 2 12" xfId="34842" xr:uid="{00000000-0005-0000-0000-00000C880000}"/>
    <cellStyle name="Check Cell 2 12 2" xfId="34843" xr:uid="{00000000-0005-0000-0000-00000D880000}"/>
    <cellStyle name="Check Cell 2 12 2 2" xfId="34844" xr:uid="{00000000-0005-0000-0000-00000E880000}"/>
    <cellStyle name="Check Cell 2 12 3" xfId="34845" xr:uid="{00000000-0005-0000-0000-00000F880000}"/>
    <cellStyle name="Check Cell 2 12 4" xfId="34846" xr:uid="{00000000-0005-0000-0000-000010880000}"/>
    <cellStyle name="Check Cell 2 12 5" xfId="34847" xr:uid="{00000000-0005-0000-0000-000011880000}"/>
    <cellStyle name="Check Cell 2 13" xfId="34848" xr:uid="{00000000-0005-0000-0000-000012880000}"/>
    <cellStyle name="Check Cell 2 13 2" xfId="34849" xr:uid="{00000000-0005-0000-0000-000013880000}"/>
    <cellStyle name="Check Cell 2 13 2 2" xfId="34850" xr:uid="{00000000-0005-0000-0000-000014880000}"/>
    <cellStyle name="Check Cell 2 13 3" xfId="34851" xr:uid="{00000000-0005-0000-0000-000015880000}"/>
    <cellStyle name="Check Cell 2 13 4" xfId="34852" xr:uid="{00000000-0005-0000-0000-000016880000}"/>
    <cellStyle name="Check Cell 2 13 5" xfId="34853" xr:uid="{00000000-0005-0000-0000-000017880000}"/>
    <cellStyle name="Check Cell 2 14" xfId="34854" xr:uid="{00000000-0005-0000-0000-000018880000}"/>
    <cellStyle name="Check Cell 2 14 2" xfId="34855" xr:uid="{00000000-0005-0000-0000-000019880000}"/>
    <cellStyle name="Check Cell 2 14 2 2" xfId="34856" xr:uid="{00000000-0005-0000-0000-00001A880000}"/>
    <cellStyle name="Check Cell 2 14 3" xfId="34857" xr:uid="{00000000-0005-0000-0000-00001B880000}"/>
    <cellStyle name="Check Cell 2 14 4" xfId="34858" xr:uid="{00000000-0005-0000-0000-00001C880000}"/>
    <cellStyle name="Check Cell 2 14 5" xfId="34859" xr:uid="{00000000-0005-0000-0000-00001D880000}"/>
    <cellStyle name="Check Cell 2 15" xfId="34860" xr:uid="{00000000-0005-0000-0000-00001E880000}"/>
    <cellStyle name="Check Cell 2 15 2" xfId="34861" xr:uid="{00000000-0005-0000-0000-00001F880000}"/>
    <cellStyle name="Check Cell 2 15 2 2" xfId="34862" xr:uid="{00000000-0005-0000-0000-000020880000}"/>
    <cellStyle name="Check Cell 2 15 3" xfId="34863" xr:uid="{00000000-0005-0000-0000-000021880000}"/>
    <cellStyle name="Check Cell 2 15 4" xfId="34864" xr:uid="{00000000-0005-0000-0000-000022880000}"/>
    <cellStyle name="Check Cell 2 15 5" xfId="34865" xr:uid="{00000000-0005-0000-0000-000023880000}"/>
    <cellStyle name="Check Cell 2 16" xfId="34866" xr:uid="{00000000-0005-0000-0000-000024880000}"/>
    <cellStyle name="Check Cell 2 16 2" xfId="34867" xr:uid="{00000000-0005-0000-0000-000025880000}"/>
    <cellStyle name="Check Cell 2 17" xfId="34868" xr:uid="{00000000-0005-0000-0000-000026880000}"/>
    <cellStyle name="Check Cell 2 18" xfId="34869" xr:uid="{00000000-0005-0000-0000-000027880000}"/>
    <cellStyle name="Check Cell 2 19" xfId="34870" xr:uid="{00000000-0005-0000-0000-000028880000}"/>
    <cellStyle name="Check Cell 2 2" xfId="34871" xr:uid="{00000000-0005-0000-0000-000029880000}"/>
    <cellStyle name="Check Cell 2 2 2" xfId="34872" xr:uid="{00000000-0005-0000-0000-00002A880000}"/>
    <cellStyle name="Check Cell 2 2 2 2" xfId="34873" xr:uid="{00000000-0005-0000-0000-00002B880000}"/>
    <cellStyle name="Check Cell 2 2 3" xfId="34874" xr:uid="{00000000-0005-0000-0000-00002C880000}"/>
    <cellStyle name="Check Cell 2 2 4" xfId="34875" xr:uid="{00000000-0005-0000-0000-00002D880000}"/>
    <cellStyle name="Check Cell 2 2 5" xfId="34876" xr:uid="{00000000-0005-0000-0000-00002E880000}"/>
    <cellStyle name="Check Cell 2 2 6" xfId="34877" xr:uid="{00000000-0005-0000-0000-00002F880000}"/>
    <cellStyle name="Check Cell 2 20" xfId="34878" xr:uid="{00000000-0005-0000-0000-000030880000}"/>
    <cellStyle name="Check Cell 2 3" xfId="34879" xr:uid="{00000000-0005-0000-0000-000031880000}"/>
    <cellStyle name="Check Cell 2 3 2" xfId="34880" xr:uid="{00000000-0005-0000-0000-000032880000}"/>
    <cellStyle name="Check Cell 2 3 2 2" xfId="34881" xr:uid="{00000000-0005-0000-0000-000033880000}"/>
    <cellStyle name="Check Cell 2 3 3" xfId="34882" xr:uid="{00000000-0005-0000-0000-000034880000}"/>
    <cellStyle name="Check Cell 2 3 4" xfId="34883" xr:uid="{00000000-0005-0000-0000-000035880000}"/>
    <cellStyle name="Check Cell 2 3 5" xfId="34884" xr:uid="{00000000-0005-0000-0000-000036880000}"/>
    <cellStyle name="Check Cell 2 4" xfId="34885" xr:uid="{00000000-0005-0000-0000-000037880000}"/>
    <cellStyle name="Check Cell 2 4 2" xfId="34886" xr:uid="{00000000-0005-0000-0000-000038880000}"/>
    <cellStyle name="Check Cell 2 4 2 2" xfId="34887" xr:uid="{00000000-0005-0000-0000-000039880000}"/>
    <cellStyle name="Check Cell 2 4 2 3" xfId="34888" xr:uid="{00000000-0005-0000-0000-00003A880000}"/>
    <cellStyle name="Check Cell 2 4 3" xfId="34889" xr:uid="{00000000-0005-0000-0000-00003B880000}"/>
    <cellStyle name="Check Cell 2 4 4" xfId="34890" xr:uid="{00000000-0005-0000-0000-00003C880000}"/>
    <cellStyle name="Check Cell 2 4 5" xfId="34891" xr:uid="{00000000-0005-0000-0000-00003D880000}"/>
    <cellStyle name="Check Cell 2 5" xfId="34892" xr:uid="{00000000-0005-0000-0000-00003E880000}"/>
    <cellStyle name="Check Cell 2 5 2" xfId="34893" xr:uid="{00000000-0005-0000-0000-00003F880000}"/>
    <cellStyle name="Check Cell 2 5 2 2" xfId="34894" xr:uid="{00000000-0005-0000-0000-000040880000}"/>
    <cellStyle name="Check Cell 2 5 3" xfId="34895" xr:uid="{00000000-0005-0000-0000-000041880000}"/>
    <cellStyle name="Check Cell 2 5 4" xfId="34896" xr:uid="{00000000-0005-0000-0000-000042880000}"/>
    <cellStyle name="Check Cell 2 5 5" xfId="34897" xr:uid="{00000000-0005-0000-0000-000043880000}"/>
    <cellStyle name="Check Cell 2 6" xfId="34898" xr:uid="{00000000-0005-0000-0000-000044880000}"/>
    <cellStyle name="Check Cell 2 6 2" xfId="34899" xr:uid="{00000000-0005-0000-0000-000045880000}"/>
    <cellStyle name="Check Cell 2 6 2 2" xfId="34900" xr:uid="{00000000-0005-0000-0000-000046880000}"/>
    <cellStyle name="Check Cell 2 6 3" xfId="34901" xr:uid="{00000000-0005-0000-0000-000047880000}"/>
    <cellStyle name="Check Cell 2 6 4" xfId="34902" xr:uid="{00000000-0005-0000-0000-000048880000}"/>
    <cellStyle name="Check Cell 2 6 5" xfId="34903" xr:uid="{00000000-0005-0000-0000-000049880000}"/>
    <cellStyle name="Check Cell 2 7" xfId="34904" xr:uid="{00000000-0005-0000-0000-00004A880000}"/>
    <cellStyle name="Check Cell 2 7 2" xfId="34905" xr:uid="{00000000-0005-0000-0000-00004B880000}"/>
    <cellStyle name="Check Cell 2 7 2 2" xfId="34906" xr:uid="{00000000-0005-0000-0000-00004C880000}"/>
    <cellStyle name="Check Cell 2 7 3" xfId="34907" xr:uid="{00000000-0005-0000-0000-00004D880000}"/>
    <cellStyle name="Check Cell 2 7 4" xfId="34908" xr:uid="{00000000-0005-0000-0000-00004E880000}"/>
    <cellStyle name="Check Cell 2 7 5" xfId="34909" xr:uid="{00000000-0005-0000-0000-00004F880000}"/>
    <cellStyle name="Check Cell 2 8" xfId="34910" xr:uid="{00000000-0005-0000-0000-000050880000}"/>
    <cellStyle name="Check Cell 2 8 2" xfId="34911" xr:uid="{00000000-0005-0000-0000-000051880000}"/>
    <cellStyle name="Check Cell 2 8 2 2" xfId="34912" xr:uid="{00000000-0005-0000-0000-000052880000}"/>
    <cellStyle name="Check Cell 2 8 3" xfId="34913" xr:uid="{00000000-0005-0000-0000-000053880000}"/>
    <cellStyle name="Check Cell 2 8 4" xfId="34914" xr:uid="{00000000-0005-0000-0000-000054880000}"/>
    <cellStyle name="Check Cell 2 8 5" xfId="34915" xr:uid="{00000000-0005-0000-0000-000055880000}"/>
    <cellStyle name="Check Cell 2 9" xfId="34916" xr:uid="{00000000-0005-0000-0000-000056880000}"/>
    <cellStyle name="Check Cell 2 9 2" xfId="34917" xr:uid="{00000000-0005-0000-0000-000057880000}"/>
    <cellStyle name="Check Cell 2 9 2 2" xfId="34918" xr:uid="{00000000-0005-0000-0000-000058880000}"/>
    <cellStyle name="Check Cell 2 9 3" xfId="34919" xr:uid="{00000000-0005-0000-0000-000059880000}"/>
    <cellStyle name="Check Cell 2 9 4" xfId="34920" xr:uid="{00000000-0005-0000-0000-00005A880000}"/>
    <cellStyle name="Check Cell 2 9 5" xfId="34921" xr:uid="{00000000-0005-0000-0000-00005B880000}"/>
    <cellStyle name="Check Cell 2_Labour" xfId="34922" xr:uid="{00000000-0005-0000-0000-00005C880000}"/>
    <cellStyle name="Check Cell 20" xfId="34923" xr:uid="{00000000-0005-0000-0000-00005D880000}"/>
    <cellStyle name="Check Cell 20 2" xfId="34924" xr:uid="{00000000-0005-0000-0000-00005E880000}"/>
    <cellStyle name="Check Cell 20 2 2" xfId="34925" xr:uid="{00000000-0005-0000-0000-00005F880000}"/>
    <cellStyle name="Check Cell 20 3" xfId="34926" xr:uid="{00000000-0005-0000-0000-000060880000}"/>
    <cellStyle name="Check Cell 20 4" xfId="34927" xr:uid="{00000000-0005-0000-0000-000061880000}"/>
    <cellStyle name="Check Cell 20 5" xfId="34928" xr:uid="{00000000-0005-0000-0000-000062880000}"/>
    <cellStyle name="Check Cell 21" xfId="34929" xr:uid="{00000000-0005-0000-0000-000063880000}"/>
    <cellStyle name="Check Cell 21 2" xfId="34930" xr:uid="{00000000-0005-0000-0000-000064880000}"/>
    <cellStyle name="Check Cell 21 2 2" xfId="34931" xr:uid="{00000000-0005-0000-0000-000065880000}"/>
    <cellStyle name="Check Cell 21 3" xfId="34932" xr:uid="{00000000-0005-0000-0000-000066880000}"/>
    <cellStyle name="Check Cell 21 4" xfId="34933" xr:uid="{00000000-0005-0000-0000-000067880000}"/>
    <cellStyle name="Check Cell 21 5" xfId="34934" xr:uid="{00000000-0005-0000-0000-000068880000}"/>
    <cellStyle name="Check Cell 22" xfId="34935" xr:uid="{00000000-0005-0000-0000-000069880000}"/>
    <cellStyle name="Check Cell 22 2" xfId="34936" xr:uid="{00000000-0005-0000-0000-00006A880000}"/>
    <cellStyle name="Check Cell 22 2 2" xfId="34937" xr:uid="{00000000-0005-0000-0000-00006B880000}"/>
    <cellStyle name="Check Cell 22 3" xfId="34938" xr:uid="{00000000-0005-0000-0000-00006C880000}"/>
    <cellStyle name="Check Cell 22 4" xfId="34939" xr:uid="{00000000-0005-0000-0000-00006D880000}"/>
    <cellStyle name="Check Cell 22 5" xfId="34940" xr:uid="{00000000-0005-0000-0000-00006E880000}"/>
    <cellStyle name="Check Cell 23" xfId="34941" xr:uid="{00000000-0005-0000-0000-00006F880000}"/>
    <cellStyle name="Check Cell 23 2" xfId="34942" xr:uid="{00000000-0005-0000-0000-000070880000}"/>
    <cellStyle name="Check Cell 23 3" xfId="34943" xr:uid="{00000000-0005-0000-0000-000071880000}"/>
    <cellStyle name="Check Cell 24" xfId="34944" xr:uid="{00000000-0005-0000-0000-000072880000}"/>
    <cellStyle name="Check Cell 24 2" xfId="34945" xr:uid="{00000000-0005-0000-0000-000073880000}"/>
    <cellStyle name="Check Cell 24 3" xfId="34946" xr:uid="{00000000-0005-0000-0000-000074880000}"/>
    <cellStyle name="Check Cell 25" xfId="34947" xr:uid="{00000000-0005-0000-0000-000075880000}"/>
    <cellStyle name="Check Cell 25 2" xfId="34948" xr:uid="{00000000-0005-0000-0000-000076880000}"/>
    <cellStyle name="Check Cell 25 3" xfId="34949" xr:uid="{00000000-0005-0000-0000-000077880000}"/>
    <cellStyle name="Check Cell 26" xfId="34950" xr:uid="{00000000-0005-0000-0000-000078880000}"/>
    <cellStyle name="Check Cell 26 2" xfId="34951" xr:uid="{00000000-0005-0000-0000-000079880000}"/>
    <cellStyle name="Check Cell 26 3" xfId="34952" xr:uid="{00000000-0005-0000-0000-00007A880000}"/>
    <cellStyle name="Check Cell 27" xfId="34953" xr:uid="{00000000-0005-0000-0000-00007B880000}"/>
    <cellStyle name="Check Cell 27 2" xfId="34954" xr:uid="{00000000-0005-0000-0000-00007C880000}"/>
    <cellStyle name="Check Cell 27 3" xfId="34955" xr:uid="{00000000-0005-0000-0000-00007D880000}"/>
    <cellStyle name="Check Cell 28" xfId="34956" xr:uid="{00000000-0005-0000-0000-00007E880000}"/>
    <cellStyle name="Check Cell 28 2" xfId="34957" xr:uid="{00000000-0005-0000-0000-00007F880000}"/>
    <cellStyle name="Check Cell 28 3" xfId="34958" xr:uid="{00000000-0005-0000-0000-000080880000}"/>
    <cellStyle name="Check Cell 29" xfId="34959" xr:uid="{00000000-0005-0000-0000-000081880000}"/>
    <cellStyle name="Check Cell 29 2" xfId="34960" xr:uid="{00000000-0005-0000-0000-000082880000}"/>
    <cellStyle name="Check Cell 29 3" xfId="34961" xr:uid="{00000000-0005-0000-0000-000083880000}"/>
    <cellStyle name="Check Cell 3" xfId="34962" xr:uid="{00000000-0005-0000-0000-000084880000}"/>
    <cellStyle name="Check Cell 3 2" xfId="34963" xr:uid="{00000000-0005-0000-0000-000085880000}"/>
    <cellStyle name="Check Cell 3 2 2" xfId="34964" xr:uid="{00000000-0005-0000-0000-000086880000}"/>
    <cellStyle name="Check Cell 3 2 3" xfId="34965" xr:uid="{00000000-0005-0000-0000-000087880000}"/>
    <cellStyle name="Check Cell 3 2 4" xfId="34966" xr:uid="{00000000-0005-0000-0000-000088880000}"/>
    <cellStyle name="Check Cell 3 2 5" xfId="34967" xr:uid="{00000000-0005-0000-0000-000089880000}"/>
    <cellStyle name="Check Cell 3 2 6" xfId="34968" xr:uid="{00000000-0005-0000-0000-00008A880000}"/>
    <cellStyle name="Check Cell 3 3" xfId="34969" xr:uid="{00000000-0005-0000-0000-00008B880000}"/>
    <cellStyle name="Check Cell 3 3 2" xfId="34970" xr:uid="{00000000-0005-0000-0000-00008C880000}"/>
    <cellStyle name="Check Cell 3 4" xfId="34971" xr:uid="{00000000-0005-0000-0000-00008D880000}"/>
    <cellStyle name="Check Cell 3 5" xfId="34972" xr:uid="{00000000-0005-0000-0000-00008E880000}"/>
    <cellStyle name="Check Cell 3 6" xfId="34973" xr:uid="{00000000-0005-0000-0000-00008F880000}"/>
    <cellStyle name="Check Cell 30" xfId="34974" xr:uid="{00000000-0005-0000-0000-000090880000}"/>
    <cellStyle name="Check Cell 30 2" xfId="34975" xr:uid="{00000000-0005-0000-0000-000091880000}"/>
    <cellStyle name="Check Cell 30 3" xfId="34976" xr:uid="{00000000-0005-0000-0000-000092880000}"/>
    <cellStyle name="Check Cell 31" xfId="34977" xr:uid="{00000000-0005-0000-0000-000093880000}"/>
    <cellStyle name="Check Cell 31 2" xfId="34978" xr:uid="{00000000-0005-0000-0000-000094880000}"/>
    <cellStyle name="Check Cell 31 3" xfId="34979" xr:uid="{00000000-0005-0000-0000-000095880000}"/>
    <cellStyle name="Check Cell 32" xfId="34980" xr:uid="{00000000-0005-0000-0000-000096880000}"/>
    <cellStyle name="Check Cell 32 2" xfId="34981" xr:uid="{00000000-0005-0000-0000-000097880000}"/>
    <cellStyle name="Check Cell 32 3" xfId="34982" xr:uid="{00000000-0005-0000-0000-000098880000}"/>
    <cellStyle name="Check Cell 33" xfId="34983" xr:uid="{00000000-0005-0000-0000-000099880000}"/>
    <cellStyle name="Check Cell 33 2" xfId="34984" xr:uid="{00000000-0005-0000-0000-00009A880000}"/>
    <cellStyle name="Check Cell 33 3" xfId="34985" xr:uid="{00000000-0005-0000-0000-00009B880000}"/>
    <cellStyle name="Check Cell 34" xfId="34986" xr:uid="{00000000-0005-0000-0000-00009C880000}"/>
    <cellStyle name="Check Cell 34 2" xfId="34987" xr:uid="{00000000-0005-0000-0000-00009D880000}"/>
    <cellStyle name="Check Cell 35" xfId="34988" xr:uid="{00000000-0005-0000-0000-00009E880000}"/>
    <cellStyle name="Check Cell 4" xfId="34989" xr:uid="{00000000-0005-0000-0000-00009F880000}"/>
    <cellStyle name="Check Cell 4 2" xfId="34990" xr:uid="{00000000-0005-0000-0000-0000A0880000}"/>
    <cellStyle name="Check Cell 4 2 2" xfId="34991" xr:uid="{00000000-0005-0000-0000-0000A1880000}"/>
    <cellStyle name="Check Cell 4 3" xfId="34992" xr:uid="{00000000-0005-0000-0000-0000A2880000}"/>
    <cellStyle name="Check Cell 4 4" xfId="34993" xr:uid="{00000000-0005-0000-0000-0000A3880000}"/>
    <cellStyle name="Check Cell 4 5" xfId="34994" xr:uid="{00000000-0005-0000-0000-0000A4880000}"/>
    <cellStyle name="Check Cell 4 6" xfId="34995" xr:uid="{00000000-0005-0000-0000-0000A5880000}"/>
    <cellStyle name="Check Cell 4_Proj" xfId="34996" xr:uid="{00000000-0005-0000-0000-0000A6880000}"/>
    <cellStyle name="Check Cell 5" xfId="34997" xr:uid="{00000000-0005-0000-0000-0000A7880000}"/>
    <cellStyle name="Check Cell 5 2" xfId="34998" xr:uid="{00000000-0005-0000-0000-0000A8880000}"/>
    <cellStyle name="Check Cell 5 2 2" xfId="34999" xr:uid="{00000000-0005-0000-0000-0000A9880000}"/>
    <cellStyle name="Check Cell 5 3" xfId="35000" xr:uid="{00000000-0005-0000-0000-0000AA880000}"/>
    <cellStyle name="Check Cell 5 4" xfId="35001" xr:uid="{00000000-0005-0000-0000-0000AB880000}"/>
    <cellStyle name="Check Cell 5 5" xfId="35002" xr:uid="{00000000-0005-0000-0000-0000AC880000}"/>
    <cellStyle name="Check Cell 6" xfId="35003" xr:uid="{00000000-0005-0000-0000-0000AD880000}"/>
    <cellStyle name="Check Cell 6 2" xfId="35004" xr:uid="{00000000-0005-0000-0000-0000AE880000}"/>
    <cellStyle name="Check Cell 6 2 2" xfId="35005" xr:uid="{00000000-0005-0000-0000-0000AF880000}"/>
    <cellStyle name="Check Cell 6 3" xfId="35006" xr:uid="{00000000-0005-0000-0000-0000B0880000}"/>
    <cellStyle name="Check Cell 6 4" xfId="35007" xr:uid="{00000000-0005-0000-0000-0000B1880000}"/>
    <cellStyle name="Check Cell 6 5" xfId="35008" xr:uid="{00000000-0005-0000-0000-0000B2880000}"/>
    <cellStyle name="Check Cell 7" xfId="35009" xr:uid="{00000000-0005-0000-0000-0000B3880000}"/>
    <cellStyle name="Check Cell 7 2" xfId="35010" xr:uid="{00000000-0005-0000-0000-0000B4880000}"/>
    <cellStyle name="Check Cell 7 2 2" xfId="35011" xr:uid="{00000000-0005-0000-0000-0000B5880000}"/>
    <cellStyle name="Check Cell 7 3" xfId="35012" xr:uid="{00000000-0005-0000-0000-0000B6880000}"/>
    <cellStyle name="Check Cell 7 4" xfId="35013" xr:uid="{00000000-0005-0000-0000-0000B7880000}"/>
    <cellStyle name="Check Cell 7 5" xfId="35014" xr:uid="{00000000-0005-0000-0000-0000B8880000}"/>
    <cellStyle name="Check Cell 8" xfId="35015" xr:uid="{00000000-0005-0000-0000-0000B9880000}"/>
    <cellStyle name="Check Cell 8 2" xfId="35016" xr:uid="{00000000-0005-0000-0000-0000BA880000}"/>
    <cellStyle name="Check Cell 8 2 2" xfId="35017" xr:uid="{00000000-0005-0000-0000-0000BB880000}"/>
    <cellStyle name="Check Cell 8 3" xfId="35018" xr:uid="{00000000-0005-0000-0000-0000BC880000}"/>
    <cellStyle name="Check Cell 8 4" xfId="35019" xr:uid="{00000000-0005-0000-0000-0000BD880000}"/>
    <cellStyle name="Check Cell 8 5" xfId="35020" xr:uid="{00000000-0005-0000-0000-0000BE880000}"/>
    <cellStyle name="Check Cell 9" xfId="35021" xr:uid="{00000000-0005-0000-0000-0000BF880000}"/>
    <cellStyle name="Check Cell 9 2" xfId="35022" xr:uid="{00000000-0005-0000-0000-0000C0880000}"/>
    <cellStyle name="Check Cell 9 2 2" xfId="35023" xr:uid="{00000000-0005-0000-0000-0000C1880000}"/>
    <cellStyle name="Check Cell 9 3" xfId="35024" xr:uid="{00000000-0005-0000-0000-0000C2880000}"/>
    <cellStyle name="Check Cell 9 4" xfId="35025" xr:uid="{00000000-0005-0000-0000-0000C3880000}"/>
    <cellStyle name="Check Cell 9 5" xfId="35026" xr:uid="{00000000-0005-0000-0000-0000C4880000}"/>
    <cellStyle name="Comm1" xfId="35027" xr:uid="{00000000-0005-0000-0000-0000C5880000}"/>
    <cellStyle name="Comm1 2" xfId="35028" xr:uid="{00000000-0005-0000-0000-0000C6880000}"/>
    <cellStyle name="Comma" xfId="10" builtinId="3"/>
    <cellStyle name="Comma  - Style1" xfId="35029" xr:uid="{00000000-0005-0000-0000-0000C8880000}"/>
    <cellStyle name="Comma  - Style1 2" xfId="35030" xr:uid="{00000000-0005-0000-0000-0000C9880000}"/>
    <cellStyle name="Comma  - Style1 3" xfId="35031" xr:uid="{00000000-0005-0000-0000-0000CA880000}"/>
    <cellStyle name="Comma  - Style1 4" xfId="35032" xr:uid="{00000000-0005-0000-0000-0000CB880000}"/>
    <cellStyle name="Comma  - Style1 5" xfId="35033" xr:uid="{00000000-0005-0000-0000-0000CC880000}"/>
    <cellStyle name="Comma  - Style1 6" xfId="35034" xr:uid="{00000000-0005-0000-0000-0000CD880000}"/>
    <cellStyle name="Comma  - Style1 7" xfId="35035" xr:uid="{00000000-0005-0000-0000-0000CE880000}"/>
    <cellStyle name="Comma  - Style1 8" xfId="35036" xr:uid="{00000000-0005-0000-0000-0000CF880000}"/>
    <cellStyle name="Comma  - Style1 9" xfId="35037" xr:uid="{00000000-0005-0000-0000-0000D0880000}"/>
    <cellStyle name="Comma  - Style2" xfId="35038" xr:uid="{00000000-0005-0000-0000-0000D1880000}"/>
    <cellStyle name="Comma  - Style2 2" xfId="35039" xr:uid="{00000000-0005-0000-0000-0000D2880000}"/>
    <cellStyle name="Comma  - Style2 3" xfId="35040" xr:uid="{00000000-0005-0000-0000-0000D3880000}"/>
    <cellStyle name="Comma  - Style2 4" xfId="35041" xr:uid="{00000000-0005-0000-0000-0000D4880000}"/>
    <cellStyle name="Comma  - Style2 5" xfId="35042" xr:uid="{00000000-0005-0000-0000-0000D5880000}"/>
    <cellStyle name="Comma  - Style2 6" xfId="35043" xr:uid="{00000000-0005-0000-0000-0000D6880000}"/>
    <cellStyle name="Comma  - Style2 7" xfId="35044" xr:uid="{00000000-0005-0000-0000-0000D7880000}"/>
    <cellStyle name="Comma  - Style2 8" xfId="35045" xr:uid="{00000000-0005-0000-0000-0000D8880000}"/>
    <cellStyle name="Comma  - Style2 9" xfId="35046" xr:uid="{00000000-0005-0000-0000-0000D9880000}"/>
    <cellStyle name="Comma  - Style3" xfId="35047" xr:uid="{00000000-0005-0000-0000-0000DA880000}"/>
    <cellStyle name="Comma  - Style3 2" xfId="35048" xr:uid="{00000000-0005-0000-0000-0000DB880000}"/>
    <cellStyle name="Comma  - Style3 3" xfId="35049" xr:uid="{00000000-0005-0000-0000-0000DC880000}"/>
    <cellStyle name="Comma  - Style3 4" xfId="35050" xr:uid="{00000000-0005-0000-0000-0000DD880000}"/>
    <cellStyle name="Comma  - Style3 5" xfId="35051" xr:uid="{00000000-0005-0000-0000-0000DE880000}"/>
    <cellStyle name="Comma  - Style3 6" xfId="35052" xr:uid="{00000000-0005-0000-0000-0000DF880000}"/>
    <cellStyle name="Comma  - Style3 7" xfId="35053" xr:uid="{00000000-0005-0000-0000-0000E0880000}"/>
    <cellStyle name="Comma  - Style3 8" xfId="35054" xr:uid="{00000000-0005-0000-0000-0000E1880000}"/>
    <cellStyle name="Comma  - Style3 9" xfId="35055" xr:uid="{00000000-0005-0000-0000-0000E2880000}"/>
    <cellStyle name="Comma  - Style4" xfId="35056" xr:uid="{00000000-0005-0000-0000-0000E3880000}"/>
    <cellStyle name="Comma  - Style4 2" xfId="35057" xr:uid="{00000000-0005-0000-0000-0000E4880000}"/>
    <cellStyle name="Comma  - Style4 3" xfId="35058" xr:uid="{00000000-0005-0000-0000-0000E5880000}"/>
    <cellStyle name="Comma  - Style4 4" xfId="35059" xr:uid="{00000000-0005-0000-0000-0000E6880000}"/>
    <cellStyle name="Comma  - Style4 5" xfId="35060" xr:uid="{00000000-0005-0000-0000-0000E7880000}"/>
    <cellStyle name="Comma  - Style4 6" xfId="35061" xr:uid="{00000000-0005-0000-0000-0000E8880000}"/>
    <cellStyle name="Comma  - Style4 7" xfId="35062" xr:uid="{00000000-0005-0000-0000-0000E9880000}"/>
    <cellStyle name="Comma  - Style4 8" xfId="35063" xr:uid="{00000000-0005-0000-0000-0000EA880000}"/>
    <cellStyle name="Comma  - Style4 9" xfId="35064" xr:uid="{00000000-0005-0000-0000-0000EB880000}"/>
    <cellStyle name="Comma  - Style5" xfId="35065" xr:uid="{00000000-0005-0000-0000-0000EC880000}"/>
    <cellStyle name="Comma  - Style5 2" xfId="35066" xr:uid="{00000000-0005-0000-0000-0000ED880000}"/>
    <cellStyle name="Comma  - Style5 3" xfId="35067" xr:uid="{00000000-0005-0000-0000-0000EE880000}"/>
    <cellStyle name="Comma  - Style5 4" xfId="35068" xr:uid="{00000000-0005-0000-0000-0000EF880000}"/>
    <cellStyle name="Comma  - Style5 5" xfId="35069" xr:uid="{00000000-0005-0000-0000-0000F0880000}"/>
    <cellStyle name="Comma  - Style5 6" xfId="35070" xr:uid="{00000000-0005-0000-0000-0000F1880000}"/>
    <cellStyle name="Comma  - Style5 7" xfId="35071" xr:uid="{00000000-0005-0000-0000-0000F2880000}"/>
    <cellStyle name="Comma  - Style5 8" xfId="35072" xr:uid="{00000000-0005-0000-0000-0000F3880000}"/>
    <cellStyle name="Comma  - Style5 9" xfId="35073" xr:uid="{00000000-0005-0000-0000-0000F4880000}"/>
    <cellStyle name="Comma  - Style6" xfId="35074" xr:uid="{00000000-0005-0000-0000-0000F5880000}"/>
    <cellStyle name="Comma  - Style6 2" xfId="35075" xr:uid="{00000000-0005-0000-0000-0000F6880000}"/>
    <cellStyle name="Comma  - Style6 3" xfId="35076" xr:uid="{00000000-0005-0000-0000-0000F7880000}"/>
    <cellStyle name="Comma  - Style6 4" xfId="35077" xr:uid="{00000000-0005-0000-0000-0000F8880000}"/>
    <cellStyle name="Comma  - Style6 5" xfId="35078" xr:uid="{00000000-0005-0000-0000-0000F9880000}"/>
    <cellStyle name="Comma  - Style6 6" xfId="35079" xr:uid="{00000000-0005-0000-0000-0000FA880000}"/>
    <cellStyle name="Comma  - Style6 7" xfId="35080" xr:uid="{00000000-0005-0000-0000-0000FB880000}"/>
    <cellStyle name="Comma  - Style6 8" xfId="35081" xr:uid="{00000000-0005-0000-0000-0000FC880000}"/>
    <cellStyle name="Comma  - Style6 9" xfId="35082" xr:uid="{00000000-0005-0000-0000-0000FD880000}"/>
    <cellStyle name="Comma  - Style7" xfId="35083" xr:uid="{00000000-0005-0000-0000-0000FE880000}"/>
    <cellStyle name="Comma  - Style7 2" xfId="35084" xr:uid="{00000000-0005-0000-0000-0000FF880000}"/>
    <cellStyle name="Comma  - Style7 3" xfId="35085" xr:uid="{00000000-0005-0000-0000-000000890000}"/>
    <cellStyle name="Comma  - Style7 4" xfId="35086" xr:uid="{00000000-0005-0000-0000-000001890000}"/>
    <cellStyle name="Comma  - Style7 5" xfId="35087" xr:uid="{00000000-0005-0000-0000-000002890000}"/>
    <cellStyle name="Comma  - Style7 6" xfId="35088" xr:uid="{00000000-0005-0000-0000-000003890000}"/>
    <cellStyle name="Comma  - Style7 7" xfId="35089" xr:uid="{00000000-0005-0000-0000-000004890000}"/>
    <cellStyle name="Comma  - Style7 8" xfId="35090" xr:uid="{00000000-0005-0000-0000-000005890000}"/>
    <cellStyle name="Comma  - Style7 9" xfId="35091" xr:uid="{00000000-0005-0000-0000-000006890000}"/>
    <cellStyle name="Comma  - Style8" xfId="35092" xr:uid="{00000000-0005-0000-0000-000007890000}"/>
    <cellStyle name="Comma  - Style8 2" xfId="35093" xr:uid="{00000000-0005-0000-0000-000008890000}"/>
    <cellStyle name="Comma  - Style8 3" xfId="35094" xr:uid="{00000000-0005-0000-0000-000009890000}"/>
    <cellStyle name="Comma  - Style8 4" xfId="35095" xr:uid="{00000000-0005-0000-0000-00000A890000}"/>
    <cellStyle name="Comma  - Style8 5" xfId="35096" xr:uid="{00000000-0005-0000-0000-00000B890000}"/>
    <cellStyle name="Comma  - Style8 6" xfId="35097" xr:uid="{00000000-0005-0000-0000-00000C890000}"/>
    <cellStyle name="Comma  - Style8 7" xfId="35098" xr:uid="{00000000-0005-0000-0000-00000D890000}"/>
    <cellStyle name="Comma  - Style8 8" xfId="35099" xr:uid="{00000000-0005-0000-0000-00000E890000}"/>
    <cellStyle name="Comma  - Style8 9" xfId="35100" xr:uid="{00000000-0005-0000-0000-00000F890000}"/>
    <cellStyle name="Comma [0] 2" xfId="35101" xr:uid="{00000000-0005-0000-0000-000010890000}"/>
    <cellStyle name="Comma [0] 2 2" xfId="35102" xr:uid="{00000000-0005-0000-0000-000011890000}"/>
    <cellStyle name="Comma [0] 2 2 2" xfId="35103" xr:uid="{00000000-0005-0000-0000-000012890000}"/>
    <cellStyle name="Comma [0] 2 2 3" xfId="35104" xr:uid="{00000000-0005-0000-0000-000013890000}"/>
    <cellStyle name="Comma [0] 2 2 4" xfId="35105" xr:uid="{00000000-0005-0000-0000-000014890000}"/>
    <cellStyle name="Comma [0] 2 3" xfId="35106" xr:uid="{00000000-0005-0000-0000-000015890000}"/>
    <cellStyle name="Comma [0] 2 3 2" xfId="35107" xr:uid="{00000000-0005-0000-0000-000016890000}"/>
    <cellStyle name="Comma [0] 2 3 2 2" xfId="35108" xr:uid="{00000000-0005-0000-0000-000017890000}"/>
    <cellStyle name="Comma [0] 2 3 3" xfId="35109" xr:uid="{00000000-0005-0000-0000-000018890000}"/>
    <cellStyle name="Comma [0] 2 4" xfId="35110" xr:uid="{00000000-0005-0000-0000-000019890000}"/>
    <cellStyle name="Comma [0] 3" xfId="35111" xr:uid="{00000000-0005-0000-0000-00001A890000}"/>
    <cellStyle name="Comma [00]" xfId="35112" xr:uid="{00000000-0005-0000-0000-00001B890000}"/>
    <cellStyle name="Comma 10" xfId="35113" xr:uid="{00000000-0005-0000-0000-00001C890000}"/>
    <cellStyle name="Comma 10 10" xfId="35114" xr:uid="{00000000-0005-0000-0000-00001D890000}"/>
    <cellStyle name="Comma 10 10 2" xfId="35115" xr:uid="{00000000-0005-0000-0000-00001E890000}"/>
    <cellStyle name="Comma 10 10 2 2" xfId="35116" xr:uid="{00000000-0005-0000-0000-00001F890000}"/>
    <cellStyle name="Comma 10 10 3" xfId="35117" xr:uid="{00000000-0005-0000-0000-000020890000}"/>
    <cellStyle name="Comma 10 11" xfId="35118" xr:uid="{00000000-0005-0000-0000-000021890000}"/>
    <cellStyle name="Comma 10 11 2" xfId="35119" xr:uid="{00000000-0005-0000-0000-000022890000}"/>
    <cellStyle name="Comma 10 12" xfId="35120" xr:uid="{00000000-0005-0000-0000-000023890000}"/>
    <cellStyle name="Comma 10 12 2" xfId="35121" xr:uid="{00000000-0005-0000-0000-000024890000}"/>
    <cellStyle name="Comma 10 13" xfId="35122" xr:uid="{00000000-0005-0000-0000-000025890000}"/>
    <cellStyle name="Comma 10 14" xfId="35123" xr:uid="{00000000-0005-0000-0000-000026890000}"/>
    <cellStyle name="Comma 10 15" xfId="35124" xr:uid="{00000000-0005-0000-0000-000027890000}"/>
    <cellStyle name="Comma 10 16" xfId="35125" xr:uid="{00000000-0005-0000-0000-000028890000}"/>
    <cellStyle name="Comma 10 17" xfId="35126" xr:uid="{00000000-0005-0000-0000-000029890000}"/>
    <cellStyle name="Comma 10 2" xfId="35127" xr:uid="{00000000-0005-0000-0000-00002A890000}"/>
    <cellStyle name="Comma 10 2 2" xfId="35128" xr:uid="{00000000-0005-0000-0000-00002B890000}"/>
    <cellStyle name="Comma 10 2 2 2" xfId="35129" xr:uid="{00000000-0005-0000-0000-00002C890000}"/>
    <cellStyle name="Comma 10 2 2 3" xfId="35130" xr:uid="{00000000-0005-0000-0000-00002D890000}"/>
    <cellStyle name="Comma 10 2 2 4" xfId="35131" xr:uid="{00000000-0005-0000-0000-00002E890000}"/>
    <cellStyle name="Comma 10 2 2 5" xfId="35132" xr:uid="{00000000-0005-0000-0000-00002F890000}"/>
    <cellStyle name="Comma 10 2 3" xfId="35133" xr:uid="{00000000-0005-0000-0000-000030890000}"/>
    <cellStyle name="Comma 10 2 3 2" xfId="35134" xr:uid="{00000000-0005-0000-0000-000031890000}"/>
    <cellStyle name="Comma 10 2 3 2 2" xfId="35135" xr:uid="{00000000-0005-0000-0000-000032890000}"/>
    <cellStyle name="Comma 10 2 3 3" xfId="35136" xr:uid="{00000000-0005-0000-0000-000033890000}"/>
    <cellStyle name="Comma 10 2 4" xfId="35137" xr:uid="{00000000-0005-0000-0000-000034890000}"/>
    <cellStyle name="Comma 10 2 4 2" xfId="35138" xr:uid="{00000000-0005-0000-0000-000035890000}"/>
    <cellStyle name="Comma 10 2 5" xfId="35139" xr:uid="{00000000-0005-0000-0000-000036890000}"/>
    <cellStyle name="Comma 10 2_Proj" xfId="35140" xr:uid="{00000000-0005-0000-0000-000037890000}"/>
    <cellStyle name="Comma 10 3" xfId="35141" xr:uid="{00000000-0005-0000-0000-000038890000}"/>
    <cellStyle name="Comma 10 3 10" xfId="35142" xr:uid="{00000000-0005-0000-0000-000039890000}"/>
    <cellStyle name="Comma 10 3 2" xfId="35143" xr:uid="{00000000-0005-0000-0000-00003A890000}"/>
    <cellStyle name="Comma 10 3 2 2" xfId="35144" xr:uid="{00000000-0005-0000-0000-00003B890000}"/>
    <cellStyle name="Comma 10 3 2 2 2" xfId="35145" xr:uid="{00000000-0005-0000-0000-00003C890000}"/>
    <cellStyle name="Comma 10 3 2 2 2 2" xfId="35146" xr:uid="{00000000-0005-0000-0000-00003D890000}"/>
    <cellStyle name="Comma 10 3 2 2 2 2 2" xfId="35147" xr:uid="{00000000-0005-0000-0000-00003E890000}"/>
    <cellStyle name="Comma 10 3 2 2 2 2 2 2" xfId="35148" xr:uid="{00000000-0005-0000-0000-00003F890000}"/>
    <cellStyle name="Comma 10 3 2 2 2 2 3" xfId="35149" xr:uid="{00000000-0005-0000-0000-000040890000}"/>
    <cellStyle name="Comma 10 3 2 2 2 3" xfId="35150" xr:uid="{00000000-0005-0000-0000-000041890000}"/>
    <cellStyle name="Comma 10 3 2 2 2 3 2" xfId="35151" xr:uid="{00000000-0005-0000-0000-000042890000}"/>
    <cellStyle name="Comma 10 3 2 2 2 4" xfId="35152" xr:uid="{00000000-0005-0000-0000-000043890000}"/>
    <cellStyle name="Comma 10 3 2 2 3" xfId="35153" xr:uid="{00000000-0005-0000-0000-000044890000}"/>
    <cellStyle name="Comma 10 3 2 2 3 2" xfId="35154" xr:uid="{00000000-0005-0000-0000-000045890000}"/>
    <cellStyle name="Comma 10 3 2 2 3 2 2" xfId="35155" xr:uid="{00000000-0005-0000-0000-000046890000}"/>
    <cellStyle name="Comma 10 3 2 2 3 3" xfId="35156" xr:uid="{00000000-0005-0000-0000-000047890000}"/>
    <cellStyle name="Comma 10 3 2 2 4" xfId="35157" xr:uid="{00000000-0005-0000-0000-000048890000}"/>
    <cellStyle name="Comma 10 3 2 2 4 2" xfId="35158" xr:uid="{00000000-0005-0000-0000-000049890000}"/>
    <cellStyle name="Comma 10 3 2 2 5" xfId="35159" xr:uid="{00000000-0005-0000-0000-00004A890000}"/>
    <cellStyle name="Comma 10 3 2 2 6" xfId="35160" xr:uid="{00000000-0005-0000-0000-00004B890000}"/>
    <cellStyle name="Comma 10 3 2 3" xfId="35161" xr:uid="{00000000-0005-0000-0000-00004C890000}"/>
    <cellStyle name="Comma 10 3 2 3 2" xfId="35162" xr:uid="{00000000-0005-0000-0000-00004D890000}"/>
    <cellStyle name="Comma 10 3 2 3 2 2" xfId="35163" xr:uid="{00000000-0005-0000-0000-00004E890000}"/>
    <cellStyle name="Comma 10 3 2 3 2 2 2" xfId="35164" xr:uid="{00000000-0005-0000-0000-00004F890000}"/>
    <cellStyle name="Comma 10 3 2 3 2 3" xfId="35165" xr:uid="{00000000-0005-0000-0000-000050890000}"/>
    <cellStyle name="Comma 10 3 2 3 3" xfId="35166" xr:uid="{00000000-0005-0000-0000-000051890000}"/>
    <cellStyle name="Comma 10 3 2 3 3 2" xfId="35167" xr:uid="{00000000-0005-0000-0000-000052890000}"/>
    <cellStyle name="Comma 10 3 2 3 4" xfId="35168" xr:uid="{00000000-0005-0000-0000-000053890000}"/>
    <cellStyle name="Comma 10 3 2 4" xfId="35169" xr:uid="{00000000-0005-0000-0000-000054890000}"/>
    <cellStyle name="Comma 10 3 2 4 2" xfId="35170" xr:uid="{00000000-0005-0000-0000-000055890000}"/>
    <cellStyle name="Comma 10 3 2 4 2 2" xfId="35171" xr:uid="{00000000-0005-0000-0000-000056890000}"/>
    <cellStyle name="Comma 10 3 2 4 2 2 2" xfId="35172" xr:uid="{00000000-0005-0000-0000-000057890000}"/>
    <cellStyle name="Comma 10 3 2 4 2 3" xfId="35173" xr:uid="{00000000-0005-0000-0000-000058890000}"/>
    <cellStyle name="Comma 10 3 2 4 3" xfId="35174" xr:uid="{00000000-0005-0000-0000-000059890000}"/>
    <cellStyle name="Comma 10 3 2 4 3 2" xfId="35175" xr:uid="{00000000-0005-0000-0000-00005A890000}"/>
    <cellStyle name="Comma 10 3 2 4 4" xfId="35176" xr:uid="{00000000-0005-0000-0000-00005B890000}"/>
    <cellStyle name="Comma 10 3 2 5" xfId="35177" xr:uid="{00000000-0005-0000-0000-00005C890000}"/>
    <cellStyle name="Comma 10 3 2 5 2" xfId="35178" xr:uid="{00000000-0005-0000-0000-00005D890000}"/>
    <cellStyle name="Comma 10 3 2 5 2 2" xfId="35179" xr:uid="{00000000-0005-0000-0000-00005E890000}"/>
    <cellStyle name="Comma 10 3 2 5 3" xfId="35180" xr:uid="{00000000-0005-0000-0000-00005F890000}"/>
    <cellStyle name="Comma 10 3 2 6" xfId="35181" xr:uid="{00000000-0005-0000-0000-000060890000}"/>
    <cellStyle name="Comma 10 3 2 6 2" xfId="35182" xr:uid="{00000000-0005-0000-0000-000061890000}"/>
    <cellStyle name="Comma 10 3 2 7" xfId="35183" xr:uid="{00000000-0005-0000-0000-000062890000}"/>
    <cellStyle name="Comma 10 3 2 7 2" xfId="35184" xr:uid="{00000000-0005-0000-0000-000063890000}"/>
    <cellStyle name="Comma 10 3 2 8" xfId="35185" xr:uid="{00000000-0005-0000-0000-000064890000}"/>
    <cellStyle name="Comma 10 3 2 9" xfId="35186" xr:uid="{00000000-0005-0000-0000-000065890000}"/>
    <cellStyle name="Comma 10 3 3" xfId="35187" xr:uid="{00000000-0005-0000-0000-000066890000}"/>
    <cellStyle name="Comma 10 3 3 2" xfId="35188" xr:uid="{00000000-0005-0000-0000-000067890000}"/>
    <cellStyle name="Comma 10 3 3 2 2" xfId="35189" xr:uid="{00000000-0005-0000-0000-000068890000}"/>
    <cellStyle name="Comma 10 3 3 2 2 2" xfId="35190" xr:uid="{00000000-0005-0000-0000-000069890000}"/>
    <cellStyle name="Comma 10 3 3 2 2 2 2" xfId="35191" xr:uid="{00000000-0005-0000-0000-00006A890000}"/>
    <cellStyle name="Comma 10 3 3 2 2 3" xfId="35192" xr:uid="{00000000-0005-0000-0000-00006B890000}"/>
    <cellStyle name="Comma 10 3 3 2 3" xfId="35193" xr:uid="{00000000-0005-0000-0000-00006C890000}"/>
    <cellStyle name="Comma 10 3 3 2 3 2" xfId="35194" xr:uid="{00000000-0005-0000-0000-00006D890000}"/>
    <cellStyle name="Comma 10 3 3 2 4" xfId="35195" xr:uid="{00000000-0005-0000-0000-00006E890000}"/>
    <cellStyle name="Comma 10 3 3 3" xfId="35196" xr:uid="{00000000-0005-0000-0000-00006F890000}"/>
    <cellStyle name="Comma 10 3 3 3 2" xfId="35197" xr:uid="{00000000-0005-0000-0000-000070890000}"/>
    <cellStyle name="Comma 10 3 3 3 2 2" xfId="35198" xr:uid="{00000000-0005-0000-0000-000071890000}"/>
    <cellStyle name="Comma 10 3 3 3 2 2 2" xfId="35199" xr:uid="{00000000-0005-0000-0000-000072890000}"/>
    <cellStyle name="Comma 10 3 3 3 2 3" xfId="35200" xr:uid="{00000000-0005-0000-0000-000073890000}"/>
    <cellStyle name="Comma 10 3 3 3 3" xfId="35201" xr:uid="{00000000-0005-0000-0000-000074890000}"/>
    <cellStyle name="Comma 10 3 3 3 3 2" xfId="35202" xr:uid="{00000000-0005-0000-0000-000075890000}"/>
    <cellStyle name="Comma 10 3 3 3 4" xfId="35203" xr:uid="{00000000-0005-0000-0000-000076890000}"/>
    <cellStyle name="Comma 10 3 3 4" xfId="35204" xr:uid="{00000000-0005-0000-0000-000077890000}"/>
    <cellStyle name="Comma 10 3 3 4 2" xfId="35205" xr:uid="{00000000-0005-0000-0000-000078890000}"/>
    <cellStyle name="Comma 10 3 3 4 2 2" xfId="35206" xr:uid="{00000000-0005-0000-0000-000079890000}"/>
    <cellStyle name="Comma 10 3 3 4 3" xfId="35207" xr:uid="{00000000-0005-0000-0000-00007A890000}"/>
    <cellStyle name="Comma 10 3 3 5" xfId="35208" xr:uid="{00000000-0005-0000-0000-00007B890000}"/>
    <cellStyle name="Comma 10 3 3 5 2" xfId="35209" xr:uid="{00000000-0005-0000-0000-00007C890000}"/>
    <cellStyle name="Comma 10 3 3 6" xfId="35210" xr:uid="{00000000-0005-0000-0000-00007D890000}"/>
    <cellStyle name="Comma 10 3 3 7" xfId="35211" xr:uid="{00000000-0005-0000-0000-00007E890000}"/>
    <cellStyle name="Comma 10 3 4" xfId="35212" xr:uid="{00000000-0005-0000-0000-00007F890000}"/>
    <cellStyle name="Comma 10 3 4 2" xfId="35213" xr:uid="{00000000-0005-0000-0000-000080890000}"/>
    <cellStyle name="Comma 10 3 4 2 2" xfId="35214" xr:uid="{00000000-0005-0000-0000-000081890000}"/>
    <cellStyle name="Comma 10 3 4 2 2 2" xfId="35215" xr:uid="{00000000-0005-0000-0000-000082890000}"/>
    <cellStyle name="Comma 10 3 4 2 3" xfId="35216" xr:uid="{00000000-0005-0000-0000-000083890000}"/>
    <cellStyle name="Comma 10 3 4 3" xfId="35217" xr:uid="{00000000-0005-0000-0000-000084890000}"/>
    <cellStyle name="Comma 10 3 4 3 2" xfId="35218" xr:uid="{00000000-0005-0000-0000-000085890000}"/>
    <cellStyle name="Comma 10 3 4 4" xfId="35219" xr:uid="{00000000-0005-0000-0000-000086890000}"/>
    <cellStyle name="Comma 10 3 5" xfId="35220" xr:uid="{00000000-0005-0000-0000-000087890000}"/>
    <cellStyle name="Comma 10 3 5 2" xfId="35221" xr:uid="{00000000-0005-0000-0000-000088890000}"/>
    <cellStyle name="Comma 10 3 5 2 2" xfId="35222" xr:uid="{00000000-0005-0000-0000-000089890000}"/>
    <cellStyle name="Comma 10 3 5 2 2 2" xfId="35223" xr:uid="{00000000-0005-0000-0000-00008A890000}"/>
    <cellStyle name="Comma 10 3 5 2 3" xfId="35224" xr:uid="{00000000-0005-0000-0000-00008B890000}"/>
    <cellStyle name="Comma 10 3 5 3" xfId="35225" xr:uid="{00000000-0005-0000-0000-00008C890000}"/>
    <cellStyle name="Comma 10 3 5 3 2" xfId="35226" xr:uid="{00000000-0005-0000-0000-00008D890000}"/>
    <cellStyle name="Comma 10 3 5 4" xfId="35227" xr:uid="{00000000-0005-0000-0000-00008E890000}"/>
    <cellStyle name="Comma 10 3 6" xfId="35228" xr:uid="{00000000-0005-0000-0000-00008F890000}"/>
    <cellStyle name="Comma 10 3 6 2" xfId="35229" xr:uid="{00000000-0005-0000-0000-000090890000}"/>
    <cellStyle name="Comma 10 3 6 2 2" xfId="35230" xr:uid="{00000000-0005-0000-0000-000091890000}"/>
    <cellStyle name="Comma 10 3 6 3" xfId="35231" xr:uid="{00000000-0005-0000-0000-000092890000}"/>
    <cellStyle name="Comma 10 3 7" xfId="35232" xr:uid="{00000000-0005-0000-0000-000093890000}"/>
    <cellStyle name="Comma 10 3 7 2" xfId="35233" xr:uid="{00000000-0005-0000-0000-000094890000}"/>
    <cellStyle name="Comma 10 3 8" xfId="35234" xr:uid="{00000000-0005-0000-0000-000095890000}"/>
    <cellStyle name="Comma 10 3 8 2" xfId="35235" xr:uid="{00000000-0005-0000-0000-000096890000}"/>
    <cellStyle name="Comma 10 3 9" xfId="35236" xr:uid="{00000000-0005-0000-0000-000097890000}"/>
    <cellStyle name="Comma 10 4" xfId="35237" xr:uid="{00000000-0005-0000-0000-000098890000}"/>
    <cellStyle name="Comma 10 4 2" xfId="35238" xr:uid="{00000000-0005-0000-0000-000099890000}"/>
    <cellStyle name="Comma 10 4 2 2" xfId="35239" xr:uid="{00000000-0005-0000-0000-00009A890000}"/>
    <cellStyle name="Comma 10 4 2 2 2" xfId="35240" xr:uid="{00000000-0005-0000-0000-00009B890000}"/>
    <cellStyle name="Comma 10 4 2 2 2 2" xfId="35241" xr:uid="{00000000-0005-0000-0000-00009C890000}"/>
    <cellStyle name="Comma 10 4 2 2 2 2 2" xfId="35242" xr:uid="{00000000-0005-0000-0000-00009D890000}"/>
    <cellStyle name="Comma 10 4 2 2 2 3" xfId="35243" xr:uid="{00000000-0005-0000-0000-00009E890000}"/>
    <cellStyle name="Comma 10 4 2 2 3" xfId="35244" xr:uid="{00000000-0005-0000-0000-00009F890000}"/>
    <cellStyle name="Comma 10 4 2 2 3 2" xfId="35245" xr:uid="{00000000-0005-0000-0000-0000A0890000}"/>
    <cellStyle name="Comma 10 4 2 2 4" xfId="35246" xr:uid="{00000000-0005-0000-0000-0000A1890000}"/>
    <cellStyle name="Comma 10 4 2 3" xfId="35247" xr:uid="{00000000-0005-0000-0000-0000A2890000}"/>
    <cellStyle name="Comma 10 4 2 3 2" xfId="35248" xr:uid="{00000000-0005-0000-0000-0000A3890000}"/>
    <cellStyle name="Comma 10 4 2 3 2 2" xfId="35249" xr:uid="{00000000-0005-0000-0000-0000A4890000}"/>
    <cellStyle name="Comma 10 4 2 3 2 2 2" xfId="35250" xr:uid="{00000000-0005-0000-0000-0000A5890000}"/>
    <cellStyle name="Comma 10 4 2 3 2 3" xfId="35251" xr:uid="{00000000-0005-0000-0000-0000A6890000}"/>
    <cellStyle name="Comma 10 4 2 3 3" xfId="35252" xr:uid="{00000000-0005-0000-0000-0000A7890000}"/>
    <cellStyle name="Comma 10 4 2 3 3 2" xfId="35253" xr:uid="{00000000-0005-0000-0000-0000A8890000}"/>
    <cellStyle name="Comma 10 4 2 3 4" xfId="35254" xr:uid="{00000000-0005-0000-0000-0000A9890000}"/>
    <cellStyle name="Comma 10 4 2 4" xfId="35255" xr:uid="{00000000-0005-0000-0000-0000AA890000}"/>
    <cellStyle name="Comma 10 4 2 4 2" xfId="35256" xr:uid="{00000000-0005-0000-0000-0000AB890000}"/>
    <cellStyle name="Comma 10 4 2 4 2 2" xfId="35257" xr:uid="{00000000-0005-0000-0000-0000AC890000}"/>
    <cellStyle name="Comma 10 4 2 4 3" xfId="35258" xr:uid="{00000000-0005-0000-0000-0000AD890000}"/>
    <cellStyle name="Comma 10 4 2 5" xfId="35259" xr:uid="{00000000-0005-0000-0000-0000AE890000}"/>
    <cellStyle name="Comma 10 4 2 5 2" xfId="35260" xr:uid="{00000000-0005-0000-0000-0000AF890000}"/>
    <cellStyle name="Comma 10 4 2 6" xfId="35261" xr:uid="{00000000-0005-0000-0000-0000B0890000}"/>
    <cellStyle name="Comma 10 4 2 7" xfId="35262" xr:uid="{00000000-0005-0000-0000-0000B1890000}"/>
    <cellStyle name="Comma 10 4 3" xfId="35263" xr:uid="{00000000-0005-0000-0000-0000B2890000}"/>
    <cellStyle name="Comma 10 4 3 2" xfId="35264" xr:uid="{00000000-0005-0000-0000-0000B3890000}"/>
    <cellStyle name="Comma 10 4 3 2 2" xfId="35265" xr:uid="{00000000-0005-0000-0000-0000B4890000}"/>
    <cellStyle name="Comma 10 4 3 2 2 2" xfId="35266" xr:uid="{00000000-0005-0000-0000-0000B5890000}"/>
    <cellStyle name="Comma 10 4 3 2 2 2 2" xfId="35267" xr:uid="{00000000-0005-0000-0000-0000B6890000}"/>
    <cellStyle name="Comma 10 4 3 2 2 3" xfId="35268" xr:uid="{00000000-0005-0000-0000-0000B7890000}"/>
    <cellStyle name="Comma 10 4 3 2 3" xfId="35269" xr:uid="{00000000-0005-0000-0000-0000B8890000}"/>
    <cellStyle name="Comma 10 4 3 2 3 2" xfId="35270" xr:uid="{00000000-0005-0000-0000-0000B9890000}"/>
    <cellStyle name="Comma 10 4 3 2 4" xfId="35271" xr:uid="{00000000-0005-0000-0000-0000BA890000}"/>
    <cellStyle name="Comma 10 4 3 3" xfId="35272" xr:uid="{00000000-0005-0000-0000-0000BB890000}"/>
    <cellStyle name="Comma 10 4 3 3 2" xfId="35273" xr:uid="{00000000-0005-0000-0000-0000BC890000}"/>
    <cellStyle name="Comma 10 4 3 3 2 2" xfId="35274" xr:uid="{00000000-0005-0000-0000-0000BD890000}"/>
    <cellStyle name="Comma 10 4 3 3 3" xfId="35275" xr:uid="{00000000-0005-0000-0000-0000BE890000}"/>
    <cellStyle name="Comma 10 4 3 4" xfId="35276" xr:uid="{00000000-0005-0000-0000-0000BF890000}"/>
    <cellStyle name="Comma 10 4 3 4 2" xfId="35277" xr:uid="{00000000-0005-0000-0000-0000C0890000}"/>
    <cellStyle name="Comma 10 4 3 5" xfId="35278" xr:uid="{00000000-0005-0000-0000-0000C1890000}"/>
    <cellStyle name="Comma 10 4 4" xfId="35279" xr:uid="{00000000-0005-0000-0000-0000C2890000}"/>
    <cellStyle name="Comma 10 4 4 2" xfId="35280" xr:uid="{00000000-0005-0000-0000-0000C3890000}"/>
    <cellStyle name="Comma 10 4 4 2 2" xfId="35281" xr:uid="{00000000-0005-0000-0000-0000C4890000}"/>
    <cellStyle name="Comma 10 4 4 2 2 2" xfId="35282" xr:uid="{00000000-0005-0000-0000-0000C5890000}"/>
    <cellStyle name="Comma 10 4 4 2 3" xfId="35283" xr:uid="{00000000-0005-0000-0000-0000C6890000}"/>
    <cellStyle name="Comma 10 4 4 3" xfId="35284" xr:uid="{00000000-0005-0000-0000-0000C7890000}"/>
    <cellStyle name="Comma 10 4 4 3 2" xfId="35285" xr:uid="{00000000-0005-0000-0000-0000C8890000}"/>
    <cellStyle name="Comma 10 4 4 4" xfId="35286" xr:uid="{00000000-0005-0000-0000-0000C9890000}"/>
    <cellStyle name="Comma 10 4 5" xfId="35287" xr:uid="{00000000-0005-0000-0000-0000CA890000}"/>
    <cellStyle name="Comma 10 4 5 2" xfId="35288" xr:uid="{00000000-0005-0000-0000-0000CB890000}"/>
    <cellStyle name="Comma 10 4 5 2 2" xfId="35289" xr:uid="{00000000-0005-0000-0000-0000CC890000}"/>
    <cellStyle name="Comma 10 4 5 3" xfId="35290" xr:uid="{00000000-0005-0000-0000-0000CD890000}"/>
    <cellStyle name="Comma 10 4 6" xfId="35291" xr:uid="{00000000-0005-0000-0000-0000CE890000}"/>
    <cellStyle name="Comma 10 4 6 2" xfId="35292" xr:uid="{00000000-0005-0000-0000-0000CF890000}"/>
    <cellStyle name="Comma 10 4 7" xfId="35293" xr:uid="{00000000-0005-0000-0000-0000D0890000}"/>
    <cellStyle name="Comma 10 4 7 2" xfId="35294" xr:uid="{00000000-0005-0000-0000-0000D1890000}"/>
    <cellStyle name="Comma 10 4 8" xfId="35295" xr:uid="{00000000-0005-0000-0000-0000D2890000}"/>
    <cellStyle name="Comma 10 4 9" xfId="35296" xr:uid="{00000000-0005-0000-0000-0000D3890000}"/>
    <cellStyle name="Comma 10 5" xfId="35297" xr:uid="{00000000-0005-0000-0000-0000D4890000}"/>
    <cellStyle name="Comma 10 5 2" xfId="35298" xr:uid="{00000000-0005-0000-0000-0000D5890000}"/>
    <cellStyle name="Comma 10 5 2 2" xfId="35299" xr:uid="{00000000-0005-0000-0000-0000D6890000}"/>
    <cellStyle name="Comma 10 5 2 2 2" xfId="35300" xr:uid="{00000000-0005-0000-0000-0000D7890000}"/>
    <cellStyle name="Comma 10 5 2 2 2 2" xfId="35301" xr:uid="{00000000-0005-0000-0000-0000D8890000}"/>
    <cellStyle name="Comma 10 5 2 2 3" xfId="35302" xr:uid="{00000000-0005-0000-0000-0000D9890000}"/>
    <cellStyle name="Comma 10 5 2 3" xfId="35303" xr:uid="{00000000-0005-0000-0000-0000DA890000}"/>
    <cellStyle name="Comma 10 5 2 3 2" xfId="35304" xr:uid="{00000000-0005-0000-0000-0000DB890000}"/>
    <cellStyle name="Comma 10 5 2 4" xfId="35305" xr:uid="{00000000-0005-0000-0000-0000DC890000}"/>
    <cellStyle name="Comma 10 5 2 5" xfId="35306" xr:uid="{00000000-0005-0000-0000-0000DD890000}"/>
    <cellStyle name="Comma 10 5 3" xfId="35307" xr:uid="{00000000-0005-0000-0000-0000DE890000}"/>
    <cellStyle name="Comma 10 5 3 2" xfId="35308" xr:uid="{00000000-0005-0000-0000-0000DF890000}"/>
    <cellStyle name="Comma 10 5 3 2 2" xfId="35309" xr:uid="{00000000-0005-0000-0000-0000E0890000}"/>
    <cellStyle name="Comma 10 5 3 2 2 2" xfId="35310" xr:uid="{00000000-0005-0000-0000-0000E1890000}"/>
    <cellStyle name="Comma 10 5 3 2 3" xfId="35311" xr:uid="{00000000-0005-0000-0000-0000E2890000}"/>
    <cellStyle name="Comma 10 5 3 3" xfId="35312" xr:uid="{00000000-0005-0000-0000-0000E3890000}"/>
    <cellStyle name="Comma 10 5 3 3 2" xfId="35313" xr:uid="{00000000-0005-0000-0000-0000E4890000}"/>
    <cellStyle name="Comma 10 5 3 4" xfId="35314" xr:uid="{00000000-0005-0000-0000-0000E5890000}"/>
    <cellStyle name="Comma 10 5 4" xfId="35315" xr:uid="{00000000-0005-0000-0000-0000E6890000}"/>
    <cellStyle name="Comma 10 5 4 2" xfId="35316" xr:uid="{00000000-0005-0000-0000-0000E7890000}"/>
    <cellStyle name="Comma 10 5 4 2 2" xfId="35317" xr:uid="{00000000-0005-0000-0000-0000E8890000}"/>
    <cellStyle name="Comma 10 5 4 3" xfId="35318" xr:uid="{00000000-0005-0000-0000-0000E9890000}"/>
    <cellStyle name="Comma 10 5 5" xfId="35319" xr:uid="{00000000-0005-0000-0000-0000EA890000}"/>
    <cellStyle name="Comma 10 5 5 2" xfId="35320" xr:uid="{00000000-0005-0000-0000-0000EB890000}"/>
    <cellStyle name="Comma 10 5 6" xfId="35321" xr:uid="{00000000-0005-0000-0000-0000EC890000}"/>
    <cellStyle name="Comma 10 5 6 2" xfId="35322" xr:uid="{00000000-0005-0000-0000-0000ED890000}"/>
    <cellStyle name="Comma 10 5 7" xfId="35323" xr:uid="{00000000-0005-0000-0000-0000EE890000}"/>
    <cellStyle name="Comma 10 5 8" xfId="35324" xr:uid="{00000000-0005-0000-0000-0000EF890000}"/>
    <cellStyle name="Comma 10 6" xfId="35325" xr:uid="{00000000-0005-0000-0000-0000F0890000}"/>
    <cellStyle name="Comma 10 6 2" xfId="35326" xr:uid="{00000000-0005-0000-0000-0000F1890000}"/>
    <cellStyle name="Comma 10 6 2 2" xfId="35327" xr:uid="{00000000-0005-0000-0000-0000F2890000}"/>
    <cellStyle name="Comma 10 6 2 2 2" xfId="35328" xr:uid="{00000000-0005-0000-0000-0000F3890000}"/>
    <cellStyle name="Comma 10 6 2 2 2 2" xfId="35329" xr:uid="{00000000-0005-0000-0000-0000F4890000}"/>
    <cellStyle name="Comma 10 6 2 2 3" xfId="35330" xr:uid="{00000000-0005-0000-0000-0000F5890000}"/>
    <cellStyle name="Comma 10 6 2 3" xfId="35331" xr:uid="{00000000-0005-0000-0000-0000F6890000}"/>
    <cellStyle name="Comma 10 6 2 3 2" xfId="35332" xr:uid="{00000000-0005-0000-0000-0000F7890000}"/>
    <cellStyle name="Comma 10 6 2 4" xfId="35333" xr:uid="{00000000-0005-0000-0000-0000F8890000}"/>
    <cellStyle name="Comma 10 6 3" xfId="35334" xr:uid="{00000000-0005-0000-0000-0000F9890000}"/>
    <cellStyle name="Comma 10 6 3 2" xfId="35335" xr:uid="{00000000-0005-0000-0000-0000FA890000}"/>
    <cellStyle name="Comma 10 6 3 2 2" xfId="35336" xr:uid="{00000000-0005-0000-0000-0000FB890000}"/>
    <cellStyle name="Comma 10 6 3 2 2 2" xfId="35337" xr:uid="{00000000-0005-0000-0000-0000FC890000}"/>
    <cellStyle name="Comma 10 6 3 2 3" xfId="35338" xr:uid="{00000000-0005-0000-0000-0000FD890000}"/>
    <cellStyle name="Comma 10 6 3 3" xfId="35339" xr:uid="{00000000-0005-0000-0000-0000FE890000}"/>
    <cellStyle name="Comma 10 6 3 3 2" xfId="35340" xr:uid="{00000000-0005-0000-0000-0000FF890000}"/>
    <cellStyle name="Comma 10 6 3 4" xfId="35341" xr:uid="{00000000-0005-0000-0000-0000008A0000}"/>
    <cellStyle name="Comma 10 6 4" xfId="35342" xr:uid="{00000000-0005-0000-0000-0000018A0000}"/>
    <cellStyle name="Comma 10 6 4 2" xfId="35343" xr:uid="{00000000-0005-0000-0000-0000028A0000}"/>
    <cellStyle name="Comma 10 6 4 2 2" xfId="35344" xr:uid="{00000000-0005-0000-0000-0000038A0000}"/>
    <cellStyle name="Comma 10 6 4 3" xfId="35345" xr:uid="{00000000-0005-0000-0000-0000048A0000}"/>
    <cellStyle name="Comma 10 6 5" xfId="35346" xr:uid="{00000000-0005-0000-0000-0000058A0000}"/>
    <cellStyle name="Comma 10 6 5 2" xfId="35347" xr:uid="{00000000-0005-0000-0000-0000068A0000}"/>
    <cellStyle name="Comma 10 6 6" xfId="35348" xr:uid="{00000000-0005-0000-0000-0000078A0000}"/>
    <cellStyle name="Comma 10 6 7" xfId="35349" xr:uid="{00000000-0005-0000-0000-0000088A0000}"/>
    <cellStyle name="Comma 10 7" xfId="35350" xr:uid="{00000000-0005-0000-0000-0000098A0000}"/>
    <cellStyle name="Comma 10 7 2" xfId="35351" xr:uid="{00000000-0005-0000-0000-00000A8A0000}"/>
    <cellStyle name="Comma 10 7 2 2" xfId="35352" xr:uid="{00000000-0005-0000-0000-00000B8A0000}"/>
    <cellStyle name="Comma 10 7 2 2 2" xfId="35353" xr:uid="{00000000-0005-0000-0000-00000C8A0000}"/>
    <cellStyle name="Comma 10 7 2 3" xfId="35354" xr:uid="{00000000-0005-0000-0000-00000D8A0000}"/>
    <cellStyle name="Comma 10 7 3" xfId="35355" xr:uid="{00000000-0005-0000-0000-00000E8A0000}"/>
    <cellStyle name="Comma 10 7 3 2" xfId="35356" xr:uid="{00000000-0005-0000-0000-00000F8A0000}"/>
    <cellStyle name="Comma 10 7 4" xfId="35357" xr:uid="{00000000-0005-0000-0000-0000108A0000}"/>
    <cellStyle name="Comma 10 7 5" xfId="35358" xr:uid="{00000000-0005-0000-0000-0000118A0000}"/>
    <cellStyle name="Comma 10 8" xfId="35359" xr:uid="{00000000-0005-0000-0000-0000128A0000}"/>
    <cellStyle name="Comma 10 8 2" xfId="35360" xr:uid="{00000000-0005-0000-0000-0000138A0000}"/>
    <cellStyle name="Comma 10 8 2 2" xfId="35361" xr:uid="{00000000-0005-0000-0000-0000148A0000}"/>
    <cellStyle name="Comma 10 8 2 2 2" xfId="35362" xr:uid="{00000000-0005-0000-0000-0000158A0000}"/>
    <cellStyle name="Comma 10 8 2 3" xfId="35363" xr:uid="{00000000-0005-0000-0000-0000168A0000}"/>
    <cellStyle name="Comma 10 8 3" xfId="35364" xr:uid="{00000000-0005-0000-0000-0000178A0000}"/>
    <cellStyle name="Comma 10 8 3 2" xfId="35365" xr:uid="{00000000-0005-0000-0000-0000188A0000}"/>
    <cellStyle name="Comma 10 8 4" xfId="35366" xr:uid="{00000000-0005-0000-0000-0000198A0000}"/>
    <cellStyle name="Comma 10 8 5" xfId="35367" xr:uid="{00000000-0005-0000-0000-00001A8A0000}"/>
    <cellStyle name="Comma 10 9" xfId="35368" xr:uid="{00000000-0005-0000-0000-00001B8A0000}"/>
    <cellStyle name="Comma 10 9 2" xfId="35369" xr:uid="{00000000-0005-0000-0000-00001C8A0000}"/>
    <cellStyle name="Comma 10 9 2 2" xfId="35370" xr:uid="{00000000-0005-0000-0000-00001D8A0000}"/>
    <cellStyle name="Comma 10 9 2 2 2" xfId="35371" xr:uid="{00000000-0005-0000-0000-00001E8A0000}"/>
    <cellStyle name="Comma 10 9 2 3" xfId="35372" xr:uid="{00000000-0005-0000-0000-00001F8A0000}"/>
    <cellStyle name="Comma 10 9 3" xfId="35373" xr:uid="{00000000-0005-0000-0000-0000208A0000}"/>
    <cellStyle name="Comma 10 9 3 2" xfId="35374" xr:uid="{00000000-0005-0000-0000-0000218A0000}"/>
    <cellStyle name="Comma 10 9 4" xfId="35375" xr:uid="{00000000-0005-0000-0000-0000228A0000}"/>
    <cellStyle name="Comma 10 9 5" xfId="35376" xr:uid="{00000000-0005-0000-0000-0000238A0000}"/>
    <cellStyle name="Comma 11" xfId="35377" xr:uid="{00000000-0005-0000-0000-0000248A0000}"/>
    <cellStyle name="Comma 11 10" xfId="35378" xr:uid="{00000000-0005-0000-0000-0000258A0000}"/>
    <cellStyle name="Comma 11 10 2" xfId="35379" xr:uid="{00000000-0005-0000-0000-0000268A0000}"/>
    <cellStyle name="Comma 11 11" xfId="35380" xr:uid="{00000000-0005-0000-0000-0000278A0000}"/>
    <cellStyle name="Comma 11 11 2" xfId="35381" xr:uid="{00000000-0005-0000-0000-0000288A0000}"/>
    <cellStyle name="Comma 11 12" xfId="35382" xr:uid="{00000000-0005-0000-0000-0000298A0000}"/>
    <cellStyle name="Comma 11 13" xfId="35383" xr:uid="{00000000-0005-0000-0000-00002A8A0000}"/>
    <cellStyle name="Comma 11 14" xfId="35384" xr:uid="{00000000-0005-0000-0000-00002B8A0000}"/>
    <cellStyle name="Comma 11 15" xfId="35385" xr:uid="{00000000-0005-0000-0000-00002C8A0000}"/>
    <cellStyle name="Comma 11 2" xfId="35386" xr:uid="{00000000-0005-0000-0000-00002D8A0000}"/>
    <cellStyle name="Comma 11 2 10" xfId="35387" xr:uid="{00000000-0005-0000-0000-00002E8A0000}"/>
    <cellStyle name="Comma 11 2 11" xfId="35388" xr:uid="{00000000-0005-0000-0000-00002F8A0000}"/>
    <cellStyle name="Comma 11 2 12" xfId="35389" xr:uid="{00000000-0005-0000-0000-0000308A0000}"/>
    <cellStyle name="Comma 11 2 2" xfId="35390" xr:uid="{00000000-0005-0000-0000-0000318A0000}"/>
    <cellStyle name="Comma 11 2 2 2" xfId="35391" xr:uid="{00000000-0005-0000-0000-0000328A0000}"/>
    <cellStyle name="Comma 11 2 2 2 2" xfId="35392" xr:uid="{00000000-0005-0000-0000-0000338A0000}"/>
    <cellStyle name="Comma 11 2 2 2 2 2" xfId="35393" xr:uid="{00000000-0005-0000-0000-0000348A0000}"/>
    <cellStyle name="Comma 11 2 2 2 2 2 2" xfId="35394" xr:uid="{00000000-0005-0000-0000-0000358A0000}"/>
    <cellStyle name="Comma 11 2 2 2 2 3" xfId="35395" xr:uid="{00000000-0005-0000-0000-0000368A0000}"/>
    <cellStyle name="Comma 11 2 2 2 3" xfId="35396" xr:uid="{00000000-0005-0000-0000-0000378A0000}"/>
    <cellStyle name="Comma 11 2 2 2 3 2" xfId="35397" xr:uid="{00000000-0005-0000-0000-0000388A0000}"/>
    <cellStyle name="Comma 11 2 2 2 4" xfId="35398" xr:uid="{00000000-0005-0000-0000-0000398A0000}"/>
    <cellStyle name="Comma 11 2 2 3" xfId="35399" xr:uid="{00000000-0005-0000-0000-00003A8A0000}"/>
    <cellStyle name="Comma 11 2 2 3 2" xfId="35400" xr:uid="{00000000-0005-0000-0000-00003B8A0000}"/>
    <cellStyle name="Comma 11 2 2 3 2 2" xfId="35401" xr:uid="{00000000-0005-0000-0000-00003C8A0000}"/>
    <cellStyle name="Comma 11 2 2 3 2 2 2" xfId="35402" xr:uid="{00000000-0005-0000-0000-00003D8A0000}"/>
    <cellStyle name="Comma 11 2 2 3 2 3" xfId="35403" xr:uid="{00000000-0005-0000-0000-00003E8A0000}"/>
    <cellStyle name="Comma 11 2 2 3 3" xfId="35404" xr:uid="{00000000-0005-0000-0000-00003F8A0000}"/>
    <cellStyle name="Comma 11 2 2 3 3 2" xfId="35405" xr:uid="{00000000-0005-0000-0000-0000408A0000}"/>
    <cellStyle name="Comma 11 2 2 3 4" xfId="35406" xr:uid="{00000000-0005-0000-0000-0000418A0000}"/>
    <cellStyle name="Comma 11 2 2 4" xfId="35407" xr:uid="{00000000-0005-0000-0000-0000428A0000}"/>
    <cellStyle name="Comma 11 2 2 4 2" xfId="35408" xr:uid="{00000000-0005-0000-0000-0000438A0000}"/>
    <cellStyle name="Comma 11 2 2 4 2 2" xfId="35409" xr:uid="{00000000-0005-0000-0000-0000448A0000}"/>
    <cellStyle name="Comma 11 2 2 4 3" xfId="35410" xr:uid="{00000000-0005-0000-0000-0000458A0000}"/>
    <cellStyle name="Comma 11 2 2 5" xfId="35411" xr:uid="{00000000-0005-0000-0000-0000468A0000}"/>
    <cellStyle name="Comma 11 2 2 5 2" xfId="35412" xr:uid="{00000000-0005-0000-0000-0000478A0000}"/>
    <cellStyle name="Comma 11 2 2 6" xfId="35413" xr:uid="{00000000-0005-0000-0000-0000488A0000}"/>
    <cellStyle name="Comma 11 2 2 7" xfId="35414" xr:uid="{00000000-0005-0000-0000-0000498A0000}"/>
    <cellStyle name="Comma 11 2 2 8" xfId="35415" xr:uid="{00000000-0005-0000-0000-00004A8A0000}"/>
    <cellStyle name="Comma 11 2 2 9" xfId="35416" xr:uid="{00000000-0005-0000-0000-00004B8A0000}"/>
    <cellStyle name="Comma 11 2 3" xfId="35417" xr:uid="{00000000-0005-0000-0000-00004C8A0000}"/>
    <cellStyle name="Comma 11 2 3 2" xfId="35418" xr:uid="{00000000-0005-0000-0000-00004D8A0000}"/>
    <cellStyle name="Comma 11 2 3 2 2" xfId="35419" xr:uid="{00000000-0005-0000-0000-00004E8A0000}"/>
    <cellStyle name="Comma 11 2 3 2 2 2" xfId="35420" xr:uid="{00000000-0005-0000-0000-00004F8A0000}"/>
    <cellStyle name="Comma 11 2 3 2 2 2 2" xfId="35421" xr:uid="{00000000-0005-0000-0000-0000508A0000}"/>
    <cellStyle name="Comma 11 2 3 2 2 3" xfId="35422" xr:uid="{00000000-0005-0000-0000-0000518A0000}"/>
    <cellStyle name="Comma 11 2 3 2 3" xfId="35423" xr:uid="{00000000-0005-0000-0000-0000528A0000}"/>
    <cellStyle name="Comma 11 2 3 2 3 2" xfId="35424" xr:uid="{00000000-0005-0000-0000-0000538A0000}"/>
    <cellStyle name="Comma 11 2 3 2 4" xfId="35425" xr:uid="{00000000-0005-0000-0000-0000548A0000}"/>
    <cellStyle name="Comma 11 2 3 3" xfId="35426" xr:uid="{00000000-0005-0000-0000-0000558A0000}"/>
    <cellStyle name="Comma 11 2 3 3 2" xfId="35427" xr:uid="{00000000-0005-0000-0000-0000568A0000}"/>
    <cellStyle name="Comma 11 2 3 3 2 2" xfId="35428" xr:uid="{00000000-0005-0000-0000-0000578A0000}"/>
    <cellStyle name="Comma 11 2 3 3 2 2 2" xfId="35429" xr:uid="{00000000-0005-0000-0000-0000588A0000}"/>
    <cellStyle name="Comma 11 2 3 3 2 3" xfId="35430" xr:uid="{00000000-0005-0000-0000-0000598A0000}"/>
    <cellStyle name="Comma 11 2 3 3 3" xfId="35431" xr:uid="{00000000-0005-0000-0000-00005A8A0000}"/>
    <cellStyle name="Comma 11 2 3 3 3 2" xfId="35432" xr:uid="{00000000-0005-0000-0000-00005B8A0000}"/>
    <cellStyle name="Comma 11 2 3 3 4" xfId="35433" xr:uid="{00000000-0005-0000-0000-00005C8A0000}"/>
    <cellStyle name="Comma 11 2 3 4" xfId="35434" xr:uid="{00000000-0005-0000-0000-00005D8A0000}"/>
    <cellStyle name="Comma 11 2 3 4 2" xfId="35435" xr:uid="{00000000-0005-0000-0000-00005E8A0000}"/>
    <cellStyle name="Comma 11 2 3 4 2 2" xfId="35436" xr:uid="{00000000-0005-0000-0000-00005F8A0000}"/>
    <cellStyle name="Comma 11 2 3 4 3" xfId="35437" xr:uid="{00000000-0005-0000-0000-0000608A0000}"/>
    <cellStyle name="Comma 11 2 3 5" xfId="35438" xr:uid="{00000000-0005-0000-0000-0000618A0000}"/>
    <cellStyle name="Comma 11 2 3 5 2" xfId="35439" xr:uid="{00000000-0005-0000-0000-0000628A0000}"/>
    <cellStyle name="Comma 11 2 3 6" xfId="35440" xr:uid="{00000000-0005-0000-0000-0000638A0000}"/>
    <cellStyle name="Comma 11 2 4" xfId="35441" xr:uid="{00000000-0005-0000-0000-0000648A0000}"/>
    <cellStyle name="Comma 11 2 4 2" xfId="35442" xr:uid="{00000000-0005-0000-0000-0000658A0000}"/>
    <cellStyle name="Comma 11 2 4 2 2" xfId="35443" xr:uid="{00000000-0005-0000-0000-0000668A0000}"/>
    <cellStyle name="Comma 11 2 4 2 2 2" xfId="35444" xr:uid="{00000000-0005-0000-0000-0000678A0000}"/>
    <cellStyle name="Comma 11 2 4 2 3" xfId="35445" xr:uid="{00000000-0005-0000-0000-0000688A0000}"/>
    <cellStyle name="Comma 11 2 4 3" xfId="35446" xr:uid="{00000000-0005-0000-0000-0000698A0000}"/>
    <cellStyle name="Comma 11 2 4 3 2" xfId="35447" xr:uid="{00000000-0005-0000-0000-00006A8A0000}"/>
    <cellStyle name="Comma 11 2 4 4" xfId="35448" xr:uid="{00000000-0005-0000-0000-00006B8A0000}"/>
    <cellStyle name="Comma 11 2 5" xfId="35449" xr:uid="{00000000-0005-0000-0000-00006C8A0000}"/>
    <cellStyle name="Comma 11 2 5 2" xfId="35450" xr:uid="{00000000-0005-0000-0000-00006D8A0000}"/>
    <cellStyle name="Comma 11 2 5 2 2" xfId="35451" xr:uid="{00000000-0005-0000-0000-00006E8A0000}"/>
    <cellStyle name="Comma 11 2 5 2 2 2" xfId="35452" xr:uid="{00000000-0005-0000-0000-00006F8A0000}"/>
    <cellStyle name="Comma 11 2 5 2 3" xfId="35453" xr:uid="{00000000-0005-0000-0000-0000708A0000}"/>
    <cellStyle name="Comma 11 2 5 3" xfId="35454" xr:uid="{00000000-0005-0000-0000-0000718A0000}"/>
    <cellStyle name="Comma 11 2 5 3 2" xfId="35455" xr:uid="{00000000-0005-0000-0000-0000728A0000}"/>
    <cellStyle name="Comma 11 2 5 4" xfId="35456" xr:uid="{00000000-0005-0000-0000-0000738A0000}"/>
    <cellStyle name="Comma 11 2 6" xfId="35457" xr:uid="{00000000-0005-0000-0000-0000748A0000}"/>
    <cellStyle name="Comma 11 2 6 2" xfId="35458" xr:uid="{00000000-0005-0000-0000-0000758A0000}"/>
    <cellStyle name="Comma 11 2 6 2 2" xfId="35459" xr:uid="{00000000-0005-0000-0000-0000768A0000}"/>
    <cellStyle name="Comma 11 2 6 3" xfId="35460" xr:uid="{00000000-0005-0000-0000-0000778A0000}"/>
    <cellStyle name="Comma 11 2 7" xfId="35461" xr:uid="{00000000-0005-0000-0000-0000788A0000}"/>
    <cellStyle name="Comma 11 2 7 2" xfId="35462" xr:uid="{00000000-0005-0000-0000-0000798A0000}"/>
    <cellStyle name="Comma 11 2 8" xfId="35463" xr:uid="{00000000-0005-0000-0000-00007A8A0000}"/>
    <cellStyle name="Comma 11 2 8 2" xfId="35464" xr:uid="{00000000-0005-0000-0000-00007B8A0000}"/>
    <cellStyle name="Comma 11 2 9" xfId="35465" xr:uid="{00000000-0005-0000-0000-00007C8A0000}"/>
    <cellStyle name="Comma 11 3" xfId="35466" xr:uid="{00000000-0005-0000-0000-00007D8A0000}"/>
    <cellStyle name="Comma 11 3 10" xfId="35467" xr:uid="{00000000-0005-0000-0000-00007E8A0000}"/>
    <cellStyle name="Comma 11 3 11" xfId="35468" xr:uid="{00000000-0005-0000-0000-00007F8A0000}"/>
    <cellStyle name="Comma 11 3 2" xfId="35469" xr:uid="{00000000-0005-0000-0000-0000808A0000}"/>
    <cellStyle name="Comma 11 3 2 2" xfId="35470" xr:uid="{00000000-0005-0000-0000-0000818A0000}"/>
    <cellStyle name="Comma 11 3 2 2 2" xfId="35471" xr:uid="{00000000-0005-0000-0000-0000828A0000}"/>
    <cellStyle name="Comma 11 3 2 2 2 2" xfId="35472" xr:uid="{00000000-0005-0000-0000-0000838A0000}"/>
    <cellStyle name="Comma 11 3 2 2 2 2 2" xfId="35473" xr:uid="{00000000-0005-0000-0000-0000848A0000}"/>
    <cellStyle name="Comma 11 3 2 2 2 3" xfId="35474" xr:uid="{00000000-0005-0000-0000-0000858A0000}"/>
    <cellStyle name="Comma 11 3 2 2 3" xfId="35475" xr:uid="{00000000-0005-0000-0000-0000868A0000}"/>
    <cellStyle name="Comma 11 3 2 2 3 2" xfId="35476" xr:uid="{00000000-0005-0000-0000-0000878A0000}"/>
    <cellStyle name="Comma 11 3 2 2 4" xfId="35477" xr:uid="{00000000-0005-0000-0000-0000888A0000}"/>
    <cellStyle name="Comma 11 3 2 3" xfId="35478" xr:uid="{00000000-0005-0000-0000-0000898A0000}"/>
    <cellStyle name="Comma 11 3 2 3 2" xfId="35479" xr:uid="{00000000-0005-0000-0000-00008A8A0000}"/>
    <cellStyle name="Comma 11 3 2 3 2 2" xfId="35480" xr:uid="{00000000-0005-0000-0000-00008B8A0000}"/>
    <cellStyle name="Comma 11 3 2 3 2 2 2" xfId="35481" xr:uid="{00000000-0005-0000-0000-00008C8A0000}"/>
    <cellStyle name="Comma 11 3 2 3 2 3" xfId="35482" xr:uid="{00000000-0005-0000-0000-00008D8A0000}"/>
    <cellStyle name="Comma 11 3 2 3 3" xfId="35483" xr:uid="{00000000-0005-0000-0000-00008E8A0000}"/>
    <cellStyle name="Comma 11 3 2 3 3 2" xfId="35484" xr:uid="{00000000-0005-0000-0000-00008F8A0000}"/>
    <cellStyle name="Comma 11 3 2 3 4" xfId="35485" xr:uid="{00000000-0005-0000-0000-0000908A0000}"/>
    <cellStyle name="Comma 11 3 2 4" xfId="35486" xr:uid="{00000000-0005-0000-0000-0000918A0000}"/>
    <cellStyle name="Comma 11 3 2 4 2" xfId="35487" xr:uid="{00000000-0005-0000-0000-0000928A0000}"/>
    <cellStyle name="Comma 11 3 2 4 2 2" xfId="35488" xr:uid="{00000000-0005-0000-0000-0000938A0000}"/>
    <cellStyle name="Comma 11 3 2 4 3" xfId="35489" xr:uid="{00000000-0005-0000-0000-0000948A0000}"/>
    <cellStyle name="Comma 11 3 2 5" xfId="35490" xr:uid="{00000000-0005-0000-0000-0000958A0000}"/>
    <cellStyle name="Comma 11 3 2 5 2" xfId="35491" xr:uid="{00000000-0005-0000-0000-0000968A0000}"/>
    <cellStyle name="Comma 11 3 2 6" xfId="35492" xr:uid="{00000000-0005-0000-0000-0000978A0000}"/>
    <cellStyle name="Comma 11 3 2 7" xfId="35493" xr:uid="{00000000-0005-0000-0000-0000988A0000}"/>
    <cellStyle name="Comma 11 3 3" xfId="35494" xr:uid="{00000000-0005-0000-0000-0000998A0000}"/>
    <cellStyle name="Comma 11 3 3 2" xfId="35495" xr:uid="{00000000-0005-0000-0000-00009A8A0000}"/>
    <cellStyle name="Comma 11 3 3 2 2" xfId="35496" xr:uid="{00000000-0005-0000-0000-00009B8A0000}"/>
    <cellStyle name="Comma 11 3 3 2 2 2" xfId="35497" xr:uid="{00000000-0005-0000-0000-00009C8A0000}"/>
    <cellStyle name="Comma 11 3 3 2 2 2 2" xfId="35498" xr:uid="{00000000-0005-0000-0000-00009D8A0000}"/>
    <cellStyle name="Comma 11 3 3 2 2 3" xfId="35499" xr:uid="{00000000-0005-0000-0000-00009E8A0000}"/>
    <cellStyle name="Comma 11 3 3 2 3" xfId="35500" xr:uid="{00000000-0005-0000-0000-00009F8A0000}"/>
    <cellStyle name="Comma 11 3 3 2 3 2" xfId="35501" xr:uid="{00000000-0005-0000-0000-0000A08A0000}"/>
    <cellStyle name="Comma 11 3 3 2 4" xfId="35502" xr:uid="{00000000-0005-0000-0000-0000A18A0000}"/>
    <cellStyle name="Comma 11 3 3 3" xfId="35503" xr:uid="{00000000-0005-0000-0000-0000A28A0000}"/>
    <cellStyle name="Comma 11 3 3 3 2" xfId="35504" xr:uid="{00000000-0005-0000-0000-0000A38A0000}"/>
    <cellStyle name="Comma 11 3 3 3 2 2" xfId="35505" xr:uid="{00000000-0005-0000-0000-0000A48A0000}"/>
    <cellStyle name="Comma 11 3 3 3 3" xfId="35506" xr:uid="{00000000-0005-0000-0000-0000A58A0000}"/>
    <cellStyle name="Comma 11 3 3 4" xfId="35507" xr:uid="{00000000-0005-0000-0000-0000A68A0000}"/>
    <cellStyle name="Comma 11 3 3 4 2" xfId="35508" xr:uid="{00000000-0005-0000-0000-0000A78A0000}"/>
    <cellStyle name="Comma 11 3 3 5" xfId="35509" xr:uid="{00000000-0005-0000-0000-0000A88A0000}"/>
    <cellStyle name="Comma 11 3 4" xfId="35510" xr:uid="{00000000-0005-0000-0000-0000A98A0000}"/>
    <cellStyle name="Comma 11 3 4 2" xfId="35511" xr:uid="{00000000-0005-0000-0000-0000AA8A0000}"/>
    <cellStyle name="Comma 11 3 4 2 2" xfId="35512" xr:uid="{00000000-0005-0000-0000-0000AB8A0000}"/>
    <cellStyle name="Comma 11 3 4 2 2 2" xfId="35513" xr:uid="{00000000-0005-0000-0000-0000AC8A0000}"/>
    <cellStyle name="Comma 11 3 4 2 3" xfId="35514" xr:uid="{00000000-0005-0000-0000-0000AD8A0000}"/>
    <cellStyle name="Comma 11 3 4 3" xfId="35515" xr:uid="{00000000-0005-0000-0000-0000AE8A0000}"/>
    <cellStyle name="Comma 11 3 4 3 2" xfId="35516" xr:uid="{00000000-0005-0000-0000-0000AF8A0000}"/>
    <cellStyle name="Comma 11 3 4 4" xfId="35517" xr:uid="{00000000-0005-0000-0000-0000B08A0000}"/>
    <cellStyle name="Comma 11 3 5" xfId="35518" xr:uid="{00000000-0005-0000-0000-0000B18A0000}"/>
    <cellStyle name="Comma 11 3 5 2" xfId="35519" xr:uid="{00000000-0005-0000-0000-0000B28A0000}"/>
    <cellStyle name="Comma 11 3 5 2 2" xfId="35520" xr:uid="{00000000-0005-0000-0000-0000B38A0000}"/>
    <cellStyle name="Comma 11 3 5 3" xfId="35521" xr:uid="{00000000-0005-0000-0000-0000B48A0000}"/>
    <cellStyle name="Comma 11 3 6" xfId="35522" xr:uid="{00000000-0005-0000-0000-0000B58A0000}"/>
    <cellStyle name="Comma 11 3 6 2" xfId="35523" xr:uid="{00000000-0005-0000-0000-0000B68A0000}"/>
    <cellStyle name="Comma 11 3 7" xfId="35524" xr:uid="{00000000-0005-0000-0000-0000B78A0000}"/>
    <cellStyle name="Comma 11 3 7 2" xfId="35525" xr:uid="{00000000-0005-0000-0000-0000B88A0000}"/>
    <cellStyle name="Comma 11 3 8" xfId="35526" xr:uid="{00000000-0005-0000-0000-0000B98A0000}"/>
    <cellStyle name="Comma 11 3 9" xfId="35527" xr:uid="{00000000-0005-0000-0000-0000BA8A0000}"/>
    <cellStyle name="Comma 11 4" xfId="35528" xr:uid="{00000000-0005-0000-0000-0000BB8A0000}"/>
    <cellStyle name="Comma 11 4 2" xfId="35529" xr:uid="{00000000-0005-0000-0000-0000BC8A0000}"/>
    <cellStyle name="Comma 11 4 2 2" xfId="35530" xr:uid="{00000000-0005-0000-0000-0000BD8A0000}"/>
    <cellStyle name="Comma 11 4 2 2 2" xfId="35531" xr:uid="{00000000-0005-0000-0000-0000BE8A0000}"/>
    <cellStyle name="Comma 11 4 2 2 2 2" xfId="35532" xr:uid="{00000000-0005-0000-0000-0000BF8A0000}"/>
    <cellStyle name="Comma 11 4 2 2 3" xfId="35533" xr:uid="{00000000-0005-0000-0000-0000C08A0000}"/>
    <cellStyle name="Comma 11 4 2 3" xfId="35534" xr:uid="{00000000-0005-0000-0000-0000C18A0000}"/>
    <cellStyle name="Comma 11 4 2 3 2" xfId="35535" xr:uid="{00000000-0005-0000-0000-0000C28A0000}"/>
    <cellStyle name="Comma 11 4 2 4" xfId="35536" xr:uid="{00000000-0005-0000-0000-0000C38A0000}"/>
    <cellStyle name="Comma 11 4 2 5" xfId="35537" xr:uid="{00000000-0005-0000-0000-0000C48A0000}"/>
    <cellStyle name="Comma 11 4 3" xfId="35538" xr:uid="{00000000-0005-0000-0000-0000C58A0000}"/>
    <cellStyle name="Comma 11 4 3 2" xfId="35539" xr:uid="{00000000-0005-0000-0000-0000C68A0000}"/>
    <cellStyle name="Comma 11 4 3 2 2" xfId="35540" xr:uid="{00000000-0005-0000-0000-0000C78A0000}"/>
    <cellStyle name="Comma 11 4 3 2 2 2" xfId="35541" xr:uid="{00000000-0005-0000-0000-0000C88A0000}"/>
    <cellStyle name="Comma 11 4 3 2 3" xfId="35542" xr:uid="{00000000-0005-0000-0000-0000C98A0000}"/>
    <cellStyle name="Comma 11 4 3 3" xfId="35543" xr:uid="{00000000-0005-0000-0000-0000CA8A0000}"/>
    <cellStyle name="Comma 11 4 3 3 2" xfId="35544" xr:uid="{00000000-0005-0000-0000-0000CB8A0000}"/>
    <cellStyle name="Comma 11 4 3 4" xfId="35545" xr:uid="{00000000-0005-0000-0000-0000CC8A0000}"/>
    <cellStyle name="Comma 11 4 4" xfId="35546" xr:uid="{00000000-0005-0000-0000-0000CD8A0000}"/>
    <cellStyle name="Comma 11 4 4 2" xfId="35547" xr:uid="{00000000-0005-0000-0000-0000CE8A0000}"/>
    <cellStyle name="Comma 11 4 4 2 2" xfId="35548" xr:uid="{00000000-0005-0000-0000-0000CF8A0000}"/>
    <cellStyle name="Comma 11 4 4 3" xfId="35549" xr:uid="{00000000-0005-0000-0000-0000D08A0000}"/>
    <cellStyle name="Comma 11 4 5" xfId="35550" xr:uid="{00000000-0005-0000-0000-0000D18A0000}"/>
    <cellStyle name="Comma 11 4 5 2" xfId="35551" xr:uid="{00000000-0005-0000-0000-0000D28A0000}"/>
    <cellStyle name="Comma 11 4 6" xfId="35552" xr:uid="{00000000-0005-0000-0000-0000D38A0000}"/>
    <cellStyle name="Comma 11 4 6 2" xfId="35553" xr:uid="{00000000-0005-0000-0000-0000D48A0000}"/>
    <cellStyle name="Comma 11 4 7" xfId="35554" xr:uid="{00000000-0005-0000-0000-0000D58A0000}"/>
    <cellStyle name="Comma 11 4 8" xfId="35555" xr:uid="{00000000-0005-0000-0000-0000D68A0000}"/>
    <cellStyle name="Comma 11 5" xfId="35556" xr:uid="{00000000-0005-0000-0000-0000D78A0000}"/>
    <cellStyle name="Comma 11 5 2" xfId="35557" xr:uid="{00000000-0005-0000-0000-0000D88A0000}"/>
    <cellStyle name="Comma 11 5 2 2" xfId="35558" xr:uid="{00000000-0005-0000-0000-0000D98A0000}"/>
    <cellStyle name="Comma 11 5 2 2 2" xfId="35559" xr:uid="{00000000-0005-0000-0000-0000DA8A0000}"/>
    <cellStyle name="Comma 11 5 2 2 2 2" xfId="35560" xr:uid="{00000000-0005-0000-0000-0000DB8A0000}"/>
    <cellStyle name="Comma 11 5 2 2 3" xfId="35561" xr:uid="{00000000-0005-0000-0000-0000DC8A0000}"/>
    <cellStyle name="Comma 11 5 2 3" xfId="35562" xr:uid="{00000000-0005-0000-0000-0000DD8A0000}"/>
    <cellStyle name="Comma 11 5 2 3 2" xfId="35563" xr:uid="{00000000-0005-0000-0000-0000DE8A0000}"/>
    <cellStyle name="Comma 11 5 2 4" xfId="35564" xr:uid="{00000000-0005-0000-0000-0000DF8A0000}"/>
    <cellStyle name="Comma 11 5 3" xfId="35565" xr:uid="{00000000-0005-0000-0000-0000E08A0000}"/>
    <cellStyle name="Comma 11 5 3 2" xfId="35566" xr:uid="{00000000-0005-0000-0000-0000E18A0000}"/>
    <cellStyle name="Comma 11 5 3 2 2" xfId="35567" xr:uid="{00000000-0005-0000-0000-0000E28A0000}"/>
    <cellStyle name="Comma 11 5 3 2 2 2" xfId="35568" xr:uid="{00000000-0005-0000-0000-0000E38A0000}"/>
    <cellStyle name="Comma 11 5 3 2 3" xfId="35569" xr:uid="{00000000-0005-0000-0000-0000E48A0000}"/>
    <cellStyle name="Comma 11 5 3 3" xfId="35570" xr:uid="{00000000-0005-0000-0000-0000E58A0000}"/>
    <cellStyle name="Comma 11 5 3 3 2" xfId="35571" xr:uid="{00000000-0005-0000-0000-0000E68A0000}"/>
    <cellStyle name="Comma 11 5 3 4" xfId="35572" xr:uid="{00000000-0005-0000-0000-0000E78A0000}"/>
    <cellStyle name="Comma 11 5 4" xfId="35573" xr:uid="{00000000-0005-0000-0000-0000E88A0000}"/>
    <cellStyle name="Comma 11 5 4 2" xfId="35574" xr:uid="{00000000-0005-0000-0000-0000E98A0000}"/>
    <cellStyle name="Comma 11 5 4 2 2" xfId="35575" xr:uid="{00000000-0005-0000-0000-0000EA8A0000}"/>
    <cellStyle name="Comma 11 5 4 3" xfId="35576" xr:uid="{00000000-0005-0000-0000-0000EB8A0000}"/>
    <cellStyle name="Comma 11 5 5" xfId="35577" xr:uid="{00000000-0005-0000-0000-0000EC8A0000}"/>
    <cellStyle name="Comma 11 5 5 2" xfId="35578" xr:uid="{00000000-0005-0000-0000-0000ED8A0000}"/>
    <cellStyle name="Comma 11 5 6" xfId="35579" xr:uid="{00000000-0005-0000-0000-0000EE8A0000}"/>
    <cellStyle name="Comma 11 5 7" xfId="35580" xr:uid="{00000000-0005-0000-0000-0000EF8A0000}"/>
    <cellStyle name="Comma 11 6" xfId="35581" xr:uid="{00000000-0005-0000-0000-0000F08A0000}"/>
    <cellStyle name="Comma 11 6 2" xfId="35582" xr:uid="{00000000-0005-0000-0000-0000F18A0000}"/>
    <cellStyle name="Comma 11 6 2 2" xfId="35583" xr:uid="{00000000-0005-0000-0000-0000F28A0000}"/>
    <cellStyle name="Comma 11 6 2 2 2" xfId="35584" xr:uid="{00000000-0005-0000-0000-0000F38A0000}"/>
    <cellStyle name="Comma 11 6 2 3" xfId="35585" xr:uid="{00000000-0005-0000-0000-0000F48A0000}"/>
    <cellStyle name="Comma 11 6 3" xfId="35586" xr:uid="{00000000-0005-0000-0000-0000F58A0000}"/>
    <cellStyle name="Comma 11 6 3 2" xfId="35587" xr:uid="{00000000-0005-0000-0000-0000F68A0000}"/>
    <cellStyle name="Comma 11 6 4" xfId="35588" xr:uid="{00000000-0005-0000-0000-0000F78A0000}"/>
    <cellStyle name="Comma 11 6 5" xfId="35589" xr:uid="{00000000-0005-0000-0000-0000F88A0000}"/>
    <cellStyle name="Comma 11 7" xfId="35590" xr:uid="{00000000-0005-0000-0000-0000F98A0000}"/>
    <cellStyle name="Comma 11 7 2" xfId="35591" xr:uid="{00000000-0005-0000-0000-0000FA8A0000}"/>
    <cellStyle name="Comma 11 7 2 2" xfId="35592" xr:uid="{00000000-0005-0000-0000-0000FB8A0000}"/>
    <cellStyle name="Comma 11 7 2 2 2" xfId="35593" xr:uid="{00000000-0005-0000-0000-0000FC8A0000}"/>
    <cellStyle name="Comma 11 7 2 3" xfId="35594" xr:uid="{00000000-0005-0000-0000-0000FD8A0000}"/>
    <cellStyle name="Comma 11 7 3" xfId="35595" xr:uid="{00000000-0005-0000-0000-0000FE8A0000}"/>
    <cellStyle name="Comma 11 7 3 2" xfId="35596" xr:uid="{00000000-0005-0000-0000-0000FF8A0000}"/>
    <cellStyle name="Comma 11 7 4" xfId="35597" xr:uid="{00000000-0005-0000-0000-0000008B0000}"/>
    <cellStyle name="Comma 11 7 5" xfId="35598" xr:uid="{00000000-0005-0000-0000-0000018B0000}"/>
    <cellStyle name="Comma 11 8" xfId="35599" xr:uid="{00000000-0005-0000-0000-0000028B0000}"/>
    <cellStyle name="Comma 11 8 2" xfId="35600" xr:uid="{00000000-0005-0000-0000-0000038B0000}"/>
    <cellStyle name="Comma 11 8 2 2" xfId="35601" xr:uid="{00000000-0005-0000-0000-0000048B0000}"/>
    <cellStyle name="Comma 11 8 2 2 2" xfId="35602" xr:uid="{00000000-0005-0000-0000-0000058B0000}"/>
    <cellStyle name="Comma 11 8 2 3" xfId="35603" xr:uid="{00000000-0005-0000-0000-0000068B0000}"/>
    <cellStyle name="Comma 11 8 3" xfId="35604" xr:uid="{00000000-0005-0000-0000-0000078B0000}"/>
    <cellStyle name="Comma 11 8 3 2" xfId="35605" xr:uid="{00000000-0005-0000-0000-0000088B0000}"/>
    <cellStyle name="Comma 11 8 4" xfId="14" xr:uid="{00000000-0005-0000-0000-0000098B0000}"/>
    <cellStyle name="Comma 11 8 5" xfId="35606" xr:uid="{00000000-0005-0000-0000-00000A8B0000}"/>
    <cellStyle name="Comma 11 9" xfId="35607" xr:uid="{00000000-0005-0000-0000-00000B8B0000}"/>
    <cellStyle name="Comma 11 9 2" xfId="35608" xr:uid="{00000000-0005-0000-0000-00000C8B0000}"/>
    <cellStyle name="Comma 11 9 2 2" xfId="35609" xr:uid="{00000000-0005-0000-0000-00000D8B0000}"/>
    <cellStyle name="Comma 11 9 3" xfId="35610" xr:uid="{00000000-0005-0000-0000-00000E8B0000}"/>
    <cellStyle name="Comma 11 9 4" xfId="35611" xr:uid="{00000000-0005-0000-0000-00000F8B0000}"/>
    <cellStyle name="Comma 12" xfId="35612" xr:uid="{00000000-0005-0000-0000-0000108B0000}"/>
    <cellStyle name="Comma 12 10" xfId="35613" xr:uid="{00000000-0005-0000-0000-0000118B0000}"/>
    <cellStyle name="Comma 12 11" xfId="35614" xr:uid="{00000000-0005-0000-0000-0000128B0000}"/>
    <cellStyle name="Comma 12 12" xfId="35615" xr:uid="{00000000-0005-0000-0000-0000138B0000}"/>
    <cellStyle name="Comma 12 2" xfId="35616" xr:uid="{00000000-0005-0000-0000-0000148B0000}"/>
    <cellStyle name="Comma 12 2 10" xfId="35617" xr:uid="{00000000-0005-0000-0000-0000158B0000}"/>
    <cellStyle name="Comma 12 2 11" xfId="35618" xr:uid="{00000000-0005-0000-0000-0000168B0000}"/>
    <cellStyle name="Comma 12 2 12" xfId="35619" xr:uid="{00000000-0005-0000-0000-0000178B0000}"/>
    <cellStyle name="Comma 12 2 2" xfId="35620" xr:uid="{00000000-0005-0000-0000-0000188B0000}"/>
    <cellStyle name="Comma 12 2 2 10" xfId="35621" xr:uid="{00000000-0005-0000-0000-0000198B0000}"/>
    <cellStyle name="Comma 12 2 2 11" xfId="35622" xr:uid="{00000000-0005-0000-0000-00001A8B0000}"/>
    <cellStyle name="Comma 12 2 2 2" xfId="35623" xr:uid="{00000000-0005-0000-0000-00001B8B0000}"/>
    <cellStyle name="Comma 12 2 2 2 2" xfId="35624" xr:uid="{00000000-0005-0000-0000-00001C8B0000}"/>
    <cellStyle name="Comma 12 2 2 2 2 2" xfId="35625" xr:uid="{00000000-0005-0000-0000-00001D8B0000}"/>
    <cellStyle name="Comma 12 2 2 2 2 2 2" xfId="35626" xr:uid="{00000000-0005-0000-0000-00001E8B0000}"/>
    <cellStyle name="Comma 12 2 2 2 2 2 2 2" xfId="35627" xr:uid="{00000000-0005-0000-0000-00001F8B0000}"/>
    <cellStyle name="Comma 12 2 2 2 2 2 3" xfId="35628" xr:uid="{00000000-0005-0000-0000-0000208B0000}"/>
    <cellStyle name="Comma 12 2 2 2 2 3" xfId="35629" xr:uid="{00000000-0005-0000-0000-0000218B0000}"/>
    <cellStyle name="Comma 12 2 2 2 2 3 2" xfId="35630" xr:uid="{00000000-0005-0000-0000-0000228B0000}"/>
    <cellStyle name="Comma 12 2 2 2 2 4" xfId="35631" xr:uid="{00000000-0005-0000-0000-0000238B0000}"/>
    <cellStyle name="Comma 12 2 2 2 3" xfId="35632" xr:uid="{00000000-0005-0000-0000-0000248B0000}"/>
    <cellStyle name="Comma 12 2 2 2 3 2" xfId="35633" xr:uid="{00000000-0005-0000-0000-0000258B0000}"/>
    <cellStyle name="Comma 12 2 2 2 3 2 2" xfId="35634" xr:uid="{00000000-0005-0000-0000-0000268B0000}"/>
    <cellStyle name="Comma 12 2 2 2 3 3" xfId="35635" xr:uid="{00000000-0005-0000-0000-0000278B0000}"/>
    <cellStyle name="Comma 12 2 2 2 4" xfId="35636" xr:uid="{00000000-0005-0000-0000-0000288B0000}"/>
    <cellStyle name="Comma 12 2 2 2 4 2" xfId="35637" xr:uid="{00000000-0005-0000-0000-0000298B0000}"/>
    <cellStyle name="Comma 12 2 2 2 5" xfId="35638" xr:uid="{00000000-0005-0000-0000-00002A8B0000}"/>
    <cellStyle name="Comma 12 2 2 2 6" xfId="35639" xr:uid="{00000000-0005-0000-0000-00002B8B0000}"/>
    <cellStyle name="Comma 12 2 2 3" xfId="35640" xr:uid="{00000000-0005-0000-0000-00002C8B0000}"/>
    <cellStyle name="Comma 12 2 2 3 2" xfId="35641" xr:uid="{00000000-0005-0000-0000-00002D8B0000}"/>
    <cellStyle name="Comma 12 2 2 3 2 2" xfId="35642" xr:uid="{00000000-0005-0000-0000-00002E8B0000}"/>
    <cellStyle name="Comma 12 2 2 3 2 2 2" xfId="35643" xr:uid="{00000000-0005-0000-0000-00002F8B0000}"/>
    <cellStyle name="Comma 12 2 2 3 2 3" xfId="35644" xr:uid="{00000000-0005-0000-0000-0000308B0000}"/>
    <cellStyle name="Comma 12 2 2 3 3" xfId="35645" xr:uid="{00000000-0005-0000-0000-0000318B0000}"/>
    <cellStyle name="Comma 12 2 2 3 3 2" xfId="35646" xr:uid="{00000000-0005-0000-0000-0000328B0000}"/>
    <cellStyle name="Comma 12 2 2 3 4" xfId="35647" xr:uid="{00000000-0005-0000-0000-0000338B0000}"/>
    <cellStyle name="Comma 12 2 2 4" xfId="35648" xr:uid="{00000000-0005-0000-0000-0000348B0000}"/>
    <cellStyle name="Comma 12 2 2 4 2" xfId="35649" xr:uid="{00000000-0005-0000-0000-0000358B0000}"/>
    <cellStyle name="Comma 12 2 2 4 2 2" xfId="35650" xr:uid="{00000000-0005-0000-0000-0000368B0000}"/>
    <cellStyle name="Comma 12 2 2 4 2 2 2" xfId="35651" xr:uid="{00000000-0005-0000-0000-0000378B0000}"/>
    <cellStyle name="Comma 12 2 2 4 2 3" xfId="35652" xr:uid="{00000000-0005-0000-0000-0000388B0000}"/>
    <cellStyle name="Comma 12 2 2 4 3" xfId="35653" xr:uid="{00000000-0005-0000-0000-0000398B0000}"/>
    <cellStyle name="Comma 12 2 2 4 3 2" xfId="35654" xr:uid="{00000000-0005-0000-0000-00003A8B0000}"/>
    <cellStyle name="Comma 12 2 2 4 4" xfId="35655" xr:uid="{00000000-0005-0000-0000-00003B8B0000}"/>
    <cellStyle name="Comma 12 2 2 5" xfId="35656" xr:uid="{00000000-0005-0000-0000-00003C8B0000}"/>
    <cellStyle name="Comma 12 2 2 5 2" xfId="35657" xr:uid="{00000000-0005-0000-0000-00003D8B0000}"/>
    <cellStyle name="Comma 12 2 2 5 2 2" xfId="35658" xr:uid="{00000000-0005-0000-0000-00003E8B0000}"/>
    <cellStyle name="Comma 12 2 2 5 3" xfId="35659" xr:uid="{00000000-0005-0000-0000-00003F8B0000}"/>
    <cellStyle name="Comma 12 2 2 6" xfId="35660" xr:uid="{00000000-0005-0000-0000-0000408B0000}"/>
    <cellStyle name="Comma 12 2 2 6 2" xfId="35661" xr:uid="{00000000-0005-0000-0000-0000418B0000}"/>
    <cellStyle name="Comma 12 2 2 7" xfId="35662" xr:uid="{00000000-0005-0000-0000-0000428B0000}"/>
    <cellStyle name="Comma 12 2 2 7 2" xfId="35663" xr:uid="{00000000-0005-0000-0000-0000438B0000}"/>
    <cellStyle name="Comma 12 2 2 8" xfId="35664" xr:uid="{00000000-0005-0000-0000-0000448B0000}"/>
    <cellStyle name="Comma 12 2 2 9" xfId="35665" xr:uid="{00000000-0005-0000-0000-0000458B0000}"/>
    <cellStyle name="Comma 12 2 3" xfId="35666" xr:uid="{00000000-0005-0000-0000-0000468B0000}"/>
    <cellStyle name="Comma 12 2 3 2" xfId="35667" xr:uid="{00000000-0005-0000-0000-0000478B0000}"/>
    <cellStyle name="Comma 12 2 3 2 2" xfId="35668" xr:uid="{00000000-0005-0000-0000-0000488B0000}"/>
    <cellStyle name="Comma 12 2 3 2 2 2" xfId="35669" xr:uid="{00000000-0005-0000-0000-0000498B0000}"/>
    <cellStyle name="Comma 12 2 3 2 2 2 2" xfId="35670" xr:uid="{00000000-0005-0000-0000-00004A8B0000}"/>
    <cellStyle name="Comma 12 2 3 2 2 3" xfId="35671" xr:uid="{00000000-0005-0000-0000-00004B8B0000}"/>
    <cellStyle name="Comma 12 2 3 2 3" xfId="35672" xr:uid="{00000000-0005-0000-0000-00004C8B0000}"/>
    <cellStyle name="Comma 12 2 3 2 3 2" xfId="35673" xr:uid="{00000000-0005-0000-0000-00004D8B0000}"/>
    <cellStyle name="Comma 12 2 3 2 4" xfId="35674" xr:uid="{00000000-0005-0000-0000-00004E8B0000}"/>
    <cellStyle name="Comma 12 2 3 3" xfId="35675" xr:uid="{00000000-0005-0000-0000-00004F8B0000}"/>
    <cellStyle name="Comma 12 2 3 3 2" xfId="35676" xr:uid="{00000000-0005-0000-0000-0000508B0000}"/>
    <cellStyle name="Comma 12 2 3 3 2 2" xfId="35677" xr:uid="{00000000-0005-0000-0000-0000518B0000}"/>
    <cellStyle name="Comma 12 2 3 3 2 2 2" xfId="35678" xr:uid="{00000000-0005-0000-0000-0000528B0000}"/>
    <cellStyle name="Comma 12 2 3 3 2 3" xfId="35679" xr:uid="{00000000-0005-0000-0000-0000538B0000}"/>
    <cellStyle name="Comma 12 2 3 3 3" xfId="35680" xr:uid="{00000000-0005-0000-0000-0000548B0000}"/>
    <cellStyle name="Comma 12 2 3 3 3 2" xfId="35681" xr:uid="{00000000-0005-0000-0000-0000558B0000}"/>
    <cellStyle name="Comma 12 2 3 3 4" xfId="35682" xr:uid="{00000000-0005-0000-0000-0000568B0000}"/>
    <cellStyle name="Comma 12 2 3 4" xfId="35683" xr:uid="{00000000-0005-0000-0000-0000578B0000}"/>
    <cellStyle name="Comma 12 2 3 4 2" xfId="35684" xr:uid="{00000000-0005-0000-0000-0000588B0000}"/>
    <cellStyle name="Comma 12 2 3 4 2 2" xfId="35685" xr:uid="{00000000-0005-0000-0000-0000598B0000}"/>
    <cellStyle name="Comma 12 2 3 4 3" xfId="35686" xr:uid="{00000000-0005-0000-0000-00005A8B0000}"/>
    <cellStyle name="Comma 12 2 3 5" xfId="35687" xr:uid="{00000000-0005-0000-0000-00005B8B0000}"/>
    <cellStyle name="Comma 12 2 3 5 2" xfId="35688" xr:uid="{00000000-0005-0000-0000-00005C8B0000}"/>
    <cellStyle name="Comma 12 2 3 6" xfId="35689" xr:uid="{00000000-0005-0000-0000-00005D8B0000}"/>
    <cellStyle name="Comma 12 2 3 7" xfId="35690" xr:uid="{00000000-0005-0000-0000-00005E8B0000}"/>
    <cellStyle name="Comma 12 2 4" xfId="35691" xr:uid="{00000000-0005-0000-0000-00005F8B0000}"/>
    <cellStyle name="Comma 12 2 4 2" xfId="35692" xr:uid="{00000000-0005-0000-0000-0000608B0000}"/>
    <cellStyle name="Comma 12 2 4 2 2" xfId="35693" xr:uid="{00000000-0005-0000-0000-0000618B0000}"/>
    <cellStyle name="Comma 12 2 4 2 2 2" xfId="35694" xr:uid="{00000000-0005-0000-0000-0000628B0000}"/>
    <cellStyle name="Comma 12 2 4 2 3" xfId="35695" xr:uid="{00000000-0005-0000-0000-0000638B0000}"/>
    <cellStyle name="Comma 12 2 4 3" xfId="35696" xr:uid="{00000000-0005-0000-0000-0000648B0000}"/>
    <cellStyle name="Comma 12 2 4 3 2" xfId="35697" xr:uid="{00000000-0005-0000-0000-0000658B0000}"/>
    <cellStyle name="Comma 12 2 4 4" xfId="35698" xr:uid="{00000000-0005-0000-0000-0000668B0000}"/>
    <cellStyle name="Comma 12 2 5" xfId="35699" xr:uid="{00000000-0005-0000-0000-0000678B0000}"/>
    <cellStyle name="Comma 12 2 5 2" xfId="35700" xr:uid="{00000000-0005-0000-0000-0000688B0000}"/>
    <cellStyle name="Comma 12 2 5 2 2" xfId="35701" xr:uid="{00000000-0005-0000-0000-0000698B0000}"/>
    <cellStyle name="Comma 12 2 5 2 2 2" xfId="35702" xr:uid="{00000000-0005-0000-0000-00006A8B0000}"/>
    <cellStyle name="Comma 12 2 5 2 3" xfId="35703" xr:uid="{00000000-0005-0000-0000-00006B8B0000}"/>
    <cellStyle name="Comma 12 2 5 3" xfId="35704" xr:uid="{00000000-0005-0000-0000-00006C8B0000}"/>
    <cellStyle name="Comma 12 2 5 3 2" xfId="35705" xr:uid="{00000000-0005-0000-0000-00006D8B0000}"/>
    <cellStyle name="Comma 12 2 5 4" xfId="35706" xr:uid="{00000000-0005-0000-0000-00006E8B0000}"/>
    <cellStyle name="Comma 12 2 6" xfId="35707" xr:uid="{00000000-0005-0000-0000-00006F8B0000}"/>
    <cellStyle name="Comma 12 2 6 2" xfId="35708" xr:uid="{00000000-0005-0000-0000-0000708B0000}"/>
    <cellStyle name="Comma 12 2 6 2 2" xfId="35709" xr:uid="{00000000-0005-0000-0000-0000718B0000}"/>
    <cellStyle name="Comma 12 2 6 3" xfId="35710" xr:uid="{00000000-0005-0000-0000-0000728B0000}"/>
    <cellStyle name="Comma 12 2 7" xfId="35711" xr:uid="{00000000-0005-0000-0000-0000738B0000}"/>
    <cellStyle name="Comma 12 2 7 2" xfId="35712" xr:uid="{00000000-0005-0000-0000-0000748B0000}"/>
    <cellStyle name="Comma 12 2 8" xfId="35713" xr:uid="{00000000-0005-0000-0000-0000758B0000}"/>
    <cellStyle name="Comma 12 2 8 2" xfId="35714" xr:uid="{00000000-0005-0000-0000-0000768B0000}"/>
    <cellStyle name="Comma 12 2 9" xfId="35715" xr:uid="{00000000-0005-0000-0000-0000778B0000}"/>
    <cellStyle name="Comma 12 3" xfId="35716" xr:uid="{00000000-0005-0000-0000-0000788B0000}"/>
    <cellStyle name="Comma 12 3 2" xfId="35717" xr:uid="{00000000-0005-0000-0000-0000798B0000}"/>
    <cellStyle name="Comma 12 3 2 2" xfId="35718" xr:uid="{00000000-0005-0000-0000-00007A8B0000}"/>
    <cellStyle name="Comma 12 3 2 2 2" xfId="35719" xr:uid="{00000000-0005-0000-0000-00007B8B0000}"/>
    <cellStyle name="Comma 12 3 2 2 2 2" xfId="35720" xr:uid="{00000000-0005-0000-0000-00007C8B0000}"/>
    <cellStyle name="Comma 12 3 2 2 2 2 2" xfId="35721" xr:uid="{00000000-0005-0000-0000-00007D8B0000}"/>
    <cellStyle name="Comma 12 3 2 2 2 3" xfId="35722" xr:uid="{00000000-0005-0000-0000-00007E8B0000}"/>
    <cellStyle name="Comma 12 3 2 2 3" xfId="35723" xr:uid="{00000000-0005-0000-0000-00007F8B0000}"/>
    <cellStyle name="Comma 12 3 2 2 3 2" xfId="35724" xr:uid="{00000000-0005-0000-0000-0000808B0000}"/>
    <cellStyle name="Comma 12 3 2 2 4" xfId="35725" xr:uid="{00000000-0005-0000-0000-0000818B0000}"/>
    <cellStyle name="Comma 12 3 2 3" xfId="35726" xr:uid="{00000000-0005-0000-0000-0000828B0000}"/>
    <cellStyle name="Comma 12 3 2 3 2" xfId="35727" xr:uid="{00000000-0005-0000-0000-0000838B0000}"/>
    <cellStyle name="Comma 12 3 2 3 2 2" xfId="35728" xr:uid="{00000000-0005-0000-0000-0000848B0000}"/>
    <cellStyle name="Comma 12 3 2 3 2 2 2" xfId="35729" xr:uid="{00000000-0005-0000-0000-0000858B0000}"/>
    <cellStyle name="Comma 12 3 2 3 2 3" xfId="35730" xr:uid="{00000000-0005-0000-0000-0000868B0000}"/>
    <cellStyle name="Comma 12 3 2 3 3" xfId="35731" xr:uid="{00000000-0005-0000-0000-0000878B0000}"/>
    <cellStyle name="Comma 12 3 2 3 3 2" xfId="35732" xr:uid="{00000000-0005-0000-0000-0000888B0000}"/>
    <cellStyle name="Comma 12 3 2 3 4" xfId="35733" xr:uid="{00000000-0005-0000-0000-0000898B0000}"/>
    <cellStyle name="Comma 12 3 2 4" xfId="35734" xr:uid="{00000000-0005-0000-0000-00008A8B0000}"/>
    <cellStyle name="Comma 12 3 2 4 2" xfId="35735" xr:uid="{00000000-0005-0000-0000-00008B8B0000}"/>
    <cellStyle name="Comma 12 3 2 4 2 2" xfId="35736" xr:uid="{00000000-0005-0000-0000-00008C8B0000}"/>
    <cellStyle name="Comma 12 3 2 4 3" xfId="35737" xr:uid="{00000000-0005-0000-0000-00008D8B0000}"/>
    <cellStyle name="Comma 12 3 2 5" xfId="35738" xr:uid="{00000000-0005-0000-0000-00008E8B0000}"/>
    <cellStyle name="Comma 12 3 2 5 2" xfId="35739" xr:uid="{00000000-0005-0000-0000-00008F8B0000}"/>
    <cellStyle name="Comma 12 3 2 6" xfId="35740" xr:uid="{00000000-0005-0000-0000-0000908B0000}"/>
    <cellStyle name="Comma 12 3 2 7" xfId="35741" xr:uid="{00000000-0005-0000-0000-0000918B0000}"/>
    <cellStyle name="Comma 12 3 3" xfId="35742" xr:uid="{00000000-0005-0000-0000-0000928B0000}"/>
    <cellStyle name="Comma 12 3 3 2" xfId="35743" xr:uid="{00000000-0005-0000-0000-0000938B0000}"/>
    <cellStyle name="Comma 12 3 3 2 2" xfId="35744" xr:uid="{00000000-0005-0000-0000-0000948B0000}"/>
    <cellStyle name="Comma 12 3 3 2 2 2" xfId="35745" xr:uid="{00000000-0005-0000-0000-0000958B0000}"/>
    <cellStyle name="Comma 12 3 3 2 2 2 2" xfId="35746" xr:uid="{00000000-0005-0000-0000-0000968B0000}"/>
    <cellStyle name="Comma 12 3 3 2 2 3" xfId="35747" xr:uid="{00000000-0005-0000-0000-0000978B0000}"/>
    <cellStyle name="Comma 12 3 3 2 3" xfId="35748" xr:uid="{00000000-0005-0000-0000-0000988B0000}"/>
    <cellStyle name="Comma 12 3 3 2 3 2" xfId="35749" xr:uid="{00000000-0005-0000-0000-0000998B0000}"/>
    <cellStyle name="Comma 12 3 3 2 4" xfId="35750" xr:uid="{00000000-0005-0000-0000-00009A8B0000}"/>
    <cellStyle name="Comma 12 3 3 3" xfId="35751" xr:uid="{00000000-0005-0000-0000-00009B8B0000}"/>
    <cellStyle name="Comma 12 3 3 3 2" xfId="35752" xr:uid="{00000000-0005-0000-0000-00009C8B0000}"/>
    <cellStyle name="Comma 12 3 3 3 2 2" xfId="35753" xr:uid="{00000000-0005-0000-0000-00009D8B0000}"/>
    <cellStyle name="Comma 12 3 3 3 3" xfId="35754" xr:uid="{00000000-0005-0000-0000-00009E8B0000}"/>
    <cellStyle name="Comma 12 3 3 4" xfId="35755" xr:uid="{00000000-0005-0000-0000-00009F8B0000}"/>
    <cellStyle name="Comma 12 3 3 4 2" xfId="35756" xr:uid="{00000000-0005-0000-0000-0000A08B0000}"/>
    <cellStyle name="Comma 12 3 3 5" xfId="35757" xr:uid="{00000000-0005-0000-0000-0000A18B0000}"/>
    <cellStyle name="Comma 12 3 4" xfId="35758" xr:uid="{00000000-0005-0000-0000-0000A28B0000}"/>
    <cellStyle name="Comma 12 3 4 2" xfId="35759" xr:uid="{00000000-0005-0000-0000-0000A38B0000}"/>
    <cellStyle name="Comma 12 3 4 2 2" xfId="35760" xr:uid="{00000000-0005-0000-0000-0000A48B0000}"/>
    <cellStyle name="Comma 12 3 4 2 2 2" xfId="35761" xr:uid="{00000000-0005-0000-0000-0000A58B0000}"/>
    <cellStyle name="Comma 12 3 4 2 3" xfId="35762" xr:uid="{00000000-0005-0000-0000-0000A68B0000}"/>
    <cellStyle name="Comma 12 3 4 3" xfId="35763" xr:uid="{00000000-0005-0000-0000-0000A78B0000}"/>
    <cellStyle name="Comma 12 3 4 3 2" xfId="35764" xr:uid="{00000000-0005-0000-0000-0000A88B0000}"/>
    <cellStyle name="Comma 12 3 4 4" xfId="35765" xr:uid="{00000000-0005-0000-0000-0000A98B0000}"/>
    <cellStyle name="Comma 12 3 5" xfId="35766" xr:uid="{00000000-0005-0000-0000-0000AA8B0000}"/>
    <cellStyle name="Comma 12 3 5 2" xfId="35767" xr:uid="{00000000-0005-0000-0000-0000AB8B0000}"/>
    <cellStyle name="Comma 12 3 5 2 2" xfId="35768" xr:uid="{00000000-0005-0000-0000-0000AC8B0000}"/>
    <cellStyle name="Comma 12 3 5 3" xfId="35769" xr:uid="{00000000-0005-0000-0000-0000AD8B0000}"/>
    <cellStyle name="Comma 12 3 6" xfId="35770" xr:uid="{00000000-0005-0000-0000-0000AE8B0000}"/>
    <cellStyle name="Comma 12 3 6 2" xfId="35771" xr:uid="{00000000-0005-0000-0000-0000AF8B0000}"/>
    <cellStyle name="Comma 12 3 7" xfId="35772" xr:uid="{00000000-0005-0000-0000-0000B08B0000}"/>
    <cellStyle name="Comma 12 3 7 2" xfId="35773" xr:uid="{00000000-0005-0000-0000-0000B18B0000}"/>
    <cellStyle name="Comma 12 3 8" xfId="35774" xr:uid="{00000000-0005-0000-0000-0000B28B0000}"/>
    <cellStyle name="Comma 12 3 9" xfId="35775" xr:uid="{00000000-0005-0000-0000-0000B38B0000}"/>
    <cellStyle name="Comma 12 4" xfId="35776" xr:uid="{00000000-0005-0000-0000-0000B48B0000}"/>
    <cellStyle name="Comma 12 4 2" xfId="35777" xr:uid="{00000000-0005-0000-0000-0000B58B0000}"/>
    <cellStyle name="Comma 12 4 2 2" xfId="35778" xr:uid="{00000000-0005-0000-0000-0000B68B0000}"/>
    <cellStyle name="Comma 12 4 2 2 2" xfId="35779" xr:uid="{00000000-0005-0000-0000-0000B78B0000}"/>
    <cellStyle name="Comma 12 4 2 2 2 2" xfId="35780" xr:uid="{00000000-0005-0000-0000-0000B88B0000}"/>
    <cellStyle name="Comma 12 4 2 2 3" xfId="35781" xr:uid="{00000000-0005-0000-0000-0000B98B0000}"/>
    <cellStyle name="Comma 12 4 2 3" xfId="35782" xr:uid="{00000000-0005-0000-0000-0000BA8B0000}"/>
    <cellStyle name="Comma 12 4 2 3 2" xfId="35783" xr:uid="{00000000-0005-0000-0000-0000BB8B0000}"/>
    <cellStyle name="Comma 12 4 2 4" xfId="35784" xr:uid="{00000000-0005-0000-0000-0000BC8B0000}"/>
    <cellStyle name="Comma 12 4 3" xfId="35785" xr:uid="{00000000-0005-0000-0000-0000BD8B0000}"/>
    <cellStyle name="Comma 12 4 3 2" xfId="35786" xr:uid="{00000000-0005-0000-0000-0000BE8B0000}"/>
    <cellStyle name="Comma 12 4 3 2 2" xfId="35787" xr:uid="{00000000-0005-0000-0000-0000BF8B0000}"/>
    <cellStyle name="Comma 12 4 3 2 2 2" xfId="35788" xr:uid="{00000000-0005-0000-0000-0000C08B0000}"/>
    <cellStyle name="Comma 12 4 3 2 3" xfId="35789" xr:uid="{00000000-0005-0000-0000-0000C18B0000}"/>
    <cellStyle name="Comma 12 4 3 3" xfId="35790" xr:uid="{00000000-0005-0000-0000-0000C28B0000}"/>
    <cellStyle name="Comma 12 4 3 3 2" xfId="35791" xr:uid="{00000000-0005-0000-0000-0000C38B0000}"/>
    <cellStyle name="Comma 12 4 3 4" xfId="35792" xr:uid="{00000000-0005-0000-0000-0000C48B0000}"/>
    <cellStyle name="Comma 12 4 4" xfId="35793" xr:uid="{00000000-0005-0000-0000-0000C58B0000}"/>
    <cellStyle name="Comma 12 4 4 2" xfId="35794" xr:uid="{00000000-0005-0000-0000-0000C68B0000}"/>
    <cellStyle name="Comma 12 4 4 2 2" xfId="35795" xr:uid="{00000000-0005-0000-0000-0000C78B0000}"/>
    <cellStyle name="Comma 12 4 4 3" xfId="35796" xr:uid="{00000000-0005-0000-0000-0000C88B0000}"/>
    <cellStyle name="Comma 12 4 5" xfId="35797" xr:uid="{00000000-0005-0000-0000-0000C98B0000}"/>
    <cellStyle name="Comma 12 4 5 2" xfId="35798" xr:uid="{00000000-0005-0000-0000-0000CA8B0000}"/>
    <cellStyle name="Comma 12 4 6" xfId="35799" xr:uid="{00000000-0005-0000-0000-0000CB8B0000}"/>
    <cellStyle name="Comma 12 4 7" xfId="35800" xr:uid="{00000000-0005-0000-0000-0000CC8B0000}"/>
    <cellStyle name="Comma 12 5" xfId="35801" xr:uid="{00000000-0005-0000-0000-0000CD8B0000}"/>
    <cellStyle name="Comma 12 5 2" xfId="35802" xr:uid="{00000000-0005-0000-0000-0000CE8B0000}"/>
    <cellStyle name="Comma 12 5 2 2" xfId="35803" xr:uid="{00000000-0005-0000-0000-0000CF8B0000}"/>
    <cellStyle name="Comma 12 5 2 2 2" xfId="35804" xr:uid="{00000000-0005-0000-0000-0000D08B0000}"/>
    <cellStyle name="Comma 12 5 2 2 2 2" xfId="35805" xr:uid="{00000000-0005-0000-0000-0000D18B0000}"/>
    <cellStyle name="Comma 12 5 2 2 3" xfId="35806" xr:uid="{00000000-0005-0000-0000-0000D28B0000}"/>
    <cellStyle name="Comma 12 5 2 3" xfId="35807" xr:uid="{00000000-0005-0000-0000-0000D38B0000}"/>
    <cellStyle name="Comma 12 5 2 3 2" xfId="35808" xr:uid="{00000000-0005-0000-0000-0000D48B0000}"/>
    <cellStyle name="Comma 12 5 2 4" xfId="35809" xr:uid="{00000000-0005-0000-0000-0000D58B0000}"/>
    <cellStyle name="Comma 12 5 3" xfId="35810" xr:uid="{00000000-0005-0000-0000-0000D68B0000}"/>
    <cellStyle name="Comma 12 5 3 2" xfId="35811" xr:uid="{00000000-0005-0000-0000-0000D78B0000}"/>
    <cellStyle name="Comma 12 5 3 2 2" xfId="35812" xr:uid="{00000000-0005-0000-0000-0000D88B0000}"/>
    <cellStyle name="Comma 12 5 3 3" xfId="35813" xr:uid="{00000000-0005-0000-0000-0000D98B0000}"/>
    <cellStyle name="Comma 12 5 4" xfId="35814" xr:uid="{00000000-0005-0000-0000-0000DA8B0000}"/>
    <cellStyle name="Comma 12 5 4 2" xfId="35815" xr:uid="{00000000-0005-0000-0000-0000DB8B0000}"/>
    <cellStyle name="Comma 12 5 5" xfId="35816" xr:uid="{00000000-0005-0000-0000-0000DC8B0000}"/>
    <cellStyle name="Comma 12 5 6" xfId="35817" xr:uid="{00000000-0005-0000-0000-0000DD8B0000}"/>
    <cellStyle name="Comma 12 6" xfId="35818" xr:uid="{00000000-0005-0000-0000-0000DE8B0000}"/>
    <cellStyle name="Comma 12 6 2" xfId="35819" xr:uid="{00000000-0005-0000-0000-0000DF8B0000}"/>
    <cellStyle name="Comma 12 6 2 2" xfId="35820" xr:uid="{00000000-0005-0000-0000-0000E08B0000}"/>
    <cellStyle name="Comma 12 6 2 2 2" xfId="35821" xr:uid="{00000000-0005-0000-0000-0000E18B0000}"/>
    <cellStyle name="Comma 12 6 2 3" xfId="35822" xr:uid="{00000000-0005-0000-0000-0000E28B0000}"/>
    <cellStyle name="Comma 12 6 3" xfId="35823" xr:uid="{00000000-0005-0000-0000-0000E38B0000}"/>
    <cellStyle name="Comma 12 6 3 2" xfId="35824" xr:uid="{00000000-0005-0000-0000-0000E48B0000}"/>
    <cellStyle name="Comma 12 6 4" xfId="35825" xr:uid="{00000000-0005-0000-0000-0000E58B0000}"/>
    <cellStyle name="Comma 12 6 5" xfId="35826" xr:uid="{00000000-0005-0000-0000-0000E68B0000}"/>
    <cellStyle name="Comma 12 7" xfId="35827" xr:uid="{00000000-0005-0000-0000-0000E78B0000}"/>
    <cellStyle name="Comma 12 7 2" xfId="35828" xr:uid="{00000000-0005-0000-0000-0000E88B0000}"/>
    <cellStyle name="Comma 12 7 2 2" xfId="35829" xr:uid="{00000000-0005-0000-0000-0000E98B0000}"/>
    <cellStyle name="Comma 12 7 3" xfId="35830" xr:uid="{00000000-0005-0000-0000-0000EA8B0000}"/>
    <cellStyle name="Comma 12 7 4" xfId="35831" xr:uid="{00000000-0005-0000-0000-0000EB8B0000}"/>
    <cellStyle name="Comma 12 8" xfId="35832" xr:uid="{00000000-0005-0000-0000-0000EC8B0000}"/>
    <cellStyle name="Comma 12 8 2" xfId="35833" xr:uid="{00000000-0005-0000-0000-0000ED8B0000}"/>
    <cellStyle name="Comma 12 8 3" xfId="35834" xr:uid="{00000000-0005-0000-0000-0000EE8B0000}"/>
    <cellStyle name="Comma 12 9" xfId="35835" xr:uid="{00000000-0005-0000-0000-0000EF8B0000}"/>
    <cellStyle name="Comma 12 9 2" xfId="35836" xr:uid="{00000000-0005-0000-0000-0000F08B0000}"/>
    <cellStyle name="Comma 12 9 3" xfId="35837" xr:uid="{00000000-0005-0000-0000-0000F18B0000}"/>
    <cellStyle name="Comma 13" xfId="35838" xr:uid="{00000000-0005-0000-0000-0000F28B0000}"/>
    <cellStyle name="Comma 13 10" xfId="35839" xr:uid="{00000000-0005-0000-0000-0000F38B0000}"/>
    <cellStyle name="Comma 13 11" xfId="35840" xr:uid="{00000000-0005-0000-0000-0000F48B0000}"/>
    <cellStyle name="Comma 13 12" xfId="35841" xr:uid="{00000000-0005-0000-0000-0000F58B0000}"/>
    <cellStyle name="Comma 13 2" xfId="35842" xr:uid="{00000000-0005-0000-0000-0000F68B0000}"/>
    <cellStyle name="Comma 13 2 2" xfId="35843" xr:uid="{00000000-0005-0000-0000-0000F78B0000}"/>
    <cellStyle name="Comma 13 3" xfId="35844" xr:uid="{00000000-0005-0000-0000-0000F88B0000}"/>
    <cellStyle name="Comma 13 3 2" xfId="35845" xr:uid="{00000000-0005-0000-0000-0000F98B0000}"/>
    <cellStyle name="Comma 13 3 2 2" xfId="35846" xr:uid="{00000000-0005-0000-0000-0000FA8B0000}"/>
    <cellStyle name="Comma 13 3 2 2 2" xfId="35847" xr:uid="{00000000-0005-0000-0000-0000FB8B0000}"/>
    <cellStyle name="Comma 13 3 2 2 2 2" xfId="35848" xr:uid="{00000000-0005-0000-0000-0000FC8B0000}"/>
    <cellStyle name="Comma 13 3 2 2 3" xfId="35849" xr:uid="{00000000-0005-0000-0000-0000FD8B0000}"/>
    <cellStyle name="Comma 13 3 2 3" xfId="35850" xr:uid="{00000000-0005-0000-0000-0000FE8B0000}"/>
    <cellStyle name="Comma 13 3 2 3 2" xfId="35851" xr:uid="{00000000-0005-0000-0000-0000FF8B0000}"/>
    <cellStyle name="Comma 13 3 2 4" xfId="35852" xr:uid="{00000000-0005-0000-0000-0000008C0000}"/>
    <cellStyle name="Comma 13 3 3" xfId="35853" xr:uid="{00000000-0005-0000-0000-0000018C0000}"/>
    <cellStyle name="Comma 13 3 3 2" xfId="35854" xr:uid="{00000000-0005-0000-0000-0000028C0000}"/>
    <cellStyle name="Comma 13 3 3 2 2" xfId="35855" xr:uid="{00000000-0005-0000-0000-0000038C0000}"/>
    <cellStyle name="Comma 13 3 3 3" xfId="35856" xr:uid="{00000000-0005-0000-0000-0000048C0000}"/>
    <cellStyle name="Comma 13 3 4" xfId="35857" xr:uid="{00000000-0005-0000-0000-0000058C0000}"/>
    <cellStyle name="Comma 13 3 4 2" xfId="35858" xr:uid="{00000000-0005-0000-0000-0000068C0000}"/>
    <cellStyle name="Comma 13 3 5" xfId="35859" xr:uid="{00000000-0005-0000-0000-0000078C0000}"/>
    <cellStyle name="Comma 13 3 6" xfId="35860" xr:uid="{00000000-0005-0000-0000-0000088C0000}"/>
    <cellStyle name="Comma 13 4" xfId="35861" xr:uid="{00000000-0005-0000-0000-0000098C0000}"/>
    <cellStyle name="Comma 13 4 2" xfId="35862" xr:uid="{00000000-0005-0000-0000-00000A8C0000}"/>
    <cellStyle name="Comma 13 4 2 2" xfId="35863" xr:uid="{00000000-0005-0000-0000-00000B8C0000}"/>
    <cellStyle name="Comma 13 4 2 2 2" xfId="35864" xr:uid="{00000000-0005-0000-0000-00000C8C0000}"/>
    <cellStyle name="Comma 13 4 2 3" xfId="35865" xr:uid="{00000000-0005-0000-0000-00000D8C0000}"/>
    <cellStyle name="Comma 13 4 3" xfId="35866" xr:uid="{00000000-0005-0000-0000-00000E8C0000}"/>
    <cellStyle name="Comma 13 4 3 2" xfId="35867" xr:uid="{00000000-0005-0000-0000-00000F8C0000}"/>
    <cellStyle name="Comma 13 4 4" xfId="35868" xr:uid="{00000000-0005-0000-0000-0000108C0000}"/>
    <cellStyle name="Comma 13 4 5" xfId="35869" xr:uid="{00000000-0005-0000-0000-0000118C0000}"/>
    <cellStyle name="Comma 13 5" xfId="35870" xr:uid="{00000000-0005-0000-0000-0000128C0000}"/>
    <cellStyle name="Comma 13 5 2" xfId="35871" xr:uid="{00000000-0005-0000-0000-0000138C0000}"/>
    <cellStyle name="Comma 13 5 2 2" xfId="35872" xr:uid="{00000000-0005-0000-0000-0000148C0000}"/>
    <cellStyle name="Comma 13 5 2 2 2" xfId="35873" xr:uid="{00000000-0005-0000-0000-0000158C0000}"/>
    <cellStyle name="Comma 13 5 2 3" xfId="35874" xr:uid="{00000000-0005-0000-0000-0000168C0000}"/>
    <cellStyle name="Comma 13 5 3" xfId="35875" xr:uid="{00000000-0005-0000-0000-0000178C0000}"/>
    <cellStyle name="Comma 13 5 3 2" xfId="35876" xr:uid="{00000000-0005-0000-0000-0000188C0000}"/>
    <cellStyle name="Comma 13 5 4" xfId="35877" xr:uid="{00000000-0005-0000-0000-0000198C0000}"/>
    <cellStyle name="Comma 13 5 5" xfId="35878" xr:uid="{00000000-0005-0000-0000-00001A8C0000}"/>
    <cellStyle name="Comma 13 6" xfId="35879" xr:uid="{00000000-0005-0000-0000-00001B8C0000}"/>
    <cellStyle name="Comma 13 6 2" xfId="35880" xr:uid="{00000000-0005-0000-0000-00001C8C0000}"/>
    <cellStyle name="Comma 13 6 2 2" xfId="35881" xr:uid="{00000000-0005-0000-0000-00001D8C0000}"/>
    <cellStyle name="Comma 13 6 3" xfId="35882" xr:uid="{00000000-0005-0000-0000-00001E8C0000}"/>
    <cellStyle name="Comma 13 6 4" xfId="35883" xr:uid="{00000000-0005-0000-0000-00001F8C0000}"/>
    <cellStyle name="Comma 13 7" xfId="35884" xr:uid="{00000000-0005-0000-0000-0000208C0000}"/>
    <cellStyle name="Comma 13 7 2" xfId="35885" xr:uid="{00000000-0005-0000-0000-0000218C0000}"/>
    <cellStyle name="Comma 13 7 3" xfId="35886" xr:uid="{00000000-0005-0000-0000-0000228C0000}"/>
    <cellStyle name="Comma 13 8" xfId="35887" xr:uid="{00000000-0005-0000-0000-0000238C0000}"/>
    <cellStyle name="Comma 13 8 2" xfId="35888" xr:uid="{00000000-0005-0000-0000-0000248C0000}"/>
    <cellStyle name="Comma 13 8 3" xfId="35889" xr:uid="{00000000-0005-0000-0000-0000258C0000}"/>
    <cellStyle name="Comma 13 9" xfId="35890" xr:uid="{00000000-0005-0000-0000-0000268C0000}"/>
    <cellStyle name="Comma 13_Labour" xfId="35891" xr:uid="{00000000-0005-0000-0000-0000278C0000}"/>
    <cellStyle name="Comma 14" xfId="35892" xr:uid="{00000000-0005-0000-0000-0000288C0000}"/>
    <cellStyle name="Comma 14 10" xfId="35893" xr:uid="{00000000-0005-0000-0000-0000298C0000}"/>
    <cellStyle name="Comma 14 11" xfId="35894" xr:uid="{00000000-0005-0000-0000-00002A8C0000}"/>
    <cellStyle name="Comma 14 12" xfId="35895" xr:uid="{00000000-0005-0000-0000-00002B8C0000}"/>
    <cellStyle name="Comma 14 13" xfId="35896" xr:uid="{00000000-0005-0000-0000-00002C8C0000}"/>
    <cellStyle name="Comma 14 2" xfId="35897" xr:uid="{00000000-0005-0000-0000-00002D8C0000}"/>
    <cellStyle name="Comma 14 2 2" xfId="35898" xr:uid="{00000000-0005-0000-0000-00002E8C0000}"/>
    <cellStyle name="Comma 14 2 2 2" xfId="35899" xr:uid="{00000000-0005-0000-0000-00002F8C0000}"/>
    <cellStyle name="Comma 14 2 2 2 2" xfId="35900" xr:uid="{00000000-0005-0000-0000-0000308C0000}"/>
    <cellStyle name="Comma 14 2 2 3" xfId="35901" xr:uid="{00000000-0005-0000-0000-0000318C0000}"/>
    <cellStyle name="Comma 14 2 3" xfId="35902" xr:uid="{00000000-0005-0000-0000-0000328C0000}"/>
    <cellStyle name="Comma 14 2 3 2" xfId="12" xr:uid="{00000000-0005-0000-0000-0000338C0000}"/>
    <cellStyle name="Comma 14 2 4" xfId="35903" xr:uid="{00000000-0005-0000-0000-0000348C0000}"/>
    <cellStyle name="Comma 14 2 5" xfId="35904" xr:uid="{00000000-0005-0000-0000-0000358C0000}"/>
    <cellStyle name="Comma 14 2 6" xfId="35905" xr:uid="{00000000-0005-0000-0000-0000368C0000}"/>
    <cellStyle name="Comma 14 2 7" xfId="35906" xr:uid="{00000000-0005-0000-0000-0000378C0000}"/>
    <cellStyle name="Comma 14 3" xfId="35907" xr:uid="{00000000-0005-0000-0000-0000388C0000}"/>
    <cellStyle name="Comma 14 3 2" xfId="35908" xr:uid="{00000000-0005-0000-0000-0000398C0000}"/>
    <cellStyle name="Comma 14 3 2 2" xfId="35909" xr:uid="{00000000-0005-0000-0000-00003A8C0000}"/>
    <cellStyle name="Comma 14 3 2 2 2" xfId="35910" xr:uid="{00000000-0005-0000-0000-00003B8C0000}"/>
    <cellStyle name="Comma 14 3 2 3" xfId="35911" xr:uid="{00000000-0005-0000-0000-00003C8C0000}"/>
    <cellStyle name="Comma 14 3 3" xfId="35912" xr:uid="{00000000-0005-0000-0000-00003D8C0000}"/>
    <cellStyle name="Comma 14 3 3 2" xfId="35913" xr:uid="{00000000-0005-0000-0000-00003E8C0000}"/>
    <cellStyle name="Comma 14 3 4" xfId="35914" xr:uid="{00000000-0005-0000-0000-00003F8C0000}"/>
    <cellStyle name="Comma 14 3 5" xfId="35915" xr:uid="{00000000-0005-0000-0000-0000408C0000}"/>
    <cellStyle name="Comma 14 3 6" xfId="35916" xr:uid="{00000000-0005-0000-0000-0000418C0000}"/>
    <cellStyle name="Comma 14 4" xfId="35917" xr:uid="{00000000-0005-0000-0000-0000428C0000}"/>
    <cellStyle name="Comma 14 4 2" xfId="35918" xr:uid="{00000000-0005-0000-0000-0000438C0000}"/>
    <cellStyle name="Comma 14 4 2 2" xfId="35919" xr:uid="{00000000-0005-0000-0000-0000448C0000}"/>
    <cellStyle name="Comma 14 4 3" xfId="35920" xr:uid="{00000000-0005-0000-0000-0000458C0000}"/>
    <cellStyle name="Comma 14 4 4" xfId="35921" xr:uid="{00000000-0005-0000-0000-0000468C0000}"/>
    <cellStyle name="Comma 14 5" xfId="35922" xr:uid="{00000000-0005-0000-0000-0000478C0000}"/>
    <cellStyle name="Comma 14 5 2" xfId="35923" xr:uid="{00000000-0005-0000-0000-0000488C0000}"/>
    <cellStyle name="Comma 14 5 3" xfId="35924" xr:uid="{00000000-0005-0000-0000-0000498C0000}"/>
    <cellStyle name="Comma 14 6" xfId="35925" xr:uid="{00000000-0005-0000-0000-00004A8C0000}"/>
    <cellStyle name="Comma 14 6 2" xfId="35926" xr:uid="{00000000-0005-0000-0000-00004B8C0000}"/>
    <cellStyle name="Comma 14 6 3" xfId="35927" xr:uid="{00000000-0005-0000-0000-00004C8C0000}"/>
    <cellStyle name="Comma 14 7" xfId="35928" xr:uid="{00000000-0005-0000-0000-00004D8C0000}"/>
    <cellStyle name="Comma 14 8" xfId="35929" xr:uid="{00000000-0005-0000-0000-00004E8C0000}"/>
    <cellStyle name="Comma 14 9" xfId="35930" xr:uid="{00000000-0005-0000-0000-00004F8C0000}"/>
    <cellStyle name="Comma 15" xfId="35931" xr:uid="{00000000-0005-0000-0000-0000508C0000}"/>
    <cellStyle name="Comma 15 10" xfId="35932" xr:uid="{00000000-0005-0000-0000-0000518C0000}"/>
    <cellStyle name="Comma 15 11" xfId="35933" xr:uid="{00000000-0005-0000-0000-0000528C0000}"/>
    <cellStyle name="Comma 15 2" xfId="35934" xr:uid="{00000000-0005-0000-0000-0000538C0000}"/>
    <cellStyle name="Comma 15 2 2" xfId="35935" xr:uid="{00000000-0005-0000-0000-0000548C0000}"/>
    <cellStyle name="Comma 15 2 3" xfId="35936" xr:uid="{00000000-0005-0000-0000-0000558C0000}"/>
    <cellStyle name="Comma 15 2 4" xfId="35937" xr:uid="{00000000-0005-0000-0000-0000568C0000}"/>
    <cellStyle name="Comma 15 2 5" xfId="35938" xr:uid="{00000000-0005-0000-0000-0000578C0000}"/>
    <cellStyle name="Comma 15 2 6" xfId="35939" xr:uid="{00000000-0005-0000-0000-0000588C0000}"/>
    <cellStyle name="Comma 15 2 7" xfId="35940" xr:uid="{00000000-0005-0000-0000-0000598C0000}"/>
    <cellStyle name="Comma 15 2 8" xfId="35941" xr:uid="{00000000-0005-0000-0000-00005A8C0000}"/>
    <cellStyle name="Comma 15 3" xfId="35942" xr:uid="{00000000-0005-0000-0000-00005B8C0000}"/>
    <cellStyle name="Comma 15 3 2" xfId="35943" xr:uid="{00000000-0005-0000-0000-00005C8C0000}"/>
    <cellStyle name="Comma 15 4" xfId="35944" xr:uid="{00000000-0005-0000-0000-00005D8C0000}"/>
    <cellStyle name="Comma 15 5" xfId="35945" xr:uid="{00000000-0005-0000-0000-00005E8C0000}"/>
    <cellStyle name="Comma 15 6" xfId="35946" xr:uid="{00000000-0005-0000-0000-00005F8C0000}"/>
    <cellStyle name="Comma 15 7" xfId="35947" xr:uid="{00000000-0005-0000-0000-0000608C0000}"/>
    <cellStyle name="Comma 15 8" xfId="35948" xr:uid="{00000000-0005-0000-0000-0000618C0000}"/>
    <cellStyle name="Comma 15 9" xfId="35949" xr:uid="{00000000-0005-0000-0000-0000628C0000}"/>
    <cellStyle name="Comma 16" xfId="35950" xr:uid="{00000000-0005-0000-0000-0000638C0000}"/>
    <cellStyle name="Comma 16 2" xfId="35951" xr:uid="{00000000-0005-0000-0000-0000648C0000}"/>
    <cellStyle name="Comma 16 2 2" xfId="35952" xr:uid="{00000000-0005-0000-0000-0000658C0000}"/>
    <cellStyle name="Comma 16 3" xfId="35953" xr:uid="{00000000-0005-0000-0000-0000668C0000}"/>
    <cellStyle name="Comma 16 4" xfId="35954" xr:uid="{00000000-0005-0000-0000-0000678C0000}"/>
    <cellStyle name="Comma 16 5" xfId="35955" xr:uid="{00000000-0005-0000-0000-0000688C0000}"/>
    <cellStyle name="Comma 16 6" xfId="35956" xr:uid="{00000000-0005-0000-0000-0000698C0000}"/>
    <cellStyle name="Comma 16 7" xfId="35957" xr:uid="{00000000-0005-0000-0000-00006A8C0000}"/>
    <cellStyle name="Comma 17" xfId="35958" xr:uid="{00000000-0005-0000-0000-00006B8C0000}"/>
    <cellStyle name="Comma 17 2" xfId="35959" xr:uid="{00000000-0005-0000-0000-00006C8C0000}"/>
    <cellStyle name="Comma 17 3" xfId="35960" xr:uid="{00000000-0005-0000-0000-00006D8C0000}"/>
    <cellStyle name="Comma 17 4" xfId="35961" xr:uid="{00000000-0005-0000-0000-00006E8C0000}"/>
    <cellStyle name="Comma 17 5" xfId="35962" xr:uid="{00000000-0005-0000-0000-00006F8C0000}"/>
    <cellStyle name="Comma 18" xfId="35963" xr:uid="{00000000-0005-0000-0000-0000708C0000}"/>
    <cellStyle name="Comma 18 2" xfId="35964" xr:uid="{00000000-0005-0000-0000-0000718C0000}"/>
    <cellStyle name="Comma 18 2 2" xfId="35965" xr:uid="{00000000-0005-0000-0000-0000728C0000}"/>
    <cellStyle name="Comma 18 3" xfId="35966" xr:uid="{00000000-0005-0000-0000-0000738C0000}"/>
    <cellStyle name="Comma 18 4" xfId="35967" xr:uid="{00000000-0005-0000-0000-0000748C0000}"/>
    <cellStyle name="Comma 18 5" xfId="35968" xr:uid="{00000000-0005-0000-0000-0000758C0000}"/>
    <cellStyle name="Comma 18 6" xfId="35969" xr:uid="{00000000-0005-0000-0000-0000768C0000}"/>
    <cellStyle name="Comma 18 7" xfId="35970" xr:uid="{00000000-0005-0000-0000-0000778C0000}"/>
    <cellStyle name="Comma 19" xfId="35971" xr:uid="{00000000-0005-0000-0000-0000788C0000}"/>
    <cellStyle name="Comma 19 2" xfId="35972" xr:uid="{00000000-0005-0000-0000-0000798C0000}"/>
    <cellStyle name="Comma 19 2 2" xfId="35973" xr:uid="{00000000-0005-0000-0000-00007A8C0000}"/>
    <cellStyle name="Comma 19 3" xfId="35974" xr:uid="{00000000-0005-0000-0000-00007B8C0000}"/>
    <cellStyle name="Comma 19 4" xfId="35975" xr:uid="{00000000-0005-0000-0000-00007C8C0000}"/>
    <cellStyle name="Comma 19 5" xfId="35976" xr:uid="{00000000-0005-0000-0000-00007D8C0000}"/>
    <cellStyle name="Comma 2" xfId="1" xr:uid="{00000000-0005-0000-0000-00007E8C0000}"/>
    <cellStyle name="Comma 2 10" xfId="35977" xr:uid="{00000000-0005-0000-0000-00007F8C0000}"/>
    <cellStyle name="Comma 2 10 2" xfId="35978" xr:uid="{00000000-0005-0000-0000-0000808C0000}"/>
    <cellStyle name="Comma 2 10 3" xfId="35979" xr:uid="{00000000-0005-0000-0000-0000818C0000}"/>
    <cellStyle name="Comma 2 100" xfId="35980" xr:uid="{00000000-0005-0000-0000-0000828C0000}"/>
    <cellStyle name="Comma 2 101" xfId="35981" xr:uid="{00000000-0005-0000-0000-0000838C0000}"/>
    <cellStyle name="Comma 2 102" xfId="35982" xr:uid="{00000000-0005-0000-0000-0000848C0000}"/>
    <cellStyle name="Comma 2 103" xfId="35983" xr:uid="{00000000-0005-0000-0000-0000858C0000}"/>
    <cellStyle name="Comma 2 104" xfId="35984" xr:uid="{00000000-0005-0000-0000-0000868C0000}"/>
    <cellStyle name="Comma 2 105" xfId="35985" xr:uid="{00000000-0005-0000-0000-0000878C0000}"/>
    <cellStyle name="Comma 2 106" xfId="35986" xr:uid="{00000000-0005-0000-0000-0000888C0000}"/>
    <cellStyle name="Comma 2 107" xfId="35987" xr:uid="{00000000-0005-0000-0000-0000898C0000}"/>
    <cellStyle name="Comma 2 108" xfId="35988" xr:uid="{00000000-0005-0000-0000-00008A8C0000}"/>
    <cellStyle name="Comma 2 109" xfId="35989" xr:uid="{00000000-0005-0000-0000-00008B8C0000}"/>
    <cellStyle name="Comma 2 11" xfId="35990" xr:uid="{00000000-0005-0000-0000-00008C8C0000}"/>
    <cellStyle name="Comma 2 11 2" xfId="35991" xr:uid="{00000000-0005-0000-0000-00008D8C0000}"/>
    <cellStyle name="Comma 2 11 3" xfId="35992" xr:uid="{00000000-0005-0000-0000-00008E8C0000}"/>
    <cellStyle name="Comma 2 11_Proj" xfId="35993" xr:uid="{00000000-0005-0000-0000-00008F8C0000}"/>
    <cellStyle name="Comma 2 110" xfId="35994" xr:uid="{00000000-0005-0000-0000-0000908C0000}"/>
    <cellStyle name="Comma 2 111" xfId="35995" xr:uid="{00000000-0005-0000-0000-0000918C0000}"/>
    <cellStyle name="Comma 2 112" xfId="35996" xr:uid="{00000000-0005-0000-0000-0000928C0000}"/>
    <cellStyle name="Comma 2 113" xfId="35997" xr:uid="{00000000-0005-0000-0000-0000938C0000}"/>
    <cellStyle name="Comma 2 114" xfId="35998" xr:uid="{00000000-0005-0000-0000-0000948C0000}"/>
    <cellStyle name="Comma 2 115" xfId="35999" xr:uid="{00000000-0005-0000-0000-0000958C0000}"/>
    <cellStyle name="Comma 2 116" xfId="36000" xr:uid="{00000000-0005-0000-0000-0000968C0000}"/>
    <cellStyle name="Comma 2 117" xfId="36001" xr:uid="{00000000-0005-0000-0000-0000978C0000}"/>
    <cellStyle name="Comma 2 118" xfId="36002" xr:uid="{00000000-0005-0000-0000-0000988C0000}"/>
    <cellStyle name="Comma 2 119" xfId="36003" xr:uid="{00000000-0005-0000-0000-0000998C0000}"/>
    <cellStyle name="Comma 2 12" xfId="36004" xr:uid="{00000000-0005-0000-0000-00009A8C0000}"/>
    <cellStyle name="Comma 2 12 2" xfId="36005" xr:uid="{00000000-0005-0000-0000-00009B8C0000}"/>
    <cellStyle name="Comma 2 12 3" xfId="36006" xr:uid="{00000000-0005-0000-0000-00009C8C0000}"/>
    <cellStyle name="Comma 2 12_Proj" xfId="36007" xr:uid="{00000000-0005-0000-0000-00009D8C0000}"/>
    <cellStyle name="Comma 2 120" xfId="36008" xr:uid="{00000000-0005-0000-0000-00009E8C0000}"/>
    <cellStyle name="Comma 2 121" xfId="36009" xr:uid="{00000000-0005-0000-0000-00009F8C0000}"/>
    <cellStyle name="Comma 2 122" xfId="36010" xr:uid="{00000000-0005-0000-0000-0000A08C0000}"/>
    <cellStyle name="Comma 2 123" xfId="36011" xr:uid="{00000000-0005-0000-0000-0000A18C0000}"/>
    <cellStyle name="Comma 2 124" xfId="36012" xr:uid="{00000000-0005-0000-0000-0000A28C0000}"/>
    <cellStyle name="Comma 2 125" xfId="36013" xr:uid="{00000000-0005-0000-0000-0000A38C0000}"/>
    <cellStyle name="Comma 2 126" xfId="36014" xr:uid="{00000000-0005-0000-0000-0000A48C0000}"/>
    <cellStyle name="Comma 2 127" xfId="36015" xr:uid="{00000000-0005-0000-0000-0000A58C0000}"/>
    <cellStyle name="Comma 2 128" xfId="36016" xr:uid="{00000000-0005-0000-0000-0000A68C0000}"/>
    <cellStyle name="Comma 2 129" xfId="36017" xr:uid="{00000000-0005-0000-0000-0000A78C0000}"/>
    <cellStyle name="Comma 2 13" xfId="36018" xr:uid="{00000000-0005-0000-0000-0000A88C0000}"/>
    <cellStyle name="Comma 2 13 2" xfId="36019" xr:uid="{00000000-0005-0000-0000-0000A98C0000}"/>
    <cellStyle name="Comma 2 13 3" xfId="36020" xr:uid="{00000000-0005-0000-0000-0000AA8C0000}"/>
    <cellStyle name="Comma 2 13_Proj" xfId="36021" xr:uid="{00000000-0005-0000-0000-0000AB8C0000}"/>
    <cellStyle name="Comma 2 130" xfId="36022" xr:uid="{00000000-0005-0000-0000-0000AC8C0000}"/>
    <cellStyle name="Comma 2 131" xfId="36023" xr:uid="{00000000-0005-0000-0000-0000AD8C0000}"/>
    <cellStyle name="Comma 2 132" xfId="36024" xr:uid="{00000000-0005-0000-0000-0000AE8C0000}"/>
    <cellStyle name="Comma 2 133" xfId="36025" xr:uid="{00000000-0005-0000-0000-0000AF8C0000}"/>
    <cellStyle name="Comma 2 134" xfId="36026" xr:uid="{00000000-0005-0000-0000-0000B08C0000}"/>
    <cellStyle name="Comma 2 135" xfId="36027" xr:uid="{00000000-0005-0000-0000-0000B18C0000}"/>
    <cellStyle name="Comma 2 136" xfId="36028" xr:uid="{00000000-0005-0000-0000-0000B28C0000}"/>
    <cellStyle name="Comma 2 137" xfId="36029" xr:uid="{00000000-0005-0000-0000-0000B38C0000}"/>
    <cellStyle name="Comma 2 138" xfId="36030" xr:uid="{00000000-0005-0000-0000-0000B48C0000}"/>
    <cellStyle name="Comma 2 139" xfId="36031" xr:uid="{00000000-0005-0000-0000-0000B58C0000}"/>
    <cellStyle name="Comma 2 14" xfId="36032" xr:uid="{00000000-0005-0000-0000-0000B68C0000}"/>
    <cellStyle name="Comma 2 14 2" xfId="36033" xr:uid="{00000000-0005-0000-0000-0000B78C0000}"/>
    <cellStyle name="Comma 2 14 3" xfId="36034" xr:uid="{00000000-0005-0000-0000-0000B88C0000}"/>
    <cellStyle name="Comma 2 14 4" xfId="36035" xr:uid="{00000000-0005-0000-0000-0000B98C0000}"/>
    <cellStyle name="Comma 2 14 5" xfId="36036" xr:uid="{00000000-0005-0000-0000-0000BA8C0000}"/>
    <cellStyle name="Comma 2 14_Proj" xfId="36037" xr:uid="{00000000-0005-0000-0000-0000BB8C0000}"/>
    <cellStyle name="Comma 2 140" xfId="36038" xr:uid="{00000000-0005-0000-0000-0000BC8C0000}"/>
    <cellStyle name="Comma 2 141" xfId="36039" xr:uid="{00000000-0005-0000-0000-0000BD8C0000}"/>
    <cellStyle name="Comma 2 142" xfId="36040" xr:uid="{00000000-0005-0000-0000-0000BE8C0000}"/>
    <cellStyle name="Comma 2 143" xfId="36041" xr:uid="{00000000-0005-0000-0000-0000BF8C0000}"/>
    <cellStyle name="Comma 2 144" xfId="36042" xr:uid="{00000000-0005-0000-0000-0000C08C0000}"/>
    <cellStyle name="Comma 2 145" xfId="36043" xr:uid="{00000000-0005-0000-0000-0000C18C0000}"/>
    <cellStyle name="Comma 2 146" xfId="36044" xr:uid="{00000000-0005-0000-0000-0000C28C0000}"/>
    <cellStyle name="Comma 2 147" xfId="36045" xr:uid="{00000000-0005-0000-0000-0000C38C0000}"/>
    <cellStyle name="Comma 2 148" xfId="36046" xr:uid="{00000000-0005-0000-0000-0000C48C0000}"/>
    <cellStyle name="Comma 2 149" xfId="36047" xr:uid="{00000000-0005-0000-0000-0000C58C0000}"/>
    <cellStyle name="Comma 2 15" xfId="36048" xr:uid="{00000000-0005-0000-0000-0000C68C0000}"/>
    <cellStyle name="Comma 2 15 2" xfId="36049" xr:uid="{00000000-0005-0000-0000-0000C78C0000}"/>
    <cellStyle name="Comma 2 15 3" xfId="36050" xr:uid="{00000000-0005-0000-0000-0000C88C0000}"/>
    <cellStyle name="Comma 2 15 4" xfId="36051" xr:uid="{00000000-0005-0000-0000-0000C98C0000}"/>
    <cellStyle name="Comma 2 15 5" xfId="36052" xr:uid="{00000000-0005-0000-0000-0000CA8C0000}"/>
    <cellStyle name="Comma 2 15_Proj" xfId="36053" xr:uid="{00000000-0005-0000-0000-0000CB8C0000}"/>
    <cellStyle name="Comma 2 150" xfId="36054" xr:uid="{00000000-0005-0000-0000-0000CC8C0000}"/>
    <cellStyle name="Comma 2 151" xfId="36055" xr:uid="{00000000-0005-0000-0000-0000CD8C0000}"/>
    <cellStyle name="Comma 2 152" xfId="36056" xr:uid="{00000000-0005-0000-0000-0000CE8C0000}"/>
    <cellStyle name="Comma 2 153" xfId="36057" xr:uid="{00000000-0005-0000-0000-0000CF8C0000}"/>
    <cellStyle name="Comma 2 154" xfId="36058" xr:uid="{00000000-0005-0000-0000-0000D08C0000}"/>
    <cellStyle name="Comma 2 155" xfId="36059" xr:uid="{00000000-0005-0000-0000-0000D18C0000}"/>
    <cellStyle name="Comma 2 156" xfId="36060" xr:uid="{00000000-0005-0000-0000-0000D28C0000}"/>
    <cellStyle name="Comma 2 157" xfId="36061" xr:uid="{00000000-0005-0000-0000-0000D38C0000}"/>
    <cellStyle name="Comma 2 158" xfId="36062" xr:uid="{00000000-0005-0000-0000-0000D48C0000}"/>
    <cellStyle name="Comma 2 159" xfId="36063" xr:uid="{00000000-0005-0000-0000-0000D58C0000}"/>
    <cellStyle name="Comma 2 16" xfId="36064" xr:uid="{00000000-0005-0000-0000-0000D68C0000}"/>
    <cellStyle name="Comma 2 16 2" xfId="36065" xr:uid="{00000000-0005-0000-0000-0000D78C0000}"/>
    <cellStyle name="Comma 2 16 3" xfId="36066" xr:uid="{00000000-0005-0000-0000-0000D88C0000}"/>
    <cellStyle name="Comma 2 16 4" xfId="36067" xr:uid="{00000000-0005-0000-0000-0000D98C0000}"/>
    <cellStyle name="Comma 2 16 5" xfId="36068" xr:uid="{00000000-0005-0000-0000-0000DA8C0000}"/>
    <cellStyle name="Comma 2 16_Proj" xfId="36069" xr:uid="{00000000-0005-0000-0000-0000DB8C0000}"/>
    <cellStyle name="Comma 2 160" xfId="36070" xr:uid="{00000000-0005-0000-0000-0000DC8C0000}"/>
    <cellStyle name="Comma 2 161" xfId="36071" xr:uid="{00000000-0005-0000-0000-0000DD8C0000}"/>
    <cellStyle name="Comma 2 162" xfId="36072" xr:uid="{00000000-0005-0000-0000-0000DE8C0000}"/>
    <cellStyle name="Comma 2 163" xfId="36073" xr:uid="{00000000-0005-0000-0000-0000DF8C0000}"/>
    <cellStyle name="Comma 2 164" xfId="36074" xr:uid="{00000000-0005-0000-0000-0000E08C0000}"/>
    <cellStyle name="Comma 2 165" xfId="36075" xr:uid="{00000000-0005-0000-0000-0000E18C0000}"/>
    <cellStyle name="Comma 2 166" xfId="36076" xr:uid="{00000000-0005-0000-0000-0000E28C0000}"/>
    <cellStyle name="Comma 2 167" xfId="36077" xr:uid="{00000000-0005-0000-0000-0000E38C0000}"/>
    <cellStyle name="Comma 2 168" xfId="36078" xr:uid="{00000000-0005-0000-0000-0000E48C0000}"/>
    <cellStyle name="Comma 2 169" xfId="36079" xr:uid="{00000000-0005-0000-0000-0000E58C0000}"/>
    <cellStyle name="Comma 2 17" xfId="36080" xr:uid="{00000000-0005-0000-0000-0000E68C0000}"/>
    <cellStyle name="Comma 2 17 2" xfId="36081" xr:uid="{00000000-0005-0000-0000-0000E78C0000}"/>
    <cellStyle name="Comma 2 17 3" xfId="36082" xr:uid="{00000000-0005-0000-0000-0000E88C0000}"/>
    <cellStyle name="Comma 2 17 4" xfId="36083" xr:uid="{00000000-0005-0000-0000-0000E98C0000}"/>
    <cellStyle name="Comma 2 17 5" xfId="36084" xr:uid="{00000000-0005-0000-0000-0000EA8C0000}"/>
    <cellStyle name="Comma 2 17_Proj" xfId="36085" xr:uid="{00000000-0005-0000-0000-0000EB8C0000}"/>
    <cellStyle name="Comma 2 170" xfId="36086" xr:uid="{00000000-0005-0000-0000-0000EC8C0000}"/>
    <cellStyle name="Comma 2 171" xfId="36087" xr:uid="{00000000-0005-0000-0000-0000ED8C0000}"/>
    <cellStyle name="Comma 2 172" xfId="36088" xr:uid="{00000000-0005-0000-0000-0000EE8C0000}"/>
    <cellStyle name="Comma 2 173" xfId="36089" xr:uid="{00000000-0005-0000-0000-0000EF8C0000}"/>
    <cellStyle name="Comma 2 174" xfId="36090" xr:uid="{00000000-0005-0000-0000-0000F08C0000}"/>
    <cellStyle name="Comma 2 175" xfId="36091" xr:uid="{00000000-0005-0000-0000-0000F18C0000}"/>
    <cellStyle name="Comma 2 176" xfId="36092" xr:uid="{00000000-0005-0000-0000-0000F28C0000}"/>
    <cellStyle name="Comma 2 177" xfId="36093" xr:uid="{00000000-0005-0000-0000-0000F38C0000}"/>
    <cellStyle name="Comma 2 178" xfId="36094" xr:uid="{00000000-0005-0000-0000-0000F48C0000}"/>
    <cellStyle name="Comma 2 179" xfId="36095" xr:uid="{00000000-0005-0000-0000-0000F58C0000}"/>
    <cellStyle name="Comma 2 18" xfId="36096" xr:uid="{00000000-0005-0000-0000-0000F68C0000}"/>
    <cellStyle name="Comma 2 18 2" xfId="36097" xr:uid="{00000000-0005-0000-0000-0000F78C0000}"/>
    <cellStyle name="Comma 2 18 3" xfId="36098" xr:uid="{00000000-0005-0000-0000-0000F88C0000}"/>
    <cellStyle name="Comma 2 18 4" xfId="36099" xr:uid="{00000000-0005-0000-0000-0000F98C0000}"/>
    <cellStyle name="Comma 2 18 5" xfId="36100" xr:uid="{00000000-0005-0000-0000-0000FA8C0000}"/>
    <cellStyle name="Comma 2 18_Proj" xfId="36101" xr:uid="{00000000-0005-0000-0000-0000FB8C0000}"/>
    <cellStyle name="Comma 2 180" xfId="36102" xr:uid="{00000000-0005-0000-0000-0000FC8C0000}"/>
    <cellStyle name="Comma 2 181" xfId="36103" xr:uid="{00000000-0005-0000-0000-0000FD8C0000}"/>
    <cellStyle name="Comma 2 182" xfId="36104" xr:uid="{00000000-0005-0000-0000-0000FE8C0000}"/>
    <cellStyle name="Comma 2 183" xfId="36105" xr:uid="{00000000-0005-0000-0000-0000FF8C0000}"/>
    <cellStyle name="Comma 2 184" xfId="36106" xr:uid="{00000000-0005-0000-0000-0000008D0000}"/>
    <cellStyle name="Comma 2 185" xfId="36107" xr:uid="{00000000-0005-0000-0000-0000018D0000}"/>
    <cellStyle name="Comma 2 186" xfId="36108" xr:uid="{00000000-0005-0000-0000-0000028D0000}"/>
    <cellStyle name="Comma 2 187" xfId="36109" xr:uid="{00000000-0005-0000-0000-0000038D0000}"/>
    <cellStyle name="Comma 2 188" xfId="36110" xr:uid="{00000000-0005-0000-0000-0000048D0000}"/>
    <cellStyle name="Comma 2 189" xfId="36111" xr:uid="{00000000-0005-0000-0000-0000058D0000}"/>
    <cellStyle name="Comma 2 19" xfId="36112" xr:uid="{00000000-0005-0000-0000-0000068D0000}"/>
    <cellStyle name="Comma 2 19 2" xfId="36113" xr:uid="{00000000-0005-0000-0000-0000078D0000}"/>
    <cellStyle name="Comma 2 19 3" xfId="36114" xr:uid="{00000000-0005-0000-0000-0000088D0000}"/>
    <cellStyle name="Comma 2 19 4" xfId="36115" xr:uid="{00000000-0005-0000-0000-0000098D0000}"/>
    <cellStyle name="Comma 2 19 5" xfId="36116" xr:uid="{00000000-0005-0000-0000-00000A8D0000}"/>
    <cellStyle name="Comma 2 19_Proj" xfId="36117" xr:uid="{00000000-0005-0000-0000-00000B8D0000}"/>
    <cellStyle name="Comma 2 190" xfId="36118" xr:uid="{00000000-0005-0000-0000-00000C8D0000}"/>
    <cellStyle name="Comma 2 191" xfId="36119" xr:uid="{00000000-0005-0000-0000-00000D8D0000}"/>
    <cellStyle name="Comma 2 192" xfId="36120" xr:uid="{00000000-0005-0000-0000-00000E8D0000}"/>
    <cellStyle name="Comma 2 193" xfId="36121" xr:uid="{00000000-0005-0000-0000-00000F8D0000}"/>
    <cellStyle name="Comma 2 194" xfId="36122" xr:uid="{00000000-0005-0000-0000-0000108D0000}"/>
    <cellStyle name="Comma 2 195" xfId="36123" xr:uid="{00000000-0005-0000-0000-0000118D0000}"/>
    <cellStyle name="Comma 2 196" xfId="36124" xr:uid="{00000000-0005-0000-0000-0000128D0000}"/>
    <cellStyle name="Comma 2 197" xfId="36125" xr:uid="{00000000-0005-0000-0000-0000138D0000}"/>
    <cellStyle name="Comma 2 198" xfId="53996" xr:uid="{00000000-0005-0000-0000-0000148D0000}"/>
    <cellStyle name="Comma 2 199" xfId="54001" xr:uid="{00000000-0005-0000-0000-0000158D0000}"/>
    <cellStyle name="Comma 2 2" xfId="3" xr:uid="{00000000-0005-0000-0000-0000168D0000}"/>
    <cellStyle name="Comma 2 2 10" xfId="36126" xr:uid="{00000000-0005-0000-0000-0000178D0000}"/>
    <cellStyle name="Comma 2 2 100" xfId="36127" xr:uid="{00000000-0005-0000-0000-0000188D0000}"/>
    <cellStyle name="Comma 2 2 101" xfId="36128" xr:uid="{00000000-0005-0000-0000-0000198D0000}"/>
    <cellStyle name="Comma 2 2 102" xfId="36129" xr:uid="{00000000-0005-0000-0000-00001A8D0000}"/>
    <cellStyle name="Comma 2 2 103" xfId="36130" xr:uid="{00000000-0005-0000-0000-00001B8D0000}"/>
    <cellStyle name="Comma 2 2 104" xfId="36131" xr:uid="{00000000-0005-0000-0000-00001C8D0000}"/>
    <cellStyle name="Comma 2 2 105" xfId="36132" xr:uid="{00000000-0005-0000-0000-00001D8D0000}"/>
    <cellStyle name="Comma 2 2 106" xfId="36133" xr:uid="{00000000-0005-0000-0000-00001E8D0000}"/>
    <cellStyle name="Comma 2 2 107" xfId="36134" xr:uid="{00000000-0005-0000-0000-00001F8D0000}"/>
    <cellStyle name="Comma 2 2 108" xfId="36135" xr:uid="{00000000-0005-0000-0000-0000208D0000}"/>
    <cellStyle name="Comma 2 2 109" xfId="36136" xr:uid="{00000000-0005-0000-0000-0000218D0000}"/>
    <cellStyle name="Comma 2 2 11" xfId="36137" xr:uid="{00000000-0005-0000-0000-0000228D0000}"/>
    <cellStyle name="Comma 2 2 110" xfId="36138" xr:uid="{00000000-0005-0000-0000-0000238D0000}"/>
    <cellStyle name="Comma 2 2 111" xfId="36139" xr:uid="{00000000-0005-0000-0000-0000248D0000}"/>
    <cellStyle name="Comma 2 2 112" xfId="36140" xr:uid="{00000000-0005-0000-0000-0000258D0000}"/>
    <cellStyle name="Comma 2 2 113" xfId="36141" xr:uid="{00000000-0005-0000-0000-0000268D0000}"/>
    <cellStyle name="Comma 2 2 114" xfId="36142" xr:uid="{00000000-0005-0000-0000-0000278D0000}"/>
    <cellStyle name="Comma 2 2 115" xfId="36143" xr:uid="{00000000-0005-0000-0000-0000288D0000}"/>
    <cellStyle name="Comma 2 2 116" xfId="36144" xr:uid="{00000000-0005-0000-0000-0000298D0000}"/>
    <cellStyle name="Comma 2 2 117" xfId="36145" xr:uid="{00000000-0005-0000-0000-00002A8D0000}"/>
    <cellStyle name="Comma 2 2 118" xfId="36146" xr:uid="{00000000-0005-0000-0000-00002B8D0000}"/>
    <cellStyle name="Comma 2 2 119" xfId="36147" xr:uid="{00000000-0005-0000-0000-00002C8D0000}"/>
    <cellStyle name="Comma 2 2 12" xfId="36148" xr:uid="{00000000-0005-0000-0000-00002D8D0000}"/>
    <cellStyle name="Comma 2 2 120" xfId="36149" xr:uid="{00000000-0005-0000-0000-00002E8D0000}"/>
    <cellStyle name="Comma 2 2 121" xfId="36150" xr:uid="{00000000-0005-0000-0000-00002F8D0000}"/>
    <cellStyle name="Comma 2 2 122" xfId="36151" xr:uid="{00000000-0005-0000-0000-0000308D0000}"/>
    <cellStyle name="Comma 2 2 123" xfId="36152" xr:uid="{00000000-0005-0000-0000-0000318D0000}"/>
    <cellStyle name="Comma 2 2 124" xfId="36153" xr:uid="{00000000-0005-0000-0000-0000328D0000}"/>
    <cellStyle name="Comma 2 2 125" xfId="36154" xr:uid="{00000000-0005-0000-0000-0000338D0000}"/>
    <cellStyle name="Comma 2 2 126" xfId="36155" xr:uid="{00000000-0005-0000-0000-0000348D0000}"/>
    <cellStyle name="Comma 2 2 127" xfId="36156" xr:uid="{00000000-0005-0000-0000-0000358D0000}"/>
    <cellStyle name="Comma 2 2 128" xfId="36157" xr:uid="{00000000-0005-0000-0000-0000368D0000}"/>
    <cellStyle name="Comma 2 2 129" xfId="36158" xr:uid="{00000000-0005-0000-0000-0000378D0000}"/>
    <cellStyle name="Comma 2 2 13" xfId="36159" xr:uid="{00000000-0005-0000-0000-0000388D0000}"/>
    <cellStyle name="Comma 2 2 130" xfId="36160" xr:uid="{00000000-0005-0000-0000-0000398D0000}"/>
    <cellStyle name="Comma 2 2 131" xfId="36161" xr:uid="{00000000-0005-0000-0000-00003A8D0000}"/>
    <cellStyle name="Comma 2 2 132" xfId="36162" xr:uid="{00000000-0005-0000-0000-00003B8D0000}"/>
    <cellStyle name="Comma 2 2 133" xfId="36163" xr:uid="{00000000-0005-0000-0000-00003C8D0000}"/>
    <cellStyle name="Comma 2 2 134" xfId="36164" xr:uid="{00000000-0005-0000-0000-00003D8D0000}"/>
    <cellStyle name="Comma 2 2 135" xfId="36165" xr:uid="{00000000-0005-0000-0000-00003E8D0000}"/>
    <cellStyle name="Comma 2 2 136" xfId="36166" xr:uid="{00000000-0005-0000-0000-00003F8D0000}"/>
    <cellStyle name="Comma 2 2 137" xfId="36167" xr:uid="{00000000-0005-0000-0000-0000408D0000}"/>
    <cellStyle name="Comma 2 2 138" xfId="36168" xr:uid="{00000000-0005-0000-0000-0000418D0000}"/>
    <cellStyle name="Comma 2 2 139" xfId="36169" xr:uid="{00000000-0005-0000-0000-0000428D0000}"/>
    <cellStyle name="Comma 2 2 14" xfId="36170" xr:uid="{00000000-0005-0000-0000-0000438D0000}"/>
    <cellStyle name="Comma 2 2 140" xfId="36171" xr:uid="{00000000-0005-0000-0000-0000448D0000}"/>
    <cellStyle name="Comma 2 2 141" xfId="36172" xr:uid="{00000000-0005-0000-0000-0000458D0000}"/>
    <cellStyle name="Comma 2 2 142" xfId="36173" xr:uid="{00000000-0005-0000-0000-0000468D0000}"/>
    <cellStyle name="Comma 2 2 143" xfId="36174" xr:uid="{00000000-0005-0000-0000-0000478D0000}"/>
    <cellStyle name="Comma 2 2 144" xfId="36175" xr:uid="{00000000-0005-0000-0000-0000488D0000}"/>
    <cellStyle name="Comma 2 2 145" xfId="36176" xr:uid="{00000000-0005-0000-0000-0000498D0000}"/>
    <cellStyle name="Comma 2 2 146" xfId="36177" xr:uid="{00000000-0005-0000-0000-00004A8D0000}"/>
    <cellStyle name="Comma 2 2 147" xfId="36178" xr:uid="{00000000-0005-0000-0000-00004B8D0000}"/>
    <cellStyle name="Comma 2 2 148" xfId="36179" xr:uid="{00000000-0005-0000-0000-00004C8D0000}"/>
    <cellStyle name="Comma 2 2 149" xfId="36180" xr:uid="{00000000-0005-0000-0000-00004D8D0000}"/>
    <cellStyle name="Comma 2 2 15" xfId="36181" xr:uid="{00000000-0005-0000-0000-00004E8D0000}"/>
    <cellStyle name="Comma 2 2 150" xfId="36182" xr:uid="{00000000-0005-0000-0000-00004F8D0000}"/>
    <cellStyle name="Comma 2 2 151" xfId="36183" xr:uid="{00000000-0005-0000-0000-0000508D0000}"/>
    <cellStyle name="Comma 2 2 152" xfId="36184" xr:uid="{00000000-0005-0000-0000-0000518D0000}"/>
    <cellStyle name="Comma 2 2 153" xfId="36185" xr:uid="{00000000-0005-0000-0000-0000528D0000}"/>
    <cellStyle name="Comma 2 2 154" xfId="36186" xr:uid="{00000000-0005-0000-0000-0000538D0000}"/>
    <cellStyle name="Comma 2 2 155" xfId="36187" xr:uid="{00000000-0005-0000-0000-0000548D0000}"/>
    <cellStyle name="Comma 2 2 156" xfId="36188" xr:uid="{00000000-0005-0000-0000-0000558D0000}"/>
    <cellStyle name="Comma 2 2 157" xfId="36189" xr:uid="{00000000-0005-0000-0000-0000568D0000}"/>
    <cellStyle name="Comma 2 2 158" xfId="36190" xr:uid="{00000000-0005-0000-0000-0000578D0000}"/>
    <cellStyle name="Comma 2 2 159" xfId="36191" xr:uid="{00000000-0005-0000-0000-0000588D0000}"/>
    <cellStyle name="Comma 2 2 16" xfId="36192" xr:uid="{00000000-0005-0000-0000-0000598D0000}"/>
    <cellStyle name="Comma 2 2 160" xfId="36193" xr:uid="{00000000-0005-0000-0000-00005A8D0000}"/>
    <cellStyle name="Comma 2 2 161" xfId="36194" xr:uid="{00000000-0005-0000-0000-00005B8D0000}"/>
    <cellStyle name="Comma 2 2 162" xfId="36195" xr:uid="{00000000-0005-0000-0000-00005C8D0000}"/>
    <cellStyle name="Comma 2 2 163" xfId="36196" xr:uid="{00000000-0005-0000-0000-00005D8D0000}"/>
    <cellStyle name="Comma 2 2 164" xfId="36197" xr:uid="{00000000-0005-0000-0000-00005E8D0000}"/>
    <cellStyle name="Comma 2 2 165" xfId="36198" xr:uid="{00000000-0005-0000-0000-00005F8D0000}"/>
    <cellStyle name="Comma 2 2 166" xfId="36199" xr:uid="{00000000-0005-0000-0000-0000608D0000}"/>
    <cellStyle name="Comma 2 2 167" xfId="36200" xr:uid="{00000000-0005-0000-0000-0000618D0000}"/>
    <cellStyle name="Comma 2 2 168" xfId="36201" xr:uid="{00000000-0005-0000-0000-0000628D0000}"/>
    <cellStyle name="Comma 2 2 169" xfId="36202" xr:uid="{00000000-0005-0000-0000-0000638D0000}"/>
    <cellStyle name="Comma 2 2 17" xfId="36203" xr:uid="{00000000-0005-0000-0000-0000648D0000}"/>
    <cellStyle name="Comma 2 2 170" xfId="36204" xr:uid="{00000000-0005-0000-0000-0000658D0000}"/>
    <cellStyle name="Comma 2 2 171" xfId="36205" xr:uid="{00000000-0005-0000-0000-0000668D0000}"/>
    <cellStyle name="Comma 2 2 172" xfId="36206" xr:uid="{00000000-0005-0000-0000-0000678D0000}"/>
    <cellStyle name="Comma 2 2 173" xfId="36207" xr:uid="{00000000-0005-0000-0000-0000688D0000}"/>
    <cellStyle name="Comma 2 2 174" xfId="36208" xr:uid="{00000000-0005-0000-0000-0000698D0000}"/>
    <cellStyle name="Comma 2 2 175" xfId="36209" xr:uid="{00000000-0005-0000-0000-00006A8D0000}"/>
    <cellStyle name="Comma 2 2 176" xfId="36210" xr:uid="{00000000-0005-0000-0000-00006B8D0000}"/>
    <cellStyle name="Comma 2 2 177" xfId="36211" xr:uid="{00000000-0005-0000-0000-00006C8D0000}"/>
    <cellStyle name="Comma 2 2 178" xfId="36212" xr:uid="{00000000-0005-0000-0000-00006D8D0000}"/>
    <cellStyle name="Comma 2 2 179" xfId="36213" xr:uid="{00000000-0005-0000-0000-00006E8D0000}"/>
    <cellStyle name="Comma 2 2 18" xfId="36214" xr:uid="{00000000-0005-0000-0000-00006F8D0000}"/>
    <cellStyle name="Comma 2 2 180" xfId="36215" xr:uid="{00000000-0005-0000-0000-0000708D0000}"/>
    <cellStyle name="Comma 2 2 181" xfId="36216" xr:uid="{00000000-0005-0000-0000-0000718D0000}"/>
    <cellStyle name="Comma 2 2 182" xfId="36217" xr:uid="{00000000-0005-0000-0000-0000728D0000}"/>
    <cellStyle name="Comma 2 2 183" xfId="36218" xr:uid="{00000000-0005-0000-0000-0000738D0000}"/>
    <cellStyle name="Comma 2 2 184" xfId="36219" xr:uid="{00000000-0005-0000-0000-0000748D0000}"/>
    <cellStyle name="Comma 2 2 185" xfId="36220" xr:uid="{00000000-0005-0000-0000-0000758D0000}"/>
    <cellStyle name="Comma 2 2 186" xfId="36221" xr:uid="{00000000-0005-0000-0000-0000768D0000}"/>
    <cellStyle name="Comma 2 2 187" xfId="36222" xr:uid="{00000000-0005-0000-0000-0000778D0000}"/>
    <cellStyle name="Comma 2 2 188" xfId="36223" xr:uid="{00000000-0005-0000-0000-0000788D0000}"/>
    <cellStyle name="Comma 2 2 189" xfId="36224" xr:uid="{00000000-0005-0000-0000-0000798D0000}"/>
    <cellStyle name="Comma 2 2 19" xfId="36225" xr:uid="{00000000-0005-0000-0000-00007A8D0000}"/>
    <cellStyle name="Comma 2 2 19 2" xfId="36226" xr:uid="{00000000-0005-0000-0000-00007B8D0000}"/>
    <cellStyle name="Comma 2 2 190" xfId="36227" xr:uid="{00000000-0005-0000-0000-00007C8D0000}"/>
    <cellStyle name="Comma 2 2 191" xfId="36228" xr:uid="{00000000-0005-0000-0000-00007D8D0000}"/>
    <cellStyle name="Comma 2 2 192" xfId="36229" xr:uid="{00000000-0005-0000-0000-00007E8D0000}"/>
    <cellStyle name="Comma 2 2 193" xfId="36230" xr:uid="{00000000-0005-0000-0000-00007F8D0000}"/>
    <cellStyle name="Comma 2 2 2" xfId="36231" xr:uid="{00000000-0005-0000-0000-0000808D0000}"/>
    <cellStyle name="Comma 2 2 2 10" xfId="36232" xr:uid="{00000000-0005-0000-0000-0000818D0000}"/>
    <cellStyle name="Comma 2 2 2 11" xfId="36233" xr:uid="{00000000-0005-0000-0000-0000828D0000}"/>
    <cellStyle name="Comma 2 2 2 2" xfId="36234" xr:uid="{00000000-0005-0000-0000-0000838D0000}"/>
    <cellStyle name="Comma 2 2 2 2 10" xfId="36235" xr:uid="{00000000-0005-0000-0000-0000848D0000}"/>
    <cellStyle name="Comma 2 2 2 2 11" xfId="36236" xr:uid="{00000000-0005-0000-0000-0000858D0000}"/>
    <cellStyle name="Comma 2 2 2 2 2" xfId="36237" xr:uid="{00000000-0005-0000-0000-0000868D0000}"/>
    <cellStyle name="Comma 2 2 2 2 3" xfId="36238" xr:uid="{00000000-0005-0000-0000-0000878D0000}"/>
    <cellStyle name="Comma 2 2 2 2 4" xfId="36239" xr:uid="{00000000-0005-0000-0000-0000888D0000}"/>
    <cellStyle name="Comma 2 2 2 2 5" xfId="36240" xr:uid="{00000000-0005-0000-0000-0000898D0000}"/>
    <cellStyle name="Comma 2 2 2 2 6" xfId="36241" xr:uid="{00000000-0005-0000-0000-00008A8D0000}"/>
    <cellStyle name="Comma 2 2 2 2 7" xfId="36242" xr:uid="{00000000-0005-0000-0000-00008B8D0000}"/>
    <cellStyle name="Comma 2 2 2 2 8" xfId="36243" xr:uid="{00000000-0005-0000-0000-00008C8D0000}"/>
    <cellStyle name="Comma 2 2 2 2 9" xfId="36244" xr:uid="{00000000-0005-0000-0000-00008D8D0000}"/>
    <cellStyle name="Comma 2 2 2 2_Proj" xfId="36245" xr:uid="{00000000-0005-0000-0000-00008E8D0000}"/>
    <cellStyle name="Comma 2 2 2 3" xfId="36246" xr:uid="{00000000-0005-0000-0000-00008F8D0000}"/>
    <cellStyle name="Comma 2 2 2 3 2" xfId="36247" xr:uid="{00000000-0005-0000-0000-0000908D0000}"/>
    <cellStyle name="Comma 2 2 2 4" xfId="36248" xr:uid="{00000000-0005-0000-0000-0000918D0000}"/>
    <cellStyle name="Comma 2 2 2 4 2" xfId="36249" xr:uid="{00000000-0005-0000-0000-0000928D0000}"/>
    <cellStyle name="Comma 2 2 2 5" xfId="36250" xr:uid="{00000000-0005-0000-0000-0000938D0000}"/>
    <cellStyle name="Comma 2 2 2 6" xfId="36251" xr:uid="{00000000-0005-0000-0000-0000948D0000}"/>
    <cellStyle name="Comma 2 2 2 7" xfId="36252" xr:uid="{00000000-0005-0000-0000-0000958D0000}"/>
    <cellStyle name="Comma 2 2 2 8" xfId="36253" xr:uid="{00000000-0005-0000-0000-0000968D0000}"/>
    <cellStyle name="Comma 2 2 2 9" xfId="36254" xr:uid="{00000000-0005-0000-0000-0000978D0000}"/>
    <cellStyle name="Comma 2 2 2_GE.IU" xfId="36255" xr:uid="{00000000-0005-0000-0000-0000988D0000}"/>
    <cellStyle name="Comma 2 2 20" xfId="36256" xr:uid="{00000000-0005-0000-0000-0000998D0000}"/>
    <cellStyle name="Comma 2 2 21" xfId="36257" xr:uid="{00000000-0005-0000-0000-00009A8D0000}"/>
    <cellStyle name="Comma 2 2 22" xfId="36258" xr:uid="{00000000-0005-0000-0000-00009B8D0000}"/>
    <cellStyle name="Comma 2 2 23" xfId="36259" xr:uid="{00000000-0005-0000-0000-00009C8D0000}"/>
    <cellStyle name="Comma 2 2 24" xfId="36260" xr:uid="{00000000-0005-0000-0000-00009D8D0000}"/>
    <cellStyle name="Comma 2 2 25" xfId="36261" xr:uid="{00000000-0005-0000-0000-00009E8D0000}"/>
    <cellStyle name="Comma 2 2 26" xfId="36262" xr:uid="{00000000-0005-0000-0000-00009F8D0000}"/>
    <cellStyle name="Comma 2 2 27" xfId="36263" xr:uid="{00000000-0005-0000-0000-0000A08D0000}"/>
    <cellStyle name="Comma 2 2 28" xfId="36264" xr:uid="{00000000-0005-0000-0000-0000A18D0000}"/>
    <cellStyle name="Comma 2 2 29" xfId="36265" xr:uid="{00000000-0005-0000-0000-0000A28D0000}"/>
    <cellStyle name="Comma 2 2 3" xfId="36266" xr:uid="{00000000-0005-0000-0000-0000A38D0000}"/>
    <cellStyle name="Comma 2 2 3 2" xfId="36267" xr:uid="{00000000-0005-0000-0000-0000A48D0000}"/>
    <cellStyle name="Comma 2 2 3 2 2" xfId="36268" xr:uid="{00000000-0005-0000-0000-0000A58D0000}"/>
    <cellStyle name="Comma 2 2 3 3" xfId="36269" xr:uid="{00000000-0005-0000-0000-0000A68D0000}"/>
    <cellStyle name="Comma 2 2 3 4" xfId="36270" xr:uid="{00000000-0005-0000-0000-0000A78D0000}"/>
    <cellStyle name="Comma 2 2 3_Proj" xfId="36271" xr:uid="{00000000-0005-0000-0000-0000A88D0000}"/>
    <cellStyle name="Comma 2 2 30" xfId="36272" xr:uid="{00000000-0005-0000-0000-0000A98D0000}"/>
    <cellStyle name="Comma 2 2 31" xfId="36273" xr:uid="{00000000-0005-0000-0000-0000AA8D0000}"/>
    <cellStyle name="Comma 2 2 32" xfId="36274" xr:uid="{00000000-0005-0000-0000-0000AB8D0000}"/>
    <cellStyle name="Comma 2 2 33" xfId="36275" xr:uid="{00000000-0005-0000-0000-0000AC8D0000}"/>
    <cellStyle name="Comma 2 2 34" xfId="36276" xr:uid="{00000000-0005-0000-0000-0000AD8D0000}"/>
    <cellStyle name="Comma 2 2 35" xfId="36277" xr:uid="{00000000-0005-0000-0000-0000AE8D0000}"/>
    <cellStyle name="Comma 2 2 36" xfId="36278" xr:uid="{00000000-0005-0000-0000-0000AF8D0000}"/>
    <cellStyle name="Comma 2 2 37" xfId="36279" xr:uid="{00000000-0005-0000-0000-0000B08D0000}"/>
    <cellStyle name="Comma 2 2 38" xfId="36280" xr:uid="{00000000-0005-0000-0000-0000B18D0000}"/>
    <cellStyle name="Comma 2 2 39" xfId="36281" xr:uid="{00000000-0005-0000-0000-0000B28D0000}"/>
    <cellStyle name="Comma 2 2 4" xfId="36282" xr:uid="{00000000-0005-0000-0000-0000B38D0000}"/>
    <cellStyle name="Comma 2 2 4 2" xfId="36283" xr:uid="{00000000-0005-0000-0000-0000B48D0000}"/>
    <cellStyle name="Comma 2 2 40" xfId="36284" xr:uid="{00000000-0005-0000-0000-0000B58D0000}"/>
    <cellStyle name="Comma 2 2 41" xfId="36285" xr:uid="{00000000-0005-0000-0000-0000B68D0000}"/>
    <cellStyle name="Comma 2 2 42" xfId="36286" xr:uid="{00000000-0005-0000-0000-0000B78D0000}"/>
    <cellStyle name="Comma 2 2 43" xfId="36287" xr:uid="{00000000-0005-0000-0000-0000B88D0000}"/>
    <cellStyle name="Comma 2 2 44" xfId="36288" xr:uid="{00000000-0005-0000-0000-0000B98D0000}"/>
    <cellStyle name="Comma 2 2 45" xfId="36289" xr:uid="{00000000-0005-0000-0000-0000BA8D0000}"/>
    <cellStyle name="Comma 2 2 46" xfId="36290" xr:uid="{00000000-0005-0000-0000-0000BB8D0000}"/>
    <cellStyle name="Comma 2 2 47" xfId="36291" xr:uid="{00000000-0005-0000-0000-0000BC8D0000}"/>
    <cellStyle name="Comma 2 2 48" xfId="36292" xr:uid="{00000000-0005-0000-0000-0000BD8D0000}"/>
    <cellStyle name="Comma 2 2 49" xfId="36293" xr:uid="{00000000-0005-0000-0000-0000BE8D0000}"/>
    <cellStyle name="Comma 2 2 5" xfId="36294" xr:uid="{00000000-0005-0000-0000-0000BF8D0000}"/>
    <cellStyle name="Comma 2 2 5 2" xfId="36295" xr:uid="{00000000-0005-0000-0000-0000C08D0000}"/>
    <cellStyle name="Comma 2 2 50" xfId="36296" xr:uid="{00000000-0005-0000-0000-0000C18D0000}"/>
    <cellStyle name="Comma 2 2 51" xfId="36297" xr:uid="{00000000-0005-0000-0000-0000C28D0000}"/>
    <cellStyle name="Comma 2 2 52" xfId="36298" xr:uid="{00000000-0005-0000-0000-0000C38D0000}"/>
    <cellStyle name="Comma 2 2 53" xfId="36299" xr:uid="{00000000-0005-0000-0000-0000C48D0000}"/>
    <cellStyle name="Comma 2 2 54" xfId="36300" xr:uid="{00000000-0005-0000-0000-0000C58D0000}"/>
    <cellStyle name="Comma 2 2 55" xfId="36301" xr:uid="{00000000-0005-0000-0000-0000C68D0000}"/>
    <cellStyle name="Comma 2 2 56" xfId="36302" xr:uid="{00000000-0005-0000-0000-0000C78D0000}"/>
    <cellStyle name="Comma 2 2 57" xfId="36303" xr:uid="{00000000-0005-0000-0000-0000C88D0000}"/>
    <cellStyle name="Comma 2 2 58" xfId="36304" xr:uid="{00000000-0005-0000-0000-0000C98D0000}"/>
    <cellStyle name="Comma 2 2 59" xfId="36305" xr:uid="{00000000-0005-0000-0000-0000CA8D0000}"/>
    <cellStyle name="Comma 2 2 6" xfId="36306" xr:uid="{00000000-0005-0000-0000-0000CB8D0000}"/>
    <cellStyle name="Comma 2 2 60" xfId="36307" xr:uid="{00000000-0005-0000-0000-0000CC8D0000}"/>
    <cellStyle name="Comma 2 2 61" xfId="36308" xr:uid="{00000000-0005-0000-0000-0000CD8D0000}"/>
    <cellStyle name="Comma 2 2 62" xfId="36309" xr:uid="{00000000-0005-0000-0000-0000CE8D0000}"/>
    <cellStyle name="Comma 2 2 63" xfId="36310" xr:uid="{00000000-0005-0000-0000-0000CF8D0000}"/>
    <cellStyle name="Comma 2 2 64" xfId="36311" xr:uid="{00000000-0005-0000-0000-0000D08D0000}"/>
    <cellStyle name="Comma 2 2 65" xfId="36312" xr:uid="{00000000-0005-0000-0000-0000D18D0000}"/>
    <cellStyle name="Comma 2 2 66" xfId="36313" xr:uid="{00000000-0005-0000-0000-0000D28D0000}"/>
    <cellStyle name="Comma 2 2 67" xfId="36314" xr:uid="{00000000-0005-0000-0000-0000D38D0000}"/>
    <cellStyle name="Comma 2 2 68" xfId="36315" xr:uid="{00000000-0005-0000-0000-0000D48D0000}"/>
    <cellStyle name="Comma 2 2 69" xfId="36316" xr:uid="{00000000-0005-0000-0000-0000D58D0000}"/>
    <cellStyle name="Comma 2 2 7" xfId="36317" xr:uid="{00000000-0005-0000-0000-0000D68D0000}"/>
    <cellStyle name="Comma 2 2 70" xfId="36318" xr:uid="{00000000-0005-0000-0000-0000D78D0000}"/>
    <cellStyle name="Comma 2 2 71" xfId="36319" xr:uid="{00000000-0005-0000-0000-0000D88D0000}"/>
    <cellStyle name="Comma 2 2 72" xfId="36320" xr:uid="{00000000-0005-0000-0000-0000D98D0000}"/>
    <cellStyle name="Comma 2 2 73" xfId="36321" xr:uid="{00000000-0005-0000-0000-0000DA8D0000}"/>
    <cellStyle name="Comma 2 2 74" xfId="36322" xr:uid="{00000000-0005-0000-0000-0000DB8D0000}"/>
    <cellStyle name="Comma 2 2 75" xfId="36323" xr:uid="{00000000-0005-0000-0000-0000DC8D0000}"/>
    <cellStyle name="Comma 2 2 76" xfId="36324" xr:uid="{00000000-0005-0000-0000-0000DD8D0000}"/>
    <cellStyle name="Comma 2 2 77" xfId="36325" xr:uid="{00000000-0005-0000-0000-0000DE8D0000}"/>
    <cellStyle name="Comma 2 2 78" xfId="36326" xr:uid="{00000000-0005-0000-0000-0000DF8D0000}"/>
    <cellStyle name="Comma 2 2 79" xfId="36327" xr:uid="{00000000-0005-0000-0000-0000E08D0000}"/>
    <cellStyle name="Comma 2 2 8" xfId="36328" xr:uid="{00000000-0005-0000-0000-0000E18D0000}"/>
    <cellStyle name="Comma 2 2 80" xfId="36329" xr:uid="{00000000-0005-0000-0000-0000E28D0000}"/>
    <cellStyle name="Comma 2 2 81" xfId="36330" xr:uid="{00000000-0005-0000-0000-0000E38D0000}"/>
    <cellStyle name="Comma 2 2 82" xfId="36331" xr:uid="{00000000-0005-0000-0000-0000E48D0000}"/>
    <cellStyle name="Comma 2 2 83" xfId="36332" xr:uid="{00000000-0005-0000-0000-0000E58D0000}"/>
    <cellStyle name="Comma 2 2 84" xfId="36333" xr:uid="{00000000-0005-0000-0000-0000E68D0000}"/>
    <cellStyle name="Comma 2 2 85" xfId="36334" xr:uid="{00000000-0005-0000-0000-0000E78D0000}"/>
    <cellStyle name="Comma 2 2 86" xfId="36335" xr:uid="{00000000-0005-0000-0000-0000E88D0000}"/>
    <cellStyle name="Comma 2 2 87" xfId="36336" xr:uid="{00000000-0005-0000-0000-0000E98D0000}"/>
    <cellStyle name="Comma 2 2 88" xfId="36337" xr:uid="{00000000-0005-0000-0000-0000EA8D0000}"/>
    <cellStyle name="Comma 2 2 89" xfId="36338" xr:uid="{00000000-0005-0000-0000-0000EB8D0000}"/>
    <cellStyle name="Comma 2 2 9" xfId="36339" xr:uid="{00000000-0005-0000-0000-0000EC8D0000}"/>
    <cellStyle name="Comma 2 2 90" xfId="36340" xr:uid="{00000000-0005-0000-0000-0000ED8D0000}"/>
    <cellStyle name="Comma 2 2 91" xfId="36341" xr:uid="{00000000-0005-0000-0000-0000EE8D0000}"/>
    <cellStyle name="Comma 2 2 92" xfId="36342" xr:uid="{00000000-0005-0000-0000-0000EF8D0000}"/>
    <cellStyle name="Comma 2 2 93" xfId="36343" xr:uid="{00000000-0005-0000-0000-0000F08D0000}"/>
    <cellStyle name="Comma 2 2 94" xfId="36344" xr:uid="{00000000-0005-0000-0000-0000F18D0000}"/>
    <cellStyle name="Comma 2 2 95" xfId="36345" xr:uid="{00000000-0005-0000-0000-0000F28D0000}"/>
    <cellStyle name="Comma 2 2 96" xfId="36346" xr:uid="{00000000-0005-0000-0000-0000F38D0000}"/>
    <cellStyle name="Comma 2 2 97" xfId="36347" xr:uid="{00000000-0005-0000-0000-0000F48D0000}"/>
    <cellStyle name="Comma 2 2 98" xfId="36348" xr:uid="{00000000-0005-0000-0000-0000F58D0000}"/>
    <cellStyle name="Comma 2 2 99" xfId="36349" xr:uid="{00000000-0005-0000-0000-0000F68D0000}"/>
    <cellStyle name="Comma 2 2_EXPAT-NATIONAL CALCUL" xfId="36350" xr:uid="{00000000-0005-0000-0000-0000F78D0000}"/>
    <cellStyle name="Comma 2 20" xfId="36351" xr:uid="{00000000-0005-0000-0000-0000F88D0000}"/>
    <cellStyle name="Comma 2 20 2" xfId="36352" xr:uid="{00000000-0005-0000-0000-0000F98D0000}"/>
    <cellStyle name="Comma 2 20 3" xfId="36353" xr:uid="{00000000-0005-0000-0000-0000FA8D0000}"/>
    <cellStyle name="Comma 2 20 4" xfId="36354" xr:uid="{00000000-0005-0000-0000-0000FB8D0000}"/>
    <cellStyle name="Comma 2 20 5" xfId="36355" xr:uid="{00000000-0005-0000-0000-0000FC8D0000}"/>
    <cellStyle name="Comma 2 20_Proj" xfId="36356" xr:uid="{00000000-0005-0000-0000-0000FD8D0000}"/>
    <cellStyle name="Comma 2 200" xfId="54005" xr:uid="{00000000-0005-0000-0000-0000FE8D0000}"/>
    <cellStyle name="Comma 2 21" xfId="36357" xr:uid="{00000000-0005-0000-0000-0000FF8D0000}"/>
    <cellStyle name="Comma 2 21 2" xfId="36358" xr:uid="{00000000-0005-0000-0000-0000008E0000}"/>
    <cellStyle name="Comma 2 21 3" xfId="36359" xr:uid="{00000000-0005-0000-0000-0000018E0000}"/>
    <cellStyle name="Comma 2 21 4" xfId="36360" xr:uid="{00000000-0005-0000-0000-0000028E0000}"/>
    <cellStyle name="Comma 2 21 5" xfId="36361" xr:uid="{00000000-0005-0000-0000-0000038E0000}"/>
    <cellStyle name="Comma 2 21_Proj" xfId="36362" xr:uid="{00000000-0005-0000-0000-0000048E0000}"/>
    <cellStyle name="Comma 2 22" xfId="36363" xr:uid="{00000000-0005-0000-0000-0000058E0000}"/>
    <cellStyle name="Comma 2 22 2" xfId="36364" xr:uid="{00000000-0005-0000-0000-0000068E0000}"/>
    <cellStyle name="Comma 2 22 3" xfId="36365" xr:uid="{00000000-0005-0000-0000-0000078E0000}"/>
    <cellStyle name="Comma 2 22 4" xfId="36366" xr:uid="{00000000-0005-0000-0000-0000088E0000}"/>
    <cellStyle name="Comma 2 22 5" xfId="36367" xr:uid="{00000000-0005-0000-0000-0000098E0000}"/>
    <cellStyle name="Comma 2 23" xfId="36368" xr:uid="{00000000-0005-0000-0000-00000A8E0000}"/>
    <cellStyle name="Comma 2 24" xfId="36369" xr:uid="{00000000-0005-0000-0000-00000B8E0000}"/>
    <cellStyle name="Comma 2 25" xfId="36370" xr:uid="{00000000-0005-0000-0000-00000C8E0000}"/>
    <cellStyle name="Comma 2 25 2" xfId="36371" xr:uid="{00000000-0005-0000-0000-00000D8E0000}"/>
    <cellStyle name="Comma 2 26" xfId="36372" xr:uid="{00000000-0005-0000-0000-00000E8E0000}"/>
    <cellStyle name="Comma 2 26 2" xfId="36373" xr:uid="{00000000-0005-0000-0000-00000F8E0000}"/>
    <cellStyle name="Comma 2 27" xfId="36374" xr:uid="{00000000-0005-0000-0000-0000108E0000}"/>
    <cellStyle name="Comma 2 27 2" xfId="36375" xr:uid="{00000000-0005-0000-0000-0000118E0000}"/>
    <cellStyle name="Comma 2 28" xfId="36376" xr:uid="{00000000-0005-0000-0000-0000128E0000}"/>
    <cellStyle name="Comma 2 29" xfId="36377" xr:uid="{00000000-0005-0000-0000-0000138E0000}"/>
    <cellStyle name="Comma 2 29 2" xfId="36378" xr:uid="{00000000-0005-0000-0000-0000148E0000}"/>
    <cellStyle name="Comma 2 3" xfId="36379" xr:uid="{00000000-0005-0000-0000-0000158E0000}"/>
    <cellStyle name="Comma 2 3 2" xfId="36380" xr:uid="{00000000-0005-0000-0000-0000168E0000}"/>
    <cellStyle name="Comma 2 3 2 2" xfId="36381" xr:uid="{00000000-0005-0000-0000-0000178E0000}"/>
    <cellStyle name="Comma 2 3 2 3" xfId="36382" xr:uid="{00000000-0005-0000-0000-0000188E0000}"/>
    <cellStyle name="Comma 2 3 2 4" xfId="36383" xr:uid="{00000000-0005-0000-0000-0000198E0000}"/>
    <cellStyle name="Comma 2 3 2 5" xfId="36384" xr:uid="{00000000-0005-0000-0000-00001A8E0000}"/>
    <cellStyle name="Comma 2 3 3" xfId="36385" xr:uid="{00000000-0005-0000-0000-00001B8E0000}"/>
    <cellStyle name="Comma 2 3 3 2" xfId="36386" xr:uid="{00000000-0005-0000-0000-00001C8E0000}"/>
    <cellStyle name="Comma 2 3 4" xfId="36387" xr:uid="{00000000-0005-0000-0000-00001D8E0000}"/>
    <cellStyle name="Comma 2 3 5" xfId="36388" xr:uid="{00000000-0005-0000-0000-00001E8E0000}"/>
    <cellStyle name="Comma 2 3 6" xfId="36389" xr:uid="{00000000-0005-0000-0000-00001F8E0000}"/>
    <cellStyle name="Comma 2 3 7" xfId="36390" xr:uid="{00000000-0005-0000-0000-0000208E0000}"/>
    <cellStyle name="Comma 2 3 8" xfId="36391" xr:uid="{00000000-0005-0000-0000-0000218E0000}"/>
    <cellStyle name="Comma 2 3 9" xfId="36392" xr:uid="{00000000-0005-0000-0000-0000228E0000}"/>
    <cellStyle name="Comma 2 3_Proj" xfId="36393" xr:uid="{00000000-0005-0000-0000-0000238E0000}"/>
    <cellStyle name="Comma 2 30" xfId="36394" xr:uid="{00000000-0005-0000-0000-0000248E0000}"/>
    <cellStyle name="Comma 2 31" xfId="36395" xr:uid="{00000000-0005-0000-0000-0000258E0000}"/>
    <cellStyle name="Comma 2 32" xfId="36396" xr:uid="{00000000-0005-0000-0000-0000268E0000}"/>
    <cellStyle name="Comma 2 33" xfId="36397" xr:uid="{00000000-0005-0000-0000-0000278E0000}"/>
    <cellStyle name="Comma 2 34" xfId="36398" xr:uid="{00000000-0005-0000-0000-0000288E0000}"/>
    <cellStyle name="Comma 2 35" xfId="36399" xr:uid="{00000000-0005-0000-0000-0000298E0000}"/>
    <cellStyle name="Comma 2 36" xfId="36400" xr:uid="{00000000-0005-0000-0000-00002A8E0000}"/>
    <cellStyle name="Comma 2 37" xfId="36401" xr:uid="{00000000-0005-0000-0000-00002B8E0000}"/>
    <cellStyle name="Comma 2 38" xfId="36402" xr:uid="{00000000-0005-0000-0000-00002C8E0000}"/>
    <cellStyle name="Comma 2 39" xfId="36403" xr:uid="{00000000-0005-0000-0000-00002D8E0000}"/>
    <cellStyle name="Comma 2 4" xfId="36404" xr:uid="{00000000-0005-0000-0000-00002E8E0000}"/>
    <cellStyle name="Comma 2 4 2" xfId="36405" xr:uid="{00000000-0005-0000-0000-00002F8E0000}"/>
    <cellStyle name="Comma 2 4 2 2" xfId="36406" xr:uid="{00000000-0005-0000-0000-0000308E0000}"/>
    <cellStyle name="Comma 2 4 2 3" xfId="36407" xr:uid="{00000000-0005-0000-0000-0000318E0000}"/>
    <cellStyle name="Comma 2 4 2 4" xfId="36408" xr:uid="{00000000-0005-0000-0000-0000328E0000}"/>
    <cellStyle name="Comma 2 4 2 5" xfId="36409" xr:uid="{00000000-0005-0000-0000-0000338E0000}"/>
    <cellStyle name="Comma 2 4 3" xfId="36410" xr:uid="{00000000-0005-0000-0000-0000348E0000}"/>
    <cellStyle name="Comma 2 4 4" xfId="36411" xr:uid="{00000000-0005-0000-0000-0000358E0000}"/>
    <cellStyle name="Comma 2 4 5" xfId="36412" xr:uid="{00000000-0005-0000-0000-0000368E0000}"/>
    <cellStyle name="Comma 2 4 6" xfId="36413" xr:uid="{00000000-0005-0000-0000-0000378E0000}"/>
    <cellStyle name="Comma 2 4 7" xfId="36414" xr:uid="{00000000-0005-0000-0000-0000388E0000}"/>
    <cellStyle name="Comma 2 4 8" xfId="36415" xr:uid="{00000000-0005-0000-0000-0000398E0000}"/>
    <cellStyle name="Comma 2 4 9" xfId="36416" xr:uid="{00000000-0005-0000-0000-00003A8E0000}"/>
    <cellStyle name="Comma 2 40" xfId="36417" xr:uid="{00000000-0005-0000-0000-00003B8E0000}"/>
    <cellStyle name="Comma 2 41" xfId="36418" xr:uid="{00000000-0005-0000-0000-00003C8E0000}"/>
    <cellStyle name="Comma 2 42" xfId="36419" xr:uid="{00000000-0005-0000-0000-00003D8E0000}"/>
    <cellStyle name="Comma 2 43" xfId="36420" xr:uid="{00000000-0005-0000-0000-00003E8E0000}"/>
    <cellStyle name="Comma 2 44" xfId="36421" xr:uid="{00000000-0005-0000-0000-00003F8E0000}"/>
    <cellStyle name="Comma 2 45" xfId="36422" xr:uid="{00000000-0005-0000-0000-0000408E0000}"/>
    <cellStyle name="Comma 2 46" xfId="36423" xr:uid="{00000000-0005-0000-0000-0000418E0000}"/>
    <cellStyle name="Comma 2 47" xfId="36424" xr:uid="{00000000-0005-0000-0000-0000428E0000}"/>
    <cellStyle name="Comma 2 48" xfId="36425" xr:uid="{00000000-0005-0000-0000-0000438E0000}"/>
    <cellStyle name="Comma 2 49" xfId="36426" xr:uid="{00000000-0005-0000-0000-0000448E0000}"/>
    <cellStyle name="Comma 2 5" xfId="36427" xr:uid="{00000000-0005-0000-0000-0000458E0000}"/>
    <cellStyle name="Comma 2 5 2" xfId="36428" xr:uid="{00000000-0005-0000-0000-0000468E0000}"/>
    <cellStyle name="Comma 2 5 3" xfId="36429" xr:uid="{00000000-0005-0000-0000-0000478E0000}"/>
    <cellStyle name="Comma 2 5 4" xfId="36430" xr:uid="{00000000-0005-0000-0000-0000488E0000}"/>
    <cellStyle name="Comma 2 5_Proj" xfId="36431" xr:uid="{00000000-0005-0000-0000-0000498E0000}"/>
    <cellStyle name="Comma 2 50" xfId="36432" xr:uid="{00000000-0005-0000-0000-00004A8E0000}"/>
    <cellStyle name="Comma 2 51" xfId="36433" xr:uid="{00000000-0005-0000-0000-00004B8E0000}"/>
    <cellStyle name="Comma 2 52" xfId="36434" xr:uid="{00000000-0005-0000-0000-00004C8E0000}"/>
    <cellStyle name="Comma 2 53" xfId="36435" xr:uid="{00000000-0005-0000-0000-00004D8E0000}"/>
    <cellStyle name="Comma 2 54" xfId="36436" xr:uid="{00000000-0005-0000-0000-00004E8E0000}"/>
    <cellStyle name="Comma 2 55" xfId="36437" xr:uid="{00000000-0005-0000-0000-00004F8E0000}"/>
    <cellStyle name="Comma 2 56" xfId="36438" xr:uid="{00000000-0005-0000-0000-0000508E0000}"/>
    <cellStyle name="Comma 2 57" xfId="36439" xr:uid="{00000000-0005-0000-0000-0000518E0000}"/>
    <cellStyle name="Comma 2 58" xfId="36440" xr:uid="{00000000-0005-0000-0000-0000528E0000}"/>
    <cellStyle name="Comma 2 59" xfId="36441" xr:uid="{00000000-0005-0000-0000-0000538E0000}"/>
    <cellStyle name="Comma 2 6" xfId="36442" xr:uid="{00000000-0005-0000-0000-0000548E0000}"/>
    <cellStyle name="Comma 2 6 2" xfId="36443" xr:uid="{00000000-0005-0000-0000-0000558E0000}"/>
    <cellStyle name="Comma 2 6 3" xfId="36444" xr:uid="{00000000-0005-0000-0000-0000568E0000}"/>
    <cellStyle name="Comma 2 6_Proj" xfId="36445" xr:uid="{00000000-0005-0000-0000-0000578E0000}"/>
    <cellStyle name="Comma 2 60" xfId="36446" xr:uid="{00000000-0005-0000-0000-0000588E0000}"/>
    <cellStyle name="Comma 2 61" xfId="36447" xr:uid="{00000000-0005-0000-0000-0000598E0000}"/>
    <cellStyle name="Comma 2 62" xfId="36448" xr:uid="{00000000-0005-0000-0000-00005A8E0000}"/>
    <cellStyle name="Comma 2 63" xfId="36449" xr:uid="{00000000-0005-0000-0000-00005B8E0000}"/>
    <cellStyle name="Comma 2 64" xfId="36450" xr:uid="{00000000-0005-0000-0000-00005C8E0000}"/>
    <cellStyle name="Comma 2 65" xfId="36451" xr:uid="{00000000-0005-0000-0000-00005D8E0000}"/>
    <cellStyle name="Comma 2 66" xfId="36452" xr:uid="{00000000-0005-0000-0000-00005E8E0000}"/>
    <cellStyle name="Comma 2 67" xfId="36453" xr:uid="{00000000-0005-0000-0000-00005F8E0000}"/>
    <cellStyle name="Comma 2 68" xfId="36454" xr:uid="{00000000-0005-0000-0000-0000608E0000}"/>
    <cellStyle name="Comma 2 69" xfId="36455" xr:uid="{00000000-0005-0000-0000-0000618E0000}"/>
    <cellStyle name="Comma 2 7" xfId="36456" xr:uid="{00000000-0005-0000-0000-0000628E0000}"/>
    <cellStyle name="Comma 2 7 2" xfId="36457" xr:uid="{00000000-0005-0000-0000-0000638E0000}"/>
    <cellStyle name="Comma 2 7 3" xfId="36458" xr:uid="{00000000-0005-0000-0000-0000648E0000}"/>
    <cellStyle name="Comma 2 7_Proj" xfId="36459" xr:uid="{00000000-0005-0000-0000-0000658E0000}"/>
    <cellStyle name="Comma 2 70" xfId="36460" xr:uid="{00000000-0005-0000-0000-0000668E0000}"/>
    <cellStyle name="Comma 2 71" xfId="36461" xr:uid="{00000000-0005-0000-0000-0000678E0000}"/>
    <cellStyle name="Comma 2 72" xfId="36462" xr:uid="{00000000-0005-0000-0000-0000688E0000}"/>
    <cellStyle name="Comma 2 73" xfId="36463" xr:uid="{00000000-0005-0000-0000-0000698E0000}"/>
    <cellStyle name="Comma 2 74" xfId="36464" xr:uid="{00000000-0005-0000-0000-00006A8E0000}"/>
    <cellStyle name="Comma 2 75" xfId="36465" xr:uid="{00000000-0005-0000-0000-00006B8E0000}"/>
    <cellStyle name="Comma 2 76" xfId="36466" xr:uid="{00000000-0005-0000-0000-00006C8E0000}"/>
    <cellStyle name="Comma 2 77" xfId="36467" xr:uid="{00000000-0005-0000-0000-00006D8E0000}"/>
    <cellStyle name="Comma 2 78" xfId="36468" xr:uid="{00000000-0005-0000-0000-00006E8E0000}"/>
    <cellStyle name="Comma 2 79" xfId="36469" xr:uid="{00000000-0005-0000-0000-00006F8E0000}"/>
    <cellStyle name="Comma 2 8" xfId="36470" xr:uid="{00000000-0005-0000-0000-0000708E0000}"/>
    <cellStyle name="Comma 2 8 2" xfId="36471" xr:uid="{00000000-0005-0000-0000-0000718E0000}"/>
    <cellStyle name="Comma 2 8 3" xfId="36472" xr:uid="{00000000-0005-0000-0000-0000728E0000}"/>
    <cellStyle name="Comma 2 8_Proj" xfId="36473" xr:uid="{00000000-0005-0000-0000-0000738E0000}"/>
    <cellStyle name="Comma 2 80" xfId="36474" xr:uid="{00000000-0005-0000-0000-0000748E0000}"/>
    <cellStyle name="Comma 2 81" xfId="36475" xr:uid="{00000000-0005-0000-0000-0000758E0000}"/>
    <cellStyle name="Comma 2 82" xfId="36476" xr:uid="{00000000-0005-0000-0000-0000768E0000}"/>
    <cellStyle name="Comma 2 83" xfId="36477" xr:uid="{00000000-0005-0000-0000-0000778E0000}"/>
    <cellStyle name="Comma 2 84" xfId="36478" xr:uid="{00000000-0005-0000-0000-0000788E0000}"/>
    <cellStyle name="Comma 2 85" xfId="36479" xr:uid="{00000000-0005-0000-0000-0000798E0000}"/>
    <cellStyle name="Comma 2 86" xfId="36480" xr:uid="{00000000-0005-0000-0000-00007A8E0000}"/>
    <cellStyle name="Comma 2 87" xfId="36481" xr:uid="{00000000-0005-0000-0000-00007B8E0000}"/>
    <cellStyle name="Comma 2 88" xfId="36482" xr:uid="{00000000-0005-0000-0000-00007C8E0000}"/>
    <cellStyle name="Comma 2 89" xfId="36483" xr:uid="{00000000-0005-0000-0000-00007D8E0000}"/>
    <cellStyle name="Comma 2 9" xfId="36484" xr:uid="{00000000-0005-0000-0000-00007E8E0000}"/>
    <cellStyle name="Comma 2 9 2" xfId="36485" xr:uid="{00000000-0005-0000-0000-00007F8E0000}"/>
    <cellStyle name="Comma 2 9 3" xfId="36486" xr:uid="{00000000-0005-0000-0000-0000808E0000}"/>
    <cellStyle name="Comma 2 9_Proj" xfId="36487" xr:uid="{00000000-0005-0000-0000-0000818E0000}"/>
    <cellStyle name="Comma 2 90" xfId="36488" xr:uid="{00000000-0005-0000-0000-0000828E0000}"/>
    <cellStyle name="Comma 2 91" xfId="36489" xr:uid="{00000000-0005-0000-0000-0000838E0000}"/>
    <cellStyle name="Comma 2 92" xfId="36490" xr:uid="{00000000-0005-0000-0000-0000848E0000}"/>
    <cellStyle name="Comma 2 93" xfId="36491" xr:uid="{00000000-0005-0000-0000-0000858E0000}"/>
    <cellStyle name="Comma 2 94" xfId="36492" xr:uid="{00000000-0005-0000-0000-0000868E0000}"/>
    <cellStyle name="Comma 2 95" xfId="36493" xr:uid="{00000000-0005-0000-0000-0000878E0000}"/>
    <cellStyle name="Comma 2 96" xfId="36494" xr:uid="{00000000-0005-0000-0000-0000888E0000}"/>
    <cellStyle name="Comma 2 97" xfId="36495" xr:uid="{00000000-0005-0000-0000-0000898E0000}"/>
    <cellStyle name="Comma 2 98" xfId="36496" xr:uid="{00000000-0005-0000-0000-00008A8E0000}"/>
    <cellStyle name="Comma 2 99" xfId="36497" xr:uid="{00000000-0005-0000-0000-00008B8E0000}"/>
    <cellStyle name="Comma 2_6094_REVIEW_APRIL_08" xfId="36498" xr:uid="{00000000-0005-0000-0000-00008C8E0000}"/>
    <cellStyle name="Comma 20" xfId="36499" xr:uid="{00000000-0005-0000-0000-00008D8E0000}"/>
    <cellStyle name="Comma 20 2" xfId="36500" xr:uid="{00000000-0005-0000-0000-00008E8E0000}"/>
    <cellStyle name="Comma 20 3" xfId="36501" xr:uid="{00000000-0005-0000-0000-00008F8E0000}"/>
    <cellStyle name="Comma 20 4" xfId="36502" xr:uid="{00000000-0005-0000-0000-0000908E0000}"/>
    <cellStyle name="Comma 20 5" xfId="36503" xr:uid="{00000000-0005-0000-0000-0000918E0000}"/>
    <cellStyle name="Comma 21" xfId="36504" xr:uid="{00000000-0005-0000-0000-0000928E0000}"/>
    <cellStyle name="Comma 21 2" xfId="36505" xr:uid="{00000000-0005-0000-0000-0000938E0000}"/>
    <cellStyle name="Comma 22" xfId="36506" xr:uid="{00000000-0005-0000-0000-0000948E0000}"/>
    <cellStyle name="Comma 22 2" xfId="36507" xr:uid="{00000000-0005-0000-0000-0000958E0000}"/>
    <cellStyle name="Comma 22 3" xfId="36508" xr:uid="{00000000-0005-0000-0000-0000968E0000}"/>
    <cellStyle name="Comma 22 4" xfId="36509" xr:uid="{00000000-0005-0000-0000-0000978E0000}"/>
    <cellStyle name="Comma 22 5" xfId="36510" xr:uid="{00000000-0005-0000-0000-0000988E0000}"/>
    <cellStyle name="Comma 23" xfId="36511" xr:uid="{00000000-0005-0000-0000-0000998E0000}"/>
    <cellStyle name="Comma 23 2" xfId="36512" xr:uid="{00000000-0005-0000-0000-00009A8E0000}"/>
    <cellStyle name="Comma 24" xfId="36513" xr:uid="{00000000-0005-0000-0000-00009B8E0000}"/>
    <cellStyle name="Comma 24 2" xfId="36514" xr:uid="{00000000-0005-0000-0000-00009C8E0000}"/>
    <cellStyle name="Comma 24 3" xfId="36515" xr:uid="{00000000-0005-0000-0000-00009D8E0000}"/>
    <cellStyle name="Comma 24 4" xfId="36516" xr:uid="{00000000-0005-0000-0000-00009E8E0000}"/>
    <cellStyle name="Comma 24 5" xfId="36517" xr:uid="{00000000-0005-0000-0000-00009F8E0000}"/>
    <cellStyle name="Comma 24 6" xfId="36518" xr:uid="{00000000-0005-0000-0000-0000A08E0000}"/>
    <cellStyle name="Comma 25" xfId="36519" xr:uid="{00000000-0005-0000-0000-0000A18E0000}"/>
    <cellStyle name="Comma 25 2" xfId="36520" xr:uid="{00000000-0005-0000-0000-0000A28E0000}"/>
    <cellStyle name="Comma 26" xfId="36521" xr:uid="{00000000-0005-0000-0000-0000A38E0000}"/>
    <cellStyle name="Comma 26 2" xfId="36522" xr:uid="{00000000-0005-0000-0000-0000A48E0000}"/>
    <cellStyle name="Comma 26 3" xfId="36523" xr:uid="{00000000-0005-0000-0000-0000A58E0000}"/>
    <cellStyle name="Comma 26 4" xfId="36524" xr:uid="{00000000-0005-0000-0000-0000A68E0000}"/>
    <cellStyle name="Comma 26 5" xfId="36525" xr:uid="{00000000-0005-0000-0000-0000A78E0000}"/>
    <cellStyle name="Comma 27" xfId="36526" xr:uid="{00000000-0005-0000-0000-0000A88E0000}"/>
    <cellStyle name="Comma 27 2" xfId="36527" xr:uid="{00000000-0005-0000-0000-0000A98E0000}"/>
    <cellStyle name="Comma 28" xfId="36528" xr:uid="{00000000-0005-0000-0000-0000AA8E0000}"/>
    <cellStyle name="Comma 28 2" xfId="36529" xr:uid="{00000000-0005-0000-0000-0000AB8E0000}"/>
    <cellStyle name="Comma 29" xfId="36530" xr:uid="{00000000-0005-0000-0000-0000AC8E0000}"/>
    <cellStyle name="Comma 29 2" xfId="36531" xr:uid="{00000000-0005-0000-0000-0000AD8E0000}"/>
    <cellStyle name="Comma 3" xfId="6" xr:uid="{00000000-0005-0000-0000-0000AE8E0000}"/>
    <cellStyle name="Comma 3 10" xfId="36532" xr:uid="{00000000-0005-0000-0000-0000AF8E0000}"/>
    <cellStyle name="Comma 3 11" xfId="36533" xr:uid="{00000000-0005-0000-0000-0000B08E0000}"/>
    <cellStyle name="Comma 3 12" xfId="36534" xr:uid="{00000000-0005-0000-0000-0000B18E0000}"/>
    <cellStyle name="Comma 3 13" xfId="36535" xr:uid="{00000000-0005-0000-0000-0000B28E0000}"/>
    <cellStyle name="Comma 3 14" xfId="36536" xr:uid="{00000000-0005-0000-0000-0000B38E0000}"/>
    <cellStyle name="Comma 3 15" xfId="36537" xr:uid="{00000000-0005-0000-0000-0000B48E0000}"/>
    <cellStyle name="Comma 3 16" xfId="36538" xr:uid="{00000000-0005-0000-0000-0000B58E0000}"/>
    <cellStyle name="Comma 3 17" xfId="36539" xr:uid="{00000000-0005-0000-0000-0000B68E0000}"/>
    <cellStyle name="Comma 3 18" xfId="36540" xr:uid="{00000000-0005-0000-0000-0000B78E0000}"/>
    <cellStyle name="Comma 3 2" xfId="36541" xr:uid="{00000000-0005-0000-0000-0000B88E0000}"/>
    <cellStyle name="Comma 3 2 10" xfId="36542" xr:uid="{00000000-0005-0000-0000-0000B98E0000}"/>
    <cellStyle name="Comma 3 2 11" xfId="36543" xr:uid="{00000000-0005-0000-0000-0000BA8E0000}"/>
    <cellStyle name="Comma 3 2 12" xfId="36544" xr:uid="{00000000-0005-0000-0000-0000BB8E0000}"/>
    <cellStyle name="Comma 3 2 13" xfId="36545" xr:uid="{00000000-0005-0000-0000-0000BC8E0000}"/>
    <cellStyle name="Comma 3 2 14" xfId="36546" xr:uid="{00000000-0005-0000-0000-0000BD8E0000}"/>
    <cellStyle name="Comma 3 2 15" xfId="36547" xr:uid="{00000000-0005-0000-0000-0000BE8E0000}"/>
    <cellStyle name="Comma 3 2 16" xfId="36548" xr:uid="{00000000-0005-0000-0000-0000BF8E0000}"/>
    <cellStyle name="Comma 3 2 17" xfId="36549" xr:uid="{00000000-0005-0000-0000-0000C08E0000}"/>
    <cellStyle name="Comma 3 2 18" xfId="36550" xr:uid="{00000000-0005-0000-0000-0000C18E0000}"/>
    <cellStyle name="Comma 3 2 19" xfId="36551" xr:uid="{00000000-0005-0000-0000-0000C28E0000}"/>
    <cellStyle name="Comma 3 2 19 2" xfId="36552" xr:uid="{00000000-0005-0000-0000-0000C38E0000}"/>
    <cellStyle name="Comma 3 2 2" xfId="36553" xr:uid="{00000000-0005-0000-0000-0000C48E0000}"/>
    <cellStyle name="Comma 3 2 2 10" xfId="36554" xr:uid="{00000000-0005-0000-0000-0000C58E0000}"/>
    <cellStyle name="Comma 3 2 2 11" xfId="36555" xr:uid="{00000000-0005-0000-0000-0000C68E0000}"/>
    <cellStyle name="Comma 3 2 2 12" xfId="36556" xr:uid="{00000000-0005-0000-0000-0000C78E0000}"/>
    <cellStyle name="Comma 3 2 2 13" xfId="36557" xr:uid="{00000000-0005-0000-0000-0000C88E0000}"/>
    <cellStyle name="Comma 3 2 2 14" xfId="36558" xr:uid="{00000000-0005-0000-0000-0000C98E0000}"/>
    <cellStyle name="Comma 3 2 2 15" xfId="36559" xr:uid="{00000000-0005-0000-0000-0000CA8E0000}"/>
    <cellStyle name="Comma 3 2 2 16" xfId="36560" xr:uid="{00000000-0005-0000-0000-0000CB8E0000}"/>
    <cellStyle name="Comma 3 2 2 17" xfId="36561" xr:uid="{00000000-0005-0000-0000-0000CC8E0000}"/>
    <cellStyle name="Comma 3 2 2 18" xfId="36562" xr:uid="{00000000-0005-0000-0000-0000CD8E0000}"/>
    <cellStyle name="Comma 3 2 2 2" xfId="36563" xr:uid="{00000000-0005-0000-0000-0000CE8E0000}"/>
    <cellStyle name="Comma 3 2 2 2 2" xfId="36564" xr:uid="{00000000-0005-0000-0000-0000CF8E0000}"/>
    <cellStyle name="Comma 3 2 2 2 2 2" xfId="36565" xr:uid="{00000000-0005-0000-0000-0000D08E0000}"/>
    <cellStyle name="Comma 3 2 2 2 3" xfId="36566" xr:uid="{00000000-0005-0000-0000-0000D18E0000}"/>
    <cellStyle name="Comma 3 2 2 2 4" xfId="36567" xr:uid="{00000000-0005-0000-0000-0000D28E0000}"/>
    <cellStyle name="Comma 3 2 2 2 5" xfId="36568" xr:uid="{00000000-0005-0000-0000-0000D38E0000}"/>
    <cellStyle name="Comma 3 2 2 3" xfId="36569" xr:uid="{00000000-0005-0000-0000-0000D48E0000}"/>
    <cellStyle name="Comma 3 2 2 3 2" xfId="36570" xr:uid="{00000000-0005-0000-0000-0000D58E0000}"/>
    <cellStyle name="Comma 3 2 2 4" xfId="36571" xr:uid="{00000000-0005-0000-0000-0000D68E0000}"/>
    <cellStyle name="Comma 3 2 2 5" xfId="36572" xr:uid="{00000000-0005-0000-0000-0000D78E0000}"/>
    <cellStyle name="Comma 3 2 2 6" xfId="36573" xr:uid="{00000000-0005-0000-0000-0000D88E0000}"/>
    <cellStyle name="Comma 3 2 2 7" xfId="36574" xr:uid="{00000000-0005-0000-0000-0000D98E0000}"/>
    <cellStyle name="Comma 3 2 2 8" xfId="36575" xr:uid="{00000000-0005-0000-0000-0000DA8E0000}"/>
    <cellStyle name="Comma 3 2 2 9" xfId="36576" xr:uid="{00000000-0005-0000-0000-0000DB8E0000}"/>
    <cellStyle name="Comma 3 2 2_EXPAT-NATIONAL CALCUL" xfId="36577" xr:uid="{00000000-0005-0000-0000-0000DC8E0000}"/>
    <cellStyle name="Comma 3 2 3" xfId="36578" xr:uid="{00000000-0005-0000-0000-0000DD8E0000}"/>
    <cellStyle name="Comma 3 2 3 2" xfId="36579" xr:uid="{00000000-0005-0000-0000-0000DE8E0000}"/>
    <cellStyle name="Comma 3 2 4" xfId="36580" xr:uid="{00000000-0005-0000-0000-0000DF8E0000}"/>
    <cellStyle name="Comma 3 2 5" xfId="36581" xr:uid="{00000000-0005-0000-0000-0000E08E0000}"/>
    <cellStyle name="Comma 3 2 6" xfId="36582" xr:uid="{00000000-0005-0000-0000-0000E18E0000}"/>
    <cellStyle name="Comma 3 2 7" xfId="36583" xr:uid="{00000000-0005-0000-0000-0000E28E0000}"/>
    <cellStyle name="Comma 3 2 8" xfId="36584" xr:uid="{00000000-0005-0000-0000-0000E38E0000}"/>
    <cellStyle name="Comma 3 2 9" xfId="36585" xr:uid="{00000000-0005-0000-0000-0000E48E0000}"/>
    <cellStyle name="Comma 3 3" xfId="36586" xr:uid="{00000000-0005-0000-0000-0000E58E0000}"/>
    <cellStyle name="Comma 3 3 2" xfId="36587" xr:uid="{00000000-0005-0000-0000-0000E68E0000}"/>
    <cellStyle name="Comma 3 3 2 2" xfId="36588" xr:uid="{00000000-0005-0000-0000-0000E78E0000}"/>
    <cellStyle name="Comma 3 3 2 3" xfId="36589" xr:uid="{00000000-0005-0000-0000-0000E88E0000}"/>
    <cellStyle name="Comma 3 3 3" xfId="36590" xr:uid="{00000000-0005-0000-0000-0000E98E0000}"/>
    <cellStyle name="Comma 3 3 4" xfId="36591" xr:uid="{00000000-0005-0000-0000-0000EA8E0000}"/>
    <cellStyle name="Comma 3 4" xfId="36592" xr:uid="{00000000-0005-0000-0000-0000EB8E0000}"/>
    <cellStyle name="Comma 3 4 2" xfId="36593" xr:uid="{00000000-0005-0000-0000-0000EC8E0000}"/>
    <cellStyle name="Comma 3 4 3" xfId="36594" xr:uid="{00000000-0005-0000-0000-0000ED8E0000}"/>
    <cellStyle name="Comma 3 5" xfId="36595" xr:uid="{00000000-0005-0000-0000-0000EE8E0000}"/>
    <cellStyle name="Comma 3 5 2" xfId="36596" xr:uid="{00000000-0005-0000-0000-0000EF8E0000}"/>
    <cellStyle name="Comma 3 5 3" xfId="36597" xr:uid="{00000000-0005-0000-0000-0000F08E0000}"/>
    <cellStyle name="Comma 3 5_Proj" xfId="36598" xr:uid="{00000000-0005-0000-0000-0000F18E0000}"/>
    <cellStyle name="Comma 3 6" xfId="36599" xr:uid="{00000000-0005-0000-0000-0000F28E0000}"/>
    <cellStyle name="Comma 3 6 2" xfId="36600" xr:uid="{00000000-0005-0000-0000-0000F38E0000}"/>
    <cellStyle name="Comma 3 7" xfId="36601" xr:uid="{00000000-0005-0000-0000-0000F48E0000}"/>
    <cellStyle name="Comma 3 8" xfId="36602" xr:uid="{00000000-0005-0000-0000-0000F58E0000}"/>
    <cellStyle name="Comma 3 9" xfId="36603" xr:uid="{00000000-0005-0000-0000-0000F68E0000}"/>
    <cellStyle name="Comma 3_EXPAT-NATIONAL CALCUL" xfId="36604" xr:uid="{00000000-0005-0000-0000-0000F78E0000}"/>
    <cellStyle name="Comma 30" xfId="36605" xr:uid="{00000000-0005-0000-0000-0000F88E0000}"/>
    <cellStyle name="Comma 30 2" xfId="36606" xr:uid="{00000000-0005-0000-0000-0000F98E0000}"/>
    <cellStyle name="Comma 31" xfId="36607" xr:uid="{00000000-0005-0000-0000-0000FA8E0000}"/>
    <cellStyle name="Comma 31 2" xfId="36608" xr:uid="{00000000-0005-0000-0000-0000FB8E0000}"/>
    <cellStyle name="Comma 32" xfId="36609" xr:uid="{00000000-0005-0000-0000-0000FC8E0000}"/>
    <cellStyle name="Comma 32 2" xfId="36610" xr:uid="{00000000-0005-0000-0000-0000FD8E0000}"/>
    <cellStyle name="Comma 33" xfId="36611" xr:uid="{00000000-0005-0000-0000-0000FE8E0000}"/>
    <cellStyle name="Comma 33 2" xfId="36612" xr:uid="{00000000-0005-0000-0000-0000FF8E0000}"/>
    <cellStyle name="Comma 34" xfId="36613" xr:uid="{00000000-0005-0000-0000-0000008F0000}"/>
    <cellStyle name="Comma 34 2" xfId="36614" xr:uid="{00000000-0005-0000-0000-0000018F0000}"/>
    <cellStyle name="Comma 35" xfId="36615" xr:uid="{00000000-0005-0000-0000-0000028F0000}"/>
    <cellStyle name="Comma 35 2" xfId="36616" xr:uid="{00000000-0005-0000-0000-0000038F0000}"/>
    <cellStyle name="Comma 35 2 2" xfId="36617" xr:uid="{00000000-0005-0000-0000-0000048F0000}"/>
    <cellStyle name="Comma 35 3" xfId="36618" xr:uid="{00000000-0005-0000-0000-0000058F0000}"/>
    <cellStyle name="Comma 36" xfId="36619" xr:uid="{00000000-0005-0000-0000-0000068F0000}"/>
    <cellStyle name="Comma 36 2" xfId="36620" xr:uid="{00000000-0005-0000-0000-0000078F0000}"/>
    <cellStyle name="Comma 36 2 2" xfId="36621" xr:uid="{00000000-0005-0000-0000-0000088F0000}"/>
    <cellStyle name="Comma 36 3" xfId="36622" xr:uid="{00000000-0005-0000-0000-0000098F0000}"/>
    <cellStyle name="Comma 37" xfId="36623" xr:uid="{00000000-0005-0000-0000-00000A8F0000}"/>
    <cellStyle name="Comma 37 2" xfId="36624" xr:uid="{00000000-0005-0000-0000-00000B8F0000}"/>
    <cellStyle name="Comma 37 2 2" xfId="36625" xr:uid="{00000000-0005-0000-0000-00000C8F0000}"/>
    <cellStyle name="Comma 37 3" xfId="36626" xr:uid="{00000000-0005-0000-0000-00000D8F0000}"/>
    <cellStyle name="Comma 38" xfId="36627" xr:uid="{00000000-0005-0000-0000-00000E8F0000}"/>
    <cellStyle name="Comma 39" xfId="36628" xr:uid="{00000000-0005-0000-0000-00000F8F0000}"/>
    <cellStyle name="Comma 4" xfId="7" xr:uid="{00000000-0005-0000-0000-0000108F0000}"/>
    <cellStyle name="Comma 4 10" xfId="36629" xr:uid="{00000000-0005-0000-0000-0000118F0000}"/>
    <cellStyle name="Comma 4 11" xfId="36630" xr:uid="{00000000-0005-0000-0000-0000128F0000}"/>
    <cellStyle name="Comma 4 12" xfId="36631" xr:uid="{00000000-0005-0000-0000-0000138F0000}"/>
    <cellStyle name="Comma 4 13" xfId="36632" xr:uid="{00000000-0005-0000-0000-0000148F0000}"/>
    <cellStyle name="Comma 4 14" xfId="36633" xr:uid="{00000000-0005-0000-0000-0000158F0000}"/>
    <cellStyle name="Comma 4 15" xfId="36634" xr:uid="{00000000-0005-0000-0000-0000168F0000}"/>
    <cellStyle name="Comma 4 16" xfId="36635" xr:uid="{00000000-0005-0000-0000-0000178F0000}"/>
    <cellStyle name="Comma 4 17" xfId="36636" xr:uid="{00000000-0005-0000-0000-0000188F0000}"/>
    <cellStyle name="Comma 4 18" xfId="36637" xr:uid="{00000000-0005-0000-0000-0000198F0000}"/>
    <cellStyle name="Comma 4 19" xfId="36638" xr:uid="{00000000-0005-0000-0000-00001A8F0000}"/>
    <cellStyle name="Comma 4 2" xfId="36639" xr:uid="{00000000-0005-0000-0000-00001B8F0000}"/>
    <cellStyle name="Comma 4 2 10" xfId="36640" xr:uid="{00000000-0005-0000-0000-00001C8F0000}"/>
    <cellStyle name="Comma 4 2 11" xfId="36641" xr:uid="{00000000-0005-0000-0000-00001D8F0000}"/>
    <cellStyle name="Comma 4 2 12" xfId="36642" xr:uid="{00000000-0005-0000-0000-00001E8F0000}"/>
    <cellStyle name="Comma 4 2 13" xfId="36643" xr:uid="{00000000-0005-0000-0000-00001F8F0000}"/>
    <cellStyle name="Comma 4 2 14" xfId="36644" xr:uid="{00000000-0005-0000-0000-0000208F0000}"/>
    <cellStyle name="Comma 4 2 15" xfId="36645" xr:uid="{00000000-0005-0000-0000-0000218F0000}"/>
    <cellStyle name="Comma 4 2 16" xfId="36646" xr:uid="{00000000-0005-0000-0000-0000228F0000}"/>
    <cellStyle name="Comma 4 2 17" xfId="36647" xr:uid="{00000000-0005-0000-0000-0000238F0000}"/>
    <cellStyle name="Comma 4 2 18" xfId="36648" xr:uid="{00000000-0005-0000-0000-0000248F0000}"/>
    <cellStyle name="Comma 4 2 2" xfId="36649" xr:uid="{00000000-0005-0000-0000-0000258F0000}"/>
    <cellStyle name="Comma 4 2 2 2" xfId="36650" xr:uid="{00000000-0005-0000-0000-0000268F0000}"/>
    <cellStyle name="Comma 4 2 2 2 2" xfId="36651" xr:uid="{00000000-0005-0000-0000-0000278F0000}"/>
    <cellStyle name="Comma 4 2 2 2 3" xfId="36652" xr:uid="{00000000-0005-0000-0000-0000288F0000}"/>
    <cellStyle name="Comma 4 2 2 2 4" xfId="36653" xr:uid="{00000000-0005-0000-0000-0000298F0000}"/>
    <cellStyle name="Comma 4 2 2 3" xfId="36654" xr:uid="{00000000-0005-0000-0000-00002A8F0000}"/>
    <cellStyle name="Comma 4 2 2 4" xfId="36655" xr:uid="{00000000-0005-0000-0000-00002B8F0000}"/>
    <cellStyle name="Comma 4 2 2 5" xfId="36656" xr:uid="{00000000-0005-0000-0000-00002C8F0000}"/>
    <cellStyle name="Comma 4 2 2 6" xfId="36657" xr:uid="{00000000-0005-0000-0000-00002D8F0000}"/>
    <cellStyle name="Comma 4 2 2_Proj" xfId="36658" xr:uid="{00000000-0005-0000-0000-00002E8F0000}"/>
    <cellStyle name="Comma 4 2 3" xfId="36659" xr:uid="{00000000-0005-0000-0000-00002F8F0000}"/>
    <cellStyle name="Comma 4 2 3 2" xfId="36660" xr:uid="{00000000-0005-0000-0000-0000308F0000}"/>
    <cellStyle name="Comma 4 2 3 3" xfId="36661" xr:uid="{00000000-0005-0000-0000-0000318F0000}"/>
    <cellStyle name="Comma 4 2 3 4" xfId="36662" xr:uid="{00000000-0005-0000-0000-0000328F0000}"/>
    <cellStyle name="Comma 4 2 4" xfId="36663" xr:uid="{00000000-0005-0000-0000-0000338F0000}"/>
    <cellStyle name="Comma 4 2 5" xfId="36664" xr:uid="{00000000-0005-0000-0000-0000348F0000}"/>
    <cellStyle name="Comma 4 2 6" xfId="36665" xr:uid="{00000000-0005-0000-0000-0000358F0000}"/>
    <cellStyle name="Comma 4 2 7" xfId="36666" xr:uid="{00000000-0005-0000-0000-0000368F0000}"/>
    <cellStyle name="Comma 4 2 8" xfId="36667" xr:uid="{00000000-0005-0000-0000-0000378F0000}"/>
    <cellStyle name="Comma 4 2 9" xfId="36668" xr:uid="{00000000-0005-0000-0000-0000388F0000}"/>
    <cellStyle name="Comma 4 2_EXPAT-NATIONAL CALCUL" xfId="36669" xr:uid="{00000000-0005-0000-0000-0000398F0000}"/>
    <cellStyle name="Comma 4 20" xfId="36670" xr:uid="{00000000-0005-0000-0000-00003A8F0000}"/>
    <cellStyle name="Comma 4 21" xfId="36671" xr:uid="{00000000-0005-0000-0000-00003B8F0000}"/>
    <cellStyle name="Comma 4 22" xfId="53997" xr:uid="{00000000-0005-0000-0000-00003C8F0000}"/>
    <cellStyle name="Comma 4 23" xfId="54002" xr:uid="{00000000-0005-0000-0000-00003D8F0000}"/>
    <cellStyle name="Comma 4 24" xfId="54006" xr:uid="{00000000-0005-0000-0000-00003E8F0000}"/>
    <cellStyle name="Comma 4 3" xfId="36672" xr:uid="{00000000-0005-0000-0000-00003F8F0000}"/>
    <cellStyle name="Comma 4 3 2" xfId="36673" xr:uid="{00000000-0005-0000-0000-0000408F0000}"/>
    <cellStyle name="Comma 4 3 2 2" xfId="36674" xr:uid="{00000000-0005-0000-0000-0000418F0000}"/>
    <cellStyle name="Comma 4 3 2 3" xfId="36675" xr:uid="{00000000-0005-0000-0000-0000428F0000}"/>
    <cellStyle name="Comma 4 3 2 4" xfId="36676" xr:uid="{00000000-0005-0000-0000-0000438F0000}"/>
    <cellStyle name="Comma 4 3 2 5" xfId="36677" xr:uid="{00000000-0005-0000-0000-0000448F0000}"/>
    <cellStyle name="Comma 4 3 3" xfId="36678" xr:uid="{00000000-0005-0000-0000-0000458F0000}"/>
    <cellStyle name="Comma 4 3 3 2" xfId="36679" xr:uid="{00000000-0005-0000-0000-0000468F0000}"/>
    <cellStyle name="Comma 4 3 3 2 2" xfId="36680" xr:uid="{00000000-0005-0000-0000-0000478F0000}"/>
    <cellStyle name="Comma 4 3 3 3" xfId="36681" xr:uid="{00000000-0005-0000-0000-0000488F0000}"/>
    <cellStyle name="Comma 4 3 4" xfId="36682" xr:uid="{00000000-0005-0000-0000-0000498F0000}"/>
    <cellStyle name="Comma 4 3 5" xfId="36683" xr:uid="{00000000-0005-0000-0000-00004A8F0000}"/>
    <cellStyle name="Comma 4 3 6" xfId="36684" xr:uid="{00000000-0005-0000-0000-00004B8F0000}"/>
    <cellStyle name="Comma 4 3_Proj" xfId="36685" xr:uid="{00000000-0005-0000-0000-00004C8F0000}"/>
    <cellStyle name="Comma 4 4" xfId="36686" xr:uid="{00000000-0005-0000-0000-00004D8F0000}"/>
    <cellStyle name="Comma 4 4 2" xfId="36687" xr:uid="{00000000-0005-0000-0000-00004E8F0000}"/>
    <cellStyle name="Comma 4 4 3" xfId="36688" xr:uid="{00000000-0005-0000-0000-00004F8F0000}"/>
    <cellStyle name="Comma 4 4 4" xfId="36689" xr:uid="{00000000-0005-0000-0000-0000508F0000}"/>
    <cellStyle name="Comma 4 4 5" xfId="36690" xr:uid="{00000000-0005-0000-0000-0000518F0000}"/>
    <cellStyle name="Comma 4 4_Proj" xfId="36691" xr:uid="{00000000-0005-0000-0000-0000528F0000}"/>
    <cellStyle name="Comma 4 5" xfId="36692" xr:uid="{00000000-0005-0000-0000-0000538F0000}"/>
    <cellStyle name="Comma 4 5 2" xfId="36693" xr:uid="{00000000-0005-0000-0000-0000548F0000}"/>
    <cellStyle name="Comma 4 5 3" xfId="36694" xr:uid="{00000000-0005-0000-0000-0000558F0000}"/>
    <cellStyle name="Comma 4 5_Proj" xfId="36695" xr:uid="{00000000-0005-0000-0000-0000568F0000}"/>
    <cellStyle name="Comma 4 6" xfId="36696" xr:uid="{00000000-0005-0000-0000-0000578F0000}"/>
    <cellStyle name="Comma 4 6 2" xfId="36697" xr:uid="{00000000-0005-0000-0000-0000588F0000}"/>
    <cellStyle name="Comma 4 6 3" xfId="36698" xr:uid="{00000000-0005-0000-0000-0000598F0000}"/>
    <cellStyle name="Comma 4 7" xfId="36699" xr:uid="{00000000-0005-0000-0000-00005A8F0000}"/>
    <cellStyle name="Comma 4 8" xfId="36700" xr:uid="{00000000-0005-0000-0000-00005B8F0000}"/>
    <cellStyle name="Comma 4 9" xfId="36701" xr:uid="{00000000-0005-0000-0000-00005C8F0000}"/>
    <cellStyle name="Comma 4_GE.IU" xfId="36702" xr:uid="{00000000-0005-0000-0000-00005D8F0000}"/>
    <cellStyle name="Comma 40" xfId="36703" xr:uid="{00000000-0005-0000-0000-00005E8F0000}"/>
    <cellStyle name="Comma 41" xfId="36704" xr:uid="{00000000-0005-0000-0000-00005F8F0000}"/>
    <cellStyle name="Comma 42" xfId="36705" xr:uid="{00000000-0005-0000-0000-0000608F0000}"/>
    <cellStyle name="Comma 43" xfId="36706" xr:uid="{00000000-0005-0000-0000-0000618F0000}"/>
    <cellStyle name="Comma 44" xfId="36707" xr:uid="{00000000-0005-0000-0000-0000628F0000}"/>
    <cellStyle name="Comma 45" xfId="36708" xr:uid="{00000000-0005-0000-0000-0000638F0000}"/>
    <cellStyle name="Comma 46" xfId="36709" xr:uid="{00000000-0005-0000-0000-0000648F0000}"/>
    <cellStyle name="Comma 47" xfId="36710" xr:uid="{00000000-0005-0000-0000-0000658F0000}"/>
    <cellStyle name="Comma 48" xfId="36711" xr:uid="{00000000-0005-0000-0000-0000668F0000}"/>
    <cellStyle name="Comma 49" xfId="36712" xr:uid="{00000000-0005-0000-0000-0000678F0000}"/>
    <cellStyle name="Comma 5" xfId="36713" xr:uid="{00000000-0005-0000-0000-0000688F0000}"/>
    <cellStyle name="Comma 5 10" xfId="36714" xr:uid="{00000000-0005-0000-0000-0000698F0000}"/>
    <cellStyle name="Comma 5 2" xfId="36715" xr:uid="{00000000-0005-0000-0000-00006A8F0000}"/>
    <cellStyle name="Comma 5 2 10" xfId="36716" xr:uid="{00000000-0005-0000-0000-00006B8F0000}"/>
    <cellStyle name="Comma 5 2 11" xfId="36717" xr:uid="{00000000-0005-0000-0000-00006C8F0000}"/>
    <cellStyle name="Comma 5 2 12" xfId="36718" xr:uid="{00000000-0005-0000-0000-00006D8F0000}"/>
    <cellStyle name="Comma 5 2 2" xfId="36719" xr:uid="{00000000-0005-0000-0000-00006E8F0000}"/>
    <cellStyle name="Comma 5 2 2 2" xfId="36720" xr:uid="{00000000-0005-0000-0000-00006F8F0000}"/>
    <cellStyle name="Comma 5 2 2 2 2" xfId="36721" xr:uid="{00000000-0005-0000-0000-0000708F0000}"/>
    <cellStyle name="Comma 5 2 2 2 2 2" xfId="36722" xr:uid="{00000000-0005-0000-0000-0000718F0000}"/>
    <cellStyle name="Comma 5 2 2 2 3" xfId="36723" xr:uid="{00000000-0005-0000-0000-0000728F0000}"/>
    <cellStyle name="Comma 5 2 2 2 4" xfId="36724" xr:uid="{00000000-0005-0000-0000-0000738F0000}"/>
    <cellStyle name="Comma 5 2 2 2 5" xfId="36725" xr:uid="{00000000-0005-0000-0000-0000748F0000}"/>
    <cellStyle name="Comma 5 2 2 3" xfId="36726" xr:uid="{00000000-0005-0000-0000-0000758F0000}"/>
    <cellStyle name="Comma 5 2 2 3 2" xfId="36727" xr:uid="{00000000-0005-0000-0000-0000768F0000}"/>
    <cellStyle name="Comma 5 2 2 4" xfId="36728" xr:uid="{00000000-0005-0000-0000-0000778F0000}"/>
    <cellStyle name="Comma 5 2 2 5" xfId="36729" xr:uid="{00000000-0005-0000-0000-0000788F0000}"/>
    <cellStyle name="Comma 5 2 2 6" xfId="36730" xr:uid="{00000000-0005-0000-0000-0000798F0000}"/>
    <cellStyle name="Comma 5 2 2 7" xfId="36731" xr:uid="{00000000-0005-0000-0000-00007A8F0000}"/>
    <cellStyle name="Comma 5 2 3" xfId="36732" xr:uid="{00000000-0005-0000-0000-00007B8F0000}"/>
    <cellStyle name="Comma 5 2 3 2" xfId="36733" xr:uid="{00000000-0005-0000-0000-00007C8F0000}"/>
    <cellStyle name="Comma 5 2 3 2 2" xfId="36734" xr:uid="{00000000-0005-0000-0000-00007D8F0000}"/>
    <cellStyle name="Comma 5 2 3 2 2 2" xfId="36735" xr:uid="{00000000-0005-0000-0000-00007E8F0000}"/>
    <cellStyle name="Comma 5 2 3 2 3" xfId="36736" xr:uid="{00000000-0005-0000-0000-00007F8F0000}"/>
    <cellStyle name="Comma 5 2 3 3" xfId="36737" xr:uid="{00000000-0005-0000-0000-0000808F0000}"/>
    <cellStyle name="Comma 5 2 3 3 2" xfId="36738" xr:uid="{00000000-0005-0000-0000-0000818F0000}"/>
    <cellStyle name="Comma 5 2 3 4" xfId="36739" xr:uid="{00000000-0005-0000-0000-0000828F0000}"/>
    <cellStyle name="Comma 5 2 3 5" xfId="36740" xr:uid="{00000000-0005-0000-0000-0000838F0000}"/>
    <cellStyle name="Comma 5 2 3 6" xfId="36741" xr:uid="{00000000-0005-0000-0000-0000848F0000}"/>
    <cellStyle name="Comma 5 2 3 7" xfId="36742" xr:uid="{00000000-0005-0000-0000-0000858F0000}"/>
    <cellStyle name="Comma 5 2 4" xfId="36743" xr:uid="{00000000-0005-0000-0000-0000868F0000}"/>
    <cellStyle name="Comma 5 2 4 2" xfId="36744" xr:uid="{00000000-0005-0000-0000-0000878F0000}"/>
    <cellStyle name="Comma 5 2 4 2 2" xfId="36745" xr:uid="{00000000-0005-0000-0000-0000888F0000}"/>
    <cellStyle name="Comma 5 2 4 3" xfId="36746" xr:uid="{00000000-0005-0000-0000-0000898F0000}"/>
    <cellStyle name="Comma 5 2 4 4" xfId="36747" xr:uid="{00000000-0005-0000-0000-00008A8F0000}"/>
    <cellStyle name="Comma 5 2 5" xfId="36748" xr:uid="{00000000-0005-0000-0000-00008B8F0000}"/>
    <cellStyle name="Comma 5 2 5 2" xfId="36749" xr:uid="{00000000-0005-0000-0000-00008C8F0000}"/>
    <cellStyle name="Comma 5 2 5 3" xfId="36750" xr:uid="{00000000-0005-0000-0000-00008D8F0000}"/>
    <cellStyle name="Comma 5 2 6" xfId="36751" xr:uid="{00000000-0005-0000-0000-00008E8F0000}"/>
    <cellStyle name="Comma 5 2 6 2" xfId="36752" xr:uid="{00000000-0005-0000-0000-00008F8F0000}"/>
    <cellStyle name="Comma 5 2 6 3" xfId="36753" xr:uid="{00000000-0005-0000-0000-0000908F0000}"/>
    <cellStyle name="Comma 5 2 7" xfId="36754" xr:uid="{00000000-0005-0000-0000-0000918F0000}"/>
    <cellStyle name="Comma 5 2 8" xfId="36755" xr:uid="{00000000-0005-0000-0000-0000928F0000}"/>
    <cellStyle name="Comma 5 2 9" xfId="36756" xr:uid="{00000000-0005-0000-0000-0000938F0000}"/>
    <cellStyle name="Comma 5 3" xfId="36757" xr:uid="{00000000-0005-0000-0000-0000948F0000}"/>
    <cellStyle name="Comma 5 3 2" xfId="36758" xr:uid="{00000000-0005-0000-0000-0000958F0000}"/>
    <cellStyle name="Comma 5 3 2 2" xfId="36759" xr:uid="{00000000-0005-0000-0000-0000968F0000}"/>
    <cellStyle name="Comma 5 3 2 3" xfId="36760" xr:uid="{00000000-0005-0000-0000-0000978F0000}"/>
    <cellStyle name="Comma 5 3 3" xfId="36761" xr:uid="{00000000-0005-0000-0000-0000988F0000}"/>
    <cellStyle name="Comma 5 3 3 2" xfId="36762" xr:uid="{00000000-0005-0000-0000-0000998F0000}"/>
    <cellStyle name="Comma 5 3 3 2 2" xfId="36763" xr:uid="{00000000-0005-0000-0000-00009A8F0000}"/>
    <cellStyle name="Comma 5 3 3 3" xfId="36764" xr:uid="{00000000-0005-0000-0000-00009B8F0000}"/>
    <cellStyle name="Comma 5 3 3 4" xfId="36765" xr:uid="{00000000-0005-0000-0000-00009C8F0000}"/>
    <cellStyle name="Comma 5 3 4" xfId="36766" xr:uid="{00000000-0005-0000-0000-00009D8F0000}"/>
    <cellStyle name="Comma 5 3 4 2" xfId="36767" xr:uid="{00000000-0005-0000-0000-00009E8F0000}"/>
    <cellStyle name="Comma 5 3 5" xfId="36768" xr:uid="{00000000-0005-0000-0000-00009F8F0000}"/>
    <cellStyle name="Comma 5 3 6" xfId="36769" xr:uid="{00000000-0005-0000-0000-0000A08F0000}"/>
    <cellStyle name="Comma 5 3 7" xfId="36770" xr:uid="{00000000-0005-0000-0000-0000A18F0000}"/>
    <cellStyle name="Comma 5 4" xfId="36771" xr:uid="{00000000-0005-0000-0000-0000A28F0000}"/>
    <cellStyle name="Comma 5 4 2" xfId="36772" xr:uid="{00000000-0005-0000-0000-0000A38F0000}"/>
    <cellStyle name="Comma 5 4 2 2" xfId="36773" xr:uid="{00000000-0005-0000-0000-0000A48F0000}"/>
    <cellStyle name="Comma 5 4 2 3" xfId="36774" xr:uid="{00000000-0005-0000-0000-0000A58F0000}"/>
    <cellStyle name="Comma 5 4 3" xfId="36775" xr:uid="{00000000-0005-0000-0000-0000A68F0000}"/>
    <cellStyle name="Comma 5 4 3 2" xfId="36776" xr:uid="{00000000-0005-0000-0000-0000A78F0000}"/>
    <cellStyle name="Comma 5 4 4" xfId="36777" xr:uid="{00000000-0005-0000-0000-0000A88F0000}"/>
    <cellStyle name="Comma 5 4 5" xfId="36778" xr:uid="{00000000-0005-0000-0000-0000A98F0000}"/>
    <cellStyle name="Comma 5 4 6" xfId="36779" xr:uid="{00000000-0005-0000-0000-0000AA8F0000}"/>
    <cellStyle name="Comma 5 5" xfId="36780" xr:uid="{00000000-0005-0000-0000-0000AB8F0000}"/>
    <cellStyle name="Comma 5 5 2" xfId="36781" xr:uid="{00000000-0005-0000-0000-0000AC8F0000}"/>
    <cellStyle name="Comma 5 5 3" xfId="36782" xr:uid="{00000000-0005-0000-0000-0000AD8F0000}"/>
    <cellStyle name="Comma 5 6" xfId="36783" xr:uid="{00000000-0005-0000-0000-0000AE8F0000}"/>
    <cellStyle name="Comma 5 7" xfId="36784" xr:uid="{00000000-0005-0000-0000-0000AF8F0000}"/>
    <cellStyle name="Comma 5 8" xfId="36785" xr:uid="{00000000-0005-0000-0000-0000B08F0000}"/>
    <cellStyle name="Comma 5 9" xfId="36786" xr:uid="{00000000-0005-0000-0000-0000B18F0000}"/>
    <cellStyle name="Comma 5_Proj" xfId="36787" xr:uid="{00000000-0005-0000-0000-0000B28F0000}"/>
    <cellStyle name="Comma 50" xfId="53993" xr:uid="{00000000-0005-0000-0000-0000B38F0000}"/>
    <cellStyle name="Comma 50 2" xfId="54010" xr:uid="{1593BE8A-D311-4E88-99A0-DB7C93171300}"/>
    <cellStyle name="Comma 6" xfId="36788" xr:uid="{00000000-0005-0000-0000-0000B48F0000}"/>
    <cellStyle name="Comma 6 10" xfId="36789" xr:uid="{00000000-0005-0000-0000-0000B58F0000}"/>
    <cellStyle name="Comma 6 11" xfId="36790" xr:uid="{00000000-0005-0000-0000-0000B68F0000}"/>
    <cellStyle name="Comma 6 12" xfId="36791" xr:uid="{00000000-0005-0000-0000-0000B78F0000}"/>
    <cellStyle name="Comma 6 13" xfId="36792" xr:uid="{00000000-0005-0000-0000-0000B88F0000}"/>
    <cellStyle name="Comma 6 2" xfId="36793" xr:uid="{00000000-0005-0000-0000-0000B98F0000}"/>
    <cellStyle name="Comma 6 2 2" xfId="36794" xr:uid="{00000000-0005-0000-0000-0000BA8F0000}"/>
    <cellStyle name="Comma 6 2 2 2" xfId="36795" xr:uid="{00000000-0005-0000-0000-0000BB8F0000}"/>
    <cellStyle name="Comma 6 2 2 3" xfId="36796" xr:uid="{00000000-0005-0000-0000-0000BC8F0000}"/>
    <cellStyle name="Comma 6 2 2 4" xfId="36797" xr:uid="{00000000-0005-0000-0000-0000BD8F0000}"/>
    <cellStyle name="Comma 6 2 2 5" xfId="36798" xr:uid="{00000000-0005-0000-0000-0000BE8F0000}"/>
    <cellStyle name="Comma 6 2 3" xfId="36799" xr:uid="{00000000-0005-0000-0000-0000BF8F0000}"/>
    <cellStyle name="Comma 6 2 3 2" xfId="36800" xr:uid="{00000000-0005-0000-0000-0000C08F0000}"/>
    <cellStyle name="Comma 6 2 3 2 2" xfId="36801" xr:uid="{00000000-0005-0000-0000-0000C18F0000}"/>
    <cellStyle name="Comma 6 2 3 3" xfId="36802" xr:uid="{00000000-0005-0000-0000-0000C28F0000}"/>
    <cellStyle name="Comma 6 2 4" xfId="36803" xr:uid="{00000000-0005-0000-0000-0000C38F0000}"/>
    <cellStyle name="Comma 6 2 4 2" xfId="36804" xr:uid="{00000000-0005-0000-0000-0000C48F0000}"/>
    <cellStyle name="Comma 6 2 5" xfId="36805" xr:uid="{00000000-0005-0000-0000-0000C58F0000}"/>
    <cellStyle name="Comma 6 2 6" xfId="36806" xr:uid="{00000000-0005-0000-0000-0000C68F0000}"/>
    <cellStyle name="Comma 6 3" xfId="36807" xr:uid="{00000000-0005-0000-0000-0000C78F0000}"/>
    <cellStyle name="Comma 6 3 2" xfId="36808" xr:uid="{00000000-0005-0000-0000-0000C88F0000}"/>
    <cellStyle name="Comma 6 3 3" xfId="36809" xr:uid="{00000000-0005-0000-0000-0000C98F0000}"/>
    <cellStyle name="Comma 6 3 4" xfId="36810" xr:uid="{00000000-0005-0000-0000-0000CA8F0000}"/>
    <cellStyle name="Comma 6 3 5" xfId="36811" xr:uid="{00000000-0005-0000-0000-0000CB8F0000}"/>
    <cellStyle name="Comma 6 4" xfId="36812" xr:uid="{00000000-0005-0000-0000-0000CC8F0000}"/>
    <cellStyle name="Comma 6 4 2" xfId="36813" xr:uid="{00000000-0005-0000-0000-0000CD8F0000}"/>
    <cellStyle name="Comma 6 5" xfId="36814" xr:uid="{00000000-0005-0000-0000-0000CE8F0000}"/>
    <cellStyle name="Comma 6 6" xfId="36815" xr:uid="{00000000-0005-0000-0000-0000CF8F0000}"/>
    <cellStyle name="Comma 6 7" xfId="36816" xr:uid="{00000000-0005-0000-0000-0000D08F0000}"/>
    <cellStyle name="Comma 6 8" xfId="36817" xr:uid="{00000000-0005-0000-0000-0000D18F0000}"/>
    <cellStyle name="Comma 6 9" xfId="36818" xr:uid="{00000000-0005-0000-0000-0000D28F0000}"/>
    <cellStyle name="Comma 7" xfId="36819" xr:uid="{00000000-0005-0000-0000-0000D38F0000}"/>
    <cellStyle name="Comma 7 2" xfId="36820" xr:uid="{00000000-0005-0000-0000-0000D48F0000}"/>
    <cellStyle name="Comma 7 2 2" xfId="36821" xr:uid="{00000000-0005-0000-0000-0000D58F0000}"/>
    <cellStyle name="Comma 7 2 2 2" xfId="36822" xr:uid="{00000000-0005-0000-0000-0000D68F0000}"/>
    <cellStyle name="Comma 7 2 2 3" xfId="36823" xr:uid="{00000000-0005-0000-0000-0000D78F0000}"/>
    <cellStyle name="Comma 7 2 2 4" xfId="36824" xr:uid="{00000000-0005-0000-0000-0000D88F0000}"/>
    <cellStyle name="Comma 7 2 2 5" xfId="36825" xr:uid="{00000000-0005-0000-0000-0000D98F0000}"/>
    <cellStyle name="Comma 7 2 3" xfId="36826" xr:uid="{00000000-0005-0000-0000-0000DA8F0000}"/>
    <cellStyle name="Comma 7 2 4" xfId="36827" xr:uid="{00000000-0005-0000-0000-0000DB8F0000}"/>
    <cellStyle name="Comma 7 2 5" xfId="36828" xr:uid="{00000000-0005-0000-0000-0000DC8F0000}"/>
    <cellStyle name="Comma 7 2 6" xfId="36829" xr:uid="{00000000-0005-0000-0000-0000DD8F0000}"/>
    <cellStyle name="Comma 7 3" xfId="36830" xr:uid="{00000000-0005-0000-0000-0000DE8F0000}"/>
    <cellStyle name="Comma 7 3 2" xfId="36831" xr:uid="{00000000-0005-0000-0000-0000DF8F0000}"/>
    <cellStyle name="Comma 7 3 3" xfId="36832" xr:uid="{00000000-0005-0000-0000-0000E08F0000}"/>
    <cellStyle name="Comma 7 4" xfId="36833" xr:uid="{00000000-0005-0000-0000-0000E18F0000}"/>
    <cellStyle name="Comma 7 5" xfId="36834" xr:uid="{00000000-0005-0000-0000-0000E28F0000}"/>
    <cellStyle name="Comma 7 6" xfId="36835" xr:uid="{00000000-0005-0000-0000-0000E38F0000}"/>
    <cellStyle name="Comma 7 7" xfId="36836" xr:uid="{00000000-0005-0000-0000-0000E48F0000}"/>
    <cellStyle name="Comma 7 8" xfId="36837" xr:uid="{00000000-0005-0000-0000-0000E58F0000}"/>
    <cellStyle name="Comma 7 9" xfId="36838" xr:uid="{00000000-0005-0000-0000-0000E68F0000}"/>
    <cellStyle name="Comma 8" xfId="36839" xr:uid="{00000000-0005-0000-0000-0000E78F0000}"/>
    <cellStyle name="Comma 8 10" xfId="36840" xr:uid="{00000000-0005-0000-0000-0000E88F0000}"/>
    <cellStyle name="Comma 8 2" xfId="36841" xr:uid="{00000000-0005-0000-0000-0000E98F0000}"/>
    <cellStyle name="Comma 8 2 2" xfId="36842" xr:uid="{00000000-0005-0000-0000-0000EA8F0000}"/>
    <cellStyle name="Comma 8 2 2 2" xfId="36843" xr:uid="{00000000-0005-0000-0000-0000EB8F0000}"/>
    <cellStyle name="Comma 8 3" xfId="36844" xr:uid="{00000000-0005-0000-0000-0000EC8F0000}"/>
    <cellStyle name="Comma 8 3 2" xfId="36845" xr:uid="{00000000-0005-0000-0000-0000ED8F0000}"/>
    <cellStyle name="Comma 8 4" xfId="36846" xr:uid="{00000000-0005-0000-0000-0000EE8F0000}"/>
    <cellStyle name="Comma 8 5" xfId="36847" xr:uid="{00000000-0005-0000-0000-0000EF8F0000}"/>
    <cellStyle name="Comma 8 6" xfId="36848" xr:uid="{00000000-0005-0000-0000-0000F08F0000}"/>
    <cellStyle name="Comma 8 7" xfId="36849" xr:uid="{00000000-0005-0000-0000-0000F18F0000}"/>
    <cellStyle name="Comma 8 8" xfId="36850" xr:uid="{00000000-0005-0000-0000-0000F28F0000}"/>
    <cellStyle name="Comma 8 9" xfId="36851" xr:uid="{00000000-0005-0000-0000-0000F38F0000}"/>
    <cellStyle name="Comma 9" xfId="36852" xr:uid="{00000000-0005-0000-0000-0000F48F0000}"/>
    <cellStyle name="Comma 9 2" xfId="36853" xr:uid="{00000000-0005-0000-0000-0000F58F0000}"/>
    <cellStyle name="Comma 9 2 2" xfId="36854" xr:uid="{00000000-0005-0000-0000-0000F68F0000}"/>
    <cellStyle name="Comma 9 3" xfId="36855" xr:uid="{00000000-0005-0000-0000-0000F78F0000}"/>
    <cellStyle name="Comma 9 4" xfId="36856" xr:uid="{00000000-0005-0000-0000-0000F88F0000}"/>
    <cellStyle name="Comma 9 5" xfId="36857" xr:uid="{00000000-0005-0000-0000-0000F98F0000}"/>
    <cellStyle name="Comma 9 6" xfId="36858" xr:uid="{00000000-0005-0000-0000-0000FA8F0000}"/>
    <cellStyle name="Comma 9 7" xfId="36859" xr:uid="{00000000-0005-0000-0000-0000FB8F0000}"/>
    <cellStyle name="Comma 9 8" xfId="36860" xr:uid="{00000000-0005-0000-0000-0000FC8F0000}"/>
    <cellStyle name="comma zerodec" xfId="36861" xr:uid="{00000000-0005-0000-0000-0000FD8F0000}"/>
    <cellStyle name="Comma0" xfId="36862" xr:uid="{00000000-0005-0000-0000-0000FE8F0000}"/>
    <cellStyle name="Copied" xfId="36863" xr:uid="{00000000-0005-0000-0000-0000FF8F0000}"/>
    <cellStyle name="COST1" xfId="36864" xr:uid="{00000000-0005-0000-0000-000000900000}"/>
    <cellStyle name="CSI" xfId="36865" xr:uid="{00000000-0005-0000-0000-000001900000}"/>
    <cellStyle name="Currency [00]" xfId="36866" xr:uid="{00000000-0005-0000-0000-000002900000}"/>
    <cellStyle name="Currency 2" xfId="36867" xr:uid="{00000000-0005-0000-0000-000003900000}"/>
    <cellStyle name="Currency 2 2" xfId="36868" xr:uid="{00000000-0005-0000-0000-000004900000}"/>
    <cellStyle name="Currency 2 3" xfId="36869" xr:uid="{00000000-0005-0000-0000-000005900000}"/>
    <cellStyle name="Currency 2 3 2" xfId="36870" xr:uid="{00000000-0005-0000-0000-000006900000}"/>
    <cellStyle name="Currency 2 4" xfId="36871" xr:uid="{00000000-0005-0000-0000-000007900000}"/>
    <cellStyle name="Currency 2 4 2" xfId="36872" xr:uid="{00000000-0005-0000-0000-000008900000}"/>
    <cellStyle name="Currency 2 5" xfId="36873" xr:uid="{00000000-0005-0000-0000-000009900000}"/>
    <cellStyle name="Currency 3" xfId="36874" xr:uid="{00000000-0005-0000-0000-00000A900000}"/>
    <cellStyle name="Currency 3 2" xfId="36875" xr:uid="{00000000-0005-0000-0000-00000B900000}"/>
    <cellStyle name="Currency 3 2 2" xfId="36876" xr:uid="{00000000-0005-0000-0000-00000C900000}"/>
    <cellStyle name="Currency 3 3" xfId="36877" xr:uid="{00000000-0005-0000-0000-00000D900000}"/>
    <cellStyle name="Currency 3 4" xfId="36878" xr:uid="{00000000-0005-0000-0000-00000E900000}"/>
    <cellStyle name="Currency 4" xfId="36879" xr:uid="{00000000-0005-0000-0000-00000F900000}"/>
    <cellStyle name="Currency0" xfId="36880" xr:uid="{00000000-0005-0000-0000-000010900000}"/>
    <cellStyle name="Currency1" xfId="36881" xr:uid="{00000000-0005-0000-0000-000011900000}"/>
    <cellStyle name="Custom - Style8" xfId="36882" xr:uid="{00000000-0005-0000-0000-000012900000}"/>
    <cellStyle name="Data   - Style2" xfId="36883" xr:uid="{00000000-0005-0000-0000-000013900000}"/>
    <cellStyle name="Data   - Style2 2" xfId="36884" xr:uid="{00000000-0005-0000-0000-000014900000}"/>
    <cellStyle name="Data   - Style2 3" xfId="36885" xr:uid="{00000000-0005-0000-0000-000015900000}"/>
    <cellStyle name="Data   - Style2 4" xfId="36886" xr:uid="{00000000-0005-0000-0000-000016900000}"/>
    <cellStyle name="Data   - Style2 5" xfId="36887" xr:uid="{00000000-0005-0000-0000-000017900000}"/>
    <cellStyle name="Date" xfId="36888" xr:uid="{00000000-0005-0000-0000-000018900000}"/>
    <cellStyle name="Date 2" xfId="36889" xr:uid="{00000000-0005-0000-0000-000019900000}"/>
    <cellStyle name="Date Short" xfId="36890" xr:uid="{00000000-0005-0000-0000-00001A900000}"/>
    <cellStyle name="Date_Labour Histogram - Chandigarh" xfId="36891" xr:uid="{00000000-0005-0000-0000-00001B900000}"/>
    <cellStyle name="datum" xfId="36892" xr:uid="{00000000-0005-0000-0000-00001C900000}"/>
    <cellStyle name="datum 2" xfId="36893" xr:uid="{00000000-0005-0000-0000-00001D900000}"/>
    <cellStyle name="datum 2 2" xfId="36894" xr:uid="{00000000-0005-0000-0000-00001E900000}"/>
    <cellStyle name="datum 3" xfId="36895" xr:uid="{00000000-0005-0000-0000-00001F900000}"/>
    <cellStyle name="DELTA" xfId="36896" xr:uid="{00000000-0005-0000-0000-000020900000}"/>
    <cellStyle name="Description" xfId="36897" xr:uid="{00000000-0005-0000-0000-000021900000}"/>
    <cellStyle name="Dezimal [0]_AE_RM" xfId="36898" xr:uid="{00000000-0005-0000-0000-000022900000}"/>
    <cellStyle name="Dezimal_AE_RM" xfId="36899" xr:uid="{00000000-0005-0000-0000-000023900000}"/>
    <cellStyle name="Dollar (zero dec)" xfId="36900" xr:uid="{00000000-0005-0000-0000-000024900000}"/>
    <cellStyle name="Dziesiętny [0]_INVEST" xfId="36901" xr:uid="{00000000-0005-0000-0000-000025900000}"/>
    <cellStyle name="Dziesiętny_INVEST" xfId="36902" xr:uid="{00000000-0005-0000-0000-000026900000}"/>
    <cellStyle name="ENEREFF" xfId="36903" xr:uid="{00000000-0005-0000-0000-000027900000}"/>
    <cellStyle name="ENEREFF 2" xfId="36904" xr:uid="{00000000-0005-0000-0000-000028900000}"/>
    <cellStyle name="Enter Currency (0)" xfId="36905" xr:uid="{00000000-0005-0000-0000-000029900000}"/>
    <cellStyle name="Enter Currency (2)" xfId="36906" xr:uid="{00000000-0005-0000-0000-00002A900000}"/>
    <cellStyle name="Enter Units (0)" xfId="36907" xr:uid="{00000000-0005-0000-0000-00002B900000}"/>
    <cellStyle name="Enter Units (1)" xfId="36908" xr:uid="{00000000-0005-0000-0000-00002C900000}"/>
    <cellStyle name="Enter Units (2)" xfId="36909" xr:uid="{00000000-0005-0000-0000-00002D900000}"/>
    <cellStyle name="Entered" xfId="36910" xr:uid="{00000000-0005-0000-0000-00002E900000}"/>
    <cellStyle name="En-tête 1" xfId="36911" xr:uid="{00000000-0005-0000-0000-00002F900000}"/>
    <cellStyle name="En-tête 1 2" xfId="36912" xr:uid="{00000000-0005-0000-0000-000030900000}"/>
    <cellStyle name="En-tête 2" xfId="36913" xr:uid="{00000000-0005-0000-0000-000031900000}"/>
    <cellStyle name="En-tête 2 2" xfId="36914" xr:uid="{00000000-0005-0000-0000-000032900000}"/>
    <cellStyle name="erik" xfId="36915" xr:uid="{00000000-0005-0000-0000-000033900000}"/>
    <cellStyle name="Euro" xfId="36916" xr:uid="{00000000-0005-0000-0000-000034900000}"/>
    <cellStyle name="Euro 2" xfId="36917" xr:uid="{00000000-0005-0000-0000-000035900000}"/>
    <cellStyle name="Euro 3" xfId="36918" xr:uid="{00000000-0005-0000-0000-000036900000}"/>
    <cellStyle name="Euro 4" xfId="36919" xr:uid="{00000000-0005-0000-0000-000037900000}"/>
    <cellStyle name="Euro 5" xfId="36920" xr:uid="{00000000-0005-0000-0000-000038900000}"/>
    <cellStyle name="Euro 6" xfId="36921" xr:uid="{00000000-0005-0000-0000-000039900000}"/>
    <cellStyle name="Euro 7" xfId="36922" xr:uid="{00000000-0005-0000-0000-00003A900000}"/>
    <cellStyle name="Euro 8" xfId="36923" xr:uid="{00000000-0005-0000-0000-00003B900000}"/>
    <cellStyle name="Euro 9" xfId="36924" xr:uid="{00000000-0005-0000-0000-00003C900000}"/>
    <cellStyle name="Excel Built-in 20% - Accent1" xfId="36925" xr:uid="{00000000-0005-0000-0000-00003D900000}"/>
    <cellStyle name="Excel Built-in 20% - Accent1 2" xfId="36926" xr:uid="{00000000-0005-0000-0000-00003E900000}"/>
    <cellStyle name="Excel Built-in 20% - Accent1 2 2" xfId="36927" xr:uid="{00000000-0005-0000-0000-00003F900000}"/>
    <cellStyle name="Excel Built-in 20% - Accent1 2 3" xfId="36928" xr:uid="{00000000-0005-0000-0000-000040900000}"/>
    <cellStyle name="Excel Built-in 20% - Accent1 2 4" xfId="36929" xr:uid="{00000000-0005-0000-0000-000041900000}"/>
    <cellStyle name="Excel Built-in 20% - Accent1 3" xfId="36930" xr:uid="{00000000-0005-0000-0000-000042900000}"/>
    <cellStyle name="Excel Built-in 20% - Accent1 4" xfId="36931" xr:uid="{00000000-0005-0000-0000-000043900000}"/>
    <cellStyle name="Excel Built-in 20% - Accent1 5" xfId="36932" xr:uid="{00000000-0005-0000-0000-000044900000}"/>
    <cellStyle name="Excel Built-in 20% - Accent1 6" xfId="36933" xr:uid="{00000000-0005-0000-0000-000045900000}"/>
    <cellStyle name="Excel Built-in 20% - Accent2" xfId="36934" xr:uid="{00000000-0005-0000-0000-000046900000}"/>
    <cellStyle name="Excel Built-in 20% - Accent2 2" xfId="36935" xr:uid="{00000000-0005-0000-0000-000047900000}"/>
    <cellStyle name="Excel Built-in 20% - Accent2 2 2" xfId="36936" xr:uid="{00000000-0005-0000-0000-000048900000}"/>
    <cellStyle name="Excel Built-in 20% - Accent2 2 3" xfId="36937" xr:uid="{00000000-0005-0000-0000-000049900000}"/>
    <cellStyle name="Excel Built-in 20% - Accent2 2 4" xfId="36938" xr:uid="{00000000-0005-0000-0000-00004A900000}"/>
    <cellStyle name="Excel Built-in 20% - Accent2 3" xfId="36939" xr:uid="{00000000-0005-0000-0000-00004B900000}"/>
    <cellStyle name="Excel Built-in 20% - Accent2 4" xfId="36940" xr:uid="{00000000-0005-0000-0000-00004C900000}"/>
    <cellStyle name="Excel Built-in 20% - Accent2 5" xfId="36941" xr:uid="{00000000-0005-0000-0000-00004D900000}"/>
    <cellStyle name="Excel Built-in 20% - Accent2 6" xfId="36942" xr:uid="{00000000-0005-0000-0000-00004E900000}"/>
    <cellStyle name="Excel Built-in 20% - Accent3" xfId="36943" xr:uid="{00000000-0005-0000-0000-00004F900000}"/>
    <cellStyle name="Excel Built-in 20% - Accent3 2" xfId="36944" xr:uid="{00000000-0005-0000-0000-000050900000}"/>
    <cellStyle name="Excel Built-in 20% - Accent3 2 2" xfId="36945" xr:uid="{00000000-0005-0000-0000-000051900000}"/>
    <cellStyle name="Excel Built-in 20% - Accent3 2 3" xfId="36946" xr:uid="{00000000-0005-0000-0000-000052900000}"/>
    <cellStyle name="Excel Built-in 20% - Accent3 2 4" xfId="36947" xr:uid="{00000000-0005-0000-0000-000053900000}"/>
    <cellStyle name="Excel Built-in 20% - Accent3 3" xfId="36948" xr:uid="{00000000-0005-0000-0000-000054900000}"/>
    <cellStyle name="Excel Built-in 20% - Accent3 4" xfId="36949" xr:uid="{00000000-0005-0000-0000-000055900000}"/>
    <cellStyle name="Excel Built-in 20% - Accent3 5" xfId="36950" xr:uid="{00000000-0005-0000-0000-000056900000}"/>
    <cellStyle name="Excel Built-in 20% - Accent3 6" xfId="36951" xr:uid="{00000000-0005-0000-0000-000057900000}"/>
    <cellStyle name="Excel Built-in 20% - Accent4" xfId="36952" xr:uid="{00000000-0005-0000-0000-000058900000}"/>
    <cellStyle name="Excel Built-in 20% - Accent4 2" xfId="36953" xr:uid="{00000000-0005-0000-0000-000059900000}"/>
    <cellStyle name="Excel Built-in 20% - Accent4 2 2" xfId="36954" xr:uid="{00000000-0005-0000-0000-00005A900000}"/>
    <cellStyle name="Excel Built-in 20% - Accent4 2 3" xfId="36955" xr:uid="{00000000-0005-0000-0000-00005B900000}"/>
    <cellStyle name="Excel Built-in 20% - Accent4 2 4" xfId="36956" xr:uid="{00000000-0005-0000-0000-00005C900000}"/>
    <cellStyle name="Excel Built-in 20% - Accent4 3" xfId="36957" xr:uid="{00000000-0005-0000-0000-00005D900000}"/>
    <cellStyle name="Excel Built-in 20% - Accent4 4" xfId="36958" xr:uid="{00000000-0005-0000-0000-00005E900000}"/>
    <cellStyle name="Excel Built-in 20% - Accent4 5" xfId="36959" xr:uid="{00000000-0005-0000-0000-00005F900000}"/>
    <cellStyle name="Excel Built-in 20% - Accent4 6" xfId="36960" xr:uid="{00000000-0005-0000-0000-000060900000}"/>
    <cellStyle name="Excel Built-in 20% - Accent5" xfId="36961" xr:uid="{00000000-0005-0000-0000-000061900000}"/>
    <cellStyle name="Excel Built-in 20% - Accent5 2" xfId="36962" xr:uid="{00000000-0005-0000-0000-000062900000}"/>
    <cellStyle name="Excel Built-in 20% - Accent5 2 2" xfId="36963" xr:uid="{00000000-0005-0000-0000-000063900000}"/>
    <cellStyle name="Excel Built-in 20% - Accent5 2 3" xfId="36964" xr:uid="{00000000-0005-0000-0000-000064900000}"/>
    <cellStyle name="Excel Built-in 20% - Accent5 2 4" xfId="36965" xr:uid="{00000000-0005-0000-0000-000065900000}"/>
    <cellStyle name="Excel Built-in 20% - Accent5 3" xfId="36966" xr:uid="{00000000-0005-0000-0000-000066900000}"/>
    <cellStyle name="Excel Built-in 20% - Accent5 4" xfId="36967" xr:uid="{00000000-0005-0000-0000-000067900000}"/>
    <cellStyle name="Excel Built-in 20% - Accent5 5" xfId="36968" xr:uid="{00000000-0005-0000-0000-000068900000}"/>
    <cellStyle name="Excel Built-in 20% - Accent5 6" xfId="36969" xr:uid="{00000000-0005-0000-0000-000069900000}"/>
    <cellStyle name="Excel Built-in 20% - Accent6" xfId="36970" xr:uid="{00000000-0005-0000-0000-00006A900000}"/>
    <cellStyle name="Excel Built-in 20% - Accent6 2" xfId="36971" xr:uid="{00000000-0005-0000-0000-00006B900000}"/>
    <cellStyle name="Excel Built-in 20% - Accent6 2 2" xfId="36972" xr:uid="{00000000-0005-0000-0000-00006C900000}"/>
    <cellStyle name="Excel Built-in 20% - Accent6 2 3" xfId="36973" xr:uid="{00000000-0005-0000-0000-00006D900000}"/>
    <cellStyle name="Excel Built-in 20% - Accent6 2 4" xfId="36974" xr:uid="{00000000-0005-0000-0000-00006E900000}"/>
    <cellStyle name="Excel Built-in 20% - Accent6 3" xfId="36975" xr:uid="{00000000-0005-0000-0000-00006F900000}"/>
    <cellStyle name="Excel Built-in 20% - Accent6 4" xfId="36976" xr:uid="{00000000-0005-0000-0000-000070900000}"/>
    <cellStyle name="Excel Built-in 20% - Accent6 5" xfId="36977" xr:uid="{00000000-0005-0000-0000-000071900000}"/>
    <cellStyle name="Excel Built-in 20% - Accent6 6" xfId="36978" xr:uid="{00000000-0005-0000-0000-000072900000}"/>
    <cellStyle name="Excel Built-in 40% - Accent1" xfId="36979" xr:uid="{00000000-0005-0000-0000-000073900000}"/>
    <cellStyle name="Excel Built-in 40% - Accent1 2" xfId="36980" xr:uid="{00000000-0005-0000-0000-000074900000}"/>
    <cellStyle name="Excel Built-in 40% - Accent1 2 2" xfId="36981" xr:uid="{00000000-0005-0000-0000-000075900000}"/>
    <cellStyle name="Excel Built-in 40% - Accent1 2 3" xfId="36982" xr:uid="{00000000-0005-0000-0000-000076900000}"/>
    <cellStyle name="Excel Built-in 40% - Accent1 2 4" xfId="36983" xr:uid="{00000000-0005-0000-0000-000077900000}"/>
    <cellStyle name="Excel Built-in 40% - Accent1 3" xfId="36984" xr:uid="{00000000-0005-0000-0000-000078900000}"/>
    <cellStyle name="Excel Built-in 40% - Accent1 4" xfId="36985" xr:uid="{00000000-0005-0000-0000-000079900000}"/>
    <cellStyle name="Excel Built-in 40% - Accent1 5" xfId="36986" xr:uid="{00000000-0005-0000-0000-00007A900000}"/>
    <cellStyle name="Excel Built-in 40% - Accent1 6" xfId="36987" xr:uid="{00000000-0005-0000-0000-00007B900000}"/>
    <cellStyle name="Excel Built-in 40% - Accent2" xfId="36988" xr:uid="{00000000-0005-0000-0000-00007C900000}"/>
    <cellStyle name="Excel Built-in 40% - Accent2 2" xfId="36989" xr:uid="{00000000-0005-0000-0000-00007D900000}"/>
    <cellStyle name="Excel Built-in 40% - Accent2 2 2" xfId="36990" xr:uid="{00000000-0005-0000-0000-00007E900000}"/>
    <cellStyle name="Excel Built-in 40% - Accent2 2 3" xfId="36991" xr:uid="{00000000-0005-0000-0000-00007F900000}"/>
    <cellStyle name="Excel Built-in 40% - Accent2 2 4" xfId="36992" xr:uid="{00000000-0005-0000-0000-000080900000}"/>
    <cellStyle name="Excel Built-in 40% - Accent2 3" xfId="36993" xr:uid="{00000000-0005-0000-0000-000081900000}"/>
    <cellStyle name="Excel Built-in 40% - Accent2 4" xfId="36994" xr:uid="{00000000-0005-0000-0000-000082900000}"/>
    <cellStyle name="Excel Built-in 40% - Accent2 5" xfId="36995" xr:uid="{00000000-0005-0000-0000-000083900000}"/>
    <cellStyle name="Excel Built-in 40% - Accent2 6" xfId="36996" xr:uid="{00000000-0005-0000-0000-000084900000}"/>
    <cellStyle name="Excel Built-in 40% - Accent3" xfId="36997" xr:uid="{00000000-0005-0000-0000-000085900000}"/>
    <cellStyle name="Excel Built-in 40% - Accent3 2" xfId="36998" xr:uid="{00000000-0005-0000-0000-000086900000}"/>
    <cellStyle name="Excel Built-in 40% - Accent3 2 2" xfId="36999" xr:uid="{00000000-0005-0000-0000-000087900000}"/>
    <cellStyle name="Excel Built-in 40% - Accent3 2 3" xfId="37000" xr:uid="{00000000-0005-0000-0000-000088900000}"/>
    <cellStyle name="Excel Built-in 40% - Accent3 2 4" xfId="37001" xr:uid="{00000000-0005-0000-0000-000089900000}"/>
    <cellStyle name="Excel Built-in 40% - Accent3 3" xfId="37002" xr:uid="{00000000-0005-0000-0000-00008A900000}"/>
    <cellStyle name="Excel Built-in 40% - Accent3 4" xfId="37003" xr:uid="{00000000-0005-0000-0000-00008B900000}"/>
    <cellStyle name="Excel Built-in 40% - Accent3 5" xfId="37004" xr:uid="{00000000-0005-0000-0000-00008C900000}"/>
    <cellStyle name="Excel Built-in 40% - Accent3 6" xfId="37005" xr:uid="{00000000-0005-0000-0000-00008D900000}"/>
    <cellStyle name="Excel Built-in 40% - Accent4" xfId="37006" xr:uid="{00000000-0005-0000-0000-00008E900000}"/>
    <cellStyle name="Excel Built-in 40% - Accent4 2" xfId="37007" xr:uid="{00000000-0005-0000-0000-00008F900000}"/>
    <cellStyle name="Excel Built-in 40% - Accent4 2 2" xfId="37008" xr:uid="{00000000-0005-0000-0000-000090900000}"/>
    <cellStyle name="Excel Built-in 40% - Accent4 2 3" xfId="37009" xr:uid="{00000000-0005-0000-0000-000091900000}"/>
    <cellStyle name="Excel Built-in 40% - Accent4 2 4" xfId="37010" xr:uid="{00000000-0005-0000-0000-000092900000}"/>
    <cellStyle name="Excel Built-in 40% - Accent4 3" xfId="37011" xr:uid="{00000000-0005-0000-0000-000093900000}"/>
    <cellStyle name="Excel Built-in 40% - Accent4 4" xfId="37012" xr:uid="{00000000-0005-0000-0000-000094900000}"/>
    <cellStyle name="Excel Built-in 40% - Accent4 5" xfId="37013" xr:uid="{00000000-0005-0000-0000-000095900000}"/>
    <cellStyle name="Excel Built-in 40% - Accent4 6" xfId="37014" xr:uid="{00000000-0005-0000-0000-000096900000}"/>
    <cellStyle name="Excel Built-in 40% - Accent5" xfId="37015" xr:uid="{00000000-0005-0000-0000-000097900000}"/>
    <cellStyle name="Excel Built-in 40% - Accent5 2" xfId="37016" xr:uid="{00000000-0005-0000-0000-000098900000}"/>
    <cellStyle name="Excel Built-in 40% - Accent5 2 2" xfId="37017" xr:uid="{00000000-0005-0000-0000-000099900000}"/>
    <cellStyle name="Excel Built-in 40% - Accent5 2 3" xfId="37018" xr:uid="{00000000-0005-0000-0000-00009A900000}"/>
    <cellStyle name="Excel Built-in 40% - Accent5 2 4" xfId="37019" xr:uid="{00000000-0005-0000-0000-00009B900000}"/>
    <cellStyle name="Excel Built-in 40% - Accent5 3" xfId="37020" xr:uid="{00000000-0005-0000-0000-00009C900000}"/>
    <cellStyle name="Excel Built-in 40% - Accent5 4" xfId="37021" xr:uid="{00000000-0005-0000-0000-00009D900000}"/>
    <cellStyle name="Excel Built-in 40% - Accent5 5" xfId="37022" xr:uid="{00000000-0005-0000-0000-00009E900000}"/>
    <cellStyle name="Excel Built-in 40% - Accent5 6" xfId="37023" xr:uid="{00000000-0005-0000-0000-00009F900000}"/>
    <cellStyle name="Excel Built-in 40% - Accent6" xfId="37024" xr:uid="{00000000-0005-0000-0000-0000A0900000}"/>
    <cellStyle name="Excel Built-in 40% - Accent6 2" xfId="37025" xr:uid="{00000000-0005-0000-0000-0000A1900000}"/>
    <cellStyle name="Excel Built-in 40% - Accent6 2 2" xfId="37026" xr:uid="{00000000-0005-0000-0000-0000A2900000}"/>
    <cellStyle name="Excel Built-in 40% - Accent6 2 3" xfId="37027" xr:uid="{00000000-0005-0000-0000-0000A3900000}"/>
    <cellStyle name="Excel Built-in 40% - Accent6 2 4" xfId="37028" xr:uid="{00000000-0005-0000-0000-0000A4900000}"/>
    <cellStyle name="Excel Built-in 40% - Accent6 3" xfId="37029" xr:uid="{00000000-0005-0000-0000-0000A5900000}"/>
    <cellStyle name="Excel Built-in 40% - Accent6 4" xfId="37030" xr:uid="{00000000-0005-0000-0000-0000A6900000}"/>
    <cellStyle name="Excel Built-in 40% - Accent6 5" xfId="37031" xr:uid="{00000000-0005-0000-0000-0000A7900000}"/>
    <cellStyle name="Excel Built-in 40% - Accent6 6" xfId="37032" xr:uid="{00000000-0005-0000-0000-0000A8900000}"/>
    <cellStyle name="Excel Built-in 60% - Accent1" xfId="37033" xr:uid="{00000000-0005-0000-0000-0000A9900000}"/>
    <cellStyle name="Excel Built-in 60% - Accent1 2" xfId="37034" xr:uid="{00000000-0005-0000-0000-0000AA900000}"/>
    <cellStyle name="Excel Built-in 60% - Accent2" xfId="37035" xr:uid="{00000000-0005-0000-0000-0000AB900000}"/>
    <cellStyle name="Excel Built-in 60% - Accent2 2" xfId="37036" xr:uid="{00000000-0005-0000-0000-0000AC900000}"/>
    <cellStyle name="Excel Built-in 60% - Accent3" xfId="37037" xr:uid="{00000000-0005-0000-0000-0000AD900000}"/>
    <cellStyle name="Excel Built-in 60% - Accent3 2" xfId="37038" xr:uid="{00000000-0005-0000-0000-0000AE900000}"/>
    <cellStyle name="Excel Built-in 60% - Accent4" xfId="37039" xr:uid="{00000000-0005-0000-0000-0000AF900000}"/>
    <cellStyle name="Excel Built-in 60% - Accent4 2" xfId="37040" xr:uid="{00000000-0005-0000-0000-0000B0900000}"/>
    <cellStyle name="Excel Built-in 60% - Accent5" xfId="37041" xr:uid="{00000000-0005-0000-0000-0000B1900000}"/>
    <cellStyle name="Excel Built-in 60% - Accent5 2" xfId="37042" xr:uid="{00000000-0005-0000-0000-0000B2900000}"/>
    <cellStyle name="Excel Built-in 60% - Accent6" xfId="37043" xr:uid="{00000000-0005-0000-0000-0000B3900000}"/>
    <cellStyle name="Excel Built-in 60% - Accent6 2" xfId="37044" xr:uid="{00000000-0005-0000-0000-0000B4900000}"/>
    <cellStyle name="Excel Built-in Accent1" xfId="37045" xr:uid="{00000000-0005-0000-0000-0000B5900000}"/>
    <cellStyle name="Excel Built-in Accent1 2" xfId="37046" xr:uid="{00000000-0005-0000-0000-0000B6900000}"/>
    <cellStyle name="Excel Built-in Accent2" xfId="37047" xr:uid="{00000000-0005-0000-0000-0000B7900000}"/>
    <cellStyle name="Excel Built-in Accent2 2" xfId="37048" xr:uid="{00000000-0005-0000-0000-0000B8900000}"/>
    <cellStyle name="Excel Built-in Accent3" xfId="37049" xr:uid="{00000000-0005-0000-0000-0000B9900000}"/>
    <cellStyle name="Excel Built-in Accent3 2" xfId="37050" xr:uid="{00000000-0005-0000-0000-0000BA900000}"/>
    <cellStyle name="Excel Built-in Accent4" xfId="37051" xr:uid="{00000000-0005-0000-0000-0000BB900000}"/>
    <cellStyle name="Excel Built-in Accent4 2" xfId="37052" xr:uid="{00000000-0005-0000-0000-0000BC900000}"/>
    <cellStyle name="Excel Built-in Accent5" xfId="37053" xr:uid="{00000000-0005-0000-0000-0000BD900000}"/>
    <cellStyle name="Excel Built-in Accent5 2" xfId="37054" xr:uid="{00000000-0005-0000-0000-0000BE900000}"/>
    <cellStyle name="Excel Built-in Accent6" xfId="37055" xr:uid="{00000000-0005-0000-0000-0000BF900000}"/>
    <cellStyle name="Excel Built-in Accent6 2" xfId="37056" xr:uid="{00000000-0005-0000-0000-0000C0900000}"/>
    <cellStyle name="Excel Built-in Bad" xfId="37057" xr:uid="{00000000-0005-0000-0000-0000C1900000}"/>
    <cellStyle name="Excel Built-in Bad 2" xfId="37058" xr:uid="{00000000-0005-0000-0000-0000C2900000}"/>
    <cellStyle name="Excel Built-in Calculation" xfId="37059" xr:uid="{00000000-0005-0000-0000-0000C3900000}"/>
    <cellStyle name="Excel Built-in Calculation 2" xfId="37060" xr:uid="{00000000-0005-0000-0000-0000C4900000}"/>
    <cellStyle name="Excel Built-in Calculation 2 2" xfId="37061" xr:uid="{00000000-0005-0000-0000-0000C5900000}"/>
    <cellStyle name="Excel Built-in Calculation 2 2 2" xfId="37062" xr:uid="{00000000-0005-0000-0000-0000C6900000}"/>
    <cellStyle name="Excel Built-in Calculation 2 2 3" xfId="37063" xr:uid="{00000000-0005-0000-0000-0000C7900000}"/>
    <cellStyle name="Excel Built-in Calculation 2 3" xfId="37064" xr:uid="{00000000-0005-0000-0000-0000C8900000}"/>
    <cellStyle name="Excel Built-in Calculation 2 3 2" xfId="37065" xr:uid="{00000000-0005-0000-0000-0000C9900000}"/>
    <cellStyle name="Excel Built-in Calculation 2 3 3" xfId="37066" xr:uid="{00000000-0005-0000-0000-0000CA900000}"/>
    <cellStyle name="Excel Built-in Calculation 2 4" xfId="37067" xr:uid="{00000000-0005-0000-0000-0000CB900000}"/>
    <cellStyle name="Excel Built-in Calculation 2 4 2" xfId="37068" xr:uid="{00000000-0005-0000-0000-0000CC900000}"/>
    <cellStyle name="Excel Built-in Calculation 2 5" xfId="37069" xr:uid="{00000000-0005-0000-0000-0000CD900000}"/>
    <cellStyle name="Excel Built-in Calculation 3" xfId="37070" xr:uid="{00000000-0005-0000-0000-0000CE900000}"/>
    <cellStyle name="Excel Built-in Calculation 3 2" xfId="37071" xr:uid="{00000000-0005-0000-0000-0000CF900000}"/>
    <cellStyle name="Excel Built-in Calculation 3 3" xfId="37072" xr:uid="{00000000-0005-0000-0000-0000D0900000}"/>
    <cellStyle name="Excel Built-in Calculation 4" xfId="37073" xr:uid="{00000000-0005-0000-0000-0000D1900000}"/>
    <cellStyle name="Excel Built-in Calculation 4 2" xfId="37074" xr:uid="{00000000-0005-0000-0000-0000D2900000}"/>
    <cellStyle name="Excel Built-in Calculation 4 3" xfId="37075" xr:uid="{00000000-0005-0000-0000-0000D3900000}"/>
    <cellStyle name="Excel Built-in Calculation 5" xfId="37076" xr:uid="{00000000-0005-0000-0000-0000D4900000}"/>
    <cellStyle name="Excel Built-in Calculation 5 2" xfId="37077" xr:uid="{00000000-0005-0000-0000-0000D5900000}"/>
    <cellStyle name="Excel Built-in Calculation 5 3" xfId="37078" xr:uid="{00000000-0005-0000-0000-0000D6900000}"/>
    <cellStyle name="Excel Built-in Calculation 6" xfId="37079" xr:uid="{00000000-0005-0000-0000-0000D7900000}"/>
    <cellStyle name="Excel Built-in Calculation 7" xfId="37080" xr:uid="{00000000-0005-0000-0000-0000D8900000}"/>
    <cellStyle name="Excel Built-in Check Cell" xfId="37081" xr:uid="{00000000-0005-0000-0000-0000D9900000}"/>
    <cellStyle name="Excel Built-in Check Cell 2" xfId="37082" xr:uid="{00000000-0005-0000-0000-0000DA900000}"/>
    <cellStyle name="Excel Built-in Check Cell 3" xfId="37083" xr:uid="{00000000-0005-0000-0000-0000DB900000}"/>
    <cellStyle name="Excel Built-in Check Cell 4" xfId="37084" xr:uid="{00000000-0005-0000-0000-0000DC900000}"/>
    <cellStyle name="Excel Built-in Check Cell 5" xfId="37085" xr:uid="{00000000-0005-0000-0000-0000DD900000}"/>
    <cellStyle name="Excel Built-in Check Cell 6" xfId="37086" xr:uid="{00000000-0005-0000-0000-0000DE900000}"/>
    <cellStyle name="Excel Built-in Explanatory Text" xfId="37087" xr:uid="{00000000-0005-0000-0000-0000DF900000}"/>
    <cellStyle name="Excel Built-in Explanatory Text 2" xfId="37088" xr:uid="{00000000-0005-0000-0000-0000E0900000}"/>
    <cellStyle name="Excel Built-in Good" xfId="37089" xr:uid="{00000000-0005-0000-0000-0000E1900000}"/>
    <cellStyle name="Excel Built-in Good 2" xfId="37090" xr:uid="{00000000-0005-0000-0000-0000E2900000}"/>
    <cellStyle name="Excel Built-in Heading 1" xfId="37091" xr:uid="{00000000-0005-0000-0000-0000E3900000}"/>
    <cellStyle name="Excel Built-in Heading 1 2" xfId="37092" xr:uid="{00000000-0005-0000-0000-0000E4900000}"/>
    <cellStyle name="Excel Built-in Heading 1 3" xfId="37093" xr:uid="{00000000-0005-0000-0000-0000E5900000}"/>
    <cellStyle name="Excel Built-in Heading 2" xfId="37094" xr:uid="{00000000-0005-0000-0000-0000E6900000}"/>
    <cellStyle name="Excel Built-in Heading 2 2" xfId="37095" xr:uid="{00000000-0005-0000-0000-0000E7900000}"/>
    <cellStyle name="Excel Built-in Heading 2 3" xfId="37096" xr:uid="{00000000-0005-0000-0000-0000E8900000}"/>
    <cellStyle name="Excel Built-in Heading 3" xfId="37097" xr:uid="{00000000-0005-0000-0000-0000E9900000}"/>
    <cellStyle name="Excel Built-in Heading 3 2" xfId="37098" xr:uid="{00000000-0005-0000-0000-0000EA900000}"/>
    <cellStyle name="Excel Built-in Heading 4" xfId="37099" xr:uid="{00000000-0005-0000-0000-0000EB900000}"/>
    <cellStyle name="Excel Built-in Heading 4 2" xfId="37100" xr:uid="{00000000-0005-0000-0000-0000EC900000}"/>
    <cellStyle name="Excel Built-in Input" xfId="37101" xr:uid="{00000000-0005-0000-0000-0000ED900000}"/>
    <cellStyle name="Excel Built-in Input 2" xfId="37102" xr:uid="{00000000-0005-0000-0000-0000EE900000}"/>
    <cellStyle name="Excel Built-in Input 2 2" xfId="37103" xr:uid="{00000000-0005-0000-0000-0000EF900000}"/>
    <cellStyle name="Excel Built-in Input 2 2 2" xfId="37104" xr:uid="{00000000-0005-0000-0000-0000F0900000}"/>
    <cellStyle name="Excel Built-in Input 2 2 3" xfId="37105" xr:uid="{00000000-0005-0000-0000-0000F1900000}"/>
    <cellStyle name="Excel Built-in Input 2 3" xfId="37106" xr:uid="{00000000-0005-0000-0000-0000F2900000}"/>
    <cellStyle name="Excel Built-in Input 2 3 2" xfId="37107" xr:uid="{00000000-0005-0000-0000-0000F3900000}"/>
    <cellStyle name="Excel Built-in Input 2 3 3" xfId="37108" xr:uid="{00000000-0005-0000-0000-0000F4900000}"/>
    <cellStyle name="Excel Built-in Input 2 4" xfId="37109" xr:uid="{00000000-0005-0000-0000-0000F5900000}"/>
    <cellStyle name="Excel Built-in Input 2 4 2" xfId="37110" xr:uid="{00000000-0005-0000-0000-0000F6900000}"/>
    <cellStyle name="Excel Built-in Input 2 5" xfId="37111" xr:uid="{00000000-0005-0000-0000-0000F7900000}"/>
    <cellStyle name="Excel Built-in Input 3" xfId="37112" xr:uid="{00000000-0005-0000-0000-0000F8900000}"/>
    <cellStyle name="Excel Built-in Input 3 2" xfId="37113" xr:uid="{00000000-0005-0000-0000-0000F9900000}"/>
    <cellStyle name="Excel Built-in Input 3 3" xfId="37114" xr:uid="{00000000-0005-0000-0000-0000FA900000}"/>
    <cellStyle name="Excel Built-in Input 4" xfId="37115" xr:uid="{00000000-0005-0000-0000-0000FB900000}"/>
    <cellStyle name="Excel Built-in Input 4 2" xfId="37116" xr:uid="{00000000-0005-0000-0000-0000FC900000}"/>
    <cellStyle name="Excel Built-in Input 4 3" xfId="37117" xr:uid="{00000000-0005-0000-0000-0000FD900000}"/>
    <cellStyle name="Excel Built-in Input 5" xfId="37118" xr:uid="{00000000-0005-0000-0000-0000FE900000}"/>
    <cellStyle name="Excel Built-in Input 5 2" xfId="37119" xr:uid="{00000000-0005-0000-0000-0000FF900000}"/>
    <cellStyle name="Excel Built-in Input 5 3" xfId="37120" xr:uid="{00000000-0005-0000-0000-000000910000}"/>
    <cellStyle name="Excel Built-in Input 6" xfId="37121" xr:uid="{00000000-0005-0000-0000-000001910000}"/>
    <cellStyle name="Excel Built-in Input 7" xfId="37122" xr:uid="{00000000-0005-0000-0000-000002910000}"/>
    <cellStyle name="Excel Built-in Linked Cell" xfId="37123" xr:uid="{00000000-0005-0000-0000-000003910000}"/>
    <cellStyle name="Excel Built-in Linked Cell 2" xfId="37124" xr:uid="{00000000-0005-0000-0000-000004910000}"/>
    <cellStyle name="Excel Built-in Neutral" xfId="37125" xr:uid="{00000000-0005-0000-0000-000005910000}"/>
    <cellStyle name="Excel Built-in Neutral 2" xfId="37126" xr:uid="{00000000-0005-0000-0000-000006910000}"/>
    <cellStyle name="Excel Built-in Normal" xfId="37127" xr:uid="{00000000-0005-0000-0000-000007910000}"/>
    <cellStyle name="Excel Built-in Normal 1" xfId="37128" xr:uid="{00000000-0005-0000-0000-000008910000}"/>
    <cellStyle name="Excel Built-in Normal 1 1 1" xfId="37129" xr:uid="{00000000-0005-0000-0000-000009910000}"/>
    <cellStyle name="Excel Built-in Normal 1 1 1 2" xfId="37130" xr:uid="{00000000-0005-0000-0000-00000A910000}"/>
    <cellStyle name="Excel Built-in Normal 1 2" xfId="37131" xr:uid="{00000000-0005-0000-0000-00000B910000}"/>
    <cellStyle name="Excel Built-in Normal 2" xfId="37132" xr:uid="{00000000-0005-0000-0000-00000C910000}"/>
    <cellStyle name="Excel Built-in Normal 2 2" xfId="37133" xr:uid="{00000000-0005-0000-0000-00000D910000}"/>
    <cellStyle name="Excel Built-in Normal 2 2 2" xfId="37134" xr:uid="{00000000-0005-0000-0000-00000E910000}"/>
    <cellStyle name="Excel Built-in Normal 2 3" xfId="37135" xr:uid="{00000000-0005-0000-0000-00000F910000}"/>
    <cellStyle name="Excel Built-in Normal 2 4" xfId="37136" xr:uid="{00000000-0005-0000-0000-000010910000}"/>
    <cellStyle name="Excel Built-in Normal 2 5" xfId="37137" xr:uid="{00000000-0005-0000-0000-000011910000}"/>
    <cellStyle name="Excel Built-in Normal 2_11.11.09" xfId="37138" xr:uid="{00000000-0005-0000-0000-000012910000}"/>
    <cellStyle name="Excel Built-in Normal 3" xfId="37139" xr:uid="{00000000-0005-0000-0000-000013910000}"/>
    <cellStyle name="Excel Built-in Normal 4" xfId="37140" xr:uid="{00000000-0005-0000-0000-000014910000}"/>
    <cellStyle name="Excel Built-in Normal 5" xfId="37141" xr:uid="{00000000-0005-0000-0000-000015910000}"/>
    <cellStyle name="Excel Built-in Normal_11.11.09" xfId="37142" xr:uid="{00000000-0005-0000-0000-000016910000}"/>
    <cellStyle name="Excel Built-in Note" xfId="37143" xr:uid="{00000000-0005-0000-0000-000017910000}"/>
    <cellStyle name="Excel Built-in Note 10" xfId="37144" xr:uid="{00000000-0005-0000-0000-000018910000}"/>
    <cellStyle name="Excel Built-in Note 11" xfId="37145" xr:uid="{00000000-0005-0000-0000-000019910000}"/>
    <cellStyle name="Excel Built-in Note 2" xfId="37146" xr:uid="{00000000-0005-0000-0000-00001A910000}"/>
    <cellStyle name="Excel Built-in Note 2 10" xfId="37147" xr:uid="{00000000-0005-0000-0000-00001B910000}"/>
    <cellStyle name="Excel Built-in Note 2 2" xfId="37148" xr:uid="{00000000-0005-0000-0000-00001C910000}"/>
    <cellStyle name="Excel Built-in Note 2 2 2" xfId="37149" xr:uid="{00000000-0005-0000-0000-00001D910000}"/>
    <cellStyle name="Excel Built-in Note 2 2 2 2" xfId="37150" xr:uid="{00000000-0005-0000-0000-00001E910000}"/>
    <cellStyle name="Excel Built-in Note 2 2 2 3" xfId="37151" xr:uid="{00000000-0005-0000-0000-00001F910000}"/>
    <cellStyle name="Excel Built-in Note 2 2 2 4" xfId="37152" xr:uid="{00000000-0005-0000-0000-000020910000}"/>
    <cellStyle name="Excel Built-in Note 2 2 3" xfId="37153" xr:uid="{00000000-0005-0000-0000-000021910000}"/>
    <cellStyle name="Excel Built-in Note 2 2 3 2" xfId="37154" xr:uid="{00000000-0005-0000-0000-000022910000}"/>
    <cellStyle name="Excel Built-in Note 2 2 3 3" xfId="37155" xr:uid="{00000000-0005-0000-0000-000023910000}"/>
    <cellStyle name="Excel Built-in Note 2 2 3 4" xfId="37156" xr:uid="{00000000-0005-0000-0000-000024910000}"/>
    <cellStyle name="Excel Built-in Note 2 2 4" xfId="37157" xr:uid="{00000000-0005-0000-0000-000025910000}"/>
    <cellStyle name="Excel Built-in Note 2 2 4 2" xfId="37158" xr:uid="{00000000-0005-0000-0000-000026910000}"/>
    <cellStyle name="Excel Built-in Note 2 2 4 3" xfId="37159" xr:uid="{00000000-0005-0000-0000-000027910000}"/>
    <cellStyle name="Excel Built-in Note 2 2 5" xfId="37160" xr:uid="{00000000-0005-0000-0000-000028910000}"/>
    <cellStyle name="Excel Built-in Note 2 2 6" xfId="37161" xr:uid="{00000000-0005-0000-0000-000029910000}"/>
    <cellStyle name="Excel Built-in Note 2 3" xfId="37162" xr:uid="{00000000-0005-0000-0000-00002A910000}"/>
    <cellStyle name="Excel Built-in Note 2 3 2" xfId="37163" xr:uid="{00000000-0005-0000-0000-00002B910000}"/>
    <cellStyle name="Excel Built-in Note 2 3 2 2" xfId="37164" xr:uid="{00000000-0005-0000-0000-00002C910000}"/>
    <cellStyle name="Excel Built-in Note 2 3 2 3" xfId="37165" xr:uid="{00000000-0005-0000-0000-00002D910000}"/>
    <cellStyle name="Excel Built-in Note 2 3 2 4" xfId="37166" xr:uid="{00000000-0005-0000-0000-00002E910000}"/>
    <cellStyle name="Excel Built-in Note 2 3 3" xfId="37167" xr:uid="{00000000-0005-0000-0000-00002F910000}"/>
    <cellStyle name="Excel Built-in Note 2 3 3 2" xfId="37168" xr:uid="{00000000-0005-0000-0000-000030910000}"/>
    <cellStyle name="Excel Built-in Note 2 3 3 3" xfId="37169" xr:uid="{00000000-0005-0000-0000-000031910000}"/>
    <cellStyle name="Excel Built-in Note 2 3 3 4" xfId="37170" xr:uid="{00000000-0005-0000-0000-000032910000}"/>
    <cellStyle name="Excel Built-in Note 2 3 4" xfId="37171" xr:uid="{00000000-0005-0000-0000-000033910000}"/>
    <cellStyle name="Excel Built-in Note 2 3 4 2" xfId="37172" xr:uid="{00000000-0005-0000-0000-000034910000}"/>
    <cellStyle name="Excel Built-in Note 2 3 4 3" xfId="37173" xr:uid="{00000000-0005-0000-0000-000035910000}"/>
    <cellStyle name="Excel Built-in Note 2 3 5" xfId="37174" xr:uid="{00000000-0005-0000-0000-000036910000}"/>
    <cellStyle name="Excel Built-in Note 2 3 6" xfId="37175" xr:uid="{00000000-0005-0000-0000-000037910000}"/>
    <cellStyle name="Excel Built-in Note 2 4" xfId="37176" xr:uid="{00000000-0005-0000-0000-000038910000}"/>
    <cellStyle name="Excel Built-in Note 2 4 2" xfId="37177" xr:uid="{00000000-0005-0000-0000-000039910000}"/>
    <cellStyle name="Excel Built-in Note 2 4 2 2" xfId="37178" xr:uid="{00000000-0005-0000-0000-00003A910000}"/>
    <cellStyle name="Excel Built-in Note 2 4 2 3" xfId="37179" xr:uid="{00000000-0005-0000-0000-00003B910000}"/>
    <cellStyle name="Excel Built-in Note 2 4 2 4" xfId="37180" xr:uid="{00000000-0005-0000-0000-00003C910000}"/>
    <cellStyle name="Excel Built-in Note 2 4 3" xfId="37181" xr:uid="{00000000-0005-0000-0000-00003D910000}"/>
    <cellStyle name="Excel Built-in Note 2 4 3 2" xfId="37182" xr:uid="{00000000-0005-0000-0000-00003E910000}"/>
    <cellStyle name="Excel Built-in Note 2 4 3 3" xfId="37183" xr:uid="{00000000-0005-0000-0000-00003F910000}"/>
    <cellStyle name="Excel Built-in Note 2 4 3 4" xfId="37184" xr:uid="{00000000-0005-0000-0000-000040910000}"/>
    <cellStyle name="Excel Built-in Note 2 4 4" xfId="37185" xr:uid="{00000000-0005-0000-0000-000041910000}"/>
    <cellStyle name="Excel Built-in Note 2 4 4 2" xfId="37186" xr:uid="{00000000-0005-0000-0000-000042910000}"/>
    <cellStyle name="Excel Built-in Note 2 4 4 3" xfId="37187" xr:uid="{00000000-0005-0000-0000-000043910000}"/>
    <cellStyle name="Excel Built-in Note 2 4 5" xfId="37188" xr:uid="{00000000-0005-0000-0000-000044910000}"/>
    <cellStyle name="Excel Built-in Note 2 4 6" xfId="37189" xr:uid="{00000000-0005-0000-0000-000045910000}"/>
    <cellStyle name="Excel Built-in Note 2 5" xfId="37190" xr:uid="{00000000-0005-0000-0000-000046910000}"/>
    <cellStyle name="Excel Built-in Note 2 5 2" xfId="37191" xr:uid="{00000000-0005-0000-0000-000047910000}"/>
    <cellStyle name="Excel Built-in Note 2 5 2 2" xfId="37192" xr:uid="{00000000-0005-0000-0000-000048910000}"/>
    <cellStyle name="Excel Built-in Note 2 5 2 3" xfId="37193" xr:uid="{00000000-0005-0000-0000-000049910000}"/>
    <cellStyle name="Excel Built-in Note 2 5 2 4" xfId="37194" xr:uid="{00000000-0005-0000-0000-00004A910000}"/>
    <cellStyle name="Excel Built-in Note 2 5 3" xfId="37195" xr:uid="{00000000-0005-0000-0000-00004B910000}"/>
    <cellStyle name="Excel Built-in Note 2 5 3 2" xfId="37196" xr:uid="{00000000-0005-0000-0000-00004C910000}"/>
    <cellStyle name="Excel Built-in Note 2 5 3 3" xfId="37197" xr:uid="{00000000-0005-0000-0000-00004D910000}"/>
    <cellStyle name="Excel Built-in Note 2 5 3 4" xfId="37198" xr:uid="{00000000-0005-0000-0000-00004E910000}"/>
    <cellStyle name="Excel Built-in Note 2 5 4" xfId="37199" xr:uid="{00000000-0005-0000-0000-00004F910000}"/>
    <cellStyle name="Excel Built-in Note 2 5 4 2" xfId="37200" xr:uid="{00000000-0005-0000-0000-000050910000}"/>
    <cellStyle name="Excel Built-in Note 2 5 4 3" xfId="37201" xr:uid="{00000000-0005-0000-0000-000051910000}"/>
    <cellStyle name="Excel Built-in Note 2 5 5" xfId="37202" xr:uid="{00000000-0005-0000-0000-000052910000}"/>
    <cellStyle name="Excel Built-in Note 2 5 6" xfId="37203" xr:uid="{00000000-0005-0000-0000-000053910000}"/>
    <cellStyle name="Excel Built-in Note 2 6" xfId="37204" xr:uid="{00000000-0005-0000-0000-000054910000}"/>
    <cellStyle name="Excel Built-in Note 2 6 2" xfId="37205" xr:uid="{00000000-0005-0000-0000-000055910000}"/>
    <cellStyle name="Excel Built-in Note 2 6 3" xfId="37206" xr:uid="{00000000-0005-0000-0000-000056910000}"/>
    <cellStyle name="Excel Built-in Note 2 6 4" xfId="37207" xr:uid="{00000000-0005-0000-0000-000057910000}"/>
    <cellStyle name="Excel Built-in Note 2 7" xfId="37208" xr:uid="{00000000-0005-0000-0000-000058910000}"/>
    <cellStyle name="Excel Built-in Note 2 7 2" xfId="37209" xr:uid="{00000000-0005-0000-0000-000059910000}"/>
    <cellStyle name="Excel Built-in Note 2 7 3" xfId="37210" xr:uid="{00000000-0005-0000-0000-00005A910000}"/>
    <cellStyle name="Excel Built-in Note 2 7 4" xfId="37211" xr:uid="{00000000-0005-0000-0000-00005B910000}"/>
    <cellStyle name="Excel Built-in Note 2 8" xfId="37212" xr:uid="{00000000-0005-0000-0000-00005C910000}"/>
    <cellStyle name="Excel Built-in Note 2 8 2" xfId="37213" xr:uid="{00000000-0005-0000-0000-00005D910000}"/>
    <cellStyle name="Excel Built-in Note 2 8 3" xfId="37214" xr:uid="{00000000-0005-0000-0000-00005E910000}"/>
    <cellStyle name="Excel Built-in Note 2 8 4" xfId="37215" xr:uid="{00000000-0005-0000-0000-00005F910000}"/>
    <cellStyle name="Excel Built-in Note 2 9" xfId="37216" xr:uid="{00000000-0005-0000-0000-000060910000}"/>
    <cellStyle name="Excel Built-in Note 3" xfId="37217" xr:uid="{00000000-0005-0000-0000-000061910000}"/>
    <cellStyle name="Excel Built-in Note 3 2" xfId="37218" xr:uid="{00000000-0005-0000-0000-000062910000}"/>
    <cellStyle name="Excel Built-in Note 3 2 2" xfId="37219" xr:uid="{00000000-0005-0000-0000-000063910000}"/>
    <cellStyle name="Excel Built-in Note 3 2 3" xfId="37220" xr:uid="{00000000-0005-0000-0000-000064910000}"/>
    <cellStyle name="Excel Built-in Note 3 2 4" xfId="37221" xr:uid="{00000000-0005-0000-0000-000065910000}"/>
    <cellStyle name="Excel Built-in Note 3 3" xfId="37222" xr:uid="{00000000-0005-0000-0000-000066910000}"/>
    <cellStyle name="Excel Built-in Note 3 3 2" xfId="37223" xr:uid="{00000000-0005-0000-0000-000067910000}"/>
    <cellStyle name="Excel Built-in Note 3 3 3" xfId="37224" xr:uid="{00000000-0005-0000-0000-000068910000}"/>
    <cellStyle name="Excel Built-in Note 3 3 4" xfId="37225" xr:uid="{00000000-0005-0000-0000-000069910000}"/>
    <cellStyle name="Excel Built-in Note 3 4" xfId="37226" xr:uid="{00000000-0005-0000-0000-00006A910000}"/>
    <cellStyle name="Excel Built-in Note 3 4 2" xfId="37227" xr:uid="{00000000-0005-0000-0000-00006B910000}"/>
    <cellStyle name="Excel Built-in Note 3 4 3" xfId="37228" xr:uid="{00000000-0005-0000-0000-00006C910000}"/>
    <cellStyle name="Excel Built-in Note 3 5" xfId="37229" xr:uid="{00000000-0005-0000-0000-00006D910000}"/>
    <cellStyle name="Excel Built-in Note 3 6" xfId="37230" xr:uid="{00000000-0005-0000-0000-00006E910000}"/>
    <cellStyle name="Excel Built-in Note 4" xfId="37231" xr:uid="{00000000-0005-0000-0000-00006F910000}"/>
    <cellStyle name="Excel Built-in Note 4 2" xfId="37232" xr:uid="{00000000-0005-0000-0000-000070910000}"/>
    <cellStyle name="Excel Built-in Note 4 2 2" xfId="37233" xr:uid="{00000000-0005-0000-0000-000071910000}"/>
    <cellStyle name="Excel Built-in Note 4 2 3" xfId="37234" xr:uid="{00000000-0005-0000-0000-000072910000}"/>
    <cellStyle name="Excel Built-in Note 4 2 4" xfId="37235" xr:uid="{00000000-0005-0000-0000-000073910000}"/>
    <cellStyle name="Excel Built-in Note 4 3" xfId="37236" xr:uid="{00000000-0005-0000-0000-000074910000}"/>
    <cellStyle name="Excel Built-in Note 4 3 2" xfId="37237" xr:uid="{00000000-0005-0000-0000-000075910000}"/>
    <cellStyle name="Excel Built-in Note 4 3 3" xfId="37238" xr:uid="{00000000-0005-0000-0000-000076910000}"/>
    <cellStyle name="Excel Built-in Note 4 3 4" xfId="37239" xr:uid="{00000000-0005-0000-0000-000077910000}"/>
    <cellStyle name="Excel Built-in Note 4 4" xfId="37240" xr:uid="{00000000-0005-0000-0000-000078910000}"/>
    <cellStyle name="Excel Built-in Note 4 4 2" xfId="37241" xr:uid="{00000000-0005-0000-0000-000079910000}"/>
    <cellStyle name="Excel Built-in Note 4 4 3" xfId="37242" xr:uid="{00000000-0005-0000-0000-00007A910000}"/>
    <cellStyle name="Excel Built-in Note 4 5" xfId="37243" xr:uid="{00000000-0005-0000-0000-00007B910000}"/>
    <cellStyle name="Excel Built-in Note 4 6" xfId="37244" xr:uid="{00000000-0005-0000-0000-00007C910000}"/>
    <cellStyle name="Excel Built-in Note 5" xfId="37245" xr:uid="{00000000-0005-0000-0000-00007D910000}"/>
    <cellStyle name="Excel Built-in Note 5 2" xfId="37246" xr:uid="{00000000-0005-0000-0000-00007E910000}"/>
    <cellStyle name="Excel Built-in Note 5 2 2" xfId="37247" xr:uid="{00000000-0005-0000-0000-00007F910000}"/>
    <cellStyle name="Excel Built-in Note 5 2 3" xfId="37248" xr:uid="{00000000-0005-0000-0000-000080910000}"/>
    <cellStyle name="Excel Built-in Note 5 2 4" xfId="37249" xr:uid="{00000000-0005-0000-0000-000081910000}"/>
    <cellStyle name="Excel Built-in Note 5 3" xfId="37250" xr:uid="{00000000-0005-0000-0000-000082910000}"/>
    <cellStyle name="Excel Built-in Note 5 3 2" xfId="37251" xr:uid="{00000000-0005-0000-0000-000083910000}"/>
    <cellStyle name="Excel Built-in Note 5 3 3" xfId="37252" xr:uid="{00000000-0005-0000-0000-000084910000}"/>
    <cellStyle name="Excel Built-in Note 5 3 4" xfId="37253" xr:uid="{00000000-0005-0000-0000-000085910000}"/>
    <cellStyle name="Excel Built-in Note 5 4" xfId="37254" xr:uid="{00000000-0005-0000-0000-000086910000}"/>
    <cellStyle name="Excel Built-in Note 5 4 2" xfId="37255" xr:uid="{00000000-0005-0000-0000-000087910000}"/>
    <cellStyle name="Excel Built-in Note 5 4 3" xfId="37256" xr:uid="{00000000-0005-0000-0000-000088910000}"/>
    <cellStyle name="Excel Built-in Note 5 5" xfId="37257" xr:uid="{00000000-0005-0000-0000-000089910000}"/>
    <cellStyle name="Excel Built-in Note 5 6" xfId="37258" xr:uid="{00000000-0005-0000-0000-00008A910000}"/>
    <cellStyle name="Excel Built-in Note 6" xfId="37259" xr:uid="{00000000-0005-0000-0000-00008B910000}"/>
    <cellStyle name="Excel Built-in Note 6 2" xfId="37260" xr:uid="{00000000-0005-0000-0000-00008C910000}"/>
    <cellStyle name="Excel Built-in Note 6 2 2" xfId="37261" xr:uid="{00000000-0005-0000-0000-00008D910000}"/>
    <cellStyle name="Excel Built-in Note 6 2 3" xfId="37262" xr:uid="{00000000-0005-0000-0000-00008E910000}"/>
    <cellStyle name="Excel Built-in Note 6 2 4" xfId="37263" xr:uid="{00000000-0005-0000-0000-00008F910000}"/>
    <cellStyle name="Excel Built-in Note 6 3" xfId="37264" xr:uid="{00000000-0005-0000-0000-000090910000}"/>
    <cellStyle name="Excel Built-in Note 6 3 2" xfId="37265" xr:uid="{00000000-0005-0000-0000-000091910000}"/>
    <cellStyle name="Excel Built-in Note 6 3 3" xfId="37266" xr:uid="{00000000-0005-0000-0000-000092910000}"/>
    <cellStyle name="Excel Built-in Note 6 3 4" xfId="37267" xr:uid="{00000000-0005-0000-0000-000093910000}"/>
    <cellStyle name="Excel Built-in Note 6 4" xfId="37268" xr:uid="{00000000-0005-0000-0000-000094910000}"/>
    <cellStyle name="Excel Built-in Note 6 4 2" xfId="37269" xr:uid="{00000000-0005-0000-0000-000095910000}"/>
    <cellStyle name="Excel Built-in Note 6 4 3" xfId="37270" xr:uid="{00000000-0005-0000-0000-000096910000}"/>
    <cellStyle name="Excel Built-in Note 6 5" xfId="37271" xr:uid="{00000000-0005-0000-0000-000097910000}"/>
    <cellStyle name="Excel Built-in Note 6 6" xfId="37272" xr:uid="{00000000-0005-0000-0000-000098910000}"/>
    <cellStyle name="Excel Built-in Note 7" xfId="37273" xr:uid="{00000000-0005-0000-0000-000099910000}"/>
    <cellStyle name="Excel Built-in Note 7 2" xfId="37274" xr:uid="{00000000-0005-0000-0000-00009A910000}"/>
    <cellStyle name="Excel Built-in Note 7 3" xfId="37275" xr:uid="{00000000-0005-0000-0000-00009B910000}"/>
    <cellStyle name="Excel Built-in Note 7 4" xfId="37276" xr:uid="{00000000-0005-0000-0000-00009C910000}"/>
    <cellStyle name="Excel Built-in Note 8" xfId="37277" xr:uid="{00000000-0005-0000-0000-00009D910000}"/>
    <cellStyle name="Excel Built-in Note 8 2" xfId="37278" xr:uid="{00000000-0005-0000-0000-00009E910000}"/>
    <cellStyle name="Excel Built-in Note 8 3" xfId="37279" xr:uid="{00000000-0005-0000-0000-00009F910000}"/>
    <cellStyle name="Excel Built-in Note 8 4" xfId="37280" xr:uid="{00000000-0005-0000-0000-0000A0910000}"/>
    <cellStyle name="Excel Built-in Note 9" xfId="37281" xr:uid="{00000000-0005-0000-0000-0000A1910000}"/>
    <cellStyle name="Excel Built-in Note 9 2" xfId="37282" xr:uid="{00000000-0005-0000-0000-0000A2910000}"/>
    <cellStyle name="Excel Built-in Note 9 3" xfId="37283" xr:uid="{00000000-0005-0000-0000-0000A3910000}"/>
    <cellStyle name="Excel Built-in Note 9 4" xfId="37284" xr:uid="{00000000-0005-0000-0000-0000A4910000}"/>
    <cellStyle name="Excel Built-in Output" xfId="37285" xr:uid="{00000000-0005-0000-0000-0000A5910000}"/>
    <cellStyle name="Excel Built-in Output 2" xfId="37286" xr:uid="{00000000-0005-0000-0000-0000A6910000}"/>
    <cellStyle name="Excel Built-in Output 2 2" xfId="37287" xr:uid="{00000000-0005-0000-0000-0000A7910000}"/>
    <cellStyle name="Excel Built-in Output 2 2 2" xfId="37288" xr:uid="{00000000-0005-0000-0000-0000A8910000}"/>
    <cellStyle name="Excel Built-in Output 2 2 3" xfId="37289" xr:uid="{00000000-0005-0000-0000-0000A9910000}"/>
    <cellStyle name="Excel Built-in Output 2 3" xfId="37290" xr:uid="{00000000-0005-0000-0000-0000AA910000}"/>
    <cellStyle name="Excel Built-in Output 2 3 2" xfId="37291" xr:uid="{00000000-0005-0000-0000-0000AB910000}"/>
    <cellStyle name="Excel Built-in Output 2 3 3" xfId="37292" xr:uid="{00000000-0005-0000-0000-0000AC910000}"/>
    <cellStyle name="Excel Built-in Output 2 4" xfId="37293" xr:uid="{00000000-0005-0000-0000-0000AD910000}"/>
    <cellStyle name="Excel Built-in Output 2 4 2" xfId="37294" xr:uid="{00000000-0005-0000-0000-0000AE910000}"/>
    <cellStyle name="Excel Built-in Output 2 5" xfId="37295" xr:uid="{00000000-0005-0000-0000-0000AF910000}"/>
    <cellStyle name="Excel Built-in Output 3" xfId="37296" xr:uid="{00000000-0005-0000-0000-0000B0910000}"/>
    <cellStyle name="Excel Built-in Output 3 2" xfId="37297" xr:uid="{00000000-0005-0000-0000-0000B1910000}"/>
    <cellStyle name="Excel Built-in Output 3 3" xfId="37298" xr:uid="{00000000-0005-0000-0000-0000B2910000}"/>
    <cellStyle name="Excel Built-in Output 4" xfId="37299" xr:uid="{00000000-0005-0000-0000-0000B3910000}"/>
    <cellStyle name="Excel Built-in Output 4 2" xfId="37300" xr:uid="{00000000-0005-0000-0000-0000B4910000}"/>
    <cellStyle name="Excel Built-in Output 4 3" xfId="37301" xr:uid="{00000000-0005-0000-0000-0000B5910000}"/>
    <cellStyle name="Excel Built-in Output 5" xfId="37302" xr:uid="{00000000-0005-0000-0000-0000B6910000}"/>
    <cellStyle name="Excel Built-in Output 5 2" xfId="37303" xr:uid="{00000000-0005-0000-0000-0000B7910000}"/>
    <cellStyle name="Excel Built-in Output 5 3" xfId="37304" xr:uid="{00000000-0005-0000-0000-0000B8910000}"/>
    <cellStyle name="Excel Built-in Output 6" xfId="37305" xr:uid="{00000000-0005-0000-0000-0000B9910000}"/>
    <cellStyle name="Excel Built-in Output 7" xfId="37306" xr:uid="{00000000-0005-0000-0000-0000BA910000}"/>
    <cellStyle name="Excel Built-in Title" xfId="37307" xr:uid="{00000000-0005-0000-0000-0000BB910000}"/>
    <cellStyle name="Excel Built-in Title 2" xfId="37308" xr:uid="{00000000-0005-0000-0000-0000BC910000}"/>
    <cellStyle name="Excel Built-in Total" xfId="37309" xr:uid="{00000000-0005-0000-0000-0000BD910000}"/>
    <cellStyle name="Excel Built-in Total 2" xfId="37310" xr:uid="{00000000-0005-0000-0000-0000BE910000}"/>
    <cellStyle name="Excel Built-in Total 2 2" xfId="37311" xr:uid="{00000000-0005-0000-0000-0000BF910000}"/>
    <cellStyle name="Excel Built-in Total 2 2 2" xfId="37312" xr:uid="{00000000-0005-0000-0000-0000C0910000}"/>
    <cellStyle name="Excel Built-in Total 2 2 3" xfId="37313" xr:uid="{00000000-0005-0000-0000-0000C1910000}"/>
    <cellStyle name="Excel Built-in Total 2 2 4" xfId="37314" xr:uid="{00000000-0005-0000-0000-0000C2910000}"/>
    <cellStyle name="Excel Built-in Total 2 3" xfId="37315" xr:uid="{00000000-0005-0000-0000-0000C3910000}"/>
    <cellStyle name="Excel Built-in Total 2 3 2" xfId="37316" xr:uid="{00000000-0005-0000-0000-0000C4910000}"/>
    <cellStyle name="Excel Built-in Total 2 3 3" xfId="37317" xr:uid="{00000000-0005-0000-0000-0000C5910000}"/>
    <cellStyle name="Excel Built-in Total 2 3 4" xfId="37318" xr:uid="{00000000-0005-0000-0000-0000C6910000}"/>
    <cellStyle name="Excel Built-in Total 2 4" xfId="37319" xr:uid="{00000000-0005-0000-0000-0000C7910000}"/>
    <cellStyle name="Excel Built-in Total 2 4 2" xfId="37320" xr:uid="{00000000-0005-0000-0000-0000C8910000}"/>
    <cellStyle name="Excel Built-in Total 2 4 3" xfId="37321" xr:uid="{00000000-0005-0000-0000-0000C9910000}"/>
    <cellStyle name="Excel Built-in Total 2 5" xfId="37322" xr:uid="{00000000-0005-0000-0000-0000CA910000}"/>
    <cellStyle name="Excel Built-in Total 2 6" xfId="37323" xr:uid="{00000000-0005-0000-0000-0000CB910000}"/>
    <cellStyle name="Excel Built-in Total 3" xfId="37324" xr:uid="{00000000-0005-0000-0000-0000CC910000}"/>
    <cellStyle name="Excel Built-in Total 3 2" xfId="37325" xr:uid="{00000000-0005-0000-0000-0000CD910000}"/>
    <cellStyle name="Excel Built-in Total 3 3" xfId="37326" xr:uid="{00000000-0005-0000-0000-0000CE910000}"/>
    <cellStyle name="Excel Built-in Total 3 4" xfId="37327" xr:uid="{00000000-0005-0000-0000-0000CF910000}"/>
    <cellStyle name="Excel Built-in Total 4" xfId="37328" xr:uid="{00000000-0005-0000-0000-0000D0910000}"/>
    <cellStyle name="Excel Built-in Total 4 2" xfId="37329" xr:uid="{00000000-0005-0000-0000-0000D1910000}"/>
    <cellStyle name="Excel Built-in Total 4 3" xfId="37330" xr:uid="{00000000-0005-0000-0000-0000D2910000}"/>
    <cellStyle name="Excel Built-in Total 4 4" xfId="37331" xr:uid="{00000000-0005-0000-0000-0000D3910000}"/>
    <cellStyle name="Excel Built-in Total 5" xfId="37332" xr:uid="{00000000-0005-0000-0000-0000D4910000}"/>
    <cellStyle name="Excel Built-in Total 5 2" xfId="37333" xr:uid="{00000000-0005-0000-0000-0000D5910000}"/>
    <cellStyle name="Excel Built-in Total 5 3" xfId="37334" xr:uid="{00000000-0005-0000-0000-0000D6910000}"/>
    <cellStyle name="Excel Built-in Total 5 4" xfId="37335" xr:uid="{00000000-0005-0000-0000-0000D7910000}"/>
    <cellStyle name="Excel Built-in Total 6" xfId="37336" xr:uid="{00000000-0005-0000-0000-0000D8910000}"/>
    <cellStyle name="Excel Built-in Total 7" xfId="37337" xr:uid="{00000000-0005-0000-0000-0000D9910000}"/>
    <cellStyle name="Excel Built-in Warning Text" xfId="37338" xr:uid="{00000000-0005-0000-0000-0000DA910000}"/>
    <cellStyle name="Excel Built-in Warning Text 2" xfId="37339" xr:uid="{00000000-0005-0000-0000-0000DB910000}"/>
    <cellStyle name="Explanatory Text 10" xfId="37340" xr:uid="{00000000-0005-0000-0000-0000DC910000}"/>
    <cellStyle name="Explanatory Text 10 2" xfId="37341" xr:uid="{00000000-0005-0000-0000-0000DD910000}"/>
    <cellStyle name="Explanatory Text 10 3" xfId="37342" xr:uid="{00000000-0005-0000-0000-0000DE910000}"/>
    <cellStyle name="Explanatory Text 10 4" xfId="37343" xr:uid="{00000000-0005-0000-0000-0000DF910000}"/>
    <cellStyle name="Explanatory Text 10 5" xfId="37344" xr:uid="{00000000-0005-0000-0000-0000E0910000}"/>
    <cellStyle name="Explanatory Text 11" xfId="37345" xr:uid="{00000000-0005-0000-0000-0000E1910000}"/>
    <cellStyle name="Explanatory Text 11 2" xfId="37346" xr:uid="{00000000-0005-0000-0000-0000E2910000}"/>
    <cellStyle name="Explanatory Text 12" xfId="37347" xr:uid="{00000000-0005-0000-0000-0000E3910000}"/>
    <cellStyle name="Explanatory Text 12 2" xfId="37348" xr:uid="{00000000-0005-0000-0000-0000E4910000}"/>
    <cellStyle name="Explanatory Text 13" xfId="37349" xr:uid="{00000000-0005-0000-0000-0000E5910000}"/>
    <cellStyle name="Explanatory Text 13 2" xfId="37350" xr:uid="{00000000-0005-0000-0000-0000E6910000}"/>
    <cellStyle name="Explanatory Text 14" xfId="37351" xr:uid="{00000000-0005-0000-0000-0000E7910000}"/>
    <cellStyle name="Explanatory Text 14 2" xfId="37352" xr:uid="{00000000-0005-0000-0000-0000E8910000}"/>
    <cellStyle name="Explanatory Text 15" xfId="37353" xr:uid="{00000000-0005-0000-0000-0000E9910000}"/>
    <cellStyle name="Explanatory Text 15 2" xfId="37354" xr:uid="{00000000-0005-0000-0000-0000EA910000}"/>
    <cellStyle name="Explanatory Text 16" xfId="37355" xr:uid="{00000000-0005-0000-0000-0000EB910000}"/>
    <cellStyle name="Explanatory Text 16 2" xfId="37356" xr:uid="{00000000-0005-0000-0000-0000EC910000}"/>
    <cellStyle name="Explanatory Text 17" xfId="37357" xr:uid="{00000000-0005-0000-0000-0000ED910000}"/>
    <cellStyle name="Explanatory Text 17 2" xfId="37358" xr:uid="{00000000-0005-0000-0000-0000EE910000}"/>
    <cellStyle name="Explanatory Text 18" xfId="37359" xr:uid="{00000000-0005-0000-0000-0000EF910000}"/>
    <cellStyle name="Explanatory Text 18 2" xfId="37360" xr:uid="{00000000-0005-0000-0000-0000F0910000}"/>
    <cellStyle name="Explanatory Text 19" xfId="37361" xr:uid="{00000000-0005-0000-0000-0000F1910000}"/>
    <cellStyle name="Explanatory Text 19 2" xfId="37362" xr:uid="{00000000-0005-0000-0000-0000F2910000}"/>
    <cellStyle name="Explanatory Text 2" xfId="37363" xr:uid="{00000000-0005-0000-0000-0000F3910000}"/>
    <cellStyle name="Explanatory Text 2 10" xfId="37364" xr:uid="{00000000-0005-0000-0000-0000F4910000}"/>
    <cellStyle name="Explanatory Text 2 11" xfId="37365" xr:uid="{00000000-0005-0000-0000-0000F5910000}"/>
    <cellStyle name="Explanatory Text 2 12" xfId="37366" xr:uid="{00000000-0005-0000-0000-0000F6910000}"/>
    <cellStyle name="Explanatory Text 2 13" xfId="37367" xr:uid="{00000000-0005-0000-0000-0000F7910000}"/>
    <cellStyle name="Explanatory Text 2 14" xfId="37368" xr:uid="{00000000-0005-0000-0000-0000F8910000}"/>
    <cellStyle name="Explanatory Text 2 15" xfId="37369" xr:uid="{00000000-0005-0000-0000-0000F9910000}"/>
    <cellStyle name="Explanatory Text 2 16" xfId="37370" xr:uid="{00000000-0005-0000-0000-0000FA910000}"/>
    <cellStyle name="Explanatory Text 2 17" xfId="37371" xr:uid="{00000000-0005-0000-0000-0000FB910000}"/>
    <cellStyle name="Explanatory Text 2 18" xfId="37372" xr:uid="{00000000-0005-0000-0000-0000FC910000}"/>
    <cellStyle name="Explanatory Text 2 19" xfId="37373" xr:uid="{00000000-0005-0000-0000-0000FD910000}"/>
    <cellStyle name="Explanatory Text 2 2" xfId="37374" xr:uid="{00000000-0005-0000-0000-0000FE910000}"/>
    <cellStyle name="Explanatory Text 2 2 2" xfId="37375" xr:uid="{00000000-0005-0000-0000-0000FF910000}"/>
    <cellStyle name="Explanatory Text 2 3" xfId="37376" xr:uid="{00000000-0005-0000-0000-000000920000}"/>
    <cellStyle name="Explanatory Text 2 3 2" xfId="37377" xr:uid="{00000000-0005-0000-0000-000001920000}"/>
    <cellStyle name="Explanatory Text 2 4" xfId="37378" xr:uid="{00000000-0005-0000-0000-000002920000}"/>
    <cellStyle name="Explanatory Text 2 4 2" xfId="37379" xr:uid="{00000000-0005-0000-0000-000003920000}"/>
    <cellStyle name="Explanatory Text 2 5" xfId="37380" xr:uid="{00000000-0005-0000-0000-000004920000}"/>
    <cellStyle name="Explanatory Text 2 6" xfId="37381" xr:uid="{00000000-0005-0000-0000-000005920000}"/>
    <cellStyle name="Explanatory Text 2 7" xfId="37382" xr:uid="{00000000-0005-0000-0000-000006920000}"/>
    <cellStyle name="Explanatory Text 2 8" xfId="37383" xr:uid="{00000000-0005-0000-0000-000007920000}"/>
    <cellStyle name="Explanatory Text 2 9" xfId="37384" xr:uid="{00000000-0005-0000-0000-000008920000}"/>
    <cellStyle name="Explanatory Text 2_Labour" xfId="37385" xr:uid="{00000000-0005-0000-0000-000009920000}"/>
    <cellStyle name="Explanatory Text 20" xfId="37386" xr:uid="{00000000-0005-0000-0000-00000A920000}"/>
    <cellStyle name="Explanatory Text 20 2" xfId="37387" xr:uid="{00000000-0005-0000-0000-00000B920000}"/>
    <cellStyle name="Explanatory Text 21" xfId="37388" xr:uid="{00000000-0005-0000-0000-00000C920000}"/>
    <cellStyle name="Explanatory Text 21 2" xfId="37389" xr:uid="{00000000-0005-0000-0000-00000D920000}"/>
    <cellStyle name="Explanatory Text 22" xfId="37390" xr:uid="{00000000-0005-0000-0000-00000E920000}"/>
    <cellStyle name="Explanatory Text 22 2" xfId="37391" xr:uid="{00000000-0005-0000-0000-00000F920000}"/>
    <cellStyle name="Explanatory Text 23" xfId="37392" xr:uid="{00000000-0005-0000-0000-000010920000}"/>
    <cellStyle name="Explanatory Text 24" xfId="37393" xr:uid="{00000000-0005-0000-0000-000011920000}"/>
    <cellStyle name="Explanatory Text 25" xfId="37394" xr:uid="{00000000-0005-0000-0000-000012920000}"/>
    <cellStyle name="Explanatory Text 26" xfId="37395" xr:uid="{00000000-0005-0000-0000-000013920000}"/>
    <cellStyle name="Explanatory Text 27" xfId="37396" xr:uid="{00000000-0005-0000-0000-000014920000}"/>
    <cellStyle name="Explanatory Text 28" xfId="37397" xr:uid="{00000000-0005-0000-0000-000015920000}"/>
    <cellStyle name="Explanatory Text 29" xfId="37398" xr:uid="{00000000-0005-0000-0000-000016920000}"/>
    <cellStyle name="Explanatory Text 3" xfId="37399" xr:uid="{00000000-0005-0000-0000-000017920000}"/>
    <cellStyle name="Explanatory Text 3 2" xfId="37400" xr:uid="{00000000-0005-0000-0000-000018920000}"/>
    <cellStyle name="Explanatory Text 3 2 2" xfId="37401" xr:uid="{00000000-0005-0000-0000-000019920000}"/>
    <cellStyle name="Explanatory Text 3 3" xfId="37402" xr:uid="{00000000-0005-0000-0000-00001A920000}"/>
    <cellStyle name="Explanatory Text 3 4" xfId="37403" xr:uid="{00000000-0005-0000-0000-00001B920000}"/>
    <cellStyle name="Explanatory Text 3 5" xfId="37404" xr:uid="{00000000-0005-0000-0000-00001C920000}"/>
    <cellStyle name="Explanatory Text 30" xfId="37405" xr:uid="{00000000-0005-0000-0000-00001D920000}"/>
    <cellStyle name="Explanatory Text 31" xfId="37406" xr:uid="{00000000-0005-0000-0000-00001E920000}"/>
    <cellStyle name="Explanatory Text 32" xfId="37407" xr:uid="{00000000-0005-0000-0000-00001F920000}"/>
    <cellStyle name="Explanatory Text 33" xfId="37408" xr:uid="{00000000-0005-0000-0000-000020920000}"/>
    <cellStyle name="Explanatory Text 34" xfId="37409" xr:uid="{00000000-0005-0000-0000-000021920000}"/>
    <cellStyle name="Explanatory Text 4" xfId="37410" xr:uid="{00000000-0005-0000-0000-000022920000}"/>
    <cellStyle name="Explanatory Text 4 2" xfId="37411" xr:uid="{00000000-0005-0000-0000-000023920000}"/>
    <cellStyle name="Explanatory Text 4 3" xfId="37412" xr:uid="{00000000-0005-0000-0000-000024920000}"/>
    <cellStyle name="Explanatory Text 4 4" xfId="37413" xr:uid="{00000000-0005-0000-0000-000025920000}"/>
    <cellStyle name="Explanatory Text 4 5" xfId="37414" xr:uid="{00000000-0005-0000-0000-000026920000}"/>
    <cellStyle name="Explanatory Text 4_Proj" xfId="37415" xr:uid="{00000000-0005-0000-0000-000027920000}"/>
    <cellStyle name="Explanatory Text 5" xfId="37416" xr:uid="{00000000-0005-0000-0000-000028920000}"/>
    <cellStyle name="Explanatory Text 5 2" xfId="37417" xr:uid="{00000000-0005-0000-0000-000029920000}"/>
    <cellStyle name="Explanatory Text 5 3" xfId="37418" xr:uid="{00000000-0005-0000-0000-00002A920000}"/>
    <cellStyle name="Explanatory Text 5 4" xfId="37419" xr:uid="{00000000-0005-0000-0000-00002B920000}"/>
    <cellStyle name="Explanatory Text 5 5" xfId="37420" xr:uid="{00000000-0005-0000-0000-00002C920000}"/>
    <cellStyle name="Explanatory Text 6" xfId="37421" xr:uid="{00000000-0005-0000-0000-00002D920000}"/>
    <cellStyle name="Explanatory Text 6 2" xfId="37422" xr:uid="{00000000-0005-0000-0000-00002E920000}"/>
    <cellStyle name="Explanatory Text 6 3" xfId="37423" xr:uid="{00000000-0005-0000-0000-00002F920000}"/>
    <cellStyle name="Explanatory Text 6 4" xfId="37424" xr:uid="{00000000-0005-0000-0000-000030920000}"/>
    <cellStyle name="Explanatory Text 6 5" xfId="37425" xr:uid="{00000000-0005-0000-0000-000031920000}"/>
    <cellStyle name="Explanatory Text 7" xfId="37426" xr:uid="{00000000-0005-0000-0000-000032920000}"/>
    <cellStyle name="Explanatory Text 7 2" xfId="37427" xr:uid="{00000000-0005-0000-0000-000033920000}"/>
    <cellStyle name="Explanatory Text 7 3" xfId="37428" xr:uid="{00000000-0005-0000-0000-000034920000}"/>
    <cellStyle name="Explanatory Text 7 4" xfId="37429" xr:uid="{00000000-0005-0000-0000-000035920000}"/>
    <cellStyle name="Explanatory Text 7 5" xfId="37430" xr:uid="{00000000-0005-0000-0000-000036920000}"/>
    <cellStyle name="Explanatory Text 8" xfId="37431" xr:uid="{00000000-0005-0000-0000-000037920000}"/>
    <cellStyle name="Explanatory Text 8 2" xfId="37432" xr:uid="{00000000-0005-0000-0000-000038920000}"/>
    <cellStyle name="Explanatory Text 8 3" xfId="37433" xr:uid="{00000000-0005-0000-0000-000039920000}"/>
    <cellStyle name="Explanatory Text 8 4" xfId="37434" xr:uid="{00000000-0005-0000-0000-00003A920000}"/>
    <cellStyle name="Explanatory Text 8 5" xfId="37435" xr:uid="{00000000-0005-0000-0000-00003B920000}"/>
    <cellStyle name="Explanatory Text 9" xfId="37436" xr:uid="{00000000-0005-0000-0000-00003C920000}"/>
    <cellStyle name="Explanatory Text 9 2" xfId="37437" xr:uid="{00000000-0005-0000-0000-00003D920000}"/>
    <cellStyle name="Explanatory Text 9 3" xfId="37438" xr:uid="{00000000-0005-0000-0000-00003E920000}"/>
    <cellStyle name="Explanatory Text 9 4" xfId="37439" xr:uid="{00000000-0005-0000-0000-00003F920000}"/>
    <cellStyle name="Explanatory Text 9 5" xfId="37440" xr:uid="{00000000-0005-0000-0000-000040920000}"/>
    <cellStyle name="F2" xfId="37441" xr:uid="{00000000-0005-0000-0000-000041920000}"/>
    <cellStyle name="F3" xfId="37442" xr:uid="{00000000-0005-0000-0000-000042920000}"/>
    <cellStyle name="F4" xfId="37443" xr:uid="{00000000-0005-0000-0000-000043920000}"/>
    <cellStyle name="F5" xfId="37444" xr:uid="{00000000-0005-0000-0000-000044920000}"/>
    <cellStyle name="F6" xfId="37445" xr:uid="{00000000-0005-0000-0000-000045920000}"/>
    <cellStyle name="F7" xfId="37446" xr:uid="{00000000-0005-0000-0000-000046920000}"/>
    <cellStyle name="F8" xfId="37447" xr:uid="{00000000-0005-0000-0000-000047920000}"/>
    <cellStyle name="Financier0" xfId="37448" xr:uid="{00000000-0005-0000-0000-000048920000}"/>
    <cellStyle name="Fixed" xfId="37449" xr:uid="{00000000-0005-0000-0000-000049920000}"/>
    <cellStyle name="Fixed 2" xfId="37450" xr:uid="{00000000-0005-0000-0000-00004A920000}"/>
    <cellStyle name="Fixed 2 2" xfId="37451" xr:uid="{00000000-0005-0000-0000-00004B920000}"/>
    <cellStyle name="Fixed 3" xfId="37452" xr:uid="{00000000-0005-0000-0000-00004C920000}"/>
    <cellStyle name="Fixed 3 2" xfId="37453" xr:uid="{00000000-0005-0000-0000-00004D920000}"/>
    <cellStyle name="Fixed 4" xfId="37454" xr:uid="{00000000-0005-0000-0000-00004E920000}"/>
    <cellStyle name="Fixed 4 2" xfId="37455" xr:uid="{00000000-0005-0000-0000-00004F920000}"/>
    <cellStyle name="Fixed 5" xfId="37456" xr:uid="{00000000-0005-0000-0000-000050920000}"/>
    <cellStyle name="Fixed 6" xfId="37457" xr:uid="{00000000-0005-0000-0000-000051920000}"/>
    <cellStyle name="Fixed 7" xfId="37458" xr:uid="{00000000-0005-0000-0000-000052920000}"/>
    <cellStyle name="Fixed 8" xfId="37459" xr:uid="{00000000-0005-0000-0000-000053920000}"/>
    <cellStyle name="ƒnƒCƒp[ƒŠƒ“ƒN" xfId="37460" xr:uid="{00000000-0005-0000-0000-000054920000}"/>
    <cellStyle name="Foottitle" xfId="37461" xr:uid="{00000000-0005-0000-0000-000055920000}"/>
    <cellStyle name="FORM" xfId="37462" xr:uid="{00000000-0005-0000-0000-000056920000}"/>
    <cellStyle name="FORM 2" xfId="37463" xr:uid="{00000000-0005-0000-0000-000057920000}"/>
    <cellStyle name="FORM 3" xfId="37464" xr:uid="{00000000-0005-0000-0000-000058920000}"/>
    <cellStyle name="Formula" xfId="37465" xr:uid="{00000000-0005-0000-0000-000059920000}"/>
    <cellStyle name="Fr 3D out" xfId="37466" xr:uid="{00000000-0005-0000-0000-00005A920000}"/>
    <cellStyle name="general" xfId="37467" xr:uid="{00000000-0005-0000-0000-00005B920000}"/>
    <cellStyle name="GL" xfId="37468" xr:uid="{00000000-0005-0000-0000-00005C920000}"/>
    <cellStyle name="GL 2" xfId="37469" xr:uid="{00000000-0005-0000-0000-00005D920000}"/>
    <cellStyle name="GO" xfId="37470" xr:uid="{00000000-0005-0000-0000-00005E920000}"/>
    <cellStyle name="GO 2" xfId="37471" xr:uid="{00000000-0005-0000-0000-00005F920000}"/>
    <cellStyle name="Good 10" xfId="37472" xr:uid="{00000000-0005-0000-0000-000060920000}"/>
    <cellStyle name="Good 10 2" xfId="37473" xr:uid="{00000000-0005-0000-0000-000061920000}"/>
    <cellStyle name="Good 10 3" xfId="37474" xr:uid="{00000000-0005-0000-0000-000062920000}"/>
    <cellStyle name="Good 10 4" xfId="37475" xr:uid="{00000000-0005-0000-0000-000063920000}"/>
    <cellStyle name="Good 10 5" xfId="37476" xr:uid="{00000000-0005-0000-0000-000064920000}"/>
    <cellStyle name="Good 11" xfId="37477" xr:uid="{00000000-0005-0000-0000-000065920000}"/>
    <cellStyle name="Good 11 2" xfId="37478" xr:uid="{00000000-0005-0000-0000-000066920000}"/>
    <cellStyle name="Good 12" xfId="37479" xr:uid="{00000000-0005-0000-0000-000067920000}"/>
    <cellStyle name="Good 12 2" xfId="37480" xr:uid="{00000000-0005-0000-0000-000068920000}"/>
    <cellStyle name="Good 13" xfId="37481" xr:uid="{00000000-0005-0000-0000-000069920000}"/>
    <cellStyle name="Good 13 2" xfId="37482" xr:uid="{00000000-0005-0000-0000-00006A920000}"/>
    <cellStyle name="Good 14" xfId="37483" xr:uid="{00000000-0005-0000-0000-00006B920000}"/>
    <cellStyle name="Good 14 2" xfId="37484" xr:uid="{00000000-0005-0000-0000-00006C920000}"/>
    <cellStyle name="Good 15" xfId="37485" xr:uid="{00000000-0005-0000-0000-00006D920000}"/>
    <cellStyle name="Good 15 2" xfId="37486" xr:uid="{00000000-0005-0000-0000-00006E920000}"/>
    <cellStyle name="Good 16" xfId="37487" xr:uid="{00000000-0005-0000-0000-00006F920000}"/>
    <cellStyle name="Good 16 2" xfId="37488" xr:uid="{00000000-0005-0000-0000-000070920000}"/>
    <cellStyle name="Good 17" xfId="37489" xr:uid="{00000000-0005-0000-0000-000071920000}"/>
    <cellStyle name="Good 17 2" xfId="37490" xr:uid="{00000000-0005-0000-0000-000072920000}"/>
    <cellStyle name="Good 18" xfId="37491" xr:uid="{00000000-0005-0000-0000-000073920000}"/>
    <cellStyle name="Good 18 2" xfId="37492" xr:uid="{00000000-0005-0000-0000-000074920000}"/>
    <cellStyle name="Good 19" xfId="37493" xr:uid="{00000000-0005-0000-0000-000075920000}"/>
    <cellStyle name="Good 19 2" xfId="37494" xr:uid="{00000000-0005-0000-0000-000076920000}"/>
    <cellStyle name="Good 2" xfId="37495" xr:uid="{00000000-0005-0000-0000-000077920000}"/>
    <cellStyle name="Good 2 10" xfId="37496" xr:uid="{00000000-0005-0000-0000-000078920000}"/>
    <cellStyle name="Good 2 11" xfId="37497" xr:uid="{00000000-0005-0000-0000-000079920000}"/>
    <cellStyle name="Good 2 12" xfId="37498" xr:uid="{00000000-0005-0000-0000-00007A920000}"/>
    <cellStyle name="Good 2 13" xfId="37499" xr:uid="{00000000-0005-0000-0000-00007B920000}"/>
    <cellStyle name="Good 2 14" xfId="37500" xr:uid="{00000000-0005-0000-0000-00007C920000}"/>
    <cellStyle name="Good 2 15" xfId="37501" xr:uid="{00000000-0005-0000-0000-00007D920000}"/>
    <cellStyle name="Good 2 16" xfId="37502" xr:uid="{00000000-0005-0000-0000-00007E920000}"/>
    <cellStyle name="Good 2 17" xfId="37503" xr:uid="{00000000-0005-0000-0000-00007F920000}"/>
    <cellStyle name="Good 2 18" xfId="37504" xr:uid="{00000000-0005-0000-0000-000080920000}"/>
    <cellStyle name="Good 2 19" xfId="37505" xr:uid="{00000000-0005-0000-0000-000081920000}"/>
    <cellStyle name="Good 2 2" xfId="37506" xr:uid="{00000000-0005-0000-0000-000082920000}"/>
    <cellStyle name="Good 2 2 2" xfId="37507" xr:uid="{00000000-0005-0000-0000-000083920000}"/>
    <cellStyle name="Good 2 3" xfId="37508" xr:uid="{00000000-0005-0000-0000-000084920000}"/>
    <cellStyle name="Good 2 3 2" xfId="37509" xr:uid="{00000000-0005-0000-0000-000085920000}"/>
    <cellStyle name="Good 2 4" xfId="37510" xr:uid="{00000000-0005-0000-0000-000086920000}"/>
    <cellStyle name="Good 2 4 2" xfId="37511" xr:uid="{00000000-0005-0000-0000-000087920000}"/>
    <cellStyle name="Good 2 5" xfId="37512" xr:uid="{00000000-0005-0000-0000-000088920000}"/>
    <cellStyle name="Good 2 6" xfId="37513" xr:uid="{00000000-0005-0000-0000-000089920000}"/>
    <cellStyle name="Good 2 7" xfId="37514" xr:uid="{00000000-0005-0000-0000-00008A920000}"/>
    <cellStyle name="Good 2 8" xfId="37515" xr:uid="{00000000-0005-0000-0000-00008B920000}"/>
    <cellStyle name="Good 2 9" xfId="37516" xr:uid="{00000000-0005-0000-0000-00008C920000}"/>
    <cellStyle name="Good 2_Labour" xfId="37517" xr:uid="{00000000-0005-0000-0000-00008D920000}"/>
    <cellStyle name="Good 20" xfId="37518" xr:uid="{00000000-0005-0000-0000-00008E920000}"/>
    <cellStyle name="Good 20 2" xfId="37519" xr:uid="{00000000-0005-0000-0000-00008F920000}"/>
    <cellStyle name="Good 21" xfId="37520" xr:uid="{00000000-0005-0000-0000-000090920000}"/>
    <cellStyle name="Good 21 2" xfId="37521" xr:uid="{00000000-0005-0000-0000-000091920000}"/>
    <cellStyle name="Good 22" xfId="37522" xr:uid="{00000000-0005-0000-0000-000092920000}"/>
    <cellStyle name="Good 22 2" xfId="37523" xr:uid="{00000000-0005-0000-0000-000093920000}"/>
    <cellStyle name="Good 23" xfId="37524" xr:uid="{00000000-0005-0000-0000-000094920000}"/>
    <cellStyle name="Good 24" xfId="37525" xr:uid="{00000000-0005-0000-0000-000095920000}"/>
    <cellStyle name="Good 25" xfId="37526" xr:uid="{00000000-0005-0000-0000-000096920000}"/>
    <cellStyle name="Good 26" xfId="37527" xr:uid="{00000000-0005-0000-0000-000097920000}"/>
    <cellStyle name="Good 27" xfId="37528" xr:uid="{00000000-0005-0000-0000-000098920000}"/>
    <cellStyle name="Good 28" xfId="37529" xr:uid="{00000000-0005-0000-0000-000099920000}"/>
    <cellStyle name="Good 29" xfId="37530" xr:uid="{00000000-0005-0000-0000-00009A920000}"/>
    <cellStyle name="Good 3" xfId="37531" xr:uid="{00000000-0005-0000-0000-00009B920000}"/>
    <cellStyle name="Good 3 2" xfId="37532" xr:uid="{00000000-0005-0000-0000-00009C920000}"/>
    <cellStyle name="Good 3 2 2" xfId="37533" xr:uid="{00000000-0005-0000-0000-00009D920000}"/>
    <cellStyle name="Good 3 3" xfId="37534" xr:uid="{00000000-0005-0000-0000-00009E920000}"/>
    <cellStyle name="Good 3 4" xfId="37535" xr:uid="{00000000-0005-0000-0000-00009F920000}"/>
    <cellStyle name="Good 3 5" xfId="37536" xr:uid="{00000000-0005-0000-0000-0000A0920000}"/>
    <cellStyle name="Good 30" xfId="37537" xr:uid="{00000000-0005-0000-0000-0000A1920000}"/>
    <cellStyle name="Good 31" xfId="37538" xr:uid="{00000000-0005-0000-0000-0000A2920000}"/>
    <cellStyle name="Good 32" xfId="37539" xr:uid="{00000000-0005-0000-0000-0000A3920000}"/>
    <cellStyle name="Good 33" xfId="37540" xr:uid="{00000000-0005-0000-0000-0000A4920000}"/>
    <cellStyle name="Good 34" xfId="37541" xr:uid="{00000000-0005-0000-0000-0000A5920000}"/>
    <cellStyle name="Good 4" xfId="37542" xr:uid="{00000000-0005-0000-0000-0000A6920000}"/>
    <cellStyle name="Good 4 2" xfId="37543" xr:uid="{00000000-0005-0000-0000-0000A7920000}"/>
    <cellStyle name="Good 4 3" xfId="37544" xr:uid="{00000000-0005-0000-0000-0000A8920000}"/>
    <cellStyle name="Good 4 4" xfId="37545" xr:uid="{00000000-0005-0000-0000-0000A9920000}"/>
    <cellStyle name="Good 4 5" xfId="37546" xr:uid="{00000000-0005-0000-0000-0000AA920000}"/>
    <cellStyle name="Good 4_Proj" xfId="37547" xr:uid="{00000000-0005-0000-0000-0000AB920000}"/>
    <cellStyle name="Good 5" xfId="37548" xr:uid="{00000000-0005-0000-0000-0000AC920000}"/>
    <cellStyle name="Good 5 2" xfId="37549" xr:uid="{00000000-0005-0000-0000-0000AD920000}"/>
    <cellStyle name="Good 5 3" xfId="37550" xr:uid="{00000000-0005-0000-0000-0000AE920000}"/>
    <cellStyle name="Good 5 4" xfId="37551" xr:uid="{00000000-0005-0000-0000-0000AF920000}"/>
    <cellStyle name="Good 5 5" xfId="37552" xr:uid="{00000000-0005-0000-0000-0000B0920000}"/>
    <cellStyle name="Good 6" xfId="37553" xr:uid="{00000000-0005-0000-0000-0000B1920000}"/>
    <cellStyle name="Good 6 2" xfId="37554" xr:uid="{00000000-0005-0000-0000-0000B2920000}"/>
    <cellStyle name="Good 6 3" xfId="37555" xr:uid="{00000000-0005-0000-0000-0000B3920000}"/>
    <cellStyle name="Good 6 4" xfId="37556" xr:uid="{00000000-0005-0000-0000-0000B4920000}"/>
    <cellStyle name="Good 6 5" xfId="37557" xr:uid="{00000000-0005-0000-0000-0000B5920000}"/>
    <cellStyle name="Good 7" xfId="37558" xr:uid="{00000000-0005-0000-0000-0000B6920000}"/>
    <cellStyle name="Good 7 2" xfId="37559" xr:uid="{00000000-0005-0000-0000-0000B7920000}"/>
    <cellStyle name="Good 7 3" xfId="37560" xr:uid="{00000000-0005-0000-0000-0000B8920000}"/>
    <cellStyle name="Good 7 4" xfId="37561" xr:uid="{00000000-0005-0000-0000-0000B9920000}"/>
    <cellStyle name="Good 7 5" xfId="37562" xr:uid="{00000000-0005-0000-0000-0000BA920000}"/>
    <cellStyle name="Good 8" xfId="37563" xr:uid="{00000000-0005-0000-0000-0000BB920000}"/>
    <cellStyle name="Good 8 2" xfId="37564" xr:uid="{00000000-0005-0000-0000-0000BC920000}"/>
    <cellStyle name="Good 8 3" xfId="37565" xr:uid="{00000000-0005-0000-0000-0000BD920000}"/>
    <cellStyle name="Good 8 4" xfId="37566" xr:uid="{00000000-0005-0000-0000-0000BE920000}"/>
    <cellStyle name="Good 8 5" xfId="37567" xr:uid="{00000000-0005-0000-0000-0000BF920000}"/>
    <cellStyle name="Good 9" xfId="37568" xr:uid="{00000000-0005-0000-0000-0000C0920000}"/>
    <cellStyle name="Good 9 2" xfId="37569" xr:uid="{00000000-0005-0000-0000-0000C1920000}"/>
    <cellStyle name="Good 9 3" xfId="37570" xr:uid="{00000000-0005-0000-0000-0000C2920000}"/>
    <cellStyle name="Good 9 4" xfId="37571" xr:uid="{00000000-0005-0000-0000-0000C3920000}"/>
    <cellStyle name="Good 9 5" xfId="37572" xr:uid="{00000000-0005-0000-0000-0000C4920000}"/>
    <cellStyle name="Grey" xfId="37573" xr:uid="{00000000-0005-0000-0000-0000C5920000}"/>
    <cellStyle name="Grey 10" xfId="37574" xr:uid="{00000000-0005-0000-0000-0000C6920000}"/>
    <cellStyle name="Grey 11" xfId="37575" xr:uid="{00000000-0005-0000-0000-0000C7920000}"/>
    <cellStyle name="Grey 12" xfId="37576" xr:uid="{00000000-0005-0000-0000-0000C8920000}"/>
    <cellStyle name="Grey 2" xfId="37577" xr:uid="{00000000-0005-0000-0000-0000C9920000}"/>
    <cellStyle name="Grey 2 2" xfId="37578" xr:uid="{00000000-0005-0000-0000-0000CA920000}"/>
    <cellStyle name="Grey 2 3" xfId="37579" xr:uid="{00000000-0005-0000-0000-0000CB920000}"/>
    <cellStyle name="Grey 2 4" xfId="37580" xr:uid="{00000000-0005-0000-0000-0000CC920000}"/>
    <cellStyle name="Grey 2 5" xfId="37581" xr:uid="{00000000-0005-0000-0000-0000CD920000}"/>
    <cellStyle name="Grey 3" xfId="37582" xr:uid="{00000000-0005-0000-0000-0000CE920000}"/>
    <cellStyle name="Grey 4" xfId="37583" xr:uid="{00000000-0005-0000-0000-0000CF920000}"/>
    <cellStyle name="Grey 5" xfId="37584" xr:uid="{00000000-0005-0000-0000-0000D0920000}"/>
    <cellStyle name="Grey 6" xfId="37585" xr:uid="{00000000-0005-0000-0000-0000D1920000}"/>
    <cellStyle name="Grey 7" xfId="37586" xr:uid="{00000000-0005-0000-0000-0000D2920000}"/>
    <cellStyle name="Grey 8" xfId="37587" xr:uid="{00000000-0005-0000-0000-0000D3920000}"/>
    <cellStyle name="Grey 9" xfId="37588" xr:uid="{00000000-0005-0000-0000-0000D4920000}"/>
    <cellStyle name="GreyOrWhite" xfId="37589" xr:uid="{00000000-0005-0000-0000-0000D5920000}"/>
    <cellStyle name="GreyOrWhite 2" xfId="37590" xr:uid="{00000000-0005-0000-0000-0000D6920000}"/>
    <cellStyle name="HEADER" xfId="37591" xr:uid="{00000000-0005-0000-0000-0000D7920000}"/>
    <cellStyle name="Header 2" xfId="37592" xr:uid="{00000000-0005-0000-0000-0000D8920000}"/>
    <cellStyle name="Header1" xfId="37593" xr:uid="{00000000-0005-0000-0000-0000D9920000}"/>
    <cellStyle name="Header1 10" xfId="37594" xr:uid="{00000000-0005-0000-0000-0000DA920000}"/>
    <cellStyle name="Header1 11" xfId="37595" xr:uid="{00000000-0005-0000-0000-0000DB920000}"/>
    <cellStyle name="Header1 12" xfId="37596" xr:uid="{00000000-0005-0000-0000-0000DC920000}"/>
    <cellStyle name="Header1 2" xfId="37597" xr:uid="{00000000-0005-0000-0000-0000DD920000}"/>
    <cellStyle name="Header1 2 2" xfId="37598" xr:uid="{00000000-0005-0000-0000-0000DE920000}"/>
    <cellStyle name="Header1 2 3" xfId="37599" xr:uid="{00000000-0005-0000-0000-0000DF920000}"/>
    <cellStyle name="Header1 2 4" xfId="37600" xr:uid="{00000000-0005-0000-0000-0000E0920000}"/>
    <cellStyle name="Header1 2 5" xfId="37601" xr:uid="{00000000-0005-0000-0000-0000E1920000}"/>
    <cellStyle name="Header1 3" xfId="37602" xr:uid="{00000000-0005-0000-0000-0000E2920000}"/>
    <cellStyle name="Header1 3 2" xfId="37603" xr:uid="{00000000-0005-0000-0000-0000E3920000}"/>
    <cellStyle name="Header1 3 3" xfId="37604" xr:uid="{00000000-0005-0000-0000-0000E4920000}"/>
    <cellStyle name="Header1 3 4" xfId="37605" xr:uid="{00000000-0005-0000-0000-0000E5920000}"/>
    <cellStyle name="Header1 3 5" xfId="37606" xr:uid="{00000000-0005-0000-0000-0000E6920000}"/>
    <cellStyle name="Header1 4" xfId="37607" xr:uid="{00000000-0005-0000-0000-0000E7920000}"/>
    <cellStyle name="Header1 4 2" xfId="37608" xr:uid="{00000000-0005-0000-0000-0000E8920000}"/>
    <cellStyle name="Header1 4 3" xfId="37609" xr:uid="{00000000-0005-0000-0000-0000E9920000}"/>
    <cellStyle name="Header1 4 4" xfId="37610" xr:uid="{00000000-0005-0000-0000-0000EA920000}"/>
    <cellStyle name="Header1 4 5" xfId="37611" xr:uid="{00000000-0005-0000-0000-0000EB920000}"/>
    <cellStyle name="Header1 5" xfId="37612" xr:uid="{00000000-0005-0000-0000-0000EC920000}"/>
    <cellStyle name="Header1 6" xfId="37613" xr:uid="{00000000-0005-0000-0000-0000ED920000}"/>
    <cellStyle name="Header1 7" xfId="37614" xr:uid="{00000000-0005-0000-0000-0000EE920000}"/>
    <cellStyle name="Header1 8" xfId="37615" xr:uid="{00000000-0005-0000-0000-0000EF920000}"/>
    <cellStyle name="Header1 9" xfId="37616" xr:uid="{00000000-0005-0000-0000-0000F0920000}"/>
    <cellStyle name="Header2" xfId="37617" xr:uid="{00000000-0005-0000-0000-0000F1920000}"/>
    <cellStyle name="Header2 10" xfId="37618" xr:uid="{00000000-0005-0000-0000-0000F2920000}"/>
    <cellStyle name="Header2 10 2" xfId="37619" xr:uid="{00000000-0005-0000-0000-0000F3920000}"/>
    <cellStyle name="Header2 10 2 2" xfId="37620" xr:uid="{00000000-0005-0000-0000-0000F4920000}"/>
    <cellStyle name="Header2 10 3" xfId="37621" xr:uid="{00000000-0005-0000-0000-0000F5920000}"/>
    <cellStyle name="Header2 10 3 2" xfId="37622" xr:uid="{00000000-0005-0000-0000-0000F6920000}"/>
    <cellStyle name="Header2 10 4" xfId="37623" xr:uid="{00000000-0005-0000-0000-0000F7920000}"/>
    <cellStyle name="Header2 10 5" xfId="37624" xr:uid="{00000000-0005-0000-0000-0000F8920000}"/>
    <cellStyle name="Header2 10 6" xfId="37625" xr:uid="{00000000-0005-0000-0000-0000F9920000}"/>
    <cellStyle name="Header2 11" xfId="37626" xr:uid="{00000000-0005-0000-0000-0000FA920000}"/>
    <cellStyle name="Header2 11 2" xfId="37627" xr:uid="{00000000-0005-0000-0000-0000FB920000}"/>
    <cellStyle name="Header2 11 3" xfId="37628" xr:uid="{00000000-0005-0000-0000-0000FC920000}"/>
    <cellStyle name="Header2 11 4" xfId="37629" xr:uid="{00000000-0005-0000-0000-0000FD920000}"/>
    <cellStyle name="Header2 11 5" xfId="37630" xr:uid="{00000000-0005-0000-0000-0000FE920000}"/>
    <cellStyle name="Header2 11 6" xfId="37631" xr:uid="{00000000-0005-0000-0000-0000FF920000}"/>
    <cellStyle name="Header2 12" xfId="37632" xr:uid="{00000000-0005-0000-0000-000000930000}"/>
    <cellStyle name="Header2 12 2" xfId="37633" xr:uid="{00000000-0005-0000-0000-000001930000}"/>
    <cellStyle name="Header2 13" xfId="37634" xr:uid="{00000000-0005-0000-0000-000002930000}"/>
    <cellStyle name="Header2 13 2" xfId="37635" xr:uid="{00000000-0005-0000-0000-000003930000}"/>
    <cellStyle name="Header2 14" xfId="37636" xr:uid="{00000000-0005-0000-0000-000004930000}"/>
    <cellStyle name="Header2 15" xfId="37637" xr:uid="{00000000-0005-0000-0000-000005930000}"/>
    <cellStyle name="Header2 16" xfId="37638" xr:uid="{00000000-0005-0000-0000-000006930000}"/>
    <cellStyle name="Header2 17" xfId="37639" xr:uid="{00000000-0005-0000-0000-000007930000}"/>
    <cellStyle name="Header2 18" xfId="37640" xr:uid="{00000000-0005-0000-0000-000008930000}"/>
    <cellStyle name="Header2 19" xfId="37641" xr:uid="{00000000-0005-0000-0000-000009930000}"/>
    <cellStyle name="Header2 2" xfId="37642" xr:uid="{00000000-0005-0000-0000-00000A930000}"/>
    <cellStyle name="Header2 2 10" xfId="37643" xr:uid="{00000000-0005-0000-0000-00000B930000}"/>
    <cellStyle name="Header2 2 10 2" xfId="37644" xr:uid="{00000000-0005-0000-0000-00000C930000}"/>
    <cellStyle name="Header2 2 11" xfId="37645" xr:uid="{00000000-0005-0000-0000-00000D930000}"/>
    <cellStyle name="Header2 2 12" xfId="37646" xr:uid="{00000000-0005-0000-0000-00000E930000}"/>
    <cellStyle name="Header2 2 13" xfId="37647" xr:uid="{00000000-0005-0000-0000-00000F930000}"/>
    <cellStyle name="Header2 2 14" xfId="37648" xr:uid="{00000000-0005-0000-0000-000010930000}"/>
    <cellStyle name="Header2 2 15" xfId="37649" xr:uid="{00000000-0005-0000-0000-000011930000}"/>
    <cellStyle name="Header2 2 16" xfId="37650" xr:uid="{00000000-0005-0000-0000-000012930000}"/>
    <cellStyle name="Header2 2 17" xfId="37651" xr:uid="{00000000-0005-0000-0000-000013930000}"/>
    <cellStyle name="Header2 2 18" xfId="37652" xr:uid="{00000000-0005-0000-0000-000014930000}"/>
    <cellStyle name="Header2 2 2" xfId="37653" xr:uid="{00000000-0005-0000-0000-000015930000}"/>
    <cellStyle name="Header2 2 2 2" xfId="37654" xr:uid="{00000000-0005-0000-0000-000016930000}"/>
    <cellStyle name="Header2 2 2 2 2" xfId="37655" xr:uid="{00000000-0005-0000-0000-000017930000}"/>
    <cellStyle name="Header2 2 2 2 2 2" xfId="37656" xr:uid="{00000000-0005-0000-0000-000018930000}"/>
    <cellStyle name="Header2 2 2 2 2 2 2" xfId="37657" xr:uid="{00000000-0005-0000-0000-000019930000}"/>
    <cellStyle name="Header2 2 2 2 2 3" xfId="37658" xr:uid="{00000000-0005-0000-0000-00001A930000}"/>
    <cellStyle name="Header2 2 2 2 2 3 2" xfId="37659" xr:uid="{00000000-0005-0000-0000-00001B930000}"/>
    <cellStyle name="Header2 2 2 2 2 4" xfId="37660" xr:uid="{00000000-0005-0000-0000-00001C930000}"/>
    <cellStyle name="Header2 2 2 2 3" xfId="37661" xr:uid="{00000000-0005-0000-0000-00001D930000}"/>
    <cellStyle name="Header2 2 2 2 3 2" xfId="37662" xr:uid="{00000000-0005-0000-0000-00001E930000}"/>
    <cellStyle name="Header2 2 2 2 3 2 2" xfId="37663" xr:uid="{00000000-0005-0000-0000-00001F930000}"/>
    <cellStyle name="Header2 2 2 2 3 3" xfId="37664" xr:uid="{00000000-0005-0000-0000-000020930000}"/>
    <cellStyle name="Header2 2 2 2 3 3 2" xfId="37665" xr:uid="{00000000-0005-0000-0000-000021930000}"/>
    <cellStyle name="Header2 2 2 2 3 4" xfId="37666" xr:uid="{00000000-0005-0000-0000-000022930000}"/>
    <cellStyle name="Header2 2 2 2 4" xfId="37667" xr:uid="{00000000-0005-0000-0000-000023930000}"/>
    <cellStyle name="Header2 2 2 2 4 2" xfId="37668" xr:uid="{00000000-0005-0000-0000-000024930000}"/>
    <cellStyle name="Header2 2 2 2 5" xfId="37669" xr:uid="{00000000-0005-0000-0000-000025930000}"/>
    <cellStyle name="Header2 2 2 2 5 2" xfId="37670" xr:uid="{00000000-0005-0000-0000-000026930000}"/>
    <cellStyle name="Header2 2 2 2 6" xfId="37671" xr:uid="{00000000-0005-0000-0000-000027930000}"/>
    <cellStyle name="Header2 2 2 3" xfId="37672" xr:uid="{00000000-0005-0000-0000-000028930000}"/>
    <cellStyle name="Header2 2 2 3 2" xfId="37673" xr:uid="{00000000-0005-0000-0000-000029930000}"/>
    <cellStyle name="Header2 2 2 3 2 2" xfId="37674" xr:uid="{00000000-0005-0000-0000-00002A930000}"/>
    <cellStyle name="Header2 2 2 3 3" xfId="37675" xr:uid="{00000000-0005-0000-0000-00002B930000}"/>
    <cellStyle name="Header2 2 2 3 3 2" xfId="37676" xr:uid="{00000000-0005-0000-0000-00002C930000}"/>
    <cellStyle name="Header2 2 2 3 4" xfId="37677" xr:uid="{00000000-0005-0000-0000-00002D930000}"/>
    <cellStyle name="Header2 2 2 4" xfId="37678" xr:uid="{00000000-0005-0000-0000-00002E930000}"/>
    <cellStyle name="Header2 2 2 4 2" xfId="37679" xr:uid="{00000000-0005-0000-0000-00002F930000}"/>
    <cellStyle name="Header2 2 2 4 2 2" xfId="37680" xr:uid="{00000000-0005-0000-0000-000030930000}"/>
    <cellStyle name="Header2 2 2 4 3" xfId="37681" xr:uid="{00000000-0005-0000-0000-000031930000}"/>
    <cellStyle name="Header2 2 2 4 3 2" xfId="37682" xr:uid="{00000000-0005-0000-0000-000032930000}"/>
    <cellStyle name="Header2 2 2 4 4" xfId="37683" xr:uid="{00000000-0005-0000-0000-000033930000}"/>
    <cellStyle name="Header2 2 2 5" xfId="37684" xr:uid="{00000000-0005-0000-0000-000034930000}"/>
    <cellStyle name="Header2 2 2 5 2" xfId="37685" xr:uid="{00000000-0005-0000-0000-000035930000}"/>
    <cellStyle name="Header2 2 2 6" xfId="37686" xr:uid="{00000000-0005-0000-0000-000036930000}"/>
    <cellStyle name="Header2 2 2 6 2" xfId="37687" xr:uid="{00000000-0005-0000-0000-000037930000}"/>
    <cellStyle name="Header2 2 2 7" xfId="37688" xr:uid="{00000000-0005-0000-0000-000038930000}"/>
    <cellStyle name="Header2 2 3" xfId="37689" xr:uid="{00000000-0005-0000-0000-000039930000}"/>
    <cellStyle name="Header2 2 3 2" xfId="37690" xr:uid="{00000000-0005-0000-0000-00003A930000}"/>
    <cellStyle name="Header2 2 3 2 2" xfId="37691" xr:uid="{00000000-0005-0000-0000-00003B930000}"/>
    <cellStyle name="Header2 2 3 2 2 2" xfId="37692" xr:uid="{00000000-0005-0000-0000-00003C930000}"/>
    <cellStyle name="Header2 2 3 2 2 2 2" xfId="37693" xr:uid="{00000000-0005-0000-0000-00003D930000}"/>
    <cellStyle name="Header2 2 3 2 2 3" xfId="37694" xr:uid="{00000000-0005-0000-0000-00003E930000}"/>
    <cellStyle name="Header2 2 3 2 2 3 2" xfId="37695" xr:uid="{00000000-0005-0000-0000-00003F930000}"/>
    <cellStyle name="Header2 2 3 2 2 4" xfId="37696" xr:uid="{00000000-0005-0000-0000-000040930000}"/>
    <cellStyle name="Header2 2 3 2 3" xfId="37697" xr:uid="{00000000-0005-0000-0000-000041930000}"/>
    <cellStyle name="Header2 2 3 2 3 2" xfId="37698" xr:uid="{00000000-0005-0000-0000-000042930000}"/>
    <cellStyle name="Header2 2 3 2 3 2 2" xfId="37699" xr:uid="{00000000-0005-0000-0000-000043930000}"/>
    <cellStyle name="Header2 2 3 2 3 3" xfId="37700" xr:uid="{00000000-0005-0000-0000-000044930000}"/>
    <cellStyle name="Header2 2 3 2 3 3 2" xfId="37701" xr:uid="{00000000-0005-0000-0000-000045930000}"/>
    <cellStyle name="Header2 2 3 2 3 4" xfId="37702" xr:uid="{00000000-0005-0000-0000-000046930000}"/>
    <cellStyle name="Header2 2 3 2 4" xfId="37703" xr:uid="{00000000-0005-0000-0000-000047930000}"/>
    <cellStyle name="Header2 2 3 2 4 2" xfId="37704" xr:uid="{00000000-0005-0000-0000-000048930000}"/>
    <cellStyle name="Header2 2 3 2 5" xfId="37705" xr:uid="{00000000-0005-0000-0000-000049930000}"/>
    <cellStyle name="Header2 2 3 2 5 2" xfId="37706" xr:uid="{00000000-0005-0000-0000-00004A930000}"/>
    <cellStyle name="Header2 2 3 2 6" xfId="37707" xr:uid="{00000000-0005-0000-0000-00004B930000}"/>
    <cellStyle name="Header2 2 3 3" xfId="37708" xr:uid="{00000000-0005-0000-0000-00004C930000}"/>
    <cellStyle name="Header2 2 3 3 2" xfId="37709" xr:uid="{00000000-0005-0000-0000-00004D930000}"/>
    <cellStyle name="Header2 2 3 3 2 2" xfId="37710" xr:uid="{00000000-0005-0000-0000-00004E930000}"/>
    <cellStyle name="Header2 2 3 3 3" xfId="37711" xr:uid="{00000000-0005-0000-0000-00004F930000}"/>
    <cellStyle name="Header2 2 3 3 3 2" xfId="37712" xr:uid="{00000000-0005-0000-0000-000050930000}"/>
    <cellStyle name="Header2 2 3 3 4" xfId="37713" xr:uid="{00000000-0005-0000-0000-000051930000}"/>
    <cellStyle name="Header2 2 3 4" xfId="37714" xr:uid="{00000000-0005-0000-0000-000052930000}"/>
    <cellStyle name="Header2 2 3 4 2" xfId="37715" xr:uid="{00000000-0005-0000-0000-000053930000}"/>
    <cellStyle name="Header2 2 3 4 2 2" xfId="37716" xr:uid="{00000000-0005-0000-0000-000054930000}"/>
    <cellStyle name="Header2 2 3 4 3" xfId="37717" xr:uid="{00000000-0005-0000-0000-000055930000}"/>
    <cellStyle name="Header2 2 3 4 3 2" xfId="37718" xr:uid="{00000000-0005-0000-0000-000056930000}"/>
    <cellStyle name="Header2 2 3 4 4" xfId="37719" xr:uid="{00000000-0005-0000-0000-000057930000}"/>
    <cellStyle name="Header2 2 3 5" xfId="37720" xr:uid="{00000000-0005-0000-0000-000058930000}"/>
    <cellStyle name="Header2 2 3 5 2" xfId="37721" xr:uid="{00000000-0005-0000-0000-000059930000}"/>
    <cellStyle name="Header2 2 3 6" xfId="37722" xr:uid="{00000000-0005-0000-0000-00005A930000}"/>
    <cellStyle name="Header2 2 3 6 2" xfId="37723" xr:uid="{00000000-0005-0000-0000-00005B930000}"/>
    <cellStyle name="Header2 2 3 7" xfId="37724" xr:uid="{00000000-0005-0000-0000-00005C930000}"/>
    <cellStyle name="Header2 2 4" xfId="37725" xr:uid="{00000000-0005-0000-0000-00005D930000}"/>
    <cellStyle name="Header2 2 4 2" xfId="37726" xr:uid="{00000000-0005-0000-0000-00005E930000}"/>
    <cellStyle name="Header2 2 4 2 2" xfId="37727" xr:uid="{00000000-0005-0000-0000-00005F930000}"/>
    <cellStyle name="Header2 2 4 2 2 2" xfId="37728" xr:uid="{00000000-0005-0000-0000-000060930000}"/>
    <cellStyle name="Header2 2 4 2 2 2 2" xfId="37729" xr:uid="{00000000-0005-0000-0000-000061930000}"/>
    <cellStyle name="Header2 2 4 2 2 3" xfId="37730" xr:uid="{00000000-0005-0000-0000-000062930000}"/>
    <cellStyle name="Header2 2 4 2 2 3 2" xfId="37731" xr:uid="{00000000-0005-0000-0000-000063930000}"/>
    <cellStyle name="Header2 2 4 2 2 4" xfId="37732" xr:uid="{00000000-0005-0000-0000-000064930000}"/>
    <cellStyle name="Header2 2 4 2 3" xfId="37733" xr:uid="{00000000-0005-0000-0000-000065930000}"/>
    <cellStyle name="Header2 2 4 2 3 2" xfId="37734" xr:uid="{00000000-0005-0000-0000-000066930000}"/>
    <cellStyle name="Header2 2 4 2 3 2 2" xfId="37735" xr:uid="{00000000-0005-0000-0000-000067930000}"/>
    <cellStyle name="Header2 2 4 2 3 3" xfId="37736" xr:uid="{00000000-0005-0000-0000-000068930000}"/>
    <cellStyle name="Header2 2 4 2 3 3 2" xfId="37737" xr:uid="{00000000-0005-0000-0000-000069930000}"/>
    <cellStyle name="Header2 2 4 2 3 4" xfId="37738" xr:uid="{00000000-0005-0000-0000-00006A930000}"/>
    <cellStyle name="Header2 2 4 2 4" xfId="37739" xr:uid="{00000000-0005-0000-0000-00006B930000}"/>
    <cellStyle name="Header2 2 4 2 4 2" xfId="37740" xr:uid="{00000000-0005-0000-0000-00006C930000}"/>
    <cellStyle name="Header2 2 4 2 5" xfId="37741" xr:uid="{00000000-0005-0000-0000-00006D930000}"/>
    <cellStyle name="Header2 2 4 2 5 2" xfId="37742" xr:uid="{00000000-0005-0000-0000-00006E930000}"/>
    <cellStyle name="Header2 2 4 2 6" xfId="37743" xr:uid="{00000000-0005-0000-0000-00006F930000}"/>
    <cellStyle name="Header2 2 4 3" xfId="37744" xr:uid="{00000000-0005-0000-0000-000070930000}"/>
    <cellStyle name="Header2 2 4 3 2" xfId="37745" xr:uid="{00000000-0005-0000-0000-000071930000}"/>
    <cellStyle name="Header2 2 4 3 2 2" xfId="37746" xr:uid="{00000000-0005-0000-0000-000072930000}"/>
    <cellStyle name="Header2 2 4 3 3" xfId="37747" xr:uid="{00000000-0005-0000-0000-000073930000}"/>
    <cellStyle name="Header2 2 4 3 3 2" xfId="37748" xr:uid="{00000000-0005-0000-0000-000074930000}"/>
    <cellStyle name="Header2 2 4 3 4" xfId="37749" xr:uid="{00000000-0005-0000-0000-000075930000}"/>
    <cellStyle name="Header2 2 4 4" xfId="37750" xr:uid="{00000000-0005-0000-0000-000076930000}"/>
    <cellStyle name="Header2 2 4 4 2" xfId="37751" xr:uid="{00000000-0005-0000-0000-000077930000}"/>
    <cellStyle name="Header2 2 4 4 2 2" xfId="37752" xr:uid="{00000000-0005-0000-0000-000078930000}"/>
    <cellStyle name="Header2 2 4 4 3" xfId="37753" xr:uid="{00000000-0005-0000-0000-000079930000}"/>
    <cellStyle name="Header2 2 4 4 3 2" xfId="37754" xr:uid="{00000000-0005-0000-0000-00007A930000}"/>
    <cellStyle name="Header2 2 4 4 4" xfId="37755" xr:uid="{00000000-0005-0000-0000-00007B930000}"/>
    <cellStyle name="Header2 2 4 5" xfId="37756" xr:uid="{00000000-0005-0000-0000-00007C930000}"/>
    <cellStyle name="Header2 2 4 5 2" xfId="37757" xr:uid="{00000000-0005-0000-0000-00007D930000}"/>
    <cellStyle name="Header2 2 4 6" xfId="37758" xr:uid="{00000000-0005-0000-0000-00007E930000}"/>
    <cellStyle name="Header2 2 4 6 2" xfId="37759" xr:uid="{00000000-0005-0000-0000-00007F930000}"/>
    <cellStyle name="Header2 2 4 7" xfId="37760" xr:uid="{00000000-0005-0000-0000-000080930000}"/>
    <cellStyle name="Header2 2 5" xfId="37761" xr:uid="{00000000-0005-0000-0000-000081930000}"/>
    <cellStyle name="Header2 2 5 2" xfId="37762" xr:uid="{00000000-0005-0000-0000-000082930000}"/>
    <cellStyle name="Header2 2 5 2 2" xfId="37763" xr:uid="{00000000-0005-0000-0000-000083930000}"/>
    <cellStyle name="Header2 2 5 2 2 2" xfId="37764" xr:uid="{00000000-0005-0000-0000-000084930000}"/>
    <cellStyle name="Header2 2 5 2 2 2 2" xfId="37765" xr:uid="{00000000-0005-0000-0000-000085930000}"/>
    <cellStyle name="Header2 2 5 2 2 3" xfId="37766" xr:uid="{00000000-0005-0000-0000-000086930000}"/>
    <cellStyle name="Header2 2 5 2 2 3 2" xfId="37767" xr:uid="{00000000-0005-0000-0000-000087930000}"/>
    <cellStyle name="Header2 2 5 2 2 4" xfId="37768" xr:uid="{00000000-0005-0000-0000-000088930000}"/>
    <cellStyle name="Header2 2 5 2 3" xfId="37769" xr:uid="{00000000-0005-0000-0000-000089930000}"/>
    <cellStyle name="Header2 2 5 2 3 2" xfId="37770" xr:uid="{00000000-0005-0000-0000-00008A930000}"/>
    <cellStyle name="Header2 2 5 2 3 2 2" xfId="37771" xr:uid="{00000000-0005-0000-0000-00008B930000}"/>
    <cellStyle name="Header2 2 5 2 3 3" xfId="37772" xr:uid="{00000000-0005-0000-0000-00008C930000}"/>
    <cellStyle name="Header2 2 5 2 3 3 2" xfId="37773" xr:uid="{00000000-0005-0000-0000-00008D930000}"/>
    <cellStyle name="Header2 2 5 2 3 4" xfId="37774" xr:uid="{00000000-0005-0000-0000-00008E930000}"/>
    <cellStyle name="Header2 2 5 2 4" xfId="37775" xr:uid="{00000000-0005-0000-0000-00008F930000}"/>
    <cellStyle name="Header2 2 5 2 4 2" xfId="37776" xr:uid="{00000000-0005-0000-0000-000090930000}"/>
    <cellStyle name="Header2 2 5 2 5" xfId="37777" xr:uid="{00000000-0005-0000-0000-000091930000}"/>
    <cellStyle name="Header2 2 5 2 5 2" xfId="37778" xr:uid="{00000000-0005-0000-0000-000092930000}"/>
    <cellStyle name="Header2 2 5 2 6" xfId="37779" xr:uid="{00000000-0005-0000-0000-000093930000}"/>
    <cellStyle name="Header2 2 5 3" xfId="37780" xr:uid="{00000000-0005-0000-0000-000094930000}"/>
    <cellStyle name="Header2 2 5 3 2" xfId="37781" xr:uid="{00000000-0005-0000-0000-000095930000}"/>
    <cellStyle name="Header2 2 5 3 2 2" xfId="37782" xr:uid="{00000000-0005-0000-0000-000096930000}"/>
    <cellStyle name="Header2 2 5 3 3" xfId="37783" xr:uid="{00000000-0005-0000-0000-000097930000}"/>
    <cellStyle name="Header2 2 5 3 3 2" xfId="37784" xr:uid="{00000000-0005-0000-0000-000098930000}"/>
    <cellStyle name="Header2 2 5 3 4" xfId="37785" xr:uid="{00000000-0005-0000-0000-000099930000}"/>
    <cellStyle name="Header2 2 5 4" xfId="37786" xr:uid="{00000000-0005-0000-0000-00009A930000}"/>
    <cellStyle name="Header2 2 5 4 2" xfId="37787" xr:uid="{00000000-0005-0000-0000-00009B930000}"/>
    <cellStyle name="Header2 2 5 4 2 2" xfId="37788" xr:uid="{00000000-0005-0000-0000-00009C930000}"/>
    <cellStyle name="Header2 2 5 4 3" xfId="37789" xr:uid="{00000000-0005-0000-0000-00009D930000}"/>
    <cellStyle name="Header2 2 5 4 3 2" xfId="37790" xr:uid="{00000000-0005-0000-0000-00009E930000}"/>
    <cellStyle name="Header2 2 5 4 4" xfId="37791" xr:uid="{00000000-0005-0000-0000-00009F930000}"/>
    <cellStyle name="Header2 2 5 5" xfId="37792" xr:uid="{00000000-0005-0000-0000-0000A0930000}"/>
    <cellStyle name="Header2 2 5 5 2" xfId="37793" xr:uid="{00000000-0005-0000-0000-0000A1930000}"/>
    <cellStyle name="Header2 2 5 6" xfId="37794" xr:uid="{00000000-0005-0000-0000-0000A2930000}"/>
    <cellStyle name="Header2 2 5 6 2" xfId="37795" xr:uid="{00000000-0005-0000-0000-0000A3930000}"/>
    <cellStyle name="Header2 2 5 7" xfId="37796" xr:uid="{00000000-0005-0000-0000-0000A4930000}"/>
    <cellStyle name="Header2 2 6" xfId="37797" xr:uid="{00000000-0005-0000-0000-0000A5930000}"/>
    <cellStyle name="Header2 2 6 2" xfId="37798" xr:uid="{00000000-0005-0000-0000-0000A6930000}"/>
    <cellStyle name="Header2 2 6 2 2" xfId="37799" xr:uid="{00000000-0005-0000-0000-0000A7930000}"/>
    <cellStyle name="Header2 2 6 2 2 2" xfId="37800" xr:uid="{00000000-0005-0000-0000-0000A8930000}"/>
    <cellStyle name="Header2 2 6 2 2 2 2" xfId="37801" xr:uid="{00000000-0005-0000-0000-0000A9930000}"/>
    <cellStyle name="Header2 2 6 2 2 3" xfId="37802" xr:uid="{00000000-0005-0000-0000-0000AA930000}"/>
    <cellStyle name="Header2 2 6 2 2 3 2" xfId="37803" xr:uid="{00000000-0005-0000-0000-0000AB930000}"/>
    <cellStyle name="Header2 2 6 2 2 4" xfId="37804" xr:uid="{00000000-0005-0000-0000-0000AC930000}"/>
    <cellStyle name="Header2 2 6 2 3" xfId="37805" xr:uid="{00000000-0005-0000-0000-0000AD930000}"/>
    <cellStyle name="Header2 2 6 2 3 2" xfId="37806" xr:uid="{00000000-0005-0000-0000-0000AE930000}"/>
    <cellStyle name="Header2 2 6 2 3 2 2" xfId="37807" xr:uid="{00000000-0005-0000-0000-0000AF930000}"/>
    <cellStyle name="Header2 2 6 2 3 3" xfId="37808" xr:uid="{00000000-0005-0000-0000-0000B0930000}"/>
    <cellStyle name="Header2 2 6 2 3 3 2" xfId="37809" xr:uid="{00000000-0005-0000-0000-0000B1930000}"/>
    <cellStyle name="Header2 2 6 2 3 4" xfId="37810" xr:uid="{00000000-0005-0000-0000-0000B2930000}"/>
    <cellStyle name="Header2 2 6 2 4" xfId="37811" xr:uid="{00000000-0005-0000-0000-0000B3930000}"/>
    <cellStyle name="Header2 2 6 2 4 2" xfId="37812" xr:uid="{00000000-0005-0000-0000-0000B4930000}"/>
    <cellStyle name="Header2 2 6 2 5" xfId="37813" xr:uid="{00000000-0005-0000-0000-0000B5930000}"/>
    <cellStyle name="Header2 2 6 2 5 2" xfId="37814" xr:uid="{00000000-0005-0000-0000-0000B6930000}"/>
    <cellStyle name="Header2 2 6 2 6" xfId="37815" xr:uid="{00000000-0005-0000-0000-0000B7930000}"/>
    <cellStyle name="Header2 2 6 3" xfId="37816" xr:uid="{00000000-0005-0000-0000-0000B8930000}"/>
    <cellStyle name="Header2 2 6 3 2" xfId="37817" xr:uid="{00000000-0005-0000-0000-0000B9930000}"/>
    <cellStyle name="Header2 2 6 3 2 2" xfId="37818" xr:uid="{00000000-0005-0000-0000-0000BA930000}"/>
    <cellStyle name="Header2 2 6 3 3" xfId="37819" xr:uid="{00000000-0005-0000-0000-0000BB930000}"/>
    <cellStyle name="Header2 2 6 3 3 2" xfId="37820" xr:uid="{00000000-0005-0000-0000-0000BC930000}"/>
    <cellStyle name="Header2 2 6 3 4" xfId="37821" xr:uid="{00000000-0005-0000-0000-0000BD930000}"/>
    <cellStyle name="Header2 2 6 4" xfId="37822" xr:uid="{00000000-0005-0000-0000-0000BE930000}"/>
    <cellStyle name="Header2 2 6 4 2" xfId="37823" xr:uid="{00000000-0005-0000-0000-0000BF930000}"/>
    <cellStyle name="Header2 2 6 4 2 2" xfId="37824" xr:uid="{00000000-0005-0000-0000-0000C0930000}"/>
    <cellStyle name="Header2 2 6 4 3" xfId="37825" xr:uid="{00000000-0005-0000-0000-0000C1930000}"/>
    <cellStyle name="Header2 2 6 4 3 2" xfId="37826" xr:uid="{00000000-0005-0000-0000-0000C2930000}"/>
    <cellStyle name="Header2 2 6 4 4" xfId="37827" xr:uid="{00000000-0005-0000-0000-0000C3930000}"/>
    <cellStyle name="Header2 2 6 5" xfId="37828" xr:uid="{00000000-0005-0000-0000-0000C4930000}"/>
    <cellStyle name="Header2 2 6 5 2" xfId="37829" xr:uid="{00000000-0005-0000-0000-0000C5930000}"/>
    <cellStyle name="Header2 2 6 6" xfId="37830" xr:uid="{00000000-0005-0000-0000-0000C6930000}"/>
    <cellStyle name="Header2 2 6 6 2" xfId="37831" xr:uid="{00000000-0005-0000-0000-0000C7930000}"/>
    <cellStyle name="Header2 2 6 7" xfId="37832" xr:uid="{00000000-0005-0000-0000-0000C8930000}"/>
    <cellStyle name="Header2 2 7" xfId="37833" xr:uid="{00000000-0005-0000-0000-0000C9930000}"/>
    <cellStyle name="Header2 2 7 2" xfId="37834" xr:uid="{00000000-0005-0000-0000-0000CA930000}"/>
    <cellStyle name="Header2 2 7 2 2" xfId="37835" xr:uid="{00000000-0005-0000-0000-0000CB930000}"/>
    <cellStyle name="Header2 2 7 2 2 2" xfId="37836" xr:uid="{00000000-0005-0000-0000-0000CC930000}"/>
    <cellStyle name="Header2 2 7 2 3" xfId="37837" xr:uid="{00000000-0005-0000-0000-0000CD930000}"/>
    <cellStyle name="Header2 2 7 2 3 2" xfId="37838" xr:uid="{00000000-0005-0000-0000-0000CE930000}"/>
    <cellStyle name="Header2 2 7 2 4" xfId="37839" xr:uid="{00000000-0005-0000-0000-0000CF930000}"/>
    <cellStyle name="Header2 2 7 3" xfId="37840" xr:uid="{00000000-0005-0000-0000-0000D0930000}"/>
    <cellStyle name="Header2 2 7 3 2" xfId="37841" xr:uid="{00000000-0005-0000-0000-0000D1930000}"/>
    <cellStyle name="Header2 2 7 3 2 2" xfId="37842" xr:uid="{00000000-0005-0000-0000-0000D2930000}"/>
    <cellStyle name="Header2 2 7 3 3" xfId="37843" xr:uid="{00000000-0005-0000-0000-0000D3930000}"/>
    <cellStyle name="Header2 2 7 3 3 2" xfId="37844" xr:uid="{00000000-0005-0000-0000-0000D4930000}"/>
    <cellStyle name="Header2 2 7 3 4" xfId="37845" xr:uid="{00000000-0005-0000-0000-0000D5930000}"/>
    <cellStyle name="Header2 2 7 4" xfId="37846" xr:uid="{00000000-0005-0000-0000-0000D6930000}"/>
    <cellStyle name="Header2 2 7 4 2" xfId="37847" xr:uid="{00000000-0005-0000-0000-0000D7930000}"/>
    <cellStyle name="Header2 2 7 5" xfId="37848" xr:uid="{00000000-0005-0000-0000-0000D8930000}"/>
    <cellStyle name="Header2 2 7 5 2" xfId="37849" xr:uid="{00000000-0005-0000-0000-0000D9930000}"/>
    <cellStyle name="Header2 2 7 6" xfId="37850" xr:uid="{00000000-0005-0000-0000-0000DA930000}"/>
    <cellStyle name="Header2 2 8" xfId="37851" xr:uid="{00000000-0005-0000-0000-0000DB930000}"/>
    <cellStyle name="Header2 2 8 2" xfId="37852" xr:uid="{00000000-0005-0000-0000-0000DC930000}"/>
    <cellStyle name="Header2 2 8 2 2" xfId="37853" xr:uid="{00000000-0005-0000-0000-0000DD930000}"/>
    <cellStyle name="Header2 2 8 3" xfId="37854" xr:uid="{00000000-0005-0000-0000-0000DE930000}"/>
    <cellStyle name="Header2 2 8 3 2" xfId="37855" xr:uid="{00000000-0005-0000-0000-0000DF930000}"/>
    <cellStyle name="Header2 2 8 4" xfId="37856" xr:uid="{00000000-0005-0000-0000-0000E0930000}"/>
    <cellStyle name="Header2 2 9" xfId="37857" xr:uid="{00000000-0005-0000-0000-0000E1930000}"/>
    <cellStyle name="Header2 2 9 2" xfId="37858" xr:uid="{00000000-0005-0000-0000-0000E2930000}"/>
    <cellStyle name="Header2 3" xfId="37859" xr:uid="{00000000-0005-0000-0000-0000E3930000}"/>
    <cellStyle name="Header2 3 10" xfId="37860" xr:uid="{00000000-0005-0000-0000-0000E4930000}"/>
    <cellStyle name="Header2 3 10 2" xfId="37861" xr:uid="{00000000-0005-0000-0000-0000E5930000}"/>
    <cellStyle name="Header2 3 11" xfId="37862" xr:uid="{00000000-0005-0000-0000-0000E6930000}"/>
    <cellStyle name="Header2 3 11 2" xfId="37863" xr:uid="{00000000-0005-0000-0000-0000E7930000}"/>
    <cellStyle name="Header2 3 12" xfId="37864" xr:uid="{00000000-0005-0000-0000-0000E8930000}"/>
    <cellStyle name="Header2 3 13" xfId="37865" xr:uid="{00000000-0005-0000-0000-0000E9930000}"/>
    <cellStyle name="Header2 3 14" xfId="37866" xr:uid="{00000000-0005-0000-0000-0000EA930000}"/>
    <cellStyle name="Header2 3 15" xfId="37867" xr:uid="{00000000-0005-0000-0000-0000EB930000}"/>
    <cellStyle name="Header2 3 16" xfId="37868" xr:uid="{00000000-0005-0000-0000-0000EC930000}"/>
    <cellStyle name="Header2 3 17" xfId="37869" xr:uid="{00000000-0005-0000-0000-0000ED930000}"/>
    <cellStyle name="Header2 3 18" xfId="37870" xr:uid="{00000000-0005-0000-0000-0000EE930000}"/>
    <cellStyle name="Header2 3 19" xfId="37871" xr:uid="{00000000-0005-0000-0000-0000EF930000}"/>
    <cellStyle name="Header2 3 2" xfId="37872" xr:uid="{00000000-0005-0000-0000-0000F0930000}"/>
    <cellStyle name="Header2 3 2 2" xfId="37873" xr:uid="{00000000-0005-0000-0000-0000F1930000}"/>
    <cellStyle name="Header2 3 2 2 2" xfId="37874" xr:uid="{00000000-0005-0000-0000-0000F2930000}"/>
    <cellStyle name="Header2 3 2 2 2 2" xfId="37875" xr:uid="{00000000-0005-0000-0000-0000F3930000}"/>
    <cellStyle name="Header2 3 2 2 2 2 2" xfId="37876" xr:uid="{00000000-0005-0000-0000-0000F4930000}"/>
    <cellStyle name="Header2 3 2 2 2 3" xfId="37877" xr:uid="{00000000-0005-0000-0000-0000F5930000}"/>
    <cellStyle name="Header2 3 2 2 2 3 2" xfId="37878" xr:uid="{00000000-0005-0000-0000-0000F6930000}"/>
    <cellStyle name="Header2 3 2 2 2 4" xfId="37879" xr:uid="{00000000-0005-0000-0000-0000F7930000}"/>
    <cellStyle name="Header2 3 2 2 3" xfId="37880" xr:uid="{00000000-0005-0000-0000-0000F8930000}"/>
    <cellStyle name="Header2 3 2 2 3 2" xfId="37881" xr:uid="{00000000-0005-0000-0000-0000F9930000}"/>
    <cellStyle name="Header2 3 2 2 3 2 2" xfId="37882" xr:uid="{00000000-0005-0000-0000-0000FA930000}"/>
    <cellStyle name="Header2 3 2 2 3 3" xfId="37883" xr:uid="{00000000-0005-0000-0000-0000FB930000}"/>
    <cellStyle name="Header2 3 2 2 3 3 2" xfId="37884" xr:uid="{00000000-0005-0000-0000-0000FC930000}"/>
    <cellStyle name="Header2 3 2 2 3 4" xfId="37885" xr:uid="{00000000-0005-0000-0000-0000FD930000}"/>
    <cellStyle name="Header2 3 2 2 4" xfId="37886" xr:uid="{00000000-0005-0000-0000-0000FE930000}"/>
    <cellStyle name="Header2 3 2 2 4 2" xfId="37887" xr:uid="{00000000-0005-0000-0000-0000FF930000}"/>
    <cellStyle name="Header2 3 2 2 5" xfId="37888" xr:uid="{00000000-0005-0000-0000-000000940000}"/>
    <cellStyle name="Header2 3 2 2 5 2" xfId="37889" xr:uid="{00000000-0005-0000-0000-000001940000}"/>
    <cellStyle name="Header2 3 2 2 6" xfId="37890" xr:uid="{00000000-0005-0000-0000-000002940000}"/>
    <cellStyle name="Header2 3 2 3" xfId="37891" xr:uid="{00000000-0005-0000-0000-000003940000}"/>
    <cellStyle name="Header2 3 2 3 2" xfId="37892" xr:uid="{00000000-0005-0000-0000-000004940000}"/>
    <cellStyle name="Header2 3 2 3 2 2" xfId="37893" xr:uid="{00000000-0005-0000-0000-000005940000}"/>
    <cellStyle name="Header2 3 2 3 3" xfId="37894" xr:uid="{00000000-0005-0000-0000-000006940000}"/>
    <cellStyle name="Header2 3 2 3 3 2" xfId="37895" xr:uid="{00000000-0005-0000-0000-000007940000}"/>
    <cellStyle name="Header2 3 2 3 4" xfId="37896" xr:uid="{00000000-0005-0000-0000-000008940000}"/>
    <cellStyle name="Header2 3 2 4" xfId="37897" xr:uid="{00000000-0005-0000-0000-000009940000}"/>
    <cellStyle name="Header2 3 2 4 2" xfId="37898" xr:uid="{00000000-0005-0000-0000-00000A940000}"/>
    <cellStyle name="Header2 3 2 4 2 2" xfId="37899" xr:uid="{00000000-0005-0000-0000-00000B940000}"/>
    <cellStyle name="Header2 3 2 4 3" xfId="37900" xr:uid="{00000000-0005-0000-0000-00000C940000}"/>
    <cellStyle name="Header2 3 2 4 3 2" xfId="37901" xr:uid="{00000000-0005-0000-0000-00000D940000}"/>
    <cellStyle name="Header2 3 2 4 4" xfId="37902" xr:uid="{00000000-0005-0000-0000-00000E940000}"/>
    <cellStyle name="Header2 3 2 5" xfId="37903" xr:uid="{00000000-0005-0000-0000-00000F940000}"/>
    <cellStyle name="Header2 3 2 5 2" xfId="37904" xr:uid="{00000000-0005-0000-0000-000010940000}"/>
    <cellStyle name="Header2 3 2 6" xfId="37905" xr:uid="{00000000-0005-0000-0000-000011940000}"/>
    <cellStyle name="Header2 3 2 6 2" xfId="37906" xr:uid="{00000000-0005-0000-0000-000012940000}"/>
    <cellStyle name="Header2 3 2 7" xfId="37907" xr:uid="{00000000-0005-0000-0000-000013940000}"/>
    <cellStyle name="Header2 3 3" xfId="37908" xr:uid="{00000000-0005-0000-0000-000014940000}"/>
    <cellStyle name="Header2 3 3 2" xfId="37909" xr:uid="{00000000-0005-0000-0000-000015940000}"/>
    <cellStyle name="Header2 3 3 2 2" xfId="37910" xr:uid="{00000000-0005-0000-0000-000016940000}"/>
    <cellStyle name="Header2 3 3 2 2 2" xfId="37911" xr:uid="{00000000-0005-0000-0000-000017940000}"/>
    <cellStyle name="Header2 3 3 2 2 2 2" xfId="37912" xr:uid="{00000000-0005-0000-0000-000018940000}"/>
    <cellStyle name="Header2 3 3 2 2 3" xfId="37913" xr:uid="{00000000-0005-0000-0000-000019940000}"/>
    <cellStyle name="Header2 3 3 2 2 3 2" xfId="37914" xr:uid="{00000000-0005-0000-0000-00001A940000}"/>
    <cellStyle name="Header2 3 3 2 2 4" xfId="37915" xr:uid="{00000000-0005-0000-0000-00001B940000}"/>
    <cellStyle name="Header2 3 3 2 3" xfId="37916" xr:uid="{00000000-0005-0000-0000-00001C940000}"/>
    <cellStyle name="Header2 3 3 2 3 2" xfId="37917" xr:uid="{00000000-0005-0000-0000-00001D940000}"/>
    <cellStyle name="Header2 3 3 2 3 2 2" xfId="37918" xr:uid="{00000000-0005-0000-0000-00001E940000}"/>
    <cellStyle name="Header2 3 3 2 3 3" xfId="37919" xr:uid="{00000000-0005-0000-0000-00001F940000}"/>
    <cellStyle name="Header2 3 3 2 3 3 2" xfId="37920" xr:uid="{00000000-0005-0000-0000-000020940000}"/>
    <cellStyle name="Header2 3 3 2 3 4" xfId="37921" xr:uid="{00000000-0005-0000-0000-000021940000}"/>
    <cellStyle name="Header2 3 3 2 4" xfId="37922" xr:uid="{00000000-0005-0000-0000-000022940000}"/>
    <cellStyle name="Header2 3 3 2 4 2" xfId="37923" xr:uid="{00000000-0005-0000-0000-000023940000}"/>
    <cellStyle name="Header2 3 3 2 5" xfId="37924" xr:uid="{00000000-0005-0000-0000-000024940000}"/>
    <cellStyle name="Header2 3 3 2 5 2" xfId="37925" xr:uid="{00000000-0005-0000-0000-000025940000}"/>
    <cellStyle name="Header2 3 3 2 6" xfId="37926" xr:uid="{00000000-0005-0000-0000-000026940000}"/>
    <cellStyle name="Header2 3 3 3" xfId="37927" xr:uid="{00000000-0005-0000-0000-000027940000}"/>
    <cellStyle name="Header2 3 3 3 2" xfId="37928" xr:uid="{00000000-0005-0000-0000-000028940000}"/>
    <cellStyle name="Header2 3 3 3 2 2" xfId="37929" xr:uid="{00000000-0005-0000-0000-000029940000}"/>
    <cellStyle name="Header2 3 3 3 3" xfId="37930" xr:uid="{00000000-0005-0000-0000-00002A940000}"/>
    <cellStyle name="Header2 3 3 3 3 2" xfId="37931" xr:uid="{00000000-0005-0000-0000-00002B940000}"/>
    <cellStyle name="Header2 3 3 3 4" xfId="37932" xr:uid="{00000000-0005-0000-0000-00002C940000}"/>
    <cellStyle name="Header2 3 3 4" xfId="37933" xr:uid="{00000000-0005-0000-0000-00002D940000}"/>
    <cellStyle name="Header2 3 3 4 2" xfId="37934" xr:uid="{00000000-0005-0000-0000-00002E940000}"/>
    <cellStyle name="Header2 3 3 4 2 2" xfId="37935" xr:uid="{00000000-0005-0000-0000-00002F940000}"/>
    <cellStyle name="Header2 3 3 4 3" xfId="37936" xr:uid="{00000000-0005-0000-0000-000030940000}"/>
    <cellStyle name="Header2 3 3 4 3 2" xfId="37937" xr:uid="{00000000-0005-0000-0000-000031940000}"/>
    <cellStyle name="Header2 3 3 4 4" xfId="37938" xr:uid="{00000000-0005-0000-0000-000032940000}"/>
    <cellStyle name="Header2 3 3 5" xfId="37939" xr:uid="{00000000-0005-0000-0000-000033940000}"/>
    <cellStyle name="Header2 3 3 5 2" xfId="37940" xr:uid="{00000000-0005-0000-0000-000034940000}"/>
    <cellStyle name="Header2 3 3 6" xfId="37941" xr:uid="{00000000-0005-0000-0000-000035940000}"/>
    <cellStyle name="Header2 3 3 6 2" xfId="37942" xr:uid="{00000000-0005-0000-0000-000036940000}"/>
    <cellStyle name="Header2 3 3 7" xfId="37943" xr:uid="{00000000-0005-0000-0000-000037940000}"/>
    <cellStyle name="Header2 3 4" xfId="37944" xr:uid="{00000000-0005-0000-0000-000038940000}"/>
    <cellStyle name="Header2 3 4 2" xfId="37945" xr:uid="{00000000-0005-0000-0000-000039940000}"/>
    <cellStyle name="Header2 3 4 2 2" xfId="37946" xr:uid="{00000000-0005-0000-0000-00003A940000}"/>
    <cellStyle name="Header2 3 4 2 2 2" xfId="37947" xr:uid="{00000000-0005-0000-0000-00003B940000}"/>
    <cellStyle name="Header2 3 4 2 2 2 2" xfId="37948" xr:uid="{00000000-0005-0000-0000-00003C940000}"/>
    <cellStyle name="Header2 3 4 2 2 3" xfId="37949" xr:uid="{00000000-0005-0000-0000-00003D940000}"/>
    <cellStyle name="Header2 3 4 2 2 3 2" xfId="37950" xr:uid="{00000000-0005-0000-0000-00003E940000}"/>
    <cellStyle name="Header2 3 4 2 2 4" xfId="37951" xr:uid="{00000000-0005-0000-0000-00003F940000}"/>
    <cellStyle name="Header2 3 4 2 3" xfId="37952" xr:uid="{00000000-0005-0000-0000-000040940000}"/>
    <cellStyle name="Header2 3 4 2 3 2" xfId="37953" xr:uid="{00000000-0005-0000-0000-000041940000}"/>
    <cellStyle name="Header2 3 4 2 3 2 2" xfId="37954" xr:uid="{00000000-0005-0000-0000-000042940000}"/>
    <cellStyle name="Header2 3 4 2 3 3" xfId="37955" xr:uid="{00000000-0005-0000-0000-000043940000}"/>
    <cellStyle name="Header2 3 4 2 3 3 2" xfId="37956" xr:uid="{00000000-0005-0000-0000-000044940000}"/>
    <cellStyle name="Header2 3 4 2 3 4" xfId="37957" xr:uid="{00000000-0005-0000-0000-000045940000}"/>
    <cellStyle name="Header2 3 4 2 4" xfId="37958" xr:uid="{00000000-0005-0000-0000-000046940000}"/>
    <cellStyle name="Header2 3 4 2 4 2" xfId="37959" xr:uid="{00000000-0005-0000-0000-000047940000}"/>
    <cellStyle name="Header2 3 4 2 5" xfId="37960" xr:uid="{00000000-0005-0000-0000-000048940000}"/>
    <cellStyle name="Header2 3 4 2 5 2" xfId="37961" xr:uid="{00000000-0005-0000-0000-000049940000}"/>
    <cellStyle name="Header2 3 4 2 6" xfId="37962" xr:uid="{00000000-0005-0000-0000-00004A940000}"/>
    <cellStyle name="Header2 3 4 3" xfId="37963" xr:uid="{00000000-0005-0000-0000-00004B940000}"/>
    <cellStyle name="Header2 3 4 3 2" xfId="37964" xr:uid="{00000000-0005-0000-0000-00004C940000}"/>
    <cellStyle name="Header2 3 4 3 2 2" xfId="37965" xr:uid="{00000000-0005-0000-0000-00004D940000}"/>
    <cellStyle name="Header2 3 4 3 3" xfId="37966" xr:uid="{00000000-0005-0000-0000-00004E940000}"/>
    <cellStyle name="Header2 3 4 3 3 2" xfId="37967" xr:uid="{00000000-0005-0000-0000-00004F940000}"/>
    <cellStyle name="Header2 3 4 3 4" xfId="37968" xr:uid="{00000000-0005-0000-0000-000050940000}"/>
    <cellStyle name="Header2 3 4 4" xfId="37969" xr:uid="{00000000-0005-0000-0000-000051940000}"/>
    <cellStyle name="Header2 3 4 4 2" xfId="37970" xr:uid="{00000000-0005-0000-0000-000052940000}"/>
    <cellStyle name="Header2 3 4 4 2 2" xfId="37971" xr:uid="{00000000-0005-0000-0000-000053940000}"/>
    <cellStyle name="Header2 3 4 4 3" xfId="37972" xr:uid="{00000000-0005-0000-0000-000054940000}"/>
    <cellStyle name="Header2 3 4 4 3 2" xfId="37973" xr:uid="{00000000-0005-0000-0000-000055940000}"/>
    <cellStyle name="Header2 3 4 4 4" xfId="37974" xr:uid="{00000000-0005-0000-0000-000056940000}"/>
    <cellStyle name="Header2 3 4 5" xfId="37975" xr:uid="{00000000-0005-0000-0000-000057940000}"/>
    <cellStyle name="Header2 3 4 5 2" xfId="37976" xr:uid="{00000000-0005-0000-0000-000058940000}"/>
    <cellStyle name="Header2 3 4 6" xfId="37977" xr:uid="{00000000-0005-0000-0000-000059940000}"/>
    <cellStyle name="Header2 3 4 6 2" xfId="37978" xr:uid="{00000000-0005-0000-0000-00005A940000}"/>
    <cellStyle name="Header2 3 4 7" xfId="37979" xr:uid="{00000000-0005-0000-0000-00005B940000}"/>
    <cellStyle name="Header2 3 5" xfId="37980" xr:uid="{00000000-0005-0000-0000-00005C940000}"/>
    <cellStyle name="Header2 3 5 2" xfId="37981" xr:uid="{00000000-0005-0000-0000-00005D940000}"/>
    <cellStyle name="Header2 3 5 2 2" xfId="37982" xr:uid="{00000000-0005-0000-0000-00005E940000}"/>
    <cellStyle name="Header2 3 5 2 2 2" xfId="37983" xr:uid="{00000000-0005-0000-0000-00005F940000}"/>
    <cellStyle name="Header2 3 5 2 2 2 2" xfId="37984" xr:uid="{00000000-0005-0000-0000-000060940000}"/>
    <cellStyle name="Header2 3 5 2 2 3" xfId="37985" xr:uid="{00000000-0005-0000-0000-000061940000}"/>
    <cellStyle name="Header2 3 5 2 2 3 2" xfId="37986" xr:uid="{00000000-0005-0000-0000-000062940000}"/>
    <cellStyle name="Header2 3 5 2 2 4" xfId="37987" xr:uid="{00000000-0005-0000-0000-000063940000}"/>
    <cellStyle name="Header2 3 5 2 3" xfId="37988" xr:uid="{00000000-0005-0000-0000-000064940000}"/>
    <cellStyle name="Header2 3 5 2 3 2" xfId="37989" xr:uid="{00000000-0005-0000-0000-000065940000}"/>
    <cellStyle name="Header2 3 5 2 3 2 2" xfId="37990" xr:uid="{00000000-0005-0000-0000-000066940000}"/>
    <cellStyle name="Header2 3 5 2 3 3" xfId="37991" xr:uid="{00000000-0005-0000-0000-000067940000}"/>
    <cellStyle name="Header2 3 5 2 3 3 2" xfId="37992" xr:uid="{00000000-0005-0000-0000-000068940000}"/>
    <cellStyle name="Header2 3 5 2 3 4" xfId="37993" xr:uid="{00000000-0005-0000-0000-000069940000}"/>
    <cellStyle name="Header2 3 5 2 4" xfId="37994" xr:uid="{00000000-0005-0000-0000-00006A940000}"/>
    <cellStyle name="Header2 3 5 2 4 2" xfId="37995" xr:uid="{00000000-0005-0000-0000-00006B940000}"/>
    <cellStyle name="Header2 3 5 2 5" xfId="37996" xr:uid="{00000000-0005-0000-0000-00006C940000}"/>
    <cellStyle name="Header2 3 5 2 5 2" xfId="37997" xr:uid="{00000000-0005-0000-0000-00006D940000}"/>
    <cellStyle name="Header2 3 5 2 6" xfId="37998" xr:uid="{00000000-0005-0000-0000-00006E940000}"/>
    <cellStyle name="Header2 3 5 3" xfId="37999" xr:uid="{00000000-0005-0000-0000-00006F940000}"/>
    <cellStyle name="Header2 3 5 3 2" xfId="38000" xr:uid="{00000000-0005-0000-0000-000070940000}"/>
    <cellStyle name="Header2 3 5 3 2 2" xfId="38001" xr:uid="{00000000-0005-0000-0000-000071940000}"/>
    <cellStyle name="Header2 3 5 3 3" xfId="38002" xr:uid="{00000000-0005-0000-0000-000072940000}"/>
    <cellStyle name="Header2 3 5 3 3 2" xfId="38003" xr:uid="{00000000-0005-0000-0000-000073940000}"/>
    <cellStyle name="Header2 3 5 3 4" xfId="38004" xr:uid="{00000000-0005-0000-0000-000074940000}"/>
    <cellStyle name="Header2 3 5 4" xfId="38005" xr:uid="{00000000-0005-0000-0000-000075940000}"/>
    <cellStyle name="Header2 3 5 4 2" xfId="38006" xr:uid="{00000000-0005-0000-0000-000076940000}"/>
    <cellStyle name="Header2 3 5 4 2 2" xfId="38007" xr:uid="{00000000-0005-0000-0000-000077940000}"/>
    <cellStyle name="Header2 3 5 4 3" xfId="38008" xr:uid="{00000000-0005-0000-0000-000078940000}"/>
    <cellStyle name="Header2 3 5 4 3 2" xfId="38009" xr:uid="{00000000-0005-0000-0000-000079940000}"/>
    <cellStyle name="Header2 3 5 4 4" xfId="38010" xr:uid="{00000000-0005-0000-0000-00007A940000}"/>
    <cellStyle name="Header2 3 5 5" xfId="38011" xr:uid="{00000000-0005-0000-0000-00007B940000}"/>
    <cellStyle name="Header2 3 5 5 2" xfId="38012" xr:uid="{00000000-0005-0000-0000-00007C940000}"/>
    <cellStyle name="Header2 3 5 6" xfId="38013" xr:uid="{00000000-0005-0000-0000-00007D940000}"/>
    <cellStyle name="Header2 3 5 6 2" xfId="38014" xr:uid="{00000000-0005-0000-0000-00007E940000}"/>
    <cellStyle name="Header2 3 5 7" xfId="38015" xr:uid="{00000000-0005-0000-0000-00007F940000}"/>
    <cellStyle name="Header2 3 6" xfId="38016" xr:uid="{00000000-0005-0000-0000-000080940000}"/>
    <cellStyle name="Header2 3 6 2" xfId="38017" xr:uid="{00000000-0005-0000-0000-000081940000}"/>
    <cellStyle name="Header2 3 6 2 2" xfId="38018" xr:uid="{00000000-0005-0000-0000-000082940000}"/>
    <cellStyle name="Header2 3 6 2 2 2" xfId="38019" xr:uid="{00000000-0005-0000-0000-000083940000}"/>
    <cellStyle name="Header2 3 6 2 2 2 2" xfId="38020" xr:uid="{00000000-0005-0000-0000-000084940000}"/>
    <cellStyle name="Header2 3 6 2 2 3" xfId="38021" xr:uid="{00000000-0005-0000-0000-000085940000}"/>
    <cellStyle name="Header2 3 6 2 2 3 2" xfId="38022" xr:uid="{00000000-0005-0000-0000-000086940000}"/>
    <cellStyle name="Header2 3 6 2 2 4" xfId="38023" xr:uid="{00000000-0005-0000-0000-000087940000}"/>
    <cellStyle name="Header2 3 6 2 3" xfId="38024" xr:uid="{00000000-0005-0000-0000-000088940000}"/>
    <cellStyle name="Header2 3 6 2 3 2" xfId="38025" xr:uid="{00000000-0005-0000-0000-000089940000}"/>
    <cellStyle name="Header2 3 6 2 3 2 2" xfId="38026" xr:uid="{00000000-0005-0000-0000-00008A940000}"/>
    <cellStyle name="Header2 3 6 2 3 3" xfId="38027" xr:uid="{00000000-0005-0000-0000-00008B940000}"/>
    <cellStyle name="Header2 3 6 2 3 3 2" xfId="38028" xr:uid="{00000000-0005-0000-0000-00008C940000}"/>
    <cellStyle name="Header2 3 6 2 3 4" xfId="38029" xr:uid="{00000000-0005-0000-0000-00008D940000}"/>
    <cellStyle name="Header2 3 6 2 4" xfId="38030" xr:uid="{00000000-0005-0000-0000-00008E940000}"/>
    <cellStyle name="Header2 3 6 2 4 2" xfId="38031" xr:uid="{00000000-0005-0000-0000-00008F940000}"/>
    <cellStyle name="Header2 3 6 2 5" xfId="38032" xr:uid="{00000000-0005-0000-0000-000090940000}"/>
    <cellStyle name="Header2 3 6 2 5 2" xfId="38033" xr:uid="{00000000-0005-0000-0000-000091940000}"/>
    <cellStyle name="Header2 3 6 2 6" xfId="38034" xr:uid="{00000000-0005-0000-0000-000092940000}"/>
    <cellStyle name="Header2 3 6 3" xfId="38035" xr:uid="{00000000-0005-0000-0000-000093940000}"/>
    <cellStyle name="Header2 3 6 3 2" xfId="38036" xr:uid="{00000000-0005-0000-0000-000094940000}"/>
    <cellStyle name="Header2 3 6 3 2 2" xfId="38037" xr:uid="{00000000-0005-0000-0000-000095940000}"/>
    <cellStyle name="Header2 3 6 3 3" xfId="38038" xr:uid="{00000000-0005-0000-0000-000096940000}"/>
    <cellStyle name="Header2 3 6 3 3 2" xfId="38039" xr:uid="{00000000-0005-0000-0000-000097940000}"/>
    <cellStyle name="Header2 3 6 3 4" xfId="38040" xr:uid="{00000000-0005-0000-0000-000098940000}"/>
    <cellStyle name="Header2 3 6 4" xfId="38041" xr:uid="{00000000-0005-0000-0000-000099940000}"/>
    <cellStyle name="Header2 3 6 4 2" xfId="38042" xr:uid="{00000000-0005-0000-0000-00009A940000}"/>
    <cellStyle name="Header2 3 6 4 2 2" xfId="38043" xr:uid="{00000000-0005-0000-0000-00009B940000}"/>
    <cellStyle name="Header2 3 6 4 3" xfId="38044" xr:uid="{00000000-0005-0000-0000-00009C940000}"/>
    <cellStyle name="Header2 3 6 4 3 2" xfId="38045" xr:uid="{00000000-0005-0000-0000-00009D940000}"/>
    <cellStyle name="Header2 3 6 4 4" xfId="38046" xr:uid="{00000000-0005-0000-0000-00009E940000}"/>
    <cellStyle name="Header2 3 6 5" xfId="38047" xr:uid="{00000000-0005-0000-0000-00009F940000}"/>
    <cellStyle name="Header2 3 6 5 2" xfId="38048" xr:uid="{00000000-0005-0000-0000-0000A0940000}"/>
    <cellStyle name="Header2 3 6 6" xfId="38049" xr:uid="{00000000-0005-0000-0000-0000A1940000}"/>
    <cellStyle name="Header2 3 6 6 2" xfId="38050" xr:uid="{00000000-0005-0000-0000-0000A2940000}"/>
    <cellStyle name="Header2 3 6 7" xfId="38051" xr:uid="{00000000-0005-0000-0000-0000A3940000}"/>
    <cellStyle name="Header2 3 7" xfId="38052" xr:uid="{00000000-0005-0000-0000-0000A4940000}"/>
    <cellStyle name="Header2 3 7 2" xfId="38053" xr:uid="{00000000-0005-0000-0000-0000A5940000}"/>
    <cellStyle name="Header2 3 7 2 2" xfId="38054" xr:uid="{00000000-0005-0000-0000-0000A6940000}"/>
    <cellStyle name="Header2 3 7 2 2 2" xfId="38055" xr:uid="{00000000-0005-0000-0000-0000A7940000}"/>
    <cellStyle name="Header2 3 7 2 3" xfId="38056" xr:uid="{00000000-0005-0000-0000-0000A8940000}"/>
    <cellStyle name="Header2 3 7 2 3 2" xfId="38057" xr:uid="{00000000-0005-0000-0000-0000A9940000}"/>
    <cellStyle name="Header2 3 7 2 4" xfId="38058" xr:uid="{00000000-0005-0000-0000-0000AA940000}"/>
    <cellStyle name="Header2 3 7 3" xfId="38059" xr:uid="{00000000-0005-0000-0000-0000AB940000}"/>
    <cellStyle name="Header2 3 7 3 2" xfId="38060" xr:uid="{00000000-0005-0000-0000-0000AC940000}"/>
    <cellStyle name="Header2 3 7 3 2 2" xfId="38061" xr:uid="{00000000-0005-0000-0000-0000AD940000}"/>
    <cellStyle name="Header2 3 7 3 3" xfId="38062" xr:uid="{00000000-0005-0000-0000-0000AE940000}"/>
    <cellStyle name="Header2 3 7 3 3 2" xfId="38063" xr:uid="{00000000-0005-0000-0000-0000AF940000}"/>
    <cellStyle name="Header2 3 7 3 4" xfId="38064" xr:uid="{00000000-0005-0000-0000-0000B0940000}"/>
    <cellStyle name="Header2 3 7 4" xfId="38065" xr:uid="{00000000-0005-0000-0000-0000B1940000}"/>
    <cellStyle name="Header2 3 7 4 2" xfId="38066" xr:uid="{00000000-0005-0000-0000-0000B2940000}"/>
    <cellStyle name="Header2 3 7 5" xfId="38067" xr:uid="{00000000-0005-0000-0000-0000B3940000}"/>
    <cellStyle name="Header2 3 7 5 2" xfId="38068" xr:uid="{00000000-0005-0000-0000-0000B4940000}"/>
    <cellStyle name="Header2 3 7 6" xfId="38069" xr:uid="{00000000-0005-0000-0000-0000B5940000}"/>
    <cellStyle name="Header2 3 8" xfId="38070" xr:uid="{00000000-0005-0000-0000-0000B6940000}"/>
    <cellStyle name="Header2 3 8 2" xfId="38071" xr:uid="{00000000-0005-0000-0000-0000B7940000}"/>
    <cellStyle name="Header2 3 8 2 2" xfId="38072" xr:uid="{00000000-0005-0000-0000-0000B8940000}"/>
    <cellStyle name="Header2 3 8 3" xfId="38073" xr:uid="{00000000-0005-0000-0000-0000B9940000}"/>
    <cellStyle name="Header2 3 8 3 2" xfId="38074" xr:uid="{00000000-0005-0000-0000-0000BA940000}"/>
    <cellStyle name="Header2 3 8 4" xfId="38075" xr:uid="{00000000-0005-0000-0000-0000BB940000}"/>
    <cellStyle name="Header2 3 9" xfId="38076" xr:uid="{00000000-0005-0000-0000-0000BC940000}"/>
    <cellStyle name="Header2 3 9 2" xfId="38077" xr:uid="{00000000-0005-0000-0000-0000BD940000}"/>
    <cellStyle name="Header2 3 9 2 2" xfId="38078" xr:uid="{00000000-0005-0000-0000-0000BE940000}"/>
    <cellStyle name="Header2 3 9 3" xfId="38079" xr:uid="{00000000-0005-0000-0000-0000BF940000}"/>
    <cellStyle name="Header2 3 9 3 2" xfId="38080" xr:uid="{00000000-0005-0000-0000-0000C0940000}"/>
    <cellStyle name="Header2 3 9 4" xfId="38081" xr:uid="{00000000-0005-0000-0000-0000C1940000}"/>
    <cellStyle name="Header2 4" xfId="38082" xr:uid="{00000000-0005-0000-0000-0000C2940000}"/>
    <cellStyle name="Header2 4 10" xfId="38083" xr:uid="{00000000-0005-0000-0000-0000C3940000}"/>
    <cellStyle name="Header2 4 10 2" xfId="38084" xr:uid="{00000000-0005-0000-0000-0000C4940000}"/>
    <cellStyle name="Header2 4 11" xfId="38085" xr:uid="{00000000-0005-0000-0000-0000C5940000}"/>
    <cellStyle name="Header2 4 11 2" xfId="38086" xr:uid="{00000000-0005-0000-0000-0000C6940000}"/>
    <cellStyle name="Header2 4 12" xfId="38087" xr:uid="{00000000-0005-0000-0000-0000C7940000}"/>
    <cellStyle name="Header2 4 13" xfId="38088" xr:uid="{00000000-0005-0000-0000-0000C8940000}"/>
    <cellStyle name="Header2 4 14" xfId="38089" xr:uid="{00000000-0005-0000-0000-0000C9940000}"/>
    <cellStyle name="Header2 4 15" xfId="38090" xr:uid="{00000000-0005-0000-0000-0000CA940000}"/>
    <cellStyle name="Header2 4 16" xfId="38091" xr:uid="{00000000-0005-0000-0000-0000CB940000}"/>
    <cellStyle name="Header2 4 17" xfId="38092" xr:uid="{00000000-0005-0000-0000-0000CC940000}"/>
    <cellStyle name="Header2 4 18" xfId="38093" xr:uid="{00000000-0005-0000-0000-0000CD940000}"/>
    <cellStyle name="Header2 4 2" xfId="38094" xr:uid="{00000000-0005-0000-0000-0000CE940000}"/>
    <cellStyle name="Header2 4 2 2" xfId="38095" xr:uid="{00000000-0005-0000-0000-0000CF940000}"/>
    <cellStyle name="Header2 4 2 2 2" xfId="38096" xr:uid="{00000000-0005-0000-0000-0000D0940000}"/>
    <cellStyle name="Header2 4 2 2 2 2" xfId="38097" xr:uid="{00000000-0005-0000-0000-0000D1940000}"/>
    <cellStyle name="Header2 4 2 2 2 2 2" xfId="38098" xr:uid="{00000000-0005-0000-0000-0000D2940000}"/>
    <cellStyle name="Header2 4 2 2 2 3" xfId="38099" xr:uid="{00000000-0005-0000-0000-0000D3940000}"/>
    <cellStyle name="Header2 4 2 2 2 3 2" xfId="38100" xr:uid="{00000000-0005-0000-0000-0000D4940000}"/>
    <cellStyle name="Header2 4 2 2 2 4" xfId="38101" xr:uid="{00000000-0005-0000-0000-0000D5940000}"/>
    <cellStyle name="Header2 4 2 2 3" xfId="38102" xr:uid="{00000000-0005-0000-0000-0000D6940000}"/>
    <cellStyle name="Header2 4 2 2 3 2" xfId="38103" xr:uid="{00000000-0005-0000-0000-0000D7940000}"/>
    <cellStyle name="Header2 4 2 2 3 2 2" xfId="38104" xr:uid="{00000000-0005-0000-0000-0000D8940000}"/>
    <cellStyle name="Header2 4 2 2 3 3" xfId="38105" xr:uid="{00000000-0005-0000-0000-0000D9940000}"/>
    <cellStyle name="Header2 4 2 2 3 3 2" xfId="38106" xr:uid="{00000000-0005-0000-0000-0000DA940000}"/>
    <cellStyle name="Header2 4 2 2 3 4" xfId="38107" xr:uid="{00000000-0005-0000-0000-0000DB940000}"/>
    <cellStyle name="Header2 4 2 2 4" xfId="38108" xr:uid="{00000000-0005-0000-0000-0000DC940000}"/>
    <cellStyle name="Header2 4 2 2 4 2" xfId="38109" xr:uid="{00000000-0005-0000-0000-0000DD940000}"/>
    <cellStyle name="Header2 4 2 2 5" xfId="38110" xr:uid="{00000000-0005-0000-0000-0000DE940000}"/>
    <cellStyle name="Header2 4 2 2 5 2" xfId="38111" xr:uid="{00000000-0005-0000-0000-0000DF940000}"/>
    <cellStyle name="Header2 4 2 2 6" xfId="38112" xr:uid="{00000000-0005-0000-0000-0000E0940000}"/>
    <cellStyle name="Header2 4 2 3" xfId="38113" xr:uid="{00000000-0005-0000-0000-0000E1940000}"/>
    <cellStyle name="Header2 4 2 3 2" xfId="38114" xr:uid="{00000000-0005-0000-0000-0000E2940000}"/>
    <cellStyle name="Header2 4 2 3 2 2" xfId="38115" xr:uid="{00000000-0005-0000-0000-0000E3940000}"/>
    <cellStyle name="Header2 4 2 3 3" xfId="38116" xr:uid="{00000000-0005-0000-0000-0000E4940000}"/>
    <cellStyle name="Header2 4 2 3 3 2" xfId="38117" xr:uid="{00000000-0005-0000-0000-0000E5940000}"/>
    <cellStyle name="Header2 4 2 3 4" xfId="38118" xr:uid="{00000000-0005-0000-0000-0000E6940000}"/>
    <cellStyle name="Header2 4 2 4" xfId="38119" xr:uid="{00000000-0005-0000-0000-0000E7940000}"/>
    <cellStyle name="Header2 4 2 4 2" xfId="38120" xr:uid="{00000000-0005-0000-0000-0000E8940000}"/>
    <cellStyle name="Header2 4 2 4 2 2" xfId="38121" xr:uid="{00000000-0005-0000-0000-0000E9940000}"/>
    <cellStyle name="Header2 4 2 4 3" xfId="38122" xr:uid="{00000000-0005-0000-0000-0000EA940000}"/>
    <cellStyle name="Header2 4 2 4 3 2" xfId="38123" xr:uid="{00000000-0005-0000-0000-0000EB940000}"/>
    <cellStyle name="Header2 4 2 4 4" xfId="38124" xr:uid="{00000000-0005-0000-0000-0000EC940000}"/>
    <cellStyle name="Header2 4 2 5" xfId="38125" xr:uid="{00000000-0005-0000-0000-0000ED940000}"/>
    <cellStyle name="Header2 4 2 5 2" xfId="38126" xr:uid="{00000000-0005-0000-0000-0000EE940000}"/>
    <cellStyle name="Header2 4 2 6" xfId="38127" xr:uid="{00000000-0005-0000-0000-0000EF940000}"/>
    <cellStyle name="Header2 4 2 6 2" xfId="38128" xr:uid="{00000000-0005-0000-0000-0000F0940000}"/>
    <cellStyle name="Header2 4 2 7" xfId="38129" xr:uid="{00000000-0005-0000-0000-0000F1940000}"/>
    <cellStyle name="Header2 4 3" xfId="38130" xr:uid="{00000000-0005-0000-0000-0000F2940000}"/>
    <cellStyle name="Header2 4 3 2" xfId="38131" xr:uid="{00000000-0005-0000-0000-0000F3940000}"/>
    <cellStyle name="Header2 4 3 2 2" xfId="38132" xr:uid="{00000000-0005-0000-0000-0000F4940000}"/>
    <cellStyle name="Header2 4 3 2 2 2" xfId="38133" xr:uid="{00000000-0005-0000-0000-0000F5940000}"/>
    <cellStyle name="Header2 4 3 2 2 2 2" xfId="38134" xr:uid="{00000000-0005-0000-0000-0000F6940000}"/>
    <cellStyle name="Header2 4 3 2 2 3" xfId="38135" xr:uid="{00000000-0005-0000-0000-0000F7940000}"/>
    <cellStyle name="Header2 4 3 2 2 3 2" xfId="38136" xr:uid="{00000000-0005-0000-0000-0000F8940000}"/>
    <cellStyle name="Header2 4 3 2 2 4" xfId="38137" xr:uid="{00000000-0005-0000-0000-0000F9940000}"/>
    <cellStyle name="Header2 4 3 2 3" xfId="38138" xr:uid="{00000000-0005-0000-0000-0000FA940000}"/>
    <cellStyle name="Header2 4 3 2 3 2" xfId="38139" xr:uid="{00000000-0005-0000-0000-0000FB940000}"/>
    <cellStyle name="Header2 4 3 2 3 2 2" xfId="38140" xr:uid="{00000000-0005-0000-0000-0000FC940000}"/>
    <cellStyle name="Header2 4 3 2 3 3" xfId="38141" xr:uid="{00000000-0005-0000-0000-0000FD940000}"/>
    <cellStyle name="Header2 4 3 2 3 3 2" xfId="38142" xr:uid="{00000000-0005-0000-0000-0000FE940000}"/>
    <cellStyle name="Header2 4 3 2 3 4" xfId="38143" xr:uid="{00000000-0005-0000-0000-0000FF940000}"/>
    <cellStyle name="Header2 4 3 2 4" xfId="38144" xr:uid="{00000000-0005-0000-0000-000000950000}"/>
    <cellStyle name="Header2 4 3 2 4 2" xfId="38145" xr:uid="{00000000-0005-0000-0000-000001950000}"/>
    <cellStyle name="Header2 4 3 2 5" xfId="38146" xr:uid="{00000000-0005-0000-0000-000002950000}"/>
    <cellStyle name="Header2 4 3 2 5 2" xfId="38147" xr:uid="{00000000-0005-0000-0000-000003950000}"/>
    <cellStyle name="Header2 4 3 2 6" xfId="38148" xr:uid="{00000000-0005-0000-0000-000004950000}"/>
    <cellStyle name="Header2 4 3 3" xfId="38149" xr:uid="{00000000-0005-0000-0000-000005950000}"/>
    <cellStyle name="Header2 4 3 3 2" xfId="38150" xr:uid="{00000000-0005-0000-0000-000006950000}"/>
    <cellStyle name="Header2 4 3 3 2 2" xfId="38151" xr:uid="{00000000-0005-0000-0000-000007950000}"/>
    <cellStyle name="Header2 4 3 3 3" xfId="38152" xr:uid="{00000000-0005-0000-0000-000008950000}"/>
    <cellStyle name="Header2 4 3 3 3 2" xfId="38153" xr:uid="{00000000-0005-0000-0000-000009950000}"/>
    <cellStyle name="Header2 4 3 3 4" xfId="38154" xr:uid="{00000000-0005-0000-0000-00000A950000}"/>
    <cellStyle name="Header2 4 3 4" xfId="38155" xr:uid="{00000000-0005-0000-0000-00000B950000}"/>
    <cellStyle name="Header2 4 3 4 2" xfId="38156" xr:uid="{00000000-0005-0000-0000-00000C950000}"/>
    <cellStyle name="Header2 4 3 4 2 2" xfId="38157" xr:uid="{00000000-0005-0000-0000-00000D950000}"/>
    <cellStyle name="Header2 4 3 4 3" xfId="38158" xr:uid="{00000000-0005-0000-0000-00000E950000}"/>
    <cellStyle name="Header2 4 3 4 3 2" xfId="38159" xr:uid="{00000000-0005-0000-0000-00000F950000}"/>
    <cellStyle name="Header2 4 3 4 4" xfId="38160" xr:uid="{00000000-0005-0000-0000-000010950000}"/>
    <cellStyle name="Header2 4 3 5" xfId="38161" xr:uid="{00000000-0005-0000-0000-000011950000}"/>
    <cellStyle name="Header2 4 3 5 2" xfId="38162" xr:uid="{00000000-0005-0000-0000-000012950000}"/>
    <cellStyle name="Header2 4 3 6" xfId="38163" xr:uid="{00000000-0005-0000-0000-000013950000}"/>
    <cellStyle name="Header2 4 3 6 2" xfId="38164" xr:uid="{00000000-0005-0000-0000-000014950000}"/>
    <cellStyle name="Header2 4 3 7" xfId="38165" xr:uid="{00000000-0005-0000-0000-000015950000}"/>
    <cellStyle name="Header2 4 4" xfId="38166" xr:uid="{00000000-0005-0000-0000-000016950000}"/>
    <cellStyle name="Header2 4 4 2" xfId="38167" xr:uid="{00000000-0005-0000-0000-000017950000}"/>
    <cellStyle name="Header2 4 4 2 2" xfId="38168" xr:uid="{00000000-0005-0000-0000-000018950000}"/>
    <cellStyle name="Header2 4 4 2 2 2" xfId="38169" xr:uid="{00000000-0005-0000-0000-000019950000}"/>
    <cellStyle name="Header2 4 4 2 2 2 2" xfId="38170" xr:uid="{00000000-0005-0000-0000-00001A950000}"/>
    <cellStyle name="Header2 4 4 2 2 3" xfId="38171" xr:uid="{00000000-0005-0000-0000-00001B950000}"/>
    <cellStyle name="Header2 4 4 2 2 3 2" xfId="38172" xr:uid="{00000000-0005-0000-0000-00001C950000}"/>
    <cellStyle name="Header2 4 4 2 2 4" xfId="38173" xr:uid="{00000000-0005-0000-0000-00001D950000}"/>
    <cellStyle name="Header2 4 4 2 3" xfId="38174" xr:uid="{00000000-0005-0000-0000-00001E950000}"/>
    <cellStyle name="Header2 4 4 2 3 2" xfId="38175" xr:uid="{00000000-0005-0000-0000-00001F950000}"/>
    <cellStyle name="Header2 4 4 2 3 2 2" xfId="38176" xr:uid="{00000000-0005-0000-0000-000020950000}"/>
    <cellStyle name="Header2 4 4 2 3 3" xfId="38177" xr:uid="{00000000-0005-0000-0000-000021950000}"/>
    <cellStyle name="Header2 4 4 2 3 3 2" xfId="38178" xr:uid="{00000000-0005-0000-0000-000022950000}"/>
    <cellStyle name="Header2 4 4 2 3 4" xfId="38179" xr:uid="{00000000-0005-0000-0000-000023950000}"/>
    <cellStyle name="Header2 4 4 2 4" xfId="38180" xr:uid="{00000000-0005-0000-0000-000024950000}"/>
    <cellStyle name="Header2 4 4 2 4 2" xfId="38181" xr:uid="{00000000-0005-0000-0000-000025950000}"/>
    <cellStyle name="Header2 4 4 2 5" xfId="38182" xr:uid="{00000000-0005-0000-0000-000026950000}"/>
    <cellStyle name="Header2 4 4 2 5 2" xfId="38183" xr:uid="{00000000-0005-0000-0000-000027950000}"/>
    <cellStyle name="Header2 4 4 2 6" xfId="38184" xr:uid="{00000000-0005-0000-0000-000028950000}"/>
    <cellStyle name="Header2 4 4 3" xfId="38185" xr:uid="{00000000-0005-0000-0000-000029950000}"/>
    <cellStyle name="Header2 4 4 3 2" xfId="38186" xr:uid="{00000000-0005-0000-0000-00002A950000}"/>
    <cellStyle name="Header2 4 4 3 2 2" xfId="38187" xr:uid="{00000000-0005-0000-0000-00002B950000}"/>
    <cellStyle name="Header2 4 4 3 3" xfId="38188" xr:uid="{00000000-0005-0000-0000-00002C950000}"/>
    <cellStyle name="Header2 4 4 3 3 2" xfId="38189" xr:uid="{00000000-0005-0000-0000-00002D950000}"/>
    <cellStyle name="Header2 4 4 3 4" xfId="38190" xr:uid="{00000000-0005-0000-0000-00002E950000}"/>
    <cellStyle name="Header2 4 4 4" xfId="38191" xr:uid="{00000000-0005-0000-0000-00002F950000}"/>
    <cellStyle name="Header2 4 4 4 2" xfId="38192" xr:uid="{00000000-0005-0000-0000-000030950000}"/>
    <cellStyle name="Header2 4 4 4 2 2" xfId="38193" xr:uid="{00000000-0005-0000-0000-000031950000}"/>
    <cellStyle name="Header2 4 4 4 3" xfId="38194" xr:uid="{00000000-0005-0000-0000-000032950000}"/>
    <cellStyle name="Header2 4 4 4 3 2" xfId="38195" xr:uid="{00000000-0005-0000-0000-000033950000}"/>
    <cellStyle name="Header2 4 4 4 4" xfId="38196" xr:uid="{00000000-0005-0000-0000-000034950000}"/>
    <cellStyle name="Header2 4 4 5" xfId="38197" xr:uid="{00000000-0005-0000-0000-000035950000}"/>
    <cellStyle name="Header2 4 4 5 2" xfId="38198" xr:uid="{00000000-0005-0000-0000-000036950000}"/>
    <cellStyle name="Header2 4 4 6" xfId="38199" xr:uid="{00000000-0005-0000-0000-000037950000}"/>
    <cellStyle name="Header2 4 4 6 2" xfId="38200" xr:uid="{00000000-0005-0000-0000-000038950000}"/>
    <cellStyle name="Header2 4 4 7" xfId="38201" xr:uid="{00000000-0005-0000-0000-000039950000}"/>
    <cellStyle name="Header2 4 5" xfId="38202" xr:uid="{00000000-0005-0000-0000-00003A950000}"/>
    <cellStyle name="Header2 4 5 2" xfId="38203" xr:uid="{00000000-0005-0000-0000-00003B950000}"/>
    <cellStyle name="Header2 4 5 2 2" xfId="38204" xr:uid="{00000000-0005-0000-0000-00003C950000}"/>
    <cellStyle name="Header2 4 5 2 2 2" xfId="38205" xr:uid="{00000000-0005-0000-0000-00003D950000}"/>
    <cellStyle name="Header2 4 5 2 2 2 2" xfId="38206" xr:uid="{00000000-0005-0000-0000-00003E950000}"/>
    <cellStyle name="Header2 4 5 2 2 3" xfId="38207" xr:uid="{00000000-0005-0000-0000-00003F950000}"/>
    <cellStyle name="Header2 4 5 2 2 3 2" xfId="38208" xr:uid="{00000000-0005-0000-0000-000040950000}"/>
    <cellStyle name="Header2 4 5 2 2 4" xfId="38209" xr:uid="{00000000-0005-0000-0000-000041950000}"/>
    <cellStyle name="Header2 4 5 2 3" xfId="38210" xr:uid="{00000000-0005-0000-0000-000042950000}"/>
    <cellStyle name="Header2 4 5 2 3 2" xfId="38211" xr:uid="{00000000-0005-0000-0000-000043950000}"/>
    <cellStyle name="Header2 4 5 2 3 2 2" xfId="38212" xr:uid="{00000000-0005-0000-0000-000044950000}"/>
    <cellStyle name="Header2 4 5 2 3 3" xfId="38213" xr:uid="{00000000-0005-0000-0000-000045950000}"/>
    <cellStyle name="Header2 4 5 2 3 3 2" xfId="38214" xr:uid="{00000000-0005-0000-0000-000046950000}"/>
    <cellStyle name="Header2 4 5 2 3 4" xfId="38215" xr:uid="{00000000-0005-0000-0000-000047950000}"/>
    <cellStyle name="Header2 4 5 2 4" xfId="38216" xr:uid="{00000000-0005-0000-0000-000048950000}"/>
    <cellStyle name="Header2 4 5 2 4 2" xfId="38217" xr:uid="{00000000-0005-0000-0000-000049950000}"/>
    <cellStyle name="Header2 4 5 2 5" xfId="38218" xr:uid="{00000000-0005-0000-0000-00004A950000}"/>
    <cellStyle name="Header2 4 5 2 5 2" xfId="38219" xr:uid="{00000000-0005-0000-0000-00004B950000}"/>
    <cellStyle name="Header2 4 5 2 6" xfId="38220" xr:uid="{00000000-0005-0000-0000-00004C950000}"/>
    <cellStyle name="Header2 4 5 3" xfId="38221" xr:uid="{00000000-0005-0000-0000-00004D950000}"/>
    <cellStyle name="Header2 4 5 3 2" xfId="38222" xr:uid="{00000000-0005-0000-0000-00004E950000}"/>
    <cellStyle name="Header2 4 5 3 2 2" xfId="38223" xr:uid="{00000000-0005-0000-0000-00004F950000}"/>
    <cellStyle name="Header2 4 5 3 3" xfId="38224" xr:uid="{00000000-0005-0000-0000-000050950000}"/>
    <cellStyle name="Header2 4 5 3 3 2" xfId="38225" xr:uid="{00000000-0005-0000-0000-000051950000}"/>
    <cellStyle name="Header2 4 5 3 4" xfId="38226" xr:uid="{00000000-0005-0000-0000-000052950000}"/>
    <cellStyle name="Header2 4 5 4" xfId="38227" xr:uid="{00000000-0005-0000-0000-000053950000}"/>
    <cellStyle name="Header2 4 5 4 2" xfId="38228" xr:uid="{00000000-0005-0000-0000-000054950000}"/>
    <cellStyle name="Header2 4 5 4 2 2" xfId="38229" xr:uid="{00000000-0005-0000-0000-000055950000}"/>
    <cellStyle name="Header2 4 5 4 3" xfId="38230" xr:uid="{00000000-0005-0000-0000-000056950000}"/>
    <cellStyle name="Header2 4 5 4 3 2" xfId="38231" xr:uid="{00000000-0005-0000-0000-000057950000}"/>
    <cellStyle name="Header2 4 5 4 4" xfId="38232" xr:uid="{00000000-0005-0000-0000-000058950000}"/>
    <cellStyle name="Header2 4 5 5" xfId="38233" xr:uid="{00000000-0005-0000-0000-000059950000}"/>
    <cellStyle name="Header2 4 5 5 2" xfId="38234" xr:uid="{00000000-0005-0000-0000-00005A950000}"/>
    <cellStyle name="Header2 4 5 6" xfId="38235" xr:uid="{00000000-0005-0000-0000-00005B950000}"/>
    <cellStyle name="Header2 4 5 6 2" xfId="38236" xr:uid="{00000000-0005-0000-0000-00005C950000}"/>
    <cellStyle name="Header2 4 5 7" xfId="38237" xr:uid="{00000000-0005-0000-0000-00005D950000}"/>
    <cellStyle name="Header2 4 6" xfId="38238" xr:uid="{00000000-0005-0000-0000-00005E950000}"/>
    <cellStyle name="Header2 4 6 2" xfId="38239" xr:uid="{00000000-0005-0000-0000-00005F950000}"/>
    <cellStyle name="Header2 4 6 2 2" xfId="38240" xr:uid="{00000000-0005-0000-0000-000060950000}"/>
    <cellStyle name="Header2 4 6 2 2 2" xfId="38241" xr:uid="{00000000-0005-0000-0000-000061950000}"/>
    <cellStyle name="Header2 4 6 2 2 2 2" xfId="38242" xr:uid="{00000000-0005-0000-0000-000062950000}"/>
    <cellStyle name="Header2 4 6 2 2 3" xfId="38243" xr:uid="{00000000-0005-0000-0000-000063950000}"/>
    <cellStyle name="Header2 4 6 2 2 3 2" xfId="38244" xr:uid="{00000000-0005-0000-0000-000064950000}"/>
    <cellStyle name="Header2 4 6 2 2 4" xfId="38245" xr:uid="{00000000-0005-0000-0000-000065950000}"/>
    <cellStyle name="Header2 4 6 2 3" xfId="38246" xr:uid="{00000000-0005-0000-0000-000066950000}"/>
    <cellStyle name="Header2 4 6 2 3 2" xfId="38247" xr:uid="{00000000-0005-0000-0000-000067950000}"/>
    <cellStyle name="Header2 4 6 2 3 2 2" xfId="38248" xr:uid="{00000000-0005-0000-0000-000068950000}"/>
    <cellStyle name="Header2 4 6 2 3 3" xfId="38249" xr:uid="{00000000-0005-0000-0000-000069950000}"/>
    <cellStyle name="Header2 4 6 2 3 3 2" xfId="38250" xr:uid="{00000000-0005-0000-0000-00006A950000}"/>
    <cellStyle name="Header2 4 6 2 3 4" xfId="38251" xr:uid="{00000000-0005-0000-0000-00006B950000}"/>
    <cellStyle name="Header2 4 6 2 4" xfId="38252" xr:uid="{00000000-0005-0000-0000-00006C950000}"/>
    <cellStyle name="Header2 4 6 2 4 2" xfId="38253" xr:uid="{00000000-0005-0000-0000-00006D950000}"/>
    <cellStyle name="Header2 4 6 2 5" xfId="38254" xr:uid="{00000000-0005-0000-0000-00006E950000}"/>
    <cellStyle name="Header2 4 6 2 5 2" xfId="38255" xr:uid="{00000000-0005-0000-0000-00006F950000}"/>
    <cellStyle name="Header2 4 6 2 6" xfId="38256" xr:uid="{00000000-0005-0000-0000-000070950000}"/>
    <cellStyle name="Header2 4 6 3" xfId="38257" xr:uid="{00000000-0005-0000-0000-000071950000}"/>
    <cellStyle name="Header2 4 6 3 2" xfId="38258" xr:uid="{00000000-0005-0000-0000-000072950000}"/>
    <cellStyle name="Header2 4 6 3 2 2" xfId="38259" xr:uid="{00000000-0005-0000-0000-000073950000}"/>
    <cellStyle name="Header2 4 6 3 3" xfId="38260" xr:uid="{00000000-0005-0000-0000-000074950000}"/>
    <cellStyle name="Header2 4 6 3 3 2" xfId="38261" xr:uid="{00000000-0005-0000-0000-000075950000}"/>
    <cellStyle name="Header2 4 6 3 4" xfId="38262" xr:uid="{00000000-0005-0000-0000-000076950000}"/>
    <cellStyle name="Header2 4 6 4" xfId="38263" xr:uid="{00000000-0005-0000-0000-000077950000}"/>
    <cellStyle name="Header2 4 6 4 2" xfId="38264" xr:uid="{00000000-0005-0000-0000-000078950000}"/>
    <cellStyle name="Header2 4 6 4 2 2" xfId="38265" xr:uid="{00000000-0005-0000-0000-000079950000}"/>
    <cellStyle name="Header2 4 6 4 3" xfId="38266" xr:uid="{00000000-0005-0000-0000-00007A950000}"/>
    <cellStyle name="Header2 4 6 4 3 2" xfId="38267" xr:uid="{00000000-0005-0000-0000-00007B950000}"/>
    <cellStyle name="Header2 4 6 4 4" xfId="38268" xr:uid="{00000000-0005-0000-0000-00007C950000}"/>
    <cellStyle name="Header2 4 6 5" xfId="38269" xr:uid="{00000000-0005-0000-0000-00007D950000}"/>
    <cellStyle name="Header2 4 6 5 2" xfId="38270" xr:uid="{00000000-0005-0000-0000-00007E950000}"/>
    <cellStyle name="Header2 4 6 6" xfId="38271" xr:uid="{00000000-0005-0000-0000-00007F950000}"/>
    <cellStyle name="Header2 4 6 6 2" xfId="38272" xr:uid="{00000000-0005-0000-0000-000080950000}"/>
    <cellStyle name="Header2 4 6 7" xfId="38273" xr:uid="{00000000-0005-0000-0000-000081950000}"/>
    <cellStyle name="Header2 4 7" xfId="38274" xr:uid="{00000000-0005-0000-0000-000082950000}"/>
    <cellStyle name="Header2 4 7 2" xfId="38275" xr:uid="{00000000-0005-0000-0000-000083950000}"/>
    <cellStyle name="Header2 4 7 2 2" xfId="38276" xr:uid="{00000000-0005-0000-0000-000084950000}"/>
    <cellStyle name="Header2 4 7 2 2 2" xfId="38277" xr:uid="{00000000-0005-0000-0000-000085950000}"/>
    <cellStyle name="Header2 4 7 2 3" xfId="38278" xr:uid="{00000000-0005-0000-0000-000086950000}"/>
    <cellStyle name="Header2 4 7 2 3 2" xfId="38279" xr:uid="{00000000-0005-0000-0000-000087950000}"/>
    <cellStyle name="Header2 4 7 2 4" xfId="38280" xr:uid="{00000000-0005-0000-0000-000088950000}"/>
    <cellStyle name="Header2 4 7 3" xfId="38281" xr:uid="{00000000-0005-0000-0000-000089950000}"/>
    <cellStyle name="Header2 4 7 3 2" xfId="38282" xr:uid="{00000000-0005-0000-0000-00008A950000}"/>
    <cellStyle name="Header2 4 7 3 2 2" xfId="38283" xr:uid="{00000000-0005-0000-0000-00008B950000}"/>
    <cellStyle name="Header2 4 7 3 3" xfId="38284" xr:uid="{00000000-0005-0000-0000-00008C950000}"/>
    <cellStyle name="Header2 4 7 3 3 2" xfId="38285" xr:uid="{00000000-0005-0000-0000-00008D950000}"/>
    <cellStyle name="Header2 4 7 3 4" xfId="38286" xr:uid="{00000000-0005-0000-0000-00008E950000}"/>
    <cellStyle name="Header2 4 7 4" xfId="38287" xr:uid="{00000000-0005-0000-0000-00008F950000}"/>
    <cellStyle name="Header2 4 7 4 2" xfId="38288" xr:uid="{00000000-0005-0000-0000-000090950000}"/>
    <cellStyle name="Header2 4 7 5" xfId="38289" xr:uid="{00000000-0005-0000-0000-000091950000}"/>
    <cellStyle name="Header2 4 7 5 2" xfId="38290" xr:uid="{00000000-0005-0000-0000-000092950000}"/>
    <cellStyle name="Header2 4 7 6" xfId="38291" xr:uid="{00000000-0005-0000-0000-000093950000}"/>
    <cellStyle name="Header2 4 8" xfId="38292" xr:uid="{00000000-0005-0000-0000-000094950000}"/>
    <cellStyle name="Header2 4 8 2" xfId="38293" xr:uid="{00000000-0005-0000-0000-000095950000}"/>
    <cellStyle name="Header2 4 8 2 2" xfId="38294" xr:uid="{00000000-0005-0000-0000-000096950000}"/>
    <cellStyle name="Header2 4 8 3" xfId="38295" xr:uid="{00000000-0005-0000-0000-000097950000}"/>
    <cellStyle name="Header2 4 8 3 2" xfId="38296" xr:uid="{00000000-0005-0000-0000-000098950000}"/>
    <cellStyle name="Header2 4 8 4" xfId="38297" xr:uid="{00000000-0005-0000-0000-000099950000}"/>
    <cellStyle name="Header2 4 9" xfId="38298" xr:uid="{00000000-0005-0000-0000-00009A950000}"/>
    <cellStyle name="Header2 4 9 2" xfId="38299" xr:uid="{00000000-0005-0000-0000-00009B950000}"/>
    <cellStyle name="Header2 4 9 2 2" xfId="38300" xr:uid="{00000000-0005-0000-0000-00009C950000}"/>
    <cellStyle name="Header2 4 9 3" xfId="38301" xr:uid="{00000000-0005-0000-0000-00009D950000}"/>
    <cellStyle name="Header2 4 9 3 2" xfId="38302" xr:uid="{00000000-0005-0000-0000-00009E950000}"/>
    <cellStyle name="Header2 4 9 4" xfId="38303" xr:uid="{00000000-0005-0000-0000-00009F950000}"/>
    <cellStyle name="Header2 5" xfId="38304" xr:uid="{00000000-0005-0000-0000-0000A0950000}"/>
    <cellStyle name="Header2 5 10" xfId="38305" xr:uid="{00000000-0005-0000-0000-0000A1950000}"/>
    <cellStyle name="Header2 5 10 2" xfId="38306" xr:uid="{00000000-0005-0000-0000-0000A2950000}"/>
    <cellStyle name="Header2 5 11" xfId="38307" xr:uid="{00000000-0005-0000-0000-0000A3950000}"/>
    <cellStyle name="Header2 5 11 2" xfId="38308" xr:uid="{00000000-0005-0000-0000-0000A4950000}"/>
    <cellStyle name="Header2 5 12" xfId="38309" xr:uid="{00000000-0005-0000-0000-0000A5950000}"/>
    <cellStyle name="Header2 5 2" xfId="38310" xr:uid="{00000000-0005-0000-0000-0000A6950000}"/>
    <cellStyle name="Header2 5 2 2" xfId="38311" xr:uid="{00000000-0005-0000-0000-0000A7950000}"/>
    <cellStyle name="Header2 5 2 2 2" xfId="38312" xr:uid="{00000000-0005-0000-0000-0000A8950000}"/>
    <cellStyle name="Header2 5 2 2 2 2" xfId="38313" xr:uid="{00000000-0005-0000-0000-0000A9950000}"/>
    <cellStyle name="Header2 5 2 2 2 2 2" xfId="38314" xr:uid="{00000000-0005-0000-0000-0000AA950000}"/>
    <cellStyle name="Header2 5 2 2 2 3" xfId="38315" xr:uid="{00000000-0005-0000-0000-0000AB950000}"/>
    <cellStyle name="Header2 5 2 2 2 3 2" xfId="38316" xr:uid="{00000000-0005-0000-0000-0000AC950000}"/>
    <cellStyle name="Header2 5 2 2 2 4" xfId="38317" xr:uid="{00000000-0005-0000-0000-0000AD950000}"/>
    <cellStyle name="Header2 5 2 2 3" xfId="38318" xr:uid="{00000000-0005-0000-0000-0000AE950000}"/>
    <cellStyle name="Header2 5 2 2 3 2" xfId="38319" xr:uid="{00000000-0005-0000-0000-0000AF950000}"/>
    <cellStyle name="Header2 5 2 2 3 2 2" xfId="38320" xr:uid="{00000000-0005-0000-0000-0000B0950000}"/>
    <cellStyle name="Header2 5 2 2 3 3" xfId="38321" xr:uid="{00000000-0005-0000-0000-0000B1950000}"/>
    <cellStyle name="Header2 5 2 2 3 3 2" xfId="38322" xr:uid="{00000000-0005-0000-0000-0000B2950000}"/>
    <cellStyle name="Header2 5 2 2 3 4" xfId="38323" xr:uid="{00000000-0005-0000-0000-0000B3950000}"/>
    <cellStyle name="Header2 5 2 2 4" xfId="38324" xr:uid="{00000000-0005-0000-0000-0000B4950000}"/>
    <cellStyle name="Header2 5 2 2 4 2" xfId="38325" xr:uid="{00000000-0005-0000-0000-0000B5950000}"/>
    <cellStyle name="Header2 5 2 2 5" xfId="38326" xr:uid="{00000000-0005-0000-0000-0000B6950000}"/>
    <cellStyle name="Header2 5 2 2 5 2" xfId="38327" xr:uid="{00000000-0005-0000-0000-0000B7950000}"/>
    <cellStyle name="Header2 5 2 2 6" xfId="38328" xr:uid="{00000000-0005-0000-0000-0000B8950000}"/>
    <cellStyle name="Header2 5 2 3" xfId="38329" xr:uid="{00000000-0005-0000-0000-0000B9950000}"/>
    <cellStyle name="Header2 5 2 3 2" xfId="38330" xr:uid="{00000000-0005-0000-0000-0000BA950000}"/>
    <cellStyle name="Header2 5 2 3 2 2" xfId="38331" xr:uid="{00000000-0005-0000-0000-0000BB950000}"/>
    <cellStyle name="Header2 5 2 3 3" xfId="38332" xr:uid="{00000000-0005-0000-0000-0000BC950000}"/>
    <cellStyle name="Header2 5 2 3 3 2" xfId="38333" xr:uid="{00000000-0005-0000-0000-0000BD950000}"/>
    <cellStyle name="Header2 5 2 3 4" xfId="38334" xr:uid="{00000000-0005-0000-0000-0000BE950000}"/>
    <cellStyle name="Header2 5 2 4" xfId="38335" xr:uid="{00000000-0005-0000-0000-0000BF950000}"/>
    <cellStyle name="Header2 5 2 4 2" xfId="38336" xr:uid="{00000000-0005-0000-0000-0000C0950000}"/>
    <cellStyle name="Header2 5 2 4 2 2" xfId="38337" xr:uid="{00000000-0005-0000-0000-0000C1950000}"/>
    <cellStyle name="Header2 5 2 4 3" xfId="38338" xr:uid="{00000000-0005-0000-0000-0000C2950000}"/>
    <cellStyle name="Header2 5 2 4 3 2" xfId="38339" xr:uid="{00000000-0005-0000-0000-0000C3950000}"/>
    <cellStyle name="Header2 5 2 4 4" xfId="38340" xr:uid="{00000000-0005-0000-0000-0000C4950000}"/>
    <cellStyle name="Header2 5 2 5" xfId="38341" xr:uid="{00000000-0005-0000-0000-0000C5950000}"/>
    <cellStyle name="Header2 5 2 5 2" xfId="38342" xr:uid="{00000000-0005-0000-0000-0000C6950000}"/>
    <cellStyle name="Header2 5 2 6" xfId="38343" xr:uid="{00000000-0005-0000-0000-0000C7950000}"/>
    <cellStyle name="Header2 5 2 6 2" xfId="38344" xr:uid="{00000000-0005-0000-0000-0000C8950000}"/>
    <cellStyle name="Header2 5 2 7" xfId="38345" xr:uid="{00000000-0005-0000-0000-0000C9950000}"/>
    <cellStyle name="Header2 5 3" xfId="38346" xr:uid="{00000000-0005-0000-0000-0000CA950000}"/>
    <cellStyle name="Header2 5 3 2" xfId="38347" xr:uid="{00000000-0005-0000-0000-0000CB950000}"/>
    <cellStyle name="Header2 5 3 2 2" xfId="38348" xr:uid="{00000000-0005-0000-0000-0000CC950000}"/>
    <cellStyle name="Header2 5 3 2 2 2" xfId="38349" xr:uid="{00000000-0005-0000-0000-0000CD950000}"/>
    <cellStyle name="Header2 5 3 2 2 2 2" xfId="38350" xr:uid="{00000000-0005-0000-0000-0000CE950000}"/>
    <cellStyle name="Header2 5 3 2 2 3" xfId="38351" xr:uid="{00000000-0005-0000-0000-0000CF950000}"/>
    <cellStyle name="Header2 5 3 2 2 3 2" xfId="38352" xr:uid="{00000000-0005-0000-0000-0000D0950000}"/>
    <cellStyle name="Header2 5 3 2 2 4" xfId="38353" xr:uid="{00000000-0005-0000-0000-0000D1950000}"/>
    <cellStyle name="Header2 5 3 2 3" xfId="38354" xr:uid="{00000000-0005-0000-0000-0000D2950000}"/>
    <cellStyle name="Header2 5 3 2 3 2" xfId="38355" xr:uid="{00000000-0005-0000-0000-0000D3950000}"/>
    <cellStyle name="Header2 5 3 2 3 2 2" xfId="38356" xr:uid="{00000000-0005-0000-0000-0000D4950000}"/>
    <cellStyle name="Header2 5 3 2 3 3" xfId="38357" xr:uid="{00000000-0005-0000-0000-0000D5950000}"/>
    <cellStyle name="Header2 5 3 2 3 3 2" xfId="38358" xr:uid="{00000000-0005-0000-0000-0000D6950000}"/>
    <cellStyle name="Header2 5 3 2 3 4" xfId="38359" xr:uid="{00000000-0005-0000-0000-0000D7950000}"/>
    <cellStyle name="Header2 5 3 2 4" xfId="38360" xr:uid="{00000000-0005-0000-0000-0000D8950000}"/>
    <cellStyle name="Header2 5 3 2 4 2" xfId="38361" xr:uid="{00000000-0005-0000-0000-0000D9950000}"/>
    <cellStyle name="Header2 5 3 2 5" xfId="38362" xr:uid="{00000000-0005-0000-0000-0000DA950000}"/>
    <cellStyle name="Header2 5 3 2 5 2" xfId="38363" xr:uid="{00000000-0005-0000-0000-0000DB950000}"/>
    <cellStyle name="Header2 5 3 2 6" xfId="38364" xr:uid="{00000000-0005-0000-0000-0000DC950000}"/>
    <cellStyle name="Header2 5 3 3" xfId="38365" xr:uid="{00000000-0005-0000-0000-0000DD950000}"/>
    <cellStyle name="Header2 5 3 3 2" xfId="38366" xr:uid="{00000000-0005-0000-0000-0000DE950000}"/>
    <cellStyle name="Header2 5 3 3 2 2" xfId="38367" xr:uid="{00000000-0005-0000-0000-0000DF950000}"/>
    <cellStyle name="Header2 5 3 3 3" xfId="38368" xr:uid="{00000000-0005-0000-0000-0000E0950000}"/>
    <cellStyle name="Header2 5 3 3 3 2" xfId="38369" xr:uid="{00000000-0005-0000-0000-0000E1950000}"/>
    <cellStyle name="Header2 5 3 3 4" xfId="38370" xr:uid="{00000000-0005-0000-0000-0000E2950000}"/>
    <cellStyle name="Header2 5 3 4" xfId="38371" xr:uid="{00000000-0005-0000-0000-0000E3950000}"/>
    <cellStyle name="Header2 5 3 4 2" xfId="38372" xr:uid="{00000000-0005-0000-0000-0000E4950000}"/>
    <cellStyle name="Header2 5 3 4 2 2" xfId="38373" xr:uid="{00000000-0005-0000-0000-0000E5950000}"/>
    <cellStyle name="Header2 5 3 4 3" xfId="38374" xr:uid="{00000000-0005-0000-0000-0000E6950000}"/>
    <cellStyle name="Header2 5 3 4 3 2" xfId="38375" xr:uid="{00000000-0005-0000-0000-0000E7950000}"/>
    <cellStyle name="Header2 5 3 4 4" xfId="38376" xr:uid="{00000000-0005-0000-0000-0000E8950000}"/>
    <cellStyle name="Header2 5 3 5" xfId="38377" xr:uid="{00000000-0005-0000-0000-0000E9950000}"/>
    <cellStyle name="Header2 5 3 5 2" xfId="38378" xr:uid="{00000000-0005-0000-0000-0000EA950000}"/>
    <cellStyle name="Header2 5 3 6" xfId="38379" xr:uid="{00000000-0005-0000-0000-0000EB950000}"/>
    <cellStyle name="Header2 5 3 6 2" xfId="38380" xr:uid="{00000000-0005-0000-0000-0000EC950000}"/>
    <cellStyle name="Header2 5 3 7" xfId="38381" xr:uid="{00000000-0005-0000-0000-0000ED950000}"/>
    <cellStyle name="Header2 5 4" xfId="38382" xr:uid="{00000000-0005-0000-0000-0000EE950000}"/>
    <cellStyle name="Header2 5 4 2" xfId="38383" xr:uid="{00000000-0005-0000-0000-0000EF950000}"/>
    <cellStyle name="Header2 5 4 2 2" xfId="38384" xr:uid="{00000000-0005-0000-0000-0000F0950000}"/>
    <cellStyle name="Header2 5 4 2 2 2" xfId="38385" xr:uid="{00000000-0005-0000-0000-0000F1950000}"/>
    <cellStyle name="Header2 5 4 2 2 2 2" xfId="38386" xr:uid="{00000000-0005-0000-0000-0000F2950000}"/>
    <cellStyle name="Header2 5 4 2 2 3" xfId="38387" xr:uid="{00000000-0005-0000-0000-0000F3950000}"/>
    <cellStyle name="Header2 5 4 2 2 3 2" xfId="38388" xr:uid="{00000000-0005-0000-0000-0000F4950000}"/>
    <cellStyle name="Header2 5 4 2 2 4" xfId="38389" xr:uid="{00000000-0005-0000-0000-0000F5950000}"/>
    <cellStyle name="Header2 5 4 2 3" xfId="38390" xr:uid="{00000000-0005-0000-0000-0000F6950000}"/>
    <cellStyle name="Header2 5 4 2 3 2" xfId="38391" xr:uid="{00000000-0005-0000-0000-0000F7950000}"/>
    <cellStyle name="Header2 5 4 2 3 2 2" xfId="38392" xr:uid="{00000000-0005-0000-0000-0000F8950000}"/>
    <cellStyle name="Header2 5 4 2 3 3" xfId="38393" xr:uid="{00000000-0005-0000-0000-0000F9950000}"/>
    <cellStyle name="Header2 5 4 2 3 3 2" xfId="38394" xr:uid="{00000000-0005-0000-0000-0000FA950000}"/>
    <cellStyle name="Header2 5 4 2 3 4" xfId="38395" xr:uid="{00000000-0005-0000-0000-0000FB950000}"/>
    <cellStyle name="Header2 5 4 2 4" xfId="38396" xr:uid="{00000000-0005-0000-0000-0000FC950000}"/>
    <cellStyle name="Header2 5 4 2 4 2" xfId="38397" xr:uid="{00000000-0005-0000-0000-0000FD950000}"/>
    <cellStyle name="Header2 5 4 2 5" xfId="38398" xr:uid="{00000000-0005-0000-0000-0000FE950000}"/>
    <cellStyle name="Header2 5 4 2 5 2" xfId="38399" xr:uid="{00000000-0005-0000-0000-0000FF950000}"/>
    <cellStyle name="Header2 5 4 2 6" xfId="38400" xr:uid="{00000000-0005-0000-0000-000000960000}"/>
    <cellStyle name="Header2 5 4 3" xfId="38401" xr:uid="{00000000-0005-0000-0000-000001960000}"/>
    <cellStyle name="Header2 5 4 3 2" xfId="38402" xr:uid="{00000000-0005-0000-0000-000002960000}"/>
    <cellStyle name="Header2 5 4 3 2 2" xfId="38403" xr:uid="{00000000-0005-0000-0000-000003960000}"/>
    <cellStyle name="Header2 5 4 3 3" xfId="38404" xr:uid="{00000000-0005-0000-0000-000004960000}"/>
    <cellStyle name="Header2 5 4 3 3 2" xfId="38405" xr:uid="{00000000-0005-0000-0000-000005960000}"/>
    <cellStyle name="Header2 5 4 3 4" xfId="38406" xr:uid="{00000000-0005-0000-0000-000006960000}"/>
    <cellStyle name="Header2 5 4 4" xfId="38407" xr:uid="{00000000-0005-0000-0000-000007960000}"/>
    <cellStyle name="Header2 5 4 4 2" xfId="38408" xr:uid="{00000000-0005-0000-0000-000008960000}"/>
    <cellStyle name="Header2 5 4 4 2 2" xfId="38409" xr:uid="{00000000-0005-0000-0000-000009960000}"/>
    <cellStyle name="Header2 5 4 4 3" xfId="38410" xr:uid="{00000000-0005-0000-0000-00000A960000}"/>
    <cellStyle name="Header2 5 4 4 3 2" xfId="38411" xr:uid="{00000000-0005-0000-0000-00000B960000}"/>
    <cellStyle name="Header2 5 4 4 4" xfId="38412" xr:uid="{00000000-0005-0000-0000-00000C960000}"/>
    <cellStyle name="Header2 5 4 5" xfId="38413" xr:uid="{00000000-0005-0000-0000-00000D960000}"/>
    <cellStyle name="Header2 5 4 5 2" xfId="38414" xr:uid="{00000000-0005-0000-0000-00000E960000}"/>
    <cellStyle name="Header2 5 4 6" xfId="38415" xr:uid="{00000000-0005-0000-0000-00000F960000}"/>
    <cellStyle name="Header2 5 4 6 2" xfId="38416" xr:uid="{00000000-0005-0000-0000-000010960000}"/>
    <cellStyle name="Header2 5 4 7" xfId="38417" xr:uid="{00000000-0005-0000-0000-000011960000}"/>
    <cellStyle name="Header2 5 5" xfId="38418" xr:uid="{00000000-0005-0000-0000-000012960000}"/>
    <cellStyle name="Header2 5 5 2" xfId="38419" xr:uid="{00000000-0005-0000-0000-000013960000}"/>
    <cellStyle name="Header2 5 5 2 2" xfId="38420" xr:uid="{00000000-0005-0000-0000-000014960000}"/>
    <cellStyle name="Header2 5 5 2 2 2" xfId="38421" xr:uid="{00000000-0005-0000-0000-000015960000}"/>
    <cellStyle name="Header2 5 5 2 2 2 2" xfId="38422" xr:uid="{00000000-0005-0000-0000-000016960000}"/>
    <cellStyle name="Header2 5 5 2 2 3" xfId="38423" xr:uid="{00000000-0005-0000-0000-000017960000}"/>
    <cellStyle name="Header2 5 5 2 2 3 2" xfId="38424" xr:uid="{00000000-0005-0000-0000-000018960000}"/>
    <cellStyle name="Header2 5 5 2 2 4" xfId="38425" xr:uid="{00000000-0005-0000-0000-000019960000}"/>
    <cellStyle name="Header2 5 5 2 3" xfId="38426" xr:uid="{00000000-0005-0000-0000-00001A960000}"/>
    <cellStyle name="Header2 5 5 2 3 2" xfId="38427" xr:uid="{00000000-0005-0000-0000-00001B960000}"/>
    <cellStyle name="Header2 5 5 2 3 2 2" xfId="38428" xr:uid="{00000000-0005-0000-0000-00001C960000}"/>
    <cellStyle name="Header2 5 5 2 3 3" xfId="38429" xr:uid="{00000000-0005-0000-0000-00001D960000}"/>
    <cellStyle name="Header2 5 5 2 3 3 2" xfId="38430" xr:uid="{00000000-0005-0000-0000-00001E960000}"/>
    <cellStyle name="Header2 5 5 2 3 4" xfId="38431" xr:uid="{00000000-0005-0000-0000-00001F960000}"/>
    <cellStyle name="Header2 5 5 2 4" xfId="38432" xr:uid="{00000000-0005-0000-0000-000020960000}"/>
    <cellStyle name="Header2 5 5 2 4 2" xfId="38433" xr:uid="{00000000-0005-0000-0000-000021960000}"/>
    <cellStyle name="Header2 5 5 2 5" xfId="38434" xr:uid="{00000000-0005-0000-0000-000022960000}"/>
    <cellStyle name="Header2 5 5 2 5 2" xfId="38435" xr:uid="{00000000-0005-0000-0000-000023960000}"/>
    <cellStyle name="Header2 5 5 2 6" xfId="38436" xr:uid="{00000000-0005-0000-0000-000024960000}"/>
    <cellStyle name="Header2 5 5 3" xfId="38437" xr:uid="{00000000-0005-0000-0000-000025960000}"/>
    <cellStyle name="Header2 5 5 3 2" xfId="38438" xr:uid="{00000000-0005-0000-0000-000026960000}"/>
    <cellStyle name="Header2 5 5 3 2 2" xfId="38439" xr:uid="{00000000-0005-0000-0000-000027960000}"/>
    <cellStyle name="Header2 5 5 3 3" xfId="38440" xr:uid="{00000000-0005-0000-0000-000028960000}"/>
    <cellStyle name="Header2 5 5 3 3 2" xfId="38441" xr:uid="{00000000-0005-0000-0000-000029960000}"/>
    <cellStyle name="Header2 5 5 3 4" xfId="38442" xr:uid="{00000000-0005-0000-0000-00002A960000}"/>
    <cellStyle name="Header2 5 5 4" xfId="38443" xr:uid="{00000000-0005-0000-0000-00002B960000}"/>
    <cellStyle name="Header2 5 5 4 2" xfId="38444" xr:uid="{00000000-0005-0000-0000-00002C960000}"/>
    <cellStyle name="Header2 5 5 4 2 2" xfId="38445" xr:uid="{00000000-0005-0000-0000-00002D960000}"/>
    <cellStyle name="Header2 5 5 4 3" xfId="38446" xr:uid="{00000000-0005-0000-0000-00002E960000}"/>
    <cellStyle name="Header2 5 5 4 3 2" xfId="38447" xr:uid="{00000000-0005-0000-0000-00002F960000}"/>
    <cellStyle name="Header2 5 5 4 4" xfId="38448" xr:uid="{00000000-0005-0000-0000-000030960000}"/>
    <cellStyle name="Header2 5 5 5" xfId="38449" xr:uid="{00000000-0005-0000-0000-000031960000}"/>
    <cellStyle name="Header2 5 5 5 2" xfId="38450" xr:uid="{00000000-0005-0000-0000-000032960000}"/>
    <cellStyle name="Header2 5 5 6" xfId="38451" xr:uid="{00000000-0005-0000-0000-000033960000}"/>
    <cellStyle name="Header2 5 5 6 2" xfId="38452" xr:uid="{00000000-0005-0000-0000-000034960000}"/>
    <cellStyle name="Header2 5 5 7" xfId="38453" xr:uid="{00000000-0005-0000-0000-000035960000}"/>
    <cellStyle name="Header2 5 6" xfId="38454" xr:uid="{00000000-0005-0000-0000-000036960000}"/>
    <cellStyle name="Header2 5 6 2" xfId="38455" xr:uid="{00000000-0005-0000-0000-000037960000}"/>
    <cellStyle name="Header2 5 6 2 2" xfId="38456" xr:uid="{00000000-0005-0000-0000-000038960000}"/>
    <cellStyle name="Header2 5 6 2 2 2" xfId="38457" xr:uid="{00000000-0005-0000-0000-000039960000}"/>
    <cellStyle name="Header2 5 6 2 2 2 2" xfId="38458" xr:uid="{00000000-0005-0000-0000-00003A960000}"/>
    <cellStyle name="Header2 5 6 2 2 3" xfId="38459" xr:uid="{00000000-0005-0000-0000-00003B960000}"/>
    <cellStyle name="Header2 5 6 2 2 3 2" xfId="38460" xr:uid="{00000000-0005-0000-0000-00003C960000}"/>
    <cellStyle name="Header2 5 6 2 2 4" xfId="38461" xr:uid="{00000000-0005-0000-0000-00003D960000}"/>
    <cellStyle name="Header2 5 6 2 3" xfId="38462" xr:uid="{00000000-0005-0000-0000-00003E960000}"/>
    <cellStyle name="Header2 5 6 2 3 2" xfId="38463" xr:uid="{00000000-0005-0000-0000-00003F960000}"/>
    <cellStyle name="Header2 5 6 2 3 2 2" xfId="38464" xr:uid="{00000000-0005-0000-0000-000040960000}"/>
    <cellStyle name="Header2 5 6 2 3 3" xfId="38465" xr:uid="{00000000-0005-0000-0000-000041960000}"/>
    <cellStyle name="Header2 5 6 2 3 3 2" xfId="38466" xr:uid="{00000000-0005-0000-0000-000042960000}"/>
    <cellStyle name="Header2 5 6 2 3 4" xfId="38467" xr:uid="{00000000-0005-0000-0000-000043960000}"/>
    <cellStyle name="Header2 5 6 2 4" xfId="38468" xr:uid="{00000000-0005-0000-0000-000044960000}"/>
    <cellStyle name="Header2 5 6 2 4 2" xfId="38469" xr:uid="{00000000-0005-0000-0000-000045960000}"/>
    <cellStyle name="Header2 5 6 2 5" xfId="38470" xr:uid="{00000000-0005-0000-0000-000046960000}"/>
    <cellStyle name="Header2 5 6 2 5 2" xfId="38471" xr:uid="{00000000-0005-0000-0000-000047960000}"/>
    <cellStyle name="Header2 5 6 2 6" xfId="38472" xr:uid="{00000000-0005-0000-0000-000048960000}"/>
    <cellStyle name="Header2 5 6 3" xfId="38473" xr:uid="{00000000-0005-0000-0000-000049960000}"/>
    <cellStyle name="Header2 5 6 3 2" xfId="38474" xr:uid="{00000000-0005-0000-0000-00004A960000}"/>
    <cellStyle name="Header2 5 6 3 2 2" xfId="38475" xr:uid="{00000000-0005-0000-0000-00004B960000}"/>
    <cellStyle name="Header2 5 6 3 3" xfId="38476" xr:uid="{00000000-0005-0000-0000-00004C960000}"/>
    <cellStyle name="Header2 5 6 3 3 2" xfId="38477" xr:uid="{00000000-0005-0000-0000-00004D960000}"/>
    <cellStyle name="Header2 5 6 3 4" xfId="38478" xr:uid="{00000000-0005-0000-0000-00004E960000}"/>
    <cellStyle name="Header2 5 6 4" xfId="38479" xr:uid="{00000000-0005-0000-0000-00004F960000}"/>
    <cellStyle name="Header2 5 6 4 2" xfId="38480" xr:uid="{00000000-0005-0000-0000-000050960000}"/>
    <cellStyle name="Header2 5 6 4 2 2" xfId="38481" xr:uid="{00000000-0005-0000-0000-000051960000}"/>
    <cellStyle name="Header2 5 6 4 3" xfId="38482" xr:uid="{00000000-0005-0000-0000-000052960000}"/>
    <cellStyle name="Header2 5 6 4 3 2" xfId="38483" xr:uid="{00000000-0005-0000-0000-000053960000}"/>
    <cellStyle name="Header2 5 6 4 4" xfId="38484" xr:uid="{00000000-0005-0000-0000-000054960000}"/>
    <cellStyle name="Header2 5 6 5" xfId="38485" xr:uid="{00000000-0005-0000-0000-000055960000}"/>
    <cellStyle name="Header2 5 6 5 2" xfId="38486" xr:uid="{00000000-0005-0000-0000-000056960000}"/>
    <cellStyle name="Header2 5 6 6" xfId="38487" xr:uid="{00000000-0005-0000-0000-000057960000}"/>
    <cellStyle name="Header2 5 6 6 2" xfId="38488" xr:uid="{00000000-0005-0000-0000-000058960000}"/>
    <cellStyle name="Header2 5 6 7" xfId="38489" xr:uid="{00000000-0005-0000-0000-000059960000}"/>
    <cellStyle name="Header2 5 7" xfId="38490" xr:uid="{00000000-0005-0000-0000-00005A960000}"/>
    <cellStyle name="Header2 5 7 2" xfId="38491" xr:uid="{00000000-0005-0000-0000-00005B960000}"/>
    <cellStyle name="Header2 5 7 2 2" xfId="38492" xr:uid="{00000000-0005-0000-0000-00005C960000}"/>
    <cellStyle name="Header2 5 7 2 2 2" xfId="38493" xr:uid="{00000000-0005-0000-0000-00005D960000}"/>
    <cellStyle name="Header2 5 7 2 3" xfId="38494" xr:uid="{00000000-0005-0000-0000-00005E960000}"/>
    <cellStyle name="Header2 5 7 2 3 2" xfId="38495" xr:uid="{00000000-0005-0000-0000-00005F960000}"/>
    <cellStyle name="Header2 5 7 2 4" xfId="38496" xr:uid="{00000000-0005-0000-0000-000060960000}"/>
    <cellStyle name="Header2 5 7 3" xfId="38497" xr:uid="{00000000-0005-0000-0000-000061960000}"/>
    <cellStyle name="Header2 5 7 3 2" xfId="38498" xr:uid="{00000000-0005-0000-0000-000062960000}"/>
    <cellStyle name="Header2 5 7 3 2 2" xfId="38499" xr:uid="{00000000-0005-0000-0000-000063960000}"/>
    <cellStyle name="Header2 5 7 3 3" xfId="38500" xr:uid="{00000000-0005-0000-0000-000064960000}"/>
    <cellStyle name="Header2 5 7 3 3 2" xfId="38501" xr:uid="{00000000-0005-0000-0000-000065960000}"/>
    <cellStyle name="Header2 5 7 3 4" xfId="38502" xr:uid="{00000000-0005-0000-0000-000066960000}"/>
    <cellStyle name="Header2 5 7 4" xfId="38503" xr:uid="{00000000-0005-0000-0000-000067960000}"/>
    <cellStyle name="Header2 5 7 4 2" xfId="38504" xr:uid="{00000000-0005-0000-0000-000068960000}"/>
    <cellStyle name="Header2 5 7 5" xfId="38505" xr:uid="{00000000-0005-0000-0000-000069960000}"/>
    <cellStyle name="Header2 5 7 5 2" xfId="38506" xr:uid="{00000000-0005-0000-0000-00006A960000}"/>
    <cellStyle name="Header2 5 7 6" xfId="38507" xr:uid="{00000000-0005-0000-0000-00006B960000}"/>
    <cellStyle name="Header2 5 8" xfId="38508" xr:uid="{00000000-0005-0000-0000-00006C960000}"/>
    <cellStyle name="Header2 5 8 2" xfId="38509" xr:uid="{00000000-0005-0000-0000-00006D960000}"/>
    <cellStyle name="Header2 5 8 2 2" xfId="38510" xr:uid="{00000000-0005-0000-0000-00006E960000}"/>
    <cellStyle name="Header2 5 8 3" xfId="38511" xr:uid="{00000000-0005-0000-0000-00006F960000}"/>
    <cellStyle name="Header2 5 8 3 2" xfId="38512" xr:uid="{00000000-0005-0000-0000-000070960000}"/>
    <cellStyle name="Header2 5 8 4" xfId="38513" xr:uid="{00000000-0005-0000-0000-000071960000}"/>
    <cellStyle name="Header2 5 9" xfId="38514" xr:uid="{00000000-0005-0000-0000-000072960000}"/>
    <cellStyle name="Header2 5 9 2" xfId="38515" xr:uid="{00000000-0005-0000-0000-000073960000}"/>
    <cellStyle name="Header2 5 9 2 2" xfId="38516" xr:uid="{00000000-0005-0000-0000-000074960000}"/>
    <cellStyle name="Header2 5 9 3" xfId="38517" xr:uid="{00000000-0005-0000-0000-000075960000}"/>
    <cellStyle name="Header2 5 9 3 2" xfId="38518" xr:uid="{00000000-0005-0000-0000-000076960000}"/>
    <cellStyle name="Header2 5 9 4" xfId="38519" xr:uid="{00000000-0005-0000-0000-000077960000}"/>
    <cellStyle name="Header2 6" xfId="38520" xr:uid="{00000000-0005-0000-0000-000078960000}"/>
    <cellStyle name="Header2 6 10" xfId="38521" xr:uid="{00000000-0005-0000-0000-000079960000}"/>
    <cellStyle name="Header2 6 10 2" xfId="38522" xr:uid="{00000000-0005-0000-0000-00007A960000}"/>
    <cellStyle name="Header2 6 11" xfId="38523" xr:uid="{00000000-0005-0000-0000-00007B960000}"/>
    <cellStyle name="Header2 6 11 2" xfId="38524" xr:uid="{00000000-0005-0000-0000-00007C960000}"/>
    <cellStyle name="Header2 6 12" xfId="38525" xr:uid="{00000000-0005-0000-0000-00007D960000}"/>
    <cellStyle name="Header2 6 2" xfId="38526" xr:uid="{00000000-0005-0000-0000-00007E960000}"/>
    <cellStyle name="Header2 6 2 2" xfId="38527" xr:uid="{00000000-0005-0000-0000-00007F960000}"/>
    <cellStyle name="Header2 6 2 2 2" xfId="38528" xr:uid="{00000000-0005-0000-0000-000080960000}"/>
    <cellStyle name="Header2 6 2 2 2 2" xfId="38529" xr:uid="{00000000-0005-0000-0000-000081960000}"/>
    <cellStyle name="Header2 6 2 2 2 2 2" xfId="38530" xr:uid="{00000000-0005-0000-0000-000082960000}"/>
    <cellStyle name="Header2 6 2 2 2 3" xfId="38531" xr:uid="{00000000-0005-0000-0000-000083960000}"/>
    <cellStyle name="Header2 6 2 2 2 3 2" xfId="38532" xr:uid="{00000000-0005-0000-0000-000084960000}"/>
    <cellStyle name="Header2 6 2 2 2 4" xfId="38533" xr:uid="{00000000-0005-0000-0000-000085960000}"/>
    <cellStyle name="Header2 6 2 2 3" xfId="38534" xr:uid="{00000000-0005-0000-0000-000086960000}"/>
    <cellStyle name="Header2 6 2 2 3 2" xfId="38535" xr:uid="{00000000-0005-0000-0000-000087960000}"/>
    <cellStyle name="Header2 6 2 2 3 2 2" xfId="38536" xr:uid="{00000000-0005-0000-0000-000088960000}"/>
    <cellStyle name="Header2 6 2 2 3 3" xfId="38537" xr:uid="{00000000-0005-0000-0000-000089960000}"/>
    <cellStyle name="Header2 6 2 2 3 3 2" xfId="38538" xr:uid="{00000000-0005-0000-0000-00008A960000}"/>
    <cellStyle name="Header2 6 2 2 3 4" xfId="38539" xr:uid="{00000000-0005-0000-0000-00008B960000}"/>
    <cellStyle name="Header2 6 2 2 4" xfId="38540" xr:uid="{00000000-0005-0000-0000-00008C960000}"/>
    <cellStyle name="Header2 6 2 2 4 2" xfId="38541" xr:uid="{00000000-0005-0000-0000-00008D960000}"/>
    <cellStyle name="Header2 6 2 2 5" xfId="38542" xr:uid="{00000000-0005-0000-0000-00008E960000}"/>
    <cellStyle name="Header2 6 2 2 5 2" xfId="38543" xr:uid="{00000000-0005-0000-0000-00008F960000}"/>
    <cellStyle name="Header2 6 2 2 6" xfId="38544" xr:uid="{00000000-0005-0000-0000-000090960000}"/>
    <cellStyle name="Header2 6 2 3" xfId="38545" xr:uid="{00000000-0005-0000-0000-000091960000}"/>
    <cellStyle name="Header2 6 2 3 2" xfId="38546" xr:uid="{00000000-0005-0000-0000-000092960000}"/>
    <cellStyle name="Header2 6 2 3 2 2" xfId="38547" xr:uid="{00000000-0005-0000-0000-000093960000}"/>
    <cellStyle name="Header2 6 2 3 3" xfId="38548" xr:uid="{00000000-0005-0000-0000-000094960000}"/>
    <cellStyle name="Header2 6 2 3 3 2" xfId="38549" xr:uid="{00000000-0005-0000-0000-000095960000}"/>
    <cellStyle name="Header2 6 2 3 4" xfId="38550" xr:uid="{00000000-0005-0000-0000-000096960000}"/>
    <cellStyle name="Header2 6 2 4" xfId="38551" xr:uid="{00000000-0005-0000-0000-000097960000}"/>
    <cellStyle name="Header2 6 2 4 2" xfId="38552" xr:uid="{00000000-0005-0000-0000-000098960000}"/>
    <cellStyle name="Header2 6 2 4 2 2" xfId="38553" xr:uid="{00000000-0005-0000-0000-000099960000}"/>
    <cellStyle name="Header2 6 2 4 3" xfId="38554" xr:uid="{00000000-0005-0000-0000-00009A960000}"/>
    <cellStyle name="Header2 6 2 4 3 2" xfId="38555" xr:uid="{00000000-0005-0000-0000-00009B960000}"/>
    <cellStyle name="Header2 6 2 4 4" xfId="38556" xr:uid="{00000000-0005-0000-0000-00009C960000}"/>
    <cellStyle name="Header2 6 2 5" xfId="38557" xr:uid="{00000000-0005-0000-0000-00009D960000}"/>
    <cellStyle name="Header2 6 2 5 2" xfId="38558" xr:uid="{00000000-0005-0000-0000-00009E960000}"/>
    <cellStyle name="Header2 6 2 6" xfId="38559" xr:uid="{00000000-0005-0000-0000-00009F960000}"/>
    <cellStyle name="Header2 6 2 6 2" xfId="38560" xr:uid="{00000000-0005-0000-0000-0000A0960000}"/>
    <cellStyle name="Header2 6 2 7" xfId="38561" xr:uid="{00000000-0005-0000-0000-0000A1960000}"/>
    <cellStyle name="Header2 6 3" xfId="38562" xr:uid="{00000000-0005-0000-0000-0000A2960000}"/>
    <cellStyle name="Header2 6 3 2" xfId="38563" xr:uid="{00000000-0005-0000-0000-0000A3960000}"/>
    <cellStyle name="Header2 6 3 2 2" xfId="38564" xr:uid="{00000000-0005-0000-0000-0000A4960000}"/>
    <cellStyle name="Header2 6 3 2 2 2" xfId="38565" xr:uid="{00000000-0005-0000-0000-0000A5960000}"/>
    <cellStyle name="Header2 6 3 2 2 2 2" xfId="38566" xr:uid="{00000000-0005-0000-0000-0000A6960000}"/>
    <cellStyle name="Header2 6 3 2 2 3" xfId="38567" xr:uid="{00000000-0005-0000-0000-0000A7960000}"/>
    <cellStyle name="Header2 6 3 2 2 3 2" xfId="38568" xr:uid="{00000000-0005-0000-0000-0000A8960000}"/>
    <cellStyle name="Header2 6 3 2 2 4" xfId="38569" xr:uid="{00000000-0005-0000-0000-0000A9960000}"/>
    <cellStyle name="Header2 6 3 2 3" xfId="38570" xr:uid="{00000000-0005-0000-0000-0000AA960000}"/>
    <cellStyle name="Header2 6 3 2 3 2" xfId="38571" xr:uid="{00000000-0005-0000-0000-0000AB960000}"/>
    <cellStyle name="Header2 6 3 2 3 2 2" xfId="38572" xr:uid="{00000000-0005-0000-0000-0000AC960000}"/>
    <cellStyle name="Header2 6 3 2 3 3" xfId="38573" xr:uid="{00000000-0005-0000-0000-0000AD960000}"/>
    <cellStyle name="Header2 6 3 2 3 3 2" xfId="38574" xr:uid="{00000000-0005-0000-0000-0000AE960000}"/>
    <cellStyle name="Header2 6 3 2 3 4" xfId="38575" xr:uid="{00000000-0005-0000-0000-0000AF960000}"/>
    <cellStyle name="Header2 6 3 2 4" xfId="38576" xr:uid="{00000000-0005-0000-0000-0000B0960000}"/>
    <cellStyle name="Header2 6 3 2 4 2" xfId="38577" xr:uid="{00000000-0005-0000-0000-0000B1960000}"/>
    <cellStyle name="Header2 6 3 2 5" xfId="38578" xr:uid="{00000000-0005-0000-0000-0000B2960000}"/>
    <cellStyle name="Header2 6 3 2 5 2" xfId="38579" xr:uid="{00000000-0005-0000-0000-0000B3960000}"/>
    <cellStyle name="Header2 6 3 2 6" xfId="38580" xr:uid="{00000000-0005-0000-0000-0000B4960000}"/>
    <cellStyle name="Header2 6 3 3" xfId="38581" xr:uid="{00000000-0005-0000-0000-0000B5960000}"/>
    <cellStyle name="Header2 6 3 3 2" xfId="38582" xr:uid="{00000000-0005-0000-0000-0000B6960000}"/>
    <cellStyle name="Header2 6 3 3 2 2" xfId="38583" xr:uid="{00000000-0005-0000-0000-0000B7960000}"/>
    <cellStyle name="Header2 6 3 3 3" xfId="38584" xr:uid="{00000000-0005-0000-0000-0000B8960000}"/>
    <cellStyle name="Header2 6 3 3 3 2" xfId="38585" xr:uid="{00000000-0005-0000-0000-0000B9960000}"/>
    <cellStyle name="Header2 6 3 3 4" xfId="38586" xr:uid="{00000000-0005-0000-0000-0000BA960000}"/>
    <cellStyle name="Header2 6 3 4" xfId="38587" xr:uid="{00000000-0005-0000-0000-0000BB960000}"/>
    <cellStyle name="Header2 6 3 4 2" xfId="38588" xr:uid="{00000000-0005-0000-0000-0000BC960000}"/>
    <cellStyle name="Header2 6 3 4 2 2" xfId="38589" xr:uid="{00000000-0005-0000-0000-0000BD960000}"/>
    <cellStyle name="Header2 6 3 4 3" xfId="38590" xr:uid="{00000000-0005-0000-0000-0000BE960000}"/>
    <cellStyle name="Header2 6 3 4 3 2" xfId="38591" xr:uid="{00000000-0005-0000-0000-0000BF960000}"/>
    <cellStyle name="Header2 6 3 4 4" xfId="38592" xr:uid="{00000000-0005-0000-0000-0000C0960000}"/>
    <cellStyle name="Header2 6 3 5" xfId="38593" xr:uid="{00000000-0005-0000-0000-0000C1960000}"/>
    <cellStyle name="Header2 6 3 5 2" xfId="38594" xr:uid="{00000000-0005-0000-0000-0000C2960000}"/>
    <cellStyle name="Header2 6 3 6" xfId="38595" xr:uid="{00000000-0005-0000-0000-0000C3960000}"/>
    <cellStyle name="Header2 6 3 6 2" xfId="38596" xr:uid="{00000000-0005-0000-0000-0000C4960000}"/>
    <cellStyle name="Header2 6 3 7" xfId="38597" xr:uid="{00000000-0005-0000-0000-0000C5960000}"/>
    <cellStyle name="Header2 6 4" xfId="38598" xr:uid="{00000000-0005-0000-0000-0000C6960000}"/>
    <cellStyle name="Header2 6 4 2" xfId="38599" xr:uid="{00000000-0005-0000-0000-0000C7960000}"/>
    <cellStyle name="Header2 6 4 2 2" xfId="38600" xr:uid="{00000000-0005-0000-0000-0000C8960000}"/>
    <cellStyle name="Header2 6 4 2 2 2" xfId="38601" xr:uid="{00000000-0005-0000-0000-0000C9960000}"/>
    <cellStyle name="Header2 6 4 2 2 2 2" xfId="38602" xr:uid="{00000000-0005-0000-0000-0000CA960000}"/>
    <cellStyle name="Header2 6 4 2 2 3" xfId="38603" xr:uid="{00000000-0005-0000-0000-0000CB960000}"/>
    <cellStyle name="Header2 6 4 2 2 3 2" xfId="38604" xr:uid="{00000000-0005-0000-0000-0000CC960000}"/>
    <cellStyle name="Header2 6 4 2 2 4" xfId="38605" xr:uid="{00000000-0005-0000-0000-0000CD960000}"/>
    <cellStyle name="Header2 6 4 2 3" xfId="38606" xr:uid="{00000000-0005-0000-0000-0000CE960000}"/>
    <cellStyle name="Header2 6 4 2 3 2" xfId="38607" xr:uid="{00000000-0005-0000-0000-0000CF960000}"/>
    <cellStyle name="Header2 6 4 2 3 2 2" xfId="38608" xr:uid="{00000000-0005-0000-0000-0000D0960000}"/>
    <cellStyle name="Header2 6 4 2 3 3" xfId="38609" xr:uid="{00000000-0005-0000-0000-0000D1960000}"/>
    <cellStyle name="Header2 6 4 2 3 3 2" xfId="38610" xr:uid="{00000000-0005-0000-0000-0000D2960000}"/>
    <cellStyle name="Header2 6 4 2 3 4" xfId="38611" xr:uid="{00000000-0005-0000-0000-0000D3960000}"/>
    <cellStyle name="Header2 6 4 2 4" xfId="38612" xr:uid="{00000000-0005-0000-0000-0000D4960000}"/>
    <cellStyle name="Header2 6 4 2 4 2" xfId="38613" xr:uid="{00000000-0005-0000-0000-0000D5960000}"/>
    <cellStyle name="Header2 6 4 2 5" xfId="38614" xr:uid="{00000000-0005-0000-0000-0000D6960000}"/>
    <cellStyle name="Header2 6 4 2 5 2" xfId="38615" xr:uid="{00000000-0005-0000-0000-0000D7960000}"/>
    <cellStyle name="Header2 6 4 2 6" xfId="38616" xr:uid="{00000000-0005-0000-0000-0000D8960000}"/>
    <cellStyle name="Header2 6 4 3" xfId="38617" xr:uid="{00000000-0005-0000-0000-0000D9960000}"/>
    <cellStyle name="Header2 6 4 3 2" xfId="38618" xr:uid="{00000000-0005-0000-0000-0000DA960000}"/>
    <cellStyle name="Header2 6 4 3 2 2" xfId="38619" xr:uid="{00000000-0005-0000-0000-0000DB960000}"/>
    <cellStyle name="Header2 6 4 3 3" xfId="38620" xr:uid="{00000000-0005-0000-0000-0000DC960000}"/>
    <cellStyle name="Header2 6 4 3 3 2" xfId="38621" xr:uid="{00000000-0005-0000-0000-0000DD960000}"/>
    <cellStyle name="Header2 6 4 3 4" xfId="38622" xr:uid="{00000000-0005-0000-0000-0000DE960000}"/>
    <cellStyle name="Header2 6 4 4" xfId="38623" xr:uid="{00000000-0005-0000-0000-0000DF960000}"/>
    <cellStyle name="Header2 6 4 4 2" xfId="38624" xr:uid="{00000000-0005-0000-0000-0000E0960000}"/>
    <cellStyle name="Header2 6 4 4 2 2" xfId="38625" xr:uid="{00000000-0005-0000-0000-0000E1960000}"/>
    <cellStyle name="Header2 6 4 4 3" xfId="38626" xr:uid="{00000000-0005-0000-0000-0000E2960000}"/>
    <cellStyle name="Header2 6 4 4 3 2" xfId="38627" xr:uid="{00000000-0005-0000-0000-0000E3960000}"/>
    <cellStyle name="Header2 6 4 4 4" xfId="38628" xr:uid="{00000000-0005-0000-0000-0000E4960000}"/>
    <cellStyle name="Header2 6 4 5" xfId="38629" xr:uid="{00000000-0005-0000-0000-0000E5960000}"/>
    <cellStyle name="Header2 6 4 5 2" xfId="38630" xr:uid="{00000000-0005-0000-0000-0000E6960000}"/>
    <cellStyle name="Header2 6 4 6" xfId="38631" xr:uid="{00000000-0005-0000-0000-0000E7960000}"/>
    <cellStyle name="Header2 6 4 6 2" xfId="38632" xr:uid="{00000000-0005-0000-0000-0000E8960000}"/>
    <cellStyle name="Header2 6 4 7" xfId="38633" xr:uid="{00000000-0005-0000-0000-0000E9960000}"/>
    <cellStyle name="Header2 6 5" xfId="38634" xr:uid="{00000000-0005-0000-0000-0000EA960000}"/>
    <cellStyle name="Header2 6 5 2" xfId="38635" xr:uid="{00000000-0005-0000-0000-0000EB960000}"/>
    <cellStyle name="Header2 6 5 2 2" xfId="38636" xr:uid="{00000000-0005-0000-0000-0000EC960000}"/>
    <cellStyle name="Header2 6 5 2 2 2" xfId="38637" xr:uid="{00000000-0005-0000-0000-0000ED960000}"/>
    <cellStyle name="Header2 6 5 2 2 2 2" xfId="38638" xr:uid="{00000000-0005-0000-0000-0000EE960000}"/>
    <cellStyle name="Header2 6 5 2 2 3" xfId="38639" xr:uid="{00000000-0005-0000-0000-0000EF960000}"/>
    <cellStyle name="Header2 6 5 2 2 3 2" xfId="38640" xr:uid="{00000000-0005-0000-0000-0000F0960000}"/>
    <cellStyle name="Header2 6 5 2 2 4" xfId="38641" xr:uid="{00000000-0005-0000-0000-0000F1960000}"/>
    <cellStyle name="Header2 6 5 2 3" xfId="38642" xr:uid="{00000000-0005-0000-0000-0000F2960000}"/>
    <cellStyle name="Header2 6 5 2 3 2" xfId="38643" xr:uid="{00000000-0005-0000-0000-0000F3960000}"/>
    <cellStyle name="Header2 6 5 2 3 2 2" xfId="38644" xr:uid="{00000000-0005-0000-0000-0000F4960000}"/>
    <cellStyle name="Header2 6 5 2 3 3" xfId="38645" xr:uid="{00000000-0005-0000-0000-0000F5960000}"/>
    <cellStyle name="Header2 6 5 2 3 3 2" xfId="38646" xr:uid="{00000000-0005-0000-0000-0000F6960000}"/>
    <cellStyle name="Header2 6 5 2 3 4" xfId="38647" xr:uid="{00000000-0005-0000-0000-0000F7960000}"/>
    <cellStyle name="Header2 6 5 2 4" xfId="38648" xr:uid="{00000000-0005-0000-0000-0000F8960000}"/>
    <cellStyle name="Header2 6 5 2 4 2" xfId="38649" xr:uid="{00000000-0005-0000-0000-0000F9960000}"/>
    <cellStyle name="Header2 6 5 2 5" xfId="38650" xr:uid="{00000000-0005-0000-0000-0000FA960000}"/>
    <cellStyle name="Header2 6 5 2 5 2" xfId="38651" xr:uid="{00000000-0005-0000-0000-0000FB960000}"/>
    <cellStyle name="Header2 6 5 2 6" xfId="38652" xr:uid="{00000000-0005-0000-0000-0000FC960000}"/>
    <cellStyle name="Header2 6 5 3" xfId="38653" xr:uid="{00000000-0005-0000-0000-0000FD960000}"/>
    <cellStyle name="Header2 6 5 3 2" xfId="38654" xr:uid="{00000000-0005-0000-0000-0000FE960000}"/>
    <cellStyle name="Header2 6 5 3 2 2" xfId="38655" xr:uid="{00000000-0005-0000-0000-0000FF960000}"/>
    <cellStyle name="Header2 6 5 3 3" xfId="38656" xr:uid="{00000000-0005-0000-0000-000000970000}"/>
    <cellStyle name="Header2 6 5 3 3 2" xfId="38657" xr:uid="{00000000-0005-0000-0000-000001970000}"/>
    <cellStyle name="Header2 6 5 3 4" xfId="38658" xr:uid="{00000000-0005-0000-0000-000002970000}"/>
    <cellStyle name="Header2 6 5 4" xfId="38659" xr:uid="{00000000-0005-0000-0000-000003970000}"/>
    <cellStyle name="Header2 6 5 4 2" xfId="38660" xr:uid="{00000000-0005-0000-0000-000004970000}"/>
    <cellStyle name="Header2 6 5 4 2 2" xfId="38661" xr:uid="{00000000-0005-0000-0000-000005970000}"/>
    <cellStyle name="Header2 6 5 4 3" xfId="38662" xr:uid="{00000000-0005-0000-0000-000006970000}"/>
    <cellStyle name="Header2 6 5 4 3 2" xfId="38663" xr:uid="{00000000-0005-0000-0000-000007970000}"/>
    <cellStyle name="Header2 6 5 4 4" xfId="38664" xr:uid="{00000000-0005-0000-0000-000008970000}"/>
    <cellStyle name="Header2 6 5 5" xfId="38665" xr:uid="{00000000-0005-0000-0000-000009970000}"/>
    <cellStyle name="Header2 6 5 5 2" xfId="38666" xr:uid="{00000000-0005-0000-0000-00000A970000}"/>
    <cellStyle name="Header2 6 5 6" xfId="38667" xr:uid="{00000000-0005-0000-0000-00000B970000}"/>
    <cellStyle name="Header2 6 5 6 2" xfId="38668" xr:uid="{00000000-0005-0000-0000-00000C970000}"/>
    <cellStyle name="Header2 6 5 7" xfId="38669" xr:uid="{00000000-0005-0000-0000-00000D970000}"/>
    <cellStyle name="Header2 6 6" xfId="38670" xr:uid="{00000000-0005-0000-0000-00000E970000}"/>
    <cellStyle name="Header2 6 6 2" xfId="38671" xr:uid="{00000000-0005-0000-0000-00000F970000}"/>
    <cellStyle name="Header2 6 6 2 2" xfId="38672" xr:uid="{00000000-0005-0000-0000-000010970000}"/>
    <cellStyle name="Header2 6 6 2 2 2" xfId="38673" xr:uid="{00000000-0005-0000-0000-000011970000}"/>
    <cellStyle name="Header2 6 6 2 2 2 2" xfId="38674" xr:uid="{00000000-0005-0000-0000-000012970000}"/>
    <cellStyle name="Header2 6 6 2 2 3" xfId="38675" xr:uid="{00000000-0005-0000-0000-000013970000}"/>
    <cellStyle name="Header2 6 6 2 2 3 2" xfId="38676" xr:uid="{00000000-0005-0000-0000-000014970000}"/>
    <cellStyle name="Header2 6 6 2 2 4" xfId="38677" xr:uid="{00000000-0005-0000-0000-000015970000}"/>
    <cellStyle name="Header2 6 6 2 3" xfId="38678" xr:uid="{00000000-0005-0000-0000-000016970000}"/>
    <cellStyle name="Header2 6 6 2 3 2" xfId="38679" xr:uid="{00000000-0005-0000-0000-000017970000}"/>
    <cellStyle name="Header2 6 6 2 3 2 2" xfId="38680" xr:uid="{00000000-0005-0000-0000-000018970000}"/>
    <cellStyle name="Header2 6 6 2 3 3" xfId="38681" xr:uid="{00000000-0005-0000-0000-000019970000}"/>
    <cellStyle name="Header2 6 6 2 3 3 2" xfId="38682" xr:uid="{00000000-0005-0000-0000-00001A970000}"/>
    <cellStyle name="Header2 6 6 2 3 4" xfId="38683" xr:uid="{00000000-0005-0000-0000-00001B970000}"/>
    <cellStyle name="Header2 6 6 2 4" xfId="38684" xr:uid="{00000000-0005-0000-0000-00001C970000}"/>
    <cellStyle name="Header2 6 6 2 4 2" xfId="38685" xr:uid="{00000000-0005-0000-0000-00001D970000}"/>
    <cellStyle name="Header2 6 6 2 5" xfId="38686" xr:uid="{00000000-0005-0000-0000-00001E970000}"/>
    <cellStyle name="Header2 6 6 2 5 2" xfId="38687" xr:uid="{00000000-0005-0000-0000-00001F970000}"/>
    <cellStyle name="Header2 6 6 2 6" xfId="38688" xr:uid="{00000000-0005-0000-0000-000020970000}"/>
    <cellStyle name="Header2 6 6 3" xfId="38689" xr:uid="{00000000-0005-0000-0000-000021970000}"/>
    <cellStyle name="Header2 6 6 3 2" xfId="38690" xr:uid="{00000000-0005-0000-0000-000022970000}"/>
    <cellStyle name="Header2 6 6 3 2 2" xfId="38691" xr:uid="{00000000-0005-0000-0000-000023970000}"/>
    <cellStyle name="Header2 6 6 3 3" xfId="38692" xr:uid="{00000000-0005-0000-0000-000024970000}"/>
    <cellStyle name="Header2 6 6 3 3 2" xfId="38693" xr:uid="{00000000-0005-0000-0000-000025970000}"/>
    <cellStyle name="Header2 6 6 3 4" xfId="38694" xr:uid="{00000000-0005-0000-0000-000026970000}"/>
    <cellStyle name="Header2 6 6 4" xfId="38695" xr:uid="{00000000-0005-0000-0000-000027970000}"/>
    <cellStyle name="Header2 6 6 4 2" xfId="38696" xr:uid="{00000000-0005-0000-0000-000028970000}"/>
    <cellStyle name="Header2 6 6 4 2 2" xfId="38697" xr:uid="{00000000-0005-0000-0000-000029970000}"/>
    <cellStyle name="Header2 6 6 4 3" xfId="38698" xr:uid="{00000000-0005-0000-0000-00002A970000}"/>
    <cellStyle name="Header2 6 6 4 3 2" xfId="38699" xr:uid="{00000000-0005-0000-0000-00002B970000}"/>
    <cellStyle name="Header2 6 6 4 4" xfId="38700" xr:uid="{00000000-0005-0000-0000-00002C970000}"/>
    <cellStyle name="Header2 6 6 5" xfId="38701" xr:uid="{00000000-0005-0000-0000-00002D970000}"/>
    <cellStyle name="Header2 6 6 5 2" xfId="38702" xr:uid="{00000000-0005-0000-0000-00002E970000}"/>
    <cellStyle name="Header2 6 6 6" xfId="38703" xr:uid="{00000000-0005-0000-0000-00002F970000}"/>
    <cellStyle name="Header2 6 6 6 2" xfId="38704" xr:uid="{00000000-0005-0000-0000-000030970000}"/>
    <cellStyle name="Header2 6 6 7" xfId="38705" xr:uid="{00000000-0005-0000-0000-000031970000}"/>
    <cellStyle name="Header2 6 7" xfId="38706" xr:uid="{00000000-0005-0000-0000-000032970000}"/>
    <cellStyle name="Header2 6 7 2" xfId="38707" xr:uid="{00000000-0005-0000-0000-000033970000}"/>
    <cellStyle name="Header2 6 7 2 2" xfId="38708" xr:uid="{00000000-0005-0000-0000-000034970000}"/>
    <cellStyle name="Header2 6 7 2 2 2" xfId="38709" xr:uid="{00000000-0005-0000-0000-000035970000}"/>
    <cellStyle name="Header2 6 7 2 3" xfId="38710" xr:uid="{00000000-0005-0000-0000-000036970000}"/>
    <cellStyle name="Header2 6 7 2 3 2" xfId="38711" xr:uid="{00000000-0005-0000-0000-000037970000}"/>
    <cellStyle name="Header2 6 7 2 4" xfId="38712" xr:uid="{00000000-0005-0000-0000-000038970000}"/>
    <cellStyle name="Header2 6 7 3" xfId="38713" xr:uid="{00000000-0005-0000-0000-000039970000}"/>
    <cellStyle name="Header2 6 7 3 2" xfId="38714" xr:uid="{00000000-0005-0000-0000-00003A970000}"/>
    <cellStyle name="Header2 6 7 3 2 2" xfId="38715" xr:uid="{00000000-0005-0000-0000-00003B970000}"/>
    <cellStyle name="Header2 6 7 3 3" xfId="38716" xr:uid="{00000000-0005-0000-0000-00003C970000}"/>
    <cellStyle name="Header2 6 7 3 3 2" xfId="38717" xr:uid="{00000000-0005-0000-0000-00003D970000}"/>
    <cellStyle name="Header2 6 7 3 4" xfId="38718" xr:uid="{00000000-0005-0000-0000-00003E970000}"/>
    <cellStyle name="Header2 6 7 4" xfId="38719" xr:uid="{00000000-0005-0000-0000-00003F970000}"/>
    <cellStyle name="Header2 6 7 4 2" xfId="38720" xr:uid="{00000000-0005-0000-0000-000040970000}"/>
    <cellStyle name="Header2 6 7 5" xfId="38721" xr:uid="{00000000-0005-0000-0000-000041970000}"/>
    <cellStyle name="Header2 6 7 5 2" xfId="38722" xr:uid="{00000000-0005-0000-0000-000042970000}"/>
    <cellStyle name="Header2 6 7 6" xfId="38723" xr:uid="{00000000-0005-0000-0000-000043970000}"/>
    <cellStyle name="Header2 6 8" xfId="38724" xr:uid="{00000000-0005-0000-0000-000044970000}"/>
    <cellStyle name="Header2 6 8 2" xfId="38725" xr:uid="{00000000-0005-0000-0000-000045970000}"/>
    <cellStyle name="Header2 6 8 2 2" xfId="38726" xr:uid="{00000000-0005-0000-0000-000046970000}"/>
    <cellStyle name="Header2 6 8 3" xfId="38727" xr:uid="{00000000-0005-0000-0000-000047970000}"/>
    <cellStyle name="Header2 6 8 3 2" xfId="38728" xr:uid="{00000000-0005-0000-0000-000048970000}"/>
    <cellStyle name="Header2 6 8 4" xfId="38729" xr:uid="{00000000-0005-0000-0000-000049970000}"/>
    <cellStyle name="Header2 6 9" xfId="38730" xr:uid="{00000000-0005-0000-0000-00004A970000}"/>
    <cellStyle name="Header2 6 9 2" xfId="38731" xr:uid="{00000000-0005-0000-0000-00004B970000}"/>
    <cellStyle name="Header2 6 9 2 2" xfId="38732" xr:uid="{00000000-0005-0000-0000-00004C970000}"/>
    <cellStyle name="Header2 6 9 3" xfId="38733" xr:uid="{00000000-0005-0000-0000-00004D970000}"/>
    <cellStyle name="Header2 6 9 3 2" xfId="38734" xr:uid="{00000000-0005-0000-0000-00004E970000}"/>
    <cellStyle name="Header2 6 9 4" xfId="38735" xr:uid="{00000000-0005-0000-0000-00004F970000}"/>
    <cellStyle name="Header2 7" xfId="38736" xr:uid="{00000000-0005-0000-0000-000050970000}"/>
    <cellStyle name="Header2 7 2" xfId="38737" xr:uid="{00000000-0005-0000-0000-000051970000}"/>
    <cellStyle name="Header2 7 2 2" xfId="38738" xr:uid="{00000000-0005-0000-0000-000052970000}"/>
    <cellStyle name="Header2 7 2 2 2" xfId="38739" xr:uid="{00000000-0005-0000-0000-000053970000}"/>
    <cellStyle name="Header2 7 2 2 2 2" xfId="38740" xr:uid="{00000000-0005-0000-0000-000054970000}"/>
    <cellStyle name="Header2 7 2 2 3" xfId="38741" xr:uid="{00000000-0005-0000-0000-000055970000}"/>
    <cellStyle name="Header2 7 2 2 3 2" xfId="38742" xr:uid="{00000000-0005-0000-0000-000056970000}"/>
    <cellStyle name="Header2 7 2 2 4" xfId="38743" xr:uid="{00000000-0005-0000-0000-000057970000}"/>
    <cellStyle name="Header2 7 2 3" xfId="38744" xr:uid="{00000000-0005-0000-0000-000058970000}"/>
    <cellStyle name="Header2 7 2 3 2" xfId="38745" xr:uid="{00000000-0005-0000-0000-000059970000}"/>
    <cellStyle name="Header2 7 2 3 2 2" xfId="38746" xr:uid="{00000000-0005-0000-0000-00005A970000}"/>
    <cellStyle name="Header2 7 2 3 3" xfId="38747" xr:uid="{00000000-0005-0000-0000-00005B970000}"/>
    <cellStyle name="Header2 7 2 3 3 2" xfId="38748" xr:uid="{00000000-0005-0000-0000-00005C970000}"/>
    <cellStyle name="Header2 7 2 3 4" xfId="38749" xr:uid="{00000000-0005-0000-0000-00005D970000}"/>
    <cellStyle name="Header2 7 2 4" xfId="38750" xr:uid="{00000000-0005-0000-0000-00005E970000}"/>
    <cellStyle name="Header2 7 2 4 2" xfId="38751" xr:uid="{00000000-0005-0000-0000-00005F970000}"/>
    <cellStyle name="Header2 7 2 5" xfId="38752" xr:uid="{00000000-0005-0000-0000-000060970000}"/>
    <cellStyle name="Header2 7 2 5 2" xfId="38753" xr:uid="{00000000-0005-0000-0000-000061970000}"/>
    <cellStyle name="Header2 7 2 6" xfId="38754" xr:uid="{00000000-0005-0000-0000-000062970000}"/>
    <cellStyle name="Header2 7 3" xfId="38755" xr:uid="{00000000-0005-0000-0000-000063970000}"/>
    <cellStyle name="Header2 7 3 2" xfId="38756" xr:uid="{00000000-0005-0000-0000-000064970000}"/>
    <cellStyle name="Header2 7 3 2 2" xfId="38757" xr:uid="{00000000-0005-0000-0000-000065970000}"/>
    <cellStyle name="Header2 7 3 3" xfId="38758" xr:uid="{00000000-0005-0000-0000-000066970000}"/>
    <cellStyle name="Header2 7 3 3 2" xfId="38759" xr:uid="{00000000-0005-0000-0000-000067970000}"/>
    <cellStyle name="Header2 7 3 4" xfId="38760" xr:uid="{00000000-0005-0000-0000-000068970000}"/>
    <cellStyle name="Header2 7 4" xfId="38761" xr:uid="{00000000-0005-0000-0000-000069970000}"/>
    <cellStyle name="Header2 7 4 2" xfId="38762" xr:uid="{00000000-0005-0000-0000-00006A970000}"/>
    <cellStyle name="Header2 7 4 2 2" xfId="38763" xr:uid="{00000000-0005-0000-0000-00006B970000}"/>
    <cellStyle name="Header2 7 4 3" xfId="38764" xr:uid="{00000000-0005-0000-0000-00006C970000}"/>
    <cellStyle name="Header2 7 4 3 2" xfId="38765" xr:uid="{00000000-0005-0000-0000-00006D970000}"/>
    <cellStyle name="Header2 7 4 4" xfId="38766" xr:uid="{00000000-0005-0000-0000-00006E970000}"/>
    <cellStyle name="Header2 7 5" xfId="38767" xr:uid="{00000000-0005-0000-0000-00006F970000}"/>
    <cellStyle name="Header2 7 5 2" xfId="38768" xr:uid="{00000000-0005-0000-0000-000070970000}"/>
    <cellStyle name="Header2 7 6" xfId="38769" xr:uid="{00000000-0005-0000-0000-000071970000}"/>
    <cellStyle name="Header2 7 6 2" xfId="38770" xr:uid="{00000000-0005-0000-0000-000072970000}"/>
    <cellStyle name="Header2 7 7" xfId="38771" xr:uid="{00000000-0005-0000-0000-000073970000}"/>
    <cellStyle name="Header2 8" xfId="38772" xr:uid="{00000000-0005-0000-0000-000074970000}"/>
    <cellStyle name="Header2 8 2" xfId="38773" xr:uid="{00000000-0005-0000-0000-000075970000}"/>
    <cellStyle name="Header2 8 2 2" xfId="38774" xr:uid="{00000000-0005-0000-0000-000076970000}"/>
    <cellStyle name="Header2 8 2 2 2" xfId="38775" xr:uid="{00000000-0005-0000-0000-000077970000}"/>
    <cellStyle name="Header2 8 2 3" xfId="38776" xr:uid="{00000000-0005-0000-0000-000078970000}"/>
    <cellStyle name="Header2 8 2 3 2" xfId="38777" xr:uid="{00000000-0005-0000-0000-000079970000}"/>
    <cellStyle name="Header2 8 2 4" xfId="38778" xr:uid="{00000000-0005-0000-0000-00007A970000}"/>
    <cellStyle name="Header2 8 3" xfId="38779" xr:uid="{00000000-0005-0000-0000-00007B970000}"/>
    <cellStyle name="Header2 8 3 2" xfId="38780" xr:uid="{00000000-0005-0000-0000-00007C970000}"/>
    <cellStyle name="Header2 8 3 2 2" xfId="38781" xr:uid="{00000000-0005-0000-0000-00007D970000}"/>
    <cellStyle name="Header2 8 3 3" xfId="38782" xr:uid="{00000000-0005-0000-0000-00007E970000}"/>
    <cellStyle name="Header2 8 3 3 2" xfId="38783" xr:uid="{00000000-0005-0000-0000-00007F970000}"/>
    <cellStyle name="Header2 8 3 4" xfId="38784" xr:uid="{00000000-0005-0000-0000-000080970000}"/>
    <cellStyle name="Header2 8 4" xfId="38785" xr:uid="{00000000-0005-0000-0000-000081970000}"/>
    <cellStyle name="Header2 8 4 2" xfId="38786" xr:uid="{00000000-0005-0000-0000-000082970000}"/>
    <cellStyle name="Header2 8 5" xfId="38787" xr:uid="{00000000-0005-0000-0000-000083970000}"/>
    <cellStyle name="Header2 8 5 2" xfId="38788" xr:uid="{00000000-0005-0000-0000-000084970000}"/>
    <cellStyle name="Header2 8 6" xfId="38789" xr:uid="{00000000-0005-0000-0000-000085970000}"/>
    <cellStyle name="Header2 9" xfId="38790" xr:uid="{00000000-0005-0000-0000-000086970000}"/>
    <cellStyle name="Header2 9 2" xfId="38791" xr:uid="{00000000-0005-0000-0000-000087970000}"/>
    <cellStyle name="Header2 9 2 2" xfId="38792" xr:uid="{00000000-0005-0000-0000-000088970000}"/>
    <cellStyle name="Header2 9 2 2 2" xfId="38793" xr:uid="{00000000-0005-0000-0000-000089970000}"/>
    <cellStyle name="Header2 9 2 3" xfId="38794" xr:uid="{00000000-0005-0000-0000-00008A970000}"/>
    <cellStyle name="Header2 9 2 3 2" xfId="38795" xr:uid="{00000000-0005-0000-0000-00008B970000}"/>
    <cellStyle name="Header2 9 2 4" xfId="38796" xr:uid="{00000000-0005-0000-0000-00008C970000}"/>
    <cellStyle name="Header2 9 3" xfId="38797" xr:uid="{00000000-0005-0000-0000-00008D970000}"/>
    <cellStyle name="Header2 9 3 2" xfId="38798" xr:uid="{00000000-0005-0000-0000-00008E970000}"/>
    <cellStyle name="Header2 9 3 2 2" xfId="38799" xr:uid="{00000000-0005-0000-0000-00008F970000}"/>
    <cellStyle name="Header2 9 3 3" xfId="38800" xr:uid="{00000000-0005-0000-0000-000090970000}"/>
    <cellStyle name="Header2 9 3 3 2" xfId="38801" xr:uid="{00000000-0005-0000-0000-000091970000}"/>
    <cellStyle name="Header2 9 3 4" xfId="38802" xr:uid="{00000000-0005-0000-0000-000092970000}"/>
    <cellStyle name="Header2 9 4" xfId="38803" xr:uid="{00000000-0005-0000-0000-000093970000}"/>
    <cellStyle name="Header2 9 4 2" xfId="38804" xr:uid="{00000000-0005-0000-0000-000094970000}"/>
    <cellStyle name="Header2 9 5" xfId="38805" xr:uid="{00000000-0005-0000-0000-000095970000}"/>
    <cellStyle name="Header2 9 5 2" xfId="38806" xr:uid="{00000000-0005-0000-0000-000096970000}"/>
    <cellStyle name="Header2 9 6" xfId="38807" xr:uid="{00000000-0005-0000-0000-000097970000}"/>
    <cellStyle name="Heading 1 10" xfId="38808" xr:uid="{00000000-0005-0000-0000-000098970000}"/>
    <cellStyle name="Heading 1 10 2" xfId="38809" xr:uid="{00000000-0005-0000-0000-000099970000}"/>
    <cellStyle name="Heading 1 10 2 2" xfId="38810" xr:uid="{00000000-0005-0000-0000-00009A970000}"/>
    <cellStyle name="Heading 1 10 3" xfId="38811" xr:uid="{00000000-0005-0000-0000-00009B970000}"/>
    <cellStyle name="Heading 1 10 3 2" xfId="38812" xr:uid="{00000000-0005-0000-0000-00009C970000}"/>
    <cellStyle name="Heading 1 10 4" xfId="38813" xr:uid="{00000000-0005-0000-0000-00009D970000}"/>
    <cellStyle name="Heading 1 10 5" xfId="38814" xr:uid="{00000000-0005-0000-0000-00009E970000}"/>
    <cellStyle name="Heading 1 11" xfId="38815" xr:uid="{00000000-0005-0000-0000-00009F970000}"/>
    <cellStyle name="Heading 1 11 2" xfId="38816" xr:uid="{00000000-0005-0000-0000-0000A0970000}"/>
    <cellStyle name="Heading 1 11 2 2" xfId="38817" xr:uid="{00000000-0005-0000-0000-0000A1970000}"/>
    <cellStyle name="Heading 1 11 3" xfId="38818" xr:uid="{00000000-0005-0000-0000-0000A2970000}"/>
    <cellStyle name="Heading 1 11 3 2" xfId="38819" xr:uid="{00000000-0005-0000-0000-0000A3970000}"/>
    <cellStyle name="Heading 1 11 4" xfId="38820" xr:uid="{00000000-0005-0000-0000-0000A4970000}"/>
    <cellStyle name="Heading 1 11 5" xfId="38821" xr:uid="{00000000-0005-0000-0000-0000A5970000}"/>
    <cellStyle name="Heading 1 12" xfId="38822" xr:uid="{00000000-0005-0000-0000-0000A6970000}"/>
    <cellStyle name="Heading 1 12 2" xfId="38823" xr:uid="{00000000-0005-0000-0000-0000A7970000}"/>
    <cellStyle name="Heading 1 12 2 2" xfId="38824" xr:uid="{00000000-0005-0000-0000-0000A8970000}"/>
    <cellStyle name="Heading 1 12 3" xfId="38825" xr:uid="{00000000-0005-0000-0000-0000A9970000}"/>
    <cellStyle name="Heading 1 12 3 2" xfId="38826" xr:uid="{00000000-0005-0000-0000-0000AA970000}"/>
    <cellStyle name="Heading 1 12 4" xfId="38827" xr:uid="{00000000-0005-0000-0000-0000AB970000}"/>
    <cellStyle name="Heading 1 12 5" xfId="38828" xr:uid="{00000000-0005-0000-0000-0000AC970000}"/>
    <cellStyle name="Heading 1 13" xfId="38829" xr:uid="{00000000-0005-0000-0000-0000AD970000}"/>
    <cellStyle name="Heading 1 13 2" xfId="38830" xr:uid="{00000000-0005-0000-0000-0000AE970000}"/>
    <cellStyle name="Heading 1 13 2 2" xfId="38831" xr:uid="{00000000-0005-0000-0000-0000AF970000}"/>
    <cellStyle name="Heading 1 13 3" xfId="38832" xr:uid="{00000000-0005-0000-0000-0000B0970000}"/>
    <cellStyle name="Heading 1 13 3 2" xfId="38833" xr:uid="{00000000-0005-0000-0000-0000B1970000}"/>
    <cellStyle name="Heading 1 13 4" xfId="38834" xr:uid="{00000000-0005-0000-0000-0000B2970000}"/>
    <cellStyle name="Heading 1 13 5" xfId="38835" xr:uid="{00000000-0005-0000-0000-0000B3970000}"/>
    <cellStyle name="Heading 1 14" xfId="38836" xr:uid="{00000000-0005-0000-0000-0000B4970000}"/>
    <cellStyle name="Heading 1 14 2" xfId="38837" xr:uid="{00000000-0005-0000-0000-0000B5970000}"/>
    <cellStyle name="Heading 1 14 2 2" xfId="38838" xr:uid="{00000000-0005-0000-0000-0000B6970000}"/>
    <cellStyle name="Heading 1 14 3" xfId="38839" xr:uid="{00000000-0005-0000-0000-0000B7970000}"/>
    <cellStyle name="Heading 1 14 3 2" xfId="38840" xr:uid="{00000000-0005-0000-0000-0000B8970000}"/>
    <cellStyle name="Heading 1 14 4" xfId="38841" xr:uid="{00000000-0005-0000-0000-0000B9970000}"/>
    <cellStyle name="Heading 1 14 5" xfId="38842" xr:uid="{00000000-0005-0000-0000-0000BA970000}"/>
    <cellStyle name="Heading 1 15" xfId="38843" xr:uid="{00000000-0005-0000-0000-0000BB970000}"/>
    <cellStyle name="Heading 1 15 2" xfId="38844" xr:uid="{00000000-0005-0000-0000-0000BC970000}"/>
    <cellStyle name="Heading 1 15 2 2" xfId="38845" xr:uid="{00000000-0005-0000-0000-0000BD970000}"/>
    <cellStyle name="Heading 1 15 3" xfId="38846" xr:uid="{00000000-0005-0000-0000-0000BE970000}"/>
    <cellStyle name="Heading 1 15 3 2" xfId="38847" xr:uid="{00000000-0005-0000-0000-0000BF970000}"/>
    <cellStyle name="Heading 1 15 4" xfId="38848" xr:uid="{00000000-0005-0000-0000-0000C0970000}"/>
    <cellStyle name="Heading 1 15 5" xfId="38849" xr:uid="{00000000-0005-0000-0000-0000C1970000}"/>
    <cellStyle name="Heading 1 16" xfId="38850" xr:uid="{00000000-0005-0000-0000-0000C2970000}"/>
    <cellStyle name="Heading 1 16 2" xfId="38851" xr:uid="{00000000-0005-0000-0000-0000C3970000}"/>
    <cellStyle name="Heading 1 16 2 2" xfId="38852" xr:uid="{00000000-0005-0000-0000-0000C4970000}"/>
    <cellStyle name="Heading 1 16 3" xfId="38853" xr:uid="{00000000-0005-0000-0000-0000C5970000}"/>
    <cellStyle name="Heading 1 16 3 2" xfId="38854" xr:uid="{00000000-0005-0000-0000-0000C6970000}"/>
    <cellStyle name="Heading 1 16 4" xfId="38855" xr:uid="{00000000-0005-0000-0000-0000C7970000}"/>
    <cellStyle name="Heading 1 16 5" xfId="38856" xr:uid="{00000000-0005-0000-0000-0000C8970000}"/>
    <cellStyle name="Heading 1 17" xfId="38857" xr:uid="{00000000-0005-0000-0000-0000C9970000}"/>
    <cellStyle name="Heading 1 17 2" xfId="38858" xr:uid="{00000000-0005-0000-0000-0000CA970000}"/>
    <cellStyle name="Heading 1 17 2 2" xfId="38859" xr:uid="{00000000-0005-0000-0000-0000CB970000}"/>
    <cellStyle name="Heading 1 17 3" xfId="38860" xr:uid="{00000000-0005-0000-0000-0000CC970000}"/>
    <cellStyle name="Heading 1 17 3 2" xfId="38861" xr:uid="{00000000-0005-0000-0000-0000CD970000}"/>
    <cellStyle name="Heading 1 17 4" xfId="38862" xr:uid="{00000000-0005-0000-0000-0000CE970000}"/>
    <cellStyle name="Heading 1 17 5" xfId="38863" xr:uid="{00000000-0005-0000-0000-0000CF970000}"/>
    <cellStyle name="Heading 1 18" xfId="38864" xr:uid="{00000000-0005-0000-0000-0000D0970000}"/>
    <cellStyle name="Heading 1 18 2" xfId="38865" xr:uid="{00000000-0005-0000-0000-0000D1970000}"/>
    <cellStyle name="Heading 1 18 2 2" xfId="38866" xr:uid="{00000000-0005-0000-0000-0000D2970000}"/>
    <cellStyle name="Heading 1 18 3" xfId="38867" xr:uid="{00000000-0005-0000-0000-0000D3970000}"/>
    <cellStyle name="Heading 1 18 3 2" xfId="38868" xr:uid="{00000000-0005-0000-0000-0000D4970000}"/>
    <cellStyle name="Heading 1 18 4" xfId="38869" xr:uid="{00000000-0005-0000-0000-0000D5970000}"/>
    <cellStyle name="Heading 1 18 5" xfId="38870" xr:uid="{00000000-0005-0000-0000-0000D6970000}"/>
    <cellStyle name="Heading 1 19" xfId="38871" xr:uid="{00000000-0005-0000-0000-0000D7970000}"/>
    <cellStyle name="Heading 1 19 2" xfId="38872" xr:uid="{00000000-0005-0000-0000-0000D8970000}"/>
    <cellStyle name="Heading 1 19 2 2" xfId="38873" xr:uid="{00000000-0005-0000-0000-0000D9970000}"/>
    <cellStyle name="Heading 1 19 3" xfId="38874" xr:uid="{00000000-0005-0000-0000-0000DA970000}"/>
    <cellStyle name="Heading 1 19 3 2" xfId="38875" xr:uid="{00000000-0005-0000-0000-0000DB970000}"/>
    <cellStyle name="Heading 1 19 4" xfId="38876" xr:uid="{00000000-0005-0000-0000-0000DC970000}"/>
    <cellStyle name="Heading 1 19 5" xfId="38877" xr:uid="{00000000-0005-0000-0000-0000DD970000}"/>
    <cellStyle name="Heading 1 2" xfId="38878" xr:uid="{00000000-0005-0000-0000-0000DE970000}"/>
    <cellStyle name="Heading 1 2 10" xfId="38879" xr:uid="{00000000-0005-0000-0000-0000DF970000}"/>
    <cellStyle name="Heading 1 2 10 2" xfId="38880" xr:uid="{00000000-0005-0000-0000-0000E0970000}"/>
    <cellStyle name="Heading 1 2 10 2 2" xfId="38881" xr:uid="{00000000-0005-0000-0000-0000E1970000}"/>
    <cellStyle name="Heading 1 2 10 3" xfId="38882" xr:uid="{00000000-0005-0000-0000-0000E2970000}"/>
    <cellStyle name="Heading 1 2 11" xfId="38883" xr:uid="{00000000-0005-0000-0000-0000E3970000}"/>
    <cellStyle name="Heading 1 2 11 2" xfId="38884" xr:uid="{00000000-0005-0000-0000-0000E4970000}"/>
    <cellStyle name="Heading 1 2 11 2 2" xfId="38885" xr:uid="{00000000-0005-0000-0000-0000E5970000}"/>
    <cellStyle name="Heading 1 2 11 3" xfId="38886" xr:uid="{00000000-0005-0000-0000-0000E6970000}"/>
    <cellStyle name="Heading 1 2 12" xfId="38887" xr:uid="{00000000-0005-0000-0000-0000E7970000}"/>
    <cellStyle name="Heading 1 2 12 2" xfId="38888" xr:uid="{00000000-0005-0000-0000-0000E8970000}"/>
    <cellStyle name="Heading 1 2 12 2 2" xfId="38889" xr:uid="{00000000-0005-0000-0000-0000E9970000}"/>
    <cellStyle name="Heading 1 2 12 3" xfId="38890" xr:uid="{00000000-0005-0000-0000-0000EA970000}"/>
    <cellStyle name="Heading 1 2 13" xfId="38891" xr:uid="{00000000-0005-0000-0000-0000EB970000}"/>
    <cellStyle name="Heading 1 2 13 2" xfId="38892" xr:uid="{00000000-0005-0000-0000-0000EC970000}"/>
    <cellStyle name="Heading 1 2 13 2 2" xfId="38893" xr:uid="{00000000-0005-0000-0000-0000ED970000}"/>
    <cellStyle name="Heading 1 2 13 3" xfId="38894" xr:uid="{00000000-0005-0000-0000-0000EE970000}"/>
    <cellStyle name="Heading 1 2 14" xfId="38895" xr:uid="{00000000-0005-0000-0000-0000EF970000}"/>
    <cellStyle name="Heading 1 2 14 2" xfId="38896" xr:uid="{00000000-0005-0000-0000-0000F0970000}"/>
    <cellStyle name="Heading 1 2 14 2 2" xfId="38897" xr:uid="{00000000-0005-0000-0000-0000F1970000}"/>
    <cellStyle name="Heading 1 2 14 3" xfId="38898" xr:uid="{00000000-0005-0000-0000-0000F2970000}"/>
    <cellStyle name="Heading 1 2 15" xfId="38899" xr:uid="{00000000-0005-0000-0000-0000F3970000}"/>
    <cellStyle name="Heading 1 2 15 2" xfId="38900" xr:uid="{00000000-0005-0000-0000-0000F4970000}"/>
    <cellStyle name="Heading 1 2 15 2 2" xfId="38901" xr:uid="{00000000-0005-0000-0000-0000F5970000}"/>
    <cellStyle name="Heading 1 2 15 3" xfId="38902" xr:uid="{00000000-0005-0000-0000-0000F6970000}"/>
    <cellStyle name="Heading 1 2 16" xfId="38903" xr:uid="{00000000-0005-0000-0000-0000F7970000}"/>
    <cellStyle name="Heading 1 2 16 2" xfId="38904" xr:uid="{00000000-0005-0000-0000-0000F8970000}"/>
    <cellStyle name="Heading 1 2 17" xfId="38905" xr:uid="{00000000-0005-0000-0000-0000F9970000}"/>
    <cellStyle name="Heading 1 2 17 2" xfId="38906" xr:uid="{00000000-0005-0000-0000-0000FA970000}"/>
    <cellStyle name="Heading 1 2 18" xfId="38907" xr:uid="{00000000-0005-0000-0000-0000FB970000}"/>
    <cellStyle name="Heading 1 2 19" xfId="38908" xr:uid="{00000000-0005-0000-0000-0000FC970000}"/>
    <cellStyle name="Heading 1 2 2" xfId="38909" xr:uid="{00000000-0005-0000-0000-0000FD970000}"/>
    <cellStyle name="Heading 1 2 2 2" xfId="38910" xr:uid="{00000000-0005-0000-0000-0000FE970000}"/>
    <cellStyle name="Heading 1 2 2 2 2" xfId="38911" xr:uid="{00000000-0005-0000-0000-0000FF970000}"/>
    <cellStyle name="Heading 1 2 2 3" xfId="38912" xr:uid="{00000000-0005-0000-0000-000000980000}"/>
    <cellStyle name="Heading 1 2 2 3 2" xfId="38913" xr:uid="{00000000-0005-0000-0000-000001980000}"/>
    <cellStyle name="Heading 1 2 2 4" xfId="38914" xr:uid="{00000000-0005-0000-0000-000002980000}"/>
    <cellStyle name="Heading 1 2 2 5" xfId="38915" xr:uid="{00000000-0005-0000-0000-000003980000}"/>
    <cellStyle name="Heading 1 2 3" xfId="38916" xr:uid="{00000000-0005-0000-0000-000004980000}"/>
    <cellStyle name="Heading 1 2 3 2" xfId="38917" xr:uid="{00000000-0005-0000-0000-000005980000}"/>
    <cellStyle name="Heading 1 2 3 2 2" xfId="38918" xr:uid="{00000000-0005-0000-0000-000006980000}"/>
    <cellStyle name="Heading 1 2 3 3" xfId="38919" xr:uid="{00000000-0005-0000-0000-000007980000}"/>
    <cellStyle name="Heading 1 2 3 4" xfId="38920" xr:uid="{00000000-0005-0000-0000-000008980000}"/>
    <cellStyle name="Heading 1 2 4" xfId="38921" xr:uid="{00000000-0005-0000-0000-000009980000}"/>
    <cellStyle name="Heading 1 2 4 2" xfId="38922" xr:uid="{00000000-0005-0000-0000-00000A980000}"/>
    <cellStyle name="Heading 1 2 4 2 2" xfId="38923" xr:uid="{00000000-0005-0000-0000-00000B980000}"/>
    <cellStyle name="Heading 1 2 4 3" xfId="38924" xr:uid="{00000000-0005-0000-0000-00000C980000}"/>
    <cellStyle name="Heading 1 2 4 4" xfId="38925" xr:uid="{00000000-0005-0000-0000-00000D980000}"/>
    <cellStyle name="Heading 1 2 5" xfId="38926" xr:uid="{00000000-0005-0000-0000-00000E980000}"/>
    <cellStyle name="Heading 1 2 5 2" xfId="38927" xr:uid="{00000000-0005-0000-0000-00000F980000}"/>
    <cellStyle name="Heading 1 2 5 2 2" xfId="38928" xr:uid="{00000000-0005-0000-0000-000010980000}"/>
    <cellStyle name="Heading 1 2 5 3" xfId="38929" xr:uid="{00000000-0005-0000-0000-000011980000}"/>
    <cellStyle name="Heading 1 2 6" xfId="38930" xr:uid="{00000000-0005-0000-0000-000012980000}"/>
    <cellStyle name="Heading 1 2 6 2" xfId="38931" xr:uid="{00000000-0005-0000-0000-000013980000}"/>
    <cellStyle name="Heading 1 2 6 2 2" xfId="38932" xr:uid="{00000000-0005-0000-0000-000014980000}"/>
    <cellStyle name="Heading 1 2 6 3" xfId="38933" xr:uid="{00000000-0005-0000-0000-000015980000}"/>
    <cellStyle name="Heading 1 2 7" xfId="38934" xr:uid="{00000000-0005-0000-0000-000016980000}"/>
    <cellStyle name="Heading 1 2 7 2" xfId="38935" xr:uid="{00000000-0005-0000-0000-000017980000}"/>
    <cellStyle name="Heading 1 2 7 2 2" xfId="38936" xr:uid="{00000000-0005-0000-0000-000018980000}"/>
    <cellStyle name="Heading 1 2 7 3" xfId="38937" xr:uid="{00000000-0005-0000-0000-000019980000}"/>
    <cellStyle name="Heading 1 2 8" xfId="38938" xr:uid="{00000000-0005-0000-0000-00001A980000}"/>
    <cellStyle name="Heading 1 2 8 2" xfId="38939" xr:uid="{00000000-0005-0000-0000-00001B980000}"/>
    <cellStyle name="Heading 1 2 8 2 2" xfId="38940" xr:uid="{00000000-0005-0000-0000-00001C980000}"/>
    <cellStyle name="Heading 1 2 8 3" xfId="38941" xr:uid="{00000000-0005-0000-0000-00001D980000}"/>
    <cellStyle name="Heading 1 2 9" xfId="38942" xr:uid="{00000000-0005-0000-0000-00001E980000}"/>
    <cellStyle name="Heading 1 2 9 2" xfId="38943" xr:uid="{00000000-0005-0000-0000-00001F980000}"/>
    <cellStyle name="Heading 1 2 9 2 2" xfId="38944" xr:uid="{00000000-0005-0000-0000-000020980000}"/>
    <cellStyle name="Heading 1 2 9 3" xfId="38945" xr:uid="{00000000-0005-0000-0000-000021980000}"/>
    <cellStyle name="Heading 1 2_Labour" xfId="38946" xr:uid="{00000000-0005-0000-0000-000022980000}"/>
    <cellStyle name="Heading 1 20" xfId="38947" xr:uid="{00000000-0005-0000-0000-000023980000}"/>
    <cellStyle name="Heading 1 20 2" xfId="38948" xr:uid="{00000000-0005-0000-0000-000024980000}"/>
    <cellStyle name="Heading 1 20 2 2" xfId="38949" xr:uid="{00000000-0005-0000-0000-000025980000}"/>
    <cellStyle name="Heading 1 20 3" xfId="38950" xr:uid="{00000000-0005-0000-0000-000026980000}"/>
    <cellStyle name="Heading 1 20 3 2" xfId="38951" xr:uid="{00000000-0005-0000-0000-000027980000}"/>
    <cellStyle name="Heading 1 20 4" xfId="38952" xr:uid="{00000000-0005-0000-0000-000028980000}"/>
    <cellStyle name="Heading 1 20 5" xfId="38953" xr:uid="{00000000-0005-0000-0000-000029980000}"/>
    <cellStyle name="Heading 1 21" xfId="38954" xr:uid="{00000000-0005-0000-0000-00002A980000}"/>
    <cellStyle name="Heading 1 21 2" xfId="38955" xr:uid="{00000000-0005-0000-0000-00002B980000}"/>
    <cellStyle name="Heading 1 21 2 2" xfId="38956" xr:uid="{00000000-0005-0000-0000-00002C980000}"/>
    <cellStyle name="Heading 1 21 3" xfId="38957" xr:uid="{00000000-0005-0000-0000-00002D980000}"/>
    <cellStyle name="Heading 1 21 3 2" xfId="38958" xr:uid="{00000000-0005-0000-0000-00002E980000}"/>
    <cellStyle name="Heading 1 21 4" xfId="38959" xr:uid="{00000000-0005-0000-0000-00002F980000}"/>
    <cellStyle name="Heading 1 21 5" xfId="38960" xr:uid="{00000000-0005-0000-0000-000030980000}"/>
    <cellStyle name="Heading 1 22" xfId="38961" xr:uid="{00000000-0005-0000-0000-000031980000}"/>
    <cellStyle name="Heading 1 22 2" xfId="38962" xr:uid="{00000000-0005-0000-0000-000032980000}"/>
    <cellStyle name="Heading 1 22 2 2" xfId="38963" xr:uid="{00000000-0005-0000-0000-000033980000}"/>
    <cellStyle name="Heading 1 22 3" xfId="38964" xr:uid="{00000000-0005-0000-0000-000034980000}"/>
    <cellStyle name="Heading 1 22 3 2" xfId="38965" xr:uid="{00000000-0005-0000-0000-000035980000}"/>
    <cellStyle name="Heading 1 22 4" xfId="38966" xr:uid="{00000000-0005-0000-0000-000036980000}"/>
    <cellStyle name="Heading 1 22 5" xfId="38967" xr:uid="{00000000-0005-0000-0000-000037980000}"/>
    <cellStyle name="Heading 1 23" xfId="38968" xr:uid="{00000000-0005-0000-0000-000038980000}"/>
    <cellStyle name="Heading 1 23 2" xfId="38969" xr:uid="{00000000-0005-0000-0000-000039980000}"/>
    <cellStyle name="Heading 1 23 2 2" xfId="38970" xr:uid="{00000000-0005-0000-0000-00003A980000}"/>
    <cellStyle name="Heading 1 23 3" xfId="38971" xr:uid="{00000000-0005-0000-0000-00003B980000}"/>
    <cellStyle name="Heading 1 24" xfId="38972" xr:uid="{00000000-0005-0000-0000-00003C980000}"/>
    <cellStyle name="Heading 1 24 2" xfId="38973" xr:uid="{00000000-0005-0000-0000-00003D980000}"/>
    <cellStyle name="Heading 1 24 2 2" xfId="38974" xr:uid="{00000000-0005-0000-0000-00003E980000}"/>
    <cellStyle name="Heading 1 24 3" xfId="38975" xr:uid="{00000000-0005-0000-0000-00003F980000}"/>
    <cellStyle name="Heading 1 25" xfId="38976" xr:uid="{00000000-0005-0000-0000-000040980000}"/>
    <cellStyle name="Heading 1 25 2" xfId="38977" xr:uid="{00000000-0005-0000-0000-000041980000}"/>
    <cellStyle name="Heading 1 25 2 2" xfId="38978" xr:uid="{00000000-0005-0000-0000-000042980000}"/>
    <cellStyle name="Heading 1 25 3" xfId="38979" xr:uid="{00000000-0005-0000-0000-000043980000}"/>
    <cellStyle name="Heading 1 26" xfId="38980" xr:uid="{00000000-0005-0000-0000-000044980000}"/>
    <cellStyle name="Heading 1 26 2" xfId="38981" xr:uid="{00000000-0005-0000-0000-000045980000}"/>
    <cellStyle name="Heading 1 26 2 2" xfId="38982" xr:uid="{00000000-0005-0000-0000-000046980000}"/>
    <cellStyle name="Heading 1 26 3" xfId="38983" xr:uid="{00000000-0005-0000-0000-000047980000}"/>
    <cellStyle name="Heading 1 27" xfId="38984" xr:uid="{00000000-0005-0000-0000-000048980000}"/>
    <cellStyle name="Heading 1 27 2" xfId="38985" xr:uid="{00000000-0005-0000-0000-000049980000}"/>
    <cellStyle name="Heading 1 27 2 2" xfId="38986" xr:uid="{00000000-0005-0000-0000-00004A980000}"/>
    <cellStyle name="Heading 1 27 3" xfId="38987" xr:uid="{00000000-0005-0000-0000-00004B980000}"/>
    <cellStyle name="Heading 1 28" xfId="38988" xr:uid="{00000000-0005-0000-0000-00004C980000}"/>
    <cellStyle name="Heading 1 28 2" xfId="38989" xr:uid="{00000000-0005-0000-0000-00004D980000}"/>
    <cellStyle name="Heading 1 28 2 2" xfId="38990" xr:uid="{00000000-0005-0000-0000-00004E980000}"/>
    <cellStyle name="Heading 1 28 3" xfId="38991" xr:uid="{00000000-0005-0000-0000-00004F980000}"/>
    <cellStyle name="Heading 1 29" xfId="38992" xr:uid="{00000000-0005-0000-0000-000050980000}"/>
    <cellStyle name="Heading 1 29 2" xfId="38993" xr:uid="{00000000-0005-0000-0000-000051980000}"/>
    <cellStyle name="Heading 1 29 2 2" xfId="38994" xr:uid="{00000000-0005-0000-0000-000052980000}"/>
    <cellStyle name="Heading 1 29 3" xfId="38995" xr:uid="{00000000-0005-0000-0000-000053980000}"/>
    <cellStyle name="Heading 1 3" xfId="38996" xr:uid="{00000000-0005-0000-0000-000054980000}"/>
    <cellStyle name="Heading 1 3 2" xfId="38997" xr:uid="{00000000-0005-0000-0000-000055980000}"/>
    <cellStyle name="Heading 1 3 2 2" xfId="38998" xr:uid="{00000000-0005-0000-0000-000056980000}"/>
    <cellStyle name="Heading 1 3 2 3" xfId="38999" xr:uid="{00000000-0005-0000-0000-000057980000}"/>
    <cellStyle name="Heading 1 3 2 4" xfId="39000" xr:uid="{00000000-0005-0000-0000-000058980000}"/>
    <cellStyle name="Heading 1 3 3" xfId="39001" xr:uid="{00000000-0005-0000-0000-000059980000}"/>
    <cellStyle name="Heading 1 3 3 2" xfId="39002" xr:uid="{00000000-0005-0000-0000-00005A980000}"/>
    <cellStyle name="Heading 1 3 4" xfId="39003" xr:uid="{00000000-0005-0000-0000-00005B980000}"/>
    <cellStyle name="Heading 1 3 4 2" xfId="39004" xr:uid="{00000000-0005-0000-0000-00005C980000}"/>
    <cellStyle name="Heading 1 3 5" xfId="39005" xr:uid="{00000000-0005-0000-0000-00005D980000}"/>
    <cellStyle name="Heading 1 30" xfId="39006" xr:uid="{00000000-0005-0000-0000-00005E980000}"/>
    <cellStyle name="Heading 1 30 2" xfId="39007" xr:uid="{00000000-0005-0000-0000-00005F980000}"/>
    <cellStyle name="Heading 1 30 2 2" xfId="39008" xr:uid="{00000000-0005-0000-0000-000060980000}"/>
    <cellStyle name="Heading 1 30 3" xfId="39009" xr:uid="{00000000-0005-0000-0000-000061980000}"/>
    <cellStyle name="Heading 1 31" xfId="39010" xr:uid="{00000000-0005-0000-0000-000062980000}"/>
    <cellStyle name="Heading 1 31 2" xfId="39011" xr:uid="{00000000-0005-0000-0000-000063980000}"/>
    <cellStyle name="Heading 1 31 2 2" xfId="39012" xr:uid="{00000000-0005-0000-0000-000064980000}"/>
    <cellStyle name="Heading 1 31 3" xfId="39013" xr:uid="{00000000-0005-0000-0000-000065980000}"/>
    <cellStyle name="Heading 1 32" xfId="39014" xr:uid="{00000000-0005-0000-0000-000066980000}"/>
    <cellStyle name="Heading 1 32 2" xfId="39015" xr:uid="{00000000-0005-0000-0000-000067980000}"/>
    <cellStyle name="Heading 1 32 2 2" xfId="39016" xr:uid="{00000000-0005-0000-0000-000068980000}"/>
    <cellStyle name="Heading 1 32 3" xfId="39017" xr:uid="{00000000-0005-0000-0000-000069980000}"/>
    <cellStyle name="Heading 1 33" xfId="39018" xr:uid="{00000000-0005-0000-0000-00006A980000}"/>
    <cellStyle name="Heading 1 33 2" xfId="39019" xr:uid="{00000000-0005-0000-0000-00006B980000}"/>
    <cellStyle name="Heading 1 33 2 2" xfId="39020" xr:uid="{00000000-0005-0000-0000-00006C980000}"/>
    <cellStyle name="Heading 1 33 3" xfId="39021" xr:uid="{00000000-0005-0000-0000-00006D980000}"/>
    <cellStyle name="Heading 1 34" xfId="39022" xr:uid="{00000000-0005-0000-0000-00006E980000}"/>
    <cellStyle name="Heading 1 34 2" xfId="39023" xr:uid="{00000000-0005-0000-0000-00006F980000}"/>
    <cellStyle name="Heading 1 35" xfId="39024" xr:uid="{00000000-0005-0000-0000-000070980000}"/>
    <cellStyle name="Heading 1 35 2" xfId="39025" xr:uid="{00000000-0005-0000-0000-000071980000}"/>
    <cellStyle name="Heading 1 36" xfId="39026" xr:uid="{00000000-0005-0000-0000-000072980000}"/>
    <cellStyle name="Heading 1 4" xfId="39027" xr:uid="{00000000-0005-0000-0000-000073980000}"/>
    <cellStyle name="Heading 1 4 2" xfId="39028" xr:uid="{00000000-0005-0000-0000-000074980000}"/>
    <cellStyle name="Heading 1 4 2 2" xfId="39029" xr:uid="{00000000-0005-0000-0000-000075980000}"/>
    <cellStyle name="Heading 1 4 3" xfId="39030" xr:uid="{00000000-0005-0000-0000-000076980000}"/>
    <cellStyle name="Heading 1 4 3 2" xfId="39031" xr:uid="{00000000-0005-0000-0000-000077980000}"/>
    <cellStyle name="Heading 1 4 4" xfId="39032" xr:uid="{00000000-0005-0000-0000-000078980000}"/>
    <cellStyle name="Heading 1 4 5" xfId="39033" xr:uid="{00000000-0005-0000-0000-000079980000}"/>
    <cellStyle name="Heading 1 4_Proj" xfId="39034" xr:uid="{00000000-0005-0000-0000-00007A980000}"/>
    <cellStyle name="Heading 1 5" xfId="39035" xr:uid="{00000000-0005-0000-0000-00007B980000}"/>
    <cellStyle name="Heading 1 5 2" xfId="39036" xr:uid="{00000000-0005-0000-0000-00007C980000}"/>
    <cellStyle name="Heading 1 5 2 2" xfId="39037" xr:uid="{00000000-0005-0000-0000-00007D980000}"/>
    <cellStyle name="Heading 1 5 3" xfId="39038" xr:uid="{00000000-0005-0000-0000-00007E980000}"/>
    <cellStyle name="Heading 1 5 3 2" xfId="39039" xr:uid="{00000000-0005-0000-0000-00007F980000}"/>
    <cellStyle name="Heading 1 5 4" xfId="39040" xr:uid="{00000000-0005-0000-0000-000080980000}"/>
    <cellStyle name="Heading 1 5 5" xfId="39041" xr:uid="{00000000-0005-0000-0000-000081980000}"/>
    <cellStyle name="Heading 1 6" xfId="39042" xr:uid="{00000000-0005-0000-0000-000082980000}"/>
    <cellStyle name="Heading 1 6 2" xfId="39043" xr:uid="{00000000-0005-0000-0000-000083980000}"/>
    <cellStyle name="Heading 1 6 2 2" xfId="39044" xr:uid="{00000000-0005-0000-0000-000084980000}"/>
    <cellStyle name="Heading 1 6 3" xfId="39045" xr:uid="{00000000-0005-0000-0000-000085980000}"/>
    <cellStyle name="Heading 1 6 3 2" xfId="39046" xr:uid="{00000000-0005-0000-0000-000086980000}"/>
    <cellStyle name="Heading 1 6 4" xfId="39047" xr:uid="{00000000-0005-0000-0000-000087980000}"/>
    <cellStyle name="Heading 1 6 5" xfId="39048" xr:uid="{00000000-0005-0000-0000-000088980000}"/>
    <cellStyle name="Heading 1 7" xfId="39049" xr:uid="{00000000-0005-0000-0000-000089980000}"/>
    <cellStyle name="Heading 1 7 2" xfId="39050" xr:uid="{00000000-0005-0000-0000-00008A980000}"/>
    <cellStyle name="Heading 1 7 2 2" xfId="39051" xr:uid="{00000000-0005-0000-0000-00008B980000}"/>
    <cellStyle name="Heading 1 7 3" xfId="39052" xr:uid="{00000000-0005-0000-0000-00008C980000}"/>
    <cellStyle name="Heading 1 7 3 2" xfId="39053" xr:uid="{00000000-0005-0000-0000-00008D980000}"/>
    <cellStyle name="Heading 1 7 4" xfId="39054" xr:uid="{00000000-0005-0000-0000-00008E980000}"/>
    <cellStyle name="Heading 1 7 5" xfId="39055" xr:uid="{00000000-0005-0000-0000-00008F980000}"/>
    <cellStyle name="Heading 1 8" xfId="39056" xr:uid="{00000000-0005-0000-0000-000090980000}"/>
    <cellStyle name="Heading 1 8 2" xfId="39057" xr:uid="{00000000-0005-0000-0000-000091980000}"/>
    <cellStyle name="Heading 1 8 2 2" xfId="39058" xr:uid="{00000000-0005-0000-0000-000092980000}"/>
    <cellStyle name="Heading 1 8 3" xfId="39059" xr:uid="{00000000-0005-0000-0000-000093980000}"/>
    <cellStyle name="Heading 1 8 3 2" xfId="39060" xr:uid="{00000000-0005-0000-0000-000094980000}"/>
    <cellStyle name="Heading 1 8 4" xfId="39061" xr:uid="{00000000-0005-0000-0000-000095980000}"/>
    <cellStyle name="Heading 1 8 5" xfId="39062" xr:uid="{00000000-0005-0000-0000-000096980000}"/>
    <cellStyle name="Heading 1 9" xfId="39063" xr:uid="{00000000-0005-0000-0000-000097980000}"/>
    <cellStyle name="Heading 1 9 2" xfId="39064" xr:uid="{00000000-0005-0000-0000-000098980000}"/>
    <cellStyle name="Heading 1 9 2 2" xfId="39065" xr:uid="{00000000-0005-0000-0000-000099980000}"/>
    <cellStyle name="Heading 1 9 3" xfId="39066" xr:uid="{00000000-0005-0000-0000-00009A980000}"/>
    <cellStyle name="Heading 1 9 3 2" xfId="39067" xr:uid="{00000000-0005-0000-0000-00009B980000}"/>
    <cellStyle name="Heading 1 9 4" xfId="39068" xr:uid="{00000000-0005-0000-0000-00009C980000}"/>
    <cellStyle name="Heading 1 9 5" xfId="39069" xr:uid="{00000000-0005-0000-0000-00009D980000}"/>
    <cellStyle name="Heading 2 10" xfId="39070" xr:uid="{00000000-0005-0000-0000-00009E980000}"/>
    <cellStyle name="Heading 2 10 2" xfId="39071" xr:uid="{00000000-0005-0000-0000-00009F980000}"/>
    <cellStyle name="Heading 2 10 2 2" xfId="39072" xr:uid="{00000000-0005-0000-0000-0000A0980000}"/>
    <cellStyle name="Heading 2 10 3" xfId="39073" xr:uid="{00000000-0005-0000-0000-0000A1980000}"/>
    <cellStyle name="Heading 2 10 3 2" xfId="39074" xr:uid="{00000000-0005-0000-0000-0000A2980000}"/>
    <cellStyle name="Heading 2 10 4" xfId="39075" xr:uid="{00000000-0005-0000-0000-0000A3980000}"/>
    <cellStyle name="Heading 2 10 5" xfId="39076" xr:uid="{00000000-0005-0000-0000-0000A4980000}"/>
    <cellStyle name="Heading 2 11" xfId="39077" xr:uid="{00000000-0005-0000-0000-0000A5980000}"/>
    <cellStyle name="Heading 2 11 2" xfId="39078" xr:uid="{00000000-0005-0000-0000-0000A6980000}"/>
    <cellStyle name="Heading 2 11 2 2" xfId="39079" xr:uid="{00000000-0005-0000-0000-0000A7980000}"/>
    <cellStyle name="Heading 2 11 3" xfId="39080" xr:uid="{00000000-0005-0000-0000-0000A8980000}"/>
    <cellStyle name="Heading 2 11 3 2" xfId="39081" xr:uid="{00000000-0005-0000-0000-0000A9980000}"/>
    <cellStyle name="Heading 2 11 4" xfId="39082" xr:uid="{00000000-0005-0000-0000-0000AA980000}"/>
    <cellStyle name="Heading 2 11 5" xfId="39083" xr:uid="{00000000-0005-0000-0000-0000AB980000}"/>
    <cellStyle name="Heading 2 12" xfId="39084" xr:uid="{00000000-0005-0000-0000-0000AC980000}"/>
    <cellStyle name="Heading 2 12 2" xfId="39085" xr:uid="{00000000-0005-0000-0000-0000AD980000}"/>
    <cellStyle name="Heading 2 12 2 2" xfId="39086" xr:uid="{00000000-0005-0000-0000-0000AE980000}"/>
    <cellStyle name="Heading 2 12 3" xfId="39087" xr:uid="{00000000-0005-0000-0000-0000AF980000}"/>
    <cellStyle name="Heading 2 12 3 2" xfId="39088" xr:uid="{00000000-0005-0000-0000-0000B0980000}"/>
    <cellStyle name="Heading 2 12 4" xfId="39089" xr:uid="{00000000-0005-0000-0000-0000B1980000}"/>
    <cellStyle name="Heading 2 12 5" xfId="39090" xr:uid="{00000000-0005-0000-0000-0000B2980000}"/>
    <cellStyle name="Heading 2 13" xfId="39091" xr:uid="{00000000-0005-0000-0000-0000B3980000}"/>
    <cellStyle name="Heading 2 13 2" xfId="39092" xr:uid="{00000000-0005-0000-0000-0000B4980000}"/>
    <cellStyle name="Heading 2 13 2 2" xfId="39093" xr:uid="{00000000-0005-0000-0000-0000B5980000}"/>
    <cellStyle name="Heading 2 13 3" xfId="39094" xr:uid="{00000000-0005-0000-0000-0000B6980000}"/>
    <cellStyle name="Heading 2 13 3 2" xfId="39095" xr:uid="{00000000-0005-0000-0000-0000B7980000}"/>
    <cellStyle name="Heading 2 13 4" xfId="39096" xr:uid="{00000000-0005-0000-0000-0000B8980000}"/>
    <cellStyle name="Heading 2 13 5" xfId="39097" xr:uid="{00000000-0005-0000-0000-0000B9980000}"/>
    <cellStyle name="Heading 2 14" xfId="39098" xr:uid="{00000000-0005-0000-0000-0000BA980000}"/>
    <cellStyle name="Heading 2 14 2" xfId="39099" xr:uid="{00000000-0005-0000-0000-0000BB980000}"/>
    <cellStyle name="Heading 2 14 2 2" xfId="39100" xr:uid="{00000000-0005-0000-0000-0000BC980000}"/>
    <cellStyle name="Heading 2 14 3" xfId="39101" xr:uid="{00000000-0005-0000-0000-0000BD980000}"/>
    <cellStyle name="Heading 2 14 3 2" xfId="39102" xr:uid="{00000000-0005-0000-0000-0000BE980000}"/>
    <cellStyle name="Heading 2 14 4" xfId="39103" xr:uid="{00000000-0005-0000-0000-0000BF980000}"/>
    <cellStyle name="Heading 2 14 5" xfId="39104" xr:uid="{00000000-0005-0000-0000-0000C0980000}"/>
    <cellStyle name="Heading 2 15" xfId="39105" xr:uid="{00000000-0005-0000-0000-0000C1980000}"/>
    <cellStyle name="Heading 2 15 2" xfId="39106" xr:uid="{00000000-0005-0000-0000-0000C2980000}"/>
    <cellStyle name="Heading 2 15 2 2" xfId="39107" xr:uid="{00000000-0005-0000-0000-0000C3980000}"/>
    <cellStyle name="Heading 2 15 3" xfId="39108" xr:uid="{00000000-0005-0000-0000-0000C4980000}"/>
    <cellStyle name="Heading 2 15 3 2" xfId="39109" xr:uid="{00000000-0005-0000-0000-0000C5980000}"/>
    <cellStyle name="Heading 2 15 4" xfId="39110" xr:uid="{00000000-0005-0000-0000-0000C6980000}"/>
    <cellStyle name="Heading 2 15 5" xfId="39111" xr:uid="{00000000-0005-0000-0000-0000C7980000}"/>
    <cellStyle name="Heading 2 16" xfId="39112" xr:uid="{00000000-0005-0000-0000-0000C8980000}"/>
    <cellStyle name="Heading 2 16 2" xfId="39113" xr:uid="{00000000-0005-0000-0000-0000C9980000}"/>
    <cellStyle name="Heading 2 16 2 2" xfId="39114" xr:uid="{00000000-0005-0000-0000-0000CA980000}"/>
    <cellStyle name="Heading 2 16 3" xfId="39115" xr:uid="{00000000-0005-0000-0000-0000CB980000}"/>
    <cellStyle name="Heading 2 16 3 2" xfId="39116" xr:uid="{00000000-0005-0000-0000-0000CC980000}"/>
    <cellStyle name="Heading 2 16 4" xfId="39117" xr:uid="{00000000-0005-0000-0000-0000CD980000}"/>
    <cellStyle name="Heading 2 16 5" xfId="39118" xr:uid="{00000000-0005-0000-0000-0000CE980000}"/>
    <cellStyle name="Heading 2 17" xfId="39119" xr:uid="{00000000-0005-0000-0000-0000CF980000}"/>
    <cellStyle name="Heading 2 17 2" xfId="39120" xr:uid="{00000000-0005-0000-0000-0000D0980000}"/>
    <cellStyle name="Heading 2 17 2 2" xfId="39121" xr:uid="{00000000-0005-0000-0000-0000D1980000}"/>
    <cellStyle name="Heading 2 17 3" xfId="39122" xr:uid="{00000000-0005-0000-0000-0000D2980000}"/>
    <cellStyle name="Heading 2 17 3 2" xfId="39123" xr:uid="{00000000-0005-0000-0000-0000D3980000}"/>
    <cellStyle name="Heading 2 17 4" xfId="39124" xr:uid="{00000000-0005-0000-0000-0000D4980000}"/>
    <cellStyle name="Heading 2 17 5" xfId="39125" xr:uid="{00000000-0005-0000-0000-0000D5980000}"/>
    <cellStyle name="Heading 2 18" xfId="39126" xr:uid="{00000000-0005-0000-0000-0000D6980000}"/>
    <cellStyle name="Heading 2 18 2" xfId="39127" xr:uid="{00000000-0005-0000-0000-0000D7980000}"/>
    <cellStyle name="Heading 2 18 2 2" xfId="39128" xr:uid="{00000000-0005-0000-0000-0000D8980000}"/>
    <cellStyle name="Heading 2 18 3" xfId="39129" xr:uid="{00000000-0005-0000-0000-0000D9980000}"/>
    <cellStyle name="Heading 2 18 3 2" xfId="39130" xr:uid="{00000000-0005-0000-0000-0000DA980000}"/>
    <cellStyle name="Heading 2 18 4" xfId="39131" xr:uid="{00000000-0005-0000-0000-0000DB980000}"/>
    <cellStyle name="Heading 2 18 5" xfId="39132" xr:uid="{00000000-0005-0000-0000-0000DC980000}"/>
    <cellStyle name="Heading 2 19" xfId="39133" xr:uid="{00000000-0005-0000-0000-0000DD980000}"/>
    <cellStyle name="Heading 2 19 2" xfId="39134" xr:uid="{00000000-0005-0000-0000-0000DE980000}"/>
    <cellStyle name="Heading 2 19 2 2" xfId="39135" xr:uid="{00000000-0005-0000-0000-0000DF980000}"/>
    <cellStyle name="Heading 2 19 3" xfId="39136" xr:uid="{00000000-0005-0000-0000-0000E0980000}"/>
    <cellStyle name="Heading 2 19 3 2" xfId="39137" xr:uid="{00000000-0005-0000-0000-0000E1980000}"/>
    <cellStyle name="Heading 2 19 4" xfId="39138" xr:uid="{00000000-0005-0000-0000-0000E2980000}"/>
    <cellStyle name="Heading 2 19 5" xfId="39139" xr:uid="{00000000-0005-0000-0000-0000E3980000}"/>
    <cellStyle name="Heading 2 2" xfId="39140" xr:uid="{00000000-0005-0000-0000-0000E4980000}"/>
    <cellStyle name="Heading 2 2 10" xfId="39141" xr:uid="{00000000-0005-0000-0000-0000E5980000}"/>
    <cellStyle name="Heading 2 2 10 2" xfId="39142" xr:uid="{00000000-0005-0000-0000-0000E6980000}"/>
    <cellStyle name="Heading 2 2 10 2 2" xfId="39143" xr:uid="{00000000-0005-0000-0000-0000E7980000}"/>
    <cellStyle name="Heading 2 2 10 3" xfId="39144" xr:uid="{00000000-0005-0000-0000-0000E8980000}"/>
    <cellStyle name="Heading 2 2 11" xfId="39145" xr:uid="{00000000-0005-0000-0000-0000E9980000}"/>
    <cellStyle name="Heading 2 2 11 2" xfId="39146" xr:uid="{00000000-0005-0000-0000-0000EA980000}"/>
    <cellStyle name="Heading 2 2 11 2 2" xfId="39147" xr:uid="{00000000-0005-0000-0000-0000EB980000}"/>
    <cellStyle name="Heading 2 2 11 3" xfId="39148" xr:uid="{00000000-0005-0000-0000-0000EC980000}"/>
    <cellStyle name="Heading 2 2 12" xfId="39149" xr:uid="{00000000-0005-0000-0000-0000ED980000}"/>
    <cellStyle name="Heading 2 2 12 2" xfId="39150" xr:uid="{00000000-0005-0000-0000-0000EE980000}"/>
    <cellStyle name="Heading 2 2 12 2 2" xfId="39151" xr:uid="{00000000-0005-0000-0000-0000EF980000}"/>
    <cellStyle name="Heading 2 2 12 3" xfId="39152" xr:uid="{00000000-0005-0000-0000-0000F0980000}"/>
    <cellStyle name="Heading 2 2 13" xfId="39153" xr:uid="{00000000-0005-0000-0000-0000F1980000}"/>
    <cellStyle name="Heading 2 2 13 2" xfId="39154" xr:uid="{00000000-0005-0000-0000-0000F2980000}"/>
    <cellStyle name="Heading 2 2 13 2 2" xfId="39155" xr:uid="{00000000-0005-0000-0000-0000F3980000}"/>
    <cellStyle name="Heading 2 2 13 3" xfId="39156" xr:uid="{00000000-0005-0000-0000-0000F4980000}"/>
    <cellStyle name="Heading 2 2 14" xfId="39157" xr:uid="{00000000-0005-0000-0000-0000F5980000}"/>
    <cellStyle name="Heading 2 2 14 2" xfId="39158" xr:uid="{00000000-0005-0000-0000-0000F6980000}"/>
    <cellStyle name="Heading 2 2 14 2 2" xfId="39159" xr:uid="{00000000-0005-0000-0000-0000F7980000}"/>
    <cellStyle name="Heading 2 2 14 3" xfId="39160" xr:uid="{00000000-0005-0000-0000-0000F8980000}"/>
    <cellStyle name="Heading 2 2 15" xfId="39161" xr:uid="{00000000-0005-0000-0000-0000F9980000}"/>
    <cellStyle name="Heading 2 2 15 2" xfId="39162" xr:uid="{00000000-0005-0000-0000-0000FA980000}"/>
    <cellStyle name="Heading 2 2 15 2 2" xfId="39163" xr:uid="{00000000-0005-0000-0000-0000FB980000}"/>
    <cellStyle name="Heading 2 2 15 3" xfId="39164" xr:uid="{00000000-0005-0000-0000-0000FC980000}"/>
    <cellStyle name="Heading 2 2 16" xfId="39165" xr:uid="{00000000-0005-0000-0000-0000FD980000}"/>
    <cellStyle name="Heading 2 2 16 2" xfId="39166" xr:uid="{00000000-0005-0000-0000-0000FE980000}"/>
    <cellStyle name="Heading 2 2 17" xfId="39167" xr:uid="{00000000-0005-0000-0000-0000FF980000}"/>
    <cellStyle name="Heading 2 2 17 2" xfId="39168" xr:uid="{00000000-0005-0000-0000-000000990000}"/>
    <cellStyle name="Heading 2 2 18" xfId="39169" xr:uid="{00000000-0005-0000-0000-000001990000}"/>
    <cellStyle name="Heading 2 2 19" xfId="39170" xr:uid="{00000000-0005-0000-0000-000002990000}"/>
    <cellStyle name="Heading 2 2 2" xfId="39171" xr:uid="{00000000-0005-0000-0000-000003990000}"/>
    <cellStyle name="Heading 2 2 2 2" xfId="39172" xr:uid="{00000000-0005-0000-0000-000004990000}"/>
    <cellStyle name="Heading 2 2 2 2 2" xfId="39173" xr:uid="{00000000-0005-0000-0000-000005990000}"/>
    <cellStyle name="Heading 2 2 2 3" xfId="39174" xr:uid="{00000000-0005-0000-0000-000006990000}"/>
    <cellStyle name="Heading 2 2 2 3 2" xfId="39175" xr:uid="{00000000-0005-0000-0000-000007990000}"/>
    <cellStyle name="Heading 2 2 2 4" xfId="39176" xr:uid="{00000000-0005-0000-0000-000008990000}"/>
    <cellStyle name="Heading 2 2 2 5" xfId="39177" xr:uid="{00000000-0005-0000-0000-000009990000}"/>
    <cellStyle name="Heading 2 2 3" xfId="39178" xr:uid="{00000000-0005-0000-0000-00000A990000}"/>
    <cellStyle name="Heading 2 2 3 2" xfId="39179" xr:uid="{00000000-0005-0000-0000-00000B990000}"/>
    <cellStyle name="Heading 2 2 3 2 2" xfId="39180" xr:uid="{00000000-0005-0000-0000-00000C990000}"/>
    <cellStyle name="Heading 2 2 3 3" xfId="39181" xr:uid="{00000000-0005-0000-0000-00000D990000}"/>
    <cellStyle name="Heading 2 2 3 4" xfId="39182" xr:uid="{00000000-0005-0000-0000-00000E990000}"/>
    <cellStyle name="Heading 2 2 4" xfId="39183" xr:uid="{00000000-0005-0000-0000-00000F990000}"/>
    <cellStyle name="Heading 2 2 4 2" xfId="39184" xr:uid="{00000000-0005-0000-0000-000010990000}"/>
    <cellStyle name="Heading 2 2 4 2 2" xfId="39185" xr:uid="{00000000-0005-0000-0000-000011990000}"/>
    <cellStyle name="Heading 2 2 4 3" xfId="39186" xr:uid="{00000000-0005-0000-0000-000012990000}"/>
    <cellStyle name="Heading 2 2 4 4" xfId="39187" xr:uid="{00000000-0005-0000-0000-000013990000}"/>
    <cellStyle name="Heading 2 2 5" xfId="39188" xr:uid="{00000000-0005-0000-0000-000014990000}"/>
    <cellStyle name="Heading 2 2 5 2" xfId="39189" xr:uid="{00000000-0005-0000-0000-000015990000}"/>
    <cellStyle name="Heading 2 2 5 2 2" xfId="39190" xr:uid="{00000000-0005-0000-0000-000016990000}"/>
    <cellStyle name="Heading 2 2 5 3" xfId="39191" xr:uid="{00000000-0005-0000-0000-000017990000}"/>
    <cellStyle name="Heading 2 2 6" xfId="39192" xr:uid="{00000000-0005-0000-0000-000018990000}"/>
    <cellStyle name="Heading 2 2 6 2" xfId="39193" xr:uid="{00000000-0005-0000-0000-000019990000}"/>
    <cellStyle name="Heading 2 2 6 2 2" xfId="39194" xr:uid="{00000000-0005-0000-0000-00001A990000}"/>
    <cellStyle name="Heading 2 2 6 3" xfId="39195" xr:uid="{00000000-0005-0000-0000-00001B990000}"/>
    <cellStyle name="Heading 2 2 7" xfId="39196" xr:uid="{00000000-0005-0000-0000-00001C990000}"/>
    <cellStyle name="Heading 2 2 7 2" xfId="39197" xr:uid="{00000000-0005-0000-0000-00001D990000}"/>
    <cellStyle name="Heading 2 2 7 2 2" xfId="39198" xr:uid="{00000000-0005-0000-0000-00001E990000}"/>
    <cellStyle name="Heading 2 2 7 3" xfId="39199" xr:uid="{00000000-0005-0000-0000-00001F990000}"/>
    <cellStyle name="Heading 2 2 8" xfId="39200" xr:uid="{00000000-0005-0000-0000-000020990000}"/>
    <cellStyle name="Heading 2 2 8 2" xfId="39201" xr:uid="{00000000-0005-0000-0000-000021990000}"/>
    <cellStyle name="Heading 2 2 8 2 2" xfId="39202" xr:uid="{00000000-0005-0000-0000-000022990000}"/>
    <cellStyle name="Heading 2 2 8 3" xfId="39203" xr:uid="{00000000-0005-0000-0000-000023990000}"/>
    <cellStyle name="Heading 2 2 9" xfId="39204" xr:uid="{00000000-0005-0000-0000-000024990000}"/>
    <cellStyle name="Heading 2 2 9 2" xfId="39205" xr:uid="{00000000-0005-0000-0000-000025990000}"/>
    <cellStyle name="Heading 2 2 9 2 2" xfId="39206" xr:uid="{00000000-0005-0000-0000-000026990000}"/>
    <cellStyle name="Heading 2 2 9 3" xfId="39207" xr:uid="{00000000-0005-0000-0000-000027990000}"/>
    <cellStyle name="Heading 2 2_Labour" xfId="39208" xr:uid="{00000000-0005-0000-0000-000028990000}"/>
    <cellStyle name="Heading 2 20" xfId="39209" xr:uid="{00000000-0005-0000-0000-000029990000}"/>
    <cellStyle name="Heading 2 20 2" xfId="39210" xr:uid="{00000000-0005-0000-0000-00002A990000}"/>
    <cellStyle name="Heading 2 20 2 2" xfId="39211" xr:uid="{00000000-0005-0000-0000-00002B990000}"/>
    <cellStyle name="Heading 2 20 3" xfId="39212" xr:uid="{00000000-0005-0000-0000-00002C990000}"/>
    <cellStyle name="Heading 2 20 3 2" xfId="39213" xr:uid="{00000000-0005-0000-0000-00002D990000}"/>
    <cellStyle name="Heading 2 20 4" xfId="39214" xr:uid="{00000000-0005-0000-0000-00002E990000}"/>
    <cellStyle name="Heading 2 20 5" xfId="39215" xr:uid="{00000000-0005-0000-0000-00002F990000}"/>
    <cellStyle name="Heading 2 21" xfId="39216" xr:uid="{00000000-0005-0000-0000-000030990000}"/>
    <cellStyle name="Heading 2 21 2" xfId="39217" xr:uid="{00000000-0005-0000-0000-000031990000}"/>
    <cellStyle name="Heading 2 21 2 2" xfId="39218" xr:uid="{00000000-0005-0000-0000-000032990000}"/>
    <cellStyle name="Heading 2 21 3" xfId="39219" xr:uid="{00000000-0005-0000-0000-000033990000}"/>
    <cellStyle name="Heading 2 21 3 2" xfId="39220" xr:uid="{00000000-0005-0000-0000-000034990000}"/>
    <cellStyle name="Heading 2 21 4" xfId="39221" xr:uid="{00000000-0005-0000-0000-000035990000}"/>
    <cellStyle name="Heading 2 21 5" xfId="39222" xr:uid="{00000000-0005-0000-0000-000036990000}"/>
    <cellStyle name="Heading 2 22" xfId="39223" xr:uid="{00000000-0005-0000-0000-000037990000}"/>
    <cellStyle name="Heading 2 22 2" xfId="39224" xr:uid="{00000000-0005-0000-0000-000038990000}"/>
    <cellStyle name="Heading 2 22 2 2" xfId="39225" xr:uid="{00000000-0005-0000-0000-000039990000}"/>
    <cellStyle name="Heading 2 22 3" xfId="39226" xr:uid="{00000000-0005-0000-0000-00003A990000}"/>
    <cellStyle name="Heading 2 22 3 2" xfId="39227" xr:uid="{00000000-0005-0000-0000-00003B990000}"/>
    <cellStyle name="Heading 2 22 4" xfId="39228" xr:uid="{00000000-0005-0000-0000-00003C990000}"/>
    <cellStyle name="Heading 2 22 5" xfId="39229" xr:uid="{00000000-0005-0000-0000-00003D990000}"/>
    <cellStyle name="Heading 2 23" xfId="39230" xr:uid="{00000000-0005-0000-0000-00003E990000}"/>
    <cellStyle name="Heading 2 23 2" xfId="39231" xr:uid="{00000000-0005-0000-0000-00003F990000}"/>
    <cellStyle name="Heading 2 23 2 2" xfId="39232" xr:uid="{00000000-0005-0000-0000-000040990000}"/>
    <cellStyle name="Heading 2 23 3" xfId="39233" xr:uid="{00000000-0005-0000-0000-000041990000}"/>
    <cellStyle name="Heading 2 24" xfId="39234" xr:uid="{00000000-0005-0000-0000-000042990000}"/>
    <cellStyle name="Heading 2 24 2" xfId="39235" xr:uid="{00000000-0005-0000-0000-000043990000}"/>
    <cellStyle name="Heading 2 24 2 2" xfId="39236" xr:uid="{00000000-0005-0000-0000-000044990000}"/>
    <cellStyle name="Heading 2 24 3" xfId="39237" xr:uid="{00000000-0005-0000-0000-000045990000}"/>
    <cellStyle name="Heading 2 25" xfId="39238" xr:uid="{00000000-0005-0000-0000-000046990000}"/>
    <cellStyle name="Heading 2 25 2" xfId="39239" xr:uid="{00000000-0005-0000-0000-000047990000}"/>
    <cellStyle name="Heading 2 25 2 2" xfId="39240" xr:uid="{00000000-0005-0000-0000-000048990000}"/>
    <cellStyle name="Heading 2 25 3" xfId="39241" xr:uid="{00000000-0005-0000-0000-000049990000}"/>
    <cellStyle name="Heading 2 26" xfId="39242" xr:uid="{00000000-0005-0000-0000-00004A990000}"/>
    <cellStyle name="Heading 2 26 2" xfId="39243" xr:uid="{00000000-0005-0000-0000-00004B990000}"/>
    <cellStyle name="Heading 2 26 2 2" xfId="39244" xr:uid="{00000000-0005-0000-0000-00004C990000}"/>
    <cellStyle name="Heading 2 26 3" xfId="39245" xr:uid="{00000000-0005-0000-0000-00004D990000}"/>
    <cellStyle name="Heading 2 27" xfId="39246" xr:uid="{00000000-0005-0000-0000-00004E990000}"/>
    <cellStyle name="Heading 2 27 2" xfId="39247" xr:uid="{00000000-0005-0000-0000-00004F990000}"/>
    <cellStyle name="Heading 2 27 2 2" xfId="39248" xr:uid="{00000000-0005-0000-0000-000050990000}"/>
    <cellStyle name="Heading 2 27 3" xfId="39249" xr:uid="{00000000-0005-0000-0000-000051990000}"/>
    <cellStyle name="Heading 2 28" xfId="39250" xr:uid="{00000000-0005-0000-0000-000052990000}"/>
    <cellStyle name="Heading 2 28 2" xfId="39251" xr:uid="{00000000-0005-0000-0000-000053990000}"/>
    <cellStyle name="Heading 2 28 2 2" xfId="39252" xr:uid="{00000000-0005-0000-0000-000054990000}"/>
    <cellStyle name="Heading 2 28 3" xfId="39253" xr:uid="{00000000-0005-0000-0000-000055990000}"/>
    <cellStyle name="Heading 2 29" xfId="39254" xr:uid="{00000000-0005-0000-0000-000056990000}"/>
    <cellStyle name="Heading 2 29 2" xfId="39255" xr:uid="{00000000-0005-0000-0000-000057990000}"/>
    <cellStyle name="Heading 2 29 2 2" xfId="39256" xr:uid="{00000000-0005-0000-0000-000058990000}"/>
    <cellStyle name="Heading 2 29 3" xfId="39257" xr:uid="{00000000-0005-0000-0000-000059990000}"/>
    <cellStyle name="Heading 2 3" xfId="39258" xr:uid="{00000000-0005-0000-0000-00005A990000}"/>
    <cellStyle name="Heading 2 3 2" xfId="39259" xr:uid="{00000000-0005-0000-0000-00005B990000}"/>
    <cellStyle name="Heading 2 3 2 2" xfId="39260" xr:uid="{00000000-0005-0000-0000-00005C990000}"/>
    <cellStyle name="Heading 2 3 2 3" xfId="39261" xr:uid="{00000000-0005-0000-0000-00005D990000}"/>
    <cellStyle name="Heading 2 3 2 4" xfId="39262" xr:uid="{00000000-0005-0000-0000-00005E990000}"/>
    <cellStyle name="Heading 2 3 3" xfId="39263" xr:uid="{00000000-0005-0000-0000-00005F990000}"/>
    <cellStyle name="Heading 2 3 3 2" xfId="39264" xr:uid="{00000000-0005-0000-0000-000060990000}"/>
    <cellStyle name="Heading 2 3 4" xfId="39265" xr:uid="{00000000-0005-0000-0000-000061990000}"/>
    <cellStyle name="Heading 2 3 4 2" xfId="39266" xr:uid="{00000000-0005-0000-0000-000062990000}"/>
    <cellStyle name="Heading 2 3 5" xfId="39267" xr:uid="{00000000-0005-0000-0000-000063990000}"/>
    <cellStyle name="Heading 2 30" xfId="39268" xr:uid="{00000000-0005-0000-0000-000064990000}"/>
    <cellStyle name="Heading 2 30 2" xfId="39269" xr:uid="{00000000-0005-0000-0000-000065990000}"/>
    <cellStyle name="Heading 2 30 2 2" xfId="39270" xr:uid="{00000000-0005-0000-0000-000066990000}"/>
    <cellStyle name="Heading 2 30 3" xfId="39271" xr:uid="{00000000-0005-0000-0000-000067990000}"/>
    <cellStyle name="Heading 2 31" xfId="39272" xr:uid="{00000000-0005-0000-0000-000068990000}"/>
    <cellStyle name="Heading 2 31 2" xfId="39273" xr:uid="{00000000-0005-0000-0000-000069990000}"/>
    <cellStyle name="Heading 2 31 2 2" xfId="39274" xr:uid="{00000000-0005-0000-0000-00006A990000}"/>
    <cellStyle name="Heading 2 31 3" xfId="39275" xr:uid="{00000000-0005-0000-0000-00006B990000}"/>
    <cellStyle name="Heading 2 32" xfId="39276" xr:uid="{00000000-0005-0000-0000-00006C990000}"/>
    <cellStyle name="Heading 2 32 2" xfId="39277" xr:uid="{00000000-0005-0000-0000-00006D990000}"/>
    <cellStyle name="Heading 2 32 2 2" xfId="39278" xr:uid="{00000000-0005-0000-0000-00006E990000}"/>
    <cellStyle name="Heading 2 32 3" xfId="39279" xr:uid="{00000000-0005-0000-0000-00006F990000}"/>
    <cellStyle name="Heading 2 33" xfId="39280" xr:uid="{00000000-0005-0000-0000-000070990000}"/>
    <cellStyle name="Heading 2 33 2" xfId="39281" xr:uid="{00000000-0005-0000-0000-000071990000}"/>
    <cellStyle name="Heading 2 33 2 2" xfId="39282" xr:uid="{00000000-0005-0000-0000-000072990000}"/>
    <cellStyle name="Heading 2 33 3" xfId="39283" xr:uid="{00000000-0005-0000-0000-000073990000}"/>
    <cellStyle name="Heading 2 34" xfId="39284" xr:uid="{00000000-0005-0000-0000-000074990000}"/>
    <cellStyle name="Heading 2 34 2" xfId="39285" xr:uid="{00000000-0005-0000-0000-000075990000}"/>
    <cellStyle name="Heading 2 35" xfId="39286" xr:uid="{00000000-0005-0000-0000-000076990000}"/>
    <cellStyle name="Heading 2 35 2" xfId="39287" xr:uid="{00000000-0005-0000-0000-000077990000}"/>
    <cellStyle name="Heading 2 36" xfId="39288" xr:uid="{00000000-0005-0000-0000-000078990000}"/>
    <cellStyle name="Heading 2 4" xfId="39289" xr:uid="{00000000-0005-0000-0000-000079990000}"/>
    <cellStyle name="Heading 2 4 2" xfId="39290" xr:uid="{00000000-0005-0000-0000-00007A990000}"/>
    <cellStyle name="Heading 2 4 2 2" xfId="39291" xr:uid="{00000000-0005-0000-0000-00007B990000}"/>
    <cellStyle name="Heading 2 4 3" xfId="39292" xr:uid="{00000000-0005-0000-0000-00007C990000}"/>
    <cellStyle name="Heading 2 4 3 2" xfId="39293" xr:uid="{00000000-0005-0000-0000-00007D990000}"/>
    <cellStyle name="Heading 2 4 4" xfId="39294" xr:uid="{00000000-0005-0000-0000-00007E990000}"/>
    <cellStyle name="Heading 2 4 5" xfId="39295" xr:uid="{00000000-0005-0000-0000-00007F990000}"/>
    <cellStyle name="Heading 2 4_Proj" xfId="39296" xr:uid="{00000000-0005-0000-0000-000080990000}"/>
    <cellStyle name="Heading 2 5" xfId="39297" xr:uid="{00000000-0005-0000-0000-000081990000}"/>
    <cellStyle name="Heading 2 5 2" xfId="39298" xr:uid="{00000000-0005-0000-0000-000082990000}"/>
    <cellStyle name="Heading 2 5 2 2" xfId="39299" xr:uid="{00000000-0005-0000-0000-000083990000}"/>
    <cellStyle name="Heading 2 5 3" xfId="39300" xr:uid="{00000000-0005-0000-0000-000084990000}"/>
    <cellStyle name="Heading 2 5 3 2" xfId="39301" xr:uid="{00000000-0005-0000-0000-000085990000}"/>
    <cellStyle name="Heading 2 5 4" xfId="39302" xr:uid="{00000000-0005-0000-0000-000086990000}"/>
    <cellStyle name="Heading 2 5 5" xfId="39303" xr:uid="{00000000-0005-0000-0000-000087990000}"/>
    <cellStyle name="Heading 2 6" xfId="39304" xr:uid="{00000000-0005-0000-0000-000088990000}"/>
    <cellStyle name="Heading 2 6 2" xfId="39305" xr:uid="{00000000-0005-0000-0000-000089990000}"/>
    <cellStyle name="Heading 2 6 2 2" xfId="39306" xr:uid="{00000000-0005-0000-0000-00008A990000}"/>
    <cellStyle name="Heading 2 6 3" xfId="39307" xr:uid="{00000000-0005-0000-0000-00008B990000}"/>
    <cellStyle name="Heading 2 6 3 2" xfId="39308" xr:uid="{00000000-0005-0000-0000-00008C990000}"/>
    <cellStyle name="Heading 2 6 4" xfId="39309" xr:uid="{00000000-0005-0000-0000-00008D990000}"/>
    <cellStyle name="Heading 2 6 5" xfId="39310" xr:uid="{00000000-0005-0000-0000-00008E990000}"/>
    <cellStyle name="Heading 2 7" xfId="39311" xr:uid="{00000000-0005-0000-0000-00008F990000}"/>
    <cellStyle name="Heading 2 7 2" xfId="39312" xr:uid="{00000000-0005-0000-0000-000090990000}"/>
    <cellStyle name="Heading 2 7 2 2" xfId="39313" xr:uid="{00000000-0005-0000-0000-000091990000}"/>
    <cellStyle name="Heading 2 7 3" xfId="39314" xr:uid="{00000000-0005-0000-0000-000092990000}"/>
    <cellStyle name="Heading 2 7 3 2" xfId="39315" xr:uid="{00000000-0005-0000-0000-000093990000}"/>
    <cellStyle name="Heading 2 7 4" xfId="39316" xr:uid="{00000000-0005-0000-0000-000094990000}"/>
    <cellStyle name="Heading 2 7 5" xfId="39317" xr:uid="{00000000-0005-0000-0000-000095990000}"/>
    <cellStyle name="Heading 2 8" xfId="39318" xr:uid="{00000000-0005-0000-0000-000096990000}"/>
    <cellStyle name="Heading 2 8 2" xfId="39319" xr:uid="{00000000-0005-0000-0000-000097990000}"/>
    <cellStyle name="Heading 2 8 2 2" xfId="39320" xr:uid="{00000000-0005-0000-0000-000098990000}"/>
    <cellStyle name="Heading 2 8 3" xfId="39321" xr:uid="{00000000-0005-0000-0000-000099990000}"/>
    <cellStyle name="Heading 2 8 3 2" xfId="39322" xr:uid="{00000000-0005-0000-0000-00009A990000}"/>
    <cellStyle name="Heading 2 8 4" xfId="39323" xr:uid="{00000000-0005-0000-0000-00009B990000}"/>
    <cellStyle name="Heading 2 8 5" xfId="39324" xr:uid="{00000000-0005-0000-0000-00009C990000}"/>
    <cellStyle name="Heading 2 9" xfId="39325" xr:uid="{00000000-0005-0000-0000-00009D990000}"/>
    <cellStyle name="Heading 2 9 2" xfId="39326" xr:uid="{00000000-0005-0000-0000-00009E990000}"/>
    <cellStyle name="Heading 2 9 2 2" xfId="39327" xr:uid="{00000000-0005-0000-0000-00009F990000}"/>
    <cellStyle name="Heading 2 9 3" xfId="39328" xr:uid="{00000000-0005-0000-0000-0000A0990000}"/>
    <cellStyle name="Heading 2 9 3 2" xfId="39329" xr:uid="{00000000-0005-0000-0000-0000A1990000}"/>
    <cellStyle name="Heading 2 9 4" xfId="39330" xr:uid="{00000000-0005-0000-0000-0000A2990000}"/>
    <cellStyle name="Heading 2 9 5" xfId="39331" xr:uid="{00000000-0005-0000-0000-0000A3990000}"/>
    <cellStyle name="Heading 3 10" xfId="39332" xr:uid="{00000000-0005-0000-0000-0000A4990000}"/>
    <cellStyle name="Heading 3 10 2" xfId="39333" xr:uid="{00000000-0005-0000-0000-0000A5990000}"/>
    <cellStyle name="Heading 3 10 3" xfId="39334" xr:uid="{00000000-0005-0000-0000-0000A6990000}"/>
    <cellStyle name="Heading 3 10 4" xfId="39335" xr:uid="{00000000-0005-0000-0000-0000A7990000}"/>
    <cellStyle name="Heading 3 10 5" xfId="39336" xr:uid="{00000000-0005-0000-0000-0000A8990000}"/>
    <cellStyle name="Heading 3 11" xfId="39337" xr:uid="{00000000-0005-0000-0000-0000A9990000}"/>
    <cellStyle name="Heading 3 11 2" xfId="39338" xr:uid="{00000000-0005-0000-0000-0000AA990000}"/>
    <cellStyle name="Heading 3 12" xfId="39339" xr:uid="{00000000-0005-0000-0000-0000AB990000}"/>
    <cellStyle name="Heading 3 12 2" xfId="39340" xr:uid="{00000000-0005-0000-0000-0000AC990000}"/>
    <cellStyle name="Heading 3 13" xfId="39341" xr:uid="{00000000-0005-0000-0000-0000AD990000}"/>
    <cellStyle name="Heading 3 13 2" xfId="39342" xr:uid="{00000000-0005-0000-0000-0000AE990000}"/>
    <cellStyle name="Heading 3 14" xfId="39343" xr:uid="{00000000-0005-0000-0000-0000AF990000}"/>
    <cellStyle name="Heading 3 14 2" xfId="39344" xr:uid="{00000000-0005-0000-0000-0000B0990000}"/>
    <cellStyle name="Heading 3 15" xfId="39345" xr:uid="{00000000-0005-0000-0000-0000B1990000}"/>
    <cellStyle name="Heading 3 15 2" xfId="39346" xr:uid="{00000000-0005-0000-0000-0000B2990000}"/>
    <cellStyle name="Heading 3 16" xfId="39347" xr:uid="{00000000-0005-0000-0000-0000B3990000}"/>
    <cellStyle name="Heading 3 16 2" xfId="39348" xr:uid="{00000000-0005-0000-0000-0000B4990000}"/>
    <cellStyle name="Heading 3 17" xfId="39349" xr:uid="{00000000-0005-0000-0000-0000B5990000}"/>
    <cellStyle name="Heading 3 17 2" xfId="39350" xr:uid="{00000000-0005-0000-0000-0000B6990000}"/>
    <cellStyle name="Heading 3 18" xfId="39351" xr:uid="{00000000-0005-0000-0000-0000B7990000}"/>
    <cellStyle name="Heading 3 18 2" xfId="39352" xr:uid="{00000000-0005-0000-0000-0000B8990000}"/>
    <cellStyle name="Heading 3 19" xfId="39353" xr:uid="{00000000-0005-0000-0000-0000B9990000}"/>
    <cellStyle name="Heading 3 19 2" xfId="39354" xr:uid="{00000000-0005-0000-0000-0000BA990000}"/>
    <cellStyle name="Heading 3 2" xfId="39355" xr:uid="{00000000-0005-0000-0000-0000BB990000}"/>
    <cellStyle name="Heading 3 2 10" xfId="39356" xr:uid="{00000000-0005-0000-0000-0000BC990000}"/>
    <cellStyle name="Heading 3 2 10 2" xfId="39357" xr:uid="{00000000-0005-0000-0000-0000BD990000}"/>
    <cellStyle name="Heading 3 2 11" xfId="39358" xr:uid="{00000000-0005-0000-0000-0000BE990000}"/>
    <cellStyle name="Heading 3 2 11 2" xfId="39359" xr:uid="{00000000-0005-0000-0000-0000BF990000}"/>
    <cellStyle name="Heading 3 2 12" xfId="39360" xr:uid="{00000000-0005-0000-0000-0000C0990000}"/>
    <cellStyle name="Heading 3 2 12 2" xfId="39361" xr:uid="{00000000-0005-0000-0000-0000C1990000}"/>
    <cellStyle name="Heading 3 2 13" xfId="39362" xr:uid="{00000000-0005-0000-0000-0000C2990000}"/>
    <cellStyle name="Heading 3 2 13 2" xfId="39363" xr:uid="{00000000-0005-0000-0000-0000C3990000}"/>
    <cellStyle name="Heading 3 2 14" xfId="39364" xr:uid="{00000000-0005-0000-0000-0000C4990000}"/>
    <cellStyle name="Heading 3 2 14 2" xfId="39365" xr:uid="{00000000-0005-0000-0000-0000C5990000}"/>
    <cellStyle name="Heading 3 2 15" xfId="39366" xr:uid="{00000000-0005-0000-0000-0000C6990000}"/>
    <cellStyle name="Heading 3 2 15 2" xfId="39367" xr:uid="{00000000-0005-0000-0000-0000C7990000}"/>
    <cellStyle name="Heading 3 2 16" xfId="39368" xr:uid="{00000000-0005-0000-0000-0000C8990000}"/>
    <cellStyle name="Heading 3 2 17" xfId="39369" xr:uid="{00000000-0005-0000-0000-0000C9990000}"/>
    <cellStyle name="Heading 3 2 18" xfId="39370" xr:uid="{00000000-0005-0000-0000-0000CA990000}"/>
    <cellStyle name="Heading 3 2 19" xfId="39371" xr:uid="{00000000-0005-0000-0000-0000CB990000}"/>
    <cellStyle name="Heading 3 2 2" xfId="39372" xr:uid="{00000000-0005-0000-0000-0000CC990000}"/>
    <cellStyle name="Heading 3 2 2 2" xfId="39373" xr:uid="{00000000-0005-0000-0000-0000CD990000}"/>
    <cellStyle name="Heading 3 2 2 2 2" xfId="39374" xr:uid="{00000000-0005-0000-0000-0000CE990000}"/>
    <cellStyle name="Heading 3 2 2 3" xfId="39375" xr:uid="{00000000-0005-0000-0000-0000CF990000}"/>
    <cellStyle name="Heading 3 2 2 4" xfId="39376" xr:uid="{00000000-0005-0000-0000-0000D0990000}"/>
    <cellStyle name="Heading 3 2 3" xfId="39377" xr:uid="{00000000-0005-0000-0000-0000D1990000}"/>
    <cellStyle name="Heading 3 2 3 2" xfId="39378" xr:uid="{00000000-0005-0000-0000-0000D2990000}"/>
    <cellStyle name="Heading 3 2 3 2 2" xfId="39379" xr:uid="{00000000-0005-0000-0000-0000D3990000}"/>
    <cellStyle name="Heading 3 2 3 3" xfId="39380" xr:uid="{00000000-0005-0000-0000-0000D4990000}"/>
    <cellStyle name="Heading 3 2 4" xfId="39381" xr:uid="{00000000-0005-0000-0000-0000D5990000}"/>
    <cellStyle name="Heading 3 2 4 2" xfId="39382" xr:uid="{00000000-0005-0000-0000-0000D6990000}"/>
    <cellStyle name="Heading 3 2 4 2 2" xfId="39383" xr:uid="{00000000-0005-0000-0000-0000D7990000}"/>
    <cellStyle name="Heading 3 2 5" xfId="39384" xr:uid="{00000000-0005-0000-0000-0000D8990000}"/>
    <cellStyle name="Heading 3 2 5 2" xfId="39385" xr:uid="{00000000-0005-0000-0000-0000D9990000}"/>
    <cellStyle name="Heading 3 2 6" xfId="39386" xr:uid="{00000000-0005-0000-0000-0000DA990000}"/>
    <cellStyle name="Heading 3 2 6 2" xfId="39387" xr:uid="{00000000-0005-0000-0000-0000DB990000}"/>
    <cellStyle name="Heading 3 2 7" xfId="39388" xr:uid="{00000000-0005-0000-0000-0000DC990000}"/>
    <cellStyle name="Heading 3 2 7 2" xfId="39389" xr:uid="{00000000-0005-0000-0000-0000DD990000}"/>
    <cellStyle name="Heading 3 2 8" xfId="39390" xr:uid="{00000000-0005-0000-0000-0000DE990000}"/>
    <cellStyle name="Heading 3 2 8 2" xfId="39391" xr:uid="{00000000-0005-0000-0000-0000DF990000}"/>
    <cellStyle name="Heading 3 2 9" xfId="39392" xr:uid="{00000000-0005-0000-0000-0000E0990000}"/>
    <cellStyle name="Heading 3 2 9 2" xfId="39393" xr:uid="{00000000-0005-0000-0000-0000E1990000}"/>
    <cellStyle name="Heading 3 2_Labour" xfId="39394" xr:uid="{00000000-0005-0000-0000-0000E2990000}"/>
    <cellStyle name="Heading 3 20" xfId="39395" xr:uid="{00000000-0005-0000-0000-0000E3990000}"/>
    <cellStyle name="Heading 3 20 2" xfId="39396" xr:uid="{00000000-0005-0000-0000-0000E4990000}"/>
    <cellStyle name="Heading 3 21" xfId="39397" xr:uid="{00000000-0005-0000-0000-0000E5990000}"/>
    <cellStyle name="Heading 3 21 2" xfId="39398" xr:uid="{00000000-0005-0000-0000-0000E6990000}"/>
    <cellStyle name="Heading 3 22" xfId="39399" xr:uid="{00000000-0005-0000-0000-0000E7990000}"/>
    <cellStyle name="Heading 3 22 2" xfId="39400" xr:uid="{00000000-0005-0000-0000-0000E8990000}"/>
    <cellStyle name="Heading 3 23" xfId="39401" xr:uid="{00000000-0005-0000-0000-0000E9990000}"/>
    <cellStyle name="Heading 3 24" xfId="39402" xr:uid="{00000000-0005-0000-0000-0000EA990000}"/>
    <cellStyle name="Heading 3 25" xfId="39403" xr:uid="{00000000-0005-0000-0000-0000EB990000}"/>
    <cellStyle name="Heading 3 26" xfId="39404" xr:uid="{00000000-0005-0000-0000-0000EC990000}"/>
    <cellStyle name="Heading 3 27" xfId="39405" xr:uid="{00000000-0005-0000-0000-0000ED990000}"/>
    <cellStyle name="Heading 3 28" xfId="39406" xr:uid="{00000000-0005-0000-0000-0000EE990000}"/>
    <cellStyle name="Heading 3 29" xfId="39407" xr:uid="{00000000-0005-0000-0000-0000EF990000}"/>
    <cellStyle name="Heading 3 3" xfId="39408" xr:uid="{00000000-0005-0000-0000-0000F0990000}"/>
    <cellStyle name="Heading 3 3 2" xfId="39409" xr:uid="{00000000-0005-0000-0000-0000F1990000}"/>
    <cellStyle name="Heading 3 3 2 2" xfId="39410" xr:uid="{00000000-0005-0000-0000-0000F2990000}"/>
    <cellStyle name="Heading 3 3 3" xfId="39411" xr:uid="{00000000-0005-0000-0000-0000F3990000}"/>
    <cellStyle name="Heading 3 3 4" xfId="39412" xr:uid="{00000000-0005-0000-0000-0000F4990000}"/>
    <cellStyle name="Heading 3 3 5" xfId="39413" xr:uid="{00000000-0005-0000-0000-0000F5990000}"/>
    <cellStyle name="Heading 3 30" xfId="39414" xr:uid="{00000000-0005-0000-0000-0000F6990000}"/>
    <cellStyle name="Heading 3 31" xfId="39415" xr:uid="{00000000-0005-0000-0000-0000F7990000}"/>
    <cellStyle name="Heading 3 32" xfId="39416" xr:uid="{00000000-0005-0000-0000-0000F8990000}"/>
    <cellStyle name="Heading 3 33" xfId="39417" xr:uid="{00000000-0005-0000-0000-0000F9990000}"/>
    <cellStyle name="Heading 3 34" xfId="39418" xr:uid="{00000000-0005-0000-0000-0000FA990000}"/>
    <cellStyle name="Heading 3 4" xfId="39419" xr:uid="{00000000-0005-0000-0000-0000FB990000}"/>
    <cellStyle name="Heading 3 4 2" xfId="39420" xr:uid="{00000000-0005-0000-0000-0000FC990000}"/>
    <cellStyle name="Heading 3 4 2 2" xfId="39421" xr:uid="{00000000-0005-0000-0000-0000FD990000}"/>
    <cellStyle name="Heading 3 4 3" xfId="39422" xr:uid="{00000000-0005-0000-0000-0000FE990000}"/>
    <cellStyle name="Heading 3 4 4" xfId="39423" xr:uid="{00000000-0005-0000-0000-0000FF990000}"/>
    <cellStyle name="Heading 3 4 5" xfId="39424" xr:uid="{00000000-0005-0000-0000-0000009A0000}"/>
    <cellStyle name="Heading 3 4_Proj" xfId="39425" xr:uid="{00000000-0005-0000-0000-0000019A0000}"/>
    <cellStyle name="Heading 3 5" xfId="39426" xr:uid="{00000000-0005-0000-0000-0000029A0000}"/>
    <cellStyle name="Heading 3 5 2" xfId="39427" xr:uid="{00000000-0005-0000-0000-0000039A0000}"/>
    <cellStyle name="Heading 3 5 2 2" xfId="39428" xr:uid="{00000000-0005-0000-0000-0000049A0000}"/>
    <cellStyle name="Heading 3 5 3" xfId="39429" xr:uid="{00000000-0005-0000-0000-0000059A0000}"/>
    <cellStyle name="Heading 3 5 4" xfId="39430" xr:uid="{00000000-0005-0000-0000-0000069A0000}"/>
    <cellStyle name="Heading 3 5 5" xfId="39431" xr:uid="{00000000-0005-0000-0000-0000079A0000}"/>
    <cellStyle name="Heading 3 6" xfId="39432" xr:uid="{00000000-0005-0000-0000-0000089A0000}"/>
    <cellStyle name="Heading 3 6 2" xfId="39433" xr:uid="{00000000-0005-0000-0000-0000099A0000}"/>
    <cellStyle name="Heading 3 6 3" xfId="39434" xr:uid="{00000000-0005-0000-0000-00000A9A0000}"/>
    <cellStyle name="Heading 3 6 4" xfId="39435" xr:uid="{00000000-0005-0000-0000-00000B9A0000}"/>
    <cellStyle name="Heading 3 6 5" xfId="39436" xr:uid="{00000000-0005-0000-0000-00000C9A0000}"/>
    <cellStyle name="Heading 3 7" xfId="39437" xr:uid="{00000000-0005-0000-0000-00000D9A0000}"/>
    <cellStyle name="Heading 3 7 2" xfId="39438" xr:uid="{00000000-0005-0000-0000-00000E9A0000}"/>
    <cellStyle name="Heading 3 7 3" xfId="39439" xr:uid="{00000000-0005-0000-0000-00000F9A0000}"/>
    <cellStyle name="Heading 3 7 4" xfId="39440" xr:uid="{00000000-0005-0000-0000-0000109A0000}"/>
    <cellStyle name="Heading 3 7 5" xfId="39441" xr:uid="{00000000-0005-0000-0000-0000119A0000}"/>
    <cellStyle name="Heading 3 8" xfId="39442" xr:uid="{00000000-0005-0000-0000-0000129A0000}"/>
    <cellStyle name="Heading 3 8 2" xfId="39443" xr:uid="{00000000-0005-0000-0000-0000139A0000}"/>
    <cellStyle name="Heading 3 8 3" xfId="39444" xr:uid="{00000000-0005-0000-0000-0000149A0000}"/>
    <cellStyle name="Heading 3 8 4" xfId="39445" xr:uid="{00000000-0005-0000-0000-0000159A0000}"/>
    <cellStyle name="Heading 3 8 5" xfId="39446" xr:uid="{00000000-0005-0000-0000-0000169A0000}"/>
    <cellStyle name="Heading 3 9" xfId="39447" xr:uid="{00000000-0005-0000-0000-0000179A0000}"/>
    <cellStyle name="Heading 3 9 2" xfId="39448" xr:uid="{00000000-0005-0000-0000-0000189A0000}"/>
    <cellStyle name="Heading 3 9 3" xfId="39449" xr:uid="{00000000-0005-0000-0000-0000199A0000}"/>
    <cellStyle name="Heading 3 9 4" xfId="39450" xr:uid="{00000000-0005-0000-0000-00001A9A0000}"/>
    <cellStyle name="Heading 3 9 5" xfId="39451" xr:uid="{00000000-0005-0000-0000-00001B9A0000}"/>
    <cellStyle name="Heading 4 10" xfId="39452" xr:uid="{00000000-0005-0000-0000-00001C9A0000}"/>
    <cellStyle name="Heading 4 10 2" xfId="39453" xr:uid="{00000000-0005-0000-0000-00001D9A0000}"/>
    <cellStyle name="Heading 4 10 3" xfId="39454" xr:uid="{00000000-0005-0000-0000-00001E9A0000}"/>
    <cellStyle name="Heading 4 10 4" xfId="39455" xr:uid="{00000000-0005-0000-0000-00001F9A0000}"/>
    <cellStyle name="Heading 4 10 5" xfId="39456" xr:uid="{00000000-0005-0000-0000-0000209A0000}"/>
    <cellStyle name="Heading 4 11" xfId="39457" xr:uid="{00000000-0005-0000-0000-0000219A0000}"/>
    <cellStyle name="Heading 4 11 2" xfId="39458" xr:uid="{00000000-0005-0000-0000-0000229A0000}"/>
    <cellStyle name="Heading 4 12" xfId="39459" xr:uid="{00000000-0005-0000-0000-0000239A0000}"/>
    <cellStyle name="Heading 4 12 2" xfId="39460" xr:uid="{00000000-0005-0000-0000-0000249A0000}"/>
    <cellStyle name="Heading 4 13" xfId="39461" xr:uid="{00000000-0005-0000-0000-0000259A0000}"/>
    <cellStyle name="Heading 4 13 2" xfId="39462" xr:uid="{00000000-0005-0000-0000-0000269A0000}"/>
    <cellStyle name="Heading 4 14" xfId="39463" xr:uid="{00000000-0005-0000-0000-0000279A0000}"/>
    <cellStyle name="Heading 4 14 2" xfId="39464" xr:uid="{00000000-0005-0000-0000-0000289A0000}"/>
    <cellStyle name="Heading 4 15" xfId="39465" xr:uid="{00000000-0005-0000-0000-0000299A0000}"/>
    <cellStyle name="Heading 4 15 2" xfId="39466" xr:uid="{00000000-0005-0000-0000-00002A9A0000}"/>
    <cellStyle name="Heading 4 16" xfId="39467" xr:uid="{00000000-0005-0000-0000-00002B9A0000}"/>
    <cellStyle name="Heading 4 16 2" xfId="39468" xr:uid="{00000000-0005-0000-0000-00002C9A0000}"/>
    <cellStyle name="Heading 4 17" xfId="39469" xr:uid="{00000000-0005-0000-0000-00002D9A0000}"/>
    <cellStyle name="Heading 4 17 2" xfId="39470" xr:uid="{00000000-0005-0000-0000-00002E9A0000}"/>
    <cellStyle name="Heading 4 18" xfId="39471" xr:uid="{00000000-0005-0000-0000-00002F9A0000}"/>
    <cellStyle name="Heading 4 18 2" xfId="39472" xr:uid="{00000000-0005-0000-0000-0000309A0000}"/>
    <cellStyle name="Heading 4 19" xfId="39473" xr:uid="{00000000-0005-0000-0000-0000319A0000}"/>
    <cellStyle name="Heading 4 19 2" xfId="39474" xr:uid="{00000000-0005-0000-0000-0000329A0000}"/>
    <cellStyle name="Heading 4 2" xfId="39475" xr:uid="{00000000-0005-0000-0000-0000339A0000}"/>
    <cellStyle name="Heading 4 2 10" xfId="39476" xr:uid="{00000000-0005-0000-0000-0000349A0000}"/>
    <cellStyle name="Heading 4 2 11" xfId="39477" xr:uid="{00000000-0005-0000-0000-0000359A0000}"/>
    <cellStyle name="Heading 4 2 12" xfId="39478" xr:uid="{00000000-0005-0000-0000-0000369A0000}"/>
    <cellStyle name="Heading 4 2 13" xfId="39479" xr:uid="{00000000-0005-0000-0000-0000379A0000}"/>
    <cellStyle name="Heading 4 2 14" xfId="39480" xr:uid="{00000000-0005-0000-0000-0000389A0000}"/>
    <cellStyle name="Heading 4 2 15" xfId="39481" xr:uid="{00000000-0005-0000-0000-0000399A0000}"/>
    <cellStyle name="Heading 4 2 16" xfId="39482" xr:uid="{00000000-0005-0000-0000-00003A9A0000}"/>
    <cellStyle name="Heading 4 2 17" xfId="39483" xr:uid="{00000000-0005-0000-0000-00003B9A0000}"/>
    <cellStyle name="Heading 4 2 18" xfId="39484" xr:uid="{00000000-0005-0000-0000-00003C9A0000}"/>
    <cellStyle name="Heading 4 2 19" xfId="39485" xr:uid="{00000000-0005-0000-0000-00003D9A0000}"/>
    <cellStyle name="Heading 4 2 2" xfId="39486" xr:uid="{00000000-0005-0000-0000-00003E9A0000}"/>
    <cellStyle name="Heading 4 2 2 2" xfId="39487" xr:uid="{00000000-0005-0000-0000-00003F9A0000}"/>
    <cellStyle name="Heading 4 2 3" xfId="39488" xr:uid="{00000000-0005-0000-0000-0000409A0000}"/>
    <cellStyle name="Heading 4 2 3 2" xfId="39489" xr:uid="{00000000-0005-0000-0000-0000419A0000}"/>
    <cellStyle name="Heading 4 2 4" xfId="39490" xr:uid="{00000000-0005-0000-0000-0000429A0000}"/>
    <cellStyle name="Heading 4 2 4 2" xfId="39491" xr:uid="{00000000-0005-0000-0000-0000439A0000}"/>
    <cellStyle name="Heading 4 2 5" xfId="39492" xr:uid="{00000000-0005-0000-0000-0000449A0000}"/>
    <cellStyle name="Heading 4 2 6" xfId="39493" xr:uid="{00000000-0005-0000-0000-0000459A0000}"/>
    <cellStyle name="Heading 4 2 7" xfId="39494" xr:uid="{00000000-0005-0000-0000-0000469A0000}"/>
    <cellStyle name="Heading 4 2 8" xfId="39495" xr:uid="{00000000-0005-0000-0000-0000479A0000}"/>
    <cellStyle name="Heading 4 2 9" xfId="39496" xr:uid="{00000000-0005-0000-0000-0000489A0000}"/>
    <cellStyle name="Heading 4 2_Labour" xfId="39497" xr:uid="{00000000-0005-0000-0000-0000499A0000}"/>
    <cellStyle name="Heading 4 20" xfId="39498" xr:uid="{00000000-0005-0000-0000-00004A9A0000}"/>
    <cellStyle name="Heading 4 20 2" xfId="39499" xr:uid="{00000000-0005-0000-0000-00004B9A0000}"/>
    <cellStyle name="Heading 4 21" xfId="39500" xr:uid="{00000000-0005-0000-0000-00004C9A0000}"/>
    <cellStyle name="Heading 4 21 2" xfId="39501" xr:uid="{00000000-0005-0000-0000-00004D9A0000}"/>
    <cellStyle name="Heading 4 22" xfId="39502" xr:uid="{00000000-0005-0000-0000-00004E9A0000}"/>
    <cellStyle name="Heading 4 22 2" xfId="39503" xr:uid="{00000000-0005-0000-0000-00004F9A0000}"/>
    <cellStyle name="Heading 4 23" xfId="39504" xr:uid="{00000000-0005-0000-0000-0000509A0000}"/>
    <cellStyle name="Heading 4 24" xfId="39505" xr:uid="{00000000-0005-0000-0000-0000519A0000}"/>
    <cellStyle name="Heading 4 25" xfId="39506" xr:uid="{00000000-0005-0000-0000-0000529A0000}"/>
    <cellStyle name="Heading 4 26" xfId="39507" xr:uid="{00000000-0005-0000-0000-0000539A0000}"/>
    <cellStyle name="Heading 4 27" xfId="39508" xr:uid="{00000000-0005-0000-0000-0000549A0000}"/>
    <cellStyle name="Heading 4 28" xfId="39509" xr:uid="{00000000-0005-0000-0000-0000559A0000}"/>
    <cellStyle name="Heading 4 29" xfId="39510" xr:uid="{00000000-0005-0000-0000-0000569A0000}"/>
    <cellStyle name="Heading 4 3" xfId="39511" xr:uid="{00000000-0005-0000-0000-0000579A0000}"/>
    <cellStyle name="Heading 4 3 2" xfId="39512" xr:uid="{00000000-0005-0000-0000-0000589A0000}"/>
    <cellStyle name="Heading 4 3 2 2" xfId="39513" xr:uid="{00000000-0005-0000-0000-0000599A0000}"/>
    <cellStyle name="Heading 4 3 3" xfId="39514" xr:uid="{00000000-0005-0000-0000-00005A9A0000}"/>
    <cellStyle name="Heading 4 3 4" xfId="39515" xr:uid="{00000000-0005-0000-0000-00005B9A0000}"/>
    <cellStyle name="Heading 4 3 5" xfId="39516" xr:uid="{00000000-0005-0000-0000-00005C9A0000}"/>
    <cellStyle name="Heading 4 30" xfId="39517" xr:uid="{00000000-0005-0000-0000-00005D9A0000}"/>
    <cellStyle name="Heading 4 31" xfId="39518" xr:uid="{00000000-0005-0000-0000-00005E9A0000}"/>
    <cellStyle name="Heading 4 32" xfId="39519" xr:uid="{00000000-0005-0000-0000-00005F9A0000}"/>
    <cellStyle name="Heading 4 33" xfId="39520" xr:uid="{00000000-0005-0000-0000-0000609A0000}"/>
    <cellStyle name="Heading 4 34" xfId="39521" xr:uid="{00000000-0005-0000-0000-0000619A0000}"/>
    <cellStyle name="Heading 4 4" xfId="39522" xr:uid="{00000000-0005-0000-0000-0000629A0000}"/>
    <cellStyle name="Heading 4 4 2" xfId="39523" xr:uid="{00000000-0005-0000-0000-0000639A0000}"/>
    <cellStyle name="Heading 4 4 3" xfId="39524" xr:uid="{00000000-0005-0000-0000-0000649A0000}"/>
    <cellStyle name="Heading 4 4 4" xfId="39525" xr:uid="{00000000-0005-0000-0000-0000659A0000}"/>
    <cellStyle name="Heading 4 4 5" xfId="39526" xr:uid="{00000000-0005-0000-0000-0000669A0000}"/>
    <cellStyle name="Heading 4 4_Proj" xfId="39527" xr:uid="{00000000-0005-0000-0000-0000679A0000}"/>
    <cellStyle name="Heading 4 5" xfId="39528" xr:uid="{00000000-0005-0000-0000-0000689A0000}"/>
    <cellStyle name="Heading 4 5 2" xfId="39529" xr:uid="{00000000-0005-0000-0000-0000699A0000}"/>
    <cellStyle name="Heading 4 5 3" xfId="39530" xr:uid="{00000000-0005-0000-0000-00006A9A0000}"/>
    <cellStyle name="Heading 4 5 4" xfId="39531" xr:uid="{00000000-0005-0000-0000-00006B9A0000}"/>
    <cellStyle name="Heading 4 5 5" xfId="39532" xr:uid="{00000000-0005-0000-0000-00006C9A0000}"/>
    <cellStyle name="Heading 4 6" xfId="39533" xr:uid="{00000000-0005-0000-0000-00006D9A0000}"/>
    <cellStyle name="Heading 4 6 2" xfId="39534" xr:uid="{00000000-0005-0000-0000-00006E9A0000}"/>
    <cellStyle name="Heading 4 6 3" xfId="39535" xr:uid="{00000000-0005-0000-0000-00006F9A0000}"/>
    <cellStyle name="Heading 4 6 4" xfId="39536" xr:uid="{00000000-0005-0000-0000-0000709A0000}"/>
    <cellStyle name="Heading 4 6 5" xfId="39537" xr:uid="{00000000-0005-0000-0000-0000719A0000}"/>
    <cellStyle name="Heading 4 7" xfId="39538" xr:uid="{00000000-0005-0000-0000-0000729A0000}"/>
    <cellStyle name="Heading 4 7 2" xfId="39539" xr:uid="{00000000-0005-0000-0000-0000739A0000}"/>
    <cellStyle name="Heading 4 7 3" xfId="39540" xr:uid="{00000000-0005-0000-0000-0000749A0000}"/>
    <cellStyle name="Heading 4 7 4" xfId="39541" xr:uid="{00000000-0005-0000-0000-0000759A0000}"/>
    <cellStyle name="Heading 4 7 5" xfId="39542" xr:uid="{00000000-0005-0000-0000-0000769A0000}"/>
    <cellStyle name="Heading 4 8" xfId="39543" xr:uid="{00000000-0005-0000-0000-0000779A0000}"/>
    <cellStyle name="Heading 4 8 2" xfId="39544" xr:uid="{00000000-0005-0000-0000-0000789A0000}"/>
    <cellStyle name="Heading 4 8 3" xfId="39545" xr:uid="{00000000-0005-0000-0000-0000799A0000}"/>
    <cellStyle name="Heading 4 8 4" xfId="39546" xr:uid="{00000000-0005-0000-0000-00007A9A0000}"/>
    <cellStyle name="Heading 4 8 5" xfId="39547" xr:uid="{00000000-0005-0000-0000-00007B9A0000}"/>
    <cellStyle name="Heading 4 9" xfId="39548" xr:uid="{00000000-0005-0000-0000-00007C9A0000}"/>
    <cellStyle name="Heading 4 9 2" xfId="39549" xr:uid="{00000000-0005-0000-0000-00007D9A0000}"/>
    <cellStyle name="Heading 4 9 3" xfId="39550" xr:uid="{00000000-0005-0000-0000-00007E9A0000}"/>
    <cellStyle name="Heading 4 9 4" xfId="39551" xr:uid="{00000000-0005-0000-0000-00007F9A0000}"/>
    <cellStyle name="Heading 4 9 5" xfId="39552" xr:uid="{00000000-0005-0000-0000-0000809A0000}"/>
    <cellStyle name="Heading1" xfId="39553" xr:uid="{00000000-0005-0000-0000-0000819A0000}"/>
    <cellStyle name="Heading1 1" xfId="39554" xr:uid="{00000000-0005-0000-0000-0000829A0000}"/>
    <cellStyle name="Heading1 1 2" xfId="39555" xr:uid="{00000000-0005-0000-0000-0000839A0000}"/>
    <cellStyle name="Heading1 2" xfId="39556" xr:uid="{00000000-0005-0000-0000-0000849A0000}"/>
    <cellStyle name="Heading1 2 2" xfId="39557" xr:uid="{00000000-0005-0000-0000-0000859A0000}"/>
    <cellStyle name="Heading1 3" xfId="39558" xr:uid="{00000000-0005-0000-0000-0000869A0000}"/>
    <cellStyle name="Heading1 3 2" xfId="39559" xr:uid="{00000000-0005-0000-0000-0000879A0000}"/>
    <cellStyle name="Heading1 4" xfId="39560" xr:uid="{00000000-0005-0000-0000-0000889A0000}"/>
    <cellStyle name="Heading1 4 2" xfId="39561" xr:uid="{00000000-0005-0000-0000-0000899A0000}"/>
    <cellStyle name="Heading1 5" xfId="39562" xr:uid="{00000000-0005-0000-0000-00008A9A0000}"/>
    <cellStyle name="Heading1 6" xfId="39563" xr:uid="{00000000-0005-0000-0000-00008B9A0000}"/>
    <cellStyle name="Heading1 7" xfId="39564" xr:uid="{00000000-0005-0000-0000-00008C9A0000}"/>
    <cellStyle name="Heading1 8" xfId="39565" xr:uid="{00000000-0005-0000-0000-00008D9A0000}"/>
    <cellStyle name="Heading1_BACKUP1" xfId="39566" xr:uid="{00000000-0005-0000-0000-00008E9A0000}"/>
    <cellStyle name="Heading2" xfId="39567" xr:uid="{00000000-0005-0000-0000-00008F9A0000}"/>
    <cellStyle name="Heading2 2" xfId="39568" xr:uid="{00000000-0005-0000-0000-0000909A0000}"/>
    <cellStyle name="Heading2 2 2" xfId="39569" xr:uid="{00000000-0005-0000-0000-0000919A0000}"/>
    <cellStyle name="Heading2 3" xfId="39570" xr:uid="{00000000-0005-0000-0000-0000929A0000}"/>
    <cellStyle name="Heading2 3 2" xfId="39571" xr:uid="{00000000-0005-0000-0000-0000939A0000}"/>
    <cellStyle name="Heading2 4" xfId="39572" xr:uid="{00000000-0005-0000-0000-0000949A0000}"/>
    <cellStyle name="Heading2 4 2" xfId="39573" xr:uid="{00000000-0005-0000-0000-0000959A0000}"/>
    <cellStyle name="Heading2 5" xfId="39574" xr:uid="{00000000-0005-0000-0000-0000969A0000}"/>
    <cellStyle name="Heading2 6" xfId="39575" xr:uid="{00000000-0005-0000-0000-0000979A0000}"/>
    <cellStyle name="Heading2 7" xfId="39576" xr:uid="{00000000-0005-0000-0000-0000989A0000}"/>
    <cellStyle name="Heading2 8" xfId="39577" xr:uid="{00000000-0005-0000-0000-0000999A0000}"/>
    <cellStyle name="Helv8_PFD4.XLS" xfId="39578" xr:uid="{00000000-0005-0000-0000-00009A9A0000}"/>
    <cellStyle name="helvetica narrow" xfId="39579" xr:uid="{00000000-0005-0000-0000-00009B9A0000}"/>
    <cellStyle name="Hideable" xfId="39580" xr:uid="{00000000-0005-0000-0000-00009C9A0000}"/>
    <cellStyle name="Hideable2" xfId="39581" xr:uid="{00000000-0005-0000-0000-00009D9A0000}"/>
    <cellStyle name="Hideable2 2" xfId="39582" xr:uid="{00000000-0005-0000-0000-00009E9A0000}"/>
    <cellStyle name="Hideable2 2 2" xfId="39583" xr:uid="{00000000-0005-0000-0000-00009F9A0000}"/>
    <cellStyle name="Hideable2 2 3" xfId="39584" xr:uid="{00000000-0005-0000-0000-0000A09A0000}"/>
    <cellStyle name="Hideable2 2 4" xfId="39585" xr:uid="{00000000-0005-0000-0000-0000A19A0000}"/>
    <cellStyle name="Hideable2 2 5" xfId="39586" xr:uid="{00000000-0005-0000-0000-0000A29A0000}"/>
    <cellStyle name="Hideable2 3" xfId="39587" xr:uid="{00000000-0005-0000-0000-0000A39A0000}"/>
    <cellStyle name="Hideable2 4" xfId="39588" xr:uid="{00000000-0005-0000-0000-0000A49A0000}"/>
    <cellStyle name="Hideable2 5" xfId="39589" xr:uid="{00000000-0005-0000-0000-0000A59A0000}"/>
    <cellStyle name="Hideable2 6" xfId="39590" xr:uid="{00000000-0005-0000-0000-0000A69A0000}"/>
    <cellStyle name="HIGHLIGHT" xfId="39591" xr:uid="{00000000-0005-0000-0000-0000A79A0000}"/>
    <cellStyle name="HIGHLIGHT 2" xfId="39592" xr:uid="{00000000-0005-0000-0000-0000A89A0000}"/>
    <cellStyle name="HIGHLIGHT 3" xfId="39593" xr:uid="{00000000-0005-0000-0000-0000A99A0000}"/>
    <cellStyle name="Hyperlink 2" xfId="39594" xr:uid="{00000000-0005-0000-0000-0000AA9A0000}"/>
    <cellStyle name="Hyperlink 2 2" xfId="39595" xr:uid="{00000000-0005-0000-0000-0000AB9A0000}"/>
    <cellStyle name="Hypertextový odkaz" xfId="39596" xr:uid="{00000000-0005-0000-0000-0000AC9A0000}"/>
    <cellStyle name="INCHES" xfId="39597" xr:uid="{00000000-0005-0000-0000-0000AD9A0000}"/>
    <cellStyle name="Input [yellow]" xfId="39598" xr:uid="{00000000-0005-0000-0000-0000AE9A0000}"/>
    <cellStyle name="Input [yellow] 10" xfId="39599" xr:uid="{00000000-0005-0000-0000-0000AF9A0000}"/>
    <cellStyle name="Input [yellow] 10 2" xfId="39600" xr:uid="{00000000-0005-0000-0000-0000B09A0000}"/>
    <cellStyle name="Input [yellow] 10 3" xfId="39601" xr:uid="{00000000-0005-0000-0000-0000B19A0000}"/>
    <cellStyle name="Input [yellow] 10 4" xfId="39602" xr:uid="{00000000-0005-0000-0000-0000B29A0000}"/>
    <cellStyle name="Input [yellow] 10 5" xfId="39603" xr:uid="{00000000-0005-0000-0000-0000B39A0000}"/>
    <cellStyle name="Input [yellow] 11" xfId="39604" xr:uid="{00000000-0005-0000-0000-0000B49A0000}"/>
    <cellStyle name="Input [yellow] 11 2" xfId="39605" xr:uid="{00000000-0005-0000-0000-0000B59A0000}"/>
    <cellStyle name="Input [yellow] 11 3" xfId="39606" xr:uid="{00000000-0005-0000-0000-0000B69A0000}"/>
    <cellStyle name="Input [yellow] 11 4" xfId="39607" xr:uid="{00000000-0005-0000-0000-0000B79A0000}"/>
    <cellStyle name="Input [yellow] 11 5" xfId="39608" xr:uid="{00000000-0005-0000-0000-0000B89A0000}"/>
    <cellStyle name="Input [yellow] 12" xfId="39609" xr:uid="{00000000-0005-0000-0000-0000B99A0000}"/>
    <cellStyle name="Input [yellow] 12 2" xfId="39610" xr:uid="{00000000-0005-0000-0000-0000BA9A0000}"/>
    <cellStyle name="Input [yellow] 13" xfId="39611" xr:uid="{00000000-0005-0000-0000-0000BB9A0000}"/>
    <cellStyle name="Input [yellow] 13 2" xfId="39612" xr:uid="{00000000-0005-0000-0000-0000BC9A0000}"/>
    <cellStyle name="Input [yellow] 14" xfId="39613" xr:uid="{00000000-0005-0000-0000-0000BD9A0000}"/>
    <cellStyle name="Input [yellow] 15" xfId="39614" xr:uid="{00000000-0005-0000-0000-0000BE9A0000}"/>
    <cellStyle name="Input [yellow] 16" xfId="39615" xr:uid="{00000000-0005-0000-0000-0000BF9A0000}"/>
    <cellStyle name="Input [yellow] 17" xfId="39616" xr:uid="{00000000-0005-0000-0000-0000C09A0000}"/>
    <cellStyle name="Input [yellow] 18" xfId="39617" xr:uid="{00000000-0005-0000-0000-0000C19A0000}"/>
    <cellStyle name="Input [yellow] 19" xfId="39618" xr:uid="{00000000-0005-0000-0000-0000C29A0000}"/>
    <cellStyle name="Input [yellow] 2" xfId="39619" xr:uid="{00000000-0005-0000-0000-0000C39A0000}"/>
    <cellStyle name="Input [yellow] 2 10" xfId="39620" xr:uid="{00000000-0005-0000-0000-0000C49A0000}"/>
    <cellStyle name="Input [yellow] 2 10 2" xfId="39621" xr:uid="{00000000-0005-0000-0000-0000C59A0000}"/>
    <cellStyle name="Input [yellow] 2 11" xfId="39622" xr:uid="{00000000-0005-0000-0000-0000C69A0000}"/>
    <cellStyle name="Input [yellow] 2 11 2" xfId="39623" xr:uid="{00000000-0005-0000-0000-0000C79A0000}"/>
    <cellStyle name="Input [yellow] 2 12" xfId="39624" xr:uid="{00000000-0005-0000-0000-0000C89A0000}"/>
    <cellStyle name="Input [yellow] 2 13" xfId="39625" xr:uid="{00000000-0005-0000-0000-0000C99A0000}"/>
    <cellStyle name="Input [yellow] 2 14" xfId="39626" xr:uid="{00000000-0005-0000-0000-0000CA9A0000}"/>
    <cellStyle name="Input [yellow] 2 15" xfId="39627" xr:uid="{00000000-0005-0000-0000-0000CB9A0000}"/>
    <cellStyle name="Input [yellow] 2 16" xfId="39628" xr:uid="{00000000-0005-0000-0000-0000CC9A0000}"/>
    <cellStyle name="Input [yellow] 2 17" xfId="39629" xr:uid="{00000000-0005-0000-0000-0000CD9A0000}"/>
    <cellStyle name="Input [yellow] 2 18" xfId="39630" xr:uid="{00000000-0005-0000-0000-0000CE9A0000}"/>
    <cellStyle name="Input [yellow] 2 19" xfId="39631" xr:uid="{00000000-0005-0000-0000-0000CF9A0000}"/>
    <cellStyle name="Input [yellow] 2 2" xfId="39632" xr:uid="{00000000-0005-0000-0000-0000D09A0000}"/>
    <cellStyle name="Input [yellow] 2 2 2" xfId="39633" xr:uid="{00000000-0005-0000-0000-0000D19A0000}"/>
    <cellStyle name="Input [yellow] 2 2 2 2" xfId="39634" xr:uid="{00000000-0005-0000-0000-0000D29A0000}"/>
    <cellStyle name="Input [yellow] 2 2 2 2 2" xfId="39635" xr:uid="{00000000-0005-0000-0000-0000D39A0000}"/>
    <cellStyle name="Input [yellow] 2 2 2 3" xfId="39636" xr:uid="{00000000-0005-0000-0000-0000D49A0000}"/>
    <cellStyle name="Input [yellow] 2 2 2 3 2" xfId="39637" xr:uid="{00000000-0005-0000-0000-0000D59A0000}"/>
    <cellStyle name="Input [yellow] 2 2 2 4" xfId="39638" xr:uid="{00000000-0005-0000-0000-0000D69A0000}"/>
    <cellStyle name="Input [yellow] 2 2 3" xfId="39639" xr:uid="{00000000-0005-0000-0000-0000D79A0000}"/>
    <cellStyle name="Input [yellow] 2 2 3 2" xfId="39640" xr:uid="{00000000-0005-0000-0000-0000D89A0000}"/>
    <cellStyle name="Input [yellow] 2 2 3 2 2" xfId="39641" xr:uid="{00000000-0005-0000-0000-0000D99A0000}"/>
    <cellStyle name="Input [yellow] 2 2 3 3" xfId="39642" xr:uid="{00000000-0005-0000-0000-0000DA9A0000}"/>
    <cellStyle name="Input [yellow] 2 2 3 3 2" xfId="39643" xr:uid="{00000000-0005-0000-0000-0000DB9A0000}"/>
    <cellStyle name="Input [yellow] 2 2 3 4" xfId="39644" xr:uid="{00000000-0005-0000-0000-0000DC9A0000}"/>
    <cellStyle name="Input [yellow] 2 2 4" xfId="39645" xr:uid="{00000000-0005-0000-0000-0000DD9A0000}"/>
    <cellStyle name="Input [yellow] 2 2 4 2" xfId="39646" xr:uid="{00000000-0005-0000-0000-0000DE9A0000}"/>
    <cellStyle name="Input [yellow] 2 2 5" xfId="39647" xr:uid="{00000000-0005-0000-0000-0000DF9A0000}"/>
    <cellStyle name="Input [yellow] 2 2 5 2" xfId="39648" xr:uid="{00000000-0005-0000-0000-0000E09A0000}"/>
    <cellStyle name="Input [yellow] 2 2 6" xfId="39649" xr:uid="{00000000-0005-0000-0000-0000E19A0000}"/>
    <cellStyle name="Input [yellow] 2 3" xfId="39650" xr:uid="{00000000-0005-0000-0000-0000E29A0000}"/>
    <cellStyle name="Input [yellow] 2 3 2" xfId="39651" xr:uid="{00000000-0005-0000-0000-0000E39A0000}"/>
    <cellStyle name="Input [yellow] 2 3 2 2" xfId="39652" xr:uid="{00000000-0005-0000-0000-0000E49A0000}"/>
    <cellStyle name="Input [yellow] 2 3 2 2 2" xfId="39653" xr:uid="{00000000-0005-0000-0000-0000E59A0000}"/>
    <cellStyle name="Input [yellow] 2 3 2 3" xfId="39654" xr:uid="{00000000-0005-0000-0000-0000E69A0000}"/>
    <cellStyle name="Input [yellow] 2 3 2 3 2" xfId="39655" xr:uid="{00000000-0005-0000-0000-0000E79A0000}"/>
    <cellStyle name="Input [yellow] 2 3 2 4" xfId="39656" xr:uid="{00000000-0005-0000-0000-0000E89A0000}"/>
    <cellStyle name="Input [yellow] 2 3 3" xfId="39657" xr:uid="{00000000-0005-0000-0000-0000E99A0000}"/>
    <cellStyle name="Input [yellow] 2 3 3 2" xfId="39658" xr:uid="{00000000-0005-0000-0000-0000EA9A0000}"/>
    <cellStyle name="Input [yellow] 2 3 3 2 2" xfId="39659" xr:uid="{00000000-0005-0000-0000-0000EB9A0000}"/>
    <cellStyle name="Input [yellow] 2 3 3 3" xfId="39660" xr:uid="{00000000-0005-0000-0000-0000EC9A0000}"/>
    <cellStyle name="Input [yellow] 2 3 3 3 2" xfId="39661" xr:uid="{00000000-0005-0000-0000-0000ED9A0000}"/>
    <cellStyle name="Input [yellow] 2 3 3 4" xfId="39662" xr:uid="{00000000-0005-0000-0000-0000EE9A0000}"/>
    <cellStyle name="Input [yellow] 2 3 4" xfId="39663" xr:uid="{00000000-0005-0000-0000-0000EF9A0000}"/>
    <cellStyle name="Input [yellow] 2 3 4 2" xfId="39664" xr:uid="{00000000-0005-0000-0000-0000F09A0000}"/>
    <cellStyle name="Input [yellow] 2 3 5" xfId="39665" xr:uid="{00000000-0005-0000-0000-0000F19A0000}"/>
    <cellStyle name="Input [yellow] 2 3 5 2" xfId="39666" xr:uid="{00000000-0005-0000-0000-0000F29A0000}"/>
    <cellStyle name="Input [yellow] 2 3 6" xfId="39667" xr:uid="{00000000-0005-0000-0000-0000F39A0000}"/>
    <cellStyle name="Input [yellow] 2 4" xfId="39668" xr:uid="{00000000-0005-0000-0000-0000F49A0000}"/>
    <cellStyle name="Input [yellow] 2 4 2" xfId="39669" xr:uid="{00000000-0005-0000-0000-0000F59A0000}"/>
    <cellStyle name="Input [yellow] 2 4 2 2" xfId="39670" xr:uid="{00000000-0005-0000-0000-0000F69A0000}"/>
    <cellStyle name="Input [yellow] 2 4 2 2 2" xfId="39671" xr:uid="{00000000-0005-0000-0000-0000F79A0000}"/>
    <cellStyle name="Input [yellow] 2 4 2 3" xfId="39672" xr:uid="{00000000-0005-0000-0000-0000F89A0000}"/>
    <cellStyle name="Input [yellow] 2 4 2 3 2" xfId="39673" xr:uid="{00000000-0005-0000-0000-0000F99A0000}"/>
    <cellStyle name="Input [yellow] 2 4 2 4" xfId="39674" xr:uid="{00000000-0005-0000-0000-0000FA9A0000}"/>
    <cellStyle name="Input [yellow] 2 4 3" xfId="39675" xr:uid="{00000000-0005-0000-0000-0000FB9A0000}"/>
    <cellStyle name="Input [yellow] 2 4 3 2" xfId="39676" xr:uid="{00000000-0005-0000-0000-0000FC9A0000}"/>
    <cellStyle name="Input [yellow] 2 4 3 2 2" xfId="39677" xr:uid="{00000000-0005-0000-0000-0000FD9A0000}"/>
    <cellStyle name="Input [yellow] 2 4 3 3" xfId="39678" xr:uid="{00000000-0005-0000-0000-0000FE9A0000}"/>
    <cellStyle name="Input [yellow] 2 4 3 3 2" xfId="39679" xr:uid="{00000000-0005-0000-0000-0000FF9A0000}"/>
    <cellStyle name="Input [yellow] 2 4 3 4" xfId="39680" xr:uid="{00000000-0005-0000-0000-0000009B0000}"/>
    <cellStyle name="Input [yellow] 2 4 4" xfId="39681" xr:uid="{00000000-0005-0000-0000-0000019B0000}"/>
    <cellStyle name="Input [yellow] 2 4 4 2" xfId="39682" xr:uid="{00000000-0005-0000-0000-0000029B0000}"/>
    <cellStyle name="Input [yellow] 2 4 5" xfId="39683" xr:uid="{00000000-0005-0000-0000-0000039B0000}"/>
    <cellStyle name="Input [yellow] 2 4 5 2" xfId="39684" xr:uid="{00000000-0005-0000-0000-0000049B0000}"/>
    <cellStyle name="Input [yellow] 2 4 6" xfId="39685" xr:uid="{00000000-0005-0000-0000-0000059B0000}"/>
    <cellStyle name="Input [yellow] 2 5" xfId="39686" xr:uid="{00000000-0005-0000-0000-0000069B0000}"/>
    <cellStyle name="Input [yellow] 2 5 2" xfId="39687" xr:uid="{00000000-0005-0000-0000-0000079B0000}"/>
    <cellStyle name="Input [yellow] 2 5 2 2" xfId="39688" xr:uid="{00000000-0005-0000-0000-0000089B0000}"/>
    <cellStyle name="Input [yellow] 2 5 2 2 2" xfId="39689" xr:uid="{00000000-0005-0000-0000-0000099B0000}"/>
    <cellStyle name="Input [yellow] 2 5 2 3" xfId="39690" xr:uid="{00000000-0005-0000-0000-00000A9B0000}"/>
    <cellStyle name="Input [yellow] 2 5 2 3 2" xfId="39691" xr:uid="{00000000-0005-0000-0000-00000B9B0000}"/>
    <cellStyle name="Input [yellow] 2 5 2 4" xfId="39692" xr:uid="{00000000-0005-0000-0000-00000C9B0000}"/>
    <cellStyle name="Input [yellow] 2 5 3" xfId="39693" xr:uid="{00000000-0005-0000-0000-00000D9B0000}"/>
    <cellStyle name="Input [yellow] 2 5 3 2" xfId="39694" xr:uid="{00000000-0005-0000-0000-00000E9B0000}"/>
    <cellStyle name="Input [yellow] 2 5 3 2 2" xfId="39695" xr:uid="{00000000-0005-0000-0000-00000F9B0000}"/>
    <cellStyle name="Input [yellow] 2 5 3 3" xfId="39696" xr:uid="{00000000-0005-0000-0000-0000109B0000}"/>
    <cellStyle name="Input [yellow] 2 5 3 3 2" xfId="39697" xr:uid="{00000000-0005-0000-0000-0000119B0000}"/>
    <cellStyle name="Input [yellow] 2 5 3 4" xfId="39698" xr:uid="{00000000-0005-0000-0000-0000129B0000}"/>
    <cellStyle name="Input [yellow] 2 5 4" xfId="39699" xr:uid="{00000000-0005-0000-0000-0000139B0000}"/>
    <cellStyle name="Input [yellow] 2 5 4 2" xfId="39700" xr:uid="{00000000-0005-0000-0000-0000149B0000}"/>
    <cellStyle name="Input [yellow] 2 5 5" xfId="39701" xr:uid="{00000000-0005-0000-0000-0000159B0000}"/>
    <cellStyle name="Input [yellow] 2 5 5 2" xfId="39702" xr:uid="{00000000-0005-0000-0000-0000169B0000}"/>
    <cellStyle name="Input [yellow] 2 5 6" xfId="39703" xr:uid="{00000000-0005-0000-0000-0000179B0000}"/>
    <cellStyle name="Input [yellow] 2 6" xfId="39704" xr:uid="{00000000-0005-0000-0000-0000189B0000}"/>
    <cellStyle name="Input [yellow] 2 6 2" xfId="39705" xr:uid="{00000000-0005-0000-0000-0000199B0000}"/>
    <cellStyle name="Input [yellow] 2 6 2 2" xfId="39706" xr:uid="{00000000-0005-0000-0000-00001A9B0000}"/>
    <cellStyle name="Input [yellow] 2 6 2 2 2" xfId="39707" xr:uid="{00000000-0005-0000-0000-00001B9B0000}"/>
    <cellStyle name="Input [yellow] 2 6 2 3" xfId="39708" xr:uid="{00000000-0005-0000-0000-00001C9B0000}"/>
    <cellStyle name="Input [yellow] 2 6 2 3 2" xfId="39709" xr:uid="{00000000-0005-0000-0000-00001D9B0000}"/>
    <cellStyle name="Input [yellow] 2 6 2 4" xfId="39710" xr:uid="{00000000-0005-0000-0000-00001E9B0000}"/>
    <cellStyle name="Input [yellow] 2 6 3" xfId="39711" xr:uid="{00000000-0005-0000-0000-00001F9B0000}"/>
    <cellStyle name="Input [yellow] 2 6 3 2" xfId="39712" xr:uid="{00000000-0005-0000-0000-0000209B0000}"/>
    <cellStyle name="Input [yellow] 2 6 3 2 2" xfId="39713" xr:uid="{00000000-0005-0000-0000-0000219B0000}"/>
    <cellStyle name="Input [yellow] 2 6 3 3" xfId="39714" xr:uid="{00000000-0005-0000-0000-0000229B0000}"/>
    <cellStyle name="Input [yellow] 2 6 3 3 2" xfId="39715" xr:uid="{00000000-0005-0000-0000-0000239B0000}"/>
    <cellStyle name="Input [yellow] 2 6 3 4" xfId="39716" xr:uid="{00000000-0005-0000-0000-0000249B0000}"/>
    <cellStyle name="Input [yellow] 2 6 4" xfId="39717" xr:uid="{00000000-0005-0000-0000-0000259B0000}"/>
    <cellStyle name="Input [yellow] 2 6 4 2" xfId="39718" xr:uid="{00000000-0005-0000-0000-0000269B0000}"/>
    <cellStyle name="Input [yellow] 2 6 5" xfId="39719" xr:uid="{00000000-0005-0000-0000-0000279B0000}"/>
    <cellStyle name="Input [yellow] 2 6 5 2" xfId="39720" xr:uid="{00000000-0005-0000-0000-0000289B0000}"/>
    <cellStyle name="Input [yellow] 2 6 6" xfId="39721" xr:uid="{00000000-0005-0000-0000-0000299B0000}"/>
    <cellStyle name="Input [yellow] 2 7" xfId="39722" xr:uid="{00000000-0005-0000-0000-00002A9B0000}"/>
    <cellStyle name="Input [yellow] 2 7 2" xfId="39723" xr:uid="{00000000-0005-0000-0000-00002B9B0000}"/>
    <cellStyle name="Input [yellow] 2 7 2 2" xfId="39724" xr:uid="{00000000-0005-0000-0000-00002C9B0000}"/>
    <cellStyle name="Input [yellow] 2 7 2 2 2" xfId="39725" xr:uid="{00000000-0005-0000-0000-00002D9B0000}"/>
    <cellStyle name="Input [yellow] 2 7 2 3" xfId="39726" xr:uid="{00000000-0005-0000-0000-00002E9B0000}"/>
    <cellStyle name="Input [yellow] 2 7 2 3 2" xfId="39727" xr:uid="{00000000-0005-0000-0000-00002F9B0000}"/>
    <cellStyle name="Input [yellow] 2 7 2 4" xfId="39728" xr:uid="{00000000-0005-0000-0000-0000309B0000}"/>
    <cellStyle name="Input [yellow] 2 7 3" xfId="39729" xr:uid="{00000000-0005-0000-0000-0000319B0000}"/>
    <cellStyle name="Input [yellow] 2 7 3 2" xfId="39730" xr:uid="{00000000-0005-0000-0000-0000329B0000}"/>
    <cellStyle name="Input [yellow] 2 7 3 2 2" xfId="39731" xr:uid="{00000000-0005-0000-0000-0000339B0000}"/>
    <cellStyle name="Input [yellow] 2 7 3 3" xfId="39732" xr:uid="{00000000-0005-0000-0000-0000349B0000}"/>
    <cellStyle name="Input [yellow] 2 7 3 3 2" xfId="39733" xr:uid="{00000000-0005-0000-0000-0000359B0000}"/>
    <cellStyle name="Input [yellow] 2 7 3 4" xfId="39734" xr:uid="{00000000-0005-0000-0000-0000369B0000}"/>
    <cellStyle name="Input [yellow] 2 7 4" xfId="39735" xr:uid="{00000000-0005-0000-0000-0000379B0000}"/>
    <cellStyle name="Input [yellow] 2 7 4 2" xfId="39736" xr:uid="{00000000-0005-0000-0000-0000389B0000}"/>
    <cellStyle name="Input [yellow] 2 7 5" xfId="39737" xr:uid="{00000000-0005-0000-0000-0000399B0000}"/>
    <cellStyle name="Input [yellow] 2 7 5 2" xfId="39738" xr:uid="{00000000-0005-0000-0000-00003A9B0000}"/>
    <cellStyle name="Input [yellow] 2 7 6" xfId="39739" xr:uid="{00000000-0005-0000-0000-00003B9B0000}"/>
    <cellStyle name="Input [yellow] 2 8" xfId="39740" xr:uid="{00000000-0005-0000-0000-00003C9B0000}"/>
    <cellStyle name="Input [yellow] 2 8 2" xfId="39741" xr:uid="{00000000-0005-0000-0000-00003D9B0000}"/>
    <cellStyle name="Input [yellow] 2 8 2 2" xfId="39742" xr:uid="{00000000-0005-0000-0000-00003E9B0000}"/>
    <cellStyle name="Input [yellow] 2 8 3" xfId="39743" xr:uid="{00000000-0005-0000-0000-00003F9B0000}"/>
    <cellStyle name="Input [yellow] 2 8 3 2" xfId="39744" xr:uid="{00000000-0005-0000-0000-0000409B0000}"/>
    <cellStyle name="Input [yellow] 2 8 4" xfId="39745" xr:uid="{00000000-0005-0000-0000-0000419B0000}"/>
    <cellStyle name="Input [yellow] 2 9" xfId="39746" xr:uid="{00000000-0005-0000-0000-0000429B0000}"/>
    <cellStyle name="Input [yellow] 2 9 2" xfId="39747" xr:uid="{00000000-0005-0000-0000-0000439B0000}"/>
    <cellStyle name="Input [yellow] 2 9 2 2" xfId="39748" xr:uid="{00000000-0005-0000-0000-0000449B0000}"/>
    <cellStyle name="Input [yellow] 2 9 3" xfId="39749" xr:uid="{00000000-0005-0000-0000-0000459B0000}"/>
    <cellStyle name="Input [yellow] 2 9 3 2" xfId="39750" xr:uid="{00000000-0005-0000-0000-0000469B0000}"/>
    <cellStyle name="Input [yellow] 2 9 4" xfId="39751" xr:uid="{00000000-0005-0000-0000-0000479B0000}"/>
    <cellStyle name="Input [yellow] 20" xfId="39752" xr:uid="{00000000-0005-0000-0000-0000489B0000}"/>
    <cellStyle name="Input [yellow] 21" xfId="39753" xr:uid="{00000000-0005-0000-0000-0000499B0000}"/>
    <cellStyle name="Input [yellow] 3" xfId="39754" xr:uid="{00000000-0005-0000-0000-00004A9B0000}"/>
    <cellStyle name="Input [yellow] 3 10" xfId="39755" xr:uid="{00000000-0005-0000-0000-00004B9B0000}"/>
    <cellStyle name="Input [yellow] 3 10 2" xfId="39756" xr:uid="{00000000-0005-0000-0000-00004C9B0000}"/>
    <cellStyle name="Input [yellow] 3 11" xfId="39757" xr:uid="{00000000-0005-0000-0000-00004D9B0000}"/>
    <cellStyle name="Input [yellow] 3 12" xfId="39758" xr:uid="{00000000-0005-0000-0000-00004E9B0000}"/>
    <cellStyle name="Input [yellow] 3 13" xfId="39759" xr:uid="{00000000-0005-0000-0000-00004F9B0000}"/>
    <cellStyle name="Input [yellow] 3 14" xfId="39760" xr:uid="{00000000-0005-0000-0000-0000509B0000}"/>
    <cellStyle name="Input [yellow] 3 15" xfId="39761" xr:uid="{00000000-0005-0000-0000-0000519B0000}"/>
    <cellStyle name="Input [yellow] 3 2" xfId="39762" xr:uid="{00000000-0005-0000-0000-0000529B0000}"/>
    <cellStyle name="Input [yellow] 3 2 2" xfId="39763" xr:uid="{00000000-0005-0000-0000-0000539B0000}"/>
    <cellStyle name="Input [yellow] 3 2 2 2" xfId="39764" xr:uid="{00000000-0005-0000-0000-0000549B0000}"/>
    <cellStyle name="Input [yellow] 3 2 2 2 2" xfId="39765" xr:uid="{00000000-0005-0000-0000-0000559B0000}"/>
    <cellStyle name="Input [yellow] 3 2 2 3" xfId="39766" xr:uid="{00000000-0005-0000-0000-0000569B0000}"/>
    <cellStyle name="Input [yellow] 3 2 2 3 2" xfId="39767" xr:uid="{00000000-0005-0000-0000-0000579B0000}"/>
    <cellStyle name="Input [yellow] 3 2 2 4" xfId="39768" xr:uid="{00000000-0005-0000-0000-0000589B0000}"/>
    <cellStyle name="Input [yellow] 3 2 3" xfId="39769" xr:uid="{00000000-0005-0000-0000-0000599B0000}"/>
    <cellStyle name="Input [yellow] 3 2 3 2" xfId="39770" xr:uid="{00000000-0005-0000-0000-00005A9B0000}"/>
    <cellStyle name="Input [yellow] 3 2 3 2 2" xfId="39771" xr:uid="{00000000-0005-0000-0000-00005B9B0000}"/>
    <cellStyle name="Input [yellow] 3 2 3 3" xfId="39772" xr:uid="{00000000-0005-0000-0000-00005C9B0000}"/>
    <cellStyle name="Input [yellow] 3 2 3 3 2" xfId="39773" xr:uid="{00000000-0005-0000-0000-00005D9B0000}"/>
    <cellStyle name="Input [yellow] 3 2 3 4" xfId="39774" xr:uid="{00000000-0005-0000-0000-00005E9B0000}"/>
    <cellStyle name="Input [yellow] 3 2 4" xfId="39775" xr:uid="{00000000-0005-0000-0000-00005F9B0000}"/>
    <cellStyle name="Input [yellow] 3 2 4 2" xfId="39776" xr:uid="{00000000-0005-0000-0000-0000609B0000}"/>
    <cellStyle name="Input [yellow] 3 2 5" xfId="39777" xr:uid="{00000000-0005-0000-0000-0000619B0000}"/>
    <cellStyle name="Input [yellow] 3 2 5 2" xfId="39778" xr:uid="{00000000-0005-0000-0000-0000629B0000}"/>
    <cellStyle name="Input [yellow] 3 2 6" xfId="39779" xr:uid="{00000000-0005-0000-0000-0000639B0000}"/>
    <cellStyle name="Input [yellow] 3 3" xfId="39780" xr:uid="{00000000-0005-0000-0000-0000649B0000}"/>
    <cellStyle name="Input [yellow] 3 3 2" xfId="39781" xr:uid="{00000000-0005-0000-0000-0000659B0000}"/>
    <cellStyle name="Input [yellow] 3 3 2 2" xfId="39782" xr:uid="{00000000-0005-0000-0000-0000669B0000}"/>
    <cellStyle name="Input [yellow] 3 3 2 2 2" xfId="39783" xr:uid="{00000000-0005-0000-0000-0000679B0000}"/>
    <cellStyle name="Input [yellow] 3 3 2 3" xfId="39784" xr:uid="{00000000-0005-0000-0000-0000689B0000}"/>
    <cellStyle name="Input [yellow] 3 3 2 3 2" xfId="39785" xr:uid="{00000000-0005-0000-0000-0000699B0000}"/>
    <cellStyle name="Input [yellow] 3 3 2 4" xfId="39786" xr:uid="{00000000-0005-0000-0000-00006A9B0000}"/>
    <cellStyle name="Input [yellow] 3 3 3" xfId="39787" xr:uid="{00000000-0005-0000-0000-00006B9B0000}"/>
    <cellStyle name="Input [yellow] 3 3 3 2" xfId="39788" xr:uid="{00000000-0005-0000-0000-00006C9B0000}"/>
    <cellStyle name="Input [yellow] 3 3 3 2 2" xfId="39789" xr:uid="{00000000-0005-0000-0000-00006D9B0000}"/>
    <cellStyle name="Input [yellow] 3 3 3 3" xfId="39790" xr:uid="{00000000-0005-0000-0000-00006E9B0000}"/>
    <cellStyle name="Input [yellow] 3 3 3 3 2" xfId="39791" xr:uid="{00000000-0005-0000-0000-00006F9B0000}"/>
    <cellStyle name="Input [yellow] 3 3 3 4" xfId="39792" xr:uid="{00000000-0005-0000-0000-0000709B0000}"/>
    <cellStyle name="Input [yellow] 3 3 4" xfId="39793" xr:uid="{00000000-0005-0000-0000-0000719B0000}"/>
    <cellStyle name="Input [yellow] 3 3 4 2" xfId="39794" xr:uid="{00000000-0005-0000-0000-0000729B0000}"/>
    <cellStyle name="Input [yellow] 3 3 5" xfId="39795" xr:uid="{00000000-0005-0000-0000-0000739B0000}"/>
    <cellStyle name="Input [yellow] 3 3 5 2" xfId="39796" xr:uid="{00000000-0005-0000-0000-0000749B0000}"/>
    <cellStyle name="Input [yellow] 3 3 6" xfId="39797" xr:uid="{00000000-0005-0000-0000-0000759B0000}"/>
    <cellStyle name="Input [yellow] 3 4" xfId="39798" xr:uid="{00000000-0005-0000-0000-0000769B0000}"/>
    <cellStyle name="Input [yellow] 3 4 2" xfId="39799" xr:uid="{00000000-0005-0000-0000-0000779B0000}"/>
    <cellStyle name="Input [yellow] 3 4 2 2" xfId="39800" xr:uid="{00000000-0005-0000-0000-0000789B0000}"/>
    <cellStyle name="Input [yellow] 3 4 2 2 2" xfId="39801" xr:uid="{00000000-0005-0000-0000-0000799B0000}"/>
    <cellStyle name="Input [yellow] 3 4 2 3" xfId="39802" xr:uid="{00000000-0005-0000-0000-00007A9B0000}"/>
    <cellStyle name="Input [yellow] 3 4 2 3 2" xfId="39803" xr:uid="{00000000-0005-0000-0000-00007B9B0000}"/>
    <cellStyle name="Input [yellow] 3 4 2 4" xfId="39804" xr:uid="{00000000-0005-0000-0000-00007C9B0000}"/>
    <cellStyle name="Input [yellow] 3 4 3" xfId="39805" xr:uid="{00000000-0005-0000-0000-00007D9B0000}"/>
    <cellStyle name="Input [yellow] 3 4 3 2" xfId="39806" xr:uid="{00000000-0005-0000-0000-00007E9B0000}"/>
    <cellStyle name="Input [yellow] 3 4 3 2 2" xfId="39807" xr:uid="{00000000-0005-0000-0000-00007F9B0000}"/>
    <cellStyle name="Input [yellow] 3 4 3 3" xfId="39808" xr:uid="{00000000-0005-0000-0000-0000809B0000}"/>
    <cellStyle name="Input [yellow] 3 4 3 3 2" xfId="39809" xr:uid="{00000000-0005-0000-0000-0000819B0000}"/>
    <cellStyle name="Input [yellow] 3 4 3 4" xfId="39810" xr:uid="{00000000-0005-0000-0000-0000829B0000}"/>
    <cellStyle name="Input [yellow] 3 4 4" xfId="39811" xr:uid="{00000000-0005-0000-0000-0000839B0000}"/>
    <cellStyle name="Input [yellow] 3 4 4 2" xfId="39812" xr:uid="{00000000-0005-0000-0000-0000849B0000}"/>
    <cellStyle name="Input [yellow] 3 4 5" xfId="39813" xr:uid="{00000000-0005-0000-0000-0000859B0000}"/>
    <cellStyle name="Input [yellow] 3 4 5 2" xfId="39814" xr:uid="{00000000-0005-0000-0000-0000869B0000}"/>
    <cellStyle name="Input [yellow] 3 4 6" xfId="39815" xr:uid="{00000000-0005-0000-0000-0000879B0000}"/>
    <cellStyle name="Input [yellow] 3 5" xfId="39816" xr:uid="{00000000-0005-0000-0000-0000889B0000}"/>
    <cellStyle name="Input [yellow] 3 5 2" xfId="39817" xr:uid="{00000000-0005-0000-0000-0000899B0000}"/>
    <cellStyle name="Input [yellow] 3 5 2 2" xfId="39818" xr:uid="{00000000-0005-0000-0000-00008A9B0000}"/>
    <cellStyle name="Input [yellow] 3 5 2 2 2" xfId="39819" xr:uid="{00000000-0005-0000-0000-00008B9B0000}"/>
    <cellStyle name="Input [yellow] 3 5 2 3" xfId="39820" xr:uid="{00000000-0005-0000-0000-00008C9B0000}"/>
    <cellStyle name="Input [yellow] 3 5 2 3 2" xfId="39821" xr:uid="{00000000-0005-0000-0000-00008D9B0000}"/>
    <cellStyle name="Input [yellow] 3 5 2 4" xfId="39822" xr:uid="{00000000-0005-0000-0000-00008E9B0000}"/>
    <cellStyle name="Input [yellow] 3 5 3" xfId="39823" xr:uid="{00000000-0005-0000-0000-00008F9B0000}"/>
    <cellStyle name="Input [yellow] 3 5 3 2" xfId="39824" xr:uid="{00000000-0005-0000-0000-0000909B0000}"/>
    <cellStyle name="Input [yellow] 3 5 3 2 2" xfId="39825" xr:uid="{00000000-0005-0000-0000-0000919B0000}"/>
    <cellStyle name="Input [yellow] 3 5 3 3" xfId="39826" xr:uid="{00000000-0005-0000-0000-0000929B0000}"/>
    <cellStyle name="Input [yellow] 3 5 3 3 2" xfId="39827" xr:uid="{00000000-0005-0000-0000-0000939B0000}"/>
    <cellStyle name="Input [yellow] 3 5 3 4" xfId="39828" xr:uid="{00000000-0005-0000-0000-0000949B0000}"/>
    <cellStyle name="Input [yellow] 3 5 4" xfId="39829" xr:uid="{00000000-0005-0000-0000-0000959B0000}"/>
    <cellStyle name="Input [yellow] 3 5 4 2" xfId="39830" xr:uid="{00000000-0005-0000-0000-0000969B0000}"/>
    <cellStyle name="Input [yellow] 3 5 5" xfId="39831" xr:uid="{00000000-0005-0000-0000-0000979B0000}"/>
    <cellStyle name="Input [yellow] 3 5 5 2" xfId="39832" xr:uid="{00000000-0005-0000-0000-0000989B0000}"/>
    <cellStyle name="Input [yellow] 3 5 6" xfId="39833" xr:uid="{00000000-0005-0000-0000-0000999B0000}"/>
    <cellStyle name="Input [yellow] 3 6" xfId="39834" xr:uid="{00000000-0005-0000-0000-00009A9B0000}"/>
    <cellStyle name="Input [yellow] 3 6 2" xfId="39835" xr:uid="{00000000-0005-0000-0000-00009B9B0000}"/>
    <cellStyle name="Input [yellow] 3 6 2 2" xfId="39836" xr:uid="{00000000-0005-0000-0000-00009C9B0000}"/>
    <cellStyle name="Input [yellow] 3 6 2 2 2" xfId="39837" xr:uid="{00000000-0005-0000-0000-00009D9B0000}"/>
    <cellStyle name="Input [yellow] 3 6 2 3" xfId="39838" xr:uid="{00000000-0005-0000-0000-00009E9B0000}"/>
    <cellStyle name="Input [yellow] 3 6 2 3 2" xfId="39839" xr:uid="{00000000-0005-0000-0000-00009F9B0000}"/>
    <cellStyle name="Input [yellow] 3 6 2 4" xfId="39840" xr:uid="{00000000-0005-0000-0000-0000A09B0000}"/>
    <cellStyle name="Input [yellow] 3 6 3" xfId="39841" xr:uid="{00000000-0005-0000-0000-0000A19B0000}"/>
    <cellStyle name="Input [yellow] 3 6 3 2" xfId="39842" xr:uid="{00000000-0005-0000-0000-0000A29B0000}"/>
    <cellStyle name="Input [yellow] 3 6 3 2 2" xfId="39843" xr:uid="{00000000-0005-0000-0000-0000A39B0000}"/>
    <cellStyle name="Input [yellow] 3 6 3 3" xfId="39844" xr:uid="{00000000-0005-0000-0000-0000A49B0000}"/>
    <cellStyle name="Input [yellow] 3 6 3 3 2" xfId="39845" xr:uid="{00000000-0005-0000-0000-0000A59B0000}"/>
    <cellStyle name="Input [yellow] 3 6 3 4" xfId="39846" xr:uid="{00000000-0005-0000-0000-0000A69B0000}"/>
    <cellStyle name="Input [yellow] 3 6 4" xfId="39847" xr:uid="{00000000-0005-0000-0000-0000A79B0000}"/>
    <cellStyle name="Input [yellow] 3 6 4 2" xfId="39848" xr:uid="{00000000-0005-0000-0000-0000A89B0000}"/>
    <cellStyle name="Input [yellow] 3 6 5" xfId="39849" xr:uid="{00000000-0005-0000-0000-0000A99B0000}"/>
    <cellStyle name="Input [yellow] 3 6 5 2" xfId="39850" xr:uid="{00000000-0005-0000-0000-0000AA9B0000}"/>
    <cellStyle name="Input [yellow] 3 6 6" xfId="39851" xr:uid="{00000000-0005-0000-0000-0000AB9B0000}"/>
    <cellStyle name="Input [yellow] 3 7" xfId="39852" xr:uid="{00000000-0005-0000-0000-0000AC9B0000}"/>
    <cellStyle name="Input [yellow] 3 7 2" xfId="39853" xr:uid="{00000000-0005-0000-0000-0000AD9B0000}"/>
    <cellStyle name="Input [yellow] 3 7 2 2" xfId="39854" xr:uid="{00000000-0005-0000-0000-0000AE9B0000}"/>
    <cellStyle name="Input [yellow] 3 7 3" xfId="39855" xr:uid="{00000000-0005-0000-0000-0000AF9B0000}"/>
    <cellStyle name="Input [yellow] 3 7 3 2" xfId="39856" xr:uid="{00000000-0005-0000-0000-0000B09B0000}"/>
    <cellStyle name="Input [yellow] 3 7 4" xfId="39857" xr:uid="{00000000-0005-0000-0000-0000B19B0000}"/>
    <cellStyle name="Input [yellow] 3 8" xfId="39858" xr:uid="{00000000-0005-0000-0000-0000B29B0000}"/>
    <cellStyle name="Input [yellow] 3 8 2" xfId="39859" xr:uid="{00000000-0005-0000-0000-0000B39B0000}"/>
    <cellStyle name="Input [yellow] 3 8 2 2" xfId="39860" xr:uid="{00000000-0005-0000-0000-0000B49B0000}"/>
    <cellStyle name="Input [yellow] 3 8 3" xfId="39861" xr:uid="{00000000-0005-0000-0000-0000B59B0000}"/>
    <cellStyle name="Input [yellow] 3 8 3 2" xfId="39862" xr:uid="{00000000-0005-0000-0000-0000B69B0000}"/>
    <cellStyle name="Input [yellow] 3 8 4" xfId="39863" xr:uid="{00000000-0005-0000-0000-0000B79B0000}"/>
    <cellStyle name="Input [yellow] 3 9" xfId="39864" xr:uid="{00000000-0005-0000-0000-0000B89B0000}"/>
    <cellStyle name="Input [yellow] 3 9 2" xfId="39865" xr:uid="{00000000-0005-0000-0000-0000B99B0000}"/>
    <cellStyle name="Input [yellow] 4" xfId="39866" xr:uid="{00000000-0005-0000-0000-0000BA9B0000}"/>
    <cellStyle name="Input [yellow] 4 10" xfId="39867" xr:uid="{00000000-0005-0000-0000-0000BB9B0000}"/>
    <cellStyle name="Input [yellow] 4 10 2" xfId="39868" xr:uid="{00000000-0005-0000-0000-0000BC9B0000}"/>
    <cellStyle name="Input [yellow] 4 11" xfId="39869" xr:uid="{00000000-0005-0000-0000-0000BD9B0000}"/>
    <cellStyle name="Input [yellow] 4 2" xfId="39870" xr:uid="{00000000-0005-0000-0000-0000BE9B0000}"/>
    <cellStyle name="Input [yellow] 4 2 2" xfId="39871" xr:uid="{00000000-0005-0000-0000-0000BF9B0000}"/>
    <cellStyle name="Input [yellow] 4 2 2 2" xfId="39872" xr:uid="{00000000-0005-0000-0000-0000C09B0000}"/>
    <cellStyle name="Input [yellow] 4 2 2 2 2" xfId="39873" xr:uid="{00000000-0005-0000-0000-0000C19B0000}"/>
    <cellStyle name="Input [yellow] 4 2 2 3" xfId="39874" xr:uid="{00000000-0005-0000-0000-0000C29B0000}"/>
    <cellStyle name="Input [yellow] 4 2 2 3 2" xfId="39875" xr:uid="{00000000-0005-0000-0000-0000C39B0000}"/>
    <cellStyle name="Input [yellow] 4 2 2 4" xfId="39876" xr:uid="{00000000-0005-0000-0000-0000C49B0000}"/>
    <cellStyle name="Input [yellow] 4 2 3" xfId="39877" xr:uid="{00000000-0005-0000-0000-0000C59B0000}"/>
    <cellStyle name="Input [yellow] 4 2 3 2" xfId="39878" xr:uid="{00000000-0005-0000-0000-0000C69B0000}"/>
    <cellStyle name="Input [yellow] 4 2 3 2 2" xfId="39879" xr:uid="{00000000-0005-0000-0000-0000C79B0000}"/>
    <cellStyle name="Input [yellow] 4 2 3 3" xfId="39880" xr:uid="{00000000-0005-0000-0000-0000C89B0000}"/>
    <cellStyle name="Input [yellow] 4 2 3 3 2" xfId="39881" xr:uid="{00000000-0005-0000-0000-0000C99B0000}"/>
    <cellStyle name="Input [yellow] 4 2 3 4" xfId="39882" xr:uid="{00000000-0005-0000-0000-0000CA9B0000}"/>
    <cellStyle name="Input [yellow] 4 2 4" xfId="39883" xr:uid="{00000000-0005-0000-0000-0000CB9B0000}"/>
    <cellStyle name="Input [yellow] 4 2 4 2" xfId="39884" xr:uid="{00000000-0005-0000-0000-0000CC9B0000}"/>
    <cellStyle name="Input [yellow] 4 2 5" xfId="39885" xr:uid="{00000000-0005-0000-0000-0000CD9B0000}"/>
    <cellStyle name="Input [yellow] 4 2 5 2" xfId="39886" xr:uid="{00000000-0005-0000-0000-0000CE9B0000}"/>
    <cellStyle name="Input [yellow] 4 2 6" xfId="39887" xr:uid="{00000000-0005-0000-0000-0000CF9B0000}"/>
    <cellStyle name="Input [yellow] 4 3" xfId="39888" xr:uid="{00000000-0005-0000-0000-0000D09B0000}"/>
    <cellStyle name="Input [yellow] 4 3 2" xfId="39889" xr:uid="{00000000-0005-0000-0000-0000D19B0000}"/>
    <cellStyle name="Input [yellow] 4 3 2 2" xfId="39890" xr:uid="{00000000-0005-0000-0000-0000D29B0000}"/>
    <cellStyle name="Input [yellow] 4 3 2 2 2" xfId="39891" xr:uid="{00000000-0005-0000-0000-0000D39B0000}"/>
    <cellStyle name="Input [yellow] 4 3 2 3" xfId="39892" xr:uid="{00000000-0005-0000-0000-0000D49B0000}"/>
    <cellStyle name="Input [yellow] 4 3 2 3 2" xfId="39893" xr:uid="{00000000-0005-0000-0000-0000D59B0000}"/>
    <cellStyle name="Input [yellow] 4 3 2 4" xfId="39894" xr:uid="{00000000-0005-0000-0000-0000D69B0000}"/>
    <cellStyle name="Input [yellow] 4 3 3" xfId="39895" xr:uid="{00000000-0005-0000-0000-0000D79B0000}"/>
    <cellStyle name="Input [yellow] 4 3 3 2" xfId="39896" xr:uid="{00000000-0005-0000-0000-0000D89B0000}"/>
    <cellStyle name="Input [yellow] 4 3 3 2 2" xfId="39897" xr:uid="{00000000-0005-0000-0000-0000D99B0000}"/>
    <cellStyle name="Input [yellow] 4 3 3 3" xfId="39898" xr:uid="{00000000-0005-0000-0000-0000DA9B0000}"/>
    <cellStyle name="Input [yellow] 4 3 3 3 2" xfId="39899" xr:uid="{00000000-0005-0000-0000-0000DB9B0000}"/>
    <cellStyle name="Input [yellow] 4 3 3 4" xfId="39900" xr:uid="{00000000-0005-0000-0000-0000DC9B0000}"/>
    <cellStyle name="Input [yellow] 4 3 4" xfId="39901" xr:uid="{00000000-0005-0000-0000-0000DD9B0000}"/>
    <cellStyle name="Input [yellow] 4 3 4 2" xfId="39902" xr:uid="{00000000-0005-0000-0000-0000DE9B0000}"/>
    <cellStyle name="Input [yellow] 4 3 5" xfId="39903" xr:uid="{00000000-0005-0000-0000-0000DF9B0000}"/>
    <cellStyle name="Input [yellow] 4 3 5 2" xfId="39904" xr:uid="{00000000-0005-0000-0000-0000E09B0000}"/>
    <cellStyle name="Input [yellow] 4 3 6" xfId="39905" xr:uid="{00000000-0005-0000-0000-0000E19B0000}"/>
    <cellStyle name="Input [yellow] 4 4" xfId="39906" xr:uid="{00000000-0005-0000-0000-0000E29B0000}"/>
    <cellStyle name="Input [yellow] 4 4 2" xfId="39907" xr:uid="{00000000-0005-0000-0000-0000E39B0000}"/>
    <cellStyle name="Input [yellow] 4 4 2 2" xfId="39908" xr:uid="{00000000-0005-0000-0000-0000E49B0000}"/>
    <cellStyle name="Input [yellow] 4 4 2 2 2" xfId="39909" xr:uid="{00000000-0005-0000-0000-0000E59B0000}"/>
    <cellStyle name="Input [yellow] 4 4 2 3" xfId="39910" xr:uid="{00000000-0005-0000-0000-0000E69B0000}"/>
    <cellStyle name="Input [yellow] 4 4 2 3 2" xfId="39911" xr:uid="{00000000-0005-0000-0000-0000E79B0000}"/>
    <cellStyle name="Input [yellow] 4 4 2 4" xfId="39912" xr:uid="{00000000-0005-0000-0000-0000E89B0000}"/>
    <cellStyle name="Input [yellow] 4 4 3" xfId="39913" xr:uid="{00000000-0005-0000-0000-0000E99B0000}"/>
    <cellStyle name="Input [yellow] 4 4 3 2" xfId="39914" xr:uid="{00000000-0005-0000-0000-0000EA9B0000}"/>
    <cellStyle name="Input [yellow] 4 4 3 2 2" xfId="39915" xr:uid="{00000000-0005-0000-0000-0000EB9B0000}"/>
    <cellStyle name="Input [yellow] 4 4 3 3" xfId="39916" xr:uid="{00000000-0005-0000-0000-0000EC9B0000}"/>
    <cellStyle name="Input [yellow] 4 4 3 3 2" xfId="39917" xr:uid="{00000000-0005-0000-0000-0000ED9B0000}"/>
    <cellStyle name="Input [yellow] 4 4 3 4" xfId="39918" xr:uid="{00000000-0005-0000-0000-0000EE9B0000}"/>
    <cellStyle name="Input [yellow] 4 4 4" xfId="39919" xr:uid="{00000000-0005-0000-0000-0000EF9B0000}"/>
    <cellStyle name="Input [yellow] 4 4 4 2" xfId="39920" xr:uid="{00000000-0005-0000-0000-0000F09B0000}"/>
    <cellStyle name="Input [yellow] 4 4 5" xfId="39921" xr:uid="{00000000-0005-0000-0000-0000F19B0000}"/>
    <cellStyle name="Input [yellow] 4 4 5 2" xfId="39922" xr:uid="{00000000-0005-0000-0000-0000F29B0000}"/>
    <cellStyle name="Input [yellow] 4 4 6" xfId="39923" xr:uid="{00000000-0005-0000-0000-0000F39B0000}"/>
    <cellStyle name="Input [yellow] 4 5" xfId="39924" xr:uid="{00000000-0005-0000-0000-0000F49B0000}"/>
    <cellStyle name="Input [yellow] 4 5 2" xfId="39925" xr:uid="{00000000-0005-0000-0000-0000F59B0000}"/>
    <cellStyle name="Input [yellow] 4 5 2 2" xfId="39926" xr:uid="{00000000-0005-0000-0000-0000F69B0000}"/>
    <cellStyle name="Input [yellow] 4 5 2 2 2" xfId="39927" xr:uid="{00000000-0005-0000-0000-0000F79B0000}"/>
    <cellStyle name="Input [yellow] 4 5 2 3" xfId="39928" xr:uid="{00000000-0005-0000-0000-0000F89B0000}"/>
    <cellStyle name="Input [yellow] 4 5 2 3 2" xfId="39929" xr:uid="{00000000-0005-0000-0000-0000F99B0000}"/>
    <cellStyle name="Input [yellow] 4 5 2 4" xfId="39930" xr:uid="{00000000-0005-0000-0000-0000FA9B0000}"/>
    <cellStyle name="Input [yellow] 4 5 3" xfId="39931" xr:uid="{00000000-0005-0000-0000-0000FB9B0000}"/>
    <cellStyle name="Input [yellow] 4 5 3 2" xfId="39932" xr:uid="{00000000-0005-0000-0000-0000FC9B0000}"/>
    <cellStyle name="Input [yellow] 4 5 3 2 2" xfId="39933" xr:uid="{00000000-0005-0000-0000-0000FD9B0000}"/>
    <cellStyle name="Input [yellow] 4 5 3 3" xfId="39934" xr:uid="{00000000-0005-0000-0000-0000FE9B0000}"/>
    <cellStyle name="Input [yellow] 4 5 3 3 2" xfId="39935" xr:uid="{00000000-0005-0000-0000-0000FF9B0000}"/>
    <cellStyle name="Input [yellow] 4 5 3 4" xfId="39936" xr:uid="{00000000-0005-0000-0000-0000009C0000}"/>
    <cellStyle name="Input [yellow] 4 5 4" xfId="39937" xr:uid="{00000000-0005-0000-0000-0000019C0000}"/>
    <cellStyle name="Input [yellow] 4 5 4 2" xfId="39938" xr:uid="{00000000-0005-0000-0000-0000029C0000}"/>
    <cellStyle name="Input [yellow] 4 5 5" xfId="39939" xr:uid="{00000000-0005-0000-0000-0000039C0000}"/>
    <cellStyle name="Input [yellow] 4 5 5 2" xfId="39940" xr:uid="{00000000-0005-0000-0000-0000049C0000}"/>
    <cellStyle name="Input [yellow] 4 5 6" xfId="39941" xr:uid="{00000000-0005-0000-0000-0000059C0000}"/>
    <cellStyle name="Input [yellow] 4 6" xfId="39942" xr:uid="{00000000-0005-0000-0000-0000069C0000}"/>
    <cellStyle name="Input [yellow] 4 6 2" xfId="39943" xr:uid="{00000000-0005-0000-0000-0000079C0000}"/>
    <cellStyle name="Input [yellow] 4 6 2 2" xfId="39944" xr:uid="{00000000-0005-0000-0000-0000089C0000}"/>
    <cellStyle name="Input [yellow] 4 6 2 2 2" xfId="39945" xr:uid="{00000000-0005-0000-0000-0000099C0000}"/>
    <cellStyle name="Input [yellow] 4 6 2 3" xfId="39946" xr:uid="{00000000-0005-0000-0000-00000A9C0000}"/>
    <cellStyle name="Input [yellow] 4 6 2 3 2" xfId="39947" xr:uid="{00000000-0005-0000-0000-00000B9C0000}"/>
    <cellStyle name="Input [yellow] 4 6 2 4" xfId="39948" xr:uid="{00000000-0005-0000-0000-00000C9C0000}"/>
    <cellStyle name="Input [yellow] 4 6 3" xfId="39949" xr:uid="{00000000-0005-0000-0000-00000D9C0000}"/>
    <cellStyle name="Input [yellow] 4 6 3 2" xfId="39950" xr:uid="{00000000-0005-0000-0000-00000E9C0000}"/>
    <cellStyle name="Input [yellow] 4 6 3 2 2" xfId="39951" xr:uid="{00000000-0005-0000-0000-00000F9C0000}"/>
    <cellStyle name="Input [yellow] 4 6 3 3" xfId="39952" xr:uid="{00000000-0005-0000-0000-0000109C0000}"/>
    <cellStyle name="Input [yellow] 4 6 3 3 2" xfId="39953" xr:uid="{00000000-0005-0000-0000-0000119C0000}"/>
    <cellStyle name="Input [yellow] 4 6 3 4" xfId="39954" xr:uid="{00000000-0005-0000-0000-0000129C0000}"/>
    <cellStyle name="Input [yellow] 4 6 4" xfId="39955" xr:uid="{00000000-0005-0000-0000-0000139C0000}"/>
    <cellStyle name="Input [yellow] 4 6 4 2" xfId="39956" xr:uid="{00000000-0005-0000-0000-0000149C0000}"/>
    <cellStyle name="Input [yellow] 4 6 5" xfId="39957" xr:uid="{00000000-0005-0000-0000-0000159C0000}"/>
    <cellStyle name="Input [yellow] 4 6 5 2" xfId="39958" xr:uid="{00000000-0005-0000-0000-0000169C0000}"/>
    <cellStyle name="Input [yellow] 4 6 6" xfId="39959" xr:uid="{00000000-0005-0000-0000-0000179C0000}"/>
    <cellStyle name="Input [yellow] 4 7" xfId="39960" xr:uid="{00000000-0005-0000-0000-0000189C0000}"/>
    <cellStyle name="Input [yellow] 4 7 2" xfId="39961" xr:uid="{00000000-0005-0000-0000-0000199C0000}"/>
    <cellStyle name="Input [yellow] 4 7 2 2" xfId="39962" xr:uid="{00000000-0005-0000-0000-00001A9C0000}"/>
    <cellStyle name="Input [yellow] 4 7 3" xfId="39963" xr:uid="{00000000-0005-0000-0000-00001B9C0000}"/>
    <cellStyle name="Input [yellow] 4 7 3 2" xfId="39964" xr:uid="{00000000-0005-0000-0000-00001C9C0000}"/>
    <cellStyle name="Input [yellow] 4 7 4" xfId="39965" xr:uid="{00000000-0005-0000-0000-00001D9C0000}"/>
    <cellStyle name="Input [yellow] 4 8" xfId="39966" xr:uid="{00000000-0005-0000-0000-00001E9C0000}"/>
    <cellStyle name="Input [yellow] 4 8 2" xfId="39967" xr:uid="{00000000-0005-0000-0000-00001F9C0000}"/>
    <cellStyle name="Input [yellow] 4 8 2 2" xfId="39968" xr:uid="{00000000-0005-0000-0000-0000209C0000}"/>
    <cellStyle name="Input [yellow] 4 8 3" xfId="39969" xr:uid="{00000000-0005-0000-0000-0000219C0000}"/>
    <cellStyle name="Input [yellow] 4 8 3 2" xfId="39970" xr:uid="{00000000-0005-0000-0000-0000229C0000}"/>
    <cellStyle name="Input [yellow] 4 8 4" xfId="39971" xr:uid="{00000000-0005-0000-0000-0000239C0000}"/>
    <cellStyle name="Input [yellow] 4 9" xfId="39972" xr:uid="{00000000-0005-0000-0000-0000249C0000}"/>
    <cellStyle name="Input [yellow] 4 9 2" xfId="39973" xr:uid="{00000000-0005-0000-0000-0000259C0000}"/>
    <cellStyle name="Input [yellow] 5" xfId="39974" xr:uid="{00000000-0005-0000-0000-0000269C0000}"/>
    <cellStyle name="Input [yellow] 5 10" xfId="39975" xr:uid="{00000000-0005-0000-0000-0000279C0000}"/>
    <cellStyle name="Input [yellow] 5 10 2" xfId="39976" xr:uid="{00000000-0005-0000-0000-0000289C0000}"/>
    <cellStyle name="Input [yellow] 5 11" xfId="39977" xr:uid="{00000000-0005-0000-0000-0000299C0000}"/>
    <cellStyle name="Input [yellow] 5 2" xfId="39978" xr:uid="{00000000-0005-0000-0000-00002A9C0000}"/>
    <cellStyle name="Input [yellow] 5 2 2" xfId="39979" xr:uid="{00000000-0005-0000-0000-00002B9C0000}"/>
    <cellStyle name="Input [yellow] 5 2 2 2" xfId="39980" xr:uid="{00000000-0005-0000-0000-00002C9C0000}"/>
    <cellStyle name="Input [yellow] 5 2 2 2 2" xfId="39981" xr:uid="{00000000-0005-0000-0000-00002D9C0000}"/>
    <cellStyle name="Input [yellow] 5 2 2 3" xfId="39982" xr:uid="{00000000-0005-0000-0000-00002E9C0000}"/>
    <cellStyle name="Input [yellow] 5 2 2 3 2" xfId="39983" xr:uid="{00000000-0005-0000-0000-00002F9C0000}"/>
    <cellStyle name="Input [yellow] 5 2 2 4" xfId="39984" xr:uid="{00000000-0005-0000-0000-0000309C0000}"/>
    <cellStyle name="Input [yellow] 5 2 3" xfId="39985" xr:uid="{00000000-0005-0000-0000-0000319C0000}"/>
    <cellStyle name="Input [yellow] 5 2 3 2" xfId="39986" xr:uid="{00000000-0005-0000-0000-0000329C0000}"/>
    <cellStyle name="Input [yellow] 5 2 3 2 2" xfId="39987" xr:uid="{00000000-0005-0000-0000-0000339C0000}"/>
    <cellStyle name="Input [yellow] 5 2 3 3" xfId="39988" xr:uid="{00000000-0005-0000-0000-0000349C0000}"/>
    <cellStyle name="Input [yellow] 5 2 3 3 2" xfId="39989" xr:uid="{00000000-0005-0000-0000-0000359C0000}"/>
    <cellStyle name="Input [yellow] 5 2 3 4" xfId="39990" xr:uid="{00000000-0005-0000-0000-0000369C0000}"/>
    <cellStyle name="Input [yellow] 5 2 4" xfId="39991" xr:uid="{00000000-0005-0000-0000-0000379C0000}"/>
    <cellStyle name="Input [yellow] 5 2 4 2" xfId="39992" xr:uid="{00000000-0005-0000-0000-0000389C0000}"/>
    <cellStyle name="Input [yellow] 5 2 5" xfId="39993" xr:uid="{00000000-0005-0000-0000-0000399C0000}"/>
    <cellStyle name="Input [yellow] 5 2 5 2" xfId="39994" xr:uid="{00000000-0005-0000-0000-00003A9C0000}"/>
    <cellStyle name="Input [yellow] 5 2 6" xfId="39995" xr:uid="{00000000-0005-0000-0000-00003B9C0000}"/>
    <cellStyle name="Input [yellow] 5 3" xfId="39996" xr:uid="{00000000-0005-0000-0000-00003C9C0000}"/>
    <cellStyle name="Input [yellow] 5 3 2" xfId="39997" xr:uid="{00000000-0005-0000-0000-00003D9C0000}"/>
    <cellStyle name="Input [yellow] 5 3 2 2" xfId="39998" xr:uid="{00000000-0005-0000-0000-00003E9C0000}"/>
    <cellStyle name="Input [yellow] 5 3 2 2 2" xfId="39999" xr:uid="{00000000-0005-0000-0000-00003F9C0000}"/>
    <cellStyle name="Input [yellow] 5 3 2 3" xfId="40000" xr:uid="{00000000-0005-0000-0000-0000409C0000}"/>
    <cellStyle name="Input [yellow] 5 3 2 3 2" xfId="40001" xr:uid="{00000000-0005-0000-0000-0000419C0000}"/>
    <cellStyle name="Input [yellow] 5 3 2 4" xfId="40002" xr:uid="{00000000-0005-0000-0000-0000429C0000}"/>
    <cellStyle name="Input [yellow] 5 3 3" xfId="40003" xr:uid="{00000000-0005-0000-0000-0000439C0000}"/>
    <cellStyle name="Input [yellow] 5 3 3 2" xfId="40004" xr:uid="{00000000-0005-0000-0000-0000449C0000}"/>
    <cellStyle name="Input [yellow] 5 3 3 2 2" xfId="40005" xr:uid="{00000000-0005-0000-0000-0000459C0000}"/>
    <cellStyle name="Input [yellow] 5 3 3 3" xfId="40006" xr:uid="{00000000-0005-0000-0000-0000469C0000}"/>
    <cellStyle name="Input [yellow] 5 3 3 3 2" xfId="40007" xr:uid="{00000000-0005-0000-0000-0000479C0000}"/>
    <cellStyle name="Input [yellow] 5 3 3 4" xfId="40008" xr:uid="{00000000-0005-0000-0000-0000489C0000}"/>
    <cellStyle name="Input [yellow] 5 3 4" xfId="40009" xr:uid="{00000000-0005-0000-0000-0000499C0000}"/>
    <cellStyle name="Input [yellow] 5 3 4 2" xfId="40010" xr:uid="{00000000-0005-0000-0000-00004A9C0000}"/>
    <cellStyle name="Input [yellow] 5 3 5" xfId="40011" xr:uid="{00000000-0005-0000-0000-00004B9C0000}"/>
    <cellStyle name="Input [yellow] 5 3 5 2" xfId="40012" xr:uid="{00000000-0005-0000-0000-00004C9C0000}"/>
    <cellStyle name="Input [yellow] 5 3 6" xfId="40013" xr:uid="{00000000-0005-0000-0000-00004D9C0000}"/>
    <cellStyle name="Input [yellow] 5 4" xfId="40014" xr:uid="{00000000-0005-0000-0000-00004E9C0000}"/>
    <cellStyle name="Input [yellow] 5 4 2" xfId="40015" xr:uid="{00000000-0005-0000-0000-00004F9C0000}"/>
    <cellStyle name="Input [yellow] 5 4 2 2" xfId="40016" xr:uid="{00000000-0005-0000-0000-0000509C0000}"/>
    <cellStyle name="Input [yellow] 5 4 2 2 2" xfId="40017" xr:uid="{00000000-0005-0000-0000-0000519C0000}"/>
    <cellStyle name="Input [yellow] 5 4 2 3" xfId="40018" xr:uid="{00000000-0005-0000-0000-0000529C0000}"/>
    <cellStyle name="Input [yellow] 5 4 2 3 2" xfId="40019" xr:uid="{00000000-0005-0000-0000-0000539C0000}"/>
    <cellStyle name="Input [yellow] 5 4 2 4" xfId="40020" xr:uid="{00000000-0005-0000-0000-0000549C0000}"/>
    <cellStyle name="Input [yellow] 5 4 3" xfId="40021" xr:uid="{00000000-0005-0000-0000-0000559C0000}"/>
    <cellStyle name="Input [yellow] 5 4 3 2" xfId="40022" xr:uid="{00000000-0005-0000-0000-0000569C0000}"/>
    <cellStyle name="Input [yellow] 5 4 3 2 2" xfId="40023" xr:uid="{00000000-0005-0000-0000-0000579C0000}"/>
    <cellStyle name="Input [yellow] 5 4 3 3" xfId="40024" xr:uid="{00000000-0005-0000-0000-0000589C0000}"/>
    <cellStyle name="Input [yellow] 5 4 3 3 2" xfId="40025" xr:uid="{00000000-0005-0000-0000-0000599C0000}"/>
    <cellStyle name="Input [yellow] 5 4 3 4" xfId="40026" xr:uid="{00000000-0005-0000-0000-00005A9C0000}"/>
    <cellStyle name="Input [yellow] 5 4 4" xfId="40027" xr:uid="{00000000-0005-0000-0000-00005B9C0000}"/>
    <cellStyle name="Input [yellow] 5 4 4 2" xfId="40028" xr:uid="{00000000-0005-0000-0000-00005C9C0000}"/>
    <cellStyle name="Input [yellow] 5 4 5" xfId="40029" xr:uid="{00000000-0005-0000-0000-00005D9C0000}"/>
    <cellStyle name="Input [yellow] 5 4 5 2" xfId="40030" xr:uid="{00000000-0005-0000-0000-00005E9C0000}"/>
    <cellStyle name="Input [yellow] 5 4 6" xfId="40031" xr:uid="{00000000-0005-0000-0000-00005F9C0000}"/>
    <cellStyle name="Input [yellow] 5 5" xfId="40032" xr:uid="{00000000-0005-0000-0000-0000609C0000}"/>
    <cellStyle name="Input [yellow] 5 5 2" xfId="40033" xr:uid="{00000000-0005-0000-0000-0000619C0000}"/>
    <cellStyle name="Input [yellow] 5 5 2 2" xfId="40034" xr:uid="{00000000-0005-0000-0000-0000629C0000}"/>
    <cellStyle name="Input [yellow] 5 5 2 2 2" xfId="40035" xr:uid="{00000000-0005-0000-0000-0000639C0000}"/>
    <cellStyle name="Input [yellow] 5 5 2 3" xfId="40036" xr:uid="{00000000-0005-0000-0000-0000649C0000}"/>
    <cellStyle name="Input [yellow] 5 5 2 3 2" xfId="40037" xr:uid="{00000000-0005-0000-0000-0000659C0000}"/>
    <cellStyle name="Input [yellow] 5 5 2 4" xfId="40038" xr:uid="{00000000-0005-0000-0000-0000669C0000}"/>
    <cellStyle name="Input [yellow] 5 5 3" xfId="40039" xr:uid="{00000000-0005-0000-0000-0000679C0000}"/>
    <cellStyle name="Input [yellow] 5 5 3 2" xfId="40040" xr:uid="{00000000-0005-0000-0000-0000689C0000}"/>
    <cellStyle name="Input [yellow] 5 5 3 2 2" xfId="40041" xr:uid="{00000000-0005-0000-0000-0000699C0000}"/>
    <cellStyle name="Input [yellow] 5 5 3 3" xfId="40042" xr:uid="{00000000-0005-0000-0000-00006A9C0000}"/>
    <cellStyle name="Input [yellow] 5 5 3 3 2" xfId="40043" xr:uid="{00000000-0005-0000-0000-00006B9C0000}"/>
    <cellStyle name="Input [yellow] 5 5 3 4" xfId="40044" xr:uid="{00000000-0005-0000-0000-00006C9C0000}"/>
    <cellStyle name="Input [yellow] 5 5 4" xfId="40045" xr:uid="{00000000-0005-0000-0000-00006D9C0000}"/>
    <cellStyle name="Input [yellow] 5 5 4 2" xfId="40046" xr:uid="{00000000-0005-0000-0000-00006E9C0000}"/>
    <cellStyle name="Input [yellow] 5 5 5" xfId="40047" xr:uid="{00000000-0005-0000-0000-00006F9C0000}"/>
    <cellStyle name="Input [yellow] 5 5 5 2" xfId="40048" xr:uid="{00000000-0005-0000-0000-0000709C0000}"/>
    <cellStyle name="Input [yellow] 5 5 6" xfId="40049" xr:uid="{00000000-0005-0000-0000-0000719C0000}"/>
    <cellStyle name="Input [yellow] 5 6" xfId="40050" xr:uid="{00000000-0005-0000-0000-0000729C0000}"/>
    <cellStyle name="Input [yellow] 5 6 2" xfId="40051" xr:uid="{00000000-0005-0000-0000-0000739C0000}"/>
    <cellStyle name="Input [yellow] 5 6 2 2" xfId="40052" xr:uid="{00000000-0005-0000-0000-0000749C0000}"/>
    <cellStyle name="Input [yellow] 5 6 2 2 2" xfId="40053" xr:uid="{00000000-0005-0000-0000-0000759C0000}"/>
    <cellStyle name="Input [yellow] 5 6 2 3" xfId="40054" xr:uid="{00000000-0005-0000-0000-0000769C0000}"/>
    <cellStyle name="Input [yellow] 5 6 2 3 2" xfId="40055" xr:uid="{00000000-0005-0000-0000-0000779C0000}"/>
    <cellStyle name="Input [yellow] 5 6 2 4" xfId="40056" xr:uid="{00000000-0005-0000-0000-0000789C0000}"/>
    <cellStyle name="Input [yellow] 5 6 3" xfId="40057" xr:uid="{00000000-0005-0000-0000-0000799C0000}"/>
    <cellStyle name="Input [yellow] 5 6 3 2" xfId="40058" xr:uid="{00000000-0005-0000-0000-00007A9C0000}"/>
    <cellStyle name="Input [yellow] 5 6 3 2 2" xfId="40059" xr:uid="{00000000-0005-0000-0000-00007B9C0000}"/>
    <cellStyle name="Input [yellow] 5 6 3 3" xfId="40060" xr:uid="{00000000-0005-0000-0000-00007C9C0000}"/>
    <cellStyle name="Input [yellow] 5 6 3 3 2" xfId="40061" xr:uid="{00000000-0005-0000-0000-00007D9C0000}"/>
    <cellStyle name="Input [yellow] 5 6 3 4" xfId="40062" xr:uid="{00000000-0005-0000-0000-00007E9C0000}"/>
    <cellStyle name="Input [yellow] 5 6 4" xfId="40063" xr:uid="{00000000-0005-0000-0000-00007F9C0000}"/>
    <cellStyle name="Input [yellow] 5 6 4 2" xfId="40064" xr:uid="{00000000-0005-0000-0000-0000809C0000}"/>
    <cellStyle name="Input [yellow] 5 6 5" xfId="40065" xr:uid="{00000000-0005-0000-0000-0000819C0000}"/>
    <cellStyle name="Input [yellow] 5 6 5 2" xfId="40066" xr:uid="{00000000-0005-0000-0000-0000829C0000}"/>
    <cellStyle name="Input [yellow] 5 6 6" xfId="40067" xr:uid="{00000000-0005-0000-0000-0000839C0000}"/>
    <cellStyle name="Input [yellow] 5 7" xfId="40068" xr:uid="{00000000-0005-0000-0000-0000849C0000}"/>
    <cellStyle name="Input [yellow] 5 7 2" xfId="40069" xr:uid="{00000000-0005-0000-0000-0000859C0000}"/>
    <cellStyle name="Input [yellow] 5 7 2 2" xfId="40070" xr:uid="{00000000-0005-0000-0000-0000869C0000}"/>
    <cellStyle name="Input [yellow] 5 7 3" xfId="40071" xr:uid="{00000000-0005-0000-0000-0000879C0000}"/>
    <cellStyle name="Input [yellow] 5 7 3 2" xfId="40072" xr:uid="{00000000-0005-0000-0000-0000889C0000}"/>
    <cellStyle name="Input [yellow] 5 7 4" xfId="40073" xr:uid="{00000000-0005-0000-0000-0000899C0000}"/>
    <cellStyle name="Input [yellow] 5 8" xfId="40074" xr:uid="{00000000-0005-0000-0000-00008A9C0000}"/>
    <cellStyle name="Input [yellow] 5 8 2" xfId="40075" xr:uid="{00000000-0005-0000-0000-00008B9C0000}"/>
    <cellStyle name="Input [yellow] 5 8 2 2" xfId="40076" xr:uid="{00000000-0005-0000-0000-00008C9C0000}"/>
    <cellStyle name="Input [yellow] 5 8 3" xfId="40077" xr:uid="{00000000-0005-0000-0000-00008D9C0000}"/>
    <cellStyle name="Input [yellow] 5 8 3 2" xfId="40078" xr:uid="{00000000-0005-0000-0000-00008E9C0000}"/>
    <cellStyle name="Input [yellow] 5 8 4" xfId="40079" xr:uid="{00000000-0005-0000-0000-00008F9C0000}"/>
    <cellStyle name="Input [yellow] 5 9" xfId="40080" xr:uid="{00000000-0005-0000-0000-0000909C0000}"/>
    <cellStyle name="Input [yellow] 5 9 2" xfId="40081" xr:uid="{00000000-0005-0000-0000-0000919C0000}"/>
    <cellStyle name="Input [yellow] 6" xfId="40082" xr:uid="{00000000-0005-0000-0000-0000929C0000}"/>
    <cellStyle name="Input [yellow] 6 2" xfId="40083" xr:uid="{00000000-0005-0000-0000-0000939C0000}"/>
    <cellStyle name="Input [yellow] 6 2 2" xfId="40084" xr:uid="{00000000-0005-0000-0000-0000949C0000}"/>
    <cellStyle name="Input [yellow] 6 2 2 2" xfId="40085" xr:uid="{00000000-0005-0000-0000-0000959C0000}"/>
    <cellStyle name="Input [yellow] 6 2 3" xfId="40086" xr:uid="{00000000-0005-0000-0000-0000969C0000}"/>
    <cellStyle name="Input [yellow] 6 2 3 2" xfId="40087" xr:uid="{00000000-0005-0000-0000-0000979C0000}"/>
    <cellStyle name="Input [yellow] 6 2 4" xfId="40088" xr:uid="{00000000-0005-0000-0000-0000989C0000}"/>
    <cellStyle name="Input [yellow] 6 3" xfId="40089" xr:uid="{00000000-0005-0000-0000-0000999C0000}"/>
    <cellStyle name="Input [yellow] 6 3 2" xfId="40090" xr:uid="{00000000-0005-0000-0000-00009A9C0000}"/>
    <cellStyle name="Input [yellow] 6 3 2 2" xfId="40091" xr:uid="{00000000-0005-0000-0000-00009B9C0000}"/>
    <cellStyle name="Input [yellow] 6 3 3" xfId="40092" xr:uid="{00000000-0005-0000-0000-00009C9C0000}"/>
    <cellStyle name="Input [yellow] 6 3 3 2" xfId="40093" xr:uid="{00000000-0005-0000-0000-00009D9C0000}"/>
    <cellStyle name="Input [yellow] 6 3 4" xfId="40094" xr:uid="{00000000-0005-0000-0000-00009E9C0000}"/>
    <cellStyle name="Input [yellow] 6 4" xfId="40095" xr:uid="{00000000-0005-0000-0000-00009F9C0000}"/>
    <cellStyle name="Input [yellow] 6 4 2" xfId="40096" xr:uid="{00000000-0005-0000-0000-0000A09C0000}"/>
    <cellStyle name="Input [yellow] 6 5" xfId="40097" xr:uid="{00000000-0005-0000-0000-0000A19C0000}"/>
    <cellStyle name="Input [yellow] 6 5 2" xfId="40098" xr:uid="{00000000-0005-0000-0000-0000A29C0000}"/>
    <cellStyle name="Input [yellow] 6 6" xfId="40099" xr:uid="{00000000-0005-0000-0000-0000A39C0000}"/>
    <cellStyle name="Input [yellow] 7" xfId="40100" xr:uid="{00000000-0005-0000-0000-0000A49C0000}"/>
    <cellStyle name="Input [yellow] 7 2" xfId="40101" xr:uid="{00000000-0005-0000-0000-0000A59C0000}"/>
    <cellStyle name="Input [yellow] 7 2 2" xfId="40102" xr:uid="{00000000-0005-0000-0000-0000A69C0000}"/>
    <cellStyle name="Input [yellow] 7 2 2 2" xfId="40103" xr:uid="{00000000-0005-0000-0000-0000A79C0000}"/>
    <cellStyle name="Input [yellow] 7 2 3" xfId="40104" xr:uid="{00000000-0005-0000-0000-0000A89C0000}"/>
    <cellStyle name="Input [yellow] 7 2 3 2" xfId="40105" xr:uid="{00000000-0005-0000-0000-0000A99C0000}"/>
    <cellStyle name="Input [yellow] 7 2 4" xfId="40106" xr:uid="{00000000-0005-0000-0000-0000AA9C0000}"/>
    <cellStyle name="Input [yellow] 7 3" xfId="40107" xr:uid="{00000000-0005-0000-0000-0000AB9C0000}"/>
    <cellStyle name="Input [yellow] 7 3 2" xfId="40108" xr:uid="{00000000-0005-0000-0000-0000AC9C0000}"/>
    <cellStyle name="Input [yellow] 7 3 2 2" xfId="40109" xr:uid="{00000000-0005-0000-0000-0000AD9C0000}"/>
    <cellStyle name="Input [yellow] 7 3 3" xfId="40110" xr:uid="{00000000-0005-0000-0000-0000AE9C0000}"/>
    <cellStyle name="Input [yellow] 7 3 3 2" xfId="40111" xr:uid="{00000000-0005-0000-0000-0000AF9C0000}"/>
    <cellStyle name="Input [yellow] 7 3 4" xfId="40112" xr:uid="{00000000-0005-0000-0000-0000B09C0000}"/>
    <cellStyle name="Input [yellow] 7 4" xfId="40113" xr:uid="{00000000-0005-0000-0000-0000B19C0000}"/>
    <cellStyle name="Input [yellow] 7 4 2" xfId="40114" xr:uid="{00000000-0005-0000-0000-0000B29C0000}"/>
    <cellStyle name="Input [yellow] 7 5" xfId="40115" xr:uid="{00000000-0005-0000-0000-0000B39C0000}"/>
    <cellStyle name="Input [yellow] 7 5 2" xfId="40116" xr:uid="{00000000-0005-0000-0000-0000B49C0000}"/>
    <cellStyle name="Input [yellow] 7 6" xfId="40117" xr:uid="{00000000-0005-0000-0000-0000B59C0000}"/>
    <cellStyle name="Input [yellow] 8" xfId="40118" xr:uid="{00000000-0005-0000-0000-0000B69C0000}"/>
    <cellStyle name="Input [yellow] 8 2" xfId="40119" xr:uid="{00000000-0005-0000-0000-0000B79C0000}"/>
    <cellStyle name="Input [yellow] 8 2 2" xfId="40120" xr:uid="{00000000-0005-0000-0000-0000B89C0000}"/>
    <cellStyle name="Input [yellow] 8 3" xfId="40121" xr:uid="{00000000-0005-0000-0000-0000B99C0000}"/>
    <cellStyle name="Input [yellow] 8 3 2" xfId="40122" xr:uid="{00000000-0005-0000-0000-0000BA9C0000}"/>
    <cellStyle name="Input [yellow] 8 4" xfId="40123" xr:uid="{00000000-0005-0000-0000-0000BB9C0000}"/>
    <cellStyle name="Input [yellow] 8 5" xfId="40124" xr:uid="{00000000-0005-0000-0000-0000BC9C0000}"/>
    <cellStyle name="Input [yellow] 9" xfId="40125" xr:uid="{00000000-0005-0000-0000-0000BD9C0000}"/>
    <cellStyle name="Input [yellow] 9 2" xfId="40126" xr:uid="{00000000-0005-0000-0000-0000BE9C0000}"/>
    <cellStyle name="Input [yellow] 9 2 2" xfId="40127" xr:uid="{00000000-0005-0000-0000-0000BF9C0000}"/>
    <cellStyle name="Input [yellow] 9 3" xfId="40128" xr:uid="{00000000-0005-0000-0000-0000C09C0000}"/>
    <cellStyle name="Input [yellow] 9 3 2" xfId="40129" xr:uid="{00000000-0005-0000-0000-0000C19C0000}"/>
    <cellStyle name="Input [yellow] 9 4" xfId="40130" xr:uid="{00000000-0005-0000-0000-0000C29C0000}"/>
    <cellStyle name="Input [yellow] 9 5" xfId="40131" xr:uid="{00000000-0005-0000-0000-0000C39C0000}"/>
    <cellStyle name="Input 10" xfId="40132" xr:uid="{00000000-0005-0000-0000-0000C49C0000}"/>
    <cellStyle name="Input 10 10" xfId="40133" xr:uid="{00000000-0005-0000-0000-0000C59C0000}"/>
    <cellStyle name="Input 10 2" xfId="40134" xr:uid="{00000000-0005-0000-0000-0000C69C0000}"/>
    <cellStyle name="Input 10 2 2" xfId="40135" xr:uid="{00000000-0005-0000-0000-0000C79C0000}"/>
    <cellStyle name="Input 10 2 3" xfId="40136" xr:uid="{00000000-0005-0000-0000-0000C89C0000}"/>
    <cellStyle name="Input 10 2 4" xfId="40137" xr:uid="{00000000-0005-0000-0000-0000C99C0000}"/>
    <cellStyle name="Input 10 2 5" xfId="40138" xr:uid="{00000000-0005-0000-0000-0000CA9C0000}"/>
    <cellStyle name="Input 10 3" xfId="40139" xr:uid="{00000000-0005-0000-0000-0000CB9C0000}"/>
    <cellStyle name="Input 10 3 2" xfId="40140" xr:uid="{00000000-0005-0000-0000-0000CC9C0000}"/>
    <cellStyle name="Input 10 3 3" xfId="40141" xr:uid="{00000000-0005-0000-0000-0000CD9C0000}"/>
    <cellStyle name="Input 10 4" xfId="40142" xr:uid="{00000000-0005-0000-0000-0000CE9C0000}"/>
    <cellStyle name="Input 10 4 2" xfId="40143" xr:uid="{00000000-0005-0000-0000-0000CF9C0000}"/>
    <cellStyle name="Input 10 4 3" xfId="40144" xr:uid="{00000000-0005-0000-0000-0000D09C0000}"/>
    <cellStyle name="Input 10 5" xfId="40145" xr:uid="{00000000-0005-0000-0000-0000D19C0000}"/>
    <cellStyle name="Input 10 5 2" xfId="40146" xr:uid="{00000000-0005-0000-0000-0000D29C0000}"/>
    <cellStyle name="Input 10 5 3" xfId="40147" xr:uid="{00000000-0005-0000-0000-0000D39C0000}"/>
    <cellStyle name="Input 10 6" xfId="40148" xr:uid="{00000000-0005-0000-0000-0000D49C0000}"/>
    <cellStyle name="Input 10 6 2" xfId="40149" xr:uid="{00000000-0005-0000-0000-0000D59C0000}"/>
    <cellStyle name="Input 10 6 3" xfId="40150" xr:uid="{00000000-0005-0000-0000-0000D69C0000}"/>
    <cellStyle name="Input 10 7" xfId="40151" xr:uid="{00000000-0005-0000-0000-0000D79C0000}"/>
    <cellStyle name="Input 10 8" xfId="40152" xr:uid="{00000000-0005-0000-0000-0000D89C0000}"/>
    <cellStyle name="Input 10 9" xfId="40153" xr:uid="{00000000-0005-0000-0000-0000D99C0000}"/>
    <cellStyle name="Input 11" xfId="40154" xr:uid="{00000000-0005-0000-0000-0000DA9C0000}"/>
    <cellStyle name="Input 11 10" xfId="40155" xr:uid="{00000000-0005-0000-0000-0000DB9C0000}"/>
    <cellStyle name="Input 11 2" xfId="40156" xr:uid="{00000000-0005-0000-0000-0000DC9C0000}"/>
    <cellStyle name="Input 11 2 2" xfId="40157" xr:uid="{00000000-0005-0000-0000-0000DD9C0000}"/>
    <cellStyle name="Input 11 2 3" xfId="40158" xr:uid="{00000000-0005-0000-0000-0000DE9C0000}"/>
    <cellStyle name="Input 11 2 4" xfId="40159" xr:uid="{00000000-0005-0000-0000-0000DF9C0000}"/>
    <cellStyle name="Input 11 2 5" xfId="40160" xr:uid="{00000000-0005-0000-0000-0000E09C0000}"/>
    <cellStyle name="Input 11 3" xfId="40161" xr:uid="{00000000-0005-0000-0000-0000E19C0000}"/>
    <cellStyle name="Input 11 3 2" xfId="40162" xr:uid="{00000000-0005-0000-0000-0000E29C0000}"/>
    <cellStyle name="Input 11 3 3" xfId="40163" xr:uid="{00000000-0005-0000-0000-0000E39C0000}"/>
    <cellStyle name="Input 11 4" xfId="40164" xr:uid="{00000000-0005-0000-0000-0000E49C0000}"/>
    <cellStyle name="Input 11 4 2" xfId="40165" xr:uid="{00000000-0005-0000-0000-0000E59C0000}"/>
    <cellStyle name="Input 11 4 3" xfId="40166" xr:uid="{00000000-0005-0000-0000-0000E69C0000}"/>
    <cellStyle name="Input 11 5" xfId="40167" xr:uid="{00000000-0005-0000-0000-0000E79C0000}"/>
    <cellStyle name="Input 11 5 2" xfId="40168" xr:uid="{00000000-0005-0000-0000-0000E89C0000}"/>
    <cellStyle name="Input 11 5 3" xfId="40169" xr:uid="{00000000-0005-0000-0000-0000E99C0000}"/>
    <cellStyle name="Input 11 6" xfId="40170" xr:uid="{00000000-0005-0000-0000-0000EA9C0000}"/>
    <cellStyle name="Input 11 6 2" xfId="40171" xr:uid="{00000000-0005-0000-0000-0000EB9C0000}"/>
    <cellStyle name="Input 11 6 3" xfId="40172" xr:uid="{00000000-0005-0000-0000-0000EC9C0000}"/>
    <cellStyle name="Input 11 7" xfId="40173" xr:uid="{00000000-0005-0000-0000-0000ED9C0000}"/>
    <cellStyle name="Input 11 8" xfId="40174" xr:uid="{00000000-0005-0000-0000-0000EE9C0000}"/>
    <cellStyle name="Input 11 9" xfId="40175" xr:uid="{00000000-0005-0000-0000-0000EF9C0000}"/>
    <cellStyle name="Input 12" xfId="40176" xr:uid="{00000000-0005-0000-0000-0000F09C0000}"/>
    <cellStyle name="Input 12 10" xfId="40177" xr:uid="{00000000-0005-0000-0000-0000F19C0000}"/>
    <cellStyle name="Input 12 2" xfId="40178" xr:uid="{00000000-0005-0000-0000-0000F29C0000}"/>
    <cellStyle name="Input 12 2 2" xfId="40179" xr:uid="{00000000-0005-0000-0000-0000F39C0000}"/>
    <cellStyle name="Input 12 2 3" xfId="40180" xr:uid="{00000000-0005-0000-0000-0000F49C0000}"/>
    <cellStyle name="Input 12 2 4" xfId="40181" xr:uid="{00000000-0005-0000-0000-0000F59C0000}"/>
    <cellStyle name="Input 12 2 5" xfId="40182" xr:uid="{00000000-0005-0000-0000-0000F69C0000}"/>
    <cellStyle name="Input 12 3" xfId="40183" xr:uid="{00000000-0005-0000-0000-0000F79C0000}"/>
    <cellStyle name="Input 12 3 2" xfId="40184" xr:uid="{00000000-0005-0000-0000-0000F89C0000}"/>
    <cellStyle name="Input 12 3 3" xfId="40185" xr:uid="{00000000-0005-0000-0000-0000F99C0000}"/>
    <cellStyle name="Input 12 4" xfId="40186" xr:uid="{00000000-0005-0000-0000-0000FA9C0000}"/>
    <cellStyle name="Input 12 4 2" xfId="40187" xr:uid="{00000000-0005-0000-0000-0000FB9C0000}"/>
    <cellStyle name="Input 12 4 3" xfId="40188" xr:uid="{00000000-0005-0000-0000-0000FC9C0000}"/>
    <cellStyle name="Input 12 5" xfId="40189" xr:uid="{00000000-0005-0000-0000-0000FD9C0000}"/>
    <cellStyle name="Input 12 5 2" xfId="40190" xr:uid="{00000000-0005-0000-0000-0000FE9C0000}"/>
    <cellStyle name="Input 12 5 3" xfId="40191" xr:uid="{00000000-0005-0000-0000-0000FF9C0000}"/>
    <cellStyle name="Input 12 6" xfId="40192" xr:uid="{00000000-0005-0000-0000-0000009D0000}"/>
    <cellStyle name="Input 12 6 2" xfId="40193" xr:uid="{00000000-0005-0000-0000-0000019D0000}"/>
    <cellStyle name="Input 12 6 3" xfId="40194" xr:uid="{00000000-0005-0000-0000-0000029D0000}"/>
    <cellStyle name="Input 12 7" xfId="40195" xr:uid="{00000000-0005-0000-0000-0000039D0000}"/>
    <cellStyle name="Input 12 8" xfId="40196" xr:uid="{00000000-0005-0000-0000-0000049D0000}"/>
    <cellStyle name="Input 12 9" xfId="40197" xr:uid="{00000000-0005-0000-0000-0000059D0000}"/>
    <cellStyle name="Input 13" xfId="40198" xr:uid="{00000000-0005-0000-0000-0000069D0000}"/>
    <cellStyle name="Input 13 10" xfId="40199" xr:uid="{00000000-0005-0000-0000-0000079D0000}"/>
    <cellStyle name="Input 13 2" xfId="40200" xr:uid="{00000000-0005-0000-0000-0000089D0000}"/>
    <cellStyle name="Input 13 2 2" xfId="40201" xr:uid="{00000000-0005-0000-0000-0000099D0000}"/>
    <cellStyle name="Input 13 2 3" xfId="40202" xr:uid="{00000000-0005-0000-0000-00000A9D0000}"/>
    <cellStyle name="Input 13 2 4" xfId="40203" xr:uid="{00000000-0005-0000-0000-00000B9D0000}"/>
    <cellStyle name="Input 13 2 5" xfId="40204" xr:uid="{00000000-0005-0000-0000-00000C9D0000}"/>
    <cellStyle name="Input 13 3" xfId="40205" xr:uid="{00000000-0005-0000-0000-00000D9D0000}"/>
    <cellStyle name="Input 13 3 2" xfId="40206" xr:uid="{00000000-0005-0000-0000-00000E9D0000}"/>
    <cellStyle name="Input 13 3 3" xfId="40207" xr:uid="{00000000-0005-0000-0000-00000F9D0000}"/>
    <cellStyle name="Input 13 4" xfId="40208" xr:uid="{00000000-0005-0000-0000-0000109D0000}"/>
    <cellStyle name="Input 13 4 2" xfId="40209" xr:uid="{00000000-0005-0000-0000-0000119D0000}"/>
    <cellStyle name="Input 13 4 3" xfId="40210" xr:uid="{00000000-0005-0000-0000-0000129D0000}"/>
    <cellStyle name="Input 13 5" xfId="40211" xr:uid="{00000000-0005-0000-0000-0000139D0000}"/>
    <cellStyle name="Input 13 5 2" xfId="40212" xr:uid="{00000000-0005-0000-0000-0000149D0000}"/>
    <cellStyle name="Input 13 5 3" xfId="40213" xr:uid="{00000000-0005-0000-0000-0000159D0000}"/>
    <cellStyle name="Input 13 6" xfId="40214" xr:uid="{00000000-0005-0000-0000-0000169D0000}"/>
    <cellStyle name="Input 13 6 2" xfId="40215" xr:uid="{00000000-0005-0000-0000-0000179D0000}"/>
    <cellStyle name="Input 13 6 3" xfId="40216" xr:uid="{00000000-0005-0000-0000-0000189D0000}"/>
    <cellStyle name="Input 13 7" xfId="40217" xr:uid="{00000000-0005-0000-0000-0000199D0000}"/>
    <cellStyle name="Input 13 8" xfId="40218" xr:uid="{00000000-0005-0000-0000-00001A9D0000}"/>
    <cellStyle name="Input 13 9" xfId="40219" xr:uid="{00000000-0005-0000-0000-00001B9D0000}"/>
    <cellStyle name="Input 14" xfId="40220" xr:uid="{00000000-0005-0000-0000-00001C9D0000}"/>
    <cellStyle name="Input 14 10" xfId="40221" xr:uid="{00000000-0005-0000-0000-00001D9D0000}"/>
    <cellStyle name="Input 14 2" xfId="40222" xr:uid="{00000000-0005-0000-0000-00001E9D0000}"/>
    <cellStyle name="Input 14 2 2" xfId="40223" xr:uid="{00000000-0005-0000-0000-00001F9D0000}"/>
    <cellStyle name="Input 14 2 3" xfId="40224" xr:uid="{00000000-0005-0000-0000-0000209D0000}"/>
    <cellStyle name="Input 14 2 4" xfId="40225" xr:uid="{00000000-0005-0000-0000-0000219D0000}"/>
    <cellStyle name="Input 14 2 5" xfId="40226" xr:uid="{00000000-0005-0000-0000-0000229D0000}"/>
    <cellStyle name="Input 14 3" xfId="40227" xr:uid="{00000000-0005-0000-0000-0000239D0000}"/>
    <cellStyle name="Input 14 3 2" xfId="40228" xr:uid="{00000000-0005-0000-0000-0000249D0000}"/>
    <cellStyle name="Input 14 3 3" xfId="40229" xr:uid="{00000000-0005-0000-0000-0000259D0000}"/>
    <cellStyle name="Input 14 4" xfId="40230" xr:uid="{00000000-0005-0000-0000-0000269D0000}"/>
    <cellStyle name="Input 14 4 2" xfId="40231" xr:uid="{00000000-0005-0000-0000-0000279D0000}"/>
    <cellStyle name="Input 14 4 3" xfId="40232" xr:uid="{00000000-0005-0000-0000-0000289D0000}"/>
    <cellStyle name="Input 14 5" xfId="40233" xr:uid="{00000000-0005-0000-0000-0000299D0000}"/>
    <cellStyle name="Input 14 5 2" xfId="40234" xr:uid="{00000000-0005-0000-0000-00002A9D0000}"/>
    <cellStyle name="Input 14 5 3" xfId="40235" xr:uid="{00000000-0005-0000-0000-00002B9D0000}"/>
    <cellStyle name="Input 14 6" xfId="40236" xr:uid="{00000000-0005-0000-0000-00002C9D0000}"/>
    <cellStyle name="Input 14 6 2" xfId="40237" xr:uid="{00000000-0005-0000-0000-00002D9D0000}"/>
    <cellStyle name="Input 14 6 3" xfId="40238" xr:uid="{00000000-0005-0000-0000-00002E9D0000}"/>
    <cellStyle name="Input 14 7" xfId="40239" xr:uid="{00000000-0005-0000-0000-00002F9D0000}"/>
    <cellStyle name="Input 14 8" xfId="40240" xr:uid="{00000000-0005-0000-0000-0000309D0000}"/>
    <cellStyle name="Input 14 9" xfId="40241" xr:uid="{00000000-0005-0000-0000-0000319D0000}"/>
    <cellStyle name="Input 15" xfId="40242" xr:uid="{00000000-0005-0000-0000-0000329D0000}"/>
    <cellStyle name="Input 15 10" xfId="40243" xr:uid="{00000000-0005-0000-0000-0000339D0000}"/>
    <cellStyle name="Input 15 2" xfId="40244" xr:uid="{00000000-0005-0000-0000-0000349D0000}"/>
    <cellStyle name="Input 15 2 2" xfId="40245" xr:uid="{00000000-0005-0000-0000-0000359D0000}"/>
    <cellStyle name="Input 15 2 3" xfId="40246" xr:uid="{00000000-0005-0000-0000-0000369D0000}"/>
    <cellStyle name="Input 15 2 4" xfId="40247" xr:uid="{00000000-0005-0000-0000-0000379D0000}"/>
    <cellStyle name="Input 15 2 5" xfId="40248" xr:uid="{00000000-0005-0000-0000-0000389D0000}"/>
    <cellStyle name="Input 15 3" xfId="40249" xr:uid="{00000000-0005-0000-0000-0000399D0000}"/>
    <cellStyle name="Input 15 3 2" xfId="40250" xr:uid="{00000000-0005-0000-0000-00003A9D0000}"/>
    <cellStyle name="Input 15 3 3" xfId="40251" xr:uid="{00000000-0005-0000-0000-00003B9D0000}"/>
    <cellStyle name="Input 15 4" xfId="40252" xr:uid="{00000000-0005-0000-0000-00003C9D0000}"/>
    <cellStyle name="Input 15 4 2" xfId="40253" xr:uid="{00000000-0005-0000-0000-00003D9D0000}"/>
    <cellStyle name="Input 15 4 3" xfId="40254" xr:uid="{00000000-0005-0000-0000-00003E9D0000}"/>
    <cellStyle name="Input 15 5" xfId="40255" xr:uid="{00000000-0005-0000-0000-00003F9D0000}"/>
    <cellStyle name="Input 15 5 2" xfId="40256" xr:uid="{00000000-0005-0000-0000-0000409D0000}"/>
    <cellStyle name="Input 15 5 3" xfId="40257" xr:uid="{00000000-0005-0000-0000-0000419D0000}"/>
    <cellStyle name="Input 15 6" xfId="40258" xr:uid="{00000000-0005-0000-0000-0000429D0000}"/>
    <cellStyle name="Input 15 6 2" xfId="40259" xr:uid="{00000000-0005-0000-0000-0000439D0000}"/>
    <cellStyle name="Input 15 6 3" xfId="40260" xr:uid="{00000000-0005-0000-0000-0000449D0000}"/>
    <cellStyle name="Input 15 7" xfId="40261" xr:uid="{00000000-0005-0000-0000-0000459D0000}"/>
    <cellStyle name="Input 15 8" xfId="40262" xr:uid="{00000000-0005-0000-0000-0000469D0000}"/>
    <cellStyle name="Input 15 9" xfId="40263" xr:uid="{00000000-0005-0000-0000-0000479D0000}"/>
    <cellStyle name="Input 16" xfId="40264" xr:uid="{00000000-0005-0000-0000-0000489D0000}"/>
    <cellStyle name="Input 16 10" xfId="40265" xr:uid="{00000000-0005-0000-0000-0000499D0000}"/>
    <cellStyle name="Input 16 2" xfId="40266" xr:uid="{00000000-0005-0000-0000-00004A9D0000}"/>
    <cellStyle name="Input 16 2 2" xfId="40267" xr:uid="{00000000-0005-0000-0000-00004B9D0000}"/>
    <cellStyle name="Input 16 2 3" xfId="40268" xr:uid="{00000000-0005-0000-0000-00004C9D0000}"/>
    <cellStyle name="Input 16 2 4" xfId="40269" xr:uid="{00000000-0005-0000-0000-00004D9D0000}"/>
    <cellStyle name="Input 16 2 5" xfId="40270" xr:uid="{00000000-0005-0000-0000-00004E9D0000}"/>
    <cellStyle name="Input 16 3" xfId="40271" xr:uid="{00000000-0005-0000-0000-00004F9D0000}"/>
    <cellStyle name="Input 16 3 2" xfId="40272" xr:uid="{00000000-0005-0000-0000-0000509D0000}"/>
    <cellStyle name="Input 16 3 3" xfId="40273" xr:uid="{00000000-0005-0000-0000-0000519D0000}"/>
    <cellStyle name="Input 16 4" xfId="40274" xr:uid="{00000000-0005-0000-0000-0000529D0000}"/>
    <cellStyle name="Input 16 4 2" xfId="40275" xr:uid="{00000000-0005-0000-0000-0000539D0000}"/>
    <cellStyle name="Input 16 4 3" xfId="40276" xr:uid="{00000000-0005-0000-0000-0000549D0000}"/>
    <cellStyle name="Input 16 5" xfId="40277" xr:uid="{00000000-0005-0000-0000-0000559D0000}"/>
    <cellStyle name="Input 16 5 2" xfId="40278" xr:uid="{00000000-0005-0000-0000-0000569D0000}"/>
    <cellStyle name="Input 16 5 3" xfId="40279" xr:uid="{00000000-0005-0000-0000-0000579D0000}"/>
    <cellStyle name="Input 16 6" xfId="40280" xr:uid="{00000000-0005-0000-0000-0000589D0000}"/>
    <cellStyle name="Input 16 6 2" xfId="40281" xr:uid="{00000000-0005-0000-0000-0000599D0000}"/>
    <cellStyle name="Input 16 6 3" xfId="40282" xr:uid="{00000000-0005-0000-0000-00005A9D0000}"/>
    <cellStyle name="Input 16 7" xfId="40283" xr:uid="{00000000-0005-0000-0000-00005B9D0000}"/>
    <cellStyle name="Input 16 8" xfId="40284" xr:uid="{00000000-0005-0000-0000-00005C9D0000}"/>
    <cellStyle name="Input 16 9" xfId="40285" xr:uid="{00000000-0005-0000-0000-00005D9D0000}"/>
    <cellStyle name="Input 17" xfId="40286" xr:uid="{00000000-0005-0000-0000-00005E9D0000}"/>
    <cellStyle name="Input 17 10" xfId="40287" xr:uid="{00000000-0005-0000-0000-00005F9D0000}"/>
    <cellStyle name="Input 17 2" xfId="40288" xr:uid="{00000000-0005-0000-0000-0000609D0000}"/>
    <cellStyle name="Input 17 2 2" xfId="40289" xr:uid="{00000000-0005-0000-0000-0000619D0000}"/>
    <cellStyle name="Input 17 2 3" xfId="40290" xr:uid="{00000000-0005-0000-0000-0000629D0000}"/>
    <cellStyle name="Input 17 2 4" xfId="40291" xr:uid="{00000000-0005-0000-0000-0000639D0000}"/>
    <cellStyle name="Input 17 2 5" xfId="40292" xr:uid="{00000000-0005-0000-0000-0000649D0000}"/>
    <cellStyle name="Input 17 3" xfId="40293" xr:uid="{00000000-0005-0000-0000-0000659D0000}"/>
    <cellStyle name="Input 17 3 2" xfId="40294" xr:uid="{00000000-0005-0000-0000-0000669D0000}"/>
    <cellStyle name="Input 17 3 3" xfId="40295" xr:uid="{00000000-0005-0000-0000-0000679D0000}"/>
    <cellStyle name="Input 17 4" xfId="40296" xr:uid="{00000000-0005-0000-0000-0000689D0000}"/>
    <cellStyle name="Input 17 4 2" xfId="40297" xr:uid="{00000000-0005-0000-0000-0000699D0000}"/>
    <cellStyle name="Input 17 4 3" xfId="40298" xr:uid="{00000000-0005-0000-0000-00006A9D0000}"/>
    <cellStyle name="Input 17 5" xfId="40299" xr:uid="{00000000-0005-0000-0000-00006B9D0000}"/>
    <cellStyle name="Input 17 5 2" xfId="40300" xr:uid="{00000000-0005-0000-0000-00006C9D0000}"/>
    <cellStyle name="Input 17 5 3" xfId="40301" xr:uid="{00000000-0005-0000-0000-00006D9D0000}"/>
    <cellStyle name="Input 17 6" xfId="40302" xr:uid="{00000000-0005-0000-0000-00006E9D0000}"/>
    <cellStyle name="Input 17 6 2" xfId="40303" xr:uid="{00000000-0005-0000-0000-00006F9D0000}"/>
    <cellStyle name="Input 17 6 3" xfId="40304" xr:uid="{00000000-0005-0000-0000-0000709D0000}"/>
    <cellStyle name="Input 17 7" xfId="40305" xr:uid="{00000000-0005-0000-0000-0000719D0000}"/>
    <cellStyle name="Input 17 8" xfId="40306" xr:uid="{00000000-0005-0000-0000-0000729D0000}"/>
    <cellStyle name="Input 17 9" xfId="40307" xr:uid="{00000000-0005-0000-0000-0000739D0000}"/>
    <cellStyle name="Input 18" xfId="40308" xr:uid="{00000000-0005-0000-0000-0000749D0000}"/>
    <cellStyle name="Input 18 10" xfId="40309" xr:uid="{00000000-0005-0000-0000-0000759D0000}"/>
    <cellStyle name="Input 18 2" xfId="40310" xr:uid="{00000000-0005-0000-0000-0000769D0000}"/>
    <cellStyle name="Input 18 2 2" xfId="40311" xr:uid="{00000000-0005-0000-0000-0000779D0000}"/>
    <cellStyle name="Input 18 2 3" xfId="40312" xr:uid="{00000000-0005-0000-0000-0000789D0000}"/>
    <cellStyle name="Input 18 2 4" xfId="40313" xr:uid="{00000000-0005-0000-0000-0000799D0000}"/>
    <cellStyle name="Input 18 2 5" xfId="40314" xr:uid="{00000000-0005-0000-0000-00007A9D0000}"/>
    <cellStyle name="Input 18 3" xfId="40315" xr:uid="{00000000-0005-0000-0000-00007B9D0000}"/>
    <cellStyle name="Input 18 3 2" xfId="40316" xr:uid="{00000000-0005-0000-0000-00007C9D0000}"/>
    <cellStyle name="Input 18 3 3" xfId="40317" xr:uid="{00000000-0005-0000-0000-00007D9D0000}"/>
    <cellStyle name="Input 18 4" xfId="40318" xr:uid="{00000000-0005-0000-0000-00007E9D0000}"/>
    <cellStyle name="Input 18 4 2" xfId="40319" xr:uid="{00000000-0005-0000-0000-00007F9D0000}"/>
    <cellStyle name="Input 18 4 3" xfId="40320" xr:uid="{00000000-0005-0000-0000-0000809D0000}"/>
    <cellStyle name="Input 18 5" xfId="40321" xr:uid="{00000000-0005-0000-0000-0000819D0000}"/>
    <cellStyle name="Input 18 5 2" xfId="40322" xr:uid="{00000000-0005-0000-0000-0000829D0000}"/>
    <cellStyle name="Input 18 5 3" xfId="40323" xr:uid="{00000000-0005-0000-0000-0000839D0000}"/>
    <cellStyle name="Input 18 6" xfId="40324" xr:uid="{00000000-0005-0000-0000-0000849D0000}"/>
    <cellStyle name="Input 18 6 2" xfId="40325" xr:uid="{00000000-0005-0000-0000-0000859D0000}"/>
    <cellStyle name="Input 18 6 3" xfId="40326" xr:uid="{00000000-0005-0000-0000-0000869D0000}"/>
    <cellStyle name="Input 18 7" xfId="40327" xr:uid="{00000000-0005-0000-0000-0000879D0000}"/>
    <cellStyle name="Input 18 8" xfId="40328" xr:uid="{00000000-0005-0000-0000-0000889D0000}"/>
    <cellStyle name="Input 18 9" xfId="40329" xr:uid="{00000000-0005-0000-0000-0000899D0000}"/>
    <cellStyle name="Input 19" xfId="40330" xr:uid="{00000000-0005-0000-0000-00008A9D0000}"/>
    <cellStyle name="Input 19 10" xfId="40331" xr:uid="{00000000-0005-0000-0000-00008B9D0000}"/>
    <cellStyle name="Input 19 2" xfId="40332" xr:uid="{00000000-0005-0000-0000-00008C9D0000}"/>
    <cellStyle name="Input 19 2 2" xfId="40333" xr:uid="{00000000-0005-0000-0000-00008D9D0000}"/>
    <cellStyle name="Input 19 2 3" xfId="40334" xr:uid="{00000000-0005-0000-0000-00008E9D0000}"/>
    <cellStyle name="Input 19 2 4" xfId="40335" xr:uid="{00000000-0005-0000-0000-00008F9D0000}"/>
    <cellStyle name="Input 19 2 5" xfId="40336" xr:uid="{00000000-0005-0000-0000-0000909D0000}"/>
    <cellStyle name="Input 19 3" xfId="40337" xr:uid="{00000000-0005-0000-0000-0000919D0000}"/>
    <cellStyle name="Input 19 3 2" xfId="40338" xr:uid="{00000000-0005-0000-0000-0000929D0000}"/>
    <cellStyle name="Input 19 3 3" xfId="40339" xr:uid="{00000000-0005-0000-0000-0000939D0000}"/>
    <cellStyle name="Input 19 4" xfId="40340" xr:uid="{00000000-0005-0000-0000-0000949D0000}"/>
    <cellStyle name="Input 19 4 2" xfId="40341" xr:uid="{00000000-0005-0000-0000-0000959D0000}"/>
    <cellStyle name="Input 19 4 3" xfId="40342" xr:uid="{00000000-0005-0000-0000-0000969D0000}"/>
    <cellStyle name="Input 19 5" xfId="40343" xr:uid="{00000000-0005-0000-0000-0000979D0000}"/>
    <cellStyle name="Input 19 5 2" xfId="40344" xr:uid="{00000000-0005-0000-0000-0000989D0000}"/>
    <cellStyle name="Input 19 5 3" xfId="40345" xr:uid="{00000000-0005-0000-0000-0000999D0000}"/>
    <cellStyle name="Input 19 6" xfId="40346" xr:uid="{00000000-0005-0000-0000-00009A9D0000}"/>
    <cellStyle name="Input 19 6 2" xfId="40347" xr:uid="{00000000-0005-0000-0000-00009B9D0000}"/>
    <cellStyle name="Input 19 6 3" xfId="40348" xr:uid="{00000000-0005-0000-0000-00009C9D0000}"/>
    <cellStyle name="Input 19 7" xfId="40349" xr:uid="{00000000-0005-0000-0000-00009D9D0000}"/>
    <cellStyle name="Input 19 8" xfId="40350" xr:uid="{00000000-0005-0000-0000-00009E9D0000}"/>
    <cellStyle name="Input 19 9" xfId="40351" xr:uid="{00000000-0005-0000-0000-00009F9D0000}"/>
    <cellStyle name="Input 2" xfId="40352" xr:uid="{00000000-0005-0000-0000-0000A09D0000}"/>
    <cellStyle name="Input 2 10" xfId="40353" xr:uid="{00000000-0005-0000-0000-0000A19D0000}"/>
    <cellStyle name="Input 2 10 10" xfId="40354" xr:uid="{00000000-0005-0000-0000-0000A29D0000}"/>
    <cellStyle name="Input 2 10 2" xfId="40355" xr:uid="{00000000-0005-0000-0000-0000A39D0000}"/>
    <cellStyle name="Input 2 10 2 2" xfId="40356" xr:uid="{00000000-0005-0000-0000-0000A49D0000}"/>
    <cellStyle name="Input 2 10 2 3" xfId="40357" xr:uid="{00000000-0005-0000-0000-0000A59D0000}"/>
    <cellStyle name="Input 2 10 3" xfId="40358" xr:uid="{00000000-0005-0000-0000-0000A69D0000}"/>
    <cellStyle name="Input 2 10 3 2" xfId="40359" xr:uid="{00000000-0005-0000-0000-0000A79D0000}"/>
    <cellStyle name="Input 2 10 3 3" xfId="40360" xr:uid="{00000000-0005-0000-0000-0000A89D0000}"/>
    <cellStyle name="Input 2 10 4" xfId="40361" xr:uid="{00000000-0005-0000-0000-0000A99D0000}"/>
    <cellStyle name="Input 2 10 4 2" xfId="40362" xr:uid="{00000000-0005-0000-0000-0000AA9D0000}"/>
    <cellStyle name="Input 2 10 4 3" xfId="40363" xr:uid="{00000000-0005-0000-0000-0000AB9D0000}"/>
    <cellStyle name="Input 2 10 5" xfId="40364" xr:uid="{00000000-0005-0000-0000-0000AC9D0000}"/>
    <cellStyle name="Input 2 10 6" xfId="40365" xr:uid="{00000000-0005-0000-0000-0000AD9D0000}"/>
    <cellStyle name="Input 2 10 7" xfId="40366" xr:uid="{00000000-0005-0000-0000-0000AE9D0000}"/>
    <cellStyle name="Input 2 10 8" xfId="40367" xr:uid="{00000000-0005-0000-0000-0000AF9D0000}"/>
    <cellStyle name="Input 2 10 9" xfId="40368" xr:uid="{00000000-0005-0000-0000-0000B09D0000}"/>
    <cellStyle name="Input 2 11" xfId="40369" xr:uid="{00000000-0005-0000-0000-0000B19D0000}"/>
    <cellStyle name="Input 2 11 10" xfId="40370" xr:uid="{00000000-0005-0000-0000-0000B29D0000}"/>
    <cellStyle name="Input 2 11 2" xfId="40371" xr:uid="{00000000-0005-0000-0000-0000B39D0000}"/>
    <cellStyle name="Input 2 11 2 2" xfId="40372" xr:uid="{00000000-0005-0000-0000-0000B49D0000}"/>
    <cellStyle name="Input 2 11 2 3" xfId="40373" xr:uid="{00000000-0005-0000-0000-0000B59D0000}"/>
    <cellStyle name="Input 2 11 3" xfId="40374" xr:uid="{00000000-0005-0000-0000-0000B69D0000}"/>
    <cellStyle name="Input 2 11 3 2" xfId="40375" xr:uid="{00000000-0005-0000-0000-0000B79D0000}"/>
    <cellStyle name="Input 2 11 3 3" xfId="40376" xr:uid="{00000000-0005-0000-0000-0000B89D0000}"/>
    <cellStyle name="Input 2 11 4" xfId="40377" xr:uid="{00000000-0005-0000-0000-0000B99D0000}"/>
    <cellStyle name="Input 2 11 4 2" xfId="40378" xr:uid="{00000000-0005-0000-0000-0000BA9D0000}"/>
    <cellStyle name="Input 2 11 4 3" xfId="40379" xr:uid="{00000000-0005-0000-0000-0000BB9D0000}"/>
    <cellStyle name="Input 2 11 5" xfId="40380" xr:uid="{00000000-0005-0000-0000-0000BC9D0000}"/>
    <cellStyle name="Input 2 11 6" xfId="40381" xr:uid="{00000000-0005-0000-0000-0000BD9D0000}"/>
    <cellStyle name="Input 2 11 7" xfId="40382" xr:uid="{00000000-0005-0000-0000-0000BE9D0000}"/>
    <cellStyle name="Input 2 11 8" xfId="40383" xr:uid="{00000000-0005-0000-0000-0000BF9D0000}"/>
    <cellStyle name="Input 2 11 9" xfId="40384" xr:uid="{00000000-0005-0000-0000-0000C09D0000}"/>
    <cellStyle name="Input 2 12" xfId="40385" xr:uid="{00000000-0005-0000-0000-0000C19D0000}"/>
    <cellStyle name="Input 2 12 2" xfId="40386" xr:uid="{00000000-0005-0000-0000-0000C29D0000}"/>
    <cellStyle name="Input 2 12 2 2" xfId="40387" xr:uid="{00000000-0005-0000-0000-0000C39D0000}"/>
    <cellStyle name="Input 2 12 2 3" xfId="40388" xr:uid="{00000000-0005-0000-0000-0000C49D0000}"/>
    <cellStyle name="Input 2 12 3" xfId="40389" xr:uid="{00000000-0005-0000-0000-0000C59D0000}"/>
    <cellStyle name="Input 2 12 3 2" xfId="40390" xr:uid="{00000000-0005-0000-0000-0000C69D0000}"/>
    <cellStyle name="Input 2 12 3 3" xfId="40391" xr:uid="{00000000-0005-0000-0000-0000C79D0000}"/>
    <cellStyle name="Input 2 12 4" xfId="40392" xr:uid="{00000000-0005-0000-0000-0000C89D0000}"/>
    <cellStyle name="Input 2 12 4 2" xfId="40393" xr:uid="{00000000-0005-0000-0000-0000C99D0000}"/>
    <cellStyle name="Input 2 12 4 3" xfId="40394" xr:uid="{00000000-0005-0000-0000-0000CA9D0000}"/>
    <cellStyle name="Input 2 12 5" xfId="40395" xr:uid="{00000000-0005-0000-0000-0000CB9D0000}"/>
    <cellStyle name="Input 2 12 6" xfId="40396" xr:uid="{00000000-0005-0000-0000-0000CC9D0000}"/>
    <cellStyle name="Input 2 12 7" xfId="40397" xr:uid="{00000000-0005-0000-0000-0000CD9D0000}"/>
    <cellStyle name="Input 2 12 8" xfId="40398" xr:uid="{00000000-0005-0000-0000-0000CE9D0000}"/>
    <cellStyle name="Input 2 12 9" xfId="40399" xr:uid="{00000000-0005-0000-0000-0000CF9D0000}"/>
    <cellStyle name="Input 2 13" xfId="40400" xr:uid="{00000000-0005-0000-0000-0000D09D0000}"/>
    <cellStyle name="Input 2 13 2" xfId="40401" xr:uid="{00000000-0005-0000-0000-0000D19D0000}"/>
    <cellStyle name="Input 2 13 2 2" xfId="40402" xr:uid="{00000000-0005-0000-0000-0000D29D0000}"/>
    <cellStyle name="Input 2 13 2 3" xfId="40403" xr:uid="{00000000-0005-0000-0000-0000D39D0000}"/>
    <cellStyle name="Input 2 13 3" xfId="40404" xr:uid="{00000000-0005-0000-0000-0000D49D0000}"/>
    <cellStyle name="Input 2 13 3 2" xfId="40405" xr:uid="{00000000-0005-0000-0000-0000D59D0000}"/>
    <cellStyle name="Input 2 13 3 3" xfId="40406" xr:uid="{00000000-0005-0000-0000-0000D69D0000}"/>
    <cellStyle name="Input 2 13 4" xfId="40407" xr:uid="{00000000-0005-0000-0000-0000D79D0000}"/>
    <cellStyle name="Input 2 13 4 2" xfId="40408" xr:uid="{00000000-0005-0000-0000-0000D89D0000}"/>
    <cellStyle name="Input 2 13 4 3" xfId="40409" xr:uid="{00000000-0005-0000-0000-0000D99D0000}"/>
    <cellStyle name="Input 2 13 5" xfId="40410" xr:uid="{00000000-0005-0000-0000-0000DA9D0000}"/>
    <cellStyle name="Input 2 13 6" xfId="40411" xr:uid="{00000000-0005-0000-0000-0000DB9D0000}"/>
    <cellStyle name="Input 2 13 7" xfId="40412" xr:uid="{00000000-0005-0000-0000-0000DC9D0000}"/>
    <cellStyle name="Input 2 13 8" xfId="40413" xr:uid="{00000000-0005-0000-0000-0000DD9D0000}"/>
    <cellStyle name="Input 2 14" xfId="40414" xr:uid="{00000000-0005-0000-0000-0000DE9D0000}"/>
    <cellStyle name="Input 2 14 2" xfId="40415" xr:uid="{00000000-0005-0000-0000-0000DF9D0000}"/>
    <cellStyle name="Input 2 14 2 2" xfId="40416" xr:uid="{00000000-0005-0000-0000-0000E09D0000}"/>
    <cellStyle name="Input 2 14 2 3" xfId="40417" xr:uid="{00000000-0005-0000-0000-0000E19D0000}"/>
    <cellStyle name="Input 2 14 3" xfId="40418" xr:uid="{00000000-0005-0000-0000-0000E29D0000}"/>
    <cellStyle name="Input 2 14 3 2" xfId="40419" xr:uid="{00000000-0005-0000-0000-0000E39D0000}"/>
    <cellStyle name="Input 2 14 3 3" xfId="40420" xr:uid="{00000000-0005-0000-0000-0000E49D0000}"/>
    <cellStyle name="Input 2 14 4" xfId="40421" xr:uid="{00000000-0005-0000-0000-0000E59D0000}"/>
    <cellStyle name="Input 2 14 4 2" xfId="40422" xr:uid="{00000000-0005-0000-0000-0000E69D0000}"/>
    <cellStyle name="Input 2 14 4 3" xfId="40423" xr:uid="{00000000-0005-0000-0000-0000E79D0000}"/>
    <cellStyle name="Input 2 14 5" xfId="40424" xr:uid="{00000000-0005-0000-0000-0000E89D0000}"/>
    <cellStyle name="Input 2 14 6" xfId="40425" xr:uid="{00000000-0005-0000-0000-0000E99D0000}"/>
    <cellStyle name="Input 2 14 7" xfId="40426" xr:uid="{00000000-0005-0000-0000-0000EA9D0000}"/>
    <cellStyle name="Input 2 15" xfId="40427" xr:uid="{00000000-0005-0000-0000-0000EB9D0000}"/>
    <cellStyle name="Input 2 15 2" xfId="40428" xr:uid="{00000000-0005-0000-0000-0000EC9D0000}"/>
    <cellStyle name="Input 2 15 2 2" xfId="40429" xr:uid="{00000000-0005-0000-0000-0000ED9D0000}"/>
    <cellStyle name="Input 2 15 2 3" xfId="40430" xr:uid="{00000000-0005-0000-0000-0000EE9D0000}"/>
    <cellStyle name="Input 2 15 3" xfId="40431" xr:uid="{00000000-0005-0000-0000-0000EF9D0000}"/>
    <cellStyle name="Input 2 15 3 2" xfId="40432" xr:uid="{00000000-0005-0000-0000-0000F09D0000}"/>
    <cellStyle name="Input 2 15 3 3" xfId="40433" xr:uid="{00000000-0005-0000-0000-0000F19D0000}"/>
    <cellStyle name="Input 2 15 4" xfId="40434" xr:uid="{00000000-0005-0000-0000-0000F29D0000}"/>
    <cellStyle name="Input 2 15 4 2" xfId="40435" xr:uid="{00000000-0005-0000-0000-0000F39D0000}"/>
    <cellStyle name="Input 2 15 4 3" xfId="40436" xr:uid="{00000000-0005-0000-0000-0000F49D0000}"/>
    <cellStyle name="Input 2 15 5" xfId="40437" xr:uid="{00000000-0005-0000-0000-0000F59D0000}"/>
    <cellStyle name="Input 2 15 6" xfId="40438" xr:uid="{00000000-0005-0000-0000-0000F69D0000}"/>
    <cellStyle name="Input 2 15 7" xfId="40439" xr:uid="{00000000-0005-0000-0000-0000F79D0000}"/>
    <cellStyle name="Input 2 16" xfId="40440" xr:uid="{00000000-0005-0000-0000-0000F89D0000}"/>
    <cellStyle name="Input 2 16 2" xfId="40441" xr:uid="{00000000-0005-0000-0000-0000F99D0000}"/>
    <cellStyle name="Input 2 16 3" xfId="40442" xr:uid="{00000000-0005-0000-0000-0000FA9D0000}"/>
    <cellStyle name="Input 2 17" xfId="40443" xr:uid="{00000000-0005-0000-0000-0000FB9D0000}"/>
    <cellStyle name="Input 2 17 2" xfId="40444" xr:uid="{00000000-0005-0000-0000-0000FC9D0000}"/>
    <cellStyle name="Input 2 17 3" xfId="40445" xr:uid="{00000000-0005-0000-0000-0000FD9D0000}"/>
    <cellStyle name="Input 2 18" xfId="40446" xr:uid="{00000000-0005-0000-0000-0000FE9D0000}"/>
    <cellStyle name="Input 2 18 2" xfId="40447" xr:uid="{00000000-0005-0000-0000-0000FF9D0000}"/>
    <cellStyle name="Input 2 18 3" xfId="40448" xr:uid="{00000000-0005-0000-0000-0000009E0000}"/>
    <cellStyle name="Input 2 19" xfId="40449" xr:uid="{00000000-0005-0000-0000-0000019E0000}"/>
    <cellStyle name="Input 2 19 2" xfId="40450" xr:uid="{00000000-0005-0000-0000-0000029E0000}"/>
    <cellStyle name="Input 2 19 3" xfId="40451" xr:uid="{00000000-0005-0000-0000-0000039E0000}"/>
    <cellStyle name="Input 2 2" xfId="40452" xr:uid="{00000000-0005-0000-0000-0000049E0000}"/>
    <cellStyle name="Input 2 2 10" xfId="40453" xr:uid="{00000000-0005-0000-0000-0000059E0000}"/>
    <cellStyle name="Input 2 2 10 2" xfId="40454" xr:uid="{00000000-0005-0000-0000-0000069E0000}"/>
    <cellStyle name="Input 2 2 11" xfId="40455" xr:uid="{00000000-0005-0000-0000-0000079E0000}"/>
    <cellStyle name="Input 2 2 12" xfId="40456" xr:uid="{00000000-0005-0000-0000-0000089E0000}"/>
    <cellStyle name="Input 2 2 13" xfId="40457" xr:uid="{00000000-0005-0000-0000-0000099E0000}"/>
    <cellStyle name="Input 2 2 14" xfId="40458" xr:uid="{00000000-0005-0000-0000-00000A9E0000}"/>
    <cellStyle name="Input 2 2 15" xfId="40459" xr:uid="{00000000-0005-0000-0000-00000B9E0000}"/>
    <cellStyle name="Input 2 2 16" xfId="40460" xr:uid="{00000000-0005-0000-0000-00000C9E0000}"/>
    <cellStyle name="Input 2 2 17" xfId="40461" xr:uid="{00000000-0005-0000-0000-00000D9E0000}"/>
    <cellStyle name="Input 2 2 18" xfId="40462" xr:uid="{00000000-0005-0000-0000-00000E9E0000}"/>
    <cellStyle name="Input 2 2 19" xfId="40463" xr:uid="{00000000-0005-0000-0000-00000F9E0000}"/>
    <cellStyle name="Input 2 2 2" xfId="40464" xr:uid="{00000000-0005-0000-0000-0000109E0000}"/>
    <cellStyle name="Input 2 2 2 2" xfId="40465" xr:uid="{00000000-0005-0000-0000-0000119E0000}"/>
    <cellStyle name="Input 2 2 2 2 2" xfId="40466" xr:uid="{00000000-0005-0000-0000-0000129E0000}"/>
    <cellStyle name="Input 2 2 2 2 2 2" xfId="40467" xr:uid="{00000000-0005-0000-0000-0000139E0000}"/>
    <cellStyle name="Input 2 2 2 2 3" xfId="40468" xr:uid="{00000000-0005-0000-0000-0000149E0000}"/>
    <cellStyle name="Input 2 2 2 2 3 2" xfId="40469" xr:uid="{00000000-0005-0000-0000-0000159E0000}"/>
    <cellStyle name="Input 2 2 2 2 4" xfId="40470" xr:uid="{00000000-0005-0000-0000-0000169E0000}"/>
    <cellStyle name="Input 2 2 2 3" xfId="40471" xr:uid="{00000000-0005-0000-0000-0000179E0000}"/>
    <cellStyle name="Input 2 2 2 3 2" xfId="40472" xr:uid="{00000000-0005-0000-0000-0000189E0000}"/>
    <cellStyle name="Input 2 2 2 3 2 2" xfId="40473" xr:uid="{00000000-0005-0000-0000-0000199E0000}"/>
    <cellStyle name="Input 2 2 2 3 3" xfId="40474" xr:uid="{00000000-0005-0000-0000-00001A9E0000}"/>
    <cellStyle name="Input 2 2 2 3 3 2" xfId="40475" xr:uid="{00000000-0005-0000-0000-00001B9E0000}"/>
    <cellStyle name="Input 2 2 2 3 4" xfId="40476" xr:uid="{00000000-0005-0000-0000-00001C9E0000}"/>
    <cellStyle name="Input 2 2 2 4" xfId="40477" xr:uid="{00000000-0005-0000-0000-00001D9E0000}"/>
    <cellStyle name="Input 2 2 2 4 2" xfId="40478" xr:uid="{00000000-0005-0000-0000-00001E9E0000}"/>
    <cellStyle name="Input 2 2 2 4 3" xfId="40479" xr:uid="{00000000-0005-0000-0000-00001F9E0000}"/>
    <cellStyle name="Input 2 2 2 5" xfId="40480" xr:uid="{00000000-0005-0000-0000-0000209E0000}"/>
    <cellStyle name="Input 2 2 2 5 2" xfId="40481" xr:uid="{00000000-0005-0000-0000-0000219E0000}"/>
    <cellStyle name="Input 2 2 2 6" xfId="40482" xr:uid="{00000000-0005-0000-0000-0000229E0000}"/>
    <cellStyle name="Input 2 2 2 7" xfId="40483" xr:uid="{00000000-0005-0000-0000-0000239E0000}"/>
    <cellStyle name="Input 2 2 2 8" xfId="40484" xr:uid="{00000000-0005-0000-0000-0000249E0000}"/>
    <cellStyle name="Input 2 2 20" xfId="40485" xr:uid="{00000000-0005-0000-0000-0000259E0000}"/>
    <cellStyle name="Input 2 2 21" xfId="40486" xr:uid="{00000000-0005-0000-0000-0000269E0000}"/>
    <cellStyle name="Input 2 2 3" xfId="40487" xr:uid="{00000000-0005-0000-0000-0000279E0000}"/>
    <cellStyle name="Input 2 2 3 2" xfId="40488" xr:uid="{00000000-0005-0000-0000-0000289E0000}"/>
    <cellStyle name="Input 2 2 3 2 2" xfId="40489" xr:uid="{00000000-0005-0000-0000-0000299E0000}"/>
    <cellStyle name="Input 2 2 3 2 2 2" xfId="40490" xr:uid="{00000000-0005-0000-0000-00002A9E0000}"/>
    <cellStyle name="Input 2 2 3 2 3" xfId="40491" xr:uid="{00000000-0005-0000-0000-00002B9E0000}"/>
    <cellStyle name="Input 2 2 3 2 3 2" xfId="40492" xr:uid="{00000000-0005-0000-0000-00002C9E0000}"/>
    <cellStyle name="Input 2 2 3 2 4" xfId="40493" xr:uid="{00000000-0005-0000-0000-00002D9E0000}"/>
    <cellStyle name="Input 2 2 3 3" xfId="40494" xr:uid="{00000000-0005-0000-0000-00002E9E0000}"/>
    <cellStyle name="Input 2 2 3 3 2" xfId="40495" xr:uid="{00000000-0005-0000-0000-00002F9E0000}"/>
    <cellStyle name="Input 2 2 3 3 2 2" xfId="40496" xr:uid="{00000000-0005-0000-0000-0000309E0000}"/>
    <cellStyle name="Input 2 2 3 3 3" xfId="40497" xr:uid="{00000000-0005-0000-0000-0000319E0000}"/>
    <cellStyle name="Input 2 2 3 3 3 2" xfId="40498" xr:uid="{00000000-0005-0000-0000-0000329E0000}"/>
    <cellStyle name="Input 2 2 3 3 4" xfId="40499" xr:uid="{00000000-0005-0000-0000-0000339E0000}"/>
    <cellStyle name="Input 2 2 3 4" xfId="40500" xr:uid="{00000000-0005-0000-0000-0000349E0000}"/>
    <cellStyle name="Input 2 2 3 4 2" xfId="40501" xr:uid="{00000000-0005-0000-0000-0000359E0000}"/>
    <cellStyle name="Input 2 2 3 5" xfId="40502" xr:uid="{00000000-0005-0000-0000-0000369E0000}"/>
    <cellStyle name="Input 2 2 3 5 2" xfId="40503" xr:uid="{00000000-0005-0000-0000-0000379E0000}"/>
    <cellStyle name="Input 2 2 3 6" xfId="40504" xr:uid="{00000000-0005-0000-0000-0000389E0000}"/>
    <cellStyle name="Input 2 2 4" xfId="40505" xr:uid="{00000000-0005-0000-0000-0000399E0000}"/>
    <cellStyle name="Input 2 2 4 2" xfId="40506" xr:uid="{00000000-0005-0000-0000-00003A9E0000}"/>
    <cellStyle name="Input 2 2 4 2 2" xfId="40507" xr:uid="{00000000-0005-0000-0000-00003B9E0000}"/>
    <cellStyle name="Input 2 2 4 2 2 2" xfId="40508" xr:uid="{00000000-0005-0000-0000-00003C9E0000}"/>
    <cellStyle name="Input 2 2 4 2 3" xfId="40509" xr:uid="{00000000-0005-0000-0000-00003D9E0000}"/>
    <cellStyle name="Input 2 2 4 2 3 2" xfId="40510" xr:uid="{00000000-0005-0000-0000-00003E9E0000}"/>
    <cellStyle name="Input 2 2 4 2 4" xfId="40511" xr:uid="{00000000-0005-0000-0000-00003F9E0000}"/>
    <cellStyle name="Input 2 2 4 3" xfId="40512" xr:uid="{00000000-0005-0000-0000-0000409E0000}"/>
    <cellStyle name="Input 2 2 4 3 2" xfId="40513" xr:uid="{00000000-0005-0000-0000-0000419E0000}"/>
    <cellStyle name="Input 2 2 4 3 2 2" xfId="40514" xr:uid="{00000000-0005-0000-0000-0000429E0000}"/>
    <cellStyle name="Input 2 2 4 3 3" xfId="40515" xr:uid="{00000000-0005-0000-0000-0000439E0000}"/>
    <cellStyle name="Input 2 2 4 3 3 2" xfId="40516" xr:uid="{00000000-0005-0000-0000-0000449E0000}"/>
    <cellStyle name="Input 2 2 4 3 4" xfId="40517" xr:uid="{00000000-0005-0000-0000-0000459E0000}"/>
    <cellStyle name="Input 2 2 4 4" xfId="40518" xr:uid="{00000000-0005-0000-0000-0000469E0000}"/>
    <cellStyle name="Input 2 2 4 4 2" xfId="40519" xr:uid="{00000000-0005-0000-0000-0000479E0000}"/>
    <cellStyle name="Input 2 2 4 5" xfId="40520" xr:uid="{00000000-0005-0000-0000-0000489E0000}"/>
    <cellStyle name="Input 2 2 4 5 2" xfId="40521" xr:uid="{00000000-0005-0000-0000-0000499E0000}"/>
    <cellStyle name="Input 2 2 4 6" xfId="40522" xr:uid="{00000000-0005-0000-0000-00004A9E0000}"/>
    <cellStyle name="Input 2 2 5" xfId="40523" xr:uid="{00000000-0005-0000-0000-00004B9E0000}"/>
    <cellStyle name="Input 2 2 5 2" xfId="40524" xr:uid="{00000000-0005-0000-0000-00004C9E0000}"/>
    <cellStyle name="Input 2 2 5 2 2" xfId="40525" xr:uid="{00000000-0005-0000-0000-00004D9E0000}"/>
    <cellStyle name="Input 2 2 5 2 2 2" xfId="40526" xr:uid="{00000000-0005-0000-0000-00004E9E0000}"/>
    <cellStyle name="Input 2 2 5 2 3" xfId="40527" xr:uid="{00000000-0005-0000-0000-00004F9E0000}"/>
    <cellStyle name="Input 2 2 5 2 3 2" xfId="40528" xr:uid="{00000000-0005-0000-0000-0000509E0000}"/>
    <cellStyle name="Input 2 2 5 2 4" xfId="40529" xr:uid="{00000000-0005-0000-0000-0000519E0000}"/>
    <cellStyle name="Input 2 2 5 3" xfId="40530" xr:uid="{00000000-0005-0000-0000-0000529E0000}"/>
    <cellStyle name="Input 2 2 5 3 2" xfId="40531" xr:uid="{00000000-0005-0000-0000-0000539E0000}"/>
    <cellStyle name="Input 2 2 5 3 2 2" xfId="40532" xr:uid="{00000000-0005-0000-0000-0000549E0000}"/>
    <cellStyle name="Input 2 2 5 3 3" xfId="40533" xr:uid="{00000000-0005-0000-0000-0000559E0000}"/>
    <cellStyle name="Input 2 2 5 3 3 2" xfId="40534" xr:uid="{00000000-0005-0000-0000-0000569E0000}"/>
    <cellStyle name="Input 2 2 5 3 4" xfId="40535" xr:uid="{00000000-0005-0000-0000-0000579E0000}"/>
    <cellStyle name="Input 2 2 5 4" xfId="40536" xr:uid="{00000000-0005-0000-0000-0000589E0000}"/>
    <cellStyle name="Input 2 2 5 4 2" xfId="40537" xr:uid="{00000000-0005-0000-0000-0000599E0000}"/>
    <cellStyle name="Input 2 2 5 5" xfId="40538" xr:uid="{00000000-0005-0000-0000-00005A9E0000}"/>
    <cellStyle name="Input 2 2 5 5 2" xfId="40539" xr:uid="{00000000-0005-0000-0000-00005B9E0000}"/>
    <cellStyle name="Input 2 2 5 6" xfId="40540" xr:uid="{00000000-0005-0000-0000-00005C9E0000}"/>
    <cellStyle name="Input 2 2 6" xfId="40541" xr:uid="{00000000-0005-0000-0000-00005D9E0000}"/>
    <cellStyle name="Input 2 2 6 2" xfId="40542" xr:uid="{00000000-0005-0000-0000-00005E9E0000}"/>
    <cellStyle name="Input 2 2 6 2 2" xfId="40543" xr:uid="{00000000-0005-0000-0000-00005F9E0000}"/>
    <cellStyle name="Input 2 2 6 2 2 2" xfId="40544" xr:uid="{00000000-0005-0000-0000-0000609E0000}"/>
    <cellStyle name="Input 2 2 6 2 3" xfId="40545" xr:uid="{00000000-0005-0000-0000-0000619E0000}"/>
    <cellStyle name="Input 2 2 6 2 3 2" xfId="40546" xr:uid="{00000000-0005-0000-0000-0000629E0000}"/>
    <cellStyle name="Input 2 2 6 2 4" xfId="40547" xr:uid="{00000000-0005-0000-0000-0000639E0000}"/>
    <cellStyle name="Input 2 2 6 3" xfId="40548" xr:uid="{00000000-0005-0000-0000-0000649E0000}"/>
    <cellStyle name="Input 2 2 6 3 2" xfId="40549" xr:uid="{00000000-0005-0000-0000-0000659E0000}"/>
    <cellStyle name="Input 2 2 6 3 2 2" xfId="40550" xr:uid="{00000000-0005-0000-0000-0000669E0000}"/>
    <cellStyle name="Input 2 2 6 3 3" xfId="40551" xr:uid="{00000000-0005-0000-0000-0000679E0000}"/>
    <cellStyle name="Input 2 2 6 3 3 2" xfId="40552" xr:uid="{00000000-0005-0000-0000-0000689E0000}"/>
    <cellStyle name="Input 2 2 6 3 4" xfId="40553" xr:uid="{00000000-0005-0000-0000-0000699E0000}"/>
    <cellStyle name="Input 2 2 6 4" xfId="40554" xr:uid="{00000000-0005-0000-0000-00006A9E0000}"/>
    <cellStyle name="Input 2 2 6 4 2" xfId="40555" xr:uid="{00000000-0005-0000-0000-00006B9E0000}"/>
    <cellStyle name="Input 2 2 6 5" xfId="40556" xr:uid="{00000000-0005-0000-0000-00006C9E0000}"/>
    <cellStyle name="Input 2 2 6 5 2" xfId="40557" xr:uid="{00000000-0005-0000-0000-00006D9E0000}"/>
    <cellStyle name="Input 2 2 6 6" xfId="40558" xr:uid="{00000000-0005-0000-0000-00006E9E0000}"/>
    <cellStyle name="Input 2 2 7" xfId="40559" xr:uid="{00000000-0005-0000-0000-00006F9E0000}"/>
    <cellStyle name="Input 2 2 7 2" xfId="40560" xr:uid="{00000000-0005-0000-0000-0000709E0000}"/>
    <cellStyle name="Input 2 2 7 2 2" xfId="40561" xr:uid="{00000000-0005-0000-0000-0000719E0000}"/>
    <cellStyle name="Input 2 2 7 3" xfId="40562" xr:uid="{00000000-0005-0000-0000-0000729E0000}"/>
    <cellStyle name="Input 2 2 7 3 2" xfId="40563" xr:uid="{00000000-0005-0000-0000-0000739E0000}"/>
    <cellStyle name="Input 2 2 7 4" xfId="40564" xr:uid="{00000000-0005-0000-0000-0000749E0000}"/>
    <cellStyle name="Input 2 2 8" xfId="40565" xr:uid="{00000000-0005-0000-0000-0000759E0000}"/>
    <cellStyle name="Input 2 2 8 2" xfId="40566" xr:uid="{00000000-0005-0000-0000-0000769E0000}"/>
    <cellStyle name="Input 2 2 8 2 2" xfId="40567" xr:uid="{00000000-0005-0000-0000-0000779E0000}"/>
    <cellStyle name="Input 2 2 8 3" xfId="40568" xr:uid="{00000000-0005-0000-0000-0000789E0000}"/>
    <cellStyle name="Input 2 2 8 3 2" xfId="40569" xr:uid="{00000000-0005-0000-0000-0000799E0000}"/>
    <cellStyle name="Input 2 2 8 4" xfId="40570" xr:uid="{00000000-0005-0000-0000-00007A9E0000}"/>
    <cellStyle name="Input 2 2 9" xfId="40571" xr:uid="{00000000-0005-0000-0000-00007B9E0000}"/>
    <cellStyle name="Input 2 2 9 2" xfId="40572" xr:uid="{00000000-0005-0000-0000-00007C9E0000}"/>
    <cellStyle name="Input 2 20" xfId="40573" xr:uid="{00000000-0005-0000-0000-00007D9E0000}"/>
    <cellStyle name="Input 2 21" xfId="40574" xr:uid="{00000000-0005-0000-0000-00007E9E0000}"/>
    <cellStyle name="Input 2 22" xfId="40575" xr:uid="{00000000-0005-0000-0000-00007F9E0000}"/>
    <cellStyle name="Input 2 23" xfId="40576" xr:uid="{00000000-0005-0000-0000-0000809E0000}"/>
    <cellStyle name="Input 2 24" xfId="40577" xr:uid="{00000000-0005-0000-0000-0000819E0000}"/>
    <cellStyle name="Input 2 3" xfId="40578" xr:uid="{00000000-0005-0000-0000-0000829E0000}"/>
    <cellStyle name="Input 2 3 10" xfId="40579" xr:uid="{00000000-0005-0000-0000-0000839E0000}"/>
    <cellStyle name="Input 2 3 10 2" xfId="40580" xr:uid="{00000000-0005-0000-0000-0000849E0000}"/>
    <cellStyle name="Input 2 3 11" xfId="40581" xr:uid="{00000000-0005-0000-0000-0000859E0000}"/>
    <cellStyle name="Input 2 3 12" xfId="40582" xr:uid="{00000000-0005-0000-0000-0000869E0000}"/>
    <cellStyle name="Input 2 3 13" xfId="40583" xr:uid="{00000000-0005-0000-0000-0000879E0000}"/>
    <cellStyle name="Input 2 3 14" xfId="40584" xr:uid="{00000000-0005-0000-0000-0000889E0000}"/>
    <cellStyle name="Input 2 3 15" xfId="40585" xr:uid="{00000000-0005-0000-0000-0000899E0000}"/>
    <cellStyle name="Input 2 3 16" xfId="40586" xr:uid="{00000000-0005-0000-0000-00008A9E0000}"/>
    <cellStyle name="Input 2 3 17" xfId="40587" xr:uid="{00000000-0005-0000-0000-00008B9E0000}"/>
    <cellStyle name="Input 2 3 18" xfId="40588" xr:uid="{00000000-0005-0000-0000-00008C9E0000}"/>
    <cellStyle name="Input 2 3 2" xfId="40589" xr:uid="{00000000-0005-0000-0000-00008D9E0000}"/>
    <cellStyle name="Input 2 3 2 2" xfId="40590" xr:uid="{00000000-0005-0000-0000-00008E9E0000}"/>
    <cellStyle name="Input 2 3 2 2 2" xfId="40591" xr:uid="{00000000-0005-0000-0000-00008F9E0000}"/>
    <cellStyle name="Input 2 3 2 2 2 2" xfId="40592" xr:uid="{00000000-0005-0000-0000-0000909E0000}"/>
    <cellStyle name="Input 2 3 2 2 3" xfId="40593" xr:uid="{00000000-0005-0000-0000-0000919E0000}"/>
    <cellStyle name="Input 2 3 2 2 3 2" xfId="40594" xr:uid="{00000000-0005-0000-0000-0000929E0000}"/>
    <cellStyle name="Input 2 3 2 2 4" xfId="40595" xr:uid="{00000000-0005-0000-0000-0000939E0000}"/>
    <cellStyle name="Input 2 3 2 3" xfId="40596" xr:uid="{00000000-0005-0000-0000-0000949E0000}"/>
    <cellStyle name="Input 2 3 2 3 2" xfId="40597" xr:uid="{00000000-0005-0000-0000-0000959E0000}"/>
    <cellStyle name="Input 2 3 2 3 2 2" xfId="40598" xr:uid="{00000000-0005-0000-0000-0000969E0000}"/>
    <cellStyle name="Input 2 3 2 3 3" xfId="40599" xr:uid="{00000000-0005-0000-0000-0000979E0000}"/>
    <cellStyle name="Input 2 3 2 3 3 2" xfId="40600" xr:uid="{00000000-0005-0000-0000-0000989E0000}"/>
    <cellStyle name="Input 2 3 2 3 4" xfId="40601" xr:uid="{00000000-0005-0000-0000-0000999E0000}"/>
    <cellStyle name="Input 2 3 2 4" xfId="40602" xr:uid="{00000000-0005-0000-0000-00009A9E0000}"/>
    <cellStyle name="Input 2 3 2 4 2" xfId="40603" xr:uid="{00000000-0005-0000-0000-00009B9E0000}"/>
    <cellStyle name="Input 2 3 2 5" xfId="40604" xr:uid="{00000000-0005-0000-0000-00009C9E0000}"/>
    <cellStyle name="Input 2 3 2 5 2" xfId="40605" xr:uid="{00000000-0005-0000-0000-00009D9E0000}"/>
    <cellStyle name="Input 2 3 2 6" xfId="40606" xr:uid="{00000000-0005-0000-0000-00009E9E0000}"/>
    <cellStyle name="Input 2 3 3" xfId="40607" xr:uid="{00000000-0005-0000-0000-00009F9E0000}"/>
    <cellStyle name="Input 2 3 3 2" xfId="40608" xr:uid="{00000000-0005-0000-0000-0000A09E0000}"/>
    <cellStyle name="Input 2 3 3 2 2" xfId="40609" xr:uid="{00000000-0005-0000-0000-0000A19E0000}"/>
    <cellStyle name="Input 2 3 3 2 2 2" xfId="40610" xr:uid="{00000000-0005-0000-0000-0000A29E0000}"/>
    <cellStyle name="Input 2 3 3 2 3" xfId="40611" xr:uid="{00000000-0005-0000-0000-0000A39E0000}"/>
    <cellStyle name="Input 2 3 3 2 3 2" xfId="40612" xr:uid="{00000000-0005-0000-0000-0000A49E0000}"/>
    <cellStyle name="Input 2 3 3 2 4" xfId="40613" xr:uid="{00000000-0005-0000-0000-0000A59E0000}"/>
    <cellStyle name="Input 2 3 3 3" xfId="40614" xr:uid="{00000000-0005-0000-0000-0000A69E0000}"/>
    <cellStyle name="Input 2 3 3 3 2" xfId="40615" xr:uid="{00000000-0005-0000-0000-0000A79E0000}"/>
    <cellStyle name="Input 2 3 3 3 2 2" xfId="40616" xr:uid="{00000000-0005-0000-0000-0000A89E0000}"/>
    <cellStyle name="Input 2 3 3 3 3" xfId="40617" xr:uid="{00000000-0005-0000-0000-0000A99E0000}"/>
    <cellStyle name="Input 2 3 3 3 3 2" xfId="40618" xr:uid="{00000000-0005-0000-0000-0000AA9E0000}"/>
    <cellStyle name="Input 2 3 3 3 4" xfId="40619" xr:uid="{00000000-0005-0000-0000-0000AB9E0000}"/>
    <cellStyle name="Input 2 3 3 4" xfId="40620" xr:uid="{00000000-0005-0000-0000-0000AC9E0000}"/>
    <cellStyle name="Input 2 3 3 4 2" xfId="40621" xr:uid="{00000000-0005-0000-0000-0000AD9E0000}"/>
    <cellStyle name="Input 2 3 3 5" xfId="40622" xr:uid="{00000000-0005-0000-0000-0000AE9E0000}"/>
    <cellStyle name="Input 2 3 3 5 2" xfId="40623" xr:uid="{00000000-0005-0000-0000-0000AF9E0000}"/>
    <cellStyle name="Input 2 3 3 6" xfId="40624" xr:uid="{00000000-0005-0000-0000-0000B09E0000}"/>
    <cellStyle name="Input 2 3 4" xfId="40625" xr:uid="{00000000-0005-0000-0000-0000B19E0000}"/>
    <cellStyle name="Input 2 3 4 2" xfId="40626" xr:uid="{00000000-0005-0000-0000-0000B29E0000}"/>
    <cellStyle name="Input 2 3 4 2 2" xfId="40627" xr:uid="{00000000-0005-0000-0000-0000B39E0000}"/>
    <cellStyle name="Input 2 3 4 2 2 2" xfId="40628" xr:uid="{00000000-0005-0000-0000-0000B49E0000}"/>
    <cellStyle name="Input 2 3 4 2 3" xfId="40629" xr:uid="{00000000-0005-0000-0000-0000B59E0000}"/>
    <cellStyle name="Input 2 3 4 2 3 2" xfId="40630" xr:uid="{00000000-0005-0000-0000-0000B69E0000}"/>
    <cellStyle name="Input 2 3 4 2 4" xfId="40631" xr:uid="{00000000-0005-0000-0000-0000B79E0000}"/>
    <cellStyle name="Input 2 3 4 3" xfId="40632" xr:uid="{00000000-0005-0000-0000-0000B89E0000}"/>
    <cellStyle name="Input 2 3 4 3 2" xfId="40633" xr:uid="{00000000-0005-0000-0000-0000B99E0000}"/>
    <cellStyle name="Input 2 3 4 3 2 2" xfId="40634" xr:uid="{00000000-0005-0000-0000-0000BA9E0000}"/>
    <cellStyle name="Input 2 3 4 3 3" xfId="40635" xr:uid="{00000000-0005-0000-0000-0000BB9E0000}"/>
    <cellStyle name="Input 2 3 4 3 3 2" xfId="40636" xr:uid="{00000000-0005-0000-0000-0000BC9E0000}"/>
    <cellStyle name="Input 2 3 4 3 4" xfId="40637" xr:uid="{00000000-0005-0000-0000-0000BD9E0000}"/>
    <cellStyle name="Input 2 3 4 4" xfId="40638" xr:uid="{00000000-0005-0000-0000-0000BE9E0000}"/>
    <cellStyle name="Input 2 3 4 4 2" xfId="40639" xr:uid="{00000000-0005-0000-0000-0000BF9E0000}"/>
    <cellStyle name="Input 2 3 4 5" xfId="40640" xr:uid="{00000000-0005-0000-0000-0000C09E0000}"/>
    <cellStyle name="Input 2 3 4 5 2" xfId="40641" xr:uid="{00000000-0005-0000-0000-0000C19E0000}"/>
    <cellStyle name="Input 2 3 4 6" xfId="40642" xr:uid="{00000000-0005-0000-0000-0000C29E0000}"/>
    <cellStyle name="Input 2 3 5" xfId="40643" xr:uid="{00000000-0005-0000-0000-0000C39E0000}"/>
    <cellStyle name="Input 2 3 5 2" xfId="40644" xr:uid="{00000000-0005-0000-0000-0000C49E0000}"/>
    <cellStyle name="Input 2 3 5 2 2" xfId="40645" xr:uid="{00000000-0005-0000-0000-0000C59E0000}"/>
    <cellStyle name="Input 2 3 5 2 2 2" xfId="40646" xr:uid="{00000000-0005-0000-0000-0000C69E0000}"/>
    <cellStyle name="Input 2 3 5 2 3" xfId="40647" xr:uid="{00000000-0005-0000-0000-0000C79E0000}"/>
    <cellStyle name="Input 2 3 5 2 3 2" xfId="40648" xr:uid="{00000000-0005-0000-0000-0000C89E0000}"/>
    <cellStyle name="Input 2 3 5 2 4" xfId="40649" xr:uid="{00000000-0005-0000-0000-0000C99E0000}"/>
    <cellStyle name="Input 2 3 5 3" xfId="40650" xr:uid="{00000000-0005-0000-0000-0000CA9E0000}"/>
    <cellStyle name="Input 2 3 5 3 2" xfId="40651" xr:uid="{00000000-0005-0000-0000-0000CB9E0000}"/>
    <cellStyle name="Input 2 3 5 3 2 2" xfId="40652" xr:uid="{00000000-0005-0000-0000-0000CC9E0000}"/>
    <cellStyle name="Input 2 3 5 3 3" xfId="40653" xr:uid="{00000000-0005-0000-0000-0000CD9E0000}"/>
    <cellStyle name="Input 2 3 5 3 3 2" xfId="40654" xr:uid="{00000000-0005-0000-0000-0000CE9E0000}"/>
    <cellStyle name="Input 2 3 5 3 4" xfId="40655" xr:uid="{00000000-0005-0000-0000-0000CF9E0000}"/>
    <cellStyle name="Input 2 3 5 4" xfId="40656" xr:uid="{00000000-0005-0000-0000-0000D09E0000}"/>
    <cellStyle name="Input 2 3 5 4 2" xfId="40657" xr:uid="{00000000-0005-0000-0000-0000D19E0000}"/>
    <cellStyle name="Input 2 3 5 5" xfId="40658" xr:uid="{00000000-0005-0000-0000-0000D29E0000}"/>
    <cellStyle name="Input 2 3 5 5 2" xfId="40659" xr:uid="{00000000-0005-0000-0000-0000D39E0000}"/>
    <cellStyle name="Input 2 3 5 6" xfId="40660" xr:uid="{00000000-0005-0000-0000-0000D49E0000}"/>
    <cellStyle name="Input 2 3 6" xfId="40661" xr:uid="{00000000-0005-0000-0000-0000D59E0000}"/>
    <cellStyle name="Input 2 3 6 2" xfId="40662" xr:uid="{00000000-0005-0000-0000-0000D69E0000}"/>
    <cellStyle name="Input 2 3 6 2 2" xfId="40663" xr:uid="{00000000-0005-0000-0000-0000D79E0000}"/>
    <cellStyle name="Input 2 3 6 2 2 2" xfId="40664" xr:uid="{00000000-0005-0000-0000-0000D89E0000}"/>
    <cellStyle name="Input 2 3 6 2 3" xfId="40665" xr:uid="{00000000-0005-0000-0000-0000D99E0000}"/>
    <cellStyle name="Input 2 3 6 2 3 2" xfId="40666" xr:uid="{00000000-0005-0000-0000-0000DA9E0000}"/>
    <cellStyle name="Input 2 3 6 2 4" xfId="40667" xr:uid="{00000000-0005-0000-0000-0000DB9E0000}"/>
    <cellStyle name="Input 2 3 6 3" xfId="40668" xr:uid="{00000000-0005-0000-0000-0000DC9E0000}"/>
    <cellStyle name="Input 2 3 6 3 2" xfId="40669" xr:uid="{00000000-0005-0000-0000-0000DD9E0000}"/>
    <cellStyle name="Input 2 3 6 3 2 2" xfId="40670" xr:uid="{00000000-0005-0000-0000-0000DE9E0000}"/>
    <cellStyle name="Input 2 3 6 3 3" xfId="40671" xr:uid="{00000000-0005-0000-0000-0000DF9E0000}"/>
    <cellStyle name="Input 2 3 6 3 3 2" xfId="40672" xr:uid="{00000000-0005-0000-0000-0000E09E0000}"/>
    <cellStyle name="Input 2 3 6 3 4" xfId="40673" xr:uid="{00000000-0005-0000-0000-0000E19E0000}"/>
    <cellStyle name="Input 2 3 6 4" xfId="40674" xr:uid="{00000000-0005-0000-0000-0000E29E0000}"/>
    <cellStyle name="Input 2 3 6 4 2" xfId="40675" xr:uid="{00000000-0005-0000-0000-0000E39E0000}"/>
    <cellStyle name="Input 2 3 6 5" xfId="40676" xr:uid="{00000000-0005-0000-0000-0000E49E0000}"/>
    <cellStyle name="Input 2 3 6 5 2" xfId="40677" xr:uid="{00000000-0005-0000-0000-0000E59E0000}"/>
    <cellStyle name="Input 2 3 6 6" xfId="40678" xr:uid="{00000000-0005-0000-0000-0000E69E0000}"/>
    <cellStyle name="Input 2 3 7" xfId="40679" xr:uid="{00000000-0005-0000-0000-0000E79E0000}"/>
    <cellStyle name="Input 2 3 7 2" xfId="40680" xr:uid="{00000000-0005-0000-0000-0000E89E0000}"/>
    <cellStyle name="Input 2 3 7 2 2" xfId="40681" xr:uid="{00000000-0005-0000-0000-0000E99E0000}"/>
    <cellStyle name="Input 2 3 7 3" xfId="40682" xr:uid="{00000000-0005-0000-0000-0000EA9E0000}"/>
    <cellStyle name="Input 2 3 7 3 2" xfId="40683" xr:uid="{00000000-0005-0000-0000-0000EB9E0000}"/>
    <cellStyle name="Input 2 3 7 4" xfId="40684" xr:uid="{00000000-0005-0000-0000-0000EC9E0000}"/>
    <cellStyle name="Input 2 3 8" xfId="40685" xr:uid="{00000000-0005-0000-0000-0000ED9E0000}"/>
    <cellStyle name="Input 2 3 8 2" xfId="40686" xr:uid="{00000000-0005-0000-0000-0000EE9E0000}"/>
    <cellStyle name="Input 2 3 8 2 2" xfId="40687" xr:uid="{00000000-0005-0000-0000-0000EF9E0000}"/>
    <cellStyle name="Input 2 3 8 3" xfId="40688" xr:uid="{00000000-0005-0000-0000-0000F09E0000}"/>
    <cellStyle name="Input 2 3 8 3 2" xfId="40689" xr:uid="{00000000-0005-0000-0000-0000F19E0000}"/>
    <cellStyle name="Input 2 3 8 4" xfId="40690" xr:uid="{00000000-0005-0000-0000-0000F29E0000}"/>
    <cellStyle name="Input 2 3 9" xfId="40691" xr:uid="{00000000-0005-0000-0000-0000F39E0000}"/>
    <cellStyle name="Input 2 3 9 2" xfId="40692" xr:uid="{00000000-0005-0000-0000-0000F49E0000}"/>
    <cellStyle name="Input 2 4" xfId="40693" xr:uid="{00000000-0005-0000-0000-0000F59E0000}"/>
    <cellStyle name="Input 2 4 10" xfId="40694" xr:uid="{00000000-0005-0000-0000-0000F69E0000}"/>
    <cellStyle name="Input 2 4 10 2" xfId="40695" xr:uid="{00000000-0005-0000-0000-0000F79E0000}"/>
    <cellStyle name="Input 2 4 11" xfId="40696" xr:uid="{00000000-0005-0000-0000-0000F89E0000}"/>
    <cellStyle name="Input 2 4 12" xfId="40697" xr:uid="{00000000-0005-0000-0000-0000F99E0000}"/>
    <cellStyle name="Input 2 4 13" xfId="40698" xr:uid="{00000000-0005-0000-0000-0000FA9E0000}"/>
    <cellStyle name="Input 2 4 14" xfId="40699" xr:uid="{00000000-0005-0000-0000-0000FB9E0000}"/>
    <cellStyle name="Input 2 4 15" xfId="40700" xr:uid="{00000000-0005-0000-0000-0000FC9E0000}"/>
    <cellStyle name="Input 2 4 16" xfId="40701" xr:uid="{00000000-0005-0000-0000-0000FD9E0000}"/>
    <cellStyle name="Input 2 4 17" xfId="40702" xr:uid="{00000000-0005-0000-0000-0000FE9E0000}"/>
    <cellStyle name="Input 2 4 18" xfId="40703" xr:uid="{00000000-0005-0000-0000-0000FF9E0000}"/>
    <cellStyle name="Input 2 4 19" xfId="40704" xr:uid="{00000000-0005-0000-0000-0000009F0000}"/>
    <cellStyle name="Input 2 4 2" xfId="40705" xr:uid="{00000000-0005-0000-0000-0000019F0000}"/>
    <cellStyle name="Input 2 4 2 2" xfId="40706" xr:uid="{00000000-0005-0000-0000-0000029F0000}"/>
    <cellStyle name="Input 2 4 2 2 2" xfId="40707" xr:uid="{00000000-0005-0000-0000-0000039F0000}"/>
    <cellStyle name="Input 2 4 2 2 2 2" xfId="40708" xr:uid="{00000000-0005-0000-0000-0000049F0000}"/>
    <cellStyle name="Input 2 4 2 2 3" xfId="40709" xr:uid="{00000000-0005-0000-0000-0000059F0000}"/>
    <cellStyle name="Input 2 4 2 2 3 2" xfId="40710" xr:uid="{00000000-0005-0000-0000-0000069F0000}"/>
    <cellStyle name="Input 2 4 2 2 4" xfId="40711" xr:uid="{00000000-0005-0000-0000-0000079F0000}"/>
    <cellStyle name="Input 2 4 2 3" xfId="40712" xr:uid="{00000000-0005-0000-0000-0000089F0000}"/>
    <cellStyle name="Input 2 4 2 3 2" xfId="40713" xr:uid="{00000000-0005-0000-0000-0000099F0000}"/>
    <cellStyle name="Input 2 4 2 3 2 2" xfId="40714" xr:uid="{00000000-0005-0000-0000-00000A9F0000}"/>
    <cellStyle name="Input 2 4 2 3 3" xfId="40715" xr:uid="{00000000-0005-0000-0000-00000B9F0000}"/>
    <cellStyle name="Input 2 4 2 3 3 2" xfId="40716" xr:uid="{00000000-0005-0000-0000-00000C9F0000}"/>
    <cellStyle name="Input 2 4 2 3 4" xfId="40717" xr:uid="{00000000-0005-0000-0000-00000D9F0000}"/>
    <cellStyle name="Input 2 4 2 4" xfId="40718" xr:uid="{00000000-0005-0000-0000-00000E9F0000}"/>
    <cellStyle name="Input 2 4 2 4 2" xfId="40719" xr:uid="{00000000-0005-0000-0000-00000F9F0000}"/>
    <cellStyle name="Input 2 4 2 5" xfId="40720" xr:uid="{00000000-0005-0000-0000-0000109F0000}"/>
    <cellStyle name="Input 2 4 2 5 2" xfId="40721" xr:uid="{00000000-0005-0000-0000-0000119F0000}"/>
    <cellStyle name="Input 2 4 2 6" xfId="40722" xr:uid="{00000000-0005-0000-0000-0000129F0000}"/>
    <cellStyle name="Input 2 4 20" xfId="40723" xr:uid="{00000000-0005-0000-0000-0000139F0000}"/>
    <cellStyle name="Input 2 4 21" xfId="40724" xr:uid="{00000000-0005-0000-0000-0000149F0000}"/>
    <cellStyle name="Input 2 4 3" xfId="40725" xr:uid="{00000000-0005-0000-0000-0000159F0000}"/>
    <cellStyle name="Input 2 4 3 2" xfId="40726" xr:uid="{00000000-0005-0000-0000-0000169F0000}"/>
    <cellStyle name="Input 2 4 3 2 2" xfId="40727" xr:uid="{00000000-0005-0000-0000-0000179F0000}"/>
    <cellStyle name="Input 2 4 3 2 2 2" xfId="40728" xr:uid="{00000000-0005-0000-0000-0000189F0000}"/>
    <cellStyle name="Input 2 4 3 2 3" xfId="40729" xr:uid="{00000000-0005-0000-0000-0000199F0000}"/>
    <cellStyle name="Input 2 4 3 2 3 2" xfId="40730" xr:uid="{00000000-0005-0000-0000-00001A9F0000}"/>
    <cellStyle name="Input 2 4 3 2 4" xfId="40731" xr:uid="{00000000-0005-0000-0000-00001B9F0000}"/>
    <cellStyle name="Input 2 4 3 3" xfId="40732" xr:uid="{00000000-0005-0000-0000-00001C9F0000}"/>
    <cellStyle name="Input 2 4 3 3 2" xfId="40733" xr:uid="{00000000-0005-0000-0000-00001D9F0000}"/>
    <cellStyle name="Input 2 4 3 3 2 2" xfId="40734" xr:uid="{00000000-0005-0000-0000-00001E9F0000}"/>
    <cellStyle name="Input 2 4 3 3 3" xfId="40735" xr:uid="{00000000-0005-0000-0000-00001F9F0000}"/>
    <cellStyle name="Input 2 4 3 3 3 2" xfId="40736" xr:uid="{00000000-0005-0000-0000-0000209F0000}"/>
    <cellStyle name="Input 2 4 3 3 4" xfId="40737" xr:uid="{00000000-0005-0000-0000-0000219F0000}"/>
    <cellStyle name="Input 2 4 3 4" xfId="40738" xr:uid="{00000000-0005-0000-0000-0000229F0000}"/>
    <cellStyle name="Input 2 4 3 4 2" xfId="40739" xr:uid="{00000000-0005-0000-0000-0000239F0000}"/>
    <cellStyle name="Input 2 4 3 5" xfId="40740" xr:uid="{00000000-0005-0000-0000-0000249F0000}"/>
    <cellStyle name="Input 2 4 3 5 2" xfId="40741" xr:uid="{00000000-0005-0000-0000-0000259F0000}"/>
    <cellStyle name="Input 2 4 3 6" xfId="40742" xr:uid="{00000000-0005-0000-0000-0000269F0000}"/>
    <cellStyle name="Input 2 4 4" xfId="40743" xr:uid="{00000000-0005-0000-0000-0000279F0000}"/>
    <cellStyle name="Input 2 4 4 2" xfId="40744" xr:uid="{00000000-0005-0000-0000-0000289F0000}"/>
    <cellStyle name="Input 2 4 4 2 2" xfId="40745" xr:uid="{00000000-0005-0000-0000-0000299F0000}"/>
    <cellStyle name="Input 2 4 4 2 2 2" xfId="40746" xr:uid="{00000000-0005-0000-0000-00002A9F0000}"/>
    <cellStyle name="Input 2 4 4 2 3" xfId="40747" xr:uid="{00000000-0005-0000-0000-00002B9F0000}"/>
    <cellStyle name="Input 2 4 4 2 3 2" xfId="40748" xr:uid="{00000000-0005-0000-0000-00002C9F0000}"/>
    <cellStyle name="Input 2 4 4 2 4" xfId="40749" xr:uid="{00000000-0005-0000-0000-00002D9F0000}"/>
    <cellStyle name="Input 2 4 4 3" xfId="40750" xr:uid="{00000000-0005-0000-0000-00002E9F0000}"/>
    <cellStyle name="Input 2 4 4 3 2" xfId="40751" xr:uid="{00000000-0005-0000-0000-00002F9F0000}"/>
    <cellStyle name="Input 2 4 4 3 2 2" xfId="40752" xr:uid="{00000000-0005-0000-0000-0000309F0000}"/>
    <cellStyle name="Input 2 4 4 3 3" xfId="40753" xr:uid="{00000000-0005-0000-0000-0000319F0000}"/>
    <cellStyle name="Input 2 4 4 3 3 2" xfId="40754" xr:uid="{00000000-0005-0000-0000-0000329F0000}"/>
    <cellStyle name="Input 2 4 4 3 4" xfId="40755" xr:uid="{00000000-0005-0000-0000-0000339F0000}"/>
    <cellStyle name="Input 2 4 4 4" xfId="40756" xr:uid="{00000000-0005-0000-0000-0000349F0000}"/>
    <cellStyle name="Input 2 4 4 4 2" xfId="40757" xr:uid="{00000000-0005-0000-0000-0000359F0000}"/>
    <cellStyle name="Input 2 4 4 5" xfId="40758" xr:uid="{00000000-0005-0000-0000-0000369F0000}"/>
    <cellStyle name="Input 2 4 4 5 2" xfId="40759" xr:uid="{00000000-0005-0000-0000-0000379F0000}"/>
    <cellStyle name="Input 2 4 4 6" xfId="40760" xr:uid="{00000000-0005-0000-0000-0000389F0000}"/>
    <cellStyle name="Input 2 4 5" xfId="40761" xr:uid="{00000000-0005-0000-0000-0000399F0000}"/>
    <cellStyle name="Input 2 4 5 2" xfId="40762" xr:uid="{00000000-0005-0000-0000-00003A9F0000}"/>
    <cellStyle name="Input 2 4 5 2 2" xfId="40763" xr:uid="{00000000-0005-0000-0000-00003B9F0000}"/>
    <cellStyle name="Input 2 4 5 2 2 2" xfId="40764" xr:uid="{00000000-0005-0000-0000-00003C9F0000}"/>
    <cellStyle name="Input 2 4 5 2 3" xfId="40765" xr:uid="{00000000-0005-0000-0000-00003D9F0000}"/>
    <cellStyle name="Input 2 4 5 2 3 2" xfId="40766" xr:uid="{00000000-0005-0000-0000-00003E9F0000}"/>
    <cellStyle name="Input 2 4 5 2 4" xfId="40767" xr:uid="{00000000-0005-0000-0000-00003F9F0000}"/>
    <cellStyle name="Input 2 4 5 3" xfId="40768" xr:uid="{00000000-0005-0000-0000-0000409F0000}"/>
    <cellStyle name="Input 2 4 5 3 2" xfId="40769" xr:uid="{00000000-0005-0000-0000-0000419F0000}"/>
    <cellStyle name="Input 2 4 5 3 2 2" xfId="40770" xr:uid="{00000000-0005-0000-0000-0000429F0000}"/>
    <cellStyle name="Input 2 4 5 3 3" xfId="40771" xr:uid="{00000000-0005-0000-0000-0000439F0000}"/>
    <cellStyle name="Input 2 4 5 3 3 2" xfId="40772" xr:uid="{00000000-0005-0000-0000-0000449F0000}"/>
    <cellStyle name="Input 2 4 5 3 4" xfId="40773" xr:uid="{00000000-0005-0000-0000-0000459F0000}"/>
    <cellStyle name="Input 2 4 5 4" xfId="40774" xr:uid="{00000000-0005-0000-0000-0000469F0000}"/>
    <cellStyle name="Input 2 4 5 4 2" xfId="40775" xr:uid="{00000000-0005-0000-0000-0000479F0000}"/>
    <cellStyle name="Input 2 4 5 5" xfId="40776" xr:uid="{00000000-0005-0000-0000-0000489F0000}"/>
    <cellStyle name="Input 2 4 5 5 2" xfId="40777" xr:uid="{00000000-0005-0000-0000-0000499F0000}"/>
    <cellStyle name="Input 2 4 5 6" xfId="40778" xr:uid="{00000000-0005-0000-0000-00004A9F0000}"/>
    <cellStyle name="Input 2 4 6" xfId="40779" xr:uid="{00000000-0005-0000-0000-00004B9F0000}"/>
    <cellStyle name="Input 2 4 6 2" xfId="40780" xr:uid="{00000000-0005-0000-0000-00004C9F0000}"/>
    <cellStyle name="Input 2 4 6 2 2" xfId="40781" xr:uid="{00000000-0005-0000-0000-00004D9F0000}"/>
    <cellStyle name="Input 2 4 6 2 2 2" xfId="40782" xr:uid="{00000000-0005-0000-0000-00004E9F0000}"/>
    <cellStyle name="Input 2 4 6 2 3" xfId="40783" xr:uid="{00000000-0005-0000-0000-00004F9F0000}"/>
    <cellStyle name="Input 2 4 6 2 3 2" xfId="40784" xr:uid="{00000000-0005-0000-0000-0000509F0000}"/>
    <cellStyle name="Input 2 4 6 2 4" xfId="40785" xr:uid="{00000000-0005-0000-0000-0000519F0000}"/>
    <cellStyle name="Input 2 4 6 3" xfId="40786" xr:uid="{00000000-0005-0000-0000-0000529F0000}"/>
    <cellStyle name="Input 2 4 6 3 2" xfId="40787" xr:uid="{00000000-0005-0000-0000-0000539F0000}"/>
    <cellStyle name="Input 2 4 6 3 2 2" xfId="40788" xr:uid="{00000000-0005-0000-0000-0000549F0000}"/>
    <cellStyle name="Input 2 4 6 3 3" xfId="40789" xr:uid="{00000000-0005-0000-0000-0000559F0000}"/>
    <cellStyle name="Input 2 4 6 3 3 2" xfId="40790" xr:uid="{00000000-0005-0000-0000-0000569F0000}"/>
    <cellStyle name="Input 2 4 6 3 4" xfId="40791" xr:uid="{00000000-0005-0000-0000-0000579F0000}"/>
    <cellStyle name="Input 2 4 6 4" xfId="40792" xr:uid="{00000000-0005-0000-0000-0000589F0000}"/>
    <cellStyle name="Input 2 4 6 4 2" xfId="40793" xr:uid="{00000000-0005-0000-0000-0000599F0000}"/>
    <cellStyle name="Input 2 4 6 5" xfId="40794" xr:uid="{00000000-0005-0000-0000-00005A9F0000}"/>
    <cellStyle name="Input 2 4 6 5 2" xfId="40795" xr:uid="{00000000-0005-0000-0000-00005B9F0000}"/>
    <cellStyle name="Input 2 4 6 6" xfId="40796" xr:uid="{00000000-0005-0000-0000-00005C9F0000}"/>
    <cellStyle name="Input 2 4 7" xfId="40797" xr:uid="{00000000-0005-0000-0000-00005D9F0000}"/>
    <cellStyle name="Input 2 4 7 2" xfId="40798" xr:uid="{00000000-0005-0000-0000-00005E9F0000}"/>
    <cellStyle name="Input 2 4 7 2 2" xfId="40799" xr:uid="{00000000-0005-0000-0000-00005F9F0000}"/>
    <cellStyle name="Input 2 4 7 3" xfId="40800" xr:uid="{00000000-0005-0000-0000-0000609F0000}"/>
    <cellStyle name="Input 2 4 7 3 2" xfId="40801" xr:uid="{00000000-0005-0000-0000-0000619F0000}"/>
    <cellStyle name="Input 2 4 7 4" xfId="40802" xr:uid="{00000000-0005-0000-0000-0000629F0000}"/>
    <cellStyle name="Input 2 4 8" xfId="40803" xr:uid="{00000000-0005-0000-0000-0000639F0000}"/>
    <cellStyle name="Input 2 4 8 2" xfId="40804" xr:uid="{00000000-0005-0000-0000-0000649F0000}"/>
    <cellStyle name="Input 2 4 8 2 2" xfId="40805" xr:uid="{00000000-0005-0000-0000-0000659F0000}"/>
    <cellStyle name="Input 2 4 8 3" xfId="40806" xr:uid="{00000000-0005-0000-0000-0000669F0000}"/>
    <cellStyle name="Input 2 4 8 3 2" xfId="40807" xr:uid="{00000000-0005-0000-0000-0000679F0000}"/>
    <cellStyle name="Input 2 4 8 4" xfId="40808" xr:uid="{00000000-0005-0000-0000-0000689F0000}"/>
    <cellStyle name="Input 2 4 9" xfId="40809" xr:uid="{00000000-0005-0000-0000-0000699F0000}"/>
    <cellStyle name="Input 2 4 9 2" xfId="40810" xr:uid="{00000000-0005-0000-0000-00006A9F0000}"/>
    <cellStyle name="Input 2 5" xfId="40811" xr:uid="{00000000-0005-0000-0000-00006B9F0000}"/>
    <cellStyle name="Input 2 5 10" xfId="40812" xr:uid="{00000000-0005-0000-0000-00006C9F0000}"/>
    <cellStyle name="Input 2 5 10 2" xfId="40813" xr:uid="{00000000-0005-0000-0000-00006D9F0000}"/>
    <cellStyle name="Input 2 5 11" xfId="40814" xr:uid="{00000000-0005-0000-0000-00006E9F0000}"/>
    <cellStyle name="Input 2 5 12" xfId="40815" xr:uid="{00000000-0005-0000-0000-00006F9F0000}"/>
    <cellStyle name="Input 2 5 13" xfId="40816" xr:uid="{00000000-0005-0000-0000-0000709F0000}"/>
    <cellStyle name="Input 2 5 14" xfId="40817" xr:uid="{00000000-0005-0000-0000-0000719F0000}"/>
    <cellStyle name="Input 2 5 15" xfId="40818" xr:uid="{00000000-0005-0000-0000-0000729F0000}"/>
    <cellStyle name="Input 2 5 16" xfId="40819" xr:uid="{00000000-0005-0000-0000-0000739F0000}"/>
    <cellStyle name="Input 2 5 17" xfId="40820" xr:uid="{00000000-0005-0000-0000-0000749F0000}"/>
    <cellStyle name="Input 2 5 2" xfId="40821" xr:uid="{00000000-0005-0000-0000-0000759F0000}"/>
    <cellStyle name="Input 2 5 2 2" xfId="40822" xr:uid="{00000000-0005-0000-0000-0000769F0000}"/>
    <cellStyle name="Input 2 5 2 2 2" xfId="40823" xr:uid="{00000000-0005-0000-0000-0000779F0000}"/>
    <cellStyle name="Input 2 5 2 2 2 2" xfId="40824" xr:uid="{00000000-0005-0000-0000-0000789F0000}"/>
    <cellStyle name="Input 2 5 2 2 3" xfId="40825" xr:uid="{00000000-0005-0000-0000-0000799F0000}"/>
    <cellStyle name="Input 2 5 2 2 3 2" xfId="40826" xr:uid="{00000000-0005-0000-0000-00007A9F0000}"/>
    <cellStyle name="Input 2 5 2 2 4" xfId="40827" xr:uid="{00000000-0005-0000-0000-00007B9F0000}"/>
    <cellStyle name="Input 2 5 2 3" xfId="40828" xr:uid="{00000000-0005-0000-0000-00007C9F0000}"/>
    <cellStyle name="Input 2 5 2 3 2" xfId="40829" xr:uid="{00000000-0005-0000-0000-00007D9F0000}"/>
    <cellStyle name="Input 2 5 2 3 2 2" xfId="40830" xr:uid="{00000000-0005-0000-0000-00007E9F0000}"/>
    <cellStyle name="Input 2 5 2 3 3" xfId="40831" xr:uid="{00000000-0005-0000-0000-00007F9F0000}"/>
    <cellStyle name="Input 2 5 2 3 3 2" xfId="40832" xr:uid="{00000000-0005-0000-0000-0000809F0000}"/>
    <cellStyle name="Input 2 5 2 3 4" xfId="40833" xr:uid="{00000000-0005-0000-0000-0000819F0000}"/>
    <cellStyle name="Input 2 5 2 4" xfId="40834" xr:uid="{00000000-0005-0000-0000-0000829F0000}"/>
    <cellStyle name="Input 2 5 2 4 2" xfId="40835" xr:uid="{00000000-0005-0000-0000-0000839F0000}"/>
    <cellStyle name="Input 2 5 2 5" xfId="40836" xr:uid="{00000000-0005-0000-0000-0000849F0000}"/>
    <cellStyle name="Input 2 5 2 5 2" xfId="40837" xr:uid="{00000000-0005-0000-0000-0000859F0000}"/>
    <cellStyle name="Input 2 5 2 6" xfId="40838" xr:uid="{00000000-0005-0000-0000-0000869F0000}"/>
    <cellStyle name="Input 2 5 3" xfId="40839" xr:uid="{00000000-0005-0000-0000-0000879F0000}"/>
    <cellStyle name="Input 2 5 3 2" xfId="40840" xr:uid="{00000000-0005-0000-0000-0000889F0000}"/>
    <cellStyle name="Input 2 5 3 2 2" xfId="40841" xr:uid="{00000000-0005-0000-0000-0000899F0000}"/>
    <cellStyle name="Input 2 5 3 2 2 2" xfId="40842" xr:uid="{00000000-0005-0000-0000-00008A9F0000}"/>
    <cellStyle name="Input 2 5 3 2 3" xfId="40843" xr:uid="{00000000-0005-0000-0000-00008B9F0000}"/>
    <cellStyle name="Input 2 5 3 2 3 2" xfId="40844" xr:uid="{00000000-0005-0000-0000-00008C9F0000}"/>
    <cellStyle name="Input 2 5 3 2 4" xfId="40845" xr:uid="{00000000-0005-0000-0000-00008D9F0000}"/>
    <cellStyle name="Input 2 5 3 3" xfId="40846" xr:uid="{00000000-0005-0000-0000-00008E9F0000}"/>
    <cellStyle name="Input 2 5 3 3 2" xfId="40847" xr:uid="{00000000-0005-0000-0000-00008F9F0000}"/>
    <cellStyle name="Input 2 5 3 3 2 2" xfId="40848" xr:uid="{00000000-0005-0000-0000-0000909F0000}"/>
    <cellStyle name="Input 2 5 3 3 3" xfId="40849" xr:uid="{00000000-0005-0000-0000-0000919F0000}"/>
    <cellStyle name="Input 2 5 3 3 3 2" xfId="40850" xr:uid="{00000000-0005-0000-0000-0000929F0000}"/>
    <cellStyle name="Input 2 5 3 3 4" xfId="40851" xr:uid="{00000000-0005-0000-0000-0000939F0000}"/>
    <cellStyle name="Input 2 5 3 4" xfId="40852" xr:uid="{00000000-0005-0000-0000-0000949F0000}"/>
    <cellStyle name="Input 2 5 3 4 2" xfId="40853" xr:uid="{00000000-0005-0000-0000-0000959F0000}"/>
    <cellStyle name="Input 2 5 3 5" xfId="40854" xr:uid="{00000000-0005-0000-0000-0000969F0000}"/>
    <cellStyle name="Input 2 5 3 5 2" xfId="40855" xr:uid="{00000000-0005-0000-0000-0000979F0000}"/>
    <cellStyle name="Input 2 5 3 6" xfId="40856" xr:uid="{00000000-0005-0000-0000-0000989F0000}"/>
    <cellStyle name="Input 2 5 4" xfId="40857" xr:uid="{00000000-0005-0000-0000-0000999F0000}"/>
    <cellStyle name="Input 2 5 4 2" xfId="40858" xr:uid="{00000000-0005-0000-0000-00009A9F0000}"/>
    <cellStyle name="Input 2 5 4 2 2" xfId="40859" xr:uid="{00000000-0005-0000-0000-00009B9F0000}"/>
    <cellStyle name="Input 2 5 4 2 2 2" xfId="40860" xr:uid="{00000000-0005-0000-0000-00009C9F0000}"/>
    <cellStyle name="Input 2 5 4 2 3" xfId="40861" xr:uid="{00000000-0005-0000-0000-00009D9F0000}"/>
    <cellStyle name="Input 2 5 4 2 3 2" xfId="40862" xr:uid="{00000000-0005-0000-0000-00009E9F0000}"/>
    <cellStyle name="Input 2 5 4 2 4" xfId="40863" xr:uid="{00000000-0005-0000-0000-00009F9F0000}"/>
    <cellStyle name="Input 2 5 4 3" xfId="40864" xr:uid="{00000000-0005-0000-0000-0000A09F0000}"/>
    <cellStyle name="Input 2 5 4 3 2" xfId="40865" xr:uid="{00000000-0005-0000-0000-0000A19F0000}"/>
    <cellStyle name="Input 2 5 4 3 2 2" xfId="40866" xr:uid="{00000000-0005-0000-0000-0000A29F0000}"/>
    <cellStyle name="Input 2 5 4 3 3" xfId="40867" xr:uid="{00000000-0005-0000-0000-0000A39F0000}"/>
    <cellStyle name="Input 2 5 4 3 3 2" xfId="40868" xr:uid="{00000000-0005-0000-0000-0000A49F0000}"/>
    <cellStyle name="Input 2 5 4 3 4" xfId="40869" xr:uid="{00000000-0005-0000-0000-0000A59F0000}"/>
    <cellStyle name="Input 2 5 4 4" xfId="40870" xr:uid="{00000000-0005-0000-0000-0000A69F0000}"/>
    <cellStyle name="Input 2 5 4 4 2" xfId="40871" xr:uid="{00000000-0005-0000-0000-0000A79F0000}"/>
    <cellStyle name="Input 2 5 4 5" xfId="40872" xr:uid="{00000000-0005-0000-0000-0000A89F0000}"/>
    <cellStyle name="Input 2 5 4 5 2" xfId="40873" xr:uid="{00000000-0005-0000-0000-0000A99F0000}"/>
    <cellStyle name="Input 2 5 4 6" xfId="40874" xr:uid="{00000000-0005-0000-0000-0000AA9F0000}"/>
    <cellStyle name="Input 2 5 5" xfId="40875" xr:uid="{00000000-0005-0000-0000-0000AB9F0000}"/>
    <cellStyle name="Input 2 5 5 2" xfId="40876" xr:uid="{00000000-0005-0000-0000-0000AC9F0000}"/>
    <cellStyle name="Input 2 5 5 2 2" xfId="40877" xr:uid="{00000000-0005-0000-0000-0000AD9F0000}"/>
    <cellStyle name="Input 2 5 5 2 2 2" xfId="40878" xr:uid="{00000000-0005-0000-0000-0000AE9F0000}"/>
    <cellStyle name="Input 2 5 5 2 3" xfId="40879" xr:uid="{00000000-0005-0000-0000-0000AF9F0000}"/>
    <cellStyle name="Input 2 5 5 2 3 2" xfId="40880" xr:uid="{00000000-0005-0000-0000-0000B09F0000}"/>
    <cellStyle name="Input 2 5 5 2 4" xfId="40881" xr:uid="{00000000-0005-0000-0000-0000B19F0000}"/>
    <cellStyle name="Input 2 5 5 3" xfId="40882" xr:uid="{00000000-0005-0000-0000-0000B29F0000}"/>
    <cellStyle name="Input 2 5 5 3 2" xfId="40883" xr:uid="{00000000-0005-0000-0000-0000B39F0000}"/>
    <cellStyle name="Input 2 5 5 3 2 2" xfId="40884" xr:uid="{00000000-0005-0000-0000-0000B49F0000}"/>
    <cellStyle name="Input 2 5 5 3 3" xfId="40885" xr:uid="{00000000-0005-0000-0000-0000B59F0000}"/>
    <cellStyle name="Input 2 5 5 3 3 2" xfId="40886" xr:uid="{00000000-0005-0000-0000-0000B69F0000}"/>
    <cellStyle name="Input 2 5 5 3 4" xfId="40887" xr:uid="{00000000-0005-0000-0000-0000B79F0000}"/>
    <cellStyle name="Input 2 5 5 4" xfId="40888" xr:uid="{00000000-0005-0000-0000-0000B89F0000}"/>
    <cellStyle name="Input 2 5 5 4 2" xfId="40889" xr:uid="{00000000-0005-0000-0000-0000B99F0000}"/>
    <cellStyle name="Input 2 5 5 5" xfId="40890" xr:uid="{00000000-0005-0000-0000-0000BA9F0000}"/>
    <cellStyle name="Input 2 5 5 5 2" xfId="40891" xr:uid="{00000000-0005-0000-0000-0000BB9F0000}"/>
    <cellStyle name="Input 2 5 5 6" xfId="40892" xr:uid="{00000000-0005-0000-0000-0000BC9F0000}"/>
    <cellStyle name="Input 2 5 6" xfId="40893" xr:uid="{00000000-0005-0000-0000-0000BD9F0000}"/>
    <cellStyle name="Input 2 5 6 2" xfId="40894" xr:uid="{00000000-0005-0000-0000-0000BE9F0000}"/>
    <cellStyle name="Input 2 5 6 2 2" xfId="40895" xr:uid="{00000000-0005-0000-0000-0000BF9F0000}"/>
    <cellStyle name="Input 2 5 6 2 2 2" xfId="40896" xr:uid="{00000000-0005-0000-0000-0000C09F0000}"/>
    <cellStyle name="Input 2 5 6 2 3" xfId="40897" xr:uid="{00000000-0005-0000-0000-0000C19F0000}"/>
    <cellStyle name="Input 2 5 6 2 3 2" xfId="40898" xr:uid="{00000000-0005-0000-0000-0000C29F0000}"/>
    <cellStyle name="Input 2 5 6 2 4" xfId="40899" xr:uid="{00000000-0005-0000-0000-0000C39F0000}"/>
    <cellStyle name="Input 2 5 6 3" xfId="40900" xr:uid="{00000000-0005-0000-0000-0000C49F0000}"/>
    <cellStyle name="Input 2 5 6 3 2" xfId="40901" xr:uid="{00000000-0005-0000-0000-0000C59F0000}"/>
    <cellStyle name="Input 2 5 6 3 2 2" xfId="40902" xr:uid="{00000000-0005-0000-0000-0000C69F0000}"/>
    <cellStyle name="Input 2 5 6 3 3" xfId="40903" xr:uid="{00000000-0005-0000-0000-0000C79F0000}"/>
    <cellStyle name="Input 2 5 6 3 3 2" xfId="40904" xr:uid="{00000000-0005-0000-0000-0000C89F0000}"/>
    <cellStyle name="Input 2 5 6 3 4" xfId="40905" xr:uid="{00000000-0005-0000-0000-0000C99F0000}"/>
    <cellStyle name="Input 2 5 6 4" xfId="40906" xr:uid="{00000000-0005-0000-0000-0000CA9F0000}"/>
    <cellStyle name="Input 2 5 6 4 2" xfId="40907" xr:uid="{00000000-0005-0000-0000-0000CB9F0000}"/>
    <cellStyle name="Input 2 5 6 5" xfId="40908" xr:uid="{00000000-0005-0000-0000-0000CC9F0000}"/>
    <cellStyle name="Input 2 5 6 5 2" xfId="40909" xr:uid="{00000000-0005-0000-0000-0000CD9F0000}"/>
    <cellStyle name="Input 2 5 6 6" xfId="40910" xr:uid="{00000000-0005-0000-0000-0000CE9F0000}"/>
    <cellStyle name="Input 2 5 7" xfId="40911" xr:uid="{00000000-0005-0000-0000-0000CF9F0000}"/>
    <cellStyle name="Input 2 5 7 2" xfId="40912" xr:uid="{00000000-0005-0000-0000-0000D09F0000}"/>
    <cellStyle name="Input 2 5 7 2 2" xfId="40913" xr:uid="{00000000-0005-0000-0000-0000D19F0000}"/>
    <cellStyle name="Input 2 5 7 3" xfId="40914" xr:uid="{00000000-0005-0000-0000-0000D29F0000}"/>
    <cellStyle name="Input 2 5 7 3 2" xfId="40915" xr:uid="{00000000-0005-0000-0000-0000D39F0000}"/>
    <cellStyle name="Input 2 5 7 4" xfId="40916" xr:uid="{00000000-0005-0000-0000-0000D49F0000}"/>
    <cellStyle name="Input 2 5 8" xfId="40917" xr:uid="{00000000-0005-0000-0000-0000D59F0000}"/>
    <cellStyle name="Input 2 5 8 2" xfId="40918" xr:uid="{00000000-0005-0000-0000-0000D69F0000}"/>
    <cellStyle name="Input 2 5 8 2 2" xfId="40919" xr:uid="{00000000-0005-0000-0000-0000D79F0000}"/>
    <cellStyle name="Input 2 5 8 3" xfId="40920" xr:uid="{00000000-0005-0000-0000-0000D89F0000}"/>
    <cellStyle name="Input 2 5 8 3 2" xfId="40921" xr:uid="{00000000-0005-0000-0000-0000D99F0000}"/>
    <cellStyle name="Input 2 5 8 4" xfId="40922" xr:uid="{00000000-0005-0000-0000-0000DA9F0000}"/>
    <cellStyle name="Input 2 5 9" xfId="40923" xr:uid="{00000000-0005-0000-0000-0000DB9F0000}"/>
    <cellStyle name="Input 2 5 9 2" xfId="40924" xr:uid="{00000000-0005-0000-0000-0000DC9F0000}"/>
    <cellStyle name="Input 2 6" xfId="40925" xr:uid="{00000000-0005-0000-0000-0000DD9F0000}"/>
    <cellStyle name="Input 2 6 10" xfId="40926" xr:uid="{00000000-0005-0000-0000-0000DE9F0000}"/>
    <cellStyle name="Input 2 6 10 2" xfId="40927" xr:uid="{00000000-0005-0000-0000-0000DF9F0000}"/>
    <cellStyle name="Input 2 6 11" xfId="40928" xr:uid="{00000000-0005-0000-0000-0000E09F0000}"/>
    <cellStyle name="Input 2 6 12" xfId="40929" xr:uid="{00000000-0005-0000-0000-0000E19F0000}"/>
    <cellStyle name="Input 2 6 13" xfId="40930" xr:uid="{00000000-0005-0000-0000-0000E29F0000}"/>
    <cellStyle name="Input 2 6 14" xfId="40931" xr:uid="{00000000-0005-0000-0000-0000E39F0000}"/>
    <cellStyle name="Input 2 6 15" xfId="40932" xr:uid="{00000000-0005-0000-0000-0000E49F0000}"/>
    <cellStyle name="Input 2 6 16" xfId="40933" xr:uid="{00000000-0005-0000-0000-0000E59F0000}"/>
    <cellStyle name="Input 2 6 17" xfId="40934" xr:uid="{00000000-0005-0000-0000-0000E69F0000}"/>
    <cellStyle name="Input 2 6 2" xfId="40935" xr:uid="{00000000-0005-0000-0000-0000E79F0000}"/>
    <cellStyle name="Input 2 6 2 2" xfId="40936" xr:uid="{00000000-0005-0000-0000-0000E89F0000}"/>
    <cellStyle name="Input 2 6 2 2 2" xfId="40937" xr:uid="{00000000-0005-0000-0000-0000E99F0000}"/>
    <cellStyle name="Input 2 6 2 2 2 2" xfId="40938" xr:uid="{00000000-0005-0000-0000-0000EA9F0000}"/>
    <cellStyle name="Input 2 6 2 2 3" xfId="40939" xr:uid="{00000000-0005-0000-0000-0000EB9F0000}"/>
    <cellStyle name="Input 2 6 2 2 3 2" xfId="40940" xr:uid="{00000000-0005-0000-0000-0000EC9F0000}"/>
    <cellStyle name="Input 2 6 2 2 4" xfId="40941" xr:uid="{00000000-0005-0000-0000-0000ED9F0000}"/>
    <cellStyle name="Input 2 6 2 3" xfId="40942" xr:uid="{00000000-0005-0000-0000-0000EE9F0000}"/>
    <cellStyle name="Input 2 6 2 3 2" xfId="40943" xr:uid="{00000000-0005-0000-0000-0000EF9F0000}"/>
    <cellStyle name="Input 2 6 2 3 2 2" xfId="40944" xr:uid="{00000000-0005-0000-0000-0000F09F0000}"/>
    <cellStyle name="Input 2 6 2 3 3" xfId="40945" xr:uid="{00000000-0005-0000-0000-0000F19F0000}"/>
    <cellStyle name="Input 2 6 2 3 3 2" xfId="40946" xr:uid="{00000000-0005-0000-0000-0000F29F0000}"/>
    <cellStyle name="Input 2 6 2 3 4" xfId="40947" xr:uid="{00000000-0005-0000-0000-0000F39F0000}"/>
    <cellStyle name="Input 2 6 2 4" xfId="40948" xr:uid="{00000000-0005-0000-0000-0000F49F0000}"/>
    <cellStyle name="Input 2 6 2 4 2" xfId="40949" xr:uid="{00000000-0005-0000-0000-0000F59F0000}"/>
    <cellStyle name="Input 2 6 2 5" xfId="40950" xr:uid="{00000000-0005-0000-0000-0000F69F0000}"/>
    <cellStyle name="Input 2 6 2 5 2" xfId="40951" xr:uid="{00000000-0005-0000-0000-0000F79F0000}"/>
    <cellStyle name="Input 2 6 2 6" xfId="40952" xr:uid="{00000000-0005-0000-0000-0000F89F0000}"/>
    <cellStyle name="Input 2 6 3" xfId="40953" xr:uid="{00000000-0005-0000-0000-0000F99F0000}"/>
    <cellStyle name="Input 2 6 3 2" xfId="40954" xr:uid="{00000000-0005-0000-0000-0000FA9F0000}"/>
    <cellStyle name="Input 2 6 3 2 2" xfId="40955" xr:uid="{00000000-0005-0000-0000-0000FB9F0000}"/>
    <cellStyle name="Input 2 6 3 2 2 2" xfId="40956" xr:uid="{00000000-0005-0000-0000-0000FC9F0000}"/>
    <cellStyle name="Input 2 6 3 2 3" xfId="40957" xr:uid="{00000000-0005-0000-0000-0000FD9F0000}"/>
    <cellStyle name="Input 2 6 3 2 3 2" xfId="40958" xr:uid="{00000000-0005-0000-0000-0000FE9F0000}"/>
    <cellStyle name="Input 2 6 3 2 4" xfId="40959" xr:uid="{00000000-0005-0000-0000-0000FF9F0000}"/>
    <cellStyle name="Input 2 6 3 3" xfId="40960" xr:uid="{00000000-0005-0000-0000-000000A00000}"/>
    <cellStyle name="Input 2 6 3 3 2" xfId="40961" xr:uid="{00000000-0005-0000-0000-000001A00000}"/>
    <cellStyle name="Input 2 6 3 3 2 2" xfId="40962" xr:uid="{00000000-0005-0000-0000-000002A00000}"/>
    <cellStyle name="Input 2 6 3 3 3" xfId="40963" xr:uid="{00000000-0005-0000-0000-000003A00000}"/>
    <cellStyle name="Input 2 6 3 3 3 2" xfId="40964" xr:uid="{00000000-0005-0000-0000-000004A00000}"/>
    <cellStyle name="Input 2 6 3 3 4" xfId="40965" xr:uid="{00000000-0005-0000-0000-000005A00000}"/>
    <cellStyle name="Input 2 6 3 4" xfId="40966" xr:uid="{00000000-0005-0000-0000-000006A00000}"/>
    <cellStyle name="Input 2 6 3 4 2" xfId="40967" xr:uid="{00000000-0005-0000-0000-000007A00000}"/>
    <cellStyle name="Input 2 6 3 5" xfId="40968" xr:uid="{00000000-0005-0000-0000-000008A00000}"/>
    <cellStyle name="Input 2 6 3 5 2" xfId="40969" xr:uid="{00000000-0005-0000-0000-000009A00000}"/>
    <cellStyle name="Input 2 6 3 6" xfId="40970" xr:uid="{00000000-0005-0000-0000-00000AA00000}"/>
    <cellStyle name="Input 2 6 4" xfId="40971" xr:uid="{00000000-0005-0000-0000-00000BA00000}"/>
    <cellStyle name="Input 2 6 4 2" xfId="40972" xr:uid="{00000000-0005-0000-0000-00000CA00000}"/>
    <cellStyle name="Input 2 6 4 2 2" xfId="40973" xr:uid="{00000000-0005-0000-0000-00000DA00000}"/>
    <cellStyle name="Input 2 6 4 2 2 2" xfId="40974" xr:uid="{00000000-0005-0000-0000-00000EA00000}"/>
    <cellStyle name="Input 2 6 4 2 3" xfId="40975" xr:uid="{00000000-0005-0000-0000-00000FA00000}"/>
    <cellStyle name="Input 2 6 4 2 3 2" xfId="40976" xr:uid="{00000000-0005-0000-0000-000010A00000}"/>
    <cellStyle name="Input 2 6 4 2 4" xfId="40977" xr:uid="{00000000-0005-0000-0000-000011A00000}"/>
    <cellStyle name="Input 2 6 4 3" xfId="40978" xr:uid="{00000000-0005-0000-0000-000012A00000}"/>
    <cellStyle name="Input 2 6 4 3 2" xfId="40979" xr:uid="{00000000-0005-0000-0000-000013A00000}"/>
    <cellStyle name="Input 2 6 4 3 2 2" xfId="40980" xr:uid="{00000000-0005-0000-0000-000014A00000}"/>
    <cellStyle name="Input 2 6 4 3 3" xfId="40981" xr:uid="{00000000-0005-0000-0000-000015A00000}"/>
    <cellStyle name="Input 2 6 4 3 3 2" xfId="40982" xr:uid="{00000000-0005-0000-0000-000016A00000}"/>
    <cellStyle name="Input 2 6 4 3 4" xfId="40983" xr:uid="{00000000-0005-0000-0000-000017A00000}"/>
    <cellStyle name="Input 2 6 4 4" xfId="40984" xr:uid="{00000000-0005-0000-0000-000018A00000}"/>
    <cellStyle name="Input 2 6 4 4 2" xfId="40985" xr:uid="{00000000-0005-0000-0000-000019A00000}"/>
    <cellStyle name="Input 2 6 4 5" xfId="40986" xr:uid="{00000000-0005-0000-0000-00001AA00000}"/>
    <cellStyle name="Input 2 6 4 5 2" xfId="40987" xr:uid="{00000000-0005-0000-0000-00001BA00000}"/>
    <cellStyle name="Input 2 6 4 6" xfId="40988" xr:uid="{00000000-0005-0000-0000-00001CA00000}"/>
    <cellStyle name="Input 2 6 5" xfId="40989" xr:uid="{00000000-0005-0000-0000-00001DA00000}"/>
    <cellStyle name="Input 2 6 5 2" xfId="40990" xr:uid="{00000000-0005-0000-0000-00001EA00000}"/>
    <cellStyle name="Input 2 6 5 2 2" xfId="40991" xr:uid="{00000000-0005-0000-0000-00001FA00000}"/>
    <cellStyle name="Input 2 6 5 2 2 2" xfId="40992" xr:uid="{00000000-0005-0000-0000-000020A00000}"/>
    <cellStyle name="Input 2 6 5 2 3" xfId="40993" xr:uid="{00000000-0005-0000-0000-000021A00000}"/>
    <cellStyle name="Input 2 6 5 2 3 2" xfId="40994" xr:uid="{00000000-0005-0000-0000-000022A00000}"/>
    <cellStyle name="Input 2 6 5 2 4" xfId="40995" xr:uid="{00000000-0005-0000-0000-000023A00000}"/>
    <cellStyle name="Input 2 6 5 3" xfId="40996" xr:uid="{00000000-0005-0000-0000-000024A00000}"/>
    <cellStyle name="Input 2 6 5 3 2" xfId="40997" xr:uid="{00000000-0005-0000-0000-000025A00000}"/>
    <cellStyle name="Input 2 6 5 3 2 2" xfId="40998" xr:uid="{00000000-0005-0000-0000-000026A00000}"/>
    <cellStyle name="Input 2 6 5 3 3" xfId="40999" xr:uid="{00000000-0005-0000-0000-000027A00000}"/>
    <cellStyle name="Input 2 6 5 3 3 2" xfId="41000" xr:uid="{00000000-0005-0000-0000-000028A00000}"/>
    <cellStyle name="Input 2 6 5 3 4" xfId="41001" xr:uid="{00000000-0005-0000-0000-000029A00000}"/>
    <cellStyle name="Input 2 6 5 4" xfId="41002" xr:uid="{00000000-0005-0000-0000-00002AA00000}"/>
    <cellStyle name="Input 2 6 5 4 2" xfId="41003" xr:uid="{00000000-0005-0000-0000-00002BA00000}"/>
    <cellStyle name="Input 2 6 5 5" xfId="41004" xr:uid="{00000000-0005-0000-0000-00002CA00000}"/>
    <cellStyle name="Input 2 6 5 5 2" xfId="41005" xr:uid="{00000000-0005-0000-0000-00002DA00000}"/>
    <cellStyle name="Input 2 6 5 6" xfId="41006" xr:uid="{00000000-0005-0000-0000-00002EA00000}"/>
    <cellStyle name="Input 2 6 6" xfId="41007" xr:uid="{00000000-0005-0000-0000-00002FA00000}"/>
    <cellStyle name="Input 2 6 6 2" xfId="41008" xr:uid="{00000000-0005-0000-0000-000030A00000}"/>
    <cellStyle name="Input 2 6 6 2 2" xfId="41009" xr:uid="{00000000-0005-0000-0000-000031A00000}"/>
    <cellStyle name="Input 2 6 6 2 2 2" xfId="41010" xr:uid="{00000000-0005-0000-0000-000032A00000}"/>
    <cellStyle name="Input 2 6 6 2 3" xfId="41011" xr:uid="{00000000-0005-0000-0000-000033A00000}"/>
    <cellStyle name="Input 2 6 6 2 3 2" xfId="41012" xr:uid="{00000000-0005-0000-0000-000034A00000}"/>
    <cellStyle name="Input 2 6 6 2 4" xfId="41013" xr:uid="{00000000-0005-0000-0000-000035A00000}"/>
    <cellStyle name="Input 2 6 6 3" xfId="41014" xr:uid="{00000000-0005-0000-0000-000036A00000}"/>
    <cellStyle name="Input 2 6 6 3 2" xfId="41015" xr:uid="{00000000-0005-0000-0000-000037A00000}"/>
    <cellStyle name="Input 2 6 6 3 2 2" xfId="41016" xr:uid="{00000000-0005-0000-0000-000038A00000}"/>
    <cellStyle name="Input 2 6 6 3 3" xfId="41017" xr:uid="{00000000-0005-0000-0000-000039A00000}"/>
    <cellStyle name="Input 2 6 6 3 3 2" xfId="41018" xr:uid="{00000000-0005-0000-0000-00003AA00000}"/>
    <cellStyle name="Input 2 6 6 3 4" xfId="41019" xr:uid="{00000000-0005-0000-0000-00003BA00000}"/>
    <cellStyle name="Input 2 6 6 4" xfId="41020" xr:uid="{00000000-0005-0000-0000-00003CA00000}"/>
    <cellStyle name="Input 2 6 6 4 2" xfId="41021" xr:uid="{00000000-0005-0000-0000-00003DA00000}"/>
    <cellStyle name="Input 2 6 6 5" xfId="41022" xr:uid="{00000000-0005-0000-0000-00003EA00000}"/>
    <cellStyle name="Input 2 6 6 5 2" xfId="41023" xr:uid="{00000000-0005-0000-0000-00003FA00000}"/>
    <cellStyle name="Input 2 6 6 6" xfId="41024" xr:uid="{00000000-0005-0000-0000-000040A00000}"/>
    <cellStyle name="Input 2 6 7" xfId="41025" xr:uid="{00000000-0005-0000-0000-000041A00000}"/>
    <cellStyle name="Input 2 6 7 2" xfId="41026" xr:uid="{00000000-0005-0000-0000-000042A00000}"/>
    <cellStyle name="Input 2 6 7 2 2" xfId="41027" xr:uid="{00000000-0005-0000-0000-000043A00000}"/>
    <cellStyle name="Input 2 6 7 3" xfId="41028" xr:uid="{00000000-0005-0000-0000-000044A00000}"/>
    <cellStyle name="Input 2 6 7 3 2" xfId="41029" xr:uid="{00000000-0005-0000-0000-000045A00000}"/>
    <cellStyle name="Input 2 6 7 4" xfId="41030" xr:uid="{00000000-0005-0000-0000-000046A00000}"/>
    <cellStyle name="Input 2 6 8" xfId="41031" xr:uid="{00000000-0005-0000-0000-000047A00000}"/>
    <cellStyle name="Input 2 6 8 2" xfId="41032" xr:uid="{00000000-0005-0000-0000-000048A00000}"/>
    <cellStyle name="Input 2 6 8 2 2" xfId="41033" xr:uid="{00000000-0005-0000-0000-000049A00000}"/>
    <cellStyle name="Input 2 6 8 3" xfId="41034" xr:uid="{00000000-0005-0000-0000-00004AA00000}"/>
    <cellStyle name="Input 2 6 8 3 2" xfId="41035" xr:uid="{00000000-0005-0000-0000-00004BA00000}"/>
    <cellStyle name="Input 2 6 8 4" xfId="41036" xr:uid="{00000000-0005-0000-0000-00004CA00000}"/>
    <cellStyle name="Input 2 6 9" xfId="41037" xr:uid="{00000000-0005-0000-0000-00004DA00000}"/>
    <cellStyle name="Input 2 6 9 2" xfId="41038" xr:uid="{00000000-0005-0000-0000-00004EA00000}"/>
    <cellStyle name="Input 2 7" xfId="41039" xr:uid="{00000000-0005-0000-0000-00004FA00000}"/>
    <cellStyle name="Input 2 7 10" xfId="41040" xr:uid="{00000000-0005-0000-0000-000050A00000}"/>
    <cellStyle name="Input 2 7 11" xfId="41041" xr:uid="{00000000-0005-0000-0000-000051A00000}"/>
    <cellStyle name="Input 2 7 12" xfId="41042" xr:uid="{00000000-0005-0000-0000-000052A00000}"/>
    <cellStyle name="Input 2 7 2" xfId="41043" xr:uid="{00000000-0005-0000-0000-000053A00000}"/>
    <cellStyle name="Input 2 7 2 2" xfId="41044" xr:uid="{00000000-0005-0000-0000-000054A00000}"/>
    <cellStyle name="Input 2 7 2 2 2" xfId="41045" xr:uid="{00000000-0005-0000-0000-000055A00000}"/>
    <cellStyle name="Input 2 7 2 3" xfId="41046" xr:uid="{00000000-0005-0000-0000-000056A00000}"/>
    <cellStyle name="Input 2 7 2 3 2" xfId="41047" xr:uid="{00000000-0005-0000-0000-000057A00000}"/>
    <cellStyle name="Input 2 7 2 4" xfId="41048" xr:uid="{00000000-0005-0000-0000-000058A00000}"/>
    <cellStyle name="Input 2 7 3" xfId="41049" xr:uid="{00000000-0005-0000-0000-000059A00000}"/>
    <cellStyle name="Input 2 7 3 2" xfId="41050" xr:uid="{00000000-0005-0000-0000-00005AA00000}"/>
    <cellStyle name="Input 2 7 3 2 2" xfId="41051" xr:uid="{00000000-0005-0000-0000-00005BA00000}"/>
    <cellStyle name="Input 2 7 3 3" xfId="41052" xr:uid="{00000000-0005-0000-0000-00005CA00000}"/>
    <cellStyle name="Input 2 7 3 3 2" xfId="41053" xr:uid="{00000000-0005-0000-0000-00005DA00000}"/>
    <cellStyle name="Input 2 7 3 4" xfId="41054" xr:uid="{00000000-0005-0000-0000-00005EA00000}"/>
    <cellStyle name="Input 2 7 4" xfId="41055" xr:uid="{00000000-0005-0000-0000-00005FA00000}"/>
    <cellStyle name="Input 2 7 4 2" xfId="41056" xr:uid="{00000000-0005-0000-0000-000060A00000}"/>
    <cellStyle name="Input 2 7 4 3" xfId="41057" xr:uid="{00000000-0005-0000-0000-000061A00000}"/>
    <cellStyle name="Input 2 7 5" xfId="41058" xr:uid="{00000000-0005-0000-0000-000062A00000}"/>
    <cellStyle name="Input 2 7 5 2" xfId="41059" xr:uid="{00000000-0005-0000-0000-000063A00000}"/>
    <cellStyle name="Input 2 7 6" xfId="41060" xr:uid="{00000000-0005-0000-0000-000064A00000}"/>
    <cellStyle name="Input 2 7 7" xfId="41061" xr:uid="{00000000-0005-0000-0000-000065A00000}"/>
    <cellStyle name="Input 2 7 8" xfId="41062" xr:uid="{00000000-0005-0000-0000-000066A00000}"/>
    <cellStyle name="Input 2 7 9" xfId="41063" xr:uid="{00000000-0005-0000-0000-000067A00000}"/>
    <cellStyle name="Input 2 8" xfId="41064" xr:uid="{00000000-0005-0000-0000-000068A00000}"/>
    <cellStyle name="Input 2 8 10" xfId="41065" xr:uid="{00000000-0005-0000-0000-000069A00000}"/>
    <cellStyle name="Input 2 8 11" xfId="41066" xr:uid="{00000000-0005-0000-0000-00006AA00000}"/>
    <cellStyle name="Input 2 8 12" xfId="41067" xr:uid="{00000000-0005-0000-0000-00006BA00000}"/>
    <cellStyle name="Input 2 8 2" xfId="41068" xr:uid="{00000000-0005-0000-0000-00006CA00000}"/>
    <cellStyle name="Input 2 8 2 2" xfId="41069" xr:uid="{00000000-0005-0000-0000-00006DA00000}"/>
    <cellStyle name="Input 2 8 2 2 2" xfId="41070" xr:uid="{00000000-0005-0000-0000-00006EA00000}"/>
    <cellStyle name="Input 2 8 2 3" xfId="41071" xr:uid="{00000000-0005-0000-0000-00006FA00000}"/>
    <cellStyle name="Input 2 8 2 3 2" xfId="41072" xr:uid="{00000000-0005-0000-0000-000070A00000}"/>
    <cellStyle name="Input 2 8 2 4" xfId="41073" xr:uid="{00000000-0005-0000-0000-000071A00000}"/>
    <cellStyle name="Input 2 8 3" xfId="41074" xr:uid="{00000000-0005-0000-0000-000072A00000}"/>
    <cellStyle name="Input 2 8 3 2" xfId="41075" xr:uid="{00000000-0005-0000-0000-000073A00000}"/>
    <cellStyle name="Input 2 8 3 2 2" xfId="41076" xr:uid="{00000000-0005-0000-0000-000074A00000}"/>
    <cellStyle name="Input 2 8 3 3" xfId="41077" xr:uid="{00000000-0005-0000-0000-000075A00000}"/>
    <cellStyle name="Input 2 8 3 3 2" xfId="41078" xr:uid="{00000000-0005-0000-0000-000076A00000}"/>
    <cellStyle name="Input 2 8 3 4" xfId="41079" xr:uid="{00000000-0005-0000-0000-000077A00000}"/>
    <cellStyle name="Input 2 8 4" xfId="41080" xr:uid="{00000000-0005-0000-0000-000078A00000}"/>
    <cellStyle name="Input 2 8 4 2" xfId="41081" xr:uid="{00000000-0005-0000-0000-000079A00000}"/>
    <cellStyle name="Input 2 8 4 3" xfId="41082" xr:uid="{00000000-0005-0000-0000-00007AA00000}"/>
    <cellStyle name="Input 2 8 5" xfId="41083" xr:uid="{00000000-0005-0000-0000-00007BA00000}"/>
    <cellStyle name="Input 2 8 5 2" xfId="41084" xr:uid="{00000000-0005-0000-0000-00007CA00000}"/>
    <cellStyle name="Input 2 8 6" xfId="41085" xr:uid="{00000000-0005-0000-0000-00007DA00000}"/>
    <cellStyle name="Input 2 8 7" xfId="41086" xr:uid="{00000000-0005-0000-0000-00007EA00000}"/>
    <cellStyle name="Input 2 8 8" xfId="41087" xr:uid="{00000000-0005-0000-0000-00007FA00000}"/>
    <cellStyle name="Input 2 8 9" xfId="41088" xr:uid="{00000000-0005-0000-0000-000080A00000}"/>
    <cellStyle name="Input 2 9" xfId="41089" xr:uid="{00000000-0005-0000-0000-000081A00000}"/>
    <cellStyle name="Input 2 9 10" xfId="41090" xr:uid="{00000000-0005-0000-0000-000082A00000}"/>
    <cellStyle name="Input 2 9 11" xfId="41091" xr:uid="{00000000-0005-0000-0000-000083A00000}"/>
    <cellStyle name="Input 2 9 12" xfId="41092" xr:uid="{00000000-0005-0000-0000-000084A00000}"/>
    <cellStyle name="Input 2 9 13" xfId="41093" xr:uid="{00000000-0005-0000-0000-000085A00000}"/>
    <cellStyle name="Input 2 9 2" xfId="41094" xr:uid="{00000000-0005-0000-0000-000086A00000}"/>
    <cellStyle name="Input 2 9 2 2" xfId="41095" xr:uid="{00000000-0005-0000-0000-000087A00000}"/>
    <cellStyle name="Input 2 9 2 2 2" xfId="41096" xr:uid="{00000000-0005-0000-0000-000088A00000}"/>
    <cellStyle name="Input 2 9 2 3" xfId="41097" xr:uid="{00000000-0005-0000-0000-000089A00000}"/>
    <cellStyle name="Input 2 9 2 3 2" xfId="41098" xr:uid="{00000000-0005-0000-0000-00008AA00000}"/>
    <cellStyle name="Input 2 9 2 4" xfId="41099" xr:uid="{00000000-0005-0000-0000-00008BA00000}"/>
    <cellStyle name="Input 2 9 3" xfId="41100" xr:uid="{00000000-0005-0000-0000-00008CA00000}"/>
    <cellStyle name="Input 2 9 3 2" xfId="41101" xr:uid="{00000000-0005-0000-0000-00008DA00000}"/>
    <cellStyle name="Input 2 9 3 2 2" xfId="41102" xr:uid="{00000000-0005-0000-0000-00008EA00000}"/>
    <cellStyle name="Input 2 9 3 3" xfId="41103" xr:uid="{00000000-0005-0000-0000-00008FA00000}"/>
    <cellStyle name="Input 2 9 3 3 2" xfId="41104" xr:uid="{00000000-0005-0000-0000-000090A00000}"/>
    <cellStyle name="Input 2 9 3 4" xfId="41105" xr:uid="{00000000-0005-0000-0000-000091A00000}"/>
    <cellStyle name="Input 2 9 4" xfId="41106" xr:uid="{00000000-0005-0000-0000-000092A00000}"/>
    <cellStyle name="Input 2 9 4 2" xfId="41107" xr:uid="{00000000-0005-0000-0000-000093A00000}"/>
    <cellStyle name="Input 2 9 4 2 2" xfId="41108" xr:uid="{00000000-0005-0000-0000-000094A00000}"/>
    <cellStyle name="Input 2 9 4 3" xfId="41109" xr:uid="{00000000-0005-0000-0000-000095A00000}"/>
    <cellStyle name="Input 2 9 4 3 2" xfId="41110" xr:uid="{00000000-0005-0000-0000-000096A00000}"/>
    <cellStyle name="Input 2 9 4 4" xfId="41111" xr:uid="{00000000-0005-0000-0000-000097A00000}"/>
    <cellStyle name="Input 2 9 5" xfId="41112" xr:uid="{00000000-0005-0000-0000-000098A00000}"/>
    <cellStyle name="Input 2 9 5 2" xfId="41113" xr:uid="{00000000-0005-0000-0000-000099A00000}"/>
    <cellStyle name="Input 2 9 6" xfId="41114" xr:uid="{00000000-0005-0000-0000-00009AA00000}"/>
    <cellStyle name="Input 2 9 6 2" xfId="41115" xr:uid="{00000000-0005-0000-0000-00009BA00000}"/>
    <cellStyle name="Input 2 9 7" xfId="41116" xr:uid="{00000000-0005-0000-0000-00009CA00000}"/>
    <cellStyle name="Input 2 9 8" xfId="41117" xr:uid="{00000000-0005-0000-0000-00009DA00000}"/>
    <cellStyle name="Input 2 9 9" xfId="41118" xr:uid="{00000000-0005-0000-0000-00009EA00000}"/>
    <cellStyle name="Input 2_Labour" xfId="41119" xr:uid="{00000000-0005-0000-0000-00009FA00000}"/>
    <cellStyle name="Input 20" xfId="41120" xr:uid="{00000000-0005-0000-0000-0000A0A00000}"/>
    <cellStyle name="Input 20 10" xfId="41121" xr:uid="{00000000-0005-0000-0000-0000A1A00000}"/>
    <cellStyle name="Input 20 2" xfId="41122" xr:uid="{00000000-0005-0000-0000-0000A2A00000}"/>
    <cellStyle name="Input 20 2 2" xfId="41123" xr:uid="{00000000-0005-0000-0000-0000A3A00000}"/>
    <cellStyle name="Input 20 2 3" xfId="41124" xr:uid="{00000000-0005-0000-0000-0000A4A00000}"/>
    <cellStyle name="Input 20 2 4" xfId="41125" xr:uid="{00000000-0005-0000-0000-0000A5A00000}"/>
    <cellStyle name="Input 20 2 5" xfId="41126" xr:uid="{00000000-0005-0000-0000-0000A6A00000}"/>
    <cellStyle name="Input 20 3" xfId="41127" xr:uid="{00000000-0005-0000-0000-0000A7A00000}"/>
    <cellStyle name="Input 20 3 2" xfId="41128" xr:uid="{00000000-0005-0000-0000-0000A8A00000}"/>
    <cellStyle name="Input 20 3 3" xfId="41129" xr:uid="{00000000-0005-0000-0000-0000A9A00000}"/>
    <cellStyle name="Input 20 4" xfId="41130" xr:uid="{00000000-0005-0000-0000-0000AAA00000}"/>
    <cellStyle name="Input 20 4 2" xfId="41131" xr:uid="{00000000-0005-0000-0000-0000ABA00000}"/>
    <cellStyle name="Input 20 4 3" xfId="41132" xr:uid="{00000000-0005-0000-0000-0000ACA00000}"/>
    <cellStyle name="Input 20 5" xfId="41133" xr:uid="{00000000-0005-0000-0000-0000ADA00000}"/>
    <cellStyle name="Input 20 5 2" xfId="41134" xr:uid="{00000000-0005-0000-0000-0000AEA00000}"/>
    <cellStyle name="Input 20 5 3" xfId="41135" xr:uid="{00000000-0005-0000-0000-0000AFA00000}"/>
    <cellStyle name="Input 20 6" xfId="41136" xr:uid="{00000000-0005-0000-0000-0000B0A00000}"/>
    <cellStyle name="Input 20 6 2" xfId="41137" xr:uid="{00000000-0005-0000-0000-0000B1A00000}"/>
    <cellStyle name="Input 20 6 3" xfId="41138" xr:uid="{00000000-0005-0000-0000-0000B2A00000}"/>
    <cellStyle name="Input 20 7" xfId="41139" xr:uid="{00000000-0005-0000-0000-0000B3A00000}"/>
    <cellStyle name="Input 20 8" xfId="41140" xr:uid="{00000000-0005-0000-0000-0000B4A00000}"/>
    <cellStyle name="Input 20 9" xfId="41141" xr:uid="{00000000-0005-0000-0000-0000B5A00000}"/>
    <cellStyle name="Input 21" xfId="41142" xr:uid="{00000000-0005-0000-0000-0000B6A00000}"/>
    <cellStyle name="Input 21 10" xfId="41143" xr:uid="{00000000-0005-0000-0000-0000B7A00000}"/>
    <cellStyle name="Input 21 2" xfId="41144" xr:uid="{00000000-0005-0000-0000-0000B8A00000}"/>
    <cellStyle name="Input 21 2 2" xfId="41145" xr:uid="{00000000-0005-0000-0000-0000B9A00000}"/>
    <cellStyle name="Input 21 2 3" xfId="41146" xr:uid="{00000000-0005-0000-0000-0000BAA00000}"/>
    <cellStyle name="Input 21 2 4" xfId="41147" xr:uid="{00000000-0005-0000-0000-0000BBA00000}"/>
    <cellStyle name="Input 21 2 5" xfId="41148" xr:uid="{00000000-0005-0000-0000-0000BCA00000}"/>
    <cellStyle name="Input 21 3" xfId="41149" xr:uid="{00000000-0005-0000-0000-0000BDA00000}"/>
    <cellStyle name="Input 21 3 2" xfId="41150" xr:uid="{00000000-0005-0000-0000-0000BEA00000}"/>
    <cellStyle name="Input 21 3 3" xfId="41151" xr:uid="{00000000-0005-0000-0000-0000BFA00000}"/>
    <cellStyle name="Input 21 4" xfId="41152" xr:uid="{00000000-0005-0000-0000-0000C0A00000}"/>
    <cellStyle name="Input 21 4 2" xfId="41153" xr:uid="{00000000-0005-0000-0000-0000C1A00000}"/>
    <cellStyle name="Input 21 4 3" xfId="41154" xr:uid="{00000000-0005-0000-0000-0000C2A00000}"/>
    <cellStyle name="Input 21 5" xfId="41155" xr:uid="{00000000-0005-0000-0000-0000C3A00000}"/>
    <cellStyle name="Input 21 5 2" xfId="41156" xr:uid="{00000000-0005-0000-0000-0000C4A00000}"/>
    <cellStyle name="Input 21 5 3" xfId="41157" xr:uid="{00000000-0005-0000-0000-0000C5A00000}"/>
    <cellStyle name="Input 21 6" xfId="41158" xr:uid="{00000000-0005-0000-0000-0000C6A00000}"/>
    <cellStyle name="Input 21 6 2" xfId="41159" xr:uid="{00000000-0005-0000-0000-0000C7A00000}"/>
    <cellStyle name="Input 21 6 3" xfId="41160" xr:uid="{00000000-0005-0000-0000-0000C8A00000}"/>
    <cellStyle name="Input 21 7" xfId="41161" xr:uid="{00000000-0005-0000-0000-0000C9A00000}"/>
    <cellStyle name="Input 21 8" xfId="41162" xr:uid="{00000000-0005-0000-0000-0000CAA00000}"/>
    <cellStyle name="Input 21 9" xfId="41163" xr:uid="{00000000-0005-0000-0000-0000CBA00000}"/>
    <cellStyle name="Input 22" xfId="41164" xr:uid="{00000000-0005-0000-0000-0000CCA00000}"/>
    <cellStyle name="Input 22 10" xfId="41165" xr:uid="{00000000-0005-0000-0000-0000CDA00000}"/>
    <cellStyle name="Input 22 2" xfId="41166" xr:uid="{00000000-0005-0000-0000-0000CEA00000}"/>
    <cellStyle name="Input 22 2 2" xfId="41167" xr:uid="{00000000-0005-0000-0000-0000CFA00000}"/>
    <cellStyle name="Input 22 2 3" xfId="41168" xr:uid="{00000000-0005-0000-0000-0000D0A00000}"/>
    <cellStyle name="Input 22 2 4" xfId="41169" xr:uid="{00000000-0005-0000-0000-0000D1A00000}"/>
    <cellStyle name="Input 22 2 5" xfId="41170" xr:uid="{00000000-0005-0000-0000-0000D2A00000}"/>
    <cellStyle name="Input 22 3" xfId="41171" xr:uid="{00000000-0005-0000-0000-0000D3A00000}"/>
    <cellStyle name="Input 22 3 2" xfId="41172" xr:uid="{00000000-0005-0000-0000-0000D4A00000}"/>
    <cellStyle name="Input 22 3 3" xfId="41173" xr:uid="{00000000-0005-0000-0000-0000D5A00000}"/>
    <cellStyle name="Input 22 4" xfId="41174" xr:uid="{00000000-0005-0000-0000-0000D6A00000}"/>
    <cellStyle name="Input 22 4 2" xfId="41175" xr:uid="{00000000-0005-0000-0000-0000D7A00000}"/>
    <cellStyle name="Input 22 4 3" xfId="41176" xr:uid="{00000000-0005-0000-0000-0000D8A00000}"/>
    <cellStyle name="Input 22 5" xfId="41177" xr:uid="{00000000-0005-0000-0000-0000D9A00000}"/>
    <cellStyle name="Input 22 5 2" xfId="41178" xr:uid="{00000000-0005-0000-0000-0000DAA00000}"/>
    <cellStyle name="Input 22 5 3" xfId="41179" xr:uid="{00000000-0005-0000-0000-0000DBA00000}"/>
    <cellStyle name="Input 22 6" xfId="41180" xr:uid="{00000000-0005-0000-0000-0000DCA00000}"/>
    <cellStyle name="Input 22 6 2" xfId="41181" xr:uid="{00000000-0005-0000-0000-0000DDA00000}"/>
    <cellStyle name="Input 22 6 3" xfId="41182" xr:uid="{00000000-0005-0000-0000-0000DEA00000}"/>
    <cellStyle name="Input 22 7" xfId="41183" xr:uid="{00000000-0005-0000-0000-0000DFA00000}"/>
    <cellStyle name="Input 22 8" xfId="41184" xr:uid="{00000000-0005-0000-0000-0000E0A00000}"/>
    <cellStyle name="Input 22 9" xfId="41185" xr:uid="{00000000-0005-0000-0000-0000E1A00000}"/>
    <cellStyle name="Input 23" xfId="41186" xr:uid="{00000000-0005-0000-0000-0000E2A00000}"/>
    <cellStyle name="Input 23 2" xfId="41187" xr:uid="{00000000-0005-0000-0000-0000E3A00000}"/>
    <cellStyle name="Input 23 2 2" xfId="41188" xr:uid="{00000000-0005-0000-0000-0000E4A00000}"/>
    <cellStyle name="Input 23 2 3" xfId="41189" xr:uid="{00000000-0005-0000-0000-0000E5A00000}"/>
    <cellStyle name="Input 23 2 4" xfId="41190" xr:uid="{00000000-0005-0000-0000-0000E6A00000}"/>
    <cellStyle name="Input 23 2 5" xfId="41191" xr:uid="{00000000-0005-0000-0000-0000E7A00000}"/>
    <cellStyle name="Input 23 3" xfId="41192" xr:uid="{00000000-0005-0000-0000-0000E8A00000}"/>
    <cellStyle name="Input 23 3 2" xfId="41193" xr:uid="{00000000-0005-0000-0000-0000E9A00000}"/>
    <cellStyle name="Input 23 3 3" xfId="41194" xr:uid="{00000000-0005-0000-0000-0000EAA00000}"/>
    <cellStyle name="Input 23 4" xfId="41195" xr:uid="{00000000-0005-0000-0000-0000EBA00000}"/>
    <cellStyle name="Input 23 4 2" xfId="41196" xr:uid="{00000000-0005-0000-0000-0000ECA00000}"/>
    <cellStyle name="Input 23 4 3" xfId="41197" xr:uid="{00000000-0005-0000-0000-0000EDA00000}"/>
    <cellStyle name="Input 23 5" xfId="41198" xr:uid="{00000000-0005-0000-0000-0000EEA00000}"/>
    <cellStyle name="Input 23 5 2" xfId="41199" xr:uid="{00000000-0005-0000-0000-0000EFA00000}"/>
    <cellStyle name="Input 23 5 3" xfId="41200" xr:uid="{00000000-0005-0000-0000-0000F0A00000}"/>
    <cellStyle name="Input 23 6" xfId="41201" xr:uid="{00000000-0005-0000-0000-0000F1A00000}"/>
    <cellStyle name="Input 23 6 2" xfId="41202" xr:uid="{00000000-0005-0000-0000-0000F2A00000}"/>
    <cellStyle name="Input 23 7" xfId="41203" xr:uid="{00000000-0005-0000-0000-0000F3A00000}"/>
    <cellStyle name="Input 23 8" xfId="41204" xr:uid="{00000000-0005-0000-0000-0000F4A00000}"/>
    <cellStyle name="Input 23 9" xfId="41205" xr:uid="{00000000-0005-0000-0000-0000F5A00000}"/>
    <cellStyle name="Input 24" xfId="41206" xr:uid="{00000000-0005-0000-0000-0000F6A00000}"/>
    <cellStyle name="Input 24 2" xfId="41207" xr:uid="{00000000-0005-0000-0000-0000F7A00000}"/>
    <cellStyle name="Input 24 2 2" xfId="41208" xr:uid="{00000000-0005-0000-0000-0000F8A00000}"/>
    <cellStyle name="Input 24 2 3" xfId="41209" xr:uid="{00000000-0005-0000-0000-0000F9A00000}"/>
    <cellStyle name="Input 24 2 4" xfId="41210" xr:uid="{00000000-0005-0000-0000-0000FAA00000}"/>
    <cellStyle name="Input 24 2 5" xfId="41211" xr:uid="{00000000-0005-0000-0000-0000FBA00000}"/>
    <cellStyle name="Input 24 3" xfId="41212" xr:uid="{00000000-0005-0000-0000-0000FCA00000}"/>
    <cellStyle name="Input 24 3 2" xfId="41213" xr:uid="{00000000-0005-0000-0000-0000FDA00000}"/>
    <cellStyle name="Input 24 3 3" xfId="41214" xr:uid="{00000000-0005-0000-0000-0000FEA00000}"/>
    <cellStyle name="Input 24 4" xfId="41215" xr:uid="{00000000-0005-0000-0000-0000FFA00000}"/>
    <cellStyle name="Input 24 4 2" xfId="41216" xr:uid="{00000000-0005-0000-0000-000000A10000}"/>
    <cellStyle name="Input 24 4 3" xfId="41217" xr:uid="{00000000-0005-0000-0000-000001A10000}"/>
    <cellStyle name="Input 24 5" xfId="41218" xr:uid="{00000000-0005-0000-0000-000002A10000}"/>
    <cellStyle name="Input 24 5 2" xfId="41219" xr:uid="{00000000-0005-0000-0000-000003A10000}"/>
    <cellStyle name="Input 24 5 3" xfId="41220" xr:uid="{00000000-0005-0000-0000-000004A10000}"/>
    <cellStyle name="Input 24 6" xfId="41221" xr:uid="{00000000-0005-0000-0000-000005A10000}"/>
    <cellStyle name="Input 24 6 2" xfId="41222" xr:uid="{00000000-0005-0000-0000-000006A10000}"/>
    <cellStyle name="Input 24 7" xfId="41223" xr:uid="{00000000-0005-0000-0000-000007A10000}"/>
    <cellStyle name="Input 24 8" xfId="41224" xr:uid="{00000000-0005-0000-0000-000008A10000}"/>
    <cellStyle name="Input 24 9" xfId="41225" xr:uid="{00000000-0005-0000-0000-000009A10000}"/>
    <cellStyle name="Input 25" xfId="41226" xr:uid="{00000000-0005-0000-0000-00000AA10000}"/>
    <cellStyle name="Input 25 2" xfId="41227" xr:uid="{00000000-0005-0000-0000-00000BA10000}"/>
    <cellStyle name="Input 25 2 2" xfId="41228" xr:uid="{00000000-0005-0000-0000-00000CA10000}"/>
    <cellStyle name="Input 25 2 3" xfId="41229" xr:uid="{00000000-0005-0000-0000-00000DA10000}"/>
    <cellStyle name="Input 25 2 4" xfId="41230" xr:uid="{00000000-0005-0000-0000-00000EA10000}"/>
    <cellStyle name="Input 25 2 5" xfId="41231" xr:uid="{00000000-0005-0000-0000-00000FA10000}"/>
    <cellStyle name="Input 25 3" xfId="41232" xr:uid="{00000000-0005-0000-0000-000010A10000}"/>
    <cellStyle name="Input 25 3 2" xfId="41233" xr:uid="{00000000-0005-0000-0000-000011A10000}"/>
    <cellStyle name="Input 25 3 3" xfId="41234" xr:uid="{00000000-0005-0000-0000-000012A10000}"/>
    <cellStyle name="Input 25 4" xfId="41235" xr:uid="{00000000-0005-0000-0000-000013A10000}"/>
    <cellStyle name="Input 25 4 2" xfId="41236" xr:uid="{00000000-0005-0000-0000-000014A10000}"/>
    <cellStyle name="Input 25 4 3" xfId="41237" xr:uid="{00000000-0005-0000-0000-000015A10000}"/>
    <cellStyle name="Input 25 5" xfId="41238" xr:uid="{00000000-0005-0000-0000-000016A10000}"/>
    <cellStyle name="Input 25 5 2" xfId="41239" xr:uid="{00000000-0005-0000-0000-000017A10000}"/>
    <cellStyle name="Input 25 5 3" xfId="41240" xr:uid="{00000000-0005-0000-0000-000018A10000}"/>
    <cellStyle name="Input 25 6" xfId="41241" xr:uid="{00000000-0005-0000-0000-000019A10000}"/>
    <cellStyle name="Input 25 6 2" xfId="41242" xr:uid="{00000000-0005-0000-0000-00001AA10000}"/>
    <cellStyle name="Input 25 7" xfId="41243" xr:uid="{00000000-0005-0000-0000-00001BA10000}"/>
    <cellStyle name="Input 25 8" xfId="41244" xr:uid="{00000000-0005-0000-0000-00001CA10000}"/>
    <cellStyle name="Input 25 9" xfId="41245" xr:uid="{00000000-0005-0000-0000-00001DA10000}"/>
    <cellStyle name="Input 26" xfId="41246" xr:uid="{00000000-0005-0000-0000-00001EA10000}"/>
    <cellStyle name="Input 26 2" xfId="41247" xr:uid="{00000000-0005-0000-0000-00001FA10000}"/>
    <cellStyle name="Input 26 2 2" xfId="41248" xr:uid="{00000000-0005-0000-0000-000020A10000}"/>
    <cellStyle name="Input 26 2 3" xfId="41249" xr:uid="{00000000-0005-0000-0000-000021A10000}"/>
    <cellStyle name="Input 26 2 4" xfId="41250" xr:uid="{00000000-0005-0000-0000-000022A10000}"/>
    <cellStyle name="Input 26 2 5" xfId="41251" xr:uid="{00000000-0005-0000-0000-000023A10000}"/>
    <cellStyle name="Input 26 3" xfId="41252" xr:uid="{00000000-0005-0000-0000-000024A10000}"/>
    <cellStyle name="Input 26 3 2" xfId="41253" xr:uid="{00000000-0005-0000-0000-000025A10000}"/>
    <cellStyle name="Input 26 3 3" xfId="41254" xr:uid="{00000000-0005-0000-0000-000026A10000}"/>
    <cellStyle name="Input 26 4" xfId="41255" xr:uid="{00000000-0005-0000-0000-000027A10000}"/>
    <cellStyle name="Input 26 4 2" xfId="41256" xr:uid="{00000000-0005-0000-0000-000028A10000}"/>
    <cellStyle name="Input 26 4 3" xfId="41257" xr:uid="{00000000-0005-0000-0000-000029A10000}"/>
    <cellStyle name="Input 26 5" xfId="41258" xr:uid="{00000000-0005-0000-0000-00002AA10000}"/>
    <cellStyle name="Input 26 5 2" xfId="41259" xr:uid="{00000000-0005-0000-0000-00002BA10000}"/>
    <cellStyle name="Input 26 5 3" xfId="41260" xr:uid="{00000000-0005-0000-0000-00002CA10000}"/>
    <cellStyle name="Input 26 6" xfId="41261" xr:uid="{00000000-0005-0000-0000-00002DA10000}"/>
    <cellStyle name="Input 26 6 2" xfId="41262" xr:uid="{00000000-0005-0000-0000-00002EA10000}"/>
    <cellStyle name="Input 26 7" xfId="41263" xr:uid="{00000000-0005-0000-0000-00002FA10000}"/>
    <cellStyle name="Input 26 8" xfId="41264" xr:uid="{00000000-0005-0000-0000-000030A10000}"/>
    <cellStyle name="Input 26 9" xfId="41265" xr:uid="{00000000-0005-0000-0000-000031A10000}"/>
    <cellStyle name="Input 27" xfId="41266" xr:uid="{00000000-0005-0000-0000-000032A10000}"/>
    <cellStyle name="Input 27 2" xfId="41267" xr:uid="{00000000-0005-0000-0000-000033A10000}"/>
    <cellStyle name="Input 27 2 2" xfId="41268" xr:uid="{00000000-0005-0000-0000-000034A10000}"/>
    <cellStyle name="Input 27 2 3" xfId="41269" xr:uid="{00000000-0005-0000-0000-000035A10000}"/>
    <cellStyle name="Input 27 2 4" xfId="41270" xr:uid="{00000000-0005-0000-0000-000036A10000}"/>
    <cellStyle name="Input 27 2 5" xfId="41271" xr:uid="{00000000-0005-0000-0000-000037A10000}"/>
    <cellStyle name="Input 27 3" xfId="41272" xr:uid="{00000000-0005-0000-0000-000038A10000}"/>
    <cellStyle name="Input 27 3 2" xfId="41273" xr:uid="{00000000-0005-0000-0000-000039A10000}"/>
    <cellStyle name="Input 27 3 3" xfId="41274" xr:uid="{00000000-0005-0000-0000-00003AA10000}"/>
    <cellStyle name="Input 27 4" xfId="41275" xr:uid="{00000000-0005-0000-0000-00003BA10000}"/>
    <cellStyle name="Input 27 4 2" xfId="41276" xr:uid="{00000000-0005-0000-0000-00003CA10000}"/>
    <cellStyle name="Input 27 4 3" xfId="41277" xr:uid="{00000000-0005-0000-0000-00003DA10000}"/>
    <cellStyle name="Input 27 5" xfId="41278" xr:uid="{00000000-0005-0000-0000-00003EA10000}"/>
    <cellStyle name="Input 27 5 2" xfId="41279" xr:uid="{00000000-0005-0000-0000-00003FA10000}"/>
    <cellStyle name="Input 27 5 3" xfId="41280" xr:uid="{00000000-0005-0000-0000-000040A10000}"/>
    <cellStyle name="Input 27 6" xfId="41281" xr:uid="{00000000-0005-0000-0000-000041A10000}"/>
    <cellStyle name="Input 27 6 2" xfId="41282" xr:uid="{00000000-0005-0000-0000-000042A10000}"/>
    <cellStyle name="Input 27 7" xfId="41283" xr:uid="{00000000-0005-0000-0000-000043A10000}"/>
    <cellStyle name="Input 27 8" xfId="41284" xr:uid="{00000000-0005-0000-0000-000044A10000}"/>
    <cellStyle name="Input 27 9" xfId="41285" xr:uid="{00000000-0005-0000-0000-000045A10000}"/>
    <cellStyle name="Input 28" xfId="41286" xr:uid="{00000000-0005-0000-0000-000046A10000}"/>
    <cellStyle name="Input 28 2" xfId="41287" xr:uid="{00000000-0005-0000-0000-000047A10000}"/>
    <cellStyle name="Input 28 2 2" xfId="41288" xr:uid="{00000000-0005-0000-0000-000048A10000}"/>
    <cellStyle name="Input 28 2 3" xfId="41289" xr:uid="{00000000-0005-0000-0000-000049A10000}"/>
    <cellStyle name="Input 28 2 4" xfId="41290" xr:uid="{00000000-0005-0000-0000-00004AA10000}"/>
    <cellStyle name="Input 28 2 5" xfId="41291" xr:uid="{00000000-0005-0000-0000-00004BA10000}"/>
    <cellStyle name="Input 28 3" xfId="41292" xr:uid="{00000000-0005-0000-0000-00004CA10000}"/>
    <cellStyle name="Input 28 3 2" xfId="41293" xr:uid="{00000000-0005-0000-0000-00004DA10000}"/>
    <cellStyle name="Input 28 3 3" xfId="41294" xr:uid="{00000000-0005-0000-0000-00004EA10000}"/>
    <cellStyle name="Input 28 4" xfId="41295" xr:uid="{00000000-0005-0000-0000-00004FA10000}"/>
    <cellStyle name="Input 28 4 2" xfId="41296" xr:uid="{00000000-0005-0000-0000-000050A10000}"/>
    <cellStyle name="Input 28 4 3" xfId="41297" xr:uid="{00000000-0005-0000-0000-000051A10000}"/>
    <cellStyle name="Input 28 5" xfId="41298" xr:uid="{00000000-0005-0000-0000-000052A10000}"/>
    <cellStyle name="Input 28 5 2" xfId="41299" xr:uid="{00000000-0005-0000-0000-000053A10000}"/>
    <cellStyle name="Input 28 5 3" xfId="41300" xr:uid="{00000000-0005-0000-0000-000054A10000}"/>
    <cellStyle name="Input 28 6" xfId="41301" xr:uid="{00000000-0005-0000-0000-000055A10000}"/>
    <cellStyle name="Input 28 6 2" xfId="41302" xr:uid="{00000000-0005-0000-0000-000056A10000}"/>
    <cellStyle name="Input 28 7" xfId="41303" xr:uid="{00000000-0005-0000-0000-000057A10000}"/>
    <cellStyle name="Input 28 8" xfId="41304" xr:uid="{00000000-0005-0000-0000-000058A10000}"/>
    <cellStyle name="Input 28 9" xfId="41305" xr:uid="{00000000-0005-0000-0000-000059A10000}"/>
    <cellStyle name="Input 29" xfId="41306" xr:uid="{00000000-0005-0000-0000-00005AA10000}"/>
    <cellStyle name="Input 29 2" xfId="41307" xr:uid="{00000000-0005-0000-0000-00005BA10000}"/>
    <cellStyle name="Input 29 2 2" xfId="41308" xr:uid="{00000000-0005-0000-0000-00005CA10000}"/>
    <cellStyle name="Input 29 2 3" xfId="41309" xr:uid="{00000000-0005-0000-0000-00005DA10000}"/>
    <cellStyle name="Input 29 2 4" xfId="41310" xr:uid="{00000000-0005-0000-0000-00005EA10000}"/>
    <cellStyle name="Input 29 2 5" xfId="41311" xr:uid="{00000000-0005-0000-0000-00005FA10000}"/>
    <cellStyle name="Input 29 3" xfId="41312" xr:uid="{00000000-0005-0000-0000-000060A10000}"/>
    <cellStyle name="Input 29 3 2" xfId="41313" xr:uid="{00000000-0005-0000-0000-000061A10000}"/>
    <cellStyle name="Input 29 3 3" xfId="41314" xr:uid="{00000000-0005-0000-0000-000062A10000}"/>
    <cellStyle name="Input 29 4" xfId="41315" xr:uid="{00000000-0005-0000-0000-000063A10000}"/>
    <cellStyle name="Input 29 4 2" xfId="41316" xr:uid="{00000000-0005-0000-0000-000064A10000}"/>
    <cellStyle name="Input 29 4 3" xfId="41317" xr:uid="{00000000-0005-0000-0000-000065A10000}"/>
    <cellStyle name="Input 29 5" xfId="41318" xr:uid="{00000000-0005-0000-0000-000066A10000}"/>
    <cellStyle name="Input 29 5 2" xfId="41319" xr:uid="{00000000-0005-0000-0000-000067A10000}"/>
    <cellStyle name="Input 29 5 3" xfId="41320" xr:uid="{00000000-0005-0000-0000-000068A10000}"/>
    <cellStyle name="Input 29 6" xfId="41321" xr:uid="{00000000-0005-0000-0000-000069A10000}"/>
    <cellStyle name="Input 29 6 2" xfId="41322" xr:uid="{00000000-0005-0000-0000-00006AA10000}"/>
    <cellStyle name="Input 29 7" xfId="41323" xr:uid="{00000000-0005-0000-0000-00006BA10000}"/>
    <cellStyle name="Input 29 8" xfId="41324" xr:uid="{00000000-0005-0000-0000-00006CA10000}"/>
    <cellStyle name="Input 29 9" xfId="41325" xr:uid="{00000000-0005-0000-0000-00006DA10000}"/>
    <cellStyle name="Input 3" xfId="41326" xr:uid="{00000000-0005-0000-0000-00006EA10000}"/>
    <cellStyle name="Input 3 10" xfId="41327" xr:uid="{00000000-0005-0000-0000-00006FA10000}"/>
    <cellStyle name="Input 3 11" xfId="41328" xr:uid="{00000000-0005-0000-0000-000070A10000}"/>
    <cellStyle name="Input 3 2" xfId="41329" xr:uid="{00000000-0005-0000-0000-000071A10000}"/>
    <cellStyle name="Input 3 2 10" xfId="41330" xr:uid="{00000000-0005-0000-0000-000072A10000}"/>
    <cellStyle name="Input 3 2 2" xfId="41331" xr:uid="{00000000-0005-0000-0000-000073A10000}"/>
    <cellStyle name="Input 3 2 2 2" xfId="41332" xr:uid="{00000000-0005-0000-0000-000074A10000}"/>
    <cellStyle name="Input 3 2 2 2 2" xfId="41333" xr:uid="{00000000-0005-0000-0000-000075A10000}"/>
    <cellStyle name="Input 3 2 2 2 3" xfId="41334" xr:uid="{00000000-0005-0000-0000-000076A10000}"/>
    <cellStyle name="Input 3 2 2 3" xfId="41335" xr:uid="{00000000-0005-0000-0000-000077A10000}"/>
    <cellStyle name="Input 3 2 2 3 2" xfId="41336" xr:uid="{00000000-0005-0000-0000-000078A10000}"/>
    <cellStyle name="Input 3 2 2 3 3" xfId="41337" xr:uid="{00000000-0005-0000-0000-000079A10000}"/>
    <cellStyle name="Input 3 2 2 4" xfId="41338" xr:uid="{00000000-0005-0000-0000-00007AA10000}"/>
    <cellStyle name="Input 3 2 2 4 2" xfId="41339" xr:uid="{00000000-0005-0000-0000-00007BA10000}"/>
    <cellStyle name="Input 3 2 2 5" xfId="41340" xr:uid="{00000000-0005-0000-0000-00007CA10000}"/>
    <cellStyle name="Input 3 2 3" xfId="41341" xr:uid="{00000000-0005-0000-0000-00007DA10000}"/>
    <cellStyle name="Input 3 2 3 2" xfId="41342" xr:uid="{00000000-0005-0000-0000-00007EA10000}"/>
    <cellStyle name="Input 3 2 3 3" xfId="41343" xr:uid="{00000000-0005-0000-0000-00007FA10000}"/>
    <cellStyle name="Input 3 2 4" xfId="41344" xr:uid="{00000000-0005-0000-0000-000080A10000}"/>
    <cellStyle name="Input 3 2 4 2" xfId="41345" xr:uid="{00000000-0005-0000-0000-000081A10000}"/>
    <cellStyle name="Input 3 2 4 3" xfId="41346" xr:uid="{00000000-0005-0000-0000-000082A10000}"/>
    <cellStyle name="Input 3 2 5" xfId="41347" xr:uid="{00000000-0005-0000-0000-000083A10000}"/>
    <cellStyle name="Input 3 2 5 2" xfId="41348" xr:uid="{00000000-0005-0000-0000-000084A10000}"/>
    <cellStyle name="Input 3 2 5 3" xfId="41349" xr:uid="{00000000-0005-0000-0000-000085A10000}"/>
    <cellStyle name="Input 3 2 6" xfId="41350" xr:uid="{00000000-0005-0000-0000-000086A10000}"/>
    <cellStyle name="Input 3 2 6 2" xfId="41351" xr:uid="{00000000-0005-0000-0000-000087A10000}"/>
    <cellStyle name="Input 3 2 6 3" xfId="41352" xr:uid="{00000000-0005-0000-0000-000088A10000}"/>
    <cellStyle name="Input 3 2 7" xfId="41353" xr:uid="{00000000-0005-0000-0000-000089A10000}"/>
    <cellStyle name="Input 3 2 8" xfId="41354" xr:uid="{00000000-0005-0000-0000-00008AA10000}"/>
    <cellStyle name="Input 3 2 9" xfId="41355" xr:uid="{00000000-0005-0000-0000-00008BA10000}"/>
    <cellStyle name="Input 3 3" xfId="41356" xr:uid="{00000000-0005-0000-0000-00008CA10000}"/>
    <cellStyle name="Input 3 3 2" xfId="41357" xr:uid="{00000000-0005-0000-0000-00008DA10000}"/>
    <cellStyle name="Input 3 3 3" xfId="41358" xr:uid="{00000000-0005-0000-0000-00008EA10000}"/>
    <cellStyle name="Input 3 4" xfId="41359" xr:uid="{00000000-0005-0000-0000-00008FA10000}"/>
    <cellStyle name="Input 3 4 2" xfId="41360" xr:uid="{00000000-0005-0000-0000-000090A10000}"/>
    <cellStyle name="Input 3 4 3" xfId="41361" xr:uid="{00000000-0005-0000-0000-000091A10000}"/>
    <cellStyle name="Input 3 5" xfId="41362" xr:uid="{00000000-0005-0000-0000-000092A10000}"/>
    <cellStyle name="Input 3 5 2" xfId="41363" xr:uid="{00000000-0005-0000-0000-000093A10000}"/>
    <cellStyle name="Input 3 5 3" xfId="41364" xr:uid="{00000000-0005-0000-0000-000094A10000}"/>
    <cellStyle name="Input 3 6" xfId="41365" xr:uid="{00000000-0005-0000-0000-000095A10000}"/>
    <cellStyle name="Input 3 6 2" xfId="41366" xr:uid="{00000000-0005-0000-0000-000096A10000}"/>
    <cellStyle name="Input 3 6 3" xfId="41367" xr:uid="{00000000-0005-0000-0000-000097A10000}"/>
    <cellStyle name="Input 3 7" xfId="41368" xr:uid="{00000000-0005-0000-0000-000098A10000}"/>
    <cellStyle name="Input 3 8" xfId="41369" xr:uid="{00000000-0005-0000-0000-000099A10000}"/>
    <cellStyle name="Input 3 9" xfId="41370" xr:uid="{00000000-0005-0000-0000-00009AA10000}"/>
    <cellStyle name="Input 30" xfId="41371" xr:uid="{00000000-0005-0000-0000-00009BA10000}"/>
    <cellStyle name="Input 30 2" xfId="41372" xr:uid="{00000000-0005-0000-0000-00009CA10000}"/>
    <cellStyle name="Input 30 2 2" xfId="41373" xr:uid="{00000000-0005-0000-0000-00009DA10000}"/>
    <cellStyle name="Input 30 2 3" xfId="41374" xr:uid="{00000000-0005-0000-0000-00009EA10000}"/>
    <cellStyle name="Input 30 2 4" xfId="41375" xr:uid="{00000000-0005-0000-0000-00009FA10000}"/>
    <cellStyle name="Input 30 2 5" xfId="41376" xr:uid="{00000000-0005-0000-0000-0000A0A10000}"/>
    <cellStyle name="Input 30 3" xfId="41377" xr:uid="{00000000-0005-0000-0000-0000A1A10000}"/>
    <cellStyle name="Input 30 3 2" xfId="41378" xr:uid="{00000000-0005-0000-0000-0000A2A10000}"/>
    <cellStyle name="Input 30 3 3" xfId="41379" xr:uid="{00000000-0005-0000-0000-0000A3A10000}"/>
    <cellStyle name="Input 30 4" xfId="41380" xr:uid="{00000000-0005-0000-0000-0000A4A10000}"/>
    <cellStyle name="Input 30 4 2" xfId="41381" xr:uid="{00000000-0005-0000-0000-0000A5A10000}"/>
    <cellStyle name="Input 30 4 3" xfId="41382" xr:uid="{00000000-0005-0000-0000-0000A6A10000}"/>
    <cellStyle name="Input 30 5" xfId="41383" xr:uid="{00000000-0005-0000-0000-0000A7A10000}"/>
    <cellStyle name="Input 30 5 2" xfId="41384" xr:uid="{00000000-0005-0000-0000-0000A8A10000}"/>
    <cellStyle name="Input 30 5 3" xfId="41385" xr:uid="{00000000-0005-0000-0000-0000A9A10000}"/>
    <cellStyle name="Input 30 6" xfId="41386" xr:uid="{00000000-0005-0000-0000-0000AAA10000}"/>
    <cellStyle name="Input 30 6 2" xfId="41387" xr:uid="{00000000-0005-0000-0000-0000ABA10000}"/>
    <cellStyle name="Input 30 7" xfId="41388" xr:uid="{00000000-0005-0000-0000-0000ACA10000}"/>
    <cellStyle name="Input 30 8" xfId="41389" xr:uid="{00000000-0005-0000-0000-0000ADA10000}"/>
    <cellStyle name="Input 30 9" xfId="41390" xr:uid="{00000000-0005-0000-0000-0000AEA10000}"/>
    <cellStyle name="Input 31" xfId="41391" xr:uid="{00000000-0005-0000-0000-0000AFA10000}"/>
    <cellStyle name="Input 31 2" xfId="41392" xr:uid="{00000000-0005-0000-0000-0000B0A10000}"/>
    <cellStyle name="Input 31 2 2" xfId="41393" xr:uid="{00000000-0005-0000-0000-0000B1A10000}"/>
    <cellStyle name="Input 31 2 3" xfId="41394" xr:uid="{00000000-0005-0000-0000-0000B2A10000}"/>
    <cellStyle name="Input 31 2 4" xfId="41395" xr:uid="{00000000-0005-0000-0000-0000B3A10000}"/>
    <cellStyle name="Input 31 2 5" xfId="41396" xr:uid="{00000000-0005-0000-0000-0000B4A10000}"/>
    <cellStyle name="Input 31 3" xfId="41397" xr:uid="{00000000-0005-0000-0000-0000B5A10000}"/>
    <cellStyle name="Input 31 3 2" xfId="41398" xr:uid="{00000000-0005-0000-0000-0000B6A10000}"/>
    <cellStyle name="Input 31 3 3" xfId="41399" xr:uid="{00000000-0005-0000-0000-0000B7A10000}"/>
    <cellStyle name="Input 31 4" xfId="41400" xr:uid="{00000000-0005-0000-0000-0000B8A10000}"/>
    <cellStyle name="Input 31 4 2" xfId="41401" xr:uid="{00000000-0005-0000-0000-0000B9A10000}"/>
    <cellStyle name="Input 31 4 3" xfId="41402" xr:uid="{00000000-0005-0000-0000-0000BAA10000}"/>
    <cellStyle name="Input 31 5" xfId="41403" xr:uid="{00000000-0005-0000-0000-0000BBA10000}"/>
    <cellStyle name="Input 31 5 2" xfId="41404" xr:uid="{00000000-0005-0000-0000-0000BCA10000}"/>
    <cellStyle name="Input 31 5 3" xfId="41405" xr:uid="{00000000-0005-0000-0000-0000BDA10000}"/>
    <cellStyle name="Input 31 6" xfId="41406" xr:uid="{00000000-0005-0000-0000-0000BEA10000}"/>
    <cellStyle name="Input 31 6 2" xfId="41407" xr:uid="{00000000-0005-0000-0000-0000BFA10000}"/>
    <cellStyle name="Input 31 7" xfId="41408" xr:uid="{00000000-0005-0000-0000-0000C0A10000}"/>
    <cellStyle name="Input 31 8" xfId="41409" xr:uid="{00000000-0005-0000-0000-0000C1A10000}"/>
    <cellStyle name="Input 31 9" xfId="41410" xr:uid="{00000000-0005-0000-0000-0000C2A10000}"/>
    <cellStyle name="Input 32" xfId="41411" xr:uid="{00000000-0005-0000-0000-0000C3A10000}"/>
    <cellStyle name="Input 32 2" xfId="41412" xr:uid="{00000000-0005-0000-0000-0000C4A10000}"/>
    <cellStyle name="Input 32 2 2" xfId="41413" xr:uid="{00000000-0005-0000-0000-0000C5A10000}"/>
    <cellStyle name="Input 32 2 3" xfId="41414" xr:uid="{00000000-0005-0000-0000-0000C6A10000}"/>
    <cellStyle name="Input 32 2 4" xfId="41415" xr:uid="{00000000-0005-0000-0000-0000C7A10000}"/>
    <cellStyle name="Input 32 2 5" xfId="41416" xr:uid="{00000000-0005-0000-0000-0000C8A10000}"/>
    <cellStyle name="Input 32 3" xfId="41417" xr:uid="{00000000-0005-0000-0000-0000C9A10000}"/>
    <cellStyle name="Input 32 3 2" xfId="41418" xr:uid="{00000000-0005-0000-0000-0000CAA10000}"/>
    <cellStyle name="Input 32 3 3" xfId="41419" xr:uid="{00000000-0005-0000-0000-0000CBA10000}"/>
    <cellStyle name="Input 32 4" xfId="41420" xr:uid="{00000000-0005-0000-0000-0000CCA10000}"/>
    <cellStyle name="Input 32 4 2" xfId="41421" xr:uid="{00000000-0005-0000-0000-0000CDA10000}"/>
    <cellStyle name="Input 32 4 3" xfId="41422" xr:uid="{00000000-0005-0000-0000-0000CEA10000}"/>
    <cellStyle name="Input 32 5" xfId="41423" xr:uid="{00000000-0005-0000-0000-0000CFA10000}"/>
    <cellStyle name="Input 32 5 2" xfId="41424" xr:uid="{00000000-0005-0000-0000-0000D0A10000}"/>
    <cellStyle name="Input 32 5 3" xfId="41425" xr:uid="{00000000-0005-0000-0000-0000D1A10000}"/>
    <cellStyle name="Input 32 6" xfId="41426" xr:uid="{00000000-0005-0000-0000-0000D2A10000}"/>
    <cellStyle name="Input 32 6 2" xfId="41427" xr:uid="{00000000-0005-0000-0000-0000D3A10000}"/>
    <cellStyle name="Input 32 7" xfId="41428" xr:uid="{00000000-0005-0000-0000-0000D4A10000}"/>
    <cellStyle name="Input 32 8" xfId="41429" xr:uid="{00000000-0005-0000-0000-0000D5A10000}"/>
    <cellStyle name="Input 32 9" xfId="41430" xr:uid="{00000000-0005-0000-0000-0000D6A10000}"/>
    <cellStyle name="Input 33" xfId="41431" xr:uid="{00000000-0005-0000-0000-0000D7A10000}"/>
    <cellStyle name="Input 33 2" xfId="41432" xr:uid="{00000000-0005-0000-0000-0000D8A10000}"/>
    <cellStyle name="Input 33 2 2" xfId="41433" xr:uid="{00000000-0005-0000-0000-0000D9A10000}"/>
    <cellStyle name="Input 33 2 3" xfId="41434" xr:uid="{00000000-0005-0000-0000-0000DAA10000}"/>
    <cellStyle name="Input 33 2 4" xfId="41435" xr:uid="{00000000-0005-0000-0000-0000DBA10000}"/>
    <cellStyle name="Input 33 2 5" xfId="41436" xr:uid="{00000000-0005-0000-0000-0000DCA10000}"/>
    <cellStyle name="Input 33 3" xfId="41437" xr:uid="{00000000-0005-0000-0000-0000DDA10000}"/>
    <cellStyle name="Input 33 3 2" xfId="41438" xr:uid="{00000000-0005-0000-0000-0000DEA10000}"/>
    <cellStyle name="Input 33 3 3" xfId="41439" xr:uid="{00000000-0005-0000-0000-0000DFA10000}"/>
    <cellStyle name="Input 33 4" xfId="41440" xr:uid="{00000000-0005-0000-0000-0000E0A10000}"/>
    <cellStyle name="Input 33 4 2" xfId="41441" xr:uid="{00000000-0005-0000-0000-0000E1A10000}"/>
    <cellStyle name="Input 33 4 3" xfId="41442" xr:uid="{00000000-0005-0000-0000-0000E2A10000}"/>
    <cellStyle name="Input 33 5" xfId="41443" xr:uid="{00000000-0005-0000-0000-0000E3A10000}"/>
    <cellStyle name="Input 33 5 2" xfId="41444" xr:uid="{00000000-0005-0000-0000-0000E4A10000}"/>
    <cellStyle name="Input 33 5 3" xfId="41445" xr:uid="{00000000-0005-0000-0000-0000E5A10000}"/>
    <cellStyle name="Input 33 6" xfId="41446" xr:uid="{00000000-0005-0000-0000-0000E6A10000}"/>
    <cellStyle name="Input 33 6 2" xfId="41447" xr:uid="{00000000-0005-0000-0000-0000E7A10000}"/>
    <cellStyle name="Input 33 7" xfId="41448" xr:uid="{00000000-0005-0000-0000-0000E8A10000}"/>
    <cellStyle name="Input 33 8" xfId="41449" xr:uid="{00000000-0005-0000-0000-0000E9A10000}"/>
    <cellStyle name="Input 33 9" xfId="41450" xr:uid="{00000000-0005-0000-0000-0000EAA10000}"/>
    <cellStyle name="Input 34" xfId="41451" xr:uid="{00000000-0005-0000-0000-0000EBA10000}"/>
    <cellStyle name="Input 34 2" xfId="41452" xr:uid="{00000000-0005-0000-0000-0000ECA10000}"/>
    <cellStyle name="Input 34 3" xfId="41453" xr:uid="{00000000-0005-0000-0000-0000EDA10000}"/>
    <cellStyle name="Input 35" xfId="41454" xr:uid="{00000000-0005-0000-0000-0000EEA10000}"/>
    <cellStyle name="Input 35 2" xfId="41455" xr:uid="{00000000-0005-0000-0000-0000EFA10000}"/>
    <cellStyle name="Input 35 3" xfId="41456" xr:uid="{00000000-0005-0000-0000-0000F0A10000}"/>
    <cellStyle name="Input 36" xfId="41457" xr:uid="{00000000-0005-0000-0000-0000F1A10000}"/>
    <cellStyle name="Input 36 2" xfId="41458" xr:uid="{00000000-0005-0000-0000-0000F2A10000}"/>
    <cellStyle name="Input 36 3" xfId="41459" xr:uid="{00000000-0005-0000-0000-0000F3A10000}"/>
    <cellStyle name="Input 37" xfId="41460" xr:uid="{00000000-0005-0000-0000-0000F4A10000}"/>
    <cellStyle name="Input 37 2" xfId="41461" xr:uid="{00000000-0005-0000-0000-0000F5A10000}"/>
    <cellStyle name="Input 37 3" xfId="41462" xr:uid="{00000000-0005-0000-0000-0000F6A10000}"/>
    <cellStyle name="Input 4" xfId="41463" xr:uid="{00000000-0005-0000-0000-0000F7A10000}"/>
    <cellStyle name="Input 4 10" xfId="41464" xr:uid="{00000000-0005-0000-0000-0000F8A10000}"/>
    <cellStyle name="Input 4 2" xfId="41465" xr:uid="{00000000-0005-0000-0000-0000F9A10000}"/>
    <cellStyle name="Input 4 2 2" xfId="41466" xr:uid="{00000000-0005-0000-0000-0000FAA10000}"/>
    <cellStyle name="Input 4 2 3" xfId="41467" xr:uid="{00000000-0005-0000-0000-0000FBA10000}"/>
    <cellStyle name="Input 4 2 4" xfId="41468" xr:uid="{00000000-0005-0000-0000-0000FCA10000}"/>
    <cellStyle name="Input 4 2 5" xfId="41469" xr:uid="{00000000-0005-0000-0000-0000FDA10000}"/>
    <cellStyle name="Input 4 3" xfId="41470" xr:uid="{00000000-0005-0000-0000-0000FEA10000}"/>
    <cellStyle name="Input 4 3 2" xfId="41471" xr:uid="{00000000-0005-0000-0000-0000FFA10000}"/>
    <cellStyle name="Input 4 3 3" xfId="41472" xr:uid="{00000000-0005-0000-0000-000000A20000}"/>
    <cellStyle name="Input 4 4" xfId="41473" xr:uid="{00000000-0005-0000-0000-000001A20000}"/>
    <cellStyle name="Input 4 4 2" xfId="41474" xr:uid="{00000000-0005-0000-0000-000002A20000}"/>
    <cellStyle name="Input 4 4 3" xfId="41475" xr:uid="{00000000-0005-0000-0000-000003A20000}"/>
    <cellStyle name="Input 4 5" xfId="41476" xr:uid="{00000000-0005-0000-0000-000004A20000}"/>
    <cellStyle name="Input 4 5 2" xfId="41477" xr:uid="{00000000-0005-0000-0000-000005A20000}"/>
    <cellStyle name="Input 4 5 3" xfId="41478" xr:uid="{00000000-0005-0000-0000-000006A20000}"/>
    <cellStyle name="Input 4 6" xfId="41479" xr:uid="{00000000-0005-0000-0000-000007A20000}"/>
    <cellStyle name="Input 4 6 2" xfId="41480" xr:uid="{00000000-0005-0000-0000-000008A20000}"/>
    <cellStyle name="Input 4 6 3" xfId="41481" xr:uid="{00000000-0005-0000-0000-000009A20000}"/>
    <cellStyle name="Input 4 7" xfId="41482" xr:uid="{00000000-0005-0000-0000-00000AA20000}"/>
    <cellStyle name="Input 4 8" xfId="41483" xr:uid="{00000000-0005-0000-0000-00000BA20000}"/>
    <cellStyle name="Input 4 9" xfId="41484" xr:uid="{00000000-0005-0000-0000-00000CA20000}"/>
    <cellStyle name="Input 4_Proj" xfId="41485" xr:uid="{00000000-0005-0000-0000-00000DA20000}"/>
    <cellStyle name="Input 5" xfId="41486" xr:uid="{00000000-0005-0000-0000-00000EA20000}"/>
    <cellStyle name="Input 5 10" xfId="41487" xr:uid="{00000000-0005-0000-0000-00000FA20000}"/>
    <cellStyle name="Input 5 2" xfId="41488" xr:uid="{00000000-0005-0000-0000-000010A20000}"/>
    <cellStyle name="Input 5 2 2" xfId="41489" xr:uid="{00000000-0005-0000-0000-000011A20000}"/>
    <cellStyle name="Input 5 2 3" xfId="41490" xr:uid="{00000000-0005-0000-0000-000012A20000}"/>
    <cellStyle name="Input 5 2 4" xfId="41491" xr:uid="{00000000-0005-0000-0000-000013A20000}"/>
    <cellStyle name="Input 5 2 5" xfId="41492" xr:uid="{00000000-0005-0000-0000-000014A20000}"/>
    <cellStyle name="Input 5 3" xfId="41493" xr:uid="{00000000-0005-0000-0000-000015A20000}"/>
    <cellStyle name="Input 5 3 2" xfId="41494" xr:uid="{00000000-0005-0000-0000-000016A20000}"/>
    <cellStyle name="Input 5 3 3" xfId="41495" xr:uid="{00000000-0005-0000-0000-000017A20000}"/>
    <cellStyle name="Input 5 4" xfId="41496" xr:uid="{00000000-0005-0000-0000-000018A20000}"/>
    <cellStyle name="Input 5 4 2" xfId="41497" xr:uid="{00000000-0005-0000-0000-000019A20000}"/>
    <cellStyle name="Input 5 4 3" xfId="41498" xr:uid="{00000000-0005-0000-0000-00001AA20000}"/>
    <cellStyle name="Input 5 5" xfId="41499" xr:uid="{00000000-0005-0000-0000-00001BA20000}"/>
    <cellStyle name="Input 5 5 2" xfId="41500" xr:uid="{00000000-0005-0000-0000-00001CA20000}"/>
    <cellStyle name="Input 5 5 3" xfId="41501" xr:uid="{00000000-0005-0000-0000-00001DA20000}"/>
    <cellStyle name="Input 5 6" xfId="41502" xr:uid="{00000000-0005-0000-0000-00001EA20000}"/>
    <cellStyle name="Input 5 6 2" xfId="41503" xr:uid="{00000000-0005-0000-0000-00001FA20000}"/>
    <cellStyle name="Input 5 6 3" xfId="41504" xr:uid="{00000000-0005-0000-0000-000020A20000}"/>
    <cellStyle name="Input 5 7" xfId="41505" xr:uid="{00000000-0005-0000-0000-000021A20000}"/>
    <cellStyle name="Input 5 8" xfId="41506" xr:uid="{00000000-0005-0000-0000-000022A20000}"/>
    <cellStyle name="Input 5 9" xfId="41507" xr:uid="{00000000-0005-0000-0000-000023A20000}"/>
    <cellStyle name="Input 6" xfId="41508" xr:uid="{00000000-0005-0000-0000-000024A20000}"/>
    <cellStyle name="Input 6 10" xfId="41509" xr:uid="{00000000-0005-0000-0000-000025A20000}"/>
    <cellStyle name="Input 6 2" xfId="41510" xr:uid="{00000000-0005-0000-0000-000026A20000}"/>
    <cellStyle name="Input 6 2 2" xfId="41511" xr:uid="{00000000-0005-0000-0000-000027A20000}"/>
    <cellStyle name="Input 6 2 3" xfId="41512" xr:uid="{00000000-0005-0000-0000-000028A20000}"/>
    <cellStyle name="Input 6 2 4" xfId="41513" xr:uid="{00000000-0005-0000-0000-000029A20000}"/>
    <cellStyle name="Input 6 2 5" xfId="41514" xr:uid="{00000000-0005-0000-0000-00002AA20000}"/>
    <cellStyle name="Input 6 3" xfId="41515" xr:uid="{00000000-0005-0000-0000-00002BA20000}"/>
    <cellStyle name="Input 6 3 2" xfId="41516" xr:uid="{00000000-0005-0000-0000-00002CA20000}"/>
    <cellStyle name="Input 6 3 3" xfId="41517" xr:uid="{00000000-0005-0000-0000-00002DA20000}"/>
    <cellStyle name="Input 6 4" xfId="41518" xr:uid="{00000000-0005-0000-0000-00002EA20000}"/>
    <cellStyle name="Input 6 4 2" xfId="41519" xr:uid="{00000000-0005-0000-0000-00002FA20000}"/>
    <cellStyle name="Input 6 4 3" xfId="41520" xr:uid="{00000000-0005-0000-0000-000030A20000}"/>
    <cellStyle name="Input 6 5" xfId="41521" xr:uid="{00000000-0005-0000-0000-000031A20000}"/>
    <cellStyle name="Input 6 5 2" xfId="41522" xr:uid="{00000000-0005-0000-0000-000032A20000}"/>
    <cellStyle name="Input 6 5 3" xfId="41523" xr:uid="{00000000-0005-0000-0000-000033A20000}"/>
    <cellStyle name="Input 6 6" xfId="41524" xr:uid="{00000000-0005-0000-0000-000034A20000}"/>
    <cellStyle name="Input 6 6 2" xfId="41525" xr:uid="{00000000-0005-0000-0000-000035A20000}"/>
    <cellStyle name="Input 6 6 3" xfId="41526" xr:uid="{00000000-0005-0000-0000-000036A20000}"/>
    <cellStyle name="Input 6 7" xfId="41527" xr:uid="{00000000-0005-0000-0000-000037A20000}"/>
    <cellStyle name="Input 6 8" xfId="41528" xr:uid="{00000000-0005-0000-0000-000038A20000}"/>
    <cellStyle name="Input 6 9" xfId="41529" xr:uid="{00000000-0005-0000-0000-000039A20000}"/>
    <cellStyle name="Input 7" xfId="41530" xr:uid="{00000000-0005-0000-0000-00003AA20000}"/>
    <cellStyle name="Input 7 10" xfId="41531" xr:uid="{00000000-0005-0000-0000-00003BA20000}"/>
    <cellStyle name="Input 7 2" xfId="41532" xr:uid="{00000000-0005-0000-0000-00003CA20000}"/>
    <cellStyle name="Input 7 2 2" xfId="41533" xr:uid="{00000000-0005-0000-0000-00003DA20000}"/>
    <cellStyle name="Input 7 2 3" xfId="41534" xr:uid="{00000000-0005-0000-0000-00003EA20000}"/>
    <cellStyle name="Input 7 2 4" xfId="41535" xr:uid="{00000000-0005-0000-0000-00003FA20000}"/>
    <cellStyle name="Input 7 2 5" xfId="41536" xr:uid="{00000000-0005-0000-0000-000040A20000}"/>
    <cellStyle name="Input 7 3" xfId="41537" xr:uid="{00000000-0005-0000-0000-000041A20000}"/>
    <cellStyle name="Input 7 3 2" xfId="41538" xr:uid="{00000000-0005-0000-0000-000042A20000}"/>
    <cellStyle name="Input 7 3 3" xfId="41539" xr:uid="{00000000-0005-0000-0000-000043A20000}"/>
    <cellStyle name="Input 7 4" xfId="41540" xr:uid="{00000000-0005-0000-0000-000044A20000}"/>
    <cellStyle name="Input 7 4 2" xfId="41541" xr:uid="{00000000-0005-0000-0000-000045A20000}"/>
    <cellStyle name="Input 7 4 3" xfId="41542" xr:uid="{00000000-0005-0000-0000-000046A20000}"/>
    <cellStyle name="Input 7 5" xfId="41543" xr:uid="{00000000-0005-0000-0000-000047A20000}"/>
    <cellStyle name="Input 7 5 2" xfId="41544" xr:uid="{00000000-0005-0000-0000-000048A20000}"/>
    <cellStyle name="Input 7 5 3" xfId="41545" xr:uid="{00000000-0005-0000-0000-000049A20000}"/>
    <cellStyle name="Input 7 6" xfId="41546" xr:uid="{00000000-0005-0000-0000-00004AA20000}"/>
    <cellStyle name="Input 7 6 2" xfId="41547" xr:uid="{00000000-0005-0000-0000-00004BA20000}"/>
    <cellStyle name="Input 7 6 3" xfId="41548" xr:uid="{00000000-0005-0000-0000-00004CA20000}"/>
    <cellStyle name="Input 7 7" xfId="41549" xr:uid="{00000000-0005-0000-0000-00004DA20000}"/>
    <cellStyle name="Input 7 8" xfId="41550" xr:uid="{00000000-0005-0000-0000-00004EA20000}"/>
    <cellStyle name="Input 7 9" xfId="41551" xr:uid="{00000000-0005-0000-0000-00004FA20000}"/>
    <cellStyle name="Input 8" xfId="41552" xr:uid="{00000000-0005-0000-0000-000050A20000}"/>
    <cellStyle name="Input 8 10" xfId="41553" xr:uid="{00000000-0005-0000-0000-000051A20000}"/>
    <cellStyle name="Input 8 2" xfId="41554" xr:uid="{00000000-0005-0000-0000-000052A20000}"/>
    <cellStyle name="Input 8 2 2" xfId="41555" xr:uid="{00000000-0005-0000-0000-000053A20000}"/>
    <cellStyle name="Input 8 2 3" xfId="41556" xr:uid="{00000000-0005-0000-0000-000054A20000}"/>
    <cellStyle name="Input 8 2 4" xfId="41557" xr:uid="{00000000-0005-0000-0000-000055A20000}"/>
    <cellStyle name="Input 8 2 5" xfId="41558" xr:uid="{00000000-0005-0000-0000-000056A20000}"/>
    <cellStyle name="Input 8 3" xfId="41559" xr:uid="{00000000-0005-0000-0000-000057A20000}"/>
    <cellStyle name="Input 8 3 2" xfId="41560" xr:uid="{00000000-0005-0000-0000-000058A20000}"/>
    <cellStyle name="Input 8 3 3" xfId="41561" xr:uid="{00000000-0005-0000-0000-000059A20000}"/>
    <cellStyle name="Input 8 4" xfId="41562" xr:uid="{00000000-0005-0000-0000-00005AA20000}"/>
    <cellStyle name="Input 8 4 2" xfId="41563" xr:uid="{00000000-0005-0000-0000-00005BA20000}"/>
    <cellStyle name="Input 8 4 3" xfId="41564" xr:uid="{00000000-0005-0000-0000-00005CA20000}"/>
    <cellStyle name="Input 8 5" xfId="41565" xr:uid="{00000000-0005-0000-0000-00005DA20000}"/>
    <cellStyle name="Input 8 5 2" xfId="41566" xr:uid="{00000000-0005-0000-0000-00005EA20000}"/>
    <cellStyle name="Input 8 5 3" xfId="41567" xr:uid="{00000000-0005-0000-0000-00005FA20000}"/>
    <cellStyle name="Input 8 6" xfId="41568" xr:uid="{00000000-0005-0000-0000-000060A20000}"/>
    <cellStyle name="Input 8 6 2" xfId="41569" xr:uid="{00000000-0005-0000-0000-000061A20000}"/>
    <cellStyle name="Input 8 6 3" xfId="41570" xr:uid="{00000000-0005-0000-0000-000062A20000}"/>
    <cellStyle name="Input 8 7" xfId="41571" xr:uid="{00000000-0005-0000-0000-000063A20000}"/>
    <cellStyle name="Input 8 8" xfId="41572" xr:uid="{00000000-0005-0000-0000-000064A20000}"/>
    <cellStyle name="Input 8 9" xfId="41573" xr:uid="{00000000-0005-0000-0000-000065A20000}"/>
    <cellStyle name="Input 9" xfId="41574" xr:uid="{00000000-0005-0000-0000-000066A20000}"/>
    <cellStyle name="Input 9 10" xfId="41575" xr:uid="{00000000-0005-0000-0000-000067A20000}"/>
    <cellStyle name="Input 9 2" xfId="41576" xr:uid="{00000000-0005-0000-0000-000068A20000}"/>
    <cellStyle name="Input 9 2 2" xfId="41577" xr:uid="{00000000-0005-0000-0000-000069A20000}"/>
    <cellStyle name="Input 9 2 3" xfId="41578" xr:uid="{00000000-0005-0000-0000-00006AA20000}"/>
    <cellStyle name="Input 9 2 4" xfId="41579" xr:uid="{00000000-0005-0000-0000-00006BA20000}"/>
    <cellStyle name="Input 9 2 5" xfId="41580" xr:uid="{00000000-0005-0000-0000-00006CA20000}"/>
    <cellStyle name="Input 9 3" xfId="41581" xr:uid="{00000000-0005-0000-0000-00006DA20000}"/>
    <cellStyle name="Input 9 3 2" xfId="41582" xr:uid="{00000000-0005-0000-0000-00006EA20000}"/>
    <cellStyle name="Input 9 3 3" xfId="41583" xr:uid="{00000000-0005-0000-0000-00006FA20000}"/>
    <cellStyle name="Input 9 4" xfId="41584" xr:uid="{00000000-0005-0000-0000-000070A20000}"/>
    <cellStyle name="Input 9 4 2" xfId="41585" xr:uid="{00000000-0005-0000-0000-000071A20000}"/>
    <cellStyle name="Input 9 4 3" xfId="41586" xr:uid="{00000000-0005-0000-0000-000072A20000}"/>
    <cellStyle name="Input 9 5" xfId="41587" xr:uid="{00000000-0005-0000-0000-000073A20000}"/>
    <cellStyle name="Input 9 5 2" xfId="41588" xr:uid="{00000000-0005-0000-0000-000074A20000}"/>
    <cellStyle name="Input 9 5 3" xfId="41589" xr:uid="{00000000-0005-0000-0000-000075A20000}"/>
    <cellStyle name="Input 9 6" xfId="41590" xr:uid="{00000000-0005-0000-0000-000076A20000}"/>
    <cellStyle name="Input 9 6 2" xfId="41591" xr:uid="{00000000-0005-0000-0000-000077A20000}"/>
    <cellStyle name="Input 9 6 3" xfId="41592" xr:uid="{00000000-0005-0000-0000-000078A20000}"/>
    <cellStyle name="Input 9 7" xfId="41593" xr:uid="{00000000-0005-0000-0000-000079A20000}"/>
    <cellStyle name="Input 9 8" xfId="41594" xr:uid="{00000000-0005-0000-0000-00007AA20000}"/>
    <cellStyle name="Input 9 9" xfId="41595" xr:uid="{00000000-0005-0000-0000-00007BA20000}"/>
    <cellStyle name="Input Cells" xfId="41596" xr:uid="{00000000-0005-0000-0000-00007CA20000}"/>
    <cellStyle name="Input Cells 2" xfId="41597" xr:uid="{00000000-0005-0000-0000-00007DA20000}"/>
    <cellStyle name="Input Cells 3" xfId="41598" xr:uid="{00000000-0005-0000-0000-00007EA20000}"/>
    <cellStyle name="Input Cells 4" xfId="41599" xr:uid="{00000000-0005-0000-0000-00007FA20000}"/>
    <cellStyle name="k" xfId="41600" xr:uid="{00000000-0005-0000-0000-000080A20000}"/>
    <cellStyle name="KIB" xfId="41601" xr:uid="{00000000-0005-0000-0000-000081A20000}"/>
    <cellStyle name="Komma" xfId="41602" xr:uid="{00000000-0005-0000-0000-000082A20000}"/>
    <cellStyle name="L" xfId="41603" xr:uid="{00000000-0005-0000-0000-000083A20000}"/>
    <cellStyle name="Labels - Style3" xfId="41604" xr:uid="{00000000-0005-0000-0000-000084A20000}"/>
    <cellStyle name="Labels - Style3 2" xfId="41605" xr:uid="{00000000-0005-0000-0000-000085A20000}"/>
    <cellStyle name="Labels - Style3 3" xfId="41606" xr:uid="{00000000-0005-0000-0000-000086A20000}"/>
    <cellStyle name="Labels - Style3 4" xfId="41607" xr:uid="{00000000-0005-0000-0000-000087A20000}"/>
    <cellStyle name="Labels - Style3 5" xfId="41608" xr:uid="{00000000-0005-0000-0000-000088A20000}"/>
    <cellStyle name="LD" xfId="41609" xr:uid="{00000000-0005-0000-0000-000089A20000}"/>
    <cellStyle name="Length" xfId="41610" xr:uid="{00000000-0005-0000-0000-00008AA20000}"/>
    <cellStyle name="Link Currency (0)" xfId="41611" xr:uid="{00000000-0005-0000-0000-00008BA20000}"/>
    <cellStyle name="Link Currency (2)" xfId="41612" xr:uid="{00000000-0005-0000-0000-00008CA20000}"/>
    <cellStyle name="Link Units (0)" xfId="41613" xr:uid="{00000000-0005-0000-0000-00008DA20000}"/>
    <cellStyle name="Link Units (1)" xfId="41614" xr:uid="{00000000-0005-0000-0000-00008EA20000}"/>
    <cellStyle name="Link Units (2)" xfId="41615" xr:uid="{00000000-0005-0000-0000-00008FA20000}"/>
    <cellStyle name="Linked Cell 10" xfId="41616" xr:uid="{00000000-0005-0000-0000-000090A20000}"/>
    <cellStyle name="Linked Cell 10 2" xfId="41617" xr:uid="{00000000-0005-0000-0000-000091A20000}"/>
    <cellStyle name="Linked Cell 10 2 2" xfId="41618" xr:uid="{00000000-0005-0000-0000-000092A20000}"/>
    <cellStyle name="Linked Cell 10 2 3" xfId="41619" xr:uid="{00000000-0005-0000-0000-000093A20000}"/>
    <cellStyle name="Linked Cell 10 3" xfId="41620" xr:uid="{00000000-0005-0000-0000-000094A20000}"/>
    <cellStyle name="Linked Cell 10 4" xfId="41621" xr:uid="{00000000-0005-0000-0000-000095A20000}"/>
    <cellStyle name="Linked Cell 10 5" xfId="41622" xr:uid="{00000000-0005-0000-0000-000096A20000}"/>
    <cellStyle name="Linked Cell 11" xfId="41623" xr:uid="{00000000-0005-0000-0000-000097A20000}"/>
    <cellStyle name="Linked Cell 11 2" xfId="41624" xr:uid="{00000000-0005-0000-0000-000098A20000}"/>
    <cellStyle name="Linked Cell 11 2 2" xfId="41625" xr:uid="{00000000-0005-0000-0000-000099A20000}"/>
    <cellStyle name="Linked Cell 11 2 3" xfId="41626" xr:uid="{00000000-0005-0000-0000-00009AA20000}"/>
    <cellStyle name="Linked Cell 12" xfId="41627" xr:uid="{00000000-0005-0000-0000-00009BA20000}"/>
    <cellStyle name="Linked Cell 12 2" xfId="41628" xr:uid="{00000000-0005-0000-0000-00009CA20000}"/>
    <cellStyle name="Linked Cell 12 2 2" xfId="41629" xr:uid="{00000000-0005-0000-0000-00009DA20000}"/>
    <cellStyle name="Linked Cell 12 2 3" xfId="41630" xr:uid="{00000000-0005-0000-0000-00009EA20000}"/>
    <cellStyle name="Linked Cell 13" xfId="41631" xr:uid="{00000000-0005-0000-0000-00009FA20000}"/>
    <cellStyle name="Linked Cell 13 2" xfId="41632" xr:uid="{00000000-0005-0000-0000-0000A0A20000}"/>
    <cellStyle name="Linked Cell 13 2 2" xfId="41633" xr:uid="{00000000-0005-0000-0000-0000A1A20000}"/>
    <cellStyle name="Linked Cell 13 2 3" xfId="41634" xr:uid="{00000000-0005-0000-0000-0000A2A20000}"/>
    <cellStyle name="Linked Cell 14" xfId="41635" xr:uid="{00000000-0005-0000-0000-0000A3A20000}"/>
    <cellStyle name="Linked Cell 14 2" xfId="41636" xr:uid="{00000000-0005-0000-0000-0000A4A20000}"/>
    <cellStyle name="Linked Cell 14 2 2" xfId="41637" xr:uid="{00000000-0005-0000-0000-0000A5A20000}"/>
    <cellStyle name="Linked Cell 14 2 3" xfId="41638" xr:uid="{00000000-0005-0000-0000-0000A6A20000}"/>
    <cellStyle name="Linked Cell 15" xfId="41639" xr:uid="{00000000-0005-0000-0000-0000A7A20000}"/>
    <cellStyle name="Linked Cell 15 2" xfId="41640" xr:uid="{00000000-0005-0000-0000-0000A8A20000}"/>
    <cellStyle name="Linked Cell 15 2 2" xfId="41641" xr:uid="{00000000-0005-0000-0000-0000A9A20000}"/>
    <cellStyle name="Linked Cell 15 2 3" xfId="41642" xr:uid="{00000000-0005-0000-0000-0000AAA20000}"/>
    <cellStyle name="Linked Cell 16" xfId="41643" xr:uid="{00000000-0005-0000-0000-0000ABA20000}"/>
    <cellStyle name="Linked Cell 16 2" xfId="41644" xr:uid="{00000000-0005-0000-0000-0000ACA20000}"/>
    <cellStyle name="Linked Cell 16 2 2" xfId="41645" xr:uid="{00000000-0005-0000-0000-0000ADA20000}"/>
    <cellStyle name="Linked Cell 16 2 3" xfId="41646" xr:uid="{00000000-0005-0000-0000-0000AEA20000}"/>
    <cellStyle name="Linked Cell 17" xfId="41647" xr:uid="{00000000-0005-0000-0000-0000AFA20000}"/>
    <cellStyle name="Linked Cell 17 2" xfId="41648" xr:uid="{00000000-0005-0000-0000-0000B0A20000}"/>
    <cellStyle name="Linked Cell 17 2 2" xfId="41649" xr:uid="{00000000-0005-0000-0000-0000B1A20000}"/>
    <cellStyle name="Linked Cell 17 2 3" xfId="41650" xr:uid="{00000000-0005-0000-0000-0000B2A20000}"/>
    <cellStyle name="Linked Cell 18" xfId="41651" xr:uid="{00000000-0005-0000-0000-0000B3A20000}"/>
    <cellStyle name="Linked Cell 18 2" xfId="41652" xr:uid="{00000000-0005-0000-0000-0000B4A20000}"/>
    <cellStyle name="Linked Cell 18 2 2" xfId="41653" xr:uid="{00000000-0005-0000-0000-0000B5A20000}"/>
    <cellStyle name="Linked Cell 18 2 3" xfId="41654" xr:uid="{00000000-0005-0000-0000-0000B6A20000}"/>
    <cellStyle name="Linked Cell 19" xfId="41655" xr:uid="{00000000-0005-0000-0000-0000B7A20000}"/>
    <cellStyle name="Linked Cell 19 2" xfId="41656" xr:uid="{00000000-0005-0000-0000-0000B8A20000}"/>
    <cellStyle name="Linked Cell 19 2 2" xfId="41657" xr:uid="{00000000-0005-0000-0000-0000B9A20000}"/>
    <cellStyle name="Linked Cell 19 2 3" xfId="41658" xr:uid="{00000000-0005-0000-0000-0000BAA20000}"/>
    <cellStyle name="Linked Cell 2" xfId="41659" xr:uid="{00000000-0005-0000-0000-0000BBA20000}"/>
    <cellStyle name="Linked Cell 2 10" xfId="41660" xr:uid="{00000000-0005-0000-0000-0000BCA20000}"/>
    <cellStyle name="Linked Cell 2 10 2" xfId="41661" xr:uid="{00000000-0005-0000-0000-0000BDA20000}"/>
    <cellStyle name="Linked Cell 2 11" xfId="41662" xr:uid="{00000000-0005-0000-0000-0000BEA20000}"/>
    <cellStyle name="Linked Cell 2 11 2" xfId="41663" xr:uid="{00000000-0005-0000-0000-0000BFA20000}"/>
    <cellStyle name="Linked Cell 2 12" xfId="41664" xr:uid="{00000000-0005-0000-0000-0000C0A20000}"/>
    <cellStyle name="Linked Cell 2 12 2" xfId="41665" xr:uid="{00000000-0005-0000-0000-0000C1A20000}"/>
    <cellStyle name="Linked Cell 2 13" xfId="41666" xr:uid="{00000000-0005-0000-0000-0000C2A20000}"/>
    <cellStyle name="Linked Cell 2 13 2" xfId="41667" xr:uid="{00000000-0005-0000-0000-0000C3A20000}"/>
    <cellStyle name="Linked Cell 2 14" xfId="41668" xr:uid="{00000000-0005-0000-0000-0000C4A20000}"/>
    <cellStyle name="Linked Cell 2 14 2" xfId="41669" xr:uid="{00000000-0005-0000-0000-0000C5A20000}"/>
    <cellStyle name="Linked Cell 2 15" xfId="41670" xr:uid="{00000000-0005-0000-0000-0000C6A20000}"/>
    <cellStyle name="Linked Cell 2 15 2" xfId="41671" xr:uid="{00000000-0005-0000-0000-0000C7A20000}"/>
    <cellStyle name="Linked Cell 2 16" xfId="41672" xr:uid="{00000000-0005-0000-0000-0000C8A20000}"/>
    <cellStyle name="Linked Cell 2 17" xfId="41673" xr:uid="{00000000-0005-0000-0000-0000C9A20000}"/>
    <cellStyle name="Linked Cell 2 18" xfId="41674" xr:uid="{00000000-0005-0000-0000-0000CAA20000}"/>
    <cellStyle name="Linked Cell 2 19" xfId="41675" xr:uid="{00000000-0005-0000-0000-0000CBA20000}"/>
    <cellStyle name="Linked Cell 2 2" xfId="41676" xr:uid="{00000000-0005-0000-0000-0000CCA20000}"/>
    <cellStyle name="Linked Cell 2 2 2" xfId="41677" xr:uid="{00000000-0005-0000-0000-0000CDA20000}"/>
    <cellStyle name="Linked Cell 2 2 2 2" xfId="41678" xr:uid="{00000000-0005-0000-0000-0000CEA20000}"/>
    <cellStyle name="Linked Cell 2 2 2 3" xfId="41679" xr:uid="{00000000-0005-0000-0000-0000CFA20000}"/>
    <cellStyle name="Linked Cell 2 3" xfId="41680" xr:uid="{00000000-0005-0000-0000-0000D0A20000}"/>
    <cellStyle name="Linked Cell 2 3 2" xfId="41681" xr:uid="{00000000-0005-0000-0000-0000D1A20000}"/>
    <cellStyle name="Linked Cell 2 3 2 2" xfId="41682" xr:uid="{00000000-0005-0000-0000-0000D2A20000}"/>
    <cellStyle name="Linked Cell 2 3 3" xfId="41683" xr:uid="{00000000-0005-0000-0000-0000D3A20000}"/>
    <cellStyle name="Linked Cell 2 4" xfId="41684" xr:uid="{00000000-0005-0000-0000-0000D4A20000}"/>
    <cellStyle name="Linked Cell 2 4 2" xfId="41685" xr:uid="{00000000-0005-0000-0000-0000D5A20000}"/>
    <cellStyle name="Linked Cell 2 4 2 2" xfId="41686" xr:uid="{00000000-0005-0000-0000-0000D6A20000}"/>
    <cellStyle name="Linked Cell 2 5" xfId="41687" xr:uid="{00000000-0005-0000-0000-0000D7A20000}"/>
    <cellStyle name="Linked Cell 2 5 2" xfId="41688" xr:uid="{00000000-0005-0000-0000-0000D8A20000}"/>
    <cellStyle name="Linked Cell 2 6" xfId="41689" xr:uid="{00000000-0005-0000-0000-0000D9A20000}"/>
    <cellStyle name="Linked Cell 2 6 2" xfId="41690" xr:uid="{00000000-0005-0000-0000-0000DAA20000}"/>
    <cellStyle name="Linked Cell 2 7" xfId="41691" xr:uid="{00000000-0005-0000-0000-0000DBA20000}"/>
    <cellStyle name="Linked Cell 2 7 2" xfId="41692" xr:uid="{00000000-0005-0000-0000-0000DCA20000}"/>
    <cellStyle name="Linked Cell 2 8" xfId="41693" xr:uid="{00000000-0005-0000-0000-0000DDA20000}"/>
    <cellStyle name="Linked Cell 2 8 2" xfId="41694" xr:uid="{00000000-0005-0000-0000-0000DEA20000}"/>
    <cellStyle name="Linked Cell 2 9" xfId="41695" xr:uid="{00000000-0005-0000-0000-0000DFA20000}"/>
    <cellStyle name="Linked Cell 2 9 2" xfId="41696" xr:uid="{00000000-0005-0000-0000-0000E0A20000}"/>
    <cellStyle name="Linked Cell 2_Labour" xfId="41697" xr:uid="{00000000-0005-0000-0000-0000E1A20000}"/>
    <cellStyle name="Linked Cell 20" xfId="41698" xr:uid="{00000000-0005-0000-0000-0000E2A20000}"/>
    <cellStyle name="Linked Cell 20 2" xfId="41699" xr:uid="{00000000-0005-0000-0000-0000E3A20000}"/>
    <cellStyle name="Linked Cell 20 2 2" xfId="41700" xr:uid="{00000000-0005-0000-0000-0000E4A20000}"/>
    <cellStyle name="Linked Cell 20 2 3" xfId="41701" xr:uid="{00000000-0005-0000-0000-0000E5A20000}"/>
    <cellStyle name="Linked Cell 21" xfId="41702" xr:uid="{00000000-0005-0000-0000-0000E6A20000}"/>
    <cellStyle name="Linked Cell 21 2" xfId="41703" xr:uid="{00000000-0005-0000-0000-0000E7A20000}"/>
    <cellStyle name="Linked Cell 21 2 2" xfId="41704" xr:uid="{00000000-0005-0000-0000-0000E8A20000}"/>
    <cellStyle name="Linked Cell 21 2 3" xfId="41705" xr:uid="{00000000-0005-0000-0000-0000E9A20000}"/>
    <cellStyle name="Linked Cell 22" xfId="41706" xr:uid="{00000000-0005-0000-0000-0000EAA20000}"/>
    <cellStyle name="Linked Cell 22 2" xfId="41707" xr:uid="{00000000-0005-0000-0000-0000EBA20000}"/>
    <cellStyle name="Linked Cell 22 2 2" xfId="41708" xr:uid="{00000000-0005-0000-0000-0000ECA20000}"/>
    <cellStyle name="Linked Cell 22 2 3" xfId="41709" xr:uid="{00000000-0005-0000-0000-0000EDA20000}"/>
    <cellStyle name="Linked Cell 23" xfId="41710" xr:uid="{00000000-0005-0000-0000-0000EEA20000}"/>
    <cellStyle name="Linked Cell 23 2" xfId="41711" xr:uid="{00000000-0005-0000-0000-0000EFA20000}"/>
    <cellStyle name="Linked Cell 23 2 2" xfId="41712" xr:uid="{00000000-0005-0000-0000-0000F0A20000}"/>
    <cellStyle name="Linked Cell 23 2 3" xfId="41713" xr:uid="{00000000-0005-0000-0000-0000F1A20000}"/>
    <cellStyle name="Linked Cell 24" xfId="41714" xr:uid="{00000000-0005-0000-0000-0000F2A20000}"/>
    <cellStyle name="Linked Cell 24 2" xfId="41715" xr:uid="{00000000-0005-0000-0000-0000F3A20000}"/>
    <cellStyle name="Linked Cell 24 2 2" xfId="41716" xr:uid="{00000000-0005-0000-0000-0000F4A20000}"/>
    <cellStyle name="Linked Cell 24 2 3" xfId="41717" xr:uid="{00000000-0005-0000-0000-0000F5A20000}"/>
    <cellStyle name="Linked Cell 25" xfId="41718" xr:uid="{00000000-0005-0000-0000-0000F6A20000}"/>
    <cellStyle name="Linked Cell 25 2" xfId="41719" xr:uid="{00000000-0005-0000-0000-0000F7A20000}"/>
    <cellStyle name="Linked Cell 25 2 2" xfId="41720" xr:uid="{00000000-0005-0000-0000-0000F8A20000}"/>
    <cellStyle name="Linked Cell 25 2 3" xfId="41721" xr:uid="{00000000-0005-0000-0000-0000F9A20000}"/>
    <cellStyle name="Linked Cell 26" xfId="41722" xr:uid="{00000000-0005-0000-0000-0000FAA20000}"/>
    <cellStyle name="Linked Cell 26 2" xfId="41723" xr:uid="{00000000-0005-0000-0000-0000FBA20000}"/>
    <cellStyle name="Linked Cell 26 2 2" xfId="41724" xr:uid="{00000000-0005-0000-0000-0000FCA20000}"/>
    <cellStyle name="Linked Cell 26 2 3" xfId="41725" xr:uid="{00000000-0005-0000-0000-0000FDA20000}"/>
    <cellStyle name="Linked Cell 27" xfId="41726" xr:uid="{00000000-0005-0000-0000-0000FEA20000}"/>
    <cellStyle name="Linked Cell 27 2" xfId="41727" xr:uid="{00000000-0005-0000-0000-0000FFA20000}"/>
    <cellStyle name="Linked Cell 27 2 2" xfId="41728" xr:uid="{00000000-0005-0000-0000-000000A30000}"/>
    <cellStyle name="Linked Cell 27 2 3" xfId="41729" xr:uid="{00000000-0005-0000-0000-000001A30000}"/>
    <cellStyle name="Linked Cell 28" xfId="41730" xr:uid="{00000000-0005-0000-0000-000002A30000}"/>
    <cellStyle name="Linked Cell 28 2" xfId="41731" xr:uid="{00000000-0005-0000-0000-000003A30000}"/>
    <cellStyle name="Linked Cell 28 2 2" xfId="41732" xr:uid="{00000000-0005-0000-0000-000004A30000}"/>
    <cellStyle name="Linked Cell 28 2 3" xfId="41733" xr:uid="{00000000-0005-0000-0000-000005A30000}"/>
    <cellStyle name="Linked Cell 29" xfId="41734" xr:uid="{00000000-0005-0000-0000-000006A30000}"/>
    <cellStyle name="Linked Cell 29 2" xfId="41735" xr:uid="{00000000-0005-0000-0000-000007A30000}"/>
    <cellStyle name="Linked Cell 29 2 2" xfId="41736" xr:uid="{00000000-0005-0000-0000-000008A30000}"/>
    <cellStyle name="Linked Cell 29 2 3" xfId="41737" xr:uid="{00000000-0005-0000-0000-000009A30000}"/>
    <cellStyle name="Linked Cell 3" xfId="41738" xr:uid="{00000000-0005-0000-0000-00000AA30000}"/>
    <cellStyle name="Linked Cell 3 2" xfId="41739" xr:uid="{00000000-0005-0000-0000-00000BA30000}"/>
    <cellStyle name="Linked Cell 3 2 2" xfId="41740" xr:uid="{00000000-0005-0000-0000-00000CA30000}"/>
    <cellStyle name="Linked Cell 3 2 3" xfId="41741" xr:uid="{00000000-0005-0000-0000-00000DA30000}"/>
    <cellStyle name="Linked Cell 3 3" xfId="41742" xr:uid="{00000000-0005-0000-0000-00000EA30000}"/>
    <cellStyle name="Linked Cell 3 4" xfId="41743" xr:uid="{00000000-0005-0000-0000-00000FA30000}"/>
    <cellStyle name="Linked Cell 3 5" xfId="41744" xr:uid="{00000000-0005-0000-0000-000010A30000}"/>
    <cellStyle name="Linked Cell 30" xfId="41745" xr:uid="{00000000-0005-0000-0000-000011A30000}"/>
    <cellStyle name="Linked Cell 30 2" xfId="41746" xr:uid="{00000000-0005-0000-0000-000012A30000}"/>
    <cellStyle name="Linked Cell 30 2 2" xfId="41747" xr:uid="{00000000-0005-0000-0000-000013A30000}"/>
    <cellStyle name="Linked Cell 30 2 3" xfId="41748" xr:uid="{00000000-0005-0000-0000-000014A30000}"/>
    <cellStyle name="Linked Cell 31" xfId="41749" xr:uid="{00000000-0005-0000-0000-000015A30000}"/>
    <cellStyle name="Linked Cell 31 2" xfId="41750" xr:uid="{00000000-0005-0000-0000-000016A30000}"/>
    <cellStyle name="Linked Cell 31 2 2" xfId="41751" xr:uid="{00000000-0005-0000-0000-000017A30000}"/>
    <cellStyle name="Linked Cell 31 2 3" xfId="41752" xr:uid="{00000000-0005-0000-0000-000018A30000}"/>
    <cellStyle name="Linked Cell 32" xfId="41753" xr:uid="{00000000-0005-0000-0000-000019A30000}"/>
    <cellStyle name="Linked Cell 32 2" xfId="41754" xr:uid="{00000000-0005-0000-0000-00001AA30000}"/>
    <cellStyle name="Linked Cell 32 2 2" xfId="41755" xr:uid="{00000000-0005-0000-0000-00001BA30000}"/>
    <cellStyle name="Linked Cell 32 2 3" xfId="41756" xr:uid="{00000000-0005-0000-0000-00001CA30000}"/>
    <cellStyle name="Linked Cell 33" xfId="41757" xr:uid="{00000000-0005-0000-0000-00001DA30000}"/>
    <cellStyle name="Linked Cell 33 2" xfId="41758" xr:uid="{00000000-0005-0000-0000-00001EA30000}"/>
    <cellStyle name="Linked Cell 33 2 2" xfId="41759" xr:uid="{00000000-0005-0000-0000-00001FA30000}"/>
    <cellStyle name="Linked Cell 33 2 3" xfId="41760" xr:uid="{00000000-0005-0000-0000-000020A30000}"/>
    <cellStyle name="Linked Cell 34" xfId="41761" xr:uid="{00000000-0005-0000-0000-000021A30000}"/>
    <cellStyle name="Linked Cell 34 2" xfId="41762" xr:uid="{00000000-0005-0000-0000-000022A30000}"/>
    <cellStyle name="Linked Cell 34 3" xfId="41763" xr:uid="{00000000-0005-0000-0000-000023A30000}"/>
    <cellStyle name="Linked Cell 34 4" xfId="41764" xr:uid="{00000000-0005-0000-0000-000024A30000}"/>
    <cellStyle name="Linked Cell 4" xfId="41765" xr:uid="{00000000-0005-0000-0000-000025A30000}"/>
    <cellStyle name="Linked Cell 4 2" xfId="41766" xr:uid="{00000000-0005-0000-0000-000026A30000}"/>
    <cellStyle name="Linked Cell 4 2 2" xfId="41767" xr:uid="{00000000-0005-0000-0000-000027A30000}"/>
    <cellStyle name="Linked Cell 4 2 3" xfId="41768" xr:uid="{00000000-0005-0000-0000-000028A30000}"/>
    <cellStyle name="Linked Cell 4 3" xfId="41769" xr:uid="{00000000-0005-0000-0000-000029A30000}"/>
    <cellStyle name="Linked Cell 4 4" xfId="41770" xr:uid="{00000000-0005-0000-0000-00002AA30000}"/>
    <cellStyle name="Linked Cell 4 5" xfId="41771" xr:uid="{00000000-0005-0000-0000-00002BA30000}"/>
    <cellStyle name="Linked Cell 4_Proj" xfId="41772" xr:uid="{00000000-0005-0000-0000-00002CA30000}"/>
    <cellStyle name="Linked Cell 5" xfId="41773" xr:uid="{00000000-0005-0000-0000-00002DA30000}"/>
    <cellStyle name="Linked Cell 5 2" xfId="41774" xr:uid="{00000000-0005-0000-0000-00002EA30000}"/>
    <cellStyle name="Linked Cell 5 2 2" xfId="41775" xr:uid="{00000000-0005-0000-0000-00002FA30000}"/>
    <cellStyle name="Linked Cell 5 2 3" xfId="41776" xr:uid="{00000000-0005-0000-0000-000030A30000}"/>
    <cellStyle name="Linked Cell 5 3" xfId="41777" xr:uid="{00000000-0005-0000-0000-000031A30000}"/>
    <cellStyle name="Linked Cell 5 4" xfId="41778" xr:uid="{00000000-0005-0000-0000-000032A30000}"/>
    <cellStyle name="Linked Cell 5 5" xfId="41779" xr:uid="{00000000-0005-0000-0000-000033A30000}"/>
    <cellStyle name="Linked Cell 6" xfId="41780" xr:uid="{00000000-0005-0000-0000-000034A30000}"/>
    <cellStyle name="Linked Cell 6 2" xfId="41781" xr:uid="{00000000-0005-0000-0000-000035A30000}"/>
    <cellStyle name="Linked Cell 6 2 2" xfId="41782" xr:uid="{00000000-0005-0000-0000-000036A30000}"/>
    <cellStyle name="Linked Cell 6 2 3" xfId="41783" xr:uid="{00000000-0005-0000-0000-000037A30000}"/>
    <cellStyle name="Linked Cell 6 3" xfId="41784" xr:uid="{00000000-0005-0000-0000-000038A30000}"/>
    <cellStyle name="Linked Cell 6 4" xfId="41785" xr:uid="{00000000-0005-0000-0000-000039A30000}"/>
    <cellStyle name="Linked Cell 6 5" xfId="41786" xr:uid="{00000000-0005-0000-0000-00003AA30000}"/>
    <cellStyle name="Linked Cell 7" xfId="41787" xr:uid="{00000000-0005-0000-0000-00003BA30000}"/>
    <cellStyle name="Linked Cell 7 2" xfId="41788" xr:uid="{00000000-0005-0000-0000-00003CA30000}"/>
    <cellStyle name="Linked Cell 7 2 2" xfId="41789" xr:uid="{00000000-0005-0000-0000-00003DA30000}"/>
    <cellStyle name="Linked Cell 7 2 3" xfId="41790" xr:uid="{00000000-0005-0000-0000-00003EA30000}"/>
    <cellStyle name="Linked Cell 7 3" xfId="41791" xr:uid="{00000000-0005-0000-0000-00003FA30000}"/>
    <cellStyle name="Linked Cell 7 4" xfId="41792" xr:uid="{00000000-0005-0000-0000-000040A30000}"/>
    <cellStyle name="Linked Cell 7 5" xfId="41793" xr:uid="{00000000-0005-0000-0000-000041A30000}"/>
    <cellStyle name="Linked Cell 8" xfId="41794" xr:uid="{00000000-0005-0000-0000-000042A30000}"/>
    <cellStyle name="Linked Cell 8 2" xfId="41795" xr:uid="{00000000-0005-0000-0000-000043A30000}"/>
    <cellStyle name="Linked Cell 8 2 2" xfId="41796" xr:uid="{00000000-0005-0000-0000-000044A30000}"/>
    <cellStyle name="Linked Cell 8 2 3" xfId="41797" xr:uid="{00000000-0005-0000-0000-000045A30000}"/>
    <cellStyle name="Linked Cell 8 3" xfId="41798" xr:uid="{00000000-0005-0000-0000-000046A30000}"/>
    <cellStyle name="Linked Cell 8 4" xfId="41799" xr:uid="{00000000-0005-0000-0000-000047A30000}"/>
    <cellStyle name="Linked Cell 8 5" xfId="41800" xr:uid="{00000000-0005-0000-0000-000048A30000}"/>
    <cellStyle name="Linked Cell 9" xfId="41801" xr:uid="{00000000-0005-0000-0000-000049A30000}"/>
    <cellStyle name="Linked Cell 9 2" xfId="41802" xr:uid="{00000000-0005-0000-0000-00004AA30000}"/>
    <cellStyle name="Linked Cell 9 2 2" xfId="41803" xr:uid="{00000000-0005-0000-0000-00004BA30000}"/>
    <cellStyle name="Linked Cell 9 2 3" xfId="41804" xr:uid="{00000000-0005-0000-0000-00004CA30000}"/>
    <cellStyle name="Linked Cell 9 3" xfId="41805" xr:uid="{00000000-0005-0000-0000-00004DA30000}"/>
    <cellStyle name="Linked Cell 9 4" xfId="41806" xr:uid="{00000000-0005-0000-0000-00004EA30000}"/>
    <cellStyle name="Linked Cell 9 5" xfId="41807" xr:uid="{00000000-0005-0000-0000-00004FA30000}"/>
    <cellStyle name="Linked Cells" xfId="41808" xr:uid="{00000000-0005-0000-0000-000050A30000}"/>
    <cellStyle name="Linked Cells 2" xfId="41809" xr:uid="{00000000-0005-0000-0000-000051A30000}"/>
    <cellStyle name="Linked Cells 3" xfId="41810" xr:uid="{00000000-0005-0000-0000-000052A30000}"/>
    <cellStyle name="Linked Cells 4" xfId="41811" xr:uid="{00000000-0005-0000-0000-000053A30000}"/>
    <cellStyle name="M" xfId="41812" xr:uid="{00000000-0005-0000-0000-000054A30000}"/>
    <cellStyle name="M-0" xfId="41813" xr:uid="{00000000-0005-0000-0000-000055A30000}"/>
    <cellStyle name="MainDescription" xfId="41814" xr:uid="{00000000-0005-0000-0000-000056A30000}"/>
    <cellStyle name="Measure" xfId="41815" xr:uid="{00000000-0005-0000-0000-000057A30000}"/>
    <cellStyle name="Microsoft Excel found an error in the formula you entered. Do you want to accept the correction proposed below?_x000a__x000a_|_x000a__x000a_• To accept the correction, click Yes._x000a_• To close this message and correct the formula yourself, click No." xfId="41816" xr:uid="{00000000-0005-0000-0000-000058A30000}"/>
    <cellStyle name="Millares [0]_elec" xfId="41817" xr:uid="{00000000-0005-0000-0000-000059A30000}"/>
    <cellStyle name="Millares_elec" xfId="41818" xr:uid="{00000000-0005-0000-0000-00005AA30000}"/>
    <cellStyle name="Milliers [0]_!!!GO" xfId="41819" xr:uid="{00000000-0005-0000-0000-00005BA30000}"/>
    <cellStyle name="Milliers_!!!GO" xfId="41820" xr:uid="{00000000-0005-0000-0000-00005CA30000}"/>
    <cellStyle name="Mittig" xfId="41821" xr:uid="{00000000-0005-0000-0000-00005DA30000}"/>
    <cellStyle name="Mittig 2" xfId="41822" xr:uid="{00000000-0005-0000-0000-00005EA30000}"/>
    <cellStyle name="Mittig 3" xfId="41823" xr:uid="{00000000-0005-0000-0000-00005FA30000}"/>
    <cellStyle name="Mittig 4" xfId="41824" xr:uid="{00000000-0005-0000-0000-000060A30000}"/>
    <cellStyle name="m-o" xfId="41825" xr:uid="{00000000-0005-0000-0000-000061A30000}"/>
    <cellStyle name="Model" xfId="41826" xr:uid="{00000000-0005-0000-0000-000062A30000}"/>
    <cellStyle name="Model 2" xfId="41827" xr:uid="{00000000-0005-0000-0000-000063A30000}"/>
    <cellStyle name="Model 2 2" xfId="41828" xr:uid="{00000000-0005-0000-0000-000064A30000}"/>
    <cellStyle name="Model 3" xfId="41829" xr:uid="{00000000-0005-0000-0000-000065A30000}"/>
    <cellStyle name="Model 3 2" xfId="41830" xr:uid="{00000000-0005-0000-0000-000066A30000}"/>
    <cellStyle name="Model 4" xfId="41831" xr:uid="{00000000-0005-0000-0000-000067A30000}"/>
    <cellStyle name="Monétaire [0]_!!!GO" xfId="41832" xr:uid="{00000000-0005-0000-0000-000068A30000}"/>
    <cellStyle name="Monétaire_!!!GO" xfId="41833" xr:uid="{00000000-0005-0000-0000-000069A30000}"/>
    <cellStyle name="Monétaire0" xfId="41834" xr:uid="{00000000-0005-0000-0000-00006AA30000}"/>
    <cellStyle name="MS_Arabic" xfId="41835" xr:uid="{00000000-0005-0000-0000-00006BA30000}"/>
    <cellStyle name="muts" xfId="41836" xr:uid="{00000000-0005-0000-0000-00006CA30000}"/>
    <cellStyle name="muts 10" xfId="41837" xr:uid="{00000000-0005-0000-0000-00006DA30000}"/>
    <cellStyle name="muts 10 2" xfId="41838" xr:uid="{00000000-0005-0000-0000-00006EA30000}"/>
    <cellStyle name="muts 10 2 2" xfId="41839" xr:uid="{00000000-0005-0000-0000-00006FA30000}"/>
    <cellStyle name="muts 10 3" xfId="41840" xr:uid="{00000000-0005-0000-0000-000070A30000}"/>
    <cellStyle name="muts 10 3 2" xfId="41841" xr:uid="{00000000-0005-0000-0000-000071A30000}"/>
    <cellStyle name="muts 10 4" xfId="41842" xr:uid="{00000000-0005-0000-0000-000072A30000}"/>
    <cellStyle name="muts 10 5" xfId="41843" xr:uid="{00000000-0005-0000-0000-000073A30000}"/>
    <cellStyle name="muts 10 6" xfId="41844" xr:uid="{00000000-0005-0000-0000-000074A30000}"/>
    <cellStyle name="muts 10 7" xfId="41845" xr:uid="{00000000-0005-0000-0000-000075A30000}"/>
    <cellStyle name="muts 10 8" xfId="41846" xr:uid="{00000000-0005-0000-0000-000076A30000}"/>
    <cellStyle name="muts 10 9" xfId="41847" xr:uid="{00000000-0005-0000-0000-000077A30000}"/>
    <cellStyle name="muts 11" xfId="41848" xr:uid="{00000000-0005-0000-0000-000078A30000}"/>
    <cellStyle name="muts 11 2" xfId="41849" xr:uid="{00000000-0005-0000-0000-000079A30000}"/>
    <cellStyle name="muts 11 3" xfId="41850" xr:uid="{00000000-0005-0000-0000-00007AA30000}"/>
    <cellStyle name="muts 11 4" xfId="41851" xr:uid="{00000000-0005-0000-0000-00007BA30000}"/>
    <cellStyle name="muts 11 5" xfId="41852" xr:uid="{00000000-0005-0000-0000-00007CA30000}"/>
    <cellStyle name="muts 11 6" xfId="41853" xr:uid="{00000000-0005-0000-0000-00007DA30000}"/>
    <cellStyle name="muts 11 7" xfId="41854" xr:uid="{00000000-0005-0000-0000-00007EA30000}"/>
    <cellStyle name="muts 11 8" xfId="41855" xr:uid="{00000000-0005-0000-0000-00007FA30000}"/>
    <cellStyle name="muts 11 9" xfId="41856" xr:uid="{00000000-0005-0000-0000-000080A30000}"/>
    <cellStyle name="muts 12" xfId="41857" xr:uid="{00000000-0005-0000-0000-000081A30000}"/>
    <cellStyle name="muts 12 2" xfId="41858" xr:uid="{00000000-0005-0000-0000-000082A30000}"/>
    <cellStyle name="muts 13" xfId="41859" xr:uid="{00000000-0005-0000-0000-000083A30000}"/>
    <cellStyle name="muts 13 2" xfId="41860" xr:uid="{00000000-0005-0000-0000-000084A30000}"/>
    <cellStyle name="muts 14" xfId="41861" xr:uid="{00000000-0005-0000-0000-000085A30000}"/>
    <cellStyle name="muts 15" xfId="41862" xr:uid="{00000000-0005-0000-0000-000086A30000}"/>
    <cellStyle name="muts 16" xfId="41863" xr:uid="{00000000-0005-0000-0000-000087A30000}"/>
    <cellStyle name="muts 17" xfId="41864" xr:uid="{00000000-0005-0000-0000-000088A30000}"/>
    <cellStyle name="muts 18" xfId="41865" xr:uid="{00000000-0005-0000-0000-000089A30000}"/>
    <cellStyle name="muts 19" xfId="41866" xr:uid="{00000000-0005-0000-0000-00008AA30000}"/>
    <cellStyle name="muts 2" xfId="41867" xr:uid="{00000000-0005-0000-0000-00008BA30000}"/>
    <cellStyle name="muts 2 10" xfId="41868" xr:uid="{00000000-0005-0000-0000-00008CA30000}"/>
    <cellStyle name="muts 2 10 2" xfId="41869" xr:uid="{00000000-0005-0000-0000-00008DA30000}"/>
    <cellStyle name="muts 2 11" xfId="41870" xr:uid="{00000000-0005-0000-0000-00008EA30000}"/>
    <cellStyle name="muts 2 12" xfId="41871" xr:uid="{00000000-0005-0000-0000-00008FA30000}"/>
    <cellStyle name="muts 2 13" xfId="41872" xr:uid="{00000000-0005-0000-0000-000090A30000}"/>
    <cellStyle name="muts 2 14" xfId="41873" xr:uid="{00000000-0005-0000-0000-000091A30000}"/>
    <cellStyle name="muts 2 15" xfId="41874" xr:uid="{00000000-0005-0000-0000-000092A30000}"/>
    <cellStyle name="muts 2 16" xfId="41875" xr:uid="{00000000-0005-0000-0000-000093A30000}"/>
    <cellStyle name="muts 2 17" xfId="41876" xr:uid="{00000000-0005-0000-0000-000094A30000}"/>
    <cellStyle name="muts 2 18" xfId="41877" xr:uid="{00000000-0005-0000-0000-000095A30000}"/>
    <cellStyle name="muts 2 19" xfId="41878" xr:uid="{00000000-0005-0000-0000-000096A30000}"/>
    <cellStyle name="muts 2 2" xfId="41879" xr:uid="{00000000-0005-0000-0000-000097A30000}"/>
    <cellStyle name="muts 2 2 2" xfId="41880" xr:uid="{00000000-0005-0000-0000-000098A30000}"/>
    <cellStyle name="muts 2 2 2 2" xfId="41881" xr:uid="{00000000-0005-0000-0000-000099A30000}"/>
    <cellStyle name="muts 2 2 2 2 2" xfId="41882" xr:uid="{00000000-0005-0000-0000-00009AA30000}"/>
    <cellStyle name="muts 2 2 2 3" xfId="41883" xr:uid="{00000000-0005-0000-0000-00009BA30000}"/>
    <cellStyle name="muts 2 2 2 3 2" xfId="41884" xr:uid="{00000000-0005-0000-0000-00009CA30000}"/>
    <cellStyle name="muts 2 2 2 4" xfId="41885" xr:uid="{00000000-0005-0000-0000-00009DA30000}"/>
    <cellStyle name="muts 2 2 3" xfId="41886" xr:uid="{00000000-0005-0000-0000-00009EA30000}"/>
    <cellStyle name="muts 2 2 3 2" xfId="41887" xr:uid="{00000000-0005-0000-0000-00009FA30000}"/>
    <cellStyle name="muts 2 2 3 2 2" xfId="41888" xr:uid="{00000000-0005-0000-0000-0000A0A30000}"/>
    <cellStyle name="muts 2 2 3 3" xfId="41889" xr:uid="{00000000-0005-0000-0000-0000A1A30000}"/>
    <cellStyle name="muts 2 2 3 3 2" xfId="41890" xr:uid="{00000000-0005-0000-0000-0000A2A30000}"/>
    <cellStyle name="muts 2 2 3 4" xfId="41891" xr:uid="{00000000-0005-0000-0000-0000A3A30000}"/>
    <cellStyle name="muts 2 2 4" xfId="41892" xr:uid="{00000000-0005-0000-0000-0000A4A30000}"/>
    <cellStyle name="muts 2 2 4 2" xfId="41893" xr:uid="{00000000-0005-0000-0000-0000A5A30000}"/>
    <cellStyle name="muts 2 2 5" xfId="41894" xr:uid="{00000000-0005-0000-0000-0000A6A30000}"/>
    <cellStyle name="muts 2 2 5 2" xfId="41895" xr:uid="{00000000-0005-0000-0000-0000A7A30000}"/>
    <cellStyle name="muts 2 2 6" xfId="41896" xr:uid="{00000000-0005-0000-0000-0000A8A30000}"/>
    <cellStyle name="muts 2 20" xfId="41897" xr:uid="{00000000-0005-0000-0000-0000A9A30000}"/>
    <cellStyle name="muts 2 3" xfId="41898" xr:uid="{00000000-0005-0000-0000-0000AAA30000}"/>
    <cellStyle name="muts 2 3 2" xfId="41899" xr:uid="{00000000-0005-0000-0000-0000ABA30000}"/>
    <cellStyle name="muts 2 3 2 2" xfId="41900" xr:uid="{00000000-0005-0000-0000-0000ACA30000}"/>
    <cellStyle name="muts 2 3 2 2 2" xfId="41901" xr:uid="{00000000-0005-0000-0000-0000ADA30000}"/>
    <cellStyle name="muts 2 3 2 3" xfId="41902" xr:uid="{00000000-0005-0000-0000-0000AEA30000}"/>
    <cellStyle name="muts 2 3 2 3 2" xfId="41903" xr:uid="{00000000-0005-0000-0000-0000AFA30000}"/>
    <cellStyle name="muts 2 3 2 4" xfId="41904" xr:uid="{00000000-0005-0000-0000-0000B0A30000}"/>
    <cellStyle name="muts 2 3 3" xfId="41905" xr:uid="{00000000-0005-0000-0000-0000B1A30000}"/>
    <cellStyle name="muts 2 3 3 2" xfId="41906" xr:uid="{00000000-0005-0000-0000-0000B2A30000}"/>
    <cellStyle name="muts 2 3 3 2 2" xfId="41907" xr:uid="{00000000-0005-0000-0000-0000B3A30000}"/>
    <cellStyle name="muts 2 3 3 3" xfId="41908" xr:uid="{00000000-0005-0000-0000-0000B4A30000}"/>
    <cellStyle name="muts 2 3 3 3 2" xfId="41909" xr:uid="{00000000-0005-0000-0000-0000B5A30000}"/>
    <cellStyle name="muts 2 3 3 4" xfId="41910" xr:uid="{00000000-0005-0000-0000-0000B6A30000}"/>
    <cellStyle name="muts 2 3 4" xfId="41911" xr:uid="{00000000-0005-0000-0000-0000B7A30000}"/>
    <cellStyle name="muts 2 3 4 2" xfId="41912" xr:uid="{00000000-0005-0000-0000-0000B8A30000}"/>
    <cellStyle name="muts 2 3 5" xfId="41913" xr:uid="{00000000-0005-0000-0000-0000B9A30000}"/>
    <cellStyle name="muts 2 3 5 2" xfId="41914" xr:uid="{00000000-0005-0000-0000-0000BAA30000}"/>
    <cellStyle name="muts 2 3 6" xfId="41915" xr:uid="{00000000-0005-0000-0000-0000BBA30000}"/>
    <cellStyle name="muts 2 4" xfId="41916" xr:uid="{00000000-0005-0000-0000-0000BCA30000}"/>
    <cellStyle name="muts 2 4 2" xfId="41917" xr:uid="{00000000-0005-0000-0000-0000BDA30000}"/>
    <cellStyle name="muts 2 4 2 2" xfId="41918" xr:uid="{00000000-0005-0000-0000-0000BEA30000}"/>
    <cellStyle name="muts 2 4 2 2 2" xfId="41919" xr:uid="{00000000-0005-0000-0000-0000BFA30000}"/>
    <cellStyle name="muts 2 4 2 3" xfId="41920" xr:uid="{00000000-0005-0000-0000-0000C0A30000}"/>
    <cellStyle name="muts 2 4 2 3 2" xfId="41921" xr:uid="{00000000-0005-0000-0000-0000C1A30000}"/>
    <cellStyle name="muts 2 4 2 4" xfId="41922" xr:uid="{00000000-0005-0000-0000-0000C2A30000}"/>
    <cellStyle name="muts 2 4 3" xfId="41923" xr:uid="{00000000-0005-0000-0000-0000C3A30000}"/>
    <cellStyle name="muts 2 4 3 2" xfId="41924" xr:uid="{00000000-0005-0000-0000-0000C4A30000}"/>
    <cellStyle name="muts 2 4 3 2 2" xfId="41925" xr:uid="{00000000-0005-0000-0000-0000C5A30000}"/>
    <cellStyle name="muts 2 4 3 3" xfId="41926" xr:uid="{00000000-0005-0000-0000-0000C6A30000}"/>
    <cellStyle name="muts 2 4 3 3 2" xfId="41927" xr:uid="{00000000-0005-0000-0000-0000C7A30000}"/>
    <cellStyle name="muts 2 4 3 4" xfId="41928" xr:uid="{00000000-0005-0000-0000-0000C8A30000}"/>
    <cellStyle name="muts 2 4 4" xfId="41929" xr:uid="{00000000-0005-0000-0000-0000C9A30000}"/>
    <cellStyle name="muts 2 4 4 2" xfId="41930" xr:uid="{00000000-0005-0000-0000-0000CAA30000}"/>
    <cellStyle name="muts 2 4 5" xfId="41931" xr:uid="{00000000-0005-0000-0000-0000CBA30000}"/>
    <cellStyle name="muts 2 4 5 2" xfId="41932" xr:uid="{00000000-0005-0000-0000-0000CCA30000}"/>
    <cellStyle name="muts 2 4 6" xfId="41933" xr:uid="{00000000-0005-0000-0000-0000CDA30000}"/>
    <cellStyle name="muts 2 5" xfId="41934" xr:uid="{00000000-0005-0000-0000-0000CEA30000}"/>
    <cellStyle name="muts 2 5 2" xfId="41935" xr:uid="{00000000-0005-0000-0000-0000CFA30000}"/>
    <cellStyle name="muts 2 5 2 2" xfId="41936" xr:uid="{00000000-0005-0000-0000-0000D0A30000}"/>
    <cellStyle name="muts 2 5 2 2 2" xfId="41937" xr:uid="{00000000-0005-0000-0000-0000D1A30000}"/>
    <cellStyle name="muts 2 5 2 3" xfId="41938" xr:uid="{00000000-0005-0000-0000-0000D2A30000}"/>
    <cellStyle name="muts 2 5 2 3 2" xfId="41939" xr:uid="{00000000-0005-0000-0000-0000D3A30000}"/>
    <cellStyle name="muts 2 5 2 4" xfId="41940" xr:uid="{00000000-0005-0000-0000-0000D4A30000}"/>
    <cellStyle name="muts 2 5 3" xfId="41941" xr:uid="{00000000-0005-0000-0000-0000D5A30000}"/>
    <cellStyle name="muts 2 5 3 2" xfId="41942" xr:uid="{00000000-0005-0000-0000-0000D6A30000}"/>
    <cellStyle name="muts 2 5 3 2 2" xfId="41943" xr:uid="{00000000-0005-0000-0000-0000D7A30000}"/>
    <cellStyle name="muts 2 5 3 3" xfId="41944" xr:uid="{00000000-0005-0000-0000-0000D8A30000}"/>
    <cellStyle name="muts 2 5 3 3 2" xfId="41945" xr:uid="{00000000-0005-0000-0000-0000D9A30000}"/>
    <cellStyle name="muts 2 5 3 4" xfId="41946" xr:uid="{00000000-0005-0000-0000-0000DAA30000}"/>
    <cellStyle name="muts 2 5 4" xfId="41947" xr:uid="{00000000-0005-0000-0000-0000DBA30000}"/>
    <cellStyle name="muts 2 5 4 2" xfId="41948" xr:uid="{00000000-0005-0000-0000-0000DCA30000}"/>
    <cellStyle name="muts 2 5 5" xfId="41949" xr:uid="{00000000-0005-0000-0000-0000DDA30000}"/>
    <cellStyle name="muts 2 5 5 2" xfId="41950" xr:uid="{00000000-0005-0000-0000-0000DEA30000}"/>
    <cellStyle name="muts 2 5 6" xfId="41951" xr:uid="{00000000-0005-0000-0000-0000DFA30000}"/>
    <cellStyle name="muts 2 6" xfId="41952" xr:uid="{00000000-0005-0000-0000-0000E0A30000}"/>
    <cellStyle name="muts 2 6 2" xfId="41953" xr:uid="{00000000-0005-0000-0000-0000E1A30000}"/>
    <cellStyle name="muts 2 6 2 2" xfId="41954" xr:uid="{00000000-0005-0000-0000-0000E2A30000}"/>
    <cellStyle name="muts 2 6 2 2 2" xfId="41955" xr:uid="{00000000-0005-0000-0000-0000E3A30000}"/>
    <cellStyle name="muts 2 6 2 3" xfId="41956" xr:uid="{00000000-0005-0000-0000-0000E4A30000}"/>
    <cellStyle name="muts 2 6 2 3 2" xfId="41957" xr:uid="{00000000-0005-0000-0000-0000E5A30000}"/>
    <cellStyle name="muts 2 6 2 4" xfId="41958" xr:uid="{00000000-0005-0000-0000-0000E6A30000}"/>
    <cellStyle name="muts 2 6 3" xfId="41959" xr:uid="{00000000-0005-0000-0000-0000E7A30000}"/>
    <cellStyle name="muts 2 6 3 2" xfId="41960" xr:uid="{00000000-0005-0000-0000-0000E8A30000}"/>
    <cellStyle name="muts 2 6 3 2 2" xfId="41961" xr:uid="{00000000-0005-0000-0000-0000E9A30000}"/>
    <cellStyle name="muts 2 6 3 3" xfId="41962" xr:uid="{00000000-0005-0000-0000-0000EAA30000}"/>
    <cellStyle name="muts 2 6 3 3 2" xfId="41963" xr:uid="{00000000-0005-0000-0000-0000EBA30000}"/>
    <cellStyle name="muts 2 6 3 4" xfId="41964" xr:uid="{00000000-0005-0000-0000-0000ECA30000}"/>
    <cellStyle name="muts 2 6 4" xfId="41965" xr:uid="{00000000-0005-0000-0000-0000EDA30000}"/>
    <cellStyle name="muts 2 6 4 2" xfId="41966" xr:uid="{00000000-0005-0000-0000-0000EEA30000}"/>
    <cellStyle name="muts 2 6 5" xfId="41967" xr:uid="{00000000-0005-0000-0000-0000EFA30000}"/>
    <cellStyle name="muts 2 6 5 2" xfId="41968" xr:uid="{00000000-0005-0000-0000-0000F0A30000}"/>
    <cellStyle name="muts 2 6 6" xfId="41969" xr:uid="{00000000-0005-0000-0000-0000F1A30000}"/>
    <cellStyle name="muts 2 7" xfId="41970" xr:uid="{00000000-0005-0000-0000-0000F2A30000}"/>
    <cellStyle name="muts 2 7 2" xfId="41971" xr:uid="{00000000-0005-0000-0000-0000F3A30000}"/>
    <cellStyle name="muts 2 7 2 2" xfId="41972" xr:uid="{00000000-0005-0000-0000-0000F4A30000}"/>
    <cellStyle name="muts 2 7 3" xfId="41973" xr:uid="{00000000-0005-0000-0000-0000F5A30000}"/>
    <cellStyle name="muts 2 7 3 2" xfId="41974" xr:uid="{00000000-0005-0000-0000-0000F6A30000}"/>
    <cellStyle name="muts 2 7 4" xfId="41975" xr:uid="{00000000-0005-0000-0000-0000F7A30000}"/>
    <cellStyle name="muts 2 8" xfId="41976" xr:uid="{00000000-0005-0000-0000-0000F8A30000}"/>
    <cellStyle name="muts 2 8 2" xfId="41977" xr:uid="{00000000-0005-0000-0000-0000F9A30000}"/>
    <cellStyle name="muts 2 8 2 2" xfId="41978" xr:uid="{00000000-0005-0000-0000-0000FAA30000}"/>
    <cellStyle name="muts 2 8 3" xfId="41979" xr:uid="{00000000-0005-0000-0000-0000FBA30000}"/>
    <cellStyle name="muts 2 8 3 2" xfId="41980" xr:uid="{00000000-0005-0000-0000-0000FCA30000}"/>
    <cellStyle name="muts 2 8 4" xfId="41981" xr:uid="{00000000-0005-0000-0000-0000FDA30000}"/>
    <cellStyle name="muts 2 9" xfId="41982" xr:uid="{00000000-0005-0000-0000-0000FEA30000}"/>
    <cellStyle name="muts 2 9 2" xfId="41983" xr:uid="{00000000-0005-0000-0000-0000FFA30000}"/>
    <cellStyle name="muts 20" xfId="41984" xr:uid="{00000000-0005-0000-0000-000000A40000}"/>
    <cellStyle name="muts 3" xfId="41985" xr:uid="{00000000-0005-0000-0000-000001A40000}"/>
    <cellStyle name="muts 3 10" xfId="41986" xr:uid="{00000000-0005-0000-0000-000002A40000}"/>
    <cellStyle name="muts 3 10 2" xfId="41987" xr:uid="{00000000-0005-0000-0000-000003A40000}"/>
    <cellStyle name="muts 3 11" xfId="41988" xr:uid="{00000000-0005-0000-0000-000004A40000}"/>
    <cellStyle name="muts 3 12" xfId="41989" xr:uid="{00000000-0005-0000-0000-000005A40000}"/>
    <cellStyle name="muts 3 13" xfId="41990" xr:uid="{00000000-0005-0000-0000-000006A40000}"/>
    <cellStyle name="muts 3 14" xfId="41991" xr:uid="{00000000-0005-0000-0000-000007A40000}"/>
    <cellStyle name="muts 3 15" xfId="41992" xr:uid="{00000000-0005-0000-0000-000008A40000}"/>
    <cellStyle name="muts 3 16" xfId="41993" xr:uid="{00000000-0005-0000-0000-000009A40000}"/>
    <cellStyle name="muts 3 2" xfId="41994" xr:uid="{00000000-0005-0000-0000-00000AA40000}"/>
    <cellStyle name="muts 3 2 2" xfId="41995" xr:uid="{00000000-0005-0000-0000-00000BA40000}"/>
    <cellStyle name="muts 3 2 2 2" xfId="41996" xr:uid="{00000000-0005-0000-0000-00000CA40000}"/>
    <cellStyle name="muts 3 2 2 2 2" xfId="41997" xr:uid="{00000000-0005-0000-0000-00000DA40000}"/>
    <cellStyle name="muts 3 2 2 3" xfId="41998" xr:uid="{00000000-0005-0000-0000-00000EA40000}"/>
    <cellStyle name="muts 3 2 2 3 2" xfId="41999" xr:uid="{00000000-0005-0000-0000-00000FA40000}"/>
    <cellStyle name="muts 3 2 2 4" xfId="42000" xr:uid="{00000000-0005-0000-0000-000010A40000}"/>
    <cellStyle name="muts 3 2 3" xfId="42001" xr:uid="{00000000-0005-0000-0000-000011A40000}"/>
    <cellStyle name="muts 3 2 3 2" xfId="42002" xr:uid="{00000000-0005-0000-0000-000012A40000}"/>
    <cellStyle name="muts 3 2 3 2 2" xfId="42003" xr:uid="{00000000-0005-0000-0000-000013A40000}"/>
    <cellStyle name="muts 3 2 3 3" xfId="42004" xr:uid="{00000000-0005-0000-0000-000014A40000}"/>
    <cellStyle name="muts 3 2 3 3 2" xfId="42005" xr:uid="{00000000-0005-0000-0000-000015A40000}"/>
    <cellStyle name="muts 3 2 3 4" xfId="42006" xr:uid="{00000000-0005-0000-0000-000016A40000}"/>
    <cellStyle name="muts 3 2 4" xfId="42007" xr:uid="{00000000-0005-0000-0000-000017A40000}"/>
    <cellStyle name="muts 3 2 4 2" xfId="42008" xr:uid="{00000000-0005-0000-0000-000018A40000}"/>
    <cellStyle name="muts 3 2 5" xfId="42009" xr:uid="{00000000-0005-0000-0000-000019A40000}"/>
    <cellStyle name="muts 3 2 5 2" xfId="42010" xr:uid="{00000000-0005-0000-0000-00001AA40000}"/>
    <cellStyle name="muts 3 2 6" xfId="42011" xr:uid="{00000000-0005-0000-0000-00001BA40000}"/>
    <cellStyle name="muts 3 3" xfId="42012" xr:uid="{00000000-0005-0000-0000-00001CA40000}"/>
    <cellStyle name="muts 3 3 2" xfId="42013" xr:uid="{00000000-0005-0000-0000-00001DA40000}"/>
    <cellStyle name="muts 3 3 2 2" xfId="42014" xr:uid="{00000000-0005-0000-0000-00001EA40000}"/>
    <cellStyle name="muts 3 3 2 2 2" xfId="42015" xr:uid="{00000000-0005-0000-0000-00001FA40000}"/>
    <cellStyle name="muts 3 3 2 3" xfId="42016" xr:uid="{00000000-0005-0000-0000-000020A40000}"/>
    <cellStyle name="muts 3 3 2 3 2" xfId="42017" xr:uid="{00000000-0005-0000-0000-000021A40000}"/>
    <cellStyle name="muts 3 3 2 4" xfId="42018" xr:uid="{00000000-0005-0000-0000-000022A40000}"/>
    <cellStyle name="muts 3 3 3" xfId="42019" xr:uid="{00000000-0005-0000-0000-000023A40000}"/>
    <cellStyle name="muts 3 3 3 2" xfId="42020" xr:uid="{00000000-0005-0000-0000-000024A40000}"/>
    <cellStyle name="muts 3 3 3 2 2" xfId="42021" xr:uid="{00000000-0005-0000-0000-000025A40000}"/>
    <cellStyle name="muts 3 3 3 3" xfId="42022" xr:uid="{00000000-0005-0000-0000-000026A40000}"/>
    <cellStyle name="muts 3 3 3 3 2" xfId="42023" xr:uid="{00000000-0005-0000-0000-000027A40000}"/>
    <cellStyle name="muts 3 3 3 4" xfId="42024" xr:uid="{00000000-0005-0000-0000-000028A40000}"/>
    <cellStyle name="muts 3 3 4" xfId="42025" xr:uid="{00000000-0005-0000-0000-000029A40000}"/>
    <cellStyle name="muts 3 3 4 2" xfId="42026" xr:uid="{00000000-0005-0000-0000-00002AA40000}"/>
    <cellStyle name="muts 3 3 5" xfId="42027" xr:uid="{00000000-0005-0000-0000-00002BA40000}"/>
    <cellStyle name="muts 3 3 5 2" xfId="42028" xr:uid="{00000000-0005-0000-0000-00002CA40000}"/>
    <cellStyle name="muts 3 3 6" xfId="42029" xr:uid="{00000000-0005-0000-0000-00002DA40000}"/>
    <cellStyle name="muts 3 4" xfId="42030" xr:uid="{00000000-0005-0000-0000-00002EA40000}"/>
    <cellStyle name="muts 3 4 2" xfId="42031" xr:uid="{00000000-0005-0000-0000-00002FA40000}"/>
    <cellStyle name="muts 3 4 2 2" xfId="42032" xr:uid="{00000000-0005-0000-0000-000030A40000}"/>
    <cellStyle name="muts 3 4 2 2 2" xfId="42033" xr:uid="{00000000-0005-0000-0000-000031A40000}"/>
    <cellStyle name="muts 3 4 2 3" xfId="42034" xr:uid="{00000000-0005-0000-0000-000032A40000}"/>
    <cellStyle name="muts 3 4 2 3 2" xfId="42035" xr:uid="{00000000-0005-0000-0000-000033A40000}"/>
    <cellStyle name="muts 3 4 2 4" xfId="42036" xr:uid="{00000000-0005-0000-0000-000034A40000}"/>
    <cellStyle name="muts 3 4 3" xfId="42037" xr:uid="{00000000-0005-0000-0000-000035A40000}"/>
    <cellStyle name="muts 3 4 3 2" xfId="42038" xr:uid="{00000000-0005-0000-0000-000036A40000}"/>
    <cellStyle name="muts 3 4 3 2 2" xfId="42039" xr:uid="{00000000-0005-0000-0000-000037A40000}"/>
    <cellStyle name="muts 3 4 3 3" xfId="42040" xr:uid="{00000000-0005-0000-0000-000038A40000}"/>
    <cellStyle name="muts 3 4 3 3 2" xfId="42041" xr:uid="{00000000-0005-0000-0000-000039A40000}"/>
    <cellStyle name="muts 3 4 3 4" xfId="42042" xr:uid="{00000000-0005-0000-0000-00003AA40000}"/>
    <cellStyle name="muts 3 4 4" xfId="42043" xr:uid="{00000000-0005-0000-0000-00003BA40000}"/>
    <cellStyle name="muts 3 4 4 2" xfId="42044" xr:uid="{00000000-0005-0000-0000-00003CA40000}"/>
    <cellStyle name="muts 3 4 5" xfId="42045" xr:uid="{00000000-0005-0000-0000-00003DA40000}"/>
    <cellStyle name="muts 3 4 5 2" xfId="42046" xr:uid="{00000000-0005-0000-0000-00003EA40000}"/>
    <cellStyle name="muts 3 4 6" xfId="42047" xr:uid="{00000000-0005-0000-0000-00003FA40000}"/>
    <cellStyle name="muts 3 5" xfId="42048" xr:uid="{00000000-0005-0000-0000-000040A40000}"/>
    <cellStyle name="muts 3 5 2" xfId="42049" xr:uid="{00000000-0005-0000-0000-000041A40000}"/>
    <cellStyle name="muts 3 5 2 2" xfId="42050" xr:uid="{00000000-0005-0000-0000-000042A40000}"/>
    <cellStyle name="muts 3 5 2 2 2" xfId="42051" xr:uid="{00000000-0005-0000-0000-000043A40000}"/>
    <cellStyle name="muts 3 5 2 3" xfId="42052" xr:uid="{00000000-0005-0000-0000-000044A40000}"/>
    <cellStyle name="muts 3 5 2 3 2" xfId="42053" xr:uid="{00000000-0005-0000-0000-000045A40000}"/>
    <cellStyle name="muts 3 5 2 4" xfId="42054" xr:uid="{00000000-0005-0000-0000-000046A40000}"/>
    <cellStyle name="muts 3 5 3" xfId="42055" xr:uid="{00000000-0005-0000-0000-000047A40000}"/>
    <cellStyle name="muts 3 5 3 2" xfId="42056" xr:uid="{00000000-0005-0000-0000-000048A40000}"/>
    <cellStyle name="muts 3 5 3 2 2" xfId="42057" xr:uid="{00000000-0005-0000-0000-000049A40000}"/>
    <cellStyle name="muts 3 5 3 3" xfId="42058" xr:uid="{00000000-0005-0000-0000-00004AA40000}"/>
    <cellStyle name="muts 3 5 3 3 2" xfId="42059" xr:uid="{00000000-0005-0000-0000-00004BA40000}"/>
    <cellStyle name="muts 3 5 3 4" xfId="42060" xr:uid="{00000000-0005-0000-0000-00004CA40000}"/>
    <cellStyle name="muts 3 5 4" xfId="42061" xr:uid="{00000000-0005-0000-0000-00004DA40000}"/>
    <cellStyle name="muts 3 5 4 2" xfId="42062" xr:uid="{00000000-0005-0000-0000-00004EA40000}"/>
    <cellStyle name="muts 3 5 5" xfId="42063" xr:uid="{00000000-0005-0000-0000-00004FA40000}"/>
    <cellStyle name="muts 3 5 5 2" xfId="42064" xr:uid="{00000000-0005-0000-0000-000050A40000}"/>
    <cellStyle name="muts 3 5 6" xfId="42065" xr:uid="{00000000-0005-0000-0000-000051A40000}"/>
    <cellStyle name="muts 3 6" xfId="42066" xr:uid="{00000000-0005-0000-0000-000052A40000}"/>
    <cellStyle name="muts 3 6 2" xfId="42067" xr:uid="{00000000-0005-0000-0000-000053A40000}"/>
    <cellStyle name="muts 3 6 2 2" xfId="42068" xr:uid="{00000000-0005-0000-0000-000054A40000}"/>
    <cellStyle name="muts 3 6 2 2 2" xfId="42069" xr:uid="{00000000-0005-0000-0000-000055A40000}"/>
    <cellStyle name="muts 3 6 2 3" xfId="42070" xr:uid="{00000000-0005-0000-0000-000056A40000}"/>
    <cellStyle name="muts 3 6 2 3 2" xfId="42071" xr:uid="{00000000-0005-0000-0000-000057A40000}"/>
    <cellStyle name="muts 3 6 2 4" xfId="42072" xr:uid="{00000000-0005-0000-0000-000058A40000}"/>
    <cellStyle name="muts 3 6 3" xfId="42073" xr:uid="{00000000-0005-0000-0000-000059A40000}"/>
    <cellStyle name="muts 3 6 3 2" xfId="42074" xr:uid="{00000000-0005-0000-0000-00005AA40000}"/>
    <cellStyle name="muts 3 6 3 2 2" xfId="42075" xr:uid="{00000000-0005-0000-0000-00005BA40000}"/>
    <cellStyle name="muts 3 6 3 3" xfId="42076" xr:uid="{00000000-0005-0000-0000-00005CA40000}"/>
    <cellStyle name="muts 3 6 3 3 2" xfId="42077" xr:uid="{00000000-0005-0000-0000-00005DA40000}"/>
    <cellStyle name="muts 3 6 3 4" xfId="42078" xr:uid="{00000000-0005-0000-0000-00005EA40000}"/>
    <cellStyle name="muts 3 6 4" xfId="42079" xr:uid="{00000000-0005-0000-0000-00005FA40000}"/>
    <cellStyle name="muts 3 6 4 2" xfId="42080" xr:uid="{00000000-0005-0000-0000-000060A40000}"/>
    <cellStyle name="muts 3 6 5" xfId="42081" xr:uid="{00000000-0005-0000-0000-000061A40000}"/>
    <cellStyle name="muts 3 6 5 2" xfId="42082" xr:uid="{00000000-0005-0000-0000-000062A40000}"/>
    <cellStyle name="muts 3 6 6" xfId="42083" xr:uid="{00000000-0005-0000-0000-000063A40000}"/>
    <cellStyle name="muts 3 7" xfId="42084" xr:uid="{00000000-0005-0000-0000-000064A40000}"/>
    <cellStyle name="muts 3 7 2" xfId="42085" xr:uid="{00000000-0005-0000-0000-000065A40000}"/>
    <cellStyle name="muts 3 7 2 2" xfId="42086" xr:uid="{00000000-0005-0000-0000-000066A40000}"/>
    <cellStyle name="muts 3 7 3" xfId="42087" xr:uid="{00000000-0005-0000-0000-000067A40000}"/>
    <cellStyle name="muts 3 7 3 2" xfId="42088" xr:uid="{00000000-0005-0000-0000-000068A40000}"/>
    <cellStyle name="muts 3 7 4" xfId="42089" xr:uid="{00000000-0005-0000-0000-000069A40000}"/>
    <cellStyle name="muts 3 8" xfId="42090" xr:uid="{00000000-0005-0000-0000-00006AA40000}"/>
    <cellStyle name="muts 3 8 2" xfId="42091" xr:uid="{00000000-0005-0000-0000-00006BA40000}"/>
    <cellStyle name="muts 3 8 2 2" xfId="42092" xr:uid="{00000000-0005-0000-0000-00006CA40000}"/>
    <cellStyle name="muts 3 8 3" xfId="42093" xr:uid="{00000000-0005-0000-0000-00006DA40000}"/>
    <cellStyle name="muts 3 8 3 2" xfId="42094" xr:uid="{00000000-0005-0000-0000-00006EA40000}"/>
    <cellStyle name="muts 3 8 4" xfId="42095" xr:uid="{00000000-0005-0000-0000-00006FA40000}"/>
    <cellStyle name="muts 3 9" xfId="42096" xr:uid="{00000000-0005-0000-0000-000070A40000}"/>
    <cellStyle name="muts 3 9 2" xfId="42097" xr:uid="{00000000-0005-0000-0000-000071A40000}"/>
    <cellStyle name="muts 4" xfId="42098" xr:uid="{00000000-0005-0000-0000-000072A40000}"/>
    <cellStyle name="muts 4 10" xfId="42099" xr:uid="{00000000-0005-0000-0000-000073A40000}"/>
    <cellStyle name="muts 4 10 2" xfId="42100" xr:uid="{00000000-0005-0000-0000-000074A40000}"/>
    <cellStyle name="muts 4 11" xfId="42101" xr:uid="{00000000-0005-0000-0000-000075A40000}"/>
    <cellStyle name="muts 4 12" xfId="42102" xr:uid="{00000000-0005-0000-0000-000076A40000}"/>
    <cellStyle name="muts 4 13" xfId="42103" xr:uid="{00000000-0005-0000-0000-000077A40000}"/>
    <cellStyle name="muts 4 14" xfId="42104" xr:uid="{00000000-0005-0000-0000-000078A40000}"/>
    <cellStyle name="muts 4 15" xfId="42105" xr:uid="{00000000-0005-0000-0000-000079A40000}"/>
    <cellStyle name="muts 4 16" xfId="42106" xr:uid="{00000000-0005-0000-0000-00007AA40000}"/>
    <cellStyle name="muts 4 2" xfId="42107" xr:uid="{00000000-0005-0000-0000-00007BA40000}"/>
    <cellStyle name="muts 4 2 2" xfId="42108" xr:uid="{00000000-0005-0000-0000-00007CA40000}"/>
    <cellStyle name="muts 4 2 2 2" xfId="42109" xr:uid="{00000000-0005-0000-0000-00007DA40000}"/>
    <cellStyle name="muts 4 2 2 2 2" xfId="42110" xr:uid="{00000000-0005-0000-0000-00007EA40000}"/>
    <cellStyle name="muts 4 2 2 3" xfId="42111" xr:uid="{00000000-0005-0000-0000-00007FA40000}"/>
    <cellStyle name="muts 4 2 2 3 2" xfId="42112" xr:uid="{00000000-0005-0000-0000-000080A40000}"/>
    <cellStyle name="muts 4 2 2 4" xfId="42113" xr:uid="{00000000-0005-0000-0000-000081A40000}"/>
    <cellStyle name="muts 4 2 3" xfId="42114" xr:uid="{00000000-0005-0000-0000-000082A40000}"/>
    <cellStyle name="muts 4 2 3 2" xfId="42115" xr:uid="{00000000-0005-0000-0000-000083A40000}"/>
    <cellStyle name="muts 4 2 3 2 2" xfId="42116" xr:uid="{00000000-0005-0000-0000-000084A40000}"/>
    <cellStyle name="muts 4 2 3 3" xfId="42117" xr:uid="{00000000-0005-0000-0000-000085A40000}"/>
    <cellStyle name="muts 4 2 3 3 2" xfId="42118" xr:uid="{00000000-0005-0000-0000-000086A40000}"/>
    <cellStyle name="muts 4 2 3 4" xfId="42119" xr:uid="{00000000-0005-0000-0000-000087A40000}"/>
    <cellStyle name="muts 4 2 4" xfId="42120" xr:uid="{00000000-0005-0000-0000-000088A40000}"/>
    <cellStyle name="muts 4 2 4 2" xfId="42121" xr:uid="{00000000-0005-0000-0000-000089A40000}"/>
    <cellStyle name="muts 4 2 5" xfId="42122" xr:uid="{00000000-0005-0000-0000-00008AA40000}"/>
    <cellStyle name="muts 4 2 5 2" xfId="42123" xr:uid="{00000000-0005-0000-0000-00008BA40000}"/>
    <cellStyle name="muts 4 2 6" xfId="42124" xr:uid="{00000000-0005-0000-0000-00008CA40000}"/>
    <cellStyle name="muts 4 3" xfId="42125" xr:uid="{00000000-0005-0000-0000-00008DA40000}"/>
    <cellStyle name="muts 4 3 2" xfId="42126" xr:uid="{00000000-0005-0000-0000-00008EA40000}"/>
    <cellStyle name="muts 4 3 2 2" xfId="42127" xr:uid="{00000000-0005-0000-0000-00008FA40000}"/>
    <cellStyle name="muts 4 3 2 2 2" xfId="42128" xr:uid="{00000000-0005-0000-0000-000090A40000}"/>
    <cellStyle name="muts 4 3 2 3" xfId="42129" xr:uid="{00000000-0005-0000-0000-000091A40000}"/>
    <cellStyle name="muts 4 3 2 3 2" xfId="42130" xr:uid="{00000000-0005-0000-0000-000092A40000}"/>
    <cellStyle name="muts 4 3 2 4" xfId="42131" xr:uid="{00000000-0005-0000-0000-000093A40000}"/>
    <cellStyle name="muts 4 3 3" xfId="42132" xr:uid="{00000000-0005-0000-0000-000094A40000}"/>
    <cellStyle name="muts 4 3 3 2" xfId="42133" xr:uid="{00000000-0005-0000-0000-000095A40000}"/>
    <cellStyle name="muts 4 3 3 2 2" xfId="42134" xr:uid="{00000000-0005-0000-0000-000096A40000}"/>
    <cellStyle name="muts 4 3 3 3" xfId="42135" xr:uid="{00000000-0005-0000-0000-000097A40000}"/>
    <cellStyle name="muts 4 3 3 3 2" xfId="42136" xr:uid="{00000000-0005-0000-0000-000098A40000}"/>
    <cellStyle name="muts 4 3 3 4" xfId="42137" xr:uid="{00000000-0005-0000-0000-000099A40000}"/>
    <cellStyle name="muts 4 3 4" xfId="42138" xr:uid="{00000000-0005-0000-0000-00009AA40000}"/>
    <cellStyle name="muts 4 3 4 2" xfId="42139" xr:uid="{00000000-0005-0000-0000-00009BA40000}"/>
    <cellStyle name="muts 4 3 5" xfId="42140" xr:uid="{00000000-0005-0000-0000-00009CA40000}"/>
    <cellStyle name="muts 4 3 5 2" xfId="42141" xr:uid="{00000000-0005-0000-0000-00009DA40000}"/>
    <cellStyle name="muts 4 3 6" xfId="42142" xr:uid="{00000000-0005-0000-0000-00009EA40000}"/>
    <cellStyle name="muts 4 4" xfId="42143" xr:uid="{00000000-0005-0000-0000-00009FA40000}"/>
    <cellStyle name="muts 4 4 2" xfId="42144" xr:uid="{00000000-0005-0000-0000-0000A0A40000}"/>
    <cellStyle name="muts 4 4 2 2" xfId="42145" xr:uid="{00000000-0005-0000-0000-0000A1A40000}"/>
    <cellStyle name="muts 4 4 2 2 2" xfId="42146" xr:uid="{00000000-0005-0000-0000-0000A2A40000}"/>
    <cellStyle name="muts 4 4 2 3" xfId="42147" xr:uid="{00000000-0005-0000-0000-0000A3A40000}"/>
    <cellStyle name="muts 4 4 2 3 2" xfId="42148" xr:uid="{00000000-0005-0000-0000-0000A4A40000}"/>
    <cellStyle name="muts 4 4 2 4" xfId="42149" xr:uid="{00000000-0005-0000-0000-0000A5A40000}"/>
    <cellStyle name="muts 4 4 3" xfId="42150" xr:uid="{00000000-0005-0000-0000-0000A6A40000}"/>
    <cellStyle name="muts 4 4 3 2" xfId="42151" xr:uid="{00000000-0005-0000-0000-0000A7A40000}"/>
    <cellStyle name="muts 4 4 3 2 2" xfId="42152" xr:uid="{00000000-0005-0000-0000-0000A8A40000}"/>
    <cellStyle name="muts 4 4 3 3" xfId="42153" xr:uid="{00000000-0005-0000-0000-0000A9A40000}"/>
    <cellStyle name="muts 4 4 3 3 2" xfId="42154" xr:uid="{00000000-0005-0000-0000-0000AAA40000}"/>
    <cellStyle name="muts 4 4 3 4" xfId="42155" xr:uid="{00000000-0005-0000-0000-0000ABA40000}"/>
    <cellStyle name="muts 4 4 4" xfId="42156" xr:uid="{00000000-0005-0000-0000-0000ACA40000}"/>
    <cellStyle name="muts 4 4 4 2" xfId="42157" xr:uid="{00000000-0005-0000-0000-0000ADA40000}"/>
    <cellStyle name="muts 4 4 5" xfId="42158" xr:uid="{00000000-0005-0000-0000-0000AEA40000}"/>
    <cellStyle name="muts 4 4 5 2" xfId="42159" xr:uid="{00000000-0005-0000-0000-0000AFA40000}"/>
    <cellStyle name="muts 4 4 6" xfId="42160" xr:uid="{00000000-0005-0000-0000-0000B0A40000}"/>
    <cellStyle name="muts 4 5" xfId="42161" xr:uid="{00000000-0005-0000-0000-0000B1A40000}"/>
    <cellStyle name="muts 4 5 2" xfId="42162" xr:uid="{00000000-0005-0000-0000-0000B2A40000}"/>
    <cellStyle name="muts 4 5 2 2" xfId="42163" xr:uid="{00000000-0005-0000-0000-0000B3A40000}"/>
    <cellStyle name="muts 4 5 2 2 2" xfId="42164" xr:uid="{00000000-0005-0000-0000-0000B4A40000}"/>
    <cellStyle name="muts 4 5 2 3" xfId="42165" xr:uid="{00000000-0005-0000-0000-0000B5A40000}"/>
    <cellStyle name="muts 4 5 2 3 2" xfId="42166" xr:uid="{00000000-0005-0000-0000-0000B6A40000}"/>
    <cellStyle name="muts 4 5 2 4" xfId="42167" xr:uid="{00000000-0005-0000-0000-0000B7A40000}"/>
    <cellStyle name="muts 4 5 3" xfId="42168" xr:uid="{00000000-0005-0000-0000-0000B8A40000}"/>
    <cellStyle name="muts 4 5 3 2" xfId="42169" xr:uid="{00000000-0005-0000-0000-0000B9A40000}"/>
    <cellStyle name="muts 4 5 3 2 2" xfId="42170" xr:uid="{00000000-0005-0000-0000-0000BAA40000}"/>
    <cellStyle name="muts 4 5 3 3" xfId="42171" xr:uid="{00000000-0005-0000-0000-0000BBA40000}"/>
    <cellStyle name="muts 4 5 3 3 2" xfId="42172" xr:uid="{00000000-0005-0000-0000-0000BCA40000}"/>
    <cellStyle name="muts 4 5 3 4" xfId="42173" xr:uid="{00000000-0005-0000-0000-0000BDA40000}"/>
    <cellStyle name="muts 4 5 4" xfId="42174" xr:uid="{00000000-0005-0000-0000-0000BEA40000}"/>
    <cellStyle name="muts 4 5 4 2" xfId="42175" xr:uid="{00000000-0005-0000-0000-0000BFA40000}"/>
    <cellStyle name="muts 4 5 5" xfId="42176" xr:uid="{00000000-0005-0000-0000-0000C0A40000}"/>
    <cellStyle name="muts 4 5 5 2" xfId="42177" xr:uid="{00000000-0005-0000-0000-0000C1A40000}"/>
    <cellStyle name="muts 4 5 6" xfId="42178" xr:uid="{00000000-0005-0000-0000-0000C2A40000}"/>
    <cellStyle name="muts 4 6" xfId="42179" xr:uid="{00000000-0005-0000-0000-0000C3A40000}"/>
    <cellStyle name="muts 4 6 2" xfId="42180" xr:uid="{00000000-0005-0000-0000-0000C4A40000}"/>
    <cellStyle name="muts 4 6 2 2" xfId="42181" xr:uid="{00000000-0005-0000-0000-0000C5A40000}"/>
    <cellStyle name="muts 4 6 2 2 2" xfId="42182" xr:uid="{00000000-0005-0000-0000-0000C6A40000}"/>
    <cellStyle name="muts 4 6 2 3" xfId="42183" xr:uid="{00000000-0005-0000-0000-0000C7A40000}"/>
    <cellStyle name="muts 4 6 2 3 2" xfId="42184" xr:uid="{00000000-0005-0000-0000-0000C8A40000}"/>
    <cellStyle name="muts 4 6 2 4" xfId="42185" xr:uid="{00000000-0005-0000-0000-0000C9A40000}"/>
    <cellStyle name="muts 4 6 3" xfId="42186" xr:uid="{00000000-0005-0000-0000-0000CAA40000}"/>
    <cellStyle name="muts 4 6 3 2" xfId="42187" xr:uid="{00000000-0005-0000-0000-0000CBA40000}"/>
    <cellStyle name="muts 4 6 3 2 2" xfId="42188" xr:uid="{00000000-0005-0000-0000-0000CCA40000}"/>
    <cellStyle name="muts 4 6 3 3" xfId="42189" xr:uid="{00000000-0005-0000-0000-0000CDA40000}"/>
    <cellStyle name="muts 4 6 3 3 2" xfId="42190" xr:uid="{00000000-0005-0000-0000-0000CEA40000}"/>
    <cellStyle name="muts 4 6 3 4" xfId="42191" xr:uid="{00000000-0005-0000-0000-0000CFA40000}"/>
    <cellStyle name="muts 4 6 4" xfId="42192" xr:uid="{00000000-0005-0000-0000-0000D0A40000}"/>
    <cellStyle name="muts 4 6 4 2" xfId="42193" xr:uid="{00000000-0005-0000-0000-0000D1A40000}"/>
    <cellStyle name="muts 4 6 5" xfId="42194" xr:uid="{00000000-0005-0000-0000-0000D2A40000}"/>
    <cellStyle name="muts 4 6 5 2" xfId="42195" xr:uid="{00000000-0005-0000-0000-0000D3A40000}"/>
    <cellStyle name="muts 4 6 6" xfId="42196" xr:uid="{00000000-0005-0000-0000-0000D4A40000}"/>
    <cellStyle name="muts 4 7" xfId="42197" xr:uid="{00000000-0005-0000-0000-0000D5A40000}"/>
    <cellStyle name="muts 4 7 2" xfId="42198" xr:uid="{00000000-0005-0000-0000-0000D6A40000}"/>
    <cellStyle name="muts 4 7 2 2" xfId="42199" xr:uid="{00000000-0005-0000-0000-0000D7A40000}"/>
    <cellStyle name="muts 4 7 3" xfId="42200" xr:uid="{00000000-0005-0000-0000-0000D8A40000}"/>
    <cellStyle name="muts 4 7 3 2" xfId="42201" xr:uid="{00000000-0005-0000-0000-0000D9A40000}"/>
    <cellStyle name="muts 4 7 4" xfId="42202" xr:uid="{00000000-0005-0000-0000-0000DAA40000}"/>
    <cellStyle name="muts 4 8" xfId="42203" xr:uid="{00000000-0005-0000-0000-0000DBA40000}"/>
    <cellStyle name="muts 4 8 2" xfId="42204" xr:uid="{00000000-0005-0000-0000-0000DCA40000}"/>
    <cellStyle name="muts 4 8 2 2" xfId="42205" xr:uid="{00000000-0005-0000-0000-0000DDA40000}"/>
    <cellStyle name="muts 4 8 3" xfId="42206" xr:uid="{00000000-0005-0000-0000-0000DEA40000}"/>
    <cellStyle name="muts 4 8 3 2" xfId="42207" xr:uid="{00000000-0005-0000-0000-0000DFA40000}"/>
    <cellStyle name="muts 4 8 4" xfId="42208" xr:uid="{00000000-0005-0000-0000-0000E0A40000}"/>
    <cellStyle name="muts 4 9" xfId="42209" xr:uid="{00000000-0005-0000-0000-0000E1A40000}"/>
    <cellStyle name="muts 4 9 2" xfId="42210" xr:uid="{00000000-0005-0000-0000-0000E2A40000}"/>
    <cellStyle name="muts 5" xfId="42211" xr:uid="{00000000-0005-0000-0000-0000E3A40000}"/>
    <cellStyle name="muts 5 10" xfId="42212" xr:uid="{00000000-0005-0000-0000-0000E4A40000}"/>
    <cellStyle name="muts 5 10 2" xfId="42213" xr:uid="{00000000-0005-0000-0000-0000E5A40000}"/>
    <cellStyle name="muts 5 11" xfId="42214" xr:uid="{00000000-0005-0000-0000-0000E6A40000}"/>
    <cellStyle name="muts 5 2" xfId="42215" xr:uid="{00000000-0005-0000-0000-0000E7A40000}"/>
    <cellStyle name="muts 5 2 2" xfId="42216" xr:uid="{00000000-0005-0000-0000-0000E8A40000}"/>
    <cellStyle name="muts 5 2 2 2" xfId="42217" xr:uid="{00000000-0005-0000-0000-0000E9A40000}"/>
    <cellStyle name="muts 5 2 2 2 2" xfId="42218" xr:uid="{00000000-0005-0000-0000-0000EAA40000}"/>
    <cellStyle name="muts 5 2 2 3" xfId="42219" xr:uid="{00000000-0005-0000-0000-0000EBA40000}"/>
    <cellStyle name="muts 5 2 2 3 2" xfId="42220" xr:uid="{00000000-0005-0000-0000-0000ECA40000}"/>
    <cellStyle name="muts 5 2 2 4" xfId="42221" xr:uid="{00000000-0005-0000-0000-0000EDA40000}"/>
    <cellStyle name="muts 5 2 3" xfId="42222" xr:uid="{00000000-0005-0000-0000-0000EEA40000}"/>
    <cellStyle name="muts 5 2 3 2" xfId="42223" xr:uid="{00000000-0005-0000-0000-0000EFA40000}"/>
    <cellStyle name="muts 5 2 3 2 2" xfId="42224" xr:uid="{00000000-0005-0000-0000-0000F0A40000}"/>
    <cellStyle name="muts 5 2 3 3" xfId="42225" xr:uid="{00000000-0005-0000-0000-0000F1A40000}"/>
    <cellStyle name="muts 5 2 3 3 2" xfId="42226" xr:uid="{00000000-0005-0000-0000-0000F2A40000}"/>
    <cellStyle name="muts 5 2 3 4" xfId="42227" xr:uid="{00000000-0005-0000-0000-0000F3A40000}"/>
    <cellStyle name="muts 5 2 4" xfId="42228" xr:uid="{00000000-0005-0000-0000-0000F4A40000}"/>
    <cellStyle name="muts 5 2 4 2" xfId="42229" xr:uid="{00000000-0005-0000-0000-0000F5A40000}"/>
    <cellStyle name="muts 5 2 5" xfId="42230" xr:uid="{00000000-0005-0000-0000-0000F6A40000}"/>
    <cellStyle name="muts 5 2 5 2" xfId="42231" xr:uid="{00000000-0005-0000-0000-0000F7A40000}"/>
    <cellStyle name="muts 5 2 6" xfId="42232" xr:uid="{00000000-0005-0000-0000-0000F8A40000}"/>
    <cellStyle name="muts 5 3" xfId="42233" xr:uid="{00000000-0005-0000-0000-0000F9A40000}"/>
    <cellStyle name="muts 5 3 2" xfId="42234" xr:uid="{00000000-0005-0000-0000-0000FAA40000}"/>
    <cellStyle name="muts 5 3 2 2" xfId="42235" xr:uid="{00000000-0005-0000-0000-0000FBA40000}"/>
    <cellStyle name="muts 5 3 2 2 2" xfId="42236" xr:uid="{00000000-0005-0000-0000-0000FCA40000}"/>
    <cellStyle name="muts 5 3 2 3" xfId="42237" xr:uid="{00000000-0005-0000-0000-0000FDA40000}"/>
    <cellStyle name="muts 5 3 2 3 2" xfId="42238" xr:uid="{00000000-0005-0000-0000-0000FEA40000}"/>
    <cellStyle name="muts 5 3 2 4" xfId="42239" xr:uid="{00000000-0005-0000-0000-0000FFA40000}"/>
    <cellStyle name="muts 5 3 3" xfId="42240" xr:uid="{00000000-0005-0000-0000-000000A50000}"/>
    <cellStyle name="muts 5 3 3 2" xfId="42241" xr:uid="{00000000-0005-0000-0000-000001A50000}"/>
    <cellStyle name="muts 5 3 3 2 2" xfId="42242" xr:uid="{00000000-0005-0000-0000-000002A50000}"/>
    <cellStyle name="muts 5 3 3 3" xfId="42243" xr:uid="{00000000-0005-0000-0000-000003A50000}"/>
    <cellStyle name="muts 5 3 3 3 2" xfId="42244" xr:uid="{00000000-0005-0000-0000-000004A50000}"/>
    <cellStyle name="muts 5 3 3 4" xfId="42245" xr:uid="{00000000-0005-0000-0000-000005A50000}"/>
    <cellStyle name="muts 5 3 4" xfId="42246" xr:uid="{00000000-0005-0000-0000-000006A50000}"/>
    <cellStyle name="muts 5 3 4 2" xfId="42247" xr:uid="{00000000-0005-0000-0000-000007A50000}"/>
    <cellStyle name="muts 5 3 5" xfId="42248" xr:uid="{00000000-0005-0000-0000-000008A50000}"/>
    <cellStyle name="muts 5 3 5 2" xfId="42249" xr:uid="{00000000-0005-0000-0000-000009A50000}"/>
    <cellStyle name="muts 5 3 6" xfId="42250" xr:uid="{00000000-0005-0000-0000-00000AA50000}"/>
    <cellStyle name="muts 5 4" xfId="42251" xr:uid="{00000000-0005-0000-0000-00000BA50000}"/>
    <cellStyle name="muts 5 4 2" xfId="42252" xr:uid="{00000000-0005-0000-0000-00000CA50000}"/>
    <cellStyle name="muts 5 4 2 2" xfId="42253" xr:uid="{00000000-0005-0000-0000-00000DA50000}"/>
    <cellStyle name="muts 5 4 2 2 2" xfId="42254" xr:uid="{00000000-0005-0000-0000-00000EA50000}"/>
    <cellStyle name="muts 5 4 2 3" xfId="42255" xr:uid="{00000000-0005-0000-0000-00000FA50000}"/>
    <cellStyle name="muts 5 4 2 3 2" xfId="42256" xr:uid="{00000000-0005-0000-0000-000010A50000}"/>
    <cellStyle name="muts 5 4 2 4" xfId="42257" xr:uid="{00000000-0005-0000-0000-000011A50000}"/>
    <cellStyle name="muts 5 4 3" xfId="42258" xr:uid="{00000000-0005-0000-0000-000012A50000}"/>
    <cellStyle name="muts 5 4 3 2" xfId="42259" xr:uid="{00000000-0005-0000-0000-000013A50000}"/>
    <cellStyle name="muts 5 4 3 2 2" xfId="42260" xr:uid="{00000000-0005-0000-0000-000014A50000}"/>
    <cellStyle name="muts 5 4 3 3" xfId="42261" xr:uid="{00000000-0005-0000-0000-000015A50000}"/>
    <cellStyle name="muts 5 4 3 3 2" xfId="42262" xr:uid="{00000000-0005-0000-0000-000016A50000}"/>
    <cellStyle name="muts 5 4 3 4" xfId="42263" xr:uid="{00000000-0005-0000-0000-000017A50000}"/>
    <cellStyle name="muts 5 4 4" xfId="42264" xr:uid="{00000000-0005-0000-0000-000018A50000}"/>
    <cellStyle name="muts 5 4 4 2" xfId="42265" xr:uid="{00000000-0005-0000-0000-000019A50000}"/>
    <cellStyle name="muts 5 4 5" xfId="42266" xr:uid="{00000000-0005-0000-0000-00001AA50000}"/>
    <cellStyle name="muts 5 4 5 2" xfId="42267" xr:uid="{00000000-0005-0000-0000-00001BA50000}"/>
    <cellStyle name="muts 5 4 6" xfId="42268" xr:uid="{00000000-0005-0000-0000-00001CA50000}"/>
    <cellStyle name="muts 5 5" xfId="42269" xr:uid="{00000000-0005-0000-0000-00001DA50000}"/>
    <cellStyle name="muts 5 5 2" xfId="42270" xr:uid="{00000000-0005-0000-0000-00001EA50000}"/>
    <cellStyle name="muts 5 5 2 2" xfId="42271" xr:uid="{00000000-0005-0000-0000-00001FA50000}"/>
    <cellStyle name="muts 5 5 2 2 2" xfId="42272" xr:uid="{00000000-0005-0000-0000-000020A50000}"/>
    <cellStyle name="muts 5 5 2 3" xfId="42273" xr:uid="{00000000-0005-0000-0000-000021A50000}"/>
    <cellStyle name="muts 5 5 2 3 2" xfId="42274" xr:uid="{00000000-0005-0000-0000-000022A50000}"/>
    <cellStyle name="muts 5 5 2 4" xfId="42275" xr:uid="{00000000-0005-0000-0000-000023A50000}"/>
    <cellStyle name="muts 5 5 3" xfId="42276" xr:uid="{00000000-0005-0000-0000-000024A50000}"/>
    <cellStyle name="muts 5 5 3 2" xfId="42277" xr:uid="{00000000-0005-0000-0000-000025A50000}"/>
    <cellStyle name="muts 5 5 3 2 2" xfId="42278" xr:uid="{00000000-0005-0000-0000-000026A50000}"/>
    <cellStyle name="muts 5 5 3 3" xfId="42279" xr:uid="{00000000-0005-0000-0000-000027A50000}"/>
    <cellStyle name="muts 5 5 3 3 2" xfId="42280" xr:uid="{00000000-0005-0000-0000-000028A50000}"/>
    <cellStyle name="muts 5 5 3 4" xfId="42281" xr:uid="{00000000-0005-0000-0000-000029A50000}"/>
    <cellStyle name="muts 5 5 4" xfId="42282" xr:uid="{00000000-0005-0000-0000-00002AA50000}"/>
    <cellStyle name="muts 5 5 4 2" xfId="42283" xr:uid="{00000000-0005-0000-0000-00002BA50000}"/>
    <cellStyle name="muts 5 5 5" xfId="42284" xr:uid="{00000000-0005-0000-0000-00002CA50000}"/>
    <cellStyle name="muts 5 5 5 2" xfId="42285" xr:uid="{00000000-0005-0000-0000-00002DA50000}"/>
    <cellStyle name="muts 5 5 6" xfId="42286" xr:uid="{00000000-0005-0000-0000-00002EA50000}"/>
    <cellStyle name="muts 5 6" xfId="42287" xr:uid="{00000000-0005-0000-0000-00002FA50000}"/>
    <cellStyle name="muts 5 6 2" xfId="42288" xr:uid="{00000000-0005-0000-0000-000030A50000}"/>
    <cellStyle name="muts 5 6 2 2" xfId="42289" xr:uid="{00000000-0005-0000-0000-000031A50000}"/>
    <cellStyle name="muts 5 6 2 2 2" xfId="42290" xr:uid="{00000000-0005-0000-0000-000032A50000}"/>
    <cellStyle name="muts 5 6 2 3" xfId="42291" xr:uid="{00000000-0005-0000-0000-000033A50000}"/>
    <cellStyle name="muts 5 6 2 3 2" xfId="42292" xr:uid="{00000000-0005-0000-0000-000034A50000}"/>
    <cellStyle name="muts 5 6 2 4" xfId="42293" xr:uid="{00000000-0005-0000-0000-000035A50000}"/>
    <cellStyle name="muts 5 6 3" xfId="42294" xr:uid="{00000000-0005-0000-0000-000036A50000}"/>
    <cellStyle name="muts 5 6 3 2" xfId="42295" xr:uid="{00000000-0005-0000-0000-000037A50000}"/>
    <cellStyle name="muts 5 6 3 2 2" xfId="42296" xr:uid="{00000000-0005-0000-0000-000038A50000}"/>
    <cellStyle name="muts 5 6 3 3" xfId="42297" xr:uid="{00000000-0005-0000-0000-000039A50000}"/>
    <cellStyle name="muts 5 6 3 3 2" xfId="42298" xr:uid="{00000000-0005-0000-0000-00003AA50000}"/>
    <cellStyle name="muts 5 6 3 4" xfId="42299" xr:uid="{00000000-0005-0000-0000-00003BA50000}"/>
    <cellStyle name="muts 5 6 4" xfId="42300" xr:uid="{00000000-0005-0000-0000-00003CA50000}"/>
    <cellStyle name="muts 5 6 4 2" xfId="42301" xr:uid="{00000000-0005-0000-0000-00003DA50000}"/>
    <cellStyle name="muts 5 6 5" xfId="42302" xr:uid="{00000000-0005-0000-0000-00003EA50000}"/>
    <cellStyle name="muts 5 6 5 2" xfId="42303" xr:uid="{00000000-0005-0000-0000-00003FA50000}"/>
    <cellStyle name="muts 5 6 6" xfId="42304" xr:uid="{00000000-0005-0000-0000-000040A50000}"/>
    <cellStyle name="muts 5 7" xfId="42305" xr:uid="{00000000-0005-0000-0000-000041A50000}"/>
    <cellStyle name="muts 5 7 2" xfId="42306" xr:uid="{00000000-0005-0000-0000-000042A50000}"/>
    <cellStyle name="muts 5 7 2 2" xfId="42307" xr:uid="{00000000-0005-0000-0000-000043A50000}"/>
    <cellStyle name="muts 5 7 3" xfId="42308" xr:uid="{00000000-0005-0000-0000-000044A50000}"/>
    <cellStyle name="muts 5 7 3 2" xfId="42309" xr:uid="{00000000-0005-0000-0000-000045A50000}"/>
    <cellStyle name="muts 5 7 4" xfId="42310" xr:uid="{00000000-0005-0000-0000-000046A50000}"/>
    <cellStyle name="muts 5 8" xfId="42311" xr:uid="{00000000-0005-0000-0000-000047A50000}"/>
    <cellStyle name="muts 5 8 2" xfId="42312" xr:uid="{00000000-0005-0000-0000-000048A50000}"/>
    <cellStyle name="muts 5 8 2 2" xfId="42313" xr:uid="{00000000-0005-0000-0000-000049A50000}"/>
    <cellStyle name="muts 5 8 3" xfId="42314" xr:uid="{00000000-0005-0000-0000-00004AA50000}"/>
    <cellStyle name="muts 5 8 3 2" xfId="42315" xr:uid="{00000000-0005-0000-0000-00004BA50000}"/>
    <cellStyle name="muts 5 8 4" xfId="42316" xr:uid="{00000000-0005-0000-0000-00004CA50000}"/>
    <cellStyle name="muts 5 9" xfId="42317" xr:uid="{00000000-0005-0000-0000-00004DA50000}"/>
    <cellStyle name="muts 5 9 2" xfId="42318" xr:uid="{00000000-0005-0000-0000-00004EA50000}"/>
    <cellStyle name="muts 6" xfId="42319" xr:uid="{00000000-0005-0000-0000-00004FA50000}"/>
    <cellStyle name="muts 6 10" xfId="42320" xr:uid="{00000000-0005-0000-0000-000050A50000}"/>
    <cellStyle name="muts 6 10 2" xfId="42321" xr:uid="{00000000-0005-0000-0000-000051A50000}"/>
    <cellStyle name="muts 6 11" xfId="42322" xr:uid="{00000000-0005-0000-0000-000052A50000}"/>
    <cellStyle name="muts 6 2" xfId="42323" xr:uid="{00000000-0005-0000-0000-000053A50000}"/>
    <cellStyle name="muts 6 2 2" xfId="42324" xr:uid="{00000000-0005-0000-0000-000054A50000}"/>
    <cellStyle name="muts 6 2 2 2" xfId="42325" xr:uid="{00000000-0005-0000-0000-000055A50000}"/>
    <cellStyle name="muts 6 2 2 2 2" xfId="42326" xr:uid="{00000000-0005-0000-0000-000056A50000}"/>
    <cellStyle name="muts 6 2 2 3" xfId="42327" xr:uid="{00000000-0005-0000-0000-000057A50000}"/>
    <cellStyle name="muts 6 2 2 3 2" xfId="42328" xr:uid="{00000000-0005-0000-0000-000058A50000}"/>
    <cellStyle name="muts 6 2 2 4" xfId="42329" xr:uid="{00000000-0005-0000-0000-000059A50000}"/>
    <cellStyle name="muts 6 2 3" xfId="42330" xr:uid="{00000000-0005-0000-0000-00005AA50000}"/>
    <cellStyle name="muts 6 2 3 2" xfId="42331" xr:uid="{00000000-0005-0000-0000-00005BA50000}"/>
    <cellStyle name="muts 6 2 3 2 2" xfId="42332" xr:uid="{00000000-0005-0000-0000-00005CA50000}"/>
    <cellStyle name="muts 6 2 3 3" xfId="42333" xr:uid="{00000000-0005-0000-0000-00005DA50000}"/>
    <cellStyle name="muts 6 2 3 3 2" xfId="42334" xr:uid="{00000000-0005-0000-0000-00005EA50000}"/>
    <cellStyle name="muts 6 2 3 4" xfId="42335" xr:uid="{00000000-0005-0000-0000-00005FA50000}"/>
    <cellStyle name="muts 6 2 4" xfId="42336" xr:uid="{00000000-0005-0000-0000-000060A50000}"/>
    <cellStyle name="muts 6 2 4 2" xfId="42337" xr:uid="{00000000-0005-0000-0000-000061A50000}"/>
    <cellStyle name="muts 6 2 5" xfId="42338" xr:uid="{00000000-0005-0000-0000-000062A50000}"/>
    <cellStyle name="muts 6 2 5 2" xfId="42339" xr:uid="{00000000-0005-0000-0000-000063A50000}"/>
    <cellStyle name="muts 6 2 6" xfId="42340" xr:uid="{00000000-0005-0000-0000-000064A50000}"/>
    <cellStyle name="muts 6 3" xfId="42341" xr:uid="{00000000-0005-0000-0000-000065A50000}"/>
    <cellStyle name="muts 6 3 2" xfId="42342" xr:uid="{00000000-0005-0000-0000-000066A50000}"/>
    <cellStyle name="muts 6 3 2 2" xfId="42343" xr:uid="{00000000-0005-0000-0000-000067A50000}"/>
    <cellStyle name="muts 6 3 2 2 2" xfId="42344" xr:uid="{00000000-0005-0000-0000-000068A50000}"/>
    <cellStyle name="muts 6 3 2 3" xfId="42345" xr:uid="{00000000-0005-0000-0000-000069A50000}"/>
    <cellStyle name="muts 6 3 2 3 2" xfId="42346" xr:uid="{00000000-0005-0000-0000-00006AA50000}"/>
    <cellStyle name="muts 6 3 2 4" xfId="42347" xr:uid="{00000000-0005-0000-0000-00006BA50000}"/>
    <cellStyle name="muts 6 3 3" xfId="42348" xr:uid="{00000000-0005-0000-0000-00006CA50000}"/>
    <cellStyle name="muts 6 3 3 2" xfId="42349" xr:uid="{00000000-0005-0000-0000-00006DA50000}"/>
    <cellStyle name="muts 6 3 3 2 2" xfId="42350" xr:uid="{00000000-0005-0000-0000-00006EA50000}"/>
    <cellStyle name="muts 6 3 3 3" xfId="42351" xr:uid="{00000000-0005-0000-0000-00006FA50000}"/>
    <cellStyle name="muts 6 3 3 3 2" xfId="42352" xr:uid="{00000000-0005-0000-0000-000070A50000}"/>
    <cellStyle name="muts 6 3 3 4" xfId="42353" xr:uid="{00000000-0005-0000-0000-000071A50000}"/>
    <cellStyle name="muts 6 3 4" xfId="42354" xr:uid="{00000000-0005-0000-0000-000072A50000}"/>
    <cellStyle name="muts 6 3 4 2" xfId="42355" xr:uid="{00000000-0005-0000-0000-000073A50000}"/>
    <cellStyle name="muts 6 3 5" xfId="42356" xr:uid="{00000000-0005-0000-0000-000074A50000}"/>
    <cellStyle name="muts 6 3 5 2" xfId="42357" xr:uid="{00000000-0005-0000-0000-000075A50000}"/>
    <cellStyle name="muts 6 3 6" xfId="42358" xr:uid="{00000000-0005-0000-0000-000076A50000}"/>
    <cellStyle name="muts 6 4" xfId="42359" xr:uid="{00000000-0005-0000-0000-000077A50000}"/>
    <cellStyle name="muts 6 4 2" xfId="42360" xr:uid="{00000000-0005-0000-0000-000078A50000}"/>
    <cellStyle name="muts 6 4 2 2" xfId="42361" xr:uid="{00000000-0005-0000-0000-000079A50000}"/>
    <cellStyle name="muts 6 4 2 2 2" xfId="42362" xr:uid="{00000000-0005-0000-0000-00007AA50000}"/>
    <cellStyle name="muts 6 4 2 3" xfId="42363" xr:uid="{00000000-0005-0000-0000-00007BA50000}"/>
    <cellStyle name="muts 6 4 2 3 2" xfId="42364" xr:uid="{00000000-0005-0000-0000-00007CA50000}"/>
    <cellStyle name="muts 6 4 2 4" xfId="42365" xr:uid="{00000000-0005-0000-0000-00007DA50000}"/>
    <cellStyle name="muts 6 4 3" xfId="42366" xr:uid="{00000000-0005-0000-0000-00007EA50000}"/>
    <cellStyle name="muts 6 4 3 2" xfId="42367" xr:uid="{00000000-0005-0000-0000-00007FA50000}"/>
    <cellStyle name="muts 6 4 3 2 2" xfId="42368" xr:uid="{00000000-0005-0000-0000-000080A50000}"/>
    <cellStyle name="muts 6 4 3 3" xfId="42369" xr:uid="{00000000-0005-0000-0000-000081A50000}"/>
    <cellStyle name="muts 6 4 3 3 2" xfId="42370" xr:uid="{00000000-0005-0000-0000-000082A50000}"/>
    <cellStyle name="muts 6 4 3 4" xfId="42371" xr:uid="{00000000-0005-0000-0000-000083A50000}"/>
    <cellStyle name="muts 6 4 4" xfId="42372" xr:uid="{00000000-0005-0000-0000-000084A50000}"/>
    <cellStyle name="muts 6 4 4 2" xfId="42373" xr:uid="{00000000-0005-0000-0000-000085A50000}"/>
    <cellStyle name="muts 6 4 5" xfId="42374" xr:uid="{00000000-0005-0000-0000-000086A50000}"/>
    <cellStyle name="muts 6 4 5 2" xfId="42375" xr:uid="{00000000-0005-0000-0000-000087A50000}"/>
    <cellStyle name="muts 6 4 6" xfId="42376" xr:uid="{00000000-0005-0000-0000-000088A50000}"/>
    <cellStyle name="muts 6 5" xfId="42377" xr:uid="{00000000-0005-0000-0000-000089A50000}"/>
    <cellStyle name="muts 6 5 2" xfId="42378" xr:uid="{00000000-0005-0000-0000-00008AA50000}"/>
    <cellStyle name="muts 6 5 2 2" xfId="42379" xr:uid="{00000000-0005-0000-0000-00008BA50000}"/>
    <cellStyle name="muts 6 5 2 2 2" xfId="42380" xr:uid="{00000000-0005-0000-0000-00008CA50000}"/>
    <cellStyle name="muts 6 5 2 3" xfId="42381" xr:uid="{00000000-0005-0000-0000-00008DA50000}"/>
    <cellStyle name="muts 6 5 2 3 2" xfId="42382" xr:uid="{00000000-0005-0000-0000-00008EA50000}"/>
    <cellStyle name="muts 6 5 2 4" xfId="42383" xr:uid="{00000000-0005-0000-0000-00008FA50000}"/>
    <cellStyle name="muts 6 5 3" xfId="42384" xr:uid="{00000000-0005-0000-0000-000090A50000}"/>
    <cellStyle name="muts 6 5 3 2" xfId="42385" xr:uid="{00000000-0005-0000-0000-000091A50000}"/>
    <cellStyle name="muts 6 5 3 2 2" xfId="42386" xr:uid="{00000000-0005-0000-0000-000092A50000}"/>
    <cellStyle name="muts 6 5 3 3" xfId="42387" xr:uid="{00000000-0005-0000-0000-000093A50000}"/>
    <cellStyle name="muts 6 5 3 3 2" xfId="42388" xr:uid="{00000000-0005-0000-0000-000094A50000}"/>
    <cellStyle name="muts 6 5 3 4" xfId="42389" xr:uid="{00000000-0005-0000-0000-000095A50000}"/>
    <cellStyle name="muts 6 5 4" xfId="42390" xr:uid="{00000000-0005-0000-0000-000096A50000}"/>
    <cellStyle name="muts 6 5 4 2" xfId="42391" xr:uid="{00000000-0005-0000-0000-000097A50000}"/>
    <cellStyle name="muts 6 5 5" xfId="42392" xr:uid="{00000000-0005-0000-0000-000098A50000}"/>
    <cellStyle name="muts 6 5 5 2" xfId="42393" xr:uid="{00000000-0005-0000-0000-000099A50000}"/>
    <cellStyle name="muts 6 5 6" xfId="42394" xr:uid="{00000000-0005-0000-0000-00009AA50000}"/>
    <cellStyle name="muts 6 6" xfId="42395" xr:uid="{00000000-0005-0000-0000-00009BA50000}"/>
    <cellStyle name="muts 6 6 2" xfId="42396" xr:uid="{00000000-0005-0000-0000-00009CA50000}"/>
    <cellStyle name="muts 6 6 2 2" xfId="42397" xr:uid="{00000000-0005-0000-0000-00009DA50000}"/>
    <cellStyle name="muts 6 6 2 2 2" xfId="42398" xr:uid="{00000000-0005-0000-0000-00009EA50000}"/>
    <cellStyle name="muts 6 6 2 3" xfId="42399" xr:uid="{00000000-0005-0000-0000-00009FA50000}"/>
    <cellStyle name="muts 6 6 2 3 2" xfId="42400" xr:uid="{00000000-0005-0000-0000-0000A0A50000}"/>
    <cellStyle name="muts 6 6 2 4" xfId="42401" xr:uid="{00000000-0005-0000-0000-0000A1A50000}"/>
    <cellStyle name="muts 6 6 3" xfId="42402" xr:uid="{00000000-0005-0000-0000-0000A2A50000}"/>
    <cellStyle name="muts 6 6 3 2" xfId="42403" xr:uid="{00000000-0005-0000-0000-0000A3A50000}"/>
    <cellStyle name="muts 6 6 3 2 2" xfId="42404" xr:uid="{00000000-0005-0000-0000-0000A4A50000}"/>
    <cellStyle name="muts 6 6 3 3" xfId="42405" xr:uid="{00000000-0005-0000-0000-0000A5A50000}"/>
    <cellStyle name="muts 6 6 3 3 2" xfId="42406" xr:uid="{00000000-0005-0000-0000-0000A6A50000}"/>
    <cellStyle name="muts 6 6 3 4" xfId="42407" xr:uid="{00000000-0005-0000-0000-0000A7A50000}"/>
    <cellStyle name="muts 6 6 4" xfId="42408" xr:uid="{00000000-0005-0000-0000-0000A8A50000}"/>
    <cellStyle name="muts 6 6 4 2" xfId="42409" xr:uid="{00000000-0005-0000-0000-0000A9A50000}"/>
    <cellStyle name="muts 6 6 5" xfId="42410" xr:uid="{00000000-0005-0000-0000-0000AAA50000}"/>
    <cellStyle name="muts 6 6 5 2" xfId="42411" xr:uid="{00000000-0005-0000-0000-0000ABA50000}"/>
    <cellStyle name="muts 6 6 6" xfId="42412" xr:uid="{00000000-0005-0000-0000-0000ACA50000}"/>
    <cellStyle name="muts 6 7" xfId="42413" xr:uid="{00000000-0005-0000-0000-0000ADA50000}"/>
    <cellStyle name="muts 6 7 2" xfId="42414" xr:uid="{00000000-0005-0000-0000-0000AEA50000}"/>
    <cellStyle name="muts 6 7 2 2" xfId="42415" xr:uid="{00000000-0005-0000-0000-0000AFA50000}"/>
    <cellStyle name="muts 6 7 3" xfId="42416" xr:uid="{00000000-0005-0000-0000-0000B0A50000}"/>
    <cellStyle name="muts 6 7 3 2" xfId="42417" xr:uid="{00000000-0005-0000-0000-0000B1A50000}"/>
    <cellStyle name="muts 6 7 4" xfId="42418" xr:uid="{00000000-0005-0000-0000-0000B2A50000}"/>
    <cellStyle name="muts 6 8" xfId="42419" xr:uid="{00000000-0005-0000-0000-0000B3A50000}"/>
    <cellStyle name="muts 6 8 2" xfId="42420" xr:uid="{00000000-0005-0000-0000-0000B4A50000}"/>
    <cellStyle name="muts 6 8 2 2" xfId="42421" xr:uid="{00000000-0005-0000-0000-0000B5A50000}"/>
    <cellStyle name="muts 6 8 3" xfId="42422" xr:uid="{00000000-0005-0000-0000-0000B6A50000}"/>
    <cellStyle name="muts 6 8 3 2" xfId="42423" xr:uid="{00000000-0005-0000-0000-0000B7A50000}"/>
    <cellStyle name="muts 6 8 4" xfId="42424" xr:uid="{00000000-0005-0000-0000-0000B8A50000}"/>
    <cellStyle name="muts 6 9" xfId="42425" xr:uid="{00000000-0005-0000-0000-0000B9A50000}"/>
    <cellStyle name="muts 6 9 2" xfId="42426" xr:uid="{00000000-0005-0000-0000-0000BAA50000}"/>
    <cellStyle name="muts 7" xfId="42427" xr:uid="{00000000-0005-0000-0000-0000BBA50000}"/>
    <cellStyle name="muts 7 2" xfId="42428" xr:uid="{00000000-0005-0000-0000-0000BCA50000}"/>
    <cellStyle name="muts 7 2 2" xfId="42429" xr:uid="{00000000-0005-0000-0000-0000BDA50000}"/>
    <cellStyle name="muts 7 2 2 2" xfId="42430" xr:uid="{00000000-0005-0000-0000-0000BEA50000}"/>
    <cellStyle name="muts 7 2 3" xfId="42431" xr:uid="{00000000-0005-0000-0000-0000BFA50000}"/>
    <cellStyle name="muts 7 2 3 2" xfId="42432" xr:uid="{00000000-0005-0000-0000-0000C0A50000}"/>
    <cellStyle name="muts 7 2 4" xfId="42433" xr:uid="{00000000-0005-0000-0000-0000C1A50000}"/>
    <cellStyle name="muts 7 3" xfId="42434" xr:uid="{00000000-0005-0000-0000-0000C2A50000}"/>
    <cellStyle name="muts 7 3 2" xfId="42435" xr:uid="{00000000-0005-0000-0000-0000C3A50000}"/>
    <cellStyle name="muts 7 3 2 2" xfId="42436" xr:uid="{00000000-0005-0000-0000-0000C4A50000}"/>
    <cellStyle name="muts 7 3 3" xfId="42437" xr:uid="{00000000-0005-0000-0000-0000C5A50000}"/>
    <cellStyle name="muts 7 3 3 2" xfId="42438" xr:uid="{00000000-0005-0000-0000-0000C6A50000}"/>
    <cellStyle name="muts 7 3 4" xfId="42439" xr:uid="{00000000-0005-0000-0000-0000C7A50000}"/>
    <cellStyle name="muts 7 4" xfId="42440" xr:uid="{00000000-0005-0000-0000-0000C8A50000}"/>
    <cellStyle name="muts 7 4 2" xfId="42441" xr:uid="{00000000-0005-0000-0000-0000C9A50000}"/>
    <cellStyle name="muts 7 5" xfId="42442" xr:uid="{00000000-0005-0000-0000-0000CAA50000}"/>
    <cellStyle name="muts 7 5 2" xfId="42443" xr:uid="{00000000-0005-0000-0000-0000CBA50000}"/>
    <cellStyle name="muts 7 6" xfId="42444" xr:uid="{00000000-0005-0000-0000-0000CCA50000}"/>
    <cellStyle name="muts 7 7" xfId="42445" xr:uid="{00000000-0005-0000-0000-0000CDA50000}"/>
    <cellStyle name="muts 7 8" xfId="42446" xr:uid="{00000000-0005-0000-0000-0000CEA50000}"/>
    <cellStyle name="muts 7 9" xfId="42447" xr:uid="{00000000-0005-0000-0000-0000CFA50000}"/>
    <cellStyle name="muts 8" xfId="42448" xr:uid="{00000000-0005-0000-0000-0000D0A50000}"/>
    <cellStyle name="muts 8 2" xfId="42449" xr:uid="{00000000-0005-0000-0000-0000D1A50000}"/>
    <cellStyle name="muts 8 2 2" xfId="42450" xr:uid="{00000000-0005-0000-0000-0000D2A50000}"/>
    <cellStyle name="muts 8 2 2 2" xfId="42451" xr:uid="{00000000-0005-0000-0000-0000D3A50000}"/>
    <cellStyle name="muts 8 2 3" xfId="42452" xr:uid="{00000000-0005-0000-0000-0000D4A50000}"/>
    <cellStyle name="muts 8 2 3 2" xfId="42453" xr:uid="{00000000-0005-0000-0000-0000D5A50000}"/>
    <cellStyle name="muts 8 2 4" xfId="42454" xr:uid="{00000000-0005-0000-0000-0000D6A50000}"/>
    <cellStyle name="muts 8 3" xfId="42455" xr:uid="{00000000-0005-0000-0000-0000D7A50000}"/>
    <cellStyle name="muts 8 3 2" xfId="42456" xr:uid="{00000000-0005-0000-0000-0000D8A50000}"/>
    <cellStyle name="muts 8 3 2 2" xfId="42457" xr:uid="{00000000-0005-0000-0000-0000D9A50000}"/>
    <cellStyle name="muts 8 3 3" xfId="42458" xr:uid="{00000000-0005-0000-0000-0000DAA50000}"/>
    <cellStyle name="muts 8 3 3 2" xfId="42459" xr:uid="{00000000-0005-0000-0000-0000DBA50000}"/>
    <cellStyle name="muts 8 3 4" xfId="42460" xr:uid="{00000000-0005-0000-0000-0000DCA50000}"/>
    <cellStyle name="muts 8 4" xfId="42461" xr:uid="{00000000-0005-0000-0000-0000DDA50000}"/>
    <cellStyle name="muts 8 4 2" xfId="42462" xr:uid="{00000000-0005-0000-0000-0000DEA50000}"/>
    <cellStyle name="muts 8 4 2 2" xfId="42463" xr:uid="{00000000-0005-0000-0000-0000DFA50000}"/>
    <cellStyle name="muts 8 4 3" xfId="42464" xr:uid="{00000000-0005-0000-0000-0000E0A50000}"/>
    <cellStyle name="muts 8 4 3 2" xfId="42465" xr:uid="{00000000-0005-0000-0000-0000E1A50000}"/>
    <cellStyle name="muts 8 4 4" xfId="42466" xr:uid="{00000000-0005-0000-0000-0000E2A50000}"/>
    <cellStyle name="muts 8 5" xfId="42467" xr:uid="{00000000-0005-0000-0000-0000E3A50000}"/>
    <cellStyle name="muts 8 5 2" xfId="42468" xr:uid="{00000000-0005-0000-0000-0000E4A50000}"/>
    <cellStyle name="muts 8 6" xfId="42469" xr:uid="{00000000-0005-0000-0000-0000E5A50000}"/>
    <cellStyle name="muts 8 6 2" xfId="42470" xr:uid="{00000000-0005-0000-0000-0000E6A50000}"/>
    <cellStyle name="muts 8 7" xfId="42471" xr:uid="{00000000-0005-0000-0000-0000E7A50000}"/>
    <cellStyle name="muts 8 8" xfId="42472" xr:uid="{00000000-0005-0000-0000-0000E8A50000}"/>
    <cellStyle name="muts 8 9" xfId="42473" xr:uid="{00000000-0005-0000-0000-0000E9A50000}"/>
    <cellStyle name="muts 9" xfId="42474" xr:uid="{00000000-0005-0000-0000-0000EAA50000}"/>
    <cellStyle name="muts 9 2" xfId="42475" xr:uid="{00000000-0005-0000-0000-0000EBA50000}"/>
    <cellStyle name="muts 9 2 2" xfId="42476" xr:uid="{00000000-0005-0000-0000-0000ECA50000}"/>
    <cellStyle name="muts 9 3" xfId="42477" xr:uid="{00000000-0005-0000-0000-0000EDA50000}"/>
    <cellStyle name="muts 9 3 2" xfId="42478" xr:uid="{00000000-0005-0000-0000-0000EEA50000}"/>
    <cellStyle name="muts 9 4" xfId="42479" xr:uid="{00000000-0005-0000-0000-0000EFA50000}"/>
    <cellStyle name="muts 9 5" xfId="42480" xr:uid="{00000000-0005-0000-0000-0000F0A50000}"/>
    <cellStyle name="muts 9 6" xfId="42481" xr:uid="{00000000-0005-0000-0000-0000F1A50000}"/>
    <cellStyle name="muts 9 7" xfId="42482" xr:uid="{00000000-0005-0000-0000-0000F2A50000}"/>
    <cellStyle name="muts 9 8" xfId="42483" xr:uid="{00000000-0005-0000-0000-0000F3A50000}"/>
    <cellStyle name="muts 9 9" xfId="42484" xr:uid="{00000000-0005-0000-0000-0000F4A50000}"/>
    <cellStyle name="n" xfId="42485" xr:uid="{00000000-0005-0000-0000-0000F5A50000}"/>
    <cellStyle name="Neutral 10" xfId="42486" xr:uid="{00000000-0005-0000-0000-0000F6A50000}"/>
    <cellStyle name="Neutral 10 2" xfId="42487" xr:uid="{00000000-0005-0000-0000-0000F7A50000}"/>
    <cellStyle name="Neutral 10 3" xfId="42488" xr:uid="{00000000-0005-0000-0000-0000F8A50000}"/>
    <cellStyle name="Neutral 10 4" xfId="42489" xr:uid="{00000000-0005-0000-0000-0000F9A50000}"/>
    <cellStyle name="Neutral 10 5" xfId="42490" xr:uid="{00000000-0005-0000-0000-0000FAA50000}"/>
    <cellStyle name="Neutral 11" xfId="42491" xr:uid="{00000000-0005-0000-0000-0000FBA50000}"/>
    <cellStyle name="Neutral 11 2" xfId="42492" xr:uid="{00000000-0005-0000-0000-0000FCA50000}"/>
    <cellStyle name="Neutral 12" xfId="42493" xr:uid="{00000000-0005-0000-0000-0000FDA50000}"/>
    <cellStyle name="Neutral 12 2" xfId="42494" xr:uid="{00000000-0005-0000-0000-0000FEA50000}"/>
    <cellStyle name="Neutral 13" xfId="42495" xr:uid="{00000000-0005-0000-0000-0000FFA50000}"/>
    <cellStyle name="Neutral 13 2" xfId="42496" xr:uid="{00000000-0005-0000-0000-000000A60000}"/>
    <cellStyle name="Neutral 14" xfId="42497" xr:uid="{00000000-0005-0000-0000-000001A60000}"/>
    <cellStyle name="Neutral 14 2" xfId="42498" xr:uid="{00000000-0005-0000-0000-000002A60000}"/>
    <cellStyle name="Neutral 15" xfId="42499" xr:uid="{00000000-0005-0000-0000-000003A60000}"/>
    <cellStyle name="Neutral 15 2" xfId="42500" xr:uid="{00000000-0005-0000-0000-000004A60000}"/>
    <cellStyle name="Neutral 16" xfId="42501" xr:uid="{00000000-0005-0000-0000-000005A60000}"/>
    <cellStyle name="Neutral 16 2" xfId="42502" xr:uid="{00000000-0005-0000-0000-000006A60000}"/>
    <cellStyle name="Neutral 17" xfId="42503" xr:uid="{00000000-0005-0000-0000-000007A60000}"/>
    <cellStyle name="Neutral 17 2" xfId="42504" xr:uid="{00000000-0005-0000-0000-000008A60000}"/>
    <cellStyle name="Neutral 18" xfId="42505" xr:uid="{00000000-0005-0000-0000-000009A60000}"/>
    <cellStyle name="Neutral 18 2" xfId="42506" xr:uid="{00000000-0005-0000-0000-00000AA60000}"/>
    <cellStyle name="Neutral 19" xfId="42507" xr:uid="{00000000-0005-0000-0000-00000BA60000}"/>
    <cellStyle name="Neutral 19 2" xfId="42508" xr:uid="{00000000-0005-0000-0000-00000CA60000}"/>
    <cellStyle name="Neutral 2" xfId="42509" xr:uid="{00000000-0005-0000-0000-00000DA60000}"/>
    <cellStyle name="Neutral 2 10" xfId="42510" xr:uid="{00000000-0005-0000-0000-00000EA60000}"/>
    <cellStyle name="Neutral 2 11" xfId="42511" xr:uid="{00000000-0005-0000-0000-00000FA60000}"/>
    <cellStyle name="Neutral 2 12" xfId="42512" xr:uid="{00000000-0005-0000-0000-000010A60000}"/>
    <cellStyle name="Neutral 2 13" xfId="42513" xr:uid="{00000000-0005-0000-0000-000011A60000}"/>
    <cellStyle name="Neutral 2 14" xfId="42514" xr:uid="{00000000-0005-0000-0000-000012A60000}"/>
    <cellStyle name="Neutral 2 15" xfId="42515" xr:uid="{00000000-0005-0000-0000-000013A60000}"/>
    <cellStyle name="Neutral 2 16" xfId="42516" xr:uid="{00000000-0005-0000-0000-000014A60000}"/>
    <cellStyle name="Neutral 2 17" xfId="42517" xr:uid="{00000000-0005-0000-0000-000015A60000}"/>
    <cellStyle name="Neutral 2 18" xfId="42518" xr:uid="{00000000-0005-0000-0000-000016A60000}"/>
    <cellStyle name="Neutral 2 19" xfId="42519" xr:uid="{00000000-0005-0000-0000-000017A60000}"/>
    <cellStyle name="Neutral 2 2" xfId="42520" xr:uid="{00000000-0005-0000-0000-000018A60000}"/>
    <cellStyle name="Neutral 2 2 2" xfId="42521" xr:uid="{00000000-0005-0000-0000-000019A60000}"/>
    <cellStyle name="Neutral 2 3" xfId="42522" xr:uid="{00000000-0005-0000-0000-00001AA60000}"/>
    <cellStyle name="Neutral 2 3 2" xfId="42523" xr:uid="{00000000-0005-0000-0000-00001BA60000}"/>
    <cellStyle name="Neutral 2 4" xfId="42524" xr:uid="{00000000-0005-0000-0000-00001CA60000}"/>
    <cellStyle name="Neutral 2 4 2" xfId="42525" xr:uid="{00000000-0005-0000-0000-00001DA60000}"/>
    <cellStyle name="Neutral 2 5" xfId="42526" xr:uid="{00000000-0005-0000-0000-00001EA60000}"/>
    <cellStyle name="Neutral 2 6" xfId="42527" xr:uid="{00000000-0005-0000-0000-00001FA60000}"/>
    <cellStyle name="Neutral 2 7" xfId="42528" xr:uid="{00000000-0005-0000-0000-000020A60000}"/>
    <cellStyle name="Neutral 2 8" xfId="42529" xr:uid="{00000000-0005-0000-0000-000021A60000}"/>
    <cellStyle name="Neutral 2 9" xfId="42530" xr:uid="{00000000-0005-0000-0000-000022A60000}"/>
    <cellStyle name="Neutral 2_Labour" xfId="42531" xr:uid="{00000000-0005-0000-0000-000023A60000}"/>
    <cellStyle name="Neutral 20" xfId="42532" xr:uid="{00000000-0005-0000-0000-000024A60000}"/>
    <cellStyle name="Neutral 20 2" xfId="42533" xr:uid="{00000000-0005-0000-0000-000025A60000}"/>
    <cellStyle name="Neutral 21" xfId="42534" xr:uid="{00000000-0005-0000-0000-000026A60000}"/>
    <cellStyle name="Neutral 21 2" xfId="42535" xr:uid="{00000000-0005-0000-0000-000027A60000}"/>
    <cellStyle name="Neutral 22" xfId="42536" xr:uid="{00000000-0005-0000-0000-000028A60000}"/>
    <cellStyle name="Neutral 22 2" xfId="42537" xr:uid="{00000000-0005-0000-0000-000029A60000}"/>
    <cellStyle name="Neutral 23" xfId="42538" xr:uid="{00000000-0005-0000-0000-00002AA60000}"/>
    <cellStyle name="Neutral 24" xfId="42539" xr:uid="{00000000-0005-0000-0000-00002BA60000}"/>
    <cellStyle name="Neutral 25" xfId="42540" xr:uid="{00000000-0005-0000-0000-00002CA60000}"/>
    <cellStyle name="Neutral 26" xfId="42541" xr:uid="{00000000-0005-0000-0000-00002DA60000}"/>
    <cellStyle name="Neutral 27" xfId="42542" xr:uid="{00000000-0005-0000-0000-00002EA60000}"/>
    <cellStyle name="Neutral 28" xfId="42543" xr:uid="{00000000-0005-0000-0000-00002FA60000}"/>
    <cellStyle name="Neutral 29" xfId="42544" xr:uid="{00000000-0005-0000-0000-000030A60000}"/>
    <cellStyle name="Neutral 3" xfId="42545" xr:uid="{00000000-0005-0000-0000-000031A60000}"/>
    <cellStyle name="Neutral 3 2" xfId="42546" xr:uid="{00000000-0005-0000-0000-000032A60000}"/>
    <cellStyle name="Neutral 3 2 2" xfId="42547" xr:uid="{00000000-0005-0000-0000-000033A60000}"/>
    <cellStyle name="Neutral 3 3" xfId="42548" xr:uid="{00000000-0005-0000-0000-000034A60000}"/>
    <cellStyle name="Neutral 3 4" xfId="42549" xr:uid="{00000000-0005-0000-0000-000035A60000}"/>
    <cellStyle name="Neutral 3 5" xfId="42550" xr:uid="{00000000-0005-0000-0000-000036A60000}"/>
    <cellStyle name="Neutral 30" xfId="42551" xr:uid="{00000000-0005-0000-0000-000037A60000}"/>
    <cellStyle name="Neutral 31" xfId="42552" xr:uid="{00000000-0005-0000-0000-000038A60000}"/>
    <cellStyle name="Neutral 32" xfId="42553" xr:uid="{00000000-0005-0000-0000-000039A60000}"/>
    <cellStyle name="Neutral 33" xfId="42554" xr:uid="{00000000-0005-0000-0000-00003AA60000}"/>
    <cellStyle name="Neutral 34" xfId="42555" xr:uid="{00000000-0005-0000-0000-00003BA60000}"/>
    <cellStyle name="Neutral 4" xfId="42556" xr:uid="{00000000-0005-0000-0000-00003CA60000}"/>
    <cellStyle name="Neutral 4 2" xfId="42557" xr:uid="{00000000-0005-0000-0000-00003DA60000}"/>
    <cellStyle name="Neutral 4 3" xfId="42558" xr:uid="{00000000-0005-0000-0000-00003EA60000}"/>
    <cellStyle name="Neutral 4 4" xfId="42559" xr:uid="{00000000-0005-0000-0000-00003FA60000}"/>
    <cellStyle name="Neutral 4 5" xfId="42560" xr:uid="{00000000-0005-0000-0000-000040A60000}"/>
    <cellStyle name="Neutral 4_Proj" xfId="42561" xr:uid="{00000000-0005-0000-0000-000041A60000}"/>
    <cellStyle name="Neutral 5" xfId="42562" xr:uid="{00000000-0005-0000-0000-000042A60000}"/>
    <cellStyle name="Neutral 5 2" xfId="42563" xr:uid="{00000000-0005-0000-0000-000043A60000}"/>
    <cellStyle name="Neutral 5 3" xfId="42564" xr:uid="{00000000-0005-0000-0000-000044A60000}"/>
    <cellStyle name="Neutral 5 4" xfId="42565" xr:uid="{00000000-0005-0000-0000-000045A60000}"/>
    <cellStyle name="Neutral 5 5" xfId="42566" xr:uid="{00000000-0005-0000-0000-000046A60000}"/>
    <cellStyle name="Neutral 6" xfId="42567" xr:uid="{00000000-0005-0000-0000-000047A60000}"/>
    <cellStyle name="Neutral 6 2" xfId="42568" xr:uid="{00000000-0005-0000-0000-000048A60000}"/>
    <cellStyle name="Neutral 6 3" xfId="42569" xr:uid="{00000000-0005-0000-0000-000049A60000}"/>
    <cellStyle name="Neutral 6 4" xfId="42570" xr:uid="{00000000-0005-0000-0000-00004AA60000}"/>
    <cellStyle name="Neutral 6 5" xfId="42571" xr:uid="{00000000-0005-0000-0000-00004BA60000}"/>
    <cellStyle name="Neutral 7" xfId="42572" xr:uid="{00000000-0005-0000-0000-00004CA60000}"/>
    <cellStyle name="Neutral 7 2" xfId="42573" xr:uid="{00000000-0005-0000-0000-00004DA60000}"/>
    <cellStyle name="Neutral 7 3" xfId="42574" xr:uid="{00000000-0005-0000-0000-00004EA60000}"/>
    <cellStyle name="Neutral 7 4" xfId="42575" xr:uid="{00000000-0005-0000-0000-00004FA60000}"/>
    <cellStyle name="Neutral 7 5" xfId="42576" xr:uid="{00000000-0005-0000-0000-000050A60000}"/>
    <cellStyle name="Neutral 8" xfId="42577" xr:uid="{00000000-0005-0000-0000-000051A60000}"/>
    <cellStyle name="Neutral 8 2" xfId="42578" xr:uid="{00000000-0005-0000-0000-000052A60000}"/>
    <cellStyle name="Neutral 8 3" xfId="42579" xr:uid="{00000000-0005-0000-0000-000053A60000}"/>
    <cellStyle name="Neutral 8 4" xfId="42580" xr:uid="{00000000-0005-0000-0000-000054A60000}"/>
    <cellStyle name="Neutral 8 5" xfId="42581" xr:uid="{00000000-0005-0000-0000-000055A60000}"/>
    <cellStyle name="Neutral 9" xfId="42582" xr:uid="{00000000-0005-0000-0000-000056A60000}"/>
    <cellStyle name="Neutral 9 2" xfId="42583" xr:uid="{00000000-0005-0000-0000-000057A60000}"/>
    <cellStyle name="Neutral 9 3" xfId="42584" xr:uid="{00000000-0005-0000-0000-000058A60000}"/>
    <cellStyle name="Neutral 9 4" xfId="42585" xr:uid="{00000000-0005-0000-0000-000059A60000}"/>
    <cellStyle name="Neutral 9 5" xfId="42586" xr:uid="{00000000-0005-0000-0000-00005AA60000}"/>
    <cellStyle name="new" xfId="42587" xr:uid="{00000000-0005-0000-0000-00005BA60000}"/>
    <cellStyle name="new 2" xfId="42588" xr:uid="{00000000-0005-0000-0000-00005CA60000}"/>
    <cellStyle name="new 3" xfId="42589" xr:uid="{00000000-0005-0000-0000-00005DA60000}"/>
    <cellStyle name="no dec" xfId="42590" xr:uid="{00000000-0005-0000-0000-00005EA60000}"/>
    <cellStyle name="No-definido" xfId="42591" xr:uid="{00000000-0005-0000-0000-00005FA60000}"/>
    <cellStyle name="Non défini" xfId="42592" xr:uid="{00000000-0005-0000-0000-000060A60000}"/>
    <cellStyle name="Normal" xfId="0" builtinId="0"/>
    <cellStyle name="Normal - Style1" xfId="42593" xr:uid="{00000000-0005-0000-0000-000062A60000}"/>
    <cellStyle name="Normal - Style1 10" xfId="42594" xr:uid="{00000000-0005-0000-0000-000063A60000}"/>
    <cellStyle name="Normal - Style1 11" xfId="42595" xr:uid="{00000000-0005-0000-0000-000064A60000}"/>
    <cellStyle name="Normal - Style1 12" xfId="42596" xr:uid="{00000000-0005-0000-0000-000065A60000}"/>
    <cellStyle name="Normal - Style1 13" xfId="42597" xr:uid="{00000000-0005-0000-0000-000066A60000}"/>
    <cellStyle name="Normal - Style1 14" xfId="42598" xr:uid="{00000000-0005-0000-0000-000067A60000}"/>
    <cellStyle name="Normal - Style1 15" xfId="42599" xr:uid="{00000000-0005-0000-0000-000068A60000}"/>
    <cellStyle name="Normal - Style1 16" xfId="42600" xr:uid="{00000000-0005-0000-0000-000069A60000}"/>
    <cellStyle name="Normal - Style1 17" xfId="42601" xr:uid="{00000000-0005-0000-0000-00006AA60000}"/>
    <cellStyle name="Normal - Style1 18" xfId="42602" xr:uid="{00000000-0005-0000-0000-00006BA60000}"/>
    <cellStyle name="Normal - Style1 2" xfId="42603" xr:uid="{00000000-0005-0000-0000-00006CA60000}"/>
    <cellStyle name="Normal - Style1 2 2" xfId="42604" xr:uid="{00000000-0005-0000-0000-00006DA60000}"/>
    <cellStyle name="Normal - Style1 2 3" xfId="42605" xr:uid="{00000000-0005-0000-0000-00006EA60000}"/>
    <cellStyle name="Normal - Style1 2 4" xfId="42606" xr:uid="{00000000-0005-0000-0000-00006FA60000}"/>
    <cellStyle name="Normal - Style1 2 5" xfId="42607" xr:uid="{00000000-0005-0000-0000-000070A60000}"/>
    <cellStyle name="Normal - Style1 2 6" xfId="42608" xr:uid="{00000000-0005-0000-0000-000071A60000}"/>
    <cellStyle name="Normal - Style1 2 7" xfId="42609" xr:uid="{00000000-0005-0000-0000-000072A60000}"/>
    <cellStyle name="Normal - Style1 2 8" xfId="42610" xr:uid="{00000000-0005-0000-0000-000073A60000}"/>
    <cellStyle name="Normal - Style1 2 9" xfId="42611" xr:uid="{00000000-0005-0000-0000-000074A60000}"/>
    <cellStyle name="Normal - Style1 3" xfId="42612" xr:uid="{00000000-0005-0000-0000-000075A60000}"/>
    <cellStyle name="Normal - Style1 3 2" xfId="42613" xr:uid="{00000000-0005-0000-0000-000076A60000}"/>
    <cellStyle name="Normal - Style1 3 3" xfId="42614" xr:uid="{00000000-0005-0000-0000-000077A60000}"/>
    <cellStyle name="Normal - Style1 3 4" xfId="42615" xr:uid="{00000000-0005-0000-0000-000078A60000}"/>
    <cellStyle name="Normal - Style1 3 5" xfId="42616" xr:uid="{00000000-0005-0000-0000-000079A60000}"/>
    <cellStyle name="Normal - Style1 4" xfId="42617" xr:uid="{00000000-0005-0000-0000-00007AA60000}"/>
    <cellStyle name="Normal - Style1 4 2" xfId="42618" xr:uid="{00000000-0005-0000-0000-00007BA60000}"/>
    <cellStyle name="Normal - Style1 4 3" xfId="42619" xr:uid="{00000000-0005-0000-0000-00007CA60000}"/>
    <cellStyle name="Normal - Style1 4 4" xfId="42620" xr:uid="{00000000-0005-0000-0000-00007DA60000}"/>
    <cellStyle name="Normal - Style1 4 5" xfId="42621" xr:uid="{00000000-0005-0000-0000-00007EA60000}"/>
    <cellStyle name="Normal - Style1 5" xfId="42622" xr:uid="{00000000-0005-0000-0000-00007FA60000}"/>
    <cellStyle name="Normal - Style1 5 2" xfId="42623" xr:uid="{00000000-0005-0000-0000-000080A60000}"/>
    <cellStyle name="Normal - Style1 5 3" xfId="42624" xr:uid="{00000000-0005-0000-0000-000081A60000}"/>
    <cellStyle name="Normal - Style1 5 4" xfId="42625" xr:uid="{00000000-0005-0000-0000-000082A60000}"/>
    <cellStyle name="Normal - Style1 5 5" xfId="42626" xr:uid="{00000000-0005-0000-0000-000083A60000}"/>
    <cellStyle name="Normal - Style1 6" xfId="42627" xr:uid="{00000000-0005-0000-0000-000084A60000}"/>
    <cellStyle name="Normal - Style1 6 2" xfId="42628" xr:uid="{00000000-0005-0000-0000-000085A60000}"/>
    <cellStyle name="Normal - Style1 6 3" xfId="42629" xr:uid="{00000000-0005-0000-0000-000086A60000}"/>
    <cellStyle name="Normal - Style1 6 4" xfId="42630" xr:uid="{00000000-0005-0000-0000-000087A60000}"/>
    <cellStyle name="Normal - Style1 6 5" xfId="42631" xr:uid="{00000000-0005-0000-0000-000088A60000}"/>
    <cellStyle name="Normal - Style1 7" xfId="42632" xr:uid="{00000000-0005-0000-0000-000089A60000}"/>
    <cellStyle name="Normal - Style1 7 2" xfId="42633" xr:uid="{00000000-0005-0000-0000-00008AA60000}"/>
    <cellStyle name="Normal - Style1 7 3" xfId="42634" xr:uid="{00000000-0005-0000-0000-00008BA60000}"/>
    <cellStyle name="Normal - Style1 7 4" xfId="42635" xr:uid="{00000000-0005-0000-0000-00008CA60000}"/>
    <cellStyle name="Normal - Style1 7 5" xfId="42636" xr:uid="{00000000-0005-0000-0000-00008DA60000}"/>
    <cellStyle name="Normal - Style1 8" xfId="42637" xr:uid="{00000000-0005-0000-0000-00008EA60000}"/>
    <cellStyle name="Normal - Style1 8 2" xfId="42638" xr:uid="{00000000-0005-0000-0000-00008FA60000}"/>
    <cellStyle name="Normal - Style1 8 3" xfId="42639" xr:uid="{00000000-0005-0000-0000-000090A60000}"/>
    <cellStyle name="Normal - Style1 8 4" xfId="42640" xr:uid="{00000000-0005-0000-0000-000091A60000}"/>
    <cellStyle name="Normal - Style1 8 5" xfId="42641" xr:uid="{00000000-0005-0000-0000-000092A60000}"/>
    <cellStyle name="Normal - Style1 9" xfId="42642" xr:uid="{00000000-0005-0000-0000-000093A60000}"/>
    <cellStyle name="Normal - Style1 9 2" xfId="42643" xr:uid="{00000000-0005-0000-0000-000094A60000}"/>
    <cellStyle name="Normal - Style1 9 3" xfId="42644" xr:uid="{00000000-0005-0000-0000-000095A60000}"/>
    <cellStyle name="Normal - Style1 9 4" xfId="42645" xr:uid="{00000000-0005-0000-0000-000096A60000}"/>
    <cellStyle name="Normal - Style1 9 5" xfId="42646" xr:uid="{00000000-0005-0000-0000-000097A60000}"/>
    <cellStyle name="Normal - Style1_BACKUP1" xfId="42647" xr:uid="{00000000-0005-0000-0000-000098A60000}"/>
    <cellStyle name="Normal 10" xfId="42648" xr:uid="{00000000-0005-0000-0000-000099A60000}"/>
    <cellStyle name="Normal 10 10" xfId="42649" xr:uid="{00000000-0005-0000-0000-00009AA60000}"/>
    <cellStyle name="Normal 10 2" xfId="42650" xr:uid="{00000000-0005-0000-0000-00009BA60000}"/>
    <cellStyle name="Normal 10 2 2" xfId="42651" xr:uid="{00000000-0005-0000-0000-00009CA60000}"/>
    <cellStyle name="Normal 10 2 2 2" xfId="42652" xr:uid="{00000000-0005-0000-0000-00009DA60000}"/>
    <cellStyle name="Normal 10 2 3" xfId="42653" xr:uid="{00000000-0005-0000-0000-00009EA60000}"/>
    <cellStyle name="Normal 10 2 4" xfId="42654" xr:uid="{00000000-0005-0000-0000-00009FA60000}"/>
    <cellStyle name="Normal 10 2 5" xfId="42655" xr:uid="{00000000-0005-0000-0000-0000A0A60000}"/>
    <cellStyle name="Normal 10 3" xfId="42656" xr:uid="{00000000-0005-0000-0000-0000A1A60000}"/>
    <cellStyle name="Normal 10 3 2" xfId="11" xr:uid="{00000000-0005-0000-0000-0000A2A60000}"/>
    <cellStyle name="Normal 10 3 2 2" xfId="53995" xr:uid="{00000000-0005-0000-0000-0000A3A60000}"/>
    <cellStyle name="Normal 10 4" xfId="42657" xr:uid="{00000000-0005-0000-0000-0000A4A60000}"/>
    <cellStyle name="Normal 10 5" xfId="42658" xr:uid="{00000000-0005-0000-0000-0000A5A60000}"/>
    <cellStyle name="Normal 10 6" xfId="42659" xr:uid="{00000000-0005-0000-0000-0000A6A60000}"/>
    <cellStyle name="Normal 10 7" xfId="42660" xr:uid="{00000000-0005-0000-0000-0000A7A60000}"/>
    <cellStyle name="Normal 10 8" xfId="42661" xr:uid="{00000000-0005-0000-0000-0000A8A60000}"/>
    <cellStyle name="Normal 10 9" xfId="42662" xr:uid="{00000000-0005-0000-0000-0000A9A60000}"/>
    <cellStyle name="Normal 10_Proj" xfId="42663" xr:uid="{00000000-0005-0000-0000-0000AAA60000}"/>
    <cellStyle name="Normal 100" xfId="42664" xr:uid="{00000000-0005-0000-0000-0000ABA60000}"/>
    <cellStyle name="Normal 100 2" xfId="42665" xr:uid="{00000000-0005-0000-0000-0000ACA60000}"/>
    <cellStyle name="Normal 101" xfId="42666" xr:uid="{00000000-0005-0000-0000-0000ADA60000}"/>
    <cellStyle name="Normal 102" xfId="42667" xr:uid="{00000000-0005-0000-0000-0000AEA60000}"/>
    <cellStyle name="Normal 102 2" xfId="42668" xr:uid="{00000000-0005-0000-0000-0000AFA60000}"/>
    <cellStyle name="Normal 103" xfId="42669" xr:uid="{00000000-0005-0000-0000-0000B0A60000}"/>
    <cellStyle name="Normal 104" xfId="42670" xr:uid="{00000000-0005-0000-0000-0000B1A60000}"/>
    <cellStyle name="Normal 105" xfId="42671" xr:uid="{00000000-0005-0000-0000-0000B2A60000}"/>
    <cellStyle name="Normal 106" xfId="42672" xr:uid="{00000000-0005-0000-0000-0000B3A60000}"/>
    <cellStyle name="Normal 107" xfId="42673" xr:uid="{00000000-0005-0000-0000-0000B4A60000}"/>
    <cellStyle name="Normal 108" xfId="42674" xr:uid="{00000000-0005-0000-0000-0000B5A60000}"/>
    <cellStyle name="Normal 109" xfId="42675" xr:uid="{00000000-0005-0000-0000-0000B6A60000}"/>
    <cellStyle name="Normal 11" xfId="42676" xr:uid="{00000000-0005-0000-0000-0000B7A60000}"/>
    <cellStyle name="Normal 11 10" xfId="42677" xr:uid="{00000000-0005-0000-0000-0000B8A60000}"/>
    <cellStyle name="Normal 11 10 2" xfId="42678" xr:uid="{00000000-0005-0000-0000-0000B9A60000}"/>
    <cellStyle name="Normal 11 11" xfId="42679" xr:uid="{00000000-0005-0000-0000-0000BAA60000}"/>
    <cellStyle name="Normal 11 12" xfId="42680" xr:uid="{00000000-0005-0000-0000-0000BBA60000}"/>
    <cellStyle name="Normal 11 13" xfId="42681" xr:uid="{00000000-0005-0000-0000-0000BCA60000}"/>
    <cellStyle name="Normal 11 14" xfId="42682" xr:uid="{00000000-0005-0000-0000-0000BDA60000}"/>
    <cellStyle name="Normal 11 2" xfId="42683" xr:uid="{00000000-0005-0000-0000-0000BEA60000}"/>
    <cellStyle name="Normal 11 2 2" xfId="42684" xr:uid="{00000000-0005-0000-0000-0000BFA60000}"/>
    <cellStyle name="Normal 11 2 2 2" xfId="42685" xr:uid="{00000000-0005-0000-0000-0000C0A60000}"/>
    <cellStyle name="Normal 11 2 2 3" xfId="42686" xr:uid="{00000000-0005-0000-0000-0000C1A60000}"/>
    <cellStyle name="Normal 11 2 2 4" xfId="42687" xr:uid="{00000000-0005-0000-0000-0000C2A60000}"/>
    <cellStyle name="Normal 11 2 2 5" xfId="42688" xr:uid="{00000000-0005-0000-0000-0000C3A60000}"/>
    <cellStyle name="Normal 11 2 3" xfId="42689" xr:uid="{00000000-0005-0000-0000-0000C4A60000}"/>
    <cellStyle name="Normal 11 2 3 2" xfId="42690" xr:uid="{00000000-0005-0000-0000-0000C5A60000}"/>
    <cellStyle name="Normal 11 2 3 2 2" xfId="42691" xr:uid="{00000000-0005-0000-0000-0000C6A60000}"/>
    <cellStyle name="Normal 11 2 3 3" xfId="42692" xr:uid="{00000000-0005-0000-0000-0000C7A60000}"/>
    <cellStyle name="Normal 11 2 4" xfId="42693" xr:uid="{00000000-0005-0000-0000-0000C8A60000}"/>
    <cellStyle name="Normal 11 2 4 2" xfId="42694" xr:uid="{00000000-0005-0000-0000-0000C9A60000}"/>
    <cellStyle name="Normal 11 2 5" xfId="42695" xr:uid="{00000000-0005-0000-0000-0000CAA60000}"/>
    <cellStyle name="Normal 11 2_Proj" xfId="42696" xr:uid="{00000000-0005-0000-0000-0000CBA60000}"/>
    <cellStyle name="Normal 11 3" xfId="42697" xr:uid="{00000000-0005-0000-0000-0000CCA60000}"/>
    <cellStyle name="Normal 11 3 10" xfId="42698" xr:uid="{00000000-0005-0000-0000-0000CDA60000}"/>
    <cellStyle name="Normal 11 3 11" xfId="42699" xr:uid="{00000000-0005-0000-0000-0000CEA60000}"/>
    <cellStyle name="Normal 11 3 2" xfId="42700" xr:uid="{00000000-0005-0000-0000-0000CFA60000}"/>
    <cellStyle name="Normal 11 3 2 2" xfId="42701" xr:uid="{00000000-0005-0000-0000-0000D0A60000}"/>
    <cellStyle name="Normal 11 3 2 2 2" xfId="42702" xr:uid="{00000000-0005-0000-0000-0000D1A60000}"/>
    <cellStyle name="Normal 11 3 2 2 2 2" xfId="42703" xr:uid="{00000000-0005-0000-0000-0000D2A60000}"/>
    <cellStyle name="Normal 11 3 2 2 2 2 2" xfId="42704" xr:uid="{00000000-0005-0000-0000-0000D3A60000}"/>
    <cellStyle name="Normal 11 3 2 2 2 3" xfId="42705" xr:uid="{00000000-0005-0000-0000-0000D4A60000}"/>
    <cellStyle name="Normal 11 3 2 2 3" xfId="42706" xr:uid="{00000000-0005-0000-0000-0000D5A60000}"/>
    <cellStyle name="Normal 11 3 2 2 3 2" xfId="42707" xr:uid="{00000000-0005-0000-0000-0000D6A60000}"/>
    <cellStyle name="Normal 11 3 2 2 4" xfId="42708" xr:uid="{00000000-0005-0000-0000-0000D7A60000}"/>
    <cellStyle name="Normal 11 3 2 3" xfId="42709" xr:uid="{00000000-0005-0000-0000-0000D8A60000}"/>
    <cellStyle name="Normal 11 3 2 3 2" xfId="42710" xr:uid="{00000000-0005-0000-0000-0000D9A60000}"/>
    <cellStyle name="Normal 11 3 2 3 2 2" xfId="42711" xr:uid="{00000000-0005-0000-0000-0000DAA60000}"/>
    <cellStyle name="Normal 11 3 2 3 2 2 2" xfId="42712" xr:uid="{00000000-0005-0000-0000-0000DBA60000}"/>
    <cellStyle name="Normal 11 3 2 3 2 3" xfId="42713" xr:uid="{00000000-0005-0000-0000-0000DCA60000}"/>
    <cellStyle name="Normal 11 3 2 3 3" xfId="42714" xr:uid="{00000000-0005-0000-0000-0000DDA60000}"/>
    <cellStyle name="Normal 11 3 2 3 3 2" xfId="42715" xr:uid="{00000000-0005-0000-0000-0000DEA60000}"/>
    <cellStyle name="Normal 11 3 2 3 4" xfId="42716" xr:uid="{00000000-0005-0000-0000-0000DFA60000}"/>
    <cellStyle name="Normal 11 3 2 4" xfId="42717" xr:uid="{00000000-0005-0000-0000-0000E0A60000}"/>
    <cellStyle name="Normal 11 3 2 4 2" xfId="42718" xr:uid="{00000000-0005-0000-0000-0000E1A60000}"/>
    <cellStyle name="Normal 11 3 2 4 2 2" xfId="42719" xr:uid="{00000000-0005-0000-0000-0000E2A60000}"/>
    <cellStyle name="Normal 11 3 2 4 3" xfId="42720" xr:uid="{00000000-0005-0000-0000-0000E3A60000}"/>
    <cellStyle name="Normal 11 3 2 5" xfId="42721" xr:uid="{00000000-0005-0000-0000-0000E4A60000}"/>
    <cellStyle name="Normal 11 3 2 5 2" xfId="42722" xr:uid="{00000000-0005-0000-0000-0000E5A60000}"/>
    <cellStyle name="Normal 11 3 2 6" xfId="42723" xr:uid="{00000000-0005-0000-0000-0000E6A60000}"/>
    <cellStyle name="Normal 11 3 2 7" xfId="42724" xr:uid="{00000000-0005-0000-0000-0000E7A60000}"/>
    <cellStyle name="Normal 11 3 3" xfId="42725" xr:uid="{00000000-0005-0000-0000-0000E8A60000}"/>
    <cellStyle name="Normal 11 3 3 2" xfId="42726" xr:uid="{00000000-0005-0000-0000-0000E9A60000}"/>
    <cellStyle name="Normal 11 3 3 2 2" xfId="42727" xr:uid="{00000000-0005-0000-0000-0000EAA60000}"/>
    <cellStyle name="Normal 11 3 3 2 2 2" xfId="42728" xr:uid="{00000000-0005-0000-0000-0000EBA60000}"/>
    <cellStyle name="Normal 11 3 3 2 2 2 2" xfId="42729" xr:uid="{00000000-0005-0000-0000-0000ECA60000}"/>
    <cellStyle name="Normal 11 3 3 2 2 3" xfId="42730" xr:uid="{00000000-0005-0000-0000-0000EDA60000}"/>
    <cellStyle name="Normal 11 3 3 2 3" xfId="42731" xr:uid="{00000000-0005-0000-0000-0000EEA60000}"/>
    <cellStyle name="Normal 11 3 3 2 3 2" xfId="42732" xr:uid="{00000000-0005-0000-0000-0000EFA60000}"/>
    <cellStyle name="Normal 11 3 3 2 4" xfId="42733" xr:uid="{00000000-0005-0000-0000-0000F0A60000}"/>
    <cellStyle name="Normal 11 3 3 3" xfId="42734" xr:uid="{00000000-0005-0000-0000-0000F1A60000}"/>
    <cellStyle name="Normal 11 3 3 3 2" xfId="42735" xr:uid="{00000000-0005-0000-0000-0000F2A60000}"/>
    <cellStyle name="Normal 11 3 3 3 2 2" xfId="42736" xr:uid="{00000000-0005-0000-0000-0000F3A60000}"/>
    <cellStyle name="Normal 11 3 3 3 3" xfId="42737" xr:uid="{00000000-0005-0000-0000-0000F4A60000}"/>
    <cellStyle name="Normal 11 3 3 4" xfId="42738" xr:uid="{00000000-0005-0000-0000-0000F5A60000}"/>
    <cellStyle name="Normal 11 3 3 4 2" xfId="42739" xr:uid="{00000000-0005-0000-0000-0000F6A60000}"/>
    <cellStyle name="Normal 11 3 3 5" xfId="42740" xr:uid="{00000000-0005-0000-0000-0000F7A60000}"/>
    <cellStyle name="Normal 11 3 4" xfId="42741" xr:uid="{00000000-0005-0000-0000-0000F8A60000}"/>
    <cellStyle name="Normal 11 3 4 2" xfId="42742" xr:uid="{00000000-0005-0000-0000-0000F9A60000}"/>
    <cellStyle name="Normal 11 3 4 2 2" xfId="42743" xr:uid="{00000000-0005-0000-0000-0000FAA60000}"/>
    <cellStyle name="Normal 11 3 4 2 2 2" xfId="42744" xr:uid="{00000000-0005-0000-0000-0000FBA60000}"/>
    <cellStyle name="Normal 11 3 4 2 3" xfId="42745" xr:uid="{00000000-0005-0000-0000-0000FCA60000}"/>
    <cellStyle name="Normal 11 3 4 3" xfId="42746" xr:uid="{00000000-0005-0000-0000-0000FDA60000}"/>
    <cellStyle name="Normal 11 3 4 3 2" xfId="42747" xr:uid="{00000000-0005-0000-0000-0000FEA60000}"/>
    <cellStyle name="Normal 11 3 4 4" xfId="42748" xr:uid="{00000000-0005-0000-0000-0000FFA60000}"/>
    <cellStyle name="Normal 11 3 5" xfId="42749" xr:uid="{00000000-0005-0000-0000-000000A70000}"/>
    <cellStyle name="Normal 11 3 5 2" xfId="42750" xr:uid="{00000000-0005-0000-0000-000001A70000}"/>
    <cellStyle name="Normal 11 3 5 2 2" xfId="42751" xr:uid="{00000000-0005-0000-0000-000002A70000}"/>
    <cellStyle name="Normal 11 3 5 3" xfId="42752" xr:uid="{00000000-0005-0000-0000-000003A70000}"/>
    <cellStyle name="Normal 11 3 6" xfId="42753" xr:uid="{00000000-0005-0000-0000-000004A70000}"/>
    <cellStyle name="Normal 11 3 6 2" xfId="42754" xr:uid="{00000000-0005-0000-0000-000005A70000}"/>
    <cellStyle name="Normal 11 3 7" xfId="42755" xr:uid="{00000000-0005-0000-0000-000006A70000}"/>
    <cellStyle name="Normal 11 3 7 2" xfId="42756" xr:uid="{00000000-0005-0000-0000-000007A70000}"/>
    <cellStyle name="Normal 11 3 8" xfId="42757" xr:uid="{00000000-0005-0000-0000-000008A70000}"/>
    <cellStyle name="Normal 11 3 9" xfId="42758" xr:uid="{00000000-0005-0000-0000-000009A70000}"/>
    <cellStyle name="Normal 11 4" xfId="42759" xr:uid="{00000000-0005-0000-0000-00000AA70000}"/>
    <cellStyle name="Normal 11 4 2" xfId="42760" xr:uid="{00000000-0005-0000-0000-00000BA70000}"/>
    <cellStyle name="Normal 11 4 2 2" xfId="42761" xr:uid="{00000000-0005-0000-0000-00000CA70000}"/>
    <cellStyle name="Normal 11 4 2 2 2" xfId="42762" xr:uid="{00000000-0005-0000-0000-00000DA70000}"/>
    <cellStyle name="Normal 11 4 2 2 2 2" xfId="42763" xr:uid="{00000000-0005-0000-0000-00000EA70000}"/>
    <cellStyle name="Normal 11 4 2 2 2 2 2" xfId="42764" xr:uid="{00000000-0005-0000-0000-00000FA70000}"/>
    <cellStyle name="Normal 11 4 2 2 2 3" xfId="42765" xr:uid="{00000000-0005-0000-0000-000010A70000}"/>
    <cellStyle name="Normal 11 4 2 2 3" xfId="42766" xr:uid="{00000000-0005-0000-0000-000011A70000}"/>
    <cellStyle name="Normal 11 4 2 2 3 2" xfId="42767" xr:uid="{00000000-0005-0000-0000-000012A70000}"/>
    <cellStyle name="Normal 11 4 2 2 4" xfId="42768" xr:uid="{00000000-0005-0000-0000-000013A70000}"/>
    <cellStyle name="Normal 11 4 2 3" xfId="42769" xr:uid="{00000000-0005-0000-0000-000014A70000}"/>
    <cellStyle name="Normal 11 4 2 3 2" xfId="42770" xr:uid="{00000000-0005-0000-0000-000015A70000}"/>
    <cellStyle name="Normal 11 4 2 3 2 2" xfId="42771" xr:uid="{00000000-0005-0000-0000-000016A70000}"/>
    <cellStyle name="Normal 11 4 2 3 3" xfId="42772" xr:uid="{00000000-0005-0000-0000-000017A70000}"/>
    <cellStyle name="Normal 11 4 2 4" xfId="42773" xr:uid="{00000000-0005-0000-0000-000018A70000}"/>
    <cellStyle name="Normal 11 4 2 4 2" xfId="42774" xr:uid="{00000000-0005-0000-0000-000019A70000}"/>
    <cellStyle name="Normal 11 4 2 5" xfId="42775" xr:uid="{00000000-0005-0000-0000-00001AA70000}"/>
    <cellStyle name="Normal 11 4 2 6" xfId="42776" xr:uid="{00000000-0005-0000-0000-00001BA70000}"/>
    <cellStyle name="Normal 11 4 3" xfId="42777" xr:uid="{00000000-0005-0000-0000-00001CA70000}"/>
    <cellStyle name="Normal 11 4 3 2" xfId="42778" xr:uid="{00000000-0005-0000-0000-00001DA70000}"/>
    <cellStyle name="Normal 11 4 3 2 2" xfId="42779" xr:uid="{00000000-0005-0000-0000-00001EA70000}"/>
    <cellStyle name="Normal 11 4 3 2 2 2" xfId="42780" xr:uid="{00000000-0005-0000-0000-00001FA70000}"/>
    <cellStyle name="Normal 11 4 3 2 3" xfId="42781" xr:uid="{00000000-0005-0000-0000-000020A70000}"/>
    <cellStyle name="Normal 11 4 3 3" xfId="42782" xr:uid="{00000000-0005-0000-0000-000021A70000}"/>
    <cellStyle name="Normal 11 4 3 3 2" xfId="42783" xr:uid="{00000000-0005-0000-0000-000022A70000}"/>
    <cellStyle name="Normal 11 4 3 4" xfId="42784" xr:uid="{00000000-0005-0000-0000-000023A70000}"/>
    <cellStyle name="Normal 11 4 4" xfId="42785" xr:uid="{00000000-0005-0000-0000-000024A70000}"/>
    <cellStyle name="Normal 11 4 4 2" xfId="42786" xr:uid="{00000000-0005-0000-0000-000025A70000}"/>
    <cellStyle name="Normal 11 4 4 2 2" xfId="42787" xr:uid="{00000000-0005-0000-0000-000026A70000}"/>
    <cellStyle name="Normal 11 4 4 2 2 2" xfId="42788" xr:uid="{00000000-0005-0000-0000-000027A70000}"/>
    <cellStyle name="Normal 11 4 4 2 3" xfId="42789" xr:uid="{00000000-0005-0000-0000-000028A70000}"/>
    <cellStyle name="Normal 11 4 4 3" xfId="42790" xr:uid="{00000000-0005-0000-0000-000029A70000}"/>
    <cellStyle name="Normal 11 4 4 3 2" xfId="42791" xr:uid="{00000000-0005-0000-0000-00002AA70000}"/>
    <cellStyle name="Normal 11 4 4 4" xfId="42792" xr:uid="{00000000-0005-0000-0000-00002BA70000}"/>
    <cellStyle name="Normal 11 4 5" xfId="42793" xr:uid="{00000000-0005-0000-0000-00002CA70000}"/>
    <cellStyle name="Normal 11 4 5 2" xfId="42794" xr:uid="{00000000-0005-0000-0000-00002DA70000}"/>
    <cellStyle name="Normal 11 4 5 2 2" xfId="42795" xr:uid="{00000000-0005-0000-0000-00002EA70000}"/>
    <cellStyle name="Normal 11 4 5 3" xfId="42796" xr:uid="{00000000-0005-0000-0000-00002FA70000}"/>
    <cellStyle name="Normal 11 4 6" xfId="42797" xr:uid="{00000000-0005-0000-0000-000030A70000}"/>
    <cellStyle name="Normal 11 4 6 2" xfId="42798" xr:uid="{00000000-0005-0000-0000-000031A70000}"/>
    <cellStyle name="Normal 11 4 7" xfId="42799" xr:uid="{00000000-0005-0000-0000-000032A70000}"/>
    <cellStyle name="Normal 11 4 7 2" xfId="42800" xr:uid="{00000000-0005-0000-0000-000033A70000}"/>
    <cellStyle name="Normal 11 4 8" xfId="42801" xr:uid="{00000000-0005-0000-0000-000034A70000}"/>
    <cellStyle name="Normal 11 4 9" xfId="42802" xr:uid="{00000000-0005-0000-0000-000035A70000}"/>
    <cellStyle name="Normal 11 5" xfId="42803" xr:uid="{00000000-0005-0000-0000-000036A70000}"/>
    <cellStyle name="Normal 11 5 2" xfId="42804" xr:uid="{00000000-0005-0000-0000-000037A70000}"/>
    <cellStyle name="Normal 11 5 2 2" xfId="42805" xr:uid="{00000000-0005-0000-0000-000038A70000}"/>
    <cellStyle name="Normal 11 5 2 2 2" xfId="42806" xr:uid="{00000000-0005-0000-0000-000039A70000}"/>
    <cellStyle name="Normal 11 5 2 2 2 2" xfId="42807" xr:uid="{00000000-0005-0000-0000-00003AA70000}"/>
    <cellStyle name="Normal 11 5 2 2 3" xfId="42808" xr:uid="{00000000-0005-0000-0000-00003BA70000}"/>
    <cellStyle name="Normal 11 5 2 3" xfId="42809" xr:uid="{00000000-0005-0000-0000-00003CA70000}"/>
    <cellStyle name="Normal 11 5 2 3 2" xfId="42810" xr:uid="{00000000-0005-0000-0000-00003DA70000}"/>
    <cellStyle name="Normal 11 5 2 4" xfId="42811" xr:uid="{00000000-0005-0000-0000-00003EA70000}"/>
    <cellStyle name="Normal 11 5 3" xfId="42812" xr:uid="{00000000-0005-0000-0000-00003FA70000}"/>
    <cellStyle name="Normal 11 5 3 2" xfId="42813" xr:uid="{00000000-0005-0000-0000-000040A70000}"/>
    <cellStyle name="Normal 11 5 3 2 2" xfId="42814" xr:uid="{00000000-0005-0000-0000-000041A70000}"/>
    <cellStyle name="Normal 11 5 3 2 2 2" xfId="42815" xr:uid="{00000000-0005-0000-0000-000042A70000}"/>
    <cellStyle name="Normal 11 5 3 2 3" xfId="42816" xr:uid="{00000000-0005-0000-0000-000043A70000}"/>
    <cellStyle name="Normal 11 5 3 3" xfId="42817" xr:uid="{00000000-0005-0000-0000-000044A70000}"/>
    <cellStyle name="Normal 11 5 3 3 2" xfId="42818" xr:uid="{00000000-0005-0000-0000-000045A70000}"/>
    <cellStyle name="Normal 11 5 3 4" xfId="42819" xr:uid="{00000000-0005-0000-0000-000046A70000}"/>
    <cellStyle name="Normal 11 5 4" xfId="42820" xr:uid="{00000000-0005-0000-0000-000047A70000}"/>
    <cellStyle name="Normal 11 5 4 2" xfId="42821" xr:uid="{00000000-0005-0000-0000-000048A70000}"/>
    <cellStyle name="Normal 11 5 4 2 2" xfId="42822" xr:uid="{00000000-0005-0000-0000-000049A70000}"/>
    <cellStyle name="Normal 11 5 4 3" xfId="42823" xr:uid="{00000000-0005-0000-0000-00004AA70000}"/>
    <cellStyle name="Normal 11 5 5" xfId="42824" xr:uid="{00000000-0005-0000-0000-00004BA70000}"/>
    <cellStyle name="Normal 11 5 5 2" xfId="42825" xr:uid="{00000000-0005-0000-0000-00004CA70000}"/>
    <cellStyle name="Normal 11 5 6" xfId="42826" xr:uid="{00000000-0005-0000-0000-00004DA70000}"/>
    <cellStyle name="Normal 11 5 7" xfId="42827" xr:uid="{00000000-0005-0000-0000-00004EA70000}"/>
    <cellStyle name="Normal 11 5 8" xfId="42828" xr:uid="{00000000-0005-0000-0000-00004FA70000}"/>
    <cellStyle name="Normal 11 6" xfId="42829" xr:uid="{00000000-0005-0000-0000-000050A70000}"/>
    <cellStyle name="Normal 11 6 2" xfId="42830" xr:uid="{00000000-0005-0000-0000-000051A70000}"/>
    <cellStyle name="Normal 11 6 2 2" xfId="42831" xr:uid="{00000000-0005-0000-0000-000052A70000}"/>
    <cellStyle name="Normal 11 6 2 2 2" xfId="42832" xr:uid="{00000000-0005-0000-0000-000053A70000}"/>
    <cellStyle name="Normal 11 6 2 2 2 2" xfId="42833" xr:uid="{00000000-0005-0000-0000-000054A70000}"/>
    <cellStyle name="Normal 11 6 2 2 3" xfId="42834" xr:uid="{00000000-0005-0000-0000-000055A70000}"/>
    <cellStyle name="Normal 11 6 2 3" xfId="42835" xr:uid="{00000000-0005-0000-0000-000056A70000}"/>
    <cellStyle name="Normal 11 6 2 3 2" xfId="42836" xr:uid="{00000000-0005-0000-0000-000057A70000}"/>
    <cellStyle name="Normal 11 6 2 4" xfId="42837" xr:uid="{00000000-0005-0000-0000-000058A70000}"/>
    <cellStyle name="Normal 11 6 3" xfId="42838" xr:uid="{00000000-0005-0000-0000-000059A70000}"/>
    <cellStyle name="Normal 11 6 3 2" xfId="42839" xr:uid="{00000000-0005-0000-0000-00005AA70000}"/>
    <cellStyle name="Normal 11 6 3 2 2" xfId="42840" xr:uid="{00000000-0005-0000-0000-00005BA70000}"/>
    <cellStyle name="Normal 11 6 3 3" xfId="42841" xr:uid="{00000000-0005-0000-0000-00005CA70000}"/>
    <cellStyle name="Normal 11 6 4" xfId="42842" xr:uid="{00000000-0005-0000-0000-00005DA70000}"/>
    <cellStyle name="Normal 11 6 4 2" xfId="42843" xr:uid="{00000000-0005-0000-0000-00005EA70000}"/>
    <cellStyle name="Normal 11 6 5" xfId="42844" xr:uid="{00000000-0005-0000-0000-00005FA70000}"/>
    <cellStyle name="Normal 11 7" xfId="42845" xr:uid="{00000000-0005-0000-0000-000060A70000}"/>
    <cellStyle name="Normal 11 7 2" xfId="42846" xr:uid="{00000000-0005-0000-0000-000061A70000}"/>
    <cellStyle name="Normal 11 7 2 2" xfId="42847" xr:uid="{00000000-0005-0000-0000-000062A70000}"/>
    <cellStyle name="Normal 11 7 2 2 2" xfId="42848" xr:uid="{00000000-0005-0000-0000-000063A70000}"/>
    <cellStyle name="Normal 11 7 2 3" xfId="42849" xr:uid="{00000000-0005-0000-0000-000064A70000}"/>
    <cellStyle name="Normal 11 7 3" xfId="42850" xr:uid="{00000000-0005-0000-0000-000065A70000}"/>
    <cellStyle name="Normal 11 7 3 2" xfId="42851" xr:uid="{00000000-0005-0000-0000-000066A70000}"/>
    <cellStyle name="Normal 11 7 4" xfId="42852" xr:uid="{00000000-0005-0000-0000-000067A70000}"/>
    <cellStyle name="Normal 11 8" xfId="42853" xr:uid="{00000000-0005-0000-0000-000068A70000}"/>
    <cellStyle name="Normal 11 8 2" xfId="42854" xr:uid="{00000000-0005-0000-0000-000069A70000}"/>
    <cellStyle name="Normal 11 8 2 2" xfId="42855" xr:uid="{00000000-0005-0000-0000-00006AA70000}"/>
    <cellStyle name="Normal 11 8 2 2 2" xfId="42856" xr:uid="{00000000-0005-0000-0000-00006BA70000}"/>
    <cellStyle name="Normal 11 8 2 3" xfId="42857" xr:uid="{00000000-0005-0000-0000-00006CA70000}"/>
    <cellStyle name="Normal 11 8 3" xfId="42858" xr:uid="{00000000-0005-0000-0000-00006DA70000}"/>
    <cellStyle name="Normal 11 8 3 2" xfId="42859" xr:uid="{00000000-0005-0000-0000-00006EA70000}"/>
    <cellStyle name="Normal 11 8 4" xfId="42860" xr:uid="{00000000-0005-0000-0000-00006FA70000}"/>
    <cellStyle name="Normal 11 9" xfId="42861" xr:uid="{00000000-0005-0000-0000-000070A70000}"/>
    <cellStyle name="Normal 11 9 2" xfId="42862" xr:uid="{00000000-0005-0000-0000-000071A70000}"/>
    <cellStyle name="Normal 11 9 2 2" xfId="42863" xr:uid="{00000000-0005-0000-0000-000072A70000}"/>
    <cellStyle name="Normal 11 9 3" xfId="42864" xr:uid="{00000000-0005-0000-0000-000073A70000}"/>
    <cellStyle name="Normal 11_GE.IU" xfId="42865" xr:uid="{00000000-0005-0000-0000-000074A70000}"/>
    <cellStyle name="Normal 110" xfId="42866" xr:uid="{00000000-0005-0000-0000-000075A70000}"/>
    <cellStyle name="Normal 111" xfId="42867" xr:uid="{00000000-0005-0000-0000-000076A70000}"/>
    <cellStyle name="Normal 112" xfId="42868" xr:uid="{00000000-0005-0000-0000-000077A70000}"/>
    <cellStyle name="Normal 113" xfId="42869" xr:uid="{00000000-0005-0000-0000-000078A70000}"/>
    <cellStyle name="Normal 114" xfId="42870" xr:uid="{00000000-0005-0000-0000-000079A70000}"/>
    <cellStyle name="Normal 115" xfId="42871" xr:uid="{00000000-0005-0000-0000-00007AA70000}"/>
    <cellStyle name="Normal 116" xfId="42872" xr:uid="{00000000-0005-0000-0000-00007BA70000}"/>
    <cellStyle name="Normal 117" xfId="42873" xr:uid="{00000000-0005-0000-0000-00007CA70000}"/>
    <cellStyle name="Normal 118" xfId="42874" xr:uid="{00000000-0005-0000-0000-00007DA70000}"/>
    <cellStyle name="Normal 119" xfId="42875" xr:uid="{00000000-0005-0000-0000-00007EA70000}"/>
    <cellStyle name="Normal 12" xfId="42876" xr:uid="{00000000-0005-0000-0000-00007FA70000}"/>
    <cellStyle name="Normal 12 10" xfId="42877" xr:uid="{00000000-0005-0000-0000-000080A70000}"/>
    <cellStyle name="Normal 12 10 2" xfId="42878" xr:uid="{00000000-0005-0000-0000-000081A70000}"/>
    <cellStyle name="Normal 12 10 2 2" xfId="42879" xr:uid="{00000000-0005-0000-0000-000082A70000}"/>
    <cellStyle name="Normal 12 11" xfId="42880" xr:uid="{00000000-0005-0000-0000-000083A70000}"/>
    <cellStyle name="Normal 12 12" xfId="42881" xr:uid="{00000000-0005-0000-0000-000084A70000}"/>
    <cellStyle name="Normal 12 13" xfId="42882" xr:uid="{00000000-0005-0000-0000-000085A70000}"/>
    <cellStyle name="Normal 12 14" xfId="42883" xr:uid="{00000000-0005-0000-0000-000086A70000}"/>
    <cellStyle name="Normal 12 15" xfId="42884" xr:uid="{00000000-0005-0000-0000-000087A70000}"/>
    <cellStyle name="Normal 12 16" xfId="42885" xr:uid="{00000000-0005-0000-0000-000088A70000}"/>
    <cellStyle name="Normal 12 17" xfId="42886" xr:uid="{00000000-0005-0000-0000-000089A70000}"/>
    <cellStyle name="Normal 12 18" xfId="42887" xr:uid="{00000000-0005-0000-0000-00008AA70000}"/>
    <cellStyle name="Normal 12 19" xfId="42888" xr:uid="{00000000-0005-0000-0000-00008BA70000}"/>
    <cellStyle name="Normal 12 2" xfId="42889" xr:uid="{00000000-0005-0000-0000-00008CA70000}"/>
    <cellStyle name="Normal 12 2 2" xfId="42890" xr:uid="{00000000-0005-0000-0000-00008DA70000}"/>
    <cellStyle name="Normal 12 2 2 2" xfId="42891" xr:uid="{00000000-0005-0000-0000-00008EA70000}"/>
    <cellStyle name="Normal 12 2 2 3" xfId="42892" xr:uid="{00000000-0005-0000-0000-00008FA70000}"/>
    <cellStyle name="Normal 12 2 2 4" xfId="42893" xr:uid="{00000000-0005-0000-0000-000090A70000}"/>
    <cellStyle name="Normal 12 2 2 5" xfId="42894" xr:uid="{00000000-0005-0000-0000-000091A70000}"/>
    <cellStyle name="Normal 12 2 3" xfId="42895" xr:uid="{00000000-0005-0000-0000-000092A70000}"/>
    <cellStyle name="Normal 12 2 4" xfId="42896" xr:uid="{00000000-0005-0000-0000-000093A70000}"/>
    <cellStyle name="Normal 12 2 5" xfId="42897" xr:uid="{00000000-0005-0000-0000-000094A70000}"/>
    <cellStyle name="Normal 12 2_Proj" xfId="42898" xr:uid="{00000000-0005-0000-0000-000095A70000}"/>
    <cellStyle name="Normal 12 20" xfId="42899" xr:uid="{00000000-0005-0000-0000-000096A70000}"/>
    <cellStyle name="Normal 12 21" xfId="42900" xr:uid="{00000000-0005-0000-0000-000097A70000}"/>
    <cellStyle name="Normal 12 22" xfId="42901" xr:uid="{00000000-0005-0000-0000-000098A70000}"/>
    <cellStyle name="Normal 12 23" xfId="42902" xr:uid="{00000000-0005-0000-0000-000099A70000}"/>
    <cellStyle name="Normal 12 24" xfId="42903" xr:uid="{00000000-0005-0000-0000-00009AA70000}"/>
    <cellStyle name="Normal 12 25" xfId="42904" xr:uid="{00000000-0005-0000-0000-00009BA70000}"/>
    <cellStyle name="Normal 12 3" xfId="42905" xr:uid="{00000000-0005-0000-0000-00009CA70000}"/>
    <cellStyle name="Normal 12 3 2" xfId="42906" xr:uid="{00000000-0005-0000-0000-00009DA70000}"/>
    <cellStyle name="Normal 12 3 2 2" xfId="42907" xr:uid="{00000000-0005-0000-0000-00009EA70000}"/>
    <cellStyle name="Normal 12 3 3" xfId="42908" xr:uid="{00000000-0005-0000-0000-00009FA70000}"/>
    <cellStyle name="Normal 12 3 4" xfId="42909" xr:uid="{00000000-0005-0000-0000-0000A0A70000}"/>
    <cellStyle name="Normal 12 4" xfId="42910" xr:uid="{00000000-0005-0000-0000-0000A1A70000}"/>
    <cellStyle name="Normal 12 4 2" xfId="42911" xr:uid="{00000000-0005-0000-0000-0000A2A70000}"/>
    <cellStyle name="Normal 12 4 2 2" xfId="42912" xr:uid="{00000000-0005-0000-0000-0000A3A70000}"/>
    <cellStyle name="Normal 12 4 3" xfId="42913" xr:uid="{00000000-0005-0000-0000-0000A4A70000}"/>
    <cellStyle name="Normal 12 5" xfId="42914" xr:uid="{00000000-0005-0000-0000-0000A5A70000}"/>
    <cellStyle name="Normal 12 6" xfId="42915" xr:uid="{00000000-0005-0000-0000-0000A6A70000}"/>
    <cellStyle name="Normal 12 7" xfId="42916" xr:uid="{00000000-0005-0000-0000-0000A7A70000}"/>
    <cellStyle name="Normal 12 8" xfId="42917" xr:uid="{00000000-0005-0000-0000-0000A8A70000}"/>
    <cellStyle name="Normal 12 9" xfId="42918" xr:uid="{00000000-0005-0000-0000-0000A9A70000}"/>
    <cellStyle name="Normal 12_Book2" xfId="42919" xr:uid="{00000000-0005-0000-0000-0000AAA70000}"/>
    <cellStyle name="Normal 120" xfId="42920" xr:uid="{00000000-0005-0000-0000-0000ABA70000}"/>
    <cellStyle name="Normal 121" xfId="42921" xr:uid="{00000000-0005-0000-0000-0000ACA70000}"/>
    <cellStyle name="Normal 122" xfId="42922" xr:uid="{00000000-0005-0000-0000-0000ADA70000}"/>
    <cellStyle name="Normal 123" xfId="42923" xr:uid="{00000000-0005-0000-0000-0000AEA70000}"/>
    <cellStyle name="Normal 124" xfId="42924" xr:uid="{00000000-0005-0000-0000-0000AFA70000}"/>
    <cellStyle name="Normal 125" xfId="42925" xr:uid="{00000000-0005-0000-0000-0000B0A70000}"/>
    <cellStyle name="Normal 126" xfId="42926" xr:uid="{00000000-0005-0000-0000-0000B1A70000}"/>
    <cellStyle name="Normal 127" xfId="42927" xr:uid="{00000000-0005-0000-0000-0000B2A70000}"/>
    <cellStyle name="Normal 128" xfId="42928" xr:uid="{00000000-0005-0000-0000-0000B3A70000}"/>
    <cellStyle name="Normal 129" xfId="42929" xr:uid="{00000000-0005-0000-0000-0000B4A70000}"/>
    <cellStyle name="Normal 13" xfId="42930" xr:uid="{00000000-0005-0000-0000-0000B5A70000}"/>
    <cellStyle name="Normal 13 10" xfId="42931" xr:uid="{00000000-0005-0000-0000-0000B6A70000}"/>
    <cellStyle name="Normal 13 2" xfId="42932" xr:uid="{00000000-0005-0000-0000-0000B7A70000}"/>
    <cellStyle name="Normal 13 2 2" xfId="42933" xr:uid="{00000000-0005-0000-0000-0000B8A70000}"/>
    <cellStyle name="Normal 13 2 2 2" xfId="42934" xr:uid="{00000000-0005-0000-0000-0000B9A70000}"/>
    <cellStyle name="Normal 13 2 2 2 2" xfId="42935" xr:uid="{00000000-0005-0000-0000-0000BAA70000}"/>
    <cellStyle name="Normal 13 2 2 3" xfId="42936" xr:uid="{00000000-0005-0000-0000-0000BBA70000}"/>
    <cellStyle name="Normal 13 2 2 4" xfId="42937" xr:uid="{00000000-0005-0000-0000-0000BCA70000}"/>
    <cellStyle name="Normal 13 2 3" xfId="42938" xr:uid="{00000000-0005-0000-0000-0000BDA70000}"/>
    <cellStyle name="Normal 13 2 3 2" xfId="42939" xr:uid="{00000000-0005-0000-0000-0000BEA70000}"/>
    <cellStyle name="Normal 13 2 4" xfId="42940" xr:uid="{00000000-0005-0000-0000-0000BFA70000}"/>
    <cellStyle name="Normal 13 2 5" xfId="42941" xr:uid="{00000000-0005-0000-0000-0000C0A70000}"/>
    <cellStyle name="Normal 13 3" xfId="42942" xr:uid="{00000000-0005-0000-0000-0000C1A70000}"/>
    <cellStyle name="Normal 13 3 2" xfId="42943" xr:uid="{00000000-0005-0000-0000-0000C2A70000}"/>
    <cellStyle name="Normal 13 3 3" xfId="42944" xr:uid="{00000000-0005-0000-0000-0000C3A70000}"/>
    <cellStyle name="Normal 13 4" xfId="42945" xr:uid="{00000000-0005-0000-0000-0000C4A70000}"/>
    <cellStyle name="Normal 13 5" xfId="42946" xr:uid="{00000000-0005-0000-0000-0000C5A70000}"/>
    <cellStyle name="Normal 13 6" xfId="42947" xr:uid="{00000000-0005-0000-0000-0000C6A70000}"/>
    <cellStyle name="Normal 13 7" xfId="42948" xr:uid="{00000000-0005-0000-0000-0000C7A70000}"/>
    <cellStyle name="Normal 13 8" xfId="42949" xr:uid="{00000000-0005-0000-0000-0000C8A70000}"/>
    <cellStyle name="Normal 13 9" xfId="42950" xr:uid="{00000000-0005-0000-0000-0000C9A70000}"/>
    <cellStyle name="Normal 13_Proj" xfId="42951" xr:uid="{00000000-0005-0000-0000-0000CAA70000}"/>
    <cellStyle name="Normal 130" xfId="42952" xr:uid="{00000000-0005-0000-0000-0000CBA70000}"/>
    <cellStyle name="Normal 131" xfId="42953" xr:uid="{00000000-0005-0000-0000-0000CCA70000}"/>
    <cellStyle name="Normal 132" xfId="42954" xr:uid="{00000000-0005-0000-0000-0000CDA70000}"/>
    <cellStyle name="Normal 133" xfId="42955" xr:uid="{00000000-0005-0000-0000-0000CEA70000}"/>
    <cellStyle name="Normal 134" xfId="42956" xr:uid="{00000000-0005-0000-0000-0000CFA70000}"/>
    <cellStyle name="Normal 135" xfId="42957" xr:uid="{00000000-0005-0000-0000-0000D0A70000}"/>
    <cellStyle name="Normal 136" xfId="42958" xr:uid="{00000000-0005-0000-0000-0000D1A70000}"/>
    <cellStyle name="Normal 137" xfId="42959" xr:uid="{00000000-0005-0000-0000-0000D2A70000}"/>
    <cellStyle name="Normal 138" xfId="42960" xr:uid="{00000000-0005-0000-0000-0000D3A70000}"/>
    <cellStyle name="Normal 139" xfId="42961" xr:uid="{00000000-0005-0000-0000-0000D4A70000}"/>
    <cellStyle name="Normal 14" xfId="42962" xr:uid="{00000000-0005-0000-0000-0000D5A70000}"/>
    <cellStyle name="Normal 14 10" xfId="42963" xr:uid="{00000000-0005-0000-0000-0000D6A70000}"/>
    <cellStyle name="Normal 14 11" xfId="42964" xr:uid="{00000000-0005-0000-0000-0000D7A70000}"/>
    <cellStyle name="Normal 14 2" xfId="42965" xr:uid="{00000000-0005-0000-0000-0000D8A70000}"/>
    <cellStyle name="Normal 14 2 10" xfId="42966" xr:uid="{00000000-0005-0000-0000-0000D9A70000}"/>
    <cellStyle name="Normal 14 2 2" xfId="42967" xr:uid="{00000000-0005-0000-0000-0000DAA70000}"/>
    <cellStyle name="Normal 14 2 2 2" xfId="42968" xr:uid="{00000000-0005-0000-0000-0000DBA70000}"/>
    <cellStyle name="Normal 14 2 2 2 2" xfId="42969" xr:uid="{00000000-0005-0000-0000-0000DCA70000}"/>
    <cellStyle name="Normal 14 2 2 2 2 2" xfId="42970" xr:uid="{00000000-0005-0000-0000-0000DDA70000}"/>
    <cellStyle name="Normal 14 2 2 2 3" xfId="42971" xr:uid="{00000000-0005-0000-0000-0000DEA70000}"/>
    <cellStyle name="Normal 14 2 2 3" xfId="42972" xr:uid="{00000000-0005-0000-0000-0000DFA70000}"/>
    <cellStyle name="Normal 14 2 2 3 2" xfId="42973" xr:uid="{00000000-0005-0000-0000-0000E0A70000}"/>
    <cellStyle name="Normal 14 2 2 4" xfId="42974" xr:uid="{00000000-0005-0000-0000-0000E1A70000}"/>
    <cellStyle name="Normal 14 2 2 5" xfId="42975" xr:uid="{00000000-0005-0000-0000-0000E2A70000}"/>
    <cellStyle name="Normal 14 2 2 6" xfId="42976" xr:uid="{00000000-0005-0000-0000-0000E3A70000}"/>
    <cellStyle name="Normal 14 2 2 7" xfId="42977" xr:uid="{00000000-0005-0000-0000-0000E4A70000}"/>
    <cellStyle name="Normal 14 2 3" xfId="42978" xr:uid="{00000000-0005-0000-0000-0000E5A70000}"/>
    <cellStyle name="Normal 14 2 3 2" xfId="42979" xr:uid="{00000000-0005-0000-0000-0000E6A70000}"/>
    <cellStyle name="Normal 14 2 3 2 2" xfId="42980" xr:uid="{00000000-0005-0000-0000-0000E7A70000}"/>
    <cellStyle name="Normal 14 2 3 2 2 2" xfId="42981" xr:uid="{00000000-0005-0000-0000-0000E8A70000}"/>
    <cellStyle name="Normal 14 2 3 2 3" xfId="42982" xr:uid="{00000000-0005-0000-0000-0000E9A70000}"/>
    <cellStyle name="Normal 14 2 3 3" xfId="42983" xr:uid="{00000000-0005-0000-0000-0000EAA70000}"/>
    <cellStyle name="Normal 14 2 3 3 2" xfId="42984" xr:uid="{00000000-0005-0000-0000-0000EBA70000}"/>
    <cellStyle name="Normal 14 2 3 4" xfId="42985" xr:uid="{00000000-0005-0000-0000-0000ECA70000}"/>
    <cellStyle name="Normal 14 2 4" xfId="42986" xr:uid="{00000000-0005-0000-0000-0000EDA70000}"/>
    <cellStyle name="Normal 14 2 4 2" xfId="42987" xr:uid="{00000000-0005-0000-0000-0000EEA70000}"/>
    <cellStyle name="Normal 14 2 4 2 2" xfId="42988" xr:uid="{00000000-0005-0000-0000-0000EFA70000}"/>
    <cellStyle name="Normal 14 2 4 3" xfId="42989" xr:uid="{00000000-0005-0000-0000-0000F0A70000}"/>
    <cellStyle name="Normal 14 2 5" xfId="42990" xr:uid="{00000000-0005-0000-0000-0000F1A70000}"/>
    <cellStyle name="Normal 14 2 5 2" xfId="42991" xr:uid="{00000000-0005-0000-0000-0000F2A70000}"/>
    <cellStyle name="Normal 14 2 6" xfId="42992" xr:uid="{00000000-0005-0000-0000-0000F3A70000}"/>
    <cellStyle name="Normal 14 2 6 2" xfId="42993" xr:uid="{00000000-0005-0000-0000-0000F4A70000}"/>
    <cellStyle name="Normal 14 2 7" xfId="42994" xr:uid="{00000000-0005-0000-0000-0000F5A70000}"/>
    <cellStyle name="Normal 14 2 8" xfId="42995" xr:uid="{00000000-0005-0000-0000-0000F6A70000}"/>
    <cellStyle name="Normal 14 2 9" xfId="42996" xr:uid="{00000000-0005-0000-0000-0000F7A70000}"/>
    <cellStyle name="Normal 14 3" xfId="42997" xr:uid="{00000000-0005-0000-0000-0000F8A70000}"/>
    <cellStyle name="Normal 14 3 10" xfId="42998" xr:uid="{00000000-0005-0000-0000-0000F9A70000}"/>
    <cellStyle name="Normal 14 3 2" xfId="42999" xr:uid="{00000000-0005-0000-0000-0000FAA70000}"/>
    <cellStyle name="Normal 14 3 2 2" xfId="43000" xr:uid="{00000000-0005-0000-0000-0000FBA70000}"/>
    <cellStyle name="Normal 14 3 2 2 2" xfId="43001" xr:uid="{00000000-0005-0000-0000-0000FCA70000}"/>
    <cellStyle name="Normal 14 3 2 2 2 2" xfId="43002" xr:uid="{00000000-0005-0000-0000-0000FDA70000}"/>
    <cellStyle name="Normal 14 3 2 2 2 2 2" xfId="43003" xr:uid="{00000000-0005-0000-0000-0000FEA70000}"/>
    <cellStyle name="Normal 14 3 2 2 2 3" xfId="43004" xr:uid="{00000000-0005-0000-0000-0000FFA70000}"/>
    <cellStyle name="Normal 14 3 2 2 3" xfId="43005" xr:uid="{00000000-0005-0000-0000-000000A80000}"/>
    <cellStyle name="Normal 14 3 2 2 3 2" xfId="43006" xr:uid="{00000000-0005-0000-0000-000001A80000}"/>
    <cellStyle name="Normal 14 3 2 2 4" xfId="43007" xr:uid="{00000000-0005-0000-0000-000002A80000}"/>
    <cellStyle name="Normal 14 3 2 2 4 2" xfId="43008" xr:uid="{00000000-0005-0000-0000-000003A80000}"/>
    <cellStyle name="Normal 14 3 2 2 5" xfId="43009" xr:uid="{00000000-0005-0000-0000-000004A80000}"/>
    <cellStyle name="Normal 14 3 2 2 6" xfId="43010" xr:uid="{00000000-0005-0000-0000-000005A80000}"/>
    <cellStyle name="Normal 14 3 2 3" xfId="43011" xr:uid="{00000000-0005-0000-0000-000006A80000}"/>
    <cellStyle name="Normal 14 3 2 3 2" xfId="43012" xr:uid="{00000000-0005-0000-0000-000007A80000}"/>
    <cellStyle name="Normal 14 3 2 3 2 2" xfId="43013" xr:uid="{00000000-0005-0000-0000-000008A80000}"/>
    <cellStyle name="Normal 14 3 2 3 3" xfId="43014" xr:uid="{00000000-0005-0000-0000-000009A80000}"/>
    <cellStyle name="Normal 14 3 2 4" xfId="43015" xr:uid="{00000000-0005-0000-0000-00000AA80000}"/>
    <cellStyle name="Normal 14 3 2 4 2" xfId="43016" xr:uid="{00000000-0005-0000-0000-00000BA80000}"/>
    <cellStyle name="Normal 14 3 2 5" xfId="43017" xr:uid="{00000000-0005-0000-0000-00000CA80000}"/>
    <cellStyle name="Normal 14 3 2 5 2" xfId="43018" xr:uid="{00000000-0005-0000-0000-00000DA80000}"/>
    <cellStyle name="Normal 14 3 2 6" xfId="43019" xr:uid="{00000000-0005-0000-0000-00000EA80000}"/>
    <cellStyle name="Normal 14 3 2 7" xfId="43020" xr:uid="{00000000-0005-0000-0000-00000FA80000}"/>
    <cellStyle name="Normal 14 3 2 8" xfId="43021" xr:uid="{00000000-0005-0000-0000-000010A80000}"/>
    <cellStyle name="Normal 14 3 2 9" xfId="43022" xr:uid="{00000000-0005-0000-0000-000011A80000}"/>
    <cellStyle name="Normal 14 3 3" xfId="43023" xr:uid="{00000000-0005-0000-0000-000012A80000}"/>
    <cellStyle name="Normal 14 3 3 2" xfId="43024" xr:uid="{00000000-0005-0000-0000-000013A80000}"/>
    <cellStyle name="Normal 14 3 3 2 2" xfId="43025" xr:uid="{00000000-0005-0000-0000-000014A80000}"/>
    <cellStyle name="Normal 14 3 3 2 2 2" xfId="43026" xr:uid="{00000000-0005-0000-0000-000015A80000}"/>
    <cellStyle name="Normal 14 3 3 2 3" xfId="43027" xr:uid="{00000000-0005-0000-0000-000016A80000}"/>
    <cellStyle name="Normal 14 3 3 3" xfId="43028" xr:uid="{00000000-0005-0000-0000-000017A80000}"/>
    <cellStyle name="Normal 14 3 3 3 2" xfId="43029" xr:uid="{00000000-0005-0000-0000-000018A80000}"/>
    <cellStyle name="Normal 14 3 3 4" xfId="43030" xr:uid="{00000000-0005-0000-0000-000019A80000}"/>
    <cellStyle name="Normal 14 3 3 4 2" xfId="43031" xr:uid="{00000000-0005-0000-0000-00001AA80000}"/>
    <cellStyle name="Normal 14 3 3 5" xfId="43032" xr:uid="{00000000-0005-0000-0000-00001BA80000}"/>
    <cellStyle name="Normal 14 3 3 6" xfId="43033" xr:uid="{00000000-0005-0000-0000-00001CA80000}"/>
    <cellStyle name="Normal 14 3 4" xfId="43034" xr:uid="{00000000-0005-0000-0000-00001DA80000}"/>
    <cellStyle name="Normal 14 3 4 2" xfId="43035" xr:uid="{00000000-0005-0000-0000-00001EA80000}"/>
    <cellStyle name="Normal 14 3 4 2 2" xfId="43036" xr:uid="{00000000-0005-0000-0000-00001FA80000}"/>
    <cellStyle name="Normal 14 3 4 3" xfId="43037" xr:uid="{00000000-0005-0000-0000-000020A80000}"/>
    <cellStyle name="Normal 14 3 4 4" xfId="43038" xr:uid="{00000000-0005-0000-0000-000021A80000}"/>
    <cellStyle name="Normal 14 3 5" xfId="43039" xr:uid="{00000000-0005-0000-0000-000022A80000}"/>
    <cellStyle name="Normal 14 3 5 2" xfId="43040" xr:uid="{00000000-0005-0000-0000-000023A80000}"/>
    <cellStyle name="Normal 14 3 6" xfId="43041" xr:uid="{00000000-0005-0000-0000-000024A80000}"/>
    <cellStyle name="Normal 14 3 6 2" xfId="43042" xr:uid="{00000000-0005-0000-0000-000025A80000}"/>
    <cellStyle name="Normal 14 3 7" xfId="43043" xr:uid="{00000000-0005-0000-0000-000026A80000}"/>
    <cellStyle name="Normal 14 3 8" xfId="43044" xr:uid="{00000000-0005-0000-0000-000027A80000}"/>
    <cellStyle name="Normal 14 3 9" xfId="43045" xr:uid="{00000000-0005-0000-0000-000028A80000}"/>
    <cellStyle name="Normal 14 4" xfId="43046" xr:uid="{00000000-0005-0000-0000-000029A80000}"/>
    <cellStyle name="Normal 14 4 2" xfId="43047" xr:uid="{00000000-0005-0000-0000-00002AA80000}"/>
    <cellStyle name="Normal 14 4 2 2" xfId="43048" xr:uid="{00000000-0005-0000-0000-00002BA80000}"/>
    <cellStyle name="Normal 14 4 3" xfId="43049" xr:uid="{00000000-0005-0000-0000-00002CA80000}"/>
    <cellStyle name="Normal 14 5" xfId="43050" xr:uid="{00000000-0005-0000-0000-00002DA80000}"/>
    <cellStyle name="Normal 14 5 2" xfId="43051" xr:uid="{00000000-0005-0000-0000-00002EA80000}"/>
    <cellStyle name="Normal 14 6" xfId="43052" xr:uid="{00000000-0005-0000-0000-00002FA80000}"/>
    <cellStyle name="Normal 14 7" xfId="43053" xr:uid="{00000000-0005-0000-0000-000030A80000}"/>
    <cellStyle name="Normal 14 8" xfId="43054" xr:uid="{00000000-0005-0000-0000-000031A80000}"/>
    <cellStyle name="Normal 14 9" xfId="43055" xr:uid="{00000000-0005-0000-0000-000032A80000}"/>
    <cellStyle name="Normal 14_Proj" xfId="43056" xr:uid="{00000000-0005-0000-0000-000033A80000}"/>
    <cellStyle name="Normal 140" xfId="43057" xr:uid="{00000000-0005-0000-0000-000034A80000}"/>
    <cellStyle name="Normal 141" xfId="43058" xr:uid="{00000000-0005-0000-0000-000035A80000}"/>
    <cellStyle name="Normal 142" xfId="43059" xr:uid="{00000000-0005-0000-0000-000036A80000}"/>
    <cellStyle name="Normal 143" xfId="43060" xr:uid="{00000000-0005-0000-0000-000037A80000}"/>
    <cellStyle name="Normal 144" xfId="43061" xr:uid="{00000000-0005-0000-0000-000038A80000}"/>
    <cellStyle name="Normal 145" xfId="43062" xr:uid="{00000000-0005-0000-0000-000039A80000}"/>
    <cellStyle name="Normal 146" xfId="43063" xr:uid="{00000000-0005-0000-0000-00003AA80000}"/>
    <cellStyle name="Normal 147" xfId="43064" xr:uid="{00000000-0005-0000-0000-00003BA80000}"/>
    <cellStyle name="Normal 148" xfId="43065" xr:uid="{00000000-0005-0000-0000-00003CA80000}"/>
    <cellStyle name="Normal 149" xfId="43066" xr:uid="{00000000-0005-0000-0000-00003DA80000}"/>
    <cellStyle name="Normal 15" xfId="43067" xr:uid="{00000000-0005-0000-0000-00003EA80000}"/>
    <cellStyle name="Normal 15 2" xfId="43068" xr:uid="{00000000-0005-0000-0000-00003FA80000}"/>
    <cellStyle name="Normal 15 2 2" xfId="43069" xr:uid="{00000000-0005-0000-0000-000040A80000}"/>
    <cellStyle name="Normal 15 2 2 2" xfId="43070" xr:uid="{00000000-0005-0000-0000-000041A80000}"/>
    <cellStyle name="Normal 15 2 2 2 2" xfId="43071" xr:uid="{00000000-0005-0000-0000-000042A80000}"/>
    <cellStyle name="Normal 15 2 2 3" xfId="43072" xr:uid="{00000000-0005-0000-0000-000043A80000}"/>
    <cellStyle name="Normal 15 2 3" xfId="43073" xr:uid="{00000000-0005-0000-0000-000044A80000}"/>
    <cellStyle name="Normal 15 2 3 2" xfId="43074" xr:uid="{00000000-0005-0000-0000-000045A80000}"/>
    <cellStyle name="Normal 15 2 4" xfId="43075" xr:uid="{00000000-0005-0000-0000-000046A80000}"/>
    <cellStyle name="Normal 15 2 5" xfId="43076" xr:uid="{00000000-0005-0000-0000-000047A80000}"/>
    <cellStyle name="Normal 15 3" xfId="43077" xr:uid="{00000000-0005-0000-0000-000048A80000}"/>
    <cellStyle name="Normal 15 3 2" xfId="43078" xr:uid="{00000000-0005-0000-0000-000049A80000}"/>
    <cellStyle name="Normal 15 3 2 2" xfId="43079" xr:uid="{00000000-0005-0000-0000-00004AA80000}"/>
    <cellStyle name="Normal 15 3 3" xfId="43080" xr:uid="{00000000-0005-0000-0000-00004BA80000}"/>
    <cellStyle name="Normal 15 4" xfId="43081" xr:uid="{00000000-0005-0000-0000-00004CA80000}"/>
    <cellStyle name="Normal 15 5" xfId="43082" xr:uid="{00000000-0005-0000-0000-00004DA80000}"/>
    <cellStyle name="Normal 15 6" xfId="43083" xr:uid="{00000000-0005-0000-0000-00004EA80000}"/>
    <cellStyle name="Normal 15 7" xfId="43084" xr:uid="{00000000-0005-0000-0000-00004FA80000}"/>
    <cellStyle name="Normal 15 8" xfId="43085" xr:uid="{00000000-0005-0000-0000-000050A80000}"/>
    <cellStyle name="Normal 15 9" xfId="43086" xr:uid="{00000000-0005-0000-0000-000051A80000}"/>
    <cellStyle name="Normal 15_Proj" xfId="43087" xr:uid="{00000000-0005-0000-0000-000052A80000}"/>
    <cellStyle name="Normal 150" xfId="43088" xr:uid="{00000000-0005-0000-0000-000053A80000}"/>
    <cellStyle name="Normal 151" xfId="43089" xr:uid="{00000000-0005-0000-0000-000054A80000}"/>
    <cellStyle name="Normal 152" xfId="43090" xr:uid="{00000000-0005-0000-0000-000055A80000}"/>
    <cellStyle name="Normal 153" xfId="43091" xr:uid="{00000000-0005-0000-0000-000056A80000}"/>
    <cellStyle name="Normal 154" xfId="43092" xr:uid="{00000000-0005-0000-0000-000057A80000}"/>
    <cellStyle name="Normal 155" xfId="43093" xr:uid="{00000000-0005-0000-0000-000058A80000}"/>
    <cellStyle name="Normal 156" xfId="43094" xr:uid="{00000000-0005-0000-0000-000059A80000}"/>
    <cellStyle name="Normal 157" xfId="43095" xr:uid="{00000000-0005-0000-0000-00005AA80000}"/>
    <cellStyle name="Normal 158" xfId="43096" xr:uid="{00000000-0005-0000-0000-00005BA80000}"/>
    <cellStyle name="Normal 159" xfId="43097" xr:uid="{00000000-0005-0000-0000-00005CA80000}"/>
    <cellStyle name="Normal 16" xfId="43098" xr:uid="{00000000-0005-0000-0000-00005DA80000}"/>
    <cellStyle name="Normal 16 2" xfId="43099" xr:uid="{00000000-0005-0000-0000-00005EA80000}"/>
    <cellStyle name="Normal 16 2 2" xfId="43100" xr:uid="{00000000-0005-0000-0000-00005FA80000}"/>
    <cellStyle name="Normal 16 2 2 2" xfId="43101" xr:uid="{00000000-0005-0000-0000-000060A80000}"/>
    <cellStyle name="Normal 16 2 2 2 2" xfId="43102" xr:uid="{00000000-0005-0000-0000-000061A80000}"/>
    <cellStyle name="Normal 16 2 2 3" xfId="43103" xr:uid="{00000000-0005-0000-0000-000062A80000}"/>
    <cellStyle name="Normal 16 2 2 4" xfId="43104" xr:uid="{00000000-0005-0000-0000-000063A80000}"/>
    <cellStyle name="Normal 16 2 2 5" xfId="43105" xr:uid="{00000000-0005-0000-0000-000064A80000}"/>
    <cellStyle name="Normal 16 2 3" xfId="43106" xr:uid="{00000000-0005-0000-0000-000065A80000}"/>
    <cellStyle name="Normal 16 2 3 2" xfId="43107" xr:uid="{00000000-0005-0000-0000-000066A80000}"/>
    <cellStyle name="Normal 16 2 4" xfId="43108" xr:uid="{00000000-0005-0000-0000-000067A80000}"/>
    <cellStyle name="Normal 16 2 5" xfId="43109" xr:uid="{00000000-0005-0000-0000-000068A80000}"/>
    <cellStyle name="Normal 16 2 6" xfId="43110" xr:uid="{00000000-0005-0000-0000-000069A80000}"/>
    <cellStyle name="Normal 16 2 7" xfId="43111" xr:uid="{00000000-0005-0000-0000-00006AA80000}"/>
    <cellStyle name="Normal 16 3" xfId="43112" xr:uid="{00000000-0005-0000-0000-00006BA80000}"/>
    <cellStyle name="Normal 16 3 2" xfId="43113" xr:uid="{00000000-0005-0000-0000-00006CA80000}"/>
    <cellStyle name="Normal 16 3 2 2" xfId="43114" xr:uid="{00000000-0005-0000-0000-00006DA80000}"/>
    <cellStyle name="Normal 16 3 3" xfId="43115" xr:uid="{00000000-0005-0000-0000-00006EA80000}"/>
    <cellStyle name="Normal 16 3 4" xfId="43116" xr:uid="{00000000-0005-0000-0000-00006FA80000}"/>
    <cellStyle name="Normal 16 4" xfId="43117" xr:uid="{00000000-0005-0000-0000-000070A80000}"/>
    <cellStyle name="Normal 16 5" xfId="43118" xr:uid="{00000000-0005-0000-0000-000071A80000}"/>
    <cellStyle name="Normal 16 6" xfId="43119" xr:uid="{00000000-0005-0000-0000-000072A80000}"/>
    <cellStyle name="Normal 16 7" xfId="43120" xr:uid="{00000000-0005-0000-0000-000073A80000}"/>
    <cellStyle name="Normal 16 8" xfId="43121" xr:uid="{00000000-0005-0000-0000-000074A80000}"/>
    <cellStyle name="Normal 16 9" xfId="43122" xr:uid="{00000000-0005-0000-0000-000075A80000}"/>
    <cellStyle name="Normal 16_Proj" xfId="43123" xr:uid="{00000000-0005-0000-0000-000076A80000}"/>
    <cellStyle name="Normal 160" xfId="43124" xr:uid="{00000000-0005-0000-0000-000077A80000}"/>
    <cellStyle name="Normal 161" xfId="43125" xr:uid="{00000000-0005-0000-0000-000078A80000}"/>
    <cellStyle name="Normal 162" xfId="43126" xr:uid="{00000000-0005-0000-0000-000079A80000}"/>
    <cellStyle name="Normal 163" xfId="43127" xr:uid="{00000000-0005-0000-0000-00007AA80000}"/>
    <cellStyle name="Normal 164" xfId="43128" xr:uid="{00000000-0005-0000-0000-00007BA80000}"/>
    <cellStyle name="Normal 165" xfId="43129" xr:uid="{00000000-0005-0000-0000-00007CA80000}"/>
    <cellStyle name="Normal 166" xfId="43130" xr:uid="{00000000-0005-0000-0000-00007DA80000}"/>
    <cellStyle name="Normal 167" xfId="43131" xr:uid="{00000000-0005-0000-0000-00007EA80000}"/>
    <cellStyle name="Normal 168" xfId="43132" xr:uid="{00000000-0005-0000-0000-00007FA80000}"/>
    <cellStyle name="Normal 169" xfId="43133" xr:uid="{00000000-0005-0000-0000-000080A80000}"/>
    <cellStyle name="Normal 17" xfId="43134" xr:uid="{00000000-0005-0000-0000-000081A80000}"/>
    <cellStyle name="Normal 17 2" xfId="43135" xr:uid="{00000000-0005-0000-0000-000082A80000}"/>
    <cellStyle name="Normal 17 2 2" xfId="43136" xr:uid="{00000000-0005-0000-0000-000083A80000}"/>
    <cellStyle name="Normal 17 2 2 2" xfId="43137" xr:uid="{00000000-0005-0000-0000-000084A80000}"/>
    <cellStyle name="Normal 17 2 2 2 2" xfId="43138" xr:uid="{00000000-0005-0000-0000-000085A80000}"/>
    <cellStyle name="Normal 17 2 2 3" xfId="43139" xr:uid="{00000000-0005-0000-0000-000086A80000}"/>
    <cellStyle name="Normal 17 2 3" xfId="43140" xr:uid="{00000000-0005-0000-0000-000087A80000}"/>
    <cellStyle name="Normal 17 2 3 2" xfId="43141" xr:uid="{00000000-0005-0000-0000-000088A80000}"/>
    <cellStyle name="Normal 17 2 4" xfId="43142" xr:uid="{00000000-0005-0000-0000-000089A80000}"/>
    <cellStyle name="Normal 17 2 5" xfId="43143" xr:uid="{00000000-0005-0000-0000-00008AA80000}"/>
    <cellStyle name="Normal 17 3" xfId="43144" xr:uid="{00000000-0005-0000-0000-00008BA80000}"/>
    <cellStyle name="Normal 17 4" xfId="43145" xr:uid="{00000000-0005-0000-0000-00008CA80000}"/>
    <cellStyle name="Normal 17 5" xfId="43146" xr:uid="{00000000-0005-0000-0000-00008DA80000}"/>
    <cellStyle name="Normal 17 6" xfId="43147" xr:uid="{00000000-0005-0000-0000-00008EA80000}"/>
    <cellStyle name="Normal 17_Proj" xfId="43148" xr:uid="{00000000-0005-0000-0000-00008FA80000}"/>
    <cellStyle name="Normal 170" xfId="43149" xr:uid="{00000000-0005-0000-0000-000090A80000}"/>
    <cellStyle name="Normal 171" xfId="43150" xr:uid="{00000000-0005-0000-0000-000091A80000}"/>
    <cellStyle name="Normal 172" xfId="43151" xr:uid="{00000000-0005-0000-0000-000092A80000}"/>
    <cellStyle name="Normal 173" xfId="43152" xr:uid="{00000000-0005-0000-0000-000093A80000}"/>
    <cellStyle name="Normal 174" xfId="43153" xr:uid="{00000000-0005-0000-0000-000094A80000}"/>
    <cellStyle name="Normal 175" xfId="43154" xr:uid="{00000000-0005-0000-0000-000095A80000}"/>
    <cellStyle name="Normal 176" xfId="43155" xr:uid="{00000000-0005-0000-0000-000096A80000}"/>
    <cellStyle name="Normal 177" xfId="43156" xr:uid="{00000000-0005-0000-0000-000097A80000}"/>
    <cellStyle name="Normal 178" xfId="43157" xr:uid="{00000000-0005-0000-0000-000098A80000}"/>
    <cellStyle name="Normal 179" xfId="43158" xr:uid="{00000000-0005-0000-0000-000099A80000}"/>
    <cellStyle name="Normal 18" xfId="43159" xr:uid="{00000000-0005-0000-0000-00009AA80000}"/>
    <cellStyle name="Normal 18 10" xfId="43160" xr:uid="{00000000-0005-0000-0000-00009BA80000}"/>
    <cellStyle name="Normal 18 10 2" xfId="43161" xr:uid="{00000000-0005-0000-0000-00009CA80000}"/>
    <cellStyle name="Normal 18 10 2 2" xfId="43162" xr:uid="{00000000-0005-0000-0000-00009DA80000}"/>
    <cellStyle name="Normal 18 10 3" xfId="43163" xr:uid="{00000000-0005-0000-0000-00009EA80000}"/>
    <cellStyle name="Normal 18 11" xfId="43164" xr:uid="{00000000-0005-0000-0000-00009FA80000}"/>
    <cellStyle name="Normal 18 11 2" xfId="43165" xr:uid="{00000000-0005-0000-0000-0000A0A80000}"/>
    <cellStyle name="Normal 18 11 2 2" xfId="43166" xr:uid="{00000000-0005-0000-0000-0000A1A80000}"/>
    <cellStyle name="Normal 18 11 3" xfId="43167" xr:uid="{00000000-0005-0000-0000-0000A2A80000}"/>
    <cellStyle name="Normal 18 12" xfId="43168" xr:uid="{00000000-0005-0000-0000-0000A3A80000}"/>
    <cellStyle name="Normal 18 12 2" xfId="43169" xr:uid="{00000000-0005-0000-0000-0000A4A80000}"/>
    <cellStyle name="Normal 18 12 2 2" xfId="43170" xr:uid="{00000000-0005-0000-0000-0000A5A80000}"/>
    <cellStyle name="Normal 18 12 3" xfId="43171" xr:uid="{00000000-0005-0000-0000-0000A6A80000}"/>
    <cellStyle name="Normal 18 13" xfId="43172" xr:uid="{00000000-0005-0000-0000-0000A7A80000}"/>
    <cellStyle name="Normal 18 13 2" xfId="43173" xr:uid="{00000000-0005-0000-0000-0000A8A80000}"/>
    <cellStyle name="Normal 18 13 2 2" xfId="43174" xr:uid="{00000000-0005-0000-0000-0000A9A80000}"/>
    <cellStyle name="Normal 18 13 3" xfId="43175" xr:uid="{00000000-0005-0000-0000-0000AAA80000}"/>
    <cellStyle name="Normal 18 14" xfId="43176" xr:uid="{00000000-0005-0000-0000-0000ABA80000}"/>
    <cellStyle name="Normal 18 14 2" xfId="43177" xr:uid="{00000000-0005-0000-0000-0000ACA80000}"/>
    <cellStyle name="Normal 18 14 2 2" xfId="43178" xr:uid="{00000000-0005-0000-0000-0000ADA80000}"/>
    <cellStyle name="Normal 18 14 3" xfId="43179" xr:uid="{00000000-0005-0000-0000-0000AEA80000}"/>
    <cellStyle name="Normal 18 15" xfId="43180" xr:uid="{00000000-0005-0000-0000-0000AFA80000}"/>
    <cellStyle name="Normal 18 15 2" xfId="43181" xr:uid="{00000000-0005-0000-0000-0000B0A80000}"/>
    <cellStyle name="Normal 18 15 2 2" xfId="43182" xr:uid="{00000000-0005-0000-0000-0000B1A80000}"/>
    <cellStyle name="Normal 18 15 3" xfId="43183" xr:uid="{00000000-0005-0000-0000-0000B2A80000}"/>
    <cellStyle name="Normal 18 16" xfId="43184" xr:uid="{00000000-0005-0000-0000-0000B3A80000}"/>
    <cellStyle name="Normal 18 16 2" xfId="43185" xr:uid="{00000000-0005-0000-0000-0000B4A80000}"/>
    <cellStyle name="Normal 18 16 2 2" xfId="43186" xr:uid="{00000000-0005-0000-0000-0000B5A80000}"/>
    <cellStyle name="Normal 18 16 3" xfId="43187" xr:uid="{00000000-0005-0000-0000-0000B6A80000}"/>
    <cellStyle name="Normal 18 17" xfId="43188" xr:uid="{00000000-0005-0000-0000-0000B7A80000}"/>
    <cellStyle name="Normal 18 17 2" xfId="43189" xr:uid="{00000000-0005-0000-0000-0000B8A80000}"/>
    <cellStyle name="Normal 18 17 2 2" xfId="43190" xr:uid="{00000000-0005-0000-0000-0000B9A80000}"/>
    <cellStyle name="Normal 18 17 3" xfId="43191" xr:uid="{00000000-0005-0000-0000-0000BAA80000}"/>
    <cellStyle name="Normal 18 18" xfId="43192" xr:uid="{00000000-0005-0000-0000-0000BBA80000}"/>
    <cellStyle name="Normal 18 18 2" xfId="43193" xr:uid="{00000000-0005-0000-0000-0000BCA80000}"/>
    <cellStyle name="Normal 18 18 2 2" xfId="43194" xr:uid="{00000000-0005-0000-0000-0000BDA80000}"/>
    <cellStyle name="Normal 18 18 3" xfId="43195" xr:uid="{00000000-0005-0000-0000-0000BEA80000}"/>
    <cellStyle name="Normal 18 19" xfId="43196" xr:uid="{00000000-0005-0000-0000-0000BFA80000}"/>
    <cellStyle name="Normal 18 19 2" xfId="43197" xr:uid="{00000000-0005-0000-0000-0000C0A80000}"/>
    <cellStyle name="Normal 18 19 2 2" xfId="43198" xr:uid="{00000000-0005-0000-0000-0000C1A80000}"/>
    <cellStyle name="Normal 18 19 3" xfId="43199" xr:uid="{00000000-0005-0000-0000-0000C2A80000}"/>
    <cellStyle name="Normal 18 2" xfId="43200" xr:uid="{00000000-0005-0000-0000-0000C3A80000}"/>
    <cellStyle name="Normal 18 2 2" xfId="43201" xr:uid="{00000000-0005-0000-0000-0000C4A80000}"/>
    <cellStyle name="Normal 18 2 2 2" xfId="43202" xr:uid="{00000000-0005-0000-0000-0000C5A80000}"/>
    <cellStyle name="Normal 18 2 2 2 2" xfId="43203" xr:uid="{00000000-0005-0000-0000-0000C6A80000}"/>
    <cellStyle name="Normal 18 2 2 2 2 2" xfId="43204" xr:uid="{00000000-0005-0000-0000-0000C7A80000}"/>
    <cellStyle name="Normal 18 2 2 2 3" xfId="43205" xr:uid="{00000000-0005-0000-0000-0000C8A80000}"/>
    <cellStyle name="Normal 18 2 2 3" xfId="43206" xr:uid="{00000000-0005-0000-0000-0000C9A80000}"/>
    <cellStyle name="Normal 18 2 2 3 2" xfId="43207" xr:uid="{00000000-0005-0000-0000-0000CAA80000}"/>
    <cellStyle name="Normal 18 2 2 4" xfId="43208" xr:uid="{00000000-0005-0000-0000-0000CBA80000}"/>
    <cellStyle name="Normal 18 2 3" xfId="43209" xr:uid="{00000000-0005-0000-0000-0000CCA80000}"/>
    <cellStyle name="Normal 18 2 3 2" xfId="43210" xr:uid="{00000000-0005-0000-0000-0000CDA80000}"/>
    <cellStyle name="Normal 18 2 3 2 2" xfId="43211" xr:uid="{00000000-0005-0000-0000-0000CEA80000}"/>
    <cellStyle name="Normal 18 2 3 3" xfId="43212" xr:uid="{00000000-0005-0000-0000-0000CFA80000}"/>
    <cellStyle name="Normal 18 2 4" xfId="43213" xr:uid="{00000000-0005-0000-0000-0000D0A80000}"/>
    <cellStyle name="Normal 18 2 4 2" xfId="43214" xr:uid="{00000000-0005-0000-0000-0000D1A80000}"/>
    <cellStyle name="Normal 18 2 5" xfId="43215" xr:uid="{00000000-0005-0000-0000-0000D2A80000}"/>
    <cellStyle name="Normal 18 2 6" xfId="43216" xr:uid="{00000000-0005-0000-0000-0000D3A80000}"/>
    <cellStyle name="Normal 18 20" xfId="43217" xr:uid="{00000000-0005-0000-0000-0000D4A80000}"/>
    <cellStyle name="Normal 18 21" xfId="43218" xr:uid="{00000000-0005-0000-0000-0000D5A80000}"/>
    <cellStyle name="Normal 18 3" xfId="43219" xr:uid="{00000000-0005-0000-0000-0000D6A80000}"/>
    <cellStyle name="Normal 18 3 2" xfId="43220" xr:uid="{00000000-0005-0000-0000-0000D7A80000}"/>
    <cellStyle name="Normal 18 3 2 2" xfId="43221" xr:uid="{00000000-0005-0000-0000-0000D8A80000}"/>
    <cellStyle name="Normal 18 3 2 2 2" xfId="43222" xr:uid="{00000000-0005-0000-0000-0000D9A80000}"/>
    <cellStyle name="Normal 18 3 2 3" xfId="43223" xr:uid="{00000000-0005-0000-0000-0000DAA80000}"/>
    <cellStyle name="Normal 18 3 3" xfId="43224" xr:uid="{00000000-0005-0000-0000-0000DBA80000}"/>
    <cellStyle name="Normal 18 3 3 2" xfId="43225" xr:uid="{00000000-0005-0000-0000-0000DCA80000}"/>
    <cellStyle name="Normal 18 3 4" xfId="43226" xr:uid="{00000000-0005-0000-0000-0000DDA80000}"/>
    <cellStyle name="Normal 18 3 5" xfId="43227" xr:uid="{00000000-0005-0000-0000-0000DEA80000}"/>
    <cellStyle name="Normal 18 4" xfId="43228" xr:uid="{00000000-0005-0000-0000-0000DFA80000}"/>
    <cellStyle name="Normal 18 4 2" xfId="43229" xr:uid="{00000000-0005-0000-0000-0000E0A80000}"/>
    <cellStyle name="Normal 18 4 2 2" xfId="43230" xr:uid="{00000000-0005-0000-0000-0000E1A80000}"/>
    <cellStyle name="Normal 18 4 3" xfId="43231" xr:uid="{00000000-0005-0000-0000-0000E2A80000}"/>
    <cellStyle name="Normal 18 5" xfId="43232" xr:uid="{00000000-0005-0000-0000-0000E3A80000}"/>
    <cellStyle name="Normal 18 5 2" xfId="43233" xr:uid="{00000000-0005-0000-0000-0000E4A80000}"/>
    <cellStyle name="Normal 18 5 2 2" xfId="43234" xr:uid="{00000000-0005-0000-0000-0000E5A80000}"/>
    <cellStyle name="Normal 18 5 3" xfId="43235" xr:uid="{00000000-0005-0000-0000-0000E6A80000}"/>
    <cellStyle name="Normal 18 6" xfId="43236" xr:uid="{00000000-0005-0000-0000-0000E7A80000}"/>
    <cellStyle name="Normal 18 6 2" xfId="43237" xr:uid="{00000000-0005-0000-0000-0000E8A80000}"/>
    <cellStyle name="Normal 18 6 2 2" xfId="43238" xr:uid="{00000000-0005-0000-0000-0000E9A80000}"/>
    <cellStyle name="Normal 18 6 3" xfId="43239" xr:uid="{00000000-0005-0000-0000-0000EAA80000}"/>
    <cellStyle name="Normal 18 7" xfId="43240" xr:uid="{00000000-0005-0000-0000-0000EBA80000}"/>
    <cellStyle name="Normal 18 7 2" xfId="43241" xr:uid="{00000000-0005-0000-0000-0000ECA80000}"/>
    <cellStyle name="Normal 18 7 2 2" xfId="43242" xr:uid="{00000000-0005-0000-0000-0000EDA80000}"/>
    <cellStyle name="Normal 18 7 3" xfId="43243" xr:uid="{00000000-0005-0000-0000-0000EEA80000}"/>
    <cellStyle name="Normal 18 8" xfId="43244" xr:uid="{00000000-0005-0000-0000-0000EFA80000}"/>
    <cellStyle name="Normal 18 8 2" xfId="43245" xr:uid="{00000000-0005-0000-0000-0000F0A80000}"/>
    <cellStyle name="Normal 18 8 2 2" xfId="43246" xr:uid="{00000000-0005-0000-0000-0000F1A80000}"/>
    <cellStyle name="Normal 18 8 3" xfId="43247" xr:uid="{00000000-0005-0000-0000-0000F2A80000}"/>
    <cellStyle name="Normal 18 9" xfId="43248" xr:uid="{00000000-0005-0000-0000-0000F3A80000}"/>
    <cellStyle name="Normal 18 9 2" xfId="43249" xr:uid="{00000000-0005-0000-0000-0000F4A80000}"/>
    <cellStyle name="Normal 18 9 2 2" xfId="43250" xr:uid="{00000000-0005-0000-0000-0000F5A80000}"/>
    <cellStyle name="Normal 18 9 3" xfId="43251" xr:uid="{00000000-0005-0000-0000-0000F6A80000}"/>
    <cellStyle name="Normal 18_Proj" xfId="43252" xr:uid="{00000000-0005-0000-0000-0000F7A80000}"/>
    <cellStyle name="Normal 180" xfId="43253" xr:uid="{00000000-0005-0000-0000-0000F8A80000}"/>
    <cellStyle name="Normal 181" xfId="43254" xr:uid="{00000000-0005-0000-0000-0000F9A80000}"/>
    <cellStyle name="Normal 182" xfId="43255" xr:uid="{00000000-0005-0000-0000-0000FAA80000}"/>
    <cellStyle name="Normal 183" xfId="43256" xr:uid="{00000000-0005-0000-0000-0000FBA80000}"/>
    <cellStyle name="Normal 184" xfId="43257" xr:uid="{00000000-0005-0000-0000-0000FCA80000}"/>
    <cellStyle name="Normal 185" xfId="43258" xr:uid="{00000000-0005-0000-0000-0000FDA80000}"/>
    <cellStyle name="Normal 186" xfId="43259" xr:uid="{00000000-0005-0000-0000-0000FEA80000}"/>
    <cellStyle name="Normal 187" xfId="43260" xr:uid="{00000000-0005-0000-0000-0000FFA80000}"/>
    <cellStyle name="Normal 188" xfId="43261" xr:uid="{00000000-0005-0000-0000-000000A90000}"/>
    <cellStyle name="Normal 189" xfId="43262" xr:uid="{00000000-0005-0000-0000-000001A90000}"/>
    <cellStyle name="Normal 19" xfId="43263" xr:uid="{00000000-0005-0000-0000-000002A90000}"/>
    <cellStyle name="Normal 19 2" xfId="43264" xr:uid="{00000000-0005-0000-0000-000003A90000}"/>
    <cellStyle name="Normal 19 2 2" xfId="43265" xr:uid="{00000000-0005-0000-0000-000004A90000}"/>
    <cellStyle name="Normal 19 2 2 2" xfId="43266" xr:uid="{00000000-0005-0000-0000-000005A90000}"/>
    <cellStyle name="Normal 19 2 2 2 2" xfId="43267" xr:uid="{00000000-0005-0000-0000-000006A90000}"/>
    <cellStyle name="Normal 19 2 2 3" xfId="43268" xr:uid="{00000000-0005-0000-0000-000007A90000}"/>
    <cellStyle name="Normal 19 2 3" xfId="43269" xr:uid="{00000000-0005-0000-0000-000008A90000}"/>
    <cellStyle name="Normal 19 2 3 2" xfId="43270" xr:uid="{00000000-0005-0000-0000-000009A90000}"/>
    <cellStyle name="Normal 19 2 4" xfId="43271" xr:uid="{00000000-0005-0000-0000-00000AA90000}"/>
    <cellStyle name="Normal 19 2 5" xfId="43272" xr:uid="{00000000-0005-0000-0000-00000BA90000}"/>
    <cellStyle name="Normal 19 3" xfId="43273" xr:uid="{00000000-0005-0000-0000-00000CA90000}"/>
    <cellStyle name="Normal 19 3 2" xfId="43274" xr:uid="{00000000-0005-0000-0000-00000DA90000}"/>
    <cellStyle name="Normal 19 4" xfId="43275" xr:uid="{00000000-0005-0000-0000-00000EA90000}"/>
    <cellStyle name="Normal 19_Proj" xfId="43276" xr:uid="{00000000-0005-0000-0000-00000FA90000}"/>
    <cellStyle name="Normal 190" xfId="43277" xr:uid="{00000000-0005-0000-0000-000010A90000}"/>
    <cellStyle name="Normal 191" xfId="43278" xr:uid="{00000000-0005-0000-0000-000011A90000}"/>
    <cellStyle name="Normal 192" xfId="43279" xr:uid="{00000000-0005-0000-0000-000012A90000}"/>
    <cellStyle name="Normal 192 2" xfId="43280" xr:uid="{00000000-0005-0000-0000-000013A90000}"/>
    <cellStyle name="Normal 193" xfId="43281" xr:uid="{00000000-0005-0000-0000-000014A90000}"/>
    <cellStyle name="Normal 194" xfId="43282" xr:uid="{00000000-0005-0000-0000-000015A90000}"/>
    <cellStyle name="Normal 195" xfId="43283" xr:uid="{00000000-0005-0000-0000-000016A90000}"/>
    <cellStyle name="Normal 196" xfId="43284" xr:uid="{00000000-0005-0000-0000-000017A90000}"/>
    <cellStyle name="Normal 197" xfId="43285" xr:uid="{00000000-0005-0000-0000-000018A90000}"/>
    <cellStyle name="Normal 198" xfId="43286" xr:uid="{00000000-0005-0000-0000-000019A90000}"/>
    <cellStyle name="Normal 199" xfId="43287" xr:uid="{00000000-0005-0000-0000-00001AA90000}"/>
    <cellStyle name="Normal 2" xfId="2" xr:uid="{00000000-0005-0000-0000-00001BA90000}"/>
    <cellStyle name="Normal 2 10" xfId="43288" xr:uid="{00000000-0005-0000-0000-00001CA90000}"/>
    <cellStyle name="Normal 2 10 2" xfId="43289" xr:uid="{00000000-0005-0000-0000-00001DA90000}"/>
    <cellStyle name="Normal 2 11" xfId="43290" xr:uid="{00000000-0005-0000-0000-00001EA90000}"/>
    <cellStyle name="Normal 2 11 2" xfId="43291" xr:uid="{00000000-0005-0000-0000-00001FA90000}"/>
    <cellStyle name="Normal 2 12" xfId="43292" xr:uid="{00000000-0005-0000-0000-000020A90000}"/>
    <cellStyle name="Normal 2 12 2" xfId="43293" xr:uid="{00000000-0005-0000-0000-000021A90000}"/>
    <cellStyle name="Normal 2 13" xfId="43294" xr:uid="{00000000-0005-0000-0000-000022A90000}"/>
    <cellStyle name="Normal 2 13 2" xfId="43295" xr:uid="{00000000-0005-0000-0000-000023A90000}"/>
    <cellStyle name="Normal 2 13 3" xfId="43296" xr:uid="{00000000-0005-0000-0000-000024A90000}"/>
    <cellStyle name="Normal 2 13 4" xfId="43297" xr:uid="{00000000-0005-0000-0000-000025A90000}"/>
    <cellStyle name="Normal 2 13 5" xfId="43298" xr:uid="{00000000-0005-0000-0000-000026A90000}"/>
    <cellStyle name="Normal 2 13 6" xfId="43299" xr:uid="{00000000-0005-0000-0000-000027A90000}"/>
    <cellStyle name="Normal 2 14" xfId="43300" xr:uid="{00000000-0005-0000-0000-000028A90000}"/>
    <cellStyle name="Normal 2 14 2" xfId="43301" xr:uid="{00000000-0005-0000-0000-000029A90000}"/>
    <cellStyle name="Normal 2 15" xfId="43302" xr:uid="{00000000-0005-0000-0000-00002AA90000}"/>
    <cellStyle name="Normal 2 15 2" xfId="43303" xr:uid="{00000000-0005-0000-0000-00002BA90000}"/>
    <cellStyle name="Normal 2 15 3" xfId="43304" xr:uid="{00000000-0005-0000-0000-00002CA90000}"/>
    <cellStyle name="Normal 2 15_Labour" xfId="43305" xr:uid="{00000000-0005-0000-0000-00002DA90000}"/>
    <cellStyle name="Normal 2 16" xfId="43306" xr:uid="{00000000-0005-0000-0000-00002EA90000}"/>
    <cellStyle name="Normal 2 16 2" xfId="43307" xr:uid="{00000000-0005-0000-0000-00002FA90000}"/>
    <cellStyle name="Normal 2 17" xfId="43308" xr:uid="{00000000-0005-0000-0000-000030A90000}"/>
    <cellStyle name="Normal 2 17 2" xfId="43309" xr:uid="{00000000-0005-0000-0000-000031A90000}"/>
    <cellStyle name="Normal 2 18" xfId="43310" xr:uid="{00000000-0005-0000-0000-000032A90000}"/>
    <cellStyle name="Normal 2 18 2" xfId="43311" xr:uid="{00000000-0005-0000-0000-000033A90000}"/>
    <cellStyle name="Normal 2 19" xfId="43312" xr:uid="{00000000-0005-0000-0000-000034A90000}"/>
    <cellStyle name="Normal 2 19 2" xfId="43313" xr:uid="{00000000-0005-0000-0000-000035A90000}"/>
    <cellStyle name="Normal 2 2" xfId="8" xr:uid="{00000000-0005-0000-0000-000036A90000}"/>
    <cellStyle name="Normal 2 2 10" xfId="43314" xr:uid="{00000000-0005-0000-0000-000037A90000}"/>
    <cellStyle name="Normal 2 2 100" xfId="43315" xr:uid="{00000000-0005-0000-0000-000038A90000}"/>
    <cellStyle name="Normal 2 2 101" xfId="43316" xr:uid="{00000000-0005-0000-0000-000039A90000}"/>
    <cellStyle name="Normal 2 2 102" xfId="43317" xr:uid="{00000000-0005-0000-0000-00003AA90000}"/>
    <cellStyle name="Normal 2 2 103" xfId="43318" xr:uid="{00000000-0005-0000-0000-00003BA90000}"/>
    <cellStyle name="Normal 2 2 104" xfId="43319" xr:uid="{00000000-0005-0000-0000-00003CA90000}"/>
    <cellStyle name="Normal 2 2 105" xfId="43320" xr:uid="{00000000-0005-0000-0000-00003DA90000}"/>
    <cellStyle name="Normal 2 2 106" xfId="43321" xr:uid="{00000000-0005-0000-0000-00003EA90000}"/>
    <cellStyle name="Normal 2 2 107" xfId="43322" xr:uid="{00000000-0005-0000-0000-00003FA90000}"/>
    <cellStyle name="Normal 2 2 108" xfId="43323" xr:uid="{00000000-0005-0000-0000-000040A90000}"/>
    <cellStyle name="Normal 2 2 109" xfId="43324" xr:uid="{00000000-0005-0000-0000-000041A90000}"/>
    <cellStyle name="Normal 2 2 11" xfId="43325" xr:uid="{00000000-0005-0000-0000-000042A90000}"/>
    <cellStyle name="Normal 2 2 110" xfId="43326" xr:uid="{00000000-0005-0000-0000-000043A90000}"/>
    <cellStyle name="Normal 2 2 111" xfId="43327" xr:uid="{00000000-0005-0000-0000-000044A90000}"/>
    <cellStyle name="Normal 2 2 112" xfId="43328" xr:uid="{00000000-0005-0000-0000-000045A90000}"/>
    <cellStyle name="Normal 2 2 113" xfId="43329" xr:uid="{00000000-0005-0000-0000-000046A90000}"/>
    <cellStyle name="Normal 2 2 114" xfId="43330" xr:uid="{00000000-0005-0000-0000-000047A90000}"/>
    <cellStyle name="Normal 2 2 115" xfId="43331" xr:uid="{00000000-0005-0000-0000-000048A90000}"/>
    <cellStyle name="Normal 2 2 116" xfId="43332" xr:uid="{00000000-0005-0000-0000-000049A90000}"/>
    <cellStyle name="Normal 2 2 117" xfId="43333" xr:uid="{00000000-0005-0000-0000-00004AA90000}"/>
    <cellStyle name="Normal 2 2 118" xfId="43334" xr:uid="{00000000-0005-0000-0000-00004BA90000}"/>
    <cellStyle name="Normal 2 2 119" xfId="43335" xr:uid="{00000000-0005-0000-0000-00004CA90000}"/>
    <cellStyle name="Normal 2 2 12" xfId="43336" xr:uid="{00000000-0005-0000-0000-00004DA90000}"/>
    <cellStyle name="Normal 2 2 120" xfId="43337" xr:uid="{00000000-0005-0000-0000-00004EA90000}"/>
    <cellStyle name="Normal 2 2 121" xfId="43338" xr:uid="{00000000-0005-0000-0000-00004FA90000}"/>
    <cellStyle name="Normal 2 2 122" xfId="43339" xr:uid="{00000000-0005-0000-0000-000050A90000}"/>
    <cellStyle name="Normal 2 2 123" xfId="43340" xr:uid="{00000000-0005-0000-0000-000051A90000}"/>
    <cellStyle name="Normal 2 2 124" xfId="43341" xr:uid="{00000000-0005-0000-0000-000052A90000}"/>
    <cellStyle name="Normal 2 2 125" xfId="43342" xr:uid="{00000000-0005-0000-0000-000053A90000}"/>
    <cellStyle name="Normal 2 2 126" xfId="43343" xr:uid="{00000000-0005-0000-0000-000054A90000}"/>
    <cellStyle name="Normal 2 2 127" xfId="43344" xr:uid="{00000000-0005-0000-0000-000055A90000}"/>
    <cellStyle name="Normal 2 2 128" xfId="43345" xr:uid="{00000000-0005-0000-0000-000056A90000}"/>
    <cellStyle name="Normal 2 2 129" xfId="43346" xr:uid="{00000000-0005-0000-0000-000057A90000}"/>
    <cellStyle name="Normal 2 2 13" xfId="43347" xr:uid="{00000000-0005-0000-0000-000058A90000}"/>
    <cellStyle name="Normal 2 2 130" xfId="43348" xr:uid="{00000000-0005-0000-0000-000059A90000}"/>
    <cellStyle name="Normal 2 2 131" xfId="43349" xr:uid="{00000000-0005-0000-0000-00005AA90000}"/>
    <cellStyle name="Normal 2 2 132" xfId="43350" xr:uid="{00000000-0005-0000-0000-00005BA90000}"/>
    <cellStyle name="Normal 2 2 133" xfId="43351" xr:uid="{00000000-0005-0000-0000-00005CA90000}"/>
    <cellStyle name="Normal 2 2 134" xfId="43352" xr:uid="{00000000-0005-0000-0000-00005DA90000}"/>
    <cellStyle name="Normal 2 2 135" xfId="43353" xr:uid="{00000000-0005-0000-0000-00005EA90000}"/>
    <cellStyle name="Normal 2 2 136" xfId="43354" xr:uid="{00000000-0005-0000-0000-00005FA90000}"/>
    <cellStyle name="Normal 2 2 137" xfId="43355" xr:uid="{00000000-0005-0000-0000-000060A90000}"/>
    <cellStyle name="Normal 2 2 138" xfId="43356" xr:uid="{00000000-0005-0000-0000-000061A90000}"/>
    <cellStyle name="Normal 2 2 139" xfId="43357" xr:uid="{00000000-0005-0000-0000-000062A90000}"/>
    <cellStyle name="Normal 2 2 14" xfId="43358" xr:uid="{00000000-0005-0000-0000-000063A90000}"/>
    <cellStyle name="Normal 2 2 140" xfId="43359" xr:uid="{00000000-0005-0000-0000-000064A90000}"/>
    <cellStyle name="Normal 2 2 141" xfId="43360" xr:uid="{00000000-0005-0000-0000-000065A90000}"/>
    <cellStyle name="Normal 2 2 142" xfId="43361" xr:uid="{00000000-0005-0000-0000-000066A90000}"/>
    <cellStyle name="Normal 2 2 143" xfId="43362" xr:uid="{00000000-0005-0000-0000-000067A90000}"/>
    <cellStyle name="Normal 2 2 144" xfId="43363" xr:uid="{00000000-0005-0000-0000-000068A90000}"/>
    <cellStyle name="Normal 2 2 145" xfId="43364" xr:uid="{00000000-0005-0000-0000-000069A90000}"/>
    <cellStyle name="Normal 2 2 146" xfId="43365" xr:uid="{00000000-0005-0000-0000-00006AA90000}"/>
    <cellStyle name="Normal 2 2 147" xfId="43366" xr:uid="{00000000-0005-0000-0000-00006BA90000}"/>
    <cellStyle name="Normal 2 2 148" xfId="43367" xr:uid="{00000000-0005-0000-0000-00006CA90000}"/>
    <cellStyle name="Normal 2 2 149" xfId="43368" xr:uid="{00000000-0005-0000-0000-00006DA90000}"/>
    <cellStyle name="Normal 2 2 15" xfId="43369" xr:uid="{00000000-0005-0000-0000-00006EA90000}"/>
    <cellStyle name="Normal 2 2 150" xfId="43370" xr:uid="{00000000-0005-0000-0000-00006FA90000}"/>
    <cellStyle name="Normal 2 2 151" xfId="43371" xr:uid="{00000000-0005-0000-0000-000070A90000}"/>
    <cellStyle name="Normal 2 2 152" xfId="43372" xr:uid="{00000000-0005-0000-0000-000071A90000}"/>
    <cellStyle name="Normal 2 2 153" xfId="43373" xr:uid="{00000000-0005-0000-0000-000072A90000}"/>
    <cellStyle name="Normal 2 2 154" xfId="43374" xr:uid="{00000000-0005-0000-0000-000073A90000}"/>
    <cellStyle name="Normal 2 2 155" xfId="43375" xr:uid="{00000000-0005-0000-0000-000074A90000}"/>
    <cellStyle name="Normal 2 2 156" xfId="43376" xr:uid="{00000000-0005-0000-0000-000075A90000}"/>
    <cellStyle name="Normal 2 2 157" xfId="43377" xr:uid="{00000000-0005-0000-0000-000076A90000}"/>
    <cellStyle name="Normal 2 2 158" xfId="43378" xr:uid="{00000000-0005-0000-0000-000077A90000}"/>
    <cellStyle name="Normal 2 2 159" xfId="43379" xr:uid="{00000000-0005-0000-0000-000078A90000}"/>
    <cellStyle name="Normal 2 2 16" xfId="43380" xr:uid="{00000000-0005-0000-0000-000079A90000}"/>
    <cellStyle name="Normal 2 2 160" xfId="43381" xr:uid="{00000000-0005-0000-0000-00007AA90000}"/>
    <cellStyle name="Normal 2 2 161" xfId="43382" xr:uid="{00000000-0005-0000-0000-00007BA90000}"/>
    <cellStyle name="Normal 2 2 162" xfId="43383" xr:uid="{00000000-0005-0000-0000-00007CA90000}"/>
    <cellStyle name="Normal 2 2 163" xfId="43384" xr:uid="{00000000-0005-0000-0000-00007DA90000}"/>
    <cellStyle name="Normal 2 2 164" xfId="43385" xr:uid="{00000000-0005-0000-0000-00007EA90000}"/>
    <cellStyle name="Normal 2 2 165" xfId="43386" xr:uid="{00000000-0005-0000-0000-00007FA90000}"/>
    <cellStyle name="Normal 2 2 166" xfId="43387" xr:uid="{00000000-0005-0000-0000-000080A90000}"/>
    <cellStyle name="Normal 2 2 167" xfId="43388" xr:uid="{00000000-0005-0000-0000-000081A90000}"/>
    <cellStyle name="Normal 2 2 168" xfId="43389" xr:uid="{00000000-0005-0000-0000-000082A90000}"/>
    <cellStyle name="Normal 2 2 169" xfId="43390" xr:uid="{00000000-0005-0000-0000-000083A90000}"/>
    <cellStyle name="Normal 2 2 17" xfId="43391" xr:uid="{00000000-0005-0000-0000-000084A90000}"/>
    <cellStyle name="Normal 2 2 170" xfId="43392" xr:uid="{00000000-0005-0000-0000-000085A90000}"/>
    <cellStyle name="Normal 2 2 171" xfId="43393" xr:uid="{00000000-0005-0000-0000-000086A90000}"/>
    <cellStyle name="Normal 2 2 172" xfId="43394" xr:uid="{00000000-0005-0000-0000-000087A90000}"/>
    <cellStyle name="Normal 2 2 173" xfId="43395" xr:uid="{00000000-0005-0000-0000-000088A90000}"/>
    <cellStyle name="Normal 2 2 174" xfId="43396" xr:uid="{00000000-0005-0000-0000-000089A90000}"/>
    <cellStyle name="Normal 2 2 175" xfId="43397" xr:uid="{00000000-0005-0000-0000-00008AA90000}"/>
    <cellStyle name="Normal 2 2 176" xfId="43398" xr:uid="{00000000-0005-0000-0000-00008BA90000}"/>
    <cellStyle name="Normal 2 2 177" xfId="43399" xr:uid="{00000000-0005-0000-0000-00008CA90000}"/>
    <cellStyle name="Normal 2 2 178" xfId="43400" xr:uid="{00000000-0005-0000-0000-00008DA90000}"/>
    <cellStyle name="Normal 2 2 179" xfId="43401" xr:uid="{00000000-0005-0000-0000-00008EA90000}"/>
    <cellStyle name="Normal 2 2 18" xfId="43402" xr:uid="{00000000-0005-0000-0000-00008FA90000}"/>
    <cellStyle name="Normal 2 2 180" xfId="43403" xr:uid="{00000000-0005-0000-0000-000090A90000}"/>
    <cellStyle name="Normal 2 2 181" xfId="43404" xr:uid="{00000000-0005-0000-0000-000091A90000}"/>
    <cellStyle name="Normal 2 2 182" xfId="43405" xr:uid="{00000000-0005-0000-0000-000092A90000}"/>
    <cellStyle name="Normal 2 2 183" xfId="43406" xr:uid="{00000000-0005-0000-0000-000093A90000}"/>
    <cellStyle name="Normal 2 2 184" xfId="43407" xr:uid="{00000000-0005-0000-0000-000094A90000}"/>
    <cellStyle name="Normal 2 2 185" xfId="43408" xr:uid="{00000000-0005-0000-0000-000095A90000}"/>
    <cellStyle name="Normal 2 2 186" xfId="43409" xr:uid="{00000000-0005-0000-0000-000096A90000}"/>
    <cellStyle name="Normal 2 2 187" xfId="43410" xr:uid="{00000000-0005-0000-0000-000097A90000}"/>
    <cellStyle name="Normal 2 2 188" xfId="43411" xr:uid="{00000000-0005-0000-0000-000098A90000}"/>
    <cellStyle name="Normal 2 2 189" xfId="43412" xr:uid="{00000000-0005-0000-0000-000099A90000}"/>
    <cellStyle name="Normal 2 2 19" xfId="43413" xr:uid="{00000000-0005-0000-0000-00009AA90000}"/>
    <cellStyle name="Normal 2 2 190" xfId="43414" xr:uid="{00000000-0005-0000-0000-00009BA90000}"/>
    <cellStyle name="Normal 2 2 191" xfId="43415" xr:uid="{00000000-0005-0000-0000-00009CA90000}"/>
    <cellStyle name="Normal 2 2 192" xfId="43416" xr:uid="{00000000-0005-0000-0000-00009DA90000}"/>
    <cellStyle name="Normal 2 2 193" xfId="43417" xr:uid="{00000000-0005-0000-0000-00009EA90000}"/>
    <cellStyle name="Normal 2 2 194" xfId="43418" xr:uid="{00000000-0005-0000-0000-00009FA90000}"/>
    <cellStyle name="Normal 2 2 195" xfId="43419" xr:uid="{00000000-0005-0000-0000-0000A0A90000}"/>
    <cellStyle name="Normal 2 2 196" xfId="43420" xr:uid="{00000000-0005-0000-0000-0000A1A90000}"/>
    <cellStyle name="Normal 2 2 2" xfId="43421" xr:uid="{00000000-0005-0000-0000-0000A2A90000}"/>
    <cellStyle name="Normal 2 2 2 10" xfId="43422" xr:uid="{00000000-0005-0000-0000-0000A3A90000}"/>
    <cellStyle name="Normal 2 2 2 10 2" xfId="43423" xr:uid="{00000000-0005-0000-0000-0000A4A90000}"/>
    <cellStyle name="Normal 2 2 2 11" xfId="43424" xr:uid="{00000000-0005-0000-0000-0000A5A90000}"/>
    <cellStyle name="Normal 2 2 2 12" xfId="43425" xr:uid="{00000000-0005-0000-0000-0000A6A90000}"/>
    <cellStyle name="Normal 2 2 2 13" xfId="43426" xr:uid="{00000000-0005-0000-0000-0000A7A90000}"/>
    <cellStyle name="Normal 2 2 2 14" xfId="43427" xr:uid="{00000000-0005-0000-0000-0000A8A90000}"/>
    <cellStyle name="Normal 2 2 2 15" xfId="43428" xr:uid="{00000000-0005-0000-0000-0000A9A90000}"/>
    <cellStyle name="Normal 2 2 2 16" xfId="43429" xr:uid="{00000000-0005-0000-0000-0000AAA90000}"/>
    <cellStyle name="Normal 2 2 2 17" xfId="43430" xr:uid="{00000000-0005-0000-0000-0000ABA90000}"/>
    <cellStyle name="Normal 2 2 2 18" xfId="43431" xr:uid="{00000000-0005-0000-0000-0000ACA90000}"/>
    <cellStyle name="Normal 2 2 2 19" xfId="43432" xr:uid="{00000000-0005-0000-0000-0000ADA90000}"/>
    <cellStyle name="Normal 2 2 2 2" xfId="43433" xr:uid="{00000000-0005-0000-0000-0000AEA90000}"/>
    <cellStyle name="Normal 2 2 2 2 2" xfId="43434" xr:uid="{00000000-0005-0000-0000-0000AFA90000}"/>
    <cellStyle name="Normal 2 2 2 2 2 10" xfId="43435" xr:uid="{00000000-0005-0000-0000-0000B0A90000}"/>
    <cellStyle name="Normal 2 2 2 2 2 11" xfId="43436" xr:uid="{00000000-0005-0000-0000-0000B1A90000}"/>
    <cellStyle name="Normal 2 2 2 2 2 12" xfId="43437" xr:uid="{00000000-0005-0000-0000-0000B2A90000}"/>
    <cellStyle name="Normal 2 2 2 2 2 13" xfId="43438" xr:uid="{00000000-0005-0000-0000-0000B3A90000}"/>
    <cellStyle name="Normal 2 2 2 2 2 14" xfId="43439" xr:uid="{00000000-0005-0000-0000-0000B4A90000}"/>
    <cellStyle name="Normal 2 2 2 2 2 15" xfId="43440" xr:uid="{00000000-0005-0000-0000-0000B5A90000}"/>
    <cellStyle name="Normal 2 2 2 2 2 16" xfId="43441" xr:uid="{00000000-0005-0000-0000-0000B6A90000}"/>
    <cellStyle name="Normal 2 2 2 2 2 17" xfId="43442" xr:uid="{00000000-0005-0000-0000-0000B7A90000}"/>
    <cellStyle name="Normal 2 2 2 2 2 18" xfId="43443" xr:uid="{00000000-0005-0000-0000-0000B8A90000}"/>
    <cellStyle name="Normal 2 2 2 2 2 19" xfId="43444" xr:uid="{00000000-0005-0000-0000-0000B9A90000}"/>
    <cellStyle name="Normal 2 2 2 2 2 2" xfId="43445" xr:uid="{00000000-0005-0000-0000-0000BAA90000}"/>
    <cellStyle name="Normal 2 2 2 2 2 20" xfId="43446" xr:uid="{00000000-0005-0000-0000-0000BBA90000}"/>
    <cellStyle name="Normal 2 2 2 2 2 21" xfId="43447" xr:uid="{00000000-0005-0000-0000-0000BCA90000}"/>
    <cellStyle name="Normal 2 2 2 2 2 22" xfId="43448" xr:uid="{00000000-0005-0000-0000-0000BDA90000}"/>
    <cellStyle name="Normal 2 2 2 2 2 23" xfId="43449" xr:uid="{00000000-0005-0000-0000-0000BEA90000}"/>
    <cellStyle name="Normal 2 2 2 2 2 24" xfId="43450" xr:uid="{00000000-0005-0000-0000-0000BFA90000}"/>
    <cellStyle name="Normal 2 2 2 2 2 25" xfId="43451" xr:uid="{00000000-0005-0000-0000-0000C0A90000}"/>
    <cellStyle name="Normal 2 2 2 2 2 26" xfId="43452" xr:uid="{00000000-0005-0000-0000-0000C1A90000}"/>
    <cellStyle name="Normal 2 2 2 2 2 27" xfId="43453" xr:uid="{00000000-0005-0000-0000-0000C2A90000}"/>
    <cellStyle name="Normal 2 2 2 2 2 28" xfId="43454" xr:uid="{00000000-0005-0000-0000-0000C3A90000}"/>
    <cellStyle name="Normal 2 2 2 2 2 3" xfId="43455" xr:uid="{00000000-0005-0000-0000-0000C4A90000}"/>
    <cellStyle name="Normal 2 2 2 2 2 4" xfId="43456" xr:uid="{00000000-0005-0000-0000-0000C5A90000}"/>
    <cellStyle name="Normal 2 2 2 2 2 5" xfId="43457" xr:uid="{00000000-0005-0000-0000-0000C6A90000}"/>
    <cellStyle name="Normal 2 2 2 2 2 6" xfId="43458" xr:uid="{00000000-0005-0000-0000-0000C7A90000}"/>
    <cellStyle name="Normal 2 2 2 2 2 7" xfId="43459" xr:uid="{00000000-0005-0000-0000-0000C8A90000}"/>
    <cellStyle name="Normal 2 2 2 2 2 8" xfId="43460" xr:uid="{00000000-0005-0000-0000-0000C9A90000}"/>
    <cellStyle name="Normal 2 2 2 2 2 9" xfId="43461" xr:uid="{00000000-0005-0000-0000-0000CAA90000}"/>
    <cellStyle name="Normal 2 2 2 2 2_Book2" xfId="43462" xr:uid="{00000000-0005-0000-0000-0000CBA90000}"/>
    <cellStyle name="Normal 2 2 2 2 3" xfId="43463" xr:uid="{00000000-0005-0000-0000-0000CCA90000}"/>
    <cellStyle name="Normal 2 2 2 2 4" xfId="43464" xr:uid="{00000000-0005-0000-0000-0000CDA90000}"/>
    <cellStyle name="Normal 2 2 2 2 5" xfId="43465" xr:uid="{00000000-0005-0000-0000-0000CEA90000}"/>
    <cellStyle name="Normal 2 2 2 2 6" xfId="43466" xr:uid="{00000000-0005-0000-0000-0000CFA90000}"/>
    <cellStyle name="Normal 2 2 2 2 7" xfId="43467" xr:uid="{00000000-0005-0000-0000-0000D0A90000}"/>
    <cellStyle name="Normal 2 2 2 2 8" xfId="43468" xr:uid="{00000000-0005-0000-0000-0000D1A90000}"/>
    <cellStyle name="Normal 2 2 2 2_Book2" xfId="43469" xr:uid="{00000000-0005-0000-0000-0000D2A90000}"/>
    <cellStyle name="Normal 2 2 2 20" xfId="43470" xr:uid="{00000000-0005-0000-0000-0000D3A90000}"/>
    <cellStyle name="Normal 2 2 2 21" xfId="43471" xr:uid="{00000000-0005-0000-0000-0000D4A90000}"/>
    <cellStyle name="Normal 2 2 2 22" xfId="43472" xr:uid="{00000000-0005-0000-0000-0000D5A90000}"/>
    <cellStyle name="Normal 2 2 2 23" xfId="43473" xr:uid="{00000000-0005-0000-0000-0000D6A90000}"/>
    <cellStyle name="Normal 2 2 2 24" xfId="43474" xr:uid="{00000000-0005-0000-0000-0000D7A90000}"/>
    <cellStyle name="Normal 2 2 2 25" xfId="43475" xr:uid="{00000000-0005-0000-0000-0000D8A90000}"/>
    <cellStyle name="Normal 2 2 2 26" xfId="43476" xr:uid="{00000000-0005-0000-0000-0000D9A90000}"/>
    <cellStyle name="Normal 2 2 2 27" xfId="43477" xr:uid="{00000000-0005-0000-0000-0000DAA90000}"/>
    <cellStyle name="Normal 2 2 2 28" xfId="43478" xr:uid="{00000000-0005-0000-0000-0000DBA90000}"/>
    <cellStyle name="Normal 2 2 2 29" xfId="43479" xr:uid="{00000000-0005-0000-0000-0000DCA90000}"/>
    <cellStyle name="Normal 2 2 2 3" xfId="43480" xr:uid="{00000000-0005-0000-0000-0000DDA90000}"/>
    <cellStyle name="Normal 2 2 2 3 2" xfId="43481" xr:uid="{00000000-0005-0000-0000-0000DEA90000}"/>
    <cellStyle name="Normal 2 2 2 3 3" xfId="43482" xr:uid="{00000000-0005-0000-0000-0000DFA90000}"/>
    <cellStyle name="Normal 2 2 2 3 4" xfId="43483" xr:uid="{00000000-0005-0000-0000-0000E0A90000}"/>
    <cellStyle name="Normal 2 2 2 30" xfId="43484" xr:uid="{00000000-0005-0000-0000-0000E1A90000}"/>
    <cellStyle name="Normal 2 2 2 31" xfId="43485" xr:uid="{00000000-0005-0000-0000-0000E2A90000}"/>
    <cellStyle name="Normal 2 2 2 32" xfId="43486" xr:uid="{00000000-0005-0000-0000-0000E3A90000}"/>
    <cellStyle name="Normal 2 2 2 33" xfId="43487" xr:uid="{00000000-0005-0000-0000-0000E4A90000}"/>
    <cellStyle name="Normal 2 2 2 4" xfId="43488" xr:uid="{00000000-0005-0000-0000-0000E5A90000}"/>
    <cellStyle name="Normal 2 2 2 4 2" xfId="43489" xr:uid="{00000000-0005-0000-0000-0000E6A90000}"/>
    <cellStyle name="Normal 2 2 2 4 3" xfId="43490" xr:uid="{00000000-0005-0000-0000-0000E7A90000}"/>
    <cellStyle name="Normal 2 2 2 4_Proj" xfId="43491" xr:uid="{00000000-0005-0000-0000-0000E8A90000}"/>
    <cellStyle name="Normal 2 2 2 5" xfId="43492" xr:uid="{00000000-0005-0000-0000-0000E9A90000}"/>
    <cellStyle name="Normal 2 2 2 5 2" xfId="43493" xr:uid="{00000000-0005-0000-0000-0000EAA90000}"/>
    <cellStyle name="Normal 2 2 2 6" xfId="43494" xr:uid="{00000000-0005-0000-0000-0000EBA90000}"/>
    <cellStyle name="Normal 2 2 2 6 2" xfId="43495" xr:uid="{00000000-0005-0000-0000-0000ECA90000}"/>
    <cellStyle name="Normal 2 2 2 7" xfId="43496" xr:uid="{00000000-0005-0000-0000-0000EDA90000}"/>
    <cellStyle name="Normal 2 2 2 7 2" xfId="43497" xr:uid="{00000000-0005-0000-0000-0000EEA90000}"/>
    <cellStyle name="Normal 2 2 2 8" xfId="43498" xr:uid="{00000000-0005-0000-0000-0000EFA90000}"/>
    <cellStyle name="Normal 2 2 2 8 2" xfId="43499" xr:uid="{00000000-0005-0000-0000-0000F0A90000}"/>
    <cellStyle name="Normal 2 2 2 9" xfId="43500" xr:uid="{00000000-0005-0000-0000-0000F1A90000}"/>
    <cellStyle name="Normal 2 2 2 9 2" xfId="43501" xr:uid="{00000000-0005-0000-0000-0000F2A90000}"/>
    <cellStyle name="Normal 2 2 2_Book2" xfId="43502" xr:uid="{00000000-0005-0000-0000-0000F3A90000}"/>
    <cellStyle name="Normal 2 2 20" xfId="43503" xr:uid="{00000000-0005-0000-0000-0000F4A90000}"/>
    <cellStyle name="Normal 2 2 21" xfId="43504" xr:uid="{00000000-0005-0000-0000-0000F5A90000}"/>
    <cellStyle name="Normal 2 2 22" xfId="43505" xr:uid="{00000000-0005-0000-0000-0000F6A90000}"/>
    <cellStyle name="Normal 2 2 23" xfId="43506" xr:uid="{00000000-0005-0000-0000-0000F7A90000}"/>
    <cellStyle name="Normal 2 2 24" xfId="43507" xr:uid="{00000000-0005-0000-0000-0000F8A90000}"/>
    <cellStyle name="Normal 2 2 25" xfId="43508" xr:uid="{00000000-0005-0000-0000-0000F9A90000}"/>
    <cellStyle name="Normal 2 2 26" xfId="43509" xr:uid="{00000000-0005-0000-0000-0000FAA90000}"/>
    <cellStyle name="Normal 2 2 27" xfId="43510" xr:uid="{00000000-0005-0000-0000-0000FBA90000}"/>
    <cellStyle name="Normal 2 2 28" xfId="43511" xr:uid="{00000000-0005-0000-0000-0000FCA90000}"/>
    <cellStyle name="Normal 2 2 29" xfId="43512" xr:uid="{00000000-0005-0000-0000-0000FDA90000}"/>
    <cellStyle name="Normal 2 2 3" xfId="43513" xr:uid="{00000000-0005-0000-0000-0000FEA90000}"/>
    <cellStyle name="Normal 2 2 3 10" xfId="43514" xr:uid="{00000000-0005-0000-0000-0000FFA90000}"/>
    <cellStyle name="Normal 2 2 3 10 2" xfId="43515" xr:uid="{00000000-0005-0000-0000-000000AA0000}"/>
    <cellStyle name="Normal 2 2 3 11" xfId="43516" xr:uid="{00000000-0005-0000-0000-000001AA0000}"/>
    <cellStyle name="Normal 2 2 3 11 2" xfId="43517" xr:uid="{00000000-0005-0000-0000-000002AA0000}"/>
    <cellStyle name="Normal 2 2 3 12" xfId="43518" xr:uid="{00000000-0005-0000-0000-000003AA0000}"/>
    <cellStyle name="Normal 2 2 3 13" xfId="43519" xr:uid="{00000000-0005-0000-0000-000004AA0000}"/>
    <cellStyle name="Normal 2 2 3 14" xfId="43520" xr:uid="{00000000-0005-0000-0000-000005AA0000}"/>
    <cellStyle name="Normal 2 2 3 2" xfId="43521" xr:uid="{00000000-0005-0000-0000-000006AA0000}"/>
    <cellStyle name="Normal 2 2 3 2 10" xfId="43522" xr:uid="{00000000-0005-0000-0000-000007AA0000}"/>
    <cellStyle name="Normal 2 2 3 2 11" xfId="43523" xr:uid="{00000000-0005-0000-0000-000008AA0000}"/>
    <cellStyle name="Normal 2 2 3 2 2" xfId="43524" xr:uid="{00000000-0005-0000-0000-000009AA0000}"/>
    <cellStyle name="Normal 2 2 3 2 2 2" xfId="43525" xr:uid="{00000000-0005-0000-0000-00000AAA0000}"/>
    <cellStyle name="Normal 2 2 3 2 2 2 2" xfId="43526" xr:uid="{00000000-0005-0000-0000-00000BAA0000}"/>
    <cellStyle name="Normal 2 2 3 2 2 2 2 2" xfId="43527" xr:uid="{00000000-0005-0000-0000-00000CAA0000}"/>
    <cellStyle name="Normal 2 2 3 2 2 2 2 2 2" xfId="43528" xr:uid="{00000000-0005-0000-0000-00000DAA0000}"/>
    <cellStyle name="Normal 2 2 3 2 2 2 2 3" xfId="43529" xr:uid="{00000000-0005-0000-0000-00000EAA0000}"/>
    <cellStyle name="Normal 2 2 3 2 2 2 3" xfId="43530" xr:uid="{00000000-0005-0000-0000-00000FAA0000}"/>
    <cellStyle name="Normal 2 2 3 2 2 2 3 2" xfId="43531" xr:uid="{00000000-0005-0000-0000-000010AA0000}"/>
    <cellStyle name="Normal 2 2 3 2 2 2 4" xfId="43532" xr:uid="{00000000-0005-0000-0000-000011AA0000}"/>
    <cellStyle name="Normal 2 2 3 2 2 3" xfId="43533" xr:uid="{00000000-0005-0000-0000-000012AA0000}"/>
    <cellStyle name="Normal 2 2 3 2 2 3 2" xfId="43534" xr:uid="{00000000-0005-0000-0000-000013AA0000}"/>
    <cellStyle name="Normal 2 2 3 2 2 3 2 2" xfId="43535" xr:uid="{00000000-0005-0000-0000-000014AA0000}"/>
    <cellStyle name="Normal 2 2 3 2 2 3 2 2 2" xfId="43536" xr:uid="{00000000-0005-0000-0000-000015AA0000}"/>
    <cellStyle name="Normal 2 2 3 2 2 3 2 3" xfId="43537" xr:uid="{00000000-0005-0000-0000-000016AA0000}"/>
    <cellStyle name="Normal 2 2 3 2 2 3 3" xfId="43538" xr:uid="{00000000-0005-0000-0000-000017AA0000}"/>
    <cellStyle name="Normal 2 2 3 2 2 3 3 2" xfId="43539" xr:uid="{00000000-0005-0000-0000-000018AA0000}"/>
    <cellStyle name="Normal 2 2 3 2 2 3 4" xfId="43540" xr:uid="{00000000-0005-0000-0000-000019AA0000}"/>
    <cellStyle name="Normal 2 2 3 2 2 4" xfId="43541" xr:uid="{00000000-0005-0000-0000-00001AAA0000}"/>
    <cellStyle name="Normal 2 2 3 2 2 4 2" xfId="43542" xr:uid="{00000000-0005-0000-0000-00001BAA0000}"/>
    <cellStyle name="Normal 2 2 3 2 2 4 2 2" xfId="43543" xr:uid="{00000000-0005-0000-0000-00001CAA0000}"/>
    <cellStyle name="Normal 2 2 3 2 2 4 3" xfId="43544" xr:uid="{00000000-0005-0000-0000-00001DAA0000}"/>
    <cellStyle name="Normal 2 2 3 2 2 5" xfId="43545" xr:uid="{00000000-0005-0000-0000-00001EAA0000}"/>
    <cellStyle name="Normal 2 2 3 2 2 5 2" xfId="43546" xr:uid="{00000000-0005-0000-0000-00001FAA0000}"/>
    <cellStyle name="Normal 2 2 3 2 2 6" xfId="43547" xr:uid="{00000000-0005-0000-0000-000020AA0000}"/>
    <cellStyle name="Normal 2 2 3 2 2 7" xfId="43548" xr:uid="{00000000-0005-0000-0000-000021AA0000}"/>
    <cellStyle name="Normal 2 2 3 2 2 8" xfId="43549" xr:uid="{00000000-0005-0000-0000-000022AA0000}"/>
    <cellStyle name="Normal 2 2 3 2 3" xfId="43550" xr:uid="{00000000-0005-0000-0000-000023AA0000}"/>
    <cellStyle name="Normal 2 2 3 2 3 2" xfId="43551" xr:uid="{00000000-0005-0000-0000-000024AA0000}"/>
    <cellStyle name="Normal 2 2 3 2 3 2 2" xfId="43552" xr:uid="{00000000-0005-0000-0000-000025AA0000}"/>
    <cellStyle name="Normal 2 2 3 2 3 2 2 2" xfId="43553" xr:uid="{00000000-0005-0000-0000-000026AA0000}"/>
    <cellStyle name="Normal 2 2 3 2 3 2 2 2 2" xfId="43554" xr:uid="{00000000-0005-0000-0000-000027AA0000}"/>
    <cellStyle name="Normal 2 2 3 2 3 2 2 3" xfId="43555" xr:uid="{00000000-0005-0000-0000-000028AA0000}"/>
    <cellStyle name="Normal 2 2 3 2 3 2 3" xfId="43556" xr:uid="{00000000-0005-0000-0000-000029AA0000}"/>
    <cellStyle name="Normal 2 2 3 2 3 2 3 2" xfId="43557" xr:uid="{00000000-0005-0000-0000-00002AAA0000}"/>
    <cellStyle name="Normal 2 2 3 2 3 2 4" xfId="43558" xr:uid="{00000000-0005-0000-0000-00002BAA0000}"/>
    <cellStyle name="Normal 2 2 3 2 3 3" xfId="43559" xr:uid="{00000000-0005-0000-0000-00002CAA0000}"/>
    <cellStyle name="Normal 2 2 3 2 3 3 2" xfId="43560" xr:uid="{00000000-0005-0000-0000-00002DAA0000}"/>
    <cellStyle name="Normal 2 2 3 2 3 3 2 2" xfId="43561" xr:uid="{00000000-0005-0000-0000-00002EAA0000}"/>
    <cellStyle name="Normal 2 2 3 2 3 3 2 2 2" xfId="43562" xr:uid="{00000000-0005-0000-0000-00002FAA0000}"/>
    <cellStyle name="Normal 2 2 3 2 3 3 2 3" xfId="43563" xr:uid="{00000000-0005-0000-0000-000030AA0000}"/>
    <cellStyle name="Normal 2 2 3 2 3 3 3" xfId="43564" xr:uid="{00000000-0005-0000-0000-000031AA0000}"/>
    <cellStyle name="Normal 2 2 3 2 3 3 3 2" xfId="43565" xr:uid="{00000000-0005-0000-0000-000032AA0000}"/>
    <cellStyle name="Normal 2 2 3 2 3 3 4" xfId="43566" xr:uid="{00000000-0005-0000-0000-000033AA0000}"/>
    <cellStyle name="Normal 2 2 3 2 3 4" xfId="43567" xr:uid="{00000000-0005-0000-0000-000034AA0000}"/>
    <cellStyle name="Normal 2 2 3 2 3 4 2" xfId="43568" xr:uid="{00000000-0005-0000-0000-000035AA0000}"/>
    <cellStyle name="Normal 2 2 3 2 3 4 2 2" xfId="43569" xr:uid="{00000000-0005-0000-0000-000036AA0000}"/>
    <cellStyle name="Normal 2 2 3 2 3 4 3" xfId="43570" xr:uid="{00000000-0005-0000-0000-000037AA0000}"/>
    <cellStyle name="Normal 2 2 3 2 3 5" xfId="43571" xr:uid="{00000000-0005-0000-0000-000038AA0000}"/>
    <cellStyle name="Normal 2 2 3 2 3 5 2" xfId="43572" xr:uid="{00000000-0005-0000-0000-000039AA0000}"/>
    <cellStyle name="Normal 2 2 3 2 3 6" xfId="43573" xr:uid="{00000000-0005-0000-0000-00003AAA0000}"/>
    <cellStyle name="Normal 2 2 3 2 4" xfId="43574" xr:uid="{00000000-0005-0000-0000-00003BAA0000}"/>
    <cellStyle name="Normal 2 2 3 2 4 2" xfId="43575" xr:uid="{00000000-0005-0000-0000-00003CAA0000}"/>
    <cellStyle name="Normal 2 2 3 2 4 2 2" xfId="43576" xr:uid="{00000000-0005-0000-0000-00003DAA0000}"/>
    <cellStyle name="Normal 2 2 3 2 4 2 2 2" xfId="43577" xr:uid="{00000000-0005-0000-0000-00003EAA0000}"/>
    <cellStyle name="Normal 2 2 3 2 4 2 2 2 2" xfId="43578" xr:uid="{00000000-0005-0000-0000-00003FAA0000}"/>
    <cellStyle name="Normal 2 2 3 2 4 2 2 3" xfId="43579" xr:uid="{00000000-0005-0000-0000-000040AA0000}"/>
    <cellStyle name="Normal 2 2 3 2 4 2 3" xfId="43580" xr:uid="{00000000-0005-0000-0000-000041AA0000}"/>
    <cellStyle name="Normal 2 2 3 2 4 2 3 2" xfId="43581" xr:uid="{00000000-0005-0000-0000-000042AA0000}"/>
    <cellStyle name="Normal 2 2 3 2 4 2 4" xfId="43582" xr:uid="{00000000-0005-0000-0000-000043AA0000}"/>
    <cellStyle name="Normal 2 2 3 2 4 3" xfId="43583" xr:uid="{00000000-0005-0000-0000-000044AA0000}"/>
    <cellStyle name="Normal 2 2 3 2 4 3 2" xfId="43584" xr:uid="{00000000-0005-0000-0000-000045AA0000}"/>
    <cellStyle name="Normal 2 2 3 2 4 3 2 2" xfId="43585" xr:uid="{00000000-0005-0000-0000-000046AA0000}"/>
    <cellStyle name="Normal 2 2 3 2 4 3 3" xfId="43586" xr:uid="{00000000-0005-0000-0000-000047AA0000}"/>
    <cellStyle name="Normal 2 2 3 2 4 4" xfId="43587" xr:uid="{00000000-0005-0000-0000-000048AA0000}"/>
    <cellStyle name="Normal 2 2 3 2 4 4 2" xfId="43588" xr:uid="{00000000-0005-0000-0000-000049AA0000}"/>
    <cellStyle name="Normal 2 2 3 2 4 5" xfId="43589" xr:uid="{00000000-0005-0000-0000-00004AAA0000}"/>
    <cellStyle name="Normal 2 2 3 2 5" xfId="43590" xr:uid="{00000000-0005-0000-0000-00004BAA0000}"/>
    <cellStyle name="Normal 2 2 3 2 5 2" xfId="43591" xr:uid="{00000000-0005-0000-0000-00004CAA0000}"/>
    <cellStyle name="Normal 2 2 3 2 5 2 2" xfId="43592" xr:uid="{00000000-0005-0000-0000-00004DAA0000}"/>
    <cellStyle name="Normal 2 2 3 2 5 2 2 2" xfId="43593" xr:uid="{00000000-0005-0000-0000-00004EAA0000}"/>
    <cellStyle name="Normal 2 2 3 2 5 2 3" xfId="43594" xr:uid="{00000000-0005-0000-0000-00004FAA0000}"/>
    <cellStyle name="Normal 2 2 3 2 5 3" xfId="43595" xr:uid="{00000000-0005-0000-0000-000050AA0000}"/>
    <cellStyle name="Normal 2 2 3 2 5 3 2" xfId="43596" xr:uid="{00000000-0005-0000-0000-000051AA0000}"/>
    <cellStyle name="Normal 2 2 3 2 5 4" xfId="43597" xr:uid="{00000000-0005-0000-0000-000052AA0000}"/>
    <cellStyle name="Normal 2 2 3 2 6" xfId="43598" xr:uid="{00000000-0005-0000-0000-000053AA0000}"/>
    <cellStyle name="Normal 2 2 3 2 6 2" xfId="43599" xr:uid="{00000000-0005-0000-0000-000054AA0000}"/>
    <cellStyle name="Normal 2 2 3 2 6 2 2" xfId="43600" xr:uid="{00000000-0005-0000-0000-000055AA0000}"/>
    <cellStyle name="Normal 2 2 3 2 6 3" xfId="43601" xr:uid="{00000000-0005-0000-0000-000056AA0000}"/>
    <cellStyle name="Normal 2 2 3 2 7" xfId="43602" xr:uid="{00000000-0005-0000-0000-000057AA0000}"/>
    <cellStyle name="Normal 2 2 3 2 7 2" xfId="43603" xr:uid="{00000000-0005-0000-0000-000058AA0000}"/>
    <cellStyle name="Normal 2 2 3 2 8" xfId="43604" xr:uid="{00000000-0005-0000-0000-000059AA0000}"/>
    <cellStyle name="Normal 2 2 3 2 8 2" xfId="43605" xr:uid="{00000000-0005-0000-0000-00005AAA0000}"/>
    <cellStyle name="Normal 2 2 3 2 9" xfId="43606" xr:uid="{00000000-0005-0000-0000-00005BAA0000}"/>
    <cellStyle name="Normal 2 2 3 3" xfId="43607" xr:uid="{00000000-0005-0000-0000-00005CAA0000}"/>
    <cellStyle name="Normal 2 2 3 3 10" xfId="43608" xr:uid="{00000000-0005-0000-0000-00005DAA0000}"/>
    <cellStyle name="Normal 2 2 3 3 2" xfId="43609" xr:uid="{00000000-0005-0000-0000-00005EAA0000}"/>
    <cellStyle name="Normal 2 2 3 3 2 2" xfId="43610" xr:uid="{00000000-0005-0000-0000-00005FAA0000}"/>
    <cellStyle name="Normal 2 2 3 3 2 2 2" xfId="43611" xr:uid="{00000000-0005-0000-0000-000060AA0000}"/>
    <cellStyle name="Normal 2 2 3 3 2 2 2 2" xfId="43612" xr:uid="{00000000-0005-0000-0000-000061AA0000}"/>
    <cellStyle name="Normal 2 2 3 3 2 2 2 2 2" xfId="43613" xr:uid="{00000000-0005-0000-0000-000062AA0000}"/>
    <cellStyle name="Normal 2 2 3 3 2 2 2 3" xfId="43614" xr:uid="{00000000-0005-0000-0000-000063AA0000}"/>
    <cellStyle name="Normal 2 2 3 3 2 2 3" xfId="43615" xr:uid="{00000000-0005-0000-0000-000064AA0000}"/>
    <cellStyle name="Normal 2 2 3 3 2 2 3 2" xfId="43616" xr:uid="{00000000-0005-0000-0000-000065AA0000}"/>
    <cellStyle name="Normal 2 2 3 3 2 2 4" xfId="43617" xr:uid="{00000000-0005-0000-0000-000066AA0000}"/>
    <cellStyle name="Normal 2 2 3 3 2 3" xfId="43618" xr:uid="{00000000-0005-0000-0000-000067AA0000}"/>
    <cellStyle name="Normal 2 2 3 3 2 3 2" xfId="43619" xr:uid="{00000000-0005-0000-0000-000068AA0000}"/>
    <cellStyle name="Normal 2 2 3 3 2 3 2 2" xfId="43620" xr:uid="{00000000-0005-0000-0000-000069AA0000}"/>
    <cellStyle name="Normal 2 2 3 3 2 3 2 2 2" xfId="43621" xr:uid="{00000000-0005-0000-0000-00006AAA0000}"/>
    <cellStyle name="Normal 2 2 3 3 2 3 2 3" xfId="43622" xr:uid="{00000000-0005-0000-0000-00006BAA0000}"/>
    <cellStyle name="Normal 2 2 3 3 2 3 3" xfId="43623" xr:uid="{00000000-0005-0000-0000-00006CAA0000}"/>
    <cellStyle name="Normal 2 2 3 3 2 3 3 2" xfId="43624" xr:uid="{00000000-0005-0000-0000-00006DAA0000}"/>
    <cellStyle name="Normal 2 2 3 3 2 3 4" xfId="43625" xr:uid="{00000000-0005-0000-0000-00006EAA0000}"/>
    <cellStyle name="Normal 2 2 3 3 2 4" xfId="43626" xr:uid="{00000000-0005-0000-0000-00006FAA0000}"/>
    <cellStyle name="Normal 2 2 3 3 2 4 2" xfId="43627" xr:uid="{00000000-0005-0000-0000-000070AA0000}"/>
    <cellStyle name="Normal 2 2 3 3 2 4 2 2" xfId="43628" xr:uid="{00000000-0005-0000-0000-000071AA0000}"/>
    <cellStyle name="Normal 2 2 3 3 2 4 3" xfId="43629" xr:uid="{00000000-0005-0000-0000-000072AA0000}"/>
    <cellStyle name="Normal 2 2 3 3 2 5" xfId="43630" xr:uid="{00000000-0005-0000-0000-000073AA0000}"/>
    <cellStyle name="Normal 2 2 3 3 2 5 2" xfId="43631" xr:uid="{00000000-0005-0000-0000-000074AA0000}"/>
    <cellStyle name="Normal 2 2 3 3 2 6" xfId="43632" xr:uid="{00000000-0005-0000-0000-000075AA0000}"/>
    <cellStyle name="Normal 2 2 3 3 2 7" xfId="43633" xr:uid="{00000000-0005-0000-0000-000076AA0000}"/>
    <cellStyle name="Normal 2 2 3 3 3" xfId="43634" xr:uid="{00000000-0005-0000-0000-000077AA0000}"/>
    <cellStyle name="Normal 2 2 3 3 3 2" xfId="43635" xr:uid="{00000000-0005-0000-0000-000078AA0000}"/>
    <cellStyle name="Normal 2 2 3 3 3 2 2" xfId="43636" xr:uid="{00000000-0005-0000-0000-000079AA0000}"/>
    <cellStyle name="Normal 2 2 3 3 3 2 2 2" xfId="43637" xr:uid="{00000000-0005-0000-0000-00007AAA0000}"/>
    <cellStyle name="Normal 2 2 3 3 3 2 2 2 2" xfId="43638" xr:uid="{00000000-0005-0000-0000-00007BAA0000}"/>
    <cellStyle name="Normal 2 2 3 3 3 2 2 3" xfId="43639" xr:uid="{00000000-0005-0000-0000-00007CAA0000}"/>
    <cellStyle name="Normal 2 2 3 3 3 2 3" xfId="43640" xr:uid="{00000000-0005-0000-0000-00007DAA0000}"/>
    <cellStyle name="Normal 2 2 3 3 3 2 3 2" xfId="43641" xr:uid="{00000000-0005-0000-0000-00007EAA0000}"/>
    <cellStyle name="Normal 2 2 3 3 3 2 4" xfId="43642" xr:uid="{00000000-0005-0000-0000-00007FAA0000}"/>
    <cellStyle name="Normal 2 2 3 3 3 3" xfId="43643" xr:uid="{00000000-0005-0000-0000-000080AA0000}"/>
    <cellStyle name="Normal 2 2 3 3 3 3 2" xfId="43644" xr:uid="{00000000-0005-0000-0000-000081AA0000}"/>
    <cellStyle name="Normal 2 2 3 3 3 3 2 2" xfId="43645" xr:uid="{00000000-0005-0000-0000-000082AA0000}"/>
    <cellStyle name="Normal 2 2 3 3 3 3 3" xfId="43646" xr:uid="{00000000-0005-0000-0000-000083AA0000}"/>
    <cellStyle name="Normal 2 2 3 3 3 4" xfId="43647" xr:uid="{00000000-0005-0000-0000-000084AA0000}"/>
    <cellStyle name="Normal 2 2 3 3 3 4 2" xfId="43648" xr:uid="{00000000-0005-0000-0000-000085AA0000}"/>
    <cellStyle name="Normal 2 2 3 3 3 5" xfId="43649" xr:uid="{00000000-0005-0000-0000-000086AA0000}"/>
    <cellStyle name="Normal 2 2 3 3 4" xfId="43650" xr:uid="{00000000-0005-0000-0000-000087AA0000}"/>
    <cellStyle name="Normal 2 2 3 3 4 2" xfId="43651" xr:uid="{00000000-0005-0000-0000-000088AA0000}"/>
    <cellStyle name="Normal 2 2 3 3 4 2 2" xfId="43652" xr:uid="{00000000-0005-0000-0000-000089AA0000}"/>
    <cellStyle name="Normal 2 2 3 3 4 2 2 2" xfId="43653" xr:uid="{00000000-0005-0000-0000-00008AAA0000}"/>
    <cellStyle name="Normal 2 2 3 3 4 2 3" xfId="43654" xr:uid="{00000000-0005-0000-0000-00008BAA0000}"/>
    <cellStyle name="Normal 2 2 3 3 4 3" xfId="43655" xr:uid="{00000000-0005-0000-0000-00008CAA0000}"/>
    <cellStyle name="Normal 2 2 3 3 4 3 2" xfId="43656" xr:uid="{00000000-0005-0000-0000-00008DAA0000}"/>
    <cellStyle name="Normal 2 2 3 3 4 4" xfId="43657" xr:uid="{00000000-0005-0000-0000-00008EAA0000}"/>
    <cellStyle name="Normal 2 2 3 3 5" xfId="43658" xr:uid="{00000000-0005-0000-0000-00008FAA0000}"/>
    <cellStyle name="Normal 2 2 3 3 5 2" xfId="43659" xr:uid="{00000000-0005-0000-0000-000090AA0000}"/>
    <cellStyle name="Normal 2 2 3 3 5 2 2" xfId="43660" xr:uid="{00000000-0005-0000-0000-000091AA0000}"/>
    <cellStyle name="Normal 2 2 3 3 5 3" xfId="43661" xr:uid="{00000000-0005-0000-0000-000092AA0000}"/>
    <cellStyle name="Normal 2 2 3 3 6" xfId="43662" xr:uid="{00000000-0005-0000-0000-000093AA0000}"/>
    <cellStyle name="Normal 2 2 3 3 6 2" xfId="43663" xr:uid="{00000000-0005-0000-0000-000094AA0000}"/>
    <cellStyle name="Normal 2 2 3 3 7" xfId="43664" xr:uid="{00000000-0005-0000-0000-000095AA0000}"/>
    <cellStyle name="Normal 2 2 3 3 7 2" xfId="43665" xr:uid="{00000000-0005-0000-0000-000096AA0000}"/>
    <cellStyle name="Normal 2 2 3 3 8" xfId="43666" xr:uid="{00000000-0005-0000-0000-000097AA0000}"/>
    <cellStyle name="Normal 2 2 3 3 9" xfId="43667" xr:uid="{00000000-0005-0000-0000-000098AA0000}"/>
    <cellStyle name="Normal 2 2 3 4" xfId="43668" xr:uid="{00000000-0005-0000-0000-000099AA0000}"/>
    <cellStyle name="Normal 2 2 3 4 2" xfId="43669" xr:uid="{00000000-0005-0000-0000-00009AAA0000}"/>
    <cellStyle name="Normal 2 2 3 4 2 2" xfId="43670" xr:uid="{00000000-0005-0000-0000-00009BAA0000}"/>
    <cellStyle name="Normal 2 2 3 4 2 2 2" xfId="43671" xr:uid="{00000000-0005-0000-0000-00009CAA0000}"/>
    <cellStyle name="Normal 2 2 3 4 2 2 2 2" xfId="43672" xr:uid="{00000000-0005-0000-0000-00009DAA0000}"/>
    <cellStyle name="Normal 2 2 3 4 2 2 3" xfId="43673" xr:uid="{00000000-0005-0000-0000-00009EAA0000}"/>
    <cellStyle name="Normal 2 2 3 4 2 3" xfId="43674" xr:uid="{00000000-0005-0000-0000-00009FAA0000}"/>
    <cellStyle name="Normal 2 2 3 4 2 3 2" xfId="43675" xr:uid="{00000000-0005-0000-0000-0000A0AA0000}"/>
    <cellStyle name="Normal 2 2 3 4 2 4" xfId="43676" xr:uid="{00000000-0005-0000-0000-0000A1AA0000}"/>
    <cellStyle name="Normal 2 2 3 4 2 5" xfId="43677" xr:uid="{00000000-0005-0000-0000-0000A2AA0000}"/>
    <cellStyle name="Normal 2 2 3 4 3" xfId="43678" xr:uid="{00000000-0005-0000-0000-0000A3AA0000}"/>
    <cellStyle name="Normal 2 2 3 4 3 2" xfId="43679" xr:uid="{00000000-0005-0000-0000-0000A4AA0000}"/>
    <cellStyle name="Normal 2 2 3 4 3 2 2" xfId="43680" xr:uid="{00000000-0005-0000-0000-0000A5AA0000}"/>
    <cellStyle name="Normal 2 2 3 4 3 2 2 2" xfId="43681" xr:uid="{00000000-0005-0000-0000-0000A6AA0000}"/>
    <cellStyle name="Normal 2 2 3 4 3 2 3" xfId="43682" xr:uid="{00000000-0005-0000-0000-0000A7AA0000}"/>
    <cellStyle name="Normal 2 2 3 4 3 3" xfId="43683" xr:uid="{00000000-0005-0000-0000-0000A8AA0000}"/>
    <cellStyle name="Normal 2 2 3 4 3 3 2" xfId="43684" xr:uid="{00000000-0005-0000-0000-0000A9AA0000}"/>
    <cellStyle name="Normal 2 2 3 4 3 4" xfId="43685" xr:uid="{00000000-0005-0000-0000-0000AAAA0000}"/>
    <cellStyle name="Normal 2 2 3 4 4" xfId="43686" xr:uid="{00000000-0005-0000-0000-0000ABAA0000}"/>
    <cellStyle name="Normal 2 2 3 4 4 2" xfId="43687" xr:uid="{00000000-0005-0000-0000-0000ACAA0000}"/>
    <cellStyle name="Normal 2 2 3 4 4 2 2" xfId="43688" xr:uid="{00000000-0005-0000-0000-0000ADAA0000}"/>
    <cellStyle name="Normal 2 2 3 4 4 3" xfId="43689" xr:uid="{00000000-0005-0000-0000-0000AEAA0000}"/>
    <cellStyle name="Normal 2 2 3 4 5" xfId="43690" xr:uid="{00000000-0005-0000-0000-0000AFAA0000}"/>
    <cellStyle name="Normal 2 2 3 4 5 2" xfId="43691" xr:uid="{00000000-0005-0000-0000-0000B0AA0000}"/>
    <cellStyle name="Normal 2 2 3 4 6" xfId="43692" xr:uid="{00000000-0005-0000-0000-0000B1AA0000}"/>
    <cellStyle name="Normal 2 2 3 4 6 2" xfId="43693" xr:uid="{00000000-0005-0000-0000-0000B2AA0000}"/>
    <cellStyle name="Normal 2 2 3 4 7" xfId="43694" xr:uid="{00000000-0005-0000-0000-0000B3AA0000}"/>
    <cellStyle name="Normal 2 2 3 4 8" xfId="43695" xr:uid="{00000000-0005-0000-0000-0000B4AA0000}"/>
    <cellStyle name="Normal 2 2 3 5" xfId="43696" xr:uid="{00000000-0005-0000-0000-0000B5AA0000}"/>
    <cellStyle name="Normal 2 2 3 5 2" xfId="43697" xr:uid="{00000000-0005-0000-0000-0000B6AA0000}"/>
    <cellStyle name="Normal 2 2 3 5 2 2" xfId="43698" xr:uid="{00000000-0005-0000-0000-0000B7AA0000}"/>
    <cellStyle name="Normal 2 2 3 5 2 2 2" xfId="43699" xr:uid="{00000000-0005-0000-0000-0000B8AA0000}"/>
    <cellStyle name="Normal 2 2 3 5 2 2 2 2" xfId="43700" xr:uid="{00000000-0005-0000-0000-0000B9AA0000}"/>
    <cellStyle name="Normal 2 2 3 5 2 2 3" xfId="43701" xr:uid="{00000000-0005-0000-0000-0000BAAA0000}"/>
    <cellStyle name="Normal 2 2 3 5 2 3" xfId="43702" xr:uid="{00000000-0005-0000-0000-0000BBAA0000}"/>
    <cellStyle name="Normal 2 2 3 5 2 3 2" xfId="43703" xr:uid="{00000000-0005-0000-0000-0000BCAA0000}"/>
    <cellStyle name="Normal 2 2 3 5 2 4" xfId="43704" xr:uid="{00000000-0005-0000-0000-0000BDAA0000}"/>
    <cellStyle name="Normal 2 2 3 5 3" xfId="43705" xr:uid="{00000000-0005-0000-0000-0000BEAA0000}"/>
    <cellStyle name="Normal 2 2 3 5 3 2" xfId="43706" xr:uid="{00000000-0005-0000-0000-0000BFAA0000}"/>
    <cellStyle name="Normal 2 2 3 5 3 2 2" xfId="43707" xr:uid="{00000000-0005-0000-0000-0000C0AA0000}"/>
    <cellStyle name="Normal 2 2 3 5 3 2 2 2" xfId="43708" xr:uid="{00000000-0005-0000-0000-0000C1AA0000}"/>
    <cellStyle name="Normal 2 2 3 5 3 2 3" xfId="43709" xr:uid="{00000000-0005-0000-0000-0000C2AA0000}"/>
    <cellStyle name="Normal 2 2 3 5 3 3" xfId="43710" xr:uid="{00000000-0005-0000-0000-0000C3AA0000}"/>
    <cellStyle name="Normal 2 2 3 5 3 3 2" xfId="43711" xr:uid="{00000000-0005-0000-0000-0000C4AA0000}"/>
    <cellStyle name="Normal 2 2 3 5 3 4" xfId="43712" xr:uid="{00000000-0005-0000-0000-0000C5AA0000}"/>
    <cellStyle name="Normal 2 2 3 5 4" xfId="43713" xr:uid="{00000000-0005-0000-0000-0000C6AA0000}"/>
    <cellStyle name="Normal 2 2 3 5 4 2" xfId="43714" xr:uid="{00000000-0005-0000-0000-0000C7AA0000}"/>
    <cellStyle name="Normal 2 2 3 5 4 2 2" xfId="43715" xr:uid="{00000000-0005-0000-0000-0000C8AA0000}"/>
    <cellStyle name="Normal 2 2 3 5 4 3" xfId="43716" xr:uid="{00000000-0005-0000-0000-0000C9AA0000}"/>
    <cellStyle name="Normal 2 2 3 5 5" xfId="43717" xr:uid="{00000000-0005-0000-0000-0000CAAA0000}"/>
    <cellStyle name="Normal 2 2 3 5 5 2" xfId="43718" xr:uid="{00000000-0005-0000-0000-0000CBAA0000}"/>
    <cellStyle name="Normal 2 2 3 5 6" xfId="43719" xr:uid="{00000000-0005-0000-0000-0000CCAA0000}"/>
    <cellStyle name="Normal 2 2 3 5 7" xfId="43720" xr:uid="{00000000-0005-0000-0000-0000CDAA0000}"/>
    <cellStyle name="Normal 2 2 3 6" xfId="43721" xr:uid="{00000000-0005-0000-0000-0000CEAA0000}"/>
    <cellStyle name="Normal 2 2 3 6 2" xfId="43722" xr:uid="{00000000-0005-0000-0000-0000CFAA0000}"/>
    <cellStyle name="Normal 2 2 3 6 2 2" xfId="43723" xr:uid="{00000000-0005-0000-0000-0000D0AA0000}"/>
    <cellStyle name="Normal 2 2 3 6 2 2 2" xfId="43724" xr:uid="{00000000-0005-0000-0000-0000D1AA0000}"/>
    <cellStyle name="Normal 2 2 3 6 2 3" xfId="43725" xr:uid="{00000000-0005-0000-0000-0000D2AA0000}"/>
    <cellStyle name="Normal 2 2 3 6 3" xfId="43726" xr:uid="{00000000-0005-0000-0000-0000D3AA0000}"/>
    <cellStyle name="Normal 2 2 3 6 3 2" xfId="43727" xr:uid="{00000000-0005-0000-0000-0000D4AA0000}"/>
    <cellStyle name="Normal 2 2 3 6 4" xfId="43728" xr:uid="{00000000-0005-0000-0000-0000D5AA0000}"/>
    <cellStyle name="Normal 2 2 3 7" xfId="43729" xr:uid="{00000000-0005-0000-0000-0000D6AA0000}"/>
    <cellStyle name="Normal 2 2 3 7 2" xfId="43730" xr:uid="{00000000-0005-0000-0000-0000D7AA0000}"/>
    <cellStyle name="Normal 2 2 3 7 2 2" xfId="43731" xr:uid="{00000000-0005-0000-0000-0000D8AA0000}"/>
    <cellStyle name="Normal 2 2 3 7 2 2 2" xfId="43732" xr:uid="{00000000-0005-0000-0000-0000D9AA0000}"/>
    <cellStyle name="Normal 2 2 3 7 2 3" xfId="43733" xr:uid="{00000000-0005-0000-0000-0000DAAA0000}"/>
    <cellStyle name="Normal 2 2 3 7 3" xfId="43734" xr:uid="{00000000-0005-0000-0000-0000DBAA0000}"/>
    <cellStyle name="Normal 2 2 3 7 3 2" xfId="43735" xr:uid="{00000000-0005-0000-0000-0000DCAA0000}"/>
    <cellStyle name="Normal 2 2 3 7 4" xfId="43736" xr:uid="{00000000-0005-0000-0000-0000DDAA0000}"/>
    <cellStyle name="Normal 2 2 3 8" xfId="43737" xr:uid="{00000000-0005-0000-0000-0000DEAA0000}"/>
    <cellStyle name="Normal 2 2 3 8 2" xfId="43738" xr:uid="{00000000-0005-0000-0000-0000DFAA0000}"/>
    <cellStyle name="Normal 2 2 3 8 2 2" xfId="43739" xr:uid="{00000000-0005-0000-0000-0000E0AA0000}"/>
    <cellStyle name="Normal 2 2 3 8 2 2 2" xfId="43740" xr:uid="{00000000-0005-0000-0000-0000E1AA0000}"/>
    <cellStyle name="Normal 2 2 3 8 2 3" xfId="43741" xr:uid="{00000000-0005-0000-0000-0000E2AA0000}"/>
    <cellStyle name="Normal 2 2 3 8 3" xfId="43742" xr:uid="{00000000-0005-0000-0000-0000E3AA0000}"/>
    <cellStyle name="Normal 2 2 3 8 3 2" xfId="43743" xr:uid="{00000000-0005-0000-0000-0000E4AA0000}"/>
    <cellStyle name="Normal 2 2 3 8 4" xfId="43744" xr:uid="{00000000-0005-0000-0000-0000E5AA0000}"/>
    <cellStyle name="Normal 2 2 3 9" xfId="43745" xr:uid="{00000000-0005-0000-0000-0000E6AA0000}"/>
    <cellStyle name="Normal 2 2 3 9 2" xfId="43746" xr:uid="{00000000-0005-0000-0000-0000E7AA0000}"/>
    <cellStyle name="Normal 2 2 3 9 2 2" xfId="43747" xr:uid="{00000000-0005-0000-0000-0000E8AA0000}"/>
    <cellStyle name="Normal 2 2 3 9 3" xfId="43748" xr:uid="{00000000-0005-0000-0000-0000E9AA0000}"/>
    <cellStyle name="Normal 2 2 3_Proj" xfId="43749" xr:uid="{00000000-0005-0000-0000-0000EAAA0000}"/>
    <cellStyle name="Normal 2 2 30" xfId="43750" xr:uid="{00000000-0005-0000-0000-0000EBAA0000}"/>
    <cellStyle name="Normal 2 2 31" xfId="43751" xr:uid="{00000000-0005-0000-0000-0000ECAA0000}"/>
    <cellStyle name="Normal 2 2 32" xfId="43752" xr:uid="{00000000-0005-0000-0000-0000EDAA0000}"/>
    <cellStyle name="Normal 2 2 33" xfId="43753" xr:uid="{00000000-0005-0000-0000-0000EEAA0000}"/>
    <cellStyle name="Normal 2 2 34" xfId="43754" xr:uid="{00000000-0005-0000-0000-0000EFAA0000}"/>
    <cellStyle name="Normal 2 2 35" xfId="43755" xr:uid="{00000000-0005-0000-0000-0000F0AA0000}"/>
    <cellStyle name="Normal 2 2 36" xfId="43756" xr:uid="{00000000-0005-0000-0000-0000F1AA0000}"/>
    <cellStyle name="Normal 2 2 37" xfId="43757" xr:uid="{00000000-0005-0000-0000-0000F2AA0000}"/>
    <cellStyle name="Normal 2 2 38" xfId="43758" xr:uid="{00000000-0005-0000-0000-0000F3AA0000}"/>
    <cellStyle name="Normal 2 2 39" xfId="43759" xr:uid="{00000000-0005-0000-0000-0000F4AA0000}"/>
    <cellStyle name="Normal 2 2 4" xfId="43760" xr:uid="{00000000-0005-0000-0000-0000F5AA0000}"/>
    <cellStyle name="Normal 2 2 4 2" xfId="43761" xr:uid="{00000000-0005-0000-0000-0000F6AA0000}"/>
    <cellStyle name="Normal 2 2 4 3" xfId="43762" xr:uid="{00000000-0005-0000-0000-0000F7AA0000}"/>
    <cellStyle name="Normal 2 2 4_Proj" xfId="43763" xr:uid="{00000000-0005-0000-0000-0000F8AA0000}"/>
    <cellStyle name="Normal 2 2 40" xfId="43764" xr:uid="{00000000-0005-0000-0000-0000F9AA0000}"/>
    <cellStyle name="Normal 2 2 41" xfId="43765" xr:uid="{00000000-0005-0000-0000-0000FAAA0000}"/>
    <cellStyle name="Normal 2 2 42" xfId="43766" xr:uid="{00000000-0005-0000-0000-0000FBAA0000}"/>
    <cellStyle name="Normal 2 2 43" xfId="43767" xr:uid="{00000000-0005-0000-0000-0000FCAA0000}"/>
    <cellStyle name="Normal 2 2 44" xfId="43768" xr:uid="{00000000-0005-0000-0000-0000FDAA0000}"/>
    <cellStyle name="Normal 2 2 45" xfId="43769" xr:uid="{00000000-0005-0000-0000-0000FEAA0000}"/>
    <cellStyle name="Normal 2 2 46" xfId="43770" xr:uid="{00000000-0005-0000-0000-0000FFAA0000}"/>
    <cellStyle name="Normal 2 2 47" xfId="43771" xr:uid="{00000000-0005-0000-0000-000000AB0000}"/>
    <cellStyle name="Normal 2 2 48" xfId="43772" xr:uid="{00000000-0005-0000-0000-000001AB0000}"/>
    <cellStyle name="Normal 2 2 49" xfId="43773" xr:uid="{00000000-0005-0000-0000-000002AB0000}"/>
    <cellStyle name="Normal 2 2 5" xfId="43774" xr:uid="{00000000-0005-0000-0000-000003AB0000}"/>
    <cellStyle name="Normal 2 2 5 2" xfId="43775" xr:uid="{00000000-0005-0000-0000-000004AB0000}"/>
    <cellStyle name="Normal 2 2 5 2 2" xfId="43776" xr:uid="{00000000-0005-0000-0000-000005AB0000}"/>
    <cellStyle name="Normal 2 2 5 3" xfId="43777" xr:uid="{00000000-0005-0000-0000-000006AB0000}"/>
    <cellStyle name="Normal 2 2 5 4" xfId="43778" xr:uid="{00000000-0005-0000-0000-000007AB0000}"/>
    <cellStyle name="Normal 2 2 5 5" xfId="43779" xr:uid="{00000000-0005-0000-0000-000008AB0000}"/>
    <cellStyle name="Normal 2 2 5 6" xfId="43780" xr:uid="{00000000-0005-0000-0000-000009AB0000}"/>
    <cellStyle name="Normal 2 2 5_Proj" xfId="43781" xr:uid="{00000000-0005-0000-0000-00000AAB0000}"/>
    <cellStyle name="Normal 2 2 50" xfId="43782" xr:uid="{00000000-0005-0000-0000-00000BAB0000}"/>
    <cellStyle name="Normal 2 2 51" xfId="43783" xr:uid="{00000000-0005-0000-0000-00000CAB0000}"/>
    <cellStyle name="Normal 2 2 52" xfId="43784" xr:uid="{00000000-0005-0000-0000-00000DAB0000}"/>
    <cellStyle name="Normal 2 2 53" xfId="43785" xr:uid="{00000000-0005-0000-0000-00000EAB0000}"/>
    <cellStyle name="Normal 2 2 54" xfId="43786" xr:uid="{00000000-0005-0000-0000-00000FAB0000}"/>
    <cellStyle name="Normal 2 2 55" xfId="43787" xr:uid="{00000000-0005-0000-0000-000010AB0000}"/>
    <cellStyle name="Normal 2 2 56" xfId="43788" xr:uid="{00000000-0005-0000-0000-000011AB0000}"/>
    <cellStyle name="Normal 2 2 57" xfId="43789" xr:uid="{00000000-0005-0000-0000-000012AB0000}"/>
    <cellStyle name="Normal 2 2 58" xfId="43790" xr:uid="{00000000-0005-0000-0000-000013AB0000}"/>
    <cellStyle name="Normal 2 2 59" xfId="43791" xr:uid="{00000000-0005-0000-0000-000014AB0000}"/>
    <cellStyle name="Normal 2 2 6" xfId="43792" xr:uid="{00000000-0005-0000-0000-000015AB0000}"/>
    <cellStyle name="Normal 2 2 60" xfId="43793" xr:uid="{00000000-0005-0000-0000-000016AB0000}"/>
    <cellStyle name="Normal 2 2 61" xfId="43794" xr:uid="{00000000-0005-0000-0000-000017AB0000}"/>
    <cellStyle name="Normal 2 2 62" xfId="43795" xr:uid="{00000000-0005-0000-0000-000018AB0000}"/>
    <cellStyle name="Normal 2 2 63" xfId="43796" xr:uid="{00000000-0005-0000-0000-000019AB0000}"/>
    <cellStyle name="Normal 2 2 64" xfId="43797" xr:uid="{00000000-0005-0000-0000-00001AAB0000}"/>
    <cellStyle name="Normal 2 2 65" xfId="43798" xr:uid="{00000000-0005-0000-0000-00001BAB0000}"/>
    <cellStyle name="Normal 2 2 66" xfId="43799" xr:uid="{00000000-0005-0000-0000-00001CAB0000}"/>
    <cellStyle name="Normal 2 2 67" xfId="43800" xr:uid="{00000000-0005-0000-0000-00001DAB0000}"/>
    <cellStyle name="Normal 2 2 68" xfId="43801" xr:uid="{00000000-0005-0000-0000-00001EAB0000}"/>
    <cellStyle name="Normal 2 2 69" xfId="43802" xr:uid="{00000000-0005-0000-0000-00001FAB0000}"/>
    <cellStyle name="Normal 2 2 7" xfId="43803" xr:uid="{00000000-0005-0000-0000-000020AB0000}"/>
    <cellStyle name="Normal 2 2 70" xfId="43804" xr:uid="{00000000-0005-0000-0000-000021AB0000}"/>
    <cellStyle name="Normal 2 2 71" xfId="43805" xr:uid="{00000000-0005-0000-0000-000022AB0000}"/>
    <cellStyle name="Normal 2 2 72" xfId="43806" xr:uid="{00000000-0005-0000-0000-000023AB0000}"/>
    <cellStyle name="Normal 2 2 73" xfId="43807" xr:uid="{00000000-0005-0000-0000-000024AB0000}"/>
    <cellStyle name="Normal 2 2 74" xfId="43808" xr:uid="{00000000-0005-0000-0000-000025AB0000}"/>
    <cellStyle name="Normal 2 2 75" xfId="43809" xr:uid="{00000000-0005-0000-0000-000026AB0000}"/>
    <cellStyle name="Normal 2 2 76" xfId="43810" xr:uid="{00000000-0005-0000-0000-000027AB0000}"/>
    <cellStyle name="Normal 2 2 77" xfId="43811" xr:uid="{00000000-0005-0000-0000-000028AB0000}"/>
    <cellStyle name="Normal 2 2 78" xfId="43812" xr:uid="{00000000-0005-0000-0000-000029AB0000}"/>
    <cellStyle name="Normal 2 2 79" xfId="43813" xr:uid="{00000000-0005-0000-0000-00002AAB0000}"/>
    <cellStyle name="Normal 2 2 8" xfId="43814" xr:uid="{00000000-0005-0000-0000-00002BAB0000}"/>
    <cellStyle name="Normal 2 2 80" xfId="43815" xr:uid="{00000000-0005-0000-0000-00002CAB0000}"/>
    <cellStyle name="Normal 2 2 81" xfId="43816" xr:uid="{00000000-0005-0000-0000-00002DAB0000}"/>
    <cellStyle name="Normal 2 2 82" xfId="43817" xr:uid="{00000000-0005-0000-0000-00002EAB0000}"/>
    <cellStyle name="Normal 2 2 83" xfId="43818" xr:uid="{00000000-0005-0000-0000-00002FAB0000}"/>
    <cellStyle name="Normal 2 2 84" xfId="43819" xr:uid="{00000000-0005-0000-0000-000030AB0000}"/>
    <cellStyle name="Normal 2 2 85" xfId="43820" xr:uid="{00000000-0005-0000-0000-000031AB0000}"/>
    <cellStyle name="Normal 2 2 86" xfId="43821" xr:uid="{00000000-0005-0000-0000-000032AB0000}"/>
    <cellStyle name="Normal 2 2 87" xfId="43822" xr:uid="{00000000-0005-0000-0000-000033AB0000}"/>
    <cellStyle name="Normal 2 2 88" xfId="43823" xr:uid="{00000000-0005-0000-0000-000034AB0000}"/>
    <cellStyle name="Normal 2 2 89" xfId="43824" xr:uid="{00000000-0005-0000-0000-000035AB0000}"/>
    <cellStyle name="Normal 2 2 9" xfId="43825" xr:uid="{00000000-0005-0000-0000-000036AB0000}"/>
    <cellStyle name="Normal 2 2 90" xfId="43826" xr:uid="{00000000-0005-0000-0000-000037AB0000}"/>
    <cellStyle name="Normal 2 2 91" xfId="43827" xr:uid="{00000000-0005-0000-0000-000038AB0000}"/>
    <cellStyle name="Normal 2 2 92" xfId="43828" xr:uid="{00000000-0005-0000-0000-000039AB0000}"/>
    <cellStyle name="Normal 2 2 93" xfId="43829" xr:uid="{00000000-0005-0000-0000-00003AAB0000}"/>
    <cellStyle name="Normal 2 2 94" xfId="43830" xr:uid="{00000000-0005-0000-0000-00003BAB0000}"/>
    <cellStyle name="Normal 2 2 95" xfId="43831" xr:uid="{00000000-0005-0000-0000-00003CAB0000}"/>
    <cellStyle name="Normal 2 2 96" xfId="43832" xr:uid="{00000000-0005-0000-0000-00003DAB0000}"/>
    <cellStyle name="Normal 2 2 97" xfId="43833" xr:uid="{00000000-0005-0000-0000-00003EAB0000}"/>
    <cellStyle name="Normal 2 2 98" xfId="43834" xr:uid="{00000000-0005-0000-0000-00003FAB0000}"/>
    <cellStyle name="Normal 2 2 99" xfId="43835" xr:uid="{00000000-0005-0000-0000-000040AB0000}"/>
    <cellStyle name="Normal 2 2_08.Commodity_for_Project(1)" xfId="43836" xr:uid="{00000000-0005-0000-0000-000041AB0000}"/>
    <cellStyle name="Normal 2 20" xfId="43837" xr:uid="{00000000-0005-0000-0000-000042AB0000}"/>
    <cellStyle name="Normal 2 20 2" xfId="43838" xr:uid="{00000000-0005-0000-0000-000043AB0000}"/>
    <cellStyle name="Normal 2 21" xfId="43839" xr:uid="{00000000-0005-0000-0000-000044AB0000}"/>
    <cellStyle name="Normal 2 21 10" xfId="43840" xr:uid="{00000000-0005-0000-0000-000045AB0000}"/>
    <cellStyle name="Normal 2 21 10 2" xfId="43841" xr:uid="{00000000-0005-0000-0000-000046AB0000}"/>
    <cellStyle name="Normal 2 21 10 2 2" xfId="43842" xr:uid="{00000000-0005-0000-0000-000047AB0000}"/>
    <cellStyle name="Normal 2 21 10 3" xfId="43843" xr:uid="{00000000-0005-0000-0000-000048AB0000}"/>
    <cellStyle name="Normal 2 21 11" xfId="43844" xr:uid="{00000000-0005-0000-0000-000049AB0000}"/>
    <cellStyle name="Normal 2 21 11 2" xfId="43845" xr:uid="{00000000-0005-0000-0000-00004AAB0000}"/>
    <cellStyle name="Normal 2 21 11 2 2" xfId="43846" xr:uid="{00000000-0005-0000-0000-00004BAB0000}"/>
    <cellStyle name="Normal 2 21 11 3" xfId="43847" xr:uid="{00000000-0005-0000-0000-00004CAB0000}"/>
    <cellStyle name="Normal 2 21 12" xfId="43848" xr:uid="{00000000-0005-0000-0000-00004DAB0000}"/>
    <cellStyle name="Normal 2 21 12 2" xfId="43849" xr:uid="{00000000-0005-0000-0000-00004EAB0000}"/>
    <cellStyle name="Normal 2 21 2" xfId="43850" xr:uid="{00000000-0005-0000-0000-00004FAB0000}"/>
    <cellStyle name="Normal 2 21 2 10" xfId="43851" xr:uid="{00000000-0005-0000-0000-000050AB0000}"/>
    <cellStyle name="Normal 2 21 2 11" xfId="43852" xr:uid="{00000000-0005-0000-0000-000051AB0000}"/>
    <cellStyle name="Normal 2 21 2 2" xfId="43853" xr:uid="{00000000-0005-0000-0000-000052AB0000}"/>
    <cellStyle name="Normal 2 21 2 2 10" xfId="43854" xr:uid="{00000000-0005-0000-0000-000053AB0000}"/>
    <cellStyle name="Normal 2 21 2 2 10 2" xfId="43855" xr:uid="{00000000-0005-0000-0000-000054AB0000}"/>
    <cellStyle name="Normal 2 21 2 2 10 2 2" xfId="43856" xr:uid="{00000000-0005-0000-0000-000055AB0000}"/>
    <cellStyle name="Normal 2 21 2 2 10 3" xfId="43857" xr:uid="{00000000-0005-0000-0000-000056AB0000}"/>
    <cellStyle name="Normal 2 21 2 2 11" xfId="43858" xr:uid="{00000000-0005-0000-0000-000057AB0000}"/>
    <cellStyle name="Normal 2 21 2 2 11 2" xfId="43859" xr:uid="{00000000-0005-0000-0000-000058AB0000}"/>
    <cellStyle name="Normal 2 21 2 2 11 2 2" xfId="43860" xr:uid="{00000000-0005-0000-0000-000059AB0000}"/>
    <cellStyle name="Normal 2 21 2 2 11 3" xfId="43861" xr:uid="{00000000-0005-0000-0000-00005AAB0000}"/>
    <cellStyle name="Normal 2 21 2 2 12" xfId="43862" xr:uid="{00000000-0005-0000-0000-00005BAB0000}"/>
    <cellStyle name="Normal 2 21 2 2 12 2" xfId="43863" xr:uid="{00000000-0005-0000-0000-00005CAB0000}"/>
    <cellStyle name="Normal 2 21 2 2 13" xfId="43864" xr:uid="{00000000-0005-0000-0000-00005DAB0000}"/>
    <cellStyle name="Normal 2 21 2 2 2" xfId="43865" xr:uid="{00000000-0005-0000-0000-00005EAB0000}"/>
    <cellStyle name="Normal 2 21 2 2 3" xfId="43866" xr:uid="{00000000-0005-0000-0000-00005FAB0000}"/>
    <cellStyle name="Normal 2 21 2 2 3 2" xfId="43867" xr:uid="{00000000-0005-0000-0000-000060AB0000}"/>
    <cellStyle name="Normal 2 21 2 2 3 2 2" xfId="43868" xr:uid="{00000000-0005-0000-0000-000061AB0000}"/>
    <cellStyle name="Normal 2 21 2 2 3 2 2 2" xfId="43869" xr:uid="{00000000-0005-0000-0000-000062AB0000}"/>
    <cellStyle name="Normal 2 21 2 2 3 2 3" xfId="43870" xr:uid="{00000000-0005-0000-0000-000063AB0000}"/>
    <cellStyle name="Normal 2 21 2 2 4" xfId="43871" xr:uid="{00000000-0005-0000-0000-000064AB0000}"/>
    <cellStyle name="Normal 2 21 2 2 4 2" xfId="43872" xr:uid="{00000000-0005-0000-0000-000065AB0000}"/>
    <cellStyle name="Normal 2 21 2 2 4 2 2" xfId="43873" xr:uid="{00000000-0005-0000-0000-000066AB0000}"/>
    <cellStyle name="Normal 2 21 2 2 4 3" xfId="43874" xr:uid="{00000000-0005-0000-0000-000067AB0000}"/>
    <cellStyle name="Normal 2 21 2 2 5" xfId="43875" xr:uid="{00000000-0005-0000-0000-000068AB0000}"/>
    <cellStyle name="Normal 2 21 2 2 5 2" xfId="43876" xr:uid="{00000000-0005-0000-0000-000069AB0000}"/>
    <cellStyle name="Normal 2 21 2 2 5 2 2" xfId="43877" xr:uid="{00000000-0005-0000-0000-00006AAB0000}"/>
    <cellStyle name="Normal 2 21 2 2 5 3" xfId="43878" xr:uid="{00000000-0005-0000-0000-00006BAB0000}"/>
    <cellStyle name="Normal 2 21 2 2 6" xfId="43879" xr:uid="{00000000-0005-0000-0000-00006CAB0000}"/>
    <cellStyle name="Normal 2 21 2 2 6 2" xfId="43880" xr:uid="{00000000-0005-0000-0000-00006DAB0000}"/>
    <cellStyle name="Normal 2 21 2 2 6 2 2" xfId="43881" xr:uid="{00000000-0005-0000-0000-00006EAB0000}"/>
    <cellStyle name="Normal 2 21 2 2 6 3" xfId="43882" xr:uid="{00000000-0005-0000-0000-00006FAB0000}"/>
    <cellStyle name="Normal 2 21 2 2 7" xfId="43883" xr:uid="{00000000-0005-0000-0000-000070AB0000}"/>
    <cellStyle name="Normal 2 21 2 2 7 2" xfId="43884" xr:uid="{00000000-0005-0000-0000-000071AB0000}"/>
    <cellStyle name="Normal 2 21 2 2 7 2 2" xfId="43885" xr:uid="{00000000-0005-0000-0000-000072AB0000}"/>
    <cellStyle name="Normal 2 21 2 2 7 3" xfId="43886" xr:uid="{00000000-0005-0000-0000-000073AB0000}"/>
    <cellStyle name="Normal 2 21 2 2 8" xfId="43887" xr:uid="{00000000-0005-0000-0000-000074AB0000}"/>
    <cellStyle name="Normal 2 21 2 2 8 2" xfId="43888" xr:uid="{00000000-0005-0000-0000-000075AB0000}"/>
    <cellStyle name="Normal 2 21 2 2 8 2 2" xfId="43889" xr:uid="{00000000-0005-0000-0000-000076AB0000}"/>
    <cellStyle name="Normal 2 21 2 2 8 3" xfId="43890" xr:uid="{00000000-0005-0000-0000-000077AB0000}"/>
    <cellStyle name="Normal 2 21 2 2 9" xfId="43891" xr:uid="{00000000-0005-0000-0000-000078AB0000}"/>
    <cellStyle name="Normal 2 21 2 2 9 2" xfId="43892" xr:uid="{00000000-0005-0000-0000-000079AB0000}"/>
    <cellStyle name="Normal 2 21 2 2 9 2 2" xfId="43893" xr:uid="{00000000-0005-0000-0000-00007AAB0000}"/>
    <cellStyle name="Normal 2 21 2 2 9 3" xfId="43894" xr:uid="{00000000-0005-0000-0000-00007BAB0000}"/>
    <cellStyle name="Normal 2 21 2 2_Proj" xfId="43895" xr:uid="{00000000-0005-0000-0000-00007CAB0000}"/>
    <cellStyle name="Normal 2 21 2 3" xfId="43896" xr:uid="{00000000-0005-0000-0000-00007DAB0000}"/>
    <cellStyle name="Normal 2 21 2 3 2" xfId="43897" xr:uid="{00000000-0005-0000-0000-00007EAB0000}"/>
    <cellStyle name="Normal 2 21 2 3 3" xfId="43898" xr:uid="{00000000-0005-0000-0000-00007FAB0000}"/>
    <cellStyle name="Normal 2 21 2 3 3 2" xfId="43899" xr:uid="{00000000-0005-0000-0000-000080AB0000}"/>
    <cellStyle name="Normal 2 21 2 3 4" xfId="43900" xr:uid="{00000000-0005-0000-0000-000081AB0000}"/>
    <cellStyle name="Normal 2 21 2 3_Proj" xfId="43901" xr:uid="{00000000-0005-0000-0000-000082AB0000}"/>
    <cellStyle name="Normal 2 21 2 4" xfId="43902" xr:uid="{00000000-0005-0000-0000-000083AB0000}"/>
    <cellStyle name="Normal 2 21 2 5" xfId="43903" xr:uid="{00000000-0005-0000-0000-000084AB0000}"/>
    <cellStyle name="Normal 2 21 2 6" xfId="43904" xr:uid="{00000000-0005-0000-0000-000085AB0000}"/>
    <cellStyle name="Normal 2 21 2 7" xfId="43905" xr:uid="{00000000-0005-0000-0000-000086AB0000}"/>
    <cellStyle name="Normal 2 21 2 8" xfId="43906" xr:uid="{00000000-0005-0000-0000-000087AB0000}"/>
    <cellStyle name="Normal 2 21 2 9" xfId="43907" xr:uid="{00000000-0005-0000-0000-000088AB0000}"/>
    <cellStyle name="Normal 2 21 3" xfId="43908" xr:uid="{00000000-0005-0000-0000-000089AB0000}"/>
    <cellStyle name="Normal 2 21 3 2" xfId="43909" xr:uid="{00000000-0005-0000-0000-00008AAB0000}"/>
    <cellStyle name="Normal 2 21 3 2 2" xfId="43910" xr:uid="{00000000-0005-0000-0000-00008BAB0000}"/>
    <cellStyle name="Normal 2 21 3 2 2 2" xfId="43911" xr:uid="{00000000-0005-0000-0000-00008CAB0000}"/>
    <cellStyle name="Normal 2 21 3 2 3" xfId="43912" xr:uid="{00000000-0005-0000-0000-00008DAB0000}"/>
    <cellStyle name="Normal 2 21 4" xfId="43913" xr:uid="{00000000-0005-0000-0000-00008EAB0000}"/>
    <cellStyle name="Normal 2 21 4 2" xfId="43914" xr:uid="{00000000-0005-0000-0000-00008FAB0000}"/>
    <cellStyle name="Normal 2 21 4 2 2" xfId="43915" xr:uid="{00000000-0005-0000-0000-000090AB0000}"/>
    <cellStyle name="Normal 2 21 4 3" xfId="43916" xr:uid="{00000000-0005-0000-0000-000091AB0000}"/>
    <cellStyle name="Normal 2 21 5" xfId="43917" xr:uid="{00000000-0005-0000-0000-000092AB0000}"/>
    <cellStyle name="Normal 2 21 5 2" xfId="43918" xr:uid="{00000000-0005-0000-0000-000093AB0000}"/>
    <cellStyle name="Normal 2 21 5 2 2" xfId="43919" xr:uid="{00000000-0005-0000-0000-000094AB0000}"/>
    <cellStyle name="Normal 2 21 5 3" xfId="43920" xr:uid="{00000000-0005-0000-0000-000095AB0000}"/>
    <cellStyle name="Normal 2 21 6" xfId="43921" xr:uid="{00000000-0005-0000-0000-000096AB0000}"/>
    <cellStyle name="Normal 2 21 6 2" xfId="43922" xr:uid="{00000000-0005-0000-0000-000097AB0000}"/>
    <cellStyle name="Normal 2 21 6 2 2" xfId="43923" xr:uid="{00000000-0005-0000-0000-000098AB0000}"/>
    <cellStyle name="Normal 2 21 6 3" xfId="43924" xr:uid="{00000000-0005-0000-0000-000099AB0000}"/>
    <cellStyle name="Normal 2 21 7" xfId="43925" xr:uid="{00000000-0005-0000-0000-00009AAB0000}"/>
    <cellStyle name="Normal 2 21 7 2" xfId="43926" xr:uid="{00000000-0005-0000-0000-00009BAB0000}"/>
    <cellStyle name="Normal 2 21 7 2 2" xfId="43927" xr:uid="{00000000-0005-0000-0000-00009CAB0000}"/>
    <cellStyle name="Normal 2 21 7 3" xfId="43928" xr:uid="{00000000-0005-0000-0000-00009DAB0000}"/>
    <cellStyle name="Normal 2 21 8" xfId="43929" xr:uid="{00000000-0005-0000-0000-00009EAB0000}"/>
    <cellStyle name="Normal 2 21 8 2" xfId="43930" xr:uid="{00000000-0005-0000-0000-00009FAB0000}"/>
    <cellStyle name="Normal 2 21 8 2 2" xfId="43931" xr:uid="{00000000-0005-0000-0000-0000A0AB0000}"/>
    <cellStyle name="Normal 2 21 8 3" xfId="43932" xr:uid="{00000000-0005-0000-0000-0000A1AB0000}"/>
    <cellStyle name="Normal 2 21 9" xfId="43933" xr:uid="{00000000-0005-0000-0000-0000A2AB0000}"/>
    <cellStyle name="Normal 2 21 9 2" xfId="43934" xr:uid="{00000000-0005-0000-0000-0000A3AB0000}"/>
    <cellStyle name="Normal 2 21 9 2 2" xfId="43935" xr:uid="{00000000-0005-0000-0000-0000A4AB0000}"/>
    <cellStyle name="Normal 2 21 9 3" xfId="43936" xr:uid="{00000000-0005-0000-0000-0000A5AB0000}"/>
    <cellStyle name="Normal 2 21_Proj" xfId="43937" xr:uid="{00000000-0005-0000-0000-0000A6AB0000}"/>
    <cellStyle name="Normal 2 22" xfId="43938" xr:uid="{00000000-0005-0000-0000-0000A7AB0000}"/>
    <cellStyle name="Normal 2 22 10" xfId="43939" xr:uid="{00000000-0005-0000-0000-0000A8AB0000}"/>
    <cellStyle name="Normal 2 22 10 2" xfId="43940" xr:uid="{00000000-0005-0000-0000-0000A9AB0000}"/>
    <cellStyle name="Normal 2 22 10 2 2" xfId="43941" xr:uid="{00000000-0005-0000-0000-0000AAAB0000}"/>
    <cellStyle name="Normal 2 22 10 3" xfId="43942" xr:uid="{00000000-0005-0000-0000-0000ABAB0000}"/>
    <cellStyle name="Normal 2 22 11" xfId="43943" xr:uid="{00000000-0005-0000-0000-0000ACAB0000}"/>
    <cellStyle name="Normal 2 22 11 2" xfId="43944" xr:uid="{00000000-0005-0000-0000-0000ADAB0000}"/>
    <cellStyle name="Normal 2 22 11 2 2" xfId="43945" xr:uid="{00000000-0005-0000-0000-0000AEAB0000}"/>
    <cellStyle name="Normal 2 22 11 3" xfId="43946" xr:uid="{00000000-0005-0000-0000-0000AFAB0000}"/>
    <cellStyle name="Normal 2 22 12" xfId="43947" xr:uid="{00000000-0005-0000-0000-0000B0AB0000}"/>
    <cellStyle name="Normal 2 22 12 2" xfId="43948" xr:uid="{00000000-0005-0000-0000-0000B1AB0000}"/>
    <cellStyle name="Normal 2 22 2" xfId="43949" xr:uid="{00000000-0005-0000-0000-0000B2AB0000}"/>
    <cellStyle name="Normal 2 22 2 10" xfId="43950" xr:uid="{00000000-0005-0000-0000-0000B3AB0000}"/>
    <cellStyle name="Normal 2 22 2 2" xfId="43951" xr:uid="{00000000-0005-0000-0000-0000B4AB0000}"/>
    <cellStyle name="Normal 2 22 2 2 10" xfId="43952" xr:uid="{00000000-0005-0000-0000-0000B5AB0000}"/>
    <cellStyle name="Normal 2 22 2 2 10 2" xfId="43953" xr:uid="{00000000-0005-0000-0000-0000B6AB0000}"/>
    <cellStyle name="Normal 2 22 2 2 10 2 2" xfId="43954" xr:uid="{00000000-0005-0000-0000-0000B7AB0000}"/>
    <cellStyle name="Normal 2 22 2 2 10 3" xfId="43955" xr:uid="{00000000-0005-0000-0000-0000B8AB0000}"/>
    <cellStyle name="Normal 2 22 2 2 11" xfId="43956" xr:uid="{00000000-0005-0000-0000-0000B9AB0000}"/>
    <cellStyle name="Normal 2 22 2 2 11 2" xfId="43957" xr:uid="{00000000-0005-0000-0000-0000BAAB0000}"/>
    <cellStyle name="Normal 2 22 2 2 12" xfId="43958" xr:uid="{00000000-0005-0000-0000-0000BBAB0000}"/>
    <cellStyle name="Normal 2 22 2 2 2" xfId="43959" xr:uid="{00000000-0005-0000-0000-0000BCAB0000}"/>
    <cellStyle name="Normal 2 22 2 2 2 2" xfId="43960" xr:uid="{00000000-0005-0000-0000-0000BDAB0000}"/>
    <cellStyle name="Normal 2 22 2 2 2 2 2" xfId="43961" xr:uid="{00000000-0005-0000-0000-0000BEAB0000}"/>
    <cellStyle name="Normal 2 22 2 2 2 2 2 2" xfId="43962" xr:uid="{00000000-0005-0000-0000-0000BFAB0000}"/>
    <cellStyle name="Normal 2 22 2 2 2 2 3" xfId="43963" xr:uid="{00000000-0005-0000-0000-0000C0AB0000}"/>
    <cellStyle name="Normal 2 22 2 2 3" xfId="43964" xr:uid="{00000000-0005-0000-0000-0000C1AB0000}"/>
    <cellStyle name="Normal 2 22 2 2 3 2" xfId="43965" xr:uid="{00000000-0005-0000-0000-0000C2AB0000}"/>
    <cellStyle name="Normal 2 22 2 2 3 2 2" xfId="43966" xr:uid="{00000000-0005-0000-0000-0000C3AB0000}"/>
    <cellStyle name="Normal 2 22 2 2 3 3" xfId="43967" xr:uid="{00000000-0005-0000-0000-0000C4AB0000}"/>
    <cellStyle name="Normal 2 22 2 2 4" xfId="43968" xr:uid="{00000000-0005-0000-0000-0000C5AB0000}"/>
    <cellStyle name="Normal 2 22 2 2 4 2" xfId="43969" xr:uid="{00000000-0005-0000-0000-0000C6AB0000}"/>
    <cellStyle name="Normal 2 22 2 2 4 2 2" xfId="43970" xr:uid="{00000000-0005-0000-0000-0000C7AB0000}"/>
    <cellStyle name="Normal 2 22 2 2 4 3" xfId="43971" xr:uid="{00000000-0005-0000-0000-0000C8AB0000}"/>
    <cellStyle name="Normal 2 22 2 2 5" xfId="43972" xr:uid="{00000000-0005-0000-0000-0000C9AB0000}"/>
    <cellStyle name="Normal 2 22 2 2 5 2" xfId="43973" xr:uid="{00000000-0005-0000-0000-0000CAAB0000}"/>
    <cellStyle name="Normal 2 22 2 2 5 2 2" xfId="43974" xr:uid="{00000000-0005-0000-0000-0000CBAB0000}"/>
    <cellStyle name="Normal 2 22 2 2 5 3" xfId="43975" xr:uid="{00000000-0005-0000-0000-0000CCAB0000}"/>
    <cellStyle name="Normal 2 22 2 2 6" xfId="43976" xr:uid="{00000000-0005-0000-0000-0000CDAB0000}"/>
    <cellStyle name="Normal 2 22 2 2 6 2" xfId="43977" xr:uid="{00000000-0005-0000-0000-0000CEAB0000}"/>
    <cellStyle name="Normal 2 22 2 2 6 2 2" xfId="43978" xr:uid="{00000000-0005-0000-0000-0000CFAB0000}"/>
    <cellStyle name="Normal 2 22 2 2 6 3" xfId="43979" xr:uid="{00000000-0005-0000-0000-0000D0AB0000}"/>
    <cellStyle name="Normal 2 22 2 2 7" xfId="43980" xr:uid="{00000000-0005-0000-0000-0000D1AB0000}"/>
    <cellStyle name="Normal 2 22 2 2 7 2" xfId="43981" xr:uid="{00000000-0005-0000-0000-0000D2AB0000}"/>
    <cellStyle name="Normal 2 22 2 2 7 2 2" xfId="43982" xr:uid="{00000000-0005-0000-0000-0000D3AB0000}"/>
    <cellStyle name="Normal 2 22 2 2 7 3" xfId="43983" xr:uid="{00000000-0005-0000-0000-0000D4AB0000}"/>
    <cellStyle name="Normal 2 22 2 2 8" xfId="43984" xr:uid="{00000000-0005-0000-0000-0000D5AB0000}"/>
    <cellStyle name="Normal 2 22 2 2 8 2" xfId="43985" xr:uid="{00000000-0005-0000-0000-0000D6AB0000}"/>
    <cellStyle name="Normal 2 22 2 2 8 2 2" xfId="43986" xr:uid="{00000000-0005-0000-0000-0000D7AB0000}"/>
    <cellStyle name="Normal 2 22 2 2 8 3" xfId="43987" xr:uid="{00000000-0005-0000-0000-0000D8AB0000}"/>
    <cellStyle name="Normal 2 22 2 2 9" xfId="43988" xr:uid="{00000000-0005-0000-0000-0000D9AB0000}"/>
    <cellStyle name="Normal 2 22 2 2 9 2" xfId="43989" xr:uid="{00000000-0005-0000-0000-0000DAAB0000}"/>
    <cellStyle name="Normal 2 22 2 2 9 2 2" xfId="43990" xr:uid="{00000000-0005-0000-0000-0000DBAB0000}"/>
    <cellStyle name="Normal 2 22 2 2 9 3" xfId="43991" xr:uid="{00000000-0005-0000-0000-0000DCAB0000}"/>
    <cellStyle name="Normal 2 22 2 2_Proj" xfId="43992" xr:uid="{00000000-0005-0000-0000-0000DDAB0000}"/>
    <cellStyle name="Normal 2 22 2 3" xfId="43993" xr:uid="{00000000-0005-0000-0000-0000DEAB0000}"/>
    <cellStyle name="Normal 2 22 2 3 2" xfId="43994" xr:uid="{00000000-0005-0000-0000-0000DFAB0000}"/>
    <cellStyle name="Normal 2 22 2 3 3" xfId="43995" xr:uid="{00000000-0005-0000-0000-0000E0AB0000}"/>
    <cellStyle name="Normal 2 22 2 3 3 2" xfId="43996" xr:uid="{00000000-0005-0000-0000-0000E1AB0000}"/>
    <cellStyle name="Normal 2 22 2 3 4" xfId="43997" xr:uid="{00000000-0005-0000-0000-0000E2AB0000}"/>
    <cellStyle name="Normal 2 22 2 3_Proj" xfId="43998" xr:uid="{00000000-0005-0000-0000-0000E3AB0000}"/>
    <cellStyle name="Normal 2 22 2 4" xfId="43999" xr:uid="{00000000-0005-0000-0000-0000E4AB0000}"/>
    <cellStyle name="Normal 2 22 2 5" xfId="44000" xr:uid="{00000000-0005-0000-0000-0000E5AB0000}"/>
    <cellStyle name="Normal 2 22 2 6" xfId="44001" xr:uid="{00000000-0005-0000-0000-0000E6AB0000}"/>
    <cellStyle name="Normal 2 22 2 7" xfId="44002" xr:uid="{00000000-0005-0000-0000-0000E7AB0000}"/>
    <cellStyle name="Normal 2 22 2 8" xfId="44003" xr:uid="{00000000-0005-0000-0000-0000E8AB0000}"/>
    <cellStyle name="Normal 2 22 2 9" xfId="44004" xr:uid="{00000000-0005-0000-0000-0000E9AB0000}"/>
    <cellStyle name="Normal 2 22 3" xfId="44005" xr:uid="{00000000-0005-0000-0000-0000EAAB0000}"/>
    <cellStyle name="Normal 2 22 3 2" xfId="44006" xr:uid="{00000000-0005-0000-0000-0000EBAB0000}"/>
    <cellStyle name="Normal 2 22 3 2 2" xfId="44007" xr:uid="{00000000-0005-0000-0000-0000ECAB0000}"/>
    <cellStyle name="Normal 2 22 3 2 2 2" xfId="44008" xr:uid="{00000000-0005-0000-0000-0000EDAB0000}"/>
    <cellStyle name="Normal 2 22 3 2 3" xfId="44009" xr:uid="{00000000-0005-0000-0000-0000EEAB0000}"/>
    <cellStyle name="Normal 2 22 4" xfId="44010" xr:uid="{00000000-0005-0000-0000-0000EFAB0000}"/>
    <cellStyle name="Normal 2 22 4 2" xfId="44011" xr:uid="{00000000-0005-0000-0000-0000F0AB0000}"/>
    <cellStyle name="Normal 2 22 4 2 2" xfId="44012" xr:uid="{00000000-0005-0000-0000-0000F1AB0000}"/>
    <cellStyle name="Normal 2 22 4 3" xfId="44013" xr:uid="{00000000-0005-0000-0000-0000F2AB0000}"/>
    <cellStyle name="Normal 2 22 5" xfId="44014" xr:uid="{00000000-0005-0000-0000-0000F3AB0000}"/>
    <cellStyle name="Normal 2 22 5 2" xfId="44015" xr:uid="{00000000-0005-0000-0000-0000F4AB0000}"/>
    <cellStyle name="Normal 2 22 5 2 2" xfId="44016" xr:uid="{00000000-0005-0000-0000-0000F5AB0000}"/>
    <cellStyle name="Normal 2 22 5 3" xfId="44017" xr:uid="{00000000-0005-0000-0000-0000F6AB0000}"/>
    <cellStyle name="Normal 2 22 6" xfId="44018" xr:uid="{00000000-0005-0000-0000-0000F7AB0000}"/>
    <cellStyle name="Normal 2 22 6 2" xfId="44019" xr:uid="{00000000-0005-0000-0000-0000F8AB0000}"/>
    <cellStyle name="Normal 2 22 6 2 2" xfId="44020" xr:uid="{00000000-0005-0000-0000-0000F9AB0000}"/>
    <cellStyle name="Normal 2 22 6 3" xfId="44021" xr:uid="{00000000-0005-0000-0000-0000FAAB0000}"/>
    <cellStyle name="Normal 2 22 7" xfId="44022" xr:uid="{00000000-0005-0000-0000-0000FBAB0000}"/>
    <cellStyle name="Normal 2 22 7 2" xfId="44023" xr:uid="{00000000-0005-0000-0000-0000FCAB0000}"/>
    <cellStyle name="Normal 2 22 7 2 2" xfId="44024" xr:uid="{00000000-0005-0000-0000-0000FDAB0000}"/>
    <cellStyle name="Normal 2 22 7 3" xfId="44025" xr:uid="{00000000-0005-0000-0000-0000FEAB0000}"/>
    <cellStyle name="Normal 2 22 8" xfId="44026" xr:uid="{00000000-0005-0000-0000-0000FFAB0000}"/>
    <cellStyle name="Normal 2 22 8 2" xfId="44027" xr:uid="{00000000-0005-0000-0000-000000AC0000}"/>
    <cellStyle name="Normal 2 22 8 2 2" xfId="44028" xr:uid="{00000000-0005-0000-0000-000001AC0000}"/>
    <cellStyle name="Normal 2 22 8 3" xfId="44029" xr:uid="{00000000-0005-0000-0000-000002AC0000}"/>
    <cellStyle name="Normal 2 22 9" xfId="44030" xr:uid="{00000000-0005-0000-0000-000003AC0000}"/>
    <cellStyle name="Normal 2 22 9 2" xfId="44031" xr:uid="{00000000-0005-0000-0000-000004AC0000}"/>
    <cellStyle name="Normal 2 22 9 2 2" xfId="44032" xr:uid="{00000000-0005-0000-0000-000005AC0000}"/>
    <cellStyle name="Normal 2 22 9 3" xfId="44033" xr:uid="{00000000-0005-0000-0000-000006AC0000}"/>
    <cellStyle name="Normal 2 22_Proj" xfId="44034" xr:uid="{00000000-0005-0000-0000-000007AC0000}"/>
    <cellStyle name="Normal 2 23" xfId="44035" xr:uid="{00000000-0005-0000-0000-000008AC0000}"/>
    <cellStyle name="Normal 2 23 2" xfId="44036" xr:uid="{00000000-0005-0000-0000-000009AC0000}"/>
    <cellStyle name="Normal 2 23 2 2" xfId="44037" xr:uid="{00000000-0005-0000-0000-00000AAC0000}"/>
    <cellStyle name="Normal 2 23 3" xfId="44038" xr:uid="{00000000-0005-0000-0000-00000BAC0000}"/>
    <cellStyle name="Normal 2 24" xfId="44039" xr:uid="{00000000-0005-0000-0000-00000CAC0000}"/>
    <cellStyle name="Normal 2 24 2" xfId="44040" xr:uid="{00000000-0005-0000-0000-00000DAC0000}"/>
    <cellStyle name="Normal 2 25" xfId="44041" xr:uid="{00000000-0005-0000-0000-00000EAC0000}"/>
    <cellStyle name="Normal 2 25 2" xfId="44042" xr:uid="{00000000-0005-0000-0000-00000FAC0000}"/>
    <cellStyle name="Normal 2 26" xfId="44043" xr:uid="{00000000-0005-0000-0000-000010AC0000}"/>
    <cellStyle name="Normal 2 26 2" xfId="44044" xr:uid="{00000000-0005-0000-0000-000011AC0000}"/>
    <cellStyle name="Normal 2 27" xfId="44045" xr:uid="{00000000-0005-0000-0000-000012AC0000}"/>
    <cellStyle name="Normal 2 27 2" xfId="44046" xr:uid="{00000000-0005-0000-0000-000013AC0000}"/>
    <cellStyle name="Normal 2 28" xfId="44047" xr:uid="{00000000-0005-0000-0000-000014AC0000}"/>
    <cellStyle name="Normal 2 28 2" xfId="44048" xr:uid="{00000000-0005-0000-0000-000015AC0000}"/>
    <cellStyle name="Normal 2 29" xfId="44049" xr:uid="{00000000-0005-0000-0000-000016AC0000}"/>
    <cellStyle name="Normal 2 29 2" xfId="44050" xr:uid="{00000000-0005-0000-0000-000017AC0000}"/>
    <cellStyle name="Normal 2 3" xfId="44051" xr:uid="{00000000-0005-0000-0000-000018AC0000}"/>
    <cellStyle name="Normal 2 3 10" xfId="44052" xr:uid="{00000000-0005-0000-0000-000019AC0000}"/>
    <cellStyle name="Normal 2 3 11" xfId="44053" xr:uid="{00000000-0005-0000-0000-00001AAC0000}"/>
    <cellStyle name="Normal 2 3 12" xfId="44054" xr:uid="{00000000-0005-0000-0000-00001BAC0000}"/>
    <cellStyle name="Normal 2 3 13" xfId="44055" xr:uid="{00000000-0005-0000-0000-00001CAC0000}"/>
    <cellStyle name="Normal 2 3 14" xfId="44056" xr:uid="{00000000-0005-0000-0000-00001DAC0000}"/>
    <cellStyle name="Normal 2 3 15" xfId="44057" xr:uid="{00000000-0005-0000-0000-00001EAC0000}"/>
    <cellStyle name="Normal 2 3 16" xfId="44058" xr:uid="{00000000-0005-0000-0000-00001FAC0000}"/>
    <cellStyle name="Normal 2 3 17" xfId="44059" xr:uid="{00000000-0005-0000-0000-000020AC0000}"/>
    <cellStyle name="Normal 2 3 18" xfId="44060" xr:uid="{00000000-0005-0000-0000-000021AC0000}"/>
    <cellStyle name="Normal 2 3 19" xfId="44061" xr:uid="{00000000-0005-0000-0000-000022AC0000}"/>
    <cellStyle name="Normal 2 3 2" xfId="44062" xr:uid="{00000000-0005-0000-0000-000023AC0000}"/>
    <cellStyle name="Normal 2 3 2 2" xfId="44063" xr:uid="{00000000-0005-0000-0000-000024AC0000}"/>
    <cellStyle name="Normal 2 3 2 2 2" xfId="44064" xr:uid="{00000000-0005-0000-0000-000025AC0000}"/>
    <cellStyle name="Normal 2 3 2 3" xfId="44065" xr:uid="{00000000-0005-0000-0000-000026AC0000}"/>
    <cellStyle name="Normal 2 3 2 4" xfId="44066" xr:uid="{00000000-0005-0000-0000-000027AC0000}"/>
    <cellStyle name="Normal 2 3 2 5" xfId="44067" xr:uid="{00000000-0005-0000-0000-000028AC0000}"/>
    <cellStyle name="Normal 2 3 20" xfId="44068" xr:uid="{00000000-0005-0000-0000-000029AC0000}"/>
    <cellStyle name="Normal 2 3 21" xfId="44069" xr:uid="{00000000-0005-0000-0000-00002AAC0000}"/>
    <cellStyle name="Normal 2 3 22" xfId="44070" xr:uid="{00000000-0005-0000-0000-00002BAC0000}"/>
    <cellStyle name="Normal 2 3 23" xfId="44071" xr:uid="{00000000-0005-0000-0000-00002CAC0000}"/>
    <cellStyle name="Normal 2 3 24" xfId="44072" xr:uid="{00000000-0005-0000-0000-00002DAC0000}"/>
    <cellStyle name="Normal 2 3 25" xfId="44073" xr:uid="{00000000-0005-0000-0000-00002EAC0000}"/>
    <cellStyle name="Normal 2 3 26" xfId="44074" xr:uid="{00000000-0005-0000-0000-00002FAC0000}"/>
    <cellStyle name="Normal 2 3 27" xfId="44075" xr:uid="{00000000-0005-0000-0000-000030AC0000}"/>
    <cellStyle name="Normal 2 3 28" xfId="44076" xr:uid="{00000000-0005-0000-0000-000031AC0000}"/>
    <cellStyle name="Normal 2 3 29" xfId="44077" xr:uid="{00000000-0005-0000-0000-000032AC0000}"/>
    <cellStyle name="Normal 2 3 3" xfId="44078" xr:uid="{00000000-0005-0000-0000-000033AC0000}"/>
    <cellStyle name="Normal 2 3 3 2" xfId="44079" xr:uid="{00000000-0005-0000-0000-000034AC0000}"/>
    <cellStyle name="Normal 2 3 3 3" xfId="44080" xr:uid="{00000000-0005-0000-0000-000035AC0000}"/>
    <cellStyle name="Normal 2 3 30" xfId="44081" xr:uid="{00000000-0005-0000-0000-000036AC0000}"/>
    <cellStyle name="Normal 2 3 31" xfId="44082" xr:uid="{00000000-0005-0000-0000-000037AC0000}"/>
    <cellStyle name="Normal 2 3 32" xfId="44083" xr:uid="{00000000-0005-0000-0000-000038AC0000}"/>
    <cellStyle name="Normal 2 3 33" xfId="44084" xr:uid="{00000000-0005-0000-0000-000039AC0000}"/>
    <cellStyle name="Normal 2 3 34" xfId="44085" xr:uid="{00000000-0005-0000-0000-00003AAC0000}"/>
    <cellStyle name="Normal 2 3 35" xfId="44086" xr:uid="{00000000-0005-0000-0000-00003BAC0000}"/>
    <cellStyle name="Normal 2 3 36" xfId="44087" xr:uid="{00000000-0005-0000-0000-00003CAC0000}"/>
    <cellStyle name="Normal 2 3 37" xfId="44088" xr:uid="{00000000-0005-0000-0000-00003DAC0000}"/>
    <cellStyle name="Normal 2 3 37 2" xfId="44089" xr:uid="{00000000-0005-0000-0000-00003EAC0000}"/>
    <cellStyle name="Normal 2 3 37 3" xfId="44090" xr:uid="{00000000-0005-0000-0000-00003FAC0000}"/>
    <cellStyle name="Normal 2 3 37 4" xfId="44091" xr:uid="{00000000-0005-0000-0000-000040AC0000}"/>
    <cellStyle name="Normal 2 3 38" xfId="44092" xr:uid="{00000000-0005-0000-0000-000041AC0000}"/>
    <cellStyle name="Normal 2 3 4" xfId="44093" xr:uid="{00000000-0005-0000-0000-000042AC0000}"/>
    <cellStyle name="Normal 2 3 4 2" xfId="44094" xr:uid="{00000000-0005-0000-0000-000043AC0000}"/>
    <cellStyle name="Normal 2 3 5" xfId="44095" xr:uid="{00000000-0005-0000-0000-000044AC0000}"/>
    <cellStyle name="Normal 2 3 6" xfId="44096" xr:uid="{00000000-0005-0000-0000-000045AC0000}"/>
    <cellStyle name="Normal 2 3 7" xfId="44097" xr:uid="{00000000-0005-0000-0000-000046AC0000}"/>
    <cellStyle name="Normal 2 3 8" xfId="44098" xr:uid="{00000000-0005-0000-0000-000047AC0000}"/>
    <cellStyle name="Normal 2 3 9" xfId="44099" xr:uid="{00000000-0005-0000-0000-000048AC0000}"/>
    <cellStyle name="Normal 2 3_Book2" xfId="44100" xr:uid="{00000000-0005-0000-0000-000049AC0000}"/>
    <cellStyle name="Normal 2 30" xfId="44101" xr:uid="{00000000-0005-0000-0000-00004AAC0000}"/>
    <cellStyle name="Normal 2 30 2" xfId="44102" xr:uid="{00000000-0005-0000-0000-00004BAC0000}"/>
    <cellStyle name="Normal 2 31" xfId="44103" xr:uid="{00000000-0005-0000-0000-00004CAC0000}"/>
    <cellStyle name="Normal 2 31 2" xfId="44104" xr:uid="{00000000-0005-0000-0000-00004DAC0000}"/>
    <cellStyle name="Normal 2 32" xfId="44105" xr:uid="{00000000-0005-0000-0000-00004EAC0000}"/>
    <cellStyle name="Normal 2 32 2" xfId="44106" xr:uid="{00000000-0005-0000-0000-00004FAC0000}"/>
    <cellStyle name="Normal 2 33" xfId="44107" xr:uid="{00000000-0005-0000-0000-000050AC0000}"/>
    <cellStyle name="Normal 2 33 2" xfId="44108" xr:uid="{00000000-0005-0000-0000-000051AC0000}"/>
    <cellStyle name="Normal 2 34" xfId="44109" xr:uid="{00000000-0005-0000-0000-000052AC0000}"/>
    <cellStyle name="Normal 2 34 2" xfId="44110" xr:uid="{00000000-0005-0000-0000-000053AC0000}"/>
    <cellStyle name="Normal 2 35" xfId="44111" xr:uid="{00000000-0005-0000-0000-000054AC0000}"/>
    <cellStyle name="Normal 2 35 2" xfId="44112" xr:uid="{00000000-0005-0000-0000-000055AC0000}"/>
    <cellStyle name="Normal 2 35 3" xfId="44113" xr:uid="{00000000-0005-0000-0000-000056AC0000}"/>
    <cellStyle name="Normal 2 36" xfId="44114" xr:uid="{00000000-0005-0000-0000-000057AC0000}"/>
    <cellStyle name="Normal 2 36 2" xfId="44115" xr:uid="{00000000-0005-0000-0000-000058AC0000}"/>
    <cellStyle name="Normal 2 36 3" xfId="44116" xr:uid="{00000000-0005-0000-0000-000059AC0000}"/>
    <cellStyle name="Normal 2 37" xfId="44117" xr:uid="{00000000-0005-0000-0000-00005AAC0000}"/>
    <cellStyle name="Normal 2 37 2" xfId="44118" xr:uid="{00000000-0005-0000-0000-00005BAC0000}"/>
    <cellStyle name="Normal 2 38" xfId="44119" xr:uid="{00000000-0005-0000-0000-00005CAC0000}"/>
    <cellStyle name="Normal 2 38 2" xfId="44120" xr:uid="{00000000-0005-0000-0000-00005DAC0000}"/>
    <cellStyle name="Normal 2 39" xfId="44121" xr:uid="{00000000-0005-0000-0000-00005EAC0000}"/>
    <cellStyle name="Normal 2 39 2" xfId="44122" xr:uid="{00000000-0005-0000-0000-00005FAC0000}"/>
    <cellStyle name="Normal 2 4" xfId="44123" xr:uid="{00000000-0005-0000-0000-000060AC0000}"/>
    <cellStyle name="Normal 2 4 10" xfId="44124" xr:uid="{00000000-0005-0000-0000-000061AC0000}"/>
    <cellStyle name="Normal 2 4 11" xfId="44125" xr:uid="{00000000-0005-0000-0000-000062AC0000}"/>
    <cellStyle name="Normal 2 4 12" xfId="44126" xr:uid="{00000000-0005-0000-0000-000063AC0000}"/>
    <cellStyle name="Normal 2 4 13" xfId="44127" xr:uid="{00000000-0005-0000-0000-000064AC0000}"/>
    <cellStyle name="Normal 2 4 14" xfId="44128" xr:uid="{00000000-0005-0000-0000-000065AC0000}"/>
    <cellStyle name="Normal 2 4 15" xfId="44129" xr:uid="{00000000-0005-0000-0000-000066AC0000}"/>
    <cellStyle name="Normal 2 4 16" xfId="44130" xr:uid="{00000000-0005-0000-0000-000067AC0000}"/>
    <cellStyle name="Normal 2 4 17" xfId="44131" xr:uid="{00000000-0005-0000-0000-000068AC0000}"/>
    <cellStyle name="Normal 2 4 18" xfId="44132" xr:uid="{00000000-0005-0000-0000-000069AC0000}"/>
    <cellStyle name="Normal 2 4 19" xfId="44133" xr:uid="{00000000-0005-0000-0000-00006AAC0000}"/>
    <cellStyle name="Normal 2 4 2" xfId="44134" xr:uid="{00000000-0005-0000-0000-00006BAC0000}"/>
    <cellStyle name="Normal 2 4 2 2" xfId="44135" xr:uid="{00000000-0005-0000-0000-00006CAC0000}"/>
    <cellStyle name="Normal 2 4 2 2 2" xfId="44136" xr:uid="{00000000-0005-0000-0000-00006DAC0000}"/>
    <cellStyle name="Normal 2 4 2 2 3" xfId="44137" xr:uid="{00000000-0005-0000-0000-00006EAC0000}"/>
    <cellStyle name="Normal 2 4 2 2 4" xfId="44138" xr:uid="{00000000-0005-0000-0000-00006FAC0000}"/>
    <cellStyle name="Normal 2 4 2 2 5" xfId="44139" xr:uid="{00000000-0005-0000-0000-000070AC0000}"/>
    <cellStyle name="Normal 2 4 2 2 6" xfId="44140" xr:uid="{00000000-0005-0000-0000-000071AC0000}"/>
    <cellStyle name="Normal 2 4 2 3" xfId="44141" xr:uid="{00000000-0005-0000-0000-000072AC0000}"/>
    <cellStyle name="Normal 2 4 2 4" xfId="44142" xr:uid="{00000000-0005-0000-0000-000073AC0000}"/>
    <cellStyle name="Normal 2 4 2 5" xfId="44143" xr:uid="{00000000-0005-0000-0000-000074AC0000}"/>
    <cellStyle name="Normal 2 4 2_Proj" xfId="44144" xr:uid="{00000000-0005-0000-0000-000075AC0000}"/>
    <cellStyle name="Normal 2 4 20" xfId="44145" xr:uid="{00000000-0005-0000-0000-000076AC0000}"/>
    <cellStyle name="Normal 2 4 21" xfId="44146" xr:uid="{00000000-0005-0000-0000-000077AC0000}"/>
    <cellStyle name="Normal 2 4 22" xfId="44147" xr:uid="{00000000-0005-0000-0000-000078AC0000}"/>
    <cellStyle name="Normal 2 4 23" xfId="44148" xr:uid="{00000000-0005-0000-0000-000079AC0000}"/>
    <cellStyle name="Normal 2 4 24" xfId="44149" xr:uid="{00000000-0005-0000-0000-00007AAC0000}"/>
    <cellStyle name="Normal 2 4 25" xfId="44150" xr:uid="{00000000-0005-0000-0000-00007BAC0000}"/>
    <cellStyle name="Normal 2 4 26" xfId="44151" xr:uid="{00000000-0005-0000-0000-00007CAC0000}"/>
    <cellStyle name="Normal 2 4 27" xfId="44152" xr:uid="{00000000-0005-0000-0000-00007DAC0000}"/>
    <cellStyle name="Normal 2 4 28" xfId="44153" xr:uid="{00000000-0005-0000-0000-00007EAC0000}"/>
    <cellStyle name="Normal 2 4 29" xfId="44154" xr:uid="{00000000-0005-0000-0000-00007FAC0000}"/>
    <cellStyle name="Normal 2 4 3" xfId="44155" xr:uid="{00000000-0005-0000-0000-000080AC0000}"/>
    <cellStyle name="Normal 2 4 3 2" xfId="44156" xr:uid="{00000000-0005-0000-0000-000081AC0000}"/>
    <cellStyle name="Normal 2 4 3 3" xfId="44157" xr:uid="{00000000-0005-0000-0000-000082AC0000}"/>
    <cellStyle name="Normal 2 4 3 4" xfId="44158" xr:uid="{00000000-0005-0000-0000-000083AC0000}"/>
    <cellStyle name="Normal 2 4 3 5" xfId="44159" xr:uid="{00000000-0005-0000-0000-000084AC0000}"/>
    <cellStyle name="Normal 2 4 30" xfId="44160" xr:uid="{00000000-0005-0000-0000-000085AC0000}"/>
    <cellStyle name="Normal 2 4 31" xfId="44161" xr:uid="{00000000-0005-0000-0000-000086AC0000}"/>
    <cellStyle name="Normal 2 4 32" xfId="44162" xr:uid="{00000000-0005-0000-0000-000087AC0000}"/>
    <cellStyle name="Normal 2 4 33" xfId="44163" xr:uid="{00000000-0005-0000-0000-000088AC0000}"/>
    <cellStyle name="Normal 2 4 34" xfId="44164" xr:uid="{00000000-0005-0000-0000-000089AC0000}"/>
    <cellStyle name="Normal 2 4 35" xfId="44165" xr:uid="{00000000-0005-0000-0000-00008AAC0000}"/>
    <cellStyle name="Normal 2 4 36" xfId="44166" xr:uid="{00000000-0005-0000-0000-00008BAC0000}"/>
    <cellStyle name="Normal 2 4 37" xfId="44167" xr:uid="{00000000-0005-0000-0000-00008CAC0000}"/>
    <cellStyle name="Normal 2 4 37 2" xfId="44168" xr:uid="{00000000-0005-0000-0000-00008DAC0000}"/>
    <cellStyle name="Normal 2 4 37 3" xfId="44169" xr:uid="{00000000-0005-0000-0000-00008EAC0000}"/>
    <cellStyle name="Normal 2 4 37 4" xfId="44170" xr:uid="{00000000-0005-0000-0000-00008FAC0000}"/>
    <cellStyle name="Normal 2 4 4" xfId="44171" xr:uid="{00000000-0005-0000-0000-000090AC0000}"/>
    <cellStyle name="Normal 2 4 4 2" xfId="44172" xr:uid="{00000000-0005-0000-0000-000091AC0000}"/>
    <cellStyle name="Normal 2 4 5" xfId="44173" xr:uid="{00000000-0005-0000-0000-000092AC0000}"/>
    <cellStyle name="Normal 2 4 6" xfId="44174" xr:uid="{00000000-0005-0000-0000-000093AC0000}"/>
    <cellStyle name="Normal 2 4 7" xfId="44175" xr:uid="{00000000-0005-0000-0000-000094AC0000}"/>
    <cellStyle name="Normal 2 4 8" xfId="44176" xr:uid="{00000000-0005-0000-0000-000095AC0000}"/>
    <cellStyle name="Normal 2 4 9" xfId="44177" xr:uid="{00000000-0005-0000-0000-000096AC0000}"/>
    <cellStyle name="Normal 2 4_Book2" xfId="44178" xr:uid="{00000000-0005-0000-0000-000097AC0000}"/>
    <cellStyle name="Normal 2 40" xfId="44179" xr:uid="{00000000-0005-0000-0000-000098AC0000}"/>
    <cellStyle name="Normal 2 40 2" xfId="44180" xr:uid="{00000000-0005-0000-0000-000099AC0000}"/>
    <cellStyle name="Normal 2 41" xfId="44181" xr:uid="{00000000-0005-0000-0000-00009AAC0000}"/>
    <cellStyle name="Normal 2 41 2" xfId="44182" xr:uid="{00000000-0005-0000-0000-00009BAC0000}"/>
    <cellStyle name="Normal 2 42" xfId="44183" xr:uid="{00000000-0005-0000-0000-00009CAC0000}"/>
    <cellStyle name="Normal 2 42 2" xfId="44184" xr:uid="{00000000-0005-0000-0000-00009DAC0000}"/>
    <cellStyle name="Normal 2 43" xfId="44185" xr:uid="{00000000-0005-0000-0000-00009EAC0000}"/>
    <cellStyle name="Normal 2 43 2" xfId="44186" xr:uid="{00000000-0005-0000-0000-00009FAC0000}"/>
    <cellStyle name="Normal 2 44" xfId="44187" xr:uid="{00000000-0005-0000-0000-0000A0AC0000}"/>
    <cellStyle name="Normal 2 44 2" xfId="44188" xr:uid="{00000000-0005-0000-0000-0000A1AC0000}"/>
    <cellStyle name="Normal 2 45" xfId="44189" xr:uid="{00000000-0005-0000-0000-0000A2AC0000}"/>
    <cellStyle name="Normal 2 45 2" xfId="44190" xr:uid="{00000000-0005-0000-0000-0000A3AC0000}"/>
    <cellStyle name="Normal 2 46" xfId="44191" xr:uid="{00000000-0005-0000-0000-0000A4AC0000}"/>
    <cellStyle name="Normal 2 46 2" xfId="44192" xr:uid="{00000000-0005-0000-0000-0000A5AC0000}"/>
    <cellStyle name="Normal 2 47" xfId="44193" xr:uid="{00000000-0005-0000-0000-0000A6AC0000}"/>
    <cellStyle name="Normal 2 47 2" xfId="44194" xr:uid="{00000000-0005-0000-0000-0000A7AC0000}"/>
    <cellStyle name="Normal 2 48" xfId="44195" xr:uid="{00000000-0005-0000-0000-0000A8AC0000}"/>
    <cellStyle name="Normal 2 48 2" xfId="44196" xr:uid="{00000000-0005-0000-0000-0000A9AC0000}"/>
    <cellStyle name="Normal 2 49" xfId="44197" xr:uid="{00000000-0005-0000-0000-0000AAAC0000}"/>
    <cellStyle name="Normal 2 49 2" xfId="44198" xr:uid="{00000000-0005-0000-0000-0000ABAC0000}"/>
    <cellStyle name="Normal 2 5" xfId="44199" xr:uid="{00000000-0005-0000-0000-0000ACAC0000}"/>
    <cellStyle name="Normal 2 5 10" xfId="44200" xr:uid="{00000000-0005-0000-0000-0000ADAC0000}"/>
    <cellStyle name="Normal 2 5 11" xfId="44201" xr:uid="{00000000-0005-0000-0000-0000AEAC0000}"/>
    <cellStyle name="Normal 2 5 12" xfId="44202" xr:uid="{00000000-0005-0000-0000-0000AFAC0000}"/>
    <cellStyle name="Normal 2 5 13" xfId="44203" xr:uid="{00000000-0005-0000-0000-0000B0AC0000}"/>
    <cellStyle name="Normal 2 5 14" xfId="44204" xr:uid="{00000000-0005-0000-0000-0000B1AC0000}"/>
    <cellStyle name="Normal 2 5 15" xfId="44205" xr:uid="{00000000-0005-0000-0000-0000B2AC0000}"/>
    <cellStyle name="Normal 2 5 16" xfId="44206" xr:uid="{00000000-0005-0000-0000-0000B3AC0000}"/>
    <cellStyle name="Normal 2 5 17" xfId="44207" xr:uid="{00000000-0005-0000-0000-0000B4AC0000}"/>
    <cellStyle name="Normal 2 5 18" xfId="44208" xr:uid="{00000000-0005-0000-0000-0000B5AC0000}"/>
    <cellStyle name="Normal 2 5 19" xfId="44209" xr:uid="{00000000-0005-0000-0000-0000B6AC0000}"/>
    <cellStyle name="Normal 2 5 2" xfId="44210" xr:uid="{00000000-0005-0000-0000-0000B7AC0000}"/>
    <cellStyle name="Normal 2 5 2 2" xfId="44211" xr:uid="{00000000-0005-0000-0000-0000B8AC0000}"/>
    <cellStyle name="Normal 2 5 2 3" xfId="44212" xr:uid="{00000000-0005-0000-0000-0000B9AC0000}"/>
    <cellStyle name="Normal 2 5 2 4" xfId="44213" xr:uid="{00000000-0005-0000-0000-0000BAAC0000}"/>
    <cellStyle name="Normal 2 5 2 5" xfId="44214" xr:uid="{00000000-0005-0000-0000-0000BBAC0000}"/>
    <cellStyle name="Normal 2 5 20" xfId="44215" xr:uid="{00000000-0005-0000-0000-0000BCAC0000}"/>
    <cellStyle name="Normal 2 5 21" xfId="44216" xr:uid="{00000000-0005-0000-0000-0000BDAC0000}"/>
    <cellStyle name="Normal 2 5 22" xfId="44217" xr:uid="{00000000-0005-0000-0000-0000BEAC0000}"/>
    <cellStyle name="Normal 2 5 23" xfId="44218" xr:uid="{00000000-0005-0000-0000-0000BFAC0000}"/>
    <cellStyle name="Normal 2 5 24" xfId="44219" xr:uid="{00000000-0005-0000-0000-0000C0AC0000}"/>
    <cellStyle name="Normal 2 5 25" xfId="44220" xr:uid="{00000000-0005-0000-0000-0000C1AC0000}"/>
    <cellStyle name="Normal 2 5 26" xfId="44221" xr:uid="{00000000-0005-0000-0000-0000C2AC0000}"/>
    <cellStyle name="Normal 2 5 27" xfId="44222" xr:uid="{00000000-0005-0000-0000-0000C3AC0000}"/>
    <cellStyle name="Normal 2 5 28" xfId="44223" xr:uid="{00000000-0005-0000-0000-0000C4AC0000}"/>
    <cellStyle name="Normal 2 5 29" xfId="44224" xr:uid="{00000000-0005-0000-0000-0000C5AC0000}"/>
    <cellStyle name="Normal 2 5 3" xfId="44225" xr:uid="{00000000-0005-0000-0000-0000C6AC0000}"/>
    <cellStyle name="Normal 2 5 3 2" xfId="44226" xr:uid="{00000000-0005-0000-0000-0000C7AC0000}"/>
    <cellStyle name="Normal 2 5 30" xfId="44227" xr:uid="{00000000-0005-0000-0000-0000C8AC0000}"/>
    <cellStyle name="Normal 2 5 31" xfId="44228" xr:uid="{00000000-0005-0000-0000-0000C9AC0000}"/>
    <cellStyle name="Normal 2 5 32" xfId="44229" xr:uid="{00000000-0005-0000-0000-0000CAAC0000}"/>
    <cellStyle name="Normal 2 5 33" xfId="44230" xr:uid="{00000000-0005-0000-0000-0000CBAC0000}"/>
    <cellStyle name="Normal 2 5 34" xfId="44231" xr:uid="{00000000-0005-0000-0000-0000CCAC0000}"/>
    <cellStyle name="Normal 2 5 35" xfId="44232" xr:uid="{00000000-0005-0000-0000-0000CDAC0000}"/>
    <cellStyle name="Normal 2 5 36" xfId="44233" xr:uid="{00000000-0005-0000-0000-0000CEAC0000}"/>
    <cellStyle name="Normal 2 5 37" xfId="44234" xr:uid="{00000000-0005-0000-0000-0000CFAC0000}"/>
    <cellStyle name="Normal 2 5 38" xfId="44235" xr:uid="{00000000-0005-0000-0000-0000D0AC0000}"/>
    <cellStyle name="Normal 2 5 39" xfId="44236" xr:uid="{00000000-0005-0000-0000-0000D1AC0000}"/>
    <cellStyle name="Normal 2 5 4" xfId="44237" xr:uid="{00000000-0005-0000-0000-0000D2AC0000}"/>
    <cellStyle name="Normal 2 5 5" xfId="44238" xr:uid="{00000000-0005-0000-0000-0000D3AC0000}"/>
    <cellStyle name="Normal 2 5 6" xfId="44239" xr:uid="{00000000-0005-0000-0000-0000D4AC0000}"/>
    <cellStyle name="Normal 2 5 7" xfId="44240" xr:uid="{00000000-0005-0000-0000-0000D5AC0000}"/>
    <cellStyle name="Normal 2 5 8" xfId="44241" xr:uid="{00000000-0005-0000-0000-0000D6AC0000}"/>
    <cellStyle name="Normal 2 5 9" xfId="44242" xr:uid="{00000000-0005-0000-0000-0000D7AC0000}"/>
    <cellStyle name="Normal 2 5_Book2" xfId="44243" xr:uid="{00000000-0005-0000-0000-0000D8AC0000}"/>
    <cellStyle name="Normal 2 50" xfId="44244" xr:uid="{00000000-0005-0000-0000-0000D9AC0000}"/>
    <cellStyle name="Normal 2 50 2" xfId="44245" xr:uid="{00000000-0005-0000-0000-0000DAAC0000}"/>
    <cellStyle name="Normal 2 51" xfId="44246" xr:uid="{00000000-0005-0000-0000-0000DBAC0000}"/>
    <cellStyle name="Normal 2 51 2" xfId="44247" xr:uid="{00000000-0005-0000-0000-0000DCAC0000}"/>
    <cellStyle name="Normal 2 52" xfId="44248" xr:uid="{00000000-0005-0000-0000-0000DDAC0000}"/>
    <cellStyle name="Normal 2 52 2" xfId="44249" xr:uid="{00000000-0005-0000-0000-0000DEAC0000}"/>
    <cellStyle name="Normal 2 53" xfId="44250" xr:uid="{00000000-0005-0000-0000-0000DFAC0000}"/>
    <cellStyle name="Normal 2 53 2" xfId="44251" xr:uid="{00000000-0005-0000-0000-0000E0AC0000}"/>
    <cellStyle name="Normal 2 54" xfId="44252" xr:uid="{00000000-0005-0000-0000-0000E1AC0000}"/>
    <cellStyle name="Normal 2 55" xfId="44253" xr:uid="{00000000-0005-0000-0000-0000E2AC0000}"/>
    <cellStyle name="Normal 2 56" xfId="44254" xr:uid="{00000000-0005-0000-0000-0000E3AC0000}"/>
    <cellStyle name="Normal 2 57" xfId="44255" xr:uid="{00000000-0005-0000-0000-0000E4AC0000}"/>
    <cellStyle name="Normal 2 58" xfId="44256" xr:uid="{00000000-0005-0000-0000-0000E5AC0000}"/>
    <cellStyle name="Normal 2 59" xfId="44257" xr:uid="{00000000-0005-0000-0000-0000E6AC0000}"/>
    <cellStyle name="Normal 2 6" xfId="44258" xr:uid="{00000000-0005-0000-0000-0000E7AC0000}"/>
    <cellStyle name="Normal 2 6 10" xfId="44259" xr:uid="{00000000-0005-0000-0000-0000E8AC0000}"/>
    <cellStyle name="Normal 2 6 11" xfId="44260" xr:uid="{00000000-0005-0000-0000-0000E9AC0000}"/>
    <cellStyle name="Normal 2 6 12" xfId="44261" xr:uid="{00000000-0005-0000-0000-0000EAAC0000}"/>
    <cellStyle name="Normal 2 6 13" xfId="44262" xr:uid="{00000000-0005-0000-0000-0000EBAC0000}"/>
    <cellStyle name="Normal 2 6 14" xfId="44263" xr:uid="{00000000-0005-0000-0000-0000ECAC0000}"/>
    <cellStyle name="Normal 2 6 15" xfId="44264" xr:uid="{00000000-0005-0000-0000-0000EDAC0000}"/>
    <cellStyle name="Normal 2 6 16" xfId="44265" xr:uid="{00000000-0005-0000-0000-0000EEAC0000}"/>
    <cellStyle name="Normal 2 6 17" xfId="44266" xr:uid="{00000000-0005-0000-0000-0000EFAC0000}"/>
    <cellStyle name="Normal 2 6 18" xfId="44267" xr:uid="{00000000-0005-0000-0000-0000F0AC0000}"/>
    <cellStyle name="Normal 2 6 19" xfId="44268" xr:uid="{00000000-0005-0000-0000-0000F1AC0000}"/>
    <cellStyle name="Normal 2 6 2" xfId="44269" xr:uid="{00000000-0005-0000-0000-0000F2AC0000}"/>
    <cellStyle name="Normal 2 6 20" xfId="44270" xr:uid="{00000000-0005-0000-0000-0000F3AC0000}"/>
    <cellStyle name="Normal 2 6 21" xfId="44271" xr:uid="{00000000-0005-0000-0000-0000F4AC0000}"/>
    <cellStyle name="Normal 2 6 22" xfId="44272" xr:uid="{00000000-0005-0000-0000-0000F5AC0000}"/>
    <cellStyle name="Normal 2 6 23" xfId="44273" xr:uid="{00000000-0005-0000-0000-0000F6AC0000}"/>
    <cellStyle name="Normal 2 6 24" xfId="44274" xr:uid="{00000000-0005-0000-0000-0000F7AC0000}"/>
    <cellStyle name="Normal 2 6 25" xfId="44275" xr:uid="{00000000-0005-0000-0000-0000F8AC0000}"/>
    <cellStyle name="Normal 2 6 26" xfId="44276" xr:uid="{00000000-0005-0000-0000-0000F9AC0000}"/>
    <cellStyle name="Normal 2 6 27" xfId="44277" xr:uid="{00000000-0005-0000-0000-0000FAAC0000}"/>
    <cellStyle name="Normal 2 6 28" xfId="44278" xr:uid="{00000000-0005-0000-0000-0000FBAC0000}"/>
    <cellStyle name="Normal 2 6 29" xfId="44279" xr:uid="{00000000-0005-0000-0000-0000FCAC0000}"/>
    <cellStyle name="Normal 2 6 3" xfId="44280" xr:uid="{00000000-0005-0000-0000-0000FDAC0000}"/>
    <cellStyle name="Normal 2 6 30" xfId="44281" xr:uid="{00000000-0005-0000-0000-0000FEAC0000}"/>
    <cellStyle name="Normal 2 6 31" xfId="44282" xr:uid="{00000000-0005-0000-0000-0000FFAC0000}"/>
    <cellStyle name="Normal 2 6 32" xfId="44283" xr:uid="{00000000-0005-0000-0000-000000AD0000}"/>
    <cellStyle name="Normal 2 6 33" xfId="44284" xr:uid="{00000000-0005-0000-0000-000001AD0000}"/>
    <cellStyle name="Normal 2 6 34" xfId="44285" xr:uid="{00000000-0005-0000-0000-000002AD0000}"/>
    <cellStyle name="Normal 2 6 35" xfId="44286" xr:uid="{00000000-0005-0000-0000-000003AD0000}"/>
    <cellStyle name="Normal 2 6 36" xfId="44287" xr:uid="{00000000-0005-0000-0000-000004AD0000}"/>
    <cellStyle name="Normal 2 6 37" xfId="44288" xr:uid="{00000000-0005-0000-0000-000005AD0000}"/>
    <cellStyle name="Normal 2 6 38" xfId="44289" xr:uid="{00000000-0005-0000-0000-000006AD0000}"/>
    <cellStyle name="Normal 2 6 4" xfId="44290" xr:uid="{00000000-0005-0000-0000-000007AD0000}"/>
    <cellStyle name="Normal 2 6 5" xfId="44291" xr:uid="{00000000-0005-0000-0000-000008AD0000}"/>
    <cellStyle name="Normal 2 6 6" xfId="44292" xr:uid="{00000000-0005-0000-0000-000009AD0000}"/>
    <cellStyle name="Normal 2 6 7" xfId="44293" xr:uid="{00000000-0005-0000-0000-00000AAD0000}"/>
    <cellStyle name="Normal 2 6 8" xfId="44294" xr:uid="{00000000-0005-0000-0000-00000BAD0000}"/>
    <cellStyle name="Normal 2 6 9" xfId="44295" xr:uid="{00000000-0005-0000-0000-00000CAD0000}"/>
    <cellStyle name="Normal 2 6_Book2" xfId="44296" xr:uid="{00000000-0005-0000-0000-00000DAD0000}"/>
    <cellStyle name="Normal 2 60" xfId="44297" xr:uid="{00000000-0005-0000-0000-00000EAD0000}"/>
    <cellStyle name="Normal 2 61" xfId="44298" xr:uid="{00000000-0005-0000-0000-00000FAD0000}"/>
    <cellStyle name="Normal 2 62" xfId="44299" xr:uid="{00000000-0005-0000-0000-000010AD0000}"/>
    <cellStyle name="Normal 2 63" xfId="44300" xr:uid="{00000000-0005-0000-0000-000011AD0000}"/>
    <cellStyle name="Normal 2 64" xfId="53998" xr:uid="{00000000-0005-0000-0000-000012AD0000}"/>
    <cellStyle name="Normal 2 65" xfId="54003" xr:uid="{00000000-0005-0000-0000-000013AD0000}"/>
    <cellStyle name="Normal 2 66" xfId="54007" xr:uid="{00000000-0005-0000-0000-000014AD0000}"/>
    <cellStyle name="Normal 2 7" xfId="44301" xr:uid="{00000000-0005-0000-0000-000015AD0000}"/>
    <cellStyle name="Normal 2 7 2" xfId="44302" xr:uid="{00000000-0005-0000-0000-000016AD0000}"/>
    <cellStyle name="Normal 2 7 3" xfId="44303" xr:uid="{00000000-0005-0000-0000-000017AD0000}"/>
    <cellStyle name="Normal 2 7 4" xfId="44304" xr:uid="{00000000-0005-0000-0000-000018AD0000}"/>
    <cellStyle name="Normal 2 7_Labour" xfId="44305" xr:uid="{00000000-0005-0000-0000-000019AD0000}"/>
    <cellStyle name="Normal 2 8" xfId="44306" xr:uid="{00000000-0005-0000-0000-00001AAD0000}"/>
    <cellStyle name="Normal 2 8 2" xfId="44307" xr:uid="{00000000-0005-0000-0000-00001BAD0000}"/>
    <cellStyle name="Normal 2 8 3" xfId="44308" xr:uid="{00000000-0005-0000-0000-00001CAD0000}"/>
    <cellStyle name="Normal 2 8 4" xfId="44309" xr:uid="{00000000-0005-0000-0000-00001DAD0000}"/>
    <cellStyle name="Normal 2 9" xfId="44310" xr:uid="{00000000-0005-0000-0000-00001EAD0000}"/>
    <cellStyle name="Normal 2 9 2" xfId="44311" xr:uid="{00000000-0005-0000-0000-00001FAD0000}"/>
    <cellStyle name="Normal 2 9 3" xfId="44312" xr:uid="{00000000-0005-0000-0000-000020AD0000}"/>
    <cellStyle name="Normal 2_00 MC2 SCADA BOQ for MC3 (OVER)" xfId="44313" xr:uid="{00000000-0005-0000-0000-000021AD0000}"/>
    <cellStyle name="Normal 20" xfId="44314" xr:uid="{00000000-0005-0000-0000-000022AD0000}"/>
    <cellStyle name="Normal 20 2" xfId="44315" xr:uid="{00000000-0005-0000-0000-000023AD0000}"/>
    <cellStyle name="Normal 20 2 2" xfId="44316" xr:uid="{00000000-0005-0000-0000-000024AD0000}"/>
    <cellStyle name="Normal 20 2 2 2" xfId="44317" xr:uid="{00000000-0005-0000-0000-000025AD0000}"/>
    <cellStyle name="Normal 20 2 2 2 2" xfId="44318" xr:uid="{00000000-0005-0000-0000-000026AD0000}"/>
    <cellStyle name="Normal 20 2 2 3" xfId="44319" xr:uid="{00000000-0005-0000-0000-000027AD0000}"/>
    <cellStyle name="Normal 20 2 3" xfId="44320" xr:uid="{00000000-0005-0000-0000-000028AD0000}"/>
    <cellStyle name="Normal 20 2 3 2" xfId="44321" xr:uid="{00000000-0005-0000-0000-000029AD0000}"/>
    <cellStyle name="Normal 20 2 4" xfId="44322" xr:uid="{00000000-0005-0000-0000-00002AAD0000}"/>
    <cellStyle name="Normal 20 2 5" xfId="44323" xr:uid="{00000000-0005-0000-0000-00002BAD0000}"/>
    <cellStyle name="Normal 20 3" xfId="44324" xr:uid="{00000000-0005-0000-0000-00002CAD0000}"/>
    <cellStyle name="Normal 20 3 2" xfId="44325" xr:uid="{00000000-0005-0000-0000-00002DAD0000}"/>
    <cellStyle name="Normal 20 4" xfId="44326" xr:uid="{00000000-0005-0000-0000-00002EAD0000}"/>
    <cellStyle name="Normal 20_Proj" xfId="44327" xr:uid="{00000000-0005-0000-0000-00002FAD0000}"/>
    <cellStyle name="Normal 200" xfId="44328" xr:uid="{00000000-0005-0000-0000-000030AD0000}"/>
    <cellStyle name="Normal 201" xfId="44329" xr:uid="{00000000-0005-0000-0000-000031AD0000}"/>
    <cellStyle name="Normal 202" xfId="44330" xr:uid="{00000000-0005-0000-0000-000032AD0000}"/>
    <cellStyle name="Normal 203" xfId="44331" xr:uid="{00000000-0005-0000-0000-000033AD0000}"/>
    <cellStyle name="Normal 204" xfId="44332" xr:uid="{00000000-0005-0000-0000-000034AD0000}"/>
    <cellStyle name="Normal 205" xfId="44333" xr:uid="{00000000-0005-0000-0000-000035AD0000}"/>
    <cellStyle name="Normal 206" xfId="44334" xr:uid="{00000000-0005-0000-0000-000036AD0000}"/>
    <cellStyle name="Normal 207" xfId="44335" xr:uid="{00000000-0005-0000-0000-000037AD0000}"/>
    <cellStyle name="Normal 208" xfId="44336" xr:uid="{00000000-0005-0000-0000-000038AD0000}"/>
    <cellStyle name="Normal 209" xfId="44337" xr:uid="{00000000-0005-0000-0000-000039AD0000}"/>
    <cellStyle name="Normal 21" xfId="44338" xr:uid="{00000000-0005-0000-0000-00003AAD0000}"/>
    <cellStyle name="Normal 21 10" xfId="44339" xr:uid="{00000000-0005-0000-0000-00003BAD0000}"/>
    <cellStyle name="Normal 21 11" xfId="44340" xr:uid="{00000000-0005-0000-0000-00003CAD0000}"/>
    <cellStyle name="Normal 21 12" xfId="44341" xr:uid="{00000000-0005-0000-0000-00003DAD0000}"/>
    <cellStyle name="Normal 21 13" xfId="44342" xr:uid="{00000000-0005-0000-0000-00003EAD0000}"/>
    <cellStyle name="Normal 21 14" xfId="44343" xr:uid="{00000000-0005-0000-0000-00003FAD0000}"/>
    <cellStyle name="Normal 21 15" xfId="44344" xr:uid="{00000000-0005-0000-0000-000040AD0000}"/>
    <cellStyle name="Normal 21 16" xfId="44345" xr:uid="{00000000-0005-0000-0000-000041AD0000}"/>
    <cellStyle name="Normal 21 2" xfId="44346" xr:uid="{00000000-0005-0000-0000-000042AD0000}"/>
    <cellStyle name="Normal 21 2 2" xfId="44347" xr:uid="{00000000-0005-0000-0000-000043AD0000}"/>
    <cellStyle name="Normal 21 2 2 2" xfId="44348" xr:uid="{00000000-0005-0000-0000-000044AD0000}"/>
    <cellStyle name="Normal 21 2 2 2 2" xfId="44349" xr:uid="{00000000-0005-0000-0000-000045AD0000}"/>
    <cellStyle name="Normal 21 2 2 3" xfId="44350" xr:uid="{00000000-0005-0000-0000-000046AD0000}"/>
    <cellStyle name="Normal 21 2 3" xfId="44351" xr:uid="{00000000-0005-0000-0000-000047AD0000}"/>
    <cellStyle name="Normal 21 2 3 2" xfId="44352" xr:uid="{00000000-0005-0000-0000-000048AD0000}"/>
    <cellStyle name="Normal 21 2 4" xfId="44353" xr:uid="{00000000-0005-0000-0000-000049AD0000}"/>
    <cellStyle name="Normal 21 2 5" xfId="44354" xr:uid="{00000000-0005-0000-0000-00004AAD0000}"/>
    <cellStyle name="Normal 21 3" xfId="44355" xr:uid="{00000000-0005-0000-0000-00004BAD0000}"/>
    <cellStyle name="Normal 21 3 2" xfId="44356" xr:uid="{00000000-0005-0000-0000-00004CAD0000}"/>
    <cellStyle name="Normal 21 4" xfId="44357" xr:uid="{00000000-0005-0000-0000-00004DAD0000}"/>
    <cellStyle name="Normal 21 4 2" xfId="44358" xr:uid="{00000000-0005-0000-0000-00004EAD0000}"/>
    <cellStyle name="Normal 21 5" xfId="44359" xr:uid="{00000000-0005-0000-0000-00004FAD0000}"/>
    <cellStyle name="Normal 21 6" xfId="44360" xr:uid="{00000000-0005-0000-0000-000050AD0000}"/>
    <cellStyle name="Normal 21 7" xfId="44361" xr:uid="{00000000-0005-0000-0000-000051AD0000}"/>
    <cellStyle name="Normal 21 8" xfId="44362" xr:uid="{00000000-0005-0000-0000-000052AD0000}"/>
    <cellStyle name="Normal 21 9" xfId="44363" xr:uid="{00000000-0005-0000-0000-000053AD0000}"/>
    <cellStyle name="Normal 21_Proj" xfId="44364" xr:uid="{00000000-0005-0000-0000-000054AD0000}"/>
    <cellStyle name="Normal 210" xfId="44365" xr:uid="{00000000-0005-0000-0000-000055AD0000}"/>
    <cellStyle name="Normal 211" xfId="44366" xr:uid="{00000000-0005-0000-0000-000056AD0000}"/>
    <cellStyle name="Normal 212" xfId="44367" xr:uid="{00000000-0005-0000-0000-000057AD0000}"/>
    <cellStyle name="Normal 213" xfId="44368" xr:uid="{00000000-0005-0000-0000-000058AD0000}"/>
    <cellStyle name="Normal 214" xfId="44369" xr:uid="{00000000-0005-0000-0000-000059AD0000}"/>
    <cellStyle name="Normal 215" xfId="44370" xr:uid="{00000000-0005-0000-0000-00005AAD0000}"/>
    <cellStyle name="Normal 216" xfId="44371" xr:uid="{00000000-0005-0000-0000-00005BAD0000}"/>
    <cellStyle name="Normal 217" xfId="44372" xr:uid="{00000000-0005-0000-0000-00005CAD0000}"/>
    <cellStyle name="Normal 218" xfId="44373" xr:uid="{00000000-0005-0000-0000-00005DAD0000}"/>
    <cellStyle name="Normal 219" xfId="44374" xr:uid="{00000000-0005-0000-0000-00005EAD0000}"/>
    <cellStyle name="Normal 22" xfId="44375" xr:uid="{00000000-0005-0000-0000-00005FAD0000}"/>
    <cellStyle name="Normal 22 10" xfId="44376" xr:uid="{00000000-0005-0000-0000-000060AD0000}"/>
    <cellStyle name="Normal 22 10 2" xfId="44377" xr:uid="{00000000-0005-0000-0000-000061AD0000}"/>
    <cellStyle name="Normal 22 10 2 2" xfId="44378" xr:uid="{00000000-0005-0000-0000-000062AD0000}"/>
    <cellStyle name="Normal 22 10 3" xfId="44379" xr:uid="{00000000-0005-0000-0000-000063AD0000}"/>
    <cellStyle name="Normal 22 11" xfId="44380" xr:uid="{00000000-0005-0000-0000-000064AD0000}"/>
    <cellStyle name="Normal 22 11 2" xfId="44381" xr:uid="{00000000-0005-0000-0000-000065AD0000}"/>
    <cellStyle name="Normal 22 12" xfId="44382" xr:uid="{00000000-0005-0000-0000-000066AD0000}"/>
    <cellStyle name="Normal 22 12 2" xfId="44383" xr:uid="{00000000-0005-0000-0000-000067AD0000}"/>
    <cellStyle name="Normal 22 13" xfId="44384" xr:uid="{00000000-0005-0000-0000-000068AD0000}"/>
    <cellStyle name="Normal 22 14" xfId="44385" xr:uid="{00000000-0005-0000-0000-000069AD0000}"/>
    <cellStyle name="Normal 22 15" xfId="44386" xr:uid="{00000000-0005-0000-0000-00006AAD0000}"/>
    <cellStyle name="Normal 22 16" xfId="44387" xr:uid="{00000000-0005-0000-0000-00006BAD0000}"/>
    <cellStyle name="Normal 22 2" xfId="44388" xr:uid="{00000000-0005-0000-0000-00006CAD0000}"/>
    <cellStyle name="Normal 22 2 10" xfId="44389" xr:uid="{00000000-0005-0000-0000-00006DAD0000}"/>
    <cellStyle name="Normal 22 2 10 2" xfId="44390" xr:uid="{00000000-0005-0000-0000-00006EAD0000}"/>
    <cellStyle name="Normal 22 2 10 2 2" xfId="44391" xr:uid="{00000000-0005-0000-0000-00006FAD0000}"/>
    <cellStyle name="Normal 22 2 10 2 2 2" xfId="44392" xr:uid="{00000000-0005-0000-0000-000070AD0000}"/>
    <cellStyle name="Normal 22 2 10 2 3" xfId="44393" xr:uid="{00000000-0005-0000-0000-000071AD0000}"/>
    <cellStyle name="Normal 22 2 10 3" xfId="44394" xr:uid="{00000000-0005-0000-0000-000072AD0000}"/>
    <cellStyle name="Normal 22 2 10 3 2" xfId="44395" xr:uid="{00000000-0005-0000-0000-000073AD0000}"/>
    <cellStyle name="Normal 22 2 10 4" xfId="44396" xr:uid="{00000000-0005-0000-0000-000074AD0000}"/>
    <cellStyle name="Normal 22 2 11" xfId="44397" xr:uid="{00000000-0005-0000-0000-000075AD0000}"/>
    <cellStyle name="Normal 22 2 11 2" xfId="44398" xr:uid="{00000000-0005-0000-0000-000076AD0000}"/>
    <cellStyle name="Normal 22 2 11 2 2" xfId="44399" xr:uid="{00000000-0005-0000-0000-000077AD0000}"/>
    <cellStyle name="Normal 22 2 11 3" xfId="44400" xr:uid="{00000000-0005-0000-0000-000078AD0000}"/>
    <cellStyle name="Normal 22 2 12" xfId="44401" xr:uid="{00000000-0005-0000-0000-000079AD0000}"/>
    <cellStyle name="Normal 22 2 12 2" xfId="44402" xr:uid="{00000000-0005-0000-0000-00007AAD0000}"/>
    <cellStyle name="Normal 22 2 12 2 2" xfId="44403" xr:uid="{00000000-0005-0000-0000-00007BAD0000}"/>
    <cellStyle name="Normal 22 2 12 3" xfId="44404" xr:uid="{00000000-0005-0000-0000-00007CAD0000}"/>
    <cellStyle name="Normal 22 2 13" xfId="44405" xr:uid="{00000000-0005-0000-0000-00007DAD0000}"/>
    <cellStyle name="Normal 22 2 13 2" xfId="44406" xr:uid="{00000000-0005-0000-0000-00007EAD0000}"/>
    <cellStyle name="Normal 22 2 13 2 2" xfId="44407" xr:uid="{00000000-0005-0000-0000-00007FAD0000}"/>
    <cellStyle name="Normal 22 2 13 3" xfId="44408" xr:uid="{00000000-0005-0000-0000-000080AD0000}"/>
    <cellStyle name="Normal 22 2 13 4" xfId="44409" xr:uid="{00000000-0005-0000-0000-000081AD0000}"/>
    <cellStyle name="Normal 22 2 14" xfId="44410" xr:uid="{00000000-0005-0000-0000-000082AD0000}"/>
    <cellStyle name="Normal 22 2 14 2" xfId="44411" xr:uid="{00000000-0005-0000-0000-000083AD0000}"/>
    <cellStyle name="Normal 22 2 15" xfId="44412" xr:uid="{00000000-0005-0000-0000-000084AD0000}"/>
    <cellStyle name="Normal 22 2 15 2" xfId="44413" xr:uid="{00000000-0005-0000-0000-000085AD0000}"/>
    <cellStyle name="Normal 22 2 16" xfId="44414" xr:uid="{00000000-0005-0000-0000-000086AD0000}"/>
    <cellStyle name="Normal 22 2 17" xfId="44415" xr:uid="{00000000-0005-0000-0000-000087AD0000}"/>
    <cellStyle name="Normal 22 2 18" xfId="44416" xr:uid="{00000000-0005-0000-0000-000088AD0000}"/>
    <cellStyle name="Normal 22 2 19" xfId="44417" xr:uid="{00000000-0005-0000-0000-000089AD0000}"/>
    <cellStyle name="Normal 22 2 2" xfId="44418" xr:uid="{00000000-0005-0000-0000-00008AAD0000}"/>
    <cellStyle name="Normal 22 2 2 10" xfId="44419" xr:uid="{00000000-0005-0000-0000-00008BAD0000}"/>
    <cellStyle name="Normal 22 2 2 11" xfId="44420" xr:uid="{00000000-0005-0000-0000-00008CAD0000}"/>
    <cellStyle name="Normal 22 2 2 12" xfId="44421" xr:uid="{00000000-0005-0000-0000-00008DAD0000}"/>
    <cellStyle name="Normal 22 2 2 13" xfId="44422" xr:uid="{00000000-0005-0000-0000-00008EAD0000}"/>
    <cellStyle name="Normal 22 2 2 2" xfId="44423" xr:uid="{00000000-0005-0000-0000-00008FAD0000}"/>
    <cellStyle name="Normal 22 2 2 2 10" xfId="44424" xr:uid="{00000000-0005-0000-0000-000090AD0000}"/>
    <cellStyle name="Normal 22 2 2 2 11" xfId="44425" xr:uid="{00000000-0005-0000-0000-000091AD0000}"/>
    <cellStyle name="Normal 22 2 2 2 2" xfId="44426" xr:uid="{00000000-0005-0000-0000-000092AD0000}"/>
    <cellStyle name="Normal 22 2 2 2 2 2" xfId="44427" xr:uid="{00000000-0005-0000-0000-000093AD0000}"/>
    <cellStyle name="Normal 22 2 2 2 2 2 2" xfId="44428" xr:uid="{00000000-0005-0000-0000-000094AD0000}"/>
    <cellStyle name="Normal 22 2 2 2 2 2 2 2" xfId="44429" xr:uid="{00000000-0005-0000-0000-000095AD0000}"/>
    <cellStyle name="Normal 22 2 2 2 2 2 2 2 2" xfId="44430" xr:uid="{00000000-0005-0000-0000-000096AD0000}"/>
    <cellStyle name="Normal 22 2 2 2 2 2 2 3" xfId="44431" xr:uid="{00000000-0005-0000-0000-000097AD0000}"/>
    <cellStyle name="Normal 22 2 2 2 2 2 3" xfId="44432" xr:uid="{00000000-0005-0000-0000-000098AD0000}"/>
    <cellStyle name="Normal 22 2 2 2 2 2 3 2" xfId="44433" xr:uid="{00000000-0005-0000-0000-000099AD0000}"/>
    <cellStyle name="Normal 22 2 2 2 2 2 4" xfId="44434" xr:uid="{00000000-0005-0000-0000-00009AAD0000}"/>
    <cellStyle name="Normal 22 2 2 2 2 2 5" xfId="44435" xr:uid="{00000000-0005-0000-0000-00009BAD0000}"/>
    <cellStyle name="Normal 22 2 2 2 2 2 6" xfId="44436" xr:uid="{00000000-0005-0000-0000-00009CAD0000}"/>
    <cellStyle name="Normal 22 2 2 2 2 3" xfId="44437" xr:uid="{00000000-0005-0000-0000-00009DAD0000}"/>
    <cellStyle name="Normal 22 2 2 2 2 3 2" xfId="44438" xr:uid="{00000000-0005-0000-0000-00009EAD0000}"/>
    <cellStyle name="Normal 22 2 2 2 2 3 2 2" xfId="44439" xr:uid="{00000000-0005-0000-0000-00009FAD0000}"/>
    <cellStyle name="Normal 22 2 2 2 2 3 2 2 2" xfId="44440" xr:uid="{00000000-0005-0000-0000-0000A0AD0000}"/>
    <cellStyle name="Normal 22 2 2 2 2 3 2 3" xfId="44441" xr:uid="{00000000-0005-0000-0000-0000A1AD0000}"/>
    <cellStyle name="Normal 22 2 2 2 2 3 3" xfId="44442" xr:uid="{00000000-0005-0000-0000-0000A2AD0000}"/>
    <cellStyle name="Normal 22 2 2 2 2 3 3 2" xfId="44443" xr:uid="{00000000-0005-0000-0000-0000A3AD0000}"/>
    <cellStyle name="Normal 22 2 2 2 2 3 4" xfId="44444" xr:uid="{00000000-0005-0000-0000-0000A4AD0000}"/>
    <cellStyle name="Normal 22 2 2 2 2 4" xfId="44445" xr:uid="{00000000-0005-0000-0000-0000A5AD0000}"/>
    <cellStyle name="Normal 22 2 2 2 2 4 2" xfId="44446" xr:uid="{00000000-0005-0000-0000-0000A6AD0000}"/>
    <cellStyle name="Normal 22 2 2 2 2 4 2 2" xfId="44447" xr:uid="{00000000-0005-0000-0000-0000A7AD0000}"/>
    <cellStyle name="Normal 22 2 2 2 2 4 3" xfId="44448" xr:uid="{00000000-0005-0000-0000-0000A8AD0000}"/>
    <cellStyle name="Normal 22 2 2 2 2 5" xfId="44449" xr:uid="{00000000-0005-0000-0000-0000A9AD0000}"/>
    <cellStyle name="Normal 22 2 2 2 2 5 2" xfId="44450" xr:uid="{00000000-0005-0000-0000-0000AAAD0000}"/>
    <cellStyle name="Normal 22 2 2 2 2 6" xfId="44451" xr:uid="{00000000-0005-0000-0000-0000ABAD0000}"/>
    <cellStyle name="Normal 22 2 2 2 2 7" xfId="44452" xr:uid="{00000000-0005-0000-0000-0000ACAD0000}"/>
    <cellStyle name="Normal 22 2 2 2 2 8" xfId="44453" xr:uid="{00000000-0005-0000-0000-0000ADAD0000}"/>
    <cellStyle name="Normal 22 2 2 2 2 9" xfId="44454" xr:uid="{00000000-0005-0000-0000-0000AEAD0000}"/>
    <cellStyle name="Normal 22 2 2 2 3" xfId="44455" xr:uid="{00000000-0005-0000-0000-0000AFAD0000}"/>
    <cellStyle name="Normal 22 2 2 2 3 2" xfId="44456" xr:uid="{00000000-0005-0000-0000-0000B0AD0000}"/>
    <cellStyle name="Normal 22 2 2 2 3 2 2" xfId="44457" xr:uid="{00000000-0005-0000-0000-0000B1AD0000}"/>
    <cellStyle name="Normal 22 2 2 2 3 2 2 2" xfId="44458" xr:uid="{00000000-0005-0000-0000-0000B2AD0000}"/>
    <cellStyle name="Normal 22 2 2 2 3 2 2 2 2" xfId="44459" xr:uid="{00000000-0005-0000-0000-0000B3AD0000}"/>
    <cellStyle name="Normal 22 2 2 2 3 2 2 3" xfId="44460" xr:uid="{00000000-0005-0000-0000-0000B4AD0000}"/>
    <cellStyle name="Normal 22 2 2 2 3 2 3" xfId="44461" xr:uid="{00000000-0005-0000-0000-0000B5AD0000}"/>
    <cellStyle name="Normal 22 2 2 2 3 2 3 2" xfId="44462" xr:uid="{00000000-0005-0000-0000-0000B6AD0000}"/>
    <cellStyle name="Normal 22 2 2 2 3 2 4" xfId="44463" xr:uid="{00000000-0005-0000-0000-0000B7AD0000}"/>
    <cellStyle name="Normal 22 2 2 2 3 3" xfId="44464" xr:uid="{00000000-0005-0000-0000-0000B8AD0000}"/>
    <cellStyle name="Normal 22 2 2 2 3 3 2" xfId="44465" xr:uid="{00000000-0005-0000-0000-0000B9AD0000}"/>
    <cellStyle name="Normal 22 2 2 2 3 3 2 2" xfId="44466" xr:uid="{00000000-0005-0000-0000-0000BAAD0000}"/>
    <cellStyle name="Normal 22 2 2 2 3 3 3" xfId="44467" xr:uid="{00000000-0005-0000-0000-0000BBAD0000}"/>
    <cellStyle name="Normal 22 2 2 2 3 4" xfId="44468" xr:uid="{00000000-0005-0000-0000-0000BCAD0000}"/>
    <cellStyle name="Normal 22 2 2 2 3 4 2" xfId="44469" xr:uid="{00000000-0005-0000-0000-0000BDAD0000}"/>
    <cellStyle name="Normal 22 2 2 2 3 5" xfId="44470" xr:uid="{00000000-0005-0000-0000-0000BEAD0000}"/>
    <cellStyle name="Normal 22 2 2 2 3 6" xfId="44471" xr:uid="{00000000-0005-0000-0000-0000BFAD0000}"/>
    <cellStyle name="Normal 22 2 2 2 3 7" xfId="44472" xr:uid="{00000000-0005-0000-0000-0000C0AD0000}"/>
    <cellStyle name="Normal 22 2 2 2 4" xfId="44473" xr:uid="{00000000-0005-0000-0000-0000C1AD0000}"/>
    <cellStyle name="Normal 22 2 2 2 4 2" xfId="44474" xr:uid="{00000000-0005-0000-0000-0000C2AD0000}"/>
    <cellStyle name="Normal 22 2 2 2 4 2 2" xfId="44475" xr:uid="{00000000-0005-0000-0000-0000C3AD0000}"/>
    <cellStyle name="Normal 22 2 2 2 4 2 2 2" xfId="44476" xr:uid="{00000000-0005-0000-0000-0000C4AD0000}"/>
    <cellStyle name="Normal 22 2 2 2 4 2 3" xfId="44477" xr:uid="{00000000-0005-0000-0000-0000C5AD0000}"/>
    <cellStyle name="Normal 22 2 2 2 4 3" xfId="44478" xr:uid="{00000000-0005-0000-0000-0000C6AD0000}"/>
    <cellStyle name="Normal 22 2 2 2 4 3 2" xfId="44479" xr:uid="{00000000-0005-0000-0000-0000C7AD0000}"/>
    <cellStyle name="Normal 22 2 2 2 4 4" xfId="44480" xr:uid="{00000000-0005-0000-0000-0000C8AD0000}"/>
    <cellStyle name="Normal 22 2 2 2 5" xfId="44481" xr:uid="{00000000-0005-0000-0000-0000C9AD0000}"/>
    <cellStyle name="Normal 22 2 2 2 5 2" xfId="44482" xr:uid="{00000000-0005-0000-0000-0000CAAD0000}"/>
    <cellStyle name="Normal 22 2 2 2 5 2 2" xfId="44483" xr:uid="{00000000-0005-0000-0000-0000CBAD0000}"/>
    <cellStyle name="Normal 22 2 2 2 5 3" xfId="44484" xr:uid="{00000000-0005-0000-0000-0000CCAD0000}"/>
    <cellStyle name="Normal 22 2 2 2 6" xfId="44485" xr:uid="{00000000-0005-0000-0000-0000CDAD0000}"/>
    <cellStyle name="Normal 22 2 2 2 6 2" xfId="44486" xr:uid="{00000000-0005-0000-0000-0000CEAD0000}"/>
    <cellStyle name="Normal 22 2 2 2 7" xfId="44487" xr:uid="{00000000-0005-0000-0000-0000CFAD0000}"/>
    <cellStyle name="Normal 22 2 2 2 7 2" xfId="44488" xr:uid="{00000000-0005-0000-0000-0000D0AD0000}"/>
    <cellStyle name="Normal 22 2 2 2 8" xfId="44489" xr:uid="{00000000-0005-0000-0000-0000D1AD0000}"/>
    <cellStyle name="Normal 22 2 2 2 9" xfId="44490" xr:uid="{00000000-0005-0000-0000-0000D2AD0000}"/>
    <cellStyle name="Normal 22 2 2 3" xfId="44491" xr:uid="{00000000-0005-0000-0000-0000D3AD0000}"/>
    <cellStyle name="Normal 22 2 2 3 10" xfId="44492" xr:uid="{00000000-0005-0000-0000-0000D4AD0000}"/>
    <cellStyle name="Normal 22 2 2 3 2" xfId="44493" xr:uid="{00000000-0005-0000-0000-0000D5AD0000}"/>
    <cellStyle name="Normal 22 2 2 3 2 2" xfId="44494" xr:uid="{00000000-0005-0000-0000-0000D6AD0000}"/>
    <cellStyle name="Normal 22 2 2 3 2 2 2" xfId="44495" xr:uid="{00000000-0005-0000-0000-0000D7AD0000}"/>
    <cellStyle name="Normal 22 2 2 3 2 2 2 2" xfId="44496" xr:uid="{00000000-0005-0000-0000-0000D8AD0000}"/>
    <cellStyle name="Normal 22 2 2 3 2 2 2 2 2" xfId="44497" xr:uid="{00000000-0005-0000-0000-0000D9AD0000}"/>
    <cellStyle name="Normal 22 2 2 3 2 2 2 3" xfId="44498" xr:uid="{00000000-0005-0000-0000-0000DAAD0000}"/>
    <cellStyle name="Normal 22 2 2 3 2 2 3" xfId="44499" xr:uid="{00000000-0005-0000-0000-0000DBAD0000}"/>
    <cellStyle name="Normal 22 2 2 3 2 2 3 2" xfId="44500" xr:uid="{00000000-0005-0000-0000-0000DCAD0000}"/>
    <cellStyle name="Normal 22 2 2 3 2 2 4" xfId="44501" xr:uid="{00000000-0005-0000-0000-0000DDAD0000}"/>
    <cellStyle name="Normal 22 2 2 3 2 3" xfId="44502" xr:uid="{00000000-0005-0000-0000-0000DEAD0000}"/>
    <cellStyle name="Normal 22 2 2 3 2 3 2" xfId="44503" xr:uid="{00000000-0005-0000-0000-0000DFAD0000}"/>
    <cellStyle name="Normal 22 2 2 3 2 3 2 2" xfId="44504" xr:uid="{00000000-0005-0000-0000-0000E0AD0000}"/>
    <cellStyle name="Normal 22 2 2 3 2 3 3" xfId="44505" xr:uid="{00000000-0005-0000-0000-0000E1AD0000}"/>
    <cellStyle name="Normal 22 2 2 3 2 4" xfId="44506" xr:uid="{00000000-0005-0000-0000-0000E2AD0000}"/>
    <cellStyle name="Normal 22 2 2 3 2 4 2" xfId="44507" xr:uid="{00000000-0005-0000-0000-0000E3AD0000}"/>
    <cellStyle name="Normal 22 2 2 3 2 5" xfId="44508" xr:uid="{00000000-0005-0000-0000-0000E4AD0000}"/>
    <cellStyle name="Normal 22 2 2 3 2 6" xfId="44509" xr:uid="{00000000-0005-0000-0000-0000E5AD0000}"/>
    <cellStyle name="Normal 22 2 2 3 2 7" xfId="44510" xr:uid="{00000000-0005-0000-0000-0000E6AD0000}"/>
    <cellStyle name="Normal 22 2 2 3 3" xfId="44511" xr:uid="{00000000-0005-0000-0000-0000E7AD0000}"/>
    <cellStyle name="Normal 22 2 2 3 3 2" xfId="44512" xr:uid="{00000000-0005-0000-0000-0000E8AD0000}"/>
    <cellStyle name="Normal 22 2 2 3 3 2 2" xfId="44513" xr:uid="{00000000-0005-0000-0000-0000E9AD0000}"/>
    <cellStyle name="Normal 22 2 2 3 3 2 2 2" xfId="44514" xr:uid="{00000000-0005-0000-0000-0000EAAD0000}"/>
    <cellStyle name="Normal 22 2 2 3 3 2 3" xfId="44515" xr:uid="{00000000-0005-0000-0000-0000EBAD0000}"/>
    <cellStyle name="Normal 22 2 2 3 3 3" xfId="44516" xr:uid="{00000000-0005-0000-0000-0000ECAD0000}"/>
    <cellStyle name="Normal 22 2 2 3 3 3 2" xfId="44517" xr:uid="{00000000-0005-0000-0000-0000EDAD0000}"/>
    <cellStyle name="Normal 22 2 2 3 3 4" xfId="44518" xr:uid="{00000000-0005-0000-0000-0000EEAD0000}"/>
    <cellStyle name="Normal 22 2 2 3 4" xfId="44519" xr:uid="{00000000-0005-0000-0000-0000EFAD0000}"/>
    <cellStyle name="Normal 22 2 2 3 4 2" xfId="44520" xr:uid="{00000000-0005-0000-0000-0000F0AD0000}"/>
    <cellStyle name="Normal 22 2 2 3 4 2 2" xfId="44521" xr:uid="{00000000-0005-0000-0000-0000F1AD0000}"/>
    <cellStyle name="Normal 22 2 2 3 4 2 2 2" xfId="44522" xr:uid="{00000000-0005-0000-0000-0000F2AD0000}"/>
    <cellStyle name="Normal 22 2 2 3 4 2 3" xfId="44523" xr:uid="{00000000-0005-0000-0000-0000F3AD0000}"/>
    <cellStyle name="Normal 22 2 2 3 4 3" xfId="44524" xr:uid="{00000000-0005-0000-0000-0000F4AD0000}"/>
    <cellStyle name="Normal 22 2 2 3 4 3 2" xfId="44525" xr:uid="{00000000-0005-0000-0000-0000F5AD0000}"/>
    <cellStyle name="Normal 22 2 2 3 4 4" xfId="44526" xr:uid="{00000000-0005-0000-0000-0000F6AD0000}"/>
    <cellStyle name="Normal 22 2 2 3 5" xfId="44527" xr:uid="{00000000-0005-0000-0000-0000F7AD0000}"/>
    <cellStyle name="Normal 22 2 2 3 5 2" xfId="44528" xr:uid="{00000000-0005-0000-0000-0000F8AD0000}"/>
    <cellStyle name="Normal 22 2 2 3 5 2 2" xfId="44529" xr:uid="{00000000-0005-0000-0000-0000F9AD0000}"/>
    <cellStyle name="Normal 22 2 2 3 5 3" xfId="44530" xr:uid="{00000000-0005-0000-0000-0000FAAD0000}"/>
    <cellStyle name="Normal 22 2 2 3 6" xfId="44531" xr:uid="{00000000-0005-0000-0000-0000FBAD0000}"/>
    <cellStyle name="Normal 22 2 2 3 6 2" xfId="44532" xr:uid="{00000000-0005-0000-0000-0000FCAD0000}"/>
    <cellStyle name="Normal 22 2 2 3 7" xfId="44533" xr:uid="{00000000-0005-0000-0000-0000FDAD0000}"/>
    <cellStyle name="Normal 22 2 2 3 8" xfId="44534" xr:uid="{00000000-0005-0000-0000-0000FEAD0000}"/>
    <cellStyle name="Normal 22 2 2 3 9" xfId="44535" xr:uid="{00000000-0005-0000-0000-0000FFAD0000}"/>
    <cellStyle name="Normal 22 2 2 4" xfId="44536" xr:uid="{00000000-0005-0000-0000-000000AE0000}"/>
    <cellStyle name="Normal 22 2 2 4 2" xfId="44537" xr:uid="{00000000-0005-0000-0000-000001AE0000}"/>
    <cellStyle name="Normal 22 2 2 4 2 2" xfId="44538" xr:uid="{00000000-0005-0000-0000-000002AE0000}"/>
    <cellStyle name="Normal 22 2 2 4 2 2 2" xfId="44539" xr:uid="{00000000-0005-0000-0000-000003AE0000}"/>
    <cellStyle name="Normal 22 2 2 4 2 2 2 2" xfId="44540" xr:uid="{00000000-0005-0000-0000-000004AE0000}"/>
    <cellStyle name="Normal 22 2 2 4 2 2 3" xfId="44541" xr:uid="{00000000-0005-0000-0000-000005AE0000}"/>
    <cellStyle name="Normal 22 2 2 4 2 3" xfId="44542" xr:uid="{00000000-0005-0000-0000-000006AE0000}"/>
    <cellStyle name="Normal 22 2 2 4 2 3 2" xfId="44543" xr:uid="{00000000-0005-0000-0000-000007AE0000}"/>
    <cellStyle name="Normal 22 2 2 4 2 4" xfId="44544" xr:uid="{00000000-0005-0000-0000-000008AE0000}"/>
    <cellStyle name="Normal 22 2 2 4 3" xfId="44545" xr:uid="{00000000-0005-0000-0000-000009AE0000}"/>
    <cellStyle name="Normal 22 2 2 4 3 2" xfId="44546" xr:uid="{00000000-0005-0000-0000-00000AAE0000}"/>
    <cellStyle name="Normal 22 2 2 4 3 2 2" xfId="44547" xr:uid="{00000000-0005-0000-0000-00000BAE0000}"/>
    <cellStyle name="Normal 22 2 2 4 3 3" xfId="44548" xr:uid="{00000000-0005-0000-0000-00000CAE0000}"/>
    <cellStyle name="Normal 22 2 2 4 4" xfId="44549" xr:uid="{00000000-0005-0000-0000-00000DAE0000}"/>
    <cellStyle name="Normal 22 2 2 4 4 2" xfId="44550" xr:uid="{00000000-0005-0000-0000-00000EAE0000}"/>
    <cellStyle name="Normal 22 2 2 4 5" xfId="44551" xr:uid="{00000000-0005-0000-0000-00000FAE0000}"/>
    <cellStyle name="Normal 22 2 2 4 6" xfId="44552" xr:uid="{00000000-0005-0000-0000-000010AE0000}"/>
    <cellStyle name="Normal 22 2 2 4 7" xfId="44553" xr:uid="{00000000-0005-0000-0000-000011AE0000}"/>
    <cellStyle name="Normal 22 2 2 5" xfId="44554" xr:uid="{00000000-0005-0000-0000-000012AE0000}"/>
    <cellStyle name="Normal 22 2 2 5 2" xfId="44555" xr:uid="{00000000-0005-0000-0000-000013AE0000}"/>
    <cellStyle name="Normal 22 2 2 5 2 2" xfId="44556" xr:uid="{00000000-0005-0000-0000-000014AE0000}"/>
    <cellStyle name="Normal 22 2 2 5 2 2 2" xfId="44557" xr:uid="{00000000-0005-0000-0000-000015AE0000}"/>
    <cellStyle name="Normal 22 2 2 5 2 3" xfId="44558" xr:uid="{00000000-0005-0000-0000-000016AE0000}"/>
    <cellStyle name="Normal 22 2 2 5 3" xfId="44559" xr:uid="{00000000-0005-0000-0000-000017AE0000}"/>
    <cellStyle name="Normal 22 2 2 5 3 2" xfId="44560" xr:uid="{00000000-0005-0000-0000-000018AE0000}"/>
    <cellStyle name="Normal 22 2 2 5 4" xfId="44561" xr:uid="{00000000-0005-0000-0000-000019AE0000}"/>
    <cellStyle name="Normal 22 2 2 6" xfId="44562" xr:uid="{00000000-0005-0000-0000-00001AAE0000}"/>
    <cellStyle name="Normal 22 2 2 6 2" xfId="44563" xr:uid="{00000000-0005-0000-0000-00001BAE0000}"/>
    <cellStyle name="Normal 22 2 2 6 2 2" xfId="44564" xr:uid="{00000000-0005-0000-0000-00001CAE0000}"/>
    <cellStyle name="Normal 22 2 2 6 2 2 2" xfId="44565" xr:uid="{00000000-0005-0000-0000-00001DAE0000}"/>
    <cellStyle name="Normal 22 2 2 6 2 3" xfId="44566" xr:uid="{00000000-0005-0000-0000-00001EAE0000}"/>
    <cellStyle name="Normal 22 2 2 6 3" xfId="44567" xr:uid="{00000000-0005-0000-0000-00001FAE0000}"/>
    <cellStyle name="Normal 22 2 2 6 3 2" xfId="44568" xr:uid="{00000000-0005-0000-0000-000020AE0000}"/>
    <cellStyle name="Normal 22 2 2 6 4" xfId="44569" xr:uid="{00000000-0005-0000-0000-000021AE0000}"/>
    <cellStyle name="Normal 22 2 2 7" xfId="44570" xr:uid="{00000000-0005-0000-0000-000022AE0000}"/>
    <cellStyle name="Normal 22 2 2 7 2" xfId="44571" xr:uid="{00000000-0005-0000-0000-000023AE0000}"/>
    <cellStyle name="Normal 22 2 2 7 2 2" xfId="44572" xr:uid="{00000000-0005-0000-0000-000024AE0000}"/>
    <cellStyle name="Normal 22 2 2 7 3" xfId="44573" xr:uid="{00000000-0005-0000-0000-000025AE0000}"/>
    <cellStyle name="Normal 22 2 2 8" xfId="44574" xr:uid="{00000000-0005-0000-0000-000026AE0000}"/>
    <cellStyle name="Normal 22 2 2 8 2" xfId="44575" xr:uid="{00000000-0005-0000-0000-000027AE0000}"/>
    <cellStyle name="Normal 22 2 2 9" xfId="44576" xr:uid="{00000000-0005-0000-0000-000028AE0000}"/>
    <cellStyle name="Normal 22 2 2 9 2" xfId="44577" xr:uid="{00000000-0005-0000-0000-000029AE0000}"/>
    <cellStyle name="Normal 22 2 20" xfId="44578" xr:uid="{00000000-0005-0000-0000-00002AAE0000}"/>
    <cellStyle name="Normal 22 2 21" xfId="44579" xr:uid="{00000000-0005-0000-0000-00002BAE0000}"/>
    <cellStyle name="Normal 22 2 22" xfId="44580" xr:uid="{00000000-0005-0000-0000-00002CAE0000}"/>
    <cellStyle name="Normal 22 2 3" xfId="44581" xr:uid="{00000000-0005-0000-0000-00002DAE0000}"/>
    <cellStyle name="Normal 22 2 3 10" xfId="44582" xr:uid="{00000000-0005-0000-0000-00002EAE0000}"/>
    <cellStyle name="Normal 22 2 3 11" xfId="44583" xr:uid="{00000000-0005-0000-0000-00002FAE0000}"/>
    <cellStyle name="Normal 22 2 3 12" xfId="44584" xr:uid="{00000000-0005-0000-0000-000030AE0000}"/>
    <cellStyle name="Normal 22 2 3 2" xfId="44585" xr:uid="{00000000-0005-0000-0000-000031AE0000}"/>
    <cellStyle name="Normal 22 2 3 2 10" xfId="44586" xr:uid="{00000000-0005-0000-0000-000032AE0000}"/>
    <cellStyle name="Normal 22 2 3 2 11" xfId="44587" xr:uid="{00000000-0005-0000-0000-000033AE0000}"/>
    <cellStyle name="Normal 22 2 3 2 2" xfId="44588" xr:uid="{00000000-0005-0000-0000-000034AE0000}"/>
    <cellStyle name="Normal 22 2 3 2 2 2" xfId="44589" xr:uid="{00000000-0005-0000-0000-000035AE0000}"/>
    <cellStyle name="Normal 22 2 3 2 2 2 2" xfId="44590" xr:uid="{00000000-0005-0000-0000-000036AE0000}"/>
    <cellStyle name="Normal 22 2 3 2 2 2 2 2" xfId="44591" xr:uid="{00000000-0005-0000-0000-000037AE0000}"/>
    <cellStyle name="Normal 22 2 3 2 2 2 2 2 2" xfId="44592" xr:uid="{00000000-0005-0000-0000-000038AE0000}"/>
    <cellStyle name="Normal 22 2 3 2 2 2 2 3" xfId="44593" xr:uid="{00000000-0005-0000-0000-000039AE0000}"/>
    <cellStyle name="Normal 22 2 3 2 2 2 3" xfId="44594" xr:uid="{00000000-0005-0000-0000-00003AAE0000}"/>
    <cellStyle name="Normal 22 2 3 2 2 2 3 2" xfId="44595" xr:uid="{00000000-0005-0000-0000-00003BAE0000}"/>
    <cellStyle name="Normal 22 2 3 2 2 2 4" xfId="44596" xr:uid="{00000000-0005-0000-0000-00003CAE0000}"/>
    <cellStyle name="Normal 22 2 3 2 2 3" xfId="44597" xr:uid="{00000000-0005-0000-0000-00003DAE0000}"/>
    <cellStyle name="Normal 22 2 3 2 2 3 2" xfId="44598" xr:uid="{00000000-0005-0000-0000-00003EAE0000}"/>
    <cellStyle name="Normal 22 2 3 2 2 3 2 2" xfId="44599" xr:uid="{00000000-0005-0000-0000-00003FAE0000}"/>
    <cellStyle name="Normal 22 2 3 2 2 3 3" xfId="44600" xr:uid="{00000000-0005-0000-0000-000040AE0000}"/>
    <cellStyle name="Normal 22 2 3 2 2 4" xfId="44601" xr:uid="{00000000-0005-0000-0000-000041AE0000}"/>
    <cellStyle name="Normal 22 2 3 2 2 4 2" xfId="44602" xr:uid="{00000000-0005-0000-0000-000042AE0000}"/>
    <cellStyle name="Normal 22 2 3 2 2 5" xfId="44603" xr:uid="{00000000-0005-0000-0000-000043AE0000}"/>
    <cellStyle name="Normal 22 2 3 2 2 6" xfId="44604" xr:uid="{00000000-0005-0000-0000-000044AE0000}"/>
    <cellStyle name="Normal 22 2 3 2 2 7" xfId="44605" xr:uid="{00000000-0005-0000-0000-000045AE0000}"/>
    <cellStyle name="Normal 22 2 3 2 2 8" xfId="44606" xr:uid="{00000000-0005-0000-0000-000046AE0000}"/>
    <cellStyle name="Normal 22 2 3 2 3" xfId="44607" xr:uid="{00000000-0005-0000-0000-000047AE0000}"/>
    <cellStyle name="Normal 22 2 3 2 3 2" xfId="44608" xr:uid="{00000000-0005-0000-0000-000048AE0000}"/>
    <cellStyle name="Normal 22 2 3 2 3 2 2" xfId="44609" xr:uid="{00000000-0005-0000-0000-000049AE0000}"/>
    <cellStyle name="Normal 22 2 3 2 3 2 2 2" xfId="44610" xr:uid="{00000000-0005-0000-0000-00004AAE0000}"/>
    <cellStyle name="Normal 22 2 3 2 3 2 3" xfId="44611" xr:uid="{00000000-0005-0000-0000-00004BAE0000}"/>
    <cellStyle name="Normal 22 2 3 2 3 3" xfId="44612" xr:uid="{00000000-0005-0000-0000-00004CAE0000}"/>
    <cellStyle name="Normal 22 2 3 2 3 3 2" xfId="44613" xr:uid="{00000000-0005-0000-0000-00004DAE0000}"/>
    <cellStyle name="Normal 22 2 3 2 3 4" xfId="44614" xr:uid="{00000000-0005-0000-0000-00004EAE0000}"/>
    <cellStyle name="Normal 22 2 3 2 4" xfId="44615" xr:uid="{00000000-0005-0000-0000-00004FAE0000}"/>
    <cellStyle name="Normal 22 2 3 2 4 2" xfId="44616" xr:uid="{00000000-0005-0000-0000-000050AE0000}"/>
    <cellStyle name="Normal 22 2 3 2 4 2 2" xfId="44617" xr:uid="{00000000-0005-0000-0000-000051AE0000}"/>
    <cellStyle name="Normal 22 2 3 2 4 2 2 2" xfId="44618" xr:uid="{00000000-0005-0000-0000-000052AE0000}"/>
    <cellStyle name="Normal 22 2 3 2 4 2 3" xfId="44619" xr:uid="{00000000-0005-0000-0000-000053AE0000}"/>
    <cellStyle name="Normal 22 2 3 2 4 3" xfId="44620" xr:uid="{00000000-0005-0000-0000-000054AE0000}"/>
    <cellStyle name="Normal 22 2 3 2 4 3 2" xfId="44621" xr:uid="{00000000-0005-0000-0000-000055AE0000}"/>
    <cellStyle name="Normal 22 2 3 2 4 4" xfId="44622" xr:uid="{00000000-0005-0000-0000-000056AE0000}"/>
    <cellStyle name="Normal 22 2 3 2 5" xfId="44623" xr:uid="{00000000-0005-0000-0000-000057AE0000}"/>
    <cellStyle name="Normal 22 2 3 2 5 2" xfId="44624" xr:uid="{00000000-0005-0000-0000-000058AE0000}"/>
    <cellStyle name="Normal 22 2 3 2 5 2 2" xfId="44625" xr:uid="{00000000-0005-0000-0000-000059AE0000}"/>
    <cellStyle name="Normal 22 2 3 2 5 3" xfId="44626" xr:uid="{00000000-0005-0000-0000-00005AAE0000}"/>
    <cellStyle name="Normal 22 2 3 2 6" xfId="44627" xr:uid="{00000000-0005-0000-0000-00005BAE0000}"/>
    <cellStyle name="Normal 22 2 3 2 6 2" xfId="44628" xr:uid="{00000000-0005-0000-0000-00005CAE0000}"/>
    <cellStyle name="Normal 22 2 3 2 7" xfId="44629" xr:uid="{00000000-0005-0000-0000-00005DAE0000}"/>
    <cellStyle name="Normal 22 2 3 2 7 2" xfId="44630" xr:uid="{00000000-0005-0000-0000-00005EAE0000}"/>
    <cellStyle name="Normal 22 2 3 2 8" xfId="44631" xr:uid="{00000000-0005-0000-0000-00005FAE0000}"/>
    <cellStyle name="Normal 22 2 3 2 9" xfId="44632" xr:uid="{00000000-0005-0000-0000-000060AE0000}"/>
    <cellStyle name="Normal 22 2 3 3" xfId="44633" xr:uid="{00000000-0005-0000-0000-000061AE0000}"/>
    <cellStyle name="Normal 22 2 3 3 2" xfId="44634" xr:uid="{00000000-0005-0000-0000-000062AE0000}"/>
    <cellStyle name="Normal 22 2 3 3 2 2" xfId="44635" xr:uid="{00000000-0005-0000-0000-000063AE0000}"/>
    <cellStyle name="Normal 22 2 3 3 2 2 2" xfId="44636" xr:uid="{00000000-0005-0000-0000-000064AE0000}"/>
    <cellStyle name="Normal 22 2 3 3 2 2 2 2" xfId="44637" xr:uid="{00000000-0005-0000-0000-000065AE0000}"/>
    <cellStyle name="Normal 22 2 3 3 2 2 3" xfId="44638" xr:uid="{00000000-0005-0000-0000-000066AE0000}"/>
    <cellStyle name="Normal 22 2 3 3 2 3" xfId="44639" xr:uid="{00000000-0005-0000-0000-000067AE0000}"/>
    <cellStyle name="Normal 22 2 3 3 2 3 2" xfId="44640" xr:uid="{00000000-0005-0000-0000-000068AE0000}"/>
    <cellStyle name="Normal 22 2 3 3 2 4" xfId="44641" xr:uid="{00000000-0005-0000-0000-000069AE0000}"/>
    <cellStyle name="Normal 22 2 3 3 3" xfId="44642" xr:uid="{00000000-0005-0000-0000-00006AAE0000}"/>
    <cellStyle name="Normal 22 2 3 3 3 2" xfId="44643" xr:uid="{00000000-0005-0000-0000-00006BAE0000}"/>
    <cellStyle name="Normal 22 2 3 3 3 2 2" xfId="44644" xr:uid="{00000000-0005-0000-0000-00006CAE0000}"/>
    <cellStyle name="Normal 22 2 3 3 3 2 2 2" xfId="44645" xr:uid="{00000000-0005-0000-0000-00006DAE0000}"/>
    <cellStyle name="Normal 22 2 3 3 3 2 3" xfId="44646" xr:uid="{00000000-0005-0000-0000-00006EAE0000}"/>
    <cellStyle name="Normal 22 2 3 3 3 3" xfId="44647" xr:uid="{00000000-0005-0000-0000-00006FAE0000}"/>
    <cellStyle name="Normal 22 2 3 3 3 3 2" xfId="44648" xr:uid="{00000000-0005-0000-0000-000070AE0000}"/>
    <cellStyle name="Normal 22 2 3 3 3 4" xfId="44649" xr:uid="{00000000-0005-0000-0000-000071AE0000}"/>
    <cellStyle name="Normal 22 2 3 3 4" xfId="44650" xr:uid="{00000000-0005-0000-0000-000072AE0000}"/>
    <cellStyle name="Normal 22 2 3 3 4 2" xfId="44651" xr:uid="{00000000-0005-0000-0000-000073AE0000}"/>
    <cellStyle name="Normal 22 2 3 3 4 2 2" xfId="44652" xr:uid="{00000000-0005-0000-0000-000074AE0000}"/>
    <cellStyle name="Normal 22 2 3 3 4 3" xfId="44653" xr:uid="{00000000-0005-0000-0000-000075AE0000}"/>
    <cellStyle name="Normal 22 2 3 3 5" xfId="44654" xr:uid="{00000000-0005-0000-0000-000076AE0000}"/>
    <cellStyle name="Normal 22 2 3 3 5 2" xfId="44655" xr:uid="{00000000-0005-0000-0000-000077AE0000}"/>
    <cellStyle name="Normal 22 2 3 3 6" xfId="44656" xr:uid="{00000000-0005-0000-0000-000078AE0000}"/>
    <cellStyle name="Normal 22 2 3 3 7" xfId="44657" xr:uid="{00000000-0005-0000-0000-000079AE0000}"/>
    <cellStyle name="Normal 22 2 3 3 8" xfId="44658" xr:uid="{00000000-0005-0000-0000-00007AAE0000}"/>
    <cellStyle name="Normal 22 2 3 3 9" xfId="44659" xr:uid="{00000000-0005-0000-0000-00007BAE0000}"/>
    <cellStyle name="Normal 22 2 3 4" xfId="44660" xr:uid="{00000000-0005-0000-0000-00007CAE0000}"/>
    <cellStyle name="Normal 22 2 3 4 2" xfId="44661" xr:uid="{00000000-0005-0000-0000-00007DAE0000}"/>
    <cellStyle name="Normal 22 2 3 4 2 2" xfId="44662" xr:uid="{00000000-0005-0000-0000-00007EAE0000}"/>
    <cellStyle name="Normal 22 2 3 4 2 2 2" xfId="44663" xr:uid="{00000000-0005-0000-0000-00007FAE0000}"/>
    <cellStyle name="Normal 22 2 3 4 2 3" xfId="44664" xr:uid="{00000000-0005-0000-0000-000080AE0000}"/>
    <cellStyle name="Normal 22 2 3 4 3" xfId="44665" xr:uid="{00000000-0005-0000-0000-000081AE0000}"/>
    <cellStyle name="Normal 22 2 3 4 3 2" xfId="44666" xr:uid="{00000000-0005-0000-0000-000082AE0000}"/>
    <cellStyle name="Normal 22 2 3 4 4" xfId="44667" xr:uid="{00000000-0005-0000-0000-000083AE0000}"/>
    <cellStyle name="Normal 22 2 3 5" xfId="44668" xr:uid="{00000000-0005-0000-0000-000084AE0000}"/>
    <cellStyle name="Normal 22 2 3 5 2" xfId="44669" xr:uid="{00000000-0005-0000-0000-000085AE0000}"/>
    <cellStyle name="Normal 22 2 3 5 2 2" xfId="44670" xr:uid="{00000000-0005-0000-0000-000086AE0000}"/>
    <cellStyle name="Normal 22 2 3 5 2 2 2" xfId="44671" xr:uid="{00000000-0005-0000-0000-000087AE0000}"/>
    <cellStyle name="Normal 22 2 3 5 2 3" xfId="44672" xr:uid="{00000000-0005-0000-0000-000088AE0000}"/>
    <cellStyle name="Normal 22 2 3 5 3" xfId="44673" xr:uid="{00000000-0005-0000-0000-000089AE0000}"/>
    <cellStyle name="Normal 22 2 3 5 3 2" xfId="44674" xr:uid="{00000000-0005-0000-0000-00008AAE0000}"/>
    <cellStyle name="Normal 22 2 3 5 4" xfId="44675" xr:uid="{00000000-0005-0000-0000-00008BAE0000}"/>
    <cellStyle name="Normal 22 2 3 6" xfId="44676" xr:uid="{00000000-0005-0000-0000-00008CAE0000}"/>
    <cellStyle name="Normal 22 2 3 6 2" xfId="44677" xr:uid="{00000000-0005-0000-0000-00008DAE0000}"/>
    <cellStyle name="Normal 22 2 3 6 2 2" xfId="44678" xr:uid="{00000000-0005-0000-0000-00008EAE0000}"/>
    <cellStyle name="Normal 22 2 3 6 3" xfId="44679" xr:uid="{00000000-0005-0000-0000-00008FAE0000}"/>
    <cellStyle name="Normal 22 2 3 7" xfId="44680" xr:uid="{00000000-0005-0000-0000-000090AE0000}"/>
    <cellStyle name="Normal 22 2 3 7 2" xfId="44681" xr:uid="{00000000-0005-0000-0000-000091AE0000}"/>
    <cellStyle name="Normal 22 2 3 8" xfId="44682" xr:uid="{00000000-0005-0000-0000-000092AE0000}"/>
    <cellStyle name="Normal 22 2 3 8 2" xfId="44683" xr:uid="{00000000-0005-0000-0000-000093AE0000}"/>
    <cellStyle name="Normal 22 2 3 9" xfId="44684" xr:uid="{00000000-0005-0000-0000-000094AE0000}"/>
    <cellStyle name="Normal 22 2 4" xfId="44685" xr:uid="{00000000-0005-0000-0000-000095AE0000}"/>
    <cellStyle name="Normal 22 2 4 10" xfId="44686" xr:uid="{00000000-0005-0000-0000-000096AE0000}"/>
    <cellStyle name="Normal 22 2 4 11" xfId="44687" xr:uid="{00000000-0005-0000-0000-000097AE0000}"/>
    <cellStyle name="Normal 22 2 4 12" xfId="44688" xr:uid="{00000000-0005-0000-0000-000098AE0000}"/>
    <cellStyle name="Normal 22 2 4 13" xfId="44689" xr:uid="{00000000-0005-0000-0000-000099AE0000}"/>
    <cellStyle name="Normal 22 2 4 2" xfId="44690" xr:uid="{00000000-0005-0000-0000-00009AAE0000}"/>
    <cellStyle name="Normal 22 2 4 2 10" xfId="44691" xr:uid="{00000000-0005-0000-0000-00009BAE0000}"/>
    <cellStyle name="Normal 22 2 4 2 11" xfId="44692" xr:uid="{00000000-0005-0000-0000-00009CAE0000}"/>
    <cellStyle name="Normal 22 2 4 2 12" xfId="44693" xr:uid="{00000000-0005-0000-0000-00009DAE0000}"/>
    <cellStyle name="Normal 22 2 4 2 13" xfId="44694" xr:uid="{00000000-0005-0000-0000-00009EAE0000}"/>
    <cellStyle name="Normal 22 2 4 2 2" xfId="44695" xr:uid="{00000000-0005-0000-0000-00009FAE0000}"/>
    <cellStyle name="Normal 22 2 4 2 2 2" xfId="44696" xr:uid="{00000000-0005-0000-0000-0000A0AE0000}"/>
    <cellStyle name="Normal 22 2 4 2 2 2 2" xfId="44697" xr:uid="{00000000-0005-0000-0000-0000A1AE0000}"/>
    <cellStyle name="Normal 22 2 4 2 2 2 2 2" xfId="44698" xr:uid="{00000000-0005-0000-0000-0000A2AE0000}"/>
    <cellStyle name="Normal 22 2 4 2 2 2 2 2 2" xfId="44699" xr:uid="{00000000-0005-0000-0000-0000A3AE0000}"/>
    <cellStyle name="Normal 22 2 4 2 2 2 2 3" xfId="44700" xr:uid="{00000000-0005-0000-0000-0000A4AE0000}"/>
    <cellStyle name="Normal 22 2 4 2 2 2 3" xfId="44701" xr:uid="{00000000-0005-0000-0000-0000A5AE0000}"/>
    <cellStyle name="Normal 22 2 4 2 2 2 3 2" xfId="44702" xr:uid="{00000000-0005-0000-0000-0000A6AE0000}"/>
    <cellStyle name="Normal 22 2 4 2 2 2 4" xfId="44703" xr:uid="{00000000-0005-0000-0000-0000A7AE0000}"/>
    <cellStyle name="Normal 22 2 4 2 2 3" xfId="44704" xr:uid="{00000000-0005-0000-0000-0000A8AE0000}"/>
    <cellStyle name="Normal 22 2 4 2 2 3 2" xfId="44705" xr:uid="{00000000-0005-0000-0000-0000A9AE0000}"/>
    <cellStyle name="Normal 22 2 4 2 2 3 2 2" xfId="44706" xr:uid="{00000000-0005-0000-0000-0000AAAE0000}"/>
    <cellStyle name="Normal 22 2 4 2 2 3 3" xfId="44707" xr:uid="{00000000-0005-0000-0000-0000ABAE0000}"/>
    <cellStyle name="Normal 22 2 4 2 2 4" xfId="44708" xr:uid="{00000000-0005-0000-0000-0000ACAE0000}"/>
    <cellStyle name="Normal 22 2 4 2 2 4 2" xfId="44709" xr:uid="{00000000-0005-0000-0000-0000ADAE0000}"/>
    <cellStyle name="Normal 22 2 4 2 2 5" xfId="44710" xr:uid="{00000000-0005-0000-0000-0000AEAE0000}"/>
    <cellStyle name="Normal 22 2 4 2 2 6" xfId="44711" xr:uid="{00000000-0005-0000-0000-0000AFAE0000}"/>
    <cellStyle name="Normal 22 2 4 2 3" xfId="44712" xr:uid="{00000000-0005-0000-0000-0000B0AE0000}"/>
    <cellStyle name="Normal 22 2 4 2 3 2" xfId="44713" xr:uid="{00000000-0005-0000-0000-0000B1AE0000}"/>
    <cellStyle name="Normal 22 2 4 2 3 2 2" xfId="44714" xr:uid="{00000000-0005-0000-0000-0000B2AE0000}"/>
    <cellStyle name="Normal 22 2 4 2 3 2 2 2" xfId="44715" xr:uid="{00000000-0005-0000-0000-0000B3AE0000}"/>
    <cellStyle name="Normal 22 2 4 2 3 2 3" xfId="44716" xr:uid="{00000000-0005-0000-0000-0000B4AE0000}"/>
    <cellStyle name="Normal 22 2 4 2 3 3" xfId="44717" xr:uid="{00000000-0005-0000-0000-0000B5AE0000}"/>
    <cellStyle name="Normal 22 2 4 2 3 3 2" xfId="44718" xr:uid="{00000000-0005-0000-0000-0000B6AE0000}"/>
    <cellStyle name="Normal 22 2 4 2 3 4" xfId="44719" xr:uid="{00000000-0005-0000-0000-0000B7AE0000}"/>
    <cellStyle name="Normal 22 2 4 2 4" xfId="44720" xr:uid="{00000000-0005-0000-0000-0000B8AE0000}"/>
    <cellStyle name="Normal 22 2 4 2 4 2" xfId="44721" xr:uid="{00000000-0005-0000-0000-0000B9AE0000}"/>
    <cellStyle name="Normal 22 2 4 2 4 2 2" xfId="44722" xr:uid="{00000000-0005-0000-0000-0000BAAE0000}"/>
    <cellStyle name="Normal 22 2 4 2 4 2 2 2" xfId="44723" xr:uid="{00000000-0005-0000-0000-0000BBAE0000}"/>
    <cellStyle name="Normal 22 2 4 2 4 2 3" xfId="44724" xr:uid="{00000000-0005-0000-0000-0000BCAE0000}"/>
    <cellStyle name="Normal 22 2 4 2 4 3" xfId="44725" xr:uid="{00000000-0005-0000-0000-0000BDAE0000}"/>
    <cellStyle name="Normal 22 2 4 2 4 3 2" xfId="44726" xr:uid="{00000000-0005-0000-0000-0000BEAE0000}"/>
    <cellStyle name="Normal 22 2 4 2 4 4" xfId="44727" xr:uid="{00000000-0005-0000-0000-0000BFAE0000}"/>
    <cellStyle name="Normal 22 2 4 2 5" xfId="44728" xr:uid="{00000000-0005-0000-0000-0000C0AE0000}"/>
    <cellStyle name="Normal 22 2 4 2 5 2" xfId="44729" xr:uid="{00000000-0005-0000-0000-0000C1AE0000}"/>
    <cellStyle name="Normal 22 2 4 2 5 2 2" xfId="44730" xr:uid="{00000000-0005-0000-0000-0000C2AE0000}"/>
    <cellStyle name="Normal 22 2 4 2 5 2 2 2" xfId="44731" xr:uid="{00000000-0005-0000-0000-0000C3AE0000}"/>
    <cellStyle name="Normal 22 2 4 2 5 2 3" xfId="44732" xr:uid="{00000000-0005-0000-0000-0000C4AE0000}"/>
    <cellStyle name="Normal 22 2 4 2 5 3" xfId="44733" xr:uid="{00000000-0005-0000-0000-0000C5AE0000}"/>
    <cellStyle name="Normal 22 2 4 2 5 3 2" xfId="44734" xr:uid="{00000000-0005-0000-0000-0000C6AE0000}"/>
    <cellStyle name="Normal 22 2 4 2 5 4" xfId="44735" xr:uid="{00000000-0005-0000-0000-0000C7AE0000}"/>
    <cellStyle name="Normal 22 2 4 2 6" xfId="44736" xr:uid="{00000000-0005-0000-0000-0000C8AE0000}"/>
    <cellStyle name="Normal 22 2 4 2 6 2" xfId="44737" xr:uid="{00000000-0005-0000-0000-0000C9AE0000}"/>
    <cellStyle name="Normal 22 2 4 2 6 2 2" xfId="44738" xr:uid="{00000000-0005-0000-0000-0000CAAE0000}"/>
    <cellStyle name="Normal 22 2 4 2 6 2 2 2" xfId="44739" xr:uid="{00000000-0005-0000-0000-0000CBAE0000}"/>
    <cellStyle name="Normal 22 2 4 2 6 2 3" xfId="44740" xr:uid="{00000000-0005-0000-0000-0000CCAE0000}"/>
    <cellStyle name="Normal 22 2 4 2 6 3" xfId="44741" xr:uid="{00000000-0005-0000-0000-0000CDAE0000}"/>
    <cellStyle name="Normal 22 2 4 2 6 3 2" xfId="44742" xr:uid="{00000000-0005-0000-0000-0000CEAE0000}"/>
    <cellStyle name="Normal 22 2 4 2 6 4" xfId="44743" xr:uid="{00000000-0005-0000-0000-0000CFAE0000}"/>
    <cellStyle name="Normal 22 2 4 2 7" xfId="44744" xr:uid="{00000000-0005-0000-0000-0000D0AE0000}"/>
    <cellStyle name="Normal 22 2 4 2 7 2" xfId="44745" xr:uid="{00000000-0005-0000-0000-0000D1AE0000}"/>
    <cellStyle name="Normal 22 2 4 2 7 2 2" xfId="44746" xr:uid="{00000000-0005-0000-0000-0000D2AE0000}"/>
    <cellStyle name="Normal 22 2 4 2 7 3" xfId="44747" xr:uid="{00000000-0005-0000-0000-0000D3AE0000}"/>
    <cellStyle name="Normal 22 2 4 2 8" xfId="44748" xr:uid="{00000000-0005-0000-0000-0000D4AE0000}"/>
    <cellStyle name="Normal 22 2 4 2 8 2" xfId="44749" xr:uid="{00000000-0005-0000-0000-0000D5AE0000}"/>
    <cellStyle name="Normal 22 2 4 2 9" xfId="44750" xr:uid="{00000000-0005-0000-0000-0000D6AE0000}"/>
    <cellStyle name="Normal 22 2 4 2 9 2" xfId="44751" xr:uid="{00000000-0005-0000-0000-0000D7AE0000}"/>
    <cellStyle name="Normal 22 2 4 3" xfId="44752" xr:uid="{00000000-0005-0000-0000-0000D8AE0000}"/>
    <cellStyle name="Normal 22 2 4 3 2" xfId="44753" xr:uid="{00000000-0005-0000-0000-0000D9AE0000}"/>
    <cellStyle name="Normal 22 2 4 3 2 2" xfId="44754" xr:uid="{00000000-0005-0000-0000-0000DAAE0000}"/>
    <cellStyle name="Normal 22 2 4 3 2 2 2" xfId="44755" xr:uid="{00000000-0005-0000-0000-0000DBAE0000}"/>
    <cellStyle name="Normal 22 2 4 3 2 2 2 2" xfId="44756" xr:uid="{00000000-0005-0000-0000-0000DCAE0000}"/>
    <cellStyle name="Normal 22 2 4 3 2 2 2 2 2" xfId="44757" xr:uid="{00000000-0005-0000-0000-0000DDAE0000}"/>
    <cellStyle name="Normal 22 2 4 3 2 2 2 3" xfId="44758" xr:uid="{00000000-0005-0000-0000-0000DEAE0000}"/>
    <cellStyle name="Normal 22 2 4 3 2 2 3" xfId="44759" xr:uid="{00000000-0005-0000-0000-0000DFAE0000}"/>
    <cellStyle name="Normal 22 2 4 3 2 2 3 2" xfId="44760" xr:uid="{00000000-0005-0000-0000-0000E0AE0000}"/>
    <cellStyle name="Normal 22 2 4 3 2 2 4" xfId="44761" xr:uid="{00000000-0005-0000-0000-0000E1AE0000}"/>
    <cellStyle name="Normal 22 2 4 3 2 3" xfId="44762" xr:uid="{00000000-0005-0000-0000-0000E2AE0000}"/>
    <cellStyle name="Normal 22 2 4 3 2 3 2" xfId="44763" xr:uid="{00000000-0005-0000-0000-0000E3AE0000}"/>
    <cellStyle name="Normal 22 2 4 3 2 3 2 2" xfId="44764" xr:uid="{00000000-0005-0000-0000-0000E4AE0000}"/>
    <cellStyle name="Normal 22 2 4 3 2 3 3" xfId="44765" xr:uid="{00000000-0005-0000-0000-0000E5AE0000}"/>
    <cellStyle name="Normal 22 2 4 3 2 4" xfId="44766" xr:uid="{00000000-0005-0000-0000-0000E6AE0000}"/>
    <cellStyle name="Normal 22 2 4 3 2 4 2" xfId="44767" xr:uid="{00000000-0005-0000-0000-0000E7AE0000}"/>
    <cellStyle name="Normal 22 2 4 3 2 5" xfId="44768" xr:uid="{00000000-0005-0000-0000-0000E8AE0000}"/>
    <cellStyle name="Normal 22 2 4 3 2 6" xfId="44769" xr:uid="{00000000-0005-0000-0000-0000E9AE0000}"/>
    <cellStyle name="Normal 22 2 4 3 3" xfId="44770" xr:uid="{00000000-0005-0000-0000-0000EAAE0000}"/>
    <cellStyle name="Normal 22 2 4 3 3 2" xfId="44771" xr:uid="{00000000-0005-0000-0000-0000EBAE0000}"/>
    <cellStyle name="Normal 22 2 4 3 3 2 2" xfId="44772" xr:uid="{00000000-0005-0000-0000-0000ECAE0000}"/>
    <cellStyle name="Normal 22 2 4 3 3 2 2 2" xfId="44773" xr:uid="{00000000-0005-0000-0000-0000EDAE0000}"/>
    <cellStyle name="Normal 22 2 4 3 3 2 3" xfId="44774" xr:uid="{00000000-0005-0000-0000-0000EEAE0000}"/>
    <cellStyle name="Normal 22 2 4 3 3 3" xfId="44775" xr:uid="{00000000-0005-0000-0000-0000EFAE0000}"/>
    <cellStyle name="Normal 22 2 4 3 3 3 2" xfId="44776" xr:uid="{00000000-0005-0000-0000-0000F0AE0000}"/>
    <cellStyle name="Normal 22 2 4 3 3 4" xfId="44777" xr:uid="{00000000-0005-0000-0000-0000F1AE0000}"/>
    <cellStyle name="Normal 22 2 4 3 4" xfId="44778" xr:uid="{00000000-0005-0000-0000-0000F2AE0000}"/>
    <cellStyle name="Normal 22 2 4 3 4 2" xfId="44779" xr:uid="{00000000-0005-0000-0000-0000F3AE0000}"/>
    <cellStyle name="Normal 22 2 4 3 4 2 2" xfId="44780" xr:uid="{00000000-0005-0000-0000-0000F4AE0000}"/>
    <cellStyle name="Normal 22 2 4 3 4 2 2 2" xfId="44781" xr:uid="{00000000-0005-0000-0000-0000F5AE0000}"/>
    <cellStyle name="Normal 22 2 4 3 4 2 3" xfId="44782" xr:uid="{00000000-0005-0000-0000-0000F6AE0000}"/>
    <cellStyle name="Normal 22 2 4 3 4 3" xfId="44783" xr:uid="{00000000-0005-0000-0000-0000F7AE0000}"/>
    <cellStyle name="Normal 22 2 4 3 4 3 2" xfId="44784" xr:uid="{00000000-0005-0000-0000-0000F8AE0000}"/>
    <cellStyle name="Normal 22 2 4 3 4 4" xfId="44785" xr:uid="{00000000-0005-0000-0000-0000F9AE0000}"/>
    <cellStyle name="Normal 22 2 4 3 5" xfId="44786" xr:uid="{00000000-0005-0000-0000-0000FAAE0000}"/>
    <cellStyle name="Normal 22 2 4 3 5 2" xfId="44787" xr:uid="{00000000-0005-0000-0000-0000FBAE0000}"/>
    <cellStyle name="Normal 22 2 4 3 5 2 2" xfId="44788" xr:uid="{00000000-0005-0000-0000-0000FCAE0000}"/>
    <cellStyle name="Normal 22 2 4 3 5 3" xfId="44789" xr:uid="{00000000-0005-0000-0000-0000FDAE0000}"/>
    <cellStyle name="Normal 22 2 4 3 6" xfId="44790" xr:uid="{00000000-0005-0000-0000-0000FEAE0000}"/>
    <cellStyle name="Normal 22 2 4 3 6 2" xfId="44791" xr:uid="{00000000-0005-0000-0000-0000FFAE0000}"/>
    <cellStyle name="Normal 22 2 4 3 7" xfId="44792" xr:uid="{00000000-0005-0000-0000-000000AF0000}"/>
    <cellStyle name="Normal 22 2 4 3 7 2" xfId="44793" xr:uid="{00000000-0005-0000-0000-000001AF0000}"/>
    <cellStyle name="Normal 22 2 4 3 8" xfId="44794" xr:uid="{00000000-0005-0000-0000-000002AF0000}"/>
    <cellStyle name="Normal 22 2 4 3 9" xfId="44795" xr:uid="{00000000-0005-0000-0000-000003AF0000}"/>
    <cellStyle name="Normal 22 2 4 4" xfId="44796" xr:uid="{00000000-0005-0000-0000-000004AF0000}"/>
    <cellStyle name="Normal 22 2 4 4 2" xfId="44797" xr:uid="{00000000-0005-0000-0000-000005AF0000}"/>
    <cellStyle name="Normal 22 2 4 4 2 2" xfId="44798" xr:uid="{00000000-0005-0000-0000-000006AF0000}"/>
    <cellStyle name="Normal 22 2 4 4 2 2 2" xfId="44799" xr:uid="{00000000-0005-0000-0000-000007AF0000}"/>
    <cellStyle name="Normal 22 2 4 4 2 2 2 2" xfId="44800" xr:uid="{00000000-0005-0000-0000-000008AF0000}"/>
    <cellStyle name="Normal 22 2 4 4 2 2 3" xfId="44801" xr:uid="{00000000-0005-0000-0000-000009AF0000}"/>
    <cellStyle name="Normal 22 2 4 4 2 3" xfId="44802" xr:uid="{00000000-0005-0000-0000-00000AAF0000}"/>
    <cellStyle name="Normal 22 2 4 4 2 3 2" xfId="44803" xr:uid="{00000000-0005-0000-0000-00000BAF0000}"/>
    <cellStyle name="Normal 22 2 4 4 2 4" xfId="44804" xr:uid="{00000000-0005-0000-0000-00000CAF0000}"/>
    <cellStyle name="Normal 22 2 4 4 3" xfId="44805" xr:uid="{00000000-0005-0000-0000-00000DAF0000}"/>
    <cellStyle name="Normal 22 2 4 4 3 2" xfId="44806" xr:uid="{00000000-0005-0000-0000-00000EAF0000}"/>
    <cellStyle name="Normal 22 2 4 4 3 2 2" xfId="44807" xr:uid="{00000000-0005-0000-0000-00000FAF0000}"/>
    <cellStyle name="Normal 22 2 4 4 3 3" xfId="44808" xr:uid="{00000000-0005-0000-0000-000010AF0000}"/>
    <cellStyle name="Normal 22 2 4 4 4" xfId="44809" xr:uid="{00000000-0005-0000-0000-000011AF0000}"/>
    <cellStyle name="Normal 22 2 4 4 4 2" xfId="44810" xr:uid="{00000000-0005-0000-0000-000012AF0000}"/>
    <cellStyle name="Normal 22 2 4 4 5" xfId="44811" xr:uid="{00000000-0005-0000-0000-000013AF0000}"/>
    <cellStyle name="Normal 22 2 4 4 6" xfId="44812" xr:uid="{00000000-0005-0000-0000-000014AF0000}"/>
    <cellStyle name="Normal 22 2 4 5" xfId="44813" xr:uid="{00000000-0005-0000-0000-000015AF0000}"/>
    <cellStyle name="Normal 22 2 4 5 2" xfId="44814" xr:uid="{00000000-0005-0000-0000-000016AF0000}"/>
    <cellStyle name="Normal 22 2 4 5 2 2" xfId="44815" xr:uid="{00000000-0005-0000-0000-000017AF0000}"/>
    <cellStyle name="Normal 22 2 4 5 2 2 2" xfId="44816" xr:uid="{00000000-0005-0000-0000-000018AF0000}"/>
    <cellStyle name="Normal 22 2 4 5 2 3" xfId="44817" xr:uid="{00000000-0005-0000-0000-000019AF0000}"/>
    <cellStyle name="Normal 22 2 4 5 3" xfId="44818" xr:uid="{00000000-0005-0000-0000-00001AAF0000}"/>
    <cellStyle name="Normal 22 2 4 5 3 2" xfId="44819" xr:uid="{00000000-0005-0000-0000-00001BAF0000}"/>
    <cellStyle name="Normal 22 2 4 5 4" xfId="44820" xr:uid="{00000000-0005-0000-0000-00001CAF0000}"/>
    <cellStyle name="Normal 22 2 4 6" xfId="44821" xr:uid="{00000000-0005-0000-0000-00001DAF0000}"/>
    <cellStyle name="Normal 22 2 4 6 2" xfId="44822" xr:uid="{00000000-0005-0000-0000-00001EAF0000}"/>
    <cellStyle name="Normal 22 2 4 6 2 2" xfId="44823" xr:uid="{00000000-0005-0000-0000-00001FAF0000}"/>
    <cellStyle name="Normal 22 2 4 6 2 2 2" xfId="44824" xr:uid="{00000000-0005-0000-0000-000020AF0000}"/>
    <cellStyle name="Normal 22 2 4 6 2 3" xfId="44825" xr:uid="{00000000-0005-0000-0000-000021AF0000}"/>
    <cellStyle name="Normal 22 2 4 6 3" xfId="44826" xr:uid="{00000000-0005-0000-0000-000022AF0000}"/>
    <cellStyle name="Normal 22 2 4 6 3 2" xfId="44827" xr:uid="{00000000-0005-0000-0000-000023AF0000}"/>
    <cellStyle name="Normal 22 2 4 6 4" xfId="44828" xr:uid="{00000000-0005-0000-0000-000024AF0000}"/>
    <cellStyle name="Normal 22 2 4 7" xfId="44829" xr:uid="{00000000-0005-0000-0000-000025AF0000}"/>
    <cellStyle name="Normal 22 2 4 7 2" xfId="44830" xr:uid="{00000000-0005-0000-0000-000026AF0000}"/>
    <cellStyle name="Normal 22 2 4 7 2 2" xfId="44831" xr:uid="{00000000-0005-0000-0000-000027AF0000}"/>
    <cellStyle name="Normal 22 2 4 7 3" xfId="44832" xr:uid="{00000000-0005-0000-0000-000028AF0000}"/>
    <cellStyle name="Normal 22 2 4 8" xfId="44833" xr:uid="{00000000-0005-0000-0000-000029AF0000}"/>
    <cellStyle name="Normal 22 2 4 8 2" xfId="44834" xr:uid="{00000000-0005-0000-0000-00002AAF0000}"/>
    <cellStyle name="Normal 22 2 4 9" xfId="44835" xr:uid="{00000000-0005-0000-0000-00002BAF0000}"/>
    <cellStyle name="Normal 22 2 4 9 2" xfId="44836" xr:uid="{00000000-0005-0000-0000-00002CAF0000}"/>
    <cellStyle name="Normal 22 2 5" xfId="44837" xr:uid="{00000000-0005-0000-0000-00002DAF0000}"/>
    <cellStyle name="Normal 22 2 5 10" xfId="44838" xr:uid="{00000000-0005-0000-0000-00002EAF0000}"/>
    <cellStyle name="Normal 22 2 5 11" xfId="44839" xr:uid="{00000000-0005-0000-0000-00002FAF0000}"/>
    <cellStyle name="Normal 22 2 5 2" xfId="44840" xr:uid="{00000000-0005-0000-0000-000030AF0000}"/>
    <cellStyle name="Normal 22 2 5 2 2" xfId="44841" xr:uid="{00000000-0005-0000-0000-000031AF0000}"/>
    <cellStyle name="Normal 22 2 5 2 2 2" xfId="44842" xr:uid="{00000000-0005-0000-0000-000032AF0000}"/>
    <cellStyle name="Normal 22 2 5 2 2 2 2" xfId="44843" xr:uid="{00000000-0005-0000-0000-000033AF0000}"/>
    <cellStyle name="Normal 22 2 5 2 2 2 2 2" xfId="44844" xr:uid="{00000000-0005-0000-0000-000034AF0000}"/>
    <cellStyle name="Normal 22 2 5 2 2 2 3" xfId="44845" xr:uid="{00000000-0005-0000-0000-000035AF0000}"/>
    <cellStyle name="Normal 22 2 5 2 2 3" xfId="44846" xr:uid="{00000000-0005-0000-0000-000036AF0000}"/>
    <cellStyle name="Normal 22 2 5 2 2 3 2" xfId="44847" xr:uid="{00000000-0005-0000-0000-000037AF0000}"/>
    <cellStyle name="Normal 22 2 5 2 2 4" xfId="44848" xr:uid="{00000000-0005-0000-0000-000038AF0000}"/>
    <cellStyle name="Normal 22 2 5 2 3" xfId="44849" xr:uid="{00000000-0005-0000-0000-000039AF0000}"/>
    <cellStyle name="Normal 22 2 5 2 3 2" xfId="44850" xr:uid="{00000000-0005-0000-0000-00003AAF0000}"/>
    <cellStyle name="Normal 22 2 5 2 3 2 2" xfId="44851" xr:uid="{00000000-0005-0000-0000-00003BAF0000}"/>
    <cellStyle name="Normal 22 2 5 2 3 3" xfId="44852" xr:uid="{00000000-0005-0000-0000-00003CAF0000}"/>
    <cellStyle name="Normal 22 2 5 2 4" xfId="44853" xr:uid="{00000000-0005-0000-0000-00003DAF0000}"/>
    <cellStyle name="Normal 22 2 5 2 4 2" xfId="44854" xr:uid="{00000000-0005-0000-0000-00003EAF0000}"/>
    <cellStyle name="Normal 22 2 5 2 5" xfId="44855" xr:uid="{00000000-0005-0000-0000-00003FAF0000}"/>
    <cellStyle name="Normal 22 2 5 2 6" xfId="44856" xr:uid="{00000000-0005-0000-0000-000040AF0000}"/>
    <cellStyle name="Normal 22 2 5 3" xfId="44857" xr:uid="{00000000-0005-0000-0000-000041AF0000}"/>
    <cellStyle name="Normal 22 2 5 3 2" xfId="44858" xr:uid="{00000000-0005-0000-0000-000042AF0000}"/>
    <cellStyle name="Normal 22 2 5 3 2 2" xfId="44859" xr:uid="{00000000-0005-0000-0000-000043AF0000}"/>
    <cellStyle name="Normal 22 2 5 3 2 2 2" xfId="44860" xr:uid="{00000000-0005-0000-0000-000044AF0000}"/>
    <cellStyle name="Normal 22 2 5 3 2 3" xfId="44861" xr:uid="{00000000-0005-0000-0000-000045AF0000}"/>
    <cellStyle name="Normal 22 2 5 3 3" xfId="44862" xr:uid="{00000000-0005-0000-0000-000046AF0000}"/>
    <cellStyle name="Normal 22 2 5 3 3 2" xfId="44863" xr:uid="{00000000-0005-0000-0000-000047AF0000}"/>
    <cellStyle name="Normal 22 2 5 3 4" xfId="44864" xr:uid="{00000000-0005-0000-0000-000048AF0000}"/>
    <cellStyle name="Normal 22 2 5 4" xfId="44865" xr:uid="{00000000-0005-0000-0000-000049AF0000}"/>
    <cellStyle name="Normal 22 2 5 4 2" xfId="44866" xr:uid="{00000000-0005-0000-0000-00004AAF0000}"/>
    <cellStyle name="Normal 22 2 5 4 2 2" xfId="44867" xr:uid="{00000000-0005-0000-0000-00004BAF0000}"/>
    <cellStyle name="Normal 22 2 5 4 2 2 2" xfId="44868" xr:uid="{00000000-0005-0000-0000-00004CAF0000}"/>
    <cellStyle name="Normal 22 2 5 4 2 3" xfId="44869" xr:uid="{00000000-0005-0000-0000-00004DAF0000}"/>
    <cellStyle name="Normal 22 2 5 4 3" xfId="44870" xr:uid="{00000000-0005-0000-0000-00004EAF0000}"/>
    <cellStyle name="Normal 22 2 5 4 3 2" xfId="44871" xr:uid="{00000000-0005-0000-0000-00004FAF0000}"/>
    <cellStyle name="Normal 22 2 5 4 4" xfId="44872" xr:uid="{00000000-0005-0000-0000-000050AF0000}"/>
    <cellStyle name="Normal 22 2 5 5" xfId="44873" xr:uid="{00000000-0005-0000-0000-000051AF0000}"/>
    <cellStyle name="Normal 22 2 5 5 2" xfId="44874" xr:uid="{00000000-0005-0000-0000-000052AF0000}"/>
    <cellStyle name="Normal 22 2 5 5 2 2" xfId="44875" xr:uid="{00000000-0005-0000-0000-000053AF0000}"/>
    <cellStyle name="Normal 22 2 5 5 3" xfId="44876" xr:uid="{00000000-0005-0000-0000-000054AF0000}"/>
    <cellStyle name="Normal 22 2 5 6" xfId="44877" xr:uid="{00000000-0005-0000-0000-000055AF0000}"/>
    <cellStyle name="Normal 22 2 5 6 2" xfId="44878" xr:uid="{00000000-0005-0000-0000-000056AF0000}"/>
    <cellStyle name="Normal 22 2 5 7" xfId="44879" xr:uid="{00000000-0005-0000-0000-000057AF0000}"/>
    <cellStyle name="Normal 22 2 5 7 2" xfId="44880" xr:uid="{00000000-0005-0000-0000-000058AF0000}"/>
    <cellStyle name="Normal 22 2 5 8" xfId="44881" xr:uid="{00000000-0005-0000-0000-000059AF0000}"/>
    <cellStyle name="Normal 22 2 5 9" xfId="44882" xr:uid="{00000000-0005-0000-0000-00005AAF0000}"/>
    <cellStyle name="Normal 22 2 6" xfId="44883" xr:uid="{00000000-0005-0000-0000-00005BAF0000}"/>
    <cellStyle name="Normal 22 2 6 2" xfId="44884" xr:uid="{00000000-0005-0000-0000-00005CAF0000}"/>
    <cellStyle name="Normal 22 2 6 2 2" xfId="44885" xr:uid="{00000000-0005-0000-0000-00005DAF0000}"/>
    <cellStyle name="Normal 22 2 6 2 2 2" xfId="44886" xr:uid="{00000000-0005-0000-0000-00005EAF0000}"/>
    <cellStyle name="Normal 22 2 6 2 2 2 2" xfId="44887" xr:uid="{00000000-0005-0000-0000-00005FAF0000}"/>
    <cellStyle name="Normal 22 2 6 2 2 3" xfId="44888" xr:uid="{00000000-0005-0000-0000-000060AF0000}"/>
    <cellStyle name="Normal 22 2 6 2 3" xfId="44889" xr:uid="{00000000-0005-0000-0000-000061AF0000}"/>
    <cellStyle name="Normal 22 2 6 2 3 2" xfId="44890" xr:uid="{00000000-0005-0000-0000-000062AF0000}"/>
    <cellStyle name="Normal 22 2 6 2 4" xfId="44891" xr:uid="{00000000-0005-0000-0000-000063AF0000}"/>
    <cellStyle name="Normal 22 2 6 2 5" xfId="44892" xr:uid="{00000000-0005-0000-0000-000064AF0000}"/>
    <cellStyle name="Normal 22 2 6 3" xfId="44893" xr:uid="{00000000-0005-0000-0000-000065AF0000}"/>
    <cellStyle name="Normal 22 2 6 3 2" xfId="44894" xr:uid="{00000000-0005-0000-0000-000066AF0000}"/>
    <cellStyle name="Normal 22 2 6 3 2 2" xfId="44895" xr:uid="{00000000-0005-0000-0000-000067AF0000}"/>
    <cellStyle name="Normal 22 2 6 3 2 2 2" xfId="44896" xr:uid="{00000000-0005-0000-0000-000068AF0000}"/>
    <cellStyle name="Normal 22 2 6 3 2 3" xfId="44897" xr:uid="{00000000-0005-0000-0000-000069AF0000}"/>
    <cellStyle name="Normal 22 2 6 3 3" xfId="44898" xr:uid="{00000000-0005-0000-0000-00006AAF0000}"/>
    <cellStyle name="Normal 22 2 6 3 3 2" xfId="44899" xr:uid="{00000000-0005-0000-0000-00006BAF0000}"/>
    <cellStyle name="Normal 22 2 6 3 4" xfId="44900" xr:uid="{00000000-0005-0000-0000-00006CAF0000}"/>
    <cellStyle name="Normal 22 2 6 4" xfId="44901" xr:uid="{00000000-0005-0000-0000-00006DAF0000}"/>
    <cellStyle name="Normal 22 2 6 4 2" xfId="44902" xr:uid="{00000000-0005-0000-0000-00006EAF0000}"/>
    <cellStyle name="Normal 22 2 6 4 2 2" xfId="44903" xr:uid="{00000000-0005-0000-0000-00006FAF0000}"/>
    <cellStyle name="Normal 22 2 6 4 3" xfId="44904" xr:uid="{00000000-0005-0000-0000-000070AF0000}"/>
    <cellStyle name="Normal 22 2 6 5" xfId="44905" xr:uid="{00000000-0005-0000-0000-000071AF0000}"/>
    <cellStyle name="Normal 22 2 6 5 2" xfId="44906" xr:uid="{00000000-0005-0000-0000-000072AF0000}"/>
    <cellStyle name="Normal 22 2 6 6" xfId="44907" xr:uid="{00000000-0005-0000-0000-000073AF0000}"/>
    <cellStyle name="Normal 22 2 6 6 2" xfId="44908" xr:uid="{00000000-0005-0000-0000-000074AF0000}"/>
    <cellStyle name="Normal 22 2 6 7" xfId="44909" xr:uid="{00000000-0005-0000-0000-000075AF0000}"/>
    <cellStyle name="Normal 22 2 6 8" xfId="44910" xr:uid="{00000000-0005-0000-0000-000076AF0000}"/>
    <cellStyle name="Normal 22 2 7" xfId="44911" xr:uid="{00000000-0005-0000-0000-000077AF0000}"/>
    <cellStyle name="Normal 22 2 7 2" xfId="44912" xr:uid="{00000000-0005-0000-0000-000078AF0000}"/>
    <cellStyle name="Normal 22 2 7 2 2" xfId="44913" xr:uid="{00000000-0005-0000-0000-000079AF0000}"/>
    <cellStyle name="Normal 22 2 7 2 2 2" xfId="44914" xr:uid="{00000000-0005-0000-0000-00007AAF0000}"/>
    <cellStyle name="Normal 22 2 7 2 2 2 2" xfId="44915" xr:uid="{00000000-0005-0000-0000-00007BAF0000}"/>
    <cellStyle name="Normal 22 2 7 2 2 3" xfId="44916" xr:uid="{00000000-0005-0000-0000-00007CAF0000}"/>
    <cellStyle name="Normal 22 2 7 2 3" xfId="44917" xr:uid="{00000000-0005-0000-0000-00007DAF0000}"/>
    <cellStyle name="Normal 22 2 7 2 3 2" xfId="44918" xr:uid="{00000000-0005-0000-0000-00007EAF0000}"/>
    <cellStyle name="Normal 22 2 7 2 4" xfId="44919" xr:uid="{00000000-0005-0000-0000-00007FAF0000}"/>
    <cellStyle name="Normal 22 2 7 3" xfId="44920" xr:uid="{00000000-0005-0000-0000-000080AF0000}"/>
    <cellStyle name="Normal 22 2 7 3 2" xfId="44921" xr:uid="{00000000-0005-0000-0000-000081AF0000}"/>
    <cellStyle name="Normal 22 2 7 3 2 2" xfId="44922" xr:uid="{00000000-0005-0000-0000-000082AF0000}"/>
    <cellStyle name="Normal 22 2 7 3 3" xfId="44923" xr:uid="{00000000-0005-0000-0000-000083AF0000}"/>
    <cellStyle name="Normal 22 2 7 4" xfId="44924" xr:uid="{00000000-0005-0000-0000-000084AF0000}"/>
    <cellStyle name="Normal 22 2 7 4 2" xfId="44925" xr:uid="{00000000-0005-0000-0000-000085AF0000}"/>
    <cellStyle name="Normal 22 2 7 5" xfId="44926" xr:uid="{00000000-0005-0000-0000-000086AF0000}"/>
    <cellStyle name="Normal 22 2 7 6" xfId="44927" xr:uid="{00000000-0005-0000-0000-000087AF0000}"/>
    <cellStyle name="Normal 22 2 8" xfId="44928" xr:uid="{00000000-0005-0000-0000-000088AF0000}"/>
    <cellStyle name="Normal 22 2 8 2" xfId="44929" xr:uid="{00000000-0005-0000-0000-000089AF0000}"/>
    <cellStyle name="Normal 22 2 8 2 2" xfId="44930" xr:uid="{00000000-0005-0000-0000-00008AAF0000}"/>
    <cellStyle name="Normal 22 2 8 2 2 2" xfId="44931" xr:uid="{00000000-0005-0000-0000-00008BAF0000}"/>
    <cellStyle name="Normal 22 2 8 2 3" xfId="44932" xr:uid="{00000000-0005-0000-0000-00008CAF0000}"/>
    <cellStyle name="Normal 22 2 8 3" xfId="44933" xr:uid="{00000000-0005-0000-0000-00008DAF0000}"/>
    <cellStyle name="Normal 22 2 8 3 2" xfId="44934" xr:uid="{00000000-0005-0000-0000-00008EAF0000}"/>
    <cellStyle name="Normal 22 2 8 4" xfId="44935" xr:uid="{00000000-0005-0000-0000-00008FAF0000}"/>
    <cellStyle name="Normal 22 2 8 5" xfId="44936" xr:uid="{00000000-0005-0000-0000-000090AF0000}"/>
    <cellStyle name="Normal 22 2 9" xfId="44937" xr:uid="{00000000-0005-0000-0000-000091AF0000}"/>
    <cellStyle name="Normal 22 2 9 2" xfId="44938" xr:uid="{00000000-0005-0000-0000-000092AF0000}"/>
    <cellStyle name="Normal 22 2 9 2 2" xfId="44939" xr:uid="{00000000-0005-0000-0000-000093AF0000}"/>
    <cellStyle name="Normal 22 2 9 2 2 2" xfId="44940" xr:uid="{00000000-0005-0000-0000-000094AF0000}"/>
    <cellStyle name="Normal 22 2 9 2 3" xfId="44941" xr:uid="{00000000-0005-0000-0000-000095AF0000}"/>
    <cellStyle name="Normal 22 2 9 3" xfId="44942" xr:uid="{00000000-0005-0000-0000-000096AF0000}"/>
    <cellStyle name="Normal 22 2 9 3 2" xfId="44943" xr:uid="{00000000-0005-0000-0000-000097AF0000}"/>
    <cellStyle name="Normal 22 2 9 4" xfId="44944" xr:uid="{00000000-0005-0000-0000-000098AF0000}"/>
    <cellStyle name="Normal 22 3" xfId="44945" xr:uid="{00000000-0005-0000-0000-000099AF0000}"/>
    <cellStyle name="Normal 22 3 10" xfId="44946" xr:uid="{00000000-0005-0000-0000-00009AAF0000}"/>
    <cellStyle name="Normal 22 3 11" xfId="44947" xr:uid="{00000000-0005-0000-0000-00009BAF0000}"/>
    <cellStyle name="Normal 22 3 2" xfId="44948" xr:uid="{00000000-0005-0000-0000-00009CAF0000}"/>
    <cellStyle name="Normal 22 3 2 2" xfId="44949" xr:uid="{00000000-0005-0000-0000-00009DAF0000}"/>
    <cellStyle name="Normal 22 3 2 2 2" xfId="44950" xr:uid="{00000000-0005-0000-0000-00009EAF0000}"/>
    <cellStyle name="Normal 22 3 2 2 2 2" xfId="44951" xr:uid="{00000000-0005-0000-0000-00009FAF0000}"/>
    <cellStyle name="Normal 22 3 2 2 2 2 2" xfId="44952" xr:uid="{00000000-0005-0000-0000-0000A0AF0000}"/>
    <cellStyle name="Normal 22 3 2 2 2 3" xfId="44953" xr:uid="{00000000-0005-0000-0000-0000A1AF0000}"/>
    <cellStyle name="Normal 22 3 2 2 3" xfId="44954" xr:uid="{00000000-0005-0000-0000-0000A2AF0000}"/>
    <cellStyle name="Normal 22 3 2 2 3 2" xfId="44955" xr:uid="{00000000-0005-0000-0000-0000A3AF0000}"/>
    <cellStyle name="Normal 22 3 2 2 4" xfId="44956" xr:uid="{00000000-0005-0000-0000-0000A4AF0000}"/>
    <cellStyle name="Normal 22 3 2 2 5" xfId="44957" xr:uid="{00000000-0005-0000-0000-0000A5AF0000}"/>
    <cellStyle name="Normal 22 3 2 2 6" xfId="44958" xr:uid="{00000000-0005-0000-0000-0000A6AF0000}"/>
    <cellStyle name="Normal 22 3 2 3" xfId="44959" xr:uid="{00000000-0005-0000-0000-0000A7AF0000}"/>
    <cellStyle name="Normal 22 3 2 3 2" xfId="44960" xr:uid="{00000000-0005-0000-0000-0000A8AF0000}"/>
    <cellStyle name="Normal 22 3 2 3 2 2" xfId="44961" xr:uid="{00000000-0005-0000-0000-0000A9AF0000}"/>
    <cellStyle name="Normal 22 3 2 3 2 2 2" xfId="44962" xr:uid="{00000000-0005-0000-0000-0000AAAF0000}"/>
    <cellStyle name="Normal 22 3 2 3 2 3" xfId="44963" xr:uid="{00000000-0005-0000-0000-0000ABAF0000}"/>
    <cellStyle name="Normal 22 3 2 3 3" xfId="44964" xr:uid="{00000000-0005-0000-0000-0000ACAF0000}"/>
    <cellStyle name="Normal 22 3 2 3 3 2" xfId="44965" xr:uid="{00000000-0005-0000-0000-0000ADAF0000}"/>
    <cellStyle name="Normal 22 3 2 3 4" xfId="44966" xr:uid="{00000000-0005-0000-0000-0000AEAF0000}"/>
    <cellStyle name="Normal 22 3 2 4" xfId="44967" xr:uid="{00000000-0005-0000-0000-0000AFAF0000}"/>
    <cellStyle name="Normal 22 3 2 4 2" xfId="44968" xr:uid="{00000000-0005-0000-0000-0000B0AF0000}"/>
    <cellStyle name="Normal 22 3 2 4 2 2" xfId="44969" xr:uid="{00000000-0005-0000-0000-0000B1AF0000}"/>
    <cellStyle name="Normal 22 3 2 4 3" xfId="44970" xr:uid="{00000000-0005-0000-0000-0000B2AF0000}"/>
    <cellStyle name="Normal 22 3 2 5" xfId="44971" xr:uid="{00000000-0005-0000-0000-0000B3AF0000}"/>
    <cellStyle name="Normal 22 3 2 5 2" xfId="44972" xr:uid="{00000000-0005-0000-0000-0000B4AF0000}"/>
    <cellStyle name="Normal 22 3 2 6" xfId="44973" xr:uid="{00000000-0005-0000-0000-0000B5AF0000}"/>
    <cellStyle name="Normal 22 3 2 7" xfId="44974" xr:uid="{00000000-0005-0000-0000-0000B6AF0000}"/>
    <cellStyle name="Normal 22 3 2 8" xfId="44975" xr:uid="{00000000-0005-0000-0000-0000B7AF0000}"/>
    <cellStyle name="Normal 22 3 2 9" xfId="44976" xr:uid="{00000000-0005-0000-0000-0000B8AF0000}"/>
    <cellStyle name="Normal 22 3 3" xfId="44977" xr:uid="{00000000-0005-0000-0000-0000B9AF0000}"/>
    <cellStyle name="Normal 22 3 3 2" xfId="44978" xr:uid="{00000000-0005-0000-0000-0000BAAF0000}"/>
    <cellStyle name="Normal 22 3 3 2 2" xfId="44979" xr:uid="{00000000-0005-0000-0000-0000BBAF0000}"/>
    <cellStyle name="Normal 22 3 3 2 2 2" xfId="44980" xr:uid="{00000000-0005-0000-0000-0000BCAF0000}"/>
    <cellStyle name="Normal 22 3 3 2 2 2 2" xfId="44981" xr:uid="{00000000-0005-0000-0000-0000BDAF0000}"/>
    <cellStyle name="Normal 22 3 3 2 2 3" xfId="44982" xr:uid="{00000000-0005-0000-0000-0000BEAF0000}"/>
    <cellStyle name="Normal 22 3 3 2 3" xfId="44983" xr:uid="{00000000-0005-0000-0000-0000BFAF0000}"/>
    <cellStyle name="Normal 22 3 3 2 3 2" xfId="44984" xr:uid="{00000000-0005-0000-0000-0000C0AF0000}"/>
    <cellStyle name="Normal 22 3 3 2 4" xfId="44985" xr:uid="{00000000-0005-0000-0000-0000C1AF0000}"/>
    <cellStyle name="Normal 22 3 3 3" xfId="44986" xr:uid="{00000000-0005-0000-0000-0000C2AF0000}"/>
    <cellStyle name="Normal 22 3 3 3 2" xfId="44987" xr:uid="{00000000-0005-0000-0000-0000C3AF0000}"/>
    <cellStyle name="Normal 22 3 3 3 2 2" xfId="44988" xr:uid="{00000000-0005-0000-0000-0000C4AF0000}"/>
    <cellStyle name="Normal 22 3 3 3 3" xfId="44989" xr:uid="{00000000-0005-0000-0000-0000C5AF0000}"/>
    <cellStyle name="Normal 22 3 3 4" xfId="44990" xr:uid="{00000000-0005-0000-0000-0000C6AF0000}"/>
    <cellStyle name="Normal 22 3 3 4 2" xfId="44991" xr:uid="{00000000-0005-0000-0000-0000C7AF0000}"/>
    <cellStyle name="Normal 22 3 3 5" xfId="44992" xr:uid="{00000000-0005-0000-0000-0000C8AF0000}"/>
    <cellStyle name="Normal 22 3 3 6" xfId="44993" xr:uid="{00000000-0005-0000-0000-0000C9AF0000}"/>
    <cellStyle name="Normal 22 3 3 7" xfId="44994" xr:uid="{00000000-0005-0000-0000-0000CAAF0000}"/>
    <cellStyle name="Normal 22 3 4" xfId="44995" xr:uid="{00000000-0005-0000-0000-0000CBAF0000}"/>
    <cellStyle name="Normal 22 3 4 2" xfId="44996" xr:uid="{00000000-0005-0000-0000-0000CCAF0000}"/>
    <cellStyle name="Normal 22 3 4 2 2" xfId="44997" xr:uid="{00000000-0005-0000-0000-0000CDAF0000}"/>
    <cellStyle name="Normal 22 3 4 2 2 2" xfId="44998" xr:uid="{00000000-0005-0000-0000-0000CEAF0000}"/>
    <cellStyle name="Normal 22 3 4 2 3" xfId="44999" xr:uid="{00000000-0005-0000-0000-0000CFAF0000}"/>
    <cellStyle name="Normal 22 3 4 3" xfId="45000" xr:uid="{00000000-0005-0000-0000-0000D0AF0000}"/>
    <cellStyle name="Normal 22 3 4 3 2" xfId="45001" xr:uid="{00000000-0005-0000-0000-0000D1AF0000}"/>
    <cellStyle name="Normal 22 3 4 4" xfId="45002" xr:uid="{00000000-0005-0000-0000-0000D2AF0000}"/>
    <cellStyle name="Normal 22 3 5" xfId="45003" xr:uid="{00000000-0005-0000-0000-0000D3AF0000}"/>
    <cellStyle name="Normal 22 3 5 2" xfId="45004" xr:uid="{00000000-0005-0000-0000-0000D4AF0000}"/>
    <cellStyle name="Normal 22 3 5 2 2" xfId="45005" xr:uid="{00000000-0005-0000-0000-0000D5AF0000}"/>
    <cellStyle name="Normal 22 3 5 3" xfId="45006" xr:uid="{00000000-0005-0000-0000-0000D6AF0000}"/>
    <cellStyle name="Normal 22 3 6" xfId="45007" xr:uid="{00000000-0005-0000-0000-0000D7AF0000}"/>
    <cellStyle name="Normal 22 3 6 2" xfId="45008" xr:uid="{00000000-0005-0000-0000-0000D8AF0000}"/>
    <cellStyle name="Normal 22 3 7" xfId="45009" xr:uid="{00000000-0005-0000-0000-0000D9AF0000}"/>
    <cellStyle name="Normal 22 3 7 2" xfId="45010" xr:uid="{00000000-0005-0000-0000-0000DAAF0000}"/>
    <cellStyle name="Normal 22 3 8" xfId="45011" xr:uid="{00000000-0005-0000-0000-0000DBAF0000}"/>
    <cellStyle name="Normal 22 3 9" xfId="45012" xr:uid="{00000000-0005-0000-0000-0000DCAF0000}"/>
    <cellStyle name="Normal 22 4" xfId="45013" xr:uid="{00000000-0005-0000-0000-0000DDAF0000}"/>
    <cellStyle name="Normal 22 4 10" xfId="45014" xr:uid="{00000000-0005-0000-0000-0000DEAF0000}"/>
    <cellStyle name="Normal 22 4 11" xfId="45015" xr:uid="{00000000-0005-0000-0000-0000DFAF0000}"/>
    <cellStyle name="Normal 22 4 2" xfId="45016" xr:uid="{00000000-0005-0000-0000-0000E0AF0000}"/>
    <cellStyle name="Normal 22 4 2 2" xfId="45017" xr:uid="{00000000-0005-0000-0000-0000E1AF0000}"/>
    <cellStyle name="Normal 22 4 2 2 2" xfId="45018" xr:uid="{00000000-0005-0000-0000-0000E2AF0000}"/>
    <cellStyle name="Normal 22 4 2 2 2 2" xfId="45019" xr:uid="{00000000-0005-0000-0000-0000E3AF0000}"/>
    <cellStyle name="Normal 22 4 2 2 2 2 2" xfId="45020" xr:uid="{00000000-0005-0000-0000-0000E4AF0000}"/>
    <cellStyle name="Normal 22 4 2 2 2 3" xfId="45021" xr:uid="{00000000-0005-0000-0000-0000E5AF0000}"/>
    <cellStyle name="Normal 22 4 2 2 3" xfId="45022" xr:uid="{00000000-0005-0000-0000-0000E6AF0000}"/>
    <cellStyle name="Normal 22 4 2 2 3 2" xfId="45023" xr:uid="{00000000-0005-0000-0000-0000E7AF0000}"/>
    <cellStyle name="Normal 22 4 2 2 4" xfId="45024" xr:uid="{00000000-0005-0000-0000-0000E8AF0000}"/>
    <cellStyle name="Normal 22 4 2 3" xfId="45025" xr:uid="{00000000-0005-0000-0000-0000E9AF0000}"/>
    <cellStyle name="Normal 22 4 2 3 2" xfId="45026" xr:uid="{00000000-0005-0000-0000-0000EAAF0000}"/>
    <cellStyle name="Normal 22 4 2 3 2 2" xfId="45027" xr:uid="{00000000-0005-0000-0000-0000EBAF0000}"/>
    <cellStyle name="Normal 22 4 2 3 3" xfId="45028" xr:uid="{00000000-0005-0000-0000-0000ECAF0000}"/>
    <cellStyle name="Normal 22 4 2 4" xfId="45029" xr:uid="{00000000-0005-0000-0000-0000EDAF0000}"/>
    <cellStyle name="Normal 22 4 2 4 2" xfId="45030" xr:uid="{00000000-0005-0000-0000-0000EEAF0000}"/>
    <cellStyle name="Normal 22 4 2 5" xfId="45031" xr:uid="{00000000-0005-0000-0000-0000EFAF0000}"/>
    <cellStyle name="Normal 22 4 2 6" xfId="45032" xr:uid="{00000000-0005-0000-0000-0000F0AF0000}"/>
    <cellStyle name="Normal 22 4 2 7" xfId="45033" xr:uid="{00000000-0005-0000-0000-0000F1AF0000}"/>
    <cellStyle name="Normal 22 4 2 8" xfId="45034" xr:uid="{00000000-0005-0000-0000-0000F2AF0000}"/>
    <cellStyle name="Normal 22 4 3" xfId="45035" xr:uid="{00000000-0005-0000-0000-0000F3AF0000}"/>
    <cellStyle name="Normal 22 4 3 2" xfId="45036" xr:uid="{00000000-0005-0000-0000-0000F4AF0000}"/>
    <cellStyle name="Normal 22 4 3 2 2" xfId="45037" xr:uid="{00000000-0005-0000-0000-0000F5AF0000}"/>
    <cellStyle name="Normal 22 4 3 2 2 2" xfId="45038" xr:uid="{00000000-0005-0000-0000-0000F6AF0000}"/>
    <cellStyle name="Normal 22 4 3 2 3" xfId="45039" xr:uid="{00000000-0005-0000-0000-0000F7AF0000}"/>
    <cellStyle name="Normal 22 4 3 3" xfId="45040" xr:uid="{00000000-0005-0000-0000-0000F8AF0000}"/>
    <cellStyle name="Normal 22 4 3 3 2" xfId="45041" xr:uid="{00000000-0005-0000-0000-0000F9AF0000}"/>
    <cellStyle name="Normal 22 4 3 4" xfId="45042" xr:uid="{00000000-0005-0000-0000-0000FAAF0000}"/>
    <cellStyle name="Normal 22 4 4" xfId="45043" xr:uid="{00000000-0005-0000-0000-0000FBAF0000}"/>
    <cellStyle name="Normal 22 4 4 2" xfId="45044" xr:uid="{00000000-0005-0000-0000-0000FCAF0000}"/>
    <cellStyle name="Normal 22 4 4 2 2" xfId="45045" xr:uid="{00000000-0005-0000-0000-0000FDAF0000}"/>
    <cellStyle name="Normal 22 4 4 2 2 2" xfId="45046" xr:uid="{00000000-0005-0000-0000-0000FEAF0000}"/>
    <cellStyle name="Normal 22 4 4 2 3" xfId="45047" xr:uid="{00000000-0005-0000-0000-0000FFAF0000}"/>
    <cellStyle name="Normal 22 4 4 3" xfId="45048" xr:uid="{00000000-0005-0000-0000-000000B00000}"/>
    <cellStyle name="Normal 22 4 4 3 2" xfId="45049" xr:uid="{00000000-0005-0000-0000-000001B00000}"/>
    <cellStyle name="Normal 22 4 4 4" xfId="45050" xr:uid="{00000000-0005-0000-0000-000002B00000}"/>
    <cellStyle name="Normal 22 4 5" xfId="45051" xr:uid="{00000000-0005-0000-0000-000003B00000}"/>
    <cellStyle name="Normal 22 4 5 2" xfId="45052" xr:uid="{00000000-0005-0000-0000-000004B00000}"/>
    <cellStyle name="Normal 22 4 5 2 2" xfId="45053" xr:uid="{00000000-0005-0000-0000-000005B00000}"/>
    <cellStyle name="Normal 22 4 5 3" xfId="45054" xr:uid="{00000000-0005-0000-0000-000006B00000}"/>
    <cellStyle name="Normal 22 4 6" xfId="45055" xr:uid="{00000000-0005-0000-0000-000007B00000}"/>
    <cellStyle name="Normal 22 4 6 2" xfId="45056" xr:uid="{00000000-0005-0000-0000-000008B00000}"/>
    <cellStyle name="Normal 22 4 7" xfId="45057" xr:uid="{00000000-0005-0000-0000-000009B00000}"/>
    <cellStyle name="Normal 22 4 7 2" xfId="45058" xr:uid="{00000000-0005-0000-0000-00000AB00000}"/>
    <cellStyle name="Normal 22 4 8" xfId="45059" xr:uid="{00000000-0005-0000-0000-00000BB00000}"/>
    <cellStyle name="Normal 22 4 9" xfId="45060" xr:uid="{00000000-0005-0000-0000-00000CB00000}"/>
    <cellStyle name="Normal 22 5" xfId="45061" xr:uid="{00000000-0005-0000-0000-00000DB00000}"/>
    <cellStyle name="Normal 22 5 2" xfId="45062" xr:uid="{00000000-0005-0000-0000-00000EB00000}"/>
    <cellStyle name="Normal 22 5 2 2" xfId="45063" xr:uid="{00000000-0005-0000-0000-00000FB00000}"/>
    <cellStyle name="Normal 22 5 2 2 2" xfId="45064" xr:uid="{00000000-0005-0000-0000-000010B00000}"/>
    <cellStyle name="Normal 22 5 2 2 2 2" xfId="45065" xr:uid="{00000000-0005-0000-0000-000011B00000}"/>
    <cellStyle name="Normal 22 5 2 2 3" xfId="45066" xr:uid="{00000000-0005-0000-0000-000012B00000}"/>
    <cellStyle name="Normal 22 5 2 3" xfId="45067" xr:uid="{00000000-0005-0000-0000-000013B00000}"/>
    <cellStyle name="Normal 22 5 2 3 2" xfId="45068" xr:uid="{00000000-0005-0000-0000-000014B00000}"/>
    <cellStyle name="Normal 22 5 2 4" xfId="45069" xr:uid="{00000000-0005-0000-0000-000015B00000}"/>
    <cellStyle name="Normal 22 5 3" xfId="45070" xr:uid="{00000000-0005-0000-0000-000016B00000}"/>
    <cellStyle name="Normal 22 5 3 2" xfId="45071" xr:uid="{00000000-0005-0000-0000-000017B00000}"/>
    <cellStyle name="Normal 22 5 3 2 2" xfId="45072" xr:uid="{00000000-0005-0000-0000-000018B00000}"/>
    <cellStyle name="Normal 22 5 3 2 2 2" xfId="45073" xr:uid="{00000000-0005-0000-0000-000019B00000}"/>
    <cellStyle name="Normal 22 5 3 2 3" xfId="45074" xr:uid="{00000000-0005-0000-0000-00001AB00000}"/>
    <cellStyle name="Normal 22 5 3 3" xfId="45075" xr:uid="{00000000-0005-0000-0000-00001BB00000}"/>
    <cellStyle name="Normal 22 5 3 3 2" xfId="45076" xr:uid="{00000000-0005-0000-0000-00001CB00000}"/>
    <cellStyle name="Normal 22 5 3 4" xfId="45077" xr:uid="{00000000-0005-0000-0000-00001DB00000}"/>
    <cellStyle name="Normal 22 5 4" xfId="45078" xr:uid="{00000000-0005-0000-0000-00001EB00000}"/>
    <cellStyle name="Normal 22 5 4 2" xfId="45079" xr:uid="{00000000-0005-0000-0000-00001FB00000}"/>
    <cellStyle name="Normal 22 5 4 2 2" xfId="45080" xr:uid="{00000000-0005-0000-0000-000020B00000}"/>
    <cellStyle name="Normal 22 5 4 3" xfId="45081" xr:uid="{00000000-0005-0000-0000-000021B00000}"/>
    <cellStyle name="Normal 22 5 5" xfId="45082" xr:uid="{00000000-0005-0000-0000-000022B00000}"/>
    <cellStyle name="Normal 22 5 5 2" xfId="45083" xr:uid="{00000000-0005-0000-0000-000023B00000}"/>
    <cellStyle name="Normal 22 5 6" xfId="45084" xr:uid="{00000000-0005-0000-0000-000024B00000}"/>
    <cellStyle name="Normal 22 5 7" xfId="45085" xr:uid="{00000000-0005-0000-0000-000025B00000}"/>
    <cellStyle name="Normal 22 5 8" xfId="45086" xr:uid="{00000000-0005-0000-0000-000026B00000}"/>
    <cellStyle name="Normal 22 5 9" xfId="45087" xr:uid="{00000000-0005-0000-0000-000027B00000}"/>
    <cellStyle name="Normal 22 6" xfId="45088" xr:uid="{00000000-0005-0000-0000-000028B00000}"/>
    <cellStyle name="Normal 22 6 2" xfId="45089" xr:uid="{00000000-0005-0000-0000-000029B00000}"/>
    <cellStyle name="Normal 22 6 2 2" xfId="45090" xr:uid="{00000000-0005-0000-0000-00002AB00000}"/>
    <cellStyle name="Normal 22 6 2 2 2" xfId="45091" xr:uid="{00000000-0005-0000-0000-00002BB00000}"/>
    <cellStyle name="Normal 22 6 2 2 2 2" xfId="45092" xr:uid="{00000000-0005-0000-0000-00002CB00000}"/>
    <cellStyle name="Normal 22 6 2 2 3" xfId="45093" xr:uid="{00000000-0005-0000-0000-00002DB00000}"/>
    <cellStyle name="Normal 22 6 2 3" xfId="45094" xr:uid="{00000000-0005-0000-0000-00002EB00000}"/>
    <cellStyle name="Normal 22 6 2 3 2" xfId="45095" xr:uid="{00000000-0005-0000-0000-00002FB00000}"/>
    <cellStyle name="Normal 22 6 2 4" xfId="45096" xr:uid="{00000000-0005-0000-0000-000030B00000}"/>
    <cellStyle name="Normal 22 6 3" xfId="45097" xr:uid="{00000000-0005-0000-0000-000031B00000}"/>
    <cellStyle name="Normal 22 6 3 2" xfId="45098" xr:uid="{00000000-0005-0000-0000-000032B00000}"/>
    <cellStyle name="Normal 22 6 3 2 2" xfId="45099" xr:uid="{00000000-0005-0000-0000-000033B00000}"/>
    <cellStyle name="Normal 22 6 3 3" xfId="45100" xr:uid="{00000000-0005-0000-0000-000034B00000}"/>
    <cellStyle name="Normal 22 6 4" xfId="45101" xr:uid="{00000000-0005-0000-0000-000035B00000}"/>
    <cellStyle name="Normal 22 6 4 2" xfId="45102" xr:uid="{00000000-0005-0000-0000-000036B00000}"/>
    <cellStyle name="Normal 22 6 5" xfId="45103" xr:uid="{00000000-0005-0000-0000-000037B00000}"/>
    <cellStyle name="Normal 22 7" xfId="45104" xr:uid="{00000000-0005-0000-0000-000038B00000}"/>
    <cellStyle name="Normal 22 7 2" xfId="45105" xr:uid="{00000000-0005-0000-0000-000039B00000}"/>
    <cellStyle name="Normal 22 7 2 2" xfId="45106" xr:uid="{00000000-0005-0000-0000-00003AB00000}"/>
    <cellStyle name="Normal 22 7 2 2 2" xfId="45107" xr:uid="{00000000-0005-0000-0000-00003BB00000}"/>
    <cellStyle name="Normal 22 7 2 3" xfId="45108" xr:uid="{00000000-0005-0000-0000-00003CB00000}"/>
    <cellStyle name="Normal 22 7 3" xfId="45109" xr:uid="{00000000-0005-0000-0000-00003DB00000}"/>
    <cellStyle name="Normal 22 7 3 2" xfId="45110" xr:uid="{00000000-0005-0000-0000-00003EB00000}"/>
    <cellStyle name="Normal 22 7 3 2 2" xfId="45111" xr:uid="{00000000-0005-0000-0000-00003FB00000}"/>
    <cellStyle name="Normal 22 7 3 3" xfId="45112" xr:uid="{00000000-0005-0000-0000-000040B00000}"/>
    <cellStyle name="Normal 22 7 4" xfId="45113" xr:uid="{00000000-0005-0000-0000-000041B00000}"/>
    <cellStyle name="Normal 22 7 4 2" xfId="45114" xr:uid="{00000000-0005-0000-0000-000042B00000}"/>
    <cellStyle name="Normal 22 7 5" xfId="45115" xr:uid="{00000000-0005-0000-0000-000043B00000}"/>
    <cellStyle name="Normal 22 8" xfId="45116" xr:uid="{00000000-0005-0000-0000-000044B00000}"/>
    <cellStyle name="Normal 22 8 2" xfId="45117" xr:uid="{00000000-0005-0000-0000-000045B00000}"/>
    <cellStyle name="Normal 22 8 2 2" xfId="45118" xr:uid="{00000000-0005-0000-0000-000046B00000}"/>
    <cellStyle name="Normal 22 8 2 2 2" xfId="45119" xr:uid="{00000000-0005-0000-0000-000047B00000}"/>
    <cellStyle name="Normal 22 8 2 3" xfId="45120" xr:uid="{00000000-0005-0000-0000-000048B00000}"/>
    <cellStyle name="Normal 22 8 3" xfId="45121" xr:uid="{00000000-0005-0000-0000-000049B00000}"/>
    <cellStyle name="Normal 22 8 3 2" xfId="45122" xr:uid="{00000000-0005-0000-0000-00004AB00000}"/>
    <cellStyle name="Normal 22 8 4" xfId="45123" xr:uid="{00000000-0005-0000-0000-00004BB00000}"/>
    <cellStyle name="Normal 22 9" xfId="45124" xr:uid="{00000000-0005-0000-0000-00004CB00000}"/>
    <cellStyle name="Normal 22 9 2" xfId="45125" xr:uid="{00000000-0005-0000-0000-00004DB00000}"/>
    <cellStyle name="Normal 22 9 2 2" xfId="45126" xr:uid="{00000000-0005-0000-0000-00004EB00000}"/>
    <cellStyle name="Normal 22 9 2 2 2" xfId="45127" xr:uid="{00000000-0005-0000-0000-00004FB00000}"/>
    <cellStyle name="Normal 22 9 2 3" xfId="45128" xr:uid="{00000000-0005-0000-0000-000050B00000}"/>
    <cellStyle name="Normal 22 9 3" xfId="45129" xr:uid="{00000000-0005-0000-0000-000051B00000}"/>
    <cellStyle name="Normal 22 9 3 2" xfId="45130" xr:uid="{00000000-0005-0000-0000-000052B00000}"/>
    <cellStyle name="Normal 22 9 4" xfId="45131" xr:uid="{00000000-0005-0000-0000-000053B00000}"/>
    <cellStyle name="Normal 22_Proj" xfId="45132" xr:uid="{00000000-0005-0000-0000-000054B00000}"/>
    <cellStyle name="Normal 220" xfId="45133" xr:uid="{00000000-0005-0000-0000-000055B00000}"/>
    <cellStyle name="Normal 221" xfId="45134" xr:uid="{00000000-0005-0000-0000-000056B00000}"/>
    <cellStyle name="Normal 222" xfId="45135" xr:uid="{00000000-0005-0000-0000-000057B00000}"/>
    <cellStyle name="Normal 223" xfId="45136" xr:uid="{00000000-0005-0000-0000-000058B00000}"/>
    <cellStyle name="Normal 224" xfId="45137" xr:uid="{00000000-0005-0000-0000-000059B00000}"/>
    <cellStyle name="Normal 225" xfId="45138" xr:uid="{00000000-0005-0000-0000-00005AB00000}"/>
    <cellStyle name="Normal 226" xfId="45139" xr:uid="{00000000-0005-0000-0000-00005BB00000}"/>
    <cellStyle name="Normal 227" xfId="45140" xr:uid="{00000000-0005-0000-0000-00005CB00000}"/>
    <cellStyle name="Normal 227 2" xfId="45141" xr:uid="{00000000-0005-0000-0000-00005DB00000}"/>
    <cellStyle name="Normal 227 2 2" xfId="45142" xr:uid="{00000000-0005-0000-0000-00005EB00000}"/>
    <cellStyle name="Normal 228" xfId="45143" xr:uid="{00000000-0005-0000-0000-00005FB00000}"/>
    <cellStyle name="Normal 229" xfId="45144" xr:uid="{00000000-0005-0000-0000-000060B00000}"/>
    <cellStyle name="Normal 23" xfId="45145" xr:uid="{00000000-0005-0000-0000-000061B00000}"/>
    <cellStyle name="Normal 23 2" xfId="45146" xr:uid="{00000000-0005-0000-0000-000062B00000}"/>
    <cellStyle name="Normal 23 3" xfId="45147" xr:uid="{00000000-0005-0000-0000-000063B00000}"/>
    <cellStyle name="Normal 23 4" xfId="45148" xr:uid="{00000000-0005-0000-0000-000064B00000}"/>
    <cellStyle name="Normal 23_Proj" xfId="45149" xr:uid="{00000000-0005-0000-0000-000065B00000}"/>
    <cellStyle name="Normal 230" xfId="45150" xr:uid="{00000000-0005-0000-0000-000066B00000}"/>
    <cellStyle name="Normal 231" xfId="45151" xr:uid="{00000000-0005-0000-0000-000067B00000}"/>
    <cellStyle name="Normal 232" xfId="45152" xr:uid="{00000000-0005-0000-0000-000068B00000}"/>
    <cellStyle name="Normal 233" xfId="45153" xr:uid="{00000000-0005-0000-0000-000069B00000}"/>
    <cellStyle name="Normal 234" xfId="45154" xr:uid="{00000000-0005-0000-0000-00006AB00000}"/>
    <cellStyle name="Normal 235" xfId="45155" xr:uid="{00000000-0005-0000-0000-00006BB00000}"/>
    <cellStyle name="Normal 236" xfId="45156" xr:uid="{00000000-0005-0000-0000-00006CB00000}"/>
    <cellStyle name="Normal 237" xfId="45157" xr:uid="{00000000-0005-0000-0000-00006DB00000}"/>
    <cellStyle name="Normal 238" xfId="45158" xr:uid="{00000000-0005-0000-0000-00006EB00000}"/>
    <cellStyle name="Normal 239" xfId="45159" xr:uid="{00000000-0005-0000-0000-00006FB00000}"/>
    <cellStyle name="Normal 24" xfId="45160" xr:uid="{00000000-0005-0000-0000-000070B00000}"/>
    <cellStyle name="Normal 24 2" xfId="45161" xr:uid="{00000000-0005-0000-0000-000071B00000}"/>
    <cellStyle name="Normal 24 3" xfId="45162" xr:uid="{00000000-0005-0000-0000-000072B00000}"/>
    <cellStyle name="Normal 24_Proj" xfId="45163" xr:uid="{00000000-0005-0000-0000-000073B00000}"/>
    <cellStyle name="Normal 240" xfId="45164" xr:uid="{00000000-0005-0000-0000-000074B00000}"/>
    <cellStyle name="Normal 241" xfId="45165" xr:uid="{00000000-0005-0000-0000-000075B00000}"/>
    <cellStyle name="Normal 241 2" xfId="45166" xr:uid="{00000000-0005-0000-0000-000076B00000}"/>
    <cellStyle name="Normal 242" xfId="45167" xr:uid="{00000000-0005-0000-0000-000077B00000}"/>
    <cellStyle name="Normal 243" xfId="45168" xr:uid="{00000000-0005-0000-0000-000078B00000}"/>
    <cellStyle name="Normal 244" xfId="45169" xr:uid="{00000000-0005-0000-0000-000079B00000}"/>
    <cellStyle name="Normal 245" xfId="45170" xr:uid="{00000000-0005-0000-0000-00007AB00000}"/>
    <cellStyle name="Normal 246" xfId="53992" xr:uid="{00000000-0005-0000-0000-00007BB00000}"/>
    <cellStyle name="Normal 249" xfId="54000" xr:uid="{00000000-0005-0000-0000-00007CB00000}"/>
    <cellStyle name="Normal 25" xfId="45171" xr:uid="{00000000-0005-0000-0000-00007DB00000}"/>
    <cellStyle name="Normal 25 2" xfId="45172" xr:uid="{00000000-0005-0000-0000-00007EB00000}"/>
    <cellStyle name="Normal 25 3" xfId="45173" xr:uid="{00000000-0005-0000-0000-00007FB00000}"/>
    <cellStyle name="Normal 25_Proj" xfId="45174" xr:uid="{00000000-0005-0000-0000-000080B00000}"/>
    <cellStyle name="Normal 26" xfId="45175" xr:uid="{00000000-0005-0000-0000-000081B00000}"/>
    <cellStyle name="Normal 26 2" xfId="45176" xr:uid="{00000000-0005-0000-0000-000082B00000}"/>
    <cellStyle name="Normal 26 3" xfId="45177" xr:uid="{00000000-0005-0000-0000-000083B00000}"/>
    <cellStyle name="Normal 26_Proj" xfId="45178" xr:uid="{00000000-0005-0000-0000-000084B00000}"/>
    <cellStyle name="Normal 27" xfId="45179" xr:uid="{00000000-0005-0000-0000-000085B00000}"/>
    <cellStyle name="Normal 27 2" xfId="45180" xr:uid="{00000000-0005-0000-0000-000086B00000}"/>
    <cellStyle name="Normal 27 3" xfId="45181" xr:uid="{00000000-0005-0000-0000-000087B00000}"/>
    <cellStyle name="Normal 27_Proj" xfId="45182" xr:uid="{00000000-0005-0000-0000-000088B00000}"/>
    <cellStyle name="Normal 28" xfId="45183" xr:uid="{00000000-0005-0000-0000-000089B00000}"/>
    <cellStyle name="Normal 28 2" xfId="45184" xr:uid="{00000000-0005-0000-0000-00008AB00000}"/>
    <cellStyle name="Normal 28 3" xfId="45185" xr:uid="{00000000-0005-0000-0000-00008BB00000}"/>
    <cellStyle name="Normal 28_Proj" xfId="45186" xr:uid="{00000000-0005-0000-0000-00008CB00000}"/>
    <cellStyle name="Normal 29" xfId="45187" xr:uid="{00000000-0005-0000-0000-00008DB00000}"/>
    <cellStyle name="Normal 29 10" xfId="45188" xr:uid="{00000000-0005-0000-0000-00008EB00000}"/>
    <cellStyle name="Normal 29 10 2" xfId="45189" xr:uid="{00000000-0005-0000-0000-00008FB00000}"/>
    <cellStyle name="Normal 29 11" xfId="45190" xr:uid="{00000000-0005-0000-0000-000090B00000}"/>
    <cellStyle name="Normal 29 12" xfId="45191" xr:uid="{00000000-0005-0000-0000-000091B00000}"/>
    <cellStyle name="Normal 29 13" xfId="45192" xr:uid="{00000000-0005-0000-0000-000092B00000}"/>
    <cellStyle name="Normal 29 14" xfId="45193" xr:uid="{00000000-0005-0000-0000-000093B00000}"/>
    <cellStyle name="Normal 29 2" xfId="45194" xr:uid="{00000000-0005-0000-0000-000094B00000}"/>
    <cellStyle name="Normal 29 2 10" xfId="45195" xr:uid="{00000000-0005-0000-0000-000095B00000}"/>
    <cellStyle name="Normal 29 2 11" xfId="45196" xr:uid="{00000000-0005-0000-0000-000096B00000}"/>
    <cellStyle name="Normal 29 2 2" xfId="45197" xr:uid="{00000000-0005-0000-0000-000097B00000}"/>
    <cellStyle name="Normal 29 2 2 2" xfId="45198" xr:uid="{00000000-0005-0000-0000-000098B00000}"/>
    <cellStyle name="Normal 29 2 2 2 2" xfId="45199" xr:uid="{00000000-0005-0000-0000-000099B00000}"/>
    <cellStyle name="Normal 29 2 2 2 2 2" xfId="45200" xr:uid="{00000000-0005-0000-0000-00009AB00000}"/>
    <cellStyle name="Normal 29 2 2 2 2 2 2" xfId="45201" xr:uid="{00000000-0005-0000-0000-00009BB00000}"/>
    <cellStyle name="Normal 29 2 2 2 2 2 2 2" xfId="45202" xr:uid="{00000000-0005-0000-0000-00009CB00000}"/>
    <cellStyle name="Normal 29 2 2 2 2 2 3" xfId="45203" xr:uid="{00000000-0005-0000-0000-00009DB00000}"/>
    <cellStyle name="Normal 29 2 2 2 2 2 4" xfId="45204" xr:uid="{00000000-0005-0000-0000-00009EB00000}"/>
    <cellStyle name="Normal 29 2 2 2 2 3" xfId="45205" xr:uid="{00000000-0005-0000-0000-00009FB00000}"/>
    <cellStyle name="Normal 29 2 2 2 2 3 2" xfId="45206" xr:uid="{00000000-0005-0000-0000-0000A0B00000}"/>
    <cellStyle name="Normal 29 2 2 2 2 4" xfId="45207" xr:uid="{00000000-0005-0000-0000-0000A1B00000}"/>
    <cellStyle name="Normal 29 2 2 2 2 5" xfId="45208" xr:uid="{00000000-0005-0000-0000-0000A2B00000}"/>
    <cellStyle name="Normal 29 2 2 2 3" xfId="45209" xr:uid="{00000000-0005-0000-0000-0000A3B00000}"/>
    <cellStyle name="Normal 29 2 2 2 3 2" xfId="45210" xr:uid="{00000000-0005-0000-0000-0000A4B00000}"/>
    <cellStyle name="Normal 29 2 2 2 3 2 2" xfId="45211" xr:uid="{00000000-0005-0000-0000-0000A5B00000}"/>
    <cellStyle name="Normal 29 2 2 2 3 3" xfId="45212" xr:uid="{00000000-0005-0000-0000-0000A6B00000}"/>
    <cellStyle name="Normal 29 2 2 2 3 4" xfId="45213" xr:uid="{00000000-0005-0000-0000-0000A7B00000}"/>
    <cellStyle name="Normal 29 2 2 2 4" xfId="45214" xr:uid="{00000000-0005-0000-0000-0000A8B00000}"/>
    <cellStyle name="Normal 29 2 2 2 4 2" xfId="45215" xr:uid="{00000000-0005-0000-0000-0000A9B00000}"/>
    <cellStyle name="Normal 29 2 2 2 5" xfId="45216" xr:uid="{00000000-0005-0000-0000-0000AAB00000}"/>
    <cellStyle name="Normal 29 2 2 2 6" xfId="45217" xr:uid="{00000000-0005-0000-0000-0000ABB00000}"/>
    <cellStyle name="Normal 29 2 2 3" xfId="45218" xr:uid="{00000000-0005-0000-0000-0000ACB00000}"/>
    <cellStyle name="Normal 29 2 2 3 2" xfId="45219" xr:uid="{00000000-0005-0000-0000-0000ADB00000}"/>
    <cellStyle name="Normal 29 2 2 3 2 2" xfId="45220" xr:uid="{00000000-0005-0000-0000-0000AEB00000}"/>
    <cellStyle name="Normal 29 2 2 3 2 2 2" xfId="45221" xr:uid="{00000000-0005-0000-0000-0000AFB00000}"/>
    <cellStyle name="Normal 29 2 2 3 2 3" xfId="45222" xr:uid="{00000000-0005-0000-0000-0000B0B00000}"/>
    <cellStyle name="Normal 29 2 2 3 2 4" xfId="45223" xr:uid="{00000000-0005-0000-0000-0000B1B00000}"/>
    <cellStyle name="Normal 29 2 2 3 2 5" xfId="45224" xr:uid="{00000000-0005-0000-0000-0000B2B00000}"/>
    <cellStyle name="Normal 29 2 2 3 3" xfId="45225" xr:uid="{00000000-0005-0000-0000-0000B3B00000}"/>
    <cellStyle name="Normal 29 2 2 3 3 2" xfId="45226" xr:uid="{00000000-0005-0000-0000-0000B4B00000}"/>
    <cellStyle name="Normal 29 2 2 3 4" xfId="45227" xr:uid="{00000000-0005-0000-0000-0000B5B00000}"/>
    <cellStyle name="Normal 29 2 2 3 5" xfId="45228" xr:uid="{00000000-0005-0000-0000-0000B6B00000}"/>
    <cellStyle name="Normal 29 2 2 3 6" xfId="45229" xr:uid="{00000000-0005-0000-0000-0000B7B00000}"/>
    <cellStyle name="Normal 29 2 2 4" xfId="45230" xr:uid="{00000000-0005-0000-0000-0000B8B00000}"/>
    <cellStyle name="Normal 29 2 2 4 2" xfId="45231" xr:uid="{00000000-0005-0000-0000-0000B9B00000}"/>
    <cellStyle name="Normal 29 2 2 4 2 2" xfId="45232" xr:uid="{00000000-0005-0000-0000-0000BAB00000}"/>
    <cellStyle name="Normal 29 2 2 4 3" xfId="45233" xr:uid="{00000000-0005-0000-0000-0000BBB00000}"/>
    <cellStyle name="Normal 29 2 2 4 4" xfId="45234" xr:uid="{00000000-0005-0000-0000-0000BCB00000}"/>
    <cellStyle name="Normal 29 2 2 4 5" xfId="45235" xr:uid="{00000000-0005-0000-0000-0000BDB00000}"/>
    <cellStyle name="Normal 29 2 2 5" xfId="45236" xr:uid="{00000000-0005-0000-0000-0000BEB00000}"/>
    <cellStyle name="Normal 29 2 2 5 2" xfId="45237" xr:uid="{00000000-0005-0000-0000-0000BFB00000}"/>
    <cellStyle name="Normal 29 2 2 6" xfId="45238" xr:uid="{00000000-0005-0000-0000-0000C0B00000}"/>
    <cellStyle name="Normal 29 2 2 7" xfId="45239" xr:uid="{00000000-0005-0000-0000-0000C1B00000}"/>
    <cellStyle name="Normal 29 2 2 8" xfId="45240" xr:uid="{00000000-0005-0000-0000-0000C2B00000}"/>
    <cellStyle name="Normal 29 2 2 9" xfId="45241" xr:uid="{00000000-0005-0000-0000-0000C3B00000}"/>
    <cellStyle name="Normal 29 2 3" xfId="45242" xr:uid="{00000000-0005-0000-0000-0000C4B00000}"/>
    <cellStyle name="Normal 29 2 3 2" xfId="45243" xr:uid="{00000000-0005-0000-0000-0000C5B00000}"/>
    <cellStyle name="Normal 29 2 3 2 2" xfId="45244" xr:uid="{00000000-0005-0000-0000-0000C6B00000}"/>
    <cellStyle name="Normal 29 2 3 2 2 2" xfId="45245" xr:uid="{00000000-0005-0000-0000-0000C7B00000}"/>
    <cellStyle name="Normal 29 2 3 2 2 2 2" xfId="45246" xr:uid="{00000000-0005-0000-0000-0000C8B00000}"/>
    <cellStyle name="Normal 29 2 3 2 2 3" xfId="45247" xr:uid="{00000000-0005-0000-0000-0000C9B00000}"/>
    <cellStyle name="Normal 29 2 3 2 2 4" xfId="45248" xr:uid="{00000000-0005-0000-0000-0000CAB00000}"/>
    <cellStyle name="Normal 29 2 3 2 2 5" xfId="45249" xr:uid="{00000000-0005-0000-0000-0000CBB00000}"/>
    <cellStyle name="Normal 29 2 3 2 3" xfId="45250" xr:uid="{00000000-0005-0000-0000-0000CCB00000}"/>
    <cellStyle name="Normal 29 2 3 2 3 2" xfId="45251" xr:uid="{00000000-0005-0000-0000-0000CDB00000}"/>
    <cellStyle name="Normal 29 2 3 2 4" xfId="45252" xr:uid="{00000000-0005-0000-0000-0000CEB00000}"/>
    <cellStyle name="Normal 29 2 3 2 5" xfId="45253" xr:uid="{00000000-0005-0000-0000-0000CFB00000}"/>
    <cellStyle name="Normal 29 2 3 2 6" xfId="45254" xr:uid="{00000000-0005-0000-0000-0000D0B00000}"/>
    <cellStyle name="Normal 29 2 3 3" xfId="45255" xr:uid="{00000000-0005-0000-0000-0000D1B00000}"/>
    <cellStyle name="Normal 29 2 3 3 2" xfId="45256" xr:uid="{00000000-0005-0000-0000-0000D2B00000}"/>
    <cellStyle name="Normal 29 2 3 3 2 2" xfId="45257" xr:uid="{00000000-0005-0000-0000-0000D3B00000}"/>
    <cellStyle name="Normal 29 2 3 3 3" xfId="45258" xr:uid="{00000000-0005-0000-0000-0000D4B00000}"/>
    <cellStyle name="Normal 29 2 3 3 4" xfId="45259" xr:uid="{00000000-0005-0000-0000-0000D5B00000}"/>
    <cellStyle name="Normal 29 2 3 3 5" xfId="45260" xr:uid="{00000000-0005-0000-0000-0000D6B00000}"/>
    <cellStyle name="Normal 29 2 3 4" xfId="45261" xr:uid="{00000000-0005-0000-0000-0000D7B00000}"/>
    <cellStyle name="Normal 29 2 3 4 2" xfId="45262" xr:uid="{00000000-0005-0000-0000-0000D8B00000}"/>
    <cellStyle name="Normal 29 2 3 5" xfId="45263" xr:uid="{00000000-0005-0000-0000-0000D9B00000}"/>
    <cellStyle name="Normal 29 2 3 6" xfId="45264" xr:uid="{00000000-0005-0000-0000-0000DAB00000}"/>
    <cellStyle name="Normal 29 2 3 7" xfId="45265" xr:uid="{00000000-0005-0000-0000-0000DBB00000}"/>
    <cellStyle name="Normal 29 2 4" xfId="45266" xr:uid="{00000000-0005-0000-0000-0000DCB00000}"/>
    <cellStyle name="Normal 29 2 4 2" xfId="45267" xr:uid="{00000000-0005-0000-0000-0000DDB00000}"/>
    <cellStyle name="Normal 29 2 4 2 2" xfId="45268" xr:uid="{00000000-0005-0000-0000-0000DEB00000}"/>
    <cellStyle name="Normal 29 2 4 2 2 2" xfId="45269" xr:uid="{00000000-0005-0000-0000-0000DFB00000}"/>
    <cellStyle name="Normal 29 2 4 2 3" xfId="45270" xr:uid="{00000000-0005-0000-0000-0000E0B00000}"/>
    <cellStyle name="Normal 29 2 4 2 4" xfId="45271" xr:uid="{00000000-0005-0000-0000-0000E1B00000}"/>
    <cellStyle name="Normal 29 2 4 2 5" xfId="45272" xr:uid="{00000000-0005-0000-0000-0000E2B00000}"/>
    <cellStyle name="Normal 29 2 4 3" xfId="45273" xr:uid="{00000000-0005-0000-0000-0000E3B00000}"/>
    <cellStyle name="Normal 29 2 4 3 2" xfId="45274" xr:uid="{00000000-0005-0000-0000-0000E4B00000}"/>
    <cellStyle name="Normal 29 2 4 4" xfId="45275" xr:uid="{00000000-0005-0000-0000-0000E5B00000}"/>
    <cellStyle name="Normal 29 2 4 5" xfId="45276" xr:uid="{00000000-0005-0000-0000-0000E6B00000}"/>
    <cellStyle name="Normal 29 2 4 6" xfId="45277" xr:uid="{00000000-0005-0000-0000-0000E7B00000}"/>
    <cellStyle name="Normal 29 2 5" xfId="45278" xr:uid="{00000000-0005-0000-0000-0000E8B00000}"/>
    <cellStyle name="Normal 29 2 5 2" xfId="45279" xr:uid="{00000000-0005-0000-0000-0000E9B00000}"/>
    <cellStyle name="Normal 29 2 5 2 2" xfId="45280" xr:uid="{00000000-0005-0000-0000-0000EAB00000}"/>
    <cellStyle name="Normal 29 2 5 3" xfId="45281" xr:uid="{00000000-0005-0000-0000-0000EBB00000}"/>
    <cellStyle name="Normal 29 2 5 4" xfId="45282" xr:uid="{00000000-0005-0000-0000-0000ECB00000}"/>
    <cellStyle name="Normal 29 2 5 5" xfId="45283" xr:uid="{00000000-0005-0000-0000-0000EDB00000}"/>
    <cellStyle name="Normal 29 2 6" xfId="45284" xr:uid="{00000000-0005-0000-0000-0000EEB00000}"/>
    <cellStyle name="Normal 29 2 6 2" xfId="45285" xr:uid="{00000000-0005-0000-0000-0000EFB00000}"/>
    <cellStyle name="Normal 29 2 7" xfId="45286" xr:uid="{00000000-0005-0000-0000-0000F0B00000}"/>
    <cellStyle name="Normal 29 2 7 2" xfId="45287" xr:uid="{00000000-0005-0000-0000-0000F1B00000}"/>
    <cellStyle name="Normal 29 2 8" xfId="45288" xr:uid="{00000000-0005-0000-0000-0000F2B00000}"/>
    <cellStyle name="Normal 29 2 9" xfId="45289" xr:uid="{00000000-0005-0000-0000-0000F3B00000}"/>
    <cellStyle name="Normal 29 3" xfId="45290" xr:uid="{00000000-0005-0000-0000-0000F4B00000}"/>
    <cellStyle name="Normal 29 3 10" xfId="45291" xr:uid="{00000000-0005-0000-0000-0000F5B00000}"/>
    <cellStyle name="Normal 29 3 11" xfId="45292" xr:uid="{00000000-0005-0000-0000-0000F6B00000}"/>
    <cellStyle name="Normal 29 3 2" xfId="45293" xr:uid="{00000000-0005-0000-0000-0000F7B00000}"/>
    <cellStyle name="Normal 29 3 2 2" xfId="45294" xr:uid="{00000000-0005-0000-0000-0000F8B00000}"/>
    <cellStyle name="Normal 29 3 2 2 2" xfId="45295" xr:uid="{00000000-0005-0000-0000-0000F9B00000}"/>
    <cellStyle name="Normal 29 3 2 2 2 2" xfId="45296" xr:uid="{00000000-0005-0000-0000-0000FAB00000}"/>
    <cellStyle name="Normal 29 3 2 2 2 2 2" xfId="45297" xr:uid="{00000000-0005-0000-0000-0000FBB00000}"/>
    <cellStyle name="Normal 29 3 2 2 2 3" xfId="45298" xr:uid="{00000000-0005-0000-0000-0000FCB00000}"/>
    <cellStyle name="Normal 29 3 2 2 3" xfId="45299" xr:uid="{00000000-0005-0000-0000-0000FDB00000}"/>
    <cellStyle name="Normal 29 3 2 2 3 2" xfId="45300" xr:uid="{00000000-0005-0000-0000-0000FEB00000}"/>
    <cellStyle name="Normal 29 3 2 2 4" xfId="45301" xr:uid="{00000000-0005-0000-0000-0000FFB00000}"/>
    <cellStyle name="Normal 29 3 2 2 5" xfId="45302" xr:uid="{00000000-0005-0000-0000-000000B10000}"/>
    <cellStyle name="Normal 29 3 2 2 6" xfId="45303" xr:uid="{00000000-0005-0000-0000-000001B10000}"/>
    <cellStyle name="Normal 29 3 2 3" xfId="45304" xr:uid="{00000000-0005-0000-0000-000002B10000}"/>
    <cellStyle name="Normal 29 3 2 3 2" xfId="45305" xr:uid="{00000000-0005-0000-0000-000003B10000}"/>
    <cellStyle name="Normal 29 3 2 3 2 2" xfId="45306" xr:uid="{00000000-0005-0000-0000-000004B10000}"/>
    <cellStyle name="Normal 29 3 2 3 3" xfId="45307" xr:uid="{00000000-0005-0000-0000-000005B10000}"/>
    <cellStyle name="Normal 29 3 2 4" xfId="45308" xr:uid="{00000000-0005-0000-0000-000006B10000}"/>
    <cellStyle name="Normal 29 3 2 4 2" xfId="45309" xr:uid="{00000000-0005-0000-0000-000007B10000}"/>
    <cellStyle name="Normal 29 3 2 5" xfId="45310" xr:uid="{00000000-0005-0000-0000-000008B10000}"/>
    <cellStyle name="Normal 29 3 2 6" xfId="45311" xr:uid="{00000000-0005-0000-0000-000009B10000}"/>
    <cellStyle name="Normal 29 3 2 7" xfId="45312" xr:uid="{00000000-0005-0000-0000-00000AB10000}"/>
    <cellStyle name="Normal 29 3 2 8" xfId="45313" xr:uid="{00000000-0005-0000-0000-00000BB10000}"/>
    <cellStyle name="Normal 29 3 3" xfId="45314" xr:uid="{00000000-0005-0000-0000-00000CB10000}"/>
    <cellStyle name="Normal 29 3 3 2" xfId="45315" xr:uid="{00000000-0005-0000-0000-00000DB10000}"/>
    <cellStyle name="Normal 29 3 3 2 2" xfId="45316" xr:uid="{00000000-0005-0000-0000-00000EB10000}"/>
    <cellStyle name="Normal 29 3 3 2 2 2" xfId="45317" xr:uid="{00000000-0005-0000-0000-00000FB10000}"/>
    <cellStyle name="Normal 29 3 3 2 3" xfId="45318" xr:uid="{00000000-0005-0000-0000-000010B10000}"/>
    <cellStyle name="Normal 29 3 3 3" xfId="45319" xr:uid="{00000000-0005-0000-0000-000011B10000}"/>
    <cellStyle name="Normal 29 3 3 3 2" xfId="45320" xr:uid="{00000000-0005-0000-0000-000012B10000}"/>
    <cellStyle name="Normal 29 3 3 4" xfId="45321" xr:uid="{00000000-0005-0000-0000-000013B10000}"/>
    <cellStyle name="Normal 29 3 3 5" xfId="45322" xr:uid="{00000000-0005-0000-0000-000014B10000}"/>
    <cellStyle name="Normal 29 3 3 6" xfId="45323" xr:uid="{00000000-0005-0000-0000-000015B10000}"/>
    <cellStyle name="Normal 29 3 4" xfId="45324" xr:uid="{00000000-0005-0000-0000-000016B10000}"/>
    <cellStyle name="Normal 29 3 4 2" xfId="45325" xr:uid="{00000000-0005-0000-0000-000017B10000}"/>
    <cellStyle name="Normal 29 3 4 2 2" xfId="45326" xr:uid="{00000000-0005-0000-0000-000018B10000}"/>
    <cellStyle name="Normal 29 3 4 2 2 2" xfId="45327" xr:uid="{00000000-0005-0000-0000-000019B10000}"/>
    <cellStyle name="Normal 29 3 4 2 3" xfId="45328" xr:uid="{00000000-0005-0000-0000-00001AB10000}"/>
    <cellStyle name="Normal 29 3 4 3" xfId="45329" xr:uid="{00000000-0005-0000-0000-00001BB10000}"/>
    <cellStyle name="Normal 29 3 4 3 2" xfId="45330" xr:uid="{00000000-0005-0000-0000-00001CB10000}"/>
    <cellStyle name="Normal 29 3 4 4" xfId="45331" xr:uid="{00000000-0005-0000-0000-00001DB10000}"/>
    <cellStyle name="Normal 29 3 5" xfId="45332" xr:uid="{00000000-0005-0000-0000-00001EB10000}"/>
    <cellStyle name="Normal 29 3 5 2" xfId="45333" xr:uid="{00000000-0005-0000-0000-00001FB10000}"/>
    <cellStyle name="Normal 29 3 5 2 2" xfId="45334" xr:uid="{00000000-0005-0000-0000-000020B10000}"/>
    <cellStyle name="Normal 29 3 5 3" xfId="45335" xr:uid="{00000000-0005-0000-0000-000021B10000}"/>
    <cellStyle name="Normal 29 3 6" xfId="45336" xr:uid="{00000000-0005-0000-0000-000022B10000}"/>
    <cellStyle name="Normal 29 3 6 2" xfId="45337" xr:uid="{00000000-0005-0000-0000-000023B10000}"/>
    <cellStyle name="Normal 29 3 7" xfId="45338" xr:uid="{00000000-0005-0000-0000-000024B10000}"/>
    <cellStyle name="Normal 29 3 7 2" xfId="45339" xr:uid="{00000000-0005-0000-0000-000025B10000}"/>
    <cellStyle name="Normal 29 3 8" xfId="45340" xr:uid="{00000000-0005-0000-0000-000026B10000}"/>
    <cellStyle name="Normal 29 3 9" xfId="45341" xr:uid="{00000000-0005-0000-0000-000027B10000}"/>
    <cellStyle name="Normal 29 4" xfId="45342" xr:uid="{00000000-0005-0000-0000-000028B10000}"/>
    <cellStyle name="Normal 29 4 2" xfId="45343" xr:uid="{00000000-0005-0000-0000-000029B10000}"/>
    <cellStyle name="Normal 29 4 2 2" xfId="45344" xr:uid="{00000000-0005-0000-0000-00002AB10000}"/>
    <cellStyle name="Normal 29 4 2 2 2" xfId="45345" xr:uid="{00000000-0005-0000-0000-00002BB10000}"/>
    <cellStyle name="Normal 29 4 2 2 2 2" xfId="45346" xr:uid="{00000000-0005-0000-0000-00002CB10000}"/>
    <cellStyle name="Normal 29 4 2 2 3" xfId="45347" xr:uid="{00000000-0005-0000-0000-00002DB10000}"/>
    <cellStyle name="Normal 29 4 2 3" xfId="45348" xr:uid="{00000000-0005-0000-0000-00002EB10000}"/>
    <cellStyle name="Normal 29 4 2 3 2" xfId="45349" xr:uid="{00000000-0005-0000-0000-00002FB10000}"/>
    <cellStyle name="Normal 29 4 2 4" xfId="45350" xr:uid="{00000000-0005-0000-0000-000030B10000}"/>
    <cellStyle name="Normal 29 4 2 5" xfId="45351" xr:uid="{00000000-0005-0000-0000-000031B10000}"/>
    <cellStyle name="Normal 29 4 2 6" xfId="45352" xr:uid="{00000000-0005-0000-0000-000032B10000}"/>
    <cellStyle name="Normal 29 4 3" xfId="45353" xr:uid="{00000000-0005-0000-0000-000033B10000}"/>
    <cellStyle name="Normal 29 4 3 2" xfId="45354" xr:uid="{00000000-0005-0000-0000-000034B10000}"/>
    <cellStyle name="Normal 29 4 3 2 2" xfId="45355" xr:uid="{00000000-0005-0000-0000-000035B10000}"/>
    <cellStyle name="Normal 29 4 3 2 2 2" xfId="45356" xr:uid="{00000000-0005-0000-0000-000036B10000}"/>
    <cellStyle name="Normal 29 4 3 2 3" xfId="45357" xr:uid="{00000000-0005-0000-0000-000037B10000}"/>
    <cellStyle name="Normal 29 4 3 3" xfId="45358" xr:uid="{00000000-0005-0000-0000-000038B10000}"/>
    <cellStyle name="Normal 29 4 3 3 2" xfId="45359" xr:uid="{00000000-0005-0000-0000-000039B10000}"/>
    <cellStyle name="Normal 29 4 3 4" xfId="45360" xr:uid="{00000000-0005-0000-0000-00003AB10000}"/>
    <cellStyle name="Normal 29 4 4" xfId="45361" xr:uid="{00000000-0005-0000-0000-00003BB10000}"/>
    <cellStyle name="Normal 29 4 4 2" xfId="45362" xr:uid="{00000000-0005-0000-0000-00003CB10000}"/>
    <cellStyle name="Normal 29 4 4 2 2" xfId="45363" xr:uid="{00000000-0005-0000-0000-00003DB10000}"/>
    <cellStyle name="Normal 29 4 4 3" xfId="45364" xr:uid="{00000000-0005-0000-0000-00003EB10000}"/>
    <cellStyle name="Normal 29 4 5" xfId="45365" xr:uid="{00000000-0005-0000-0000-00003FB10000}"/>
    <cellStyle name="Normal 29 4 5 2" xfId="45366" xr:uid="{00000000-0005-0000-0000-000040B10000}"/>
    <cellStyle name="Normal 29 4 6" xfId="45367" xr:uid="{00000000-0005-0000-0000-000041B10000}"/>
    <cellStyle name="Normal 29 4 7" xfId="45368" xr:uid="{00000000-0005-0000-0000-000042B10000}"/>
    <cellStyle name="Normal 29 4 8" xfId="45369" xr:uid="{00000000-0005-0000-0000-000043B10000}"/>
    <cellStyle name="Normal 29 4 9" xfId="45370" xr:uid="{00000000-0005-0000-0000-000044B10000}"/>
    <cellStyle name="Normal 29 5" xfId="45371" xr:uid="{00000000-0005-0000-0000-000045B10000}"/>
    <cellStyle name="Normal 29 5 2" xfId="45372" xr:uid="{00000000-0005-0000-0000-000046B10000}"/>
    <cellStyle name="Normal 29 5 2 2" xfId="45373" xr:uid="{00000000-0005-0000-0000-000047B10000}"/>
    <cellStyle name="Normal 29 5 2 2 2" xfId="45374" xr:uid="{00000000-0005-0000-0000-000048B10000}"/>
    <cellStyle name="Normal 29 5 2 2 2 2" xfId="45375" xr:uid="{00000000-0005-0000-0000-000049B10000}"/>
    <cellStyle name="Normal 29 5 2 2 3" xfId="45376" xr:uid="{00000000-0005-0000-0000-00004AB10000}"/>
    <cellStyle name="Normal 29 5 2 3" xfId="45377" xr:uid="{00000000-0005-0000-0000-00004BB10000}"/>
    <cellStyle name="Normal 29 5 2 3 2" xfId="45378" xr:uid="{00000000-0005-0000-0000-00004CB10000}"/>
    <cellStyle name="Normal 29 5 2 4" xfId="45379" xr:uid="{00000000-0005-0000-0000-00004DB10000}"/>
    <cellStyle name="Normal 29 5 3" xfId="45380" xr:uid="{00000000-0005-0000-0000-00004EB10000}"/>
    <cellStyle name="Normal 29 5 3 2" xfId="45381" xr:uid="{00000000-0005-0000-0000-00004FB10000}"/>
    <cellStyle name="Normal 29 5 3 2 2" xfId="45382" xr:uid="{00000000-0005-0000-0000-000050B10000}"/>
    <cellStyle name="Normal 29 5 3 3" xfId="45383" xr:uid="{00000000-0005-0000-0000-000051B10000}"/>
    <cellStyle name="Normal 29 5 4" xfId="45384" xr:uid="{00000000-0005-0000-0000-000052B10000}"/>
    <cellStyle name="Normal 29 5 4 2" xfId="45385" xr:uid="{00000000-0005-0000-0000-000053B10000}"/>
    <cellStyle name="Normal 29 5 5" xfId="45386" xr:uid="{00000000-0005-0000-0000-000054B10000}"/>
    <cellStyle name="Normal 29 5 6" xfId="45387" xr:uid="{00000000-0005-0000-0000-000055B10000}"/>
    <cellStyle name="Normal 29 5 7" xfId="45388" xr:uid="{00000000-0005-0000-0000-000056B10000}"/>
    <cellStyle name="Normal 29 6" xfId="45389" xr:uid="{00000000-0005-0000-0000-000057B10000}"/>
    <cellStyle name="Normal 29 6 2" xfId="45390" xr:uid="{00000000-0005-0000-0000-000058B10000}"/>
    <cellStyle name="Normal 29 6 2 2" xfId="45391" xr:uid="{00000000-0005-0000-0000-000059B10000}"/>
    <cellStyle name="Normal 29 6 2 2 2" xfId="45392" xr:uid="{00000000-0005-0000-0000-00005AB10000}"/>
    <cellStyle name="Normal 29 6 2 3" xfId="45393" xr:uid="{00000000-0005-0000-0000-00005BB10000}"/>
    <cellStyle name="Normal 29 6 3" xfId="45394" xr:uid="{00000000-0005-0000-0000-00005CB10000}"/>
    <cellStyle name="Normal 29 6 3 2" xfId="45395" xr:uid="{00000000-0005-0000-0000-00005DB10000}"/>
    <cellStyle name="Normal 29 6 4" xfId="45396" xr:uid="{00000000-0005-0000-0000-00005EB10000}"/>
    <cellStyle name="Normal 29 7" xfId="45397" xr:uid="{00000000-0005-0000-0000-00005FB10000}"/>
    <cellStyle name="Normal 29 7 2" xfId="45398" xr:uid="{00000000-0005-0000-0000-000060B10000}"/>
    <cellStyle name="Normal 29 7 2 2" xfId="45399" xr:uid="{00000000-0005-0000-0000-000061B10000}"/>
    <cellStyle name="Normal 29 7 2 2 2" xfId="45400" xr:uid="{00000000-0005-0000-0000-000062B10000}"/>
    <cellStyle name="Normal 29 7 2 3" xfId="45401" xr:uid="{00000000-0005-0000-0000-000063B10000}"/>
    <cellStyle name="Normal 29 7 3" xfId="45402" xr:uid="{00000000-0005-0000-0000-000064B10000}"/>
    <cellStyle name="Normal 29 7 3 2" xfId="45403" xr:uid="{00000000-0005-0000-0000-000065B10000}"/>
    <cellStyle name="Normal 29 7 4" xfId="45404" xr:uid="{00000000-0005-0000-0000-000066B10000}"/>
    <cellStyle name="Normal 29 8" xfId="45405" xr:uid="{00000000-0005-0000-0000-000067B10000}"/>
    <cellStyle name="Normal 29 8 2" xfId="45406" xr:uid="{00000000-0005-0000-0000-000068B10000}"/>
    <cellStyle name="Normal 29 8 2 2" xfId="45407" xr:uid="{00000000-0005-0000-0000-000069B10000}"/>
    <cellStyle name="Normal 29 8 3" xfId="45408" xr:uid="{00000000-0005-0000-0000-00006AB10000}"/>
    <cellStyle name="Normal 29 9" xfId="45409" xr:uid="{00000000-0005-0000-0000-00006BB10000}"/>
    <cellStyle name="Normal 29 9 2" xfId="45410" xr:uid="{00000000-0005-0000-0000-00006CB10000}"/>
    <cellStyle name="Normal 29_Proj" xfId="45411" xr:uid="{00000000-0005-0000-0000-00006DB10000}"/>
    <cellStyle name="Normal 3" xfId="9" xr:uid="{00000000-0005-0000-0000-00006EB10000}"/>
    <cellStyle name="Normal 3 10" xfId="45412" xr:uid="{00000000-0005-0000-0000-00006FB10000}"/>
    <cellStyle name="Normal 3 100" xfId="45413" xr:uid="{00000000-0005-0000-0000-000070B10000}"/>
    <cellStyle name="Normal 3 101" xfId="45414" xr:uid="{00000000-0005-0000-0000-000071B10000}"/>
    <cellStyle name="Normal 3 102" xfId="45415" xr:uid="{00000000-0005-0000-0000-000072B10000}"/>
    <cellStyle name="Normal 3 103" xfId="45416" xr:uid="{00000000-0005-0000-0000-000073B10000}"/>
    <cellStyle name="Normal 3 104" xfId="45417" xr:uid="{00000000-0005-0000-0000-000074B10000}"/>
    <cellStyle name="Normal 3 105" xfId="45418" xr:uid="{00000000-0005-0000-0000-000075B10000}"/>
    <cellStyle name="Normal 3 106" xfId="45419" xr:uid="{00000000-0005-0000-0000-000076B10000}"/>
    <cellStyle name="Normal 3 107" xfId="45420" xr:uid="{00000000-0005-0000-0000-000077B10000}"/>
    <cellStyle name="Normal 3 108" xfId="45421" xr:uid="{00000000-0005-0000-0000-000078B10000}"/>
    <cellStyle name="Normal 3 109" xfId="45422" xr:uid="{00000000-0005-0000-0000-000079B10000}"/>
    <cellStyle name="Normal 3 11" xfId="45423" xr:uid="{00000000-0005-0000-0000-00007AB10000}"/>
    <cellStyle name="Normal 3 110" xfId="45424" xr:uid="{00000000-0005-0000-0000-00007BB10000}"/>
    <cellStyle name="Normal 3 111" xfId="45425" xr:uid="{00000000-0005-0000-0000-00007CB10000}"/>
    <cellStyle name="Normal 3 112" xfId="45426" xr:uid="{00000000-0005-0000-0000-00007DB10000}"/>
    <cellStyle name="Normal 3 113" xfId="45427" xr:uid="{00000000-0005-0000-0000-00007EB10000}"/>
    <cellStyle name="Normal 3 114" xfId="45428" xr:uid="{00000000-0005-0000-0000-00007FB10000}"/>
    <cellStyle name="Normal 3 115" xfId="45429" xr:uid="{00000000-0005-0000-0000-000080B10000}"/>
    <cellStyle name="Normal 3 116" xfId="45430" xr:uid="{00000000-0005-0000-0000-000081B10000}"/>
    <cellStyle name="Normal 3 117" xfId="45431" xr:uid="{00000000-0005-0000-0000-000082B10000}"/>
    <cellStyle name="Normal 3 118" xfId="45432" xr:uid="{00000000-0005-0000-0000-000083B10000}"/>
    <cellStyle name="Normal 3 119" xfId="45433" xr:uid="{00000000-0005-0000-0000-000084B10000}"/>
    <cellStyle name="Normal 3 12" xfId="45434" xr:uid="{00000000-0005-0000-0000-000085B10000}"/>
    <cellStyle name="Normal 3 120" xfId="45435" xr:uid="{00000000-0005-0000-0000-000086B10000}"/>
    <cellStyle name="Normal 3 121" xfId="45436" xr:uid="{00000000-0005-0000-0000-000087B10000}"/>
    <cellStyle name="Normal 3 122" xfId="45437" xr:uid="{00000000-0005-0000-0000-000088B10000}"/>
    <cellStyle name="Normal 3 123" xfId="45438" xr:uid="{00000000-0005-0000-0000-000089B10000}"/>
    <cellStyle name="Normal 3 124" xfId="45439" xr:uid="{00000000-0005-0000-0000-00008AB10000}"/>
    <cellStyle name="Normal 3 125" xfId="45440" xr:uid="{00000000-0005-0000-0000-00008BB10000}"/>
    <cellStyle name="Normal 3 126" xfId="45441" xr:uid="{00000000-0005-0000-0000-00008CB10000}"/>
    <cellStyle name="Normal 3 127" xfId="45442" xr:uid="{00000000-0005-0000-0000-00008DB10000}"/>
    <cellStyle name="Normal 3 128" xfId="45443" xr:uid="{00000000-0005-0000-0000-00008EB10000}"/>
    <cellStyle name="Normal 3 129" xfId="45444" xr:uid="{00000000-0005-0000-0000-00008FB10000}"/>
    <cellStyle name="Normal 3 13" xfId="45445" xr:uid="{00000000-0005-0000-0000-000090B10000}"/>
    <cellStyle name="Normal 3 130" xfId="45446" xr:uid="{00000000-0005-0000-0000-000091B10000}"/>
    <cellStyle name="Normal 3 131" xfId="45447" xr:uid="{00000000-0005-0000-0000-000092B10000}"/>
    <cellStyle name="Normal 3 132" xfId="45448" xr:uid="{00000000-0005-0000-0000-000093B10000}"/>
    <cellStyle name="Normal 3 133" xfId="45449" xr:uid="{00000000-0005-0000-0000-000094B10000}"/>
    <cellStyle name="Normal 3 134" xfId="45450" xr:uid="{00000000-0005-0000-0000-000095B10000}"/>
    <cellStyle name="Normal 3 135" xfId="45451" xr:uid="{00000000-0005-0000-0000-000096B10000}"/>
    <cellStyle name="Normal 3 136" xfId="45452" xr:uid="{00000000-0005-0000-0000-000097B10000}"/>
    <cellStyle name="Normal 3 137" xfId="45453" xr:uid="{00000000-0005-0000-0000-000098B10000}"/>
    <cellStyle name="Normal 3 138" xfId="45454" xr:uid="{00000000-0005-0000-0000-000099B10000}"/>
    <cellStyle name="Normal 3 139" xfId="45455" xr:uid="{00000000-0005-0000-0000-00009AB10000}"/>
    <cellStyle name="Normal 3 14" xfId="45456" xr:uid="{00000000-0005-0000-0000-00009BB10000}"/>
    <cellStyle name="Normal 3 140" xfId="45457" xr:uid="{00000000-0005-0000-0000-00009CB10000}"/>
    <cellStyle name="Normal 3 141" xfId="45458" xr:uid="{00000000-0005-0000-0000-00009DB10000}"/>
    <cellStyle name="Normal 3 142" xfId="45459" xr:uid="{00000000-0005-0000-0000-00009EB10000}"/>
    <cellStyle name="Normal 3 143" xfId="45460" xr:uid="{00000000-0005-0000-0000-00009FB10000}"/>
    <cellStyle name="Normal 3 144" xfId="45461" xr:uid="{00000000-0005-0000-0000-0000A0B10000}"/>
    <cellStyle name="Normal 3 145" xfId="45462" xr:uid="{00000000-0005-0000-0000-0000A1B10000}"/>
    <cellStyle name="Normal 3 146" xfId="45463" xr:uid="{00000000-0005-0000-0000-0000A2B10000}"/>
    <cellStyle name="Normal 3 147" xfId="45464" xr:uid="{00000000-0005-0000-0000-0000A3B10000}"/>
    <cellStyle name="Normal 3 148" xfId="45465" xr:uid="{00000000-0005-0000-0000-0000A4B10000}"/>
    <cellStyle name="Normal 3 149" xfId="45466" xr:uid="{00000000-0005-0000-0000-0000A5B10000}"/>
    <cellStyle name="Normal 3 15" xfId="45467" xr:uid="{00000000-0005-0000-0000-0000A6B10000}"/>
    <cellStyle name="Normal 3 150" xfId="45468" xr:uid="{00000000-0005-0000-0000-0000A7B10000}"/>
    <cellStyle name="Normal 3 151" xfId="45469" xr:uid="{00000000-0005-0000-0000-0000A8B10000}"/>
    <cellStyle name="Normal 3 152" xfId="45470" xr:uid="{00000000-0005-0000-0000-0000A9B10000}"/>
    <cellStyle name="Normal 3 153" xfId="45471" xr:uid="{00000000-0005-0000-0000-0000AAB10000}"/>
    <cellStyle name="Normal 3 154" xfId="45472" xr:uid="{00000000-0005-0000-0000-0000ABB10000}"/>
    <cellStyle name="Normal 3 155" xfId="45473" xr:uid="{00000000-0005-0000-0000-0000ACB10000}"/>
    <cellStyle name="Normal 3 156" xfId="45474" xr:uid="{00000000-0005-0000-0000-0000ADB10000}"/>
    <cellStyle name="Normal 3 157" xfId="45475" xr:uid="{00000000-0005-0000-0000-0000AEB10000}"/>
    <cellStyle name="Normal 3 158" xfId="45476" xr:uid="{00000000-0005-0000-0000-0000AFB10000}"/>
    <cellStyle name="Normal 3 159" xfId="45477" xr:uid="{00000000-0005-0000-0000-0000B0B10000}"/>
    <cellStyle name="Normal 3 16" xfId="45478" xr:uid="{00000000-0005-0000-0000-0000B1B10000}"/>
    <cellStyle name="Normal 3 160" xfId="45479" xr:uid="{00000000-0005-0000-0000-0000B2B10000}"/>
    <cellStyle name="Normal 3 161" xfId="45480" xr:uid="{00000000-0005-0000-0000-0000B3B10000}"/>
    <cellStyle name="Normal 3 162" xfId="45481" xr:uid="{00000000-0005-0000-0000-0000B4B10000}"/>
    <cellStyle name="Normal 3 163" xfId="45482" xr:uid="{00000000-0005-0000-0000-0000B5B10000}"/>
    <cellStyle name="Normal 3 164" xfId="45483" xr:uid="{00000000-0005-0000-0000-0000B6B10000}"/>
    <cellStyle name="Normal 3 165" xfId="45484" xr:uid="{00000000-0005-0000-0000-0000B7B10000}"/>
    <cellStyle name="Normal 3 166" xfId="45485" xr:uid="{00000000-0005-0000-0000-0000B8B10000}"/>
    <cellStyle name="Normal 3 167" xfId="45486" xr:uid="{00000000-0005-0000-0000-0000B9B10000}"/>
    <cellStyle name="Normal 3 168" xfId="45487" xr:uid="{00000000-0005-0000-0000-0000BAB10000}"/>
    <cellStyle name="Normal 3 169" xfId="45488" xr:uid="{00000000-0005-0000-0000-0000BBB10000}"/>
    <cellStyle name="Normal 3 17" xfId="45489" xr:uid="{00000000-0005-0000-0000-0000BCB10000}"/>
    <cellStyle name="Normal 3 170" xfId="45490" xr:uid="{00000000-0005-0000-0000-0000BDB10000}"/>
    <cellStyle name="Normal 3 171" xfId="45491" xr:uid="{00000000-0005-0000-0000-0000BEB10000}"/>
    <cellStyle name="Normal 3 172" xfId="45492" xr:uid="{00000000-0005-0000-0000-0000BFB10000}"/>
    <cellStyle name="Normal 3 173" xfId="45493" xr:uid="{00000000-0005-0000-0000-0000C0B10000}"/>
    <cellStyle name="Normal 3 174" xfId="45494" xr:uid="{00000000-0005-0000-0000-0000C1B10000}"/>
    <cellStyle name="Normal 3 175" xfId="45495" xr:uid="{00000000-0005-0000-0000-0000C2B10000}"/>
    <cellStyle name="Normal 3 176" xfId="45496" xr:uid="{00000000-0005-0000-0000-0000C3B10000}"/>
    <cellStyle name="Normal 3 177" xfId="45497" xr:uid="{00000000-0005-0000-0000-0000C4B10000}"/>
    <cellStyle name="Normal 3 178" xfId="45498" xr:uid="{00000000-0005-0000-0000-0000C5B10000}"/>
    <cellStyle name="Normal 3 179" xfId="45499" xr:uid="{00000000-0005-0000-0000-0000C6B10000}"/>
    <cellStyle name="Normal 3 18" xfId="45500" xr:uid="{00000000-0005-0000-0000-0000C7B10000}"/>
    <cellStyle name="Normal 3 18 2" xfId="45501" xr:uid="{00000000-0005-0000-0000-0000C8B10000}"/>
    <cellStyle name="Normal 3 180" xfId="45502" xr:uid="{00000000-0005-0000-0000-0000C9B10000}"/>
    <cellStyle name="Normal 3 181" xfId="45503" xr:uid="{00000000-0005-0000-0000-0000CAB10000}"/>
    <cellStyle name="Normal 3 182" xfId="45504" xr:uid="{00000000-0005-0000-0000-0000CBB10000}"/>
    <cellStyle name="Normal 3 183" xfId="45505" xr:uid="{00000000-0005-0000-0000-0000CCB10000}"/>
    <cellStyle name="Normal 3 184" xfId="45506" xr:uid="{00000000-0005-0000-0000-0000CDB10000}"/>
    <cellStyle name="Normal 3 185" xfId="45507" xr:uid="{00000000-0005-0000-0000-0000CEB10000}"/>
    <cellStyle name="Normal 3 186" xfId="45508" xr:uid="{00000000-0005-0000-0000-0000CFB10000}"/>
    <cellStyle name="Normal 3 187" xfId="45509" xr:uid="{00000000-0005-0000-0000-0000D0B10000}"/>
    <cellStyle name="Normal 3 188" xfId="45510" xr:uid="{00000000-0005-0000-0000-0000D1B10000}"/>
    <cellStyle name="Normal 3 189" xfId="45511" xr:uid="{00000000-0005-0000-0000-0000D2B10000}"/>
    <cellStyle name="Normal 3 19" xfId="45512" xr:uid="{00000000-0005-0000-0000-0000D3B10000}"/>
    <cellStyle name="Normal 3 190" xfId="45513" xr:uid="{00000000-0005-0000-0000-0000D4B10000}"/>
    <cellStyle name="Normal 3 191" xfId="45514" xr:uid="{00000000-0005-0000-0000-0000D5B10000}"/>
    <cellStyle name="Normal 3 192" xfId="45515" xr:uid="{00000000-0005-0000-0000-0000D6B10000}"/>
    <cellStyle name="Normal 3 193" xfId="45516" xr:uid="{00000000-0005-0000-0000-0000D7B10000}"/>
    <cellStyle name="Normal 3 194" xfId="45517" xr:uid="{00000000-0005-0000-0000-0000D8B10000}"/>
    <cellStyle name="Normal 3 195" xfId="45518" xr:uid="{00000000-0005-0000-0000-0000D9B10000}"/>
    <cellStyle name="Normal 3 196" xfId="53999" xr:uid="{00000000-0005-0000-0000-0000DAB10000}"/>
    <cellStyle name="Normal 3 197" xfId="54004" xr:uid="{00000000-0005-0000-0000-0000DBB10000}"/>
    <cellStyle name="Normal 3 198" xfId="54008" xr:uid="{00000000-0005-0000-0000-0000DCB10000}"/>
    <cellStyle name="Normal 3 2" xfId="45519" xr:uid="{00000000-0005-0000-0000-0000DDB10000}"/>
    <cellStyle name="Normal 3 2 10" xfId="45520" xr:uid="{00000000-0005-0000-0000-0000DEB10000}"/>
    <cellStyle name="Normal 3 2 11" xfId="45521" xr:uid="{00000000-0005-0000-0000-0000DFB10000}"/>
    <cellStyle name="Normal 3 2 2" xfId="45522" xr:uid="{00000000-0005-0000-0000-0000E0B10000}"/>
    <cellStyle name="Normal 3 2 2 2" xfId="45523" xr:uid="{00000000-0005-0000-0000-0000E1B10000}"/>
    <cellStyle name="Normal 3 2 2 3" xfId="45524" xr:uid="{00000000-0005-0000-0000-0000E2B10000}"/>
    <cellStyle name="Normal 3 2 2 4" xfId="45525" xr:uid="{00000000-0005-0000-0000-0000E3B10000}"/>
    <cellStyle name="Normal 3 2 2_Labour" xfId="45526" xr:uid="{00000000-0005-0000-0000-0000E4B10000}"/>
    <cellStyle name="Normal 3 2 3" xfId="45527" xr:uid="{00000000-0005-0000-0000-0000E5B10000}"/>
    <cellStyle name="Normal 3 2 3 2" xfId="45528" xr:uid="{00000000-0005-0000-0000-0000E6B10000}"/>
    <cellStyle name="Normal 3 2 4" xfId="45529" xr:uid="{00000000-0005-0000-0000-0000E7B10000}"/>
    <cellStyle name="Normal 3 2 4 2" xfId="45530" xr:uid="{00000000-0005-0000-0000-0000E8B10000}"/>
    <cellStyle name="Normal 3 2 4 3" xfId="45531" xr:uid="{00000000-0005-0000-0000-0000E9B10000}"/>
    <cellStyle name="Normal 3 2 4 3 2" xfId="45532" xr:uid="{00000000-0005-0000-0000-0000EAB10000}"/>
    <cellStyle name="Normal 3 2 4 4" xfId="45533" xr:uid="{00000000-0005-0000-0000-0000EBB10000}"/>
    <cellStyle name="Normal 3 2 5" xfId="45534" xr:uid="{00000000-0005-0000-0000-0000ECB10000}"/>
    <cellStyle name="Normal 3 2 6" xfId="45535" xr:uid="{00000000-0005-0000-0000-0000EDB10000}"/>
    <cellStyle name="Normal 3 2 7" xfId="45536" xr:uid="{00000000-0005-0000-0000-0000EEB10000}"/>
    <cellStyle name="Normal 3 2 8" xfId="45537" xr:uid="{00000000-0005-0000-0000-0000EFB10000}"/>
    <cellStyle name="Normal 3 2 9" xfId="45538" xr:uid="{00000000-0005-0000-0000-0000F0B10000}"/>
    <cellStyle name="Normal 3 2_GE.IU" xfId="45539" xr:uid="{00000000-0005-0000-0000-0000F1B10000}"/>
    <cellStyle name="Normal 3 20" xfId="45540" xr:uid="{00000000-0005-0000-0000-0000F2B10000}"/>
    <cellStyle name="Normal 3 21" xfId="45541" xr:uid="{00000000-0005-0000-0000-0000F3B10000}"/>
    <cellStyle name="Normal 3 22" xfId="45542" xr:uid="{00000000-0005-0000-0000-0000F4B10000}"/>
    <cellStyle name="Normal 3 23" xfId="45543" xr:uid="{00000000-0005-0000-0000-0000F5B10000}"/>
    <cellStyle name="Normal 3 24" xfId="45544" xr:uid="{00000000-0005-0000-0000-0000F6B10000}"/>
    <cellStyle name="Normal 3 25" xfId="45545" xr:uid="{00000000-0005-0000-0000-0000F7B10000}"/>
    <cellStyle name="Normal 3 26" xfId="45546" xr:uid="{00000000-0005-0000-0000-0000F8B10000}"/>
    <cellStyle name="Normal 3 27" xfId="45547" xr:uid="{00000000-0005-0000-0000-0000F9B10000}"/>
    <cellStyle name="Normal 3 28" xfId="45548" xr:uid="{00000000-0005-0000-0000-0000FAB10000}"/>
    <cellStyle name="Normal 3 29" xfId="45549" xr:uid="{00000000-0005-0000-0000-0000FBB10000}"/>
    <cellStyle name="Normal 3 3" xfId="45550" xr:uid="{00000000-0005-0000-0000-0000FCB10000}"/>
    <cellStyle name="Normal 3 3 2" xfId="45551" xr:uid="{00000000-0005-0000-0000-0000FDB10000}"/>
    <cellStyle name="Normal 3 3 3" xfId="45552" xr:uid="{00000000-0005-0000-0000-0000FEB10000}"/>
    <cellStyle name="Normal 3 30" xfId="45553" xr:uid="{00000000-0005-0000-0000-0000FFB10000}"/>
    <cellStyle name="Normal 3 31" xfId="45554" xr:uid="{00000000-0005-0000-0000-000000B20000}"/>
    <cellStyle name="Normal 3 32" xfId="45555" xr:uid="{00000000-0005-0000-0000-000001B20000}"/>
    <cellStyle name="Normal 3 33" xfId="45556" xr:uid="{00000000-0005-0000-0000-000002B20000}"/>
    <cellStyle name="Normal 3 34" xfId="45557" xr:uid="{00000000-0005-0000-0000-000003B20000}"/>
    <cellStyle name="Normal 3 35" xfId="45558" xr:uid="{00000000-0005-0000-0000-000004B20000}"/>
    <cellStyle name="Normal 3 36" xfId="45559" xr:uid="{00000000-0005-0000-0000-000005B20000}"/>
    <cellStyle name="Normal 3 37" xfId="45560" xr:uid="{00000000-0005-0000-0000-000006B20000}"/>
    <cellStyle name="Normal 3 38" xfId="45561" xr:uid="{00000000-0005-0000-0000-000007B20000}"/>
    <cellStyle name="Normal 3 39" xfId="45562" xr:uid="{00000000-0005-0000-0000-000008B20000}"/>
    <cellStyle name="Normal 3 4" xfId="45563" xr:uid="{00000000-0005-0000-0000-000009B20000}"/>
    <cellStyle name="Normal 3 4 2" xfId="45564" xr:uid="{00000000-0005-0000-0000-00000AB20000}"/>
    <cellStyle name="Normal 3 4 3" xfId="45565" xr:uid="{00000000-0005-0000-0000-00000BB20000}"/>
    <cellStyle name="Normal 3 40" xfId="45566" xr:uid="{00000000-0005-0000-0000-00000CB20000}"/>
    <cellStyle name="Normal 3 41" xfId="45567" xr:uid="{00000000-0005-0000-0000-00000DB20000}"/>
    <cellStyle name="Normal 3 42" xfId="45568" xr:uid="{00000000-0005-0000-0000-00000EB20000}"/>
    <cellStyle name="Normal 3 43" xfId="45569" xr:uid="{00000000-0005-0000-0000-00000FB20000}"/>
    <cellStyle name="Normal 3 44" xfId="45570" xr:uid="{00000000-0005-0000-0000-000010B20000}"/>
    <cellStyle name="Normal 3 45" xfId="45571" xr:uid="{00000000-0005-0000-0000-000011B20000}"/>
    <cellStyle name="Normal 3 46" xfId="45572" xr:uid="{00000000-0005-0000-0000-000012B20000}"/>
    <cellStyle name="Normal 3 47" xfId="45573" xr:uid="{00000000-0005-0000-0000-000013B20000}"/>
    <cellStyle name="Normal 3 48" xfId="45574" xr:uid="{00000000-0005-0000-0000-000014B20000}"/>
    <cellStyle name="Normal 3 49" xfId="45575" xr:uid="{00000000-0005-0000-0000-000015B20000}"/>
    <cellStyle name="Normal 3 5" xfId="45576" xr:uid="{00000000-0005-0000-0000-000016B20000}"/>
    <cellStyle name="Normal 3 5 2" xfId="45577" xr:uid="{00000000-0005-0000-0000-000017B20000}"/>
    <cellStyle name="Normal 3 50" xfId="45578" xr:uid="{00000000-0005-0000-0000-000018B20000}"/>
    <cellStyle name="Normal 3 51" xfId="45579" xr:uid="{00000000-0005-0000-0000-000019B20000}"/>
    <cellStyle name="Normal 3 52" xfId="45580" xr:uid="{00000000-0005-0000-0000-00001AB20000}"/>
    <cellStyle name="Normal 3 53" xfId="45581" xr:uid="{00000000-0005-0000-0000-00001BB20000}"/>
    <cellStyle name="Normal 3 54" xfId="45582" xr:uid="{00000000-0005-0000-0000-00001CB20000}"/>
    <cellStyle name="Normal 3 55" xfId="45583" xr:uid="{00000000-0005-0000-0000-00001DB20000}"/>
    <cellStyle name="Normal 3 56" xfId="45584" xr:uid="{00000000-0005-0000-0000-00001EB20000}"/>
    <cellStyle name="Normal 3 57" xfId="45585" xr:uid="{00000000-0005-0000-0000-00001FB20000}"/>
    <cellStyle name="Normal 3 58" xfId="45586" xr:uid="{00000000-0005-0000-0000-000020B20000}"/>
    <cellStyle name="Normal 3 59" xfId="45587" xr:uid="{00000000-0005-0000-0000-000021B20000}"/>
    <cellStyle name="Normal 3 6" xfId="45588" xr:uid="{00000000-0005-0000-0000-000022B20000}"/>
    <cellStyle name="Normal 3 6 2" xfId="45589" xr:uid="{00000000-0005-0000-0000-000023B20000}"/>
    <cellStyle name="Normal 3 60" xfId="45590" xr:uid="{00000000-0005-0000-0000-000024B20000}"/>
    <cellStyle name="Normal 3 61" xfId="45591" xr:uid="{00000000-0005-0000-0000-000025B20000}"/>
    <cellStyle name="Normal 3 62" xfId="45592" xr:uid="{00000000-0005-0000-0000-000026B20000}"/>
    <cellStyle name="Normal 3 63" xfId="45593" xr:uid="{00000000-0005-0000-0000-000027B20000}"/>
    <cellStyle name="Normal 3 64" xfId="45594" xr:uid="{00000000-0005-0000-0000-000028B20000}"/>
    <cellStyle name="Normal 3 65" xfId="45595" xr:uid="{00000000-0005-0000-0000-000029B20000}"/>
    <cellStyle name="Normal 3 66" xfId="45596" xr:uid="{00000000-0005-0000-0000-00002AB20000}"/>
    <cellStyle name="Normal 3 67" xfId="45597" xr:uid="{00000000-0005-0000-0000-00002BB20000}"/>
    <cellStyle name="Normal 3 68" xfId="45598" xr:uid="{00000000-0005-0000-0000-00002CB20000}"/>
    <cellStyle name="Normal 3 69" xfId="45599" xr:uid="{00000000-0005-0000-0000-00002DB20000}"/>
    <cellStyle name="Normal 3 7" xfId="45600" xr:uid="{00000000-0005-0000-0000-00002EB20000}"/>
    <cellStyle name="Normal 3 7 2" xfId="45601" xr:uid="{00000000-0005-0000-0000-00002FB20000}"/>
    <cellStyle name="Normal 3 70" xfId="45602" xr:uid="{00000000-0005-0000-0000-000030B20000}"/>
    <cellStyle name="Normal 3 71" xfId="45603" xr:uid="{00000000-0005-0000-0000-000031B20000}"/>
    <cellStyle name="Normal 3 72" xfId="45604" xr:uid="{00000000-0005-0000-0000-000032B20000}"/>
    <cellStyle name="Normal 3 73" xfId="45605" xr:uid="{00000000-0005-0000-0000-000033B20000}"/>
    <cellStyle name="Normal 3 74" xfId="45606" xr:uid="{00000000-0005-0000-0000-000034B20000}"/>
    <cellStyle name="Normal 3 75" xfId="45607" xr:uid="{00000000-0005-0000-0000-000035B20000}"/>
    <cellStyle name="Normal 3 76" xfId="45608" xr:uid="{00000000-0005-0000-0000-000036B20000}"/>
    <cellStyle name="Normal 3 77" xfId="45609" xr:uid="{00000000-0005-0000-0000-000037B20000}"/>
    <cellStyle name="Normal 3 78" xfId="45610" xr:uid="{00000000-0005-0000-0000-000038B20000}"/>
    <cellStyle name="Normal 3 79" xfId="45611" xr:uid="{00000000-0005-0000-0000-000039B20000}"/>
    <cellStyle name="Normal 3 8" xfId="45612" xr:uid="{00000000-0005-0000-0000-00003AB20000}"/>
    <cellStyle name="Normal 3 80" xfId="45613" xr:uid="{00000000-0005-0000-0000-00003BB20000}"/>
    <cellStyle name="Normal 3 81" xfId="45614" xr:uid="{00000000-0005-0000-0000-00003CB20000}"/>
    <cellStyle name="Normal 3 82" xfId="45615" xr:uid="{00000000-0005-0000-0000-00003DB20000}"/>
    <cellStyle name="Normal 3 83" xfId="45616" xr:uid="{00000000-0005-0000-0000-00003EB20000}"/>
    <cellStyle name="Normal 3 84" xfId="45617" xr:uid="{00000000-0005-0000-0000-00003FB20000}"/>
    <cellStyle name="Normal 3 85" xfId="45618" xr:uid="{00000000-0005-0000-0000-000040B20000}"/>
    <cellStyle name="Normal 3 86" xfId="45619" xr:uid="{00000000-0005-0000-0000-000041B20000}"/>
    <cellStyle name="Normal 3 87" xfId="45620" xr:uid="{00000000-0005-0000-0000-000042B20000}"/>
    <cellStyle name="Normal 3 88" xfId="45621" xr:uid="{00000000-0005-0000-0000-000043B20000}"/>
    <cellStyle name="Normal 3 89" xfId="45622" xr:uid="{00000000-0005-0000-0000-000044B20000}"/>
    <cellStyle name="Normal 3 9" xfId="45623" xr:uid="{00000000-0005-0000-0000-000045B20000}"/>
    <cellStyle name="Normal 3 90" xfId="45624" xr:uid="{00000000-0005-0000-0000-000046B20000}"/>
    <cellStyle name="Normal 3 91" xfId="45625" xr:uid="{00000000-0005-0000-0000-000047B20000}"/>
    <cellStyle name="Normal 3 92" xfId="45626" xr:uid="{00000000-0005-0000-0000-000048B20000}"/>
    <cellStyle name="Normal 3 93" xfId="45627" xr:uid="{00000000-0005-0000-0000-000049B20000}"/>
    <cellStyle name="Normal 3 94" xfId="45628" xr:uid="{00000000-0005-0000-0000-00004AB20000}"/>
    <cellStyle name="Normal 3 95" xfId="45629" xr:uid="{00000000-0005-0000-0000-00004BB20000}"/>
    <cellStyle name="Normal 3 96" xfId="45630" xr:uid="{00000000-0005-0000-0000-00004CB20000}"/>
    <cellStyle name="Normal 3 97" xfId="45631" xr:uid="{00000000-0005-0000-0000-00004DB20000}"/>
    <cellStyle name="Normal 3 98" xfId="45632" xr:uid="{00000000-0005-0000-0000-00004EB20000}"/>
    <cellStyle name="Normal 3 99" xfId="45633" xr:uid="{00000000-0005-0000-0000-00004FB20000}"/>
    <cellStyle name="Normal 3_Annexures to the report 04-5171" xfId="45634" xr:uid="{00000000-0005-0000-0000-000050B20000}"/>
    <cellStyle name="Normal 30" xfId="45635" xr:uid="{00000000-0005-0000-0000-000051B20000}"/>
    <cellStyle name="Normal 30 10" xfId="45636" xr:uid="{00000000-0005-0000-0000-000052B20000}"/>
    <cellStyle name="Normal 30 10 2" xfId="45637" xr:uid="{00000000-0005-0000-0000-000053B20000}"/>
    <cellStyle name="Normal 30 11" xfId="45638" xr:uid="{00000000-0005-0000-0000-000054B20000}"/>
    <cellStyle name="Normal 30 12" xfId="45639" xr:uid="{00000000-0005-0000-0000-000055B20000}"/>
    <cellStyle name="Normal 30 13" xfId="45640" xr:uid="{00000000-0005-0000-0000-000056B20000}"/>
    <cellStyle name="Normal 30 14" xfId="45641" xr:uid="{00000000-0005-0000-0000-000057B20000}"/>
    <cellStyle name="Normal 30 2" xfId="45642" xr:uid="{00000000-0005-0000-0000-000058B20000}"/>
    <cellStyle name="Normal 30 2 10" xfId="45643" xr:uid="{00000000-0005-0000-0000-000059B20000}"/>
    <cellStyle name="Normal 30 2 11" xfId="45644" xr:uid="{00000000-0005-0000-0000-00005AB20000}"/>
    <cellStyle name="Normal 30 2 2" xfId="45645" xr:uid="{00000000-0005-0000-0000-00005BB20000}"/>
    <cellStyle name="Normal 30 2 2 2" xfId="45646" xr:uid="{00000000-0005-0000-0000-00005CB20000}"/>
    <cellStyle name="Normal 30 2 2 2 2" xfId="45647" xr:uid="{00000000-0005-0000-0000-00005DB20000}"/>
    <cellStyle name="Normal 30 2 2 2 2 2" xfId="45648" xr:uid="{00000000-0005-0000-0000-00005EB20000}"/>
    <cellStyle name="Normal 30 2 2 2 2 2 2" xfId="45649" xr:uid="{00000000-0005-0000-0000-00005FB20000}"/>
    <cellStyle name="Normal 30 2 2 2 2 2 2 2" xfId="45650" xr:uid="{00000000-0005-0000-0000-000060B20000}"/>
    <cellStyle name="Normal 30 2 2 2 2 2 3" xfId="45651" xr:uid="{00000000-0005-0000-0000-000061B20000}"/>
    <cellStyle name="Normal 30 2 2 2 2 2 4" xfId="45652" xr:uid="{00000000-0005-0000-0000-000062B20000}"/>
    <cellStyle name="Normal 30 2 2 2 2 3" xfId="45653" xr:uid="{00000000-0005-0000-0000-000063B20000}"/>
    <cellStyle name="Normal 30 2 2 2 2 3 2" xfId="45654" xr:uid="{00000000-0005-0000-0000-000064B20000}"/>
    <cellStyle name="Normal 30 2 2 2 2 4" xfId="45655" xr:uid="{00000000-0005-0000-0000-000065B20000}"/>
    <cellStyle name="Normal 30 2 2 2 2 5" xfId="45656" xr:uid="{00000000-0005-0000-0000-000066B20000}"/>
    <cellStyle name="Normal 30 2 2 2 3" xfId="45657" xr:uid="{00000000-0005-0000-0000-000067B20000}"/>
    <cellStyle name="Normal 30 2 2 2 3 2" xfId="45658" xr:uid="{00000000-0005-0000-0000-000068B20000}"/>
    <cellStyle name="Normal 30 2 2 2 3 2 2" xfId="45659" xr:uid="{00000000-0005-0000-0000-000069B20000}"/>
    <cellStyle name="Normal 30 2 2 2 3 3" xfId="45660" xr:uid="{00000000-0005-0000-0000-00006AB20000}"/>
    <cellStyle name="Normal 30 2 2 2 3 4" xfId="45661" xr:uid="{00000000-0005-0000-0000-00006BB20000}"/>
    <cellStyle name="Normal 30 2 2 2 4" xfId="45662" xr:uid="{00000000-0005-0000-0000-00006CB20000}"/>
    <cellStyle name="Normal 30 2 2 2 4 2" xfId="45663" xr:uid="{00000000-0005-0000-0000-00006DB20000}"/>
    <cellStyle name="Normal 30 2 2 2 5" xfId="45664" xr:uid="{00000000-0005-0000-0000-00006EB20000}"/>
    <cellStyle name="Normal 30 2 2 2 6" xfId="45665" xr:uid="{00000000-0005-0000-0000-00006FB20000}"/>
    <cellStyle name="Normal 30 2 2 3" xfId="45666" xr:uid="{00000000-0005-0000-0000-000070B20000}"/>
    <cellStyle name="Normal 30 2 2 3 2" xfId="45667" xr:uid="{00000000-0005-0000-0000-000071B20000}"/>
    <cellStyle name="Normal 30 2 2 3 2 2" xfId="45668" xr:uid="{00000000-0005-0000-0000-000072B20000}"/>
    <cellStyle name="Normal 30 2 2 3 2 2 2" xfId="45669" xr:uid="{00000000-0005-0000-0000-000073B20000}"/>
    <cellStyle name="Normal 30 2 2 3 2 3" xfId="45670" xr:uid="{00000000-0005-0000-0000-000074B20000}"/>
    <cellStyle name="Normal 30 2 2 3 2 4" xfId="45671" xr:uid="{00000000-0005-0000-0000-000075B20000}"/>
    <cellStyle name="Normal 30 2 2 3 2 5" xfId="45672" xr:uid="{00000000-0005-0000-0000-000076B20000}"/>
    <cellStyle name="Normal 30 2 2 3 3" xfId="45673" xr:uid="{00000000-0005-0000-0000-000077B20000}"/>
    <cellStyle name="Normal 30 2 2 3 3 2" xfId="45674" xr:uid="{00000000-0005-0000-0000-000078B20000}"/>
    <cellStyle name="Normal 30 2 2 3 4" xfId="45675" xr:uid="{00000000-0005-0000-0000-000079B20000}"/>
    <cellStyle name="Normal 30 2 2 3 5" xfId="45676" xr:uid="{00000000-0005-0000-0000-00007AB20000}"/>
    <cellStyle name="Normal 30 2 2 3 6" xfId="45677" xr:uid="{00000000-0005-0000-0000-00007BB20000}"/>
    <cellStyle name="Normal 30 2 2 4" xfId="45678" xr:uid="{00000000-0005-0000-0000-00007CB20000}"/>
    <cellStyle name="Normal 30 2 2 4 2" xfId="45679" xr:uid="{00000000-0005-0000-0000-00007DB20000}"/>
    <cellStyle name="Normal 30 2 2 4 2 2" xfId="45680" xr:uid="{00000000-0005-0000-0000-00007EB20000}"/>
    <cellStyle name="Normal 30 2 2 4 3" xfId="45681" xr:uid="{00000000-0005-0000-0000-00007FB20000}"/>
    <cellStyle name="Normal 30 2 2 4 4" xfId="45682" xr:uid="{00000000-0005-0000-0000-000080B20000}"/>
    <cellStyle name="Normal 30 2 2 4 5" xfId="45683" xr:uid="{00000000-0005-0000-0000-000081B20000}"/>
    <cellStyle name="Normal 30 2 2 5" xfId="45684" xr:uid="{00000000-0005-0000-0000-000082B20000}"/>
    <cellStyle name="Normal 30 2 2 5 2" xfId="45685" xr:uid="{00000000-0005-0000-0000-000083B20000}"/>
    <cellStyle name="Normal 30 2 2 6" xfId="45686" xr:uid="{00000000-0005-0000-0000-000084B20000}"/>
    <cellStyle name="Normal 30 2 2 7" xfId="45687" xr:uid="{00000000-0005-0000-0000-000085B20000}"/>
    <cellStyle name="Normal 30 2 2 8" xfId="45688" xr:uid="{00000000-0005-0000-0000-000086B20000}"/>
    <cellStyle name="Normal 30 2 2 9" xfId="45689" xr:uid="{00000000-0005-0000-0000-000087B20000}"/>
    <cellStyle name="Normal 30 2 3" xfId="45690" xr:uid="{00000000-0005-0000-0000-000088B20000}"/>
    <cellStyle name="Normal 30 2 3 2" xfId="45691" xr:uid="{00000000-0005-0000-0000-000089B20000}"/>
    <cellStyle name="Normal 30 2 3 2 2" xfId="45692" xr:uid="{00000000-0005-0000-0000-00008AB20000}"/>
    <cellStyle name="Normal 30 2 3 2 2 2" xfId="45693" xr:uid="{00000000-0005-0000-0000-00008BB20000}"/>
    <cellStyle name="Normal 30 2 3 2 2 2 2" xfId="45694" xr:uid="{00000000-0005-0000-0000-00008CB20000}"/>
    <cellStyle name="Normal 30 2 3 2 2 3" xfId="45695" xr:uid="{00000000-0005-0000-0000-00008DB20000}"/>
    <cellStyle name="Normal 30 2 3 2 2 4" xfId="45696" xr:uid="{00000000-0005-0000-0000-00008EB20000}"/>
    <cellStyle name="Normal 30 2 3 2 2 5" xfId="45697" xr:uid="{00000000-0005-0000-0000-00008FB20000}"/>
    <cellStyle name="Normal 30 2 3 2 3" xfId="45698" xr:uid="{00000000-0005-0000-0000-000090B20000}"/>
    <cellStyle name="Normal 30 2 3 2 3 2" xfId="45699" xr:uid="{00000000-0005-0000-0000-000091B20000}"/>
    <cellStyle name="Normal 30 2 3 2 4" xfId="45700" xr:uid="{00000000-0005-0000-0000-000092B20000}"/>
    <cellStyle name="Normal 30 2 3 2 5" xfId="45701" xr:uid="{00000000-0005-0000-0000-000093B20000}"/>
    <cellStyle name="Normal 30 2 3 2 6" xfId="45702" xr:uid="{00000000-0005-0000-0000-000094B20000}"/>
    <cellStyle name="Normal 30 2 3 3" xfId="45703" xr:uid="{00000000-0005-0000-0000-000095B20000}"/>
    <cellStyle name="Normal 30 2 3 3 2" xfId="45704" xr:uid="{00000000-0005-0000-0000-000096B20000}"/>
    <cellStyle name="Normal 30 2 3 3 2 2" xfId="45705" xr:uid="{00000000-0005-0000-0000-000097B20000}"/>
    <cellStyle name="Normal 30 2 3 3 3" xfId="45706" xr:uid="{00000000-0005-0000-0000-000098B20000}"/>
    <cellStyle name="Normal 30 2 3 3 4" xfId="45707" xr:uid="{00000000-0005-0000-0000-000099B20000}"/>
    <cellStyle name="Normal 30 2 3 3 5" xfId="45708" xr:uid="{00000000-0005-0000-0000-00009AB20000}"/>
    <cellStyle name="Normal 30 2 3 4" xfId="45709" xr:uid="{00000000-0005-0000-0000-00009BB20000}"/>
    <cellStyle name="Normal 30 2 3 4 2" xfId="45710" xr:uid="{00000000-0005-0000-0000-00009CB20000}"/>
    <cellStyle name="Normal 30 2 3 5" xfId="45711" xr:uid="{00000000-0005-0000-0000-00009DB20000}"/>
    <cellStyle name="Normal 30 2 3 6" xfId="45712" xr:uid="{00000000-0005-0000-0000-00009EB20000}"/>
    <cellStyle name="Normal 30 2 3 7" xfId="45713" xr:uid="{00000000-0005-0000-0000-00009FB20000}"/>
    <cellStyle name="Normal 30 2 4" xfId="45714" xr:uid="{00000000-0005-0000-0000-0000A0B20000}"/>
    <cellStyle name="Normal 30 2 4 2" xfId="45715" xr:uid="{00000000-0005-0000-0000-0000A1B20000}"/>
    <cellStyle name="Normal 30 2 4 2 2" xfId="45716" xr:uid="{00000000-0005-0000-0000-0000A2B20000}"/>
    <cellStyle name="Normal 30 2 4 2 2 2" xfId="45717" xr:uid="{00000000-0005-0000-0000-0000A3B20000}"/>
    <cellStyle name="Normal 30 2 4 2 3" xfId="45718" xr:uid="{00000000-0005-0000-0000-0000A4B20000}"/>
    <cellStyle name="Normal 30 2 4 2 4" xfId="45719" xr:uid="{00000000-0005-0000-0000-0000A5B20000}"/>
    <cellStyle name="Normal 30 2 4 2 5" xfId="45720" xr:uid="{00000000-0005-0000-0000-0000A6B20000}"/>
    <cellStyle name="Normal 30 2 4 3" xfId="45721" xr:uid="{00000000-0005-0000-0000-0000A7B20000}"/>
    <cellStyle name="Normal 30 2 4 3 2" xfId="45722" xr:uid="{00000000-0005-0000-0000-0000A8B20000}"/>
    <cellStyle name="Normal 30 2 4 4" xfId="45723" xr:uid="{00000000-0005-0000-0000-0000A9B20000}"/>
    <cellStyle name="Normal 30 2 4 5" xfId="45724" xr:uid="{00000000-0005-0000-0000-0000AAB20000}"/>
    <cellStyle name="Normal 30 2 4 6" xfId="45725" xr:uid="{00000000-0005-0000-0000-0000ABB20000}"/>
    <cellStyle name="Normal 30 2 5" xfId="45726" xr:uid="{00000000-0005-0000-0000-0000ACB20000}"/>
    <cellStyle name="Normal 30 2 5 2" xfId="45727" xr:uid="{00000000-0005-0000-0000-0000ADB20000}"/>
    <cellStyle name="Normal 30 2 5 2 2" xfId="45728" xr:uid="{00000000-0005-0000-0000-0000AEB20000}"/>
    <cellStyle name="Normal 30 2 5 3" xfId="45729" xr:uid="{00000000-0005-0000-0000-0000AFB20000}"/>
    <cellStyle name="Normal 30 2 5 4" xfId="45730" xr:uid="{00000000-0005-0000-0000-0000B0B20000}"/>
    <cellStyle name="Normal 30 2 5 5" xfId="45731" xr:uid="{00000000-0005-0000-0000-0000B1B20000}"/>
    <cellStyle name="Normal 30 2 6" xfId="45732" xr:uid="{00000000-0005-0000-0000-0000B2B20000}"/>
    <cellStyle name="Normal 30 2 6 2" xfId="45733" xr:uid="{00000000-0005-0000-0000-0000B3B20000}"/>
    <cellStyle name="Normal 30 2 7" xfId="45734" xr:uid="{00000000-0005-0000-0000-0000B4B20000}"/>
    <cellStyle name="Normal 30 2 7 2" xfId="45735" xr:uid="{00000000-0005-0000-0000-0000B5B20000}"/>
    <cellStyle name="Normal 30 2 8" xfId="45736" xr:uid="{00000000-0005-0000-0000-0000B6B20000}"/>
    <cellStyle name="Normal 30 2 9" xfId="45737" xr:uid="{00000000-0005-0000-0000-0000B7B20000}"/>
    <cellStyle name="Normal 30 3" xfId="45738" xr:uid="{00000000-0005-0000-0000-0000B8B20000}"/>
    <cellStyle name="Normal 30 3 10" xfId="45739" xr:uid="{00000000-0005-0000-0000-0000B9B20000}"/>
    <cellStyle name="Normal 30 3 11" xfId="45740" xr:uid="{00000000-0005-0000-0000-0000BAB20000}"/>
    <cellStyle name="Normal 30 3 2" xfId="45741" xr:uid="{00000000-0005-0000-0000-0000BBB20000}"/>
    <cellStyle name="Normal 30 3 2 2" xfId="45742" xr:uid="{00000000-0005-0000-0000-0000BCB20000}"/>
    <cellStyle name="Normal 30 3 2 2 2" xfId="45743" xr:uid="{00000000-0005-0000-0000-0000BDB20000}"/>
    <cellStyle name="Normal 30 3 2 2 2 2" xfId="45744" xr:uid="{00000000-0005-0000-0000-0000BEB20000}"/>
    <cellStyle name="Normal 30 3 2 2 2 2 2" xfId="45745" xr:uid="{00000000-0005-0000-0000-0000BFB20000}"/>
    <cellStyle name="Normal 30 3 2 2 2 3" xfId="45746" xr:uid="{00000000-0005-0000-0000-0000C0B20000}"/>
    <cellStyle name="Normal 30 3 2 2 3" xfId="45747" xr:uid="{00000000-0005-0000-0000-0000C1B20000}"/>
    <cellStyle name="Normal 30 3 2 2 3 2" xfId="45748" xr:uid="{00000000-0005-0000-0000-0000C2B20000}"/>
    <cellStyle name="Normal 30 3 2 2 4" xfId="45749" xr:uid="{00000000-0005-0000-0000-0000C3B20000}"/>
    <cellStyle name="Normal 30 3 2 2 5" xfId="45750" xr:uid="{00000000-0005-0000-0000-0000C4B20000}"/>
    <cellStyle name="Normal 30 3 2 2 6" xfId="45751" xr:uid="{00000000-0005-0000-0000-0000C5B20000}"/>
    <cellStyle name="Normal 30 3 2 3" xfId="45752" xr:uid="{00000000-0005-0000-0000-0000C6B20000}"/>
    <cellStyle name="Normal 30 3 2 3 2" xfId="45753" xr:uid="{00000000-0005-0000-0000-0000C7B20000}"/>
    <cellStyle name="Normal 30 3 2 3 2 2" xfId="45754" xr:uid="{00000000-0005-0000-0000-0000C8B20000}"/>
    <cellStyle name="Normal 30 3 2 3 3" xfId="45755" xr:uid="{00000000-0005-0000-0000-0000C9B20000}"/>
    <cellStyle name="Normal 30 3 2 4" xfId="45756" xr:uid="{00000000-0005-0000-0000-0000CAB20000}"/>
    <cellStyle name="Normal 30 3 2 4 2" xfId="45757" xr:uid="{00000000-0005-0000-0000-0000CBB20000}"/>
    <cellStyle name="Normal 30 3 2 5" xfId="45758" xr:uid="{00000000-0005-0000-0000-0000CCB20000}"/>
    <cellStyle name="Normal 30 3 2 6" xfId="45759" xr:uid="{00000000-0005-0000-0000-0000CDB20000}"/>
    <cellStyle name="Normal 30 3 2 7" xfId="45760" xr:uid="{00000000-0005-0000-0000-0000CEB20000}"/>
    <cellStyle name="Normal 30 3 2 8" xfId="45761" xr:uid="{00000000-0005-0000-0000-0000CFB20000}"/>
    <cellStyle name="Normal 30 3 3" xfId="45762" xr:uid="{00000000-0005-0000-0000-0000D0B20000}"/>
    <cellStyle name="Normal 30 3 3 2" xfId="45763" xr:uid="{00000000-0005-0000-0000-0000D1B20000}"/>
    <cellStyle name="Normal 30 3 3 2 2" xfId="45764" xr:uid="{00000000-0005-0000-0000-0000D2B20000}"/>
    <cellStyle name="Normal 30 3 3 2 2 2" xfId="45765" xr:uid="{00000000-0005-0000-0000-0000D3B20000}"/>
    <cellStyle name="Normal 30 3 3 2 3" xfId="45766" xr:uid="{00000000-0005-0000-0000-0000D4B20000}"/>
    <cellStyle name="Normal 30 3 3 3" xfId="45767" xr:uid="{00000000-0005-0000-0000-0000D5B20000}"/>
    <cellStyle name="Normal 30 3 3 3 2" xfId="45768" xr:uid="{00000000-0005-0000-0000-0000D6B20000}"/>
    <cellStyle name="Normal 30 3 3 4" xfId="45769" xr:uid="{00000000-0005-0000-0000-0000D7B20000}"/>
    <cellStyle name="Normal 30 3 3 5" xfId="45770" xr:uid="{00000000-0005-0000-0000-0000D8B20000}"/>
    <cellStyle name="Normal 30 3 3 6" xfId="45771" xr:uid="{00000000-0005-0000-0000-0000D9B20000}"/>
    <cellStyle name="Normal 30 3 4" xfId="45772" xr:uid="{00000000-0005-0000-0000-0000DAB20000}"/>
    <cellStyle name="Normal 30 3 4 2" xfId="45773" xr:uid="{00000000-0005-0000-0000-0000DBB20000}"/>
    <cellStyle name="Normal 30 3 4 2 2" xfId="45774" xr:uid="{00000000-0005-0000-0000-0000DCB20000}"/>
    <cellStyle name="Normal 30 3 4 2 2 2" xfId="45775" xr:uid="{00000000-0005-0000-0000-0000DDB20000}"/>
    <cellStyle name="Normal 30 3 4 2 3" xfId="45776" xr:uid="{00000000-0005-0000-0000-0000DEB20000}"/>
    <cellStyle name="Normal 30 3 4 3" xfId="45777" xr:uid="{00000000-0005-0000-0000-0000DFB20000}"/>
    <cellStyle name="Normal 30 3 4 3 2" xfId="45778" xr:uid="{00000000-0005-0000-0000-0000E0B20000}"/>
    <cellStyle name="Normal 30 3 4 4" xfId="45779" xr:uid="{00000000-0005-0000-0000-0000E1B20000}"/>
    <cellStyle name="Normal 30 3 5" xfId="45780" xr:uid="{00000000-0005-0000-0000-0000E2B20000}"/>
    <cellStyle name="Normal 30 3 5 2" xfId="45781" xr:uid="{00000000-0005-0000-0000-0000E3B20000}"/>
    <cellStyle name="Normal 30 3 5 2 2" xfId="45782" xr:uid="{00000000-0005-0000-0000-0000E4B20000}"/>
    <cellStyle name="Normal 30 3 5 3" xfId="45783" xr:uid="{00000000-0005-0000-0000-0000E5B20000}"/>
    <cellStyle name="Normal 30 3 6" xfId="45784" xr:uid="{00000000-0005-0000-0000-0000E6B20000}"/>
    <cellStyle name="Normal 30 3 6 2" xfId="45785" xr:uid="{00000000-0005-0000-0000-0000E7B20000}"/>
    <cellStyle name="Normal 30 3 7" xfId="45786" xr:uid="{00000000-0005-0000-0000-0000E8B20000}"/>
    <cellStyle name="Normal 30 3 7 2" xfId="45787" xr:uid="{00000000-0005-0000-0000-0000E9B20000}"/>
    <cellStyle name="Normal 30 3 8" xfId="45788" xr:uid="{00000000-0005-0000-0000-0000EAB20000}"/>
    <cellStyle name="Normal 30 3 9" xfId="45789" xr:uid="{00000000-0005-0000-0000-0000EBB20000}"/>
    <cellStyle name="Normal 30 4" xfId="45790" xr:uid="{00000000-0005-0000-0000-0000ECB20000}"/>
    <cellStyle name="Normal 30 4 2" xfId="45791" xr:uid="{00000000-0005-0000-0000-0000EDB20000}"/>
    <cellStyle name="Normal 30 4 2 2" xfId="45792" xr:uid="{00000000-0005-0000-0000-0000EEB20000}"/>
    <cellStyle name="Normal 30 4 2 2 2" xfId="45793" xr:uid="{00000000-0005-0000-0000-0000EFB20000}"/>
    <cellStyle name="Normal 30 4 2 2 2 2" xfId="45794" xr:uid="{00000000-0005-0000-0000-0000F0B20000}"/>
    <cellStyle name="Normal 30 4 2 2 3" xfId="45795" xr:uid="{00000000-0005-0000-0000-0000F1B20000}"/>
    <cellStyle name="Normal 30 4 2 3" xfId="45796" xr:uid="{00000000-0005-0000-0000-0000F2B20000}"/>
    <cellStyle name="Normal 30 4 2 3 2" xfId="45797" xr:uid="{00000000-0005-0000-0000-0000F3B20000}"/>
    <cellStyle name="Normal 30 4 2 4" xfId="45798" xr:uid="{00000000-0005-0000-0000-0000F4B20000}"/>
    <cellStyle name="Normal 30 4 2 5" xfId="45799" xr:uid="{00000000-0005-0000-0000-0000F5B20000}"/>
    <cellStyle name="Normal 30 4 2 6" xfId="45800" xr:uid="{00000000-0005-0000-0000-0000F6B20000}"/>
    <cellStyle name="Normal 30 4 3" xfId="45801" xr:uid="{00000000-0005-0000-0000-0000F7B20000}"/>
    <cellStyle name="Normal 30 4 3 2" xfId="45802" xr:uid="{00000000-0005-0000-0000-0000F8B20000}"/>
    <cellStyle name="Normal 30 4 3 2 2" xfId="45803" xr:uid="{00000000-0005-0000-0000-0000F9B20000}"/>
    <cellStyle name="Normal 30 4 3 2 2 2" xfId="45804" xr:uid="{00000000-0005-0000-0000-0000FAB20000}"/>
    <cellStyle name="Normal 30 4 3 2 3" xfId="45805" xr:uid="{00000000-0005-0000-0000-0000FBB20000}"/>
    <cellStyle name="Normal 30 4 3 3" xfId="45806" xr:uid="{00000000-0005-0000-0000-0000FCB20000}"/>
    <cellStyle name="Normal 30 4 3 3 2" xfId="45807" xr:uid="{00000000-0005-0000-0000-0000FDB20000}"/>
    <cellStyle name="Normal 30 4 3 4" xfId="45808" xr:uid="{00000000-0005-0000-0000-0000FEB20000}"/>
    <cellStyle name="Normal 30 4 4" xfId="45809" xr:uid="{00000000-0005-0000-0000-0000FFB20000}"/>
    <cellStyle name="Normal 30 4 4 2" xfId="45810" xr:uid="{00000000-0005-0000-0000-000000B30000}"/>
    <cellStyle name="Normal 30 4 4 2 2" xfId="45811" xr:uid="{00000000-0005-0000-0000-000001B30000}"/>
    <cellStyle name="Normal 30 4 4 3" xfId="45812" xr:uid="{00000000-0005-0000-0000-000002B30000}"/>
    <cellStyle name="Normal 30 4 5" xfId="45813" xr:uid="{00000000-0005-0000-0000-000003B30000}"/>
    <cellStyle name="Normal 30 4 5 2" xfId="45814" xr:uid="{00000000-0005-0000-0000-000004B30000}"/>
    <cellStyle name="Normal 30 4 6" xfId="45815" xr:uid="{00000000-0005-0000-0000-000005B30000}"/>
    <cellStyle name="Normal 30 4 7" xfId="45816" xr:uid="{00000000-0005-0000-0000-000006B30000}"/>
    <cellStyle name="Normal 30 4 8" xfId="45817" xr:uid="{00000000-0005-0000-0000-000007B30000}"/>
    <cellStyle name="Normal 30 4 9" xfId="45818" xr:uid="{00000000-0005-0000-0000-000008B30000}"/>
    <cellStyle name="Normal 30 5" xfId="45819" xr:uid="{00000000-0005-0000-0000-000009B30000}"/>
    <cellStyle name="Normal 30 5 2" xfId="45820" xr:uid="{00000000-0005-0000-0000-00000AB30000}"/>
    <cellStyle name="Normal 30 5 2 2" xfId="45821" xr:uid="{00000000-0005-0000-0000-00000BB30000}"/>
    <cellStyle name="Normal 30 5 2 2 2" xfId="45822" xr:uid="{00000000-0005-0000-0000-00000CB30000}"/>
    <cellStyle name="Normal 30 5 2 2 2 2" xfId="45823" xr:uid="{00000000-0005-0000-0000-00000DB30000}"/>
    <cellStyle name="Normal 30 5 2 2 3" xfId="45824" xr:uid="{00000000-0005-0000-0000-00000EB30000}"/>
    <cellStyle name="Normal 30 5 2 3" xfId="45825" xr:uid="{00000000-0005-0000-0000-00000FB30000}"/>
    <cellStyle name="Normal 30 5 2 3 2" xfId="45826" xr:uid="{00000000-0005-0000-0000-000010B30000}"/>
    <cellStyle name="Normal 30 5 2 4" xfId="45827" xr:uid="{00000000-0005-0000-0000-000011B30000}"/>
    <cellStyle name="Normal 30 5 3" xfId="45828" xr:uid="{00000000-0005-0000-0000-000012B30000}"/>
    <cellStyle name="Normal 30 5 3 2" xfId="45829" xr:uid="{00000000-0005-0000-0000-000013B30000}"/>
    <cellStyle name="Normal 30 5 3 2 2" xfId="45830" xr:uid="{00000000-0005-0000-0000-000014B30000}"/>
    <cellStyle name="Normal 30 5 3 3" xfId="45831" xr:uid="{00000000-0005-0000-0000-000015B30000}"/>
    <cellStyle name="Normal 30 5 4" xfId="45832" xr:uid="{00000000-0005-0000-0000-000016B30000}"/>
    <cellStyle name="Normal 30 5 4 2" xfId="45833" xr:uid="{00000000-0005-0000-0000-000017B30000}"/>
    <cellStyle name="Normal 30 5 5" xfId="45834" xr:uid="{00000000-0005-0000-0000-000018B30000}"/>
    <cellStyle name="Normal 30 5 6" xfId="45835" xr:uid="{00000000-0005-0000-0000-000019B30000}"/>
    <cellStyle name="Normal 30 5 7" xfId="45836" xr:uid="{00000000-0005-0000-0000-00001AB30000}"/>
    <cellStyle name="Normal 30 6" xfId="45837" xr:uid="{00000000-0005-0000-0000-00001BB30000}"/>
    <cellStyle name="Normal 30 6 2" xfId="45838" xr:uid="{00000000-0005-0000-0000-00001CB30000}"/>
    <cellStyle name="Normal 30 6 2 2" xfId="45839" xr:uid="{00000000-0005-0000-0000-00001DB30000}"/>
    <cellStyle name="Normal 30 6 2 2 2" xfId="45840" xr:uid="{00000000-0005-0000-0000-00001EB30000}"/>
    <cellStyle name="Normal 30 6 2 3" xfId="45841" xr:uid="{00000000-0005-0000-0000-00001FB30000}"/>
    <cellStyle name="Normal 30 6 3" xfId="45842" xr:uid="{00000000-0005-0000-0000-000020B30000}"/>
    <cellStyle name="Normal 30 6 3 2" xfId="45843" xr:uid="{00000000-0005-0000-0000-000021B30000}"/>
    <cellStyle name="Normal 30 6 4" xfId="45844" xr:uid="{00000000-0005-0000-0000-000022B30000}"/>
    <cellStyle name="Normal 30 7" xfId="45845" xr:uid="{00000000-0005-0000-0000-000023B30000}"/>
    <cellStyle name="Normal 30 7 2" xfId="45846" xr:uid="{00000000-0005-0000-0000-000024B30000}"/>
    <cellStyle name="Normal 30 7 2 2" xfId="45847" xr:uid="{00000000-0005-0000-0000-000025B30000}"/>
    <cellStyle name="Normal 30 7 2 2 2" xfId="45848" xr:uid="{00000000-0005-0000-0000-000026B30000}"/>
    <cellStyle name="Normal 30 7 2 3" xfId="45849" xr:uid="{00000000-0005-0000-0000-000027B30000}"/>
    <cellStyle name="Normal 30 7 3" xfId="45850" xr:uid="{00000000-0005-0000-0000-000028B30000}"/>
    <cellStyle name="Normal 30 7 3 2" xfId="45851" xr:uid="{00000000-0005-0000-0000-000029B30000}"/>
    <cellStyle name="Normal 30 7 4" xfId="45852" xr:uid="{00000000-0005-0000-0000-00002AB30000}"/>
    <cellStyle name="Normal 30 8" xfId="45853" xr:uid="{00000000-0005-0000-0000-00002BB30000}"/>
    <cellStyle name="Normal 30 8 2" xfId="45854" xr:uid="{00000000-0005-0000-0000-00002CB30000}"/>
    <cellStyle name="Normal 30 8 2 2" xfId="45855" xr:uid="{00000000-0005-0000-0000-00002DB30000}"/>
    <cellStyle name="Normal 30 8 3" xfId="45856" xr:uid="{00000000-0005-0000-0000-00002EB30000}"/>
    <cellStyle name="Normal 30 9" xfId="45857" xr:uid="{00000000-0005-0000-0000-00002FB30000}"/>
    <cellStyle name="Normal 30 9 2" xfId="45858" xr:uid="{00000000-0005-0000-0000-000030B30000}"/>
    <cellStyle name="Normal 30_Proj" xfId="45859" xr:uid="{00000000-0005-0000-0000-000031B30000}"/>
    <cellStyle name="Normal 31" xfId="45860" xr:uid="{00000000-0005-0000-0000-000032B30000}"/>
    <cellStyle name="Normal 31 2" xfId="45861" xr:uid="{00000000-0005-0000-0000-000033B30000}"/>
    <cellStyle name="Normal 31 2 2" xfId="45862" xr:uid="{00000000-0005-0000-0000-000034B30000}"/>
    <cellStyle name="Normal 31 2 2 2" xfId="45863" xr:uid="{00000000-0005-0000-0000-000035B30000}"/>
    <cellStyle name="Normal 31 2 3" xfId="45864" xr:uid="{00000000-0005-0000-0000-000036B30000}"/>
    <cellStyle name="Normal 31 3" xfId="45865" xr:uid="{00000000-0005-0000-0000-000037B30000}"/>
    <cellStyle name="Normal 31 3 2" xfId="45866" xr:uid="{00000000-0005-0000-0000-000038B30000}"/>
    <cellStyle name="Normal 31 4" xfId="45867" xr:uid="{00000000-0005-0000-0000-000039B30000}"/>
    <cellStyle name="Normal 31 5" xfId="45868" xr:uid="{00000000-0005-0000-0000-00003AB30000}"/>
    <cellStyle name="Normal 31_Proj" xfId="45869" xr:uid="{00000000-0005-0000-0000-00003BB30000}"/>
    <cellStyle name="Normal 32" xfId="45870" xr:uid="{00000000-0005-0000-0000-00003CB30000}"/>
    <cellStyle name="Normal 32 10" xfId="45871" xr:uid="{00000000-0005-0000-0000-00003DB30000}"/>
    <cellStyle name="Normal 32 10 2" xfId="45872" xr:uid="{00000000-0005-0000-0000-00003EB30000}"/>
    <cellStyle name="Normal 32 11" xfId="45873" xr:uid="{00000000-0005-0000-0000-00003FB30000}"/>
    <cellStyle name="Normal 32 12" xfId="45874" xr:uid="{00000000-0005-0000-0000-000040B30000}"/>
    <cellStyle name="Normal 32 13" xfId="45875" xr:uid="{00000000-0005-0000-0000-000041B30000}"/>
    <cellStyle name="Normal 32 14" xfId="45876" xr:uid="{00000000-0005-0000-0000-000042B30000}"/>
    <cellStyle name="Normal 32 2" xfId="45877" xr:uid="{00000000-0005-0000-0000-000043B30000}"/>
    <cellStyle name="Normal 32 2 10" xfId="45878" xr:uid="{00000000-0005-0000-0000-000044B30000}"/>
    <cellStyle name="Normal 32 2 11" xfId="45879" xr:uid="{00000000-0005-0000-0000-000045B30000}"/>
    <cellStyle name="Normal 32 2 2" xfId="45880" xr:uid="{00000000-0005-0000-0000-000046B30000}"/>
    <cellStyle name="Normal 32 2 2 2" xfId="45881" xr:uid="{00000000-0005-0000-0000-000047B30000}"/>
    <cellStyle name="Normal 32 2 2 2 2" xfId="45882" xr:uid="{00000000-0005-0000-0000-000048B30000}"/>
    <cellStyle name="Normal 32 2 2 2 2 2" xfId="45883" xr:uid="{00000000-0005-0000-0000-000049B30000}"/>
    <cellStyle name="Normal 32 2 2 2 2 2 2" xfId="45884" xr:uid="{00000000-0005-0000-0000-00004AB30000}"/>
    <cellStyle name="Normal 32 2 2 2 2 2 2 2" xfId="45885" xr:uid="{00000000-0005-0000-0000-00004BB30000}"/>
    <cellStyle name="Normal 32 2 2 2 2 2 3" xfId="45886" xr:uid="{00000000-0005-0000-0000-00004CB30000}"/>
    <cellStyle name="Normal 32 2 2 2 2 2 4" xfId="45887" xr:uid="{00000000-0005-0000-0000-00004DB30000}"/>
    <cellStyle name="Normal 32 2 2 2 2 3" xfId="45888" xr:uid="{00000000-0005-0000-0000-00004EB30000}"/>
    <cellStyle name="Normal 32 2 2 2 2 3 2" xfId="45889" xr:uid="{00000000-0005-0000-0000-00004FB30000}"/>
    <cellStyle name="Normal 32 2 2 2 2 4" xfId="45890" xr:uid="{00000000-0005-0000-0000-000050B30000}"/>
    <cellStyle name="Normal 32 2 2 2 2 5" xfId="45891" xr:uid="{00000000-0005-0000-0000-000051B30000}"/>
    <cellStyle name="Normal 32 2 2 2 3" xfId="45892" xr:uid="{00000000-0005-0000-0000-000052B30000}"/>
    <cellStyle name="Normal 32 2 2 2 3 2" xfId="45893" xr:uid="{00000000-0005-0000-0000-000053B30000}"/>
    <cellStyle name="Normal 32 2 2 2 3 2 2" xfId="45894" xr:uid="{00000000-0005-0000-0000-000054B30000}"/>
    <cellStyle name="Normal 32 2 2 2 3 3" xfId="45895" xr:uid="{00000000-0005-0000-0000-000055B30000}"/>
    <cellStyle name="Normal 32 2 2 2 3 4" xfId="45896" xr:uid="{00000000-0005-0000-0000-000056B30000}"/>
    <cellStyle name="Normal 32 2 2 2 4" xfId="45897" xr:uid="{00000000-0005-0000-0000-000057B30000}"/>
    <cellStyle name="Normal 32 2 2 2 4 2" xfId="45898" xr:uid="{00000000-0005-0000-0000-000058B30000}"/>
    <cellStyle name="Normal 32 2 2 2 5" xfId="45899" xr:uid="{00000000-0005-0000-0000-000059B30000}"/>
    <cellStyle name="Normal 32 2 2 2 6" xfId="45900" xr:uid="{00000000-0005-0000-0000-00005AB30000}"/>
    <cellStyle name="Normal 32 2 2 3" xfId="45901" xr:uid="{00000000-0005-0000-0000-00005BB30000}"/>
    <cellStyle name="Normal 32 2 2 3 2" xfId="45902" xr:uid="{00000000-0005-0000-0000-00005CB30000}"/>
    <cellStyle name="Normal 32 2 2 3 2 2" xfId="45903" xr:uid="{00000000-0005-0000-0000-00005DB30000}"/>
    <cellStyle name="Normal 32 2 2 3 2 2 2" xfId="45904" xr:uid="{00000000-0005-0000-0000-00005EB30000}"/>
    <cellStyle name="Normal 32 2 2 3 2 3" xfId="45905" xr:uid="{00000000-0005-0000-0000-00005FB30000}"/>
    <cellStyle name="Normal 32 2 2 3 2 4" xfId="45906" xr:uid="{00000000-0005-0000-0000-000060B30000}"/>
    <cellStyle name="Normal 32 2 2 3 2 5" xfId="45907" xr:uid="{00000000-0005-0000-0000-000061B30000}"/>
    <cellStyle name="Normal 32 2 2 3 3" xfId="45908" xr:uid="{00000000-0005-0000-0000-000062B30000}"/>
    <cellStyle name="Normal 32 2 2 3 3 2" xfId="45909" xr:uid="{00000000-0005-0000-0000-000063B30000}"/>
    <cellStyle name="Normal 32 2 2 3 4" xfId="45910" xr:uid="{00000000-0005-0000-0000-000064B30000}"/>
    <cellStyle name="Normal 32 2 2 3 5" xfId="45911" xr:uid="{00000000-0005-0000-0000-000065B30000}"/>
    <cellStyle name="Normal 32 2 2 3 6" xfId="45912" xr:uid="{00000000-0005-0000-0000-000066B30000}"/>
    <cellStyle name="Normal 32 2 2 4" xfId="45913" xr:uid="{00000000-0005-0000-0000-000067B30000}"/>
    <cellStyle name="Normal 32 2 2 4 2" xfId="45914" xr:uid="{00000000-0005-0000-0000-000068B30000}"/>
    <cellStyle name="Normal 32 2 2 4 2 2" xfId="45915" xr:uid="{00000000-0005-0000-0000-000069B30000}"/>
    <cellStyle name="Normal 32 2 2 4 3" xfId="45916" xr:uid="{00000000-0005-0000-0000-00006AB30000}"/>
    <cellStyle name="Normal 32 2 2 4 4" xfId="45917" xr:uid="{00000000-0005-0000-0000-00006BB30000}"/>
    <cellStyle name="Normal 32 2 2 4 5" xfId="45918" xr:uid="{00000000-0005-0000-0000-00006CB30000}"/>
    <cellStyle name="Normal 32 2 2 5" xfId="45919" xr:uid="{00000000-0005-0000-0000-00006DB30000}"/>
    <cellStyle name="Normal 32 2 2 5 2" xfId="45920" xr:uid="{00000000-0005-0000-0000-00006EB30000}"/>
    <cellStyle name="Normal 32 2 2 6" xfId="45921" xr:uid="{00000000-0005-0000-0000-00006FB30000}"/>
    <cellStyle name="Normal 32 2 2 7" xfId="45922" xr:uid="{00000000-0005-0000-0000-000070B30000}"/>
    <cellStyle name="Normal 32 2 2 8" xfId="45923" xr:uid="{00000000-0005-0000-0000-000071B30000}"/>
    <cellStyle name="Normal 32 2 2 9" xfId="45924" xr:uid="{00000000-0005-0000-0000-000072B30000}"/>
    <cellStyle name="Normal 32 2 3" xfId="45925" xr:uid="{00000000-0005-0000-0000-000073B30000}"/>
    <cellStyle name="Normal 32 2 3 2" xfId="45926" xr:uid="{00000000-0005-0000-0000-000074B30000}"/>
    <cellStyle name="Normal 32 2 3 2 2" xfId="45927" xr:uid="{00000000-0005-0000-0000-000075B30000}"/>
    <cellStyle name="Normal 32 2 3 2 2 2" xfId="45928" xr:uid="{00000000-0005-0000-0000-000076B30000}"/>
    <cellStyle name="Normal 32 2 3 2 2 2 2" xfId="45929" xr:uid="{00000000-0005-0000-0000-000077B30000}"/>
    <cellStyle name="Normal 32 2 3 2 2 3" xfId="45930" xr:uid="{00000000-0005-0000-0000-000078B30000}"/>
    <cellStyle name="Normal 32 2 3 2 2 4" xfId="45931" xr:uid="{00000000-0005-0000-0000-000079B30000}"/>
    <cellStyle name="Normal 32 2 3 2 2 5" xfId="45932" xr:uid="{00000000-0005-0000-0000-00007AB30000}"/>
    <cellStyle name="Normal 32 2 3 2 3" xfId="45933" xr:uid="{00000000-0005-0000-0000-00007BB30000}"/>
    <cellStyle name="Normal 32 2 3 2 3 2" xfId="45934" xr:uid="{00000000-0005-0000-0000-00007CB30000}"/>
    <cellStyle name="Normal 32 2 3 2 4" xfId="45935" xr:uid="{00000000-0005-0000-0000-00007DB30000}"/>
    <cellStyle name="Normal 32 2 3 2 5" xfId="45936" xr:uid="{00000000-0005-0000-0000-00007EB30000}"/>
    <cellStyle name="Normal 32 2 3 2 6" xfId="45937" xr:uid="{00000000-0005-0000-0000-00007FB30000}"/>
    <cellStyle name="Normal 32 2 3 3" xfId="45938" xr:uid="{00000000-0005-0000-0000-000080B30000}"/>
    <cellStyle name="Normal 32 2 3 3 2" xfId="45939" xr:uid="{00000000-0005-0000-0000-000081B30000}"/>
    <cellStyle name="Normal 32 2 3 3 2 2" xfId="45940" xr:uid="{00000000-0005-0000-0000-000082B30000}"/>
    <cellStyle name="Normal 32 2 3 3 3" xfId="45941" xr:uid="{00000000-0005-0000-0000-000083B30000}"/>
    <cellStyle name="Normal 32 2 3 3 4" xfId="45942" xr:uid="{00000000-0005-0000-0000-000084B30000}"/>
    <cellStyle name="Normal 32 2 3 3 5" xfId="45943" xr:uid="{00000000-0005-0000-0000-000085B30000}"/>
    <cellStyle name="Normal 32 2 3 4" xfId="45944" xr:uid="{00000000-0005-0000-0000-000086B30000}"/>
    <cellStyle name="Normal 32 2 3 4 2" xfId="45945" xr:uid="{00000000-0005-0000-0000-000087B30000}"/>
    <cellStyle name="Normal 32 2 3 5" xfId="45946" xr:uid="{00000000-0005-0000-0000-000088B30000}"/>
    <cellStyle name="Normal 32 2 3 6" xfId="45947" xr:uid="{00000000-0005-0000-0000-000089B30000}"/>
    <cellStyle name="Normal 32 2 3 7" xfId="45948" xr:uid="{00000000-0005-0000-0000-00008AB30000}"/>
    <cellStyle name="Normal 32 2 4" xfId="45949" xr:uid="{00000000-0005-0000-0000-00008BB30000}"/>
    <cellStyle name="Normal 32 2 4 2" xfId="45950" xr:uid="{00000000-0005-0000-0000-00008CB30000}"/>
    <cellStyle name="Normal 32 2 4 2 2" xfId="45951" xr:uid="{00000000-0005-0000-0000-00008DB30000}"/>
    <cellStyle name="Normal 32 2 4 2 2 2" xfId="45952" xr:uid="{00000000-0005-0000-0000-00008EB30000}"/>
    <cellStyle name="Normal 32 2 4 2 3" xfId="45953" xr:uid="{00000000-0005-0000-0000-00008FB30000}"/>
    <cellStyle name="Normal 32 2 4 2 4" xfId="45954" xr:uid="{00000000-0005-0000-0000-000090B30000}"/>
    <cellStyle name="Normal 32 2 4 2 5" xfId="45955" xr:uid="{00000000-0005-0000-0000-000091B30000}"/>
    <cellStyle name="Normal 32 2 4 3" xfId="45956" xr:uid="{00000000-0005-0000-0000-000092B30000}"/>
    <cellStyle name="Normal 32 2 4 3 2" xfId="45957" xr:uid="{00000000-0005-0000-0000-000093B30000}"/>
    <cellStyle name="Normal 32 2 4 4" xfId="45958" xr:uid="{00000000-0005-0000-0000-000094B30000}"/>
    <cellStyle name="Normal 32 2 4 5" xfId="45959" xr:uid="{00000000-0005-0000-0000-000095B30000}"/>
    <cellStyle name="Normal 32 2 4 6" xfId="45960" xr:uid="{00000000-0005-0000-0000-000096B30000}"/>
    <cellStyle name="Normal 32 2 5" xfId="45961" xr:uid="{00000000-0005-0000-0000-000097B30000}"/>
    <cellStyle name="Normal 32 2 5 2" xfId="45962" xr:uid="{00000000-0005-0000-0000-000098B30000}"/>
    <cellStyle name="Normal 32 2 5 2 2" xfId="45963" xr:uid="{00000000-0005-0000-0000-000099B30000}"/>
    <cellStyle name="Normal 32 2 5 3" xfId="45964" xr:uid="{00000000-0005-0000-0000-00009AB30000}"/>
    <cellStyle name="Normal 32 2 5 4" xfId="45965" xr:uid="{00000000-0005-0000-0000-00009BB30000}"/>
    <cellStyle name="Normal 32 2 5 5" xfId="45966" xr:uid="{00000000-0005-0000-0000-00009CB30000}"/>
    <cellStyle name="Normal 32 2 6" xfId="45967" xr:uid="{00000000-0005-0000-0000-00009DB30000}"/>
    <cellStyle name="Normal 32 2 6 2" xfId="45968" xr:uid="{00000000-0005-0000-0000-00009EB30000}"/>
    <cellStyle name="Normal 32 2 7" xfId="45969" xr:uid="{00000000-0005-0000-0000-00009FB30000}"/>
    <cellStyle name="Normal 32 2 7 2" xfId="45970" xr:uid="{00000000-0005-0000-0000-0000A0B30000}"/>
    <cellStyle name="Normal 32 2 8" xfId="45971" xr:uid="{00000000-0005-0000-0000-0000A1B30000}"/>
    <cellStyle name="Normal 32 2 9" xfId="45972" xr:uid="{00000000-0005-0000-0000-0000A2B30000}"/>
    <cellStyle name="Normal 32 3" xfId="45973" xr:uid="{00000000-0005-0000-0000-0000A3B30000}"/>
    <cellStyle name="Normal 32 3 10" xfId="45974" xr:uid="{00000000-0005-0000-0000-0000A4B30000}"/>
    <cellStyle name="Normal 32 3 11" xfId="45975" xr:uid="{00000000-0005-0000-0000-0000A5B30000}"/>
    <cellStyle name="Normal 32 3 2" xfId="45976" xr:uid="{00000000-0005-0000-0000-0000A6B30000}"/>
    <cellStyle name="Normal 32 3 2 2" xfId="45977" xr:uid="{00000000-0005-0000-0000-0000A7B30000}"/>
    <cellStyle name="Normal 32 3 2 2 2" xfId="45978" xr:uid="{00000000-0005-0000-0000-0000A8B30000}"/>
    <cellStyle name="Normal 32 3 2 2 2 2" xfId="45979" xr:uid="{00000000-0005-0000-0000-0000A9B30000}"/>
    <cellStyle name="Normal 32 3 2 2 2 2 2" xfId="45980" xr:uid="{00000000-0005-0000-0000-0000AAB30000}"/>
    <cellStyle name="Normal 32 3 2 2 2 3" xfId="45981" xr:uid="{00000000-0005-0000-0000-0000ABB30000}"/>
    <cellStyle name="Normal 32 3 2 2 3" xfId="45982" xr:uid="{00000000-0005-0000-0000-0000ACB30000}"/>
    <cellStyle name="Normal 32 3 2 2 3 2" xfId="45983" xr:uid="{00000000-0005-0000-0000-0000ADB30000}"/>
    <cellStyle name="Normal 32 3 2 2 4" xfId="45984" xr:uid="{00000000-0005-0000-0000-0000AEB30000}"/>
    <cellStyle name="Normal 32 3 2 2 5" xfId="45985" xr:uid="{00000000-0005-0000-0000-0000AFB30000}"/>
    <cellStyle name="Normal 32 3 2 2 6" xfId="45986" xr:uid="{00000000-0005-0000-0000-0000B0B30000}"/>
    <cellStyle name="Normal 32 3 2 3" xfId="45987" xr:uid="{00000000-0005-0000-0000-0000B1B30000}"/>
    <cellStyle name="Normal 32 3 2 3 2" xfId="45988" xr:uid="{00000000-0005-0000-0000-0000B2B30000}"/>
    <cellStyle name="Normal 32 3 2 3 2 2" xfId="45989" xr:uid="{00000000-0005-0000-0000-0000B3B30000}"/>
    <cellStyle name="Normal 32 3 2 3 3" xfId="45990" xr:uid="{00000000-0005-0000-0000-0000B4B30000}"/>
    <cellStyle name="Normal 32 3 2 4" xfId="45991" xr:uid="{00000000-0005-0000-0000-0000B5B30000}"/>
    <cellStyle name="Normal 32 3 2 4 2" xfId="45992" xr:uid="{00000000-0005-0000-0000-0000B6B30000}"/>
    <cellStyle name="Normal 32 3 2 5" xfId="45993" xr:uid="{00000000-0005-0000-0000-0000B7B30000}"/>
    <cellStyle name="Normal 32 3 2 6" xfId="45994" xr:uid="{00000000-0005-0000-0000-0000B8B30000}"/>
    <cellStyle name="Normal 32 3 2 7" xfId="45995" xr:uid="{00000000-0005-0000-0000-0000B9B30000}"/>
    <cellStyle name="Normal 32 3 2 8" xfId="45996" xr:uid="{00000000-0005-0000-0000-0000BAB30000}"/>
    <cellStyle name="Normal 32 3 3" xfId="45997" xr:uid="{00000000-0005-0000-0000-0000BBB30000}"/>
    <cellStyle name="Normal 32 3 3 2" xfId="45998" xr:uid="{00000000-0005-0000-0000-0000BCB30000}"/>
    <cellStyle name="Normal 32 3 3 2 2" xfId="45999" xr:uid="{00000000-0005-0000-0000-0000BDB30000}"/>
    <cellStyle name="Normal 32 3 3 2 2 2" xfId="46000" xr:uid="{00000000-0005-0000-0000-0000BEB30000}"/>
    <cellStyle name="Normal 32 3 3 2 3" xfId="46001" xr:uid="{00000000-0005-0000-0000-0000BFB30000}"/>
    <cellStyle name="Normal 32 3 3 3" xfId="46002" xr:uid="{00000000-0005-0000-0000-0000C0B30000}"/>
    <cellStyle name="Normal 32 3 3 3 2" xfId="46003" xr:uid="{00000000-0005-0000-0000-0000C1B30000}"/>
    <cellStyle name="Normal 32 3 3 4" xfId="46004" xr:uid="{00000000-0005-0000-0000-0000C2B30000}"/>
    <cellStyle name="Normal 32 3 3 5" xfId="46005" xr:uid="{00000000-0005-0000-0000-0000C3B30000}"/>
    <cellStyle name="Normal 32 3 3 6" xfId="46006" xr:uid="{00000000-0005-0000-0000-0000C4B30000}"/>
    <cellStyle name="Normal 32 3 4" xfId="46007" xr:uid="{00000000-0005-0000-0000-0000C5B30000}"/>
    <cellStyle name="Normal 32 3 4 2" xfId="46008" xr:uid="{00000000-0005-0000-0000-0000C6B30000}"/>
    <cellStyle name="Normal 32 3 4 2 2" xfId="46009" xr:uid="{00000000-0005-0000-0000-0000C7B30000}"/>
    <cellStyle name="Normal 32 3 4 2 2 2" xfId="46010" xr:uid="{00000000-0005-0000-0000-0000C8B30000}"/>
    <cellStyle name="Normal 32 3 4 2 3" xfId="46011" xr:uid="{00000000-0005-0000-0000-0000C9B30000}"/>
    <cellStyle name="Normal 32 3 4 3" xfId="46012" xr:uid="{00000000-0005-0000-0000-0000CAB30000}"/>
    <cellStyle name="Normal 32 3 4 3 2" xfId="46013" xr:uid="{00000000-0005-0000-0000-0000CBB30000}"/>
    <cellStyle name="Normal 32 3 4 4" xfId="46014" xr:uid="{00000000-0005-0000-0000-0000CCB30000}"/>
    <cellStyle name="Normal 32 3 5" xfId="46015" xr:uid="{00000000-0005-0000-0000-0000CDB30000}"/>
    <cellStyle name="Normal 32 3 5 2" xfId="46016" xr:uid="{00000000-0005-0000-0000-0000CEB30000}"/>
    <cellStyle name="Normal 32 3 5 2 2" xfId="46017" xr:uid="{00000000-0005-0000-0000-0000CFB30000}"/>
    <cellStyle name="Normal 32 3 5 3" xfId="46018" xr:uid="{00000000-0005-0000-0000-0000D0B30000}"/>
    <cellStyle name="Normal 32 3 6" xfId="46019" xr:uid="{00000000-0005-0000-0000-0000D1B30000}"/>
    <cellStyle name="Normal 32 3 6 2" xfId="46020" xr:uid="{00000000-0005-0000-0000-0000D2B30000}"/>
    <cellStyle name="Normal 32 3 7" xfId="46021" xr:uid="{00000000-0005-0000-0000-0000D3B30000}"/>
    <cellStyle name="Normal 32 3 7 2" xfId="46022" xr:uid="{00000000-0005-0000-0000-0000D4B30000}"/>
    <cellStyle name="Normal 32 3 8" xfId="46023" xr:uid="{00000000-0005-0000-0000-0000D5B30000}"/>
    <cellStyle name="Normal 32 3 9" xfId="46024" xr:uid="{00000000-0005-0000-0000-0000D6B30000}"/>
    <cellStyle name="Normal 32 4" xfId="46025" xr:uid="{00000000-0005-0000-0000-0000D7B30000}"/>
    <cellStyle name="Normal 32 4 2" xfId="46026" xr:uid="{00000000-0005-0000-0000-0000D8B30000}"/>
    <cellStyle name="Normal 32 4 2 2" xfId="46027" xr:uid="{00000000-0005-0000-0000-0000D9B30000}"/>
    <cellStyle name="Normal 32 4 2 2 2" xfId="46028" xr:uid="{00000000-0005-0000-0000-0000DAB30000}"/>
    <cellStyle name="Normal 32 4 2 2 2 2" xfId="46029" xr:uid="{00000000-0005-0000-0000-0000DBB30000}"/>
    <cellStyle name="Normal 32 4 2 2 3" xfId="46030" xr:uid="{00000000-0005-0000-0000-0000DCB30000}"/>
    <cellStyle name="Normal 32 4 2 3" xfId="46031" xr:uid="{00000000-0005-0000-0000-0000DDB30000}"/>
    <cellStyle name="Normal 32 4 2 3 2" xfId="46032" xr:uid="{00000000-0005-0000-0000-0000DEB30000}"/>
    <cellStyle name="Normal 32 4 2 4" xfId="46033" xr:uid="{00000000-0005-0000-0000-0000DFB30000}"/>
    <cellStyle name="Normal 32 4 2 5" xfId="46034" xr:uid="{00000000-0005-0000-0000-0000E0B30000}"/>
    <cellStyle name="Normal 32 4 2 6" xfId="46035" xr:uid="{00000000-0005-0000-0000-0000E1B30000}"/>
    <cellStyle name="Normal 32 4 3" xfId="46036" xr:uid="{00000000-0005-0000-0000-0000E2B30000}"/>
    <cellStyle name="Normal 32 4 3 2" xfId="46037" xr:uid="{00000000-0005-0000-0000-0000E3B30000}"/>
    <cellStyle name="Normal 32 4 3 2 2" xfId="46038" xr:uid="{00000000-0005-0000-0000-0000E4B30000}"/>
    <cellStyle name="Normal 32 4 3 2 2 2" xfId="46039" xr:uid="{00000000-0005-0000-0000-0000E5B30000}"/>
    <cellStyle name="Normal 32 4 3 2 3" xfId="46040" xr:uid="{00000000-0005-0000-0000-0000E6B30000}"/>
    <cellStyle name="Normal 32 4 3 3" xfId="46041" xr:uid="{00000000-0005-0000-0000-0000E7B30000}"/>
    <cellStyle name="Normal 32 4 3 3 2" xfId="46042" xr:uid="{00000000-0005-0000-0000-0000E8B30000}"/>
    <cellStyle name="Normal 32 4 3 4" xfId="46043" xr:uid="{00000000-0005-0000-0000-0000E9B30000}"/>
    <cellStyle name="Normal 32 4 4" xfId="46044" xr:uid="{00000000-0005-0000-0000-0000EAB30000}"/>
    <cellStyle name="Normal 32 4 4 2" xfId="46045" xr:uid="{00000000-0005-0000-0000-0000EBB30000}"/>
    <cellStyle name="Normal 32 4 4 2 2" xfId="46046" xr:uid="{00000000-0005-0000-0000-0000ECB30000}"/>
    <cellStyle name="Normal 32 4 4 3" xfId="46047" xr:uid="{00000000-0005-0000-0000-0000EDB30000}"/>
    <cellStyle name="Normal 32 4 5" xfId="46048" xr:uid="{00000000-0005-0000-0000-0000EEB30000}"/>
    <cellStyle name="Normal 32 4 5 2" xfId="46049" xr:uid="{00000000-0005-0000-0000-0000EFB30000}"/>
    <cellStyle name="Normal 32 4 6" xfId="46050" xr:uid="{00000000-0005-0000-0000-0000F0B30000}"/>
    <cellStyle name="Normal 32 4 7" xfId="46051" xr:uid="{00000000-0005-0000-0000-0000F1B30000}"/>
    <cellStyle name="Normal 32 4 8" xfId="46052" xr:uid="{00000000-0005-0000-0000-0000F2B30000}"/>
    <cellStyle name="Normal 32 4 9" xfId="46053" xr:uid="{00000000-0005-0000-0000-0000F3B30000}"/>
    <cellStyle name="Normal 32 5" xfId="46054" xr:uid="{00000000-0005-0000-0000-0000F4B30000}"/>
    <cellStyle name="Normal 32 5 2" xfId="46055" xr:uid="{00000000-0005-0000-0000-0000F5B30000}"/>
    <cellStyle name="Normal 32 5 2 2" xfId="46056" xr:uid="{00000000-0005-0000-0000-0000F6B30000}"/>
    <cellStyle name="Normal 32 5 2 2 2" xfId="46057" xr:uid="{00000000-0005-0000-0000-0000F7B30000}"/>
    <cellStyle name="Normal 32 5 2 2 2 2" xfId="46058" xr:uid="{00000000-0005-0000-0000-0000F8B30000}"/>
    <cellStyle name="Normal 32 5 2 2 3" xfId="46059" xr:uid="{00000000-0005-0000-0000-0000F9B30000}"/>
    <cellStyle name="Normal 32 5 2 3" xfId="46060" xr:uid="{00000000-0005-0000-0000-0000FAB30000}"/>
    <cellStyle name="Normal 32 5 2 3 2" xfId="46061" xr:uid="{00000000-0005-0000-0000-0000FBB30000}"/>
    <cellStyle name="Normal 32 5 2 4" xfId="46062" xr:uid="{00000000-0005-0000-0000-0000FCB30000}"/>
    <cellStyle name="Normal 32 5 3" xfId="46063" xr:uid="{00000000-0005-0000-0000-0000FDB30000}"/>
    <cellStyle name="Normal 32 5 3 2" xfId="46064" xr:uid="{00000000-0005-0000-0000-0000FEB30000}"/>
    <cellStyle name="Normal 32 5 3 2 2" xfId="46065" xr:uid="{00000000-0005-0000-0000-0000FFB30000}"/>
    <cellStyle name="Normal 32 5 3 3" xfId="46066" xr:uid="{00000000-0005-0000-0000-000000B40000}"/>
    <cellStyle name="Normal 32 5 4" xfId="46067" xr:uid="{00000000-0005-0000-0000-000001B40000}"/>
    <cellStyle name="Normal 32 5 4 2" xfId="46068" xr:uid="{00000000-0005-0000-0000-000002B40000}"/>
    <cellStyle name="Normal 32 5 5" xfId="46069" xr:uid="{00000000-0005-0000-0000-000003B40000}"/>
    <cellStyle name="Normal 32 5 6" xfId="46070" xr:uid="{00000000-0005-0000-0000-000004B40000}"/>
    <cellStyle name="Normal 32 5 7" xfId="46071" xr:uid="{00000000-0005-0000-0000-000005B40000}"/>
    <cellStyle name="Normal 32 6" xfId="46072" xr:uid="{00000000-0005-0000-0000-000006B40000}"/>
    <cellStyle name="Normal 32 6 2" xfId="46073" xr:uid="{00000000-0005-0000-0000-000007B40000}"/>
    <cellStyle name="Normal 32 6 2 2" xfId="46074" xr:uid="{00000000-0005-0000-0000-000008B40000}"/>
    <cellStyle name="Normal 32 6 2 2 2" xfId="46075" xr:uid="{00000000-0005-0000-0000-000009B40000}"/>
    <cellStyle name="Normal 32 6 2 3" xfId="46076" xr:uid="{00000000-0005-0000-0000-00000AB40000}"/>
    <cellStyle name="Normal 32 6 3" xfId="46077" xr:uid="{00000000-0005-0000-0000-00000BB40000}"/>
    <cellStyle name="Normal 32 6 3 2" xfId="46078" xr:uid="{00000000-0005-0000-0000-00000CB40000}"/>
    <cellStyle name="Normal 32 6 4" xfId="46079" xr:uid="{00000000-0005-0000-0000-00000DB40000}"/>
    <cellStyle name="Normal 32 7" xfId="46080" xr:uid="{00000000-0005-0000-0000-00000EB40000}"/>
    <cellStyle name="Normal 32 7 2" xfId="46081" xr:uid="{00000000-0005-0000-0000-00000FB40000}"/>
    <cellStyle name="Normal 32 7 2 2" xfId="46082" xr:uid="{00000000-0005-0000-0000-000010B40000}"/>
    <cellStyle name="Normal 32 7 2 2 2" xfId="46083" xr:uid="{00000000-0005-0000-0000-000011B40000}"/>
    <cellStyle name="Normal 32 7 2 3" xfId="46084" xr:uid="{00000000-0005-0000-0000-000012B40000}"/>
    <cellStyle name="Normal 32 7 3" xfId="46085" xr:uid="{00000000-0005-0000-0000-000013B40000}"/>
    <cellStyle name="Normal 32 7 3 2" xfId="46086" xr:uid="{00000000-0005-0000-0000-000014B40000}"/>
    <cellStyle name="Normal 32 7 4" xfId="46087" xr:uid="{00000000-0005-0000-0000-000015B40000}"/>
    <cellStyle name="Normal 32 8" xfId="46088" xr:uid="{00000000-0005-0000-0000-000016B40000}"/>
    <cellStyle name="Normal 32 8 2" xfId="46089" xr:uid="{00000000-0005-0000-0000-000017B40000}"/>
    <cellStyle name="Normal 32 8 2 2" xfId="46090" xr:uid="{00000000-0005-0000-0000-000018B40000}"/>
    <cellStyle name="Normal 32 8 3" xfId="46091" xr:uid="{00000000-0005-0000-0000-000019B40000}"/>
    <cellStyle name="Normal 32 9" xfId="46092" xr:uid="{00000000-0005-0000-0000-00001AB40000}"/>
    <cellStyle name="Normal 32 9 2" xfId="46093" xr:uid="{00000000-0005-0000-0000-00001BB40000}"/>
    <cellStyle name="Normal 32_Proj" xfId="46094" xr:uid="{00000000-0005-0000-0000-00001CB40000}"/>
    <cellStyle name="Normal 33" xfId="46095" xr:uid="{00000000-0005-0000-0000-00001DB40000}"/>
    <cellStyle name="Normal 33 10" xfId="46096" xr:uid="{00000000-0005-0000-0000-00001EB40000}"/>
    <cellStyle name="Normal 33 10 2" xfId="46097" xr:uid="{00000000-0005-0000-0000-00001FB40000}"/>
    <cellStyle name="Normal 33 10 2 2" xfId="46098" xr:uid="{00000000-0005-0000-0000-000020B40000}"/>
    <cellStyle name="Normal 33 10 3" xfId="46099" xr:uid="{00000000-0005-0000-0000-000021B40000}"/>
    <cellStyle name="Normal 33 11" xfId="46100" xr:uid="{00000000-0005-0000-0000-000022B40000}"/>
    <cellStyle name="Normal 33 11 2" xfId="46101" xr:uid="{00000000-0005-0000-0000-000023B40000}"/>
    <cellStyle name="Normal 33 12" xfId="46102" xr:uid="{00000000-0005-0000-0000-000024B40000}"/>
    <cellStyle name="Normal 33 12 2" xfId="46103" xr:uid="{00000000-0005-0000-0000-000025B40000}"/>
    <cellStyle name="Normal 33 13" xfId="46104" xr:uid="{00000000-0005-0000-0000-000026B40000}"/>
    <cellStyle name="Normal 33 14" xfId="46105" xr:uid="{00000000-0005-0000-0000-000027B40000}"/>
    <cellStyle name="Normal 33 15" xfId="46106" xr:uid="{00000000-0005-0000-0000-000028B40000}"/>
    <cellStyle name="Normal 33 16" xfId="46107" xr:uid="{00000000-0005-0000-0000-000029B40000}"/>
    <cellStyle name="Normal 33 2" xfId="46108" xr:uid="{00000000-0005-0000-0000-00002AB40000}"/>
    <cellStyle name="Normal 33 2 10" xfId="46109" xr:uid="{00000000-0005-0000-0000-00002BB40000}"/>
    <cellStyle name="Normal 33 2 11" xfId="46110" xr:uid="{00000000-0005-0000-0000-00002CB40000}"/>
    <cellStyle name="Normal 33 2 12" xfId="46111" xr:uid="{00000000-0005-0000-0000-00002DB40000}"/>
    <cellStyle name="Normal 33 2 13" xfId="46112" xr:uid="{00000000-0005-0000-0000-00002EB40000}"/>
    <cellStyle name="Normal 33 2 2" xfId="46113" xr:uid="{00000000-0005-0000-0000-00002FB40000}"/>
    <cellStyle name="Normal 33 2 2 10" xfId="46114" xr:uid="{00000000-0005-0000-0000-000030B40000}"/>
    <cellStyle name="Normal 33 2 2 11" xfId="46115" xr:uid="{00000000-0005-0000-0000-000031B40000}"/>
    <cellStyle name="Normal 33 2 2 2" xfId="46116" xr:uid="{00000000-0005-0000-0000-000032B40000}"/>
    <cellStyle name="Normal 33 2 2 2 2" xfId="46117" xr:uid="{00000000-0005-0000-0000-000033B40000}"/>
    <cellStyle name="Normal 33 2 2 2 2 2" xfId="46118" xr:uid="{00000000-0005-0000-0000-000034B40000}"/>
    <cellStyle name="Normal 33 2 2 2 2 2 2" xfId="46119" xr:uid="{00000000-0005-0000-0000-000035B40000}"/>
    <cellStyle name="Normal 33 2 2 2 2 2 2 2" xfId="46120" xr:uid="{00000000-0005-0000-0000-000036B40000}"/>
    <cellStyle name="Normal 33 2 2 2 2 2 3" xfId="46121" xr:uid="{00000000-0005-0000-0000-000037B40000}"/>
    <cellStyle name="Normal 33 2 2 2 2 3" xfId="46122" xr:uid="{00000000-0005-0000-0000-000038B40000}"/>
    <cellStyle name="Normal 33 2 2 2 2 3 2" xfId="46123" xr:uid="{00000000-0005-0000-0000-000039B40000}"/>
    <cellStyle name="Normal 33 2 2 2 2 4" xfId="46124" xr:uid="{00000000-0005-0000-0000-00003AB40000}"/>
    <cellStyle name="Normal 33 2 2 2 3" xfId="46125" xr:uid="{00000000-0005-0000-0000-00003BB40000}"/>
    <cellStyle name="Normal 33 2 2 2 3 2" xfId="46126" xr:uid="{00000000-0005-0000-0000-00003CB40000}"/>
    <cellStyle name="Normal 33 2 2 2 3 2 2" xfId="46127" xr:uid="{00000000-0005-0000-0000-00003DB40000}"/>
    <cellStyle name="Normal 33 2 2 2 3 2 2 2" xfId="46128" xr:uid="{00000000-0005-0000-0000-00003EB40000}"/>
    <cellStyle name="Normal 33 2 2 2 3 2 3" xfId="46129" xr:uid="{00000000-0005-0000-0000-00003FB40000}"/>
    <cellStyle name="Normal 33 2 2 2 3 3" xfId="46130" xr:uid="{00000000-0005-0000-0000-000040B40000}"/>
    <cellStyle name="Normal 33 2 2 2 3 3 2" xfId="46131" xr:uid="{00000000-0005-0000-0000-000041B40000}"/>
    <cellStyle name="Normal 33 2 2 2 3 4" xfId="46132" xr:uid="{00000000-0005-0000-0000-000042B40000}"/>
    <cellStyle name="Normal 33 2 2 2 4" xfId="46133" xr:uid="{00000000-0005-0000-0000-000043B40000}"/>
    <cellStyle name="Normal 33 2 2 2 4 2" xfId="46134" xr:uid="{00000000-0005-0000-0000-000044B40000}"/>
    <cellStyle name="Normal 33 2 2 2 4 2 2" xfId="46135" xr:uid="{00000000-0005-0000-0000-000045B40000}"/>
    <cellStyle name="Normal 33 2 2 2 4 3" xfId="46136" xr:uid="{00000000-0005-0000-0000-000046B40000}"/>
    <cellStyle name="Normal 33 2 2 2 5" xfId="46137" xr:uid="{00000000-0005-0000-0000-000047B40000}"/>
    <cellStyle name="Normal 33 2 2 2 5 2" xfId="46138" xr:uid="{00000000-0005-0000-0000-000048B40000}"/>
    <cellStyle name="Normal 33 2 2 2 6" xfId="46139" xr:uid="{00000000-0005-0000-0000-000049B40000}"/>
    <cellStyle name="Normal 33 2 2 2 7" xfId="46140" xr:uid="{00000000-0005-0000-0000-00004AB40000}"/>
    <cellStyle name="Normal 33 2 2 3" xfId="46141" xr:uid="{00000000-0005-0000-0000-00004BB40000}"/>
    <cellStyle name="Normal 33 2 2 3 2" xfId="46142" xr:uid="{00000000-0005-0000-0000-00004CB40000}"/>
    <cellStyle name="Normal 33 2 2 3 2 2" xfId="46143" xr:uid="{00000000-0005-0000-0000-00004DB40000}"/>
    <cellStyle name="Normal 33 2 2 3 2 2 2" xfId="46144" xr:uid="{00000000-0005-0000-0000-00004EB40000}"/>
    <cellStyle name="Normal 33 2 2 3 2 2 2 2" xfId="46145" xr:uid="{00000000-0005-0000-0000-00004FB40000}"/>
    <cellStyle name="Normal 33 2 2 3 2 2 3" xfId="46146" xr:uid="{00000000-0005-0000-0000-000050B40000}"/>
    <cellStyle name="Normal 33 2 2 3 2 3" xfId="46147" xr:uid="{00000000-0005-0000-0000-000051B40000}"/>
    <cellStyle name="Normal 33 2 2 3 2 3 2" xfId="46148" xr:uid="{00000000-0005-0000-0000-000052B40000}"/>
    <cellStyle name="Normal 33 2 2 3 2 4" xfId="46149" xr:uid="{00000000-0005-0000-0000-000053B40000}"/>
    <cellStyle name="Normal 33 2 2 3 3" xfId="46150" xr:uid="{00000000-0005-0000-0000-000054B40000}"/>
    <cellStyle name="Normal 33 2 2 3 3 2" xfId="46151" xr:uid="{00000000-0005-0000-0000-000055B40000}"/>
    <cellStyle name="Normal 33 2 2 3 3 2 2" xfId="46152" xr:uid="{00000000-0005-0000-0000-000056B40000}"/>
    <cellStyle name="Normal 33 2 2 3 3 3" xfId="46153" xr:uid="{00000000-0005-0000-0000-000057B40000}"/>
    <cellStyle name="Normal 33 2 2 3 4" xfId="46154" xr:uid="{00000000-0005-0000-0000-000058B40000}"/>
    <cellStyle name="Normal 33 2 2 3 4 2" xfId="46155" xr:uid="{00000000-0005-0000-0000-000059B40000}"/>
    <cellStyle name="Normal 33 2 2 3 5" xfId="46156" xr:uid="{00000000-0005-0000-0000-00005AB40000}"/>
    <cellStyle name="Normal 33 2 2 4" xfId="46157" xr:uid="{00000000-0005-0000-0000-00005BB40000}"/>
    <cellStyle name="Normal 33 2 2 4 2" xfId="46158" xr:uid="{00000000-0005-0000-0000-00005CB40000}"/>
    <cellStyle name="Normal 33 2 2 4 2 2" xfId="46159" xr:uid="{00000000-0005-0000-0000-00005DB40000}"/>
    <cellStyle name="Normal 33 2 2 4 2 2 2" xfId="46160" xr:uid="{00000000-0005-0000-0000-00005EB40000}"/>
    <cellStyle name="Normal 33 2 2 4 2 3" xfId="46161" xr:uid="{00000000-0005-0000-0000-00005FB40000}"/>
    <cellStyle name="Normal 33 2 2 4 3" xfId="46162" xr:uid="{00000000-0005-0000-0000-000060B40000}"/>
    <cellStyle name="Normal 33 2 2 4 3 2" xfId="46163" xr:uid="{00000000-0005-0000-0000-000061B40000}"/>
    <cellStyle name="Normal 33 2 2 4 4" xfId="46164" xr:uid="{00000000-0005-0000-0000-000062B40000}"/>
    <cellStyle name="Normal 33 2 2 5" xfId="46165" xr:uid="{00000000-0005-0000-0000-000063B40000}"/>
    <cellStyle name="Normal 33 2 2 5 2" xfId="46166" xr:uid="{00000000-0005-0000-0000-000064B40000}"/>
    <cellStyle name="Normal 33 2 2 5 2 2" xfId="46167" xr:uid="{00000000-0005-0000-0000-000065B40000}"/>
    <cellStyle name="Normal 33 2 2 5 3" xfId="46168" xr:uid="{00000000-0005-0000-0000-000066B40000}"/>
    <cellStyle name="Normal 33 2 2 6" xfId="46169" xr:uid="{00000000-0005-0000-0000-000067B40000}"/>
    <cellStyle name="Normal 33 2 2 6 2" xfId="46170" xr:uid="{00000000-0005-0000-0000-000068B40000}"/>
    <cellStyle name="Normal 33 2 2 7" xfId="46171" xr:uid="{00000000-0005-0000-0000-000069B40000}"/>
    <cellStyle name="Normal 33 2 2 7 2" xfId="46172" xr:uid="{00000000-0005-0000-0000-00006AB40000}"/>
    <cellStyle name="Normal 33 2 2 8" xfId="46173" xr:uid="{00000000-0005-0000-0000-00006BB40000}"/>
    <cellStyle name="Normal 33 2 2 9" xfId="46174" xr:uid="{00000000-0005-0000-0000-00006CB40000}"/>
    <cellStyle name="Normal 33 2 3" xfId="46175" xr:uid="{00000000-0005-0000-0000-00006DB40000}"/>
    <cellStyle name="Normal 33 2 3 2" xfId="46176" xr:uid="{00000000-0005-0000-0000-00006EB40000}"/>
    <cellStyle name="Normal 33 2 3 2 2" xfId="46177" xr:uid="{00000000-0005-0000-0000-00006FB40000}"/>
    <cellStyle name="Normal 33 2 3 2 2 2" xfId="46178" xr:uid="{00000000-0005-0000-0000-000070B40000}"/>
    <cellStyle name="Normal 33 2 3 2 2 2 2" xfId="46179" xr:uid="{00000000-0005-0000-0000-000071B40000}"/>
    <cellStyle name="Normal 33 2 3 2 2 2 2 2" xfId="46180" xr:uid="{00000000-0005-0000-0000-000072B40000}"/>
    <cellStyle name="Normal 33 2 3 2 2 2 3" xfId="46181" xr:uid="{00000000-0005-0000-0000-000073B40000}"/>
    <cellStyle name="Normal 33 2 3 2 2 3" xfId="46182" xr:uid="{00000000-0005-0000-0000-000074B40000}"/>
    <cellStyle name="Normal 33 2 3 2 2 3 2" xfId="46183" xr:uid="{00000000-0005-0000-0000-000075B40000}"/>
    <cellStyle name="Normal 33 2 3 2 2 4" xfId="46184" xr:uid="{00000000-0005-0000-0000-000076B40000}"/>
    <cellStyle name="Normal 33 2 3 2 3" xfId="46185" xr:uid="{00000000-0005-0000-0000-000077B40000}"/>
    <cellStyle name="Normal 33 2 3 2 3 2" xfId="46186" xr:uid="{00000000-0005-0000-0000-000078B40000}"/>
    <cellStyle name="Normal 33 2 3 2 3 2 2" xfId="46187" xr:uid="{00000000-0005-0000-0000-000079B40000}"/>
    <cellStyle name="Normal 33 2 3 2 3 2 2 2" xfId="46188" xr:uid="{00000000-0005-0000-0000-00007AB40000}"/>
    <cellStyle name="Normal 33 2 3 2 3 2 3" xfId="46189" xr:uid="{00000000-0005-0000-0000-00007BB40000}"/>
    <cellStyle name="Normal 33 2 3 2 3 3" xfId="46190" xr:uid="{00000000-0005-0000-0000-00007CB40000}"/>
    <cellStyle name="Normal 33 2 3 2 3 3 2" xfId="46191" xr:uid="{00000000-0005-0000-0000-00007DB40000}"/>
    <cellStyle name="Normal 33 2 3 2 3 4" xfId="46192" xr:uid="{00000000-0005-0000-0000-00007EB40000}"/>
    <cellStyle name="Normal 33 2 3 2 4" xfId="46193" xr:uid="{00000000-0005-0000-0000-00007FB40000}"/>
    <cellStyle name="Normal 33 2 3 2 4 2" xfId="46194" xr:uid="{00000000-0005-0000-0000-000080B40000}"/>
    <cellStyle name="Normal 33 2 3 2 4 2 2" xfId="46195" xr:uid="{00000000-0005-0000-0000-000081B40000}"/>
    <cellStyle name="Normal 33 2 3 2 4 3" xfId="46196" xr:uid="{00000000-0005-0000-0000-000082B40000}"/>
    <cellStyle name="Normal 33 2 3 2 5" xfId="46197" xr:uid="{00000000-0005-0000-0000-000083B40000}"/>
    <cellStyle name="Normal 33 2 3 2 5 2" xfId="46198" xr:uid="{00000000-0005-0000-0000-000084B40000}"/>
    <cellStyle name="Normal 33 2 3 2 6" xfId="46199" xr:uid="{00000000-0005-0000-0000-000085B40000}"/>
    <cellStyle name="Normal 33 2 3 2 7" xfId="46200" xr:uid="{00000000-0005-0000-0000-000086B40000}"/>
    <cellStyle name="Normal 33 2 3 3" xfId="46201" xr:uid="{00000000-0005-0000-0000-000087B40000}"/>
    <cellStyle name="Normal 33 2 3 3 2" xfId="46202" xr:uid="{00000000-0005-0000-0000-000088B40000}"/>
    <cellStyle name="Normal 33 2 3 3 2 2" xfId="46203" xr:uid="{00000000-0005-0000-0000-000089B40000}"/>
    <cellStyle name="Normal 33 2 3 3 2 2 2" xfId="46204" xr:uid="{00000000-0005-0000-0000-00008AB40000}"/>
    <cellStyle name="Normal 33 2 3 3 2 2 2 2" xfId="46205" xr:uid="{00000000-0005-0000-0000-00008BB40000}"/>
    <cellStyle name="Normal 33 2 3 3 2 2 3" xfId="46206" xr:uid="{00000000-0005-0000-0000-00008CB40000}"/>
    <cellStyle name="Normal 33 2 3 3 2 3" xfId="46207" xr:uid="{00000000-0005-0000-0000-00008DB40000}"/>
    <cellStyle name="Normal 33 2 3 3 2 3 2" xfId="46208" xr:uid="{00000000-0005-0000-0000-00008EB40000}"/>
    <cellStyle name="Normal 33 2 3 3 2 4" xfId="46209" xr:uid="{00000000-0005-0000-0000-00008FB40000}"/>
    <cellStyle name="Normal 33 2 3 3 3" xfId="46210" xr:uid="{00000000-0005-0000-0000-000090B40000}"/>
    <cellStyle name="Normal 33 2 3 3 3 2" xfId="46211" xr:uid="{00000000-0005-0000-0000-000091B40000}"/>
    <cellStyle name="Normal 33 2 3 3 3 2 2" xfId="46212" xr:uid="{00000000-0005-0000-0000-000092B40000}"/>
    <cellStyle name="Normal 33 2 3 3 3 3" xfId="46213" xr:uid="{00000000-0005-0000-0000-000093B40000}"/>
    <cellStyle name="Normal 33 2 3 3 4" xfId="46214" xr:uid="{00000000-0005-0000-0000-000094B40000}"/>
    <cellStyle name="Normal 33 2 3 3 4 2" xfId="46215" xr:uid="{00000000-0005-0000-0000-000095B40000}"/>
    <cellStyle name="Normal 33 2 3 3 5" xfId="46216" xr:uid="{00000000-0005-0000-0000-000096B40000}"/>
    <cellStyle name="Normal 33 2 3 4" xfId="46217" xr:uid="{00000000-0005-0000-0000-000097B40000}"/>
    <cellStyle name="Normal 33 2 3 4 2" xfId="46218" xr:uid="{00000000-0005-0000-0000-000098B40000}"/>
    <cellStyle name="Normal 33 2 3 4 2 2" xfId="46219" xr:uid="{00000000-0005-0000-0000-000099B40000}"/>
    <cellStyle name="Normal 33 2 3 4 2 2 2" xfId="46220" xr:uid="{00000000-0005-0000-0000-00009AB40000}"/>
    <cellStyle name="Normal 33 2 3 4 2 3" xfId="46221" xr:uid="{00000000-0005-0000-0000-00009BB40000}"/>
    <cellStyle name="Normal 33 2 3 4 3" xfId="46222" xr:uid="{00000000-0005-0000-0000-00009CB40000}"/>
    <cellStyle name="Normal 33 2 3 4 3 2" xfId="46223" xr:uid="{00000000-0005-0000-0000-00009DB40000}"/>
    <cellStyle name="Normal 33 2 3 4 4" xfId="46224" xr:uid="{00000000-0005-0000-0000-00009EB40000}"/>
    <cellStyle name="Normal 33 2 3 5" xfId="46225" xr:uid="{00000000-0005-0000-0000-00009FB40000}"/>
    <cellStyle name="Normal 33 2 3 5 2" xfId="46226" xr:uid="{00000000-0005-0000-0000-0000A0B40000}"/>
    <cellStyle name="Normal 33 2 3 5 2 2" xfId="46227" xr:uid="{00000000-0005-0000-0000-0000A1B40000}"/>
    <cellStyle name="Normal 33 2 3 5 3" xfId="46228" xr:uid="{00000000-0005-0000-0000-0000A2B40000}"/>
    <cellStyle name="Normal 33 2 3 6" xfId="46229" xr:uid="{00000000-0005-0000-0000-0000A3B40000}"/>
    <cellStyle name="Normal 33 2 3 6 2" xfId="46230" xr:uid="{00000000-0005-0000-0000-0000A4B40000}"/>
    <cellStyle name="Normal 33 2 3 7" xfId="46231" xr:uid="{00000000-0005-0000-0000-0000A5B40000}"/>
    <cellStyle name="Normal 33 2 3 7 2" xfId="46232" xr:uid="{00000000-0005-0000-0000-0000A6B40000}"/>
    <cellStyle name="Normal 33 2 3 8" xfId="46233" xr:uid="{00000000-0005-0000-0000-0000A7B40000}"/>
    <cellStyle name="Normal 33 2 3 9" xfId="46234" xr:uid="{00000000-0005-0000-0000-0000A8B40000}"/>
    <cellStyle name="Normal 33 2 4" xfId="46235" xr:uid="{00000000-0005-0000-0000-0000A9B40000}"/>
    <cellStyle name="Normal 33 2 4 2" xfId="46236" xr:uid="{00000000-0005-0000-0000-0000AAB40000}"/>
    <cellStyle name="Normal 33 2 4 2 2" xfId="46237" xr:uid="{00000000-0005-0000-0000-0000ABB40000}"/>
    <cellStyle name="Normal 33 2 4 2 2 2" xfId="46238" xr:uid="{00000000-0005-0000-0000-0000ACB40000}"/>
    <cellStyle name="Normal 33 2 4 2 2 2 2" xfId="46239" xr:uid="{00000000-0005-0000-0000-0000ADB40000}"/>
    <cellStyle name="Normal 33 2 4 2 2 3" xfId="46240" xr:uid="{00000000-0005-0000-0000-0000AEB40000}"/>
    <cellStyle name="Normal 33 2 4 2 3" xfId="46241" xr:uid="{00000000-0005-0000-0000-0000AFB40000}"/>
    <cellStyle name="Normal 33 2 4 2 3 2" xfId="46242" xr:uid="{00000000-0005-0000-0000-0000B0B40000}"/>
    <cellStyle name="Normal 33 2 4 2 4" xfId="46243" xr:uid="{00000000-0005-0000-0000-0000B1B40000}"/>
    <cellStyle name="Normal 33 2 4 3" xfId="46244" xr:uid="{00000000-0005-0000-0000-0000B2B40000}"/>
    <cellStyle name="Normal 33 2 4 3 2" xfId="46245" xr:uid="{00000000-0005-0000-0000-0000B3B40000}"/>
    <cellStyle name="Normal 33 2 4 3 2 2" xfId="46246" xr:uid="{00000000-0005-0000-0000-0000B4B40000}"/>
    <cellStyle name="Normal 33 2 4 3 2 2 2" xfId="46247" xr:uid="{00000000-0005-0000-0000-0000B5B40000}"/>
    <cellStyle name="Normal 33 2 4 3 2 3" xfId="46248" xr:uid="{00000000-0005-0000-0000-0000B6B40000}"/>
    <cellStyle name="Normal 33 2 4 3 3" xfId="46249" xr:uid="{00000000-0005-0000-0000-0000B7B40000}"/>
    <cellStyle name="Normal 33 2 4 3 3 2" xfId="46250" xr:uid="{00000000-0005-0000-0000-0000B8B40000}"/>
    <cellStyle name="Normal 33 2 4 3 4" xfId="46251" xr:uid="{00000000-0005-0000-0000-0000B9B40000}"/>
    <cellStyle name="Normal 33 2 4 4" xfId="46252" xr:uid="{00000000-0005-0000-0000-0000BAB40000}"/>
    <cellStyle name="Normal 33 2 4 4 2" xfId="46253" xr:uid="{00000000-0005-0000-0000-0000BBB40000}"/>
    <cellStyle name="Normal 33 2 4 4 2 2" xfId="46254" xr:uid="{00000000-0005-0000-0000-0000BCB40000}"/>
    <cellStyle name="Normal 33 2 4 4 3" xfId="46255" xr:uid="{00000000-0005-0000-0000-0000BDB40000}"/>
    <cellStyle name="Normal 33 2 4 5" xfId="46256" xr:uid="{00000000-0005-0000-0000-0000BEB40000}"/>
    <cellStyle name="Normal 33 2 4 5 2" xfId="46257" xr:uid="{00000000-0005-0000-0000-0000BFB40000}"/>
    <cellStyle name="Normal 33 2 4 6" xfId="46258" xr:uid="{00000000-0005-0000-0000-0000C0B40000}"/>
    <cellStyle name="Normal 33 2 4 7" xfId="46259" xr:uid="{00000000-0005-0000-0000-0000C1B40000}"/>
    <cellStyle name="Normal 33 2 5" xfId="46260" xr:uid="{00000000-0005-0000-0000-0000C2B40000}"/>
    <cellStyle name="Normal 33 2 5 2" xfId="46261" xr:uid="{00000000-0005-0000-0000-0000C3B40000}"/>
    <cellStyle name="Normal 33 2 5 2 2" xfId="46262" xr:uid="{00000000-0005-0000-0000-0000C4B40000}"/>
    <cellStyle name="Normal 33 2 5 2 2 2" xfId="46263" xr:uid="{00000000-0005-0000-0000-0000C5B40000}"/>
    <cellStyle name="Normal 33 2 5 2 2 2 2" xfId="46264" xr:uid="{00000000-0005-0000-0000-0000C6B40000}"/>
    <cellStyle name="Normal 33 2 5 2 2 3" xfId="46265" xr:uid="{00000000-0005-0000-0000-0000C7B40000}"/>
    <cellStyle name="Normal 33 2 5 2 3" xfId="46266" xr:uid="{00000000-0005-0000-0000-0000C8B40000}"/>
    <cellStyle name="Normal 33 2 5 2 3 2" xfId="46267" xr:uid="{00000000-0005-0000-0000-0000C9B40000}"/>
    <cellStyle name="Normal 33 2 5 2 4" xfId="46268" xr:uid="{00000000-0005-0000-0000-0000CAB40000}"/>
    <cellStyle name="Normal 33 2 5 3" xfId="46269" xr:uid="{00000000-0005-0000-0000-0000CBB40000}"/>
    <cellStyle name="Normal 33 2 5 3 2" xfId="46270" xr:uid="{00000000-0005-0000-0000-0000CCB40000}"/>
    <cellStyle name="Normal 33 2 5 3 2 2" xfId="46271" xr:uid="{00000000-0005-0000-0000-0000CDB40000}"/>
    <cellStyle name="Normal 33 2 5 3 3" xfId="46272" xr:uid="{00000000-0005-0000-0000-0000CEB40000}"/>
    <cellStyle name="Normal 33 2 5 4" xfId="46273" xr:uid="{00000000-0005-0000-0000-0000CFB40000}"/>
    <cellStyle name="Normal 33 2 5 4 2" xfId="46274" xr:uid="{00000000-0005-0000-0000-0000D0B40000}"/>
    <cellStyle name="Normal 33 2 5 5" xfId="46275" xr:uid="{00000000-0005-0000-0000-0000D1B40000}"/>
    <cellStyle name="Normal 33 2 6" xfId="46276" xr:uid="{00000000-0005-0000-0000-0000D2B40000}"/>
    <cellStyle name="Normal 33 2 6 2" xfId="46277" xr:uid="{00000000-0005-0000-0000-0000D3B40000}"/>
    <cellStyle name="Normal 33 2 6 2 2" xfId="46278" xr:uid="{00000000-0005-0000-0000-0000D4B40000}"/>
    <cellStyle name="Normal 33 2 6 2 2 2" xfId="46279" xr:uid="{00000000-0005-0000-0000-0000D5B40000}"/>
    <cellStyle name="Normal 33 2 6 2 3" xfId="46280" xr:uid="{00000000-0005-0000-0000-0000D6B40000}"/>
    <cellStyle name="Normal 33 2 6 3" xfId="46281" xr:uid="{00000000-0005-0000-0000-0000D7B40000}"/>
    <cellStyle name="Normal 33 2 6 3 2" xfId="46282" xr:uid="{00000000-0005-0000-0000-0000D8B40000}"/>
    <cellStyle name="Normal 33 2 6 4" xfId="46283" xr:uid="{00000000-0005-0000-0000-0000D9B40000}"/>
    <cellStyle name="Normal 33 2 7" xfId="46284" xr:uid="{00000000-0005-0000-0000-0000DAB40000}"/>
    <cellStyle name="Normal 33 2 7 2" xfId="46285" xr:uid="{00000000-0005-0000-0000-0000DBB40000}"/>
    <cellStyle name="Normal 33 2 7 2 2" xfId="46286" xr:uid="{00000000-0005-0000-0000-0000DCB40000}"/>
    <cellStyle name="Normal 33 2 7 3" xfId="46287" xr:uid="{00000000-0005-0000-0000-0000DDB40000}"/>
    <cellStyle name="Normal 33 2 8" xfId="46288" xr:uid="{00000000-0005-0000-0000-0000DEB40000}"/>
    <cellStyle name="Normal 33 2 8 2" xfId="46289" xr:uid="{00000000-0005-0000-0000-0000DFB40000}"/>
    <cellStyle name="Normal 33 2 9" xfId="46290" xr:uid="{00000000-0005-0000-0000-0000E0B40000}"/>
    <cellStyle name="Normal 33 2 9 2" xfId="46291" xr:uid="{00000000-0005-0000-0000-0000E1B40000}"/>
    <cellStyle name="Normal 33 3" xfId="46292" xr:uid="{00000000-0005-0000-0000-0000E2B40000}"/>
    <cellStyle name="Normal 33 3 10" xfId="46293" xr:uid="{00000000-0005-0000-0000-0000E3B40000}"/>
    <cellStyle name="Normal 33 3 11" xfId="46294" xr:uid="{00000000-0005-0000-0000-0000E4B40000}"/>
    <cellStyle name="Normal 33 3 2" xfId="46295" xr:uid="{00000000-0005-0000-0000-0000E5B40000}"/>
    <cellStyle name="Normal 33 3 2 2" xfId="46296" xr:uid="{00000000-0005-0000-0000-0000E6B40000}"/>
    <cellStyle name="Normal 33 3 2 2 2" xfId="46297" xr:uid="{00000000-0005-0000-0000-0000E7B40000}"/>
    <cellStyle name="Normal 33 3 2 2 2 2" xfId="46298" xr:uid="{00000000-0005-0000-0000-0000E8B40000}"/>
    <cellStyle name="Normal 33 3 2 2 2 2 2" xfId="46299" xr:uid="{00000000-0005-0000-0000-0000E9B40000}"/>
    <cellStyle name="Normal 33 3 2 2 2 3" xfId="46300" xr:uid="{00000000-0005-0000-0000-0000EAB40000}"/>
    <cellStyle name="Normal 33 3 2 2 3" xfId="46301" xr:uid="{00000000-0005-0000-0000-0000EBB40000}"/>
    <cellStyle name="Normal 33 3 2 2 3 2" xfId="46302" xr:uid="{00000000-0005-0000-0000-0000ECB40000}"/>
    <cellStyle name="Normal 33 3 2 2 4" xfId="46303" xr:uid="{00000000-0005-0000-0000-0000EDB40000}"/>
    <cellStyle name="Normal 33 3 2 3" xfId="46304" xr:uid="{00000000-0005-0000-0000-0000EEB40000}"/>
    <cellStyle name="Normal 33 3 2 3 2" xfId="46305" xr:uid="{00000000-0005-0000-0000-0000EFB40000}"/>
    <cellStyle name="Normal 33 3 2 3 2 2" xfId="46306" xr:uid="{00000000-0005-0000-0000-0000F0B40000}"/>
    <cellStyle name="Normal 33 3 2 3 2 2 2" xfId="46307" xr:uid="{00000000-0005-0000-0000-0000F1B40000}"/>
    <cellStyle name="Normal 33 3 2 3 2 3" xfId="46308" xr:uid="{00000000-0005-0000-0000-0000F2B40000}"/>
    <cellStyle name="Normal 33 3 2 3 3" xfId="46309" xr:uid="{00000000-0005-0000-0000-0000F3B40000}"/>
    <cellStyle name="Normal 33 3 2 3 3 2" xfId="46310" xr:uid="{00000000-0005-0000-0000-0000F4B40000}"/>
    <cellStyle name="Normal 33 3 2 3 4" xfId="46311" xr:uid="{00000000-0005-0000-0000-0000F5B40000}"/>
    <cellStyle name="Normal 33 3 2 4" xfId="46312" xr:uid="{00000000-0005-0000-0000-0000F6B40000}"/>
    <cellStyle name="Normal 33 3 2 4 2" xfId="46313" xr:uid="{00000000-0005-0000-0000-0000F7B40000}"/>
    <cellStyle name="Normal 33 3 2 4 2 2" xfId="46314" xr:uid="{00000000-0005-0000-0000-0000F8B40000}"/>
    <cellStyle name="Normal 33 3 2 4 3" xfId="46315" xr:uid="{00000000-0005-0000-0000-0000F9B40000}"/>
    <cellStyle name="Normal 33 3 2 5" xfId="46316" xr:uid="{00000000-0005-0000-0000-0000FAB40000}"/>
    <cellStyle name="Normal 33 3 2 5 2" xfId="46317" xr:uid="{00000000-0005-0000-0000-0000FBB40000}"/>
    <cellStyle name="Normal 33 3 2 6" xfId="46318" xr:uid="{00000000-0005-0000-0000-0000FCB40000}"/>
    <cellStyle name="Normal 33 3 2 7" xfId="46319" xr:uid="{00000000-0005-0000-0000-0000FDB40000}"/>
    <cellStyle name="Normal 33 3 3" xfId="46320" xr:uid="{00000000-0005-0000-0000-0000FEB40000}"/>
    <cellStyle name="Normal 33 3 3 2" xfId="46321" xr:uid="{00000000-0005-0000-0000-0000FFB40000}"/>
    <cellStyle name="Normal 33 3 3 2 2" xfId="46322" xr:uid="{00000000-0005-0000-0000-000000B50000}"/>
    <cellStyle name="Normal 33 3 3 2 2 2" xfId="46323" xr:uid="{00000000-0005-0000-0000-000001B50000}"/>
    <cellStyle name="Normal 33 3 3 2 2 2 2" xfId="46324" xr:uid="{00000000-0005-0000-0000-000002B50000}"/>
    <cellStyle name="Normal 33 3 3 2 2 3" xfId="46325" xr:uid="{00000000-0005-0000-0000-000003B50000}"/>
    <cellStyle name="Normal 33 3 3 2 3" xfId="46326" xr:uid="{00000000-0005-0000-0000-000004B50000}"/>
    <cellStyle name="Normal 33 3 3 2 3 2" xfId="46327" xr:uid="{00000000-0005-0000-0000-000005B50000}"/>
    <cellStyle name="Normal 33 3 3 2 4" xfId="46328" xr:uid="{00000000-0005-0000-0000-000006B50000}"/>
    <cellStyle name="Normal 33 3 3 3" xfId="46329" xr:uid="{00000000-0005-0000-0000-000007B50000}"/>
    <cellStyle name="Normal 33 3 3 3 2" xfId="46330" xr:uid="{00000000-0005-0000-0000-000008B50000}"/>
    <cellStyle name="Normal 33 3 3 3 2 2" xfId="46331" xr:uid="{00000000-0005-0000-0000-000009B50000}"/>
    <cellStyle name="Normal 33 3 3 3 3" xfId="46332" xr:uid="{00000000-0005-0000-0000-00000AB50000}"/>
    <cellStyle name="Normal 33 3 3 4" xfId="46333" xr:uid="{00000000-0005-0000-0000-00000BB50000}"/>
    <cellStyle name="Normal 33 3 3 4 2" xfId="46334" xr:uid="{00000000-0005-0000-0000-00000CB50000}"/>
    <cellStyle name="Normal 33 3 3 5" xfId="46335" xr:uid="{00000000-0005-0000-0000-00000DB50000}"/>
    <cellStyle name="Normal 33 3 4" xfId="46336" xr:uid="{00000000-0005-0000-0000-00000EB50000}"/>
    <cellStyle name="Normal 33 3 4 2" xfId="46337" xr:uid="{00000000-0005-0000-0000-00000FB50000}"/>
    <cellStyle name="Normal 33 3 4 2 2" xfId="46338" xr:uid="{00000000-0005-0000-0000-000010B50000}"/>
    <cellStyle name="Normal 33 3 4 2 2 2" xfId="46339" xr:uid="{00000000-0005-0000-0000-000011B50000}"/>
    <cellStyle name="Normal 33 3 4 2 3" xfId="46340" xr:uid="{00000000-0005-0000-0000-000012B50000}"/>
    <cellStyle name="Normal 33 3 4 3" xfId="46341" xr:uid="{00000000-0005-0000-0000-000013B50000}"/>
    <cellStyle name="Normal 33 3 4 3 2" xfId="46342" xr:uid="{00000000-0005-0000-0000-000014B50000}"/>
    <cellStyle name="Normal 33 3 4 4" xfId="46343" xr:uid="{00000000-0005-0000-0000-000015B50000}"/>
    <cellStyle name="Normal 33 3 5" xfId="46344" xr:uid="{00000000-0005-0000-0000-000016B50000}"/>
    <cellStyle name="Normal 33 3 5 2" xfId="46345" xr:uid="{00000000-0005-0000-0000-000017B50000}"/>
    <cellStyle name="Normal 33 3 5 2 2" xfId="46346" xr:uid="{00000000-0005-0000-0000-000018B50000}"/>
    <cellStyle name="Normal 33 3 5 3" xfId="46347" xr:uid="{00000000-0005-0000-0000-000019B50000}"/>
    <cellStyle name="Normal 33 3 6" xfId="46348" xr:uid="{00000000-0005-0000-0000-00001AB50000}"/>
    <cellStyle name="Normal 33 3 6 2" xfId="46349" xr:uid="{00000000-0005-0000-0000-00001BB50000}"/>
    <cellStyle name="Normal 33 3 7" xfId="46350" xr:uid="{00000000-0005-0000-0000-00001CB50000}"/>
    <cellStyle name="Normal 33 3 7 2" xfId="46351" xr:uid="{00000000-0005-0000-0000-00001DB50000}"/>
    <cellStyle name="Normal 33 3 8" xfId="46352" xr:uid="{00000000-0005-0000-0000-00001EB50000}"/>
    <cellStyle name="Normal 33 3 9" xfId="46353" xr:uid="{00000000-0005-0000-0000-00001FB50000}"/>
    <cellStyle name="Normal 33 4" xfId="46354" xr:uid="{00000000-0005-0000-0000-000020B50000}"/>
    <cellStyle name="Normal 33 4 2" xfId="46355" xr:uid="{00000000-0005-0000-0000-000021B50000}"/>
    <cellStyle name="Normal 33 4 2 2" xfId="46356" xr:uid="{00000000-0005-0000-0000-000022B50000}"/>
    <cellStyle name="Normal 33 4 2 2 2" xfId="46357" xr:uid="{00000000-0005-0000-0000-000023B50000}"/>
    <cellStyle name="Normal 33 4 2 2 2 2" xfId="46358" xr:uid="{00000000-0005-0000-0000-000024B50000}"/>
    <cellStyle name="Normal 33 4 2 2 2 2 2" xfId="46359" xr:uid="{00000000-0005-0000-0000-000025B50000}"/>
    <cellStyle name="Normal 33 4 2 2 2 3" xfId="46360" xr:uid="{00000000-0005-0000-0000-000026B50000}"/>
    <cellStyle name="Normal 33 4 2 2 3" xfId="46361" xr:uid="{00000000-0005-0000-0000-000027B50000}"/>
    <cellStyle name="Normal 33 4 2 2 3 2" xfId="46362" xr:uid="{00000000-0005-0000-0000-000028B50000}"/>
    <cellStyle name="Normal 33 4 2 2 4" xfId="46363" xr:uid="{00000000-0005-0000-0000-000029B50000}"/>
    <cellStyle name="Normal 33 4 2 3" xfId="46364" xr:uid="{00000000-0005-0000-0000-00002AB50000}"/>
    <cellStyle name="Normal 33 4 2 3 2" xfId="46365" xr:uid="{00000000-0005-0000-0000-00002BB50000}"/>
    <cellStyle name="Normal 33 4 2 3 2 2" xfId="46366" xr:uid="{00000000-0005-0000-0000-00002CB50000}"/>
    <cellStyle name="Normal 33 4 2 3 2 2 2" xfId="46367" xr:uid="{00000000-0005-0000-0000-00002DB50000}"/>
    <cellStyle name="Normal 33 4 2 3 2 3" xfId="46368" xr:uid="{00000000-0005-0000-0000-00002EB50000}"/>
    <cellStyle name="Normal 33 4 2 3 3" xfId="46369" xr:uid="{00000000-0005-0000-0000-00002FB50000}"/>
    <cellStyle name="Normal 33 4 2 3 3 2" xfId="46370" xr:uid="{00000000-0005-0000-0000-000030B50000}"/>
    <cellStyle name="Normal 33 4 2 3 4" xfId="46371" xr:uid="{00000000-0005-0000-0000-000031B50000}"/>
    <cellStyle name="Normal 33 4 2 4" xfId="46372" xr:uid="{00000000-0005-0000-0000-000032B50000}"/>
    <cellStyle name="Normal 33 4 2 4 2" xfId="46373" xr:uid="{00000000-0005-0000-0000-000033B50000}"/>
    <cellStyle name="Normal 33 4 2 4 2 2" xfId="46374" xr:uid="{00000000-0005-0000-0000-000034B50000}"/>
    <cellStyle name="Normal 33 4 2 4 3" xfId="46375" xr:uid="{00000000-0005-0000-0000-000035B50000}"/>
    <cellStyle name="Normal 33 4 2 5" xfId="46376" xr:uid="{00000000-0005-0000-0000-000036B50000}"/>
    <cellStyle name="Normal 33 4 2 5 2" xfId="46377" xr:uid="{00000000-0005-0000-0000-000037B50000}"/>
    <cellStyle name="Normal 33 4 2 6" xfId="46378" xr:uid="{00000000-0005-0000-0000-000038B50000}"/>
    <cellStyle name="Normal 33 4 2 7" xfId="46379" xr:uid="{00000000-0005-0000-0000-000039B50000}"/>
    <cellStyle name="Normal 33 4 3" xfId="46380" xr:uid="{00000000-0005-0000-0000-00003AB50000}"/>
    <cellStyle name="Normal 33 4 3 2" xfId="46381" xr:uid="{00000000-0005-0000-0000-00003BB50000}"/>
    <cellStyle name="Normal 33 4 3 2 2" xfId="46382" xr:uid="{00000000-0005-0000-0000-00003CB50000}"/>
    <cellStyle name="Normal 33 4 3 2 2 2" xfId="46383" xr:uid="{00000000-0005-0000-0000-00003DB50000}"/>
    <cellStyle name="Normal 33 4 3 2 2 2 2" xfId="46384" xr:uid="{00000000-0005-0000-0000-00003EB50000}"/>
    <cellStyle name="Normal 33 4 3 2 2 3" xfId="46385" xr:uid="{00000000-0005-0000-0000-00003FB50000}"/>
    <cellStyle name="Normal 33 4 3 2 3" xfId="46386" xr:uid="{00000000-0005-0000-0000-000040B50000}"/>
    <cellStyle name="Normal 33 4 3 2 3 2" xfId="46387" xr:uid="{00000000-0005-0000-0000-000041B50000}"/>
    <cellStyle name="Normal 33 4 3 2 4" xfId="46388" xr:uid="{00000000-0005-0000-0000-000042B50000}"/>
    <cellStyle name="Normal 33 4 3 3" xfId="46389" xr:uid="{00000000-0005-0000-0000-000043B50000}"/>
    <cellStyle name="Normal 33 4 3 3 2" xfId="46390" xr:uid="{00000000-0005-0000-0000-000044B50000}"/>
    <cellStyle name="Normal 33 4 3 3 2 2" xfId="46391" xr:uid="{00000000-0005-0000-0000-000045B50000}"/>
    <cellStyle name="Normal 33 4 3 3 3" xfId="46392" xr:uid="{00000000-0005-0000-0000-000046B50000}"/>
    <cellStyle name="Normal 33 4 3 4" xfId="46393" xr:uid="{00000000-0005-0000-0000-000047B50000}"/>
    <cellStyle name="Normal 33 4 3 4 2" xfId="46394" xr:uid="{00000000-0005-0000-0000-000048B50000}"/>
    <cellStyle name="Normal 33 4 3 5" xfId="46395" xr:uid="{00000000-0005-0000-0000-000049B50000}"/>
    <cellStyle name="Normal 33 4 4" xfId="46396" xr:uid="{00000000-0005-0000-0000-00004AB50000}"/>
    <cellStyle name="Normal 33 4 4 2" xfId="46397" xr:uid="{00000000-0005-0000-0000-00004BB50000}"/>
    <cellStyle name="Normal 33 4 4 2 2" xfId="46398" xr:uid="{00000000-0005-0000-0000-00004CB50000}"/>
    <cellStyle name="Normal 33 4 4 2 2 2" xfId="46399" xr:uid="{00000000-0005-0000-0000-00004DB50000}"/>
    <cellStyle name="Normal 33 4 4 2 3" xfId="46400" xr:uid="{00000000-0005-0000-0000-00004EB50000}"/>
    <cellStyle name="Normal 33 4 4 3" xfId="46401" xr:uid="{00000000-0005-0000-0000-00004FB50000}"/>
    <cellStyle name="Normal 33 4 4 3 2" xfId="46402" xr:uid="{00000000-0005-0000-0000-000050B50000}"/>
    <cellStyle name="Normal 33 4 4 4" xfId="46403" xr:uid="{00000000-0005-0000-0000-000051B50000}"/>
    <cellStyle name="Normal 33 4 5" xfId="46404" xr:uid="{00000000-0005-0000-0000-000052B50000}"/>
    <cellStyle name="Normal 33 4 5 2" xfId="46405" xr:uid="{00000000-0005-0000-0000-000053B50000}"/>
    <cellStyle name="Normal 33 4 5 2 2" xfId="46406" xr:uid="{00000000-0005-0000-0000-000054B50000}"/>
    <cellStyle name="Normal 33 4 5 3" xfId="46407" xr:uid="{00000000-0005-0000-0000-000055B50000}"/>
    <cellStyle name="Normal 33 4 6" xfId="46408" xr:uid="{00000000-0005-0000-0000-000056B50000}"/>
    <cellStyle name="Normal 33 4 6 2" xfId="46409" xr:uid="{00000000-0005-0000-0000-000057B50000}"/>
    <cellStyle name="Normal 33 4 7" xfId="46410" xr:uid="{00000000-0005-0000-0000-000058B50000}"/>
    <cellStyle name="Normal 33 4 7 2" xfId="46411" xr:uid="{00000000-0005-0000-0000-000059B50000}"/>
    <cellStyle name="Normal 33 4 8" xfId="46412" xr:uid="{00000000-0005-0000-0000-00005AB50000}"/>
    <cellStyle name="Normal 33 4 9" xfId="46413" xr:uid="{00000000-0005-0000-0000-00005BB50000}"/>
    <cellStyle name="Normal 33 5" xfId="46414" xr:uid="{00000000-0005-0000-0000-00005CB50000}"/>
    <cellStyle name="Normal 33 5 2" xfId="46415" xr:uid="{00000000-0005-0000-0000-00005DB50000}"/>
    <cellStyle name="Normal 33 5 2 2" xfId="46416" xr:uid="{00000000-0005-0000-0000-00005EB50000}"/>
    <cellStyle name="Normal 33 5 2 2 2" xfId="46417" xr:uid="{00000000-0005-0000-0000-00005FB50000}"/>
    <cellStyle name="Normal 33 5 2 2 2 2" xfId="46418" xr:uid="{00000000-0005-0000-0000-000060B50000}"/>
    <cellStyle name="Normal 33 5 2 2 3" xfId="46419" xr:uid="{00000000-0005-0000-0000-000061B50000}"/>
    <cellStyle name="Normal 33 5 2 3" xfId="46420" xr:uid="{00000000-0005-0000-0000-000062B50000}"/>
    <cellStyle name="Normal 33 5 2 3 2" xfId="46421" xr:uid="{00000000-0005-0000-0000-000063B50000}"/>
    <cellStyle name="Normal 33 5 2 4" xfId="46422" xr:uid="{00000000-0005-0000-0000-000064B50000}"/>
    <cellStyle name="Normal 33 5 2 5" xfId="46423" xr:uid="{00000000-0005-0000-0000-000065B50000}"/>
    <cellStyle name="Normal 33 5 3" xfId="46424" xr:uid="{00000000-0005-0000-0000-000066B50000}"/>
    <cellStyle name="Normal 33 5 3 2" xfId="46425" xr:uid="{00000000-0005-0000-0000-000067B50000}"/>
    <cellStyle name="Normal 33 5 3 2 2" xfId="46426" xr:uid="{00000000-0005-0000-0000-000068B50000}"/>
    <cellStyle name="Normal 33 5 3 2 2 2" xfId="46427" xr:uid="{00000000-0005-0000-0000-000069B50000}"/>
    <cellStyle name="Normal 33 5 3 2 3" xfId="46428" xr:uid="{00000000-0005-0000-0000-00006AB50000}"/>
    <cellStyle name="Normal 33 5 3 3" xfId="46429" xr:uid="{00000000-0005-0000-0000-00006BB50000}"/>
    <cellStyle name="Normal 33 5 3 3 2" xfId="46430" xr:uid="{00000000-0005-0000-0000-00006CB50000}"/>
    <cellStyle name="Normal 33 5 3 4" xfId="46431" xr:uid="{00000000-0005-0000-0000-00006DB50000}"/>
    <cellStyle name="Normal 33 5 4" xfId="46432" xr:uid="{00000000-0005-0000-0000-00006EB50000}"/>
    <cellStyle name="Normal 33 5 4 2" xfId="46433" xr:uid="{00000000-0005-0000-0000-00006FB50000}"/>
    <cellStyle name="Normal 33 5 4 2 2" xfId="46434" xr:uid="{00000000-0005-0000-0000-000070B50000}"/>
    <cellStyle name="Normal 33 5 4 3" xfId="46435" xr:uid="{00000000-0005-0000-0000-000071B50000}"/>
    <cellStyle name="Normal 33 5 5" xfId="46436" xr:uid="{00000000-0005-0000-0000-000072B50000}"/>
    <cellStyle name="Normal 33 5 5 2" xfId="46437" xr:uid="{00000000-0005-0000-0000-000073B50000}"/>
    <cellStyle name="Normal 33 5 6" xfId="46438" xr:uid="{00000000-0005-0000-0000-000074B50000}"/>
    <cellStyle name="Normal 33 5 6 2" xfId="46439" xr:uid="{00000000-0005-0000-0000-000075B50000}"/>
    <cellStyle name="Normal 33 5 7" xfId="46440" xr:uid="{00000000-0005-0000-0000-000076B50000}"/>
    <cellStyle name="Normal 33 5 8" xfId="46441" xr:uid="{00000000-0005-0000-0000-000077B50000}"/>
    <cellStyle name="Normal 33 6" xfId="46442" xr:uid="{00000000-0005-0000-0000-000078B50000}"/>
    <cellStyle name="Normal 33 6 2" xfId="46443" xr:uid="{00000000-0005-0000-0000-000079B50000}"/>
    <cellStyle name="Normal 33 6 2 2" xfId="46444" xr:uid="{00000000-0005-0000-0000-00007AB50000}"/>
    <cellStyle name="Normal 33 6 2 2 2" xfId="46445" xr:uid="{00000000-0005-0000-0000-00007BB50000}"/>
    <cellStyle name="Normal 33 6 2 2 2 2" xfId="46446" xr:uid="{00000000-0005-0000-0000-00007CB50000}"/>
    <cellStyle name="Normal 33 6 2 2 3" xfId="46447" xr:uid="{00000000-0005-0000-0000-00007DB50000}"/>
    <cellStyle name="Normal 33 6 2 3" xfId="46448" xr:uid="{00000000-0005-0000-0000-00007EB50000}"/>
    <cellStyle name="Normal 33 6 2 3 2" xfId="46449" xr:uid="{00000000-0005-0000-0000-00007FB50000}"/>
    <cellStyle name="Normal 33 6 2 4" xfId="46450" xr:uid="{00000000-0005-0000-0000-000080B50000}"/>
    <cellStyle name="Normal 33 6 3" xfId="46451" xr:uid="{00000000-0005-0000-0000-000081B50000}"/>
    <cellStyle name="Normal 33 6 3 2" xfId="46452" xr:uid="{00000000-0005-0000-0000-000082B50000}"/>
    <cellStyle name="Normal 33 6 3 2 2" xfId="46453" xr:uid="{00000000-0005-0000-0000-000083B50000}"/>
    <cellStyle name="Normal 33 6 3 2 2 2" xfId="46454" xr:uid="{00000000-0005-0000-0000-000084B50000}"/>
    <cellStyle name="Normal 33 6 3 2 3" xfId="46455" xr:uid="{00000000-0005-0000-0000-000085B50000}"/>
    <cellStyle name="Normal 33 6 3 3" xfId="46456" xr:uid="{00000000-0005-0000-0000-000086B50000}"/>
    <cellStyle name="Normal 33 6 3 3 2" xfId="46457" xr:uid="{00000000-0005-0000-0000-000087B50000}"/>
    <cellStyle name="Normal 33 6 3 4" xfId="46458" xr:uid="{00000000-0005-0000-0000-000088B50000}"/>
    <cellStyle name="Normal 33 6 4" xfId="46459" xr:uid="{00000000-0005-0000-0000-000089B50000}"/>
    <cellStyle name="Normal 33 6 4 2" xfId="46460" xr:uid="{00000000-0005-0000-0000-00008AB50000}"/>
    <cellStyle name="Normal 33 6 4 2 2" xfId="46461" xr:uid="{00000000-0005-0000-0000-00008BB50000}"/>
    <cellStyle name="Normal 33 6 4 3" xfId="46462" xr:uid="{00000000-0005-0000-0000-00008CB50000}"/>
    <cellStyle name="Normal 33 6 5" xfId="46463" xr:uid="{00000000-0005-0000-0000-00008DB50000}"/>
    <cellStyle name="Normal 33 6 5 2" xfId="46464" xr:uid="{00000000-0005-0000-0000-00008EB50000}"/>
    <cellStyle name="Normal 33 6 6" xfId="46465" xr:uid="{00000000-0005-0000-0000-00008FB50000}"/>
    <cellStyle name="Normal 33 6 7" xfId="46466" xr:uid="{00000000-0005-0000-0000-000090B50000}"/>
    <cellStyle name="Normal 33 7" xfId="46467" xr:uid="{00000000-0005-0000-0000-000091B50000}"/>
    <cellStyle name="Normal 33 7 2" xfId="46468" xr:uid="{00000000-0005-0000-0000-000092B50000}"/>
    <cellStyle name="Normal 33 7 2 2" xfId="46469" xr:uid="{00000000-0005-0000-0000-000093B50000}"/>
    <cellStyle name="Normal 33 7 2 2 2" xfId="46470" xr:uid="{00000000-0005-0000-0000-000094B50000}"/>
    <cellStyle name="Normal 33 7 2 3" xfId="46471" xr:uid="{00000000-0005-0000-0000-000095B50000}"/>
    <cellStyle name="Normal 33 7 3" xfId="46472" xr:uid="{00000000-0005-0000-0000-000096B50000}"/>
    <cellStyle name="Normal 33 7 3 2" xfId="46473" xr:uid="{00000000-0005-0000-0000-000097B50000}"/>
    <cellStyle name="Normal 33 7 4" xfId="46474" xr:uid="{00000000-0005-0000-0000-000098B50000}"/>
    <cellStyle name="Normal 33 8" xfId="46475" xr:uid="{00000000-0005-0000-0000-000099B50000}"/>
    <cellStyle name="Normal 33 8 2" xfId="46476" xr:uid="{00000000-0005-0000-0000-00009AB50000}"/>
    <cellStyle name="Normal 33 8 2 2" xfId="46477" xr:uid="{00000000-0005-0000-0000-00009BB50000}"/>
    <cellStyle name="Normal 33 8 2 2 2" xfId="46478" xr:uid="{00000000-0005-0000-0000-00009CB50000}"/>
    <cellStyle name="Normal 33 8 2 3" xfId="46479" xr:uid="{00000000-0005-0000-0000-00009DB50000}"/>
    <cellStyle name="Normal 33 8 3" xfId="46480" xr:uid="{00000000-0005-0000-0000-00009EB50000}"/>
    <cellStyle name="Normal 33 8 3 2" xfId="46481" xr:uid="{00000000-0005-0000-0000-00009FB50000}"/>
    <cellStyle name="Normal 33 8 4" xfId="46482" xr:uid="{00000000-0005-0000-0000-0000A0B50000}"/>
    <cellStyle name="Normal 33 9" xfId="46483" xr:uid="{00000000-0005-0000-0000-0000A1B50000}"/>
    <cellStyle name="Normal 33 9 2" xfId="46484" xr:uid="{00000000-0005-0000-0000-0000A2B50000}"/>
    <cellStyle name="Normal 33 9 2 2" xfId="46485" xr:uid="{00000000-0005-0000-0000-0000A3B50000}"/>
    <cellStyle name="Normal 33 9 2 2 2" xfId="46486" xr:uid="{00000000-0005-0000-0000-0000A4B50000}"/>
    <cellStyle name="Normal 33 9 2 3" xfId="46487" xr:uid="{00000000-0005-0000-0000-0000A5B50000}"/>
    <cellStyle name="Normal 33 9 3" xfId="46488" xr:uid="{00000000-0005-0000-0000-0000A6B50000}"/>
    <cellStyle name="Normal 33 9 3 2" xfId="46489" xr:uid="{00000000-0005-0000-0000-0000A7B50000}"/>
    <cellStyle name="Normal 33 9 4" xfId="46490" xr:uid="{00000000-0005-0000-0000-0000A8B50000}"/>
    <cellStyle name="Normal 33_Proj" xfId="46491" xr:uid="{00000000-0005-0000-0000-0000A9B50000}"/>
    <cellStyle name="Normal 34" xfId="46492" xr:uid="{00000000-0005-0000-0000-0000AAB50000}"/>
    <cellStyle name="Normal 34 10" xfId="46493" xr:uid="{00000000-0005-0000-0000-0000ABB50000}"/>
    <cellStyle name="Normal 34 11" xfId="46494" xr:uid="{00000000-0005-0000-0000-0000ACB50000}"/>
    <cellStyle name="Normal 34 2" xfId="46495" xr:uid="{00000000-0005-0000-0000-0000ADB50000}"/>
    <cellStyle name="Normal 34 2 10" xfId="46496" xr:uid="{00000000-0005-0000-0000-0000AEB50000}"/>
    <cellStyle name="Normal 34 2 11" xfId="46497" xr:uid="{00000000-0005-0000-0000-0000AFB50000}"/>
    <cellStyle name="Normal 34 2 12" xfId="46498" xr:uid="{00000000-0005-0000-0000-0000B0B50000}"/>
    <cellStyle name="Normal 34 2 2" xfId="46499" xr:uid="{00000000-0005-0000-0000-0000B1B50000}"/>
    <cellStyle name="Normal 34 2 2 10" xfId="46500" xr:uid="{00000000-0005-0000-0000-0000B2B50000}"/>
    <cellStyle name="Normal 34 2 2 11" xfId="46501" xr:uid="{00000000-0005-0000-0000-0000B3B50000}"/>
    <cellStyle name="Normal 34 2 2 2" xfId="46502" xr:uid="{00000000-0005-0000-0000-0000B4B50000}"/>
    <cellStyle name="Normal 34 2 2 2 2" xfId="46503" xr:uid="{00000000-0005-0000-0000-0000B5B50000}"/>
    <cellStyle name="Normal 34 2 2 2 2 2" xfId="46504" xr:uid="{00000000-0005-0000-0000-0000B6B50000}"/>
    <cellStyle name="Normal 34 2 2 2 2 2 2" xfId="46505" xr:uid="{00000000-0005-0000-0000-0000B7B50000}"/>
    <cellStyle name="Normal 34 2 2 2 2 2 2 2" xfId="46506" xr:uid="{00000000-0005-0000-0000-0000B8B50000}"/>
    <cellStyle name="Normal 34 2 2 2 2 2 3" xfId="46507" xr:uid="{00000000-0005-0000-0000-0000B9B50000}"/>
    <cellStyle name="Normal 34 2 2 2 2 3" xfId="46508" xr:uid="{00000000-0005-0000-0000-0000BAB50000}"/>
    <cellStyle name="Normal 34 2 2 2 2 3 2" xfId="46509" xr:uid="{00000000-0005-0000-0000-0000BBB50000}"/>
    <cellStyle name="Normal 34 2 2 2 2 4" xfId="46510" xr:uid="{00000000-0005-0000-0000-0000BCB50000}"/>
    <cellStyle name="Normal 34 2 2 2 3" xfId="46511" xr:uid="{00000000-0005-0000-0000-0000BDB50000}"/>
    <cellStyle name="Normal 34 2 2 2 3 2" xfId="46512" xr:uid="{00000000-0005-0000-0000-0000BEB50000}"/>
    <cellStyle name="Normal 34 2 2 2 3 2 2" xfId="46513" xr:uid="{00000000-0005-0000-0000-0000BFB50000}"/>
    <cellStyle name="Normal 34 2 2 2 3 3" xfId="46514" xr:uid="{00000000-0005-0000-0000-0000C0B50000}"/>
    <cellStyle name="Normal 34 2 2 2 4" xfId="46515" xr:uid="{00000000-0005-0000-0000-0000C1B50000}"/>
    <cellStyle name="Normal 34 2 2 2 4 2" xfId="46516" xr:uid="{00000000-0005-0000-0000-0000C2B50000}"/>
    <cellStyle name="Normal 34 2 2 2 5" xfId="46517" xr:uid="{00000000-0005-0000-0000-0000C3B50000}"/>
    <cellStyle name="Normal 34 2 2 2 6" xfId="46518" xr:uid="{00000000-0005-0000-0000-0000C4B50000}"/>
    <cellStyle name="Normal 34 2 2 3" xfId="46519" xr:uid="{00000000-0005-0000-0000-0000C5B50000}"/>
    <cellStyle name="Normal 34 2 2 3 2" xfId="46520" xr:uid="{00000000-0005-0000-0000-0000C6B50000}"/>
    <cellStyle name="Normal 34 2 2 3 2 2" xfId="46521" xr:uid="{00000000-0005-0000-0000-0000C7B50000}"/>
    <cellStyle name="Normal 34 2 2 3 2 2 2" xfId="46522" xr:uid="{00000000-0005-0000-0000-0000C8B50000}"/>
    <cellStyle name="Normal 34 2 2 3 2 3" xfId="46523" xr:uid="{00000000-0005-0000-0000-0000C9B50000}"/>
    <cellStyle name="Normal 34 2 2 3 3" xfId="46524" xr:uid="{00000000-0005-0000-0000-0000CAB50000}"/>
    <cellStyle name="Normal 34 2 2 3 3 2" xfId="46525" xr:uid="{00000000-0005-0000-0000-0000CBB50000}"/>
    <cellStyle name="Normal 34 2 2 3 4" xfId="46526" xr:uid="{00000000-0005-0000-0000-0000CCB50000}"/>
    <cellStyle name="Normal 34 2 2 4" xfId="46527" xr:uid="{00000000-0005-0000-0000-0000CDB50000}"/>
    <cellStyle name="Normal 34 2 2 4 2" xfId="46528" xr:uid="{00000000-0005-0000-0000-0000CEB50000}"/>
    <cellStyle name="Normal 34 2 2 4 2 2" xfId="46529" xr:uid="{00000000-0005-0000-0000-0000CFB50000}"/>
    <cellStyle name="Normal 34 2 2 4 2 2 2" xfId="46530" xr:uid="{00000000-0005-0000-0000-0000D0B50000}"/>
    <cellStyle name="Normal 34 2 2 4 2 3" xfId="46531" xr:uid="{00000000-0005-0000-0000-0000D1B50000}"/>
    <cellStyle name="Normal 34 2 2 4 3" xfId="46532" xr:uid="{00000000-0005-0000-0000-0000D2B50000}"/>
    <cellStyle name="Normal 34 2 2 4 3 2" xfId="46533" xr:uid="{00000000-0005-0000-0000-0000D3B50000}"/>
    <cellStyle name="Normal 34 2 2 4 4" xfId="46534" xr:uid="{00000000-0005-0000-0000-0000D4B50000}"/>
    <cellStyle name="Normal 34 2 2 5" xfId="46535" xr:uid="{00000000-0005-0000-0000-0000D5B50000}"/>
    <cellStyle name="Normal 34 2 2 5 2" xfId="46536" xr:uid="{00000000-0005-0000-0000-0000D6B50000}"/>
    <cellStyle name="Normal 34 2 2 5 2 2" xfId="46537" xr:uid="{00000000-0005-0000-0000-0000D7B50000}"/>
    <cellStyle name="Normal 34 2 2 5 3" xfId="46538" xr:uid="{00000000-0005-0000-0000-0000D8B50000}"/>
    <cellStyle name="Normal 34 2 2 6" xfId="46539" xr:uid="{00000000-0005-0000-0000-0000D9B50000}"/>
    <cellStyle name="Normal 34 2 2 6 2" xfId="46540" xr:uid="{00000000-0005-0000-0000-0000DAB50000}"/>
    <cellStyle name="Normal 34 2 2 7" xfId="46541" xr:uid="{00000000-0005-0000-0000-0000DBB50000}"/>
    <cellStyle name="Normal 34 2 2 7 2" xfId="46542" xr:uid="{00000000-0005-0000-0000-0000DCB50000}"/>
    <cellStyle name="Normal 34 2 2 8" xfId="46543" xr:uid="{00000000-0005-0000-0000-0000DDB50000}"/>
    <cellStyle name="Normal 34 2 2 9" xfId="46544" xr:uid="{00000000-0005-0000-0000-0000DEB50000}"/>
    <cellStyle name="Normal 34 2 3" xfId="46545" xr:uid="{00000000-0005-0000-0000-0000DFB50000}"/>
    <cellStyle name="Normal 34 2 3 2" xfId="46546" xr:uid="{00000000-0005-0000-0000-0000E0B50000}"/>
    <cellStyle name="Normal 34 2 3 2 2" xfId="46547" xr:uid="{00000000-0005-0000-0000-0000E1B50000}"/>
    <cellStyle name="Normal 34 2 3 2 2 2" xfId="46548" xr:uid="{00000000-0005-0000-0000-0000E2B50000}"/>
    <cellStyle name="Normal 34 2 3 2 2 2 2" xfId="46549" xr:uid="{00000000-0005-0000-0000-0000E3B50000}"/>
    <cellStyle name="Normal 34 2 3 2 2 3" xfId="46550" xr:uid="{00000000-0005-0000-0000-0000E4B50000}"/>
    <cellStyle name="Normal 34 2 3 2 3" xfId="46551" xr:uid="{00000000-0005-0000-0000-0000E5B50000}"/>
    <cellStyle name="Normal 34 2 3 2 3 2" xfId="46552" xr:uid="{00000000-0005-0000-0000-0000E6B50000}"/>
    <cellStyle name="Normal 34 2 3 2 4" xfId="46553" xr:uid="{00000000-0005-0000-0000-0000E7B50000}"/>
    <cellStyle name="Normal 34 2 3 3" xfId="46554" xr:uid="{00000000-0005-0000-0000-0000E8B50000}"/>
    <cellStyle name="Normal 34 2 3 3 2" xfId="46555" xr:uid="{00000000-0005-0000-0000-0000E9B50000}"/>
    <cellStyle name="Normal 34 2 3 3 2 2" xfId="46556" xr:uid="{00000000-0005-0000-0000-0000EAB50000}"/>
    <cellStyle name="Normal 34 2 3 3 2 2 2" xfId="46557" xr:uid="{00000000-0005-0000-0000-0000EBB50000}"/>
    <cellStyle name="Normal 34 2 3 3 2 3" xfId="46558" xr:uid="{00000000-0005-0000-0000-0000ECB50000}"/>
    <cellStyle name="Normal 34 2 3 3 3" xfId="46559" xr:uid="{00000000-0005-0000-0000-0000EDB50000}"/>
    <cellStyle name="Normal 34 2 3 3 3 2" xfId="46560" xr:uid="{00000000-0005-0000-0000-0000EEB50000}"/>
    <cellStyle name="Normal 34 2 3 3 4" xfId="46561" xr:uid="{00000000-0005-0000-0000-0000EFB50000}"/>
    <cellStyle name="Normal 34 2 3 4" xfId="46562" xr:uid="{00000000-0005-0000-0000-0000F0B50000}"/>
    <cellStyle name="Normal 34 2 3 4 2" xfId="46563" xr:uid="{00000000-0005-0000-0000-0000F1B50000}"/>
    <cellStyle name="Normal 34 2 3 4 2 2" xfId="46564" xr:uid="{00000000-0005-0000-0000-0000F2B50000}"/>
    <cellStyle name="Normal 34 2 3 4 3" xfId="46565" xr:uid="{00000000-0005-0000-0000-0000F3B50000}"/>
    <cellStyle name="Normal 34 2 3 5" xfId="46566" xr:uid="{00000000-0005-0000-0000-0000F4B50000}"/>
    <cellStyle name="Normal 34 2 3 5 2" xfId="46567" xr:uid="{00000000-0005-0000-0000-0000F5B50000}"/>
    <cellStyle name="Normal 34 2 3 6" xfId="46568" xr:uid="{00000000-0005-0000-0000-0000F6B50000}"/>
    <cellStyle name="Normal 34 2 4" xfId="46569" xr:uid="{00000000-0005-0000-0000-0000F7B50000}"/>
    <cellStyle name="Normal 34 2 4 2" xfId="46570" xr:uid="{00000000-0005-0000-0000-0000F8B50000}"/>
    <cellStyle name="Normal 34 2 4 2 2" xfId="46571" xr:uid="{00000000-0005-0000-0000-0000F9B50000}"/>
    <cellStyle name="Normal 34 2 4 2 2 2" xfId="46572" xr:uid="{00000000-0005-0000-0000-0000FAB50000}"/>
    <cellStyle name="Normal 34 2 4 2 3" xfId="46573" xr:uid="{00000000-0005-0000-0000-0000FBB50000}"/>
    <cellStyle name="Normal 34 2 4 3" xfId="46574" xr:uid="{00000000-0005-0000-0000-0000FCB50000}"/>
    <cellStyle name="Normal 34 2 4 3 2" xfId="46575" xr:uid="{00000000-0005-0000-0000-0000FDB50000}"/>
    <cellStyle name="Normal 34 2 4 4" xfId="46576" xr:uid="{00000000-0005-0000-0000-0000FEB50000}"/>
    <cellStyle name="Normal 34 2 5" xfId="46577" xr:uid="{00000000-0005-0000-0000-0000FFB50000}"/>
    <cellStyle name="Normal 34 2 5 2" xfId="46578" xr:uid="{00000000-0005-0000-0000-000000B60000}"/>
    <cellStyle name="Normal 34 2 5 2 2" xfId="46579" xr:uid="{00000000-0005-0000-0000-000001B60000}"/>
    <cellStyle name="Normal 34 2 5 2 2 2" xfId="46580" xr:uid="{00000000-0005-0000-0000-000002B60000}"/>
    <cellStyle name="Normal 34 2 5 2 3" xfId="46581" xr:uid="{00000000-0005-0000-0000-000003B60000}"/>
    <cellStyle name="Normal 34 2 5 3" xfId="46582" xr:uid="{00000000-0005-0000-0000-000004B60000}"/>
    <cellStyle name="Normal 34 2 5 3 2" xfId="46583" xr:uid="{00000000-0005-0000-0000-000005B60000}"/>
    <cellStyle name="Normal 34 2 5 4" xfId="46584" xr:uid="{00000000-0005-0000-0000-000006B60000}"/>
    <cellStyle name="Normal 34 2 6" xfId="46585" xr:uid="{00000000-0005-0000-0000-000007B60000}"/>
    <cellStyle name="Normal 34 2 6 2" xfId="46586" xr:uid="{00000000-0005-0000-0000-000008B60000}"/>
    <cellStyle name="Normal 34 2 6 2 2" xfId="46587" xr:uid="{00000000-0005-0000-0000-000009B60000}"/>
    <cellStyle name="Normal 34 2 6 3" xfId="46588" xr:uid="{00000000-0005-0000-0000-00000AB60000}"/>
    <cellStyle name="Normal 34 2 7" xfId="46589" xr:uid="{00000000-0005-0000-0000-00000BB60000}"/>
    <cellStyle name="Normal 34 2 7 2" xfId="46590" xr:uid="{00000000-0005-0000-0000-00000CB60000}"/>
    <cellStyle name="Normal 34 2 8" xfId="46591" xr:uid="{00000000-0005-0000-0000-00000DB60000}"/>
    <cellStyle name="Normal 34 2 8 2" xfId="46592" xr:uid="{00000000-0005-0000-0000-00000EB60000}"/>
    <cellStyle name="Normal 34 2 9" xfId="46593" xr:uid="{00000000-0005-0000-0000-00000FB60000}"/>
    <cellStyle name="Normal 34 3" xfId="46594" xr:uid="{00000000-0005-0000-0000-000010B60000}"/>
    <cellStyle name="Normal 34 3 2" xfId="46595" xr:uid="{00000000-0005-0000-0000-000011B60000}"/>
    <cellStyle name="Normal 34 3 2 2" xfId="46596" xr:uid="{00000000-0005-0000-0000-000012B60000}"/>
    <cellStyle name="Normal 34 3 2 2 2" xfId="46597" xr:uid="{00000000-0005-0000-0000-000013B60000}"/>
    <cellStyle name="Normal 34 3 2 2 2 2" xfId="46598" xr:uid="{00000000-0005-0000-0000-000014B60000}"/>
    <cellStyle name="Normal 34 3 2 2 3" xfId="46599" xr:uid="{00000000-0005-0000-0000-000015B60000}"/>
    <cellStyle name="Normal 34 3 2 3" xfId="46600" xr:uid="{00000000-0005-0000-0000-000016B60000}"/>
    <cellStyle name="Normal 34 3 2 3 2" xfId="46601" xr:uid="{00000000-0005-0000-0000-000017B60000}"/>
    <cellStyle name="Normal 34 3 2 4" xfId="46602" xr:uid="{00000000-0005-0000-0000-000018B60000}"/>
    <cellStyle name="Normal 34 3 3" xfId="46603" xr:uid="{00000000-0005-0000-0000-000019B60000}"/>
    <cellStyle name="Normal 34 3 3 2" xfId="46604" xr:uid="{00000000-0005-0000-0000-00001AB60000}"/>
    <cellStyle name="Normal 34 3 3 2 2" xfId="46605" xr:uid="{00000000-0005-0000-0000-00001BB60000}"/>
    <cellStyle name="Normal 34 3 3 2 2 2" xfId="46606" xr:uid="{00000000-0005-0000-0000-00001CB60000}"/>
    <cellStyle name="Normal 34 3 3 2 3" xfId="46607" xr:uid="{00000000-0005-0000-0000-00001DB60000}"/>
    <cellStyle name="Normal 34 3 3 3" xfId="46608" xr:uid="{00000000-0005-0000-0000-00001EB60000}"/>
    <cellStyle name="Normal 34 3 3 3 2" xfId="46609" xr:uid="{00000000-0005-0000-0000-00001FB60000}"/>
    <cellStyle name="Normal 34 3 3 4" xfId="46610" xr:uid="{00000000-0005-0000-0000-000020B60000}"/>
    <cellStyle name="Normal 34 3 4" xfId="46611" xr:uid="{00000000-0005-0000-0000-000021B60000}"/>
    <cellStyle name="Normal 34 3 4 2" xfId="46612" xr:uid="{00000000-0005-0000-0000-000022B60000}"/>
    <cellStyle name="Normal 34 3 4 2 2" xfId="46613" xr:uid="{00000000-0005-0000-0000-000023B60000}"/>
    <cellStyle name="Normal 34 3 4 2 2 2" xfId="46614" xr:uid="{00000000-0005-0000-0000-000024B60000}"/>
    <cellStyle name="Normal 34 3 4 2 3" xfId="46615" xr:uid="{00000000-0005-0000-0000-000025B60000}"/>
    <cellStyle name="Normal 34 3 4 3" xfId="46616" xr:uid="{00000000-0005-0000-0000-000026B60000}"/>
    <cellStyle name="Normal 34 3 4 3 2" xfId="46617" xr:uid="{00000000-0005-0000-0000-000027B60000}"/>
    <cellStyle name="Normal 34 3 4 4" xfId="46618" xr:uid="{00000000-0005-0000-0000-000028B60000}"/>
    <cellStyle name="Normal 34 4" xfId="46619" xr:uid="{00000000-0005-0000-0000-000029B60000}"/>
    <cellStyle name="Normal 34 4 2" xfId="46620" xr:uid="{00000000-0005-0000-0000-00002AB60000}"/>
    <cellStyle name="Normal 34 4 2 2" xfId="46621" xr:uid="{00000000-0005-0000-0000-00002BB60000}"/>
    <cellStyle name="Normal 34 4 2 2 2" xfId="46622" xr:uid="{00000000-0005-0000-0000-00002CB60000}"/>
    <cellStyle name="Normal 34 4 2 2 2 2" xfId="46623" xr:uid="{00000000-0005-0000-0000-00002DB60000}"/>
    <cellStyle name="Normal 34 4 2 2 3" xfId="46624" xr:uid="{00000000-0005-0000-0000-00002EB60000}"/>
    <cellStyle name="Normal 34 4 2 3" xfId="46625" xr:uid="{00000000-0005-0000-0000-00002FB60000}"/>
    <cellStyle name="Normal 34 4 2 3 2" xfId="46626" xr:uid="{00000000-0005-0000-0000-000030B60000}"/>
    <cellStyle name="Normal 34 4 2 4" xfId="46627" xr:uid="{00000000-0005-0000-0000-000031B60000}"/>
    <cellStyle name="Normal 34 4 3" xfId="46628" xr:uid="{00000000-0005-0000-0000-000032B60000}"/>
    <cellStyle name="Normal 34 4 3 2" xfId="46629" xr:uid="{00000000-0005-0000-0000-000033B60000}"/>
    <cellStyle name="Normal 34 4 3 2 2" xfId="46630" xr:uid="{00000000-0005-0000-0000-000034B60000}"/>
    <cellStyle name="Normal 34 4 3 2 2 2" xfId="46631" xr:uid="{00000000-0005-0000-0000-000035B60000}"/>
    <cellStyle name="Normal 34 4 3 2 3" xfId="46632" xr:uid="{00000000-0005-0000-0000-000036B60000}"/>
    <cellStyle name="Normal 34 4 3 3" xfId="46633" xr:uid="{00000000-0005-0000-0000-000037B60000}"/>
    <cellStyle name="Normal 34 4 3 3 2" xfId="46634" xr:uid="{00000000-0005-0000-0000-000038B60000}"/>
    <cellStyle name="Normal 34 4 3 4" xfId="46635" xr:uid="{00000000-0005-0000-0000-000039B60000}"/>
    <cellStyle name="Normal 34 4 4" xfId="46636" xr:uid="{00000000-0005-0000-0000-00003AB60000}"/>
    <cellStyle name="Normal 34 4 4 2" xfId="46637" xr:uid="{00000000-0005-0000-0000-00003BB60000}"/>
    <cellStyle name="Normal 34 4 4 2 2" xfId="46638" xr:uid="{00000000-0005-0000-0000-00003CB60000}"/>
    <cellStyle name="Normal 34 4 4 3" xfId="46639" xr:uid="{00000000-0005-0000-0000-00003DB60000}"/>
    <cellStyle name="Normal 34 4 5" xfId="46640" xr:uid="{00000000-0005-0000-0000-00003EB60000}"/>
    <cellStyle name="Normal 34 4 5 2" xfId="46641" xr:uid="{00000000-0005-0000-0000-00003FB60000}"/>
    <cellStyle name="Normal 34 4 6" xfId="46642" xr:uid="{00000000-0005-0000-0000-000040B60000}"/>
    <cellStyle name="Normal 34 5" xfId="46643" xr:uid="{00000000-0005-0000-0000-000041B60000}"/>
    <cellStyle name="Normal 34 5 2" xfId="46644" xr:uid="{00000000-0005-0000-0000-000042B60000}"/>
    <cellStyle name="Normal 34 5 2 2" xfId="46645" xr:uid="{00000000-0005-0000-0000-000043B60000}"/>
    <cellStyle name="Normal 34 5 2 2 2" xfId="46646" xr:uid="{00000000-0005-0000-0000-000044B60000}"/>
    <cellStyle name="Normal 34 5 2 2 2 2" xfId="46647" xr:uid="{00000000-0005-0000-0000-000045B60000}"/>
    <cellStyle name="Normal 34 5 2 2 3" xfId="46648" xr:uid="{00000000-0005-0000-0000-000046B60000}"/>
    <cellStyle name="Normal 34 5 2 3" xfId="46649" xr:uid="{00000000-0005-0000-0000-000047B60000}"/>
    <cellStyle name="Normal 34 5 2 3 2" xfId="46650" xr:uid="{00000000-0005-0000-0000-000048B60000}"/>
    <cellStyle name="Normal 34 5 2 4" xfId="46651" xr:uid="{00000000-0005-0000-0000-000049B60000}"/>
    <cellStyle name="Normal 34 5 3" xfId="46652" xr:uid="{00000000-0005-0000-0000-00004AB60000}"/>
    <cellStyle name="Normal 34 5 3 2" xfId="46653" xr:uid="{00000000-0005-0000-0000-00004BB60000}"/>
    <cellStyle name="Normal 34 5 3 2 2" xfId="46654" xr:uid="{00000000-0005-0000-0000-00004CB60000}"/>
    <cellStyle name="Normal 34 5 3 3" xfId="46655" xr:uid="{00000000-0005-0000-0000-00004DB60000}"/>
    <cellStyle name="Normal 34 5 4" xfId="46656" xr:uid="{00000000-0005-0000-0000-00004EB60000}"/>
    <cellStyle name="Normal 34 5 4 2" xfId="46657" xr:uid="{00000000-0005-0000-0000-00004FB60000}"/>
    <cellStyle name="Normal 34 5 5" xfId="46658" xr:uid="{00000000-0005-0000-0000-000050B60000}"/>
    <cellStyle name="Normal 34 6" xfId="46659" xr:uid="{00000000-0005-0000-0000-000051B60000}"/>
    <cellStyle name="Normal 34 6 2" xfId="46660" xr:uid="{00000000-0005-0000-0000-000052B60000}"/>
    <cellStyle name="Normal 34 6 2 2" xfId="46661" xr:uid="{00000000-0005-0000-0000-000053B60000}"/>
    <cellStyle name="Normal 34 6 2 2 2" xfId="46662" xr:uid="{00000000-0005-0000-0000-000054B60000}"/>
    <cellStyle name="Normal 34 6 2 3" xfId="46663" xr:uid="{00000000-0005-0000-0000-000055B60000}"/>
    <cellStyle name="Normal 34 6 3" xfId="46664" xr:uid="{00000000-0005-0000-0000-000056B60000}"/>
    <cellStyle name="Normal 34 6 3 2" xfId="46665" xr:uid="{00000000-0005-0000-0000-000057B60000}"/>
    <cellStyle name="Normal 34 6 4" xfId="46666" xr:uid="{00000000-0005-0000-0000-000058B60000}"/>
    <cellStyle name="Normal 34 7" xfId="46667" xr:uid="{00000000-0005-0000-0000-000059B60000}"/>
    <cellStyle name="Normal 34 7 2" xfId="46668" xr:uid="{00000000-0005-0000-0000-00005AB60000}"/>
    <cellStyle name="Normal 34 7 2 2" xfId="46669" xr:uid="{00000000-0005-0000-0000-00005BB60000}"/>
    <cellStyle name="Normal 34 7 3" xfId="46670" xr:uid="{00000000-0005-0000-0000-00005CB60000}"/>
    <cellStyle name="Normal 34 8" xfId="46671" xr:uid="{00000000-0005-0000-0000-00005DB60000}"/>
    <cellStyle name="Normal 34 8 2" xfId="46672" xr:uid="{00000000-0005-0000-0000-00005EB60000}"/>
    <cellStyle name="Normal 34 9" xfId="46673" xr:uid="{00000000-0005-0000-0000-00005FB60000}"/>
    <cellStyle name="Normal 34 9 2" xfId="46674" xr:uid="{00000000-0005-0000-0000-000060B60000}"/>
    <cellStyle name="Normal 35" xfId="46675" xr:uid="{00000000-0005-0000-0000-000061B60000}"/>
    <cellStyle name="Normal 35 2" xfId="46676" xr:uid="{00000000-0005-0000-0000-000062B60000}"/>
    <cellStyle name="Normal 35 2 2" xfId="46677" xr:uid="{00000000-0005-0000-0000-000063B60000}"/>
    <cellStyle name="Normal 35 2 2 2" xfId="46678" xr:uid="{00000000-0005-0000-0000-000064B60000}"/>
    <cellStyle name="Normal 35 2 2 2 2" xfId="46679" xr:uid="{00000000-0005-0000-0000-000065B60000}"/>
    <cellStyle name="Normal 35 2 2 2 2 2" xfId="46680" xr:uid="{00000000-0005-0000-0000-000066B60000}"/>
    <cellStyle name="Normal 35 2 2 2 3" xfId="46681" xr:uid="{00000000-0005-0000-0000-000067B60000}"/>
    <cellStyle name="Normal 35 2 2 3" xfId="46682" xr:uid="{00000000-0005-0000-0000-000068B60000}"/>
    <cellStyle name="Normal 35 2 2 3 2" xfId="46683" xr:uid="{00000000-0005-0000-0000-000069B60000}"/>
    <cellStyle name="Normal 35 2 2 4" xfId="46684" xr:uid="{00000000-0005-0000-0000-00006AB60000}"/>
    <cellStyle name="Normal 35 2 3" xfId="46685" xr:uid="{00000000-0005-0000-0000-00006BB60000}"/>
    <cellStyle name="Normal 35 2 3 2" xfId="46686" xr:uid="{00000000-0005-0000-0000-00006CB60000}"/>
    <cellStyle name="Normal 35 2 3 2 2" xfId="46687" xr:uid="{00000000-0005-0000-0000-00006DB60000}"/>
    <cellStyle name="Normal 35 2 3 2 2 2" xfId="46688" xr:uid="{00000000-0005-0000-0000-00006EB60000}"/>
    <cellStyle name="Normal 35 2 3 2 3" xfId="46689" xr:uid="{00000000-0005-0000-0000-00006FB60000}"/>
    <cellStyle name="Normal 35 2 3 3" xfId="46690" xr:uid="{00000000-0005-0000-0000-000070B60000}"/>
    <cellStyle name="Normal 35 2 3 3 2" xfId="46691" xr:uid="{00000000-0005-0000-0000-000071B60000}"/>
    <cellStyle name="Normal 35 2 3 4" xfId="46692" xr:uid="{00000000-0005-0000-0000-000072B60000}"/>
    <cellStyle name="Normal 35 2 4" xfId="46693" xr:uid="{00000000-0005-0000-0000-000073B60000}"/>
    <cellStyle name="Normal 35 2 4 2" xfId="46694" xr:uid="{00000000-0005-0000-0000-000074B60000}"/>
    <cellStyle name="Normal 35 2 4 2 2" xfId="46695" xr:uid="{00000000-0005-0000-0000-000075B60000}"/>
    <cellStyle name="Normal 35 2 4 3" xfId="46696" xr:uid="{00000000-0005-0000-0000-000076B60000}"/>
    <cellStyle name="Normal 35 2 5" xfId="46697" xr:uid="{00000000-0005-0000-0000-000077B60000}"/>
    <cellStyle name="Normal 35 2 5 2" xfId="46698" xr:uid="{00000000-0005-0000-0000-000078B60000}"/>
    <cellStyle name="Normal 35 2 6" xfId="46699" xr:uid="{00000000-0005-0000-0000-000079B60000}"/>
    <cellStyle name="Normal 35 2 7" xfId="46700" xr:uid="{00000000-0005-0000-0000-00007AB60000}"/>
    <cellStyle name="Normal 35 3" xfId="46701" xr:uid="{00000000-0005-0000-0000-00007BB60000}"/>
    <cellStyle name="Normal 35 3 2" xfId="46702" xr:uid="{00000000-0005-0000-0000-00007CB60000}"/>
    <cellStyle name="Normal 35 3 2 2" xfId="46703" xr:uid="{00000000-0005-0000-0000-00007DB60000}"/>
    <cellStyle name="Normal 35 3 2 2 2" xfId="46704" xr:uid="{00000000-0005-0000-0000-00007EB60000}"/>
    <cellStyle name="Normal 35 3 2 2 2 2" xfId="46705" xr:uid="{00000000-0005-0000-0000-00007FB60000}"/>
    <cellStyle name="Normal 35 3 2 2 3" xfId="46706" xr:uid="{00000000-0005-0000-0000-000080B60000}"/>
    <cellStyle name="Normal 35 3 2 3" xfId="46707" xr:uid="{00000000-0005-0000-0000-000081B60000}"/>
    <cellStyle name="Normal 35 3 2 3 2" xfId="46708" xr:uid="{00000000-0005-0000-0000-000082B60000}"/>
    <cellStyle name="Normal 35 3 2 4" xfId="46709" xr:uid="{00000000-0005-0000-0000-000083B60000}"/>
    <cellStyle name="Normal 35 3 3" xfId="46710" xr:uid="{00000000-0005-0000-0000-000084B60000}"/>
    <cellStyle name="Normal 35 3 3 2" xfId="46711" xr:uid="{00000000-0005-0000-0000-000085B60000}"/>
    <cellStyle name="Normal 35 3 3 2 2" xfId="46712" xr:uid="{00000000-0005-0000-0000-000086B60000}"/>
    <cellStyle name="Normal 35 3 3 2 2 2" xfId="46713" xr:uid="{00000000-0005-0000-0000-000087B60000}"/>
    <cellStyle name="Normal 35 3 3 2 3" xfId="46714" xr:uid="{00000000-0005-0000-0000-000088B60000}"/>
    <cellStyle name="Normal 35 3 3 3" xfId="46715" xr:uid="{00000000-0005-0000-0000-000089B60000}"/>
    <cellStyle name="Normal 35 3 3 3 2" xfId="46716" xr:uid="{00000000-0005-0000-0000-00008AB60000}"/>
    <cellStyle name="Normal 35 3 3 4" xfId="46717" xr:uid="{00000000-0005-0000-0000-00008BB60000}"/>
    <cellStyle name="Normal 35 3 4" xfId="46718" xr:uid="{00000000-0005-0000-0000-00008CB60000}"/>
    <cellStyle name="Normal 35 3 4 2" xfId="46719" xr:uid="{00000000-0005-0000-0000-00008DB60000}"/>
    <cellStyle name="Normal 35 3 4 2 2" xfId="46720" xr:uid="{00000000-0005-0000-0000-00008EB60000}"/>
    <cellStyle name="Normal 35 3 4 3" xfId="46721" xr:uid="{00000000-0005-0000-0000-00008FB60000}"/>
    <cellStyle name="Normal 35 3 5" xfId="46722" xr:uid="{00000000-0005-0000-0000-000090B60000}"/>
    <cellStyle name="Normal 35 3 5 2" xfId="46723" xr:uid="{00000000-0005-0000-0000-000091B60000}"/>
    <cellStyle name="Normal 35 3 6" xfId="46724" xr:uid="{00000000-0005-0000-0000-000092B60000}"/>
    <cellStyle name="Normal 35 4" xfId="46725" xr:uid="{00000000-0005-0000-0000-000093B60000}"/>
    <cellStyle name="Normal 35 4 2" xfId="46726" xr:uid="{00000000-0005-0000-0000-000094B60000}"/>
    <cellStyle name="Normal 35 4 2 2" xfId="46727" xr:uid="{00000000-0005-0000-0000-000095B60000}"/>
    <cellStyle name="Normal 35 4 2 2 2" xfId="46728" xr:uid="{00000000-0005-0000-0000-000096B60000}"/>
    <cellStyle name="Normal 35 4 2 3" xfId="46729" xr:uid="{00000000-0005-0000-0000-000097B60000}"/>
    <cellStyle name="Normal 35 4 3" xfId="46730" xr:uid="{00000000-0005-0000-0000-000098B60000}"/>
    <cellStyle name="Normal 35 4 3 2" xfId="46731" xr:uid="{00000000-0005-0000-0000-000099B60000}"/>
    <cellStyle name="Normal 35 4 4" xfId="46732" xr:uid="{00000000-0005-0000-0000-00009AB60000}"/>
    <cellStyle name="Normal 35 5" xfId="46733" xr:uid="{00000000-0005-0000-0000-00009BB60000}"/>
    <cellStyle name="Normal 35 5 2" xfId="46734" xr:uid="{00000000-0005-0000-0000-00009CB60000}"/>
    <cellStyle name="Normal 35 5 2 2" xfId="46735" xr:uid="{00000000-0005-0000-0000-00009DB60000}"/>
    <cellStyle name="Normal 35 5 2 2 2" xfId="46736" xr:uid="{00000000-0005-0000-0000-00009EB60000}"/>
    <cellStyle name="Normal 35 5 2 3" xfId="46737" xr:uid="{00000000-0005-0000-0000-00009FB60000}"/>
    <cellStyle name="Normal 35 5 3" xfId="46738" xr:uid="{00000000-0005-0000-0000-0000A0B60000}"/>
    <cellStyle name="Normal 35 5 3 2" xfId="46739" xr:uid="{00000000-0005-0000-0000-0000A1B60000}"/>
    <cellStyle name="Normal 35 5 4" xfId="46740" xr:uid="{00000000-0005-0000-0000-0000A2B60000}"/>
    <cellStyle name="Normal 35 6" xfId="46741" xr:uid="{00000000-0005-0000-0000-0000A3B60000}"/>
    <cellStyle name="Normal 35 6 2" xfId="46742" xr:uid="{00000000-0005-0000-0000-0000A4B60000}"/>
    <cellStyle name="Normal 35 6 2 2" xfId="46743" xr:uid="{00000000-0005-0000-0000-0000A5B60000}"/>
    <cellStyle name="Normal 35 6 2 2 2" xfId="46744" xr:uid="{00000000-0005-0000-0000-0000A6B60000}"/>
    <cellStyle name="Normal 35 6 2 3" xfId="46745" xr:uid="{00000000-0005-0000-0000-0000A7B60000}"/>
    <cellStyle name="Normal 35 6 3" xfId="46746" xr:uid="{00000000-0005-0000-0000-0000A8B60000}"/>
    <cellStyle name="Normal 35 6 3 2" xfId="46747" xr:uid="{00000000-0005-0000-0000-0000A9B60000}"/>
    <cellStyle name="Normal 35 6 4" xfId="46748" xr:uid="{00000000-0005-0000-0000-0000AAB60000}"/>
    <cellStyle name="Normal 35 7" xfId="46749" xr:uid="{00000000-0005-0000-0000-0000ABB60000}"/>
    <cellStyle name="Normal 35 8" xfId="46750" xr:uid="{00000000-0005-0000-0000-0000ACB60000}"/>
    <cellStyle name="Normal 35_Labour" xfId="46751" xr:uid="{00000000-0005-0000-0000-0000ADB60000}"/>
    <cellStyle name="Normal 36" xfId="46752" xr:uid="{00000000-0005-0000-0000-0000AEB60000}"/>
    <cellStyle name="Normal 36 10" xfId="46753" xr:uid="{00000000-0005-0000-0000-0000AFB60000}"/>
    <cellStyle name="Normal 36 10 2" xfId="46754" xr:uid="{00000000-0005-0000-0000-0000B0B60000}"/>
    <cellStyle name="Normal 36 11" xfId="46755" xr:uid="{00000000-0005-0000-0000-0000B1B60000}"/>
    <cellStyle name="Normal 36 12" xfId="46756" xr:uid="{00000000-0005-0000-0000-0000B2B60000}"/>
    <cellStyle name="Normal 36 13" xfId="46757" xr:uid="{00000000-0005-0000-0000-0000B3B60000}"/>
    <cellStyle name="Normal 36 14" xfId="46758" xr:uid="{00000000-0005-0000-0000-0000B4B60000}"/>
    <cellStyle name="Normal 36 2" xfId="46759" xr:uid="{00000000-0005-0000-0000-0000B5B60000}"/>
    <cellStyle name="Normal 36 2 10" xfId="46760" xr:uid="{00000000-0005-0000-0000-0000B6B60000}"/>
    <cellStyle name="Normal 36 2 11" xfId="46761" xr:uid="{00000000-0005-0000-0000-0000B7B60000}"/>
    <cellStyle name="Normal 36 2 12" xfId="46762" xr:uid="{00000000-0005-0000-0000-0000B8B60000}"/>
    <cellStyle name="Normal 36 2 2" xfId="46763" xr:uid="{00000000-0005-0000-0000-0000B9B60000}"/>
    <cellStyle name="Normal 36 2 2 10" xfId="46764" xr:uid="{00000000-0005-0000-0000-0000BAB60000}"/>
    <cellStyle name="Normal 36 2 2 2" xfId="46765" xr:uid="{00000000-0005-0000-0000-0000BBB60000}"/>
    <cellStyle name="Normal 36 2 2 2 2" xfId="46766" xr:uid="{00000000-0005-0000-0000-0000BCB60000}"/>
    <cellStyle name="Normal 36 2 2 2 2 2" xfId="46767" xr:uid="{00000000-0005-0000-0000-0000BDB60000}"/>
    <cellStyle name="Normal 36 2 2 2 2 2 2" xfId="46768" xr:uid="{00000000-0005-0000-0000-0000BEB60000}"/>
    <cellStyle name="Normal 36 2 2 2 2 2 2 2" xfId="46769" xr:uid="{00000000-0005-0000-0000-0000BFB60000}"/>
    <cellStyle name="Normal 36 2 2 2 2 2 3" xfId="46770" xr:uid="{00000000-0005-0000-0000-0000C0B60000}"/>
    <cellStyle name="Normal 36 2 2 2 2 2 4" xfId="46771" xr:uid="{00000000-0005-0000-0000-0000C1B60000}"/>
    <cellStyle name="Normal 36 2 2 2 2 3" xfId="46772" xr:uid="{00000000-0005-0000-0000-0000C2B60000}"/>
    <cellStyle name="Normal 36 2 2 2 2 3 2" xfId="46773" xr:uid="{00000000-0005-0000-0000-0000C3B60000}"/>
    <cellStyle name="Normal 36 2 2 2 2 4" xfId="46774" xr:uid="{00000000-0005-0000-0000-0000C4B60000}"/>
    <cellStyle name="Normal 36 2 2 2 2 5" xfId="46775" xr:uid="{00000000-0005-0000-0000-0000C5B60000}"/>
    <cellStyle name="Normal 36 2 2 2 3" xfId="46776" xr:uid="{00000000-0005-0000-0000-0000C6B60000}"/>
    <cellStyle name="Normal 36 2 2 2 3 2" xfId="46777" xr:uid="{00000000-0005-0000-0000-0000C7B60000}"/>
    <cellStyle name="Normal 36 2 2 2 3 2 2" xfId="46778" xr:uid="{00000000-0005-0000-0000-0000C8B60000}"/>
    <cellStyle name="Normal 36 2 2 2 3 3" xfId="46779" xr:uid="{00000000-0005-0000-0000-0000C9B60000}"/>
    <cellStyle name="Normal 36 2 2 2 3 4" xfId="46780" xr:uid="{00000000-0005-0000-0000-0000CAB60000}"/>
    <cellStyle name="Normal 36 2 2 2 4" xfId="46781" xr:uid="{00000000-0005-0000-0000-0000CBB60000}"/>
    <cellStyle name="Normal 36 2 2 2 4 2" xfId="46782" xr:uid="{00000000-0005-0000-0000-0000CCB60000}"/>
    <cellStyle name="Normal 36 2 2 2 5" xfId="46783" xr:uid="{00000000-0005-0000-0000-0000CDB60000}"/>
    <cellStyle name="Normal 36 2 2 2 6" xfId="46784" xr:uid="{00000000-0005-0000-0000-0000CEB60000}"/>
    <cellStyle name="Normal 36 2 2 2 7" xfId="46785" xr:uid="{00000000-0005-0000-0000-0000CFB60000}"/>
    <cellStyle name="Normal 36 2 2 3" xfId="46786" xr:uid="{00000000-0005-0000-0000-0000D0B60000}"/>
    <cellStyle name="Normal 36 2 2 3 2" xfId="46787" xr:uid="{00000000-0005-0000-0000-0000D1B60000}"/>
    <cellStyle name="Normal 36 2 2 3 2 2" xfId="46788" xr:uid="{00000000-0005-0000-0000-0000D2B60000}"/>
    <cellStyle name="Normal 36 2 2 3 2 2 2" xfId="46789" xr:uid="{00000000-0005-0000-0000-0000D3B60000}"/>
    <cellStyle name="Normal 36 2 2 3 2 3" xfId="46790" xr:uid="{00000000-0005-0000-0000-0000D4B60000}"/>
    <cellStyle name="Normal 36 2 2 3 2 4" xfId="46791" xr:uid="{00000000-0005-0000-0000-0000D5B60000}"/>
    <cellStyle name="Normal 36 2 2 3 2 5" xfId="46792" xr:uid="{00000000-0005-0000-0000-0000D6B60000}"/>
    <cellStyle name="Normal 36 2 2 3 3" xfId="46793" xr:uid="{00000000-0005-0000-0000-0000D7B60000}"/>
    <cellStyle name="Normal 36 2 2 3 3 2" xfId="46794" xr:uid="{00000000-0005-0000-0000-0000D8B60000}"/>
    <cellStyle name="Normal 36 2 2 3 4" xfId="46795" xr:uid="{00000000-0005-0000-0000-0000D9B60000}"/>
    <cellStyle name="Normal 36 2 2 3 5" xfId="46796" xr:uid="{00000000-0005-0000-0000-0000DAB60000}"/>
    <cellStyle name="Normal 36 2 2 3 6" xfId="46797" xr:uid="{00000000-0005-0000-0000-0000DBB60000}"/>
    <cellStyle name="Normal 36 2 2 4" xfId="46798" xr:uid="{00000000-0005-0000-0000-0000DCB60000}"/>
    <cellStyle name="Normal 36 2 2 4 2" xfId="46799" xr:uid="{00000000-0005-0000-0000-0000DDB60000}"/>
    <cellStyle name="Normal 36 2 2 4 2 2" xfId="46800" xr:uid="{00000000-0005-0000-0000-0000DEB60000}"/>
    <cellStyle name="Normal 36 2 2 4 3" xfId="46801" xr:uid="{00000000-0005-0000-0000-0000DFB60000}"/>
    <cellStyle name="Normal 36 2 2 4 4" xfId="46802" xr:uid="{00000000-0005-0000-0000-0000E0B60000}"/>
    <cellStyle name="Normal 36 2 2 4 5" xfId="46803" xr:uid="{00000000-0005-0000-0000-0000E1B60000}"/>
    <cellStyle name="Normal 36 2 2 5" xfId="46804" xr:uid="{00000000-0005-0000-0000-0000E2B60000}"/>
    <cellStyle name="Normal 36 2 2 5 2" xfId="46805" xr:uid="{00000000-0005-0000-0000-0000E3B60000}"/>
    <cellStyle name="Normal 36 2 2 6" xfId="46806" xr:uid="{00000000-0005-0000-0000-0000E4B60000}"/>
    <cellStyle name="Normal 36 2 2 6 2" xfId="46807" xr:uid="{00000000-0005-0000-0000-0000E5B60000}"/>
    <cellStyle name="Normal 36 2 2 7" xfId="46808" xr:uid="{00000000-0005-0000-0000-0000E6B60000}"/>
    <cellStyle name="Normal 36 2 2 8" xfId="46809" xr:uid="{00000000-0005-0000-0000-0000E7B60000}"/>
    <cellStyle name="Normal 36 2 2 9" xfId="46810" xr:uid="{00000000-0005-0000-0000-0000E8B60000}"/>
    <cellStyle name="Normal 36 2 3" xfId="46811" xr:uid="{00000000-0005-0000-0000-0000E9B60000}"/>
    <cellStyle name="Normal 36 2 3 2" xfId="46812" xr:uid="{00000000-0005-0000-0000-0000EAB60000}"/>
    <cellStyle name="Normal 36 2 3 2 2" xfId="46813" xr:uid="{00000000-0005-0000-0000-0000EBB60000}"/>
    <cellStyle name="Normal 36 2 3 2 2 2" xfId="46814" xr:uid="{00000000-0005-0000-0000-0000ECB60000}"/>
    <cellStyle name="Normal 36 2 3 2 2 2 2" xfId="46815" xr:uid="{00000000-0005-0000-0000-0000EDB60000}"/>
    <cellStyle name="Normal 36 2 3 2 2 3" xfId="46816" xr:uid="{00000000-0005-0000-0000-0000EEB60000}"/>
    <cellStyle name="Normal 36 2 3 2 2 4" xfId="46817" xr:uid="{00000000-0005-0000-0000-0000EFB60000}"/>
    <cellStyle name="Normal 36 2 3 2 2 5" xfId="46818" xr:uid="{00000000-0005-0000-0000-0000F0B60000}"/>
    <cellStyle name="Normal 36 2 3 2 3" xfId="46819" xr:uid="{00000000-0005-0000-0000-0000F1B60000}"/>
    <cellStyle name="Normal 36 2 3 2 3 2" xfId="46820" xr:uid="{00000000-0005-0000-0000-0000F2B60000}"/>
    <cellStyle name="Normal 36 2 3 2 4" xfId="46821" xr:uid="{00000000-0005-0000-0000-0000F3B60000}"/>
    <cellStyle name="Normal 36 2 3 2 5" xfId="46822" xr:uid="{00000000-0005-0000-0000-0000F4B60000}"/>
    <cellStyle name="Normal 36 2 3 2 6" xfId="46823" xr:uid="{00000000-0005-0000-0000-0000F5B60000}"/>
    <cellStyle name="Normal 36 2 3 3" xfId="46824" xr:uid="{00000000-0005-0000-0000-0000F6B60000}"/>
    <cellStyle name="Normal 36 2 3 3 2" xfId="46825" xr:uid="{00000000-0005-0000-0000-0000F7B60000}"/>
    <cellStyle name="Normal 36 2 3 3 2 2" xfId="46826" xr:uid="{00000000-0005-0000-0000-0000F8B60000}"/>
    <cellStyle name="Normal 36 2 3 3 2 2 2" xfId="46827" xr:uid="{00000000-0005-0000-0000-0000F9B60000}"/>
    <cellStyle name="Normal 36 2 3 3 2 3" xfId="46828" xr:uid="{00000000-0005-0000-0000-0000FAB60000}"/>
    <cellStyle name="Normal 36 2 3 3 3" xfId="46829" xr:uid="{00000000-0005-0000-0000-0000FBB60000}"/>
    <cellStyle name="Normal 36 2 3 3 3 2" xfId="46830" xr:uid="{00000000-0005-0000-0000-0000FCB60000}"/>
    <cellStyle name="Normal 36 2 3 3 4" xfId="46831" xr:uid="{00000000-0005-0000-0000-0000FDB60000}"/>
    <cellStyle name="Normal 36 2 3 3 5" xfId="46832" xr:uid="{00000000-0005-0000-0000-0000FEB60000}"/>
    <cellStyle name="Normal 36 2 3 3 6" xfId="46833" xr:uid="{00000000-0005-0000-0000-0000FFB60000}"/>
    <cellStyle name="Normal 36 2 3 4" xfId="46834" xr:uid="{00000000-0005-0000-0000-000000B70000}"/>
    <cellStyle name="Normal 36 2 3 4 2" xfId="46835" xr:uid="{00000000-0005-0000-0000-000001B70000}"/>
    <cellStyle name="Normal 36 2 3 4 2 2" xfId="46836" xr:uid="{00000000-0005-0000-0000-000002B70000}"/>
    <cellStyle name="Normal 36 2 3 4 3" xfId="46837" xr:uid="{00000000-0005-0000-0000-000003B70000}"/>
    <cellStyle name="Normal 36 2 3 5" xfId="46838" xr:uid="{00000000-0005-0000-0000-000004B70000}"/>
    <cellStyle name="Normal 36 2 3 5 2" xfId="46839" xr:uid="{00000000-0005-0000-0000-000005B70000}"/>
    <cellStyle name="Normal 36 2 3 6" xfId="46840" xr:uid="{00000000-0005-0000-0000-000006B70000}"/>
    <cellStyle name="Normal 36 2 3 7" xfId="46841" xr:uid="{00000000-0005-0000-0000-000007B70000}"/>
    <cellStyle name="Normal 36 2 3 8" xfId="46842" xr:uid="{00000000-0005-0000-0000-000008B70000}"/>
    <cellStyle name="Normal 36 2 3 9" xfId="46843" xr:uid="{00000000-0005-0000-0000-000009B70000}"/>
    <cellStyle name="Normal 36 2 4" xfId="46844" xr:uid="{00000000-0005-0000-0000-00000AB70000}"/>
    <cellStyle name="Normal 36 2 4 2" xfId="46845" xr:uid="{00000000-0005-0000-0000-00000BB70000}"/>
    <cellStyle name="Normal 36 2 4 2 2" xfId="46846" xr:uid="{00000000-0005-0000-0000-00000CB70000}"/>
    <cellStyle name="Normal 36 2 4 2 2 2" xfId="46847" xr:uid="{00000000-0005-0000-0000-00000DB70000}"/>
    <cellStyle name="Normal 36 2 4 2 3" xfId="46848" xr:uid="{00000000-0005-0000-0000-00000EB70000}"/>
    <cellStyle name="Normal 36 2 4 2 4" xfId="46849" xr:uid="{00000000-0005-0000-0000-00000FB70000}"/>
    <cellStyle name="Normal 36 2 4 2 5" xfId="46850" xr:uid="{00000000-0005-0000-0000-000010B70000}"/>
    <cellStyle name="Normal 36 2 4 3" xfId="46851" xr:uid="{00000000-0005-0000-0000-000011B70000}"/>
    <cellStyle name="Normal 36 2 4 3 2" xfId="46852" xr:uid="{00000000-0005-0000-0000-000012B70000}"/>
    <cellStyle name="Normal 36 2 4 4" xfId="46853" xr:uid="{00000000-0005-0000-0000-000013B70000}"/>
    <cellStyle name="Normal 36 2 4 5" xfId="46854" xr:uid="{00000000-0005-0000-0000-000014B70000}"/>
    <cellStyle name="Normal 36 2 4 6" xfId="46855" xr:uid="{00000000-0005-0000-0000-000015B70000}"/>
    <cellStyle name="Normal 36 2 5" xfId="46856" xr:uid="{00000000-0005-0000-0000-000016B70000}"/>
    <cellStyle name="Normal 36 2 5 2" xfId="46857" xr:uid="{00000000-0005-0000-0000-000017B70000}"/>
    <cellStyle name="Normal 36 2 5 2 2" xfId="46858" xr:uid="{00000000-0005-0000-0000-000018B70000}"/>
    <cellStyle name="Normal 36 2 5 2 2 2" xfId="46859" xr:uid="{00000000-0005-0000-0000-000019B70000}"/>
    <cellStyle name="Normal 36 2 5 2 3" xfId="46860" xr:uid="{00000000-0005-0000-0000-00001AB70000}"/>
    <cellStyle name="Normal 36 2 5 3" xfId="46861" xr:uid="{00000000-0005-0000-0000-00001BB70000}"/>
    <cellStyle name="Normal 36 2 5 3 2" xfId="46862" xr:uid="{00000000-0005-0000-0000-00001CB70000}"/>
    <cellStyle name="Normal 36 2 5 4" xfId="46863" xr:uid="{00000000-0005-0000-0000-00001DB70000}"/>
    <cellStyle name="Normal 36 2 5 5" xfId="46864" xr:uid="{00000000-0005-0000-0000-00001EB70000}"/>
    <cellStyle name="Normal 36 2 5 6" xfId="46865" xr:uid="{00000000-0005-0000-0000-00001FB70000}"/>
    <cellStyle name="Normal 36 2 6" xfId="46866" xr:uid="{00000000-0005-0000-0000-000020B70000}"/>
    <cellStyle name="Normal 36 2 6 2" xfId="46867" xr:uid="{00000000-0005-0000-0000-000021B70000}"/>
    <cellStyle name="Normal 36 2 6 2 2" xfId="46868" xr:uid="{00000000-0005-0000-0000-000022B70000}"/>
    <cellStyle name="Normal 36 2 6 3" xfId="46869" xr:uid="{00000000-0005-0000-0000-000023B70000}"/>
    <cellStyle name="Normal 36 2 7" xfId="46870" xr:uid="{00000000-0005-0000-0000-000024B70000}"/>
    <cellStyle name="Normal 36 2 7 2" xfId="46871" xr:uid="{00000000-0005-0000-0000-000025B70000}"/>
    <cellStyle name="Normal 36 2 8" xfId="46872" xr:uid="{00000000-0005-0000-0000-000026B70000}"/>
    <cellStyle name="Normal 36 2 8 2" xfId="46873" xr:uid="{00000000-0005-0000-0000-000027B70000}"/>
    <cellStyle name="Normal 36 2 9" xfId="46874" xr:uid="{00000000-0005-0000-0000-000028B70000}"/>
    <cellStyle name="Normal 36 3" xfId="46875" xr:uid="{00000000-0005-0000-0000-000029B70000}"/>
    <cellStyle name="Normal 36 3 10" xfId="46876" xr:uid="{00000000-0005-0000-0000-00002AB70000}"/>
    <cellStyle name="Normal 36 3 11" xfId="46877" xr:uid="{00000000-0005-0000-0000-00002BB70000}"/>
    <cellStyle name="Normal 36 3 2" xfId="46878" xr:uid="{00000000-0005-0000-0000-00002CB70000}"/>
    <cellStyle name="Normal 36 3 2 2" xfId="46879" xr:uid="{00000000-0005-0000-0000-00002DB70000}"/>
    <cellStyle name="Normal 36 3 2 2 2" xfId="46880" xr:uid="{00000000-0005-0000-0000-00002EB70000}"/>
    <cellStyle name="Normal 36 3 2 2 2 2" xfId="46881" xr:uid="{00000000-0005-0000-0000-00002FB70000}"/>
    <cellStyle name="Normal 36 3 2 2 2 2 2" xfId="46882" xr:uid="{00000000-0005-0000-0000-000030B70000}"/>
    <cellStyle name="Normal 36 3 2 2 2 3" xfId="46883" xr:uid="{00000000-0005-0000-0000-000031B70000}"/>
    <cellStyle name="Normal 36 3 2 2 3" xfId="46884" xr:uid="{00000000-0005-0000-0000-000032B70000}"/>
    <cellStyle name="Normal 36 3 2 2 3 2" xfId="46885" xr:uid="{00000000-0005-0000-0000-000033B70000}"/>
    <cellStyle name="Normal 36 3 2 2 4" xfId="46886" xr:uid="{00000000-0005-0000-0000-000034B70000}"/>
    <cellStyle name="Normal 36 3 2 2 5" xfId="46887" xr:uid="{00000000-0005-0000-0000-000035B70000}"/>
    <cellStyle name="Normal 36 3 2 2 6" xfId="46888" xr:uid="{00000000-0005-0000-0000-000036B70000}"/>
    <cellStyle name="Normal 36 3 2 3" xfId="46889" xr:uid="{00000000-0005-0000-0000-000037B70000}"/>
    <cellStyle name="Normal 36 3 2 3 2" xfId="46890" xr:uid="{00000000-0005-0000-0000-000038B70000}"/>
    <cellStyle name="Normal 36 3 2 3 2 2" xfId="46891" xr:uid="{00000000-0005-0000-0000-000039B70000}"/>
    <cellStyle name="Normal 36 3 2 3 3" xfId="46892" xr:uid="{00000000-0005-0000-0000-00003AB70000}"/>
    <cellStyle name="Normal 36 3 2 4" xfId="46893" xr:uid="{00000000-0005-0000-0000-00003BB70000}"/>
    <cellStyle name="Normal 36 3 2 4 2" xfId="46894" xr:uid="{00000000-0005-0000-0000-00003CB70000}"/>
    <cellStyle name="Normal 36 3 2 5" xfId="46895" xr:uid="{00000000-0005-0000-0000-00003DB70000}"/>
    <cellStyle name="Normal 36 3 2 6" xfId="46896" xr:uid="{00000000-0005-0000-0000-00003EB70000}"/>
    <cellStyle name="Normal 36 3 2 7" xfId="46897" xr:uid="{00000000-0005-0000-0000-00003FB70000}"/>
    <cellStyle name="Normal 36 3 2 8" xfId="46898" xr:uid="{00000000-0005-0000-0000-000040B70000}"/>
    <cellStyle name="Normal 36 3 3" xfId="46899" xr:uid="{00000000-0005-0000-0000-000041B70000}"/>
    <cellStyle name="Normal 36 3 3 2" xfId="46900" xr:uid="{00000000-0005-0000-0000-000042B70000}"/>
    <cellStyle name="Normal 36 3 3 2 2" xfId="46901" xr:uid="{00000000-0005-0000-0000-000043B70000}"/>
    <cellStyle name="Normal 36 3 3 2 2 2" xfId="46902" xr:uid="{00000000-0005-0000-0000-000044B70000}"/>
    <cellStyle name="Normal 36 3 3 2 3" xfId="46903" xr:uid="{00000000-0005-0000-0000-000045B70000}"/>
    <cellStyle name="Normal 36 3 3 3" xfId="46904" xr:uid="{00000000-0005-0000-0000-000046B70000}"/>
    <cellStyle name="Normal 36 3 3 3 2" xfId="46905" xr:uid="{00000000-0005-0000-0000-000047B70000}"/>
    <cellStyle name="Normal 36 3 3 4" xfId="46906" xr:uid="{00000000-0005-0000-0000-000048B70000}"/>
    <cellStyle name="Normal 36 3 3 5" xfId="46907" xr:uid="{00000000-0005-0000-0000-000049B70000}"/>
    <cellStyle name="Normal 36 3 3 6" xfId="46908" xr:uid="{00000000-0005-0000-0000-00004AB70000}"/>
    <cellStyle name="Normal 36 3 4" xfId="46909" xr:uid="{00000000-0005-0000-0000-00004BB70000}"/>
    <cellStyle name="Normal 36 3 4 2" xfId="46910" xr:uid="{00000000-0005-0000-0000-00004CB70000}"/>
    <cellStyle name="Normal 36 3 4 2 2" xfId="46911" xr:uid="{00000000-0005-0000-0000-00004DB70000}"/>
    <cellStyle name="Normal 36 3 4 2 2 2" xfId="46912" xr:uid="{00000000-0005-0000-0000-00004EB70000}"/>
    <cellStyle name="Normal 36 3 4 2 3" xfId="46913" xr:uid="{00000000-0005-0000-0000-00004FB70000}"/>
    <cellStyle name="Normal 36 3 4 3" xfId="46914" xr:uid="{00000000-0005-0000-0000-000050B70000}"/>
    <cellStyle name="Normal 36 3 4 3 2" xfId="46915" xr:uid="{00000000-0005-0000-0000-000051B70000}"/>
    <cellStyle name="Normal 36 3 4 4" xfId="46916" xr:uid="{00000000-0005-0000-0000-000052B70000}"/>
    <cellStyle name="Normal 36 3 5" xfId="46917" xr:uid="{00000000-0005-0000-0000-000053B70000}"/>
    <cellStyle name="Normal 36 3 5 2" xfId="46918" xr:uid="{00000000-0005-0000-0000-000054B70000}"/>
    <cellStyle name="Normal 36 3 5 2 2" xfId="46919" xr:uid="{00000000-0005-0000-0000-000055B70000}"/>
    <cellStyle name="Normal 36 3 5 3" xfId="46920" xr:uid="{00000000-0005-0000-0000-000056B70000}"/>
    <cellStyle name="Normal 36 3 6" xfId="46921" xr:uid="{00000000-0005-0000-0000-000057B70000}"/>
    <cellStyle name="Normal 36 3 6 2" xfId="46922" xr:uid="{00000000-0005-0000-0000-000058B70000}"/>
    <cellStyle name="Normal 36 3 7" xfId="46923" xr:uid="{00000000-0005-0000-0000-000059B70000}"/>
    <cellStyle name="Normal 36 3 7 2" xfId="46924" xr:uid="{00000000-0005-0000-0000-00005AB70000}"/>
    <cellStyle name="Normal 36 3 8" xfId="46925" xr:uid="{00000000-0005-0000-0000-00005BB70000}"/>
    <cellStyle name="Normal 36 3 9" xfId="46926" xr:uid="{00000000-0005-0000-0000-00005CB70000}"/>
    <cellStyle name="Normal 36 4" xfId="46927" xr:uid="{00000000-0005-0000-0000-00005DB70000}"/>
    <cellStyle name="Normal 36 4 10" xfId="46928" xr:uid="{00000000-0005-0000-0000-00005EB70000}"/>
    <cellStyle name="Normal 36 4 2" xfId="46929" xr:uid="{00000000-0005-0000-0000-00005FB70000}"/>
    <cellStyle name="Normal 36 4 2 2" xfId="46930" xr:uid="{00000000-0005-0000-0000-000060B70000}"/>
    <cellStyle name="Normal 36 4 2 2 2" xfId="46931" xr:uid="{00000000-0005-0000-0000-000061B70000}"/>
    <cellStyle name="Normal 36 4 2 2 2 2" xfId="46932" xr:uid="{00000000-0005-0000-0000-000062B70000}"/>
    <cellStyle name="Normal 36 4 2 2 3" xfId="46933" xr:uid="{00000000-0005-0000-0000-000063B70000}"/>
    <cellStyle name="Normal 36 4 2 3" xfId="46934" xr:uid="{00000000-0005-0000-0000-000064B70000}"/>
    <cellStyle name="Normal 36 4 2 3 2" xfId="46935" xr:uid="{00000000-0005-0000-0000-000065B70000}"/>
    <cellStyle name="Normal 36 4 2 4" xfId="46936" xr:uid="{00000000-0005-0000-0000-000066B70000}"/>
    <cellStyle name="Normal 36 4 2 5" xfId="46937" xr:uid="{00000000-0005-0000-0000-000067B70000}"/>
    <cellStyle name="Normal 36 4 2 6" xfId="46938" xr:uid="{00000000-0005-0000-0000-000068B70000}"/>
    <cellStyle name="Normal 36 4 3" xfId="46939" xr:uid="{00000000-0005-0000-0000-000069B70000}"/>
    <cellStyle name="Normal 36 4 3 2" xfId="46940" xr:uid="{00000000-0005-0000-0000-00006AB70000}"/>
    <cellStyle name="Normal 36 4 3 2 2" xfId="46941" xr:uid="{00000000-0005-0000-0000-00006BB70000}"/>
    <cellStyle name="Normal 36 4 3 2 2 2" xfId="46942" xr:uid="{00000000-0005-0000-0000-00006CB70000}"/>
    <cellStyle name="Normal 36 4 3 2 3" xfId="46943" xr:uid="{00000000-0005-0000-0000-00006DB70000}"/>
    <cellStyle name="Normal 36 4 3 3" xfId="46944" xr:uid="{00000000-0005-0000-0000-00006EB70000}"/>
    <cellStyle name="Normal 36 4 3 3 2" xfId="46945" xr:uid="{00000000-0005-0000-0000-00006FB70000}"/>
    <cellStyle name="Normal 36 4 3 4" xfId="46946" xr:uid="{00000000-0005-0000-0000-000070B70000}"/>
    <cellStyle name="Normal 36 4 4" xfId="46947" xr:uid="{00000000-0005-0000-0000-000071B70000}"/>
    <cellStyle name="Normal 36 4 4 2" xfId="46948" xr:uid="{00000000-0005-0000-0000-000072B70000}"/>
    <cellStyle name="Normal 36 4 4 2 2" xfId="46949" xr:uid="{00000000-0005-0000-0000-000073B70000}"/>
    <cellStyle name="Normal 36 4 4 3" xfId="46950" xr:uid="{00000000-0005-0000-0000-000074B70000}"/>
    <cellStyle name="Normal 36 4 5" xfId="46951" xr:uid="{00000000-0005-0000-0000-000075B70000}"/>
    <cellStyle name="Normal 36 4 5 2" xfId="46952" xr:uid="{00000000-0005-0000-0000-000076B70000}"/>
    <cellStyle name="Normal 36 4 6" xfId="46953" xr:uid="{00000000-0005-0000-0000-000077B70000}"/>
    <cellStyle name="Normal 36 4 6 2" xfId="46954" xr:uid="{00000000-0005-0000-0000-000078B70000}"/>
    <cellStyle name="Normal 36 4 7" xfId="46955" xr:uid="{00000000-0005-0000-0000-000079B70000}"/>
    <cellStyle name="Normal 36 4 8" xfId="46956" xr:uid="{00000000-0005-0000-0000-00007AB70000}"/>
    <cellStyle name="Normal 36 4 9" xfId="46957" xr:uid="{00000000-0005-0000-0000-00007BB70000}"/>
    <cellStyle name="Normal 36 5" xfId="46958" xr:uid="{00000000-0005-0000-0000-00007CB70000}"/>
    <cellStyle name="Normal 36 5 2" xfId="46959" xr:uid="{00000000-0005-0000-0000-00007DB70000}"/>
    <cellStyle name="Normal 36 5 2 2" xfId="46960" xr:uid="{00000000-0005-0000-0000-00007EB70000}"/>
    <cellStyle name="Normal 36 5 2 2 2" xfId="46961" xr:uid="{00000000-0005-0000-0000-00007FB70000}"/>
    <cellStyle name="Normal 36 5 2 2 2 2" xfId="46962" xr:uid="{00000000-0005-0000-0000-000080B70000}"/>
    <cellStyle name="Normal 36 5 2 2 3" xfId="46963" xr:uid="{00000000-0005-0000-0000-000081B70000}"/>
    <cellStyle name="Normal 36 5 2 3" xfId="46964" xr:uid="{00000000-0005-0000-0000-000082B70000}"/>
    <cellStyle name="Normal 36 5 2 3 2" xfId="46965" xr:uid="{00000000-0005-0000-0000-000083B70000}"/>
    <cellStyle name="Normal 36 5 2 4" xfId="46966" xr:uid="{00000000-0005-0000-0000-000084B70000}"/>
    <cellStyle name="Normal 36 5 3" xfId="46967" xr:uid="{00000000-0005-0000-0000-000085B70000}"/>
    <cellStyle name="Normal 36 5 3 2" xfId="46968" xr:uid="{00000000-0005-0000-0000-000086B70000}"/>
    <cellStyle name="Normal 36 5 3 2 2" xfId="46969" xr:uid="{00000000-0005-0000-0000-000087B70000}"/>
    <cellStyle name="Normal 36 5 3 3" xfId="46970" xr:uid="{00000000-0005-0000-0000-000088B70000}"/>
    <cellStyle name="Normal 36 5 4" xfId="46971" xr:uid="{00000000-0005-0000-0000-000089B70000}"/>
    <cellStyle name="Normal 36 5 4 2" xfId="46972" xr:uid="{00000000-0005-0000-0000-00008AB70000}"/>
    <cellStyle name="Normal 36 5 5" xfId="46973" xr:uid="{00000000-0005-0000-0000-00008BB70000}"/>
    <cellStyle name="Normal 36 5 6" xfId="46974" xr:uid="{00000000-0005-0000-0000-00008CB70000}"/>
    <cellStyle name="Normal 36 5 7" xfId="46975" xr:uid="{00000000-0005-0000-0000-00008DB70000}"/>
    <cellStyle name="Normal 36 5 8" xfId="46976" xr:uid="{00000000-0005-0000-0000-00008EB70000}"/>
    <cellStyle name="Normal 36 6" xfId="46977" xr:uid="{00000000-0005-0000-0000-00008FB70000}"/>
    <cellStyle name="Normal 36 6 2" xfId="46978" xr:uid="{00000000-0005-0000-0000-000090B70000}"/>
    <cellStyle name="Normal 36 6 2 2" xfId="46979" xr:uid="{00000000-0005-0000-0000-000091B70000}"/>
    <cellStyle name="Normal 36 6 2 2 2" xfId="46980" xr:uid="{00000000-0005-0000-0000-000092B70000}"/>
    <cellStyle name="Normal 36 6 2 3" xfId="46981" xr:uid="{00000000-0005-0000-0000-000093B70000}"/>
    <cellStyle name="Normal 36 6 3" xfId="46982" xr:uid="{00000000-0005-0000-0000-000094B70000}"/>
    <cellStyle name="Normal 36 6 3 2" xfId="46983" xr:uid="{00000000-0005-0000-0000-000095B70000}"/>
    <cellStyle name="Normal 36 6 4" xfId="46984" xr:uid="{00000000-0005-0000-0000-000096B70000}"/>
    <cellStyle name="Normal 36 7" xfId="46985" xr:uid="{00000000-0005-0000-0000-000097B70000}"/>
    <cellStyle name="Normal 36 7 2" xfId="46986" xr:uid="{00000000-0005-0000-0000-000098B70000}"/>
    <cellStyle name="Normal 36 7 2 2" xfId="46987" xr:uid="{00000000-0005-0000-0000-000099B70000}"/>
    <cellStyle name="Normal 36 7 2 2 2" xfId="46988" xr:uid="{00000000-0005-0000-0000-00009AB70000}"/>
    <cellStyle name="Normal 36 7 2 3" xfId="46989" xr:uid="{00000000-0005-0000-0000-00009BB70000}"/>
    <cellStyle name="Normal 36 7 3" xfId="46990" xr:uid="{00000000-0005-0000-0000-00009CB70000}"/>
    <cellStyle name="Normal 36 7 3 2" xfId="46991" xr:uid="{00000000-0005-0000-0000-00009DB70000}"/>
    <cellStyle name="Normal 36 7 4" xfId="46992" xr:uid="{00000000-0005-0000-0000-00009EB70000}"/>
    <cellStyle name="Normal 36 8" xfId="46993" xr:uid="{00000000-0005-0000-0000-00009FB70000}"/>
    <cellStyle name="Normal 36 8 2" xfId="46994" xr:uid="{00000000-0005-0000-0000-0000A0B70000}"/>
    <cellStyle name="Normal 36 8 2 2" xfId="46995" xr:uid="{00000000-0005-0000-0000-0000A1B70000}"/>
    <cellStyle name="Normal 36 8 3" xfId="46996" xr:uid="{00000000-0005-0000-0000-0000A2B70000}"/>
    <cellStyle name="Normal 36 9" xfId="46997" xr:uid="{00000000-0005-0000-0000-0000A3B70000}"/>
    <cellStyle name="Normal 36 9 2" xfId="46998" xr:uid="{00000000-0005-0000-0000-0000A4B70000}"/>
    <cellStyle name="Normal 37" xfId="46999" xr:uid="{00000000-0005-0000-0000-0000A5B70000}"/>
    <cellStyle name="Normal 37 2" xfId="47000" xr:uid="{00000000-0005-0000-0000-0000A6B70000}"/>
    <cellStyle name="Normal 37 2 2" xfId="47001" xr:uid="{00000000-0005-0000-0000-0000A7B70000}"/>
    <cellStyle name="Normal 37 3" xfId="47002" xr:uid="{00000000-0005-0000-0000-0000A8B70000}"/>
    <cellStyle name="Normal 37 3 2" xfId="47003" xr:uid="{00000000-0005-0000-0000-0000A9B70000}"/>
    <cellStyle name="Normal 37 4" xfId="47004" xr:uid="{00000000-0005-0000-0000-0000AAB70000}"/>
    <cellStyle name="Normal 37 5" xfId="47005" xr:uid="{00000000-0005-0000-0000-0000ABB70000}"/>
    <cellStyle name="Normal 37 6" xfId="47006" xr:uid="{00000000-0005-0000-0000-0000ACB70000}"/>
    <cellStyle name="Normal 37 7" xfId="47007" xr:uid="{00000000-0005-0000-0000-0000ADB70000}"/>
    <cellStyle name="Normal 37_Proj" xfId="47008" xr:uid="{00000000-0005-0000-0000-0000AEB70000}"/>
    <cellStyle name="Normal 38" xfId="47009" xr:uid="{00000000-0005-0000-0000-0000AFB70000}"/>
    <cellStyle name="Normal 38 2" xfId="47010" xr:uid="{00000000-0005-0000-0000-0000B0B70000}"/>
    <cellStyle name="Normal 38 2 2" xfId="47011" xr:uid="{00000000-0005-0000-0000-0000B1B70000}"/>
    <cellStyle name="Normal 38 2 3" xfId="47012" xr:uid="{00000000-0005-0000-0000-0000B2B70000}"/>
    <cellStyle name="Normal 38 2 4" xfId="47013" xr:uid="{00000000-0005-0000-0000-0000B3B70000}"/>
    <cellStyle name="Normal 38 3" xfId="47014" xr:uid="{00000000-0005-0000-0000-0000B4B70000}"/>
    <cellStyle name="Normal 38 3 2" xfId="47015" xr:uid="{00000000-0005-0000-0000-0000B5B70000}"/>
    <cellStyle name="Normal 38 4" xfId="47016" xr:uid="{00000000-0005-0000-0000-0000B6B70000}"/>
    <cellStyle name="Normal 38 4 2" xfId="47017" xr:uid="{00000000-0005-0000-0000-0000B7B70000}"/>
    <cellStyle name="Normal 38 5" xfId="47018" xr:uid="{00000000-0005-0000-0000-0000B8B70000}"/>
    <cellStyle name="Normal 38 6" xfId="47019" xr:uid="{00000000-0005-0000-0000-0000B9B70000}"/>
    <cellStyle name="Normal 39" xfId="47020" xr:uid="{00000000-0005-0000-0000-0000BAB70000}"/>
    <cellStyle name="Normal 39 2" xfId="47021" xr:uid="{00000000-0005-0000-0000-0000BBB70000}"/>
    <cellStyle name="Normal 39 2 2" xfId="47022" xr:uid="{00000000-0005-0000-0000-0000BCB70000}"/>
    <cellStyle name="Normal 39 2 2 2" xfId="47023" xr:uid="{00000000-0005-0000-0000-0000BDB70000}"/>
    <cellStyle name="Normal 39 2 3" xfId="47024" xr:uid="{00000000-0005-0000-0000-0000BEB70000}"/>
    <cellStyle name="Normal 39 2 4" xfId="47025" xr:uid="{00000000-0005-0000-0000-0000BFB70000}"/>
    <cellStyle name="Normal 39 3" xfId="47026" xr:uid="{00000000-0005-0000-0000-0000C0B70000}"/>
    <cellStyle name="Normal 39 3 2" xfId="47027" xr:uid="{00000000-0005-0000-0000-0000C1B70000}"/>
    <cellStyle name="Normal 39 4" xfId="47028" xr:uid="{00000000-0005-0000-0000-0000C2B70000}"/>
    <cellStyle name="Normal 39 5" xfId="47029" xr:uid="{00000000-0005-0000-0000-0000C3B70000}"/>
    <cellStyle name="Normal 39 6" xfId="47030" xr:uid="{00000000-0005-0000-0000-0000C4B70000}"/>
    <cellStyle name="Normal 39 7" xfId="47031" xr:uid="{00000000-0005-0000-0000-0000C5B70000}"/>
    <cellStyle name="Normal 39 8" xfId="47032" xr:uid="{00000000-0005-0000-0000-0000C6B70000}"/>
    <cellStyle name="Normal 39 9" xfId="47033" xr:uid="{00000000-0005-0000-0000-0000C7B70000}"/>
    <cellStyle name="Normal 4" xfId="47034" xr:uid="{00000000-0005-0000-0000-0000C8B70000}"/>
    <cellStyle name="Normal 4 10" xfId="47035" xr:uid="{00000000-0005-0000-0000-0000C9B70000}"/>
    <cellStyle name="Normal 4 100" xfId="47036" xr:uid="{00000000-0005-0000-0000-0000CAB70000}"/>
    <cellStyle name="Normal 4 101" xfId="47037" xr:uid="{00000000-0005-0000-0000-0000CBB70000}"/>
    <cellStyle name="Normal 4 102" xfId="47038" xr:uid="{00000000-0005-0000-0000-0000CCB70000}"/>
    <cellStyle name="Normal 4 103" xfId="47039" xr:uid="{00000000-0005-0000-0000-0000CDB70000}"/>
    <cellStyle name="Normal 4 104" xfId="47040" xr:uid="{00000000-0005-0000-0000-0000CEB70000}"/>
    <cellStyle name="Normal 4 105" xfId="47041" xr:uid="{00000000-0005-0000-0000-0000CFB70000}"/>
    <cellStyle name="Normal 4 106" xfId="47042" xr:uid="{00000000-0005-0000-0000-0000D0B70000}"/>
    <cellStyle name="Normal 4 107" xfId="47043" xr:uid="{00000000-0005-0000-0000-0000D1B70000}"/>
    <cellStyle name="Normal 4 108" xfId="47044" xr:uid="{00000000-0005-0000-0000-0000D2B70000}"/>
    <cellStyle name="Normal 4 109" xfId="47045" xr:uid="{00000000-0005-0000-0000-0000D3B70000}"/>
    <cellStyle name="Normal 4 11" xfId="47046" xr:uid="{00000000-0005-0000-0000-0000D4B70000}"/>
    <cellStyle name="Normal 4 110" xfId="47047" xr:uid="{00000000-0005-0000-0000-0000D5B70000}"/>
    <cellStyle name="Normal 4 111" xfId="47048" xr:uid="{00000000-0005-0000-0000-0000D6B70000}"/>
    <cellStyle name="Normal 4 112" xfId="47049" xr:uid="{00000000-0005-0000-0000-0000D7B70000}"/>
    <cellStyle name="Normal 4 113" xfId="47050" xr:uid="{00000000-0005-0000-0000-0000D8B70000}"/>
    <cellStyle name="Normal 4 114" xfId="47051" xr:uid="{00000000-0005-0000-0000-0000D9B70000}"/>
    <cellStyle name="Normal 4 115" xfId="47052" xr:uid="{00000000-0005-0000-0000-0000DAB70000}"/>
    <cellStyle name="Normal 4 116" xfId="47053" xr:uid="{00000000-0005-0000-0000-0000DBB70000}"/>
    <cellStyle name="Normal 4 117" xfId="47054" xr:uid="{00000000-0005-0000-0000-0000DCB70000}"/>
    <cellStyle name="Normal 4 118" xfId="47055" xr:uid="{00000000-0005-0000-0000-0000DDB70000}"/>
    <cellStyle name="Normal 4 119" xfId="47056" xr:uid="{00000000-0005-0000-0000-0000DEB70000}"/>
    <cellStyle name="Normal 4 12" xfId="47057" xr:uid="{00000000-0005-0000-0000-0000DFB70000}"/>
    <cellStyle name="Normal 4 120" xfId="47058" xr:uid="{00000000-0005-0000-0000-0000E0B70000}"/>
    <cellStyle name="Normal 4 121" xfId="47059" xr:uid="{00000000-0005-0000-0000-0000E1B70000}"/>
    <cellStyle name="Normal 4 122" xfId="47060" xr:uid="{00000000-0005-0000-0000-0000E2B70000}"/>
    <cellStyle name="Normal 4 123" xfId="47061" xr:uid="{00000000-0005-0000-0000-0000E3B70000}"/>
    <cellStyle name="Normal 4 124" xfId="47062" xr:uid="{00000000-0005-0000-0000-0000E4B70000}"/>
    <cellStyle name="Normal 4 125" xfId="47063" xr:uid="{00000000-0005-0000-0000-0000E5B70000}"/>
    <cellStyle name="Normal 4 126" xfId="47064" xr:uid="{00000000-0005-0000-0000-0000E6B70000}"/>
    <cellStyle name="Normal 4 127" xfId="47065" xr:uid="{00000000-0005-0000-0000-0000E7B70000}"/>
    <cellStyle name="Normal 4 128" xfId="47066" xr:uid="{00000000-0005-0000-0000-0000E8B70000}"/>
    <cellStyle name="Normal 4 129" xfId="47067" xr:uid="{00000000-0005-0000-0000-0000E9B70000}"/>
    <cellStyle name="Normal 4 13" xfId="47068" xr:uid="{00000000-0005-0000-0000-0000EAB70000}"/>
    <cellStyle name="Normal 4 130" xfId="47069" xr:uid="{00000000-0005-0000-0000-0000EBB70000}"/>
    <cellStyle name="Normal 4 131" xfId="47070" xr:uid="{00000000-0005-0000-0000-0000ECB70000}"/>
    <cellStyle name="Normal 4 132" xfId="47071" xr:uid="{00000000-0005-0000-0000-0000EDB70000}"/>
    <cellStyle name="Normal 4 133" xfId="47072" xr:uid="{00000000-0005-0000-0000-0000EEB70000}"/>
    <cellStyle name="Normal 4 134" xfId="47073" xr:uid="{00000000-0005-0000-0000-0000EFB70000}"/>
    <cellStyle name="Normal 4 135" xfId="47074" xr:uid="{00000000-0005-0000-0000-0000F0B70000}"/>
    <cellStyle name="Normal 4 136" xfId="47075" xr:uid="{00000000-0005-0000-0000-0000F1B70000}"/>
    <cellStyle name="Normal 4 137" xfId="47076" xr:uid="{00000000-0005-0000-0000-0000F2B70000}"/>
    <cellStyle name="Normal 4 138" xfId="47077" xr:uid="{00000000-0005-0000-0000-0000F3B70000}"/>
    <cellStyle name="Normal 4 139" xfId="47078" xr:uid="{00000000-0005-0000-0000-0000F4B70000}"/>
    <cellStyle name="Normal 4 14" xfId="47079" xr:uid="{00000000-0005-0000-0000-0000F5B70000}"/>
    <cellStyle name="Normal 4 140" xfId="47080" xr:uid="{00000000-0005-0000-0000-0000F6B70000}"/>
    <cellStyle name="Normal 4 141" xfId="47081" xr:uid="{00000000-0005-0000-0000-0000F7B70000}"/>
    <cellStyle name="Normal 4 142" xfId="47082" xr:uid="{00000000-0005-0000-0000-0000F8B70000}"/>
    <cellStyle name="Normal 4 143" xfId="47083" xr:uid="{00000000-0005-0000-0000-0000F9B70000}"/>
    <cellStyle name="Normal 4 144" xfId="47084" xr:uid="{00000000-0005-0000-0000-0000FAB70000}"/>
    <cellStyle name="Normal 4 145" xfId="47085" xr:uid="{00000000-0005-0000-0000-0000FBB70000}"/>
    <cellStyle name="Normal 4 146" xfId="47086" xr:uid="{00000000-0005-0000-0000-0000FCB70000}"/>
    <cellStyle name="Normal 4 147" xfId="47087" xr:uid="{00000000-0005-0000-0000-0000FDB70000}"/>
    <cellStyle name="Normal 4 148" xfId="47088" xr:uid="{00000000-0005-0000-0000-0000FEB70000}"/>
    <cellStyle name="Normal 4 149" xfId="47089" xr:uid="{00000000-0005-0000-0000-0000FFB70000}"/>
    <cellStyle name="Normal 4 15" xfId="47090" xr:uid="{00000000-0005-0000-0000-000000B80000}"/>
    <cellStyle name="Normal 4 150" xfId="47091" xr:uid="{00000000-0005-0000-0000-000001B80000}"/>
    <cellStyle name="Normal 4 151" xfId="47092" xr:uid="{00000000-0005-0000-0000-000002B80000}"/>
    <cellStyle name="Normal 4 152" xfId="47093" xr:uid="{00000000-0005-0000-0000-000003B80000}"/>
    <cellStyle name="Normal 4 153" xfId="47094" xr:uid="{00000000-0005-0000-0000-000004B80000}"/>
    <cellStyle name="Normal 4 154" xfId="47095" xr:uid="{00000000-0005-0000-0000-000005B80000}"/>
    <cellStyle name="Normal 4 155" xfId="47096" xr:uid="{00000000-0005-0000-0000-000006B80000}"/>
    <cellStyle name="Normal 4 156" xfId="47097" xr:uid="{00000000-0005-0000-0000-000007B80000}"/>
    <cellStyle name="Normal 4 157" xfId="47098" xr:uid="{00000000-0005-0000-0000-000008B80000}"/>
    <cellStyle name="Normal 4 158" xfId="47099" xr:uid="{00000000-0005-0000-0000-000009B80000}"/>
    <cellStyle name="Normal 4 159" xfId="47100" xr:uid="{00000000-0005-0000-0000-00000AB80000}"/>
    <cellStyle name="Normal 4 16" xfId="47101" xr:uid="{00000000-0005-0000-0000-00000BB80000}"/>
    <cellStyle name="Normal 4 160" xfId="47102" xr:uid="{00000000-0005-0000-0000-00000CB80000}"/>
    <cellStyle name="Normal 4 161" xfId="47103" xr:uid="{00000000-0005-0000-0000-00000DB80000}"/>
    <cellStyle name="Normal 4 162" xfId="47104" xr:uid="{00000000-0005-0000-0000-00000EB80000}"/>
    <cellStyle name="Normal 4 163" xfId="47105" xr:uid="{00000000-0005-0000-0000-00000FB80000}"/>
    <cellStyle name="Normal 4 164" xfId="47106" xr:uid="{00000000-0005-0000-0000-000010B80000}"/>
    <cellStyle name="Normal 4 165" xfId="47107" xr:uid="{00000000-0005-0000-0000-000011B80000}"/>
    <cellStyle name="Normal 4 166" xfId="47108" xr:uid="{00000000-0005-0000-0000-000012B80000}"/>
    <cellStyle name="Normal 4 167" xfId="47109" xr:uid="{00000000-0005-0000-0000-000013B80000}"/>
    <cellStyle name="Normal 4 168" xfId="47110" xr:uid="{00000000-0005-0000-0000-000014B80000}"/>
    <cellStyle name="Normal 4 169" xfId="47111" xr:uid="{00000000-0005-0000-0000-000015B80000}"/>
    <cellStyle name="Normal 4 17" xfId="47112" xr:uid="{00000000-0005-0000-0000-000016B80000}"/>
    <cellStyle name="Normal 4 170" xfId="47113" xr:uid="{00000000-0005-0000-0000-000017B80000}"/>
    <cellStyle name="Normal 4 171" xfId="47114" xr:uid="{00000000-0005-0000-0000-000018B80000}"/>
    <cellStyle name="Normal 4 172" xfId="47115" xr:uid="{00000000-0005-0000-0000-000019B80000}"/>
    <cellStyle name="Normal 4 173" xfId="47116" xr:uid="{00000000-0005-0000-0000-00001AB80000}"/>
    <cellStyle name="Normal 4 174" xfId="47117" xr:uid="{00000000-0005-0000-0000-00001BB80000}"/>
    <cellStyle name="Normal 4 175" xfId="47118" xr:uid="{00000000-0005-0000-0000-00001CB80000}"/>
    <cellStyle name="Normal 4 176" xfId="47119" xr:uid="{00000000-0005-0000-0000-00001DB80000}"/>
    <cellStyle name="Normal 4 177" xfId="47120" xr:uid="{00000000-0005-0000-0000-00001EB80000}"/>
    <cellStyle name="Normal 4 178" xfId="47121" xr:uid="{00000000-0005-0000-0000-00001FB80000}"/>
    <cellStyle name="Normal 4 179" xfId="47122" xr:uid="{00000000-0005-0000-0000-000020B80000}"/>
    <cellStyle name="Normal 4 18" xfId="47123" xr:uid="{00000000-0005-0000-0000-000021B80000}"/>
    <cellStyle name="Normal 4 180" xfId="47124" xr:uid="{00000000-0005-0000-0000-000022B80000}"/>
    <cellStyle name="Normal 4 181" xfId="47125" xr:uid="{00000000-0005-0000-0000-000023B80000}"/>
    <cellStyle name="Normal 4 182" xfId="47126" xr:uid="{00000000-0005-0000-0000-000024B80000}"/>
    <cellStyle name="Normal 4 183" xfId="47127" xr:uid="{00000000-0005-0000-0000-000025B80000}"/>
    <cellStyle name="Normal 4 184" xfId="47128" xr:uid="{00000000-0005-0000-0000-000026B80000}"/>
    <cellStyle name="Normal 4 185" xfId="47129" xr:uid="{00000000-0005-0000-0000-000027B80000}"/>
    <cellStyle name="Normal 4 186" xfId="47130" xr:uid="{00000000-0005-0000-0000-000028B80000}"/>
    <cellStyle name="Normal 4 187" xfId="47131" xr:uid="{00000000-0005-0000-0000-000029B80000}"/>
    <cellStyle name="Normal 4 188" xfId="47132" xr:uid="{00000000-0005-0000-0000-00002AB80000}"/>
    <cellStyle name="Normal 4 189" xfId="47133" xr:uid="{00000000-0005-0000-0000-00002BB80000}"/>
    <cellStyle name="Normal 4 19" xfId="47134" xr:uid="{00000000-0005-0000-0000-00002CB80000}"/>
    <cellStyle name="Normal 4 190" xfId="47135" xr:uid="{00000000-0005-0000-0000-00002DB80000}"/>
    <cellStyle name="Normal 4 191" xfId="47136" xr:uid="{00000000-0005-0000-0000-00002EB80000}"/>
    <cellStyle name="Normal 4 192" xfId="47137" xr:uid="{00000000-0005-0000-0000-00002FB80000}"/>
    <cellStyle name="Normal 4 193" xfId="47138" xr:uid="{00000000-0005-0000-0000-000030B80000}"/>
    <cellStyle name="Normal 4 194" xfId="47139" xr:uid="{00000000-0005-0000-0000-000031B80000}"/>
    <cellStyle name="Normal 4 195" xfId="47140" xr:uid="{00000000-0005-0000-0000-000032B80000}"/>
    <cellStyle name="Normal 4 196" xfId="47141" xr:uid="{00000000-0005-0000-0000-000033B80000}"/>
    <cellStyle name="Normal 4 2" xfId="47142" xr:uid="{00000000-0005-0000-0000-000034B80000}"/>
    <cellStyle name="Normal 4 2 2" xfId="47143" xr:uid="{00000000-0005-0000-0000-000035B80000}"/>
    <cellStyle name="Normal 4 2 2 2" xfId="47144" xr:uid="{00000000-0005-0000-0000-000036B80000}"/>
    <cellStyle name="Normal 4 2 2 2 2" xfId="47145" xr:uid="{00000000-0005-0000-0000-000037B80000}"/>
    <cellStyle name="Normal 4 2 2 3" xfId="47146" xr:uid="{00000000-0005-0000-0000-000038B80000}"/>
    <cellStyle name="Normal 4 2 3" xfId="47147" xr:uid="{00000000-0005-0000-0000-000039B80000}"/>
    <cellStyle name="Normal 4 2 3 2" xfId="47148" xr:uid="{00000000-0005-0000-0000-00003AB80000}"/>
    <cellStyle name="Normal 4 2 3 2 2" xfId="47149" xr:uid="{00000000-0005-0000-0000-00003BB80000}"/>
    <cellStyle name="Normal 4 2 3 2 2 2" xfId="47150" xr:uid="{00000000-0005-0000-0000-00003CB80000}"/>
    <cellStyle name="Normal 4 2 3 2 3" xfId="47151" xr:uid="{00000000-0005-0000-0000-00003DB80000}"/>
    <cellStyle name="Normal 4 2 3 3" xfId="47152" xr:uid="{00000000-0005-0000-0000-00003EB80000}"/>
    <cellStyle name="Normal 4 2 3 3 2" xfId="47153" xr:uid="{00000000-0005-0000-0000-00003FB80000}"/>
    <cellStyle name="Normal 4 2 3 4" xfId="47154" xr:uid="{00000000-0005-0000-0000-000040B80000}"/>
    <cellStyle name="Normal 4 2 4" xfId="47155" xr:uid="{00000000-0005-0000-0000-000041B80000}"/>
    <cellStyle name="Normal 4 2 5" xfId="47156" xr:uid="{00000000-0005-0000-0000-000042B80000}"/>
    <cellStyle name="Normal 4 2 6" xfId="47157" xr:uid="{00000000-0005-0000-0000-000043B80000}"/>
    <cellStyle name="Normal 4 2_Proj" xfId="47158" xr:uid="{00000000-0005-0000-0000-000044B80000}"/>
    <cellStyle name="Normal 4 20" xfId="47159" xr:uid="{00000000-0005-0000-0000-000045B80000}"/>
    <cellStyle name="Normal 4 21" xfId="47160" xr:uid="{00000000-0005-0000-0000-000046B80000}"/>
    <cellStyle name="Normal 4 22" xfId="47161" xr:uid="{00000000-0005-0000-0000-000047B80000}"/>
    <cellStyle name="Normal 4 23" xfId="47162" xr:uid="{00000000-0005-0000-0000-000048B80000}"/>
    <cellStyle name="Normal 4 24" xfId="47163" xr:uid="{00000000-0005-0000-0000-000049B80000}"/>
    <cellStyle name="Normal 4 25" xfId="47164" xr:uid="{00000000-0005-0000-0000-00004AB80000}"/>
    <cellStyle name="Normal 4 26" xfId="47165" xr:uid="{00000000-0005-0000-0000-00004BB80000}"/>
    <cellStyle name="Normal 4 27" xfId="47166" xr:uid="{00000000-0005-0000-0000-00004CB80000}"/>
    <cellStyle name="Normal 4 28" xfId="47167" xr:uid="{00000000-0005-0000-0000-00004DB80000}"/>
    <cellStyle name="Normal 4 29" xfId="47168" xr:uid="{00000000-0005-0000-0000-00004EB80000}"/>
    <cellStyle name="Normal 4 3" xfId="47169" xr:uid="{00000000-0005-0000-0000-00004FB80000}"/>
    <cellStyle name="Normal 4 3 2" xfId="47170" xr:uid="{00000000-0005-0000-0000-000050B80000}"/>
    <cellStyle name="Normal 4 3 3" xfId="47171" xr:uid="{00000000-0005-0000-0000-000051B80000}"/>
    <cellStyle name="Normal 4 3_Proj" xfId="47172" xr:uid="{00000000-0005-0000-0000-000052B80000}"/>
    <cellStyle name="Normal 4 30" xfId="47173" xr:uid="{00000000-0005-0000-0000-000053B80000}"/>
    <cellStyle name="Normal 4 31" xfId="47174" xr:uid="{00000000-0005-0000-0000-000054B80000}"/>
    <cellStyle name="Normal 4 32" xfId="47175" xr:uid="{00000000-0005-0000-0000-000055B80000}"/>
    <cellStyle name="Normal 4 33" xfId="47176" xr:uid="{00000000-0005-0000-0000-000056B80000}"/>
    <cellStyle name="Normal 4 34" xfId="47177" xr:uid="{00000000-0005-0000-0000-000057B80000}"/>
    <cellStyle name="Normal 4 35" xfId="47178" xr:uid="{00000000-0005-0000-0000-000058B80000}"/>
    <cellStyle name="Normal 4 36" xfId="47179" xr:uid="{00000000-0005-0000-0000-000059B80000}"/>
    <cellStyle name="Normal 4 37" xfId="47180" xr:uid="{00000000-0005-0000-0000-00005AB80000}"/>
    <cellStyle name="Normal 4 38" xfId="47181" xr:uid="{00000000-0005-0000-0000-00005BB80000}"/>
    <cellStyle name="Normal 4 39" xfId="47182" xr:uid="{00000000-0005-0000-0000-00005CB80000}"/>
    <cellStyle name="Normal 4 4" xfId="47183" xr:uid="{00000000-0005-0000-0000-00005DB80000}"/>
    <cellStyle name="Normal 4 4 2" xfId="47184" xr:uid="{00000000-0005-0000-0000-00005EB80000}"/>
    <cellStyle name="Normal 4 4 2 2" xfId="47185" xr:uid="{00000000-0005-0000-0000-00005FB80000}"/>
    <cellStyle name="Normal 4 4 2 3" xfId="47186" xr:uid="{00000000-0005-0000-0000-000060B80000}"/>
    <cellStyle name="Normal 4 4 3" xfId="47187" xr:uid="{00000000-0005-0000-0000-000061B80000}"/>
    <cellStyle name="Normal 4 4_Proj" xfId="47188" xr:uid="{00000000-0005-0000-0000-000062B80000}"/>
    <cellStyle name="Normal 4 40" xfId="47189" xr:uid="{00000000-0005-0000-0000-000063B80000}"/>
    <cellStyle name="Normal 4 41" xfId="47190" xr:uid="{00000000-0005-0000-0000-000064B80000}"/>
    <cellStyle name="Normal 4 42" xfId="47191" xr:uid="{00000000-0005-0000-0000-000065B80000}"/>
    <cellStyle name="Normal 4 43" xfId="47192" xr:uid="{00000000-0005-0000-0000-000066B80000}"/>
    <cellStyle name="Normal 4 44" xfId="47193" xr:uid="{00000000-0005-0000-0000-000067B80000}"/>
    <cellStyle name="Normal 4 45" xfId="47194" xr:uid="{00000000-0005-0000-0000-000068B80000}"/>
    <cellStyle name="Normal 4 46" xfId="47195" xr:uid="{00000000-0005-0000-0000-000069B80000}"/>
    <cellStyle name="Normal 4 47" xfId="47196" xr:uid="{00000000-0005-0000-0000-00006AB80000}"/>
    <cellStyle name="Normal 4 48" xfId="47197" xr:uid="{00000000-0005-0000-0000-00006BB80000}"/>
    <cellStyle name="Normal 4 49" xfId="47198" xr:uid="{00000000-0005-0000-0000-00006CB80000}"/>
    <cellStyle name="Normal 4 5" xfId="47199" xr:uid="{00000000-0005-0000-0000-00006DB80000}"/>
    <cellStyle name="Normal 4 5 2" xfId="47200" xr:uid="{00000000-0005-0000-0000-00006EB80000}"/>
    <cellStyle name="Normal 4 5 3" xfId="47201" xr:uid="{00000000-0005-0000-0000-00006FB80000}"/>
    <cellStyle name="Normal 4 50" xfId="47202" xr:uid="{00000000-0005-0000-0000-000070B80000}"/>
    <cellStyle name="Normal 4 51" xfId="47203" xr:uid="{00000000-0005-0000-0000-000071B80000}"/>
    <cellStyle name="Normal 4 52" xfId="47204" xr:uid="{00000000-0005-0000-0000-000072B80000}"/>
    <cellStyle name="Normal 4 53" xfId="47205" xr:uid="{00000000-0005-0000-0000-000073B80000}"/>
    <cellStyle name="Normal 4 54" xfId="47206" xr:uid="{00000000-0005-0000-0000-000074B80000}"/>
    <cellStyle name="Normal 4 55" xfId="47207" xr:uid="{00000000-0005-0000-0000-000075B80000}"/>
    <cellStyle name="Normal 4 56" xfId="47208" xr:uid="{00000000-0005-0000-0000-000076B80000}"/>
    <cellStyle name="Normal 4 57" xfId="47209" xr:uid="{00000000-0005-0000-0000-000077B80000}"/>
    <cellStyle name="Normal 4 58" xfId="47210" xr:uid="{00000000-0005-0000-0000-000078B80000}"/>
    <cellStyle name="Normal 4 59" xfId="47211" xr:uid="{00000000-0005-0000-0000-000079B80000}"/>
    <cellStyle name="Normal 4 6" xfId="47212" xr:uid="{00000000-0005-0000-0000-00007AB80000}"/>
    <cellStyle name="Normal 4 6 2" xfId="47213" xr:uid="{00000000-0005-0000-0000-00007BB80000}"/>
    <cellStyle name="Normal 4 60" xfId="47214" xr:uid="{00000000-0005-0000-0000-00007CB80000}"/>
    <cellStyle name="Normal 4 61" xfId="47215" xr:uid="{00000000-0005-0000-0000-00007DB80000}"/>
    <cellStyle name="Normal 4 62" xfId="47216" xr:uid="{00000000-0005-0000-0000-00007EB80000}"/>
    <cellStyle name="Normal 4 63" xfId="47217" xr:uid="{00000000-0005-0000-0000-00007FB80000}"/>
    <cellStyle name="Normal 4 64" xfId="47218" xr:uid="{00000000-0005-0000-0000-000080B80000}"/>
    <cellStyle name="Normal 4 65" xfId="47219" xr:uid="{00000000-0005-0000-0000-000081B80000}"/>
    <cellStyle name="Normal 4 66" xfId="47220" xr:uid="{00000000-0005-0000-0000-000082B80000}"/>
    <cellStyle name="Normal 4 67" xfId="47221" xr:uid="{00000000-0005-0000-0000-000083B80000}"/>
    <cellStyle name="Normal 4 68" xfId="47222" xr:uid="{00000000-0005-0000-0000-000084B80000}"/>
    <cellStyle name="Normal 4 69" xfId="47223" xr:uid="{00000000-0005-0000-0000-000085B80000}"/>
    <cellStyle name="Normal 4 7" xfId="47224" xr:uid="{00000000-0005-0000-0000-000086B80000}"/>
    <cellStyle name="Normal 4 7 2" xfId="47225" xr:uid="{00000000-0005-0000-0000-000087B80000}"/>
    <cellStyle name="Normal 4 70" xfId="47226" xr:uid="{00000000-0005-0000-0000-000088B80000}"/>
    <cellStyle name="Normal 4 71" xfId="47227" xr:uid="{00000000-0005-0000-0000-000089B80000}"/>
    <cellStyle name="Normal 4 72" xfId="47228" xr:uid="{00000000-0005-0000-0000-00008AB80000}"/>
    <cellStyle name="Normal 4 73" xfId="47229" xr:uid="{00000000-0005-0000-0000-00008BB80000}"/>
    <cellStyle name="Normal 4 74" xfId="47230" xr:uid="{00000000-0005-0000-0000-00008CB80000}"/>
    <cellStyle name="Normal 4 75" xfId="47231" xr:uid="{00000000-0005-0000-0000-00008DB80000}"/>
    <cellStyle name="Normal 4 76" xfId="47232" xr:uid="{00000000-0005-0000-0000-00008EB80000}"/>
    <cellStyle name="Normal 4 77" xfId="47233" xr:uid="{00000000-0005-0000-0000-00008FB80000}"/>
    <cellStyle name="Normal 4 78" xfId="47234" xr:uid="{00000000-0005-0000-0000-000090B80000}"/>
    <cellStyle name="Normal 4 79" xfId="47235" xr:uid="{00000000-0005-0000-0000-000091B80000}"/>
    <cellStyle name="Normal 4 8" xfId="47236" xr:uid="{00000000-0005-0000-0000-000092B80000}"/>
    <cellStyle name="Normal 4 80" xfId="47237" xr:uid="{00000000-0005-0000-0000-000093B80000}"/>
    <cellStyle name="Normal 4 81" xfId="47238" xr:uid="{00000000-0005-0000-0000-000094B80000}"/>
    <cellStyle name="Normal 4 82" xfId="47239" xr:uid="{00000000-0005-0000-0000-000095B80000}"/>
    <cellStyle name="Normal 4 83" xfId="47240" xr:uid="{00000000-0005-0000-0000-000096B80000}"/>
    <cellStyle name="Normal 4 84" xfId="47241" xr:uid="{00000000-0005-0000-0000-000097B80000}"/>
    <cellStyle name="Normal 4 85" xfId="47242" xr:uid="{00000000-0005-0000-0000-000098B80000}"/>
    <cellStyle name="Normal 4 86" xfId="47243" xr:uid="{00000000-0005-0000-0000-000099B80000}"/>
    <cellStyle name="Normal 4 87" xfId="47244" xr:uid="{00000000-0005-0000-0000-00009AB80000}"/>
    <cellStyle name="Normal 4 88" xfId="47245" xr:uid="{00000000-0005-0000-0000-00009BB80000}"/>
    <cellStyle name="Normal 4 89" xfId="47246" xr:uid="{00000000-0005-0000-0000-00009CB80000}"/>
    <cellStyle name="Normal 4 9" xfId="47247" xr:uid="{00000000-0005-0000-0000-00009DB80000}"/>
    <cellStyle name="Normal 4 90" xfId="47248" xr:uid="{00000000-0005-0000-0000-00009EB80000}"/>
    <cellStyle name="Normal 4 91" xfId="47249" xr:uid="{00000000-0005-0000-0000-00009FB80000}"/>
    <cellStyle name="Normal 4 92" xfId="47250" xr:uid="{00000000-0005-0000-0000-0000A0B80000}"/>
    <cellStyle name="Normal 4 93" xfId="47251" xr:uid="{00000000-0005-0000-0000-0000A1B80000}"/>
    <cellStyle name="Normal 4 94" xfId="47252" xr:uid="{00000000-0005-0000-0000-0000A2B80000}"/>
    <cellStyle name="Normal 4 95" xfId="47253" xr:uid="{00000000-0005-0000-0000-0000A3B80000}"/>
    <cellStyle name="Normal 4 96" xfId="47254" xr:uid="{00000000-0005-0000-0000-0000A4B80000}"/>
    <cellStyle name="Normal 4 97" xfId="47255" xr:uid="{00000000-0005-0000-0000-0000A5B80000}"/>
    <cellStyle name="Normal 4 98" xfId="47256" xr:uid="{00000000-0005-0000-0000-0000A6B80000}"/>
    <cellStyle name="Normal 4 99" xfId="47257" xr:uid="{00000000-0005-0000-0000-0000A7B80000}"/>
    <cellStyle name="Normal 4_6094_REVIEW_APRIL_08" xfId="47258" xr:uid="{00000000-0005-0000-0000-0000A8B80000}"/>
    <cellStyle name="Normal 40" xfId="47259" xr:uid="{00000000-0005-0000-0000-0000A9B80000}"/>
    <cellStyle name="Normal 40 2" xfId="47260" xr:uid="{00000000-0005-0000-0000-0000AAB80000}"/>
    <cellStyle name="Normal 40 2 2" xfId="47261" xr:uid="{00000000-0005-0000-0000-0000ABB80000}"/>
    <cellStyle name="Normal 40 2 2 2" xfId="47262" xr:uid="{00000000-0005-0000-0000-0000ACB80000}"/>
    <cellStyle name="Normal 40 2 3" xfId="47263" xr:uid="{00000000-0005-0000-0000-0000ADB80000}"/>
    <cellStyle name="Normal 40 3" xfId="47264" xr:uid="{00000000-0005-0000-0000-0000AEB80000}"/>
    <cellStyle name="Normal 40 3 2" xfId="47265" xr:uid="{00000000-0005-0000-0000-0000AFB80000}"/>
    <cellStyle name="Normal 40 4" xfId="47266" xr:uid="{00000000-0005-0000-0000-0000B0B80000}"/>
    <cellStyle name="Normal 40 5" xfId="47267" xr:uid="{00000000-0005-0000-0000-0000B1B80000}"/>
    <cellStyle name="Normal 40 6" xfId="47268" xr:uid="{00000000-0005-0000-0000-0000B2B80000}"/>
    <cellStyle name="Normal 40 7" xfId="47269" xr:uid="{00000000-0005-0000-0000-0000B3B80000}"/>
    <cellStyle name="Normal 41" xfId="47270" xr:uid="{00000000-0005-0000-0000-0000B4B80000}"/>
    <cellStyle name="Normal 41 2" xfId="47271" xr:uid="{00000000-0005-0000-0000-0000B5B80000}"/>
    <cellStyle name="Normal 41 2 2" xfId="47272" xr:uid="{00000000-0005-0000-0000-0000B6B80000}"/>
    <cellStyle name="Normal 41 3" xfId="47273" xr:uid="{00000000-0005-0000-0000-0000B7B80000}"/>
    <cellStyle name="Normal 41 4" xfId="47274" xr:uid="{00000000-0005-0000-0000-0000B8B80000}"/>
    <cellStyle name="Normal 41 5" xfId="47275" xr:uid="{00000000-0005-0000-0000-0000B9B80000}"/>
    <cellStyle name="Normal 41 6" xfId="47276" xr:uid="{00000000-0005-0000-0000-0000BAB80000}"/>
    <cellStyle name="Normal 42" xfId="47277" xr:uid="{00000000-0005-0000-0000-0000BBB80000}"/>
    <cellStyle name="Normal 42 2" xfId="47278" xr:uid="{00000000-0005-0000-0000-0000BCB80000}"/>
    <cellStyle name="Normal 42 3" xfId="47279" xr:uid="{00000000-0005-0000-0000-0000BDB80000}"/>
    <cellStyle name="Normal 42 4" xfId="47280" xr:uid="{00000000-0005-0000-0000-0000BEB80000}"/>
    <cellStyle name="Normal 42 5" xfId="47281" xr:uid="{00000000-0005-0000-0000-0000BFB80000}"/>
    <cellStyle name="Normal 42 6" xfId="47282" xr:uid="{00000000-0005-0000-0000-0000C0B80000}"/>
    <cellStyle name="Normal 43" xfId="47283" xr:uid="{00000000-0005-0000-0000-0000C1B80000}"/>
    <cellStyle name="Normal 43 2" xfId="47284" xr:uid="{00000000-0005-0000-0000-0000C2B80000}"/>
    <cellStyle name="Normal 43 3" xfId="47285" xr:uid="{00000000-0005-0000-0000-0000C3B80000}"/>
    <cellStyle name="Normal 43 4" xfId="47286" xr:uid="{00000000-0005-0000-0000-0000C4B80000}"/>
    <cellStyle name="Normal 43 5" xfId="47287" xr:uid="{00000000-0005-0000-0000-0000C5B80000}"/>
    <cellStyle name="Normal 43 6" xfId="47288" xr:uid="{00000000-0005-0000-0000-0000C6B80000}"/>
    <cellStyle name="Normal 44" xfId="47289" xr:uid="{00000000-0005-0000-0000-0000C7B80000}"/>
    <cellStyle name="Normal 44 2" xfId="47290" xr:uid="{00000000-0005-0000-0000-0000C8B80000}"/>
    <cellStyle name="Normal 44 3" xfId="47291" xr:uid="{00000000-0005-0000-0000-0000C9B80000}"/>
    <cellStyle name="Normal 44 4" xfId="47292" xr:uid="{00000000-0005-0000-0000-0000CAB80000}"/>
    <cellStyle name="Normal 45" xfId="47293" xr:uid="{00000000-0005-0000-0000-0000CBB80000}"/>
    <cellStyle name="Normal 45 2" xfId="47294" xr:uid="{00000000-0005-0000-0000-0000CCB80000}"/>
    <cellStyle name="Normal 45 3" xfId="47295" xr:uid="{00000000-0005-0000-0000-0000CDB80000}"/>
    <cellStyle name="Normal 45 4" xfId="47296" xr:uid="{00000000-0005-0000-0000-0000CEB80000}"/>
    <cellStyle name="Normal 46" xfId="47297" xr:uid="{00000000-0005-0000-0000-0000CFB80000}"/>
    <cellStyle name="Normal 46 2" xfId="47298" xr:uid="{00000000-0005-0000-0000-0000D0B80000}"/>
    <cellStyle name="Normal 46 3" xfId="47299" xr:uid="{00000000-0005-0000-0000-0000D1B80000}"/>
    <cellStyle name="Normal 46 4" xfId="47300" xr:uid="{00000000-0005-0000-0000-0000D2B80000}"/>
    <cellStyle name="Normal 47" xfId="47301" xr:uid="{00000000-0005-0000-0000-0000D3B80000}"/>
    <cellStyle name="Normal 47 2" xfId="47302" xr:uid="{00000000-0005-0000-0000-0000D4B80000}"/>
    <cellStyle name="Normal 47 3" xfId="47303" xr:uid="{00000000-0005-0000-0000-0000D5B80000}"/>
    <cellStyle name="Normal 47 4" xfId="47304" xr:uid="{00000000-0005-0000-0000-0000D6B80000}"/>
    <cellStyle name="Normal 48" xfId="47305" xr:uid="{00000000-0005-0000-0000-0000D7B80000}"/>
    <cellStyle name="Normal 48 2" xfId="47306" xr:uid="{00000000-0005-0000-0000-0000D8B80000}"/>
    <cellStyle name="Normal 48 3" xfId="47307" xr:uid="{00000000-0005-0000-0000-0000D9B80000}"/>
    <cellStyle name="Normal 48 4" xfId="47308" xr:uid="{00000000-0005-0000-0000-0000DAB80000}"/>
    <cellStyle name="Normal 48 5" xfId="47309" xr:uid="{00000000-0005-0000-0000-0000DBB80000}"/>
    <cellStyle name="Normal 49" xfId="47310" xr:uid="{00000000-0005-0000-0000-0000DCB80000}"/>
    <cellStyle name="Normal 49 2" xfId="47311" xr:uid="{00000000-0005-0000-0000-0000DDB80000}"/>
    <cellStyle name="Normal 49 3" xfId="47312" xr:uid="{00000000-0005-0000-0000-0000DEB80000}"/>
    <cellStyle name="Normal 49 4" xfId="47313" xr:uid="{00000000-0005-0000-0000-0000DFB80000}"/>
    <cellStyle name="Normal 5" xfId="47314" xr:uid="{00000000-0005-0000-0000-0000E0B80000}"/>
    <cellStyle name="Normal 5 10" xfId="47315" xr:uid="{00000000-0005-0000-0000-0000E1B80000}"/>
    <cellStyle name="Normal 5 10 2" xfId="47316" xr:uid="{00000000-0005-0000-0000-0000E2B80000}"/>
    <cellStyle name="Normal 5 10 2 2" xfId="47317" xr:uid="{00000000-0005-0000-0000-0000E3B80000}"/>
    <cellStyle name="Normal 5 10 3" xfId="47318" xr:uid="{00000000-0005-0000-0000-0000E4B80000}"/>
    <cellStyle name="Normal 5 100" xfId="47319" xr:uid="{00000000-0005-0000-0000-0000E5B80000}"/>
    <cellStyle name="Normal 5 101" xfId="47320" xr:uid="{00000000-0005-0000-0000-0000E6B80000}"/>
    <cellStyle name="Normal 5 102" xfId="47321" xr:uid="{00000000-0005-0000-0000-0000E7B80000}"/>
    <cellStyle name="Normal 5 103" xfId="47322" xr:uid="{00000000-0005-0000-0000-0000E8B80000}"/>
    <cellStyle name="Normal 5 104" xfId="47323" xr:uid="{00000000-0005-0000-0000-0000E9B80000}"/>
    <cellStyle name="Normal 5 105" xfId="47324" xr:uid="{00000000-0005-0000-0000-0000EAB80000}"/>
    <cellStyle name="Normal 5 106" xfId="47325" xr:uid="{00000000-0005-0000-0000-0000EBB80000}"/>
    <cellStyle name="Normal 5 107" xfId="47326" xr:uid="{00000000-0005-0000-0000-0000ECB80000}"/>
    <cellStyle name="Normal 5 108" xfId="47327" xr:uid="{00000000-0005-0000-0000-0000EDB80000}"/>
    <cellStyle name="Normal 5 109" xfId="47328" xr:uid="{00000000-0005-0000-0000-0000EEB80000}"/>
    <cellStyle name="Normal 5 11" xfId="47329" xr:uid="{00000000-0005-0000-0000-0000EFB80000}"/>
    <cellStyle name="Normal 5 11 2" xfId="47330" xr:uid="{00000000-0005-0000-0000-0000F0B80000}"/>
    <cellStyle name="Normal 5 11 2 2" xfId="47331" xr:uid="{00000000-0005-0000-0000-0000F1B80000}"/>
    <cellStyle name="Normal 5 11 3" xfId="47332" xr:uid="{00000000-0005-0000-0000-0000F2B80000}"/>
    <cellStyle name="Normal 5 110" xfId="47333" xr:uid="{00000000-0005-0000-0000-0000F3B80000}"/>
    <cellStyle name="Normal 5 111" xfId="47334" xr:uid="{00000000-0005-0000-0000-0000F4B80000}"/>
    <cellStyle name="Normal 5 112" xfId="47335" xr:uid="{00000000-0005-0000-0000-0000F5B80000}"/>
    <cellStyle name="Normal 5 113" xfId="47336" xr:uid="{00000000-0005-0000-0000-0000F6B80000}"/>
    <cellStyle name="Normal 5 114" xfId="47337" xr:uid="{00000000-0005-0000-0000-0000F7B80000}"/>
    <cellStyle name="Normal 5 115" xfId="47338" xr:uid="{00000000-0005-0000-0000-0000F8B80000}"/>
    <cellStyle name="Normal 5 116" xfId="47339" xr:uid="{00000000-0005-0000-0000-0000F9B80000}"/>
    <cellStyle name="Normal 5 117" xfId="47340" xr:uid="{00000000-0005-0000-0000-0000FAB80000}"/>
    <cellStyle name="Normal 5 118" xfId="47341" xr:uid="{00000000-0005-0000-0000-0000FBB80000}"/>
    <cellStyle name="Normal 5 119" xfId="47342" xr:uid="{00000000-0005-0000-0000-0000FCB80000}"/>
    <cellStyle name="Normal 5 12" xfId="47343" xr:uid="{00000000-0005-0000-0000-0000FDB80000}"/>
    <cellStyle name="Normal 5 12 2" xfId="47344" xr:uid="{00000000-0005-0000-0000-0000FEB80000}"/>
    <cellStyle name="Normal 5 12 2 2" xfId="47345" xr:uid="{00000000-0005-0000-0000-0000FFB80000}"/>
    <cellStyle name="Normal 5 12 3" xfId="47346" xr:uid="{00000000-0005-0000-0000-000000B90000}"/>
    <cellStyle name="Normal 5 120" xfId="47347" xr:uid="{00000000-0005-0000-0000-000001B90000}"/>
    <cellStyle name="Normal 5 121" xfId="47348" xr:uid="{00000000-0005-0000-0000-000002B90000}"/>
    <cellStyle name="Normal 5 122" xfId="47349" xr:uid="{00000000-0005-0000-0000-000003B90000}"/>
    <cellStyle name="Normal 5 123" xfId="47350" xr:uid="{00000000-0005-0000-0000-000004B90000}"/>
    <cellStyle name="Normal 5 124" xfId="47351" xr:uid="{00000000-0005-0000-0000-000005B90000}"/>
    <cellStyle name="Normal 5 125" xfId="47352" xr:uid="{00000000-0005-0000-0000-000006B90000}"/>
    <cellStyle name="Normal 5 126" xfId="47353" xr:uid="{00000000-0005-0000-0000-000007B90000}"/>
    <cellStyle name="Normal 5 127" xfId="47354" xr:uid="{00000000-0005-0000-0000-000008B90000}"/>
    <cellStyle name="Normal 5 128" xfId="47355" xr:uid="{00000000-0005-0000-0000-000009B90000}"/>
    <cellStyle name="Normal 5 129" xfId="47356" xr:uid="{00000000-0005-0000-0000-00000AB90000}"/>
    <cellStyle name="Normal 5 13" xfId="47357" xr:uid="{00000000-0005-0000-0000-00000BB90000}"/>
    <cellStyle name="Normal 5 13 2" xfId="47358" xr:uid="{00000000-0005-0000-0000-00000CB90000}"/>
    <cellStyle name="Normal 5 13 2 2" xfId="47359" xr:uid="{00000000-0005-0000-0000-00000DB90000}"/>
    <cellStyle name="Normal 5 13 3" xfId="47360" xr:uid="{00000000-0005-0000-0000-00000EB90000}"/>
    <cellStyle name="Normal 5 130" xfId="47361" xr:uid="{00000000-0005-0000-0000-00000FB90000}"/>
    <cellStyle name="Normal 5 131" xfId="47362" xr:uid="{00000000-0005-0000-0000-000010B90000}"/>
    <cellStyle name="Normal 5 132" xfId="47363" xr:uid="{00000000-0005-0000-0000-000011B90000}"/>
    <cellStyle name="Normal 5 133" xfId="47364" xr:uid="{00000000-0005-0000-0000-000012B90000}"/>
    <cellStyle name="Normal 5 134" xfId="47365" xr:uid="{00000000-0005-0000-0000-000013B90000}"/>
    <cellStyle name="Normal 5 135" xfId="47366" xr:uid="{00000000-0005-0000-0000-000014B90000}"/>
    <cellStyle name="Normal 5 136" xfId="47367" xr:uid="{00000000-0005-0000-0000-000015B90000}"/>
    <cellStyle name="Normal 5 137" xfId="47368" xr:uid="{00000000-0005-0000-0000-000016B90000}"/>
    <cellStyle name="Normal 5 138" xfId="47369" xr:uid="{00000000-0005-0000-0000-000017B90000}"/>
    <cellStyle name="Normal 5 139" xfId="47370" xr:uid="{00000000-0005-0000-0000-000018B90000}"/>
    <cellStyle name="Normal 5 14" xfId="47371" xr:uid="{00000000-0005-0000-0000-000019B90000}"/>
    <cellStyle name="Normal 5 14 2" xfId="47372" xr:uid="{00000000-0005-0000-0000-00001AB90000}"/>
    <cellStyle name="Normal 5 14 2 2" xfId="47373" xr:uid="{00000000-0005-0000-0000-00001BB90000}"/>
    <cellStyle name="Normal 5 14 3" xfId="47374" xr:uid="{00000000-0005-0000-0000-00001CB90000}"/>
    <cellStyle name="Normal 5 140" xfId="47375" xr:uid="{00000000-0005-0000-0000-00001DB90000}"/>
    <cellStyle name="Normal 5 141" xfId="47376" xr:uid="{00000000-0005-0000-0000-00001EB90000}"/>
    <cellStyle name="Normal 5 142" xfId="47377" xr:uid="{00000000-0005-0000-0000-00001FB90000}"/>
    <cellStyle name="Normal 5 143" xfId="47378" xr:uid="{00000000-0005-0000-0000-000020B90000}"/>
    <cellStyle name="Normal 5 144" xfId="47379" xr:uid="{00000000-0005-0000-0000-000021B90000}"/>
    <cellStyle name="Normal 5 145" xfId="47380" xr:uid="{00000000-0005-0000-0000-000022B90000}"/>
    <cellStyle name="Normal 5 146" xfId="47381" xr:uid="{00000000-0005-0000-0000-000023B90000}"/>
    <cellStyle name="Normal 5 147" xfId="47382" xr:uid="{00000000-0005-0000-0000-000024B90000}"/>
    <cellStyle name="Normal 5 148" xfId="47383" xr:uid="{00000000-0005-0000-0000-000025B90000}"/>
    <cellStyle name="Normal 5 149" xfId="47384" xr:uid="{00000000-0005-0000-0000-000026B90000}"/>
    <cellStyle name="Normal 5 15" xfId="47385" xr:uid="{00000000-0005-0000-0000-000027B90000}"/>
    <cellStyle name="Normal 5 15 2" xfId="47386" xr:uid="{00000000-0005-0000-0000-000028B90000}"/>
    <cellStyle name="Normal 5 15 2 2" xfId="47387" xr:uid="{00000000-0005-0000-0000-000029B90000}"/>
    <cellStyle name="Normal 5 15 3" xfId="47388" xr:uid="{00000000-0005-0000-0000-00002AB90000}"/>
    <cellStyle name="Normal 5 150" xfId="47389" xr:uid="{00000000-0005-0000-0000-00002BB90000}"/>
    <cellStyle name="Normal 5 151" xfId="47390" xr:uid="{00000000-0005-0000-0000-00002CB90000}"/>
    <cellStyle name="Normal 5 152" xfId="47391" xr:uid="{00000000-0005-0000-0000-00002DB90000}"/>
    <cellStyle name="Normal 5 153" xfId="47392" xr:uid="{00000000-0005-0000-0000-00002EB90000}"/>
    <cellStyle name="Normal 5 154" xfId="47393" xr:uid="{00000000-0005-0000-0000-00002FB90000}"/>
    <cellStyle name="Normal 5 155" xfId="47394" xr:uid="{00000000-0005-0000-0000-000030B90000}"/>
    <cellStyle name="Normal 5 156" xfId="47395" xr:uid="{00000000-0005-0000-0000-000031B90000}"/>
    <cellStyle name="Normal 5 157" xfId="47396" xr:uid="{00000000-0005-0000-0000-000032B90000}"/>
    <cellStyle name="Normal 5 158" xfId="47397" xr:uid="{00000000-0005-0000-0000-000033B90000}"/>
    <cellStyle name="Normal 5 159" xfId="47398" xr:uid="{00000000-0005-0000-0000-000034B90000}"/>
    <cellStyle name="Normal 5 16" xfId="47399" xr:uid="{00000000-0005-0000-0000-000035B90000}"/>
    <cellStyle name="Normal 5 16 2" xfId="47400" xr:uid="{00000000-0005-0000-0000-000036B90000}"/>
    <cellStyle name="Normal 5 16 2 2" xfId="47401" xr:uid="{00000000-0005-0000-0000-000037B90000}"/>
    <cellStyle name="Normal 5 16 3" xfId="47402" xr:uid="{00000000-0005-0000-0000-000038B90000}"/>
    <cellStyle name="Normal 5 160" xfId="47403" xr:uid="{00000000-0005-0000-0000-000039B90000}"/>
    <cellStyle name="Normal 5 161" xfId="47404" xr:uid="{00000000-0005-0000-0000-00003AB90000}"/>
    <cellStyle name="Normal 5 162" xfId="47405" xr:uid="{00000000-0005-0000-0000-00003BB90000}"/>
    <cellStyle name="Normal 5 163" xfId="47406" xr:uid="{00000000-0005-0000-0000-00003CB90000}"/>
    <cellStyle name="Normal 5 164" xfId="47407" xr:uid="{00000000-0005-0000-0000-00003DB90000}"/>
    <cellStyle name="Normal 5 165" xfId="47408" xr:uid="{00000000-0005-0000-0000-00003EB90000}"/>
    <cellStyle name="Normal 5 166" xfId="47409" xr:uid="{00000000-0005-0000-0000-00003FB90000}"/>
    <cellStyle name="Normal 5 167" xfId="47410" xr:uid="{00000000-0005-0000-0000-000040B90000}"/>
    <cellStyle name="Normal 5 168" xfId="47411" xr:uid="{00000000-0005-0000-0000-000041B90000}"/>
    <cellStyle name="Normal 5 169" xfId="47412" xr:uid="{00000000-0005-0000-0000-000042B90000}"/>
    <cellStyle name="Normal 5 17" xfId="47413" xr:uid="{00000000-0005-0000-0000-000043B90000}"/>
    <cellStyle name="Normal 5 17 2" xfId="47414" xr:uid="{00000000-0005-0000-0000-000044B90000}"/>
    <cellStyle name="Normal 5 17 2 2" xfId="47415" xr:uid="{00000000-0005-0000-0000-000045B90000}"/>
    <cellStyle name="Normal 5 17 3" xfId="47416" xr:uid="{00000000-0005-0000-0000-000046B90000}"/>
    <cellStyle name="Normal 5 170" xfId="47417" xr:uid="{00000000-0005-0000-0000-000047B90000}"/>
    <cellStyle name="Normal 5 171" xfId="47418" xr:uid="{00000000-0005-0000-0000-000048B90000}"/>
    <cellStyle name="Normal 5 172" xfId="47419" xr:uid="{00000000-0005-0000-0000-000049B90000}"/>
    <cellStyle name="Normal 5 173" xfId="47420" xr:uid="{00000000-0005-0000-0000-00004AB90000}"/>
    <cellStyle name="Normal 5 174" xfId="47421" xr:uid="{00000000-0005-0000-0000-00004BB90000}"/>
    <cellStyle name="Normal 5 175" xfId="47422" xr:uid="{00000000-0005-0000-0000-00004CB90000}"/>
    <cellStyle name="Normal 5 176" xfId="47423" xr:uid="{00000000-0005-0000-0000-00004DB90000}"/>
    <cellStyle name="Normal 5 177" xfId="47424" xr:uid="{00000000-0005-0000-0000-00004EB90000}"/>
    <cellStyle name="Normal 5 178" xfId="47425" xr:uid="{00000000-0005-0000-0000-00004FB90000}"/>
    <cellStyle name="Normal 5 179" xfId="47426" xr:uid="{00000000-0005-0000-0000-000050B90000}"/>
    <cellStyle name="Normal 5 18" xfId="47427" xr:uid="{00000000-0005-0000-0000-000051B90000}"/>
    <cellStyle name="Normal 5 18 2" xfId="47428" xr:uid="{00000000-0005-0000-0000-000052B90000}"/>
    <cellStyle name="Normal 5 180" xfId="47429" xr:uid="{00000000-0005-0000-0000-000053B90000}"/>
    <cellStyle name="Normal 5 181" xfId="47430" xr:uid="{00000000-0005-0000-0000-000054B90000}"/>
    <cellStyle name="Normal 5 182" xfId="47431" xr:uid="{00000000-0005-0000-0000-000055B90000}"/>
    <cellStyle name="Normal 5 183" xfId="47432" xr:uid="{00000000-0005-0000-0000-000056B90000}"/>
    <cellStyle name="Normal 5 184" xfId="47433" xr:uid="{00000000-0005-0000-0000-000057B90000}"/>
    <cellStyle name="Normal 5 185" xfId="47434" xr:uid="{00000000-0005-0000-0000-000058B90000}"/>
    <cellStyle name="Normal 5 186" xfId="47435" xr:uid="{00000000-0005-0000-0000-000059B90000}"/>
    <cellStyle name="Normal 5 187" xfId="47436" xr:uid="{00000000-0005-0000-0000-00005AB90000}"/>
    <cellStyle name="Normal 5 188" xfId="47437" xr:uid="{00000000-0005-0000-0000-00005BB90000}"/>
    <cellStyle name="Normal 5 189" xfId="47438" xr:uid="{00000000-0005-0000-0000-00005CB90000}"/>
    <cellStyle name="Normal 5 19" xfId="47439" xr:uid="{00000000-0005-0000-0000-00005DB90000}"/>
    <cellStyle name="Normal 5 19 2" xfId="47440" xr:uid="{00000000-0005-0000-0000-00005EB90000}"/>
    <cellStyle name="Normal 5 190" xfId="47441" xr:uid="{00000000-0005-0000-0000-00005FB90000}"/>
    <cellStyle name="Normal 5 191" xfId="47442" xr:uid="{00000000-0005-0000-0000-000060B90000}"/>
    <cellStyle name="Normal 5 192" xfId="47443" xr:uid="{00000000-0005-0000-0000-000061B90000}"/>
    <cellStyle name="Normal 5 193" xfId="47444" xr:uid="{00000000-0005-0000-0000-000062B90000}"/>
    <cellStyle name="Normal 5 194" xfId="47445" xr:uid="{00000000-0005-0000-0000-000063B90000}"/>
    <cellStyle name="Normal 5 2" xfId="47446" xr:uid="{00000000-0005-0000-0000-000064B90000}"/>
    <cellStyle name="Normal 5 2 2" xfId="47447" xr:uid="{00000000-0005-0000-0000-000065B90000}"/>
    <cellStyle name="Normal 5 2 3" xfId="47448" xr:uid="{00000000-0005-0000-0000-000066B90000}"/>
    <cellStyle name="Normal 5 2 3 2" xfId="47449" xr:uid="{00000000-0005-0000-0000-000067B90000}"/>
    <cellStyle name="Normal 5 2 4" xfId="47450" xr:uid="{00000000-0005-0000-0000-000068B90000}"/>
    <cellStyle name="Normal 5 2_GE.IU" xfId="47451" xr:uid="{00000000-0005-0000-0000-000069B90000}"/>
    <cellStyle name="Normal 5 20" xfId="47452" xr:uid="{00000000-0005-0000-0000-00006AB90000}"/>
    <cellStyle name="Normal 5 21" xfId="47453" xr:uid="{00000000-0005-0000-0000-00006BB90000}"/>
    <cellStyle name="Normal 5 22" xfId="47454" xr:uid="{00000000-0005-0000-0000-00006CB90000}"/>
    <cellStyle name="Normal 5 23" xfId="47455" xr:uid="{00000000-0005-0000-0000-00006DB90000}"/>
    <cellStyle name="Normal 5 24" xfId="47456" xr:uid="{00000000-0005-0000-0000-00006EB90000}"/>
    <cellStyle name="Normal 5 25" xfId="47457" xr:uid="{00000000-0005-0000-0000-00006FB90000}"/>
    <cellStyle name="Normal 5 26" xfId="47458" xr:uid="{00000000-0005-0000-0000-000070B90000}"/>
    <cellStyle name="Normal 5 27" xfId="47459" xr:uid="{00000000-0005-0000-0000-000071B90000}"/>
    <cellStyle name="Normal 5 28" xfId="47460" xr:uid="{00000000-0005-0000-0000-000072B90000}"/>
    <cellStyle name="Normal 5 29" xfId="47461" xr:uid="{00000000-0005-0000-0000-000073B90000}"/>
    <cellStyle name="Normal 5 3" xfId="47462" xr:uid="{00000000-0005-0000-0000-000074B90000}"/>
    <cellStyle name="Normal 5 3 2" xfId="47463" xr:uid="{00000000-0005-0000-0000-000075B90000}"/>
    <cellStyle name="Normal 5 3 2 2" xfId="47464" xr:uid="{00000000-0005-0000-0000-000076B90000}"/>
    <cellStyle name="Normal 5 3 2 3" xfId="47465" xr:uid="{00000000-0005-0000-0000-000077B90000}"/>
    <cellStyle name="Normal 5 3 3" xfId="47466" xr:uid="{00000000-0005-0000-0000-000078B90000}"/>
    <cellStyle name="Normal 5 3 4" xfId="47467" xr:uid="{00000000-0005-0000-0000-000079B90000}"/>
    <cellStyle name="Normal 5 3 5" xfId="47468" xr:uid="{00000000-0005-0000-0000-00007AB90000}"/>
    <cellStyle name="Normal 5 3_Book2" xfId="47469" xr:uid="{00000000-0005-0000-0000-00007BB90000}"/>
    <cellStyle name="Normal 5 30" xfId="47470" xr:uid="{00000000-0005-0000-0000-00007CB90000}"/>
    <cellStyle name="Normal 5 31" xfId="47471" xr:uid="{00000000-0005-0000-0000-00007DB90000}"/>
    <cellStyle name="Normal 5 32" xfId="47472" xr:uid="{00000000-0005-0000-0000-00007EB90000}"/>
    <cellStyle name="Normal 5 33" xfId="47473" xr:uid="{00000000-0005-0000-0000-00007FB90000}"/>
    <cellStyle name="Normal 5 34" xfId="47474" xr:uid="{00000000-0005-0000-0000-000080B90000}"/>
    <cellStyle name="Normal 5 35" xfId="47475" xr:uid="{00000000-0005-0000-0000-000081B90000}"/>
    <cellStyle name="Normal 5 36" xfId="47476" xr:uid="{00000000-0005-0000-0000-000082B90000}"/>
    <cellStyle name="Normal 5 37" xfId="47477" xr:uid="{00000000-0005-0000-0000-000083B90000}"/>
    <cellStyle name="Normal 5 38" xfId="47478" xr:uid="{00000000-0005-0000-0000-000084B90000}"/>
    <cellStyle name="Normal 5 39" xfId="47479" xr:uid="{00000000-0005-0000-0000-000085B90000}"/>
    <cellStyle name="Normal 5 4" xfId="47480" xr:uid="{00000000-0005-0000-0000-000086B90000}"/>
    <cellStyle name="Normal 5 4 2" xfId="47481" xr:uid="{00000000-0005-0000-0000-000087B90000}"/>
    <cellStyle name="Normal 5 4 2 2" xfId="47482" xr:uid="{00000000-0005-0000-0000-000088B90000}"/>
    <cellStyle name="Normal 5 4 3" xfId="47483" xr:uid="{00000000-0005-0000-0000-000089B90000}"/>
    <cellStyle name="Normal 5 40" xfId="47484" xr:uid="{00000000-0005-0000-0000-00008AB90000}"/>
    <cellStyle name="Normal 5 41" xfId="47485" xr:uid="{00000000-0005-0000-0000-00008BB90000}"/>
    <cellStyle name="Normal 5 42" xfId="47486" xr:uid="{00000000-0005-0000-0000-00008CB90000}"/>
    <cellStyle name="Normal 5 43" xfId="47487" xr:uid="{00000000-0005-0000-0000-00008DB90000}"/>
    <cellStyle name="Normal 5 44" xfId="47488" xr:uid="{00000000-0005-0000-0000-00008EB90000}"/>
    <cellStyle name="Normal 5 45" xfId="47489" xr:uid="{00000000-0005-0000-0000-00008FB90000}"/>
    <cellStyle name="Normal 5 46" xfId="47490" xr:uid="{00000000-0005-0000-0000-000090B90000}"/>
    <cellStyle name="Normal 5 47" xfId="47491" xr:uid="{00000000-0005-0000-0000-000091B90000}"/>
    <cellStyle name="Normal 5 48" xfId="47492" xr:uid="{00000000-0005-0000-0000-000092B90000}"/>
    <cellStyle name="Normal 5 49" xfId="47493" xr:uid="{00000000-0005-0000-0000-000093B90000}"/>
    <cellStyle name="Normal 5 5" xfId="47494" xr:uid="{00000000-0005-0000-0000-000094B90000}"/>
    <cellStyle name="Normal 5 5 2" xfId="47495" xr:uid="{00000000-0005-0000-0000-000095B90000}"/>
    <cellStyle name="Normal 5 5 2 2" xfId="47496" xr:uid="{00000000-0005-0000-0000-000096B90000}"/>
    <cellStyle name="Normal 5 5 2 2 2" xfId="47497" xr:uid="{00000000-0005-0000-0000-000097B90000}"/>
    <cellStyle name="Normal 5 5 2 3" xfId="47498" xr:uid="{00000000-0005-0000-0000-000098B90000}"/>
    <cellStyle name="Normal 5 5 3" xfId="47499" xr:uid="{00000000-0005-0000-0000-000099B90000}"/>
    <cellStyle name="Normal 5 5 3 2" xfId="47500" xr:uid="{00000000-0005-0000-0000-00009AB90000}"/>
    <cellStyle name="Normal 5 5 4" xfId="47501" xr:uid="{00000000-0005-0000-0000-00009BB90000}"/>
    <cellStyle name="Normal 5 50" xfId="47502" xr:uid="{00000000-0005-0000-0000-00009CB90000}"/>
    <cellStyle name="Normal 5 51" xfId="47503" xr:uid="{00000000-0005-0000-0000-00009DB90000}"/>
    <cellStyle name="Normal 5 52" xfId="47504" xr:uid="{00000000-0005-0000-0000-00009EB90000}"/>
    <cellStyle name="Normal 5 53" xfId="47505" xr:uid="{00000000-0005-0000-0000-00009FB90000}"/>
    <cellStyle name="Normal 5 54" xfId="47506" xr:uid="{00000000-0005-0000-0000-0000A0B90000}"/>
    <cellStyle name="Normal 5 55" xfId="47507" xr:uid="{00000000-0005-0000-0000-0000A1B90000}"/>
    <cellStyle name="Normal 5 56" xfId="47508" xr:uid="{00000000-0005-0000-0000-0000A2B90000}"/>
    <cellStyle name="Normal 5 57" xfId="47509" xr:uid="{00000000-0005-0000-0000-0000A3B90000}"/>
    <cellStyle name="Normal 5 58" xfId="47510" xr:uid="{00000000-0005-0000-0000-0000A4B90000}"/>
    <cellStyle name="Normal 5 59" xfId="47511" xr:uid="{00000000-0005-0000-0000-0000A5B90000}"/>
    <cellStyle name="Normal 5 6" xfId="47512" xr:uid="{00000000-0005-0000-0000-0000A6B90000}"/>
    <cellStyle name="Normal 5 6 2" xfId="47513" xr:uid="{00000000-0005-0000-0000-0000A7B90000}"/>
    <cellStyle name="Normal 5 6 2 2" xfId="47514" xr:uid="{00000000-0005-0000-0000-0000A8B90000}"/>
    <cellStyle name="Normal 5 6 3" xfId="47515" xr:uid="{00000000-0005-0000-0000-0000A9B90000}"/>
    <cellStyle name="Normal 5 6 4" xfId="47516" xr:uid="{00000000-0005-0000-0000-0000AAB90000}"/>
    <cellStyle name="Normal 5 60" xfId="47517" xr:uid="{00000000-0005-0000-0000-0000ABB90000}"/>
    <cellStyle name="Normal 5 61" xfId="47518" xr:uid="{00000000-0005-0000-0000-0000ACB90000}"/>
    <cellStyle name="Normal 5 62" xfId="47519" xr:uid="{00000000-0005-0000-0000-0000ADB90000}"/>
    <cellStyle name="Normal 5 63" xfId="47520" xr:uid="{00000000-0005-0000-0000-0000AEB90000}"/>
    <cellStyle name="Normal 5 64" xfId="47521" xr:uid="{00000000-0005-0000-0000-0000AFB90000}"/>
    <cellStyle name="Normal 5 65" xfId="47522" xr:uid="{00000000-0005-0000-0000-0000B0B90000}"/>
    <cellStyle name="Normal 5 66" xfId="47523" xr:uid="{00000000-0005-0000-0000-0000B1B90000}"/>
    <cellStyle name="Normal 5 67" xfId="47524" xr:uid="{00000000-0005-0000-0000-0000B2B90000}"/>
    <cellStyle name="Normal 5 68" xfId="47525" xr:uid="{00000000-0005-0000-0000-0000B3B90000}"/>
    <cellStyle name="Normal 5 69" xfId="47526" xr:uid="{00000000-0005-0000-0000-0000B4B90000}"/>
    <cellStyle name="Normal 5 7" xfId="47527" xr:uid="{00000000-0005-0000-0000-0000B5B90000}"/>
    <cellStyle name="Normal 5 7 2" xfId="47528" xr:uid="{00000000-0005-0000-0000-0000B6B90000}"/>
    <cellStyle name="Normal 5 7 2 2" xfId="47529" xr:uid="{00000000-0005-0000-0000-0000B7B90000}"/>
    <cellStyle name="Normal 5 7 3" xfId="47530" xr:uid="{00000000-0005-0000-0000-0000B8B90000}"/>
    <cellStyle name="Normal 5 70" xfId="47531" xr:uid="{00000000-0005-0000-0000-0000B9B90000}"/>
    <cellStyle name="Normal 5 71" xfId="47532" xr:uid="{00000000-0005-0000-0000-0000BAB90000}"/>
    <cellStyle name="Normal 5 72" xfId="47533" xr:uid="{00000000-0005-0000-0000-0000BBB90000}"/>
    <cellStyle name="Normal 5 73" xfId="47534" xr:uid="{00000000-0005-0000-0000-0000BCB90000}"/>
    <cellStyle name="Normal 5 74" xfId="47535" xr:uid="{00000000-0005-0000-0000-0000BDB90000}"/>
    <cellStyle name="Normal 5 75" xfId="47536" xr:uid="{00000000-0005-0000-0000-0000BEB90000}"/>
    <cellStyle name="Normal 5 76" xfId="47537" xr:uid="{00000000-0005-0000-0000-0000BFB90000}"/>
    <cellStyle name="Normal 5 77" xfId="47538" xr:uid="{00000000-0005-0000-0000-0000C0B90000}"/>
    <cellStyle name="Normal 5 78" xfId="47539" xr:uid="{00000000-0005-0000-0000-0000C1B90000}"/>
    <cellStyle name="Normal 5 79" xfId="47540" xr:uid="{00000000-0005-0000-0000-0000C2B90000}"/>
    <cellStyle name="Normal 5 8" xfId="47541" xr:uid="{00000000-0005-0000-0000-0000C3B90000}"/>
    <cellStyle name="Normal 5 8 2" xfId="47542" xr:uid="{00000000-0005-0000-0000-0000C4B90000}"/>
    <cellStyle name="Normal 5 8 2 2" xfId="47543" xr:uid="{00000000-0005-0000-0000-0000C5B90000}"/>
    <cellStyle name="Normal 5 8 3" xfId="47544" xr:uid="{00000000-0005-0000-0000-0000C6B90000}"/>
    <cellStyle name="Normal 5 80" xfId="47545" xr:uid="{00000000-0005-0000-0000-0000C7B90000}"/>
    <cellStyle name="Normal 5 81" xfId="47546" xr:uid="{00000000-0005-0000-0000-0000C8B90000}"/>
    <cellStyle name="Normal 5 82" xfId="47547" xr:uid="{00000000-0005-0000-0000-0000C9B90000}"/>
    <cellStyle name="Normal 5 83" xfId="47548" xr:uid="{00000000-0005-0000-0000-0000CAB90000}"/>
    <cellStyle name="Normal 5 84" xfId="47549" xr:uid="{00000000-0005-0000-0000-0000CBB90000}"/>
    <cellStyle name="Normal 5 85" xfId="47550" xr:uid="{00000000-0005-0000-0000-0000CCB90000}"/>
    <cellStyle name="Normal 5 86" xfId="47551" xr:uid="{00000000-0005-0000-0000-0000CDB90000}"/>
    <cellStyle name="Normal 5 87" xfId="47552" xr:uid="{00000000-0005-0000-0000-0000CEB90000}"/>
    <cellStyle name="Normal 5 88" xfId="47553" xr:uid="{00000000-0005-0000-0000-0000CFB90000}"/>
    <cellStyle name="Normal 5 89" xfId="47554" xr:uid="{00000000-0005-0000-0000-0000D0B90000}"/>
    <cellStyle name="Normal 5 9" xfId="47555" xr:uid="{00000000-0005-0000-0000-0000D1B90000}"/>
    <cellStyle name="Normal 5 9 2" xfId="47556" xr:uid="{00000000-0005-0000-0000-0000D2B90000}"/>
    <cellStyle name="Normal 5 9 2 2" xfId="47557" xr:uid="{00000000-0005-0000-0000-0000D3B90000}"/>
    <cellStyle name="Normal 5 9 3" xfId="47558" xr:uid="{00000000-0005-0000-0000-0000D4B90000}"/>
    <cellStyle name="Normal 5 90" xfId="47559" xr:uid="{00000000-0005-0000-0000-0000D5B90000}"/>
    <cellStyle name="Normal 5 91" xfId="47560" xr:uid="{00000000-0005-0000-0000-0000D6B90000}"/>
    <cellStyle name="Normal 5 92" xfId="47561" xr:uid="{00000000-0005-0000-0000-0000D7B90000}"/>
    <cellStyle name="Normal 5 93" xfId="47562" xr:uid="{00000000-0005-0000-0000-0000D8B90000}"/>
    <cellStyle name="Normal 5 94" xfId="47563" xr:uid="{00000000-0005-0000-0000-0000D9B90000}"/>
    <cellStyle name="Normal 5 95" xfId="47564" xr:uid="{00000000-0005-0000-0000-0000DAB90000}"/>
    <cellStyle name="Normal 5 96" xfId="47565" xr:uid="{00000000-0005-0000-0000-0000DBB90000}"/>
    <cellStyle name="Normal 5 97" xfId="47566" xr:uid="{00000000-0005-0000-0000-0000DCB90000}"/>
    <cellStyle name="Normal 5 98" xfId="47567" xr:uid="{00000000-0005-0000-0000-0000DDB90000}"/>
    <cellStyle name="Normal 5 99" xfId="47568" xr:uid="{00000000-0005-0000-0000-0000DEB90000}"/>
    <cellStyle name="Normal 5_Book2" xfId="47569" xr:uid="{00000000-0005-0000-0000-0000DFB90000}"/>
    <cellStyle name="Normal 50" xfId="47570" xr:uid="{00000000-0005-0000-0000-0000E0B90000}"/>
    <cellStyle name="Normal 50 2" xfId="47571" xr:uid="{00000000-0005-0000-0000-0000E1B90000}"/>
    <cellStyle name="Normal 50 3" xfId="47572" xr:uid="{00000000-0005-0000-0000-0000E2B90000}"/>
    <cellStyle name="Normal 50 4" xfId="47573" xr:uid="{00000000-0005-0000-0000-0000E3B90000}"/>
    <cellStyle name="Normal 51" xfId="47574" xr:uid="{00000000-0005-0000-0000-0000E4B90000}"/>
    <cellStyle name="Normal 51 2" xfId="47575" xr:uid="{00000000-0005-0000-0000-0000E5B90000}"/>
    <cellStyle name="Normal 51 2 2" xfId="47576" xr:uid="{00000000-0005-0000-0000-0000E6B90000}"/>
    <cellStyle name="Normal 51 3" xfId="47577" xr:uid="{00000000-0005-0000-0000-0000E7B90000}"/>
    <cellStyle name="Normal 52" xfId="47578" xr:uid="{00000000-0005-0000-0000-0000E8B90000}"/>
    <cellStyle name="Normal 52 2" xfId="47579" xr:uid="{00000000-0005-0000-0000-0000E9B90000}"/>
    <cellStyle name="Normal 52 3" xfId="47580" xr:uid="{00000000-0005-0000-0000-0000EAB90000}"/>
    <cellStyle name="Normal 53" xfId="47581" xr:uid="{00000000-0005-0000-0000-0000EBB90000}"/>
    <cellStyle name="Normal 53 2" xfId="47582" xr:uid="{00000000-0005-0000-0000-0000ECB90000}"/>
    <cellStyle name="Normal 53 3" xfId="47583" xr:uid="{00000000-0005-0000-0000-0000EDB90000}"/>
    <cellStyle name="Normal 54" xfId="47584" xr:uid="{00000000-0005-0000-0000-0000EEB90000}"/>
    <cellStyle name="Normal 54 2" xfId="47585" xr:uid="{00000000-0005-0000-0000-0000EFB90000}"/>
    <cellStyle name="Normal 54 3" xfId="47586" xr:uid="{00000000-0005-0000-0000-0000F0B90000}"/>
    <cellStyle name="Normal 55" xfId="47587" xr:uid="{00000000-0005-0000-0000-0000F1B90000}"/>
    <cellStyle name="Normal 55 2" xfId="47588" xr:uid="{00000000-0005-0000-0000-0000F2B90000}"/>
    <cellStyle name="Normal 55 3" xfId="47589" xr:uid="{00000000-0005-0000-0000-0000F3B90000}"/>
    <cellStyle name="Normal 56" xfId="47590" xr:uid="{00000000-0005-0000-0000-0000F4B90000}"/>
    <cellStyle name="Normal 56 2" xfId="47591" xr:uid="{00000000-0005-0000-0000-0000F5B90000}"/>
    <cellStyle name="Normal 56 3" xfId="47592" xr:uid="{00000000-0005-0000-0000-0000F6B90000}"/>
    <cellStyle name="Normal 57" xfId="47593" xr:uid="{00000000-0005-0000-0000-0000F7B90000}"/>
    <cellStyle name="Normal 57 2" xfId="47594" xr:uid="{00000000-0005-0000-0000-0000F8B90000}"/>
    <cellStyle name="Normal 57 3" xfId="47595" xr:uid="{00000000-0005-0000-0000-0000F9B90000}"/>
    <cellStyle name="Normal 58" xfId="47596" xr:uid="{00000000-0005-0000-0000-0000FAB90000}"/>
    <cellStyle name="Normal 58 2" xfId="47597" xr:uid="{00000000-0005-0000-0000-0000FBB90000}"/>
    <cellStyle name="Normal 58 3" xfId="47598" xr:uid="{00000000-0005-0000-0000-0000FCB90000}"/>
    <cellStyle name="Normal 59" xfId="47599" xr:uid="{00000000-0005-0000-0000-0000FDB90000}"/>
    <cellStyle name="Normal 59 2" xfId="47600" xr:uid="{00000000-0005-0000-0000-0000FEB90000}"/>
    <cellStyle name="Normal 59 3" xfId="47601" xr:uid="{00000000-0005-0000-0000-0000FFB90000}"/>
    <cellStyle name="Normal 6" xfId="47602" xr:uid="{00000000-0005-0000-0000-000000BA0000}"/>
    <cellStyle name="Normal 6 10" xfId="47603" xr:uid="{00000000-0005-0000-0000-000001BA0000}"/>
    <cellStyle name="Normal 6 10 2" xfId="47604" xr:uid="{00000000-0005-0000-0000-000002BA0000}"/>
    <cellStyle name="Normal 6 10 3" xfId="47605" xr:uid="{00000000-0005-0000-0000-000003BA0000}"/>
    <cellStyle name="Normal 6 11" xfId="47606" xr:uid="{00000000-0005-0000-0000-000004BA0000}"/>
    <cellStyle name="Normal 6 12" xfId="47607" xr:uid="{00000000-0005-0000-0000-000005BA0000}"/>
    <cellStyle name="Normal 6 13" xfId="47608" xr:uid="{00000000-0005-0000-0000-000006BA0000}"/>
    <cellStyle name="Normal 6 14" xfId="47609" xr:uid="{00000000-0005-0000-0000-000007BA0000}"/>
    <cellStyle name="Normal 6 15" xfId="47610" xr:uid="{00000000-0005-0000-0000-000008BA0000}"/>
    <cellStyle name="Normal 6 16" xfId="47611" xr:uid="{00000000-0005-0000-0000-000009BA0000}"/>
    <cellStyle name="Normal 6 17" xfId="47612" xr:uid="{00000000-0005-0000-0000-00000ABA0000}"/>
    <cellStyle name="Normal 6 18" xfId="47613" xr:uid="{00000000-0005-0000-0000-00000BBA0000}"/>
    <cellStyle name="Normal 6 2" xfId="47614" xr:uid="{00000000-0005-0000-0000-00000CBA0000}"/>
    <cellStyle name="Normal 6 2 2" xfId="47615" xr:uid="{00000000-0005-0000-0000-00000DBA0000}"/>
    <cellStyle name="Normal 6 2 2 10" xfId="47616" xr:uid="{00000000-0005-0000-0000-00000EBA0000}"/>
    <cellStyle name="Normal 6 2 2 11" xfId="47617" xr:uid="{00000000-0005-0000-0000-00000FBA0000}"/>
    <cellStyle name="Normal 6 2 2 12" xfId="47618" xr:uid="{00000000-0005-0000-0000-000010BA0000}"/>
    <cellStyle name="Normal 6 2 2 13" xfId="47619" xr:uid="{00000000-0005-0000-0000-000011BA0000}"/>
    <cellStyle name="Normal 6 2 2 14" xfId="47620" xr:uid="{00000000-0005-0000-0000-000012BA0000}"/>
    <cellStyle name="Normal 6 2 2 15" xfId="47621" xr:uid="{00000000-0005-0000-0000-000013BA0000}"/>
    <cellStyle name="Normal 6 2 2 16" xfId="47622" xr:uid="{00000000-0005-0000-0000-000014BA0000}"/>
    <cellStyle name="Normal 6 2 2 17" xfId="47623" xr:uid="{00000000-0005-0000-0000-000015BA0000}"/>
    <cellStyle name="Normal 6 2 2 18" xfId="47624" xr:uid="{00000000-0005-0000-0000-000016BA0000}"/>
    <cellStyle name="Normal 6 2 2 19" xfId="47625" xr:uid="{00000000-0005-0000-0000-000017BA0000}"/>
    <cellStyle name="Normal 6 2 2 2" xfId="47626" xr:uid="{00000000-0005-0000-0000-000018BA0000}"/>
    <cellStyle name="Normal 6 2 2 2 2" xfId="47627" xr:uid="{00000000-0005-0000-0000-000019BA0000}"/>
    <cellStyle name="Normal 6 2 2 20" xfId="47628" xr:uid="{00000000-0005-0000-0000-00001ABA0000}"/>
    <cellStyle name="Normal 6 2 2 21" xfId="47629" xr:uid="{00000000-0005-0000-0000-00001BBA0000}"/>
    <cellStyle name="Normal 6 2 2 22" xfId="47630" xr:uid="{00000000-0005-0000-0000-00001CBA0000}"/>
    <cellStyle name="Normal 6 2 2 23" xfId="47631" xr:uid="{00000000-0005-0000-0000-00001DBA0000}"/>
    <cellStyle name="Normal 6 2 2 24" xfId="47632" xr:uid="{00000000-0005-0000-0000-00001EBA0000}"/>
    <cellStyle name="Normal 6 2 2 25" xfId="47633" xr:uid="{00000000-0005-0000-0000-00001FBA0000}"/>
    <cellStyle name="Normal 6 2 2 26" xfId="47634" xr:uid="{00000000-0005-0000-0000-000020BA0000}"/>
    <cellStyle name="Normal 6 2 2 27" xfId="47635" xr:uid="{00000000-0005-0000-0000-000021BA0000}"/>
    <cellStyle name="Normal 6 2 2 28" xfId="47636" xr:uid="{00000000-0005-0000-0000-000022BA0000}"/>
    <cellStyle name="Normal 6 2 2 29" xfId="47637" xr:uid="{00000000-0005-0000-0000-000023BA0000}"/>
    <cellStyle name="Normal 6 2 2 3" xfId="47638" xr:uid="{00000000-0005-0000-0000-000024BA0000}"/>
    <cellStyle name="Normal 6 2 2 30" xfId="47639" xr:uid="{00000000-0005-0000-0000-000025BA0000}"/>
    <cellStyle name="Normal 6 2 2 31" xfId="47640" xr:uid="{00000000-0005-0000-0000-000026BA0000}"/>
    <cellStyle name="Normal 6 2 2 4" xfId="47641" xr:uid="{00000000-0005-0000-0000-000027BA0000}"/>
    <cellStyle name="Normal 6 2 2 5" xfId="47642" xr:uid="{00000000-0005-0000-0000-000028BA0000}"/>
    <cellStyle name="Normal 6 2 2 6" xfId="47643" xr:uid="{00000000-0005-0000-0000-000029BA0000}"/>
    <cellStyle name="Normal 6 2 2 7" xfId="47644" xr:uid="{00000000-0005-0000-0000-00002ABA0000}"/>
    <cellStyle name="Normal 6 2 2 8" xfId="47645" xr:uid="{00000000-0005-0000-0000-00002BBA0000}"/>
    <cellStyle name="Normal 6 2 2 9" xfId="47646" xr:uid="{00000000-0005-0000-0000-00002CBA0000}"/>
    <cellStyle name="Normal 6 2 2_Book2" xfId="47647" xr:uid="{00000000-0005-0000-0000-00002DBA0000}"/>
    <cellStyle name="Normal 6 2 3" xfId="47648" xr:uid="{00000000-0005-0000-0000-00002EBA0000}"/>
    <cellStyle name="Normal 6 2 3 10" xfId="47649" xr:uid="{00000000-0005-0000-0000-00002FBA0000}"/>
    <cellStyle name="Normal 6 2 3 11" xfId="47650" xr:uid="{00000000-0005-0000-0000-000030BA0000}"/>
    <cellStyle name="Normal 6 2 3 12" xfId="47651" xr:uid="{00000000-0005-0000-0000-000031BA0000}"/>
    <cellStyle name="Normal 6 2 3 13" xfId="47652" xr:uid="{00000000-0005-0000-0000-000032BA0000}"/>
    <cellStyle name="Normal 6 2 3 14" xfId="47653" xr:uid="{00000000-0005-0000-0000-000033BA0000}"/>
    <cellStyle name="Normal 6 2 3 15" xfId="47654" xr:uid="{00000000-0005-0000-0000-000034BA0000}"/>
    <cellStyle name="Normal 6 2 3 16" xfId="47655" xr:uid="{00000000-0005-0000-0000-000035BA0000}"/>
    <cellStyle name="Normal 6 2 3 17" xfId="47656" xr:uid="{00000000-0005-0000-0000-000036BA0000}"/>
    <cellStyle name="Normal 6 2 3 18" xfId="47657" xr:uid="{00000000-0005-0000-0000-000037BA0000}"/>
    <cellStyle name="Normal 6 2 3 19" xfId="47658" xr:uid="{00000000-0005-0000-0000-000038BA0000}"/>
    <cellStyle name="Normal 6 2 3 2" xfId="47659" xr:uid="{00000000-0005-0000-0000-000039BA0000}"/>
    <cellStyle name="Normal 6 2 3 20" xfId="47660" xr:uid="{00000000-0005-0000-0000-00003ABA0000}"/>
    <cellStyle name="Normal 6 2 3 21" xfId="47661" xr:uid="{00000000-0005-0000-0000-00003BBA0000}"/>
    <cellStyle name="Normal 6 2 3 22" xfId="47662" xr:uid="{00000000-0005-0000-0000-00003CBA0000}"/>
    <cellStyle name="Normal 6 2 3 23" xfId="47663" xr:uid="{00000000-0005-0000-0000-00003DBA0000}"/>
    <cellStyle name="Normal 6 2 3 24" xfId="47664" xr:uid="{00000000-0005-0000-0000-00003EBA0000}"/>
    <cellStyle name="Normal 6 2 3 25" xfId="47665" xr:uid="{00000000-0005-0000-0000-00003FBA0000}"/>
    <cellStyle name="Normal 6 2 3 26" xfId="47666" xr:uid="{00000000-0005-0000-0000-000040BA0000}"/>
    <cellStyle name="Normal 6 2 3 27" xfId="47667" xr:uid="{00000000-0005-0000-0000-000041BA0000}"/>
    <cellStyle name="Normal 6 2 3 28" xfId="47668" xr:uid="{00000000-0005-0000-0000-000042BA0000}"/>
    <cellStyle name="Normal 6 2 3 29" xfId="47669" xr:uid="{00000000-0005-0000-0000-000043BA0000}"/>
    <cellStyle name="Normal 6 2 3 3" xfId="47670" xr:uid="{00000000-0005-0000-0000-000044BA0000}"/>
    <cellStyle name="Normal 6 2 3 30" xfId="47671" xr:uid="{00000000-0005-0000-0000-000045BA0000}"/>
    <cellStyle name="Normal 6 2 3 31" xfId="47672" xr:uid="{00000000-0005-0000-0000-000046BA0000}"/>
    <cellStyle name="Normal 6 2 3 4" xfId="47673" xr:uid="{00000000-0005-0000-0000-000047BA0000}"/>
    <cellStyle name="Normal 6 2 3 5" xfId="47674" xr:uid="{00000000-0005-0000-0000-000048BA0000}"/>
    <cellStyle name="Normal 6 2 3 6" xfId="47675" xr:uid="{00000000-0005-0000-0000-000049BA0000}"/>
    <cellStyle name="Normal 6 2 3 7" xfId="47676" xr:uid="{00000000-0005-0000-0000-00004ABA0000}"/>
    <cellStyle name="Normal 6 2 3 8" xfId="47677" xr:uid="{00000000-0005-0000-0000-00004BBA0000}"/>
    <cellStyle name="Normal 6 2 3 9" xfId="47678" xr:uid="{00000000-0005-0000-0000-00004CBA0000}"/>
    <cellStyle name="Normal 6 2 3_Book2" xfId="47679" xr:uid="{00000000-0005-0000-0000-00004DBA0000}"/>
    <cellStyle name="Normal 6 2 4" xfId="47680" xr:uid="{00000000-0005-0000-0000-00004EBA0000}"/>
    <cellStyle name="Normal 6 2 5" xfId="47681" xr:uid="{00000000-0005-0000-0000-00004FBA0000}"/>
    <cellStyle name="Normal 6 2 6" xfId="47682" xr:uid="{00000000-0005-0000-0000-000050BA0000}"/>
    <cellStyle name="Normal 6 2 7" xfId="47683" xr:uid="{00000000-0005-0000-0000-000051BA0000}"/>
    <cellStyle name="Normal 6 2 8" xfId="47684" xr:uid="{00000000-0005-0000-0000-000052BA0000}"/>
    <cellStyle name="Normal 6 2 9" xfId="47685" xr:uid="{00000000-0005-0000-0000-000053BA0000}"/>
    <cellStyle name="Normal 6 2_Book2" xfId="47686" xr:uid="{00000000-0005-0000-0000-000054BA0000}"/>
    <cellStyle name="Normal 6 3" xfId="47687" xr:uid="{00000000-0005-0000-0000-000055BA0000}"/>
    <cellStyle name="Normal 6 3 10" xfId="47688" xr:uid="{00000000-0005-0000-0000-000056BA0000}"/>
    <cellStyle name="Normal 6 3 11" xfId="47689" xr:uid="{00000000-0005-0000-0000-000057BA0000}"/>
    <cellStyle name="Normal 6 3 12" xfId="47690" xr:uid="{00000000-0005-0000-0000-000058BA0000}"/>
    <cellStyle name="Normal 6 3 13" xfId="47691" xr:uid="{00000000-0005-0000-0000-000059BA0000}"/>
    <cellStyle name="Normal 6 3 14" xfId="47692" xr:uid="{00000000-0005-0000-0000-00005ABA0000}"/>
    <cellStyle name="Normal 6 3 15" xfId="47693" xr:uid="{00000000-0005-0000-0000-00005BBA0000}"/>
    <cellStyle name="Normal 6 3 16" xfId="47694" xr:uid="{00000000-0005-0000-0000-00005CBA0000}"/>
    <cellStyle name="Normal 6 3 17" xfId="47695" xr:uid="{00000000-0005-0000-0000-00005DBA0000}"/>
    <cellStyle name="Normal 6 3 18" xfId="47696" xr:uid="{00000000-0005-0000-0000-00005EBA0000}"/>
    <cellStyle name="Normal 6 3 19" xfId="47697" xr:uid="{00000000-0005-0000-0000-00005FBA0000}"/>
    <cellStyle name="Normal 6 3 2" xfId="47698" xr:uid="{00000000-0005-0000-0000-000060BA0000}"/>
    <cellStyle name="Normal 6 3 2 2" xfId="47699" xr:uid="{00000000-0005-0000-0000-000061BA0000}"/>
    <cellStyle name="Normal 6 3 2 2 2" xfId="47700" xr:uid="{00000000-0005-0000-0000-000062BA0000}"/>
    <cellStyle name="Normal 6 3 2 2 2 2" xfId="47701" xr:uid="{00000000-0005-0000-0000-000063BA0000}"/>
    <cellStyle name="Normal 6 3 2 2 2 2 2" xfId="47702" xr:uid="{00000000-0005-0000-0000-000064BA0000}"/>
    <cellStyle name="Normal 6 3 2 2 2 3" xfId="47703" xr:uid="{00000000-0005-0000-0000-000065BA0000}"/>
    <cellStyle name="Normal 6 3 2 2 3" xfId="47704" xr:uid="{00000000-0005-0000-0000-000066BA0000}"/>
    <cellStyle name="Normal 6 3 2 2 3 2" xfId="47705" xr:uid="{00000000-0005-0000-0000-000067BA0000}"/>
    <cellStyle name="Normal 6 3 2 2 4" xfId="47706" xr:uid="{00000000-0005-0000-0000-000068BA0000}"/>
    <cellStyle name="Normal 6 3 2 3" xfId="47707" xr:uid="{00000000-0005-0000-0000-000069BA0000}"/>
    <cellStyle name="Normal 6 3 2 3 2" xfId="47708" xr:uid="{00000000-0005-0000-0000-00006ABA0000}"/>
    <cellStyle name="Normal 6 3 2 3 2 2" xfId="47709" xr:uid="{00000000-0005-0000-0000-00006BBA0000}"/>
    <cellStyle name="Normal 6 3 2 3 2 2 2" xfId="47710" xr:uid="{00000000-0005-0000-0000-00006CBA0000}"/>
    <cellStyle name="Normal 6 3 2 3 2 3" xfId="47711" xr:uid="{00000000-0005-0000-0000-00006DBA0000}"/>
    <cellStyle name="Normal 6 3 2 3 3" xfId="47712" xr:uid="{00000000-0005-0000-0000-00006EBA0000}"/>
    <cellStyle name="Normal 6 3 2 3 3 2" xfId="47713" xr:uid="{00000000-0005-0000-0000-00006FBA0000}"/>
    <cellStyle name="Normal 6 3 2 3 4" xfId="47714" xr:uid="{00000000-0005-0000-0000-000070BA0000}"/>
    <cellStyle name="Normal 6 3 2 4" xfId="47715" xr:uid="{00000000-0005-0000-0000-000071BA0000}"/>
    <cellStyle name="Normal 6 3 2 4 2" xfId="47716" xr:uid="{00000000-0005-0000-0000-000072BA0000}"/>
    <cellStyle name="Normal 6 3 2 4 2 2" xfId="47717" xr:uid="{00000000-0005-0000-0000-000073BA0000}"/>
    <cellStyle name="Normal 6 3 2 4 3" xfId="47718" xr:uid="{00000000-0005-0000-0000-000074BA0000}"/>
    <cellStyle name="Normal 6 3 2 5" xfId="47719" xr:uid="{00000000-0005-0000-0000-000075BA0000}"/>
    <cellStyle name="Normal 6 3 2 5 2" xfId="47720" xr:uid="{00000000-0005-0000-0000-000076BA0000}"/>
    <cellStyle name="Normal 6 3 2 6" xfId="47721" xr:uid="{00000000-0005-0000-0000-000077BA0000}"/>
    <cellStyle name="Normal 6 3 2 7" xfId="47722" xr:uid="{00000000-0005-0000-0000-000078BA0000}"/>
    <cellStyle name="Normal 6 3 20" xfId="47723" xr:uid="{00000000-0005-0000-0000-000079BA0000}"/>
    <cellStyle name="Normal 6 3 21" xfId="47724" xr:uid="{00000000-0005-0000-0000-00007ABA0000}"/>
    <cellStyle name="Normal 6 3 22" xfId="47725" xr:uid="{00000000-0005-0000-0000-00007BBA0000}"/>
    <cellStyle name="Normal 6 3 23" xfId="47726" xr:uid="{00000000-0005-0000-0000-00007CBA0000}"/>
    <cellStyle name="Normal 6 3 24" xfId="47727" xr:uid="{00000000-0005-0000-0000-00007DBA0000}"/>
    <cellStyle name="Normal 6 3 25" xfId="47728" xr:uid="{00000000-0005-0000-0000-00007EBA0000}"/>
    <cellStyle name="Normal 6 3 26" xfId="47729" xr:uid="{00000000-0005-0000-0000-00007FBA0000}"/>
    <cellStyle name="Normal 6 3 27" xfId="47730" xr:uid="{00000000-0005-0000-0000-000080BA0000}"/>
    <cellStyle name="Normal 6 3 28" xfId="47731" xr:uid="{00000000-0005-0000-0000-000081BA0000}"/>
    <cellStyle name="Normal 6 3 29" xfId="47732" xr:uid="{00000000-0005-0000-0000-000082BA0000}"/>
    <cellStyle name="Normal 6 3 3" xfId="47733" xr:uid="{00000000-0005-0000-0000-000083BA0000}"/>
    <cellStyle name="Normal 6 3 3 2" xfId="47734" xr:uid="{00000000-0005-0000-0000-000084BA0000}"/>
    <cellStyle name="Normal 6 3 3 2 2" xfId="47735" xr:uid="{00000000-0005-0000-0000-000085BA0000}"/>
    <cellStyle name="Normal 6 3 3 2 2 2" xfId="47736" xr:uid="{00000000-0005-0000-0000-000086BA0000}"/>
    <cellStyle name="Normal 6 3 3 2 2 2 2" xfId="47737" xr:uid="{00000000-0005-0000-0000-000087BA0000}"/>
    <cellStyle name="Normal 6 3 3 2 2 3" xfId="47738" xr:uid="{00000000-0005-0000-0000-000088BA0000}"/>
    <cellStyle name="Normal 6 3 3 2 3" xfId="47739" xr:uid="{00000000-0005-0000-0000-000089BA0000}"/>
    <cellStyle name="Normal 6 3 3 2 3 2" xfId="47740" xr:uid="{00000000-0005-0000-0000-00008ABA0000}"/>
    <cellStyle name="Normal 6 3 3 2 4" xfId="47741" xr:uid="{00000000-0005-0000-0000-00008BBA0000}"/>
    <cellStyle name="Normal 6 3 3 3" xfId="47742" xr:uid="{00000000-0005-0000-0000-00008CBA0000}"/>
    <cellStyle name="Normal 6 3 3 3 2" xfId="47743" xr:uid="{00000000-0005-0000-0000-00008DBA0000}"/>
    <cellStyle name="Normal 6 3 3 3 2 2" xfId="47744" xr:uid="{00000000-0005-0000-0000-00008EBA0000}"/>
    <cellStyle name="Normal 6 3 3 3 3" xfId="47745" xr:uid="{00000000-0005-0000-0000-00008FBA0000}"/>
    <cellStyle name="Normal 6 3 3 4" xfId="47746" xr:uid="{00000000-0005-0000-0000-000090BA0000}"/>
    <cellStyle name="Normal 6 3 3 4 2" xfId="47747" xr:uid="{00000000-0005-0000-0000-000091BA0000}"/>
    <cellStyle name="Normal 6 3 3 5" xfId="47748" xr:uid="{00000000-0005-0000-0000-000092BA0000}"/>
    <cellStyle name="Normal 6 3 3 6" xfId="47749" xr:uid="{00000000-0005-0000-0000-000093BA0000}"/>
    <cellStyle name="Normal 6 3 30" xfId="47750" xr:uid="{00000000-0005-0000-0000-000094BA0000}"/>
    <cellStyle name="Normal 6 3 31" xfId="47751" xr:uid="{00000000-0005-0000-0000-000095BA0000}"/>
    <cellStyle name="Normal 6 3 32" xfId="47752" xr:uid="{00000000-0005-0000-0000-000096BA0000}"/>
    <cellStyle name="Normal 6 3 33" xfId="47753" xr:uid="{00000000-0005-0000-0000-000097BA0000}"/>
    <cellStyle name="Normal 6 3 34" xfId="47754" xr:uid="{00000000-0005-0000-0000-000098BA0000}"/>
    <cellStyle name="Normal 6 3 35" xfId="47755" xr:uid="{00000000-0005-0000-0000-000099BA0000}"/>
    <cellStyle name="Normal 6 3 36" xfId="47756" xr:uid="{00000000-0005-0000-0000-00009ABA0000}"/>
    <cellStyle name="Normal 6 3 37" xfId="47757" xr:uid="{00000000-0005-0000-0000-00009BBA0000}"/>
    <cellStyle name="Normal 6 3 38" xfId="47758" xr:uid="{00000000-0005-0000-0000-00009CBA0000}"/>
    <cellStyle name="Normal 6 3 39" xfId="47759" xr:uid="{00000000-0005-0000-0000-00009DBA0000}"/>
    <cellStyle name="Normal 6 3 4" xfId="47760" xr:uid="{00000000-0005-0000-0000-00009EBA0000}"/>
    <cellStyle name="Normal 6 3 4 2" xfId="47761" xr:uid="{00000000-0005-0000-0000-00009FBA0000}"/>
    <cellStyle name="Normal 6 3 4 2 2" xfId="47762" xr:uid="{00000000-0005-0000-0000-0000A0BA0000}"/>
    <cellStyle name="Normal 6 3 4 2 2 2" xfId="47763" xr:uid="{00000000-0005-0000-0000-0000A1BA0000}"/>
    <cellStyle name="Normal 6 3 4 2 3" xfId="47764" xr:uid="{00000000-0005-0000-0000-0000A2BA0000}"/>
    <cellStyle name="Normal 6 3 4 3" xfId="47765" xr:uid="{00000000-0005-0000-0000-0000A3BA0000}"/>
    <cellStyle name="Normal 6 3 4 3 2" xfId="47766" xr:uid="{00000000-0005-0000-0000-0000A4BA0000}"/>
    <cellStyle name="Normal 6 3 4 4" xfId="47767" xr:uid="{00000000-0005-0000-0000-0000A5BA0000}"/>
    <cellStyle name="Normal 6 3 4 5" xfId="47768" xr:uid="{00000000-0005-0000-0000-0000A6BA0000}"/>
    <cellStyle name="Normal 6 3 40" xfId="47769" xr:uid="{00000000-0005-0000-0000-0000A7BA0000}"/>
    <cellStyle name="Normal 6 3 41" xfId="47770" xr:uid="{00000000-0005-0000-0000-0000A8BA0000}"/>
    <cellStyle name="Normal 6 3 5" xfId="47771" xr:uid="{00000000-0005-0000-0000-0000A9BA0000}"/>
    <cellStyle name="Normal 6 3 5 2" xfId="47772" xr:uid="{00000000-0005-0000-0000-0000AABA0000}"/>
    <cellStyle name="Normal 6 3 5 2 2" xfId="47773" xr:uid="{00000000-0005-0000-0000-0000ABBA0000}"/>
    <cellStyle name="Normal 6 3 5 3" xfId="47774" xr:uid="{00000000-0005-0000-0000-0000ACBA0000}"/>
    <cellStyle name="Normal 6 3 5 4" xfId="47775" xr:uid="{00000000-0005-0000-0000-0000ADBA0000}"/>
    <cellStyle name="Normal 6 3 6" xfId="47776" xr:uid="{00000000-0005-0000-0000-0000AEBA0000}"/>
    <cellStyle name="Normal 6 3 6 2" xfId="47777" xr:uid="{00000000-0005-0000-0000-0000AFBA0000}"/>
    <cellStyle name="Normal 6 3 6 3" xfId="47778" xr:uid="{00000000-0005-0000-0000-0000B0BA0000}"/>
    <cellStyle name="Normal 6 3 7" xfId="47779" xr:uid="{00000000-0005-0000-0000-0000B1BA0000}"/>
    <cellStyle name="Normal 6 3 7 2" xfId="47780" xr:uid="{00000000-0005-0000-0000-0000B2BA0000}"/>
    <cellStyle name="Normal 6 3 7 3" xfId="47781" xr:uid="{00000000-0005-0000-0000-0000B3BA0000}"/>
    <cellStyle name="Normal 6 3 8" xfId="47782" xr:uid="{00000000-0005-0000-0000-0000B4BA0000}"/>
    <cellStyle name="Normal 6 3 9" xfId="47783" xr:uid="{00000000-0005-0000-0000-0000B5BA0000}"/>
    <cellStyle name="Normal 6 3_Book2" xfId="47784" xr:uid="{00000000-0005-0000-0000-0000B6BA0000}"/>
    <cellStyle name="Normal 6 4" xfId="47785" xr:uid="{00000000-0005-0000-0000-0000B7BA0000}"/>
    <cellStyle name="Normal 6 4 10" xfId="47786" xr:uid="{00000000-0005-0000-0000-0000B8BA0000}"/>
    <cellStyle name="Normal 6 4 11" xfId="47787" xr:uid="{00000000-0005-0000-0000-0000B9BA0000}"/>
    <cellStyle name="Normal 6 4 12" xfId="47788" xr:uid="{00000000-0005-0000-0000-0000BABA0000}"/>
    <cellStyle name="Normal 6 4 13" xfId="47789" xr:uid="{00000000-0005-0000-0000-0000BBBA0000}"/>
    <cellStyle name="Normal 6 4 14" xfId="47790" xr:uid="{00000000-0005-0000-0000-0000BCBA0000}"/>
    <cellStyle name="Normal 6 4 15" xfId="47791" xr:uid="{00000000-0005-0000-0000-0000BDBA0000}"/>
    <cellStyle name="Normal 6 4 16" xfId="47792" xr:uid="{00000000-0005-0000-0000-0000BEBA0000}"/>
    <cellStyle name="Normal 6 4 17" xfId="47793" xr:uid="{00000000-0005-0000-0000-0000BFBA0000}"/>
    <cellStyle name="Normal 6 4 18" xfId="47794" xr:uid="{00000000-0005-0000-0000-0000C0BA0000}"/>
    <cellStyle name="Normal 6 4 19" xfId="47795" xr:uid="{00000000-0005-0000-0000-0000C1BA0000}"/>
    <cellStyle name="Normal 6 4 2" xfId="47796" xr:uid="{00000000-0005-0000-0000-0000C2BA0000}"/>
    <cellStyle name="Normal 6 4 2 2" xfId="47797" xr:uid="{00000000-0005-0000-0000-0000C3BA0000}"/>
    <cellStyle name="Normal 6 4 2 2 2" xfId="47798" xr:uid="{00000000-0005-0000-0000-0000C4BA0000}"/>
    <cellStyle name="Normal 6 4 2 2 2 2" xfId="47799" xr:uid="{00000000-0005-0000-0000-0000C5BA0000}"/>
    <cellStyle name="Normal 6 4 2 2 2 2 2" xfId="47800" xr:uid="{00000000-0005-0000-0000-0000C6BA0000}"/>
    <cellStyle name="Normal 6 4 2 2 2 3" xfId="47801" xr:uid="{00000000-0005-0000-0000-0000C7BA0000}"/>
    <cellStyle name="Normal 6 4 2 2 3" xfId="47802" xr:uid="{00000000-0005-0000-0000-0000C8BA0000}"/>
    <cellStyle name="Normal 6 4 2 2 3 2" xfId="47803" xr:uid="{00000000-0005-0000-0000-0000C9BA0000}"/>
    <cellStyle name="Normal 6 4 2 2 4" xfId="47804" xr:uid="{00000000-0005-0000-0000-0000CABA0000}"/>
    <cellStyle name="Normal 6 4 2 3" xfId="47805" xr:uid="{00000000-0005-0000-0000-0000CBBA0000}"/>
    <cellStyle name="Normal 6 4 2 3 2" xfId="47806" xr:uid="{00000000-0005-0000-0000-0000CCBA0000}"/>
    <cellStyle name="Normal 6 4 2 3 2 2" xfId="47807" xr:uid="{00000000-0005-0000-0000-0000CDBA0000}"/>
    <cellStyle name="Normal 6 4 2 3 3" xfId="47808" xr:uid="{00000000-0005-0000-0000-0000CEBA0000}"/>
    <cellStyle name="Normal 6 4 2 4" xfId="47809" xr:uid="{00000000-0005-0000-0000-0000CFBA0000}"/>
    <cellStyle name="Normal 6 4 2 4 2" xfId="47810" xr:uid="{00000000-0005-0000-0000-0000D0BA0000}"/>
    <cellStyle name="Normal 6 4 2 5" xfId="47811" xr:uid="{00000000-0005-0000-0000-0000D1BA0000}"/>
    <cellStyle name="Normal 6 4 2 6" xfId="47812" xr:uid="{00000000-0005-0000-0000-0000D2BA0000}"/>
    <cellStyle name="Normal 6 4 20" xfId="47813" xr:uid="{00000000-0005-0000-0000-0000D3BA0000}"/>
    <cellStyle name="Normal 6 4 21" xfId="47814" xr:uid="{00000000-0005-0000-0000-0000D4BA0000}"/>
    <cellStyle name="Normal 6 4 22" xfId="47815" xr:uid="{00000000-0005-0000-0000-0000D5BA0000}"/>
    <cellStyle name="Normal 6 4 23" xfId="47816" xr:uid="{00000000-0005-0000-0000-0000D6BA0000}"/>
    <cellStyle name="Normal 6 4 24" xfId="47817" xr:uid="{00000000-0005-0000-0000-0000D7BA0000}"/>
    <cellStyle name="Normal 6 4 25" xfId="47818" xr:uid="{00000000-0005-0000-0000-0000D8BA0000}"/>
    <cellStyle name="Normal 6 4 26" xfId="47819" xr:uid="{00000000-0005-0000-0000-0000D9BA0000}"/>
    <cellStyle name="Normal 6 4 27" xfId="47820" xr:uid="{00000000-0005-0000-0000-0000DABA0000}"/>
    <cellStyle name="Normal 6 4 28" xfId="47821" xr:uid="{00000000-0005-0000-0000-0000DBBA0000}"/>
    <cellStyle name="Normal 6 4 29" xfId="47822" xr:uid="{00000000-0005-0000-0000-0000DCBA0000}"/>
    <cellStyle name="Normal 6 4 3" xfId="47823" xr:uid="{00000000-0005-0000-0000-0000DDBA0000}"/>
    <cellStyle name="Normal 6 4 3 2" xfId="47824" xr:uid="{00000000-0005-0000-0000-0000DEBA0000}"/>
    <cellStyle name="Normal 6 4 3 2 2" xfId="47825" xr:uid="{00000000-0005-0000-0000-0000DFBA0000}"/>
    <cellStyle name="Normal 6 4 3 2 2 2" xfId="47826" xr:uid="{00000000-0005-0000-0000-0000E0BA0000}"/>
    <cellStyle name="Normal 6 4 3 2 3" xfId="47827" xr:uid="{00000000-0005-0000-0000-0000E1BA0000}"/>
    <cellStyle name="Normal 6 4 3 3" xfId="47828" xr:uid="{00000000-0005-0000-0000-0000E2BA0000}"/>
    <cellStyle name="Normal 6 4 3 3 2" xfId="47829" xr:uid="{00000000-0005-0000-0000-0000E3BA0000}"/>
    <cellStyle name="Normal 6 4 3 4" xfId="47830" xr:uid="{00000000-0005-0000-0000-0000E4BA0000}"/>
    <cellStyle name="Normal 6 4 3 5" xfId="47831" xr:uid="{00000000-0005-0000-0000-0000E5BA0000}"/>
    <cellStyle name="Normal 6 4 30" xfId="47832" xr:uid="{00000000-0005-0000-0000-0000E6BA0000}"/>
    <cellStyle name="Normal 6 4 31" xfId="47833" xr:uid="{00000000-0005-0000-0000-0000E7BA0000}"/>
    <cellStyle name="Normal 6 4 32" xfId="47834" xr:uid="{00000000-0005-0000-0000-0000E8BA0000}"/>
    <cellStyle name="Normal 6 4 33" xfId="47835" xr:uid="{00000000-0005-0000-0000-0000E9BA0000}"/>
    <cellStyle name="Normal 6 4 34" xfId="47836" xr:uid="{00000000-0005-0000-0000-0000EABA0000}"/>
    <cellStyle name="Normal 6 4 35" xfId="47837" xr:uid="{00000000-0005-0000-0000-0000EBBA0000}"/>
    <cellStyle name="Normal 6 4 36" xfId="47838" xr:uid="{00000000-0005-0000-0000-0000ECBA0000}"/>
    <cellStyle name="Normal 6 4 37" xfId="47839" xr:uid="{00000000-0005-0000-0000-0000EDBA0000}"/>
    <cellStyle name="Normal 6 4 38" xfId="47840" xr:uid="{00000000-0005-0000-0000-0000EEBA0000}"/>
    <cellStyle name="Normal 6 4 39" xfId="47841" xr:uid="{00000000-0005-0000-0000-0000EFBA0000}"/>
    <cellStyle name="Normal 6 4 4" xfId="47842" xr:uid="{00000000-0005-0000-0000-0000F0BA0000}"/>
    <cellStyle name="Normal 6 4 4 2" xfId="47843" xr:uid="{00000000-0005-0000-0000-0000F1BA0000}"/>
    <cellStyle name="Normal 6 4 4 2 2" xfId="47844" xr:uid="{00000000-0005-0000-0000-0000F2BA0000}"/>
    <cellStyle name="Normal 6 4 4 2 2 2" xfId="47845" xr:uid="{00000000-0005-0000-0000-0000F3BA0000}"/>
    <cellStyle name="Normal 6 4 4 2 3" xfId="47846" xr:uid="{00000000-0005-0000-0000-0000F4BA0000}"/>
    <cellStyle name="Normal 6 4 4 3" xfId="47847" xr:uid="{00000000-0005-0000-0000-0000F5BA0000}"/>
    <cellStyle name="Normal 6 4 4 3 2" xfId="47848" xr:uid="{00000000-0005-0000-0000-0000F6BA0000}"/>
    <cellStyle name="Normal 6 4 4 4" xfId="47849" xr:uid="{00000000-0005-0000-0000-0000F7BA0000}"/>
    <cellStyle name="Normal 6 4 4 5" xfId="47850" xr:uid="{00000000-0005-0000-0000-0000F8BA0000}"/>
    <cellStyle name="Normal 6 4 5" xfId="47851" xr:uid="{00000000-0005-0000-0000-0000F9BA0000}"/>
    <cellStyle name="Normal 6 4 5 2" xfId="47852" xr:uid="{00000000-0005-0000-0000-0000FABA0000}"/>
    <cellStyle name="Normal 6 4 5 2 2" xfId="47853" xr:uid="{00000000-0005-0000-0000-0000FBBA0000}"/>
    <cellStyle name="Normal 6 4 5 3" xfId="47854" xr:uid="{00000000-0005-0000-0000-0000FCBA0000}"/>
    <cellStyle name="Normal 6 4 5 4" xfId="47855" xr:uid="{00000000-0005-0000-0000-0000FDBA0000}"/>
    <cellStyle name="Normal 6 4 6" xfId="47856" xr:uid="{00000000-0005-0000-0000-0000FEBA0000}"/>
    <cellStyle name="Normal 6 4 6 2" xfId="47857" xr:uid="{00000000-0005-0000-0000-0000FFBA0000}"/>
    <cellStyle name="Normal 6 4 6 3" xfId="47858" xr:uid="{00000000-0005-0000-0000-000000BB0000}"/>
    <cellStyle name="Normal 6 4 7" xfId="47859" xr:uid="{00000000-0005-0000-0000-000001BB0000}"/>
    <cellStyle name="Normal 6 4 7 2" xfId="47860" xr:uid="{00000000-0005-0000-0000-000002BB0000}"/>
    <cellStyle name="Normal 6 4 7 3" xfId="47861" xr:uid="{00000000-0005-0000-0000-000003BB0000}"/>
    <cellStyle name="Normal 6 4 8" xfId="47862" xr:uid="{00000000-0005-0000-0000-000004BB0000}"/>
    <cellStyle name="Normal 6 4 9" xfId="47863" xr:uid="{00000000-0005-0000-0000-000005BB0000}"/>
    <cellStyle name="Normal 6 4_Book2" xfId="47864" xr:uid="{00000000-0005-0000-0000-000006BB0000}"/>
    <cellStyle name="Normal 6 5" xfId="47865" xr:uid="{00000000-0005-0000-0000-000007BB0000}"/>
    <cellStyle name="Normal 6 5 10" xfId="47866" xr:uid="{00000000-0005-0000-0000-000008BB0000}"/>
    <cellStyle name="Normal 6 5 11" xfId="47867" xr:uid="{00000000-0005-0000-0000-000009BB0000}"/>
    <cellStyle name="Normal 6 5 12" xfId="47868" xr:uid="{00000000-0005-0000-0000-00000ABB0000}"/>
    <cellStyle name="Normal 6 5 13" xfId="47869" xr:uid="{00000000-0005-0000-0000-00000BBB0000}"/>
    <cellStyle name="Normal 6 5 14" xfId="47870" xr:uid="{00000000-0005-0000-0000-00000CBB0000}"/>
    <cellStyle name="Normal 6 5 15" xfId="47871" xr:uid="{00000000-0005-0000-0000-00000DBB0000}"/>
    <cellStyle name="Normal 6 5 16" xfId="47872" xr:uid="{00000000-0005-0000-0000-00000EBB0000}"/>
    <cellStyle name="Normal 6 5 17" xfId="47873" xr:uid="{00000000-0005-0000-0000-00000FBB0000}"/>
    <cellStyle name="Normal 6 5 18" xfId="47874" xr:uid="{00000000-0005-0000-0000-000010BB0000}"/>
    <cellStyle name="Normal 6 5 19" xfId="47875" xr:uid="{00000000-0005-0000-0000-000011BB0000}"/>
    <cellStyle name="Normal 6 5 2" xfId="47876" xr:uid="{00000000-0005-0000-0000-000012BB0000}"/>
    <cellStyle name="Normal 6 5 2 2" xfId="47877" xr:uid="{00000000-0005-0000-0000-000013BB0000}"/>
    <cellStyle name="Normal 6 5 2 2 2" xfId="47878" xr:uid="{00000000-0005-0000-0000-000014BB0000}"/>
    <cellStyle name="Normal 6 5 2 2 2 2" xfId="47879" xr:uid="{00000000-0005-0000-0000-000015BB0000}"/>
    <cellStyle name="Normal 6 5 2 2 3" xfId="47880" xr:uid="{00000000-0005-0000-0000-000016BB0000}"/>
    <cellStyle name="Normal 6 5 2 3" xfId="47881" xr:uid="{00000000-0005-0000-0000-000017BB0000}"/>
    <cellStyle name="Normal 6 5 2 3 2" xfId="47882" xr:uid="{00000000-0005-0000-0000-000018BB0000}"/>
    <cellStyle name="Normal 6 5 2 4" xfId="47883" xr:uid="{00000000-0005-0000-0000-000019BB0000}"/>
    <cellStyle name="Normal 6 5 2 5" xfId="47884" xr:uid="{00000000-0005-0000-0000-00001ABB0000}"/>
    <cellStyle name="Normal 6 5 20" xfId="47885" xr:uid="{00000000-0005-0000-0000-00001BBB0000}"/>
    <cellStyle name="Normal 6 5 21" xfId="47886" xr:uid="{00000000-0005-0000-0000-00001CBB0000}"/>
    <cellStyle name="Normal 6 5 22" xfId="47887" xr:uid="{00000000-0005-0000-0000-00001DBB0000}"/>
    <cellStyle name="Normal 6 5 23" xfId="47888" xr:uid="{00000000-0005-0000-0000-00001EBB0000}"/>
    <cellStyle name="Normal 6 5 24" xfId="47889" xr:uid="{00000000-0005-0000-0000-00001FBB0000}"/>
    <cellStyle name="Normal 6 5 25" xfId="47890" xr:uid="{00000000-0005-0000-0000-000020BB0000}"/>
    <cellStyle name="Normal 6 5 26" xfId="47891" xr:uid="{00000000-0005-0000-0000-000021BB0000}"/>
    <cellStyle name="Normal 6 5 27" xfId="47892" xr:uid="{00000000-0005-0000-0000-000022BB0000}"/>
    <cellStyle name="Normal 6 5 28" xfId="47893" xr:uid="{00000000-0005-0000-0000-000023BB0000}"/>
    <cellStyle name="Normal 6 5 29" xfId="47894" xr:uid="{00000000-0005-0000-0000-000024BB0000}"/>
    <cellStyle name="Normal 6 5 3" xfId="47895" xr:uid="{00000000-0005-0000-0000-000025BB0000}"/>
    <cellStyle name="Normal 6 5 3 2" xfId="47896" xr:uid="{00000000-0005-0000-0000-000026BB0000}"/>
    <cellStyle name="Normal 6 5 3 2 2" xfId="47897" xr:uid="{00000000-0005-0000-0000-000027BB0000}"/>
    <cellStyle name="Normal 6 5 3 2 2 2" xfId="47898" xr:uid="{00000000-0005-0000-0000-000028BB0000}"/>
    <cellStyle name="Normal 6 5 3 2 3" xfId="47899" xr:uid="{00000000-0005-0000-0000-000029BB0000}"/>
    <cellStyle name="Normal 6 5 3 3" xfId="47900" xr:uid="{00000000-0005-0000-0000-00002ABB0000}"/>
    <cellStyle name="Normal 6 5 3 3 2" xfId="47901" xr:uid="{00000000-0005-0000-0000-00002BBB0000}"/>
    <cellStyle name="Normal 6 5 3 4" xfId="47902" xr:uid="{00000000-0005-0000-0000-00002CBB0000}"/>
    <cellStyle name="Normal 6 5 3 5" xfId="47903" xr:uid="{00000000-0005-0000-0000-00002DBB0000}"/>
    <cellStyle name="Normal 6 5 30" xfId="47904" xr:uid="{00000000-0005-0000-0000-00002EBB0000}"/>
    <cellStyle name="Normal 6 5 31" xfId="47905" xr:uid="{00000000-0005-0000-0000-00002FBB0000}"/>
    <cellStyle name="Normal 6 5 32" xfId="47906" xr:uid="{00000000-0005-0000-0000-000030BB0000}"/>
    <cellStyle name="Normal 6 5 33" xfId="47907" xr:uid="{00000000-0005-0000-0000-000031BB0000}"/>
    <cellStyle name="Normal 6 5 34" xfId="47908" xr:uid="{00000000-0005-0000-0000-000032BB0000}"/>
    <cellStyle name="Normal 6 5 35" xfId="47909" xr:uid="{00000000-0005-0000-0000-000033BB0000}"/>
    <cellStyle name="Normal 6 5 36" xfId="47910" xr:uid="{00000000-0005-0000-0000-000034BB0000}"/>
    <cellStyle name="Normal 6 5 37" xfId="47911" xr:uid="{00000000-0005-0000-0000-000035BB0000}"/>
    <cellStyle name="Normal 6 5 38" xfId="47912" xr:uid="{00000000-0005-0000-0000-000036BB0000}"/>
    <cellStyle name="Normal 6 5 4" xfId="47913" xr:uid="{00000000-0005-0000-0000-000037BB0000}"/>
    <cellStyle name="Normal 6 5 4 2" xfId="47914" xr:uid="{00000000-0005-0000-0000-000038BB0000}"/>
    <cellStyle name="Normal 6 5 4 2 2" xfId="47915" xr:uid="{00000000-0005-0000-0000-000039BB0000}"/>
    <cellStyle name="Normal 6 5 4 3" xfId="47916" xr:uid="{00000000-0005-0000-0000-00003ABB0000}"/>
    <cellStyle name="Normal 6 5 4 4" xfId="47917" xr:uid="{00000000-0005-0000-0000-00003BBB0000}"/>
    <cellStyle name="Normal 6 5 5" xfId="47918" xr:uid="{00000000-0005-0000-0000-00003CBB0000}"/>
    <cellStyle name="Normal 6 5 5 2" xfId="47919" xr:uid="{00000000-0005-0000-0000-00003DBB0000}"/>
    <cellStyle name="Normal 6 5 5 3" xfId="47920" xr:uid="{00000000-0005-0000-0000-00003EBB0000}"/>
    <cellStyle name="Normal 6 5 6" xfId="47921" xr:uid="{00000000-0005-0000-0000-00003FBB0000}"/>
    <cellStyle name="Normal 6 5 7" xfId="47922" xr:uid="{00000000-0005-0000-0000-000040BB0000}"/>
    <cellStyle name="Normal 6 5 8" xfId="47923" xr:uid="{00000000-0005-0000-0000-000041BB0000}"/>
    <cellStyle name="Normal 6 5 9" xfId="47924" xr:uid="{00000000-0005-0000-0000-000042BB0000}"/>
    <cellStyle name="Normal 6 5_Book2" xfId="47925" xr:uid="{00000000-0005-0000-0000-000043BB0000}"/>
    <cellStyle name="Normal 6 6" xfId="47926" xr:uid="{00000000-0005-0000-0000-000044BB0000}"/>
    <cellStyle name="Normal 6 6 2" xfId="47927" xr:uid="{00000000-0005-0000-0000-000045BB0000}"/>
    <cellStyle name="Normal 6 6 2 2" xfId="47928" xr:uid="{00000000-0005-0000-0000-000046BB0000}"/>
    <cellStyle name="Normal 6 6 2 2 2" xfId="47929" xr:uid="{00000000-0005-0000-0000-000047BB0000}"/>
    <cellStyle name="Normal 6 6 2 2 2 2" xfId="47930" xr:uid="{00000000-0005-0000-0000-000048BB0000}"/>
    <cellStyle name="Normal 6 6 2 2 3" xfId="47931" xr:uid="{00000000-0005-0000-0000-000049BB0000}"/>
    <cellStyle name="Normal 6 6 2 3" xfId="47932" xr:uid="{00000000-0005-0000-0000-00004ABB0000}"/>
    <cellStyle name="Normal 6 6 2 3 2" xfId="47933" xr:uid="{00000000-0005-0000-0000-00004BBB0000}"/>
    <cellStyle name="Normal 6 6 2 4" xfId="47934" xr:uid="{00000000-0005-0000-0000-00004CBB0000}"/>
    <cellStyle name="Normal 6 6 3" xfId="47935" xr:uid="{00000000-0005-0000-0000-00004DBB0000}"/>
    <cellStyle name="Normal 6 6 3 2" xfId="47936" xr:uid="{00000000-0005-0000-0000-00004EBB0000}"/>
    <cellStyle name="Normal 6 6 3 2 2" xfId="47937" xr:uid="{00000000-0005-0000-0000-00004FBB0000}"/>
    <cellStyle name="Normal 6 6 3 3" xfId="47938" xr:uid="{00000000-0005-0000-0000-000050BB0000}"/>
    <cellStyle name="Normal 6 6 4" xfId="47939" xr:uid="{00000000-0005-0000-0000-000051BB0000}"/>
    <cellStyle name="Normal 6 6 4 2" xfId="47940" xr:uid="{00000000-0005-0000-0000-000052BB0000}"/>
    <cellStyle name="Normal 6 6 5" xfId="47941" xr:uid="{00000000-0005-0000-0000-000053BB0000}"/>
    <cellStyle name="Normal 6 6 6" xfId="47942" xr:uid="{00000000-0005-0000-0000-000054BB0000}"/>
    <cellStyle name="Normal 6 7" xfId="47943" xr:uid="{00000000-0005-0000-0000-000055BB0000}"/>
    <cellStyle name="Normal 6 7 2" xfId="47944" xr:uid="{00000000-0005-0000-0000-000056BB0000}"/>
    <cellStyle name="Normal 6 7 2 2" xfId="47945" xr:uid="{00000000-0005-0000-0000-000057BB0000}"/>
    <cellStyle name="Normal 6 7 2 2 2" xfId="47946" xr:uid="{00000000-0005-0000-0000-000058BB0000}"/>
    <cellStyle name="Normal 6 7 2 3" xfId="47947" xr:uid="{00000000-0005-0000-0000-000059BB0000}"/>
    <cellStyle name="Normal 6 7 3" xfId="47948" xr:uid="{00000000-0005-0000-0000-00005ABB0000}"/>
    <cellStyle name="Normal 6 7 3 2" xfId="47949" xr:uid="{00000000-0005-0000-0000-00005BBB0000}"/>
    <cellStyle name="Normal 6 7 4" xfId="47950" xr:uid="{00000000-0005-0000-0000-00005CBB0000}"/>
    <cellStyle name="Normal 6 7 5" xfId="47951" xr:uid="{00000000-0005-0000-0000-00005DBB0000}"/>
    <cellStyle name="Normal 6 8" xfId="47952" xr:uid="{00000000-0005-0000-0000-00005EBB0000}"/>
    <cellStyle name="Normal 6 8 2" xfId="47953" xr:uid="{00000000-0005-0000-0000-00005FBB0000}"/>
    <cellStyle name="Normal 6 8 2 2" xfId="47954" xr:uid="{00000000-0005-0000-0000-000060BB0000}"/>
    <cellStyle name="Normal 6 8 2 2 2" xfId="47955" xr:uid="{00000000-0005-0000-0000-000061BB0000}"/>
    <cellStyle name="Normal 6 8 2 3" xfId="47956" xr:uid="{00000000-0005-0000-0000-000062BB0000}"/>
    <cellStyle name="Normal 6 8 3" xfId="47957" xr:uid="{00000000-0005-0000-0000-000063BB0000}"/>
    <cellStyle name="Normal 6 8 3 2" xfId="47958" xr:uid="{00000000-0005-0000-0000-000064BB0000}"/>
    <cellStyle name="Normal 6 8 4" xfId="47959" xr:uid="{00000000-0005-0000-0000-000065BB0000}"/>
    <cellStyle name="Normal 6 8 5" xfId="47960" xr:uid="{00000000-0005-0000-0000-000066BB0000}"/>
    <cellStyle name="Normal 6 9" xfId="47961" xr:uid="{00000000-0005-0000-0000-000067BB0000}"/>
    <cellStyle name="Normal 6 9 2" xfId="47962" xr:uid="{00000000-0005-0000-0000-000068BB0000}"/>
    <cellStyle name="Normal 6 9 2 2" xfId="47963" xr:uid="{00000000-0005-0000-0000-000069BB0000}"/>
    <cellStyle name="Normal 6 9 3" xfId="47964" xr:uid="{00000000-0005-0000-0000-00006ABB0000}"/>
    <cellStyle name="Normal 6 9 4" xfId="47965" xr:uid="{00000000-0005-0000-0000-00006BBB0000}"/>
    <cellStyle name="Normal 6_Book2" xfId="47966" xr:uid="{00000000-0005-0000-0000-00006CBB0000}"/>
    <cellStyle name="Normal 60" xfId="47967" xr:uid="{00000000-0005-0000-0000-00006DBB0000}"/>
    <cellStyle name="Normal 60 2" xfId="47968" xr:uid="{00000000-0005-0000-0000-00006EBB0000}"/>
    <cellStyle name="Normal 60 2 2" xfId="47969" xr:uid="{00000000-0005-0000-0000-00006FBB0000}"/>
    <cellStyle name="Normal 60 3" xfId="47970" xr:uid="{00000000-0005-0000-0000-000070BB0000}"/>
    <cellStyle name="Normal 60 4" xfId="47971" xr:uid="{00000000-0005-0000-0000-000071BB0000}"/>
    <cellStyle name="Normal 61" xfId="47972" xr:uid="{00000000-0005-0000-0000-000072BB0000}"/>
    <cellStyle name="Normal 61 2" xfId="47973" xr:uid="{00000000-0005-0000-0000-000073BB0000}"/>
    <cellStyle name="Normal 61 2 2" xfId="47974" xr:uid="{00000000-0005-0000-0000-000074BB0000}"/>
    <cellStyle name="Normal 61 3" xfId="47975" xr:uid="{00000000-0005-0000-0000-000075BB0000}"/>
    <cellStyle name="Normal 61 4" xfId="47976" xr:uid="{00000000-0005-0000-0000-000076BB0000}"/>
    <cellStyle name="Normal 62" xfId="47977" xr:uid="{00000000-0005-0000-0000-000077BB0000}"/>
    <cellStyle name="Normal 62 2" xfId="47978" xr:uid="{00000000-0005-0000-0000-000078BB0000}"/>
    <cellStyle name="Normal 62 2 2" xfId="47979" xr:uid="{00000000-0005-0000-0000-000079BB0000}"/>
    <cellStyle name="Normal 62 3" xfId="47980" xr:uid="{00000000-0005-0000-0000-00007ABB0000}"/>
    <cellStyle name="Normal 62 4" xfId="47981" xr:uid="{00000000-0005-0000-0000-00007BBB0000}"/>
    <cellStyle name="Normal 63" xfId="47982" xr:uid="{00000000-0005-0000-0000-00007CBB0000}"/>
    <cellStyle name="Normal 63 2" xfId="47983" xr:uid="{00000000-0005-0000-0000-00007DBB0000}"/>
    <cellStyle name="Normal 63 2 2" xfId="47984" xr:uid="{00000000-0005-0000-0000-00007EBB0000}"/>
    <cellStyle name="Normal 63 3" xfId="47985" xr:uid="{00000000-0005-0000-0000-00007FBB0000}"/>
    <cellStyle name="Normal 63 4" xfId="47986" xr:uid="{00000000-0005-0000-0000-000080BB0000}"/>
    <cellStyle name="Normal 64" xfId="47987" xr:uid="{00000000-0005-0000-0000-000081BB0000}"/>
    <cellStyle name="Normal 64 2" xfId="47988" xr:uid="{00000000-0005-0000-0000-000082BB0000}"/>
    <cellStyle name="Normal 64 2 2" xfId="47989" xr:uid="{00000000-0005-0000-0000-000083BB0000}"/>
    <cellStyle name="Normal 64 3" xfId="47990" xr:uid="{00000000-0005-0000-0000-000084BB0000}"/>
    <cellStyle name="Normal 64 4" xfId="47991" xr:uid="{00000000-0005-0000-0000-000085BB0000}"/>
    <cellStyle name="Normal 65" xfId="47992" xr:uid="{00000000-0005-0000-0000-000086BB0000}"/>
    <cellStyle name="Normal 65 2" xfId="47993" xr:uid="{00000000-0005-0000-0000-000087BB0000}"/>
    <cellStyle name="Normal 65 2 2" xfId="47994" xr:uid="{00000000-0005-0000-0000-000088BB0000}"/>
    <cellStyle name="Normal 65 3" xfId="47995" xr:uid="{00000000-0005-0000-0000-000089BB0000}"/>
    <cellStyle name="Normal 65 4" xfId="47996" xr:uid="{00000000-0005-0000-0000-00008ABB0000}"/>
    <cellStyle name="Normal 66" xfId="47997" xr:uid="{00000000-0005-0000-0000-00008BBB0000}"/>
    <cellStyle name="Normal 66 2" xfId="47998" xr:uid="{00000000-0005-0000-0000-00008CBB0000}"/>
    <cellStyle name="Normal 66 2 2" xfId="47999" xr:uid="{00000000-0005-0000-0000-00008DBB0000}"/>
    <cellStyle name="Normal 66 3" xfId="48000" xr:uid="{00000000-0005-0000-0000-00008EBB0000}"/>
    <cellStyle name="Normal 66 4" xfId="48001" xr:uid="{00000000-0005-0000-0000-00008FBB0000}"/>
    <cellStyle name="Normal 67" xfId="48002" xr:uid="{00000000-0005-0000-0000-000090BB0000}"/>
    <cellStyle name="Normal 67 2" xfId="48003" xr:uid="{00000000-0005-0000-0000-000091BB0000}"/>
    <cellStyle name="Normal 67 2 2" xfId="48004" xr:uid="{00000000-0005-0000-0000-000092BB0000}"/>
    <cellStyle name="Normal 67 3" xfId="48005" xr:uid="{00000000-0005-0000-0000-000093BB0000}"/>
    <cellStyle name="Normal 67 4" xfId="48006" xr:uid="{00000000-0005-0000-0000-000094BB0000}"/>
    <cellStyle name="Normal 68" xfId="48007" xr:uid="{00000000-0005-0000-0000-000095BB0000}"/>
    <cellStyle name="Normal 68 2" xfId="48008" xr:uid="{00000000-0005-0000-0000-000096BB0000}"/>
    <cellStyle name="Normal 68 2 2" xfId="48009" xr:uid="{00000000-0005-0000-0000-000097BB0000}"/>
    <cellStyle name="Normal 68 3" xfId="48010" xr:uid="{00000000-0005-0000-0000-000098BB0000}"/>
    <cellStyle name="Normal 68 4" xfId="48011" xr:uid="{00000000-0005-0000-0000-000099BB0000}"/>
    <cellStyle name="Normal 69" xfId="48012" xr:uid="{00000000-0005-0000-0000-00009ABB0000}"/>
    <cellStyle name="Normal 69 2" xfId="48013" xr:uid="{00000000-0005-0000-0000-00009BBB0000}"/>
    <cellStyle name="Normal 69 2 2" xfId="48014" xr:uid="{00000000-0005-0000-0000-00009CBB0000}"/>
    <cellStyle name="Normal 69 3" xfId="48015" xr:uid="{00000000-0005-0000-0000-00009DBB0000}"/>
    <cellStyle name="Normal 69 4" xfId="48016" xr:uid="{00000000-0005-0000-0000-00009EBB0000}"/>
    <cellStyle name="Normal 7" xfId="48017" xr:uid="{00000000-0005-0000-0000-00009FBB0000}"/>
    <cellStyle name="Normal 7 10" xfId="48018" xr:uid="{00000000-0005-0000-0000-0000A0BB0000}"/>
    <cellStyle name="Normal 7 11" xfId="48019" xr:uid="{00000000-0005-0000-0000-0000A1BB0000}"/>
    <cellStyle name="Normal 7 12" xfId="48020" xr:uid="{00000000-0005-0000-0000-0000A2BB0000}"/>
    <cellStyle name="Normal 7 13" xfId="48021" xr:uid="{00000000-0005-0000-0000-0000A3BB0000}"/>
    <cellStyle name="Normal 7 14" xfId="48022" xr:uid="{00000000-0005-0000-0000-0000A4BB0000}"/>
    <cellStyle name="Normal 7 2" xfId="48023" xr:uid="{00000000-0005-0000-0000-0000A5BB0000}"/>
    <cellStyle name="Normal 7 2 10" xfId="48024" xr:uid="{00000000-0005-0000-0000-0000A6BB0000}"/>
    <cellStyle name="Normal 7 2 2" xfId="48025" xr:uid="{00000000-0005-0000-0000-0000A7BB0000}"/>
    <cellStyle name="Normal 7 2 2 10" xfId="48026" xr:uid="{00000000-0005-0000-0000-0000A8BB0000}"/>
    <cellStyle name="Normal 7 2 2 11" xfId="48027" xr:uid="{00000000-0005-0000-0000-0000A9BB0000}"/>
    <cellStyle name="Normal 7 2 2 12" xfId="48028" xr:uid="{00000000-0005-0000-0000-0000AABB0000}"/>
    <cellStyle name="Normal 7 2 2 13" xfId="48029" xr:uid="{00000000-0005-0000-0000-0000ABBB0000}"/>
    <cellStyle name="Normal 7 2 2 14" xfId="48030" xr:uid="{00000000-0005-0000-0000-0000ACBB0000}"/>
    <cellStyle name="Normal 7 2 2 15" xfId="48031" xr:uid="{00000000-0005-0000-0000-0000ADBB0000}"/>
    <cellStyle name="Normal 7 2 2 16" xfId="48032" xr:uid="{00000000-0005-0000-0000-0000AEBB0000}"/>
    <cellStyle name="Normal 7 2 2 17" xfId="48033" xr:uid="{00000000-0005-0000-0000-0000AFBB0000}"/>
    <cellStyle name="Normal 7 2 2 18" xfId="48034" xr:uid="{00000000-0005-0000-0000-0000B0BB0000}"/>
    <cellStyle name="Normal 7 2 2 19" xfId="48035" xr:uid="{00000000-0005-0000-0000-0000B1BB0000}"/>
    <cellStyle name="Normal 7 2 2 2" xfId="48036" xr:uid="{00000000-0005-0000-0000-0000B2BB0000}"/>
    <cellStyle name="Normal 7 2 2 2 2" xfId="48037" xr:uid="{00000000-0005-0000-0000-0000B3BB0000}"/>
    <cellStyle name="Normal 7 2 2 2 2 2" xfId="48038" xr:uid="{00000000-0005-0000-0000-0000B4BB0000}"/>
    <cellStyle name="Normal 7 2 2 2 2 2 2" xfId="48039" xr:uid="{00000000-0005-0000-0000-0000B5BB0000}"/>
    <cellStyle name="Normal 7 2 2 2 2 3" xfId="48040" xr:uid="{00000000-0005-0000-0000-0000B6BB0000}"/>
    <cellStyle name="Normal 7 2 2 2 3" xfId="48041" xr:uid="{00000000-0005-0000-0000-0000B7BB0000}"/>
    <cellStyle name="Normal 7 2 2 2 3 2" xfId="48042" xr:uid="{00000000-0005-0000-0000-0000B8BB0000}"/>
    <cellStyle name="Normal 7 2 2 2 4" xfId="48043" xr:uid="{00000000-0005-0000-0000-0000B9BB0000}"/>
    <cellStyle name="Normal 7 2 2 20" xfId="48044" xr:uid="{00000000-0005-0000-0000-0000BABB0000}"/>
    <cellStyle name="Normal 7 2 2 21" xfId="48045" xr:uid="{00000000-0005-0000-0000-0000BBBB0000}"/>
    <cellStyle name="Normal 7 2 2 22" xfId="48046" xr:uid="{00000000-0005-0000-0000-0000BCBB0000}"/>
    <cellStyle name="Normal 7 2 2 23" xfId="48047" xr:uid="{00000000-0005-0000-0000-0000BDBB0000}"/>
    <cellStyle name="Normal 7 2 2 24" xfId="48048" xr:uid="{00000000-0005-0000-0000-0000BEBB0000}"/>
    <cellStyle name="Normal 7 2 2 25" xfId="48049" xr:uid="{00000000-0005-0000-0000-0000BFBB0000}"/>
    <cellStyle name="Normal 7 2 2 26" xfId="48050" xr:uid="{00000000-0005-0000-0000-0000C0BB0000}"/>
    <cellStyle name="Normal 7 2 2 27" xfId="48051" xr:uid="{00000000-0005-0000-0000-0000C1BB0000}"/>
    <cellStyle name="Normal 7 2 2 28" xfId="48052" xr:uid="{00000000-0005-0000-0000-0000C2BB0000}"/>
    <cellStyle name="Normal 7 2 2 29" xfId="48053" xr:uid="{00000000-0005-0000-0000-0000C3BB0000}"/>
    <cellStyle name="Normal 7 2 2 3" xfId="48054" xr:uid="{00000000-0005-0000-0000-0000C4BB0000}"/>
    <cellStyle name="Normal 7 2 2 3 2" xfId="48055" xr:uid="{00000000-0005-0000-0000-0000C5BB0000}"/>
    <cellStyle name="Normal 7 2 2 3 2 2" xfId="48056" xr:uid="{00000000-0005-0000-0000-0000C6BB0000}"/>
    <cellStyle name="Normal 7 2 2 3 3" xfId="48057" xr:uid="{00000000-0005-0000-0000-0000C7BB0000}"/>
    <cellStyle name="Normal 7 2 2 30" xfId="48058" xr:uid="{00000000-0005-0000-0000-0000C8BB0000}"/>
    <cellStyle name="Normal 7 2 2 31" xfId="48059" xr:uid="{00000000-0005-0000-0000-0000C9BB0000}"/>
    <cellStyle name="Normal 7 2 2 32" xfId="48060" xr:uid="{00000000-0005-0000-0000-0000CABB0000}"/>
    <cellStyle name="Normal 7 2 2 33" xfId="48061" xr:uid="{00000000-0005-0000-0000-0000CBBB0000}"/>
    <cellStyle name="Normal 7 2 2 34" xfId="48062" xr:uid="{00000000-0005-0000-0000-0000CCBB0000}"/>
    <cellStyle name="Normal 7 2 2 4" xfId="48063" xr:uid="{00000000-0005-0000-0000-0000CDBB0000}"/>
    <cellStyle name="Normal 7 2 2 4 2" xfId="48064" xr:uid="{00000000-0005-0000-0000-0000CEBB0000}"/>
    <cellStyle name="Normal 7 2 2 4 2 2" xfId="48065" xr:uid="{00000000-0005-0000-0000-0000CFBB0000}"/>
    <cellStyle name="Normal 7 2 2 4 3" xfId="48066" xr:uid="{00000000-0005-0000-0000-0000D0BB0000}"/>
    <cellStyle name="Normal 7 2 2 5" xfId="48067" xr:uid="{00000000-0005-0000-0000-0000D1BB0000}"/>
    <cellStyle name="Normal 7 2 2 5 2" xfId="48068" xr:uid="{00000000-0005-0000-0000-0000D2BB0000}"/>
    <cellStyle name="Normal 7 2 2 6" xfId="48069" xr:uid="{00000000-0005-0000-0000-0000D3BB0000}"/>
    <cellStyle name="Normal 7 2 2 6 2" xfId="48070" xr:uid="{00000000-0005-0000-0000-0000D4BB0000}"/>
    <cellStyle name="Normal 7 2 2 7" xfId="48071" xr:uid="{00000000-0005-0000-0000-0000D5BB0000}"/>
    <cellStyle name="Normal 7 2 2 8" xfId="48072" xr:uid="{00000000-0005-0000-0000-0000D6BB0000}"/>
    <cellStyle name="Normal 7 2 2 9" xfId="48073" xr:uid="{00000000-0005-0000-0000-0000D7BB0000}"/>
    <cellStyle name="Normal 7 2 2_Book2" xfId="48074" xr:uid="{00000000-0005-0000-0000-0000D8BB0000}"/>
    <cellStyle name="Normal 7 2 3" xfId="48075" xr:uid="{00000000-0005-0000-0000-0000D9BB0000}"/>
    <cellStyle name="Normal 7 2 3 2" xfId="48076" xr:uid="{00000000-0005-0000-0000-0000DABB0000}"/>
    <cellStyle name="Normal 7 2 3 2 2" xfId="48077" xr:uid="{00000000-0005-0000-0000-0000DBBB0000}"/>
    <cellStyle name="Normal 7 2 3 2 2 2" xfId="48078" xr:uid="{00000000-0005-0000-0000-0000DCBB0000}"/>
    <cellStyle name="Normal 7 2 3 2 2 2 2" xfId="48079" xr:uid="{00000000-0005-0000-0000-0000DDBB0000}"/>
    <cellStyle name="Normal 7 2 3 2 2 3" xfId="48080" xr:uid="{00000000-0005-0000-0000-0000DEBB0000}"/>
    <cellStyle name="Normal 7 2 3 2 3" xfId="48081" xr:uid="{00000000-0005-0000-0000-0000DFBB0000}"/>
    <cellStyle name="Normal 7 2 3 2 3 2" xfId="48082" xr:uid="{00000000-0005-0000-0000-0000E0BB0000}"/>
    <cellStyle name="Normal 7 2 3 2 4" xfId="48083" xr:uid="{00000000-0005-0000-0000-0000E1BB0000}"/>
    <cellStyle name="Normal 7 2 3 3" xfId="48084" xr:uid="{00000000-0005-0000-0000-0000E2BB0000}"/>
    <cellStyle name="Normal 7 2 3 3 2" xfId="48085" xr:uid="{00000000-0005-0000-0000-0000E3BB0000}"/>
    <cellStyle name="Normal 7 2 3 3 2 2" xfId="48086" xr:uid="{00000000-0005-0000-0000-0000E4BB0000}"/>
    <cellStyle name="Normal 7 2 3 3 3" xfId="48087" xr:uid="{00000000-0005-0000-0000-0000E5BB0000}"/>
    <cellStyle name="Normal 7 2 3 4" xfId="48088" xr:uid="{00000000-0005-0000-0000-0000E6BB0000}"/>
    <cellStyle name="Normal 7 2 3 4 2" xfId="48089" xr:uid="{00000000-0005-0000-0000-0000E7BB0000}"/>
    <cellStyle name="Normal 7 2 3 5" xfId="48090" xr:uid="{00000000-0005-0000-0000-0000E8BB0000}"/>
    <cellStyle name="Normal 7 2 4" xfId="48091" xr:uid="{00000000-0005-0000-0000-0000E9BB0000}"/>
    <cellStyle name="Normal 7 2 4 2" xfId="48092" xr:uid="{00000000-0005-0000-0000-0000EABB0000}"/>
    <cellStyle name="Normal 7 2 4 3" xfId="48093" xr:uid="{00000000-0005-0000-0000-0000EBBB0000}"/>
    <cellStyle name="Normal 7 2 4 3 2" xfId="48094" xr:uid="{00000000-0005-0000-0000-0000ECBB0000}"/>
    <cellStyle name="Normal 7 2 4 3 2 2" xfId="48095" xr:uid="{00000000-0005-0000-0000-0000EDBB0000}"/>
    <cellStyle name="Normal 7 2 4 3 3" xfId="48096" xr:uid="{00000000-0005-0000-0000-0000EEBB0000}"/>
    <cellStyle name="Normal 7 2 4 4" xfId="48097" xr:uid="{00000000-0005-0000-0000-0000EFBB0000}"/>
    <cellStyle name="Normal 7 2 4 4 2" xfId="48098" xr:uid="{00000000-0005-0000-0000-0000F0BB0000}"/>
    <cellStyle name="Normal 7 2 4 5" xfId="48099" xr:uid="{00000000-0005-0000-0000-0000F1BB0000}"/>
    <cellStyle name="Normal 7 2 5" xfId="48100" xr:uid="{00000000-0005-0000-0000-0000F2BB0000}"/>
    <cellStyle name="Normal 7 2 5 2" xfId="48101" xr:uid="{00000000-0005-0000-0000-0000F3BB0000}"/>
    <cellStyle name="Normal 7 2 5 2 2" xfId="48102" xr:uid="{00000000-0005-0000-0000-0000F4BB0000}"/>
    <cellStyle name="Normal 7 2 5 3" xfId="48103" xr:uid="{00000000-0005-0000-0000-0000F5BB0000}"/>
    <cellStyle name="Normal 7 2 6" xfId="48104" xr:uid="{00000000-0005-0000-0000-0000F6BB0000}"/>
    <cellStyle name="Normal 7 2 6 2" xfId="48105" xr:uid="{00000000-0005-0000-0000-0000F7BB0000}"/>
    <cellStyle name="Normal 7 2 7" xfId="48106" xr:uid="{00000000-0005-0000-0000-0000F8BB0000}"/>
    <cellStyle name="Normal 7 2 8" xfId="48107" xr:uid="{00000000-0005-0000-0000-0000F9BB0000}"/>
    <cellStyle name="Normal 7 2 9" xfId="48108" xr:uid="{00000000-0005-0000-0000-0000FABB0000}"/>
    <cellStyle name="Normal 7 2_Book2" xfId="48109" xr:uid="{00000000-0005-0000-0000-0000FBBB0000}"/>
    <cellStyle name="Normal 7 3" xfId="48110" xr:uid="{00000000-0005-0000-0000-0000FCBB0000}"/>
    <cellStyle name="Normal 7 3 10" xfId="48111" xr:uid="{00000000-0005-0000-0000-0000FDBB0000}"/>
    <cellStyle name="Normal 7 3 11" xfId="48112" xr:uid="{00000000-0005-0000-0000-0000FEBB0000}"/>
    <cellStyle name="Normal 7 3 12" xfId="48113" xr:uid="{00000000-0005-0000-0000-0000FFBB0000}"/>
    <cellStyle name="Normal 7 3 13" xfId="48114" xr:uid="{00000000-0005-0000-0000-000000BC0000}"/>
    <cellStyle name="Normal 7 3 14" xfId="48115" xr:uid="{00000000-0005-0000-0000-000001BC0000}"/>
    <cellStyle name="Normal 7 3 15" xfId="48116" xr:uid="{00000000-0005-0000-0000-000002BC0000}"/>
    <cellStyle name="Normal 7 3 16" xfId="48117" xr:uid="{00000000-0005-0000-0000-000003BC0000}"/>
    <cellStyle name="Normal 7 3 17" xfId="48118" xr:uid="{00000000-0005-0000-0000-000004BC0000}"/>
    <cellStyle name="Normal 7 3 18" xfId="48119" xr:uid="{00000000-0005-0000-0000-000005BC0000}"/>
    <cellStyle name="Normal 7 3 19" xfId="48120" xr:uid="{00000000-0005-0000-0000-000006BC0000}"/>
    <cellStyle name="Normal 7 3 2" xfId="48121" xr:uid="{00000000-0005-0000-0000-000007BC0000}"/>
    <cellStyle name="Normal 7 3 2 2" xfId="48122" xr:uid="{00000000-0005-0000-0000-000008BC0000}"/>
    <cellStyle name="Normal 7 3 2 3" xfId="48123" xr:uid="{00000000-0005-0000-0000-000009BC0000}"/>
    <cellStyle name="Normal 7 3 2 3 2" xfId="48124" xr:uid="{00000000-0005-0000-0000-00000ABC0000}"/>
    <cellStyle name="Normal 7 3 2 3 2 2" xfId="48125" xr:uid="{00000000-0005-0000-0000-00000BBC0000}"/>
    <cellStyle name="Normal 7 3 2 3 3" xfId="48126" xr:uid="{00000000-0005-0000-0000-00000CBC0000}"/>
    <cellStyle name="Normal 7 3 2 4" xfId="48127" xr:uid="{00000000-0005-0000-0000-00000DBC0000}"/>
    <cellStyle name="Normal 7 3 2 4 2" xfId="48128" xr:uid="{00000000-0005-0000-0000-00000EBC0000}"/>
    <cellStyle name="Normal 7 3 2 5" xfId="48129" xr:uid="{00000000-0005-0000-0000-00000FBC0000}"/>
    <cellStyle name="Normal 7 3 20" xfId="48130" xr:uid="{00000000-0005-0000-0000-000010BC0000}"/>
    <cellStyle name="Normal 7 3 21" xfId="48131" xr:uid="{00000000-0005-0000-0000-000011BC0000}"/>
    <cellStyle name="Normal 7 3 22" xfId="48132" xr:uid="{00000000-0005-0000-0000-000012BC0000}"/>
    <cellStyle name="Normal 7 3 23" xfId="48133" xr:uid="{00000000-0005-0000-0000-000013BC0000}"/>
    <cellStyle name="Normal 7 3 24" xfId="48134" xr:uid="{00000000-0005-0000-0000-000014BC0000}"/>
    <cellStyle name="Normal 7 3 25" xfId="48135" xr:uid="{00000000-0005-0000-0000-000015BC0000}"/>
    <cellStyle name="Normal 7 3 26" xfId="48136" xr:uid="{00000000-0005-0000-0000-000016BC0000}"/>
    <cellStyle name="Normal 7 3 27" xfId="48137" xr:uid="{00000000-0005-0000-0000-000017BC0000}"/>
    <cellStyle name="Normal 7 3 28" xfId="48138" xr:uid="{00000000-0005-0000-0000-000018BC0000}"/>
    <cellStyle name="Normal 7 3 29" xfId="48139" xr:uid="{00000000-0005-0000-0000-000019BC0000}"/>
    <cellStyle name="Normal 7 3 3" xfId="48140" xr:uid="{00000000-0005-0000-0000-00001ABC0000}"/>
    <cellStyle name="Normal 7 3 3 2" xfId="48141" xr:uid="{00000000-0005-0000-0000-00001BBC0000}"/>
    <cellStyle name="Normal 7 3 3 2 2" xfId="48142" xr:uid="{00000000-0005-0000-0000-00001CBC0000}"/>
    <cellStyle name="Normal 7 3 3 3" xfId="48143" xr:uid="{00000000-0005-0000-0000-00001DBC0000}"/>
    <cellStyle name="Normal 7 3 30" xfId="48144" xr:uid="{00000000-0005-0000-0000-00001EBC0000}"/>
    <cellStyle name="Normal 7 3 31" xfId="48145" xr:uid="{00000000-0005-0000-0000-00001FBC0000}"/>
    <cellStyle name="Normal 7 3 32" xfId="48146" xr:uid="{00000000-0005-0000-0000-000020BC0000}"/>
    <cellStyle name="Normal 7 3 33" xfId="48147" xr:uid="{00000000-0005-0000-0000-000021BC0000}"/>
    <cellStyle name="Normal 7 3 4" xfId="48148" xr:uid="{00000000-0005-0000-0000-000022BC0000}"/>
    <cellStyle name="Normal 7 3 4 2" xfId="48149" xr:uid="{00000000-0005-0000-0000-000023BC0000}"/>
    <cellStyle name="Normal 7 3 5" xfId="48150" xr:uid="{00000000-0005-0000-0000-000024BC0000}"/>
    <cellStyle name="Normal 7 3 6" xfId="48151" xr:uid="{00000000-0005-0000-0000-000025BC0000}"/>
    <cellStyle name="Normal 7 3 7" xfId="48152" xr:uid="{00000000-0005-0000-0000-000026BC0000}"/>
    <cellStyle name="Normal 7 3 8" xfId="48153" xr:uid="{00000000-0005-0000-0000-000027BC0000}"/>
    <cellStyle name="Normal 7 3 9" xfId="48154" xr:uid="{00000000-0005-0000-0000-000028BC0000}"/>
    <cellStyle name="Normal 7 3_Book2" xfId="48155" xr:uid="{00000000-0005-0000-0000-000029BC0000}"/>
    <cellStyle name="Normal 7 4" xfId="48156" xr:uid="{00000000-0005-0000-0000-00002ABC0000}"/>
    <cellStyle name="Normal 7 4 2" xfId="48157" xr:uid="{00000000-0005-0000-0000-00002BBC0000}"/>
    <cellStyle name="Normal 7 4 2 2" xfId="48158" xr:uid="{00000000-0005-0000-0000-00002CBC0000}"/>
    <cellStyle name="Normal 7 4 3" xfId="48159" xr:uid="{00000000-0005-0000-0000-00002DBC0000}"/>
    <cellStyle name="Normal 7 4 3 2" xfId="48160" xr:uid="{00000000-0005-0000-0000-00002EBC0000}"/>
    <cellStyle name="Normal 7 4 3 2 2" xfId="48161" xr:uid="{00000000-0005-0000-0000-00002FBC0000}"/>
    <cellStyle name="Normal 7 4 3 3" xfId="48162" xr:uid="{00000000-0005-0000-0000-000030BC0000}"/>
    <cellStyle name="Normal 7 4 4" xfId="48163" xr:uid="{00000000-0005-0000-0000-000031BC0000}"/>
    <cellStyle name="Normal 7 4 4 2" xfId="48164" xr:uid="{00000000-0005-0000-0000-000032BC0000}"/>
    <cellStyle name="Normal 7 4 5" xfId="48165" xr:uid="{00000000-0005-0000-0000-000033BC0000}"/>
    <cellStyle name="Normal 7 5" xfId="48166" xr:uid="{00000000-0005-0000-0000-000034BC0000}"/>
    <cellStyle name="Normal 7 5 2" xfId="48167" xr:uid="{00000000-0005-0000-0000-000035BC0000}"/>
    <cellStyle name="Normal 7 5 3" xfId="48168" xr:uid="{00000000-0005-0000-0000-000036BC0000}"/>
    <cellStyle name="Normal 7 6" xfId="48169" xr:uid="{00000000-0005-0000-0000-000037BC0000}"/>
    <cellStyle name="Normal 7 7" xfId="48170" xr:uid="{00000000-0005-0000-0000-000038BC0000}"/>
    <cellStyle name="Normal 7 8" xfId="48171" xr:uid="{00000000-0005-0000-0000-000039BC0000}"/>
    <cellStyle name="Normal 7 9" xfId="48172" xr:uid="{00000000-0005-0000-0000-00003ABC0000}"/>
    <cellStyle name="Normal 7_Book2" xfId="48173" xr:uid="{00000000-0005-0000-0000-00003BBC0000}"/>
    <cellStyle name="Normal 70" xfId="48174" xr:uid="{00000000-0005-0000-0000-00003CBC0000}"/>
    <cellStyle name="Normal 70 2" xfId="48175" xr:uid="{00000000-0005-0000-0000-00003DBC0000}"/>
    <cellStyle name="Normal 70 2 2" xfId="48176" xr:uid="{00000000-0005-0000-0000-00003EBC0000}"/>
    <cellStyle name="Normal 70 3" xfId="48177" xr:uid="{00000000-0005-0000-0000-00003FBC0000}"/>
    <cellStyle name="Normal 70 4" xfId="48178" xr:uid="{00000000-0005-0000-0000-000040BC0000}"/>
    <cellStyle name="Normal 71" xfId="48179" xr:uid="{00000000-0005-0000-0000-000041BC0000}"/>
    <cellStyle name="Normal 71 2" xfId="48180" xr:uid="{00000000-0005-0000-0000-000042BC0000}"/>
    <cellStyle name="Normal 71 2 2" xfId="48181" xr:uid="{00000000-0005-0000-0000-000043BC0000}"/>
    <cellStyle name="Normal 71 3" xfId="48182" xr:uid="{00000000-0005-0000-0000-000044BC0000}"/>
    <cellStyle name="Normal 71 4" xfId="48183" xr:uid="{00000000-0005-0000-0000-000045BC0000}"/>
    <cellStyle name="Normal 72" xfId="48184" xr:uid="{00000000-0005-0000-0000-000046BC0000}"/>
    <cellStyle name="Normal 72 2" xfId="48185" xr:uid="{00000000-0005-0000-0000-000047BC0000}"/>
    <cellStyle name="Normal 73" xfId="48186" xr:uid="{00000000-0005-0000-0000-000048BC0000}"/>
    <cellStyle name="Normal 73 2" xfId="48187" xr:uid="{00000000-0005-0000-0000-000049BC0000}"/>
    <cellStyle name="Normal 74" xfId="48188" xr:uid="{00000000-0005-0000-0000-00004ABC0000}"/>
    <cellStyle name="Normal 74 2" xfId="48189" xr:uid="{00000000-0005-0000-0000-00004BBC0000}"/>
    <cellStyle name="Normal 74 3" xfId="48190" xr:uid="{00000000-0005-0000-0000-00004CBC0000}"/>
    <cellStyle name="Normal 75" xfId="48191" xr:uid="{00000000-0005-0000-0000-00004DBC0000}"/>
    <cellStyle name="Normal 75 2" xfId="48192" xr:uid="{00000000-0005-0000-0000-00004EBC0000}"/>
    <cellStyle name="Normal 75 3" xfId="48193" xr:uid="{00000000-0005-0000-0000-00004FBC0000}"/>
    <cellStyle name="Normal 76" xfId="48194" xr:uid="{00000000-0005-0000-0000-000050BC0000}"/>
    <cellStyle name="Normal 76 2" xfId="48195" xr:uid="{00000000-0005-0000-0000-000051BC0000}"/>
    <cellStyle name="Normal 76 3" xfId="48196" xr:uid="{00000000-0005-0000-0000-000052BC0000}"/>
    <cellStyle name="Normal 77" xfId="48197" xr:uid="{00000000-0005-0000-0000-000053BC0000}"/>
    <cellStyle name="Normal 77 2" xfId="48198" xr:uid="{00000000-0005-0000-0000-000054BC0000}"/>
    <cellStyle name="Normal 78" xfId="48199" xr:uid="{00000000-0005-0000-0000-000055BC0000}"/>
    <cellStyle name="Normal 79" xfId="48200" xr:uid="{00000000-0005-0000-0000-000056BC0000}"/>
    <cellStyle name="Normal 8" xfId="48201" xr:uid="{00000000-0005-0000-0000-000057BC0000}"/>
    <cellStyle name="Normal 8 10" xfId="48202" xr:uid="{00000000-0005-0000-0000-000058BC0000}"/>
    <cellStyle name="Normal 8 11" xfId="48203" xr:uid="{00000000-0005-0000-0000-000059BC0000}"/>
    <cellStyle name="Normal 8 12" xfId="48204" xr:uid="{00000000-0005-0000-0000-00005ABC0000}"/>
    <cellStyle name="Normal 8 13" xfId="48205" xr:uid="{00000000-0005-0000-0000-00005BBC0000}"/>
    <cellStyle name="Normal 8 14" xfId="48206" xr:uid="{00000000-0005-0000-0000-00005CBC0000}"/>
    <cellStyle name="Normal 8 15" xfId="48207" xr:uid="{00000000-0005-0000-0000-00005DBC0000}"/>
    <cellStyle name="Normal 8 16" xfId="48208" xr:uid="{00000000-0005-0000-0000-00005EBC0000}"/>
    <cellStyle name="Normal 8 17" xfId="48209" xr:uid="{00000000-0005-0000-0000-00005FBC0000}"/>
    <cellStyle name="Normal 8 18" xfId="48210" xr:uid="{00000000-0005-0000-0000-000060BC0000}"/>
    <cellStyle name="Normal 8 19" xfId="48211" xr:uid="{00000000-0005-0000-0000-000061BC0000}"/>
    <cellStyle name="Normal 8 2" xfId="48212" xr:uid="{00000000-0005-0000-0000-000062BC0000}"/>
    <cellStyle name="Normal 8 2 2" xfId="48213" xr:uid="{00000000-0005-0000-0000-000063BC0000}"/>
    <cellStyle name="Normal 8 2 2 2" xfId="48214" xr:uid="{00000000-0005-0000-0000-000064BC0000}"/>
    <cellStyle name="Normal 8 2 2 2 2" xfId="48215" xr:uid="{00000000-0005-0000-0000-000065BC0000}"/>
    <cellStyle name="Normal 8 2 2 2 2 2" xfId="48216" xr:uid="{00000000-0005-0000-0000-000066BC0000}"/>
    <cellStyle name="Normal 8 2 2 2 3" xfId="48217" xr:uid="{00000000-0005-0000-0000-000067BC0000}"/>
    <cellStyle name="Normal 8 2 2 3" xfId="48218" xr:uid="{00000000-0005-0000-0000-000068BC0000}"/>
    <cellStyle name="Normal 8 2 2 3 2" xfId="48219" xr:uid="{00000000-0005-0000-0000-000069BC0000}"/>
    <cellStyle name="Normal 8 2 2 4" xfId="48220" xr:uid="{00000000-0005-0000-0000-00006ABC0000}"/>
    <cellStyle name="Normal 8 2 3" xfId="48221" xr:uid="{00000000-0005-0000-0000-00006BBC0000}"/>
    <cellStyle name="Normal 8 2 3 2" xfId="48222" xr:uid="{00000000-0005-0000-0000-00006CBC0000}"/>
    <cellStyle name="Normal 8 2 3 2 2" xfId="48223" xr:uid="{00000000-0005-0000-0000-00006DBC0000}"/>
    <cellStyle name="Normal 8 2 3 3" xfId="48224" xr:uid="{00000000-0005-0000-0000-00006EBC0000}"/>
    <cellStyle name="Normal 8 2 4" xfId="48225" xr:uid="{00000000-0005-0000-0000-00006FBC0000}"/>
    <cellStyle name="Normal 8 2 4 2" xfId="48226" xr:uid="{00000000-0005-0000-0000-000070BC0000}"/>
    <cellStyle name="Normal 8 2 5" xfId="48227" xr:uid="{00000000-0005-0000-0000-000071BC0000}"/>
    <cellStyle name="Normal 8 20" xfId="48228" xr:uid="{00000000-0005-0000-0000-000072BC0000}"/>
    <cellStyle name="Normal 8 21" xfId="48229" xr:uid="{00000000-0005-0000-0000-000073BC0000}"/>
    <cellStyle name="Normal 8 22" xfId="48230" xr:uid="{00000000-0005-0000-0000-000074BC0000}"/>
    <cellStyle name="Normal 8 23" xfId="48231" xr:uid="{00000000-0005-0000-0000-000075BC0000}"/>
    <cellStyle name="Normal 8 24" xfId="48232" xr:uid="{00000000-0005-0000-0000-000076BC0000}"/>
    <cellStyle name="Normal 8 25" xfId="48233" xr:uid="{00000000-0005-0000-0000-000077BC0000}"/>
    <cellStyle name="Normal 8 26" xfId="48234" xr:uid="{00000000-0005-0000-0000-000078BC0000}"/>
    <cellStyle name="Normal 8 27" xfId="48235" xr:uid="{00000000-0005-0000-0000-000079BC0000}"/>
    <cellStyle name="Normal 8 28" xfId="48236" xr:uid="{00000000-0005-0000-0000-00007ABC0000}"/>
    <cellStyle name="Normal 8 29" xfId="48237" xr:uid="{00000000-0005-0000-0000-00007BBC0000}"/>
    <cellStyle name="Normal 8 3" xfId="48238" xr:uid="{00000000-0005-0000-0000-00007CBC0000}"/>
    <cellStyle name="Normal 8 3 2" xfId="48239" xr:uid="{00000000-0005-0000-0000-00007DBC0000}"/>
    <cellStyle name="Normal 8 3 2 2" xfId="48240" xr:uid="{00000000-0005-0000-0000-00007EBC0000}"/>
    <cellStyle name="Normal 8 3 3" xfId="48241" xr:uid="{00000000-0005-0000-0000-00007FBC0000}"/>
    <cellStyle name="Normal 8 3 3 2" xfId="48242" xr:uid="{00000000-0005-0000-0000-000080BC0000}"/>
    <cellStyle name="Normal 8 3 3 2 2" xfId="48243" xr:uid="{00000000-0005-0000-0000-000081BC0000}"/>
    <cellStyle name="Normal 8 3 3 3" xfId="48244" xr:uid="{00000000-0005-0000-0000-000082BC0000}"/>
    <cellStyle name="Normal 8 3 4" xfId="48245" xr:uid="{00000000-0005-0000-0000-000083BC0000}"/>
    <cellStyle name="Normal 8 3 4 2" xfId="48246" xr:uid="{00000000-0005-0000-0000-000084BC0000}"/>
    <cellStyle name="Normal 8 3 5" xfId="48247" xr:uid="{00000000-0005-0000-0000-000085BC0000}"/>
    <cellStyle name="Normal 8 3 6" xfId="48248" xr:uid="{00000000-0005-0000-0000-000086BC0000}"/>
    <cellStyle name="Normal 8 30" xfId="48249" xr:uid="{00000000-0005-0000-0000-000087BC0000}"/>
    <cellStyle name="Normal 8 31" xfId="48250" xr:uid="{00000000-0005-0000-0000-000088BC0000}"/>
    <cellStyle name="Normal 8 32" xfId="48251" xr:uid="{00000000-0005-0000-0000-000089BC0000}"/>
    <cellStyle name="Normal 8 33" xfId="48252" xr:uid="{00000000-0005-0000-0000-00008ABC0000}"/>
    <cellStyle name="Normal 8 34" xfId="48253" xr:uid="{00000000-0005-0000-0000-00008BBC0000}"/>
    <cellStyle name="Normal 8 35" xfId="48254" xr:uid="{00000000-0005-0000-0000-00008CBC0000}"/>
    <cellStyle name="Normal 8 36" xfId="48255" xr:uid="{00000000-0005-0000-0000-00008DBC0000}"/>
    <cellStyle name="Normal 8 37" xfId="48256" xr:uid="{00000000-0005-0000-0000-00008EBC0000}"/>
    <cellStyle name="Normal 8 38" xfId="48257" xr:uid="{00000000-0005-0000-0000-00008FBC0000}"/>
    <cellStyle name="Normal 8 39" xfId="48258" xr:uid="{00000000-0005-0000-0000-000090BC0000}"/>
    <cellStyle name="Normal 8 4" xfId="48259" xr:uid="{00000000-0005-0000-0000-000091BC0000}"/>
    <cellStyle name="Normal 8 4 2" xfId="48260" xr:uid="{00000000-0005-0000-0000-000092BC0000}"/>
    <cellStyle name="Normal 8 4 2 2" xfId="48261" xr:uid="{00000000-0005-0000-0000-000093BC0000}"/>
    <cellStyle name="Normal 8 4 3" xfId="48262" xr:uid="{00000000-0005-0000-0000-000094BC0000}"/>
    <cellStyle name="Normal 8 40" xfId="48263" xr:uid="{00000000-0005-0000-0000-000095BC0000}"/>
    <cellStyle name="Normal 8 41" xfId="48264" xr:uid="{00000000-0005-0000-0000-000096BC0000}"/>
    <cellStyle name="Normal 8 42" xfId="48265" xr:uid="{00000000-0005-0000-0000-000097BC0000}"/>
    <cellStyle name="Normal 8 43" xfId="48266" xr:uid="{00000000-0005-0000-0000-000098BC0000}"/>
    <cellStyle name="Normal 8 44" xfId="48267" xr:uid="{00000000-0005-0000-0000-000099BC0000}"/>
    <cellStyle name="Normal 8 45" xfId="48268" xr:uid="{00000000-0005-0000-0000-00009ABC0000}"/>
    <cellStyle name="Normal 8 46" xfId="48269" xr:uid="{00000000-0005-0000-0000-00009BBC0000}"/>
    <cellStyle name="Normal 8 47" xfId="48270" xr:uid="{00000000-0005-0000-0000-00009CBC0000}"/>
    <cellStyle name="Normal 8 48" xfId="48271" xr:uid="{00000000-0005-0000-0000-00009DBC0000}"/>
    <cellStyle name="Normal 8 49" xfId="48272" xr:uid="{00000000-0005-0000-0000-00009EBC0000}"/>
    <cellStyle name="Normal 8 5" xfId="48273" xr:uid="{00000000-0005-0000-0000-00009FBC0000}"/>
    <cellStyle name="Normal 8 5 2" xfId="48274" xr:uid="{00000000-0005-0000-0000-0000A0BC0000}"/>
    <cellStyle name="Normal 8 50" xfId="48275" xr:uid="{00000000-0005-0000-0000-0000A1BC0000}"/>
    <cellStyle name="Normal 8 51" xfId="48276" xr:uid="{00000000-0005-0000-0000-0000A2BC0000}"/>
    <cellStyle name="Normal 8 52" xfId="48277" xr:uid="{00000000-0005-0000-0000-0000A3BC0000}"/>
    <cellStyle name="Normal 8 53" xfId="48278" xr:uid="{00000000-0005-0000-0000-0000A4BC0000}"/>
    <cellStyle name="Normal 8 54" xfId="48279" xr:uid="{00000000-0005-0000-0000-0000A5BC0000}"/>
    <cellStyle name="Normal 8 55" xfId="48280" xr:uid="{00000000-0005-0000-0000-0000A6BC0000}"/>
    <cellStyle name="Normal 8 56" xfId="48281" xr:uid="{00000000-0005-0000-0000-0000A7BC0000}"/>
    <cellStyle name="Normal 8 57" xfId="48282" xr:uid="{00000000-0005-0000-0000-0000A8BC0000}"/>
    <cellStyle name="Normal 8 58" xfId="48283" xr:uid="{00000000-0005-0000-0000-0000A9BC0000}"/>
    <cellStyle name="Normal 8 59" xfId="48284" xr:uid="{00000000-0005-0000-0000-0000AABC0000}"/>
    <cellStyle name="Normal 8 6" xfId="48285" xr:uid="{00000000-0005-0000-0000-0000ABBC0000}"/>
    <cellStyle name="Normal 8 60" xfId="48286" xr:uid="{00000000-0005-0000-0000-0000ACBC0000}"/>
    <cellStyle name="Normal 8 7" xfId="48287" xr:uid="{00000000-0005-0000-0000-0000ADBC0000}"/>
    <cellStyle name="Normal 8 8" xfId="48288" xr:uid="{00000000-0005-0000-0000-0000AEBC0000}"/>
    <cellStyle name="Normal 8 9" xfId="48289" xr:uid="{00000000-0005-0000-0000-0000AFBC0000}"/>
    <cellStyle name="Normal 8_Book2" xfId="48290" xr:uid="{00000000-0005-0000-0000-0000B0BC0000}"/>
    <cellStyle name="Normal 80" xfId="48291" xr:uid="{00000000-0005-0000-0000-0000B1BC0000}"/>
    <cellStyle name="Normal 81" xfId="48292" xr:uid="{00000000-0005-0000-0000-0000B2BC0000}"/>
    <cellStyle name="Normal 82" xfId="48293" xr:uid="{00000000-0005-0000-0000-0000B3BC0000}"/>
    <cellStyle name="Normal 83" xfId="48294" xr:uid="{00000000-0005-0000-0000-0000B4BC0000}"/>
    <cellStyle name="Normal 84" xfId="48295" xr:uid="{00000000-0005-0000-0000-0000B5BC0000}"/>
    <cellStyle name="Normal 85" xfId="48296" xr:uid="{00000000-0005-0000-0000-0000B6BC0000}"/>
    <cellStyle name="Normal 86" xfId="48297" xr:uid="{00000000-0005-0000-0000-0000B7BC0000}"/>
    <cellStyle name="Normal 87" xfId="48298" xr:uid="{00000000-0005-0000-0000-0000B8BC0000}"/>
    <cellStyle name="Normal 88" xfId="48299" xr:uid="{00000000-0005-0000-0000-0000B9BC0000}"/>
    <cellStyle name="Normal 88 2" xfId="48300" xr:uid="{00000000-0005-0000-0000-0000BABC0000}"/>
    <cellStyle name="Normal 89" xfId="48301" xr:uid="{00000000-0005-0000-0000-0000BBBC0000}"/>
    <cellStyle name="Normal 89 2" xfId="48302" xr:uid="{00000000-0005-0000-0000-0000BCBC0000}"/>
    <cellStyle name="Normal 9" xfId="48303" xr:uid="{00000000-0005-0000-0000-0000BDBC0000}"/>
    <cellStyle name="Normal 9 10" xfId="48304" xr:uid="{00000000-0005-0000-0000-0000BEBC0000}"/>
    <cellStyle name="Normal 9 10 2" xfId="48305" xr:uid="{00000000-0005-0000-0000-0000BFBC0000}"/>
    <cellStyle name="Normal 9 10 2 2" xfId="48306" xr:uid="{00000000-0005-0000-0000-0000C0BC0000}"/>
    <cellStyle name="Normal 9 10 3" xfId="48307" xr:uid="{00000000-0005-0000-0000-0000C1BC0000}"/>
    <cellStyle name="Normal 9 10 4" xfId="48308" xr:uid="{00000000-0005-0000-0000-0000C2BC0000}"/>
    <cellStyle name="Normal 9 11" xfId="48309" xr:uid="{00000000-0005-0000-0000-0000C3BC0000}"/>
    <cellStyle name="Normal 9 11 2" xfId="48310" xr:uid="{00000000-0005-0000-0000-0000C4BC0000}"/>
    <cellStyle name="Normal 9 11 2 2" xfId="48311" xr:uid="{00000000-0005-0000-0000-0000C5BC0000}"/>
    <cellStyle name="Normal 9 11 3" xfId="48312" xr:uid="{00000000-0005-0000-0000-0000C6BC0000}"/>
    <cellStyle name="Normal 9 12" xfId="48313" xr:uid="{00000000-0005-0000-0000-0000C7BC0000}"/>
    <cellStyle name="Normal 9 12 2" xfId="48314" xr:uid="{00000000-0005-0000-0000-0000C8BC0000}"/>
    <cellStyle name="Normal 9 12 2 2" xfId="48315" xr:uid="{00000000-0005-0000-0000-0000C9BC0000}"/>
    <cellStyle name="Normal 9 12 3" xfId="48316" xr:uid="{00000000-0005-0000-0000-0000CABC0000}"/>
    <cellStyle name="Normal 9 13" xfId="48317" xr:uid="{00000000-0005-0000-0000-0000CBBC0000}"/>
    <cellStyle name="Normal 9 13 2" xfId="48318" xr:uid="{00000000-0005-0000-0000-0000CCBC0000}"/>
    <cellStyle name="Normal 9 13 2 2" xfId="48319" xr:uid="{00000000-0005-0000-0000-0000CDBC0000}"/>
    <cellStyle name="Normal 9 13 3" xfId="48320" xr:uid="{00000000-0005-0000-0000-0000CEBC0000}"/>
    <cellStyle name="Normal 9 14" xfId="48321" xr:uid="{00000000-0005-0000-0000-0000CFBC0000}"/>
    <cellStyle name="Normal 9 14 2" xfId="48322" xr:uid="{00000000-0005-0000-0000-0000D0BC0000}"/>
    <cellStyle name="Normal 9 14 2 2" xfId="48323" xr:uid="{00000000-0005-0000-0000-0000D1BC0000}"/>
    <cellStyle name="Normal 9 14 3" xfId="48324" xr:uid="{00000000-0005-0000-0000-0000D2BC0000}"/>
    <cellStyle name="Normal 9 15" xfId="48325" xr:uid="{00000000-0005-0000-0000-0000D3BC0000}"/>
    <cellStyle name="Normal 9 15 2" xfId="48326" xr:uid="{00000000-0005-0000-0000-0000D4BC0000}"/>
    <cellStyle name="Normal 9 15 2 2" xfId="48327" xr:uid="{00000000-0005-0000-0000-0000D5BC0000}"/>
    <cellStyle name="Normal 9 15 3" xfId="48328" xr:uid="{00000000-0005-0000-0000-0000D6BC0000}"/>
    <cellStyle name="Normal 9 16" xfId="48329" xr:uid="{00000000-0005-0000-0000-0000D7BC0000}"/>
    <cellStyle name="Normal 9 16 2" xfId="48330" xr:uid="{00000000-0005-0000-0000-0000D8BC0000}"/>
    <cellStyle name="Normal 9 16 2 2" xfId="48331" xr:uid="{00000000-0005-0000-0000-0000D9BC0000}"/>
    <cellStyle name="Normal 9 16 3" xfId="48332" xr:uid="{00000000-0005-0000-0000-0000DABC0000}"/>
    <cellStyle name="Normal 9 17" xfId="48333" xr:uid="{00000000-0005-0000-0000-0000DBBC0000}"/>
    <cellStyle name="Normal 9 17 2" xfId="48334" xr:uid="{00000000-0005-0000-0000-0000DCBC0000}"/>
    <cellStyle name="Normal 9 17 2 2" xfId="48335" xr:uid="{00000000-0005-0000-0000-0000DDBC0000}"/>
    <cellStyle name="Normal 9 17 3" xfId="48336" xr:uid="{00000000-0005-0000-0000-0000DEBC0000}"/>
    <cellStyle name="Normal 9 18" xfId="48337" xr:uid="{00000000-0005-0000-0000-0000DFBC0000}"/>
    <cellStyle name="Normal 9 18 2" xfId="48338" xr:uid="{00000000-0005-0000-0000-0000E0BC0000}"/>
    <cellStyle name="Normal 9 18 2 2" xfId="48339" xr:uid="{00000000-0005-0000-0000-0000E1BC0000}"/>
    <cellStyle name="Normal 9 18 3" xfId="48340" xr:uid="{00000000-0005-0000-0000-0000E2BC0000}"/>
    <cellStyle name="Normal 9 19" xfId="48341" xr:uid="{00000000-0005-0000-0000-0000E3BC0000}"/>
    <cellStyle name="Normal 9 19 2" xfId="48342" xr:uid="{00000000-0005-0000-0000-0000E4BC0000}"/>
    <cellStyle name="Normal 9 19 2 2" xfId="48343" xr:uid="{00000000-0005-0000-0000-0000E5BC0000}"/>
    <cellStyle name="Normal 9 19 3" xfId="48344" xr:uid="{00000000-0005-0000-0000-0000E6BC0000}"/>
    <cellStyle name="Normal 9 2" xfId="48345" xr:uid="{00000000-0005-0000-0000-0000E7BC0000}"/>
    <cellStyle name="Normal 9 2 2" xfId="48346" xr:uid="{00000000-0005-0000-0000-0000E8BC0000}"/>
    <cellStyle name="Normal 9 2 2 2" xfId="48347" xr:uid="{00000000-0005-0000-0000-0000E9BC0000}"/>
    <cellStyle name="Normal 9 2 2 2 2" xfId="48348" xr:uid="{00000000-0005-0000-0000-0000EABC0000}"/>
    <cellStyle name="Normal 9 2 2 2 2 2" xfId="48349" xr:uid="{00000000-0005-0000-0000-0000EBBC0000}"/>
    <cellStyle name="Normal 9 2 2 2 3" xfId="48350" xr:uid="{00000000-0005-0000-0000-0000ECBC0000}"/>
    <cellStyle name="Normal 9 2 2 3" xfId="48351" xr:uid="{00000000-0005-0000-0000-0000EDBC0000}"/>
    <cellStyle name="Normal 9 2 2 3 2" xfId="48352" xr:uid="{00000000-0005-0000-0000-0000EEBC0000}"/>
    <cellStyle name="Normal 9 2 2 4" xfId="48353" xr:uid="{00000000-0005-0000-0000-0000EFBC0000}"/>
    <cellStyle name="Normal 9 2 2 5" xfId="48354" xr:uid="{00000000-0005-0000-0000-0000F0BC0000}"/>
    <cellStyle name="Normal 9 2 3" xfId="48355" xr:uid="{00000000-0005-0000-0000-0000F1BC0000}"/>
    <cellStyle name="Normal 9 2 3 2" xfId="48356" xr:uid="{00000000-0005-0000-0000-0000F2BC0000}"/>
    <cellStyle name="Normal 9 2 3 2 2" xfId="48357" xr:uid="{00000000-0005-0000-0000-0000F3BC0000}"/>
    <cellStyle name="Normal 9 2 3 3" xfId="48358" xr:uid="{00000000-0005-0000-0000-0000F4BC0000}"/>
    <cellStyle name="Normal 9 2 3 4" xfId="48359" xr:uid="{00000000-0005-0000-0000-0000F5BC0000}"/>
    <cellStyle name="Normal 9 2 3 5" xfId="48360" xr:uid="{00000000-0005-0000-0000-0000F6BC0000}"/>
    <cellStyle name="Normal 9 2 4" xfId="48361" xr:uid="{00000000-0005-0000-0000-0000F7BC0000}"/>
    <cellStyle name="Normal 9 2 4 2" xfId="48362" xr:uid="{00000000-0005-0000-0000-0000F8BC0000}"/>
    <cellStyle name="Normal 9 2 5" xfId="48363" xr:uid="{00000000-0005-0000-0000-0000F9BC0000}"/>
    <cellStyle name="Normal 9 2 6" xfId="48364" xr:uid="{00000000-0005-0000-0000-0000FABC0000}"/>
    <cellStyle name="Normal 9 2 7" xfId="48365" xr:uid="{00000000-0005-0000-0000-0000FBBC0000}"/>
    <cellStyle name="Normal 9 2 8" xfId="48366" xr:uid="{00000000-0005-0000-0000-0000FCBC0000}"/>
    <cellStyle name="Normal 9 20" xfId="48367" xr:uid="{00000000-0005-0000-0000-0000FDBC0000}"/>
    <cellStyle name="Normal 9 20 2" xfId="48368" xr:uid="{00000000-0005-0000-0000-0000FEBC0000}"/>
    <cellStyle name="Normal 9 20 2 2" xfId="48369" xr:uid="{00000000-0005-0000-0000-0000FFBC0000}"/>
    <cellStyle name="Normal 9 20 3" xfId="48370" xr:uid="{00000000-0005-0000-0000-000000BD0000}"/>
    <cellStyle name="Normal 9 21" xfId="48371" xr:uid="{00000000-0005-0000-0000-000001BD0000}"/>
    <cellStyle name="Normal 9 21 2" xfId="48372" xr:uid="{00000000-0005-0000-0000-000002BD0000}"/>
    <cellStyle name="Normal 9 21 2 2" xfId="48373" xr:uid="{00000000-0005-0000-0000-000003BD0000}"/>
    <cellStyle name="Normal 9 21 3" xfId="48374" xr:uid="{00000000-0005-0000-0000-000004BD0000}"/>
    <cellStyle name="Normal 9 22" xfId="48375" xr:uid="{00000000-0005-0000-0000-000005BD0000}"/>
    <cellStyle name="Normal 9 22 2" xfId="48376" xr:uid="{00000000-0005-0000-0000-000006BD0000}"/>
    <cellStyle name="Normal 9 22 2 2" xfId="48377" xr:uid="{00000000-0005-0000-0000-000007BD0000}"/>
    <cellStyle name="Normal 9 22 3" xfId="48378" xr:uid="{00000000-0005-0000-0000-000008BD0000}"/>
    <cellStyle name="Normal 9 23" xfId="48379" xr:uid="{00000000-0005-0000-0000-000009BD0000}"/>
    <cellStyle name="Normal 9 23 2" xfId="48380" xr:uid="{00000000-0005-0000-0000-00000ABD0000}"/>
    <cellStyle name="Normal 9 23 2 2" xfId="48381" xr:uid="{00000000-0005-0000-0000-00000BBD0000}"/>
    <cellStyle name="Normal 9 23 3" xfId="48382" xr:uid="{00000000-0005-0000-0000-00000CBD0000}"/>
    <cellStyle name="Normal 9 24" xfId="48383" xr:uid="{00000000-0005-0000-0000-00000DBD0000}"/>
    <cellStyle name="Normal 9 24 2" xfId="48384" xr:uid="{00000000-0005-0000-0000-00000EBD0000}"/>
    <cellStyle name="Normal 9 24 2 2" xfId="48385" xr:uid="{00000000-0005-0000-0000-00000FBD0000}"/>
    <cellStyle name="Normal 9 24 3" xfId="48386" xr:uid="{00000000-0005-0000-0000-000010BD0000}"/>
    <cellStyle name="Normal 9 25" xfId="48387" xr:uid="{00000000-0005-0000-0000-000011BD0000}"/>
    <cellStyle name="Normal 9 25 2" xfId="48388" xr:uid="{00000000-0005-0000-0000-000012BD0000}"/>
    <cellStyle name="Normal 9 25 2 2" xfId="48389" xr:uid="{00000000-0005-0000-0000-000013BD0000}"/>
    <cellStyle name="Normal 9 25 3" xfId="48390" xr:uid="{00000000-0005-0000-0000-000014BD0000}"/>
    <cellStyle name="Normal 9 26" xfId="48391" xr:uid="{00000000-0005-0000-0000-000015BD0000}"/>
    <cellStyle name="Normal 9 26 2" xfId="48392" xr:uid="{00000000-0005-0000-0000-000016BD0000}"/>
    <cellStyle name="Normal 9 26 2 2" xfId="48393" xr:uid="{00000000-0005-0000-0000-000017BD0000}"/>
    <cellStyle name="Normal 9 26 3" xfId="48394" xr:uid="{00000000-0005-0000-0000-000018BD0000}"/>
    <cellStyle name="Normal 9 27" xfId="48395" xr:uid="{00000000-0005-0000-0000-000019BD0000}"/>
    <cellStyle name="Normal 9 27 2" xfId="48396" xr:uid="{00000000-0005-0000-0000-00001ABD0000}"/>
    <cellStyle name="Normal 9 27 2 2" xfId="48397" xr:uid="{00000000-0005-0000-0000-00001BBD0000}"/>
    <cellStyle name="Normal 9 27 3" xfId="48398" xr:uid="{00000000-0005-0000-0000-00001CBD0000}"/>
    <cellStyle name="Normal 9 28" xfId="48399" xr:uid="{00000000-0005-0000-0000-00001DBD0000}"/>
    <cellStyle name="Normal 9 28 2" xfId="48400" xr:uid="{00000000-0005-0000-0000-00001EBD0000}"/>
    <cellStyle name="Normal 9 28 2 2" xfId="48401" xr:uid="{00000000-0005-0000-0000-00001FBD0000}"/>
    <cellStyle name="Normal 9 28 3" xfId="48402" xr:uid="{00000000-0005-0000-0000-000020BD0000}"/>
    <cellStyle name="Normal 9 29" xfId="48403" xr:uid="{00000000-0005-0000-0000-000021BD0000}"/>
    <cellStyle name="Normal 9 29 2" xfId="48404" xr:uid="{00000000-0005-0000-0000-000022BD0000}"/>
    <cellStyle name="Normal 9 29 2 2" xfId="48405" xr:uid="{00000000-0005-0000-0000-000023BD0000}"/>
    <cellStyle name="Normal 9 29 3" xfId="48406" xr:uid="{00000000-0005-0000-0000-000024BD0000}"/>
    <cellStyle name="Normal 9 3" xfId="48407" xr:uid="{00000000-0005-0000-0000-000025BD0000}"/>
    <cellStyle name="Normal 9 3 2" xfId="48408" xr:uid="{00000000-0005-0000-0000-000026BD0000}"/>
    <cellStyle name="Normal 9 3 2 2" xfId="48409" xr:uid="{00000000-0005-0000-0000-000027BD0000}"/>
    <cellStyle name="Normal 9 3 2 2 2" xfId="48410" xr:uid="{00000000-0005-0000-0000-000028BD0000}"/>
    <cellStyle name="Normal 9 3 2 2 2 2" xfId="48411" xr:uid="{00000000-0005-0000-0000-000029BD0000}"/>
    <cellStyle name="Normal 9 3 2 2 3" xfId="48412" xr:uid="{00000000-0005-0000-0000-00002ABD0000}"/>
    <cellStyle name="Normal 9 3 2 3" xfId="48413" xr:uid="{00000000-0005-0000-0000-00002BBD0000}"/>
    <cellStyle name="Normal 9 3 2 3 2" xfId="48414" xr:uid="{00000000-0005-0000-0000-00002CBD0000}"/>
    <cellStyle name="Normal 9 3 2 4" xfId="48415" xr:uid="{00000000-0005-0000-0000-00002DBD0000}"/>
    <cellStyle name="Normal 9 3 3" xfId="48416" xr:uid="{00000000-0005-0000-0000-00002EBD0000}"/>
    <cellStyle name="Normal 9 3 3 2" xfId="48417" xr:uid="{00000000-0005-0000-0000-00002FBD0000}"/>
    <cellStyle name="Normal 9 3 3 2 2" xfId="48418" xr:uid="{00000000-0005-0000-0000-000030BD0000}"/>
    <cellStyle name="Normal 9 3 3 3" xfId="48419" xr:uid="{00000000-0005-0000-0000-000031BD0000}"/>
    <cellStyle name="Normal 9 3 4" xfId="48420" xr:uid="{00000000-0005-0000-0000-000032BD0000}"/>
    <cellStyle name="Normal 9 3 4 2" xfId="48421" xr:uid="{00000000-0005-0000-0000-000033BD0000}"/>
    <cellStyle name="Normal 9 3 5" xfId="48422" xr:uid="{00000000-0005-0000-0000-000034BD0000}"/>
    <cellStyle name="Normal 9 3 6" xfId="48423" xr:uid="{00000000-0005-0000-0000-000035BD0000}"/>
    <cellStyle name="Normal 9 30" xfId="48424" xr:uid="{00000000-0005-0000-0000-000036BD0000}"/>
    <cellStyle name="Normal 9 30 2" xfId="48425" xr:uid="{00000000-0005-0000-0000-000037BD0000}"/>
    <cellStyle name="Normal 9 30 2 2" xfId="48426" xr:uid="{00000000-0005-0000-0000-000038BD0000}"/>
    <cellStyle name="Normal 9 30 3" xfId="48427" xr:uid="{00000000-0005-0000-0000-000039BD0000}"/>
    <cellStyle name="Normal 9 31" xfId="48428" xr:uid="{00000000-0005-0000-0000-00003ABD0000}"/>
    <cellStyle name="Normal 9 31 2" xfId="48429" xr:uid="{00000000-0005-0000-0000-00003BBD0000}"/>
    <cellStyle name="Normal 9 31 2 2" xfId="48430" xr:uid="{00000000-0005-0000-0000-00003CBD0000}"/>
    <cellStyle name="Normal 9 31 3" xfId="48431" xr:uid="{00000000-0005-0000-0000-00003DBD0000}"/>
    <cellStyle name="Normal 9 32" xfId="48432" xr:uid="{00000000-0005-0000-0000-00003EBD0000}"/>
    <cellStyle name="Normal 9 32 2" xfId="48433" xr:uid="{00000000-0005-0000-0000-00003FBD0000}"/>
    <cellStyle name="Normal 9 32 2 2" xfId="48434" xr:uid="{00000000-0005-0000-0000-000040BD0000}"/>
    <cellStyle name="Normal 9 32 3" xfId="48435" xr:uid="{00000000-0005-0000-0000-000041BD0000}"/>
    <cellStyle name="Normal 9 33" xfId="48436" xr:uid="{00000000-0005-0000-0000-000042BD0000}"/>
    <cellStyle name="Normal 9 33 2" xfId="48437" xr:uid="{00000000-0005-0000-0000-000043BD0000}"/>
    <cellStyle name="Normal 9 33 2 2" xfId="48438" xr:uid="{00000000-0005-0000-0000-000044BD0000}"/>
    <cellStyle name="Normal 9 33 3" xfId="48439" xr:uid="{00000000-0005-0000-0000-000045BD0000}"/>
    <cellStyle name="Normal 9 34" xfId="48440" xr:uid="{00000000-0005-0000-0000-000046BD0000}"/>
    <cellStyle name="Normal 9 34 2" xfId="48441" xr:uid="{00000000-0005-0000-0000-000047BD0000}"/>
    <cellStyle name="Normal 9 34 2 2" xfId="48442" xr:uid="{00000000-0005-0000-0000-000048BD0000}"/>
    <cellStyle name="Normal 9 34 3" xfId="48443" xr:uid="{00000000-0005-0000-0000-000049BD0000}"/>
    <cellStyle name="Normal 9 35" xfId="48444" xr:uid="{00000000-0005-0000-0000-00004ABD0000}"/>
    <cellStyle name="Normal 9 35 2" xfId="48445" xr:uid="{00000000-0005-0000-0000-00004BBD0000}"/>
    <cellStyle name="Normal 9 35 2 2" xfId="48446" xr:uid="{00000000-0005-0000-0000-00004CBD0000}"/>
    <cellStyle name="Normal 9 35 3" xfId="48447" xr:uid="{00000000-0005-0000-0000-00004DBD0000}"/>
    <cellStyle name="Normal 9 36" xfId="48448" xr:uid="{00000000-0005-0000-0000-00004EBD0000}"/>
    <cellStyle name="Normal 9 36 2" xfId="48449" xr:uid="{00000000-0005-0000-0000-00004FBD0000}"/>
    <cellStyle name="Normal 9 37" xfId="48450" xr:uid="{00000000-0005-0000-0000-000050BD0000}"/>
    <cellStyle name="Normal 9 38" xfId="48451" xr:uid="{00000000-0005-0000-0000-000051BD0000}"/>
    <cellStyle name="Normal 9 39" xfId="48452" xr:uid="{00000000-0005-0000-0000-000052BD0000}"/>
    <cellStyle name="Normal 9 4" xfId="48453" xr:uid="{00000000-0005-0000-0000-000053BD0000}"/>
    <cellStyle name="Normal 9 4 2" xfId="48454" xr:uid="{00000000-0005-0000-0000-000054BD0000}"/>
    <cellStyle name="Normal 9 4 2 2" xfId="48455" xr:uid="{00000000-0005-0000-0000-000055BD0000}"/>
    <cellStyle name="Normal 9 4 2 2 2" xfId="48456" xr:uid="{00000000-0005-0000-0000-000056BD0000}"/>
    <cellStyle name="Normal 9 4 2 2 2 2" xfId="48457" xr:uid="{00000000-0005-0000-0000-000057BD0000}"/>
    <cellStyle name="Normal 9 4 2 2 3" xfId="48458" xr:uid="{00000000-0005-0000-0000-000058BD0000}"/>
    <cellStyle name="Normal 9 4 2 3" xfId="48459" xr:uid="{00000000-0005-0000-0000-000059BD0000}"/>
    <cellStyle name="Normal 9 4 2 3 2" xfId="48460" xr:uid="{00000000-0005-0000-0000-00005ABD0000}"/>
    <cellStyle name="Normal 9 4 2 4" xfId="48461" xr:uid="{00000000-0005-0000-0000-00005BBD0000}"/>
    <cellStyle name="Normal 9 4 3" xfId="48462" xr:uid="{00000000-0005-0000-0000-00005CBD0000}"/>
    <cellStyle name="Normal 9 4 3 2" xfId="48463" xr:uid="{00000000-0005-0000-0000-00005DBD0000}"/>
    <cellStyle name="Normal 9 4 3 2 2" xfId="48464" xr:uid="{00000000-0005-0000-0000-00005EBD0000}"/>
    <cellStyle name="Normal 9 4 3 3" xfId="48465" xr:uid="{00000000-0005-0000-0000-00005FBD0000}"/>
    <cellStyle name="Normal 9 4 4" xfId="48466" xr:uid="{00000000-0005-0000-0000-000060BD0000}"/>
    <cellStyle name="Normal 9 4 4 2" xfId="48467" xr:uid="{00000000-0005-0000-0000-000061BD0000}"/>
    <cellStyle name="Normal 9 4 5" xfId="48468" xr:uid="{00000000-0005-0000-0000-000062BD0000}"/>
    <cellStyle name="Normal 9 4 6" xfId="48469" xr:uid="{00000000-0005-0000-0000-000063BD0000}"/>
    <cellStyle name="Normal 9 40" xfId="48470" xr:uid="{00000000-0005-0000-0000-000064BD0000}"/>
    <cellStyle name="Normal 9 41" xfId="48471" xr:uid="{00000000-0005-0000-0000-000065BD0000}"/>
    <cellStyle name="Normal 9 5" xfId="48472" xr:uid="{00000000-0005-0000-0000-000066BD0000}"/>
    <cellStyle name="Normal 9 5 2" xfId="48473" xr:uid="{00000000-0005-0000-0000-000067BD0000}"/>
    <cellStyle name="Normal 9 5 2 2" xfId="48474" xr:uid="{00000000-0005-0000-0000-000068BD0000}"/>
    <cellStyle name="Normal 9 5 3" xfId="48475" xr:uid="{00000000-0005-0000-0000-000069BD0000}"/>
    <cellStyle name="Normal 9 6" xfId="48476" xr:uid="{00000000-0005-0000-0000-00006ABD0000}"/>
    <cellStyle name="Normal 9 6 2" xfId="48477" xr:uid="{00000000-0005-0000-0000-00006BBD0000}"/>
    <cellStyle name="Normal 9 6 2 2" xfId="48478" xr:uid="{00000000-0005-0000-0000-00006CBD0000}"/>
    <cellStyle name="Normal 9 6 3" xfId="48479" xr:uid="{00000000-0005-0000-0000-00006DBD0000}"/>
    <cellStyle name="Normal 9 6 4" xfId="48480" xr:uid="{00000000-0005-0000-0000-00006EBD0000}"/>
    <cellStyle name="Normal 9 7" xfId="48481" xr:uid="{00000000-0005-0000-0000-00006FBD0000}"/>
    <cellStyle name="Normal 9 7 2" xfId="48482" xr:uid="{00000000-0005-0000-0000-000070BD0000}"/>
    <cellStyle name="Normal 9 7 2 2" xfId="48483" xr:uid="{00000000-0005-0000-0000-000071BD0000}"/>
    <cellStyle name="Normal 9 7 3" xfId="48484" xr:uid="{00000000-0005-0000-0000-000072BD0000}"/>
    <cellStyle name="Normal 9 7 4" xfId="48485" xr:uid="{00000000-0005-0000-0000-000073BD0000}"/>
    <cellStyle name="Normal 9 8" xfId="48486" xr:uid="{00000000-0005-0000-0000-000074BD0000}"/>
    <cellStyle name="Normal 9 8 2" xfId="48487" xr:uid="{00000000-0005-0000-0000-000075BD0000}"/>
    <cellStyle name="Normal 9 8 2 2" xfId="48488" xr:uid="{00000000-0005-0000-0000-000076BD0000}"/>
    <cellStyle name="Normal 9 8 3" xfId="48489" xr:uid="{00000000-0005-0000-0000-000077BD0000}"/>
    <cellStyle name="Normal 9 8 4" xfId="48490" xr:uid="{00000000-0005-0000-0000-000078BD0000}"/>
    <cellStyle name="Normal 9 9" xfId="48491" xr:uid="{00000000-0005-0000-0000-000079BD0000}"/>
    <cellStyle name="Normal 9 9 2" xfId="48492" xr:uid="{00000000-0005-0000-0000-00007ABD0000}"/>
    <cellStyle name="Normal 9 9 2 2" xfId="48493" xr:uid="{00000000-0005-0000-0000-00007BBD0000}"/>
    <cellStyle name="Normal 9 9 3" xfId="48494" xr:uid="{00000000-0005-0000-0000-00007CBD0000}"/>
    <cellStyle name="Normal 9 9 4" xfId="48495" xr:uid="{00000000-0005-0000-0000-00007DBD0000}"/>
    <cellStyle name="Normal 9_Book2" xfId="48496" xr:uid="{00000000-0005-0000-0000-00007EBD0000}"/>
    <cellStyle name="Normal 90" xfId="48497" xr:uid="{00000000-0005-0000-0000-00007FBD0000}"/>
    <cellStyle name="Normal 91" xfId="48498" xr:uid="{00000000-0005-0000-0000-000080BD0000}"/>
    <cellStyle name="Normal 92" xfId="48499" xr:uid="{00000000-0005-0000-0000-000081BD0000}"/>
    <cellStyle name="Normal 93" xfId="48500" xr:uid="{00000000-0005-0000-0000-000082BD0000}"/>
    <cellStyle name="Normal 94" xfId="48501" xr:uid="{00000000-0005-0000-0000-000083BD0000}"/>
    <cellStyle name="Normal 95" xfId="48502" xr:uid="{00000000-0005-0000-0000-000084BD0000}"/>
    <cellStyle name="Normal 96" xfId="48503" xr:uid="{00000000-0005-0000-0000-000085BD0000}"/>
    <cellStyle name="Normal 97" xfId="48504" xr:uid="{00000000-0005-0000-0000-000086BD0000}"/>
    <cellStyle name="Normal 98" xfId="48505" xr:uid="{00000000-0005-0000-0000-000087BD0000}"/>
    <cellStyle name="Normal 99" xfId="48506" xr:uid="{00000000-0005-0000-0000-000088BD0000}"/>
    <cellStyle name="Normal_Daily Progress report May-09" xfId="5" xr:uid="{00000000-0005-0000-0000-000089BD0000}"/>
    <cellStyle name="Normalausrichtung" xfId="48507" xr:uid="{00000000-0005-0000-0000-00008ABD0000}"/>
    <cellStyle name="Normalausrichtung 2" xfId="48508" xr:uid="{00000000-0005-0000-0000-00008BBD0000}"/>
    <cellStyle name="Normalausrichtung 3" xfId="48509" xr:uid="{00000000-0005-0000-0000-00008CBD0000}"/>
    <cellStyle name="Normalausrichtung 4" xfId="48510" xr:uid="{00000000-0005-0000-0000-00008DBD0000}"/>
    <cellStyle name="Normalny_INVEST" xfId="48511" xr:uid="{00000000-0005-0000-0000-00008EBD0000}"/>
    <cellStyle name="Nos" xfId="48512" xr:uid="{00000000-0005-0000-0000-00008FBD0000}"/>
    <cellStyle name="Nos 2" xfId="48513" xr:uid="{00000000-0005-0000-0000-000090BD0000}"/>
    <cellStyle name="Note 10" xfId="48514" xr:uid="{00000000-0005-0000-0000-000091BD0000}"/>
    <cellStyle name="Note 10 10" xfId="48515" xr:uid="{00000000-0005-0000-0000-000092BD0000}"/>
    <cellStyle name="Note 10 2" xfId="48516" xr:uid="{00000000-0005-0000-0000-000093BD0000}"/>
    <cellStyle name="Note 10 2 2" xfId="48517" xr:uid="{00000000-0005-0000-0000-000094BD0000}"/>
    <cellStyle name="Note 10 2 3" xfId="48518" xr:uid="{00000000-0005-0000-0000-000095BD0000}"/>
    <cellStyle name="Note 10 2 4" xfId="48519" xr:uid="{00000000-0005-0000-0000-000096BD0000}"/>
    <cellStyle name="Note 10 2 5" xfId="48520" xr:uid="{00000000-0005-0000-0000-000097BD0000}"/>
    <cellStyle name="Note 10 3" xfId="48521" xr:uid="{00000000-0005-0000-0000-000098BD0000}"/>
    <cellStyle name="Note 10 3 2" xfId="48522" xr:uid="{00000000-0005-0000-0000-000099BD0000}"/>
    <cellStyle name="Note 10 3 3" xfId="48523" xr:uid="{00000000-0005-0000-0000-00009ABD0000}"/>
    <cellStyle name="Note 10 4" xfId="48524" xr:uid="{00000000-0005-0000-0000-00009BBD0000}"/>
    <cellStyle name="Note 10 4 2" xfId="48525" xr:uid="{00000000-0005-0000-0000-00009CBD0000}"/>
    <cellStyle name="Note 10 4 3" xfId="48526" xr:uid="{00000000-0005-0000-0000-00009DBD0000}"/>
    <cellStyle name="Note 10 5" xfId="48527" xr:uid="{00000000-0005-0000-0000-00009EBD0000}"/>
    <cellStyle name="Note 10 5 2" xfId="48528" xr:uid="{00000000-0005-0000-0000-00009FBD0000}"/>
    <cellStyle name="Note 10 5 3" xfId="48529" xr:uid="{00000000-0005-0000-0000-0000A0BD0000}"/>
    <cellStyle name="Note 10 6" xfId="48530" xr:uid="{00000000-0005-0000-0000-0000A1BD0000}"/>
    <cellStyle name="Note 10 6 2" xfId="48531" xr:uid="{00000000-0005-0000-0000-0000A2BD0000}"/>
    <cellStyle name="Note 10 6 3" xfId="48532" xr:uid="{00000000-0005-0000-0000-0000A3BD0000}"/>
    <cellStyle name="Note 10 7" xfId="48533" xr:uid="{00000000-0005-0000-0000-0000A4BD0000}"/>
    <cellStyle name="Note 10 8" xfId="48534" xr:uid="{00000000-0005-0000-0000-0000A5BD0000}"/>
    <cellStyle name="Note 10 9" xfId="48535" xr:uid="{00000000-0005-0000-0000-0000A6BD0000}"/>
    <cellStyle name="Note 11" xfId="48536" xr:uid="{00000000-0005-0000-0000-0000A7BD0000}"/>
    <cellStyle name="Note 11 10" xfId="48537" xr:uid="{00000000-0005-0000-0000-0000A8BD0000}"/>
    <cellStyle name="Note 11 2" xfId="48538" xr:uid="{00000000-0005-0000-0000-0000A9BD0000}"/>
    <cellStyle name="Note 11 2 2" xfId="48539" xr:uid="{00000000-0005-0000-0000-0000AABD0000}"/>
    <cellStyle name="Note 11 2 3" xfId="48540" xr:uid="{00000000-0005-0000-0000-0000ABBD0000}"/>
    <cellStyle name="Note 11 2 4" xfId="48541" xr:uid="{00000000-0005-0000-0000-0000ACBD0000}"/>
    <cellStyle name="Note 11 2 5" xfId="48542" xr:uid="{00000000-0005-0000-0000-0000ADBD0000}"/>
    <cellStyle name="Note 11 3" xfId="48543" xr:uid="{00000000-0005-0000-0000-0000AEBD0000}"/>
    <cellStyle name="Note 11 3 2" xfId="48544" xr:uid="{00000000-0005-0000-0000-0000AFBD0000}"/>
    <cellStyle name="Note 11 3 3" xfId="48545" xr:uid="{00000000-0005-0000-0000-0000B0BD0000}"/>
    <cellStyle name="Note 11 4" xfId="48546" xr:uid="{00000000-0005-0000-0000-0000B1BD0000}"/>
    <cellStyle name="Note 11 4 2" xfId="48547" xr:uid="{00000000-0005-0000-0000-0000B2BD0000}"/>
    <cellStyle name="Note 11 4 3" xfId="48548" xr:uid="{00000000-0005-0000-0000-0000B3BD0000}"/>
    <cellStyle name="Note 11 5" xfId="48549" xr:uid="{00000000-0005-0000-0000-0000B4BD0000}"/>
    <cellStyle name="Note 11 5 2" xfId="48550" xr:uid="{00000000-0005-0000-0000-0000B5BD0000}"/>
    <cellStyle name="Note 11 5 3" xfId="48551" xr:uid="{00000000-0005-0000-0000-0000B6BD0000}"/>
    <cellStyle name="Note 11 6" xfId="48552" xr:uid="{00000000-0005-0000-0000-0000B7BD0000}"/>
    <cellStyle name="Note 11 6 2" xfId="48553" xr:uid="{00000000-0005-0000-0000-0000B8BD0000}"/>
    <cellStyle name="Note 11 6 3" xfId="48554" xr:uid="{00000000-0005-0000-0000-0000B9BD0000}"/>
    <cellStyle name="Note 11 7" xfId="48555" xr:uid="{00000000-0005-0000-0000-0000BABD0000}"/>
    <cellStyle name="Note 11 8" xfId="48556" xr:uid="{00000000-0005-0000-0000-0000BBBD0000}"/>
    <cellStyle name="Note 11 9" xfId="48557" xr:uid="{00000000-0005-0000-0000-0000BCBD0000}"/>
    <cellStyle name="Note 12" xfId="48558" xr:uid="{00000000-0005-0000-0000-0000BDBD0000}"/>
    <cellStyle name="Note 12 10" xfId="48559" xr:uid="{00000000-0005-0000-0000-0000BEBD0000}"/>
    <cellStyle name="Note 12 2" xfId="48560" xr:uid="{00000000-0005-0000-0000-0000BFBD0000}"/>
    <cellStyle name="Note 12 2 2" xfId="48561" xr:uid="{00000000-0005-0000-0000-0000C0BD0000}"/>
    <cellStyle name="Note 12 2 3" xfId="48562" xr:uid="{00000000-0005-0000-0000-0000C1BD0000}"/>
    <cellStyle name="Note 12 2 4" xfId="48563" xr:uid="{00000000-0005-0000-0000-0000C2BD0000}"/>
    <cellStyle name="Note 12 2 5" xfId="48564" xr:uid="{00000000-0005-0000-0000-0000C3BD0000}"/>
    <cellStyle name="Note 12 3" xfId="48565" xr:uid="{00000000-0005-0000-0000-0000C4BD0000}"/>
    <cellStyle name="Note 12 3 2" xfId="48566" xr:uid="{00000000-0005-0000-0000-0000C5BD0000}"/>
    <cellStyle name="Note 12 3 3" xfId="48567" xr:uid="{00000000-0005-0000-0000-0000C6BD0000}"/>
    <cellStyle name="Note 12 4" xfId="48568" xr:uid="{00000000-0005-0000-0000-0000C7BD0000}"/>
    <cellStyle name="Note 12 4 2" xfId="48569" xr:uid="{00000000-0005-0000-0000-0000C8BD0000}"/>
    <cellStyle name="Note 12 4 3" xfId="48570" xr:uid="{00000000-0005-0000-0000-0000C9BD0000}"/>
    <cellStyle name="Note 12 5" xfId="48571" xr:uid="{00000000-0005-0000-0000-0000CABD0000}"/>
    <cellStyle name="Note 12 5 2" xfId="48572" xr:uid="{00000000-0005-0000-0000-0000CBBD0000}"/>
    <cellStyle name="Note 12 5 3" xfId="48573" xr:uid="{00000000-0005-0000-0000-0000CCBD0000}"/>
    <cellStyle name="Note 12 6" xfId="48574" xr:uid="{00000000-0005-0000-0000-0000CDBD0000}"/>
    <cellStyle name="Note 12 6 2" xfId="48575" xr:uid="{00000000-0005-0000-0000-0000CEBD0000}"/>
    <cellStyle name="Note 12 6 3" xfId="48576" xr:uid="{00000000-0005-0000-0000-0000CFBD0000}"/>
    <cellStyle name="Note 12 7" xfId="48577" xr:uid="{00000000-0005-0000-0000-0000D0BD0000}"/>
    <cellStyle name="Note 12 8" xfId="48578" xr:uid="{00000000-0005-0000-0000-0000D1BD0000}"/>
    <cellStyle name="Note 12 9" xfId="48579" xr:uid="{00000000-0005-0000-0000-0000D2BD0000}"/>
    <cellStyle name="Note 13" xfId="48580" xr:uid="{00000000-0005-0000-0000-0000D3BD0000}"/>
    <cellStyle name="Note 13 10" xfId="48581" xr:uid="{00000000-0005-0000-0000-0000D4BD0000}"/>
    <cellStyle name="Note 13 2" xfId="48582" xr:uid="{00000000-0005-0000-0000-0000D5BD0000}"/>
    <cellStyle name="Note 13 2 2" xfId="48583" xr:uid="{00000000-0005-0000-0000-0000D6BD0000}"/>
    <cellStyle name="Note 13 2 3" xfId="48584" xr:uid="{00000000-0005-0000-0000-0000D7BD0000}"/>
    <cellStyle name="Note 13 2 4" xfId="48585" xr:uid="{00000000-0005-0000-0000-0000D8BD0000}"/>
    <cellStyle name="Note 13 2 5" xfId="48586" xr:uid="{00000000-0005-0000-0000-0000D9BD0000}"/>
    <cellStyle name="Note 13 3" xfId="48587" xr:uid="{00000000-0005-0000-0000-0000DABD0000}"/>
    <cellStyle name="Note 13 3 2" xfId="48588" xr:uid="{00000000-0005-0000-0000-0000DBBD0000}"/>
    <cellStyle name="Note 13 3 3" xfId="48589" xr:uid="{00000000-0005-0000-0000-0000DCBD0000}"/>
    <cellStyle name="Note 13 4" xfId="48590" xr:uid="{00000000-0005-0000-0000-0000DDBD0000}"/>
    <cellStyle name="Note 13 4 2" xfId="48591" xr:uid="{00000000-0005-0000-0000-0000DEBD0000}"/>
    <cellStyle name="Note 13 4 3" xfId="48592" xr:uid="{00000000-0005-0000-0000-0000DFBD0000}"/>
    <cellStyle name="Note 13 5" xfId="48593" xr:uid="{00000000-0005-0000-0000-0000E0BD0000}"/>
    <cellStyle name="Note 13 5 2" xfId="48594" xr:uid="{00000000-0005-0000-0000-0000E1BD0000}"/>
    <cellStyle name="Note 13 5 3" xfId="48595" xr:uid="{00000000-0005-0000-0000-0000E2BD0000}"/>
    <cellStyle name="Note 13 6" xfId="48596" xr:uid="{00000000-0005-0000-0000-0000E3BD0000}"/>
    <cellStyle name="Note 13 6 2" xfId="48597" xr:uid="{00000000-0005-0000-0000-0000E4BD0000}"/>
    <cellStyle name="Note 13 6 3" xfId="48598" xr:uid="{00000000-0005-0000-0000-0000E5BD0000}"/>
    <cellStyle name="Note 13 7" xfId="48599" xr:uid="{00000000-0005-0000-0000-0000E6BD0000}"/>
    <cellStyle name="Note 13 8" xfId="48600" xr:uid="{00000000-0005-0000-0000-0000E7BD0000}"/>
    <cellStyle name="Note 13 9" xfId="48601" xr:uid="{00000000-0005-0000-0000-0000E8BD0000}"/>
    <cellStyle name="Note 14" xfId="48602" xr:uid="{00000000-0005-0000-0000-0000E9BD0000}"/>
    <cellStyle name="Note 14 10" xfId="48603" xr:uid="{00000000-0005-0000-0000-0000EABD0000}"/>
    <cellStyle name="Note 14 2" xfId="48604" xr:uid="{00000000-0005-0000-0000-0000EBBD0000}"/>
    <cellStyle name="Note 14 2 2" xfId="48605" xr:uid="{00000000-0005-0000-0000-0000ECBD0000}"/>
    <cellStyle name="Note 14 2 3" xfId="48606" xr:uid="{00000000-0005-0000-0000-0000EDBD0000}"/>
    <cellStyle name="Note 14 2 4" xfId="48607" xr:uid="{00000000-0005-0000-0000-0000EEBD0000}"/>
    <cellStyle name="Note 14 2 5" xfId="48608" xr:uid="{00000000-0005-0000-0000-0000EFBD0000}"/>
    <cellStyle name="Note 14 3" xfId="48609" xr:uid="{00000000-0005-0000-0000-0000F0BD0000}"/>
    <cellStyle name="Note 14 3 2" xfId="48610" xr:uid="{00000000-0005-0000-0000-0000F1BD0000}"/>
    <cellStyle name="Note 14 3 3" xfId="48611" xr:uid="{00000000-0005-0000-0000-0000F2BD0000}"/>
    <cellStyle name="Note 14 4" xfId="48612" xr:uid="{00000000-0005-0000-0000-0000F3BD0000}"/>
    <cellStyle name="Note 14 4 2" xfId="48613" xr:uid="{00000000-0005-0000-0000-0000F4BD0000}"/>
    <cellStyle name="Note 14 4 3" xfId="48614" xr:uid="{00000000-0005-0000-0000-0000F5BD0000}"/>
    <cellStyle name="Note 14 5" xfId="48615" xr:uid="{00000000-0005-0000-0000-0000F6BD0000}"/>
    <cellStyle name="Note 14 5 2" xfId="48616" xr:uid="{00000000-0005-0000-0000-0000F7BD0000}"/>
    <cellStyle name="Note 14 5 3" xfId="48617" xr:uid="{00000000-0005-0000-0000-0000F8BD0000}"/>
    <cellStyle name="Note 14 6" xfId="48618" xr:uid="{00000000-0005-0000-0000-0000F9BD0000}"/>
    <cellStyle name="Note 14 6 2" xfId="48619" xr:uid="{00000000-0005-0000-0000-0000FABD0000}"/>
    <cellStyle name="Note 14 6 3" xfId="48620" xr:uid="{00000000-0005-0000-0000-0000FBBD0000}"/>
    <cellStyle name="Note 14 7" xfId="48621" xr:uid="{00000000-0005-0000-0000-0000FCBD0000}"/>
    <cellStyle name="Note 14 8" xfId="48622" xr:uid="{00000000-0005-0000-0000-0000FDBD0000}"/>
    <cellStyle name="Note 14 9" xfId="48623" xr:uid="{00000000-0005-0000-0000-0000FEBD0000}"/>
    <cellStyle name="Note 15" xfId="48624" xr:uid="{00000000-0005-0000-0000-0000FFBD0000}"/>
    <cellStyle name="Note 15 10" xfId="48625" xr:uid="{00000000-0005-0000-0000-000000BE0000}"/>
    <cellStyle name="Note 15 2" xfId="48626" xr:uid="{00000000-0005-0000-0000-000001BE0000}"/>
    <cellStyle name="Note 15 2 2" xfId="48627" xr:uid="{00000000-0005-0000-0000-000002BE0000}"/>
    <cellStyle name="Note 15 2 3" xfId="48628" xr:uid="{00000000-0005-0000-0000-000003BE0000}"/>
    <cellStyle name="Note 15 2 4" xfId="48629" xr:uid="{00000000-0005-0000-0000-000004BE0000}"/>
    <cellStyle name="Note 15 2 5" xfId="48630" xr:uid="{00000000-0005-0000-0000-000005BE0000}"/>
    <cellStyle name="Note 15 3" xfId="48631" xr:uid="{00000000-0005-0000-0000-000006BE0000}"/>
    <cellStyle name="Note 15 3 2" xfId="48632" xr:uid="{00000000-0005-0000-0000-000007BE0000}"/>
    <cellStyle name="Note 15 3 3" xfId="48633" xr:uid="{00000000-0005-0000-0000-000008BE0000}"/>
    <cellStyle name="Note 15 4" xfId="48634" xr:uid="{00000000-0005-0000-0000-000009BE0000}"/>
    <cellStyle name="Note 15 4 2" xfId="48635" xr:uid="{00000000-0005-0000-0000-00000ABE0000}"/>
    <cellStyle name="Note 15 4 3" xfId="48636" xr:uid="{00000000-0005-0000-0000-00000BBE0000}"/>
    <cellStyle name="Note 15 5" xfId="48637" xr:uid="{00000000-0005-0000-0000-00000CBE0000}"/>
    <cellStyle name="Note 15 5 2" xfId="48638" xr:uid="{00000000-0005-0000-0000-00000DBE0000}"/>
    <cellStyle name="Note 15 5 3" xfId="48639" xr:uid="{00000000-0005-0000-0000-00000EBE0000}"/>
    <cellStyle name="Note 15 6" xfId="48640" xr:uid="{00000000-0005-0000-0000-00000FBE0000}"/>
    <cellStyle name="Note 15 6 2" xfId="48641" xr:uid="{00000000-0005-0000-0000-000010BE0000}"/>
    <cellStyle name="Note 15 6 3" xfId="48642" xr:uid="{00000000-0005-0000-0000-000011BE0000}"/>
    <cellStyle name="Note 15 7" xfId="48643" xr:uid="{00000000-0005-0000-0000-000012BE0000}"/>
    <cellStyle name="Note 15 8" xfId="48644" xr:uid="{00000000-0005-0000-0000-000013BE0000}"/>
    <cellStyle name="Note 15 9" xfId="48645" xr:uid="{00000000-0005-0000-0000-000014BE0000}"/>
    <cellStyle name="Note 16" xfId="48646" xr:uid="{00000000-0005-0000-0000-000015BE0000}"/>
    <cellStyle name="Note 16 10" xfId="48647" xr:uid="{00000000-0005-0000-0000-000016BE0000}"/>
    <cellStyle name="Note 16 2" xfId="48648" xr:uid="{00000000-0005-0000-0000-000017BE0000}"/>
    <cellStyle name="Note 16 2 2" xfId="48649" xr:uid="{00000000-0005-0000-0000-000018BE0000}"/>
    <cellStyle name="Note 16 2 3" xfId="48650" xr:uid="{00000000-0005-0000-0000-000019BE0000}"/>
    <cellStyle name="Note 16 2 4" xfId="48651" xr:uid="{00000000-0005-0000-0000-00001ABE0000}"/>
    <cellStyle name="Note 16 2 5" xfId="48652" xr:uid="{00000000-0005-0000-0000-00001BBE0000}"/>
    <cellStyle name="Note 16 3" xfId="48653" xr:uid="{00000000-0005-0000-0000-00001CBE0000}"/>
    <cellStyle name="Note 16 3 2" xfId="48654" xr:uid="{00000000-0005-0000-0000-00001DBE0000}"/>
    <cellStyle name="Note 16 3 3" xfId="48655" xr:uid="{00000000-0005-0000-0000-00001EBE0000}"/>
    <cellStyle name="Note 16 4" xfId="48656" xr:uid="{00000000-0005-0000-0000-00001FBE0000}"/>
    <cellStyle name="Note 16 4 2" xfId="48657" xr:uid="{00000000-0005-0000-0000-000020BE0000}"/>
    <cellStyle name="Note 16 4 3" xfId="48658" xr:uid="{00000000-0005-0000-0000-000021BE0000}"/>
    <cellStyle name="Note 16 5" xfId="48659" xr:uid="{00000000-0005-0000-0000-000022BE0000}"/>
    <cellStyle name="Note 16 5 2" xfId="48660" xr:uid="{00000000-0005-0000-0000-000023BE0000}"/>
    <cellStyle name="Note 16 5 3" xfId="48661" xr:uid="{00000000-0005-0000-0000-000024BE0000}"/>
    <cellStyle name="Note 16 6" xfId="48662" xr:uid="{00000000-0005-0000-0000-000025BE0000}"/>
    <cellStyle name="Note 16 6 2" xfId="48663" xr:uid="{00000000-0005-0000-0000-000026BE0000}"/>
    <cellStyle name="Note 16 6 3" xfId="48664" xr:uid="{00000000-0005-0000-0000-000027BE0000}"/>
    <cellStyle name="Note 16 7" xfId="48665" xr:uid="{00000000-0005-0000-0000-000028BE0000}"/>
    <cellStyle name="Note 16 8" xfId="48666" xr:uid="{00000000-0005-0000-0000-000029BE0000}"/>
    <cellStyle name="Note 16 9" xfId="48667" xr:uid="{00000000-0005-0000-0000-00002ABE0000}"/>
    <cellStyle name="Note 17" xfId="48668" xr:uid="{00000000-0005-0000-0000-00002BBE0000}"/>
    <cellStyle name="Note 17 10" xfId="48669" xr:uid="{00000000-0005-0000-0000-00002CBE0000}"/>
    <cellStyle name="Note 17 2" xfId="48670" xr:uid="{00000000-0005-0000-0000-00002DBE0000}"/>
    <cellStyle name="Note 17 2 2" xfId="48671" xr:uid="{00000000-0005-0000-0000-00002EBE0000}"/>
    <cellStyle name="Note 17 2 3" xfId="48672" xr:uid="{00000000-0005-0000-0000-00002FBE0000}"/>
    <cellStyle name="Note 17 2 4" xfId="48673" xr:uid="{00000000-0005-0000-0000-000030BE0000}"/>
    <cellStyle name="Note 17 2 5" xfId="48674" xr:uid="{00000000-0005-0000-0000-000031BE0000}"/>
    <cellStyle name="Note 17 3" xfId="48675" xr:uid="{00000000-0005-0000-0000-000032BE0000}"/>
    <cellStyle name="Note 17 3 2" xfId="48676" xr:uid="{00000000-0005-0000-0000-000033BE0000}"/>
    <cellStyle name="Note 17 3 3" xfId="48677" xr:uid="{00000000-0005-0000-0000-000034BE0000}"/>
    <cellStyle name="Note 17 4" xfId="48678" xr:uid="{00000000-0005-0000-0000-000035BE0000}"/>
    <cellStyle name="Note 17 4 2" xfId="48679" xr:uid="{00000000-0005-0000-0000-000036BE0000}"/>
    <cellStyle name="Note 17 4 3" xfId="48680" xr:uid="{00000000-0005-0000-0000-000037BE0000}"/>
    <cellStyle name="Note 17 5" xfId="48681" xr:uid="{00000000-0005-0000-0000-000038BE0000}"/>
    <cellStyle name="Note 17 5 2" xfId="48682" xr:uid="{00000000-0005-0000-0000-000039BE0000}"/>
    <cellStyle name="Note 17 5 3" xfId="48683" xr:uid="{00000000-0005-0000-0000-00003ABE0000}"/>
    <cellStyle name="Note 17 6" xfId="48684" xr:uid="{00000000-0005-0000-0000-00003BBE0000}"/>
    <cellStyle name="Note 17 6 2" xfId="48685" xr:uid="{00000000-0005-0000-0000-00003CBE0000}"/>
    <cellStyle name="Note 17 6 3" xfId="48686" xr:uid="{00000000-0005-0000-0000-00003DBE0000}"/>
    <cellStyle name="Note 17 7" xfId="48687" xr:uid="{00000000-0005-0000-0000-00003EBE0000}"/>
    <cellStyle name="Note 17 8" xfId="48688" xr:uid="{00000000-0005-0000-0000-00003FBE0000}"/>
    <cellStyle name="Note 17 9" xfId="48689" xr:uid="{00000000-0005-0000-0000-000040BE0000}"/>
    <cellStyle name="Note 18" xfId="48690" xr:uid="{00000000-0005-0000-0000-000041BE0000}"/>
    <cellStyle name="Note 18 10" xfId="48691" xr:uid="{00000000-0005-0000-0000-000042BE0000}"/>
    <cellStyle name="Note 18 2" xfId="48692" xr:uid="{00000000-0005-0000-0000-000043BE0000}"/>
    <cellStyle name="Note 18 2 2" xfId="48693" xr:uid="{00000000-0005-0000-0000-000044BE0000}"/>
    <cellStyle name="Note 18 2 3" xfId="48694" xr:uid="{00000000-0005-0000-0000-000045BE0000}"/>
    <cellStyle name="Note 18 2 4" xfId="48695" xr:uid="{00000000-0005-0000-0000-000046BE0000}"/>
    <cellStyle name="Note 18 2 5" xfId="48696" xr:uid="{00000000-0005-0000-0000-000047BE0000}"/>
    <cellStyle name="Note 18 3" xfId="48697" xr:uid="{00000000-0005-0000-0000-000048BE0000}"/>
    <cellStyle name="Note 18 3 2" xfId="48698" xr:uid="{00000000-0005-0000-0000-000049BE0000}"/>
    <cellStyle name="Note 18 3 3" xfId="48699" xr:uid="{00000000-0005-0000-0000-00004ABE0000}"/>
    <cellStyle name="Note 18 4" xfId="48700" xr:uid="{00000000-0005-0000-0000-00004BBE0000}"/>
    <cellStyle name="Note 18 4 2" xfId="48701" xr:uid="{00000000-0005-0000-0000-00004CBE0000}"/>
    <cellStyle name="Note 18 4 3" xfId="48702" xr:uid="{00000000-0005-0000-0000-00004DBE0000}"/>
    <cellStyle name="Note 18 5" xfId="48703" xr:uid="{00000000-0005-0000-0000-00004EBE0000}"/>
    <cellStyle name="Note 18 5 2" xfId="48704" xr:uid="{00000000-0005-0000-0000-00004FBE0000}"/>
    <cellStyle name="Note 18 5 3" xfId="48705" xr:uid="{00000000-0005-0000-0000-000050BE0000}"/>
    <cellStyle name="Note 18 6" xfId="48706" xr:uid="{00000000-0005-0000-0000-000051BE0000}"/>
    <cellStyle name="Note 18 6 2" xfId="48707" xr:uid="{00000000-0005-0000-0000-000052BE0000}"/>
    <cellStyle name="Note 18 6 3" xfId="48708" xr:uid="{00000000-0005-0000-0000-000053BE0000}"/>
    <cellStyle name="Note 18 7" xfId="48709" xr:uid="{00000000-0005-0000-0000-000054BE0000}"/>
    <cellStyle name="Note 18 8" xfId="48710" xr:uid="{00000000-0005-0000-0000-000055BE0000}"/>
    <cellStyle name="Note 18 9" xfId="48711" xr:uid="{00000000-0005-0000-0000-000056BE0000}"/>
    <cellStyle name="Note 19" xfId="48712" xr:uid="{00000000-0005-0000-0000-000057BE0000}"/>
    <cellStyle name="Note 19 10" xfId="48713" xr:uid="{00000000-0005-0000-0000-000058BE0000}"/>
    <cellStyle name="Note 19 2" xfId="48714" xr:uid="{00000000-0005-0000-0000-000059BE0000}"/>
    <cellStyle name="Note 19 2 2" xfId="48715" xr:uid="{00000000-0005-0000-0000-00005ABE0000}"/>
    <cellStyle name="Note 19 2 3" xfId="48716" xr:uid="{00000000-0005-0000-0000-00005BBE0000}"/>
    <cellStyle name="Note 19 2 4" xfId="48717" xr:uid="{00000000-0005-0000-0000-00005CBE0000}"/>
    <cellStyle name="Note 19 2 5" xfId="48718" xr:uid="{00000000-0005-0000-0000-00005DBE0000}"/>
    <cellStyle name="Note 19 3" xfId="48719" xr:uid="{00000000-0005-0000-0000-00005EBE0000}"/>
    <cellStyle name="Note 19 3 2" xfId="48720" xr:uid="{00000000-0005-0000-0000-00005FBE0000}"/>
    <cellStyle name="Note 19 3 3" xfId="48721" xr:uid="{00000000-0005-0000-0000-000060BE0000}"/>
    <cellStyle name="Note 19 4" xfId="48722" xr:uid="{00000000-0005-0000-0000-000061BE0000}"/>
    <cellStyle name="Note 19 4 2" xfId="48723" xr:uid="{00000000-0005-0000-0000-000062BE0000}"/>
    <cellStyle name="Note 19 4 3" xfId="48724" xr:uid="{00000000-0005-0000-0000-000063BE0000}"/>
    <cellStyle name="Note 19 5" xfId="48725" xr:uid="{00000000-0005-0000-0000-000064BE0000}"/>
    <cellStyle name="Note 19 5 2" xfId="48726" xr:uid="{00000000-0005-0000-0000-000065BE0000}"/>
    <cellStyle name="Note 19 5 3" xfId="48727" xr:uid="{00000000-0005-0000-0000-000066BE0000}"/>
    <cellStyle name="Note 19 6" xfId="48728" xr:uid="{00000000-0005-0000-0000-000067BE0000}"/>
    <cellStyle name="Note 19 6 2" xfId="48729" xr:uid="{00000000-0005-0000-0000-000068BE0000}"/>
    <cellStyle name="Note 19 6 3" xfId="48730" xr:uid="{00000000-0005-0000-0000-000069BE0000}"/>
    <cellStyle name="Note 19 7" xfId="48731" xr:uid="{00000000-0005-0000-0000-00006ABE0000}"/>
    <cellStyle name="Note 19 8" xfId="48732" xr:uid="{00000000-0005-0000-0000-00006BBE0000}"/>
    <cellStyle name="Note 19 9" xfId="48733" xr:uid="{00000000-0005-0000-0000-00006CBE0000}"/>
    <cellStyle name="Note 2" xfId="48734" xr:uid="{00000000-0005-0000-0000-00006DBE0000}"/>
    <cellStyle name="Note 2 10" xfId="48735" xr:uid="{00000000-0005-0000-0000-00006EBE0000}"/>
    <cellStyle name="Note 2 10 10" xfId="48736" xr:uid="{00000000-0005-0000-0000-00006FBE0000}"/>
    <cellStyle name="Note 2 10 11" xfId="48737" xr:uid="{00000000-0005-0000-0000-000070BE0000}"/>
    <cellStyle name="Note 2 10 2" xfId="48738" xr:uid="{00000000-0005-0000-0000-000071BE0000}"/>
    <cellStyle name="Note 2 10 2 2" xfId="48739" xr:uid="{00000000-0005-0000-0000-000072BE0000}"/>
    <cellStyle name="Note 2 10 2 3" xfId="48740" xr:uid="{00000000-0005-0000-0000-000073BE0000}"/>
    <cellStyle name="Note 2 10 3" xfId="48741" xr:uid="{00000000-0005-0000-0000-000074BE0000}"/>
    <cellStyle name="Note 2 10 3 2" xfId="48742" xr:uid="{00000000-0005-0000-0000-000075BE0000}"/>
    <cellStyle name="Note 2 10 3 3" xfId="48743" xr:uid="{00000000-0005-0000-0000-000076BE0000}"/>
    <cellStyle name="Note 2 10 4" xfId="48744" xr:uid="{00000000-0005-0000-0000-000077BE0000}"/>
    <cellStyle name="Note 2 10 4 2" xfId="48745" xr:uid="{00000000-0005-0000-0000-000078BE0000}"/>
    <cellStyle name="Note 2 10 4 3" xfId="48746" xr:uid="{00000000-0005-0000-0000-000079BE0000}"/>
    <cellStyle name="Note 2 10 5" xfId="48747" xr:uid="{00000000-0005-0000-0000-00007ABE0000}"/>
    <cellStyle name="Note 2 10 6" xfId="48748" xr:uid="{00000000-0005-0000-0000-00007BBE0000}"/>
    <cellStyle name="Note 2 10 7" xfId="48749" xr:uid="{00000000-0005-0000-0000-00007CBE0000}"/>
    <cellStyle name="Note 2 10 8" xfId="48750" xr:uid="{00000000-0005-0000-0000-00007DBE0000}"/>
    <cellStyle name="Note 2 10 9" xfId="48751" xr:uid="{00000000-0005-0000-0000-00007EBE0000}"/>
    <cellStyle name="Note 2 11" xfId="48752" xr:uid="{00000000-0005-0000-0000-00007FBE0000}"/>
    <cellStyle name="Note 2 11 10" xfId="48753" xr:uid="{00000000-0005-0000-0000-000080BE0000}"/>
    <cellStyle name="Note 2 11 11" xfId="48754" xr:uid="{00000000-0005-0000-0000-000081BE0000}"/>
    <cellStyle name="Note 2 11 2" xfId="48755" xr:uid="{00000000-0005-0000-0000-000082BE0000}"/>
    <cellStyle name="Note 2 11 2 2" xfId="48756" xr:uid="{00000000-0005-0000-0000-000083BE0000}"/>
    <cellStyle name="Note 2 11 2 3" xfId="48757" xr:uid="{00000000-0005-0000-0000-000084BE0000}"/>
    <cellStyle name="Note 2 11 3" xfId="48758" xr:uid="{00000000-0005-0000-0000-000085BE0000}"/>
    <cellStyle name="Note 2 11 3 2" xfId="48759" xr:uid="{00000000-0005-0000-0000-000086BE0000}"/>
    <cellStyle name="Note 2 11 3 3" xfId="48760" xr:uid="{00000000-0005-0000-0000-000087BE0000}"/>
    <cellStyle name="Note 2 11 4" xfId="48761" xr:uid="{00000000-0005-0000-0000-000088BE0000}"/>
    <cellStyle name="Note 2 11 4 2" xfId="48762" xr:uid="{00000000-0005-0000-0000-000089BE0000}"/>
    <cellStyle name="Note 2 11 4 3" xfId="48763" xr:uid="{00000000-0005-0000-0000-00008ABE0000}"/>
    <cellStyle name="Note 2 11 5" xfId="48764" xr:uid="{00000000-0005-0000-0000-00008BBE0000}"/>
    <cellStyle name="Note 2 11 6" xfId="48765" xr:uid="{00000000-0005-0000-0000-00008CBE0000}"/>
    <cellStyle name="Note 2 11 7" xfId="48766" xr:uid="{00000000-0005-0000-0000-00008DBE0000}"/>
    <cellStyle name="Note 2 11 8" xfId="48767" xr:uid="{00000000-0005-0000-0000-00008EBE0000}"/>
    <cellStyle name="Note 2 11 9" xfId="48768" xr:uid="{00000000-0005-0000-0000-00008FBE0000}"/>
    <cellStyle name="Note 2 12" xfId="48769" xr:uid="{00000000-0005-0000-0000-000090BE0000}"/>
    <cellStyle name="Note 2 12 2" xfId="48770" xr:uid="{00000000-0005-0000-0000-000091BE0000}"/>
    <cellStyle name="Note 2 12 2 2" xfId="48771" xr:uid="{00000000-0005-0000-0000-000092BE0000}"/>
    <cellStyle name="Note 2 12 2 3" xfId="48772" xr:uid="{00000000-0005-0000-0000-000093BE0000}"/>
    <cellStyle name="Note 2 12 3" xfId="48773" xr:uid="{00000000-0005-0000-0000-000094BE0000}"/>
    <cellStyle name="Note 2 12 3 2" xfId="48774" xr:uid="{00000000-0005-0000-0000-000095BE0000}"/>
    <cellStyle name="Note 2 12 3 3" xfId="48775" xr:uid="{00000000-0005-0000-0000-000096BE0000}"/>
    <cellStyle name="Note 2 12 4" xfId="48776" xr:uid="{00000000-0005-0000-0000-000097BE0000}"/>
    <cellStyle name="Note 2 12 4 2" xfId="48777" xr:uid="{00000000-0005-0000-0000-000098BE0000}"/>
    <cellStyle name="Note 2 12 4 3" xfId="48778" xr:uid="{00000000-0005-0000-0000-000099BE0000}"/>
    <cellStyle name="Note 2 12 5" xfId="48779" xr:uid="{00000000-0005-0000-0000-00009ABE0000}"/>
    <cellStyle name="Note 2 12 6" xfId="48780" xr:uid="{00000000-0005-0000-0000-00009BBE0000}"/>
    <cellStyle name="Note 2 12 7" xfId="48781" xr:uid="{00000000-0005-0000-0000-00009CBE0000}"/>
    <cellStyle name="Note 2 12 8" xfId="48782" xr:uid="{00000000-0005-0000-0000-00009DBE0000}"/>
    <cellStyle name="Note 2 12 9" xfId="48783" xr:uid="{00000000-0005-0000-0000-00009EBE0000}"/>
    <cellStyle name="Note 2 13" xfId="48784" xr:uid="{00000000-0005-0000-0000-00009FBE0000}"/>
    <cellStyle name="Note 2 13 2" xfId="48785" xr:uid="{00000000-0005-0000-0000-0000A0BE0000}"/>
    <cellStyle name="Note 2 13 2 2" xfId="48786" xr:uid="{00000000-0005-0000-0000-0000A1BE0000}"/>
    <cellStyle name="Note 2 13 2 3" xfId="48787" xr:uid="{00000000-0005-0000-0000-0000A2BE0000}"/>
    <cellStyle name="Note 2 13 3" xfId="48788" xr:uid="{00000000-0005-0000-0000-0000A3BE0000}"/>
    <cellStyle name="Note 2 13 3 2" xfId="48789" xr:uid="{00000000-0005-0000-0000-0000A4BE0000}"/>
    <cellStyle name="Note 2 13 3 3" xfId="48790" xr:uid="{00000000-0005-0000-0000-0000A5BE0000}"/>
    <cellStyle name="Note 2 13 4" xfId="48791" xr:uid="{00000000-0005-0000-0000-0000A6BE0000}"/>
    <cellStyle name="Note 2 13 4 2" xfId="48792" xr:uid="{00000000-0005-0000-0000-0000A7BE0000}"/>
    <cellStyle name="Note 2 13 4 3" xfId="48793" xr:uid="{00000000-0005-0000-0000-0000A8BE0000}"/>
    <cellStyle name="Note 2 13 5" xfId="48794" xr:uid="{00000000-0005-0000-0000-0000A9BE0000}"/>
    <cellStyle name="Note 2 13 6" xfId="48795" xr:uid="{00000000-0005-0000-0000-0000AABE0000}"/>
    <cellStyle name="Note 2 13 7" xfId="48796" xr:uid="{00000000-0005-0000-0000-0000ABBE0000}"/>
    <cellStyle name="Note 2 13 8" xfId="48797" xr:uid="{00000000-0005-0000-0000-0000ACBE0000}"/>
    <cellStyle name="Note 2 13 9" xfId="48798" xr:uid="{00000000-0005-0000-0000-0000ADBE0000}"/>
    <cellStyle name="Note 2 14" xfId="48799" xr:uid="{00000000-0005-0000-0000-0000AEBE0000}"/>
    <cellStyle name="Note 2 14 2" xfId="48800" xr:uid="{00000000-0005-0000-0000-0000AFBE0000}"/>
    <cellStyle name="Note 2 14 2 2" xfId="48801" xr:uid="{00000000-0005-0000-0000-0000B0BE0000}"/>
    <cellStyle name="Note 2 14 2 3" xfId="48802" xr:uid="{00000000-0005-0000-0000-0000B1BE0000}"/>
    <cellStyle name="Note 2 14 3" xfId="48803" xr:uid="{00000000-0005-0000-0000-0000B2BE0000}"/>
    <cellStyle name="Note 2 14 3 2" xfId="48804" xr:uid="{00000000-0005-0000-0000-0000B3BE0000}"/>
    <cellStyle name="Note 2 14 3 3" xfId="48805" xr:uid="{00000000-0005-0000-0000-0000B4BE0000}"/>
    <cellStyle name="Note 2 14 4" xfId="48806" xr:uid="{00000000-0005-0000-0000-0000B5BE0000}"/>
    <cellStyle name="Note 2 14 4 2" xfId="48807" xr:uid="{00000000-0005-0000-0000-0000B6BE0000}"/>
    <cellStyle name="Note 2 14 4 3" xfId="48808" xr:uid="{00000000-0005-0000-0000-0000B7BE0000}"/>
    <cellStyle name="Note 2 14 5" xfId="48809" xr:uid="{00000000-0005-0000-0000-0000B8BE0000}"/>
    <cellStyle name="Note 2 14 6" xfId="48810" xr:uid="{00000000-0005-0000-0000-0000B9BE0000}"/>
    <cellStyle name="Note 2 14 7" xfId="48811" xr:uid="{00000000-0005-0000-0000-0000BABE0000}"/>
    <cellStyle name="Note 2 14 8" xfId="48812" xr:uid="{00000000-0005-0000-0000-0000BBBE0000}"/>
    <cellStyle name="Note 2 14 9" xfId="48813" xr:uid="{00000000-0005-0000-0000-0000BCBE0000}"/>
    <cellStyle name="Note 2 15" xfId="48814" xr:uid="{00000000-0005-0000-0000-0000BDBE0000}"/>
    <cellStyle name="Note 2 15 2" xfId="48815" xr:uid="{00000000-0005-0000-0000-0000BEBE0000}"/>
    <cellStyle name="Note 2 15 2 2" xfId="48816" xr:uid="{00000000-0005-0000-0000-0000BFBE0000}"/>
    <cellStyle name="Note 2 15 2 3" xfId="48817" xr:uid="{00000000-0005-0000-0000-0000C0BE0000}"/>
    <cellStyle name="Note 2 15 3" xfId="48818" xr:uid="{00000000-0005-0000-0000-0000C1BE0000}"/>
    <cellStyle name="Note 2 15 3 2" xfId="48819" xr:uid="{00000000-0005-0000-0000-0000C2BE0000}"/>
    <cellStyle name="Note 2 15 3 3" xfId="48820" xr:uid="{00000000-0005-0000-0000-0000C3BE0000}"/>
    <cellStyle name="Note 2 15 4" xfId="48821" xr:uid="{00000000-0005-0000-0000-0000C4BE0000}"/>
    <cellStyle name="Note 2 15 4 2" xfId="48822" xr:uid="{00000000-0005-0000-0000-0000C5BE0000}"/>
    <cellStyle name="Note 2 15 4 3" xfId="48823" xr:uid="{00000000-0005-0000-0000-0000C6BE0000}"/>
    <cellStyle name="Note 2 15 5" xfId="48824" xr:uid="{00000000-0005-0000-0000-0000C7BE0000}"/>
    <cellStyle name="Note 2 15 6" xfId="48825" xr:uid="{00000000-0005-0000-0000-0000C8BE0000}"/>
    <cellStyle name="Note 2 15 7" xfId="48826" xr:uid="{00000000-0005-0000-0000-0000C9BE0000}"/>
    <cellStyle name="Note 2 15 8" xfId="48827" xr:uid="{00000000-0005-0000-0000-0000CABE0000}"/>
    <cellStyle name="Note 2 15 9" xfId="48828" xr:uid="{00000000-0005-0000-0000-0000CBBE0000}"/>
    <cellStyle name="Note 2 16" xfId="48829" xr:uid="{00000000-0005-0000-0000-0000CCBE0000}"/>
    <cellStyle name="Note 2 16 2" xfId="48830" xr:uid="{00000000-0005-0000-0000-0000CDBE0000}"/>
    <cellStyle name="Note 2 16 2 2" xfId="48831" xr:uid="{00000000-0005-0000-0000-0000CEBE0000}"/>
    <cellStyle name="Note 2 16 3" xfId="48832" xr:uid="{00000000-0005-0000-0000-0000CFBE0000}"/>
    <cellStyle name="Note 2 16 4" xfId="48833" xr:uid="{00000000-0005-0000-0000-0000D0BE0000}"/>
    <cellStyle name="Note 2 16 5" xfId="48834" xr:uid="{00000000-0005-0000-0000-0000D1BE0000}"/>
    <cellStyle name="Note 2 16 6" xfId="48835" xr:uid="{00000000-0005-0000-0000-0000D2BE0000}"/>
    <cellStyle name="Note 2 16 7" xfId="48836" xr:uid="{00000000-0005-0000-0000-0000D3BE0000}"/>
    <cellStyle name="Note 2 16 8" xfId="48837" xr:uid="{00000000-0005-0000-0000-0000D4BE0000}"/>
    <cellStyle name="Note 2 16 9" xfId="48838" xr:uid="{00000000-0005-0000-0000-0000D5BE0000}"/>
    <cellStyle name="Note 2 17" xfId="48839" xr:uid="{00000000-0005-0000-0000-0000D6BE0000}"/>
    <cellStyle name="Note 2 17 2" xfId="48840" xr:uid="{00000000-0005-0000-0000-0000D7BE0000}"/>
    <cellStyle name="Note 2 18" xfId="48841" xr:uid="{00000000-0005-0000-0000-0000D8BE0000}"/>
    <cellStyle name="Note 2 19" xfId="48842" xr:uid="{00000000-0005-0000-0000-0000D9BE0000}"/>
    <cellStyle name="Note 2 2" xfId="48843" xr:uid="{00000000-0005-0000-0000-0000DABE0000}"/>
    <cellStyle name="Note 2 2 10" xfId="48844" xr:uid="{00000000-0005-0000-0000-0000DBBE0000}"/>
    <cellStyle name="Note 2 2 10 2" xfId="48845" xr:uid="{00000000-0005-0000-0000-0000DCBE0000}"/>
    <cellStyle name="Note 2 2 11" xfId="48846" xr:uid="{00000000-0005-0000-0000-0000DDBE0000}"/>
    <cellStyle name="Note 2 2 12" xfId="48847" xr:uid="{00000000-0005-0000-0000-0000DEBE0000}"/>
    <cellStyle name="Note 2 2 13" xfId="48848" xr:uid="{00000000-0005-0000-0000-0000DFBE0000}"/>
    <cellStyle name="Note 2 2 14" xfId="48849" xr:uid="{00000000-0005-0000-0000-0000E0BE0000}"/>
    <cellStyle name="Note 2 2 2" xfId="48850" xr:uid="{00000000-0005-0000-0000-0000E1BE0000}"/>
    <cellStyle name="Note 2 2 2 2" xfId="48851" xr:uid="{00000000-0005-0000-0000-0000E2BE0000}"/>
    <cellStyle name="Note 2 2 2 2 2" xfId="48852" xr:uid="{00000000-0005-0000-0000-0000E3BE0000}"/>
    <cellStyle name="Note 2 2 2 2 2 2" xfId="48853" xr:uid="{00000000-0005-0000-0000-0000E4BE0000}"/>
    <cellStyle name="Note 2 2 2 2 3" xfId="48854" xr:uid="{00000000-0005-0000-0000-0000E5BE0000}"/>
    <cellStyle name="Note 2 2 2 2 3 2" xfId="48855" xr:uid="{00000000-0005-0000-0000-0000E6BE0000}"/>
    <cellStyle name="Note 2 2 2 2 4" xfId="48856" xr:uid="{00000000-0005-0000-0000-0000E7BE0000}"/>
    <cellStyle name="Note 2 2 2 3" xfId="48857" xr:uid="{00000000-0005-0000-0000-0000E8BE0000}"/>
    <cellStyle name="Note 2 2 2 3 2" xfId="48858" xr:uid="{00000000-0005-0000-0000-0000E9BE0000}"/>
    <cellStyle name="Note 2 2 2 3 2 2" xfId="48859" xr:uid="{00000000-0005-0000-0000-0000EABE0000}"/>
    <cellStyle name="Note 2 2 2 3 3" xfId="48860" xr:uid="{00000000-0005-0000-0000-0000EBBE0000}"/>
    <cellStyle name="Note 2 2 2 3 3 2" xfId="48861" xr:uid="{00000000-0005-0000-0000-0000ECBE0000}"/>
    <cellStyle name="Note 2 2 2 3 4" xfId="48862" xr:uid="{00000000-0005-0000-0000-0000EDBE0000}"/>
    <cellStyle name="Note 2 2 2 4" xfId="48863" xr:uid="{00000000-0005-0000-0000-0000EEBE0000}"/>
    <cellStyle name="Note 2 2 2 4 2" xfId="48864" xr:uid="{00000000-0005-0000-0000-0000EFBE0000}"/>
    <cellStyle name="Note 2 2 2 5" xfId="48865" xr:uid="{00000000-0005-0000-0000-0000F0BE0000}"/>
    <cellStyle name="Note 2 2 2 5 2" xfId="48866" xr:uid="{00000000-0005-0000-0000-0000F1BE0000}"/>
    <cellStyle name="Note 2 2 2 6" xfId="48867" xr:uid="{00000000-0005-0000-0000-0000F2BE0000}"/>
    <cellStyle name="Note 2 2 2 7" xfId="48868" xr:uid="{00000000-0005-0000-0000-0000F3BE0000}"/>
    <cellStyle name="Note 2 2 2 8" xfId="48869" xr:uid="{00000000-0005-0000-0000-0000F4BE0000}"/>
    <cellStyle name="Note 2 2 3" xfId="48870" xr:uid="{00000000-0005-0000-0000-0000F5BE0000}"/>
    <cellStyle name="Note 2 2 3 2" xfId="48871" xr:uid="{00000000-0005-0000-0000-0000F6BE0000}"/>
    <cellStyle name="Note 2 2 3 2 2" xfId="48872" xr:uid="{00000000-0005-0000-0000-0000F7BE0000}"/>
    <cellStyle name="Note 2 2 3 2 2 2" xfId="48873" xr:uid="{00000000-0005-0000-0000-0000F8BE0000}"/>
    <cellStyle name="Note 2 2 3 2 3" xfId="48874" xr:uid="{00000000-0005-0000-0000-0000F9BE0000}"/>
    <cellStyle name="Note 2 2 3 2 3 2" xfId="48875" xr:uid="{00000000-0005-0000-0000-0000FABE0000}"/>
    <cellStyle name="Note 2 2 3 2 4" xfId="48876" xr:uid="{00000000-0005-0000-0000-0000FBBE0000}"/>
    <cellStyle name="Note 2 2 3 3" xfId="48877" xr:uid="{00000000-0005-0000-0000-0000FCBE0000}"/>
    <cellStyle name="Note 2 2 3 3 2" xfId="48878" xr:uid="{00000000-0005-0000-0000-0000FDBE0000}"/>
    <cellStyle name="Note 2 2 3 3 2 2" xfId="48879" xr:uid="{00000000-0005-0000-0000-0000FEBE0000}"/>
    <cellStyle name="Note 2 2 3 3 3" xfId="48880" xr:uid="{00000000-0005-0000-0000-0000FFBE0000}"/>
    <cellStyle name="Note 2 2 3 3 3 2" xfId="48881" xr:uid="{00000000-0005-0000-0000-000000BF0000}"/>
    <cellStyle name="Note 2 2 3 3 4" xfId="48882" xr:uid="{00000000-0005-0000-0000-000001BF0000}"/>
    <cellStyle name="Note 2 2 3 4" xfId="48883" xr:uid="{00000000-0005-0000-0000-000002BF0000}"/>
    <cellStyle name="Note 2 2 3 4 2" xfId="48884" xr:uid="{00000000-0005-0000-0000-000003BF0000}"/>
    <cellStyle name="Note 2 2 3 5" xfId="48885" xr:uid="{00000000-0005-0000-0000-000004BF0000}"/>
    <cellStyle name="Note 2 2 3 5 2" xfId="48886" xr:uid="{00000000-0005-0000-0000-000005BF0000}"/>
    <cellStyle name="Note 2 2 3 6" xfId="48887" xr:uid="{00000000-0005-0000-0000-000006BF0000}"/>
    <cellStyle name="Note 2 2 4" xfId="48888" xr:uid="{00000000-0005-0000-0000-000007BF0000}"/>
    <cellStyle name="Note 2 2 4 2" xfId="48889" xr:uid="{00000000-0005-0000-0000-000008BF0000}"/>
    <cellStyle name="Note 2 2 4 2 2" xfId="48890" xr:uid="{00000000-0005-0000-0000-000009BF0000}"/>
    <cellStyle name="Note 2 2 4 2 2 2" xfId="48891" xr:uid="{00000000-0005-0000-0000-00000ABF0000}"/>
    <cellStyle name="Note 2 2 4 2 3" xfId="48892" xr:uid="{00000000-0005-0000-0000-00000BBF0000}"/>
    <cellStyle name="Note 2 2 4 2 3 2" xfId="48893" xr:uid="{00000000-0005-0000-0000-00000CBF0000}"/>
    <cellStyle name="Note 2 2 4 2 4" xfId="48894" xr:uid="{00000000-0005-0000-0000-00000DBF0000}"/>
    <cellStyle name="Note 2 2 4 3" xfId="48895" xr:uid="{00000000-0005-0000-0000-00000EBF0000}"/>
    <cellStyle name="Note 2 2 4 3 2" xfId="48896" xr:uid="{00000000-0005-0000-0000-00000FBF0000}"/>
    <cellStyle name="Note 2 2 4 3 2 2" xfId="48897" xr:uid="{00000000-0005-0000-0000-000010BF0000}"/>
    <cellStyle name="Note 2 2 4 3 3" xfId="48898" xr:uid="{00000000-0005-0000-0000-000011BF0000}"/>
    <cellStyle name="Note 2 2 4 3 3 2" xfId="48899" xr:uid="{00000000-0005-0000-0000-000012BF0000}"/>
    <cellStyle name="Note 2 2 4 3 4" xfId="48900" xr:uid="{00000000-0005-0000-0000-000013BF0000}"/>
    <cellStyle name="Note 2 2 4 4" xfId="48901" xr:uid="{00000000-0005-0000-0000-000014BF0000}"/>
    <cellStyle name="Note 2 2 4 4 2" xfId="48902" xr:uid="{00000000-0005-0000-0000-000015BF0000}"/>
    <cellStyle name="Note 2 2 4 5" xfId="48903" xr:uid="{00000000-0005-0000-0000-000016BF0000}"/>
    <cellStyle name="Note 2 2 4 5 2" xfId="48904" xr:uid="{00000000-0005-0000-0000-000017BF0000}"/>
    <cellStyle name="Note 2 2 4 6" xfId="48905" xr:uid="{00000000-0005-0000-0000-000018BF0000}"/>
    <cellStyle name="Note 2 2 5" xfId="48906" xr:uid="{00000000-0005-0000-0000-000019BF0000}"/>
    <cellStyle name="Note 2 2 5 2" xfId="48907" xr:uid="{00000000-0005-0000-0000-00001ABF0000}"/>
    <cellStyle name="Note 2 2 5 2 2" xfId="48908" xr:uid="{00000000-0005-0000-0000-00001BBF0000}"/>
    <cellStyle name="Note 2 2 5 2 2 2" xfId="48909" xr:uid="{00000000-0005-0000-0000-00001CBF0000}"/>
    <cellStyle name="Note 2 2 5 2 3" xfId="48910" xr:uid="{00000000-0005-0000-0000-00001DBF0000}"/>
    <cellStyle name="Note 2 2 5 2 3 2" xfId="48911" xr:uid="{00000000-0005-0000-0000-00001EBF0000}"/>
    <cellStyle name="Note 2 2 5 2 4" xfId="48912" xr:uid="{00000000-0005-0000-0000-00001FBF0000}"/>
    <cellStyle name="Note 2 2 5 3" xfId="48913" xr:uid="{00000000-0005-0000-0000-000020BF0000}"/>
    <cellStyle name="Note 2 2 5 3 2" xfId="48914" xr:uid="{00000000-0005-0000-0000-000021BF0000}"/>
    <cellStyle name="Note 2 2 5 3 2 2" xfId="48915" xr:uid="{00000000-0005-0000-0000-000022BF0000}"/>
    <cellStyle name="Note 2 2 5 3 3" xfId="48916" xr:uid="{00000000-0005-0000-0000-000023BF0000}"/>
    <cellStyle name="Note 2 2 5 3 3 2" xfId="48917" xr:uid="{00000000-0005-0000-0000-000024BF0000}"/>
    <cellStyle name="Note 2 2 5 3 4" xfId="48918" xr:uid="{00000000-0005-0000-0000-000025BF0000}"/>
    <cellStyle name="Note 2 2 5 4" xfId="48919" xr:uid="{00000000-0005-0000-0000-000026BF0000}"/>
    <cellStyle name="Note 2 2 5 4 2" xfId="48920" xr:uid="{00000000-0005-0000-0000-000027BF0000}"/>
    <cellStyle name="Note 2 2 5 5" xfId="48921" xr:uid="{00000000-0005-0000-0000-000028BF0000}"/>
    <cellStyle name="Note 2 2 5 5 2" xfId="48922" xr:uid="{00000000-0005-0000-0000-000029BF0000}"/>
    <cellStyle name="Note 2 2 5 6" xfId="48923" xr:uid="{00000000-0005-0000-0000-00002ABF0000}"/>
    <cellStyle name="Note 2 2 6" xfId="48924" xr:uid="{00000000-0005-0000-0000-00002BBF0000}"/>
    <cellStyle name="Note 2 2 6 2" xfId="48925" xr:uid="{00000000-0005-0000-0000-00002CBF0000}"/>
    <cellStyle name="Note 2 2 6 2 2" xfId="48926" xr:uid="{00000000-0005-0000-0000-00002DBF0000}"/>
    <cellStyle name="Note 2 2 6 2 2 2" xfId="48927" xr:uid="{00000000-0005-0000-0000-00002EBF0000}"/>
    <cellStyle name="Note 2 2 6 2 3" xfId="48928" xr:uid="{00000000-0005-0000-0000-00002FBF0000}"/>
    <cellStyle name="Note 2 2 6 2 3 2" xfId="48929" xr:uid="{00000000-0005-0000-0000-000030BF0000}"/>
    <cellStyle name="Note 2 2 6 2 4" xfId="48930" xr:uid="{00000000-0005-0000-0000-000031BF0000}"/>
    <cellStyle name="Note 2 2 6 3" xfId="48931" xr:uid="{00000000-0005-0000-0000-000032BF0000}"/>
    <cellStyle name="Note 2 2 6 3 2" xfId="48932" xr:uid="{00000000-0005-0000-0000-000033BF0000}"/>
    <cellStyle name="Note 2 2 6 3 2 2" xfId="48933" xr:uid="{00000000-0005-0000-0000-000034BF0000}"/>
    <cellStyle name="Note 2 2 6 3 3" xfId="48934" xr:uid="{00000000-0005-0000-0000-000035BF0000}"/>
    <cellStyle name="Note 2 2 6 3 3 2" xfId="48935" xr:uid="{00000000-0005-0000-0000-000036BF0000}"/>
    <cellStyle name="Note 2 2 6 3 4" xfId="48936" xr:uid="{00000000-0005-0000-0000-000037BF0000}"/>
    <cellStyle name="Note 2 2 6 4" xfId="48937" xr:uid="{00000000-0005-0000-0000-000038BF0000}"/>
    <cellStyle name="Note 2 2 6 4 2" xfId="48938" xr:uid="{00000000-0005-0000-0000-000039BF0000}"/>
    <cellStyle name="Note 2 2 6 5" xfId="48939" xr:uid="{00000000-0005-0000-0000-00003ABF0000}"/>
    <cellStyle name="Note 2 2 6 5 2" xfId="48940" xr:uid="{00000000-0005-0000-0000-00003BBF0000}"/>
    <cellStyle name="Note 2 2 6 6" xfId="48941" xr:uid="{00000000-0005-0000-0000-00003CBF0000}"/>
    <cellStyle name="Note 2 2 7" xfId="48942" xr:uid="{00000000-0005-0000-0000-00003DBF0000}"/>
    <cellStyle name="Note 2 2 7 2" xfId="48943" xr:uid="{00000000-0005-0000-0000-00003EBF0000}"/>
    <cellStyle name="Note 2 2 7 2 2" xfId="48944" xr:uid="{00000000-0005-0000-0000-00003FBF0000}"/>
    <cellStyle name="Note 2 2 7 3" xfId="48945" xr:uid="{00000000-0005-0000-0000-000040BF0000}"/>
    <cellStyle name="Note 2 2 7 3 2" xfId="48946" xr:uid="{00000000-0005-0000-0000-000041BF0000}"/>
    <cellStyle name="Note 2 2 7 4" xfId="48947" xr:uid="{00000000-0005-0000-0000-000042BF0000}"/>
    <cellStyle name="Note 2 2 8" xfId="48948" xr:uid="{00000000-0005-0000-0000-000043BF0000}"/>
    <cellStyle name="Note 2 2 8 2" xfId="48949" xr:uid="{00000000-0005-0000-0000-000044BF0000}"/>
    <cellStyle name="Note 2 2 8 2 2" xfId="48950" xr:uid="{00000000-0005-0000-0000-000045BF0000}"/>
    <cellStyle name="Note 2 2 8 3" xfId="48951" xr:uid="{00000000-0005-0000-0000-000046BF0000}"/>
    <cellStyle name="Note 2 2 8 3 2" xfId="48952" xr:uid="{00000000-0005-0000-0000-000047BF0000}"/>
    <cellStyle name="Note 2 2 8 4" xfId="48953" xr:uid="{00000000-0005-0000-0000-000048BF0000}"/>
    <cellStyle name="Note 2 2 9" xfId="48954" xr:uid="{00000000-0005-0000-0000-000049BF0000}"/>
    <cellStyle name="Note 2 2 9 2" xfId="48955" xr:uid="{00000000-0005-0000-0000-00004ABF0000}"/>
    <cellStyle name="Note 2 2_Proj" xfId="48956" xr:uid="{00000000-0005-0000-0000-00004BBF0000}"/>
    <cellStyle name="Note 2 20" xfId="48957" xr:uid="{00000000-0005-0000-0000-00004CBF0000}"/>
    <cellStyle name="Note 2 21" xfId="48958" xr:uid="{00000000-0005-0000-0000-00004DBF0000}"/>
    <cellStyle name="Note 2 22" xfId="48959" xr:uid="{00000000-0005-0000-0000-00004EBF0000}"/>
    <cellStyle name="Note 2 23" xfId="48960" xr:uid="{00000000-0005-0000-0000-00004FBF0000}"/>
    <cellStyle name="Note 2 24" xfId="48961" xr:uid="{00000000-0005-0000-0000-000050BF0000}"/>
    <cellStyle name="Note 2 25" xfId="48962" xr:uid="{00000000-0005-0000-0000-000051BF0000}"/>
    <cellStyle name="Note 2 26" xfId="48963" xr:uid="{00000000-0005-0000-0000-000052BF0000}"/>
    <cellStyle name="Note 2 27" xfId="48964" xr:uid="{00000000-0005-0000-0000-000053BF0000}"/>
    <cellStyle name="Note 2 28" xfId="48965" xr:uid="{00000000-0005-0000-0000-000054BF0000}"/>
    <cellStyle name="Note 2 28 2" xfId="48966" xr:uid="{00000000-0005-0000-0000-000055BF0000}"/>
    <cellStyle name="Note 2 28 3" xfId="48967" xr:uid="{00000000-0005-0000-0000-000056BF0000}"/>
    <cellStyle name="Note 2 28 4" xfId="48968" xr:uid="{00000000-0005-0000-0000-000057BF0000}"/>
    <cellStyle name="Note 2 29" xfId="48969" xr:uid="{00000000-0005-0000-0000-000058BF0000}"/>
    <cellStyle name="Note 2 3" xfId="48970" xr:uid="{00000000-0005-0000-0000-000059BF0000}"/>
    <cellStyle name="Note 2 3 10" xfId="48971" xr:uid="{00000000-0005-0000-0000-00005ABF0000}"/>
    <cellStyle name="Note 2 3 10 2" xfId="48972" xr:uid="{00000000-0005-0000-0000-00005BBF0000}"/>
    <cellStyle name="Note 2 3 11" xfId="48973" xr:uid="{00000000-0005-0000-0000-00005CBF0000}"/>
    <cellStyle name="Note 2 3 12" xfId="48974" xr:uid="{00000000-0005-0000-0000-00005DBF0000}"/>
    <cellStyle name="Note 2 3 13" xfId="48975" xr:uid="{00000000-0005-0000-0000-00005EBF0000}"/>
    <cellStyle name="Note 2 3 14" xfId="48976" xr:uid="{00000000-0005-0000-0000-00005FBF0000}"/>
    <cellStyle name="Note 2 3 2" xfId="48977" xr:uid="{00000000-0005-0000-0000-000060BF0000}"/>
    <cellStyle name="Note 2 3 2 2" xfId="48978" xr:uid="{00000000-0005-0000-0000-000061BF0000}"/>
    <cellStyle name="Note 2 3 2 2 2" xfId="48979" xr:uid="{00000000-0005-0000-0000-000062BF0000}"/>
    <cellStyle name="Note 2 3 2 2 2 2" xfId="48980" xr:uid="{00000000-0005-0000-0000-000063BF0000}"/>
    <cellStyle name="Note 2 3 2 2 3" xfId="48981" xr:uid="{00000000-0005-0000-0000-000064BF0000}"/>
    <cellStyle name="Note 2 3 2 2 3 2" xfId="48982" xr:uid="{00000000-0005-0000-0000-000065BF0000}"/>
    <cellStyle name="Note 2 3 2 2 4" xfId="48983" xr:uid="{00000000-0005-0000-0000-000066BF0000}"/>
    <cellStyle name="Note 2 3 2 3" xfId="48984" xr:uid="{00000000-0005-0000-0000-000067BF0000}"/>
    <cellStyle name="Note 2 3 2 3 2" xfId="48985" xr:uid="{00000000-0005-0000-0000-000068BF0000}"/>
    <cellStyle name="Note 2 3 2 3 2 2" xfId="48986" xr:uid="{00000000-0005-0000-0000-000069BF0000}"/>
    <cellStyle name="Note 2 3 2 3 3" xfId="48987" xr:uid="{00000000-0005-0000-0000-00006ABF0000}"/>
    <cellStyle name="Note 2 3 2 3 3 2" xfId="48988" xr:uid="{00000000-0005-0000-0000-00006BBF0000}"/>
    <cellStyle name="Note 2 3 2 3 4" xfId="48989" xr:uid="{00000000-0005-0000-0000-00006CBF0000}"/>
    <cellStyle name="Note 2 3 2 4" xfId="48990" xr:uid="{00000000-0005-0000-0000-00006DBF0000}"/>
    <cellStyle name="Note 2 3 2 4 2" xfId="48991" xr:uid="{00000000-0005-0000-0000-00006EBF0000}"/>
    <cellStyle name="Note 2 3 2 5" xfId="48992" xr:uid="{00000000-0005-0000-0000-00006FBF0000}"/>
    <cellStyle name="Note 2 3 2 5 2" xfId="48993" xr:uid="{00000000-0005-0000-0000-000070BF0000}"/>
    <cellStyle name="Note 2 3 2 6" xfId="48994" xr:uid="{00000000-0005-0000-0000-000071BF0000}"/>
    <cellStyle name="Note 2 3 2 7" xfId="48995" xr:uid="{00000000-0005-0000-0000-000072BF0000}"/>
    <cellStyle name="Note 2 3 2 8" xfId="48996" xr:uid="{00000000-0005-0000-0000-000073BF0000}"/>
    <cellStyle name="Note 2 3 3" xfId="48997" xr:uid="{00000000-0005-0000-0000-000074BF0000}"/>
    <cellStyle name="Note 2 3 3 2" xfId="48998" xr:uid="{00000000-0005-0000-0000-000075BF0000}"/>
    <cellStyle name="Note 2 3 3 2 2" xfId="48999" xr:uid="{00000000-0005-0000-0000-000076BF0000}"/>
    <cellStyle name="Note 2 3 3 2 2 2" xfId="49000" xr:uid="{00000000-0005-0000-0000-000077BF0000}"/>
    <cellStyle name="Note 2 3 3 2 3" xfId="49001" xr:uid="{00000000-0005-0000-0000-000078BF0000}"/>
    <cellStyle name="Note 2 3 3 2 3 2" xfId="49002" xr:uid="{00000000-0005-0000-0000-000079BF0000}"/>
    <cellStyle name="Note 2 3 3 2 4" xfId="49003" xr:uid="{00000000-0005-0000-0000-00007ABF0000}"/>
    <cellStyle name="Note 2 3 3 3" xfId="49004" xr:uid="{00000000-0005-0000-0000-00007BBF0000}"/>
    <cellStyle name="Note 2 3 3 3 2" xfId="49005" xr:uid="{00000000-0005-0000-0000-00007CBF0000}"/>
    <cellStyle name="Note 2 3 3 3 2 2" xfId="49006" xr:uid="{00000000-0005-0000-0000-00007DBF0000}"/>
    <cellStyle name="Note 2 3 3 3 3" xfId="49007" xr:uid="{00000000-0005-0000-0000-00007EBF0000}"/>
    <cellStyle name="Note 2 3 3 3 3 2" xfId="49008" xr:uid="{00000000-0005-0000-0000-00007FBF0000}"/>
    <cellStyle name="Note 2 3 3 3 4" xfId="49009" xr:uid="{00000000-0005-0000-0000-000080BF0000}"/>
    <cellStyle name="Note 2 3 3 4" xfId="49010" xr:uid="{00000000-0005-0000-0000-000081BF0000}"/>
    <cellStyle name="Note 2 3 3 4 2" xfId="49011" xr:uid="{00000000-0005-0000-0000-000082BF0000}"/>
    <cellStyle name="Note 2 3 3 5" xfId="49012" xr:uid="{00000000-0005-0000-0000-000083BF0000}"/>
    <cellStyle name="Note 2 3 3 5 2" xfId="49013" xr:uid="{00000000-0005-0000-0000-000084BF0000}"/>
    <cellStyle name="Note 2 3 3 6" xfId="49014" xr:uid="{00000000-0005-0000-0000-000085BF0000}"/>
    <cellStyle name="Note 2 3 4" xfId="49015" xr:uid="{00000000-0005-0000-0000-000086BF0000}"/>
    <cellStyle name="Note 2 3 4 2" xfId="49016" xr:uid="{00000000-0005-0000-0000-000087BF0000}"/>
    <cellStyle name="Note 2 3 4 2 2" xfId="49017" xr:uid="{00000000-0005-0000-0000-000088BF0000}"/>
    <cellStyle name="Note 2 3 4 2 2 2" xfId="49018" xr:uid="{00000000-0005-0000-0000-000089BF0000}"/>
    <cellStyle name="Note 2 3 4 2 3" xfId="49019" xr:uid="{00000000-0005-0000-0000-00008ABF0000}"/>
    <cellStyle name="Note 2 3 4 2 3 2" xfId="49020" xr:uid="{00000000-0005-0000-0000-00008BBF0000}"/>
    <cellStyle name="Note 2 3 4 2 4" xfId="49021" xr:uid="{00000000-0005-0000-0000-00008CBF0000}"/>
    <cellStyle name="Note 2 3 4 3" xfId="49022" xr:uid="{00000000-0005-0000-0000-00008DBF0000}"/>
    <cellStyle name="Note 2 3 4 3 2" xfId="49023" xr:uid="{00000000-0005-0000-0000-00008EBF0000}"/>
    <cellStyle name="Note 2 3 4 3 2 2" xfId="49024" xr:uid="{00000000-0005-0000-0000-00008FBF0000}"/>
    <cellStyle name="Note 2 3 4 3 3" xfId="49025" xr:uid="{00000000-0005-0000-0000-000090BF0000}"/>
    <cellStyle name="Note 2 3 4 3 3 2" xfId="49026" xr:uid="{00000000-0005-0000-0000-000091BF0000}"/>
    <cellStyle name="Note 2 3 4 3 4" xfId="49027" xr:uid="{00000000-0005-0000-0000-000092BF0000}"/>
    <cellStyle name="Note 2 3 4 4" xfId="49028" xr:uid="{00000000-0005-0000-0000-000093BF0000}"/>
    <cellStyle name="Note 2 3 4 4 2" xfId="49029" xr:uid="{00000000-0005-0000-0000-000094BF0000}"/>
    <cellStyle name="Note 2 3 4 5" xfId="49030" xr:uid="{00000000-0005-0000-0000-000095BF0000}"/>
    <cellStyle name="Note 2 3 4 5 2" xfId="49031" xr:uid="{00000000-0005-0000-0000-000096BF0000}"/>
    <cellStyle name="Note 2 3 4 6" xfId="49032" xr:uid="{00000000-0005-0000-0000-000097BF0000}"/>
    <cellStyle name="Note 2 3 5" xfId="49033" xr:uid="{00000000-0005-0000-0000-000098BF0000}"/>
    <cellStyle name="Note 2 3 5 2" xfId="49034" xr:uid="{00000000-0005-0000-0000-000099BF0000}"/>
    <cellStyle name="Note 2 3 5 2 2" xfId="49035" xr:uid="{00000000-0005-0000-0000-00009ABF0000}"/>
    <cellStyle name="Note 2 3 5 2 2 2" xfId="49036" xr:uid="{00000000-0005-0000-0000-00009BBF0000}"/>
    <cellStyle name="Note 2 3 5 2 3" xfId="49037" xr:uid="{00000000-0005-0000-0000-00009CBF0000}"/>
    <cellStyle name="Note 2 3 5 2 3 2" xfId="49038" xr:uid="{00000000-0005-0000-0000-00009DBF0000}"/>
    <cellStyle name="Note 2 3 5 2 4" xfId="49039" xr:uid="{00000000-0005-0000-0000-00009EBF0000}"/>
    <cellStyle name="Note 2 3 5 3" xfId="49040" xr:uid="{00000000-0005-0000-0000-00009FBF0000}"/>
    <cellStyle name="Note 2 3 5 3 2" xfId="49041" xr:uid="{00000000-0005-0000-0000-0000A0BF0000}"/>
    <cellStyle name="Note 2 3 5 3 2 2" xfId="49042" xr:uid="{00000000-0005-0000-0000-0000A1BF0000}"/>
    <cellStyle name="Note 2 3 5 3 3" xfId="49043" xr:uid="{00000000-0005-0000-0000-0000A2BF0000}"/>
    <cellStyle name="Note 2 3 5 3 3 2" xfId="49044" xr:uid="{00000000-0005-0000-0000-0000A3BF0000}"/>
    <cellStyle name="Note 2 3 5 3 4" xfId="49045" xr:uid="{00000000-0005-0000-0000-0000A4BF0000}"/>
    <cellStyle name="Note 2 3 5 4" xfId="49046" xr:uid="{00000000-0005-0000-0000-0000A5BF0000}"/>
    <cellStyle name="Note 2 3 5 4 2" xfId="49047" xr:uid="{00000000-0005-0000-0000-0000A6BF0000}"/>
    <cellStyle name="Note 2 3 5 5" xfId="49048" xr:uid="{00000000-0005-0000-0000-0000A7BF0000}"/>
    <cellStyle name="Note 2 3 5 5 2" xfId="49049" xr:uid="{00000000-0005-0000-0000-0000A8BF0000}"/>
    <cellStyle name="Note 2 3 5 6" xfId="49050" xr:uid="{00000000-0005-0000-0000-0000A9BF0000}"/>
    <cellStyle name="Note 2 3 6" xfId="49051" xr:uid="{00000000-0005-0000-0000-0000AABF0000}"/>
    <cellStyle name="Note 2 3 6 2" xfId="49052" xr:uid="{00000000-0005-0000-0000-0000ABBF0000}"/>
    <cellStyle name="Note 2 3 6 2 2" xfId="49053" xr:uid="{00000000-0005-0000-0000-0000ACBF0000}"/>
    <cellStyle name="Note 2 3 6 2 2 2" xfId="49054" xr:uid="{00000000-0005-0000-0000-0000ADBF0000}"/>
    <cellStyle name="Note 2 3 6 2 3" xfId="49055" xr:uid="{00000000-0005-0000-0000-0000AEBF0000}"/>
    <cellStyle name="Note 2 3 6 2 3 2" xfId="49056" xr:uid="{00000000-0005-0000-0000-0000AFBF0000}"/>
    <cellStyle name="Note 2 3 6 2 4" xfId="49057" xr:uid="{00000000-0005-0000-0000-0000B0BF0000}"/>
    <cellStyle name="Note 2 3 6 3" xfId="49058" xr:uid="{00000000-0005-0000-0000-0000B1BF0000}"/>
    <cellStyle name="Note 2 3 6 3 2" xfId="49059" xr:uid="{00000000-0005-0000-0000-0000B2BF0000}"/>
    <cellStyle name="Note 2 3 6 3 2 2" xfId="49060" xr:uid="{00000000-0005-0000-0000-0000B3BF0000}"/>
    <cellStyle name="Note 2 3 6 3 3" xfId="49061" xr:uid="{00000000-0005-0000-0000-0000B4BF0000}"/>
    <cellStyle name="Note 2 3 6 3 3 2" xfId="49062" xr:uid="{00000000-0005-0000-0000-0000B5BF0000}"/>
    <cellStyle name="Note 2 3 6 3 4" xfId="49063" xr:uid="{00000000-0005-0000-0000-0000B6BF0000}"/>
    <cellStyle name="Note 2 3 6 4" xfId="49064" xr:uid="{00000000-0005-0000-0000-0000B7BF0000}"/>
    <cellStyle name="Note 2 3 6 4 2" xfId="49065" xr:uid="{00000000-0005-0000-0000-0000B8BF0000}"/>
    <cellStyle name="Note 2 3 6 5" xfId="49066" xr:uid="{00000000-0005-0000-0000-0000B9BF0000}"/>
    <cellStyle name="Note 2 3 6 5 2" xfId="49067" xr:uid="{00000000-0005-0000-0000-0000BABF0000}"/>
    <cellStyle name="Note 2 3 6 6" xfId="49068" xr:uid="{00000000-0005-0000-0000-0000BBBF0000}"/>
    <cellStyle name="Note 2 3 7" xfId="49069" xr:uid="{00000000-0005-0000-0000-0000BCBF0000}"/>
    <cellStyle name="Note 2 3 7 2" xfId="49070" xr:uid="{00000000-0005-0000-0000-0000BDBF0000}"/>
    <cellStyle name="Note 2 3 7 2 2" xfId="49071" xr:uid="{00000000-0005-0000-0000-0000BEBF0000}"/>
    <cellStyle name="Note 2 3 7 3" xfId="49072" xr:uid="{00000000-0005-0000-0000-0000BFBF0000}"/>
    <cellStyle name="Note 2 3 7 3 2" xfId="49073" xr:uid="{00000000-0005-0000-0000-0000C0BF0000}"/>
    <cellStyle name="Note 2 3 7 4" xfId="49074" xr:uid="{00000000-0005-0000-0000-0000C1BF0000}"/>
    <cellStyle name="Note 2 3 8" xfId="49075" xr:uid="{00000000-0005-0000-0000-0000C2BF0000}"/>
    <cellStyle name="Note 2 3 8 2" xfId="49076" xr:uid="{00000000-0005-0000-0000-0000C3BF0000}"/>
    <cellStyle name="Note 2 3 8 2 2" xfId="49077" xr:uid="{00000000-0005-0000-0000-0000C4BF0000}"/>
    <cellStyle name="Note 2 3 8 3" xfId="49078" xr:uid="{00000000-0005-0000-0000-0000C5BF0000}"/>
    <cellStyle name="Note 2 3 8 3 2" xfId="49079" xr:uid="{00000000-0005-0000-0000-0000C6BF0000}"/>
    <cellStyle name="Note 2 3 8 4" xfId="49080" xr:uid="{00000000-0005-0000-0000-0000C7BF0000}"/>
    <cellStyle name="Note 2 3 9" xfId="49081" xr:uid="{00000000-0005-0000-0000-0000C8BF0000}"/>
    <cellStyle name="Note 2 3 9 2" xfId="49082" xr:uid="{00000000-0005-0000-0000-0000C9BF0000}"/>
    <cellStyle name="Note 2 30" xfId="49083" xr:uid="{00000000-0005-0000-0000-0000CABF0000}"/>
    <cellStyle name="Note 2 31" xfId="49084" xr:uid="{00000000-0005-0000-0000-0000CBBF0000}"/>
    <cellStyle name="Note 2 31 2" xfId="49085" xr:uid="{00000000-0005-0000-0000-0000CCBF0000}"/>
    <cellStyle name="Note 2 31 3" xfId="49086" xr:uid="{00000000-0005-0000-0000-0000CDBF0000}"/>
    <cellStyle name="Note 2 31 4" xfId="49087" xr:uid="{00000000-0005-0000-0000-0000CEBF0000}"/>
    <cellStyle name="Note 2 32" xfId="49088" xr:uid="{00000000-0005-0000-0000-0000CFBF0000}"/>
    <cellStyle name="Note 2 33" xfId="49089" xr:uid="{00000000-0005-0000-0000-0000D0BF0000}"/>
    <cellStyle name="Note 2 34" xfId="49090" xr:uid="{00000000-0005-0000-0000-0000D1BF0000}"/>
    <cellStyle name="Note 2 35" xfId="49091" xr:uid="{00000000-0005-0000-0000-0000D2BF0000}"/>
    <cellStyle name="Note 2 36" xfId="49092" xr:uid="{00000000-0005-0000-0000-0000D3BF0000}"/>
    <cellStyle name="Note 2 37" xfId="49093" xr:uid="{00000000-0005-0000-0000-0000D4BF0000}"/>
    <cellStyle name="Note 2 4" xfId="49094" xr:uid="{00000000-0005-0000-0000-0000D5BF0000}"/>
    <cellStyle name="Note 2 4 10" xfId="49095" xr:uid="{00000000-0005-0000-0000-0000D6BF0000}"/>
    <cellStyle name="Note 2 4 10 2" xfId="49096" xr:uid="{00000000-0005-0000-0000-0000D7BF0000}"/>
    <cellStyle name="Note 2 4 11" xfId="49097" xr:uid="{00000000-0005-0000-0000-0000D8BF0000}"/>
    <cellStyle name="Note 2 4 12" xfId="49098" xr:uid="{00000000-0005-0000-0000-0000D9BF0000}"/>
    <cellStyle name="Note 2 4 13" xfId="49099" xr:uid="{00000000-0005-0000-0000-0000DABF0000}"/>
    <cellStyle name="Note 2 4 14" xfId="49100" xr:uid="{00000000-0005-0000-0000-0000DBBF0000}"/>
    <cellStyle name="Note 2 4 2" xfId="49101" xr:uid="{00000000-0005-0000-0000-0000DCBF0000}"/>
    <cellStyle name="Note 2 4 2 2" xfId="49102" xr:uid="{00000000-0005-0000-0000-0000DDBF0000}"/>
    <cellStyle name="Note 2 4 2 2 2" xfId="49103" xr:uid="{00000000-0005-0000-0000-0000DEBF0000}"/>
    <cellStyle name="Note 2 4 2 2 2 2" xfId="49104" xr:uid="{00000000-0005-0000-0000-0000DFBF0000}"/>
    <cellStyle name="Note 2 4 2 2 3" xfId="49105" xr:uid="{00000000-0005-0000-0000-0000E0BF0000}"/>
    <cellStyle name="Note 2 4 2 2 3 2" xfId="49106" xr:uid="{00000000-0005-0000-0000-0000E1BF0000}"/>
    <cellStyle name="Note 2 4 2 2 4" xfId="49107" xr:uid="{00000000-0005-0000-0000-0000E2BF0000}"/>
    <cellStyle name="Note 2 4 2 3" xfId="49108" xr:uid="{00000000-0005-0000-0000-0000E3BF0000}"/>
    <cellStyle name="Note 2 4 2 3 2" xfId="49109" xr:uid="{00000000-0005-0000-0000-0000E4BF0000}"/>
    <cellStyle name="Note 2 4 2 3 2 2" xfId="49110" xr:uid="{00000000-0005-0000-0000-0000E5BF0000}"/>
    <cellStyle name="Note 2 4 2 3 3" xfId="49111" xr:uid="{00000000-0005-0000-0000-0000E6BF0000}"/>
    <cellStyle name="Note 2 4 2 3 3 2" xfId="49112" xr:uid="{00000000-0005-0000-0000-0000E7BF0000}"/>
    <cellStyle name="Note 2 4 2 3 4" xfId="49113" xr:uid="{00000000-0005-0000-0000-0000E8BF0000}"/>
    <cellStyle name="Note 2 4 2 4" xfId="49114" xr:uid="{00000000-0005-0000-0000-0000E9BF0000}"/>
    <cellStyle name="Note 2 4 2 4 2" xfId="49115" xr:uid="{00000000-0005-0000-0000-0000EABF0000}"/>
    <cellStyle name="Note 2 4 2 5" xfId="49116" xr:uid="{00000000-0005-0000-0000-0000EBBF0000}"/>
    <cellStyle name="Note 2 4 2 5 2" xfId="49117" xr:uid="{00000000-0005-0000-0000-0000ECBF0000}"/>
    <cellStyle name="Note 2 4 2 6" xfId="49118" xr:uid="{00000000-0005-0000-0000-0000EDBF0000}"/>
    <cellStyle name="Note 2 4 2 7" xfId="49119" xr:uid="{00000000-0005-0000-0000-0000EEBF0000}"/>
    <cellStyle name="Note 2 4 2 8" xfId="49120" xr:uid="{00000000-0005-0000-0000-0000EFBF0000}"/>
    <cellStyle name="Note 2 4 3" xfId="49121" xr:uid="{00000000-0005-0000-0000-0000F0BF0000}"/>
    <cellStyle name="Note 2 4 3 2" xfId="49122" xr:uid="{00000000-0005-0000-0000-0000F1BF0000}"/>
    <cellStyle name="Note 2 4 3 2 2" xfId="49123" xr:uid="{00000000-0005-0000-0000-0000F2BF0000}"/>
    <cellStyle name="Note 2 4 3 2 2 2" xfId="49124" xr:uid="{00000000-0005-0000-0000-0000F3BF0000}"/>
    <cellStyle name="Note 2 4 3 2 3" xfId="49125" xr:uid="{00000000-0005-0000-0000-0000F4BF0000}"/>
    <cellStyle name="Note 2 4 3 2 3 2" xfId="49126" xr:uid="{00000000-0005-0000-0000-0000F5BF0000}"/>
    <cellStyle name="Note 2 4 3 2 4" xfId="49127" xr:uid="{00000000-0005-0000-0000-0000F6BF0000}"/>
    <cellStyle name="Note 2 4 3 3" xfId="49128" xr:uid="{00000000-0005-0000-0000-0000F7BF0000}"/>
    <cellStyle name="Note 2 4 3 3 2" xfId="49129" xr:uid="{00000000-0005-0000-0000-0000F8BF0000}"/>
    <cellStyle name="Note 2 4 3 3 2 2" xfId="49130" xr:uid="{00000000-0005-0000-0000-0000F9BF0000}"/>
    <cellStyle name="Note 2 4 3 3 3" xfId="49131" xr:uid="{00000000-0005-0000-0000-0000FABF0000}"/>
    <cellStyle name="Note 2 4 3 3 3 2" xfId="49132" xr:uid="{00000000-0005-0000-0000-0000FBBF0000}"/>
    <cellStyle name="Note 2 4 3 3 4" xfId="49133" xr:uid="{00000000-0005-0000-0000-0000FCBF0000}"/>
    <cellStyle name="Note 2 4 3 4" xfId="49134" xr:uid="{00000000-0005-0000-0000-0000FDBF0000}"/>
    <cellStyle name="Note 2 4 3 4 2" xfId="49135" xr:uid="{00000000-0005-0000-0000-0000FEBF0000}"/>
    <cellStyle name="Note 2 4 3 5" xfId="49136" xr:uid="{00000000-0005-0000-0000-0000FFBF0000}"/>
    <cellStyle name="Note 2 4 3 5 2" xfId="49137" xr:uid="{00000000-0005-0000-0000-000000C00000}"/>
    <cellStyle name="Note 2 4 3 6" xfId="49138" xr:uid="{00000000-0005-0000-0000-000001C00000}"/>
    <cellStyle name="Note 2 4 4" xfId="49139" xr:uid="{00000000-0005-0000-0000-000002C00000}"/>
    <cellStyle name="Note 2 4 4 2" xfId="49140" xr:uid="{00000000-0005-0000-0000-000003C00000}"/>
    <cellStyle name="Note 2 4 4 2 2" xfId="49141" xr:uid="{00000000-0005-0000-0000-000004C00000}"/>
    <cellStyle name="Note 2 4 4 2 2 2" xfId="49142" xr:uid="{00000000-0005-0000-0000-000005C00000}"/>
    <cellStyle name="Note 2 4 4 2 3" xfId="49143" xr:uid="{00000000-0005-0000-0000-000006C00000}"/>
    <cellStyle name="Note 2 4 4 2 3 2" xfId="49144" xr:uid="{00000000-0005-0000-0000-000007C00000}"/>
    <cellStyle name="Note 2 4 4 2 4" xfId="49145" xr:uid="{00000000-0005-0000-0000-000008C00000}"/>
    <cellStyle name="Note 2 4 4 3" xfId="49146" xr:uid="{00000000-0005-0000-0000-000009C00000}"/>
    <cellStyle name="Note 2 4 4 3 2" xfId="49147" xr:uid="{00000000-0005-0000-0000-00000AC00000}"/>
    <cellStyle name="Note 2 4 4 3 2 2" xfId="49148" xr:uid="{00000000-0005-0000-0000-00000BC00000}"/>
    <cellStyle name="Note 2 4 4 3 3" xfId="49149" xr:uid="{00000000-0005-0000-0000-00000CC00000}"/>
    <cellStyle name="Note 2 4 4 3 3 2" xfId="49150" xr:uid="{00000000-0005-0000-0000-00000DC00000}"/>
    <cellStyle name="Note 2 4 4 3 4" xfId="49151" xr:uid="{00000000-0005-0000-0000-00000EC00000}"/>
    <cellStyle name="Note 2 4 4 4" xfId="49152" xr:uid="{00000000-0005-0000-0000-00000FC00000}"/>
    <cellStyle name="Note 2 4 4 4 2" xfId="49153" xr:uid="{00000000-0005-0000-0000-000010C00000}"/>
    <cellStyle name="Note 2 4 4 5" xfId="49154" xr:uid="{00000000-0005-0000-0000-000011C00000}"/>
    <cellStyle name="Note 2 4 4 5 2" xfId="49155" xr:uid="{00000000-0005-0000-0000-000012C00000}"/>
    <cellStyle name="Note 2 4 4 6" xfId="49156" xr:uid="{00000000-0005-0000-0000-000013C00000}"/>
    <cellStyle name="Note 2 4 5" xfId="49157" xr:uid="{00000000-0005-0000-0000-000014C00000}"/>
    <cellStyle name="Note 2 4 5 2" xfId="49158" xr:uid="{00000000-0005-0000-0000-000015C00000}"/>
    <cellStyle name="Note 2 4 5 2 2" xfId="49159" xr:uid="{00000000-0005-0000-0000-000016C00000}"/>
    <cellStyle name="Note 2 4 5 2 2 2" xfId="49160" xr:uid="{00000000-0005-0000-0000-000017C00000}"/>
    <cellStyle name="Note 2 4 5 2 3" xfId="49161" xr:uid="{00000000-0005-0000-0000-000018C00000}"/>
    <cellStyle name="Note 2 4 5 2 3 2" xfId="49162" xr:uid="{00000000-0005-0000-0000-000019C00000}"/>
    <cellStyle name="Note 2 4 5 2 4" xfId="49163" xr:uid="{00000000-0005-0000-0000-00001AC00000}"/>
    <cellStyle name="Note 2 4 5 3" xfId="49164" xr:uid="{00000000-0005-0000-0000-00001BC00000}"/>
    <cellStyle name="Note 2 4 5 3 2" xfId="49165" xr:uid="{00000000-0005-0000-0000-00001CC00000}"/>
    <cellStyle name="Note 2 4 5 3 2 2" xfId="49166" xr:uid="{00000000-0005-0000-0000-00001DC00000}"/>
    <cellStyle name="Note 2 4 5 3 3" xfId="49167" xr:uid="{00000000-0005-0000-0000-00001EC00000}"/>
    <cellStyle name="Note 2 4 5 3 3 2" xfId="49168" xr:uid="{00000000-0005-0000-0000-00001FC00000}"/>
    <cellStyle name="Note 2 4 5 3 4" xfId="49169" xr:uid="{00000000-0005-0000-0000-000020C00000}"/>
    <cellStyle name="Note 2 4 5 4" xfId="49170" xr:uid="{00000000-0005-0000-0000-000021C00000}"/>
    <cellStyle name="Note 2 4 5 4 2" xfId="49171" xr:uid="{00000000-0005-0000-0000-000022C00000}"/>
    <cellStyle name="Note 2 4 5 5" xfId="49172" xr:uid="{00000000-0005-0000-0000-000023C00000}"/>
    <cellStyle name="Note 2 4 5 5 2" xfId="49173" xr:uid="{00000000-0005-0000-0000-000024C00000}"/>
    <cellStyle name="Note 2 4 5 6" xfId="49174" xr:uid="{00000000-0005-0000-0000-000025C00000}"/>
    <cellStyle name="Note 2 4 6" xfId="49175" xr:uid="{00000000-0005-0000-0000-000026C00000}"/>
    <cellStyle name="Note 2 4 6 2" xfId="49176" xr:uid="{00000000-0005-0000-0000-000027C00000}"/>
    <cellStyle name="Note 2 4 6 2 2" xfId="49177" xr:uid="{00000000-0005-0000-0000-000028C00000}"/>
    <cellStyle name="Note 2 4 6 2 2 2" xfId="49178" xr:uid="{00000000-0005-0000-0000-000029C00000}"/>
    <cellStyle name="Note 2 4 6 2 3" xfId="49179" xr:uid="{00000000-0005-0000-0000-00002AC00000}"/>
    <cellStyle name="Note 2 4 6 2 3 2" xfId="49180" xr:uid="{00000000-0005-0000-0000-00002BC00000}"/>
    <cellStyle name="Note 2 4 6 2 4" xfId="49181" xr:uid="{00000000-0005-0000-0000-00002CC00000}"/>
    <cellStyle name="Note 2 4 6 3" xfId="49182" xr:uid="{00000000-0005-0000-0000-00002DC00000}"/>
    <cellStyle name="Note 2 4 6 3 2" xfId="49183" xr:uid="{00000000-0005-0000-0000-00002EC00000}"/>
    <cellStyle name="Note 2 4 6 3 2 2" xfId="49184" xr:uid="{00000000-0005-0000-0000-00002FC00000}"/>
    <cellStyle name="Note 2 4 6 3 3" xfId="49185" xr:uid="{00000000-0005-0000-0000-000030C00000}"/>
    <cellStyle name="Note 2 4 6 3 3 2" xfId="49186" xr:uid="{00000000-0005-0000-0000-000031C00000}"/>
    <cellStyle name="Note 2 4 6 3 4" xfId="49187" xr:uid="{00000000-0005-0000-0000-000032C00000}"/>
    <cellStyle name="Note 2 4 6 4" xfId="49188" xr:uid="{00000000-0005-0000-0000-000033C00000}"/>
    <cellStyle name="Note 2 4 6 4 2" xfId="49189" xr:uid="{00000000-0005-0000-0000-000034C00000}"/>
    <cellStyle name="Note 2 4 6 5" xfId="49190" xr:uid="{00000000-0005-0000-0000-000035C00000}"/>
    <cellStyle name="Note 2 4 6 5 2" xfId="49191" xr:uid="{00000000-0005-0000-0000-000036C00000}"/>
    <cellStyle name="Note 2 4 6 6" xfId="49192" xr:uid="{00000000-0005-0000-0000-000037C00000}"/>
    <cellStyle name="Note 2 4 7" xfId="49193" xr:uid="{00000000-0005-0000-0000-000038C00000}"/>
    <cellStyle name="Note 2 4 7 2" xfId="49194" xr:uid="{00000000-0005-0000-0000-000039C00000}"/>
    <cellStyle name="Note 2 4 7 2 2" xfId="49195" xr:uid="{00000000-0005-0000-0000-00003AC00000}"/>
    <cellStyle name="Note 2 4 7 3" xfId="49196" xr:uid="{00000000-0005-0000-0000-00003BC00000}"/>
    <cellStyle name="Note 2 4 7 3 2" xfId="49197" xr:uid="{00000000-0005-0000-0000-00003CC00000}"/>
    <cellStyle name="Note 2 4 7 4" xfId="49198" xr:uid="{00000000-0005-0000-0000-00003DC00000}"/>
    <cellStyle name="Note 2 4 8" xfId="49199" xr:uid="{00000000-0005-0000-0000-00003EC00000}"/>
    <cellStyle name="Note 2 4 8 2" xfId="49200" xr:uid="{00000000-0005-0000-0000-00003FC00000}"/>
    <cellStyle name="Note 2 4 8 2 2" xfId="49201" xr:uid="{00000000-0005-0000-0000-000040C00000}"/>
    <cellStyle name="Note 2 4 8 3" xfId="49202" xr:uid="{00000000-0005-0000-0000-000041C00000}"/>
    <cellStyle name="Note 2 4 8 3 2" xfId="49203" xr:uid="{00000000-0005-0000-0000-000042C00000}"/>
    <cellStyle name="Note 2 4 8 4" xfId="49204" xr:uid="{00000000-0005-0000-0000-000043C00000}"/>
    <cellStyle name="Note 2 4 9" xfId="49205" xr:uid="{00000000-0005-0000-0000-000044C00000}"/>
    <cellStyle name="Note 2 4 9 2" xfId="49206" xr:uid="{00000000-0005-0000-0000-000045C00000}"/>
    <cellStyle name="Note 2 5" xfId="49207" xr:uid="{00000000-0005-0000-0000-000046C00000}"/>
    <cellStyle name="Note 2 5 10" xfId="49208" xr:uid="{00000000-0005-0000-0000-000047C00000}"/>
    <cellStyle name="Note 2 5 10 2" xfId="49209" xr:uid="{00000000-0005-0000-0000-000048C00000}"/>
    <cellStyle name="Note 2 5 11" xfId="49210" xr:uid="{00000000-0005-0000-0000-000049C00000}"/>
    <cellStyle name="Note 2 5 12" xfId="49211" xr:uid="{00000000-0005-0000-0000-00004AC00000}"/>
    <cellStyle name="Note 2 5 13" xfId="49212" xr:uid="{00000000-0005-0000-0000-00004BC00000}"/>
    <cellStyle name="Note 2 5 14" xfId="49213" xr:uid="{00000000-0005-0000-0000-00004CC00000}"/>
    <cellStyle name="Note 2 5 2" xfId="49214" xr:uid="{00000000-0005-0000-0000-00004DC00000}"/>
    <cellStyle name="Note 2 5 2 2" xfId="49215" xr:uid="{00000000-0005-0000-0000-00004EC00000}"/>
    <cellStyle name="Note 2 5 2 2 2" xfId="49216" xr:uid="{00000000-0005-0000-0000-00004FC00000}"/>
    <cellStyle name="Note 2 5 2 2 2 2" xfId="49217" xr:uid="{00000000-0005-0000-0000-000050C00000}"/>
    <cellStyle name="Note 2 5 2 2 3" xfId="49218" xr:uid="{00000000-0005-0000-0000-000051C00000}"/>
    <cellStyle name="Note 2 5 2 2 3 2" xfId="49219" xr:uid="{00000000-0005-0000-0000-000052C00000}"/>
    <cellStyle name="Note 2 5 2 2 4" xfId="49220" xr:uid="{00000000-0005-0000-0000-000053C00000}"/>
    <cellStyle name="Note 2 5 2 3" xfId="49221" xr:uid="{00000000-0005-0000-0000-000054C00000}"/>
    <cellStyle name="Note 2 5 2 3 2" xfId="49222" xr:uid="{00000000-0005-0000-0000-000055C00000}"/>
    <cellStyle name="Note 2 5 2 3 2 2" xfId="49223" xr:uid="{00000000-0005-0000-0000-000056C00000}"/>
    <cellStyle name="Note 2 5 2 3 3" xfId="49224" xr:uid="{00000000-0005-0000-0000-000057C00000}"/>
    <cellStyle name="Note 2 5 2 3 3 2" xfId="49225" xr:uid="{00000000-0005-0000-0000-000058C00000}"/>
    <cellStyle name="Note 2 5 2 3 4" xfId="49226" xr:uid="{00000000-0005-0000-0000-000059C00000}"/>
    <cellStyle name="Note 2 5 2 4" xfId="49227" xr:uid="{00000000-0005-0000-0000-00005AC00000}"/>
    <cellStyle name="Note 2 5 2 4 2" xfId="49228" xr:uid="{00000000-0005-0000-0000-00005BC00000}"/>
    <cellStyle name="Note 2 5 2 5" xfId="49229" xr:uid="{00000000-0005-0000-0000-00005CC00000}"/>
    <cellStyle name="Note 2 5 2 5 2" xfId="49230" xr:uid="{00000000-0005-0000-0000-00005DC00000}"/>
    <cellStyle name="Note 2 5 2 6" xfId="49231" xr:uid="{00000000-0005-0000-0000-00005EC00000}"/>
    <cellStyle name="Note 2 5 2 7" xfId="49232" xr:uid="{00000000-0005-0000-0000-00005FC00000}"/>
    <cellStyle name="Note 2 5 2 8" xfId="49233" xr:uid="{00000000-0005-0000-0000-000060C00000}"/>
    <cellStyle name="Note 2 5 3" xfId="49234" xr:uid="{00000000-0005-0000-0000-000061C00000}"/>
    <cellStyle name="Note 2 5 3 2" xfId="49235" xr:uid="{00000000-0005-0000-0000-000062C00000}"/>
    <cellStyle name="Note 2 5 3 2 2" xfId="49236" xr:uid="{00000000-0005-0000-0000-000063C00000}"/>
    <cellStyle name="Note 2 5 3 2 2 2" xfId="49237" xr:uid="{00000000-0005-0000-0000-000064C00000}"/>
    <cellStyle name="Note 2 5 3 2 3" xfId="49238" xr:uid="{00000000-0005-0000-0000-000065C00000}"/>
    <cellStyle name="Note 2 5 3 2 3 2" xfId="49239" xr:uid="{00000000-0005-0000-0000-000066C00000}"/>
    <cellStyle name="Note 2 5 3 2 4" xfId="49240" xr:uid="{00000000-0005-0000-0000-000067C00000}"/>
    <cellStyle name="Note 2 5 3 3" xfId="49241" xr:uid="{00000000-0005-0000-0000-000068C00000}"/>
    <cellStyle name="Note 2 5 3 3 2" xfId="49242" xr:uid="{00000000-0005-0000-0000-000069C00000}"/>
    <cellStyle name="Note 2 5 3 3 2 2" xfId="49243" xr:uid="{00000000-0005-0000-0000-00006AC00000}"/>
    <cellStyle name="Note 2 5 3 3 3" xfId="49244" xr:uid="{00000000-0005-0000-0000-00006BC00000}"/>
    <cellStyle name="Note 2 5 3 3 3 2" xfId="49245" xr:uid="{00000000-0005-0000-0000-00006CC00000}"/>
    <cellStyle name="Note 2 5 3 3 4" xfId="49246" xr:uid="{00000000-0005-0000-0000-00006DC00000}"/>
    <cellStyle name="Note 2 5 3 4" xfId="49247" xr:uid="{00000000-0005-0000-0000-00006EC00000}"/>
    <cellStyle name="Note 2 5 3 4 2" xfId="49248" xr:uid="{00000000-0005-0000-0000-00006FC00000}"/>
    <cellStyle name="Note 2 5 3 5" xfId="49249" xr:uid="{00000000-0005-0000-0000-000070C00000}"/>
    <cellStyle name="Note 2 5 3 5 2" xfId="49250" xr:uid="{00000000-0005-0000-0000-000071C00000}"/>
    <cellStyle name="Note 2 5 3 6" xfId="49251" xr:uid="{00000000-0005-0000-0000-000072C00000}"/>
    <cellStyle name="Note 2 5 4" xfId="49252" xr:uid="{00000000-0005-0000-0000-000073C00000}"/>
    <cellStyle name="Note 2 5 4 2" xfId="49253" xr:uid="{00000000-0005-0000-0000-000074C00000}"/>
    <cellStyle name="Note 2 5 4 2 2" xfId="49254" xr:uid="{00000000-0005-0000-0000-000075C00000}"/>
    <cellStyle name="Note 2 5 4 2 2 2" xfId="49255" xr:uid="{00000000-0005-0000-0000-000076C00000}"/>
    <cellStyle name="Note 2 5 4 2 3" xfId="49256" xr:uid="{00000000-0005-0000-0000-000077C00000}"/>
    <cellStyle name="Note 2 5 4 2 3 2" xfId="49257" xr:uid="{00000000-0005-0000-0000-000078C00000}"/>
    <cellStyle name="Note 2 5 4 2 4" xfId="49258" xr:uid="{00000000-0005-0000-0000-000079C00000}"/>
    <cellStyle name="Note 2 5 4 3" xfId="49259" xr:uid="{00000000-0005-0000-0000-00007AC00000}"/>
    <cellStyle name="Note 2 5 4 3 2" xfId="49260" xr:uid="{00000000-0005-0000-0000-00007BC00000}"/>
    <cellStyle name="Note 2 5 4 3 2 2" xfId="49261" xr:uid="{00000000-0005-0000-0000-00007CC00000}"/>
    <cellStyle name="Note 2 5 4 3 3" xfId="49262" xr:uid="{00000000-0005-0000-0000-00007DC00000}"/>
    <cellStyle name="Note 2 5 4 3 3 2" xfId="49263" xr:uid="{00000000-0005-0000-0000-00007EC00000}"/>
    <cellStyle name="Note 2 5 4 3 4" xfId="49264" xr:uid="{00000000-0005-0000-0000-00007FC00000}"/>
    <cellStyle name="Note 2 5 4 4" xfId="49265" xr:uid="{00000000-0005-0000-0000-000080C00000}"/>
    <cellStyle name="Note 2 5 4 4 2" xfId="49266" xr:uid="{00000000-0005-0000-0000-000081C00000}"/>
    <cellStyle name="Note 2 5 4 5" xfId="49267" xr:uid="{00000000-0005-0000-0000-000082C00000}"/>
    <cellStyle name="Note 2 5 4 5 2" xfId="49268" xr:uid="{00000000-0005-0000-0000-000083C00000}"/>
    <cellStyle name="Note 2 5 4 6" xfId="49269" xr:uid="{00000000-0005-0000-0000-000084C00000}"/>
    <cellStyle name="Note 2 5 5" xfId="49270" xr:uid="{00000000-0005-0000-0000-000085C00000}"/>
    <cellStyle name="Note 2 5 5 2" xfId="49271" xr:uid="{00000000-0005-0000-0000-000086C00000}"/>
    <cellStyle name="Note 2 5 5 2 2" xfId="49272" xr:uid="{00000000-0005-0000-0000-000087C00000}"/>
    <cellStyle name="Note 2 5 5 2 2 2" xfId="49273" xr:uid="{00000000-0005-0000-0000-000088C00000}"/>
    <cellStyle name="Note 2 5 5 2 3" xfId="49274" xr:uid="{00000000-0005-0000-0000-000089C00000}"/>
    <cellStyle name="Note 2 5 5 2 3 2" xfId="49275" xr:uid="{00000000-0005-0000-0000-00008AC00000}"/>
    <cellStyle name="Note 2 5 5 2 4" xfId="49276" xr:uid="{00000000-0005-0000-0000-00008BC00000}"/>
    <cellStyle name="Note 2 5 5 3" xfId="49277" xr:uid="{00000000-0005-0000-0000-00008CC00000}"/>
    <cellStyle name="Note 2 5 5 3 2" xfId="49278" xr:uid="{00000000-0005-0000-0000-00008DC00000}"/>
    <cellStyle name="Note 2 5 5 3 2 2" xfId="49279" xr:uid="{00000000-0005-0000-0000-00008EC00000}"/>
    <cellStyle name="Note 2 5 5 3 3" xfId="49280" xr:uid="{00000000-0005-0000-0000-00008FC00000}"/>
    <cellStyle name="Note 2 5 5 3 3 2" xfId="49281" xr:uid="{00000000-0005-0000-0000-000090C00000}"/>
    <cellStyle name="Note 2 5 5 3 4" xfId="49282" xr:uid="{00000000-0005-0000-0000-000091C00000}"/>
    <cellStyle name="Note 2 5 5 4" xfId="49283" xr:uid="{00000000-0005-0000-0000-000092C00000}"/>
    <cellStyle name="Note 2 5 5 4 2" xfId="49284" xr:uid="{00000000-0005-0000-0000-000093C00000}"/>
    <cellStyle name="Note 2 5 5 5" xfId="49285" xr:uid="{00000000-0005-0000-0000-000094C00000}"/>
    <cellStyle name="Note 2 5 5 5 2" xfId="49286" xr:uid="{00000000-0005-0000-0000-000095C00000}"/>
    <cellStyle name="Note 2 5 5 6" xfId="49287" xr:uid="{00000000-0005-0000-0000-000096C00000}"/>
    <cellStyle name="Note 2 5 6" xfId="49288" xr:uid="{00000000-0005-0000-0000-000097C00000}"/>
    <cellStyle name="Note 2 5 6 2" xfId="49289" xr:uid="{00000000-0005-0000-0000-000098C00000}"/>
    <cellStyle name="Note 2 5 6 2 2" xfId="49290" xr:uid="{00000000-0005-0000-0000-000099C00000}"/>
    <cellStyle name="Note 2 5 6 2 2 2" xfId="49291" xr:uid="{00000000-0005-0000-0000-00009AC00000}"/>
    <cellStyle name="Note 2 5 6 2 3" xfId="49292" xr:uid="{00000000-0005-0000-0000-00009BC00000}"/>
    <cellStyle name="Note 2 5 6 2 3 2" xfId="49293" xr:uid="{00000000-0005-0000-0000-00009CC00000}"/>
    <cellStyle name="Note 2 5 6 2 4" xfId="49294" xr:uid="{00000000-0005-0000-0000-00009DC00000}"/>
    <cellStyle name="Note 2 5 6 3" xfId="49295" xr:uid="{00000000-0005-0000-0000-00009EC00000}"/>
    <cellStyle name="Note 2 5 6 3 2" xfId="49296" xr:uid="{00000000-0005-0000-0000-00009FC00000}"/>
    <cellStyle name="Note 2 5 6 3 2 2" xfId="49297" xr:uid="{00000000-0005-0000-0000-0000A0C00000}"/>
    <cellStyle name="Note 2 5 6 3 3" xfId="49298" xr:uid="{00000000-0005-0000-0000-0000A1C00000}"/>
    <cellStyle name="Note 2 5 6 3 3 2" xfId="49299" xr:uid="{00000000-0005-0000-0000-0000A2C00000}"/>
    <cellStyle name="Note 2 5 6 3 4" xfId="49300" xr:uid="{00000000-0005-0000-0000-0000A3C00000}"/>
    <cellStyle name="Note 2 5 6 4" xfId="49301" xr:uid="{00000000-0005-0000-0000-0000A4C00000}"/>
    <cellStyle name="Note 2 5 6 4 2" xfId="49302" xr:uid="{00000000-0005-0000-0000-0000A5C00000}"/>
    <cellStyle name="Note 2 5 6 5" xfId="49303" xr:uid="{00000000-0005-0000-0000-0000A6C00000}"/>
    <cellStyle name="Note 2 5 6 5 2" xfId="49304" xr:uid="{00000000-0005-0000-0000-0000A7C00000}"/>
    <cellStyle name="Note 2 5 6 6" xfId="49305" xr:uid="{00000000-0005-0000-0000-0000A8C00000}"/>
    <cellStyle name="Note 2 5 7" xfId="49306" xr:uid="{00000000-0005-0000-0000-0000A9C00000}"/>
    <cellStyle name="Note 2 5 7 2" xfId="49307" xr:uid="{00000000-0005-0000-0000-0000AAC00000}"/>
    <cellStyle name="Note 2 5 7 2 2" xfId="49308" xr:uid="{00000000-0005-0000-0000-0000ABC00000}"/>
    <cellStyle name="Note 2 5 7 3" xfId="49309" xr:uid="{00000000-0005-0000-0000-0000ACC00000}"/>
    <cellStyle name="Note 2 5 7 3 2" xfId="49310" xr:uid="{00000000-0005-0000-0000-0000ADC00000}"/>
    <cellStyle name="Note 2 5 7 4" xfId="49311" xr:uid="{00000000-0005-0000-0000-0000AEC00000}"/>
    <cellStyle name="Note 2 5 8" xfId="49312" xr:uid="{00000000-0005-0000-0000-0000AFC00000}"/>
    <cellStyle name="Note 2 5 8 2" xfId="49313" xr:uid="{00000000-0005-0000-0000-0000B0C00000}"/>
    <cellStyle name="Note 2 5 8 2 2" xfId="49314" xr:uid="{00000000-0005-0000-0000-0000B1C00000}"/>
    <cellStyle name="Note 2 5 8 3" xfId="49315" xr:uid="{00000000-0005-0000-0000-0000B2C00000}"/>
    <cellStyle name="Note 2 5 8 3 2" xfId="49316" xr:uid="{00000000-0005-0000-0000-0000B3C00000}"/>
    <cellStyle name="Note 2 5 8 4" xfId="49317" xr:uid="{00000000-0005-0000-0000-0000B4C00000}"/>
    <cellStyle name="Note 2 5 9" xfId="49318" xr:uid="{00000000-0005-0000-0000-0000B5C00000}"/>
    <cellStyle name="Note 2 5 9 2" xfId="49319" xr:uid="{00000000-0005-0000-0000-0000B6C00000}"/>
    <cellStyle name="Note 2 6" xfId="49320" xr:uid="{00000000-0005-0000-0000-0000B7C00000}"/>
    <cellStyle name="Note 2 6 10" xfId="49321" xr:uid="{00000000-0005-0000-0000-0000B8C00000}"/>
    <cellStyle name="Note 2 6 10 2" xfId="49322" xr:uid="{00000000-0005-0000-0000-0000B9C00000}"/>
    <cellStyle name="Note 2 6 11" xfId="49323" xr:uid="{00000000-0005-0000-0000-0000BAC00000}"/>
    <cellStyle name="Note 2 6 12" xfId="49324" xr:uid="{00000000-0005-0000-0000-0000BBC00000}"/>
    <cellStyle name="Note 2 6 13" xfId="49325" xr:uid="{00000000-0005-0000-0000-0000BCC00000}"/>
    <cellStyle name="Note 2 6 14" xfId="49326" xr:uid="{00000000-0005-0000-0000-0000BDC00000}"/>
    <cellStyle name="Note 2 6 2" xfId="49327" xr:uid="{00000000-0005-0000-0000-0000BEC00000}"/>
    <cellStyle name="Note 2 6 2 2" xfId="49328" xr:uid="{00000000-0005-0000-0000-0000BFC00000}"/>
    <cellStyle name="Note 2 6 2 2 2" xfId="49329" xr:uid="{00000000-0005-0000-0000-0000C0C00000}"/>
    <cellStyle name="Note 2 6 2 2 2 2" xfId="49330" xr:uid="{00000000-0005-0000-0000-0000C1C00000}"/>
    <cellStyle name="Note 2 6 2 2 3" xfId="49331" xr:uid="{00000000-0005-0000-0000-0000C2C00000}"/>
    <cellStyle name="Note 2 6 2 2 3 2" xfId="49332" xr:uid="{00000000-0005-0000-0000-0000C3C00000}"/>
    <cellStyle name="Note 2 6 2 2 4" xfId="49333" xr:uid="{00000000-0005-0000-0000-0000C4C00000}"/>
    <cellStyle name="Note 2 6 2 3" xfId="49334" xr:uid="{00000000-0005-0000-0000-0000C5C00000}"/>
    <cellStyle name="Note 2 6 2 3 2" xfId="49335" xr:uid="{00000000-0005-0000-0000-0000C6C00000}"/>
    <cellStyle name="Note 2 6 2 3 2 2" xfId="49336" xr:uid="{00000000-0005-0000-0000-0000C7C00000}"/>
    <cellStyle name="Note 2 6 2 3 3" xfId="49337" xr:uid="{00000000-0005-0000-0000-0000C8C00000}"/>
    <cellStyle name="Note 2 6 2 3 3 2" xfId="49338" xr:uid="{00000000-0005-0000-0000-0000C9C00000}"/>
    <cellStyle name="Note 2 6 2 3 4" xfId="49339" xr:uid="{00000000-0005-0000-0000-0000CAC00000}"/>
    <cellStyle name="Note 2 6 2 4" xfId="49340" xr:uid="{00000000-0005-0000-0000-0000CBC00000}"/>
    <cellStyle name="Note 2 6 2 4 2" xfId="49341" xr:uid="{00000000-0005-0000-0000-0000CCC00000}"/>
    <cellStyle name="Note 2 6 2 5" xfId="49342" xr:uid="{00000000-0005-0000-0000-0000CDC00000}"/>
    <cellStyle name="Note 2 6 2 5 2" xfId="49343" xr:uid="{00000000-0005-0000-0000-0000CEC00000}"/>
    <cellStyle name="Note 2 6 2 6" xfId="49344" xr:uid="{00000000-0005-0000-0000-0000CFC00000}"/>
    <cellStyle name="Note 2 6 2 7" xfId="49345" xr:uid="{00000000-0005-0000-0000-0000D0C00000}"/>
    <cellStyle name="Note 2 6 2 8" xfId="49346" xr:uid="{00000000-0005-0000-0000-0000D1C00000}"/>
    <cellStyle name="Note 2 6 3" xfId="49347" xr:uid="{00000000-0005-0000-0000-0000D2C00000}"/>
    <cellStyle name="Note 2 6 3 2" xfId="49348" xr:uid="{00000000-0005-0000-0000-0000D3C00000}"/>
    <cellStyle name="Note 2 6 3 2 2" xfId="49349" xr:uid="{00000000-0005-0000-0000-0000D4C00000}"/>
    <cellStyle name="Note 2 6 3 2 2 2" xfId="49350" xr:uid="{00000000-0005-0000-0000-0000D5C00000}"/>
    <cellStyle name="Note 2 6 3 2 3" xfId="49351" xr:uid="{00000000-0005-0000-0000-0000D6C00000}"/>
    <cellStyle name="Note 2 6 3 2 3 2" xfId="49352" xr:uid="{00000000-0005-0000-0000-0000D7C00000}"/>
    <cellStyle name="Note 2 6 3 2 4" xfId="49353" xr:uid="{00000000-0005-0000-0000-0000D8C00000}"/>
    <cellStyle name="Note 2 6 3 3" xfId="49354" xr:uid="{00000000-0005-0000-0000-0000D9C00000}"/>
    <cellStyle name="Note 2 6 3 3 2" xfId="49355" xr:uid="{00000000-0005-0000-0000-0000DAC00000}"/>
    <cellStyle name="Note 2 6 3 3 2 2" xfId="49356" xr:uid="{00000000-0005-0000-0000-0000DBC00000}"/>
    <cellStyle name="Note 2 6 3 3 3" xfId="49357" xr:uid="{00000000-0005-0000-0000-0000DCC00000}"/>
    <cellStyle name="Note 2 6 3 3 3 2" xfId="49358" xr:uid="{00000000-0005-0000-0000-0000DDC00000}"/>
    <cellStyle name="Note 2 6 3 3 4" xfId="49359" xr:uid="{00000000-0005-0000-0000-0000DEC00000}"/>
    <cellStyle name="Note 2 6 3 4" xfId="49360" xr:uid="{00000000-0005-0000-0000-0000DFC00000}"/>
    <cellStyle name="Note 2 6 3 4 2" xfId="49361" xr:uid="{00000000-0005-0000-0000-0000E0C00000}"/>
    <cellStyle name="Note 2 6 3 5" xfId="49362" xr:uid="{00000000-0005-0000-0000-0000E1C00000}"/>
    <cellStyle name="Note 2 6 3 5 2" xfId="49363" xr:uid="{00000000-0005-0000-0000-0000E2C00000}"/>
    <cellStyle name="Note 2 6 3 6" xfId="49364" xr:uid="{00000000-0005-0000-0000-0000E3C00000}"/>
    <cellStyle name="Note 2 6 4" xfId="49365" xr:uid="{00000000-0005-0000-0000-0000E4C00000}"/>
    <cellStyle name="Note 2 6 4 2" xfId="49366" xr:uid="{00000000-0005-0000-0000-0000E5C00000}"/>
    <cellStyle name="Note 2 6 4 2 2" xfId="49367" xr:uid="{00000000-0005-0000-0000-0000E6C00000}"/>
    <cellStyle name="Note 2 6 4 2 2 2" xfId="49368" xr:uid="{00000000-0005-0000-0000-0000E7C00000}"/>
    <cellStyle name="Note 2 6 4 2 3" xfId="49369" xr:uid="{00000000-0005-0000-0000-0000E8C00000}"/>
    <cellStyle name="Note 2 6 4 2 3 2" xfId="49370" xr:uid="{00000000-0005-0000-0000-0000E9C00000}"/>
    <cellStyle name="Note 2 6 4 2 4" xfId="49371" xr:uid="{00000000-0005-0000-0000-0000EAC00000}"/>
    <cellStyle name="Note 2 6 4 3" xfId="49372" xr:uid="{00000000-0005-0000-0000-0000EBC00000}"/>
    <cellStyle name="Note 2 6 4 3 2" xfId="49373" xr:uid="{00000000-0005-0000-0000-0000ECC00000}"/>
    <cellStyle name="Note 2 6 4 3 2 2" xfId="49374" xr:uid="{00000000-0005-0000-0000-0000EDC00000}"/>
    <cellStyle name="Note 2 6 4 3 3" xfId="49375" xr:uid="{00000000-0005-0000-0000-0000EEC00000}"/>
    <cellStyle name="Note 2 6 4 3 3 2" xfId="49376" xr:uid="{00000000-0005-0000-0000-0000EFC00000}"/>
    <cellStyle name="Note 2 6 4 3 4" xfId="49377" xr:uid="{00000000-0005-0000-0000-0000F0C00000}"/>
    <cellStyle name="Note 2 6 4 4" xfId="49378" xr:uid="{00000000-0005-0000-0000-0000F1C00000}"/>
    <cellStyle name="Note 2 6 4 4 2" xfId="49379" xr:uid="{00000000-0005-0000-0000-0000F2C00000}"/>
    <cellStyle name="Note 2 6 4 5" xfId="49380" xr:uid="{00000000-0005-0000-0000-0000F3C00000}"/>
    <cellStyle name="Note 2 6 4 5 2" xfId="49381" xr:uid="{00000000-0005-0000-0000-0000F4C00000}"/>
    <cellStyle name="Note 2 6 4 6" xfId="49382" xr:uid="{00000000-0005-0000-0000-0000F5C00000}"/>
    <cellStyle name="Note 2 6 5" xfId="49383" xr:uid="{00000000-0005-0000-0000-0000F6C00000}"/>
    <cellStyle name="Note 2 6 5 2" xfId="49384" xr:uid="{00000000-0005-0000-0000-0000F7C00000}"/>
    <cellStyle name="Note 2 6 5 2 2" xfId="49385" xr:uid="{00000000-0005-0000-0000-0000F8C00000}"/>
    <cellStyle name="Note 2 6 5 2 2 2" xfId="49386" xr:uid="{00000000-0005-0000-0000-0000F9C00000}"/>
    <cellStyle name="Note 2 6 5 2 3" xfId="49387" xr:uid="{00000000-0005-0000-0000-0000FAC00000}"/>
    <cellStyle name="Note 2 6 5 2 3 2" xfId="49388" xr:uid="{00000000-0005-0000-0000-0000FBC00000}"/>
    <cellStyle name="Note 2 6 5 2 4" xfId="49389" xr:uid="{00000000-0005-0000-0000-0000FCC00000}"/>
    <cellStyle name="Note 2 6 5 3" xfId="49390" xr:uid="{00000000-0005-0000-0000-0000FDC00000}"/>
    <cellStyle name="Note 2 6 5 3 2" xfId="49391" xr:uid="{00000000-0005-0000-0000-0000FEC00000}"/>
    <cellStyle name="Note 2 6 5 3 2 2" xfId="49392" xr:uid="{00000000-0005-0000-0000-0000FFC00000}"/>
    <cellStyle name="Note 2 6 5 3 3" xfId="49393" xr:uid="{00000000-0005-0000-0000-000000C10000}"/>
    <cellStyle name="Note 2 6 5 3 3 2" xfId="49394" xr:uid="{00000000-0005-0000-0000-000001C10000}"/>
    <cellStyle name="Note 2 6 5 3 4" xfId="49395" xr:uid="{00000000-0005-0000-0000-000002C10000}"/>
    <cellStyle name="Note 2 6 5 4" xfId="49396" xr:uid="{00000000-0005-0000-0000-000003C10000}"/>
    <cellStyle name="Note 2 6 5 4 2" xfId="49397" xr:uid="{00000000-0005-0000-0000-000004C10000}"/>
    <cellStyle name="Note 2 6 5 5" xfId="49398" xr:uid="{00000000-0005-0000-0000-000005C10000}"/>
    <cellStyle name="Note 2 6 5 5 2" xfId="49399" xr:uid="{00000000-0005-0000-0000-000006C10000}"/>
    <cellStyle name="Note 2 6 5 6" xfId="49400" xr:uid="{00000000-0005-0000-0000-000007C10000}"/>
    <cellStyle name="Note 2 6 6" xfId="49401" xr:uid="{00000000-0005-0000-0000-000008C10000}"/>
    <cellStyle name="Note 2 6 6 2" xfId="49402" xr:uid="{00000000-0005-0000-0000-000009C10000}"/>
    <cellStyle name="Note 2 6 6 2 2" xfId="49403" xr:uid="{00000000-0005-0000-0000-00000AC10000}"/>
    <cellStyle name="Note 2 6 6 2 2 2" xfId="49404" xr:uid="{00000000-0005-0000-0000-00000BC10000}"/>
    <cellStyle name="Note 2 6 6 2 3" xfId="49405" xr:uid="{00000000-0005-0000-0000-00000CC10000}"/>
    <cellStyle name="Note 2 6 6 2 3 2" xfId="49406" xr:uid="{00000000-0005-0000-0000-00000DC10000}"/>
    <cellStyle name="Note 2 6 6 2 4" xfId="49407" xr:uid="{00000000-0005-0000-0000-00000EC10000}"/>
    <cellStyle name="Note 2 6 6 3" xfId="49408" xr:uid="{00000000-0005-0000-0000-00000FC10000}"/>
    <cellStyle name="Note 2 6 6 3 2" xfId="49409" xr:uid="{00000000-0005-0000-0000-000010C10000}"/>
    <cellStyle name="Note 2 6 6 3 2 2" xfId="49410" xr:uid="{00000000-0005-0000-0000-000011C10000}"/>
    <cellStyle name="Note 2 6 6 3 3" xfId="49411" xr:uid="{00000000-0005-0000-0000-000012C10000}"/>
    <cellStyle name="Note 2 6 6 3 3 2" xfId="49412" xr:uid="{00000000-0005-0000-0000-000013C10000}"/>
    <cellStyle name="Note 2 6 6 3 4" xfId="49413" xr:uid="{00000000-0005-0000-0000-000014C10000}"/>
    <cellStyle name="Note 2 6 6 4" xfId="49414" xr:uid="{00000000-0005-0000-0000-000015C10000}"/>
    <cellStyle name="Note 2 6 6 4 2" xfId="49415" xr:uid="{00000000-0005-0000-0000-000016C10000}"/>
    <cellStyle name="Note 2 6 6 5" xfId="49416" xr:uid="{00000000-0005-0000-0000-000017C10000}"/>
    <cellStyle name="Note 2 6 6 5 2" xfId="49417" xr:uid="{00000000-0005-0000-0000-000018C10000}"/>
    <cellStyle name="Note 2 6 6 6" xfId="49418" xr:uid="{00000000-0005-0000-0000-000019C10000}"/>
    <cellStyle name="Note 2 6 7" xfId="49419" xr:uid="{00000000-0005-0000-0000-00001AC10000}"/>
    <cellStyle name="Note 2 6 7 2" xfId="49420" xr:uid="{00000000-0005-0000-0000-00001BC10000}"/>
    <cellStyle name="Note 2 6 7 2 2" xfId="49421" xr:uid="{00000000-0005-0000-0000-00001CC10000}"/>
    <cellStyle name="Note 2 6 7 3" xfId="49422" xr:uid="{00000000-0005-0000-0000-00001DC10000}"/>
    <cellStyle name="Note 2 6 7 3 2" xfId="49423" xr:uid="{00000000-0005-0000-0000-00001EC10000}"/>
    <cellStyle name="Note 2 6 7 4" xfId="49424" xr:uid="{00000000-0005-0000-0000-00001FC10000}"/>
    <cellStyle name="Note 2 6 8" xfId="49425" xr:uid="{00000000-0005-0000-0000-000020C10000}"/>
    <cellStyle name="Note 2 6 8 2" xfId="49426" xr:uid="{00000000-0005-0000-0000-000021C10000}"/>
    <cellStyle name="Note 2 6 8 2 2" xfId="49427" xr:uid="{00000000-0005-0000-0000-000022C10000}"/>
    <cellStyle name="Note 2 6 8 3" xfId="49428" xr:uid="{00000000-0005-0000-0000-000023C10000}"/>
    <cellStyle name="Note 2 6 8 3 2" xfId="49429" xr:uid="{00000000-0005-0000-0000-000024C10000}"/>
    <cellStyle name="Note 2 6 8 4" xfId="49430" xr:uid="{00000000-0005-0000-0000-000025C10000}"/>
    <cellStyle name="Note 2 6 9" xfId="49431" xr:uid="{00000000-0005-0000-0000-000026C10000}"/>
    <cellStyle name="Note 2 6 9 2" xfId="49432" xr:uid="{00000000-0005-0000-0000-000027C10000}"/>
    <cellStyle name="Note 2 7" xfId="49433" xr:uid="{00000000-0005-0000-0000-000028C10000}"/>
    <cellStyle name="Note 2 7 10" xfId="49434" xr:uid="{00000000-0005-0000-0000-000029C10000}"/>
    <cellStyle name="Note 2 7 11" xfId="49435" xr:uid="{00000000-0005-0000-0000-00002AC10000}"/>
    <cellStyle name="Note 2 7 12" xfId="49436" xr:uid="{00000000-0005-0000-0000-00002BC10000}"/>
    <cellStyle name="Note 2 7 13" xfId="49437" xr:uid="{00000000-0005-0000-0000-00002CC10000}"/>
    <cellStyle name="Note 2 7 2" xfId="49438" xr:uid="{00000000-0005-0000-0000-00002DC10000}"/>
    <cellStyle name="Note 2 7 2 2" xfId="49439" xr:uid="{00000000-0005-0000-0000-00002EC10000}"/>
    <cellStyle name="Note 2 7 2 2 2" xfId="49440" xr:uid="{00000000-0005-0000-0000-00002FC10000}"/>
    <cellStyle name="Note 2 7 2 3" xfId="49441" xr:uid="{00000000-0005-0000-0000-000030C10000}"/>
    <cellStyle name="Note 2 7 2 3 2" xfId="49442" xr:uid="{00000000-0005-0000-0000-000031C10000}"/>
    <cellStyle name="Note 2 7 2 4" xfId="49443" xr:uid="{00000000-0005-0000-0000-000032C10000}"/>
    <cellStyle name="Note 2 7 3" xfId="49444" xr:uid="{00000000-0005-0000-0000-000033C10000}"/>
    <cellStyle name="Note 2 7 3 2" xfId="49445" xr:uid="{00000000-0005-0000-0000-000034C10000}"/>
    <cellStyle name="Note 2 7 3 2 2" xfId="49446" xr:uid="{00000000-0005-0000-0000-000035C10000}"/>
    <cellStyle name="Note 2 7 3 3" xfId="49447" xr:uid="{00000000-0005-0000-0000-000036C10000}"/>
    <cellStyle name="Note 2 7 3 3 2" xfId="49448" xr:uid="{00000000-0005-0000-0000-000037C10000}"/>
    <cellStyle name="Note 2 7 3 4" xfId="49449" xr:uid="{00000000-0005-0000-0000-000038C10000}"/>
    <cellStyle name="Note 2 7 4" xfId="49450" xr:uid="{00000000-0005-0000-0000-000039C10000}"/>
    <cellStyle name="Note 2 7 4 2" xfId="49451" xr:uid="{00000000-0005-0000-0000-00003AC10000}"/>
    <cellStyle name="Note 2 7 4 3" xfId="49452" xr:uid="{00000000-0005-0000-0000-00003BC10000}"/>
    <cellStyle name="Note 2 7 5" xfId="49453" xr:uid="{00000000-0005-0000-0000-00003CC10000}"/>
    <cellStyle name="Note 2 7 5 2" xfId="49454" xr:uid="{00000000-0005-0000-0000-00003DC10000}"/>
    <cellStyle name="Note 2 7 6" xfId="49455" xr:uid="{00000000-0005-0000-0000-00003EC10000}"/>
    <cellStyle name="Note 2 7 7" xfId="49456" xr:uid="{00000000-0005-0000-0000-00003FC10000}"/>
    <cellStyle name="Note 2 7 8" xfId="49457" xr:uid="{00000000-0005-0000-0000-000040C10000}"/>
    <cellStyle name="Note 2 7 9" xfId="49458" xr:uid="{00000000-0005-0000-0000-000041C10000}"/>
    <cellStyle name="Note 2 8" xfId="49459" xr:uid="{00000000-0005-0000-0000-000042C10000}"/>
    <cellStyle name="Note 2 8 10" xfId="49460" xr:uid="{00000000-0005-0000-0000-000043C10000}"/>
    <cellStyle name="Note 2 8 11" xfId="49461" xr:uid="{00000000-0005-0000-0000-000044C10000}"/>
    <cellStyle name="Note 2 8 12" xfId="49462" xr:uid="{00000000-0005-0000-0000-000045C10000}"/>
    <cellStyle name="Note 2 8 13" xfId="49463" xr:uid="{00000000-0005-0000-0000-000046C10000}"/>
    <cellStyle name="Note 2 8 2" xfId="49464" xr:uid="{00000000-0005-0000-0000-000047C10000}"/>
    <cellStyle name="Note 2 8 2 2" xfId="49465" xr:uid="{00000000-0005-0000-0000-000048C10000}"/>
    <cellStyle name="Note 2 8 2 2 2" xfId="49466" xr:uid="{00000000-0005-0000-0000-000049C10000}"/>
    <cellStyle name="Note 2 8 2 3" xfId="49467" xr:uid="{00000000-0005-0000-0000-00004AC10000}"/>
    <cellStyle name="Note 2 8 2 3 2" xfId="49468" xr:uid="{00000000-0005-0000-0000-00004BC10000}"/>
    <cellStyle name="Note 2 8 2 4" xfId="49469" xr:uid="{00000000-0005-0000-0000-00004CC10000}"/>
    <cellStyle name="Note 2 8 3" xfId="49470" xr:uid="{00000000-0005-0000-0000-00004DC10000}"/>
    <cellStyle name="Note 2 8 3 2" xfId="49471" xr:uid="{00000000-0005-0000-0000-00004EC10000}"/>
    <cellStyle name="Note 2 8 3 2 2" xfId="49472" xr:uid="{00000000-0005-0000-0000-00004FC10000}"/>
    <cellStyle name="Note 2 8 3 3" xfId="49473" xr:uid="{00000000-0005-0000-0000-000050C10000}"/>
    <cellStyle name="Note 2 8 3 3 2" xfId="49474" xr:uid="{00000000-0005-0000-0000-000051C10000}"/>
    <cellStyle name="Note 2 8 3 4" xfId="49475" xr:uid="{00000000-0005-0000-0000-000052C10000}"/>
    <cellStyle name="Note 2 8 4" xfId="49476" xr:uid="{00000000-0005-0000-0000-000053C10000}"/>
    <cellStyle name="Note 2 8 4 2" xfId="49477" xr:uid="{00000000-0005-0000-0000-000054C10000}"/>
    <cellStyle name="Note 2 8 4 3" xfId="49478" xr:uid="{00000000-0005-0000-0000-000055C10000}"/>
    <cellStyle name="Note 2 8 5" xfId="49479" xr:uid="{00000000-0005-0000-0000-000056C10000}"/>
    <cellStyle name="Note 2 8 5 2" xfId="49480" xr:uid="{00000000-0005-0000-0000-000057C10000}"/>
    <cellStyle name="Note 2 8 6" xfId="49481" xr:uid="{00000000-0005-0000-0000-000058C10000}"/>
    <cellStyle name="Note 2 8 7" xfId="49482" xr:uid="{00000000-0005-0000-0000-000059C10000}"/>
    <cellStyle name="Note 2 8 8" xfId="49483" xr:uid="{00000000-0005-0000-0000-00005AC10000}"/>
    <cellStyle name="Note 2 8 9" xfId="49484" xr:uid="{00000000-0005-0000-0000-00005BC10000}"/>
    <cellStyle name="Note 2 9" xfId="49485" xr:uid="{00000000-0005-0000-0000-00005CC10000}"/>
    <cellStyle name="Note 2 9 10" xfId="49486" xr:uid="{00000000-0005-0000-0000-00005DC10000}"/>
    <cellStyle name="Note 2 9 11" xfId="49487" xr:uid="{00000000-0005-0000-0000-00005EC10000}"/>
    <cellStyle name="Note 2 9 12" xfId="49488" xr:uid="{00000000-0005-0000-0000-00005FC10000}"/>
    <cellStyle name="Note 2 9 13" xfId="49489" xr:uid="{00000000-0005-0000-0000-000060C10000}"/>
    <cellStyle name="Note 2 9 2" xfId="49490" xr:uid="{00000000-0005-0000-0000-000061C10000}"/>
    <cellStyle name="Note 2 9 2 2" xfId="49491" xr:uid="{00000000-0005-0000-0000-000062C10000}"/>
    <cellStyle name="Note 2 9 2 2 2" xfId="49492" xr:uid="{00000000-0005-0000-0000-000063C10000}"/>
    <cellStyle name="Note 2 9 2 3" xfId="49493" xr:uid="{00000000-0005-0000-0000-000064C10000}"/>
    <cellStyle name="Note 2 9 2 3 2" xfId="49494" xr:uid="{00000000-0005-0000-0000-000065C10000}"/>
    <cellStyle name="Note 2 9 2 4" xfId="49495" xr:uid="{00000000-0005-0000-0000-000066C10000}"/>
    <cellStyle name="Note 2 9 3" xfId="49496" xr:uid="{00000000-0005-0000-0000-000067C10000}"/>
    <cellStyle name="Note 2 9 3 2" xfId="49497" xr:uid="{00000000-0005-0000-0000-000068C10000}"/>
    <cellStyle name="Note 2 9 3 2 2" xfId="49498" xr:uid="{00000000-0005-0000-0000-000069C10000}"/>
    <cellStyle name="Note 2 9 3 3" xfId="49499" xr:uid="{00000000-0005-0000-0000-00006AC10000}"/>
    <cellStyle name="Note 2 9 3 3 2" xfId="49500" xr:uid="{00000000-0005-0000-0000-00006BC10000}"/>
    <cellStyle name="Note 2 9 3 4" xfId="49501" xr:uid="{00000000-0005-0000-0000-00006CC10000}"/>
    <cellStyle name="Note 2 9 4" xfId="49502" xr:uid="{00000000-0005-0000-0000-00006DC10000}"/>
    <cellStyle name="Note 2 9 4 2" xfId="49503" xr:uid="{00000000-0005-0000-0000-00006EC10000}"/>
    <cellStyle name="Note 2 9 4 2 2" xfId="49504" xr:uid="{00000000-0005-0000-0000-00006FC10000}"/>
    <cellStyle name="Note 2 9 4 3" xfId="49505" xr:uid="{00000000-0005-0000-0000-000070C10000}"/>
    <cellStyle name="Note 2 9 4 3 2" xfId="49506" xr:uid="{00000000-0005-0000-0000-000071C10000}"/>
    <cellStyle name="Note 2 9 4 4" xfId="49507" xr:uid="{00000000-0005-0000-0000-000072C10000}"/>
    <cellStyle name="Note 2 9 5" xfId="49508" xr:uid="{00000000-0005-0000-0000-000073C10000}"/>
    <cellStyle name="Note 2 9 5 2" xfId="49509" xr:uid="{00000000-0005-0000-0000-000074C10000}"/>
    <cellStyle name="Note 2 9 6" xfId="49510" xr:uid="{00000000-0005-0000-0000-000075C10000}"/>
    <cellStyle name="Note 2 9 6 2" xfId="49511" xr:uid="{00000000-0005-0000-0000-000076C10000}"/>
    <cellStyle name="Note 2 9 7" xfId="49512" xr:uid="{00000000-0005-0000-0000-000077C10000}"/>
    <cellStyle name="Note 2 9 8" xfId="49513" xr:uid="{00000000-0005-0000-0000-000078C10000}"/>
    <cellStyle name="Note 2 9 9" xfId="49514" xr:uid="{00000000-0005-0000-0000-000079C10000}"/>
    <cellStyle name="Note 2_Book2" xfId="49515" xr:uid="{00000000-0005-0000-0000-00007AC10000}"/>
    <cellStyle name="Note 20" xfId="49516" xr:uid="{00000000-0005-0000-0000-00007BC10000}"/>
    <cellStyle name="Note 20 10" xfId="49517" xr:uid="{00000000-0005-0000-0000-00007CC10000}"/>
    <cellStyle name="Note 20 2" xfId="49518" xr:uid="{00000000-0005-0000-0000-00007DC10000}"/>
    <cellStyle name="Note 20 2 2" xfId="49519" xr:uid="{00000000-0005-0000-0000-00007EC10000}"/>
    <cellStyle name="Note 20 2 3" xfId="49520" xr:uid="{00000000-0005-0000-0000-00007FC10000}"/>
    <cellStyle name="Note 20 2 4" xfId="49521" xr:uid="{00000000-0005-0000-0000-000080C10000}"/>
    <cellStyle name="Note 20 2 5" xfId="49522" xr:uid="{00000000-0005-0000-0000-000081C10000}"/>
    <cellStyle name="Note 20 3" xfId="49523" xr:uid="{00000000-0005-0000-0000-000082C10000}"/>
    <cellStyle name="Note 20 3 2" xfId="49524" xr:uid="{00000000-0005-0000-0000-000083C10000}"/>
    <cellStyle name="Note 20 3 3" xfId="49525" xr:uid="{00000000-0005-0000-0000-000084C10000}"/>
    <cellStyle name="Note 20 4" xfId="49526" xr:uid="{00000000-0005-0000-0000-000085C10000}"/>
    <cellStyle name="Note 20 4 2" xfId="49527" xr:uid="{00000000-0005-0000-0000-000086C10000}"/>
    <cellStyle name="Note 20 4 3" xfId="49528" xr:uid="{00000000-0005-0000-0000-000087C10000}"/>
    <cellStyle name="Note 20 5" xfId="49529" xr:uid="{00000000-0005-0000-0000-000088C10000}"/>
    <cellStyle name="Note 20 5 2" xfId="49530" xr:uid="{00000000-0005-0000-0000-000089C10000}"/>
    <cellStyle name="Note 20 5 3" xfId="49531" xr:uid="{00000000-0005-0000-0000-00008AC10000}"/>
    <cellStyle name="Note 20 6" xfId="49532" xr:uid="{00000000-0005-0000-0000-00008BC10000}"/>
    <cellStyle name="Note 20 6 2" xfId="49533" xr:uid="{00000000-0005-0000-0000-00008CC10000}"/>
    <cellStyle name="Note 20 6 3" xfId="49534" xr:uid="{00000000-0005-0000-0000-00008DC10000}"/>
    <cellStyle name="Note 20 7" xfId="49535" xr:uid="{00000000-0005-0000-0000-00008EC10000}"/>
    <cellStyle name="Note 20 8" xfId="49536" xr:uid="{00000000-0005-0000-0000-00008FC10000}"/>
    <cellStyle name="Note 20 9" xfId="49537" xr:uid="{00000000-0005-0000-0000-000090C10000}"/>
    <cellStyle name="Note 21" xfId="49538" xr:uid="{00000000-0005-0000-0000-000091C10000}"/>
    <cellStyle name="Note 21 10" xfId="49539" xr:uid="{00000000-0005-0000-0000-000092C10000}"/>
    <cellStyle name="Note 21 2" xfId="49540" xr:uid="{00000000-0005-0000-0000-000093C10000}"/>
    <cellStyle name="Note 21 2 2" xfId="49541" xr:uid="{00000000-0005-0000-0000-000094C10000}"/>
    <cellStyle name="Note 21 2 3" xfId="49542" xr:uid="{00000000-0005-0000-0000-000095C10000}"/>
    <cellStyle name="Note 21 2 4" xfId="49543" xr:uid="{00000000-0005-0000-0000-000096C10000}"/>
    <cellStyle name="Note 21 2 5" xfId="49544" xr:uid="{00000000-0005-0000-0000-000097C10000}"/>
    <cellStyle name="Note 21 3" xfId="49545" xr:uid="{00000000-0005-0000-0000-000098C10000}"/>
    <cellStyle name="Note 21 3 2" xfId="49546" xr:uid="{00000000-0005-0000-0000-000099C10000}"/>
    <cellStyle name="Note 21 3 3" xfId="49547" xr:uid="{00000000-0005-0000-0000-00009AC10000}"/>
    <cellStyle name="Note 21 4" xfId="49548" xr:uid="{00000000-0005-0000-0000-00009BC10000}"/>
    <cellStyle name="Note 21 4 2" xfId="49549" xr:uid="{00000000-0005-0000-0000-00009CC10000}"/>
    <cellStyle name="Note 21 4 3" xfId="49550" xr:uid="{00000000-0005-0000-0000-00009DC10000}"/>
    <cellStyle name="Note 21 5" xfId="49551" xr:uid="{00000000-0005-0000-0000-00009EC10000}"/>
    <cellStyle name="Note 21 5 2" xfId="49552" xr:uid="{00000000-0005-0000-0000-00009FC10000}"/>
    <cellStyle name="Note 21 5 3" xfId="49553" xr:uid="{00000000-0005-0000-0000-0000A0C10000}"/>
    <cellStyle name="Note 21 6" xfId="49554" xr:uid="{00000000-0005-0000-0000-0000A1C10000}"/>
    <cellStyle name="Note 21 6 2" xfId="49555" xr:uid="{00000000-0005-0000-0000-0000A2C10000}"/>
    <cellStyle name="Note 21 6 3" xfId="49556" xr:uid="{00000000-0005-0000-0000-0000A3C10000}"/>
    <cellStyle name="Note 21 7" xfId="49557" xr:uid="{00000000-0005-0000-0000-0000A4C10000}"/>
    <cellStyle name="Note 21 8" xfId="49558" xr:uid="{00000000-0005-0000-0000-0000A5C10000}"/>
    <cellStyle name="Note 21 9" xfId="49559" xr:uid="{00000000-0005-0000-0000-0000A6C10000}"/>
    <cellStyle name="Note 22" xfId="49560" xr:uid="{00000000-0005-0000-0000-0000A7C10000}"/>
    <cellStyle name="Note 22 10" xfId="49561" xr:uid="{00000000-0005-0000-0000-0000A8C10000}"/>
    <cellStyle name="Note 22 2" xfId="49562" xr:uid="{00000000-0005-0000-0000-0000A9C10000}"/>
    <cellStyle name="Note 22 2 2" xfId="49563" xr:uid="{00000000-0005-0000-0000-0000AAC10000}"/>
    <cellStyle name="Note 22 2 3" xfId="49564" xr:uid="{00000000-0005-0000-0000-0000ABC10000}"/>
    <cellStyle name="Note 22 2 4" xfId="49565" xr:uid="{00000000-0005-0000-0000-0000ACC10000}"/>
    <cellStyle name="Note 22 2 5" xfId="49566" xr:uid="{00000000-0005-0000-0000-0000ADC10000}"/>
    <cellStyle name="Note 22 3" xfId="49567" xr:uid="{00000000-0005-0000-0000-0000AEC10000}"/>
    <cellStyle name="Note 22 3 2" xfId="49568" xr:uid="{00000000-0005-0000-0000-0000AFC10000}"/>
    <cellStyle name="Note 22 3 3" xfId="49569" xr:uid="{00000000-0005-0000-0000-0000B0C10000}"/>
    <cellStyle name="Note 22 4" xfId="49570" xr:uid="{00000000-0005-0000-0000-0000B1C10000}"/>
    <cellStyle name="Note 22 4 2" xfId="49571" xr:uid="{00000000-0005-0000-0000-0000B2C10000}"/>
    <cellStyle name="Note 22 4 3" xfId="49572" xr:uid="{00000000-0005-0000-0000-0000B3C10000}"/>
    <cellStyle name="Note 22 5" xfId="49573" xr:uid="{00000000-0005-0000-0000-0000B4C10000}"/>
    <cellStyle name="Note 22 5 2" xfId="49574" xr:uid="{00000000-0005-0000-0000-0000B5C10000}"/>
    <cellStyle name="Note 22 5 3" xfId="49575" xr:uid="{00000000-0005-0000-0000-0000B6C10000}"/>
    <cellStyle name="Note 22 6" xfId="49576" xr:uid="{00000000-0005-0000-0000-0000B7C10000}"/>
    <cellStyle name="Note 22 6 2" xfId="49577" xr:uid="{00000000-0005-0000-0000-0000B8C10000}"/>
    <cellStyle name="Note 22 6 3" xfId="49578" xr:uid="{00000000-0005-0000-0000-0000B9C10000}"/>
    <cellStyle name="Note 22 7" xfId="49579" xr:uid="{00000000-0005-0000-0000-0000BAC10000}"/>
    <cellStyle name="Note 22 8" xfId="49580" xr:uid="{00000000-0005-0000-0000-0000BBC10000}"/>
    <cellStyle name="Note 22 9" xfId="49581" xr:uid="{00000000-0005-0000-0000-0000BCC10000}"/>
    <cellStyle name="Note 23" xfId="49582" xr:uid="{00000000-0005-0000-0000-0000BDC10000}"/>
    <cellStyle name="Note 23 2" xfId="49583" xr:uid="{00000000-0005-0000-0000-0000BEC10000}"/>
    <cellStyle name="Note 23 2 2" xfId="49584" xr:uid="{00000000-0005-0000-0000-0000BFC10000}"/>
    <cellStyle name="Note 23 2 3" xfId="49585" xr:uid="{00000000-0005-0000-0000-0000C0C10000}"/>
    <cellStyle name="Note 23 2 4" xfId="49586" xr:uid="{00000000-0005-0000-0000-0000C1C10000}"/>
    <cellStyle name="Note 23 2 5" xfId="49587" xr:uid="{00000000-0005-0000-0000-0000C2C10000}"/>
    <cellStyle name="Note 23 3" xfId="49588" xr:uid="{00000000-0005-0000-0000-0000C3C10000}"/>
    <cellStyle name="Note 23 3 2" xfId="49589" xr:uid="{00000000-0005-0000-0000-0000C4C10000}"/>
    <cellStyle name="Note 23 3 3" xfId="49590" xr:uid="{00000000-0005-0000-0000-0000C5C10000}"/>
    <cellStyle name="Note 23 4" xfId="49591" xr:uid="{00000000-0005-0000-0000-0000C6C10000}"/>
    <cellStyle name="Note 23 4 2" xfId="49592" xr:uid="{00000000-0005-0000-0000-0000C7C10000}"/>
    <cellStyle name="Note 23 4 3" xfId="49593" xr:uid="{00000000-0005-0000-0000-0000C8C10000}"/>
    <cellStyle name="Note 23 5" xfId="49594" xr:uid="{00000000-0005-0000-0000-0000C9C10000}"/>
    <cellStyle name="Note 23 5 2" xfId="49595" xr:uid="{00000000-0005-0000-0000-0000CAC10000}"/>
    <cellStyle name="Note 23 5 3" xfId="49596" xr:uid="{00000000-0005-0000-0000-0000CBC10000}"/>
    <cellStyle name="Note 23 6" xfId="49597" xr:uid="{00000000-0005-0000-0000-0000CCC10000}"/>
    <cellStyle name="Note 23 6 2" xfId="49598" xr:uid="{00000000-0005-0000-0000-0000CDC10000}"/>
    <cellStyle name="Note 23 7" xfId="49599" xr:uid="{00000000-0005-0000-0000-0000CEC10000}"/>
    <cellStyle name="Note 23 8" xfId="49600" xr:uid="{00000000-0005-0000-0000-0000CFC10000}"/>
    <cellStyle name="Note 23 9" xfId="49601" xr:uid="{00000000-0005-0000-0000-0000D0C10000}"/>
    <cellStyle name="Note 24" xfId="49602" xr:uid="{00000000-0005-0000-0000-0000D1C10000}"/>
    <cellStyle name="Note 24 2" xfId="49603" xr:uid="{00000000-0005-0000-0000-0000D2C10000}"/>
    <cellStyle name="Note 24 2 2" xfId="49604" xr:uid="{00000000-0005-0000-0000-0000D3C10000}"/>
    <cellStyle name="Note 24 2 3" xfId="49605" xr:uid="{00000000-0005-0000-0000-0000D4C10000}"/>
    <cellStyle name="Note 24 2 4" xfId="49606" xr:uid="{00000000-0005-0000-0000-0000D5C10000}"/>
    <cellStyle name="Note 24 2 5" xfId="49607" xr:uid="{00000000-0005-0000-0000-0000D6C10000}"/>
    <cellStyle name="Note 24 3" xfId="49608" xr:uid="{00000000-0005-0000-0000-0000D7C10000}"/>
    <cellStyle name="Note 24 3 2" xfId="49609" xr:uid="{00000000-0005-0000-0000-0000D8C10000}"/>
    <cellStyle name="Note 24 3 3" xfId="49610" xr:uid="{00000000-0005-0000-0000-0000D9C10000}"/>
    <cellStyle name="Note 24 4" xfId="49611" xr:uid="{00000000-0005-0000-0000-0000DAC10000}"/>
    <cellStyle name="Note 24 4 2" xfId="49612" xr:uid="{00000000-0005-0000-0000-0000DBC10000}"/>
    <cellStyle name="Note 24 4 3" xfId="49613" xr:uid="{00000000-0005-0000-0000-0000DCC10000}"/>
    <cellStyle name="Note 24 5" xfId="49614" xr:uid="{00000000-0005-0000-0000-0000DDC10000}"/>
    <cellStyle name="Note 24 5 2" xfId="49615" xr:uid="{00000000-0005-0000-0000-0000DEC10000}"/>
    <cellStyle name="Note 24 5 3" xfId="49616" xr:uid="{00000000-0005-0000-0000-0000DFC10000}"/>
    <cellStyle name="Note 24 6" xfId="49617" xr:uid="{00000000-0005-0000-0000-0000E0C10000}"/>
    <cellStyle name="Note 24 6 2" xfId="49618" xr:uid="{00000000-0005-0000-0000-0000E1C10000}"/>
    <cellStyle name="Note 24 7" xfId="49619" xr:uid="{00000000-0005-0000-0000-0000E2C10000}"/>
    <cellStyle name="Note 24 8" xfId="49620" xr:uid="{00000000-0005-0000-0000-0000E3C10000}"/>
    <cellStyle name="Note 24 9" xfId="49621" xr:uid="{00000000-0005-0000-0000-0000E4C10000}"/>
    <cellStyle name="Note 25" xfId="49622" xr:uid="{00000000-0005-0000-0000-0000E5C10000}"/>
    <cellStyle name="Note 25 2" xfId="49623" xr:uid="{00000000-0005-0000-0000-0000E6C10000}"/>
    <cellStyle name="Note 25 2 2" xfId="49624" xr:uid="{00000000-0005-0000-0000-0000E7C10000}"/>
    <cellStyle name="Note 25 2 3" xfId="49625" xr:uid="{00000000-0005-0000-0000-0000E8C10000}"/>
    <cellStyle name="Note 25 2 4" xfId="49626" xr:uid="{00000000-0005-0000-0000-0000E9C10000}"/>
    <cellStyle name="Note 25 2 5" xfId="49627" xr:uid="{00000000-0005-0000-0000-0000EAC10000}"/>
    <cellStyle name="Note 25 3" xfId="49628" xr:uid="{00000000-0005-0000-0000-0000EBC10000}"/>
    <cellStyle name="Note 25 3 2" xfId="49629" xr:uid="{00000000-0005-0000-0000-0000ECC10000}"/>
    <cellStyle name="Note 25 3 3" xfId="49630" xr:uid="{00000000-0005-0000-0000-0000EDC10000}"/>
    <cellStyle name="Note 25 4" xfId="49631" xr:uid="{00000000-0005-0000-0000-0000EEC10000}"/>
    <cellStyle name="Note 25 4 2" xfId="49632" xr:uid="{00000000-0005-0000-0000-0000EFC10000}"/>
    <cellStyle name="Note 25 4 3" xfId="49633" xr:uid="{00000000-0005-0000-0000-0000F0C10000}"/>
    <cellStyle name="Note 25 5" xfId="49634" xr:uid="{00000000-0005-0000-0000-0000F1C10000}"/>
    <cellStyle name="Note 25 5 2" xfId="49635" xr:uid="{00000000-0005-0000-0000-0000F2C10000}"/>
    <cellStyle name="Note 25 5 3" xfId="49636" xr:uid="{00000000-0005-0000-0000-0000F3C10000}"/>
    <cellStyle name="Note 25 6" xfId="49637" xr:uid="{00000000-0005-0000-0000-0000F4C10000}"/>
    <cellStyle name="Note 25 6 2" xfId="49638" xr:uid="{00000000-0005-0000-0000-0000F5C10000}"/>
    <cellStyle name="Note 25 7" xfId="49639" xr:uid="{00000000-0005-0000-0000-0000F6C10000}"/>
    <cellStyle name="Note 25 8" xfId="49640" xr:uid="{00000000-0005-0000-0000-0000F7C10000}"/>
    <cellStyle name="Note 25 9" xfId="49641" xr:uid="{00000000-0005-0000-0000-0000F8C10000}"/>
    <cellStyle name="Note 26" xfId="49642" xr:uid="{00000000-0005-0000-0000-0000F9C10000}"/>
    <cellStyle name="Note 26 2" xfId="49643" xr:uid="{00000000-0005-0000-0000-0000FAC10000}"/>
    <cellStyle name="Note 26 2 2" xfId="49644" xr:uid="{00000000-0005-0000-0000-0000FBC10000}"/>
    <cellStyle name="Note 26 2 3" xfId="49645" xr:uid="{00000000-0005-0000-0000-0000FCC10000}"/>
    <cellStyle name="Note 26 2 4" xfId="49646" xr:uid="{00000000-0005-0000-0000-0000FDC10000}"/>
    <cellStyle name="Note 26 2 5" xfId="49647" xr:uid="{00000000-0005-0000-0000-0000FEC10000}"/>
    <cellStyle name="Note 26 3" xfId="49648" xr:uid="{00000000-0005-0000-0000-0000FFC10000}"/>
    <cellStyle name="Note 26 3 2" xfId="49649" xr:uid="{00000000-0005-0000-0000-000000C20000}"/>
    <cellStyle name="Note 26 3 3" xfId="49650" xr:uid="{00000000-0005-0000-0000-000001C20000}"/>
    <cellStyle name="Note 26 4" xfId="49651" xr:uid="{00000000-0005-0000-0000-000002C20000}"/>
    <cellStyle name="Note 26 4 2" xfId="49652" xr:uid="{00000000-0005-0000-0000-000003C20000}"/>
    <cellStyle name="Note 26 4 3" xfId="49653" xr:uid="{00000000-0005-0000-0000-000004C20000}"/>
    <cellStyle name="Note 26 5" xfId="49654" xr:uid="{00000000-0005-0000-0000-000005C20000}"/>
    <cellStyle name="Note 26 5 2" xfId="49655" xr:uid="{00000000-0005-0000-0000-000006C20000}"/>
    <cellStyle name="Note 26 5 3" xfId="49656" xr:uid="{00000000-0005-0000-0000-000007C20000}"/>
    <cellStyle name="Note 26 6" xfId="49657" xr:uid="{00000000-0005-0000-0000-000008C20000}"/>
    <cellStyle name="Note 26 6 2" xfId="49658" xr:uid="{00000000-0005-0000-0000-000009C20000}"/>
    <cellStyle name="Note 26 7" xfId="49659" xr:uid="{00000000-0005-0000-0000-00000AC20000}"/>
    <cellStyle name="Note 26 8" xfId="49660" xr:uid="{00000000-0005-0000-0000-00000BC20000}"/>
    <cellStyle name="Note 26 9" xfId="49661" xr:uid="{00000000-0005-0000-0000-00000CC20000}"/>
    <cellStyle name="Note 27" xfId="49662" xr:uid="{00000000-0005-0000-0000-00000DC20000}"/>
    <cellStyle name="Note 27 2" xfId="49663" xr:uid="{00000000-0005-0000-0000-00000EC20000}"/>
    <cellStyle name="Note 27 2 2" xfId="49664" xr:uid="{00000000-0005-0000-0000-00000FC20000}"/>
    <cellStyle name="Note 27 2 3" xfId="49665" xr:uid="{00000000-0005-0000-0000-000010C20000}"/>
    <cellStyle name="Note 27 2 4" xfId="49666" xr:uid="{00000000-0005-0000-0000-000011C20000}"/>
    <cellStyle name="Note 27 2 5" xfId="49667" xr:uid="{00000000-0005-0000-0000-000012C20000}"/>
    <cellStyle name="Note 27 3" xfId="49668" xr:uid="{00000000-0005-0000-0000-000013C20000}"/>
    <cellStyle name="Note 27 3 2" xfId="49669" xr:uid="{00000000-0005-0000-0000-000014C20000}"/>
    <cellStyle name="Note 27 3 3" xfId="49670" xr:uid="{00000000-0005-0000-0000-000015C20000}"/>
    <cellStyle name="Note 27 4" xfId="49671" xr:uid="{00000000-0005-0000-0000-000016C20000}"/>
    <cellStyle name="Note 27 4 2" xfId="49672" xr:uid="{00000000-0005-0000-0000-000017C20000}"/>
    <cellStyle name="Note 27 4 3" xfId="49673" xr:uid="{00000000-0005-0000-0000-000018C20000}"/>
    <cellStyle name="Note 27 5" xfId="49674" xr:uid="{00000000-0005-0000-0000-000019C20000}"/>
    <cellStyle name="Note 27 5 2" xfId="49675" xr:uid="{00000000-0005-0000-0000-00001AC20000}"/>
    <cellStyle name="Note 27 5 3" xfId="49676" xr:uid="{00000000-0005-0000-0000-00001BC20000}"/>
    <cellStyle name="Note 27 6" xfId="49677" xr:uid="{00000000-0005-0000-0000-00001CC20000}"/>
    <cellStyle name="Note 27 6 2" xfId="49678" xr:uid="{00000000-0005-0000-0000-00001DC20000}"/>
    <cellStyle name="Note 27 7" xfId="49679" xr:uid="{00000000-0005-0000-0000-00001EC20000}"/>
    <cellStyle name="Note 27 8" xfId="49680" xr:uid="{00000000-0005-0000-0000-00001FC20000}"/>
    <cellStyle name="Note 27 9" xfId="49681" xr:uid="{00000000-0005-0000-0000-000020C20000}"/>
    <cellStyle name="Note 28" xfId="49682" xr:uid="{00000000-0005-0000-0000-000021C20000}"/>
    <cellStyle name="Note 28 2" xfId="49683" xr:uid="{00000000-0005-0000-0000-000022C20000}"/>
    <cellStyle name="Note 28 2 2" xfId="49684" xr:uid="{00000000-0005-0000-0000-000023C20000}"/>
    <cellStyle name="Note 28 2 3" xfId="49685" xr:uid="{00000000-0005-0000-0000-000024C20000}"/>
    <cellStyle name="Note 28 2 4" xfId="49686" xr:uid="{00000000-0005-0000-0000-000025C20000}"/>
    <cellStyle name="Note 28 2 5" xfId="49687" xr:uid="{00000000-0005-0000-0000-000026C20000}"/>
    <cellStyle name="Note 28 3" xfId="49688" xr:uid="{00000000-0005-0000-0000-000027C20000}"/>
    <cellStyle name="Note 28 3 2" xfId="49689" xr:uid="{00000000-0005-0000-0000-000028C20000}"/>
    <cellStyle name="Note 28 3 3" xfId="49690" xr:uid="{00000000-0005-0000-0000-000029C20000}"/>
    <cellStyle name="Note 28 4" xfId="49691" xr:uid="{00000000-0005-0000-0000-00002AC20000}"/>
    <cellStyle name="Note 28 4 2" xfId="49692" xr:uid="{00000000-0005-0000-0000-00002BC20000}"/>
    <cellStyle name="Note 28 4 3" xfId="49693" xr:uid="{00000000-0005-0000-0000-00002CC20000}"/>
    <cellStyle name="Note 28 5" xfId="49694" xr:uid="{00000000-0005-0000-0000-00002DC20000}"/>
    <cellStyle name="Note 28 5 2" xfId="49695" xr:uid="{00000000-0005-0000-0000-00002EC20000}"/>
    <cellStyle name="Note 28 5 3" xfId="49696" xr:uid="{00000000-0005-0000-0000-00002FC20000}"/>
    <cellStyle name="Note 28 6" xfId="49697" xr:uid="{00000000-0005-0000-0000-000030C20000}"/>
    <cellStyle name="Note 28 6 2" xfId="49698" xr:uid="{00000000-0005-0000-0000-000031C20000}"/>
    <cellStyle name="Note 28 7" xfId="49699" xr:uid="{00000000-0005-0000-0000-000032C20000}"/>
    <cellStyle name="Note 28 8" xfId="49700" xr:uid="{00000000-0005-0000-0000-000033C20000}"/>
    <cellStyle name="Note 28 9" xfId="49701" xr:uid="{00000000-0005-0000-0000-000034C20000}"/>
    <cellStyle name="Note 29" xfId="49702" xr:uid="{00000000-0005-0000-0000-000035C20000}"/>
    <cellStyle name="Note 29 2" xfId="49703" xr:uid="{00000000-0005-0000-0000-000036C20000}"/>
    <cellStyle name="Note 29 2 2" xfId="49704" xr:uid="{00000000-0005-0000-0000-000037C20000}"/>
    <cellStyle name="Note 29 2 3" xfId="49705" xr:uid="{00000000-0005-0000-0000-000038C20000}"/>
    <cellStyle name="Note 29 2 4" xfId="49706" xr:uid="{00000000-0005-0000-0000-000039C20000}"/>
    <cellStyle name="Note 29 2 5" xfId="49707" xr:uid="{00000000-0005-0000-0000-00003AC20000}"/>
    <cellStyle name="Note 29 3" xfId="49708" xr:uid="{00000000-0005-0000-0000-00003BC20000}"/>
    <cellStyle name="Note 29 3 2" xfId="49709" xr:uid="{00000000-0005-0000-0000-00003CC20000}"/>
    <cellStyle name="Note 29 3 3" xfId="49710" xr:uid="{00000000-0005-0000-0000-00003DC20000}"/>
    <cellStyle name="Note 29 4" xfId="49711" xr:uid="{00000000-0005-0000-0000-00003EC20000}"/>
    <cellStyle name="Note 29 4 2" xfId="49712" xr:uid="{00000000-0005-0000-0000-00003FC20000}"/>
    <cellStyle name="Note 29 4 3" xfId="49713" xr:uid="{00000000-0005-0000-0000-000040C20000}"/>
    <cellStyle name="Note 29 5" xfId="49714" xr:uid="{00000000-0005-0000-0000-000041C20000}"/>
    <cellStyle name="Note 29 5 2" xfId="49715" xr:uid="{00000000-0005-0000-0000-000042C20000}"/>
    <cellStyle name="Note 29 5 3" xfId="49716" xr:uid="{00000000-0005-0000-0000-000043C20000}"/>
    <cellStyle name="Note 29 6" xfId="49717" xr:uid="{00000000-0005-0000-0000-000044C20000}"/>
    <cellStyle name="Note 29 6 2" xfId="49718" xr:uid="{00000000-0005-0000-0000-000045C20000}"/>
    <cellStyle name="Note 29 7" xfId="49719" xr:uid="{00000000-0005-0000-0000-000046C20000}"/>
    <cellStyle name="Note 29 8" xfId="49720" xr:uid="{00000000-0005-0000-0000-000047C20000}"/>
    <cellStyle name="Note 29 9" xfId="49721" xr:uid="{00000000-0005-0000-0000-000048C20000}"/>
    <cellStyle name="Note 3" xfId="49722" xr:uid="{00000000-0005-0000-0000-000049C20000}"/>
    <cellStyle name="Note 3 10" xfId="49723" xr:uid="{00000000-0005-0000-0000-00004AC20000}"/>
    <cellStyle name="Note 3 2" xfId="49724" xr:uid="{00000000-0005-0000-0000-00004BC20000}"/>
    <cellStyle name="Note 3 2 10" xfId="49725" xr:uid="{00000000-0005-0000-0000-00004CC20000}"/>
    <cellStyle name="Note 3 2 2" xfId="49726" xr:uid="{00000000-0005-0000-0000-00004DC20000}"/>
    <cellStyle name="Note 3 2 2 2" xfId="49727" xr:uid="{00000000-0005-0000-0000-00004EC20000}"/>
    <cellStyle name="Note 3 2 2 2 2" xfId="49728" xr:uid="{00000000-0005-0000-0000-00004FC20000}"/>
    <cellStyle name="Note 3 2 2 2 3" xfId="49729" xr:uid="{00000000-0005-0000-0000-000050C20000}"/>
    <cellStyle name="Note 3 2 2 3" xfId="49730" xr:uid="{00000000-0005-0000-0000-000051C20000}"/>
    <cellStyle name="Note 3 2 2 3 2" xfId="49731" xr:uid="{00000000-0005-0000-0000-000052C20000}"/>
    <cellStyle name="Note 3 2 2 3 3" xfId="49732" xr:uid="{00000000-0005-0000-0000-000053C20000}"/>
    <cellStyle name="Note 3 2 2 4" xfId="49733" xr:uid="{00000000-0005-0000-0000-000054C20000}"/>
    <cellStyle name="Note 3 2 2 4 2" xfId="49734" xr:uid="{00000000-0005-0000-0000-000055C20000}"/>
    <cellStyle name="Note 3 2 2 5" xfId="49735" xr:uid="{00000000-0005-0000-0000-000056C20000}"/>
    <cellStyle name="Note 3 2 3" xfId="49736" xr:uid="{00000000-0005-0000-0000-000057C20000}"/>
    <cellStyle name="Note 3 2 3 2" xfId="49737" xr:uid="{00000000-0005-0000-0000-000058C20000}"/>
    <cellStyle name="Note 3 2 3 3" xfId="49738" xr:uid="{00000000-0005-0000-0000-000059C20000}"/>
    <cellStyle name="Note 3 2 4" xfId="49739" xr:uid="{00000000-0005-0000-0000-00005AC20000}"/>
    <cellStyle name="Note 3 2 4 2" xfId="49740" xr:uid="{00000000-0005-0000-0000-00005BC20000}"/>
    <cellStyle name="Note 3 2 4 3" xfId="49741" xr:uid="{00000000-0005-0000-0000-00005CC20000}"/>
    <cellStyle name="Note 3 2 5" xfId="49742" xr:uid="{00000000-0005-0000-0000-00005DC20000}"/>
    <cellStyle name="Note 3 2 5 2" xfId="49743" xr:uid="{00000000-0005-0000-0000-00005EC20000}"/>
    <cellStyle name="Note 3 2 5 3" xfId="49744" xr:uid="{00000000-0005-0000-0000-00005FC20000}"/>
    <cellStyle name="Note 3 2 6" xfId="49745" xr:uid="{00000000-0005-0000-0000-000060C20000}"/>
    <cellStyle name="Note 3 2 6 2" xfId="49746" xr:uid="{00000000-0005-0000-0000-000061C20000}"/>
    <cellStyle name="Note 3 2 6 3" xfId="49747" xr:uid="{00000000-0005-0000-0000-000062C20000}"/>
    <cellStyle name="Note 3 2 7" xfId="49748" xr:uid="{00000000-0005-0000-0000-000063C20000}"/>
    <cellStyle name="Note 3 2 8" xfId="49749" xr:uid="{00000000-0005-0000-0000-000064C20000}"/>
    <cellStyle name="Note 3 2 9" xfId="49750" xr:uid="{00000000-0005-0000-0000-000065C20000}"/>
    <cellStyle name="Note 3 3" xfId="49751" xr:uid="{00000000-0005-0000-0000-000066C20000}"/>
    <cellStyle name="Note 3 3 2" xfId="49752" xr:uid="{00000000-0005-0000-0000-000067C20000}"/>
    <cellStyle name="Note 3 3 3" xfId="49753" xr:uid="{00000000-0005-0000-0000-000068C20000}"/>
    <cellStyle name="Note 3 4" xfId="49754" xr:uid="{00000000-0005-0000-0000-000069C20000}"/>
    <cellStyle name="Note 3 4 2" xfId="49755" xr:uid="{00000000-0005-0000-0000-00006AC20000}"/>
    <cellStyle name="Note 3 4 3" xfId="49756" xr:uid="{00000000-0005-0000-0000-00006BC20000}"/>
    <cellStyle name="Note 3 5" xfId="49757" xr:uid="{00000000-0005-0000-0000-00006CC20000}"/>
    <cellStyle name="Note 3 5 2" xfId="49758" xr:uid="{00000000-0005-0000-0000-00006DC20000}"/>
    <cellStyle name="Note 3 5 3" xfId="49759" xr:uid="{00000000-0005-0000-0000-00006EC20000}"/>
    <cellStyle name="Note 3 6" xfId="49760" xr:uid="{00000000-0005-0000-0000-00006FC20000}"/>
    <cellStyle name="Note 3 6 2" xfId="49761" xr:uid="{00000000-0005-0000-0000-000070C20000}"/>
    <cellStyle name="Note 3 6 3" xfId="49762" xr:uid="{00000000-0005-0000-0000-000071C20000}"/>
    <cellStyle name="Note 3 7" xfId="49763" xr:uid="{00000000-0005-0000-0000-000072C20000}"/>
    <cellStyle name="Note 3 8" xfId="49764" xr:uid="{00000000-0005-0000-0000-000073C20000}"/>
    <cellStyle name="Note 3 9" xfId="49765" xr:uid="{00000000-0005-0000-0000-000074C20000}"/>
    <cellStyle name="Note 3_Proj" xfId="49766" xr:uid="{00000000-0005-0000-0000-000075C20000}"/>
    <cellStyle name="Note 30" xfId="49767" xr:uid="{00000000-0005-0000-0000-000076C20000}"/>
    <cellStyle name="Note 30 2" xfId="49768" xr:uid="{00000000-0005-0000-0000-000077C20000}"/>
    <cellStyle name="Note 30 2 2" xfId="49769" xr:uid="{00000000-0005-0000-0000-000078C20000}"/>
    <cellStyle name="Note 30 2 3" xfId="49770" xr:uid="{00000000-0005-0000-0000-000079C20000}"/>
    <cellStyle name="Note 30 2 4" xfId="49771" xr:uid="{00000000-0005-0000-0000-00007AC20000}"/>
    <cellStyle name="Note 30 2 5" xfId="49772" xr:uid="{00000000-0005-0000-0000-00007BC20000}"/>
    <cellStyle name="Note 30 3" xfId="49773" xr:uid="{00000000-0005-0000-0000-00007CC20000}"/>
    <cellStyle name="Note 30 3 2" xfId="49774" xr:uid="{00000000-0005-0000-0000-00007DC20000}"/>
    <cellStyle name="Note 30 3 3" xfId="49775" xr:uid="{00000000-0005-0000-0000-00007EC20000}"/>
    <cellStyle name="Note 30 4" xfId="49776" xr:uid="{00000000-0005-0000-0000-00007FC20000}"/>
    <cellStyle name="Note 30 4 2" xfId="49777" xr:uid="{00000000-0005-0000-0000-000080C20000}"/>
    <cellStyle name="Note 30 4 3" xfId="49778" xr:uid="{00000000-0005-0000-0000-000081C20000}"/>
    <cellStyle name="Note 30 5" xfId="49779" xr:uid="{00000000-0005-0000-0000-000082C20000}"/>
    <cellStyle name="Note 30 5 2" xfId="49780" xr:uid="{00000000-0005-0000-0000-000083C20000}"/>
    <cellStyle name="Note 30 5 3" xfId="49781" xr:uid="{00000000-0005-0000-0000-000084C20000}"/>
    <cellStyle name="Note 30 6" xfId="49782" xr:uid="{00000000-0005-0000-0000-000085C20000}"/>
    <cellStyle name="Note 30 6 2" xfId="49783" xr:uid="{00000000-0005-0000-0000-000086C20000}"/>
    <cellStyle name="Note 30 7" xfId="49784" xr:uid="{00000000-0005-0000-0000-000087C20000}"/>
    <cellStyle name="Note 30 8" xfId="49785" xr:uid="{00000000-0005-0000-0000-000088C20000}"/>
    <cellStyle name="Note 30 9" xfId="49786" xr:uid="{00000000-0005-0000-0000-000089C20000}"/>
    <cellStyle name="Note 31" xfId="49787" xr:uid="{00000000-0005-0000-0000-00008AC20000}"/>
    <cellStyle name="Note 31 2" xfId="49788" xr:uid="{00000000-0005-0000-0000-00008BC20000}"/>
    <cellStyle name="Note 31 2 2" xfId="49789" xr:uid="{00000000-0005-0000-0000-00008CC20000}"/>
    <cellStyle name="Note 31 2 3" xfId="49790" xr:uid="{00000000-0005-0000-0000-00008DC20000}"/>
    <cellStyle name="Note 31 2 4" xfId="49791" xr:uid="{00000000-0005-0000-0000-00008EC20000}"/>
    <cellStyle name="Note 31 2 5" xfId="49792" xr:uid="{00000000-0005-0000-0000-00008FC20000}"/>
    <cellStyle name="Note 31 3" xfId="49793" xr:uid="{00000000-0005-0000-0000-000090C20000}"/>
    <cellStyle name="Note 31 3 2" xfId="49794" xr:uid="{00000000-0005-0000-0000-000091C20000}"/>
    <cellStyle name="Note 31 3 3" xfId="49795" xr:uid="{00000000-0005-0000-0000-000092C20000}"/>
    <cellStyle name="Note 31 4" xfId="49796" xr:uid="{00000000-0005-0000-0000-000093C20000}"/>
    <cellStyle name="Note 31 4 2" xfId="49797" xr:uid="{00000000-0005-0000-0000-000094C20000}"/>
    <cellStyle name="Note 31 4 3" xfId="49798" xr:uid="{00000000-0005-0000-0000-000095C20000}"/>
    <cellStyle name="Note 31 5" xfId="49799" xr:uid="{00000000-0005-0000-0000-000096C20000}"/>
    <cellStyle name="Note 31 5 2" xfId="49800" xr:uid="{00000000-0005-0000-0000-000097C20000}"/>
    <cellStyle name="Note 31 5 3" xfId="49801" xr:uid="{00000000-0005-0000-0000-000098C20000}"/>
    <cellStyle name="Note 31 6" xfId="49802" xr:uid="{00000000-0005-0000-0000-000099C20000}"/>
    <cellStyle name="Note 31 6 2" xfId="49803" xr:uid="{00000000-0005-0000-0000-00009AC20000}"/>
    <cellStyle name="Note 31 7" xfId="49804" xr:uid="{00000000-0005-0000-0000-00009BC20000}"/>
    <cellStyle name="Note 31 8" xfId="49805" xr:uid="{00000000-0005-0000-0000-00009CC20000}"/>
    <cellStyle name="Note 31 9" xfId="49806" xr:uid="{00000000-0005-0000-0000-00009DC20000}"/>
    <cellStyle name="Note 32" xfId="49807" xr:uid="{00000000-0005-0000-0000-00009EC20000}"/>
    <cellStyle name="Note 32 2" xfId="49808" xr:uid="{00000000-0005-0000-0000-00009FC20000}"/>
    <cellStyle name="Note 32 2 2" xfId="49809" xr:uid="{00000000-0005-0000-0000-0000A0C20000}"/>
    <cellStyle name="Note 32 2 3" xfId="49810" xr:uid="{00000000-0005-0000-0000-0000A1C20000}"/>
    <cellStyle name="Note 32 2 4" xfId="49811" xr:uid="{00000000-0005-0000-0000-0000A2C20000}"/>
    <cellStyle name="Note 32 2 5" xfId="49812" xr:uid="{00000000-0005-0000-0000-0000A3C20000}"/>
    <cellStyle name="Note 32 3" xfId="49813" xr:uid="{00000000-0005-0000-0000-0000A4C20000}"/>
    <cellStyle name="Note 32 3 2" xfId="49814" xr:uid="{00000000-0005-0000-0000-0000A5C20000}"/>
    <cellStyle name="Note 32 3 3" xfId="49815" xr:uid="{00000000-0005-0000-0000-0000A6C20000}"/>
    <cellStyle name="Note 32 4" xfId="49816" xr:uid="{00000000-0005-0000-0000-0000A7C20000}"/>
    <cellStyle name="Note 32 4 2" xfId="49817" xr:uid="{00000000-0005-0000-0000-0000A8C20000}"/>
    <cellStyle name="Note 32 4 3" xfId="49818" xr:uid="{00000000-0005-0000-0000-0000A9C20000}"/>
    <cellStyle name="Note 32 5" xfId="49819" xr:uid="{00000000-0005-0000-0000-0000AAC20000}"/>
    <cellStyle name="Note 32 5 2" xfId="49820" xr:uid="{00000000-0005-0000-0000-0000ABC20000}"/>
    <cellStyle name="Note 32 5 3" xfId="49821" xr:uid="{00000000-0005-0000-0000-0000ACC20000}"/>
    <cellStyle name="Note 32 6" xfId="49822" xr:uid="{00000000-0005-0000-0000-0000ADC20000}"/>
    <cellStyle name="Note 32 6 2" xfId="49823" xr:uid="{00000000-0005-0000-0000-0000AEC20000}"/>
    <cellStyle name="Note 32 7" xfId="49824" xr:uid="{00000000-0005-0000-0000-0000AFC20000}"/>
    <cellStyle name="Note 32 8" xfId="49825" xr:uid="{00000000-0005-0000-0000-0000B0C20000}"/>
    <cellStyle name="Note 32 9" xfId="49826" xr:uid="{00000000-0005-0000-0000-0000B1C20000}"/>
    <cellStyle name="Note 33" xfId="49827" xr:uid="{00000000-0005-0000-0000-0000B2C20000}"/>
    <cellStyle name="Note 33 2" xfId="49828" xr:uid="{00000000-0005-0000-0000-0000B3C20000}"/>
    <cellStyle name="Note 33 2 2" xfId="49829" xr:uid="{00000000-0005-0000-0000-0000B4C20000}"/>
    <cellStyle name="Note 33 2 3" xfId="49830" xr:uid="{00000000-0005-0000-0000-0000B5C20000}"/>
    <cellStyle name="Note 33 2 4" xfId="49831" xr:uid="{00000000-0005-0000-0000-0000B6C20000}"/>
    <cellStyle name="Note 33 2 5" xfId="49832" xr:uid="{00000000-0005-0000-0000-0000B7C20000}"/>
    <cellStyle name="Note 33 3" xfId="49833" xr:uid="{00000000-0005-0000-0000-0000B8C20000}"/>
    <cellStyle name="Note 33 3 2" xfId="49834" xr:uid="{00000000-0005-0000-0000-0000B9C20000}"/>
    <cellStyle name="Note 33 3 3" xfId="49835" xr:uid="{00000000-0005-0000-0000-0000BAC20000}"/>
    <cellStyle name="Note 33 4" xfId="49836" xr:uid="{00000000-0005-0000-0000-0000BBC20000}"/>
    <cellStyle name="Note 33 4 2" xfId="49837" xr:uid="{00000000-0005-0000-0000-0000BCC20000}"/>
    <cellStyle name="Note 33 4 3" xfId="49838" xr:uid="{00000000-0005-0000-0000-0000BDC20000}"/>
    <cellStyle name="Note 33 5" xfId="49839" xr:uid="{00000000-0005-0000-0000-0000BEC20000}"/>
    <cellStyle name="Note 33 5 2" xfId="49840" xr:uid="{00000000-0005-0000-0000-0000BFC20000}"/>
    <cellStyle name="Note 33 5 3" xfId="49841" xr:uid="{00000000-0005-0000-0000-0000C0C20000}"/>
    <cellStyle name="Note 33 6" xfId="49842" xr:uid="{00000000-0005-0000-0000-0000C1C20000}"/>
    <cellStyle name="Note 33 6 2" xfId="49843" xr:uid="{00000000-0005-0000-0000-0000C2C20000}"/>
    <cellStyle name="Note 33 7" xfId="49844" xr:uid="{00000000-0005-0000-0000-0000C3C20000}"/>
    <cellStyle name="Note 33 8" xfId="49845" xr:uid="{00000000-0005-0000-0000-0000C4C20000}"/>
    <cellStyle name="Note 33 9" xfId="49846" xr:uid="{00000000-0005-0000-0000-0000C5C20000}"/>
    <cellStyle name="Note 34" xfId="49847" xr:uid="{00000000-0005-0000-0000-0000C6C20000}"/>
    <cellStyle name="Note 34 2" xfId="49848" xr:uid="{00000000-0005-0000-0000-0000C7C20000}"/>
    <cellStyle name="Note 34 3" xfId="49849" xr:uid="{00000000-0005-0000-0000-0000C8C20000}"/>
    <cellStyle name="Note 35" xfId="49850" xr:uid="{00000000-0005-0000-0000-0000C9C20000}"/>
    <cellStyle name="Note 35 2" xfId="49851" xr:uid="{00000000-0005-0000-0000-0000CAC20000}"/>
    <cellStyle name="Note 35 3" xfId="49852" xr:uid="{00000000-0005-0000-0000-0000CBC20000}"/>
    <cellStyle name="Note 36" xfId="49853" xr:uid="{00000000-0005-0000-0000-0000CCC20000}"/>
    <cellStyle name="Note 36 2" xfId="49854" xr:uid="{00000000-0005-0000-0000-0000CDC20000}"/>
    <cellStyle name="Note 36 3" xfId="49855" xr:uid="{00000000-0005-0000-0000-0000CEC20000}"/>
    <cellStyle name="Note 37" xfId="49856" xr:uid="{00000000-0005-0000-0000-0000CFC20000}"/>
    <cellStyle name="Note 37 2" xfId="49857" xr:uid="{00000000-0005-0000-0000-0000D0C20000}"/>
    <cellStyle name="Note 37 3" xfId="49858" xr:uid="{00000000-0005-0000-0000-0000D1C20000}"/>
    <cellStyle name="Note 4" xfId="49859" xr:uid="{00000000-0005-0000-0000-0000D2C20000}"/>
    <cellStyle name="Note 4 10" xfId="49860" xr:uid="{00000000-0005-0000-0000-0000D3C20000}"/>
    <cellStyle name="Note 4 2" xfId="49861" xr:uid="{00000000-0005-0000-0000-0000D4C20000}"/>
    <cellStyle name="Note 4 2 2" xfId="49862" xr:uid="{00000000-0005-0000-0000-0000D5C20000}"/>
    <cellStyle name="Note 4 2 3" xfId="49863" xr:uid="{00000000-0005-0000-0000-0000D6C20000}"/>
    <cellStyle name="Note 4 2 4" xfId="49864" xr:uid="{00000000-0005-0000-0000-0000D7C20000}"/>
    <cellStyle name="Note 4 2 5" xfId="49865" xr:uid="{00000000-0005-0000-0000-0000D8C20000}"/>
    <cellStyle name="Note 4 3" xfId="49866" xr:uid="{00000000-0005-0000-0000-0000D9C20000}"/>
    <cellStyle name="Note 4 3 2" xfId="49867" xr:uid="{00000000-0005-0000-0000-0000DAC20000}"/>
    <cellStyle name="Note 4 3 3" xfId="49868" xr:uid="{00000000-0005-0000-0000-0000DBC20000}"/>
    <cellStyle name="Note 4 4" xfId="49869" xr:uid="{00000000-0005-0000-0000-0000DCC20000}"/>
    <cellStyle name="Note 4 4 2" xfId="49870" xr:uid="{00000000-0005-0000-0000-0000DDC20000}"/>
    <cellStyle name="Note 4 4 3" xfId="49871" xr:uid="{00000000-0005-0000-0000-0000DEC20000}"/>
    <cellStyle name="Note 4 5" xfId="49872" xr:uid="{00000000-0005-0000-0000-0000DFC20000}"/>
    <cellStyle name="Note 4 5 2" xfId="49873" xr:uid="{00000000-0005-0000-0000-0000E0C20000}"/>
    <cellStyle name="Note 4 5 3" xfId="49874" xr:uid="{00000000-0005-0000-0000-0000E1C20000}"/>
    <cellStyle name="Note 4 6" xfId="49875" xr:uid="{00000000-0005-0000-0000-0000E2C20000}"/>
    <cellStyle name="Note 4 6 2" xfId="49876" xr:uid="{00000000-0005-0000-0000-0000E3C20000}"/>
    <cellStyle name="Note 4 6 3" xfId="49877" xr:uid="{00000000-0005-0000-0000-0000E4C20000}"/>
    <cellStyle name="Note 4 7" xfId="49878" xr:uid="{00000000-0005-0000-0000-0000E5C20000}"/>
    <cellStyle name="Note 4 8" xfId="49879" xr:uid="{00000000-0005-0000-0000-0000E6C20000}"/>
    <cellStyle name="Note 4 9" xfId="49880" xr:uid="{00000000-0005-0000-0000-0000E7C20000}"/>
    <cellStyle name="Note 4_Proj" xfId="49881" xr:uid="{00000000-0005-0000-0000-0000E8C20000}"/>
    <cellStyle name="Note 5" xfId="49882" xr:uid="{00000000-0005-0000-0000-0000E9C20000}"/>
    <cellStyle name="Note 5 10" xfId="49883" xr:uid="{00000000-0005-0000-0000-0000EAC20000}"/>
    <cellStyle name="Note 5 2" xfId="49884" xr:uid="{00000000-0005-0000-0000-0000EBC20000}"/>
    <cellStyle name="Note 5 2 2" xfId="49885" xr:uid="{00000000-0005-0000-0000-0000ECC20000}"/>
    <cellStyle name="Note 5 2 3" xfId="49886" xr:uid="{00000000-0005-0000-0000-0000EDC20000}"/>
    <cellStyle name="Note 5 2 4" xfId="49887" xr:uid="{00000000-0005-0000-0000-0000EEC20000}"/>
    <cellStyle name="Note 5 2 5" xfId="49888" xr:uid="{00000000-0005-0000-0000-0000EFC20000}"/>
    <cellStyle name="Note 5 3" xfId="49889" xr:uid="{00000000-0005-0000-0000-0000F0C20000}"/>
    <cellStyle name="Note 5 3 2" xfId="49890" xr:uid="{00000000-0005-0000-0000-0000F1C20000}"/>
    <cellStyle name="Note 5 3 3" xfId="49891" xr:uid="{00000000-0005-0000-0000-0000F2C20000}"/>
    <cellStyle name="Note 5 4" xfId="49892" xr:uid="{00000000-0005-0000-0000-0000F3C20000}"/>
    <cellStyle name="Note 5 4 2" xfId="49893" xr:uid="{00000000-0005-0000-0000-0000F4C20000}"/>
    <cellStyle name="Note 5 4 3" xfId="49894" xr:uid="{00000000-0005-0000-0000-0000F5C20000}"/>
    <cellStyle name="Note 5 5" xfId="49895" xr:uid="{00000000-0005-0000-0000-0000F6C20000}"/>
    <cellStyle name="Note 5 5 2" xfId="49896" xr:uid="{00000000-0005-0000-0000-0000F7C20000}"/>
    <cellStyle name="Note 5 5 3" xfId="49897" xr:uid="{00000000-0005-0000-0000-0000F8C20000}"/>
    <cellStyle name="Note 5 6" xfId="49898" xr:uid="{00000000-0005-0000-0000-0000F9C20000}"/>
    <cellStyle name="Note 5 6 2" xfId="49899" xr:uid="{00000000-0005-0000-0000-0000FAC20000}"/>
    <cellStyle name="Note 5 6 3" xfId="49900" xr:uid="{00000000-0005-0000-0000-0000FBC20000}"/>
    <cellStyle name="Note 5 7" xfId="49901" xr:uid="{00000000-0005-0000-0000-0000FCC20000}"/>
    <cellStyle name="Note 5 8" xfId="49902" xr:uid="{00000000-0005-0000-0000-0000FDC20000}"/>
    <cellStyle name="Note 5 9" xfId="49903" xr:uid="{00000000-0005-0000-0000-0000FEC20000}"/>
    <cellStyle name="Note 5_Proj" xfId="49904" xr:uid="{00000000-0005-0000-0000-0000FFC20000}"/>
    <cellStyle name="Note 6" xfId="49905" xr:uid="{00000000-0005-0000-0000-000000C30000}"/>
    <cellStyle name="Note 6 10" xfId="49906" xr:uid="{00000000-0005-0000-0000-000001C30000}"/>
    <cellStyle name="Note 6 2" xfId="49907" xr:uid="{00000000-0005-0000-0000-000002C30000}"/>
    <cellStyle name="Note 6 2 2" xfId="49908" xr:uid="{00000000-0005-0000-0000-000003C30000}"/>
    <cellStyle name="Note 6 2 3" xfId="49909" xr:uid="{00000000-0005-0000-0000-000004C30000}"/>
    <cellStyle name="Note 6 2 4" xfId="49910" xr:uid="{00000000-0005-0000-0000-000005C30000}"/>
    <cellStyle name="Note 6 2 5" xfId="49911" xr:uid="{00000000-0005-0000-0000-000006C30000}"/>
    <cellStyle name="Note 6 3" xfId="49912" xr:uid="{00000000-0005-0000-0000-000007C30000}"/>
    <cellStyle name="Note 6 3 2" xfId="49913" xr:uid="{00000000-0005-0000-0000-000008C30000}"/>
    <cellStyle name="Note 6 3 3" xfId="49914" xr:uid="{00000000-0005-0000-0000-000009C30000}"/>
    <cellStyle name="Note 6 4" xfId="49915" xr:uid="{00000000-0005-0000-0000-00000AC30000}"/>
    <cellStyle name="Note 6 4 2" xfId="49916" xr:uid="{00000000-0005-0000-0000-00000BC30000}"/>
    <cellStyle name="Note 6 4 3" xfId="49917" xr:uid="{00000000-0005-0000-0000-00000CC30000}"/>
    <cellStyle name="Note 6 5" xfId="49918" xr:uid="{00000000-0005-0000-0000-00000DC30000}"/>
    <cellStyle name="Note 6 5 2" xfId="49919" xr:uid="{00000000-0005-0000-0000-00000EC30000}"/>
    <cellStyle name="Note 6 5 3" xfId="49920" xr:uid="{00000000-0005-0000-0000-00000FC30000}"/>
    <cellStyle name="Note 6 6" xfId="49921" xr:uid="{00000000-0005-0000-0000-000010C30000}"/>
    <cellStyle name="Note 6 6 2" xfId="49922" xr:uid="{00000000-0005-0000-0000-000011C30000}"/>
    <cellStyle name="Note 6 6 3" xfId="49923" xr:uid="{00000000-0005-0000-0000-000012C30000}"/>
    <cellStyle name="Note 6 7" xfId="49924" xr:uid="{00000000-0005-0000-0000-000013C30000}"/>
    <cellStyle name="Note 6 8" xfId="49925" xr:uid="{00000000-0005-0000-0000-000014C30000}"/>
    <cellStyle name="Note 6 9" xfId="49926" xr:uid="{00000000-0005-0000-0000-000015C30000}"/>
    <cellStyle name="Note 7" xfId="49927" xr:uid="{00000000-0005-0000-0000-000016C30000}"/>
    <cellStyle name="Note 7 10" xfId="49928" xr:uid="{00000000-0005-0000-0000-000017C30000}"/>
    <cellStyle name="Note 7 2" xfId="49929" xr:uid="{00000000-0005-0000-0000-000018C30000}"/>
    <cellStyle name="Note 7 2 2" xfId="49930" xr:uid="{00000000-0005-0000-0000-000019C30000}"/>
    <cellStyle name="Note 7 2 3" xfId="49931" xr:uid="{00000000-0005-0000-0000-00001AC30000}"/>
    <cellStyle name="Note 7 2 4" xfId="49932" xr:uid="{00000000-0005-0000-0000-00001BC30000}"/>
    <cellStyle name="Note 7 2 5" xfId="49933" xr:uid="{00000000-0005-0000-0000-00001CC30000}"/>
    <cellStyle name="Note 7 3" xfId="49934" xr:uid="{00000000-0005-0000-0000-00001DC30000}"/>
    <cellStyle name="Note 7 3 2" xfId="49935" xr:uid="{00000000-0005-0000-0000-00001EC30000}"/>
    <cellStyle name="Note 7 3 3" xfId="49936" xr:uid="{00000000-0005-0000-0000-00001FC30000}"/>
    <cellStyle name="Note 7 4" xfId="49937" xr:uid="{00000000-0005-0000-0000-000020C30000}"/>
    <cellStyle name="Note 7 4 2" xfId="49938" xr:uid="{00000000-0005-0000-0000-000021C30000}"/>
    <cellStyle name="Note 7 4 3" xfId="49939" xr:uid="{00000000-0005-0000-0000-000022C30000}"/>
    <cellStyle name="Note 7 5" xfId="49940" xr:uid="{00000000-0005-0000-0000-000023C30000}"/>
    <cellStyle name="Note 7 5 2" xfId="49941" xr:uid="{00000000-0005-0000-0000-000024C30000}"/>
    <cellStyle name="Note 7 5 3" xfId="49942" xr:uid="{00000000-0005-0000-0000-000025C30000}"/>
    <cellStyle name="Note 7 6" xfId="49943" xr:uid="{00000000-0005-0000-0000-000026C30000}"/>
    <cellStyle name="Note 7 6 2" xfId="49944" xr:uid="{00000000-0005-0000-0000-000027C30000}"/>
    <cellStyle name="Note 7 6 3" xfId="49945" xr:uid="{00000000-0005-0000-0000-000028C30000}"/>
    <cellStyle name="Note 7 7" xfId="49946" xr:uid="{00000000-0005-0000-0000-000029C30000}"/>
    <cellStyle name="Note 7 8" xfId="49947" xr:uid="{00000000-0005-0000-0000-00002AC30000}"/>
    <cellStyle name="Note 7 9" xfId="49948" xr:uid="{00000000-0005-0000-0000-00002BC30000}"/>
    <cellStyle name="Note 8" xfId="49949" xr:uid="{00000000-0005-0000-0000-00002CC30000}"/>
    <cellStyle name="Note 8 10" xfId="49950" xr:uid="{00000000-0005-0000-0000-00002DC30000}"/>
    <cellStyle name="Note 8 2" xfId="49951" xr:uid="{00000000-0005-0000-0000-00002EC30000}"/>
    <cellStyle name="Note 8 2 2" xfId="49952" xr:uid="{00000000-0005-0000-0000-00002FC30000}"/>
    <cellStyle name="Note 8 2 3" xfId="49953" xr:uid="{00000000-0005-0000-0000-000030C30000}"/>
    <cellStyle name="Note 8 2 4" xfId="49954" xr:uid="{00000000-0005-0000-0000-000031C30000}"/>
    <cellStyle name="Note 8 2 5" xfId="49955" xr:uid="{00000000-0005-0000-0000-000032C30000}"/>
    <cellStyle name="Note 8 3" xfId="49956" xr:uid="{00000000-0005-0000-0000-000033C30000}"/>
    <cellStyle name="Note 8 3 2" xfId="49957" xr:uid="{00000000-0005-0000-0000-000034C30000}"/>
    <cellStyle name="Note 8 3 3" xfId="49958" xr:uid="{00000000-0005-0000-0000-000035C30000}"/>
    <cellStyle name="Note 8 4" xfId="49959" xr:uid="{00000000-0005-0000-0000-000036C30000}"/>
    <cellStyle name="Note 8 4 2" xfId="49960" xr:uid="{00000000-0005-0000-0000-000037C30000}"/>
    <cellStyle name="Note 8 4 3" xfId="49961" xr:uid="{00000000-0005-0000-0000-000038C30000}"/>
    <cellStyle name="Note 8 5" xfId="49962" xr:uid="{00000000-0005-0000-0000-000039C30000}"/>
    <cellStyle name="Note 8 5 2" xfId="49963" xr:uid="{00000000-0005-0000-0000-00003AC30000}"/>
    <cellStyle name="Note 8 5 3" xfId="49964" xr:uid="{00000000-0005-0000-0000-00003BC30000}"/>
    <cellStyle name="Note 8 6" xfId="49965" xr:uid="{00000000-0005-0000-0000-00003CC30000}"/>
    <cellStyle name="Note 8 6 2" xfId="49966" xr:uid="{00000000-0005-0000-0000-00003DC30000}"/>
    <cellStyle name="Note 8 6 3" xfId="49967" xr:uid="{00000000-0005-0000-0000-00003EC30000}"/>
    <cellStyle name="Note 8 7" xfId="49968" xr:uid="{00000000-0005-0000-0000-00003FC30000}"/>
    <cellStyle name="Note 8 8" xfId="49969" xr:uid="{00000000-0005-0000-0000-000040C30000}"/>
    <cellStyle name="Note 8 9" xfId="49970" xr:uid="{00000000-0005-0000-0000-000041C30000}"/>
    <cellStyle name="Note 9" xfId="49971" xr:uid="{00000000-0005-0000-0000-000042C30000}"/>
    <cellStyle name="Note 9 10" xfId="49972" xr:uid="{00000000-0005-0000-0000-000043C30000}"/>
    <cellStyle name="Note 9 2" xfId="49973" xr:uid="{00000000-0005-0000-0000-000044C30000}"/>
    <cellStyle name="Note 9 2 2" xfId="49974" xr:uid="{00000000-0005-0000-0000-000045C30000}"/>
    <cellStyle name="Note 9 2 3" xfId="49975" xr:uid="{00000000-0005-0000-0000-000046C30000}"/>
    <cellStyle name="Note 9 2 4" xfId="49976" xr:uid="{00000000-0005-0000-0000-000047C30000}"/>
    <cellStyle name="Note 9 2 5" xfId="49977" xr:uid="{00000000-0005-0000-0000-000048C30000}"/>
    <cellStyle name="Note 9 3" xfId="49978" xr:uid="{00000000-0005-0000-0000-000049C30000}"/>
    <cellStyle name="Note 9 3 2" xfId="49979" xr:uid="{00000000-0005-0000-0000-00004AC30000}"/>
    <cellStyle name="Note 9 3 3" xfId="49980" xr:uid="{00000000-0005-0000-0000-00004BC30000}"/>
    <cellStyle name="Note 9 4" xfId="49981" xr:uid="{00000000-0005-0000-0000-00004CC30000}"/>
    <cellStyle name="Note 9 4 2" xfId="49982" xr:uid="{00000000-0005-0000-0000-00004DC30000}"/>
    <cellStyle name="Note 9 4 3" xfId="49983" xr:uid="{00000000-0005-0000-0000-00004EC30000}"/>
    <cellStyle name="Note 9 5" xfId="49984" xr:uid="{00000000-0005-0000-0000-00004FC30000}"/>
    <cellStyle name="Note 9 5 2" xfId="49985" xr:uid="{00000000-0005-0000-0000-000050C30000}"/>
    <cellStyle name="Note 9 5 3" xfId="49986" xr:uid="{00000000-0005-0000-0000-000051C30000}"/>
    <cellStyle name="Note 9 6" xfId="49987" xr:uid="{00000000-0005-0000-0000-000052C30000}"/>
    <cellStyle name="Note 9 6 2" xfId="49988" xr:uid="{00000000-0005-0000-0000-000053C30000}"/>
    <cellStyle name="Note 9 6 3" xfId="49989" xr:uid="{00000000-0005-0000-0000-000054C30000}"/>
    <cellStyle name="Note 9 7" xfId="49990" xr:uid="{00000000-0005-0000-0000-000055C30000}"/>
    <cellStyle name="Note 9 8" xfId="49991" xr:uid="{00000000-0005-0000-0000-000056C30000}"/>
    <cellStyle name="Note 9 9" xfId="49992" xr:uid="{00000000-0005-0000-0000-000057C30000}"/>
    <cellStyle name="Nr" xfId="49993" xr:uid="{00000000-0005-0000-0000-000058C30000}"/>
    <cellStyle name="OD" xfId="49994" xr:uid="{00000000-0005-0000-0000-000059C30000}"/>
    <cellStyle name="Œ…‹æØ‚è [0.00]_ALL" xfId="49995" xr:uid="{00000000-0005-0000-0000-00005AC30000}"/>
    <cellStyle name="Œ…‹æØ‚è_ALL" xfId="49996" xr:uid="{00000000-0005-0000-0000-00005BC30000}"/>
    <cellStyle name="OG" xfId="49997" xr:uid="{00000000-0005-0000-0000-00005CC30000}"/>
    <cellStyle name="OG 2" xfId="49998" xr:uid="{00000000-0005-0000-0000-00005DC30000}"/>
    <cellStyle name="Output 10" xfId="49999" xr:uid="{00000000-0005-0000-0000-00005EC30000}"/>
    <cellStyle name="Output 10 10" xfId="50000" xr:uid="{00000000-0005-0000-0000-00005FC30000}"/>
    <cellStyle name="Output 10 2" xfId="50001" xr:uid="{00000000-0005-0000-0000-000060C30000}"/>
    <cellStyle name="Output 10 2 2" xfId="50002" xr:uid="{00000000-0005-0000-0000-000061C30000}"/>
    <cellStyle name="Output 10 2 3" xfId="50003" xr:uid="{00000000-0005-0000-0000-000062C30000}"/>
    <cellStyle name="Output 10 2 4" xfId="50004" xr:uid="{00000000-0005-0000-0000-000063C30000}"/>
    <cellStyle name="Output 10 2 5" xfId="50005" xr:uid="{00000000-0005-0000-0000-000064C30000}"/>
    <cellStyle name="Output 10 3" xfId="50006" xr:uid="{00000000-0005-0000-0000-000065C30000}"/>
    <cellStyle name="Output 10 3 2" xfId="50007" xr:uid="{00000000-0005-0000-0000-000066C30000}"/>
    <cellStyle name="Output 10 3 3" xfId="50008" xr:uid="{00000000-0005-0000-0000-000067C30000}"/>
    <cellStyle name="Output 10 4" xfId="50009" xr:uid="{00000000-0005-0000-0000-000068C30000}"/>
    <cellStyle name="Output 10 4 2" xfId="50010" xr:uid="{00000000-0005-0000-0000-000069C30000}"/>
    <cellStyle name="Output 10 4 3" xfId="50011" xr:uid="{00000000-0005-0000-0000-00006AC30000}"/>
    <cellStyle name="Output 10 5" xfId="50012" xr:uid="{00000000-0005-0000-0000-00006BC30000}"/>
    <cellStyle name="Output 10 5 2" xfId="50013" xr:uid="{00000000-0005-0000-0000-00006CC30000}"/>
    <cellStyle name="Output 10 5 3" xfId="50014" xr:uid="{00000000-0005-0000-0000-00006DC30000}"/>
    <cellStyle name="Output 10 6" xfId="50015" xr:uid="{00000000-0005-0000-0000-00006EC30000}"/>
    <cellStyle name="Output 10 6 2" xfId="50016" xr:uid="{00000000-0005-0000-0000-00006FC30000}"/>
    <cellStyle name="Output 10 6 3" xfId="50017" xr:uid="{00000000-0005-0000-0000-000070C30000}"/>
    <cellStyle name="Output 10 7" xfId="50018" xr:uid="{00000000-0005-0000-0000-000071C30000}"/>
    <cellStyle name="Output 10 8" xfId="50019" xr:uid="{00000000-0005-0000-0000-000072C30000}"/>
    <cellStyle name="Output 10 9" xfId="50020" xr:uid="{00000000-0005-0000-0000-000073C30000}"/>
    <cellStyle name="Output 11" xfId="50021" xr:uid="{00000000-0005-0000-0000-000074C30000}"/>
    <cellStyle name="Output 11 10" xfId="50022" xr:uid="{00000000-0005-0000-0000-000075C30000}"/>
    <cellStyle name="Output 11 2" xfId="50023" xr:uid="{00000000-0005-0000-0000-000076C30000}"/>
    <cellStyle name="Output 11 2 2" xfId="50024" xr:uid="{00000000-0005-0000-0000-000077C30000}"/>
    <cellStyle name="Output 11 2 3" xfId="50025" xr:uid="{00000000-0005-0000-0000-000078C30000}"/>
    <cellStyle name="Output 11 2 4" xfId="50026" xr:uid="{00000000-0005-0000-0000-000079C30000}"/>
    <cellStyle name="Output 11 2 5" xfId="50027" xr:uid="{00000000-0005-0000-0000-00007AC30000}"/>
    <cellStyle name="Output 11 3" xfId="50028" xr:uid="{00000000-0005-0000-0000-00007BC30000}"/>
    <cellStyle name="Output 11 3 2" xfId="50029" xr:uid="{00000000-0005-0000-0000-00007CC30000}"/>
    <cellStyle name="Output 11 3 3" xfId="50030" xr:uid="{00000000-0005-0000-0000-00007DC30000}"/>
    <cellStyle name="Output 11 4" xfId="50031" xr:uid="{00000000-0005-0000-0000-00007EC30000}"/>
    <cellStyle name="Output 11 4 2" xfId="50032" xr:uid="{00000000-0005-0000-0000-00007FC30000}"/>
    <cellStyle name="Output 11 4 3" xfId="50033" xr:uid="{00000000-0005-0000-0000-000080C30000}"/>
    <cellStyle name="Output 11 5" xfId="50034" xr:uid="{00000000-0005-0000-0000-000081C30000}"/>
    <cellStyle name="Output 11 5 2" xfId="50035" xr:uid="{00000000-0005-0000-0000-000082C30000}"/>
    <cellStyle name="Output 11 5 3" xfId="50036" xr:uid="{00000000-0005-0000-0000-000083C30000}"/>
    <cellStyle name="Output 11 6" xfId="50037" xr:uid="{00000000-0005-0000-0000-000084C30000}"/>
    <cellStyle name="Output 11 6 2" xfId="50038" xr:uid="{00000000-0005-0000-0000-000085C30000}"/>
    <cellStyle name="Output 11 6 3" xfId="50039" xr:uid="{00000000-0005-0000-0000-000086C30000}"/>
    <cellStyle name="Output 11 7" xfId="50040" xr:uid="{00000000-0005-0000-0000-000087C30000}"/>
    <cellStyle name="Output 11 8" xfId="50041" xr:uid="{00000000-0005-0000-0000-000088C30000}"/>
    <cellStyle name="Output 11 9" xfId="50042" xr:uid="{00000000-0005-0000-0000-000089C30000}"/>
    <cellStyle name="Output 12" xfId="50043" xr:uid="{00000000-0005-0000-0000-00008AC30000}"/>
    <cellStyle name="Output 12 10" xfId="50044" xr:uid="{00000000-0005-0000-0000-00008BC30000}"/>
    <cellStyle name="Output 12 2" xfId="50045" xr:uid="{00000000-0005-0000-0000-00008CC30000}"/>
    <cellStyle name="Output 12 2 2" xfId="50046" xr:uid="{00000000-0005-0000-0000-00008DC30000}"/>
    <cellStyle name="Output 12 2 3" xfId="50047" xr:uid="{00000000-0005-0000-0000-00008EC30000}"/>
    <cellStyle name="Output 12 2 4" xfId="50048" xr:uid="{00000000-0005-0000-0000-00008FC30000}"/>
    <cellStyle name="Output 12 2 5" xfId="50049" xr:uid="{00000000-0005-0000-0000-000090C30000}"/>
    <cellStyle name="Output 12 3" xfId="50050" xr:uid="{00000000-0005-0000-0000-000091C30000}"/>
    <cellStyle name="Output 12 3 2" xfId="50051" xr:uid="{00000000-0005-0000-0000-000092C30000}"/>
    <cellStyle name="Output 12 3 3" xfId="50052" xr:uid="{00000000-0005-0000-0000-000093C30000}"/>
    <cellStyle name="Output 12 4" xfId="50053" xr:uid="{00000000-0005-0000-0000-000094C30000}"/>
    <cellStyle name="Output 12 4 2" xfId="50054" xr:uid="{00000000-0005-0000-0000-000095C30000}"/>
    <cellStyle name="Output 12 4 3" xfId="50055" xr:uid="{00000000-0005-0000-0000-000096C30000}"/>
    <cellStyle name="Output 12 5" xfId="50056" xr:uid="{00000000-0005-0000-0000-000097C30000}"/>
    <cellStyle name="Output 12 5 2" xfId="50057" xr:uid="{00000000-0005-0000-0000-000098C30000}"/>
    <cellStyle name="Output 12 5 3" xfId="50058" xr:uid="{00000000-0005-0000-0000-000099C30000}"/>
    <cellStyle name="Output 12 6" xfId="50059" xr:uid="{00000000-0005-0000-0000-00009AC30000}"/>
    <cellStyle name="Output 12 6 2" xfId="50060" xr:uid="{00000000-0005-0000-0000-00009BC30000}"/>
    <cellStyle name="Output 12 6 3" xfId="50061" xr:uid="{00000000-0005-0000-0000-00009CC30000}"/>
    <cellStyle name="Output 12 7" xfId="50062" xr:uid="{00000000-0005-0000-0000-00009DC30000}"/>
    <cellStyle name="Output 12 8" xfId="50063" xr:uid="{00000000-0005-0000-0000-00009EC30000}"/>
    <cellStyle name="Output 12 9" xfId="50064" xr:uid="{00000000-0005-0000-0000-00009FC30000}"/>
    <cellStyle name="Output 13" xfId="50065" xr:uid="{00000000-0005-0000-0000-0000A0C30000}"/>
    <cellStyle name="Output 13 10" xfId="50066" xr:uid="{00000000-0005-0000-0000-0000A1C30000}"/>
    <cellStyle name="Output 13 2" xfId="50067" xr:uid="{00000000-0005-0000-0000-0000A2C30000}"/>
    <cellStyle name="Output 13 2 2" xfId="50068" xr:uid="{00000000-0005-0000-0000-0000A3C30000}"/>
    <cellStyle name="Output 13 2 3" xfId="50069" xr:uid="{00000000-0005-0000-0000-0000A4C30000}"/>
    <cellStyle name="Output 13 2 4" xfId="50070" xr:uid="{00000000-0005-0000-0000-0000A5C30000}"/>
    <cellStyle name="Output 13 2 5" xfId="50071" xr:uid="{00000000-0005-0000-0000-0000A6C30000}"/>
    <cellStyle name="Output 13 3" xfId="50072" xr:uid="{00000000-0005-0000-0000-0000A7C30000}"/>
    <cellStyle name="Output 13 3 2" xfId="50073" xr:uid="{00000000-0005-0000-0000-0000A8C30000}"/>
    <cellStyle name="Output 13 3 3" xfId="50074" xr:uid="{00000000-0005-0000-0000-0000A9C30000}"/>
    <cellStyle name="Output 13 4" xfId="50075" xr:uid="{00000000-0005-0000-0000-0000AAC30000}"/>
    <cellStyle name="Output 13 4 2" xfId="50076" xr:uid="{00000000-0005-0000-0000-0000ABC30000}"/>
    <cellStyle name="Output 13 4 3" xfId="50077" xr:uid="{00000000-0005-0000-0000-0000ACC30000}"/>
    <cellStyle name="Output 13 5" xfId="50078" xr:uid="{00000000-0005-0000-0000-0000ADC30000}"/>
    <cellStyle name="Output 13 5 2" xfId="50079" xr:uid="{00000000-0005-0000-0000-0000AEC30000}"/>
    <cellStyle name="Output 13 5 3" xfId="50080" xr:uid="{00000000-0005-0000-0000-0000AFC30000}"/>
    <cellStyle name="Output 13 6" xfId="50081" xr:uid="{00000000-0005-0000-0000-0000B0C30000}"/>
    <cellStyle name="Output 13 6 2" xfId="50082" xr:uid="{00000000-0005-0000-0000-0000B1C30000}"/>
    <cellStyle name="Output 13 6 3" xfId="50083" xr:uid="{00000000-0005-0000-0000-0000B2C30000}"/>
    <cellStyle name="Output 13 7" xfId="50084" xr:uid="{00000000-0005-0000-0000-0000B3C30000}"/>
    <cellStyle name="Output 13 8" xfId="50085" xr:uid="{00000000-0005-0000-0000-0000B4C30000}"/>
    <cellStyle name="Output 13 9" xfId="50086" xr:uid="{00000000-0005-0000-0000-0000B5C30000}"/>
    <cellStyle name="Output 14" xfId="50087" xr:uid="{00000000-0005-0000-0000-0000B6C30000}"/>
    <cellStyle name="Output 14 10" xfId="50088" xr:uid="{00000000-0005-0000-0000-0000B7C30000}"/>
    <cellStyle name="Output 14 2" xfId="50089" xr:uid="{00000000-0005-0000-0000-0000B8C30000}"/>
    <cellStyle name="Output 14 2 2" xfId="50090" xr:uid="{00000000-0005-0000-0000-0000B9C30000}"/>
    <cellStyle name="Output 14 2 3" xfId="50091" xr:uid="{00000000-0005-0000-0000-0000BAC30000}"/>
    <cellStyle name="Output 14 2 4" xfId="50092" xr:uid="{00000000-0005-0000-0000-0000BBC30000}"/>
    <cellStyle name="Output 14 2 5" xfId="50093" xr:uid="{00000000-0005-0000-0000-0000BCC30000}"/>
    <cellStyle name="Output 14 3" xfId="50094" xr:uid="{00000000-0005-0000-0000-0000BDC30000}"/>
    <cellStyle name="Output 14 3 2" xfId="50095" xr:uid="{00000000-0005-0000-0000-0000BEC30000}"/>
    <cellStyle name="Output 14 3 3" xfId="50096" xr:uid="{00000000-0005-0000-0000-0000BFC30000}"/>
    <cellStyle name="Output 14 4" xfId="50097" xr:uid="{00000000-0005-0000-0000-0000C0C30000}"/>
    <cellStyle name="Output 14 4 2" xfId="50098" xr:uid="{00000000-0005-0000-0000-0000C1C30000}"/>
    <cellStyle name="Output 14 4 3" xfId="50099" xr:uid="{00000000-0005-0000-0000-0000C2C30000}"/>
    <cellStyle name="Output 14 5" xfId="50100" xr:uid="{00000000-0005-0000-0000-0000C3C30000}"/>
    <cellStyle name="Output 14 5 2" xfId="50101" xr:uid="{00000000-0005-0000-0000-0000C4C30000}"/>
    <cellStyle name="Output 14 5 3" xfId="50102" xr:uid="{00000000-0005-0000-0000-0000C5C30000}"/>
    <cellStyle name="Output 14 6" xfId="50103" xr:uid="{00000000-0005-0000-0000-0000C6C30000}"/>
    <cellStyle name="Output 14 6 2" xfId="50104" xr:uid="{00000000-0005-0000-0000-0000C7C30000}"/>
    <cellStyle name="Output 14 6 3" xfId="50105" xr:uid="{00000000-0005-0000-0000-0000C8C30000}"/>
    <cellStyle name="Output 14 7" xfId="50106" xr:uid="{00000000-0005-0000-0000-0000C9C30000}"/>
    <cellStyle name="Output 14 8" xfId="50107" xr:uid="{00000000-0005-0000-0000-0000CAC30000}"/>
    <cellStyle name="Output 14 9" xfId="50108" xr:uid="{00000000-0005-0000-0000-0000CBC30000}"/>
    <cellStyle name="Output 15" xfId="50109" xr:uid="{00000000-0005-0000-0000-0000CCC30000}"/>
    <cellStyle name="Output 15 10" xfId="50110" xr:uid="{00000000-0005-0000-0000-0000CDC30000}"/>
    <cellStyle name="Output 15 2" xfId="50111" xr:uid="{00000000-0005-0000-0000-0000CEC30000}"/>
    <cellStyle name="Output 15 2 2" xfId="50112" xr:uid="{00000000-0005-0000-0000-0000CFC30000}"/>
    <cellStyle name="Output 15 2 3" xfId="50113" xr:uid="{00000000-0005-0000-0000-0000D0C30000}"/>
    <cellStyle name="Output 15 2 4" xfId="50114" xr:uid="{00000000-0005-0000-0000-0000D1C30000}"/>
    <cellStyle name="Output 15 2 5" xfId="50115" xr:uid="{00000000-0005-0000-0000-0000D2C30000}"/>
    <cellStyle name="Output 15 3" xfId="50116" xr:uid="{00000000-0005-0000-0000-0000D3C30000}"/>
    <cellStyle name="Output 15 3 2" xfId="50117" xr:uid="{00000000-0005-0000-0000-0000D4C30000}"/>
    <cellStyle name="Output 15 3 3" xfId="50118" xr:uid="{00000000-0005-0000-0000-0000D5C30000}"/>
    <cellStyle name="Output 15 4" xfId="50119" xr:uid="{00000000-0005-0000-0000-0000D6C30000}"/>
    <cellStyle name="Output 15 4 2" xfId="50120" xr:uid="{00000000-0005-0000-0000-0000D7C30000}"/>
    <cellStyle name="Output 15 4 3" xfId="50121" xr:uid="{00000000-0005-0000-0000-0000D8C30000}"/>
    <cellStyle name="Output 15 5" xfId="50122" xr:uid="{00000000-0005-0000-0000-0000D9C30000}"/>
    <cellStyle name="Output 15 5 2" xfId="50123" xr:uid="{00000000-0005-0000-0000-0000DAC30000}"/>
    <cellStyle name="Output 15 5 3" xfId="50124" xr:uid="{00000000-0005-0000-0000-0000DBC30000}"/>
    <cellStyle name="Output 15 6" xfId="50125" xr:uid="{00000000-0005-0000-0000-0000DCC30000}"/>
    <cellStyle name="Output 15 6 2" xfId="50126" xr:uid="{00000000-0005-0000-0000-0000DDC30000}"/>
    <cellStyle name="Output 15 6 3" xfId="50127" xr:uid="{00000000-0005-0000-0000-0000DEC30000}"/>
    <cellStyle name="Output 15 7" xfId="50128" xr:uid="{00000000-0005-0000-0000-0000DFC30000}"/>
    <cellStyle name="Output 15 8" xfId="50129" xr:uid="{00000000-0005-0000-0000-0000E0C30000}"/>
    <cellStyle name="Output 15 9" xfId="50130" xr:uid="{00000000-0005-0000-0000-0000E1C30000}"/>
    <cellStyle name="Output 16" xfId="50131" xr:uid="{00000000-0005-0000-0000-0000E2C30000}"/>
    <cellStyle name="Output 16 10" xfId="50132" xr:uid="{00000000-0005-0000-0000-0000E3C30000}"/>
    <cellStyle name="Output 16 2" xfId="50133" xr:uid="{00000000-0005-0000-0000-0000E4C30000}"/>
    <cellStyle name="Output 16 2 2" xfId="50134" xr:uid="{00000000-0005-0000-0000-0000E5C30000}"/>
    <cellStyle name="Output 16 2 3" xfId="50135" xr:uid="{00000000-0005-0000-0000-0000E6C30000}"/>
    <cellStyle name="Output 16 2 4" xfId="50136" xr:uid="{00000000-0005-0000-0000-0000E7C30000}"/>
    <cellStyle name="Output 16 2 5" xfId="50137" xr:uid="{00000000-0005-0000-0000-0000E8C30000}"/>
    <cellStyle name="Output 16 3" xfId="50138" xr:uid="{00000000-0005-0000-0000-0000E9C30000}"/>
    <cellStyle name="Output 16 3 2" xfId="50139" xr:uid="{00000000-0005-0000-0000-0000EAC30000}"/>
    <cellStyle name="Output 16 3 3" xfId="50140" xr:uid="{00000000-0005-0000-0000-0000EBC30000}"/>
    <cellStyle name="Output 16 4" xfId="50141" xr:uid="{00000000-0005-0000-0000-0000ECC30000}"/>
    <cellStyle name="Output 16 4 2" xfId="50142" xr:uid="{00000000-0005-0000-0000-0000EDC30000}"/>
    <cellStyle name="Output 16 4 3" xfId="50143" xr:uid="{00000000-0005-0000-0000-0000EEC30000}"/>
    <cellStyle name="Output 16 5" xfId="50144" xr:uid="{00000000-0005-0000-0000-0000EFC30000}"/>
    <cellStyle name="Output 16 5 2" xfId="50145" xr:uid="{00000000-0005-0000-0000-0000F0C30000}"/>
    <cellStyle name="Output 16 5 3" xfId="50146" xr:uid="{00000000-0005-0000-0000-0000F1C30000}"/>
    <cellStyle name="Output 16 6" xfId="50147" xr:uid="{00000000-0005-0000-0000-0000F2C30000}"/>
    <cellStyle name="Output 16 6 2" xfId="50148" xr:uid="{00000000-0005-0000-0000-0000F3C30000}"/>
    <cellStyle name="Output 16 6 3" xfId="50149" xr:uid="{00000000-0005-0000-0000-0000F4C30000}"/>
    <cellStyle name="Output 16 7" xfId="50150" xr:uid="{00000000-0005-0000-0000-0000F5C30000}"/>
    <cellStyle name="Output 16 8" xfId="50151" xr:uid="{00000000-0005-0000-0000-0000F6C30000}"/>
    <cellStyle name="Output 16 9" xfId="50152" xr:uid="{00000000-0005-0000-0000-0000F7C30000}"/>
    <cellStyle name="Output 17" xfId="50153" xr:uid="{00000000-0005-0000-0000-0000F8C30000}"/>
    <cellStyle name="Output 17 10" xfId="50154" xr:uid="{00000000-0005-0000-0000-0000F9C30000}"/>
    <cellStyle name="Output 17 2" xfId="50155" xr:uid="{00000000-0005-0000-0000-0000FAC30000}"/>
    <cellStyle name="Output 17 2 2" xfId="50156" xr:uid="{00000000-0005-0000-0000-0000FBC30000}"/>
    <cellStyle name="Output 17 2 3" xfId="50157" xr:uid="{00000000-0005-0000-0000-0000FCC30000}"/>
    <cellStyle name="Output 17 2 4" xfId="50158" xr:uid="{00000000-0005-0000-0000-0000FDC30000}"/>
    <cellStyle name="Output 17 2 5" xfId="50159" xr:uid="{00000000-0005-0000-0000-0000FEC30000}"/>
    <cellStyle name="Output 17 3" xfId="50160" xr:uid="{00000000-0005-0000-0000-0000FFC30000}"/>
    <cellStyle name="Output 17 3 2" xfId="50161" xr:uid="{00000000-0005-0000-0000-000000C40000}"/>
    <cellStyle name="Output 17 3 3" xfId="50162" xr:uid="{00000000-0005-0000-0000-000001C40000}"/>
    <cellStyle name="Output 17 4" xfId="50163" xr:uid="{00000000-0005-0000-0000-000002C40000}"/>
    <cellStyle name="Output 17 4 2" xfId="50164" xr:uid="{00000000-0005-0000-0000-000003C40000}"/>
    <cellStyle name="Output 17 4 3" xfId="50165" xr:uid="{00000000-0005-0000-0000-000004C40000}"/>
    <cellStyle name="Output 17 5" xfId="50166" xr:uid="{00000000-0005-0000-0000-000005C40000}"/>
    <cellStyle name="Output 17 5 2" xfId="50167" xr:uid="{00000000-0005-0000-0000-000006C40000}"/>
    <cellStyle name="Output 17 5 3" xfId="50168" xr:uid="{00000000-0005-0000-0000-000007C40000}"/>
    <cellStyle name="Output 17 6" xfId="50169" xr:uid="{00000000-0005-0000-0000-000008C40000}"/>
    <cellStyle name="Output 17 6 2" xfId="50170" xr:uid="{00000000-0005-0000-0000-000009C40000}"/>
    <cellStyle name="Output 17 6 3" xfId="50171" xr:uid="{00000000-0005-0000-0000-00000AC40000}"/>
    <cellStyle name="Output 17 7" xfId="50172" xr:uid="{00000000-0005-0000-0000-00000BC40000}"/>
    <cellStyle name="Output 17 8" xfId="50173" xr:uid="{00000000-0005-0000-0000-00000CC40000}"/>
    <cellStyle name="Output 17 9" xfId="50174" xr:uid="{00000000-0005-0000-0000-00000DC40000}"/>
    <cellStyle name="Output 18" xfId="50175" xr:uid="{00000000-0005-0000-0000-00000EC40000}"/>
    <cellStyle name="Output 18 10" xfId="50176" xr:uid="{00000000-0005-0000-0000-00000FC40000}"/>
    <cellStyle name="Output 18 2" xfId="50177" xr:uid="{00000000-0005-0000-0000-000010C40000}"/>
    <cellStyle name="Output 18 2 2" xfId="50178" xr:uid="{00000000-0005-0000-0000-000011C40000}"/>
    <cellStyle name="Output 18 2 3" xfId="50179" xr:uid="{00000000-0005-0000-0000-000012C40000}"/>
    <cellStyle name="Output 18 2 4" xfId="50180" xr:uid="{00000000-0005-0000-0000-000013C40000}"/>
    <cellStyle name="Output 18 2 5" xfId="50181" xr:uid="{00000000-0005-0000-0000-000014C40000}"/>
    <cellStyle name="Output 18 3" xfId="50182" xr:uid="{00000000-0005-0000-0000-000015C40000}"/>
    <cellStyle name="Output 18 3 2" xfId="50183" xr:uid="{00000000-0005-0000-0000-000016C40000}"/>
    <cellStyle name="Output 18 3 3" xfId="50184" xr:uid="{00000000-0005-0000-0000-000017C40000}"/>
    <cellStyle name="Output 18 4" xfId="50185" xr:uid="{00000000-0005-0000-0000-000018C40000}"/>
    <cellStyle name="Output 18 4 2" xfId="50186" xr:uid="{00000000-0005-0000-0000-000019C40000}"/>
    <cellStyle name="Output 18 4 3" xfId="50187" xr:uid="{00000000-0005-0000-0000-00001AC40000}"/>
    <cellStyle name="Output 18 5" xfId="50188" xr:uid="{00000000-0005-0000-0000-00001BC40000}"/>
    <cellStyle name="Output 18 5 2" xfId="50189" xr:uid="{00000000-0005-0000-0000-00001CC40000}"/>
    <cellStyle name="Output 18 5 3" xfId="50190" xr:uid="{00000000-0005-0000-0000-00001DC40000}"/>
    <cellStyle name="Output 18 6" xfId="50191" xr:uid="{00000000-0005-0000-0000-00001EC40000}"/>
    <cellStyle name="Output 18 6 2" xfId="50192" xr:uid="{00000000-0005-0000-0000-00001FC40000}"/>
    <cellStyle name="Output 18 6 3" xfId="50193" xr:uid="{00000000-0005-0000-0000-000020C40000}"/>
    <cellStyle name="Output 18 7" xfId="50194" xr:uid="{00000000-0005-0000-0000-000021C40000}"/>
    <cellStyle name="Output 18 8" xfId="50195" xr:uid="{00000000-0005-0000-0000-000022C40000}"/>
    <cellStyle name="Output 18 9" xfId="50196" xr:uid="{00000000-0005-0000-0000-000023C40000}"/>
    <cellStyle name="Output 19" xfId="50197" xr:uid="{00000000-0005-0000-0000-000024C40000}"/>
    <cellStyle name="Output 19 10" xfId="50198" xr:uid="{00000000-0005-0000-0000-000025C40000}"/>
    <cellStyle name="Output 19 2" xfId="50199" xr:uid="{00000000-0005-0000-0000-000026C40000}"/>
    <cellStyle name="Output 19 2 2" xfId="50200" xr:uid="{00000000-0005-0000-0000-000027C40000}"/>
    <cellStyle name="Output 19 2 3" xfId="50201" xr:uid="{00000000-0005-0000-0000-000028C40000}"/>
    <cellStyle name="Output 19 2 4" xfId="50202" xr:uid="{00000000-0005-0000-0000-000029C40000}"/>
    <cellStyle name="Output 19 2 5" xfId="50203" xr:uid="{00000000-0005-0000-0000-00002AC40000}"/>
    <cellStyle name="Output 19 3" xfId="50204" xr:uid="{00000000-0005-0000-0000-00002BC40000}"/>
    <cellStyle name="Output 19 3 2" xfId="50205" xr:uid="{00000000-0005-0000-0000-00002CC40000}"/>
    <cellStyle name="Output 19 3 3" xfId="50206" xr:uid="{00000000-0005-0000-0000-00002DC40000}"/>
    <cellStyle name="Output 19 4" xfId="50207" xr:uid="{00000000-0005-0000-0000-00002EC40000}"/>
    <cellStyle name="Output 19 4 2" xfId="50208" xr:uid="{00000000-0005-0000-0000-00002FC40000}"/>
    <cellStyle name="Output 19 4 3" xfId="50209" xr:uid="{00000000-0005-0000-0000-000030C40000}"/>
    <cellStyle name="Output 19 5" xfId="50210" xr:uid="{00000000-0005-0000-0000-000031C40000}"/>
    <cellStyle name="Output 19 5 2" xfId="50211" xr:uid="{00000000-0005-0000-0000-000032C40000}"/>
    <cellStyle name="Output 19 5 3" xfId="50212" xr:uid="{00000000-0005-0000-0000-000033C40000}"/>
    <cellStyle name="Output 19 6" xfId="50213" xr:uid="{00000000-0005-0000-0000-000034C40000}"/>
    <cellStyle name="Output 19 6 2" xfId="50214" xr:uid="{00000000-0005-0000-0000-000035C40000}"/>
    <cellStyle name="Output 19 6 3" xfId="50215" xr:uid="{00000000-0005-0000-0000-000036C40000}"/>
    <cellStyle name="Output 19 7" xfId="50216" xr:uid="{00000000-0005-0000-0000-000037C40000}"/>
    <cellStyle name="Output 19 8" xfId="50217" xr:uid="{00000000-0005-0000-0000-000038C40000}"/>
    <cellStyle name="Output 19 9" xfId="50218" xr:uid="{00000000-0005-0000-0000-000039C40000}"/>
    <cellStyle name="Output 2" xfId="50219" xr:uid="{00000000-0005-0000-0000-00003AC40000}"/>
    <cellStyle name="Output 2 10" xfId="50220" xr:uid="{00000000-0005-0000-0000-00003BC40000}"/>
    <cellStyle name="Output 2 10 10" xfId="50221" xr:uid="{00000000-0005-0000-0000-00003CC40000}"/>
    <cellStyle name="Output 2 10 2" xfId="50222" xr:uid="{00000000-0005-0000-0000-00003DC40000}"/>
    <cellStyle name="Output 2 10 2 2" xfId="50223" xr:uid="{00000000-0005-0000-0000-00003EC40000}"/>
    <cellStyle name="Output 2 10 2 3" xfId="50224" xr:uid="{00000000-0005-0000-0000-00003FC40000}"/>
    <cellStyle name="Output 2 10 3" xfId="50225" xr:uid="{00000000-0005-0000-0000-000040C40000}"/>
    <cellStyle name="Output 2 10 3 2" xfId="50226" xr:uid="{00000000-0005-0000-0000-000041C40000}"/>
    <cellStyle name="Output 2 10 3 3" xfId="50227" xr:uid="{00000000-0005-0000-0000-000042C40000}"/>
    <cellStyle name="Output 2 10 4" xfId="50228" xr:uid="{00000000-0005-0000-0000-000043C40000}"/>
    <cellStyle name="Output 2 10 4 2" xfId="50229" xr:uid="{00000000-0005-0000-0000-000044C40000}"/>
    <cellStyle name="Output 2 10 4 3" xfId="50230" xr:uid="{00000000-0005-0000-0000-000045C40000}"/>
    <cellStyle name="Output 2 10 5" xfId="50231" xr:uid="{00000000-0005-0000-0000-000046C40000}"/>
    <cellStyle name="Output 2 10 6" xfId="50232" xr:uid="{00000000-0005-0000-0000-000047C40000}"/>
    <cellStyle name="Output 2 10 7" xfId="50233" xr:uid="{00000000-0005-0000-0000-000048C40000}"/>
    <cellStyle name="Output 2 10 8" xfId="50234" xr:uid="{00000000-0005-0000-0000-000049C40000}"/>
    <cellStyle name="Output 2 10 9" xfId="50235" xr:uid="{00000000-0005-0000-0000-00004AC40000}"/>
    <cellStyle name="Output 2 11" xfId="50236" xr:uid="{00000000-0005-0000-0000-00004BC40000}"/>
    <cellStyle name="Output 2 11 10" xfId="50237" xr:uid="{00000000-0005-0000-0000-00004CC40000}"/>
    <cellStyle name="Output 2 11 2" xfId="50238" xr:uid="{00000000-0005-0000-0000-00004DC40000}"/>
    <cellStyle name="Output 2 11 2 2" xfId="50239" xr:uid="{00000000-0005-0000-0000-00004EC40000}"/>
    <cellStyle name="Output 2 11 2 3" xfId="50240" xr:uid="{00000000-0005-0000-0000-00004FC40000}"/>
    <cellStyle name="Output 2 11 3" xfId="50241" xr:uid="{00000000-0005-0000-0000-000050C40000}"/>
    <cellStyle name="Output 2 11 3 2" xfId="50242" xr:uid="{00000000-0005-0000-0000-000051C40000}"/>
    <cellStyle name="Output 2 11 3 3" xfId="50243" xr:uid="{00000000-0005-0000-0000-000052C40000}"/>
    <cellStyle name="Output 2 11 4" xfId="50244" xr:uid="{00000000-0005-0000-0000-000053C40000}"/>
    <cellStyle name="Output 2 11 4 2" xfId="50245" xr:uid="{00000000-0005-0000-0000-000054C40000}"/>
    <cellStyle name="Output 2 11 4 3" xfId="50246" xr:uid="{00000000-0005-0000-0000-000055C40000}"/>
    <cellStyle name="Output 2 11 5" xfId="50247" xr:uid="{00000000-0005-0000-0000-000056C40000}"/>
    <cellStyle name="Output 2 11 6" xfId="50248" xr:uid="{00000000-0005-0000-0000-000057C40000}"/>
    <cellStyle name="Output 2 11 7" xfId="50249" xr:uid="{00000000-0005-0000-0000-000058C40000}"/>
    <cellStyle name="Output 2 11 8" xfId="50250" xr:uid="{00000000-0005-0000-0000-000059C40000}"/>
    <cellStyle name="Output 2 11 9" xfId="50251" xr:uid="{00000000-0005-0000-0000-00005AC40000}"/>
    <cellStyle name="Output 2 12" xfId="50252" xr:uid="{00000000-0005-0000-0000-00005BC40000}"/>
    <cellStyle name="Output 2 12 2" xfId="50253" xr:uid="{00000000-0005-0000-0000-00005CC40000}"/>
    <cellStyle name="Output 2 12 2 2" xfId="50254" xr:uid="{00000000-0005-0000-0000-00005DC40000}"/>
    <cellStyle name="Output 2 12 2 3" xfId="50255" xr:uid="{00000000-0005-0000-0000-00005EC40000}"/>
    <cellStyle name="Output 2 12 3" xfId="50256" xr:uid="{00000000-0005-0000-0000-00005FC40000}"/>
    <cellStyle name="Output 2 12 3 2" xfId="50257" xr:uid="{00000000-0005-0000-0000-000060C40000}"/>
    <cellStyle name="Output 2 12 3 3" xfId="50258" xr:uid="{00000000-0005-0000-0000-000061C40000}"/>
    <cellStyle name="Output 2 12 4" xfId="50259" xr:uid="{00000000-0005-0000-0000-000062C40000}"/>
    <cellStyle name="Output 2 12 4 2" xfId="50260" xr:uid="{00000000-0005-0000-0000-000063C40000}"/>
    <cellStyle name="Output 2 12 4 3" xfId="50261" xr:uid="{00000000-0005-0000-0000-000064C40000}"/>
    <cellStyle name="Output 2 12 5" xfId="50262" xr:uid="{00000000-0005-0000-0000-000065C40000}"/>
    <cellStyle name="Output 2 12 6" xfId="50263" xr:uid="{00000000-0005-0000-0000-000066C40000}"/>
    <cellStyle name="Output 2 12 7" xfId="50264" xr:uid="{00000000-0005-0000-0000-000067C40000}"/>
    <cellStyle name="Output 2 12 8" xfId="50265" xr:uid="{00000000-0005-0000-0000-000068C40000}"/>
    <cellStyle name="Output 2 12 9" xfId="50266" xr:uid="{00000000-0005-0000-0000-000069C40000}"/>
    <cellStyle name="Output 2 13" xfId="50267" xr:uid="{00000000-0005-0000-0000-00006AC40000}"/>
    <cellStyle name="Output 2 13 2" xfId="50268" xr:uid="{00000000-0005-0000-0000-00006BC40000}"/>
    <cellStyle name="Output 2 13 2 2" xfId="50269" xr:uid="{00000000-0005-0000-0000-00006CC40000}"/>
    <cellStyle name="Output 2 13 2 3" xfId="50270" xr:uid="{00000000-0005-0000-0000-00006DC40000}"/>
    <cellStyle name="Output 2 13 3" xfId="50271" xr:uid="{00000000-0005-0000-0000-00006EC40000}"/>
    <cellStyle name="Output 2 13 3 2" xfId="50272" xr:uid="{00000000-0005-0000-0000-00006FC40000}"/>
    <cellStyle name="Output 2 13 3 3" xfId="50273" xr:uid="{00000000-0005-0000-0000-000070C40000}"/>
    <cellStyle name="Output 2 13 4" xfId="50274" xr:uid="{00000000-0005-0000-0000-000071C40000}"/>
    <cellStyle name="Output 2 13 4 2" xfId="50275" xr:uid="{00000000-0005-0000-0000-000072C40000}"/>
    <cellStyle name="Output 2 13 4 3" xfId="50276" xr:uid="{00000000-0005-0000-0000-000073C40000}"/>
    <cellStyle name="Output 2 13 5" xfId="50277" xr:uid="{00000000-0005-0000-0000-000074C40000}"/>
    <cellStyle name="Output 2 13 6" xfId="50278" xr:uid="{00000000-0005-0000-0000-000075C40000}"/>
    <cellStyle name="Output 2 13 7" xfId="50279" xr:uid="{00000000-0005-0000-0000-000076C40000}"/>
    <cellStyle name="Output 2 13 8" xfId="50280" xr:uid="{00000000-0005-0000-0000-000077C40000}"/>
    <cellStyle name="Output 2 14" xfId="50281" xr:uid="{00000000-0005-0000-0000-000078C40000}"/>
    <cellStyle name="Output 2 14 2" xfId="50282" xr:uid="{00000000-0005-0000-0000-000079C40000}"/>
    <cellStyle name="Output 2 14 2 2" xfId="50283" xr:uid="{00000000-0005-0000-0000-00007AC40000}"/>
    <cellStyle name="Output 2 14 2 3" xfId="50284" xr:uid="{00000000-0005-0000-0000-00007BC40000}"/>
    <cellStyle name="Output 2 14 3" xfId="50285" xr:uid="{00000000-0005-0000-0000-00007CC40000}"/>
    <cellStyle name="Output 2 14 3 2" xfId="50286" xr:uid="{00000000-0005-0000-0000-00007DC40000}"/>
    <cellStyle name="Output 2 14 3 3" xfId="50287" xr:uid="{00000000-0005-0000-0000-00007EC40000}"/>
    <cellStyle name="Output 2 14 4" xfId="50288" xr:uid="{00000000-0005-0000-0000-00007FC40000}"/>
    <cellStyle name="Output 2 14 4 2" xfId="50289" xr:uid="{00000000-0005-0000-0000-000080C40000}"/>
    <cellStyle name="Output 2 14 4 3" xfId="50290" xr:uid="{00000000-0005-0000-0000-000081C40000}"/>
    <cellStyle name="Output 2 14 5" xfId="50291" xr:uid="{00000000-0005-0000-0000-000082C40000}"/>
    <cellStyle name="Output 2 14 6" xfId="50292" xr:uid="{00000000-0005-0000-0000-000083C40000}"/>
    <cellStyle name="Output 2 14 7" xfId="50293" xr:uid="{00000000-0005-0000-0000-000084C40000}"/>
    <cellStyle name="Output 2 15" xfId="50294" xr:uid="{00000000-0005-0000-0000-000085C40000}"/>
    <cellStyle name="Output 2 15 2" xfId="50295" xr:uid="{00000000-0005-0000-0000-000086C40000}"/>
    <cellStyle name="Output 2 15 2 2" xfId="50296" xr:uid="{00000000-0005-0000-0000-000087C40000}"/>
    <cellStyle name="Output 2 15 2 3" xfId="50297" xr:uid="{00000000-0005-0000-0000-000088C40000}"/>
    <cellStyle name="Output 2 15 3" xfId="50298" xr:uid="{00000000-0005-0000-0000-000089C40000}"/>
    <cellStyle name="Output 2 15 3 2" xfId="50299" xr:uid="{00000000-0005-0000-0000-00008AC40000}"/>
    <cellStyle name="Output 2 15 3 3" xfId="50300" xr:uid="{00000000-0005-0000-0000-00008BC40000}"/>
    <cellStyle name="Output 2 15 4" xfId="50301" xr:uid="{00000000-0005-0000-0000-00008CC40000}"/>
    <cellStyle name="Output 2 15 4 2" xfId="50302" xr:uid="{00000000-0005-0000-0000-00008DC40000}"/>
    <cellStyle name="Output 2 15 4 3" xfId="50303" xr:uid="{00000000-0005-0000-0000-00008EC40000}"/>
    <cellStyle name="Output 2 15 5" xfId="50304" xr:uid="{00000000-0005-0000-0000-00008FC40000}"/>
    <cellStyle name="Output 2 15 6" xfId="50305" xr:uid="{00000000-0005-0000-0000-000090C40000}"/>
    <cellStyle name="Output 2 15 7" xfId="50306" xr:uid="{00000000-0005-0000-0000-000091C40000}"/>
    <cellStyle name="Output 2 16" xfId="50307" xr:uid="{00000000-0005-0000-0000-000092C40000}"/>
    <cellStyle name="Output 2 16 2" xfId="50308" xr:uid="{00000000-0005-0000-0000-000093C40000}"/>
    <cellStyle name="Output 2 16 3" xfId="50309" xr:uid="{00000000-0005-0000-0000-000094C40000}"/>
    <cellStyle name="Output 2 17" xfId="50310" xr:uid="{00000000-0005-0000-0000-000095C40000}"/>
    <cellStyle name="Output 2 17 2" xfId="50311" xr:uid="{00000000-0005-0000-0000-000096C40000}"/>
    <cellStyle name="Output 2 17 3" xfId="50312" xr:uid="{00000000-0005-0000-0000-000097C40000}"/>
    <cellStyle name="Output 2 18" xfId="50313" xr:uid="{00000000-0005-0000-0000-000098C40000}"/>
    <cellStyle name="Output 2 18 2" xfId="50314" xr:uid="{00000000-0005-0000-0000-000099C40000}"/>
    <cellStyle name="Output 2 18 3" xfId="50315" xr:uid="{00000000-0005-0000-0000-00009AC40000}"/>
    <cellStyle name="Output 2 19" xfId="50316" xr:uid="{00000000-0005-0000-0000-00009BC40000}"/>
    <cellStyle name="Output 2 19 2" xfId="50317" xr:uid="{00000000-0005-0000-0000-00009CC40000}"/>
    <cellStyle name="Output 2 19 3" xfId="50318" xr:uid="{00000000-0005-0000-0000-00009DC40000}"/>
    <cellStyle name="Output 2 2" xfId="50319" xr:uid="{00000000-0005-0000-0000-00009EC40000}"/>
    <cellStyle name="Output 2 2 10" xfId="50320" xr:uid="{00000000-0005-0000-0000-00009FC40000}"/>
    <cellStyle name="Output 2 2 10 2" xfId="50321" xr:uid="{00000000-0005-0000-0000-0000A0C40000}"/>
    <cellStyle name="Output 2 2 11" xfId="50322" xr:uid="{00000000-0005-0000-0000-0000A1C40000}"/>
    <cellStyle name="Output 2 2 12" xfId="50323" xr:uid="{00000000-0005-0000-0000-0000A2C40000}"/>
    <cellStyle name="Output 2 2 13" xfId="50324" xr:uid="{00000000-0005-0000-0000-0000A3C40000}"/>
    <cellStyle name="Output 2 2 14" xfId="50325" xr:uid="{00000000-0005-0000-0000-0000A4C40000}"/>
    <cellStyle name="Output 2 2 15" xfId="50326" xr:uid="{00000000-0005-0000-0000-0000A5C40000}"/>
    <cellStyle name="Output 2 2 16" xfId="50327" xr:uid="{00000000-0005-0000-0000-0000A6C40000}"/>
    <cellStyle name="Output 2 2 17" xfId="50328" xr:uid="{00000000-0005-0000-0000-0000A7C40000}"/>
    <cellStyle name="Output 2 2 18" xfId="50329" xr:uid="{00000000-0005-0000-0000-0000A8C40000}"/>
    <cellStyle name="Output 2 2 2" xfId="50330" xr:uid="{00000000-0005-0000-0000-0000A9C40000}"/>
    <cellStyle name="Output 2 2 2 2" xfId="50331" xr:uid="{00000000-0005-0000-0000-0000AAC40000}"/>
    <cellStyle name="Output 2 2 2 2 2" xfId="50332" xr:uid="{00000000-0005-0000-0000-0000ABC40000}"/>
    <cellStyle name="Output 2 2 2 2 2 2" xfId="50333" xr:uid="{00000000-0005-0000-0000-0000ACC40000}"/>
    <cellStyle name="Output 2 2 2 2 3" xfId="50334" xr:uid="{00000000-0005-0000-0000-0000ADC40000}"/>
    <cellStyle name="Output 2 2 2 2 3 2" xfId="50335" xr:uid="{00000000-0005-0000-0000-0000AEC40000}"/>
    <cellStyle name="Output 2 2 2 2 4" xfId="50336" xr:uid="{00000000-0005-0000-0000-0000AFC40000}"/>
    <cellStyle name="Output 2 2 2 3" xfId="50337" xr:uid="{00000000-0005-0000-0000-0000B0C40000}"/>
    <cellStyle name="Output 2 2 2 3 2" xfId="50338" xr:uid="{00000000-0005-0000-0000-0000B1C40000}"/>
    <cellStyle name="Output 2 2 2 3 2 2" xfId="50339" xr:uid="{00000000-0005-0000-0000-0000B2C40000}"/>
    <cellStyle name="Output 2 2 2 3 3" xfId="50340" xr:uid="{00000000-0005-0000-0000-0000B3C40000}"/>
    <cellStyle name="Output 2 2 2 3 3 2" xfId="50341" xr:uid="{00000000-0005-0000-0000-0000B4C40000}"/>
    <cellStyle name="Output 2 2 2 3 4" xfId="50342" xr:uid="{00000000-0005-0000-0000-0000B5C40000}"/>
    <cellStyle name="Output 2 2 2 4" xfId="50343" xr:uid="{00000000-0005-0000-0000-0000B6C40000}"/>
    <cellStyle name="Output 2 2 2 4 2" xfId="50344" xr:uid="{00000000-0005-0000-0000-0000B7C40000}"/>
    <cellStyle name="Output 2 2 2 4 3" xfId="50345" xr:uid="{00000000-0005-0000-0000-0000B8C40000}"/>
    <cellStyle name="Output 2 2 2 5" xfId="50346" xr:uid="{00000000-0005-0000-0000-0000B9C40000}"/>
    <cellStyle name="Output 2 2 2 5 2" xfId="50347" xr:uid="{00000000-0005-0000-0000-0000BAC40000}"/>
    <cellStyle name="Output 2 2 2 6" xfId="50348" xr:uid="{00000000-0005-0000-0000-0000BBC40000}"/>
    <cellStyle name="Output 2 2 2 7" xfId="50349" xr:uid="{00000000-0005-0000-0000-0000BCC40000}"/>
    <cellStyle name="Output 2 2 2 8" xfId="50350" xr:uid="{00000000-0005-0000-0000-0000BDC40000}"/>
    <cellStyle name="Output 2 2 3" xfId="50351" xr:uid="{00000000-0005-0000-0000-0000BEC40000}"/>
    <cellStyle name="Output 2 2 3 2" xfId="50352" xr:uid="{00000000-0005-0000-0000-0000BFC40000}"/>
    <cellStyle name="Output 2 2 3 2 2" xfId="50353" xr:uid="{00000000-0005-0000-0000-0000C0C40000}"/>
    <cellStyle name="Output 2 2 3 2 2 2" xfId="50354" xr:uid="{00000000-0005-0000-0000-0000C1C40000}"/>
    <cellStyle name="Output 2 2 3 2 3" xfId="50355" xr:uid="{00000000-0005-0000-0000-0000C2C40000}"/>
    <cellStyle name="Output 2 2 3 2 3 2" xfId="50356" xr:uid="{00000000-0005-0000-0000-0000C3C40000}"/>
    <cellStyle name="Output 2 2 3 2 4" xfId="50357" xr:uid="{00000000-0005-0000-0000-0000C4C40000}"/>
    <cellStyle name="Output 2 2 3 3" xfId="50358" xr:uid="{00000000-0005-0000-0000-0000C5C40000}"/>
    <cellStyle name="Output 2 2 3 3 2" xfId="50359" xr:uid="{00000000-0005-0000-0000-0000C6C40000}"/>
    <cellStyle name="Output 2 2 3 3 2 2" xfId="50360" xr:uid="{00000000-0005-0000-0000-0000C7C40000}"/>
    <cellStyle name="Output 2 2 3 3 3" xfId="50361" xr:uid="{00000000-0005-0000-0000-0000C8C40000}"/>
    <cellStyle name="Output 2 2 3 3 3 2" xfId="50362" xr:uid="{00000000-0005-0000-0000-0000C9C40000}"/>
    <cellStyle name="Output 2 2 3 3 4" xfId="50363" xr:uid="{00000000-0005-0000-0000-0000CAC40000}"/>
    <cellStyle name="Output 2 2 3 4" xfId="50364" xr:uid="{00000000-0005-0000-0000-0000CBC40000}"/>
    <cellStyle name="Output 2 2 3 4 2" xfId="50365" xr:uid="{00000000-0005-0000-0000-0000CCC40000}"/>
    <cellStyle name="Output 2 2 3 5" xfId="50366" xr:uid="{00000000-0005-0000-0000-0000CDC40000}"/>
    <cellStyle name="Output 2 2 3 5 2" xfId="50367" xr:uid="{00000000-0005-0000-0000-0000CEC40000}"/>
    <cellStyle name="Output 2 2 3 6" xfId="50368" xr:uid="{00000000-0005-0000-0000-0000CFC40000}"/>
    <cellStyle name="Output 2 2 4" xfId="50369" xr:uid="{00000000-0005-0000-0000-0000D0C40000}"/>
    <cellStyle name="Output 2 2 4 2" xfId="50370" xr:uid="{00000000-0005-0000-0000-0000D1C40000}"/>
    <cellStyle name="Output 2 2 4 2 2" xfId="50371" xr:uid="{00000000-0005-0000-0000-0000D2C40000}"/>
    <cellStyle name="Output 2 2 4 2 2 2" xfId="50372" xr:uid="{00000000-0005-0000-0000-0000D3C40000}"/>
    <cellStyle name="Output 2 2 4 2 3" xfId="50373" xr:uid="{00000000-0005-0000-0000-0000D4C40000}"/>
    <cellStyle name="Output 2 2 4 2 3 2" xfId="50374" xr:uid="{00000000-0005-0000-0000-0000D5C40000}"/>
    <cellStyle name="Output 2 2 4 2 4" xfId="50375" xr:uid="{00000000-0005-0000-0000-0000D6C40000}"/>
    <cellStyle name="Output 2 2 4 3" xfId="50376" xr:uid="{00000000-0005-0000-0000-0000D7C40000}"/>
    <cellStyle name="Output 2 2 4 3 2" xfId="50377" xr:uid="{00000000-0005-0000-0000-0000D8C40000}"/>
    <cellStyle name="Output 2 2 4 3 2 2" xfId="50378" xr:uid="{00000000-0005-0000-0000-0000D9C40000}"/>
    <cellStyle name="Output 2 2 4 3 3" xfId="50379" xr:uid="{00000000-0005-0000-0000-0000DAC40000}"/>
    <cellStyle name="Output 2 2 4 3 3 2" xfId="50380" xr:uid="{00000000-0005-0000-0000-0000DBC40000}"/>
    <cellStyle name="Output 2 2 4 3 4" xfId="50381" xr:uid="{00000000-0005-0000-0000-0000DCC40000}"/>
    <cellStyle name="Output 2 2 4 4" xfId="50382" xr:uid="{00000000-0005-0000-0000-0000DDC40000}"/>
    <cellStyle name="Output 2 2 4 4 2" xfId="50383" xr:uid="{00000000-0005-0000-0000-0000DEC40000}"/>
    <cellStyle name="Output 2 2 4 5" xfId="50384" xr:uid="{00000000-0005-0000-0000-0000DFC40000}"/>
    <cellStyle name="Output 2 2 4 5 2" xfId="50385" xr:uid="{00000000-0005-0000-0000-0000E0C40000}"/>
    <cellStyle name="Output 2 2 4 6" xfId="50386" xr:uid="{00000000-0005-0000-0000-0000E1C40000}"/>
    <cellStyle name="Output 2 2 5" xfId="50387" xr:uid="{00000000-0005-0000-0000-0000E2C40000}"/>
    <cellStyle name="Output 2 2 5 2" xfId="50388" xr:uid="{00000000-0005-0000-0000-0000E3C40000}"/>
    <cellStyle name="Output 2 2 5 2 2" xfId="50389" xr:uid="{00000000-0005-0000-0000-0000E4C40000}"/>
    <cellStyle name="Output 2 2 5 2 2 2" xfId="50390" xr:uid="{00000000-0005-0000-0000-0000E5C40000}"/>
    <cellStyle name="Output 2 2 5 2 3" xfId="50391" xr:uid="{00000000-0005-0000-0000-0000E6C40000}"/>
    <cellStyle name="Output 2 2 5 2 3 2" xfId="50392" xr:uid="{00000000-0005-0000-0000-0000E7C40000}"/>
    <cellStyle name="Output 2 2 5 2 4" xfId="50393" xr:uid="{00000000-0005-0000-0000-0000E8C40000}"/>
    <cellStyle name="Output 2 2 5 3" xfId="50394" xr:uid="{00000000-0005-0000-0000-0000E9C40000}"/>
    <cellStyle name="Output 2 2 5 3 2" xfId="50395" xr:uid="{00000000-0005-0000-0000-0000EAC40000}"/>
    <cellStyle name="Output 2 2 5 3 2 2" xfId="50396" xr:uid="{00000000-0005-0000-0000-0000EBC40000}"/>
    <cellStyle name="Output 2 2 5 3 3" xfId="50397" xr:uid="{00000000-0005-0000-0000-0000ECC40000}"/>
    <cellStyle name="Output 2 2 5 3 3 2" xfId="50398" xr:uid="{00000000-0005-0000-0000-0000EDC40000}"/>
    <cellStyle name="Output 2 2 5 3 4" xfId="50399" xr:uid="{00000000-0005-0000-0000-0000EEC40000}"/>
    <cellStyle name="Output 2 2 5 4" xfId="50400" xr:uid="{00000000-0005-0000-0000-0000EFC40000}"/>
    <cellStyle name="Output 2 2 5 4 2" xfId="50401" xr:uid="{00000000-0005-0000-0000-0000F0C40000}"/>
    <cellStyle name="Output 2 2 5 5" xfId="50402" xr:uid="{00000000-0005-0000-0000-0000F1C40000}"/>
    <cellStyle name="Output 2 2 5 5 2" xfId="50403" xr:uid="{00000000-0005-0000-0000-0000F2C40000}"/>
    <cellStyle name="Output 2 2 5 6" xfId="50404" xr:uid="{00000000-0005-0000-0000-0000F3C40000}"/>
    <cellStyle name="Output 2 2 6" xfId="50405" xr:uid="{00000000-0005-0000-0000-0000F4C40000}"/>
    <cellStyle name="Output 2 2 6 2" xfId="50406" xr:uid="{00000000-0005-0000-0000-0000F5C40000}"/>
    <cellStyle name="Output 2 2 6 2 2" xfId="50407" xr:uid="{00000000-0005-0000-0000-0000F6C40000}"/>
    <cellStyle name="Output 2 2 6 2 2 2" xfId="50408" xr:uid="{00000000-0005-0000-0000-0000F7C40000}"/>
    <cellStyle name="Output 2 2 6 2 3" xfId="50409" xr:uid="{00000000-0005-0000-0000-0000F8C40000}"/>
    <cellStyle name="Output 2 2 6 2 3 2" xfId="50410" xr:uid="{00000000-0005-0000-0000-0000F9C40000}"/>
    <cellStyle name="Output 2 2 6 2 4" xfId="50411" xr:uid="{00000000-0005-0000-0000-0000FAC40000}"/>
    <cellStyle name="Output 2 2 6 3" xfId="50412" xr:uid="{00000000-0005-0000-0000-0000FBC40000}"/>
    <cellStyle name="Output 2 2 6 3 2" xfId="50413" xr:uid="{00000000-0005-0000-0000-0000FCC40000}"/>
    <cellStyle name="Output 2 2 6 3 2 2" xfId="50414" xr:uid="{00000000-0005-0000-0000-0000FDC40000}"/>
    <cellStyle name="Output 2 2 6 3 3" xfId="50415" xr:uid="{00000000-0005-0000-0000-0000FEC40000}"/>
    <cellStyle name="Output 2 2 6 3 3 2" xfId="50416" xr:uid="{00000000-0005-0000-0000-0000FFC40000}"/>
    <cellStyle name="Output 2 2 6 3 4" xfId="50417" xr:uid="{00000000-0005-0000-0000-000000C50000}"/>
    <cellStyle name="Output 2 2 6 4" xfId="50418" xr:uid="{00000000-0005-0000-0000-000001C50000}"/>
    <cellStyle name="Output 2 2 6 4 2" xfId="50419" xr:uid="{00000000-0005-0000-0000-000002C50000}"/>
    <cellStyle name="Output 2 2 6 5" xfId="50420" xr:uid="{00000000-0005-0000-0000-000003C50000}"/>
    <cellStyle name="Output 2 2 6 5 2" xfId="50421" xr:uid="{00000000-0005-0000-0000-000004C50000}"/>
    <cellStyle name="Output 2 2 6 6" xfId="50422" xr:uid="{00000000-0005-0000-0000-000005C50000}"/>
    <cellStyle name="Output 2 2 7" xfId="50423" xr:uid="{00000000-0005-0000-0000-000006C50000}"/>
    <cellStyle name="Output 2 2 7 2" xfId="50424" xr:uid="{00000000-0005-0000-0000-000007C50000}"/>
    <cellStyle name="Output 2 2 7 2 2" xfId="50425" xr:uid="{00000000-0005-0000-0000-000008C50000}"/>
    <cellStyle name="Output 2 2 7 3" xfId="50426" xr:uid="{00000000-0005-0000-0000-000009C50000}"/>
    <cellStyle name="Output 2 2 7 3 2" xfId="50427" xr:uid="{00000000-0005-0000-0000-00000AC50000}"/>
    <cellStyle name="Output 2 2 7 4" xfId="50428" xr:uid="{00000000-0005-0000-0000-00000BC50000}"/>
    <cellStyle name="Output 2 2 8" xfId="50429" xr:uid="{00000000-0005-0000-0000-00000CC50000}"/>
    <cellStyle name="Output 2 2 8 2" xfId="50430" xr:uid="{00000000-0005-0000-0000-00000DC50000}"/>
    <cellStyle name="Output 2 2 8 2 2" xfId="50431" xr:uid="{00000000-0005-0000-0000-00000EC50000}"/>
    <cellStyle name="Output 2 2 8 3" xfId="50432" xr:uid="{00000000-0005-0000-0000-00000FC50000}"/>
    <cellStyle name="Output 2 2 8 3 2" xfId="50433" xr:uid="{00000000-0005-0000-0000-000010C50000}"/>
    <cellStyle name="Output 2 2 8 4" xfId="50434" xr:uid="{00000000-0005-0000-0000-000011C50000}"/>
    <cellStyle name="Output 2 2 9" xfId="50435" xr:uid="{00000000-0005-0000-0000-000012C50000}"/>
    <cellStyle name="Output 2 2 9 2" xfId="50436" xr:uid="{00000000-0005-0000-0000-000013C50000}"/>
    <cellStyle name="Output 2 20" xfId="50437" xr:uid="{00000000-0005-0000-0000-000014C50000}"/>
    <cellStyle name="Output 2 21" xfId="50438" xr:uid="{00000000-0005-0000-0000-000015C50000}"/>
    <cellStyle name="Output 2 22" xfId="50439" xr:uid="{00000000-0005-0000-0000-000016C50000}"/>
    <cellStyle name="Output 2 3" xfId="50440" xr:uid="{00000000-0005-0000-0000-000017C50000}"/>
    <cellStyle name="Output 2 3 10" xfId="50441" xr:uid="{00000000-0005-0000-0000-000018C50000}"/>
    <cellStyle name="Output 2 3 10 2" xfId="50442" xr:uid="{00000000-0005-0000-0000-000019C50000}"/>
    <cellStyle name="Output 2 3 11" xfId="50443" xr:uid="{00000000-0005-0000-0000-00001AC50000}"/>
    <cellStyle name="Output 2 3 12" xfId="50444" xr:uid="{00000000-0005-0000-0000-00001BC50000}"/>
    <cellStyle name="Output 2 3 13" xfId="50445" xr:uid="{00000000-0005-0000-0000-00001CC50000}"/>
    <cellStyle name="Output 2 3 14" xfId="50446" xr:uid="{00000000-0005-0000-0000-00001DC50000}"/>
    <cellStyle name="Output 2 3 15" xfId="50447" xr:uid="{00000000-0005-0000-0000-00001EC50000}"/>
    <cellStyle name="Output 2 3 16" xfId="50448" xr:uid="{00000000-0005-0000-0000-00001FC50000}"/>
    <cellStyle name="Output 2 3 17" xfId="50449" xr:uid="{00000000-0005-0000-0000-000020C50000}"/>
    <cellStyle name="Output 2 3 18" xfId="50450" xr:uid="{00000000-0005-0000-0000-000021C50000}"/>
    <cellStyle name="Output 2 3 2" xfId="50451" xr:uid="{00000000-0005-0000-0000-000022C50000}"/>
    <cellStyle name="Output 2 3 2 2" xfId="50452" xr:uid="{00000000-0005-0000-0000-000023C50000}"/>
    <cellStyle name="Output 2 3 2 2 2" xfId="50453" xr:uid="{00000000-0005-0000-0000-000024C50000}"/>
    <cellStyle name="Output 2 3 2 2 2 2" xfId="50454" xr:uid="{00000000-0005-0000-0000-000025C50000}"/>
    <cellStyle name="Output 2 3 2 2 3" xfId="50455" xr:uid="{00000000-0005-0000-0000-000026C50000}"/>
    <cellStyle name="Output 2 3 2 2 3 2" xfId="50456" xr:uid="{00000000-0005-0000-0000-000027C50000}"/>
    <cellStyle name="Output 2 3 2 2 4" xfId="50457" xr:uid="{00000000-0005-0000-0000-000028C50000}"/>
    <cellStyle name="Output 2 3 2 3" xfId="50458" xr:uid="{00000000-0005-0000-0000-000029C50000}"/>
    <cellStyle name="Output 2 3 2 3 2" xfId="50459" xr:uid="{00000000-0005-0000-0000-00002AC50000}"/>
    <cellStyle name="Output 2 3 2 3 2 2" xfId="50460" xr:uid="{00000000-0005-0000-0000-00002BC50000}"/>
    <cellStyle name="Output 2 3 2 3 3" xfId="50461" xr:uid="{00000000-0005-0000-0000-00002CC50000}"/>
    <cellStyle name="Output 2 3 2 3 3 2" xfId="50462" xr:uid="{00000000-0005-0000-0000-00002DC50000}"/>
    <cellStyle name="Output 2 3 2 3 4" xfId="50463" xr:uid="{00000000-0005-0000-0000-00002EC50000}"/>
    <cellStyle name="Output 2 3 2 4" xfId="50464" xr:uid="{00000000-0005-0000-0000-00002FC50000}"/>
    <cellStyle name="Output 2 3 2 4 2" xfId="50465" xr:uid="{00000000-0005-0000-0000-000030C50000}"/>
    <cellStyle name="Output 2 3 2 5" xfId="50466" xr:uid="{00000000-0005-0000-0000-000031C50000}"/>
    <cellStyle name="Output 2 3 2 5 2" xfId="50467" xr:uid="{00000000-0005-0000-0000-000032C50000}"/>
    <cellStyle name="Output 2 3 2 6" xfId="50468" xr:uid="{00000000-0005-0000-0000-000033C50000}"/>
    <cellStyle name="Output 2 3 3" xfId="50469" xr:uid="{00000000-0005-0000-0000-000034C50000}"/>
    <cellStyle name="Output 2 3 3 2" xfId="50470" xr:uid="{00000000-0005-0000-0000-000035C50000}"/>
    <cellStyle name="Output 2 3 3 2 2" xfId="50471" xr:uid="{00000000-0005-0000-0000-000036C50000}"/>
    <cellStyle name="Output 2 3 3 2 2 2" xfId="50472" xr:uid="{00000000-0005-0000-0000-000037C50000}"/>
    <cellStyle name="Output 2 3 3 2 3" xfId="50473" xr:uid="{00000000-0005-0000-0000-000038C50000}"/>
    <cellStyle name="Output 2 3 3 2 3 2" xfId="50474" xr:uid="{00000000-0005-0000-0000-000039C50000}"/>
    <cellStyle name="Output 2 3 3 2 4" xfId="50475" xr:uid="{00000000-0005-0000-0000-00003AC50000}"/>
    <cellStyle name="Output 2 3 3 3" xfId="50476" xr:uid="{00000000-0005-0000-0000-00003BC50000}"/>
    <cellStyle name="Output 2 3 3 3 2" xfId="50477" xr:uid="{00000000-0005-0000-0000-00003CC50000}"/>
    <cellStyle name="Output 2 3 3 3 2 2" xfId="50478" xr:uid="{00000000-0005-0000-0000-00003DC50000}"/>
    <cellStyle name="Output 2 3 3 3 3" xfId="50479" xr:uid="{00000000-0005-0000-0000-00003EC50000}"/>
    <cellStyle name="Output 2 3 3 3 3 2" xfId="50480" xr:uid="{00000000-0005-0000-0000-00003FC50000}"/>
    <cellStyle name="Output 2 3 3 3 4" xfId="50481" xr:uid="{00000000-0005-0000-0000-000040C50000}"/>
    <cellStyle name="Output 2 3 3 4" xfId="50482" xr:uid="{00000000-0005-0000-0000-000041C50000}"/>
    <cellStyle name="Output 2 3 3 4 2" xfId="50483" xr:uid="{00000000-0005-0000-0000-000042C50000}"/>
    <cellStyle name="Output 2 3 3 5" xfId="50484" xr:uid="{00000000-0005-0000-0000-000043C50000}"/>
    <cellStyle name="Output 2 3 3 5 2" xfId="50485" xr:uid="{00000000-0005-0000-0000-000044C50000}"/>
    <cellStyle name="Output 2 3 3 6" xfId="50486" xr:uid="{00000000-0005-0000-0000-000045C50000}"/>
    <cellStyle name="Output 2 3 4" xfId="50487" xr:uid="{00000000-0005-0000-0000-000046C50000}"/>
    <cellStyle name="Output 2 3 4 2" xfId="50488" xr:uid="{00000000-0005-0000-0000-000047C50000}"/>
    <cellStyle name="Output 2 3 4 2 2" xfId="50489" xr:uid="{00000000-0005-0000-0000-000048C50000}"/>
    <cellStyle name="Output 2 3 4 2 2 2" xfId="50490" xr:uid="{00000000-0005-0000-0000-000049C50000}"/>
    <cellStyle name="Output 2 3 4 2 3" xfId="50491" xr:uid="{00000000-0005-0000-0000-00004AC50000}"/>
    <cellStyle name="Output 2 3 4 2 3 2" xfId="50492" xr:uid="{00000000-0005-0000-0000-00004BC50000}"/>
    <cellStyle name="Output 2 3 4 2 4" xfId="50493" xr:uid="{00000000-0005-0000-0000-00004CC50000}"/>
    <cellStyle name="Output 2 3 4 3" xfId="50494" xr:uid="{00000000-0005-0000-0000-00004DC50000}"/>
    <cellStyle name="Output 2 3 4 3 2" xfId="50495" xr:uid="{00000000-0005-0000-0000-00004EC50000}"/>
    <cellStyle name="Output 2 3 4 3 2 2" xfId="50496" xr:uid="{00000000-0005-0000-0000-00004FC50000}"/>
    <cellStyle name="Output 2 3 4 3 3" xfId="50497" xr:uid="{00000000-0005-0000-0000-000050C50000}"/>
    <cellStyle name="Output 2 3 4 3 3 2" xfId="50498" xr:uid="{00000000-0005-0000-0000-000051C50000}"/>
    <cellStyle name="Output 2 3 4 3 4" xfId="50499" xr:uid="{00000000-0005-0000-0000-000052C50000}"/>
    <cellStyle name="Output 2 3 4 4" xfId="50500" xr:uid="{00000000-0005-0000-0000-000053C50000}"/>
    <cellStyle name="Output 2 3 4 4 2" xfId="50501" xr:uid="{00000000-0005-0000-0000-000054C50000}"/>
    <cellStyle name="Output 2 3 4 5" xfId="50502" xr:uid="{00000000-0005-0000-0000-000055C50000}"/>
    <cellStyle name="Output 2 3 4 5 2" xfId="50503" xr:uid="{00000000-0005-0000-0000-000056C50000}"/>
    <cellStyle name="Output 2 3 4 6" xfId="50504" xr:uid="{00000000-0005-0000-0000-000057C50000}"/>
    <cellStyle name="Output 2 3 5" xfId="50505" xr:uid="{00000000-0005-0000-0000-000058C50000}"/>
    <cellStyle name="Output 2 3 5 2" xfId="50506" xr:uid="{00000000-0005-0000-0000-000059C50000}"/>
    <cellStyle name="Output 2 3 5 2 2" xfId="50507" xr:uid="{00000000-0005-0000-0000-00005AC50000}"/>
    <cellStyle name="Output 2 3 5 2 2 2" xfId="50508" xr:uid="{00000000-0005-0000-0000-00005BC50000}"/>
    <cellStyle name="Output 2 3 5 2 3" xfId="50509" xr:uid="{00000000-0005-0000-0000-00005CC50000}"/>
    <cellStyle name="Output 2 3 5 2 3 2" xfId="50510" xr:uid="{00000000-0005-0000-0000-00005DC50000}"/>
    <cellStyle name="Output 2 3 5 2 4" xfId="50511" xr:uid="{00000000-0005-0000-0000-00005EC50000}"/>
    <cellStyle name="Output 2 3 5 3" xfId="50512" xr:uid="{00000000-0005-0000-0000-00005FC50000}"/>
    <cellStyle name="Output 2 3 5 3 2" xfId="50513" xr:uid="{00000000-0005-0000-0000-000060C50000}"/>
    <cellStyle name="Output 2 3 5 3 2 2" xfId="50514" xr:uid="{00000000-0005-0000-0000-000061C50000}"/>
    <cellStyle name="Output 2 3 5 3 3" xfId="50515" xr:uid="{00000000-0005-0000-0000-000062C50000}"/>
    <cellStyle name="Output 2 3 5 3 3 2" xfId="50516" xr:uid="{00000000-0005-0000-0000-000063C50000}"/>
    <cellStyle name="Output 2 3 5 3 4" xfId="50517" xr:uid="{00000000-0005-0000-0000-000064C50000}"/>
    <cellStyle name="Output 2 3 5 4" xfId="50518" xr:uid="{00000000-0005-0000-0000-000065C50000}"/>
    <cellStyle name="Output 2 3 5 4 2" xfId="50519" xr:uid="{00000000-0005-0000-0000-000066C50000}"/>
    <cellStyle name="Output 2 3 5 5" xfId="50520" xr:uid="{00000000-0005-0000-0000-000067C50000}"/>
    <cellStyle name="Output 2 3 5 5 2" xfId="50521" xr:uid="{00000000-0005-0000-0000-000068C50000}"/>
    <cellStyle name="Output 2 3 5 6" xfId="50522" xr:uid="{00000000-0005-0000-0000-000069C50000}"/>
    <cellStyle name="Output 2 3 6" xfId="50523" xr:uid="{00000000-0005-0000-0000-00006AC50000}"/>
    <cellStyle name="Output 2 3 6 2" xfId="50524" xr:uid="{00000000-0005-0000-0000-00006BC50000}"/>
    <cellStyle name="Output 2 3 6 2 2" xfId="50525" xr:uid="{00000000-0005-0000-0000-00006CC50000}"/>
    <cellStyle name="Output 2 3 6 2 2 2" xfId="50526" xr:uid="{00000000-0005-0000-0000-00006DC50000}"/>
    <cellStyle name="Output 2 3 6 2 3" xfId="50527" xr:uid="{00000000-0005-0000-0000-00006EC50000}"/>
    <cellStyle name="Output 2 3 6 2 3 2" xfId="50528" xr:uid="{00000000-0005-0000-0000-00006FC50000}"/>
    <cellStyle name="Output 2 3 6 2 4" xfId="50529" xr:uid="{00000000-0005-0000-0000-000070C50000}"/>
    <cellStyle name="Output 2 3 6 3" xfId="50530" xr:uid="{00000000-0005-0000-0000-000071C50000}"/>
    <cellStyle name="Output 2 3 6 3 2" xfId="50531" xr:uid="{00000000-0005-0000-0000-000072C50000}"/>
    <cellStyle name="Output 2 3 6 3 2 2" xfId="50532" xr:uid="{00000000-0005-0000-0000-000073C50000}"/>
    <cellStyle name="Output 2 3 6 3 3" xfId="50533" xr:uid="{00000000-0005-0000-0000-000074C50000}"/>
    <cellStyle name="Output 2 3 6 3 3 2" xfId="50534" xr:uid="{00000000-0005-0000-0000-000075C50000}"/>
    <cellStyle name="Output 2 3 6 3 4" xfId="50535" xr:uid="{00000000-0005-0000-0000-000076C50000}"/>
    <cellStyle name="Output 2 3 6 4" xfId="50536" xr:uid="{00000000-0005-0000-0000-000077C50000}"/>
    <cellStyle name="Output 2 3 6 4 2" xfId="50537" xr:uid="{00000000-0005-0000-0000-000078C50000}"/>
    <cellStyle name="Output 2 3 6 5" xfId="50538" xr:uid="{00000000-0005-0000-0000-000079C50000}"/>
    <cellStyle name="Output 2 3 6 5 2" xfId="50539" xr:uid="{00000000-0005-0000-0000-00007AC50000}"/>
    <cellStyle name="Output 2 3 6 6" xfId="50540" xr:uid="{00000000-0005-0000-0000-00007BC50000}"/>
    <cellStyle name="Output 2 3 7" xfId="50541" xr:uid="{00000000-0005-0000-0000-00007CC50000}"/>
    <cellStyle name="Output 2 3 7 2" xfId="50542" xr:uid="{00000000-0005-0000-0000-00007DC50000}"/>
    <cellStyle name="Output 2 3 7 2 2" xfId="50543" xr:uid="{00000000-0005-0000-0000-00007EC50000}"/>
    <cellStyle name="Output 2 3 7 3" xfId="50544" xr:uid="{00000000-0005-0000-0000-00007FC50000}"/>
    <cellStyle name="Output 2 3 7 3 2" xfId="50545" xr:uid="{00000000-0005-0000-0000-000080C50000}"/>
    <cellStyle name="Output 2 3 7 4" xfId="50546" xr:uid="{00000000-0005-0000-0000-000081C50000}"/>
    <cellStyle name="Output 2 3 8" xfId="50547" xr:uid="{00000000-0005-0000-0000-000082C50000}"/>
    <cellStyle name="Output 2 3 8 2" xfId="50548" xr:uid="{00000000-0005-0000-0000-000083C50000}"/>
    <cellStyle name="Output 2 3 8 2 2" xfId="50549" xr:uid="{00000000-0005-0000-0000-000084C50000}"/>
    <cellStyle name="Output 2 3 8 3" xfId="50550" xr:uid="{00000000-0005-0000-0000-000085C50000}"/>
    <cellStyle name="Output 2 3 8 3 2" xfId="50551" xr:uid="{00000000-0005-0000-0000-000086C50000}"/>
    <cellStyle name="Output 2 3 8 4" xfId="50552" xr:uid="{00000000-0005-0000-0000-000087C50000}"/>
    <cellStyle name="Output 2 3 9" xfId="50553" xr:uid="{00000000-0005-0000-0000-000088C50000}"/>
    <cellStyle name="Output 2 3 9 2" xfId="50554" xr:uid="{00000000-0005-0000-0000-000089C50000}"/>
    <cellStyle name="Output 2 4" xfId="50555" xr:uid="{00000000-0005-0000-0000-00008AC50000}"/>
    <cellStyle name="Output 2 4 10" xfId="50556" xr:uid="{00000000-0005-0000-0000-00008BC50000}"/>
    <cellStyle name="Output 2 4 10 2" xfId="50557" xr:uid="{00000000-0005-0000-0000-00008CC50000}"/>
    <cellStyle name="Output 2 4 11" xfId="50558" xr:uid="{00000000-0005-0000-0000-00008DC50000}"/>
    <cellStyle name="Output 2 4 12" xfId="50559" xr:uid="{00000000-0005-0000-0000-00008EC50000}"/>
    <cellStyle name="Output 2 4 13" xfId="50560" xr:uid="{00000000-0005-0000-0000-00008FC50000}"/>
    <cellStyle name="Output 2 4 14" xfId="50561" xr:uid="{00000000-0005-0000-0000-000090C50000}"/>
    <cellStyle name="Output 2 4 15" xfId="50562" xr:uid="{00000000-0005-0000-0000-000091C50000}"/>
    <cellStyle name="Output 2 4 16" xfId="50563" xr:uid="{00000000-0005-0000-0000-000092C50000}"/>
    <cellStyle name="Output 2 4 17" xfId="50564" xr:uid="{00000000-0005-0000-0000-000093C50000}"/>
    <cellStyle name="Output 2 4 2" xfId="50565" xr:uid="{00000000-0005-0000-0000-000094C50000}"/>
    <cellStyle name="Output 2 4 2 2" xfId="50566" xr:uid="{00000000-0005-0000-0000-000095C50000}"/>
    <cellStyle name="Output 2 4 2 2 2" xfId="50567" xr:uid="{00000000-0005-0000-0000-000096C50000}"/>
    <cellStyle name="Output 2 4 2 2 2 2" xfId="50568" xr:uid="{00000000-0005-0000-0000-000097C50000}"/>
    <cellStyle name="Output 2 4 2 2 3" xfId="50569" xr:uid="{00000000-0005-0000-0000-000098C50000}"/>
    <cellStyle name="Output 2 4 2 2 3 2" xfId="50570" xr:uid="{00000000-0005-0000-0000-000099C50000}"/>
    <cellStyle name="Output 2 4 2 2 4" xfId="50571" xr:uid="{00000000-0005-0000-0000-00009AC50000}"/>
    <cellStyle name="Output 2 4 2 3" xfId="50572" xr:uid="{00000000-0005-0000-0000-00009BC50000}"/>
    <cellStyle name="Output 2 4 2 3 2" xfId="50573" xr:uid="{00000000-0005-0000-0000-00009CC50000}"/>
    <cellStyle name="Output 2 4 2 3 2 2" xfId="50574" xr:uid="{00000000-0005-0000-0000-00009DC50000}"/>
    <cellStyle name="Output 2 4 2 3 3" xfId="50575" xr:uid="{00000000-0005-0000-0000-00009EC50000}"/>
    <cellStyle name="Output 2 4 2 3 3 2" xfId="50576" xr:uid="{00000000-0005-0000-0000-00009FC50000}"/>
    <cellStyle name="Output 2 4 2 3 4" xfId="50577" xr:uid="{00000000-0005-0000-0000-0000A0C50000}"/>
    <cellStyle name="Output 2 4 2 4" xfId="50578" xr:uid="{00000000-0005-0000-0000-0000A1C50000}"/>
    <cellStyle name="Output 2 4 2 4 2" xfId="50579" xr:uid="{00000000-0005-0000-0000-0000A2C50000}"/>
    <cellStyle name="Output 2 4 2 5" xfId="50580" xr:uid="{00000000-0005-0000-0000-0000A3C50000}"/>
    <cellStyle name="Output 2 4 2 5 2" xfId="50581" xr:uid="{00000000-0005-0000-0000-0000A4C50000}"/>
    <cellStyle name="Output 2 4 2 6" xfId="50582" xr:uid="{00000000-0005-0000-0000-0000A5C50000}"/>
    <cellStyle name="Output 2 4 3" xfId="50583" xr:uid="{00000000-0005-0000-0000-0000A6C50000}"/>
    <cellStyle name="Output 2 4 3 2" xfId="50584" xr:uid="{00000000-0005-0000-0000-0000A7C50000}"/>
    <cellStyle name="Output 2 4 3 2 2" xfId="50585" xr:uid="{00000000-0005-0000-0000-0000A8C50000}"/>
    <cellStyle name="Output 2 4 3 2 2 2" xfId="50586" xr:uid="{00000000-0005-0000-0000-0000A9C50000}"/>
    <cellStyle name="Output 2 4 3 2 3" xfId="50587" xr:uid="{00000000-0005-0000-0000-0000AAC50000}"/>
    <cellStyle name="Output 2 4 3 2 3 2" xfId="50588" xr:uid="{00000000-0005-0000-0000-0000ABC50000}"/>
    <cellStyle name="Output 2 4 3 2 4" xfId="50589" xr:uid="{00000000-0005-0000-0000-0000ACC50000}"/>
    <cellStyle name="Output 2 4 3 3" xfId="50590" xr:uid="{00000000-0005-0000-0000-0000ADC50000}"/>
    <cellStyle name="Output 2 4 3 3 2" xfId="50591" xr:uid="{00000000-0005-0000-0000-0000AEC50000}"/>
    <cellStyle name="Output 2 4 3 3 2 2" xfId="50592" xr:uid="{00000000-0005-0000-0000-0000AFC50000}"/>
    <cellStyle name="Output 2 4 3 3 3" xfId="50593" xr:uid="{00000000-0005-0000-0000-0000B0C50000}"/>
    <cellStyle name="Output 2 4 3 3 3 2" xfId="50594" xr:uid="{00000000-0005-0000-0000-0000B1C50000}"/>
    <cellStyle name="Output 2 4 3 3 4" xfId="50595" xr:uid="{00000000-0005-0000-0000-0000B2C50000}"/>
    <cellStyle name="Output 2 4 3 4" xfId="50596" xr:uid="{00000000-0005-0000-0000-0000B3C50000}"/>
    <cellStyle name="Output 2 4 3 4 2" xfId="50597" xr:uid="{00000000-0005-0000-0000-0000B4C50000}"/>
    <cellStyle name="Output 2 4 3 5" xfId="50598" xr:uid="{00000000-0005-0000-0000-0000B5C50000}"/>
    <cellStyle name="Output 2 4 3 5 2" xfId="50599" xr:uid="{00000000-0005-0000-0000-0000B6C50000}"/>
    <cellStyle name="Output 2 4 3 6" xfId="50600" xr:uid="{00000000-0005-0000-0000-0000B7C50000}"/>
    <cellStyle name="Output 2 4 4" xfId="50601" xr:uid="{00000000-0005-0000-0000-0000B8C50000}"/>
    <cellStyle name="Output 2 4 4 2" xfId="50602" xr:uid="{00000000-0005-0000-0000-0000B9C50000}"/>
    <cellStyle name="Output 2 4 4 2 2" xfId="50603" xr:uid="{00000000-0005-0000-0000-0000BAC50000}"/>
    <cellStyle name="Output 2 4 4 2 2 2" xfId="50604" xr:uid="{00000000-0005-0000-0000-0000BBC50000}"/>
    <cellStyle name="Output 2 4 4 2 3" xfId="50605" xr:uid="{00000000-0005-0000-0000-0000BCC50000}"/>
    <cellStyle name="Output 2 4 4 2 3 2" xfId="50606" xr:uid="{00000000-0005-0000-0000-0000BDC50000}"/>
    <cellStyle name="Output 2 4 4 2 4" xfId="50607" xr:uid="{00000000-0005-0000-0000-0000BEC50000}"/>
    <cellStyle name="Output 2 4 4 3" xfId="50608" xr:uid="{00000000-0005-0000-0000-0000BFC50000}"/>
    <cellStyle name="Output 2 4 4 3 2" xfId="50609" xr:uid="{00000000-0005-0000-0000-0000C0C50000}"/>
    <cellStyle name="Output 2 4 4 3 2 2" xfId="50610" xr:uid="{00000000-0005-0000-0000-0000C1C50000}"/>
    <cellStyle name="Output 2 4 4 3 3" xfId="50611" xr:uid="{00000000-0005-0000-0000-0000C2C50000}"/>
    <cellStyle name="Output 2 4 4 3 3 2" xfId="50612" xr:uid="{00000000-0005-0000-0000-0000C3C50000}"/>
    <cellStyle name="Output 2 4 4 3 4" xfId="50613" xr:uid="{00000000-0005-0000-0000-0000C4C50000}"/>
    <cellStyle name="Output 2 4 4 4" xfId="50614" xr:uid="{00000000-0005-0000-0000-0000C5C50000}"/>
    <cellStyle name="Output 2 4 4 4 2" xfId="50615" xr:uid="{00000000-0005-0000-0000-0000C6C50000}"/>
    <cellStyle name="Output 2 4 4 5" xfId="50616" xr:uid="{00000000-0005-0000-0000-0000C7C50000}"/>
    <cellStyle name="Output 2 4 4 5 2" xfId="50617" xr:uid="{00000000-0005-0000-0000-0000C8C50000}"/>
    <cellStyle name="Output 2 4 4 6" xfId="50618" xr:uid="{00000000-0005-0000-0000-0000C9C50000}"/>
    <cellStyle name="Output 2 4 5" xfId="50619" xr:uid="{00000000-0005-0000-0000-0000CAC50000}"/>
    <cellStyle name="Output 2 4 5 2" xfId="50620" xr:uid="{00000000-0005-0000-0000-0000CBC50000}"/>
    <cellStyle name="Output 2 4 5 2 2" xfId="50621" xr:uid="{00000000-0005-0000-0000-0000CCC50000}"/>
    <cellStyle name="Output 2 4 5 2 2 2" xfId="50622" xr:uid="{00000000-0005-0000-0000-0000CDC50000}"/>
    <cellStyle name="Output 2 4 5 2 3" xfId="50623" xr:uid="{00000000-0005-0000-0000-0000CEC50000}"/>
    <cellStyle name="Output 2 4 5 2 3 2" xfId="50624" xr:uid="{00000000-0005-0000-0000-0000CFC50000}"/>
    <cellStyle name="Output 2 4 5 2 4" xfId="50625" xr:uid="{00000000-0005-0000-0000-0000D0C50000}"/>
    <cellStyle name="Output 2 4 5 3" xfId="50626" xr:uid="{00000000-0005-0000-0000-0000D1C50000}"/>
    <cellStyle name="Output 2 4 5 3 2" xfId="50627" xr:uid="{00000000-0005-0000-0000-0000D2C50000}"/>
    <cellStyle name="Output 2 4 5 3 2 2" xfId="50628" xr:uid="{00000000-0005-0000-0000-0000D3C50000}"/>
    <cellStyle name="Output 2 4 5 3 3" xfId="50629" xr:uid="{00000000-0005-0000-0000-0000D4C50000}"/>
    <cellStyle name="Output 2 4 5 3 3 2" xfId="50630" xr:uid="{00000000-0005-0000-0000-0000D5C50000}"/>
    <cellStyle name="Output 2 4 5 3 4" xfId="50631" xr:uid="{00000000-0005-0000-0000-0000D6C50000}"/>
    <cellStyle name="Output 2 4 5 4" xfId="50632" xr:uid="{00000000-0005-0000-0000-0000D7C50000}"/>
    <cellStyle name="Output 2 4 5 4 2" xfId="50633" xr:uid="{00000000-0005-0000-0000-0000D8C50000}"/>
    <cellStyle name="Output 2 4 5 5" xfId="50634" xr:uid="{00000000-0005-0000-0000-0000D9C50000}"/>
    <cellStyle name="Output 2 4 5 5 2" xfId="50635" xr:uid="{00000000-0005-0000-0000-0000DAC50000}"/>
    <cellStyle name="Output 2 4 5 6" xfId="50636" xr:uid="{00000000-0005-0000-0000-0000DBC50000}"/>
    <cellStyle name="Output 2 4 6" xfId="50637" xr:uid="{00000000-0005-0000-0000-0000DCC50000}"/>
    <cellStyle name="Output 2 4 6 2" xfId="50638" xr:uid="{00000000-0005-0000-0000-0000DDC50000}"/>
    <cellStyle name="Output 2 4 6 2 2" xfId="50639" xr:uid="{00000000-0005-0000-0000-0000DEC50000}"/>
    <cellStyle name="Output 2 4 6 2 2 2" xfId="50640" xr:uid="{00000000-0005-0000-0000-0000DFC50000}"/>
    <cellStyle name="Output 2 4 6 2 3" xfId="50641" xr:uid="{00000000-0005-0000-0000-0000E0C50000}"/>
    <cellStyle name="Output 2 4 6 2 3 2" xfId="50642" xr:uid="{00000000-0005-0000-0000-0000E1C50000}"/>
    <cellStyle name="Output 2 4 6 2 4" xfId="50643" xr:uid="{00000000-0005-0000-0000-0000E2C50000}"/>
    <cellStyle name="Output 2 4 6 3" xfId="50644" xr:uid="{00000000-0005-0000-0000-0000E3C50000}"/>
    <cellStyle name="Output 2 4 6 3 2" xfId="50645" xr:uid="{00000000-0005-0000-0000-0000E4C50000}"/>
    <cellStyle name="Output 2 4 6 3 2 2" xfId="50646" xr:uid="{00000000-0005-0000-0000-0000E5C50000}"/>
    <cellStyle name="Output 2 4 6 3 3" xfId="50647" xr:uid="{00000000-0005-0000-0000-0000E6C50000}"/>
    <cellStyle name="Output 2 4 6 3 3 2" xfId="50648" xr:uid="{00000000-0005-0000-0000-0000E7C50000}"/>
    <cellStyle name="Output 2 4 6 3 4" xfId="50649" xr:uid="{00000000-0005-0000-0000-0000E8C50000}"/>
    <cellStyle name="Output 2 4 6 4" xfId="50650" xr:uid="{00000000-0005-0000-0000-0000E9C50000}"/>
    <cellStyle name="Output 2 4 6 4 2" xfId="50651" xr:uid="{00000000-0005-0000-0000-0000EAC50000}"/>
    <cellStyle name="Output 2 4 6 5" xfId="50652" xr:uid="{00000000-0005-0000-0000-0000EBC50000}"/>
    <cellStyle name="Output 2 4 6 5 2" xfId="50653" xr:uid="{00000000-0005-0000-0000-0000ECC50000}"/>
    <cellStyle name="Output 2 4 6 6" xfId="50654" xr:uid="{00000000-0005-0000-0000-0000EDC50000}"/>
    <cellStyle name="Output 2 4 7" xfId="50655" xr:uid="{00000000-0005-0000-0000-0000EEC50000}"/>
    <cellStyle name="Output 2 4 7 2" xfId="50656" xr:uid="{00000000-0005-0000-0000-0000EFC50000}"/>
    <cellStyle name="Output 2 4 7 2 2" xfId="50657" xr:uid="{00000000-0005-0000-0000-0000F0C50000}"/>
    <cellStyle name="Output 2 4 7 3" xfId="50658" xr:uid="{00000000-0005-0000-0000-0000F1C50000}"/>
    <cellStyle name="Output 2 4 7 3 2" xfId="50659" xr:uid="{00000000-0005-0000-0000-0000F2C50000}"/>
    <cellStyle name="Output 2 4 7 4" xfId="50660" xr:uid="{00000000-0005-0000-0000-0000F3C50000}"/>
    <cellStyle name="Output 2 4 8" xfId="50661" xr:uid="{00000000-0005-0000-0000-0000F4C50000}"/>
    <cellStyle name="Output 2 4 8 2" xfId="50662" xr:uid="{00000000-0005-0000-0000-0000F5C50000}"/>
    <cellStyle name="Output 2 4 8 2 2" xfId="50663" xr:uid="{00000000-0005-0000-0000-0000F6C50000}"/>
    <cellStyle name="Output 2 4 8 3" xfId="50664" xr:uid="{00000000-0005-0000-0000-0000F7C50000}"/>
    <cellStyle name="Output 2 4 8 3 2" xfId="50665" xr:uid="{00000000-0005-0000-0000-0000F8C50000}"/>
    <cellStyle name="Output 2 4 8 4" xfId="50666" xr:uid="{00000000-0005-0000-0000-0000F9C50000}"/>
    <cellStyle name="Output 2 4 9" xfId="50667" xr:uid="{00000000-0005-0000-0000-0000FAC50000}"/>
    <cellStyle name="Output 2 4 9 2" xfId="50668" xr:uid="{00000000-0005-0000-0000-0000FBC50000}"/>
    <cellStyle name="Output 2 5" xfId="50669" xr:uid="{00000000-0005-0000-0000-0000FCC50000}"/>
    <cellStyle name="Output 2 5 10" xfId="50670" xr:uid="{00000000-0005-0000-0000-0000FDC50000}"/>
    <cellStyle name="Output 2 5 10 2" xfId="50671" xr:uid="{00000000-0005-0000-0000-0000FEC50000}"/>
    <cellStyle name="Output 2 5 11" xfId="50672" xr:uid="{00000000-0005-0000-0000-0000FFC50000}"/>
    <cellStyle name="Output 2 5 12" xfId="50673" xr:uid="{00000000-0005-0000-0000-000000C60000}"/>
    <cellStyle name="Output 2 5 13" xfId="50674" xr:uid="{00000000-0005-0000-0000-000001C60000}"/>
    <cellStyle name="Output 2 5 14" xfId="50675" xr:uid="{00000000-0005-0000-0000-000002C60000}"/>
    <cellStyle name="Output 2 5 15" xfId="50676" xr:uid="{00000000-0005-0000-0000-000003C60000}"/>
    <cellStyle name="Output 2 5 16" xfId="50677" xr:uid="{00000000-0005-0000-0000-000004C60000}"/>
    <cellStyle name="Output 2 5 2" xfId="50678" xr:uid="{00000000-0005-0000-0000-000005C60000}"/>
    <cellStyle name="Output 2 5 2 2" xfId="50679" xr:uid="{00000000-0005-0000-0000-000006C60000}"/>
    <cellStyle name="Output 2 5 2 2 2" xfId="50680" xr:uid="{00000000-0005-0000-0000-000007C60000}"/>
    <cellStyle name="Output 2 5 2 2 2 2" xfId="50681" xr:uid="{00000000-0005-0000-0000-000008C60000}"/>
    <cellStyle name="Output 2 5 2 2 3" xfId="50682" xr:uid="{00000000-0005-0000-0000-000009C60000}"/>
    <cellStyle name="Output 2 5 2 2 3 2" xfId="50683" xr:uid="{00000000-0005-0000-0000-00000AC60000}"/>
    <cellStyle name="Output 2 5 2 2 4" xfId="50684" xr:uid="{00000000-0005-0000-0000-00000BC60000}"/>
    <cellStyle name="Output 2 5 2 3" xfId="50685" xr:uid="{00000000-0005-0000-0000-00000CC60000}"/>
    <cellStyle name="Output 2 5 2 3 2" xfId="50686" xr:uid="{00000000-0005-0000-0000-00000DC60000}"/>
    <cellStyle name="Output 2 5 2 3 2 2" xfId="50687" xr:uid="{00000000-0005-0000-0000-00000EC60000}"/>
    <cellStyle name="Output 2 5 2 3 3" xfId="50688" xr:uid="{00000000-0005-0000-0000-00000FC60000}"/>
    <cellStyle name="Output 2 5 2 3 3 2" xfId="50689" xr:uid="{00000000-0005-0000-0000-000010C60000}"/>
    <cellStyle name="Output 2 5 2 3 4" xfId="50690" xr:uid="{00000000-0005-0000-0000-000011C60000}"/>
    <cellStyle name="Output 2 5 2 4" xfId="50691" xr:uid="{00000000-0005-0000-0000-000012C60000}"/>
    <cellStyle name="Output 2 5 2 4 2" xfId="50692" xr:uid="{00000000-0005-0000-0000-000013C60000}"/>
    <cellStyle name="Output 2 5 2 5" xfId="50693" xr:uid="{00000000-0005-0000-0000-000014C60000}"/>
    <cellStyle name="Output 2 5 2 5 2" xfId="50694" xr:uid="{00000000-0005-0000-0000-000015C60000}"/>
    <cellStyle name="Output 2 5 2 6" xfId="50695" xr:uid="{00000000-0005-0000-0000-000016C60000}"/>
    <cellStyle name="Output 2 5 3" xfId="50696" xr:uid="{00000000-0005-0000-0000-000017C60000}"/>
    <cellStyle name="Output 2 5 3 2" xfId="50697" xr:uid="{00000000-0005-0000-0000-000018C60000}"/>
    <cellStyle name="Output 2 5 3 2 2" xfId="50698" xr:uid="{00000000-0005-0000-0000-000019C60000}"/>
    <cellStyle name="Output 2 5 3 2 2 2" xfId="50699" xr:uid="{00000000-0005-0000-0000-00001AC60000}"/>
    <cellStyle name="Output 2 5 3 2 3" xfId="50700" xr:uid="{00000000-0005-0000-0000-00001BC60000}"/>
    <cellStyle name="Output 2 5 3 2 3 2" xfId="50701" xr:uid="{00000000-0005-0000-0000-00001CC60000}"/>
    <cellStyle name="Output 2 5 3 2 4" xfId="50702" xr:uid="{00000000-0005-0000-0000-00001DC60000}"/>
    <cellStyle name="Output 2 5 3 3" xfId="50703" xr:uid="{00000000-0005-0000-0000-00001EC60000}"/>
    <cellStyle name="Output 2 5 3 3 2" xfId="50704" xr:uid="{00000000-0005-0000-0000-00001FC60000}"/>
    <cellStyle name="Output 2 5 3 3 2 2" xfId="50705" xr:uid="{00000000-0005-0000-0000-000020C60000}"/>
    <cellStyle name="Output 2 5 3 3 3" xfId="50706" xr:uid="{00000000-0005-0000-0000-000021C60000}"/>
    <cellStyle name="Output 2 5 3 3 3 2" xfId="50707" xr:uid="{00000000-0005-0000-0000-000022C60000}"/>
    <cellStyle name="Output 2 5 3 3 4" xfId="50708" xr:uid="{00000000-0005-0000-0000-000023C60000}"/>
    <cellStyle name="Output 2 5 3 4" xfId="50709" xr:uid="{00000000-0005-0000-0000-000024C60000}"/>
    <cellStyle name="Output 2 5 3 4 2" xfId="50710" xr:uid="{00000000-0005-0000-0000-000025C60000}"/>
    <cellStyle name="Output 2 5 3 5" xfId="50711" xr:uid="{00000000-0005-0000-0000-000026C60000}"/>
    <cellStyle name="Output 2 5 3 5 2" xfId="50712" xr:uid="{00000000-0005-0000-0000-000027C60000}"/>
    <cellStyle name="Output 2 5 3 6" xfId="50713" xr:uid="{00000000-0005-0000-0000-000028C60000}"/>
    <cellStyle name="Output 2 5 4" xfId="50714" xr:uid="{00000000-0005-0000-0000-000029C60000}"/>
    <cellStyle name="Output 2 5 4 2" xfId="50715" xr:uid="{00000000-0005-0000-0000-00002AC60000}"/>
    <cellStyle name="Output 2 5 4 2 2" xfId="50716" xr:uid="{00000000-0005-0000-0000-00002BC60000}"/>
    <cellStyle name="Output 2 5 4 2 2 2" xfId="50717" xr:uid="{00000000-0005-0000-0000-00002CC60000}"/>
    <cellStyle name="Output 2 5 4 2 3" xfId="50718" xr:uid="{00000000-0005-0000-0000-00002DC60000}"/>
    <cellStyle name="Output 2 5 4 2 3 2" xfId="50719" xr:uid="{00000000-0005-0000-0000-00002EC60000}"/>
    <cellStyle name="Output 2 5 4 2 4" xfId="50720" xr:uid="{00000000-0005-0000-0000-00002FC60000}"/>
    <cellStyle name="Output 2 5 4 3" xfId="50721" xr:uid="{00000000-0005-0000-0000-000030C60000}"/>
    <cellStyle name="Output 2 5 4 3 2" xfId="50722" xr:uid="{00000000-0005-0000-0000-000031C60000}"/>
    <cellStyle name="Output 2 5 4 3 2 2" xfId="50723" xr:uid="{00000000-0005-0000-0000-000032C60000}"/>
    <cellStyle name="Output 2 5 4 3 3" xfId="50724" xr:uid="{00000000-0005-0000-0000-000033C60000}"/>
    <cellStyle name="Output 2 5 4 3 3 2" xfId="50725" xr:uid="{00000000-0005-0000-0000-000034C60000}"/>
    <cellStyle name="Output 2 5 4 3 4" xfId="50726" xr:uid="{00000000-0005-0000-0000-000035C60000}"/>
    <cellStyle name="Output 2 5 4 4" xfId="50727" xr:uid="{00000000-0005-0000-0000-000036C60000}"/>
    <cellStyle name="Output 2 5 4 4 2" xfId="50728" xr:uid="{00000000-0005-0000-0000-000037C60000}"/>
    <cellStyle name="Output 2 5 4 5" xfId="50729" xr:uid="{00000000-0005-0000-0000-000038C60000}"/>
    <cellStyle name="Output 2 5 4 5 2" xfId="50730" xr:uid="{00000000-0005-0000-0000-000039C60000}"/>
    <cellStyle name="Output 2 5 4 6" xfId="50731" xr:uid="{00000000-0005-0000-0000-00003AC60000}"/>
    <cellStyle name="Output 2 5 5" xfId="50732" xr:uid="{00000000-0005-0000-0000-00003BC60000}"/>
    <cellStyle name="Output 2 5 5 2" xfId="50733" xr:uid="{00000000-0005-0000-0000-00003CC60000}"/>
    <cellStyle name="Output 2 5 5 2 2" xfId="50734" xr:uid="{00000000-0005-0000-0000-00003DC60000}"/>
    <cellStyle name="Output 2 5 5 2 2 2" xfId="50735" xr:uid="{00000000-0005-0000-0000-00003EC60000}"/>
    <cellStyle name="Output 2 5 5 2 3" xfId="50736" xr:uid="{00000000-0005-0000-0000-00003FC60000}"/>
    <cellStyle name="Output 2 5 5 2 3 2" xfId="50737" xr:uid="{00000000-0005-0000-0000-000040C60000}"/>
    <cellStyle name="Output 2 5 5 2 4" xfId="50738" xr:uid="{00000000-0005-0000-0000-000041C60000}"/>
    <cellStyle name="Output 2 5 5 3" xfId="50739" xr:uid="{00000000-0005-0000-0000-000042C60000}"/>
    <cellStyle name="Output 2 5 5 3 2" xfId="50740" xr:uid="{00000000-0005-0000-0000-000043C60000}"/>
    <cellStyle name="Output 2 5 5 3 2 2" xfId="50741" xr:uid="{00000000-0005-0000-0000-000044C60000}"/>
    <cellStyle name="Output 2 5 5 3 3" xfId="50742" xr:uid="{00000000-0005-0000-0000-000045C60000}"/>
    <cellStyle name="Output 2 5 5 3 3 2" xfId="50743" xr:uid="{00000000-0005-0000-0000-000046C60000}"/>
    <cellStyle name="Output 2 5 5 3 4" xfId="50744" xr:uid="{00000000-0005-0000-0000-000047C60000}"/>
    <cellStyle name="Output 2 5 5 4" xfId="50745" xr:uid="{00000000-0005-0000-0000-000048C60000}"/>
    <cellStyle name="Output 2 5 5 4 2" xfId="50746" xr:uid="{00000000-0005-0000-0000-000049C60000}"/>
    <cellStyle name="Output 2 5 5 5" xfId="50747" xr:uid="{00000000-0005-0000-0000-00004AC60000}"/>
    <cellStyle name="Output 2 5 5 5 2" xfId="50748" xr:uid="{00000000-0005-0000-0000-00004BC60000}"/>
    <cellStyle name="Output 2 5 5 6" xfId="50749" xr:uid="{00000000-0005-0000-0000-00004CC60000}"/>
    <cellStyle name="Output 2 5 6" xfId="50750" xr:uid="{00000000-0005-0000-0000-00004DC60000}"/>
    <cellStyle name="Output 2 5 6 2" xfId="50751" xr:uid="{00000000-0005-0000-0000-00004EC60000}"/>
    <cellStyle name="Output 2 5 6 2 2" xfId="50752" xr:uid="{00000000-0005-0000-0000-00004FC60000}"/>
    <cellStyle name="Output 2 5 6 2 2 2" xfId="50753" xr:uid="{00000000-0005-0000-0000-000050C60000}"/>
    <cellStyle name="Output 2 5 6 2 3" xfId="50754" xr:uid="{00000000-0005-0000-0000-000051C60000}"/>
    <cellStyle name="Output 2 5 6 2 3 2" xfId="50755" xr:uid="{00000000-0005-0000-0000-000052C60000}"/>
    <cellStyle name="Output 2 5 6 2 4" xfId="50756" xr:uid="{00000000-0005-0000-0000-000053C60000}"/>
    <cellStyle name="Output 2 5 6 3" xfId="50757" xr:uid="{00000000-0005-0000-0000-000054C60000}"/>
    <cellStyle name="Output 2 5 6 3 2" xfId="50758" xr:uid="{00000000-0005-0000-0000-000055C60000}"/>
    <cellStyle name="Output 2 5 6 3 2 2" xfId="50759" xr:uid="{00000000-0005-0000-0000-000056C60000}"/>
    <cellStyle name="Output 2 5 6 3 3" xfId="50760" xr:uid="{00000000-0005-0000-0000-000057C60000}"/>
    <cellStyle name="Output 2 5 6 3 3 2" xfId="50761" xr:uid="{00000000-0005-0000-0000-000058C60000}"/>
    <cellStyle name="Output 2 5 6 3 4" xfId="50762" xr:uid="{00000000-0005-0000-0000-000059C60000}"/>
    <cellStyle name="Output 2 5 6 4" xfId="50763" xr:uid="{00000000-0005-0000-0000-00005AC60000}"/>
    <cellStyle name="Output 2 5 6 4 2" xfId="50764" xr:uid="{00000000-0005-0000-0000-00005BC60000}"/>
    <cellStyle name="Output 2 5 6 5" xfId="50765" xr:uid="{00000000-0005-0000-0000-00005CC60000}"/>
    <cellStyle name="Output 2 5 6 5 2" xfId="50766" xr:uid="{00000000-0005-0000-0000-00005DC60000}"/>
    <cellStyle name="Output 2 5 6 6" xfId="50767" xr:uid="{00000000-0005-0000-0000-00005EC60000}"/>
    <cellStyle name="Output 2 5 7" xfId="50768" xr:uid="{00000000-0005-0000-0000-00005FC60000}"/>
    <cellStyle name="Output 2 5 7 2" xfId="50769" xr:uid="{00000000-0005-0000-0000-000060C60000}"/>
    <cellStyle name="Output 2 5 7 2 2" xfId="50770" xr:uid="{00000000-0005-0000-0000-000061C60000}"/>
    <cellStyle name="Output 2 5 7 3" xfId="50771" xr:uid="{00000000-0005-0000-0000-000062C60000}"/>
    <cellStyle name="Output 2 5 7 3 2" xfId="50772" xr:uid="{00000000-0005-0000-0000-000063C60000}"/>
    <cellStyle name="Output 2 5 7 4" xfId="50773" xr:uid="{00000000-0005-0000-0000-000064C60000}"/>
    <cellStyle name="Output 2 5 8" xfId="50774" xr:uid="{00000000-0005-0000-0000-000065C60000}"/>
    <cellStyle name="Output 2 5 8 2" xfId="50775" xr:uid="{00000000-0005-0000-0000-000066C60000}"/>
    <cellStyle name="Output 2 5 8 2 2" xfId="50776" xr:uid="{00000000-0005-0000-0000-000067C60000}"/>
    <cellStyle name="Output 2 5 8 3" xfId="50777" xr:uid="{00000000-0005-0000-0000-000068C60000}"/>
    <cellStyle name="Output 2 5 8 3 2" xfId="50778" xr:uid="{00000000-0005-0000-0000-000069C60000}"/>
    <cellStyle name="Output 2 5 8 4" xfId="50779" xr:uid="{00000000-0005-0000-0000-00006AC60000}"/>
    <cellStyle name="Output 2 5 9" xfId="50780" xr:uid="{00000000-0005-0000-0000-00006BC60000}"/>
    <cellStyle name="Output 2 5 9 2" xfId="50781" xr:uid="{00000000-0005-0000-0000-00006CC60000}"/>
    <cellStyle name="Output 2 6" xfId="50782" xr:uid="{00000000-0005-0000-0000-00006DC60000}"/>
    <cellStyle name="Output 2 6 10" xfId="50783" xr:uid="{00000000-0005-0000-0000-00006EC60000}"/>
    <cellStyle name="Output 2 6 10 2" xfId="50784" xr:uid="{00000000-0005-0000-0000-00006FC60000}"/>
    <cellStyle name="Output 2 6 11" xfId="50785" xr:uid="{00000000-0005-0000-0000-000070C60000}"/>
    <cellStyle name="Output 2 6 12" xfId="50786" xr:uid="{00000000-0005-0000-0000-000071C60000}"/>
    <cellStyle name="Output 2 6 13" xfId="50787" xr:uid="{00000000-0005-0000-0000-000072C60000}"/>
    <cellStyle name="Output 2 6 14" xfId="50788" xr:uid="{00000000-0005-0000-0000-000073C60000}"/>
    <cellStyle name="Output 2 6 15" xfId="50789" xr:uid="{00000000-0005-0000-0000-000074C60000}"/>
    <cellStyle name="Output 2 6 16" xfId="50790" xr:uid="{00000000-0005-0000-0000-000075C60000}"/>
    <cellStyle name="Output 2 6 17" xfId="50791" xr:uid="{00000000-0005-0000-0000-000076C60000}"/>
    <cellStyle name="Output 2 6 2" xfId="50792" xr:uid="{00000000-0005-0000-0000-000077C60000}"/>
    <cellStyle name="Output 2 6 2 2" xfId="50793" xr:uid="{00000000-0005-0000-0000-000078C60000}"/>
    <cellStyle name="Output 2 6 2 2 2" xfId="50794" xr:uid="{00000000-0005-0000-0000-000079C60000}"/>
    <cellStyle name="Output 2 6 2 2 2 2" xfId="50795" xr:uid="{00000000-0005-0000-0000-00007AC60000}"/>
    <cellStyle name="Output 2 6 2 2 3" xfId="50796" xr:uid="{00000000-0005-0000-0000-00007BC60000}"/>
    <cellStyle name="Output 2 6 2 2 3 2" xfId="50797" xr:uid="{00000000-0005-0000-0000-00007CC60000}"/>
    <cellStyle name="Output 2 6 2 2 4" xfId="50798" xr:uid="{00000000-0005-0000-0000-00007DC60000}"/>
    <cellStyle name="Output 2 6 2 3" xfId="50799" xr:uid="{00000000-0005-0000-0000-00007EC60000}"/>
    <cellStyle name="Output 2 6 2 3 2" xfId="50800" xr:uid="{00000000-0005-0000-0000-00007FC60000}"/>
    <cellStyle name="Output 2 6 2 3 2 2" xfId="50801" xr:uid="{00000000-0005-0000-0000-000080C60000}"/>
    <cellStyle name="Output 2 6 2 3 3" xfId="50802" xr:uid="{00000000-0005-0000-0000-000081C60000}"/>
    <cellStyle name="Output 2 6 2 3 3 2" xfId="50803" xr:uid="{00000000-0005-0000-0000-000082C60000}"/>
    <cellStyle name="Output 2 6 2 3 4" xfId="50804" xr:uid="{00000000-0005-0000-0000-000083C60000}"/>
    <cellStyle name="Output 2 6 2 4" xfId="50805" xr:uid="{00000000-0005-0000-0000-000084C60000}"/>
    <cellStyle name="Output 2 6 2 4 2" xfId="50806" xr:uid="{00000000-0005-0000-0000-000085C60000}"/>
    <cellStyle name="Output 2 6 2 5" xfId="50807" xr:uid="{00000000-0005-0000-0000-000086C60000}"/>
    <cellStyle name="Output 2 6 2 5 2" xfId="50808" xr:uid="{00000000-0005-0000-0000-000087C60000}"/>
    <cellStyle name="Output 2 6 2 6" xfId="50809" xr:uid="{00000000-0005-0000-0000-000088C60000}"/>
    <cellStyle name="Output 2 6 3" xfId="50810" xr:uid="{00000000-0005-0000-0000-000089C60000}"/>
    <cellStyle name="Output 2 6 3 2" xfId="50811" xr:uid="{00000000-0005-0000-0000-00008AC60000}"/>
    <cellStyle name="Output 2 6 3 2 2" xfId="50812" xr:uid="{00000000-0005-0000-0000-00008BC60000}"/>
    <cellStyle name="Output 2 6 3 2 2 2" xfId="50813" xr:uid="{00000000-0005-0000-0000-00008CC60000}"/>
    <cellStyle name="Output 2 6 3 2 3" xfId="50814" xr:uid="{00000000-0005-0000-0000-00008DC60000}"/>
    <cellStyle name="Output 2 6 3 2 3 2" xfId="50815" xr:uid="{00000000-0005-0000-0000-00008EC60000}"/>
    <cellStyle name="Output 2 6 3 2 4" xfId="50816" xr:uid="{00000000-0005-0000-0000-00008FC60000}"/>
    <cellStyle name="Output 2 6 3 3" xfId="50817" xr:uid="{00000000-0005-0000-0000-000090C60000}"/>
    <cellStyle name="Output 2 6 3 3 2" xfId="50818" xr:uid="{00000000-0005-0000-0000-000091C60000}"/>
    <cellStyle name="Output 2 6 3 3 2 2" xfId="50819" xr:uid="{00000000-0005-0000-0000-000092C60000}"/>
    <cellStyle name="Output 2 6 3 3 3" xfId="50820" xr:uid="{00000000-0005-0000-0000-000093C60000}"/>
    <cellStyle name="Output 2 6 3 3 3 2" xfId="50821" xr:uid="{00000000-0005-0000-0000-000094C60000}"/>
    <cellStyle name="Output 2 6 3 3 4" xfId="50822" xr:uid="{00000000-0005-0000-0000-000095C60000}"/>
    <cellStyle name="Output 2 6 3 4" xfId="50823" xr:uid="{00000000-0005-0000-0000-000096C60000}"/>
    <cellStyle name="Output 2 6 3 4 2" xfId="50824" xr:uid="{00000000-0005-0000-0000-000097C60000}"/>
    <cellStyle name="Output 2 6 3 5" xfId="50825" xr:uid="{00000000-0005-0000-0000-000098C60000}"/>
    <cellStyle name="Output 2 6 3 5 2" xfId="50826" xr:uid="{00000000-0005-0000-0000-000099C60000}"/>
    <cellStyle name="Output 2 6 3 6" xfId="50827" xr:uid="{00000000-0005-0000-0000-00009AC60000}"/>
    <cellStyle name="Output 2 6 4" xfId="50828" xr:uid="{00000000-0005-0000-0000-00009BC60000}"/>
    <cellStyle name="Output 2 6 4 2" xfId="50829" xr:uid="{00000000-0005-0000-0000-00009CC60000}"/>
    <cellStyle name="Output 2 6 4 2 2" xfId="50830" xr:uid="{00000000-0005-0000-0000-00009DC60000}"/>
    <cellStyle name="Output 2 6 4 2 2 2" xfId="50831" xr:uid="{00000000-0005-0000-0000-00009EC60000}"/>
    <cellStyle name="Output 2 6 4 2 3" xfId="50832" xr:uid="{00000000-0005-0000-0000-00009FC60000}"/>
    <cellStyle name="Output 2 6 4 2 3 2" xfId="50833" xr:uid="{00000000-0005-0000-0000-0000A0C60000}"/>
    <cellStyle name="Output 2 6 4 2 4" xfId="50834" xr:uid="{00000000-0005-0000-0000-0000A1C60000}"/>
    <cellStyle name="Output 2 6 4 3" xfId="50835" xr:uid="{00000000-0005-0000-0000-0000A2C60000}"/>
    <cellStyle name="Output 2 6 4 3 2" xfId="50836" xr:uid="{00000000-0005-0000-0000-0000A3C60000}"/>
    <cellStyle name="Output 2 6 4 3 2 2" xfId="50837" xr:uid="{00000000-0005-0000-0000-0000A4C60000}"/>
    <cellStyle name="Output 2 6 4 3 3" xfId="50838" xr:uid="{00000000-0005-0000-0000-0000A5C60000}"/>
    <cellStyle name="Output 2 6 4 3 3 2" xfId="50839" xr:uid="{00000000-0005-0000-0000-0000A6C60000}"/>
    <cellStyle name="Output 2 6 4 3 4" xfId="50840" xr:uid="{00000000-0005-0000-0000-0000A7C60000}"/>
    <cellStyle name="Output 2 6 4 4" xfId="50841" xr:uid="{00000000-0005-0000-0000-0000A8C60000}"/>
    <cellStyle name="Output 2 6 4 4 2" xfId="50842" xr:uid="{00000000-0005-0000-0000-0000A9C60000}"/>
    <cellStyle name="Output 2 6 4 5" xfId="50843" xr:uid="{00000000-0005-0000-0000-0000AAC60000}"/>
    <cellStyle name="Output 2 6 4 5 2" xfId="50844" xr:uid="{00000000-0005-0000-0000-0000ABC60000}"/>
    <cellStyle name="Output 2 6 4 6" xfId="50845" xr:uid="{00000000-0005-0000-0000-0000ACC60000}"/>
    <cellStyle name="Output 2 6 5" xfId="50846" xr:uid="{00000000-0005-0000-0000-0000ADC60000}"/>
    <cellStyle name="Output 2 6 5 2" xfId="50847" xr:uid="{00000000-0005-0000-0000-0000AEC60000}"/>
    <cellStyle name="Output 2 6 5 2 2" xfId="50848" xr:uid="{00000000-0005-0000-0000-0000AFC60000}"/>
    <cellStyle name="Output 2 6 5 2 2 2" xfId="50849" xr:uid="{00000000-0005-0000-0000-0000B0C60000}"/>
    <cellStyle name="Output 2 6 5 2 3" xfId="50850" xr:uid="{00000000-0005-0000-0000-0000B1C60000}"/>
    <cellStyle name="Output 2 6 5 2 3 2" xfId="50851" xr:uid="{00000000-0005-0000-0000-0000B2C60000}"/>
    <cellStyle name="Output 2 6 5 2 4" xfId="50852" xr:uid="{00000000-0005-0000-0000-0000B3C60000}"/>
    <cellStyle name="Output 2 6 5 3" xfId="50853" xr:uid="{00000000-0005-0000-0000-0000B4C60000}"/>
    <cellStyle name="Output 2 6 5 3 2" xfId="50854" xr:uid="{00000000-0005-0000-0000-0000B5C60000}"/>
    <cellStyle name="Output 2 6 5 3 2 2" xfId="50855" xr:uid="{00000000-0005-0000-0000-0000B6C60000}"/>
    <cellStyle name="Output 2 6 5 3 3" xfId="50856" xr:uid="{00000000-0005-0000-0000-0000B7C60000}"/>
    <cellStyle name="Output 2 6 5 3 3 2" xfId="50857" xr:uid="{00000000-0005-0000-0000-0000B8C60000}"/>
    <cellStyle name="Output 2 6 5 3 4" xfId="50858" xr:uid="{00000000-0005-0000-0000-0000B9C60000}"/>
    <cellStyle name="Output 2 6 5 4" xfId="50859" xr:uid="{00000000-0005-0000-0000-0000BAC60000}"/>
    <cellStyle name="Output 2 6 5 4 2" xfId="50860" xr:uid="{00000000-0005-0000-0000-0000BBC60000}"/>
    <cellStyle name="Output 2 6 5 5" xfId="50861" xr:uid="{00000000-0005-0000-0000-0000BCC60000}"/>
    <cellStyle name="Output 2 6 5 5 2" xfId="50862" xr:uid="{00000000-0005-0000-0000-0000BDC60000}"/>
    <cellStyle name="Output 2 6 5 6" xfId="50863" xr:uid="{00000000-0005-0000-0000-0000BEC60000}"/>
    <cellStyle name="Output 2 6 6" xfId="50864" xr:uid="{00000000-0005-0000-0000-0000BFC60000}"/>
    <cellStyle name="Output 2 6 6 2" xfId="50865" xr:uid="{00000000-0005-0000-0000-0000C0C60000}"/>
    <cellStyle name="Output 2 6 6 2 2" xfId="50866" xr:uid="{00000000-0005-0000-0000-0000C1C60000}"/>
    <cellStyle name="Output 2 6 6 2 2 2" xfId="50867" xr:uid="{00000000-0005-0000-0000-0000C2C60000}"/>
    <cellStyle name="Output 2 6 6 2 3" xfId="50868" xr:uid="{00000000-0005-0000-0000-0000C3C60000}"/>
    <cellStyle name="Output 2 6 6 2 3 2" xfId="50869" xr:uid="{00000000-0005-0000-0000-0000C4C60000}"/>
    <cellStyle name="Output 2 6 6 2 4" xfId="50870" xr:uid="{00000000-0005-0000-0000-0000C5C60000}"/>
    <cellStyle name="Output 2 6 6 3" xfId="50871" xr:uid="{00000000-0005-0000-0000-0000C6C60000}"/>
    <cellStyle name="Output 2 6 6 3 2" xfId="50872" xr:uid="{00000000-0005-0000-0000-0000C7C60000}"/>
    <cellStyle name="Output 2 6 6 3 2 2" xfId="50873" xr:uid="{00000000-0005-0000-0000-0000C8C60000}"/>
    <cellStyle name="Output 2 6 6 3 3" xfId="50874" xr:uid="{00000000-0005-0000-0000-0000C9C60000}"/>
    <cellStyle name="Output 2 6 6 3 3 2" xfId="50875" xr:uid="{00000000-0005-0000-0000-0000CAC60000}"/>
    <cellStyle name="Output 2 6 6 3 4" xfId="50876" xr:uid="{00000000-0005-0000-0000-0000CBC60000}"/>
    <cellStyle name="Output 2 6 6 4" xfId="50877" xr:uid="{00000000-0005-0000-0000-0000CCC60000}"/>
    <cellStyle name="Output 2 6 6 4 2" xfId="50878" xr:uid="{00000000-0005-0000-0000-0000CDC60000}"/>
    <cellStyle name="Output 2 6 6 5" xfId="50879" xr:uid="{00000000-0005-0000-0000-0000CEC60000}"/>
    <cellStyle name="Output 2 6 6 5 2" xfId="50880" xr:uid="{00000000-0005-0000-0000-0000CFC60000}"/>
    <cellStyle name="Output 2 6 6 6" xfId="50881" xr:uid="{00000000-0005-0000-0000-0000D0C60000}"/>
    <cellStyle name="Output 2 6 7" xfId="50882" xr:uid="{00000000-0005-0000-0000-0000D1C60000}"/>
    <cellStyle name="Output 2 6 7 2" xfId="50883" xr:uid="{00000000-0005-0000-0000-0000D2C60000}"/>
    <cellStyle name="Output 2 6 7 2 2" xfId="50884" xr:uid="{00000000-0005-0000-0000-0000D3C60000}"/>
    <cellStyle name="Output 2 6 7 3" xfId="50885" xr:uid="{00000000-0005-0000-0000-0000D4C60000}"/>
    <cellStyle name="Output 2 6 7 3 2" xfId="50886" xr:uid="{00000000-0005-0000-0000-0000D5C60000}"/>
    <cellStyle name="Output 2 6 7 4" xfId="50887" xr:uid="{00000000-0005-0000-0000-0000D6C60000}"/>
    <cellStyle name="Output 2 6 8" xfId="50888" xr:uid="{00000000-0005-0000-0000-0000D7C60000}"/>
    <cellStyle name="Output 2 6 8 2" xfId="50889" xr:uid="{00000000-0005-0000-0000-0000D8C60000}"/>
    <cellStyle name="Output 2 6 8 2 2" xfId="50890" xr:uid="{00000000-0005-0000-0000-0000D9C60000}"/>
    <cellStyle name="Output 2 6 8 3" xfId="50891" xr:uid="{00000000-0005-0000-0000-0000DAC60000}"/>
    <cellStyle name="Output 2 6 8 3 2" xfId="50892" xr:uid="{00000000-0005-0000-0000-0000DBC60000}"/>
    <cellStyle name="Output 2 6 8 4" xfId="50893" xr:uid="{00000000-0005-0000-0000-0000DCC60000}"/>
    <cellStyle name="Output 2 6 9" xfId="50894" xr:uid="{00000000-0005-0000-0000-0000DDC60000}"/>
    <cellStyle name="Output 2 6 9 2" xfId="50895" xr:uid="{00000000-0005-0000-0000-0000DEC60000}"/>
    <cellStyle name="Output 2 7" xfId="50896" xr:uid="{00000000-0005-0000-0000-0000DFC60000}"/>
    <cellStyle name="Output 2 7 10" xfId="50897" xr:uid="{00000000-0005-0000-0000-0000E0C60000}"/>
    <cellStyle name="Output 2 7 11" xfId="50898" xr:uid="{00000000-0005-0000-0000-0000E1C60000}"/>
    <cellStyle name="Output 2 7 12" xfId="50899" xr:uid="{00000000-0005-0000-0000-0000E2C60000}"/>
    <cellStyle name="Output 2 7 2" xfId="50900" xr:uid="{00000000-0005-0000-0000-0000E3C60000}"/>
    <cellStyle name="Output 2 7 2 2" xfId="50901" xr:uid="{00000000-0005-0000-0000-0000E4C60000}"/>
    <cellStyle name="Output 2 7 2 2 2" xfId="50902" xr:uid="{00000000-0005-0000-0000-0000E5C60000}"/>
    <cellStyle name="Output 2 7 2 3" xfId="50903" xr:uid="{00000000-0005-0000-0000-0000E6C60000}"/>
    <cellStyle name="Output 2 7 2 3 2" xfId="50904" xr:uid="{00000000-0005-0000-0000-0000E7C60000}"/>
    <cellStyle name="Output 2 7 2 4" xfId="50905" xr:uid="{00000000-0005-0000-0000-0000E8C60000}"/>
    <cellStyle name="Output 2 7 3" xfId="50906" xr:uid="{00000000-0005-0000-0000-0000E9C60000}"/>
    <cellStyle name="Output 2 7 3 2" xfId="50907" xr:uid="{00000000-0005-0000-0000-0000EAC60000}"/>
    <cellStyle name="Output 2 7 3 2 2" xfId="50908" xr:uid="{00000000-0005-0000-0000-0000EBC60000}"/>
    <cellStyle name="Output 2 7 3 3" xfId="50909" xr:uid="{00000000-0005-0000-0000-0000ECC60000}"/>
    <cellStyle name="Output 2 7 3 3 2" xfId="50910" xr:uid="{00000000-0005-0000-0000-0000EDC60000}"/>
    <cellStyle name="Output 2 7 3 4" xfId="50911" xr:uid="{00000000-0005-0000-0000-0000EEC60000}"/>
    <cellStyle name="Output 2 7 4" xfId="50912" xr:uid="{00000000-0005-0000-0000-0000EFC60000}"/>
    <cellStyle name="Output 2 7 4 2" xfId="50913" xr:uid="{00000000-0005-0000-0000-0000F0C60000}"/>
    <cellStyle name="Output 2 7 4 3" xfId="50914" xr:uid="{00000000-0005-0000-0000-0000F1C60000}"/>
    <cellStyle name="Output 2 7 5" xfId="50915" xr:uid="{00000000-0005-0000-0000-0000F2C60000}"/>
    <cellStyle name="Output 2 7 5 2" xfId="50916" xr:uid="{00000000-0005-0000-0000-0000F3C60000}"/>
    <cellStyle name="Output 2 7 6" xfId="50917" xr:uid="{00000000-0005-0000-0000-0000F4C60000}"/>
    <cellStyle name="Output 2 7 7" xfId="50918" xr:uid="{00000000-0005-0000-0000-0000F5C60000}"/>
    <cellStyle name="Output 2 7 8" xfId="50919" xr:uid="{00000000-0005-0000-0000-0000F6C60000}"/>
    <cellStyle name="Output 2 7 9" xfId="50920" xr:uid="{00000000-0005-0000-0000-0000F7C60000}"/>
    <cellStyle name="Output 2 8" xfId="50921" xr:uid="{00000000-0005-0000-0000-0000F8C60000}"/>
    <cellStyle name="Output 2 8 10" xfId="50922" xr:uid="{00000000-0005-0000-0000-0000F9C60000}"/>
    <cellStyle name="Output 2 8 11" xfId="50923" xr:uid="{00000000-0005-0000-0000-0000FAC60000}"/>
    <cellStyle name="Output 2 8 12" xfId="50924" xr:uid="{00000000-0005-0000-0000-0000FBC60000}"/>
    <cellStyle name="Output 2 8 2" xfId="50925" xr:uid="{00000000-0005-0000-0000-0000FCC60000}"/>
    <cellStyle name="Output 2 8 2 2" xfId="50926" xr:uid="{00000000-0005-0000-0000-0000FDC60000}"/>
    <cellStyle name="Output 2 8 2 2 2" xfId="50927" xr:uid="{00000000-0005-0000-0000-0000FEC60000}"/>
    <cellStyle name="Output 2 8 2 3" xfId="50928" xr:uid="{00000000-0005-0000-0000-0000FFC60000}"/>
    <cellStyle name="Output 2 8 2 3 2" xfId="50929" xr:uid="{00000000-0005-0000-0000-000000C70000}"/>
    <cellStyle name="Output 2 8 2 4" xfId="50930" xr:uid="{00000000-0005-0000-0000-000001C70000}"/>
    <cellStyle name="Output 2 8 3" xfId="50931" xr:uid="{00000000-0005-0000-0000-000002C70000}"/>
    <cellStyle name="Output 2 8 3 2" xfId="50932" xr:uid="{00000000-0005-0000-0000-000003C70000}"/>
    <cellStyle name="Output 2 8 3 2 2" xfId="50933" xr:uid="{00000000-0005-0000-0000-000004C70000}"/>
    <cellStyle name="Output 2 8 3 3" xfId="50934" xr:uid="{00000000-0005-0000-0000-000005C70000}"/>
    <cellStyle name="Output 2 8 3 3 2" xfId="50935" xr:uid="{00000000-0005-0000-0000-000006C70000}"/>
    <cellStyle name="Output 2 8 3 4" xfId="50936" xr:uid="{00000000-0005-0000-0000-000007C70000}"/>
    <cellStyle name="Output 2 8 4" xfId="50937" xr:uid="{00000000-0005-0000-0000-000008C70000}"/>
    <cellStyle name="Output 2 8 4 2" xfId="50938" xr:uid="{00000000-0005-0000-0000-000009C70000}"/>
    <cellStyle name="Output 2 8 4 3" xfId="50939" xr:uid="{00000000-0005-0000-0000-00000AC70000}"/>
    <cellStyle name="Output 2 8 5" xfId="50940" xr:uid="{00000000-0005-0000-0000-00000BC70000}"/>
    <cellStyle name="Output 2 8 5 2" xfId="50941" xr:uid="{00000000-0005-0000-0000-00000CC70000}"/>
    <cellStyle name="Output 2 8 6" xfId="50942" xr:uid="{00000000-0005-0000-0000-00000DC70000}"/>
    <cellStyle name="Output 2 8 7" xfId="50943" xr:uid="{00000000-0005-0000-0000-00000EC70000}"/>
    <cellStyle name="Output 2 8 8" xfId="50944" xr:uid="{00000000-0005-0000-0000-00000FC70000}"/>
    <cellStyle name="Output 2 8 9" xfId="50945" xr:uid="{00000000-0005-0000-0000-000010C70000}"/>
    <cellStyle name="Output 2 9" xfId="50946" xr:uid="{00000000-0005-0000-0000-000011C70000}"/>
    <cellStyle name="Output 2 9 10" xfId="50947" xr:uid="{00000000-0005-0000-0000-000012C70000}"/>
    <cellStyle name="Output 2 9 11" xfId="50948" xr:uid="{00000000-0005-0000-0000-000013C70000}"/>
    <cellStyle name="Output 2 9 12" xfId="50949" xr:uid="{00000000-0005-0000-0000-000014C70000}"/>
    <cellStyle name="Output 2 9 13" xfId="50950" xr:uid="{00000000-0005-0000-0000-000015C70000}"/>
    <cellStyle name="Output 2 9 2" xfId="50951" xr:uid="{00000000-0005-0000-0000-000016C70000}"/>
    <cellStyle name="Output 2 9 2 2" xfId="50952" xr:uid="{00000000-0005-0000-0000-000017C70000}"/>
    <cellStyle name="Output 2 9 2 2 2" xfId="50953" xr:uid="{00000000-0005-0000-0000-000018C70000}"/>
    <cellStyle name="Output 2 9 2 3" xfId="50954" xr:uid="{00000000-0005-0000-0000-000019C70000}"/>
    <cellStyle name="Output 2 9 2 3 2" xfId="50955" xr:uid="{00000000-0005-0000-0000-00001AC70000}"/>
    <cellStyle name="Output 2 9 2 4" xfId="50956" xr:uid="{00000000-0005-0000-0000-00001BC70000}"/>
    <cellStyle name="Output 2 9 3" xfId="50957" xr:uid="{00000000-0005-0000-0000-00001CC70000}"/>
    <cellStyle name="Output 2 9 3 2" xfId="50958" xr:uid="{00000000-0005-0000-0000-00001DC70000}"/>
    <cellStyle name="Output 2 9 3 2 2" xfId="50959" xr:uid="{00000000-0005-0000-0000-00001EC70000}"/>
    <cellStyle name="Output 2 9 3 3" xfId="50960" xr:uid="{00000000-0005-0000-0000-00001FC70000}"/>
    <cellStyle name="Output 2 9 3 3 2" xfId="50961" xr:uid="{00000000-0005-0000-0000-000020C70000}"/>
    <cellStyle name="Output 2 9 3 4" xfId="50962" xr:uid="{00000000-0005-0000-0000-000021C70000}"/>
    <cellStyle name="Output 2 9 4" xfId="50963" xr:uid="{00000000-0005-0000-0000-000022C70000}"/>
    <cellStyle name="Output 2 9 4 2" xfId="50964" xr:uid="{00000000-0005-0000-0000-000023C70000}"/>
    <cellStyle name="Output 2 9 4 2 2" xfId="50965" xr:uid="{00000000-0005-0000-0000-000024C70000}"/>
    <cellStyle name="Output 2 9 4 3" xfId="50966" xr:uid="{00000000-0005-0000-0000-000025C70000}"/>
    <cellStyle name="Output 2 9 4 3 2" xfId="50967" xr:uid="{00000000-0005-0000-0000-000026C70000}"/>
    <cellStyle name="Output 2 9 4 4" xfId="50968" xr:uid="{00000000-0005-0000-0000-000027C70000}"/>
    <cellStyle name="Output 2 9 5" xfId="50969" xr:uid="{00000000-0005-0000-0000-000028C70000}"/>
    <cellStyle name="Output 2 9 5 2" xfId="50970" xr:uid="{00000000-0005-0000-0000-000029C70000}"/>
    <cellStyle name="Output 2 9 6" xfId="50971" xr:uid="{00000000-0005-0000-0000-00002AC70000}"/>
    <cellStyle name="Output 2 9 6 2" xfId="50972" xr:uid="{00000000-0005-0000-0000-00002BC70000}"/>
    <cellStyle name="Output 2 9 7" xfId="50973" xr:uid="{00000000-0005-0000-0000-00002CC70000}"/>
    <cellStyle name="Output 2 9 8" xfId="50974" xr:uid="{00000000-0005-0000-0000-00002DC70000}"/>
    <cellStyle name="Output 2 9 9" xfId="50975" xr:uid="{00000000-0005-0000-0000-00002EC70000}"/>
    <cellStyle name="Output 2_Labour" xfId="50976" xr:uid="{00000000-0005-0000-0000-00002FC70000}"/>
    <cellStyle name="Output 20" xfId="50977" xr:uid="{00000000-0005-0000-0000-000030C70000}"/>
    <cellStyle name="Output 20 10" xfId="50978" xr:uid="{00000000-0005-0000-0000-000031C70000}"/>
    <cellStyle name="Output 20 2" xfId="50979" xr:uid="{00000000-0005-0000-0000-000032C70000}"/>
    <cellStyle name="Output 20 2 2" xfId="50980" xr:uid="{00000000-0005-0000-0000-000033C70000}"/>
    <cellStyle name="Output 20 2 3" xfId="50981" xr:uid="{00000000-0005-0000-0000-000034C70000}"/>
    <cellStyle name="Output 20 2 4" xfId="50982" xr:uid="{00000000-0005-0000-0000-000035C70000}"/>
    <cellStyle name="Output 20 2 5" xfId="50983" xr:uid="{00000000-0005-0000-0000-000036C70000}"/>
    <cellStyle name="Output 20 3" xfId="50984" xr:uid="{00000000-0005-0000-0000-000037C70000}"/>
    <cellStyle name="Output 20 3 2" xfId="50985" xr:uid="{00000000-0005-0000-0000-000038C70000}"/>
    <cellStyle name="Output 20 3 3" xfId="50986" xr:uid="{00000000-0005-0000-0000-000039C70000}"/>
    <cellStyle name="Output 20 4" xfId="50987" xr:uid="{00000000-0005-0000-0000-00003AC70000}"/>
    <cellStyle name="Output 20 4 2" xfId="50988" xr:uid="{00000000-0005-0000-0000-00003BC70000}"/>
    <cellStyle name="Output 20 4 3" xfId="50989" xr:uid="{00000000-0005-0000-0000-00003CC70000}"/>
    <cellStyle name="Output 20 5" xfId="50990" xr:uid="{00000000-0005-0000-0000-00003DC70000}"/>
    <cellStyle name="Output 20 5 2" xfId="50991" xr:uid="{00000000-0005-0000-0000-00003EC70000}"/>
    <cellStyle name="Output 20 5 3" xfId="50992" xr:uid="{00000000-0005-0000-0000-00003FC70000}"/>
    <cellStyle name="Output 20 6" xfId="50993" xr:uid="{00000000-0005-0000-0000-000040C70000}"/>
    <cellStyle name="Output 20 6 2" xfId="50994" xr:uid="{00000000-0005-0000-0000-000041C70000}"/>
    <cellStyle name="Output 20 6 3" xfId="50995" xr:uid="{00000000-0005-0000-0000-000042C70000}"/>
    <cellStyle name="Output 20 7" xfId="50996" xr:uid="{00000000-0005-0000-0000-000043C70000}"/>
    <cellStyle name="Output 20 8" xfId="50997" xr:uid="{00000000-0005-0000-0000-000044C70000}"/>
    <cellStyle name="Output 20 9" xfId="50998" xr:uid="{00000000-0005-0000-0000-000045C70000}"/>
    <cellStyle name="Output 21" xfId="50999" xr:uid="{00000000-0005-0000-0000-000046C70000}"/>
    <cellStyle name="Output 21 10" xfId="51000" xr:uid="{00000000-0005-0000-0000-000047C70000}"/>
    <cellStyle name="Output 21 2" xfId="51001" xr:uid="{00000000-0005-0000-0000-000048C70000}"/>
    <cellStyle name="Output 21 2 2" xfId="51002" xr:uid="{00000000-0005-0000-0000-000049C70000}"/>
    <cellStyle name="Output 21 2 3" xfId="51003" xr:uid="{00000000-0005-0000-0000-00004AC70000}"/>
    <cellStyle name="Output 21 2 4" xfId="51004" xr:uid="{00000000-0005-0000-0000-00004BC70000}"/>
    <cellStyle name="Output 21 2 5" xfId="51005" xr:uid="{00000000-0005-0000-0000-00004CC70000}"/>
    <cellStyle name="Output 21 3" xfId="51006" xr:uid="{00000000-0005-0000-0000-00004DC70000}"/>
    <cellStyle name="Output 21 3 2" xfId="51007" xr:uid="{00000000-0005-0000-0000-00004EC70000}"/>
    <cellStyle name="Output 21 3 3" xfId="51008" xr:uid="{00000000-0005-0000-0000-00004FC70000}"/>
    <cellStyle name="Output 21 4" xfId="51009" xr:uid="{00000000-0005-0000-0000-000050C70000}"/>
    <cellStyle name="Output 21 4 2" xfId="51010" xr:uid="{00000000-0005-0000-0000-000051C70000}"/>
    <cellStyle name="Output 21 4 3" xfId="51011" xr:uid="{00000000-0005-0000-0000-000052C70000}"/>
    <cellStyle name="Output 21 5" xfId="51012" xr:uid="{00000000-0005-0000-0000-000053C70000}"/>
    <cellStyle name="Output 21 5 2" xfId="51013" xr:uid="{00000000-0005-0000-0000-000054C70000}"/>
    <cellStyle name="Output 21 5 3" xfId="51014" xr:uid="{00000000-0005-0000-0000-000055C70000}"/>
    <cellStyle name="Output 21 6" xfId="51015" xr:uid="{00000000-0005-0000-0000-000056C70000}"/>
    <cellStyle name="Output 21 6 2" xfId="51016" xr:uid="{00000000-0005-0000-0000-000057C70000}"/>
    <cellStyle name="Output 21 6 3" xfId="51017" xr:uid="{00000000-0005-0000-0000-000058C70000}"/>
    <cellStyle name="Output 21 7" xfId="51018" xr:uid="{00000000-0005-0000-0000-000059C70000}"/>
    <cellStyle name="Output 21 8" xfId="51019" xr:uid="{00000000-0005-0000-0000-00005AC70000}"/>
    <cellStyle name="Output 21 9" xfId="51020" xr:uid="{00000000-0005-0000-0000-00005BC70000}"/>
    <cellStyle name="Output 22" xfId="51021" xr:uid="{00000000-0005-0000-0000-00005CC70000}"/>
    <cellStyle name="Output 22 10" xfId="51022" xr:uid="{00000000-0005-0000-0000-00005DC70000}"/>
    <cellStyle name="Output 22 2" xfId="51023" xr:uid="{00000000-0005-0000-0000-00005EC70000}"/>
    <cellStyle name="Output 22 2 2" xfId="51024" xr:uid="{00000000-0005-0000-0000-00005FC70000}"/>
    <cellStyle name="Output 22 2 3" xfId="51025" xr:uid="{00000000-0005-0000-0000-000060C70000}"/>
    <cellStyle name="Output 22 2 4" xfId="51026" xr:uid="{00000000-0005-0000-0000-000061C70000}"/>
    <cellStyle name="Output 22 2 5" xfId="51027" xr:uid="{00000000-0005-0000-0000-000062C70000}"/>
    <cellStyle name="Output 22 3" xfId="51028" xr:uid="{00000000-0005-0000-0000-000063C70000}"/>
    <cellStyle name="Output 22 3 2" xfId="51029" xr:uid="{00000000-0005-0000-0000-000064C70000}"/>
    <cellStyle name="Output 22 3 3" xfId="51030" xr:uid="{00000000-0005-0000-0000-000065C70000}"/>
    <cellStyle name="Output 22 4" xfId="51031" xr:uid="{00000000-0005-0000-0000-000066C70000}"/>
    <cellStyle name="Output 22 4 2" xfId="51032" xr:uid="{00000000-0005-0000-0000-000067C70000}"/>
    <cellStyle name="Output 22 4 3" xfId="51033" xr:uid="{00000000-0005-0000-0000-000068C70000}"/>
    <cellStyle name="Output 22 5" xfId="51034" xr:uid="{00000000-0005-0000-0000-000069C70000}"/>
    <cellStyle name="Output 22 5 2" xfId="51035" xr:uid="{00000000-0005-0000-0000-00006AC70000}"/>
    <cellStyle name="Output 22 5 3" xfId="51036" xr:uid="{00000000-0005-0000-0000-00006BC70000}"/>
    <cellStyle name="Output 22 6" xfId="51037" xr:uid="{00000000-0005-0000-0000-00006CC70000}"/>
    <cellStyle name="Output 22 6 2" xfId="51038" xr:uid="{00000000-0005-0000-0000-00006DC70000}"/>
    <cellStyle name="Output 22 6 3" xfId="51039" xr:uid="{00000000-0005-0000-0000-00006EC70000}"/>
    <cellStyle name="Output 22 7" xfId="51040" xr:uid="{00000000-0005-0000-0000-00006FC70000}"/>
    <cellStyle name="Output 22 8" xfId="51041" xr:uid="{00000000-0005-0000-0000-000070C70000}"/>
    <cellStyle name="Output 22 9" xfId="51042" xr:uid="{00000000-0005-0000-0000-000071C70000}"/>
    <cellStyle name="Output 23" xfId="51043" xr:uid="{00000000-0005-0000-0000-000072C70000}"/>
    <cellStyle name="Output 23 2" xfId="51044" xr:uid="{00000000-0005-0000-0000-000073C70000}"/>
    <cellStyle name="Output 23 2 2" xfId="51045" xr:uid="{00000000-0005-0000-0000-000074C70000}"/>
    <cellStyle name="Output 23 2 3" xfId="51046" xr:uid="{00000000-0005-0000-0000-000075C70000}"/>
    <cellStyle name="Output 23 2 4" xfId="51047" xr:uid="{00000000-0005-0000-0000-000076C70000}"/>
    <cellStyle name="Output 23 2 5" xfId="51048" xr:uid="{00000000-0005-0000-0000-000077C70000}"/>
    <cellStyle name="Output 23 3" xfId="51049" xr:uid="{00000000-0005-0000-0000-000078C70000}"/>
    <cellStyle name="Output 23 3 2" xfId="51050" xr:uid="{00000000-0005-0000-0000-000079C70000}"/>
    <cellStyle name="Output 23 3 3" xfId="51051" xr:uid="{00000000-0005-0000-0000-00007AC70000}"/>
    <cellStyle name="Output 23 4" xfId="51052" xr:uid="{00000000-0005-0000-0000-00007BC70000}"/>
    <cellStyle name="Output 23 4 2" xfId="51053" xr:uid="{00000000-0005-0000-0000-00007CC70000}"/>
    <cellStyle name="Output 23 4 3" xfId="51054" xr:uid="{00000000-0005-0000-0000-00007DC70000}"/>
    <cellStyle name="Output 23 5" xfId="51055" xr:uid="{00000000-0005-0000-0000-00007EC70000}"/>
    <cellStyle name="Output 23 5 2" xfId="51056" xr:uid="{00000000-0005-0000-0000-00007FC70000}"/>
    <cellStyle name="Output 23 5 3" xfId="51057" xr:uid="{00000000-0005-0000-0000-000080C70000}"/>
    <cellStyle name="Output 23 6" xfId="51058" xr:uid="{00000000-0005-0000-0000-000081C70000}"/>
    <cellStyle name="Output 23 6 2" xfId="51059" xr:uid="{00000000-0005-0000-0000-000082C70000}"/>
    <cellStyle name="Output 23 7" xfId="51060" xr:uid="{00000000-0005-0000-0000-000083C70000}"/>
    <cellStyle name="Output 23 8" xfId="51061" xr:uid="{00000000-0005-0000-0000-000084C70000}"/>
    <cellStyle name="Output 23 9" xfId="51062" xr:uid="{00000000-0005-0000-0000-000085C70000}"/>
    <cellStyle name="Output 24" xfId="51063" xr:uid="{00000000-0005-0000-0000-000086C70000}"/>
    <cellStyle name="Output 24 2" xfId="51064" xr:uid="{00000000-0005-0000-0000-000087C70000}"/>
    <cellStyle name="Output 24 2 2" xfId="51065" xr:uid="{00000000-0005-0000-0000-000088C70000}"/>
    <cellStyle name="Output 24 2 3" xfId="51066" xr:uid="{00000000-0005-0000-0000-000089C70000}"/>
    <cellStyle name="Output 24 2 4" xfId="51067" xr:uid="{00000000-0005-0000-0000-00008AC70000}"/>
    <cellStyle name="Output 24 2 5" xfId="51068" xr:uid="{00000000-0005-0000-0000-00008BC70000}"/>
    <cellStyle name="Output 24 3" xfId="51069" xr:uid="{00000000-0005-0000-0000-00008CC70000}"/>
    <cellStyle name="Output 24 3 2" xfId="51070" xr:uid="{00000000-0005-0000-0000-00008DC70000}"/>
    <cellStyle name="Output 24 3 3" xfId="51071" xr:uid="{00000000-0005-0000-0000-00008EC70000}"/>
    <cellStyle name="Output 24 4" xfId="51072" xr:uid="{00000000-0005-0000-0000-00008FC70000}"/>
    <cellStyle name="Output 24 4 2" xfId="51073" xr:uid="{00000000-0005-0000-0000-000090C70000}"/>
    <cellStyle name="Output 24 4 3" xfId="51074" xr:uid="{00000000-0005-0000-0000-000091C70000}"/>
    <cellStyle name="Output 24 5" xfId="51075" xr:uid="{00000000-0005-0000-0000-000092C70000}"/>
    <cellStyle name="Output 24 5 2" xfId="51076" xr:uid="{00000000-0005-0000-0000-000093C70000}"/>
    <cellStyle name="Output 24 5 3" xfId="51077" xr:uid="{00000000-0005-0000-0000-000094C70000}"/>
    <cellStyle name="Output 24 6" xfId="51078" xr:uid="{00000000-0005-0000-0000-000095C70000}"/>
    <cellStyle name="Output 24 6 2" xfId="51079" xr:uid="{00000000-0005-0000-0000-000096C70000}"/>
    <cellStyle name="Output 24 7" xfId="51080" xr:uid="{00000000-0005-0000-0000-000097C70000}"/>
    <cellStyle name="Output 24 8" xfId="51081" xr:uid="{00000000-0005-0000-0000-000098C70000}"/>
    <cellStyle name="Output 24 9" xfId="51082" xr:uid="{00000000-0005-0000-0000-000099C70000}"/>
    <cellStyle name="Output 25" xfId="51083" xr:uid="{00000000-0005-0000-0000-00009AC70000}"/>
    <cellStyle name="Output 25 2" xfId="51084" xr:uid="{00000000-0005-0000-0000-00009BC70000}"/>
    <cellStyle name="Output 25 2 2" xfId="51085" xr:uid="{00000000-0005-0000-0000-00009CC70000}"/>
    <cellStyle name="Output 25 2 3" xfId="51086" xr:uid="{00000000-0005-0000-0000-00009DC70000}"/>
    <cellStyle name="Output 25 2 4" xfId="51087" xr:uid="{00000000-0005-0000-0000-00009EC70000}"/>
    <cellStyle name="Output 25 2 5" xfId="51088" xr:uid="{00000000-0005-0000-0000-00009FC70000}"/>
    <cellStyle name="Output 25 3" xfId="51089" xr:uid="{00000000-0005-0000-0000-0000A0C70000}"/>
    <cellStyle name="Output 25 3 2" xfId="51090" xr:uid="{00000000-0005-0000-0000-0000A1C70000}"/>
    <cellStyle name="Output 25 3 3" xfId="51091" xr:uid="{00000000-0005-0000-0000-0000A2C70000}"/>
    <cellStyle name="Output 25 4" xfId="51092" xr:uid="{00000000-0005-0000-0000-0000A3C70000}"/>
    <cellStyle name="Output 25 4 2" xfId="51093" xr:uid="{00000000-0005-0000-0000-0000A4C70000}"/>
    <cellStyle name="Output 25 4 3" xfId="51094" xr:uid="{00000000-0005-0000-0000-0000A5C70000}"/>
    <cellStyle name="Output 25 5" xfId="51095" xr:uid="{00000000-0005-0000-0000-0000A6C70000}"/>
    <cellStyle name="Output 25 5 2" xfId="51096" xr:uid="{00000000-0005-0000-0000-0000A7C70000}"/>
    <cellStyle name="Output 25 5 3" xfId="51097" xr:uid="{00000000-0005-0000-0000-0000A8C70000}"/>
    <cellStyle name="Output 25 6" xfId="51098" xr:uid="{00000000-0005-0000-0000-0000A9C70000}"/>
    <cellStyle name="Output 25 6 2" xfId="51099" xr:uid="{00000000-0005-0000-0000-0000AAC70000}"/>
    <cellStyle name="Output 25 7" xfId="51100" xr:uid="{00000000-0005-0000-0000-0000ABC70000}"/>
    <cellStyle name="Output 25 8" xfId="51101" xr:uid="{00000000-0005-0000-0000-0000ACC70000}"/>
    <cellStyle name="Output 25 9" xfId="51102" xr:uid="{00000000-0005-0000-0000-0000ADC70000}"/>
    <cellStyle name="Output 26" xfId="51103" xr:uid="{00000000-0005-0000-0000-0000AEC70000}"/>
    <cellStyle name="Output 26 2" xfId="51104" xr:uid="{00000000-0005-0000-0000-0000AFC70000}"/>
    <cellStyle name="Output 26 2 2" xfId="51105" xr:uid="{00000000-0005-0000-0000-0000B0C70000}"/>
    <cellStyle name="Output 26 2 3" xfId="51106" xr:uid="{00000000-0005-0000-0000-0000B1C70000}"/>
    <cellStyle name="Output 26 2 4" xfId="51107" xr:uid="{00000000-0005-0000-0000-0000B2C70000}"/>
    <cellStyle name="Output 26 2 5" xfId="51108" xr:uid="{00000000-0005-0000-0000-0000B3C70000}"/>
    <cellStyle name="Output 26 3" xfId="51109" xr:uid="{00000000-0005-0000-0000-0000B4C70000}"/>
    <cellStyle name="Output 26 3 2" xfId="51110" xr:uid="{00000000-0005-0000-0000-0000B5C70000}"/>
    <cellStyle name="Output 26 3 3" xfId="51111" xr:uid="{00000000-0005-0000-0000-0000B6C70000}"/>
    <cellStyle name="Output 26 4" xfId="51112" xr:uid="{00000000-0005-0000-0000-0000B7C70000}"/>
    <cellStyle name="Output 26 4 2" xfId="51113" xr:uid="{00000000-0005-0000-0000-0000B8C70000}"/>
    <cellStyle name="Output 26 4 3" xfId="51114" xr:uid="{00000000-0005-0000-0000-0000B9C70000}"/>
    <cellStyle name="Output 26 5" xfId="51115" xr:uid="{00000000-0005-0000-0000-0000BAC70000}"/>
    <cellStyle name="Output 26 5 2" xfId="51116" xr:uid="{00000000-0005-0000-0000-0000BBC70000}"/>
    <cellStyle name="Output 26 5 3" xfId="51117" xr:uid="{00000000-0005-0000-0000-0000BCC70000}"/>
    <cellStyle name="Output 26 6" xfId="51118" xr:uid="{00000000-0005-0000-0000-0000BDC70000}"/>
    <cellStyle name="Output 26 6 2" xfId="51119" xr:uid="{00000000-0005-0000-0000-0000BEC70000}"/>
    <cellStyle name="Output 26 7" xfId="51120" xr:uid="{00000000-0005-0000-0000-0000BFC70000}"/>
    <cellStyle name="Output 26 8" xfId="51121" xr:uid="{00000000-0005-0000-0000-0000C0C70000}"/>
    <cellStyle name="Output 26 9" xfId="51122" xr:uid="{00000000-0005-0000-0000-0000C1C70000}"/>
    <cellStyle name="Output 27" xfId="51123" xr:uid="{00000000-0005-0000-0000-0000C2C70000}"/>
    <cellStyle name="Output 27 2" xfId="51124" xr:uid="{00000000-0005-0000-0000-0000C3C70000}"/>
    <cellStyle name="Output 27 2 2" xfId="51125" xr:uid="{00000000-0005-0000-0000-0000C4C70000}"/>
    <cellStyle name="Output 27 2 3" xfId="51126" xr:uid="{00000000-0005-0000-0000-0000C5C70000}"/>
    <cellStyle name="Output 27 2 4" xfId="51127" xr:uid="{00000000-0005-0000-0000-0000C6C70000}"/>
    <cellStyle name="Output 27 2 5" xfId="51128" xr:uid="{00000000-0005-0000-0000-0000C7C70000}"/>
    <cellStyle name="Output 27 3" xfId="51129" xr:uid="{00000000-0005-0000-0000-0000C8C70000}"/>
    <cellStyle name="Output 27 3 2" xfId="51130" xr:uid="{00000000-0005-0000-0000-0000C9C70000}"/>
    <cellStyle name="Output 27 3 3" xfId="51131" xr:uid="{00000000-0005-0000-0000-0000CAC70000}"/>
    <cellStyle name="Output 27 4" xfId="51132" xr:uid="{00000000-0005-0000-0000-0000CBC70000}"/>
    <cellStyle name="Output 27 4 2" xfId="51133" xr:uid="{00000000-0005-0000-0000-0000CCC70000}"/>
    <cellStyle name="Output 27 4 3" xfId="51134" xr:uid="{00000000-0005-0000-0000-0000CDC70000}"/>
    <cellStyle name="Output 27 5" xfId="51135" xr:uid="{00000000-0005-0000-0000-0000CEC70000}"/>
    <cellStyle name="Output 27 5 2" xfId="51136" xr:uid="{00000000-0005-0000-0000-0000CFC70000}"/>
    <cellStyle name="Output 27 5 3" xfId="51137" xr:uid="{00000000-0005-0000-0000-0000D0C70000}"/>
    <cellStyle name="Output 27 6" xfId="51138" xr:uid="{00000000-0005-0000-0000-0000D1C70000}"/>
    <cellStyle name="Output 27 6 2" xfId="51139" xr:uid="{00000000-0005-0000-0000-0000D2C70000}"/>
    <cellStyle name="Output 27 7" xfId="51140" xr:uid="{00000000-0005-0000-0000-0000D3C70000}"/>
    <cellStyle name="Output 27 8" xfId="51141" xr:uid="{00000000-0005-0000-0000-0000D4C70000}"/>
    <cellStyle name="Output 27 9" xfId="51142" xr:uid="{00000000-0005-0000-0000-0000D5C70000}"/>
    <cellStyle name="Output 28" xfId="51143" xr:uid="{00000000-0005-0000-0000-0000D6C70000}"/>
    <cellStyle name="Output 28 2" xfId="51144" xr:uid="{00000000-0005-0000-0000-0000D7C70000}"/>
    <cellStyle name="Output 28 2 2" xfId="51145" xr:uid="{00000000-0005-0000-0000-0000D8C70000}"/>
    <cellStyle name="Output 28 2 3" xfId="51146" xr:uid="{00000000-0005-0000-0000-0000D9C70000}"/>
    <cellStyle name="Output 28 2 4" xfId="51147" xr:uid="{00000000-0005-0000-0000-0000DAC70000}"/>
    <cellStyle name="Output 28 2 5" xfId="51148" xr:uid="{00000000-0005-0000-0000-0000DBC70000}"/>
    <cellStyle name="Output 28 3" xfId="51149" xr:uid="{00000000-0005-0000-0000-0000DCC70000}"/>
    <cellStyle name="Output 28 3 2" xfId="51150" xr:uid="{00000000-0005-0000-0000-0000DDC70000}"/>
    <cellStyle name="Output 28 3 3" xfId="51151" xr:uid="{00000000-0005-0000-0000-0000DEC70000}"/>
    <cellStyle name="Output 28 4" xfId="51152" xr:uid="{00000000-0005-0000-0000-0000DFC70000}"/>
    <cellStyle name="Output 28 4 2" xfId="51153" xr:uid="{00000000-0005-0000-0000-0000E0C70000}"/>
    <cellStyle name="Output 28 4 3" xfId="51154" xr:uid="{00000000-0005-0000-0000-0000E1C70000}"/>
    <cellStyle name="Output 28 5" xfId="51155" xr:uid="{00000000-0005-0000-0000-0000E2C70000}"/>
    <cellStyle name="Output 28 5 2" xfId="51156" xr:uid="{00000000-0005-0000-0000-0000E3C70000}"/>
    <cellStyle name="Output 28 5 3" xfId="51157" xr:uid="{00000000-0005-0000-0000-0000E4C70000}"/>
    <cellStyle name="Output 28 6" xfId="51158" xr:uid="{00000000-0005-0000-0000-0000E5C70000}"/>
    <cellStyle name="Output 28 6 2" xfId="51159" xr:uid="{00000000-0005-0000-0000-0000E6C70000}"/>
    <cellStyle name="Output 28 7" xfId="51160" xr:uid="{00000000-0005-0000-0000-0000E7C70000}"/>
    <cellStyle name="Output 28 8" xfId="51161" xr:uid="{00000000-0005-0000-0000-0000E8C70000}"/>
    <cellStyle name="Output 28 9" xfId="51162" xr:uid="{00000000-0005-0000-0000-0000E9C70000}"/>
    <cellStyle name="Output 29" xfId="51163" xr:uid="{00000000-0005-0000-0000-0000EAC70000}"/>
    <cellStyle name="Output 29 2" xfId="51164" xr:uid="{00000000-0005-0000-0000-0000EBC70000}"/>
    <cellStyle name="Output 29 2 2" xfId="51165" xr:uid="{00000000-0005-0000-0000-0000ECC70000}"/>
    <cellStyle name="Output 29 2 3" xfId="51166" xr:uid="{00000000-0005-0000-0000-0000EDC70000}"/>
    <cellStyle name="Output 29 2 4" xfId="51167" xr:uid="{00000000-0005-0000-0000-0000EEC70000}"/>
    <cellStyle name="Output 29 2 5" xfId="51168" xr:uid="{00000000-0005-0000-0000-0000EFC70000}"/>
    <cellStyle name="Output 29 3" xfId="51169" xr:uid="{00000000-0005-0000-0000-0000F0C70000}"/>
    <cellStyle name="Output 29 3 2" xfId="51170" xr:uid="{00000000-0005-0000-0000-0000F1C70000}"/>
    <cellStyle name="Output 29 3 3" xfId="51171" xr:uid="{00000000-0005-0000-0000-0000F2C70000}"/>
    <cellStyle name="Output 29 4" xfId="51172" xr:uid="{00000000-0005-0000-0000-0000F3C70000}"/>
    <cellStyle name="Output 29 4 2" xfId="51173" xr:uid="{00000000-0005-0000-0000-0000F4C70000}"/>
    <cellStyle name="Output 29 4 3" xfId="51174" xr:uid="{00000000-0005-0000-0000-0000F5C70000}"/>
    <cellStyle name="Output 29 5" xfId="51175" xr:uid="{00000000-0005-0000-0000-0000F6C70000}"/>
    <cellStyle name="Output 29 5 2" xfId="51176" xr:uid="{00000000-0005-0000-0000-0000F7C70000}"/>
    <cellStyle name="Output 29 5 3" xfId="51177" xr:uid="{00000000-0005-0000-0000-0000F8C70000}"/>
    <cellStyle name="Output 29 6" xfId="51178" xr:uid="{00000000-0005-0000-0000-0000F9C70000}"/>
    <cellStyle name="Output 29 6 2" xfId="51179" xr:uid="{00000000-0005-0000-0000-0000FAC70000}"/>
    <cellStyle name="Output 29 7" xfId="51180" xr:uid="{00000000-0005-0000-0000-0000FBC70000}"/>
    <cellStyle name="Output 29 8" xfId="51181" xr:uid="{00000000-0005-0000-0000-0000FCC70000}"/>
    <cellStyle name="Output 29 9" xfId="51182" xr:uid="{00000000-0005-0000-0000-0000FDC70000}"/>
    <cellStyle name="Output 3" xfId="51183" xr:uid="{00000000-0005-0000-0000-0000FEC70000}"/>
    <cellStyle name="Output 3 2" xfId="51184" xr:uid="{00000000-0005-0000-0000-0000FFC70000}"/>
    <cellStyle name="Output 3 2 2" xfId="51185" xr:uid="{00000000-0005-0000-0000-000000C80000}"/>
    <cellStyle name="Output 3 2 2 2" xfId="51186" xr:uid="{00000000-0005-0000-0000-000001C80000}"/>
    <cellStyle name="Output 3 2 2 2 2" xfId="51187" xr:uid="{00000000-0005-0000-0000-000002C80000}"/>
    <cellStyle name="Output 3 2 2 2 3" xfId="51188" xr:uid="{00000000-0005-0000-0000-000003C80000}"/>
    <cellStyle name="Output 3 2 2 3" xfId="51189" xr:uid="{00000000-0005-0000-0000-000004C80000}"/>
    <cellStyle name="Output 3 2 2 3 2" xfId="51190" xr:uid="{00000000-0005-0000-0000-000005C80000}"/>
    <cellStyle name="Output 3 2 2 3 3" xfId="51191" xr:uid="{00000000-0005-0000-0000-000006C80000}"/>
    <cellStyle name="Output 3 2 2 4" xfId="51192" xr:uid="{00000000-0005-0000-0000-000007C80000}"/>
    <cellStyle name="Output 3 2 2 4 2" xfId="51193" xr:uid="{00000000-0005-0000-0000-000008C80000}"/>
    <cellStyle name="Output 3 2 2 5" xfId="51194" xr:uid="{00000000-0005-0000-0000-000009C80000}"/>
    <cellStyle name="Output 3 2 3" xfId="51195" xr:uid="{00000000-0005-0000-0000-00000AC80000}"/>
    <cellStyle name="Output 3 2 3 2" xfId="51196" xr:uid="{00000000-0005-0000-0000-00000BC80000}"/>
    <cellStyle name="Output 3 2 3 3" xfId="51197" xr:uid="{00000000-0005-0000-0000-00000CC80000}"/>
    <cellStyle name="Output 3 2 4" xfId="51198" xr:uid="{00000000-0005-0000-0000-00000DC80000}"/>
    <cellStyle name="Output 3 2 4 2" xfId="51199" xr:uid="{00000000-0005-0000-0000-00000EC80000}"/>
    <cellStyle name="Output 3 2 4 3" xfId="51200" xr:uid="{00000000-0005-0000-0000-00000FC80000}"/>
    <cellStyle name="Output 3 2 5" xfId="51201" xr:uid="{00000000-0005-0000-0000-000010C80000}"/>
    <cellStyle name="Output 3 2 5 2" xfId="51202" xr:uid="{00000000-0005-0000-0000-000011C80000}"/>
    <cellStyle name="Output 3 2 5 3" xfId="51203" xr:uid="{00000000-0005-0000-0000-000012C80000}"/>
    <cellStyle name="Output 3 2 6" xfId="51204" xr:uid="{00000000-0005-0000-0000-000013C80000}"/>
    <cellStyle name="Output 3 2 6 2" xfId="51205" xr:uid="{00000000-0005-0000-0000-000014C80000}"/>
    <cellStyle name="Output 3 2 6 3" xfId="51206" xr:uid="{00000000-0005-0000-0000-000015C80000}"/>
    <cellStyle name="Output 3 2 7" xfId="51207" xr:uid="{00000000-0005-0000-0000-000016C80000}"/>
    <cellStyle name="Output 3 2 8" xfId="51208" xr:uid="{00000000-0005-0000-0000-000017C80000}"/>
    <cellStyle name="Output 3 2 9" xfId="51209" xr:uid="{00000000-0005-0000-0000-000018C80000}"/>
    <cellStyle name="Output 3 3" xfId="51210" xr:uid="{00000000-0005-0000-0000-000019C80000}"/>
    <cellStyle name="Output 3 3 2" xfId="51211" xr:uid="{00000000-0005-0000-0000-00001AC80000}"/>
    <cellStyle name="Output 3 3 3" xfId="51212" xr:uid="{00000000-0005-0000-0000-00001BC80000}"/>
    <cellStyle name="Output 3 4" xfId="51213" xr:uid="{00000000-0005-0000-0000-00001CC80000}"/>
    <cellStyle name="Output 3 4 2" xfId="51214" xr:uid="{00000000-0005-0000-0000-00001DC80000}"/>
    <cellStyle name="Output 3 4 3" xfId="51215" xr:uid="{00000000-0005-0000-0000-00001EC80000}"/>
    <cellStyle name="Output 3 5" xfId="51216" xr:uid="{00000000-0005-0000-0000-00001FC80000}"/>
    <cellStyle name="Output 3 5 2" xfId="51217" xr:uid="{00000000-0005-0000-0000-000020C80000}"/>
    <cellStyle name="Output 3 5 3" xfId="51218" xr:uid="{00000000-0005-0000-0000-000021C80000}"/>
    <cellStyle name="Output 3 6" xfId="51219" xr:uid="{00000000-0005-0000-0000-000022C80000}"/>
    <cellStyle name="Output 3 6 2" xfId="51220" xr:uid="{00000000-0005-0000-0000-000023C80000}"/>
    <cellStyle name="Output 3 6 3" xfId="51221" xr:uid="{00000000-0005-0000-0000-000024C80000}"/>
    <cellStyle name="Output 3 7" xfId="51222" xr:uid="{00000000-0005-0000-0000-000025C80000}"/>
    <cellStyle name="Output 3 8" xfId="51223" xr:uid="{00000000-0005-0000-0000-000026C80000}"/>
    <cellStyle name="Output 3 9" xfId="51224" xr:uid="{00000000-0005-0000-0000-000027C80000}"/>
    <cellStyle name="Output 30" xfId="51225" xr:uid="{00000000-0005-0000-0000-000028C80000}"/>
    <cellStyle name="Output 30 2" xfId="51226" xr:uid="{00000000-0005-0000-0000-000029C80000}"/>
    <cellStyle name="Output 30 2 2" xfId="51227" xr:uid="{00000000-0005-0000-0000-00002AC80000}"/>
    <cellStyle name="Output 30 2 3" xfId="51228" xr:uid="{00000000-0005-0000-0000-00002BC80000}"/>
    <cellStyle name="Output 30 2 4" xfId="51229" xr:uid="{00000000-0005-0000-0000-00002CC80000}"/>
    <cellStyle name="Output 30 2 5" xfId="51230" xr:uid="{00000000-0005-0000-0000-00002DC80000}"/>
    <cellStyle name="Output 30 3" xfId="51231" xr:uid="{00000000-0005-0000-0000-00002EC80000}"/>
    <cellStyle name="Output 30 3 2" xfId="51232" xr:uid="{00000000-0005-0000-0000-00002FC80000}"/>
    <cellStyle name="Output 30 3 3" xfId="51233" xr:uid="{00000000-0005-0000-0000-000030C80000}"/>
    <cellStyle name="Output 30 4" xfId="51234" xr:uid="{00000000-0005-0000-0000-000031C80000}"/>
    <cellStyle name="Output 30 4 2" xfId="51235" xr:uid="{00000000-0005-0000-0000-000032C80000}"/>
    <cellStyle name="Output 30 4 3" xfId="51236" xr:uid="{00000000-0005-0000-0000-000033C80000}"/>
    <cellStyle name="Output 30 5" xfId="51237" xr:uid="{00000000-0005-0000-0000-000034C80000}"/>
    <cellStyle name="Output 30 5 2" xfId="51238" xr:uid="{00000000-0005-0000-0000-000035C80000}"/>
    <cellStyle name="Output 30 5 3" xfId="51239" xr:uid="{00000000-0005-0000-0000-000036C80000}"/>
    <cellStyle name="Output 30 6" xfId="51240" xr:uid="{00000000-0005-0000-0000-000037C80000}"/>
    <cellStyle name="Output 30 6 2" xfId="51241" xr:uid="{00000000-0005-0000-0000-000038C80000}"/>
    <cellStyle name="Output 30 7" xfId="51242" xr:uid="{00000000-0005-0000-0000-000039C80000}"/>
    <cellStyle name="Output 30 8" xfId="51243" xr:uid="{00000000-0005-0000-0000-00003AC80000}"/>
    <cellStyle name="Output 30 9" xfId="51244" xr:uid="{00000000-0005-0000-0000-00003BC80000}"/>
    <cellStyle name="Output 31" xfId="51245" xr:uid="{00000000-0005-0000-0000-00003CC80000}"/>
    <cellStyle name="Output 31 2" xfId="51246" xr:uid="{00000000-0005-0000-0000-00003DC80000}"/>
    <cellStyle name="Output 31 2 2" xfId="51247" xr:uid="{00000000-0005-0000-0000-00003EC80000}"/>
    <cellStyle name="Output 31 2 3" xfId="51248" xr:uid="{00000000-0005-0000-0000-00003FC80000}"/>
    <cellStyle name="Output 31 2 4" xfId="51249" xr:uid="{00000000-0005-0000-0000-000040C80000}"/>
    <cellStyle name="Output 31 2 5" xfId="51250" xr:uid="{00000000-0005-0000-0000-000041C80000}"/>
    <cellStyle name="Output 31 3" xfId="51251" xr:uid="{00000000-0005-0000-0000-000042C80000}"/>
    <cellStyle name="Output 31 3 2" xfId="51252" xr:uid="{00000000-0005-0000-0000-000043C80000}"/>
    <cellStyle name="Output 31 3 3" xfId="51253" xr:uid="{00000000-0005-0000-0000-000044C80000}"/>
    <cellStyle name="Output 31 4" xfId="51254" xr:uid="{00000000-0005-0000-0000-000045C80000}"/>
    <cellStyle name="Output 31 4 2" xfId="51255" xr:uid="{00000000-0005-0000-0000-000046C80000}"/>
    <cellStyle name="Output 31 4 3" xfId="51256" xr:uid="{00000000-0005-0000-0000-000047C80000}"/>
    <cellStyle name="Output 31 5" xfId="51257" xr:uid="{00000000-0005-0000-0000-000048C80000}"/>
    <cellStyle name="Output 31 5 2" xfId="51258" xr:uid="{00000000-0005-0000-0000-000049C80000}"/>
    <cellStyle name="Output 31 5 3" xfId="51259" xr:uid="{00000000-0005-0000-0000-00004AC80000}"/>
    <cellStyle name="Output 31 6" xfId="51260" xr:uid="{00000000-0005-0000-0000-00004BC80000}"/>
    <cellStyle name="Output 31 6 2" xfId="51261" xr:uid="{00000000-0005-0000-0000-00004CC80000}"/>
    <cellStyle name="Output 31 7" xfId="51262" xr:uid="{00000000-0005-0000-0000-00004DC80000}"/>
    <cellStyle name="Output 31 8" xfId="51263" xr:uid="{00000000-0005-0000-0000-00004EC80000}"/>
    <cellStyle name="Output 31 9" xfId="51264" xr:uid="{00000000-0005-0000-0000-00004FC80000}"/>
    <cellStyle name="Output 32" xfId="51265" xr:uid="{00000000-0005-0000-0000-000050C80000}"/>
    <cellStyle name="Output 32 2" xfId="51266" xr:uid="{00000000-0005-0000-0000-000051C80000}"/>
    <cellStyle name="Output 32 2 2" xfId="51267" xr:uid="{00000000-0005-0000-0000-000052C80000}"/>
    <cellStyle name="Output 32 2 3" xfId="51268" xr:uid="{00000000-0005-0000-0000-000053C80000}"/>
    <cellStyle name="Output 32 2 4" xfId="51269" xr:uid="{00000000-0005-0000-0000-000054C80000}"/>
    <cellStyle name="Output 32 2 5" xfId="51270" xr:uid="{00000000-0005-0000-0000-000055C80000}"/>
    <cellStyle name="Output 32 3" xfId="51271" xr:uid="{00000000-0005-0000-0000-000056C80000}"/>
    <cellStyle name="Output 32 3 2" xfId="51272" xr:uid="{00000000-0005-0000-0000-000057C80000}"/>
    <cellStyle name="Output 32 3 3" xfId="51273" xr:uid="{00000000-0005-0000-0000-000058C80000}"/>
    <cellStyle name="Output 32 4" xfId="51274" xr:uid="{00000000-0005-0000-0000-000059C80000}"/>
    <cellStyle name="Output 32 4 2" xfId="51275" xr:uid="{00000000-0005-0000-0000-00005AC80000}"/>
    <cellStyle name="Output 32 4 3" xfId="51276" xr:uid="{00000000-0005-0000-0000-00005BC80000}"/>
    <cellStyle name="Output 32 5" xfId="51277" xr:uid="{00000000-0005-0000-0000-00005CC80000}"/>
    <cellStyle name="Output 32 5 2" xfId="51278" xr:uid="{00000000-0005-0000-0000-00005DC80000}"/>
    <cellStyle name="Output 32 5 3" xfId="51279" xr:uid="{00000000-0005-0000-0000-00005EC80000}"/>
    <cellStyle name="Output 32 6" xfId="51280" xr:uid="{00000000-0005-0000-0000-00005FC80000}"/>
    <cellStyle name="Output 32 6 2" xfId="51281" xr:uid="{00000000-0005-0000-0000-000060C80000}"/>
    <cellStyle name="Output 32 7" xfId="51282" xr:uid="{00000000-0005-0000-0000-000061C80000}"/>
    <cellStyle name="Output 32 8" xfId="51283" xr:uid="{00000000-0005-0000-0000-000062C80000}"/>
    <cellStyle name="Output 32 9" xfId="51284" xr:uid="{00000000-0005-0000-0000-000063C80000}"/>
    <cellStyle name="Output 33" xfId="51285" xr:uid="{00000000-0005-0000-0000-000064C80000}"/>
    <cellStyle name="Output 33 2" xfId="51286" xr:uid="{00000000-0005-0000-0000-000065C80000}"/>
    <cellStyle name="Output 33 2 2" xfId="51287" xr:uid="{00000000-0005-0000-0000-000066C80000}"/>
    <cellStyle name="Output 33 2 3" xfId="51288" xr:uid="{00000000-0005-0000-0000-000067C80000}"/>
    <cellStyle name="Output 33 2 4" xfId="51289" xr:uid="{00000000-0005-0000-0000-000068C80000}"/>
    <cellStyle name="Output 33 2 5" xfId="51290" xr:uid="{00000000-0005-0000-0000-000069C80000}"/>
    <cellStyle name="Output 33 3" xfId="51291" xr:uid="{00000000-0005-0000-0000-00006AC80000}"/>
    <cellStyle name="Output 33 3 2" xfId="51292" xr:uid="{00000000-0005-0000-0000-00006BC80000}"/>
    <cellStyle name="Output 33 3 3" xfId="51293" xr:uid="{00000000-0005-0000-0000-00006CC80000}"/>
    <cellStyle name="Output 33 4" xfId="51294" xr:uid="{00000000-0005-0000-0000-00006DC80000}"/>
    <cellStyle name="Output 33 4 2" xfId="51295" xr:uid="{00000000-0005-0000-0000-00006EC80000}"/>
    <cellStyle name="Output 33 4 3" xfId="51296" xr:uid="{00000000-0005-0000-0000-00006FC80000}"/>
    <cellStyle name="Output 33 5" xfId="51297" xr:uid="{00000000-0005-0000-0000-000070C80000}"/>
    <cellStyle name="Output 33 5 2" xfId="51298" xr:uid="{00000000-0005-0000-0000-000071C80000}"/>
    <cellStyle name="Output 33 5 3" xfId="51299" xr:uid="{00000000-0005-0000-0000-000072C80000}"/>
    <cellStyle name="Output 33 6" xfId="51300" xr:uid="{00000000-0005-0000-0000-000073C80000}"/>
    <cellStyle name="Output 33 6 2" xfId="51301" xr:uid="{00000000-0005-0000-0000-000074C80000}"/>
    <cellStyle name="Output 33 7" xfId="51302" xr:uid="{00000000-0005-0000-0000-000075C80000}"/>
    <cellStyle name="Output 33 8" xfId="51303" xr:uid="{00000000-0005-0000-0000-000076C80000}"/>
    <cellStyle name="Output 33 9" xfId="51304" xr:uid="{00000000-0005-0000-0000-000077C80000}"/>
    <cellStyle name="Output 34" xfId="51305" xr:uid="{00000000-0005-0000-0000-000078C80000}"/>
    <cellStyle name="Output 34 2" xfId="51306" xr:uid="{00000000-0005-0000-0000-000079C80000}"/>
    <cellStyle name="Output 34 3" xfId="51307" xr:uid="{00000000-0005-0000-0000-00007AC80000}"/>
    <cellStyle name="Output 35" xfId="51308" xr:uid="{00000000-0005-0000-0000-00007BC80000}"/>
    <cellStyle name="Output 35 2" xfId="51309" xr:uid="{00000000-0005-0000-0000-00007CC80000}"/>
    <cellStyle name="Output 35 3" xfId="51310" xr:uid="{00000000-0005-0000-0000-00007DC80000}"/>
    <cellStyle name="Output 36" xfId="51311" xr:uid="{00000000-0005-0000-0000-00007EC80000}"/>
    <cellStyle name="Output 36 2" xfId="51312" xr:uid="{00000000-0005-0000-0000-00007FC80000}"/>
    <cellStyle name="Output 36 3" xfId="51313" xr:uid="{00000000-0005-0000-0000-000080C80000}"/>
    <cellStyle name="Output 37" xfId="51314" xr:uid="{00000000-0005-0000-0000-000081C80000}"/>
    <cellStyle name="Output 37 2" xfId="51315" xr:uid="{00000000-0005-0000-0000-000082C80000}"/>
    <cellStyle name="Output 37 3" xfId="51316" xr:uid="{00000000-0005-0000-0000-000083C80000}"/>
    <cellStyle name="Output 4" xfId="51317" xr:uid="{00000000-0005-0000-0000-000084C80000}"/>
    <cellStyle name="Output 4 10" xfId="51318" xr:uid="{00000000-0005-0000-0000-000085C80000}"/>
    <cellStyle name="Output 4 2" xfId="51319" xr:uid="{00000000-0005-0000-0000-000086C80000}"/>
    <cellStyle name="Output 4 2 2" xfId="51320" xr:uid="{00000000-0005-0000-0000-000087C80000}"/>
    <cellStyle name="Output 4 2 3" xfId="51321" xr:uid="{00000000-0005-0000-0000-000088C80000}"/>
    <cellStyle name="Output 4 2 4" xfId="51322" xr:uid="{00000000-0005-0000-0000-000089C80000}"/>
    <cellStyle name="Output 4 2 5" xfId="51323" xr:uid="{00000000-0005-0000-0000-00008AC80000}"/>
    <cellStyle name="Output 4 3" xfId="51324" xr:uid="{00000000-0005-0000-0000-00008BC80000}"/>
    <cellStyle name="Output 4 3 2" xfId="51325" xr:uid="{00000000-0005-0000-0000-00008CC80000}"/>
    <cellStyle name="Output 4 3 3" xfId="51326" xr:uid="{00000000-0005-0000-0000-00008DC80000}"/>
    <cellStyle name="Output 4 4" xfId="51327" xr:uid="{00000000-0005-0000-0000-00008EC80000}"/>
    <cellStyle name="Output 4 4 2" xfId="51328" xr:uid="{00000000-0005-0000-0000-00008FC80000}"/>
    <cellStyle name="Output 4 4 3" xfId="51329" xr:uid="{00000000-0005-0000-0000-000090C80000}"/>
    <cellStyle name="Output 4 5" xfId="51330" xr:uid="{00000000-0005-0000-0000-000091C80000}"/>
    <cellStyle name="Output 4 5 2" xfId="51331" xr:uid="{00000000-0005-0000-0000-000092C80000}"/>
    <cellStyle name="Output 4 5 3" xfId="51332" xr:uid="{00000000-0005-0000-0000-000093C80000}"/>
    <cellStyle name="Output 4 6" xfId="51333" xr:uid="{00000000-0005-0000-0000-000094C80000}"/>
    <cellStyle name="Output 4 6 2" xfId="51334" xr:uid="{00000000-0005-0000-0000-000095C80000}"/>
    <cellStyle name="Output 4 6 3" xfId="51335" xr:uid="{00000000-0005-0000-0000-000096C80000}"/>
    <cellStyle name="Output 4 7" xfId="51336" xr:uid="{00000000-0005-0000-0000-000097C80000}"/>
    <cellStyle name="Output 4 8" xfId="51337" xr:uid="{00000000-0005-0000-0000-000098C80000}"/>
    <cellStyle name="Output 4 9" xfId="51338" xr:uid="{00000000-0005-0000-0000-000099C80000}"/>
    <cellStyle name="Output 4_Proj" xfId="51339" xr:uid="{00000000-0005-0000-0000-00009AC80000}"/>
    <cellStyle name="Output 5" xfId="51340" xr:uid="{00000000-0005-0000-0000-00009BC80000}"/>
    <cellStyle name="Output 5 10" xfId="51341" xr:uid="{00000000-0005-0000-0000-00009CC80000}"/>
    <cellStyle name="Output 5 2" xfId="51342" xr:uid="{00000000-0005-0000-0000-00009DC80000}"/>
    <cellStyle name="Output 5 2 2" xfId="51343" xr:uid="{00000000-0005-0000-0000-00009EC80000}"/>
    <cellStyle name="Output 5 2 3" xfId="51344" xr:uid="{00000000-0005-0000-0000-00009FC80000}"/>
    <cellStyle name="Output 5 2 4" xfId="51345" xr:uid="{00000000-0005-0000-0000-0000A0C80000}"/>
    <cellStyle name="Output 5 2 5" xfId="51346" xr:uid="{00000000-0005-0000-0000-0000A1C80000}"/>
    <cellStyle name="Output 5 3" xfId="51347" xr:uid="{00000000-0005-0000-0000-0000A2C80000}"/>
    <cellStyle name="Output 5 3 2" xfId="51348" xr:uid="{00000000-0005-0000-0000-0000A3C80000}"/>
    <cellStyle name="Output 5 3 3" xfId="51349" xr:uid="{00000000-0005-0000-0000-0000A4C80000}"/>
    <cellStyle name="Output 5 4" xfId="51350" xr:uid="{00000000-0005-0000-0000-0000A5C80000}"/>
    <cellStyle name="Output 5 4 2" xfId="51351" xr:uid="{00000000-0005-0000-0000-0000A6C80000}"/>
    <cellStyle name="Output 5 4 3" xfId="51352" xr:uid="{00000000-0005-0000-0000-0000A7C80000}"/>
    <cellStyle name="Output 5 5" xfId="51353" xr:uid="{00000000-0005-0000-0000-0000A8C80000}"/>
    <cellStyle name="Output 5 5 2" xfId="51354" xr:uid="{00000000-0005-0000-0000-0000A9C80000}"/>
    <cellStyle name="Output 5 5 3" xfId="51355" xr:uid="{00000000-0005-0000-0000-0000AAC80000}"/>
    <cellStyle name="Output 5 6" xfId="51356" xr:uid="{00000000-0005-0000-0000-0000ABC80000}"/>
    <cellStyle name="Output 5 6 2" xfId="51357" xr:uid="{00000000-0005-0000-0000-0000ACC80000}"/>
    <cellStyle name="Output 5 6 3" xfId="51358" xr:uid="{00000000-0005-0000-0000-0000ADC80000}"/>
    <cellStyle name="Output 5 7" xfId="51359" xr:uid="{00000000-0005-0000-0000-0000AEC80000}"/>
    <cellStyle name="Output 5 8" xfId="51360" xr:uid="{00000000-0005-0000-0000-0000AFC80000}"/>
    <cellStyle name="Output 5 9" xfId="51361" xr:uid="{00000000-0005-0000-0000-0000B0C80000}"/>
    <cellStyle name="Output 6" xfId="51362" xr:uid="{00000000-0005-0000-0000-0000B1C80000}"/>
    <cellStyle name="Output 6 10" xfId="51363" xr:uid="{00000000-0005-0000-0000-0000B2C80000}"/>
    <cellStyle name="Output 6 2" xfId="51364" xr:uid="{00000000-0005-0000-0000-0000B3C80000}"/>
    <cellStyle name="Output 6 2 2" xfId="51365" xr:uid="{00000000-0005-0000-0000-0000B4C80000}"/>
    <cellStyle name="Output 6 2 3" xfId="51366" xr:uid="{00000000-0005-0000-0000-0000B5C80000}"/>
    <cellStyle name="Output 6 2 4" xfId="51367" xr:uid="{00000000-0005-0000-0000-0000B6C80000}"/>
    <cellStyle name="Output 6 2 5" xfId="51368" xr:uid="{00000000-0005-0000-0000-0000B7C80000}"/>
    <cellStyle name="Output 6 3" xfId="51369" xr:uid="{00000000-0005-0000-0000-0000B8C80000}"/>
    <cellStyle name="Output 6 3 2" xfId="51370" xr:uid="{00000000-0005-0000-0000-0000B9C80000}"/>
    <cellStyle name="Output 6 3 3" xfId="51371" xr:uid="{00000000-0005-0000-0000-0000BAC80000}"/>
    <cellStyle name="Output 6 4" xfId="51372" xr:uid="{00000000-0005-0000-0000-0000BBC80000}"/>
    <cellStyle name="Output 6 4 2" xfId="51373" xr:uid="{00000000-0005-0000-0000-0000BCC80000}"/>
    <cellStyle name="Output 6 4 3" xfId="51374" xr:uid="{00000000-0005-0000-0000-0000BDC80000}"/>
    <cellStyle name="Output 6 5" xfId="51375" xr:uid="{00000000-0005-0000-0000-0000BEC80000}"/>
    <cellStyle name="Output 6 5 2" xfId="51376" xr:uid="{00000000-0005-0000-0000-0000BFC80000}"/>
    <cellStyle name="Output 6 5 3" xfId="51377" xr:uid="{00000000-0005-0000-0000-0000C0C80000}"/>
    <cellStyle name="Output 6 6" xfId="51378" xr:uid="{00000000-0005-0000-0000-0000C1C80000}"/>
    <cellStyle name="Output 6 6 2" xfId="51379" xr:uid="{00000000-0005-0000-0000-0000C2C80000}"/>
    <cellStyle name="Output 6 6 3" xfId="51380" xr:uid="{00000000-0005-0000-0000-0000C3C80000}"/>
    <cellStyle name="Output 6 7" xfId="51381" xr:uid="{00000000-0005-0000-0000-0000C4C80000}"/>
    <cellStyle name="Output 6 8" xfId="51382" xr:uid="{00000000-0005-0000-0000-0000C5C80000}"/>
    <cellStyle name="Output 6 9" xfId="51383" xr:uid="{00000000-0005-0000-0000-0000C6C80000}"/>
    <cellStyle name="Output 7" xfId="51384" xr:uid="{00000000-0005-0000-0000-0000C7C80000}"/>
    <cellStyle name="Output 7 10" xfId="51385" xr:uid="{00000000-0005-0000-0000-0000C8C80000}"/>
    <cellStyle name="Output 7 2" xfId="51386" xr:uid="{00000000-0005-0000-0000-0000C9C80000}"/>
    <cellStyle name="Output 7 2 2" xfId="51387" xr:uid="{00000000-0005-0000-0000-0000CAC80000}"/>
    <cellStyle name="Output 7 2 3" xfId="51388" xr:uid="{00000000-0005-0000-0000-0000CBC80000}"/>
    <cellStyle name="Output 7 2 4" xfId="51389" xr:uid="{00000000-0005-0000-0000-0000CCC80000}"/>
    <cellStyle name="Output 7 2 5" xfId="51390" xr:uid="{00000000-0005-0000-0000-0000CDC80000}"/>
    <cellStyle name="Output 7 3" xfId="51391" xr:uid="{00000000-0005-0000-0000-0000CEC80000}"/>
    <cellStyle name="Output 7 3 2" xfId="51392" xr:uid="{00000000-0005-0000-0000-0000CFC80000}"/>
    <cellStyle name="Output 7 3 3" xfId="51393" xr:uid="{00000000-0005-0000-0000-0000D0C80000}"/>
    <cellStyle name="Output 7 4" xfId="51394" xr:uid="{00000000-0005-0000-0000-0000D1C80000}"/>
    <cellStyle name="Output 7 4 2" xfId="51395" xr:uid="{00000000-0005-0000-0000-0000D2C80000}"/>
    <cellStyle name="Output 7 4 3" xfId="51396" xr:uid="{00000000-0005-0000-0000-0000D3C80000}"/>
    <cellStyle name="Output 7 5" xfId="51397" xr:uid="{00000000-0005-0000-0000-0000D4C80000}"/>
    <cellStyle name="Output 7 5 2" xfId="51398" xr:uid="{00000000-0005-0000-0000-0000D5C80000}"/>
    <cellStyle name="Output 7 5 3" xfId="51399" xr:uid="{00000000-0005-0000-0000-0000D6C80000}"/>
    <cellStyle name="Output 7 6" xfId="51400" xr:uid="{00000000-0005-0000-0000-0000D7C80000}"/>
    <cellStyle name="Output 7 6 2" xfId="51401" xr:uid="{00000000-0005-0000-0000-0000D8C80000}"/>
    <cellStyle name="Output 7 6 3" xfId="51402" xr:uid="{00000000-0005-0000-0000-0000D9C80000}"/>
    <cellStyle name="Output 7 7" xfId="51403" xr:uid="{00000000-0005-0000-0000-0000DAC80000}"/>
    <cellStyle name="Output 7 8" xfId="51404" xr:uid="{00000000-0005-0000-0000-0000DBC80000}"/>
    <cellStyle name="Output 7 9" xfId="51405" xr:uid="{00000000-0005-0000-0000-0000DCC80000}"/>
    <cellStyle name="Output 8" xfId="51406" xr:uid="{00000000-0005-0000-0000-0000DDC80000}"/>
    <cellStyle name="Output 8 10" xfId="51407" xr:uid="{00000000-0005-0000-0000-0000DEC80000}"/>
    <cellStyle name="Output 8 2" xfId="51408" xr:uid="{00000000-0005-0000-0000-0000DFC80000}"/>
    <cellStyle name="Output 8 2 2" xfId="51409" xr:uid="{00000000-0005-0000-0000-0000E0C80000}"/>
    <cellStyle name="Output 8 2 3" xfId="51410" xr:uid="{00000000-0005-0000-0000-0000E1C80000}"/>
    <cellStyle name="Output 8 2 4" xfId="51411" xr:uid="{00000000-0005-0000-0000-0000E2C80000}"/>
    <cellStyle name="Output 8 2 5" xfId="51412" xr:uid="{00000000-0005-0000-0000-0000E3C80000}"/>
    <cellStyle name="Output 8 3" xfId="51413" xr:uid="{00000000-0005-0000-0000-0000E4C80000}"/>
    <cellStyle name="Output 8 3 2" xfId="51414" xr:uid="{00000000-0005-0000-0000-0000E5C80000}"/>
    <cellStyle name="Output 8 3 3" xfId="51415" xr:uid="{00000000-0005-0000-0000-0000E6C80000}"/>
    <cellStyle name="Output 8 4" xfId="51416" xr:uid="{00000000-0005-0000-0000-0000E7C80000}"/>
    <cellStyle name="Output 8 4 2" xfId="51417" xr:uid="{00000000-0005-0000-0000-0000E8C80000}"/>
    <cellStyle name="Output 8 4 3" xfId="51418" xr:uid="{00000000-0005-0000-0000-0000E9C80000}"/>
    <cellStyle name="Output 8 5" xfId="51419" xr:uid="{00000000-0005-0000-0000-0000EAC80000}"/>
    <cellStyle name="Output 8 5 2" xfId="51420" xr:uid="{00000000-0005-0000-0000-0000EBC80000}"/>
    <cellStyle name="Output 8 5 3" xfId="51421" xr:uid="{00000000-0005-0000-0000-0000ECC80000}"/>
    <cellStyle name="Output 8 6" xfId="51422" xr:uid="{00000000-0005-0000-0000-0000EDC80000}"/>
    <cellStyle name="Output 8 6 2" xfId="51423" xr:uid="{00000000-0005-0000-0000-0000EEC80000}"/>
    <cellStyle name="Output 8 6 3" xfId="51424" xr:uid="{00000000-0005-0000-0000-0000EFC80000}"/>
    <cellStyle name="Output 8 7" xfId="51425" xr:uid="{00000000-0005-0000-0000-0000F0C80000}"/>
    <cellStyle name="Output 8 8" xfId="51426" xr:uid="{00000000-0005-0000-0000-0000F1C80000}"/>
    <cellStyle name="Output 8 9" xfId="51427" xr:uid="{00000000-0005-0000-0000-0000F2C80000}"/>
    <cellStyle name="Output 9" xfId="51428" xr:uid="{00000000-0005-0000-0000-0000F3C80000}"/>
    <cellStyle name="Output 9 10" xfId="51429" xr:uid="{00000000-0005-0000-0000-0000F4C80000}"/>
    <cellStyle name="Output 9 2" xfId="51430" xr:uid="{00000000-0005-0000-0000-0000F5C80000}"/>
    <cellStyle name="Output 9 2 2" xfId="51431" xr:uid="{00000000-0005-0000-0000-0000F6C80000}"/>
    <cellStyle name="Output 9 2 3" xfId="51432" xr:uid="{00000000-0005-0000-0000-0000F7C80000}"/>
    <cellStyle name="Output 9 2 4" xfId="51433" xr:uid="{00000000-0005-0000-0000-0000F8C80000}"/>
    <cellStyle name="Output 9 2 5" xfId="51434" xr:uid="{00000000-0005-0000-0000-0000F9C80000}"/>
    <cellStyle name="Output 9 3" xfId="51435" xr:uid="{00000000-0005-0000-0000-0000FAC80000}"/>
    <cellStyle name="Output 9 3 2" xfId="51436" xr:uid="{00000000-0005-0000-0000-0000FBC80000}"/>
    <cellStyle name="Output 9 3 3" xfId="51437" xr:uid="{00000000-0005-0000-0000-0000FCC80000}"/>
    <cellStyle name="Output 9 4" xfId="51438" xr:uid="{00000000-0005-0000-0000-0000FDC80000}"/>
    <cellStyle name="Output 9 4 2" xfId="51439" xr:uid="{00000000-0005-0000-0000-0000FEC80000}"/>
    <cellStyle name="Output 9 4 3" xfId="51440" xr:uid="{00000000-0005-0000-0000-0000FFC80000}"/>
    <cellStyle name="Output 9 5" xfId="51441" xr:uid="{00000000-0005-0000-0000-000000C90000}"/>
    <cellStyle name="Output 9 5 2" xfId="51442" xr:uid="{00000000-0005-0000-0000-000001C90000}"/>
    <cellStyle name="Output 9 5 3" xfId="51443" xr:uid="{00000000-0005-0000-0000-000002C90000}"/>
    <cellStyle name="Output 9 6" xfId="51444" xr:uid="{00000000-0005-0000-0000-000003C90000}"/>
    <cellStyle name="Output 9 6 2" xfId="51445" xr:uid="{00000000-0005-0000-0000-000004C90000}"/>
    <cellStyle name="Output 9 6 3" xfId="51446" xr:uid="{00000000-0005-0000-0000-000005C90000}"/>
    <cellStyle name="Output 9 7" xfId="51447" xr:uid="{00000000-0005-0000-0000-000006C90000}"/>
    <cellStyle name="Output 9 8" xfId="51448" xr:uid="{00000000-0005-0000-0000-000007C90000}"/>
    <cellStyle name="Output 9 9" xfId="51449" xr:uid="{00000000-0005-0000-0000-000008C90000}"/>
    <cellStyle name="paint" xfId="51450" xr:uid="{00000000-0005-0000-0000-000009C90000}"/>
    <cellStyle name="per.style" xfId="51451" xr:uid="{00000000-0005-0000-0000-00000AC90000}"/>
    <cellStyle name="Percent" xfId="54009" builtinId="5"/>
    <cellStyle name="Percent [0]" xfId="51452" xr:uid="{00000000-0005-0000-0000-00000CC90000}"/>
    <cellStyle name="Percent [00]" xfId="51453" xr:uid="{00000000-0005-0000-0000-00000DC90000}"/>
    <cellStyle name="Percent [2]" xfId="51454" xr:uid="{00000000-0005-0000-0000-00000EC90000}"/>
    <cellStyle name="Percent [2] 2" xfId="51455" xr:uid="{00000000-0005-0000-0000-00000FC90000}"/>
    <cellStyle name="Percent [2] 2 2" xfId="51456" xr:uid="{00000000-0005-0000-0000-000010C90000}"/>
    <cellStyle name="Percent [2] 3" xfId="51457" xr:uid="{00000000-0005-0000-0000-000011C90000}"/>
    <cellStyle name="Percent [2] 3 2" xfId="51458" xr:uid="{00000000-0005-0000-0000-000012C90000}"/>
    <cellStyle name="Percent [2] 4" xfId="51459" xr:uid="{00000000-0005-0000-0000-000013C90000}"/>
    <cellStyle name="Percent [2] 4 2" xfId="51460" xr:uid="{00000000-0005-0000-0000-000014C90000}"/>
    <cellStyle name="Percent [2] 5" xfId="51461" xr:uid="{00000000-0005-0000-0000-000015C90000}"/>
    <cellStyle name="Percent [2] 6" xfId="51462" xr:uid="{00000000-0005-0000-0000-000016C90000}"/>
    <cellStyle name="Percent 10" xfId="51463" xr:uid="{00000000-0005-0000-0000-000017C90000}"/>
    <cellStyle name="Percent 10 2" xfId="51464" xr:uid="{00000000-0005-0000-0000-000018C90000}"/>
    <cellStyle name="Percent 10 2 2" xfId="51465" xr:uid="{00000000-0005-0000-0000-000019C90000}"/>
    <cellStyle name="Percent 10 2 2 2" xfId="51466" xr:uid="{00000000-0005-0000-0000-00001AC90000}"/>
    <cellStyle name="Percent 10 2 2 2 2" xfId="51467" xr:uid="{00000000-0005-0000-0000-00001BC90000}"/>
    <cellStyle name="Percent 10 2 2 3" xfId="51468" xr:uid="{00000000-0005-0000-0000-00001CC90000}"/>
    <cellStyle name="Percent 10 2 3" xfId="51469" xr:uid="{00000000-0005-0000-0000-00001DC90000}"/>
    <cellStyle name="Percent 10 2 3 2" xfId="51470" xr:uid="{00000000-0005-0000-0000-00001EC90000}"/>
    <cellStyle name="Percent 10 2 3 3" xfId="51471" xr:uid="{00000000-0005-0000-0000-00001FC90000}"/>
    <cellStyle name="Percent 10 2 3 3 2" xfId="51472" xr:uid="{00000000-0005-0000-0000-000020C90000}"/>
    <cellStyle name="Percent 10 2 3 4" xfId="51473" xr:uid="{00000000-0005-0000-0000-000021C90000}"/>
    <cellStyle name="Percent 10 2 4" xfId="51474" xr:uid="{00000000-0005-0000-0000-000022C90000}"/>
    <cellStyle name="Percent 10 3" xfId="51475" xr:uid="{00000000-0005-0000-0000-000023C90000}"/>
    <cellStyle name="Percent 10 3 2" xfId="51476" xr:uid="{00000000-0005-0000-0000-000024C90000}"/>
    <cellStyle name="Percent 10 4" xfId="51477" xr:uid="{00000000-0005-0000-0000-000025C90000}"/>
    <cellStyle name="Percent 10 4 2" xfId="51478" xr:uid="{00000000-0005-0000-0000-000026C90000}"/>
    <cellStyle name="Percent 10 5" xfId="51479" xr:uid="{00000000-0005-0000-0000-000027C90000}"/>
    <cellStyle name="Percent 10 6" xfId="51480" xr:uid="{00000000-0005-0000-0000-000028C90000}"/>
    <cellStyle name="Percent 10_Labour" xfId="51481" xr:uid="{00000000-0005-0000-0000-000029C90000}"/>
    <cellStyle name="Percent 11" xfId="51482" xr:uid="{00000000-0005-0000-0000-00002AC90000}"/>
    <cellStyle name="Percent 11 2" xfId="51483" xr:uid="{00000000-0005-0000-0000-00002BC90000}"/>
    <cellStyle name="Percent 11 2 2" xfId="51484" xr:uid="{00000000-0005-0000-0000-00002CC90000}"/>
    <cellStyle name="Percent 11 2 2 2" xfId="51485" xr:uid="{00000000-0005-0000-0000-00002DC90000}"/>
    <cellStyle name="Percent 11 2 2 2 2" xfId="51486" xr:uid="{00000000-0005-0000-0000-00002EC90000}"/>
    <cellStyle name="Percent 11 2 2 3" xfId="51487" xr:uid="{00000000-0005-0000-0000-00002FC90000}"/>
    <cellStyle name="Percent 11 2 2 4" xfId="51488" xr:uid="{00000000-0005-0000-0000-000030C90000}"/>
    <cellStyle name="Percent 11 2 3" xfId="51489" xr:uid="{00000000-0005-0000-0000-000031C90000}"/>
    <cellStyle name="Percent 11 2 3 2" xfId="51490" xr:uid="{00000000-0005-0000-0000-000032C90000}"/>
    <cellStyle name="Percent 11 2 4" xfId="51491" xr:uid="{00000000-0005-0000-0000-000033C90000}"/>
    <cellStyle name="Percent 11 2 5" xfId="51492" xr:uid="{00000000-0005-0000-0000-000034C90000}"/>
    <cellStyle name="Percent 11 3" xfId="51493" xr:uid="{00000000-0005-0000-0000-000035C90000}"/>
    <cellStyle name="Percent 11 3 2" xfId="51494" xr:uid="{00000000-0005-0000-0000-000036C90000}"/>
    <cellStyle name="Percent 11 3 2 2" xfId="51495" xr:uid="{00000000-0005-0000-0000-000037C90000}"/>
    <cellStyle name="Percent 11 3 3" xfId="51496" xr:uid="{00000000-0005-0000-0000-000038C90000}"/>
    <cellStyle name="Percent 11 3 4" xfId="51497" xr:uid="{00000000-0005-0000-0000-000039C90000}"/>
    <cellStyle name="Percent 11 3 4 2" xfId="51498" xr:uid="{00000000-0005-0000-0000-00003AC90000}"/>
    <cellStyle name="Percent 11 3 5" xfId="51499" xr:uid="{00000000-0005-0000-0000-00003BC90000}"/>
    <cellStyle name="Percent 11 4" xfId="51500" xr:uid="{00000000-0005-0000-0000-00003CC90000}"/>
    <cellStyle name="Percent 11 4 2" xfId="51501" xr:uid="{00000000-0005-0000-0000-00003DC90000}"/>
    <cellStyle name="Percent 11 5" xfId="51502" xr:uid="{00000000-0005-0000-0000-00003EC90000}"/>
    <cellStyle name="Percent 11 6" xfId="51503" xr:uid="{00000000-0005-0000-0000-00003FC90000}"/>
    <cellStyle name="Percent 11 7" xfId="51504" xr:uid="{00000000-0005-0000-0000-000040C90000}"/>
    <cellStyle name="Percent 11_Labour" xfId="51505" xr:uid="{00000000-0005-0000-0000-000041C90000}"/>
    <cellStyle name="Percent 12" xfId="51506" xr:uid="{00000000-0005-0000-0000-000042C90000}"/>
    <cellStyle name="Percent 12 2" xfId="13" xr:uid="{00000000-0005-0000-0000-000043C90000}"/>
    <cellStyle name="Percent 12 2 2" xfId="51507" xr:uid="{00000000-0005-0000-0000-000044C90000}"/>
    <cellStyle name="Percent 12 2 2 2" xfId="51508" xr:uid="{00000000-0005-0000-0000-000045C90000}"/>
    <cellStyle name="Percent 12 2 2 2 2" xfId="51509" xr:uid="{00000000-0005-0000-0000-000046C90000}"/>
    <cellStyle name="Percent 12 2 2 3" xfId="51510" xr:uid="{00000000-0005-0000-0000-000047C90000}"/>
    <cellStyle name="Percent 12 2 3" xfId="51511" xr:uid="{00000000-0005-0000-0000-000048C90000}"/>
    <cellStyle name="Percent 12 2 3 2" xfId="51512" xr:uid="{00000000-0005-0000-0000-000049C90000}"/>
    <cellStyle name="Percent 12 2 4" xfId="51513" xr:uid="{00000000-0005-0000-0000-00004AC90000}"/>
    <cellStyle name="Percent 12 3" xfId="51514" xr:uid="{00000000-0005-0000-0000-00004BC90000}"/>
    <cellStyle name="Percent 12 3 2" xfId="51515" xr:uid="{00000000-0005-0000-0000-00004CC90000}"/>
    <cellStyle name="Percent 12 3 2 2" xfId="51516" xr:uid="{00000000-0005-0000-0000-00004DC90000}"/>
    <cellStyle name="Percent 12 3 3" xfId="51517" xr:uid="{00000000-0005-0000-0000-00004EC90000}"/>
    <cellStyle name="Percent 12 4" xfId="51518" xr:uid="{00000000-0005-0000-0000-00004FC90000}"/>
    <cellStyle name="Percent 12 4 2" xfId="51519" xr:uid="{00000000-0005-0000-0000-000050C90000}"/>
    <cellStyle name="Percent 12 5" xfId="51520" xr:uid="{00000000-0005-0000-0000-000051C90000}"/>
    <cellStyle name="Percent 12 6" xfId="51521" xr:uid="{00000000-0005-0000-0000-000052C90000}"/>
    <cellStyle name="Percent 13" xfId="51522" xr:uid="{00000000-0005-0000-0000-000053C90000}"/>
    <cellStyle name="Percent 13 2" xfId="51523" xr:uid="{00000000-0005-0000-0000-000054C90000}"/>
    <cellStyle name="Percent 13 2 2" xfId="51524" xr:uid="{00000000-0005-0000-0000-000055C90000}"/>
    <cellStyle name="Percent 13 2 2 2" xfId="51525" xr:uid="{00000000-0005-0000-0000-000056C90000}"/>
    <cellStyle name="Percent 13 2 2 2 2" xfId="51526" xr:uid="{00000000-0005-0000-0000-000057C90000}"/>
    <cellStyle name="Percent 13 2 2 3" xfId="51527" xr:uid="{00000000-0005-0000-0000-000058C90000}"/>
    <cellStyle name="Percent 13 2 3" xfId="51528" xr:uid="{00000000-0005-0000-0000-000059C90000}"/>
    <cellStyle name="Percent 13 2 3 2" xfId="51529" xr:uid="{00000000-0005-0000-0000-00005AC90000}"/>
    <cellStyle name="Percent 13 2 4" xfId="51530" xr:uid="{00000000-0005-0000-0000-00005BC90000}"/>
    <cellStyle name="Percent 13 3" xfId="51531" xr:uid="{00000000-0005-0000-0000-00005CC90000}"/>
    <cellStyle name="Percent 13 3 2" xfId="51532" xr:uid="{00000000-0005-0000-0000-00005DC90000}"/>
    <cellStyle name="Percent 13 3 2 2" xfId="51533" xr:uid="{00000000-0005-0000-0000-00005EC90000}"/>
    <cellStyle name="Percent 13 3 3" xfId="51534" xr:uid="{00000000-0005-0000-0000-00005FC90000}"/>
    <cellStyle name="Percent 13 4" xfId="51535" xr:uid="{00000000-0005-0000-0000-000060C90000}"/>
    <cellStyle name="Percent 13 4 2" xfId="51536" xr:uid="{00000000-0005-0000-0000-000061C90000}"/>
    <cellStyle name="Percent 13 5" xfId="51537" xr:uid="{00000000-0005-0000-0000-000062C90000}"/>
    <cellStyle name="Percent 13 6" xfId="51538" xr:uid="{00000000-0005-0000-0000-000063C90000}"/>
    <cellStyle name="Percent 14" xfId="51539" xr:uid="{00000000-0005-0000-0000-000064C90000}"/>
    <cellStyle name="Percent 14 2" xfId="51540" xr:uid="{00000000-0005-0000-0000-000065C90000}"/>
    <cellStyle name="Percent 14 3" xfId="51541" xr:uid="{00000000-0005-0000-0000-000066C90000}"/>
    <cellStyle name="Percent 15" xfId="51542" xr:uid="{00000000-0005-0000-0000-000067C90000}"/>
    <cellStyle name="Percent 15 2" xfId="51543" xr:uid="{00000000-0005-0000-0000-000068C90000}"/>
    <cellStyle name="Percent 15 3" xfId="51544" xr:uid="{00000000-0005-0000-0000-000069C90000}"/>
    <cellStyle name="Percent 16" xfId="51545" xr:uid="{00000000-0005-0000-0000-00006AC90000}"/>
    <cellStyle name="Percent 16 2" xfId="51546" xr:uid="{00000000-0005-0000-0000-00006BC90000}"/>
    <cellStyle name="Percent 16 3" xfId="51547" xr:uid="{00000000-0005-0000-0000-00006CC90000}"/>
    <cellStyle name="Percent 16 4" xfId="51548" xr:uid="{00000000-0005-0000-0000-00006DC90000}"/>
    <cellStyle name="Percent 16 5" xfId="51549" xr:uid="{00000000-0005-0000-0000-00006EC90000}"/>
    <cellStyle name="Percent 17" xfId="51550" xr:uid="{00000000-0005-0000-0000-00006FC90000}"/>
    <cellStyle name="Percent 17 2" xfId="51551" xr:uid="{00000000-0005-0000-0000-000070C90000}"/>
    <cellStyle name="Percent 18" xfId="51552" xr:uid="{00000000-0005-0000-0000-000071C90000}"/>
    <cellStyle name="Percent 18 2" xfId="51553" xr:uid="{00000000-0005-0000-0000-000072C90000}"/>
    <cellStyle name="Percent 19" xfId="51554" xr:uid="{00000000-0005-0000-0000-000073C90000}"/>
    <cellStyle name="Percent 2" xfId="4" xr:uid="{00000000-0005-0000-0000-000074C90000}"/>
    <cellStyle name="Percent 2 10" xfId="51555" xr:uid="{00000000-0005-0000-0000-000075C90000}"/>
    <cellStyle name="Percent 2 10 2" xfId="51556" xr:uid="{00000000-0005-0000-0000-000076C90000}"/>
    <cellStyle name="Percent 2 11" xfId="51557" xr:uid="{00000000-0005-0000-0000-000077C90000}"/>
    <cellStyle name="Percent 2 11 2" xfId="51558" xr:uid="{00000000-0005-0000-0000-000078C90000}"/>
    <cellStyle name="Percent 2 12" xfId="51559" xr:uid="{00000000-0005-0000-0000-000079C90000}"/>
    <cellStyle name="Percent 2 12 2" xfId="51560" xr:uid="{00000000-0005-0000-0000-00007AC90000}"/>
    <cellStyle name="Percent 2 13" xfId="51561" xr:uid="{00000000-0005-0000-0000-00007BC90000}"/>
    <cellStyle name="Percent 2 13 2" xfId="51562" xr:uid="{00000000-0005-0000-0000-00007CC90000}"/>
    <cellStyle name="Percent 2 13 3" xfId="51563" xr:uid="{00000000-0005-0000-0000-00007DC90000}"/>
    <cellStyle name="Percent 2 13 4" xfId="51564" xr:uid="{00000000-0005-0000-0000-00007EC90000}"/>
    <cellStyle name="Percent 2 13 5" xfId="51565" xr:uid="{00000000-0005-0000-0000-00007FC90000}"/>
    <cellStyle name="Percent 2 14" xfId="51566" xr:uid="{00000000-0005-0000-0000-000080C90000}"/>
    <cellStyle name="Percent 2 14 2" xfId="51567" xr:uid="{00000000-0005-0000-0000-000081C90000}"/>
    <cellStyle name="Percent 2 15" xfId="51568" xr:uid="{00000000-0005-0000-0000-000082C90000}"/>
    <cellStyle name="Percent 2 15 2" xfId="51569" xr:uid="{00000000-0005-0000-0000-000083C90000}"/>
    <cellStyle name="Percent 2 16" xfId="51570" xr:uid="{00000000-0005-0000-0000-000084C90000}"/>
    <cellStyle name="Percent 2 16 2" xfId="51571" xr:uid="{00000000-0005-0000-0000-000085C90000}"/>
    <cellStyle name="Percent 2 17" xfId="51572" xr:uid="{00000000-0005-0000-0000-000086C90000}"/>
    <cellStyle name="Percent 2 17 2" xfId="51573" xr:uid="{00000000-0005-0000-0000-000087C90000}"/>
    <cellStyle name="Percent 2 18" xfId="51574" xr:uid="{00000000-0005-0000-0000-000088C90000}"/>
    <cellStyle name="Percent 2 18 2" xfId="51575" xr:uid="{00000000-0005-0000-0000-000089C90000}"/>
    <cellStyle name="Percent 2 19" xfId="51576" xr:uid="{00000000-0005-0000-0000-00008AC90000}"/>
    <cellStyle name="Percent 2 19 2" xfId="51577" xr:uid="{00000000-0005-0000-0000-00008BC90000}"/>
    <cellStyle name="Percent 2 2" xfId="51578" xr:uid="{00000000-0005-0000-0000-00008CC90000}"/>
    <cellStyle name="Percent 2 2 10" xfId="51579" xr:uid="{00000000-0005-0000-0000-00008DC90000}"/>
    <cellStyle name="Percent 2 2 11" xfId="51580" xr:uid="{00000000-0005-0000-0000-00008EC90000}"/>
    <cellStyle name="Percent 2 2 12" xfId="51581" xr:uid="{00000000-0005-0000-0000-00008FC90000}"/>
    <cellStyle name="Percent 2 2 13" xfId="51582" xr:uid="{00000000-0005-0000-0000-000090C90000}"/>
    <cellStyle name="Percent 2 2 14" xfId="51583" xr:uid="{00000000-0005-0000-0000-000091C90000}"/>
    <cellStyle name="Percent 2 2 15" xfId="51584" xr:uid="{00000000-0005-0000-0000-000092C90000}"/>
    <cellStyle name="Percent 2 2 16" xfId="51585" xr:uid="{00000000-0005-0000-0000-000093C90000}"/>
    <cellStyle name="Percent 2 2 17" xfId="51586" xr:uid="{00000000-0005-0000-0000-000094C90000}"/>
    <cellStyle name="Percent 2 2 18" xfId="51587" xr:uid="{00000000-0005-0000-0000-000095C90000}"/>
    <cellStyle name="Percent 2 2 19" xfId="51588" xr:uid="{00000000-0005-0000-0000-000096C90000}"/>
    <cellStyle name="Percent 2 2 2" xfId="51589" xr:uid="{00000000-0005-0000-0000-000097C90000}"/>
    <cellStyle name="Percent 2 2 2 10" xfId="51590" xr:uid="{00000000-0005-0000-0000-000098C90000}"/>
    <cellStyle name="Percent 2 2 2 11" xfId="51591" xr:uid="{00000000-0005-0000-0000-000099C90000}"/>
    <cellStyle name="Percent 2 2 2 12" xfId="51592" xr:uid="{00000000-0005-0000-0000-00009AC90000}"/>
    <cellStyle name="Percent 2 2 2 13" xfId="51593" xr:uid="{00000000-0005-0000-0000-00009BC90000}"/>
    <cellStyle name="Percent 2 2 2 14" xfId="51594" xr:uid="{00000000-0005-0000-0000-00009CC90000}"/>
    <cellStyle name="Percent 2 2 2 15" xfId="51595" xr:uid="{00000000-0005-0000-0000-00009DC90000}"/>
    <cellStyle name="Percent 2 2 2 16" xfId="51596" xr:uid="{00000000-0005-0000-0000-00009EC90000}"/>
    <cellStyle name="Percent 2 2 2 17" xfId="51597" xr:uid="{00000000-0005-0000-0000-00009FC90000}"/>
    <cellStyle name="Percent 2 2 2 18" xfId="51598" xr:uid="{00000000-0005-0000-0000-0000A0C90000}"/>
    <cellStyle name="Percent 2 2 2 19" xfId="51599" xr:uid="{00000000-0005-0000-0000-0000A1C90000}"/>
    <cellStyle name="Percent 2 2 2 2" xfId="51600" xr:uid="{00000000-0005-0000-0000-0000A2C90000}"/>
    <cellStyle name="Percent 2 2 2 2 10" xfId="51601" xr:uid="{00000000-0005-0000-0000-0000A3C90000}"/>
    <cellStyle name="Percent 2 2 2 2 11" xfId="51602" xr:uid="{00000000-0005-0000-0000-0000A4C90000}"/>
    <cellStyle name="Percent 2 2 2 2 2" xfId="51603" xr:uid="{00000000-0005-0000-0000-0000A5C90000}"/>
    <cellStyle name="Percent 2 2 2 2 2 10" xfId="51604" xr:uid="{00000000-0005-0000-0000-0000A6C90000}"/>
    <cellStyle name="Percent 2 2 2 2 2 11" xfId="51605" xr:uid="{00000000-0005-0000-0000-0000A7C90000}"/>
    <cellStyle name="Percent 2 2 2 2 2 2" xfId="51606" xr:uid="{00000000-0005-0000-0000-0000A8C90000}"/>
    <cellStyle name="Percent 2 2 2 2 2 3" xfId="51607" xr:uid="{00000000-0005-0000-0000-0000A9C90000}"/>
    <cellStyle name="Percent 2 2 2 2 2 4" xfId="51608" xr:uid="{00000000-0005-0000-0000-0000AAC90000}"/>
    <cellStyle name="Percent 2 2 2 2 2 5" xfId="51609" xr:uid="{00000000-0005-0000-0000-0000ABC90000}"/>
    <cellStyle name="Percent 2 2 2 2 2 6" xfId="51610" xr:uid="{00000000-0005-0000-0000-0000ACC90000}"/>
    <cellStyle name="Percent 2 2 2 2 2 7" xfId="51611" xr:uid="{00000000-0005-0000-0000-0000ADC90000}"/>
    <cellStyle name="Percent 2 2 2 2 2 8" xfId="51612" xr:uid="{00000000-0005-0000-0000-0000AEC90000}"/>
    <cellStyle name="Percent 2 2 2 2 2 9" xfId="51613" xr:uid="{00000000-0005-0000-0000-0000AFC90000}"/>
    <cellStyle name="Percent 2 2 2 2 3" xfId="51614" xr:uid="{00000000-0005-0000-0000-0000B0C90000}"/>
    <cellStyle name="Percent 2 2 2 2 4" xfId="51615" xr:uid="{00000000-0005-0000-0000-0000B1C90000}"/>
    <cellStyle name="Percent 2 2 2 2 5" xfId="51616" xr:uid="{00000000-0005-0000-0000-0000B2C90000}"/>
    <cellStyle name="Percent 2 2 2 2 6" xfId="51617" xr:uid="{00000000-0005-0000-0000-0000B3C90000}"/>
    <cellStyle name="Percent 2 2 2 2 7" xfId="51618" xr:uid="{00000000-0005-0000-0000-0000B4C90000}"/>
    <cellStyle name="Percent 2 2 2 2 8" xfId="51619" xr:uid="{00000000-0005-0000-0000-0000B5C90000}"/>
    <cellStyle name="Percent 2 2 2 2 9" xfId="51620" xr:uid="{00000000-0005-0000-0000-0000B6C90000}"/>
    <cellStyle name="Percent 2 2 2 2_Proj" xfId="51621" xr:uid="{00000000-0005-0000-0000-0000B7C90000}"/>
    <cellStyle name="Percent 2 2 2 20" xfId="51622" xr:uid="{00000000-0005-0000-0000-0000B8C90000}"/>
    <cellStyle name="Percent 2 2 2 21" xfId="51623" xr:uid="{00000000-0005-0000-0000-0000B9C90000}"/>
    <cellStyle name="Percent 2 2 2 22" xfId="51624" xr:uid="{00000000-0005-0000-0000-0000BAC90000}"/>
    <cellStyle name="Percent 2 2 2 23" xfId="51625" xr:uid="{00000000-0005-0000-0000-0000BBC90000}"/>
    <cellStyle name="Percent 2 2 2 24" xfId="51626" xr:uid="{00000000-0005-0000-0000-0000BCC90000}"/>
    <cellStyle name="Percent 2 2 2 25" xfId="51627" xr:uid="{00000000-0005-0000-0000-0000BDC90000}"/>
    <cellStyle name="Percent 2 2 2 26" xfId="51628" xr:uid="{00000000-0005-0000-0000-0000BEC90000}"/>
    <cellStyle name="Percent 2 2 2 3" xfId="51629" xr:uid="{00000000-0005-0000-0000-0000BFC90000}"/>
    <cellStyle name="Percent 2 2 2 3 2" xfId="51630" xr:uid="{00000000-0005-0000-0000-0000C0C90000}"/>
    <cellStyle name="Percent 2 2 2 3 3" xfId="51631" xr:uid="{00000000-0005-0000-0000-0000C1C90000}"/>
    <cellStyle name="Percent 2 2 2 4" xfId="51632" xr:uid="{00000000-0005-0000-0000-0000C2C90000}"/>
    <cellStyle name="Percent 2 2 2 5" xfId="51633" xr:uid="{00000000-0005-0000-0000-0000C3C90000}"/>
    <cellStyle name="Percent 2 2 2 5 2" xfId="51634" xr:uid="{00000000-0005-0000-0000-0000C4C90000}"/>
    <cellStyle name="Percent 2 2 2 6" xfId="51635" xr:uid="{00000000-0005-0000-0000-0000C5C90000}"/>
    <cellStyle name="Percent 2 2 2 7" xfId="51636" xr:uid="{00000000-0005-0000-0000-0000C6C90000}"/>
    <cellStyle name="Percent 2 2 2 8" xfId="51637" xr:uid="{00000000-0005-0000-0000-0000C7C90000}"/>
    <cellStyle name="Percent 2 2 2 9" xfId="51638" xr:uid="{00000000-0005-0000-0000-0000C8C90000}"/>
    <cellStyle name="Percent 2 2 2_Labour" xfId="51639" xr:uid="{00000000-0005-0000-0000-0000C9C90000}"/>
    <cellStyle name="Percent 2 2 20" xfId="51640" xr:uid="{00000000-0005-0000-0000-0000CAC90000}"/>
    <cellStyle name="Percent 2 2 21" xfId="51641" xr:uid="{00000000-0005-0000-0000-0000CBC90000}"/>
    <cellStyle name="Percent 2 2 22" xfId="51642" xr:uid="{00000000-0005-0000-0000-0000CCC90000}"/>
    <cellStyle name="Percent 2 2 23" xfId="51643" xr:uid="{00000000-0005-0000-0000-0000CDC90000}"/>
    <cellStyle name="Percent 2 2 24" xfId="51644" xr:uid="{00000000-0005-0000-0000-0000CEC90000}"/>
    <cellStyle name="Percent 2 2 25" xfId="51645" xr:uid="{00000000-0005-0000-0000-0000CFC90000}"/>
    <cellStyle name="Percent 2 2 26" xfId="51646" xr:uid="{00000000-0005-0000-0000-0000D0C90000}"/>
    <cellStyle name="Percent 2 2 3" xfId="51647" xr:uid="{00000000-0005-0000-0000-0000D1C90000}"/>
    <cellStyle name="Percent 2 2 3 2" xfId="51648" xr:uid="{00000000-0005-0000-0000-0000D2C90000}"/>
    <cellStyle name="Percent 2 2 3 3" xfId="51649" xr:uid="{00000000-0005-0000-0000-0000D3C90000}"/>
    <cellStyle name="Percent 2 2 4" xfId="51650" xr:uid="{00000000-0005-0000-0000-0000D4C90000}"/>
    <cellStyle name="Percent 2 2 5" xfId="51651" xr:uid="{00000000-0005-0000-0000-0000D5C90000}"/>
    <cellStyle name="Percent 2 2 5 2" xfId="51652" xr:uid="{00000000-0005-0000-0000-0000D6C90000}"/>
    <cellStyle name="Percent 2 2 6" xfId="51653" xr:uid="{00000000-0005-0000-0000-0000D7C90000}"/>
    <cellStyle name="Percent 2 2 7" xfId="51654" xr:uid="{00000000-0005-0000-0000-0000D8C90000}"/>
    <cellStyle name="Percent 2 2 8" xfId="51655" xr:uid="{00000000-0005-0000-0000-0000D9C90000}"/>
    <cellStyle name="Percent 2 2 9" xfId="51656" xr:uid="{00000000-0005-0000-0000-0000DAC90000}"/>
    <cellStyle name="Percent 2 2_EXPAT-NATIONAL CALCUL" xfId="51657" xr:uid="{00000000-0005-0000-0000-0000DBC90000}"/>
    <cellStyle name="Percent 2 20" xfId="51658" xr:uid="{00000000-0005-0000-0000-0000DCC90000}"/>
    <cellStyle name="Percent 2 20 2" xfId="51659" xr:uid="{00000000-0005-0000-0000-0000DDC90000}"/>
    <cellStyle name="Percent 2 21" xfId="51660" xr:uid="{00000000-0005-0000-0000-0000DEC90000}"/>
    <cellStyle name="Percent 2 21 2" xfId="51661" xr:uid="{00000000-0005-0000-0000-0000DFC90000}"/>
    <cellStyle name="Percent 2 22" xfId="51662" xr:uid="{00000000-0005-0000-0000-0000E0C90000}"/>
    <cellStyle name="Percent 2 22 2" xfId="51663" xr:uid="{00000000-0005-0000-0000-0000E1C90000}"/>
    <cellStyle name="Percent 2 23" xfId="51664" xr:uid="{00000000-0005-0000-0000-0000E2C90000}"/>
    <cellStyle name="Percent 2 23 2" xfId="51665" xr:uid="{00000000-0005-0000-0000-0000E3C90000}"/>
    <cellStyle name="Percent 2 24" xfId="51666" xr:uid="{00000000-0005-0000-0000-0000E4C90000}"/>
    <cellStyle name="Percent 2 24 2" xfId="51667" xr:uid="{00000000-0005-0000-0000-0000E5C90000}"/>
    <cellStyle name="Percent 2 25" xfId="51668" xr:uid="{00000000-0005-0000-0000-0000E6C90000}"/>
    <cellStyle name="Percent 2 26" xfId="51669" xr:uid="{00000000-0005-0000-0000-0000E7C90000}"/>
    <cellStyle name="Percent 2 27" xfId="51670" xr:uid="{00000000-0005-0000-0000-0000E8C90000}"/>
    <cellStyle name="Percent 2 28" xfId="51671" xr:uid="{00000000-0005-0000-0000-0000E9C90000}"/>
    <cellStyle name="Percent 2 29" xfId="51672" xr:uid="{00000000-0005-0000-0000-0000EAC90000}"/>
    <cellStyle name="Percent 2 3" xfId="51673" xr:uid="{00000000-0005-0000-0000-0000EBC90000}"/>
    <cellStyle name="Percent 2 3 2" xfId="51674" xr:uid="{00000000-0005-0000-0000-0000ECC90000}"/>
    <cellStyle name="Percent 2 3 2 2" xfId="51675" xr:uid="{00000000-0005-0000-0000-0000EDC90000}"/>
    <cellStyle name="Percent 2 3 2 2 2" xfId="51676" xr:uid="{00000000-0005-0000-0000-0000EEC90000}"/>
    <cellStyle name="Percent 2 3 2 3" xfId="51677" xr:uid="{00000000-0005-0000-0000-0000EFC90000}"/>
    <cellStyle name="Percent 2 3 3" xfId="51678" xr:uid="{00000000-0005-0000-0000-0000F0C90000}"/>
    <cellStyle name="Percent 2 3 4" xfId="51679" xr:uid="{00000000-0005-0000-0000-0000F1C90000}"/>
    <cellStyle name="Percent 2 3 5" xfId="51680" xr:uid="{00000000-0005-0000-0000-0000F2C90000}"/>
    <cellStyle name="Percent 2 3 6" xfId="51681" xr:uid="{00000000-0005-0000-0000-0000F3C90000}"/>
    <cellStyle name="Percent 2 3 7" xfId="51682" xr:uid="{00000000-0005-0000-0000-0000F4C90000}"/>
    <cellStyle name="Percent 2 3 8" xfId="51683" xr:uid="{00000000-0005-0000-0000-0000F5C90000}"/>
    <cellStyle name="Percent 2 3 9" xfId="51684" xr:uid="{00000000-0005-0000-0000-0000F6C90000}"/>
    <cellStyle name="Percent 2 30" xfId="51685" xr:uid="{00000000-0005-0000-0000-0000F7C90000}"/>
    <cellStyle name="Percent 2 4" xfId="51686" xr:uid="{00000000-0005-0000-0000-0000F8C90000}"/>
    <cellStyle name="Percent 2 4 2" xfId="51687" xr:uid="{00000000-0005-0000-0000-0000F9C90000}"/>
    <cellStyle name="Percent 2 4 3" xfId="51688" xr:uid="{00000000-0005-0000-0000-0000FAC90000}"/>
    <cellStyle name="Percent 2 4_Proj" xfId="51689" xr:uid="{00000000-0005-0000-0000-0000FBC90000}"/>
    <cellStyle name="Percent 2 5" xfId="51690" xr:uid="{00000000-0005-0000-0000-0000FCC90000}"/>
    <cellStyle name="Percent 2 5 2" xfId="51691" xr:uid="{00000000-0005-0000-0000-0000FDC90000}"/>
    <cellStyle name="Percent 2 5 3" xfId="51692" xr:uid="{00000000-0005-0000-0000-0000FEC90000}"/>
    <cellStyle name="Percent 2 6" xfId="51693" xr:uid="{00000000-0005-0000-0000-0000FFC90000}"/>
    <cellStyle name="Percent 2 6 2" xfId="51694" xr:uid="{00000000-0005-0000-0000-000000CA0000}"/>
    <cellStyle name="Percent 2 6 2 2" xfId="51695" xr:uid="{00000000-0005-0000-0000-000001CA0000}"/>
    <cellStyle name="Percent 2 6 2 3" xfId="51696" xr:uid="{00000000-0005-0000-0000-000002CA0000}"/>
    <cellStyle name="Percent 2 6 2 4" xfId="51697" xr:uid="{00000000-0005-0000-0000-000003CA0000}"/>
    <cellStyle name="Percent 2 6 2 5" xfId="51698" xr:uid="{00000000-0005-0000-0000-000004CA0000}"/>
    <cellStyle name="Percent 2 6 3" xfId="51699" xr:uid="{00000000-0005-0000-0000-000005CA0000}"/>
    <cellStyle name="Percent 2 6 4" xfId="51700" xr:uid="{00000000-0005-0000-0000-000006CA0000}"/>
    <cellStyle name="Percent 2 6 5" xfId="51701" xr:uid="{00000000-0005-0000-0000-000007CA0000}"/>
    <cellStyle name="Percent 2 7" xfId="51702" xr:uid="{00000000-0005-0000-0000-000008CA0000}"/>
    <cellStyle name="Percent 2 7 2" xfId="51703" xr:uid="{00000000-0005-0000-0000-000009CA0000}"/>
    <cellStyle name="Percent 2 7 3" xfId="51704" xr:uid="{00000000-0005-0000-0000-00000ACA0000}"/>
    <cellStyle name="Percent 2 8" xfId="51705" xr:uid="{00000000-0005-0000-0000-00000BCA0000}"/>
    <cellStyle name="Percent 2 8 2" xfId="51706" xr:uid="{00000000-0005-0000-0000-00000CCA0000}"/>
    <cellStyle name="Percent 2 8 3" xfId="51707" xr:uid="{00000000-0005-0000-0000-00000DCA0000}"/>
    <cellStyle name="Percent 2 9" xfId="51708" xr:uid="{00000000-0005-0000-0000-00000ECA0000}"/>
    <cellStyle name="Percent 2 9 2" xfId="51709" xr:uid="{00000000-0005-0000-0000-00000FCA0000}"/>
    <cellStyle name="Percent 2_EXPAT-NATIONAL CALCUL" xfId="51710" xr:uid="{00000000-0005-0000-0000-000010CA0000}"/>
    <cellStyle name="Percent 20" xfId="51711" xr:uid="{00000000-0005-0000-0000-000011CA0000}"/>
    <cellStyle name="Percent 20 2" xfId="51712" xr:uid="{00000000-0005-0000-0000-000012CA0000}"/>
    <cellStyle name="Percent 20 2 2" xfId="51713" xr:uid="{00000000-0005-0000-0000-000013CA0000}"/>
    <cellStyle name="Percent 20 3" xfId="51714" xr:uid="{00000000-0005-0000-0000-000014CA0000}"/>
    <cellStyle name="Percent 21" xfId="51715" xr:uid="{00000000-0005-0000-0000-000015CA0000}"/>
    <cellStyle name="Percent 22" xfId="51716" xr:uid="{00000000-0005-0000-0000-000016CA0000}"/>
    <cellStyle name="Percent 23" xfId="51717" xr:uid="{00000000-0005-0000-0000-000017CA0000}"/>
    <cellStyle name="Percent 24" xfId="51718" xr:uid="{00000000-0005-0000-0000-000018CA0000}"/>
    <cellStyle name="Percent 25" xfId="51719" xr:uid="{00000000-0005-0000-0000-000019CA0000}"/>
    <cellStyle name="Percent 26" xfId="51720" xr:uid="{00000000-0005-0000-0000-00001ACA0000}"/>
    <cellStyle name="Percent 27" xfId="51721" xr:uid="{00000000-0005-0000-0000-00001BCA0000}"/>
    <cellStyle name="Percent 28" xfId="51722" xr:uid="{00000000-0005-0000-0000-00001CCA0000}"/>
    <cellStyle name="Percent 29" xfId="51723" xr:uid="{00000000-0005-0000-0000-00001DCA0000}"/>
    <cellStyle name="Percent 29 2" xfId="51724" xr:uid="{00000000-0005-0000-0000-00001ECA0000}"/>
    <cellStyle name="Percent 3" xfId="51725" xr:uid="{00000000-0005-0000-0000-00001FCA0000}"/>
    <cellStyle name="Percent 3 10" xfId="51726" xr:uid="{00000000-0005-0000-0000-000020CA0000}"/>
    <cellStyle name="Percent 3 11" xfId="51727" xr:uid="{00000000-0005-0000-0000-000021CA0000}"/>
    <cellStyle name="Percent 3 12" xfId="51728" xr:uid="{00000000-0005-0000-0000-000022CA0000}"/>
    <cellStyle name="Percent 3 13" xfId="51729" xr:uid="{00000000-0005-0000-0000-000023CA0000}"/>
    <cellStyle name="Percent 3 14" xfId="51730" xr:uid="{00000000-0005-0000-0000-000024CA0000}"/>
    <cellStyle name="Percent 3 15" xfId="51731" xr:uid="{00000000-0005-0000-0000-000025CA0000}"/>
    <cellStyle name="Percent 3 16" xfId="51732" xr:uid="{00000000-0005-0000-0000-000026CA0000}"/>
    <cellStyle name="Percent 3 17" xfId="51733" xr:uid="{00000000-0005-0000-0000-000027CA0000}"/>
    <cellStyle name="Percent 3 18" xfId="51734" xr:uid="{00000000-0005-0000-0000-000028CA0000}"/>
    <cellStyle name="Percent 3 2" xfId="51735" xr:uid="{00000000-0005-0000-0000-000029CA0000}"/>
    <cellStyle name="Percent 3 2 2" xfId="51736" xr:uid="{00000000-0005-0000-0000-00002ACA0000}"/>
    <cellStyle name="Percent 3 2 2 2" xfId="51737" xr:uid="{00000000-0005-0000-0000-00002BCA0000}"/>
    <cellStyle name="Percent 3 2 2 2 2" xfId="51738" xr:uid="{00000000-0005-0000-0000-00002CCA0000}"/>
    <cellStyle name="Percent 3 2 2 3" xfId="51739" xr:uid="{00000000-0005-0000-0000-00002DCA0000}"/>
    <cellStyle name="Percent 3 2 3" xfId="51740" xr:uid="{00000000-0005-0000-0000-00002ECA0000}"/>
    <cellStyle name="Percent 3 2 3 2" xfId="51741" xr:uid="{00000000-0005-0000-0000-00002FCA0000}"/>
    <cellStyle name="Percent 3 2 4" xfId="51742" xr:uid="{00000000-0005-0000-0000-000030CA0000}"/>
    <cellStyle name="Percent 3 2_Proj" xfId="51743" xr:uid="{00000000-0005-0000-0000-000031CA0000}"/>
    <cellStyle name="Percent 3 3" xfId="51744" xr:uid="{00000000-0005-0000-0000-000032CA0000}"/>
    <cellStyle name="Percent 3 4" xfId="51745" xr:uid="{00000000-0005-0000-0000-000033CA0000}"/>
    <cellStyle name="Percent 3 4 2" xfId="51746" xr:uid="{00000000-0005-0000-0000-000034CA0000}"/>
    <cellStyle name="Percent 3 4 3" xfId="51747" xr:uid="{00000000-0005-0000-0000-000035CA0000}"/>
    <cellStyle name="Percent 3 5" xfId="51748" xr:uid="{00000000-0005-0000-0000-000036CA0000}"/>
    <cellStyle name="Percent 3 6" xfId="51749" xr:uid="{00000000-0005-0000-0000-000037CA0000}"/>
    <cellStyle name="Percent 3 7" xfId="51750" xr:uid="{00000000-0005-0000-0000-000038CA0000}"/>
    <cellStyle name="Percent 3 8" xfId="51751" xr:uid="{00000000-0005-0000-0000-000039CA0000}"/>
    <cellStyle name="Percent 3 9" xfId="51752" xr:uid="{00000000-0005-0000-0000-00003ACA0000}"/>
    <cellStyle name="Percent 3_EXPAT-NATIONAL CALCUL" xfId="51753" xr:uid="{00000000-0005-0000-0000-00003BCA0000}"/>
    <cellStyle name="Percent 30" xfId="51754" xr:uid="{00000000-0005-0000-0000-00003CCA0000}"/>
    <cellStyle name="Percent 31" xfId="51755" xr:uid="{00000000-0005-0000-0000-00003DCA0000}"/>
    <cellStyle name="Percent 31 2" xfId="51756" xr:uid="{00000000-0005-0000-0000-00003ECA0000}"/>
    <cellStyle name="Percent 32" xfId="51757" xr:uid="{00000000-0005-0000-0000-00003FCA0000}"/>
    <cellStyle name="Percent 32 2" xfId="51758" xr:uid="{00000000-0005-0000-0000-000040CA0000}"/>
    <cellStyle name="Percent 33" xfId="51759" xr:uid="{00000000-0005-0000-0000-000041CA0000}"/>
    <cellStyle name="Percent 33 2" xfId="51760" xr:uid="{00000000-0005-0000-0000-000042CA0000}"/>
    <cellStyle name="Percent 34" xfId="51761" xr:uid="{00000000-0005-0000-0000-000043CA0000}"/>
    <cellStyle name="Percent 35" xfId="51762" xr:uid="{00000000-0005-0000-0000-000044CA0000}"/>
    <cellStyle name="Percent 35 2" xfId="51763" xr:uid="{00000000-0005-0000-0000-000045CA0000}"/>
    <cellStyle name="Percent 36" xfId="51764" xr:uid="{00000000-0005-0000-0000-000046CA0000}"/>
    <cellStyle name="Percent 36 2" xfId="51765" xr:uid="{00000000-0005-0000-0000-000047CA0000}"/>
    <cellStyle name="Percent 37" xfId="51766" xr:uid="{00000000-0005-0000-0000-000048CA0000}"/>
    <cellStyle name="Percent 37 2" xfId="51767" xr:uid="{00000000-0005-0000-0000-000049CA0000}"/>
    <cellStyle name="Percent 37 2 2" xfId="51768" xr:uid="{00000000-0005-0000-0000-00004ACA0000}"/>
    <cellStyle name="Percent 37 3" xfId="51769" xr:uid="{00000000-0005-0000-0000-00004BCA0000}"/>
    <cellStyle name="Percent 38" xfId="51770" xr:uid="{00000000-0005-0000-0000-00004CCA0000}"/>
    <cellStyle name="Percent 38 2" xfId="51771" xr:uid="{00000000-0005-0000-0000-00004DCA0000}"/>
    <cellStyle name="Percent 38 2 2" xfId="51772" xr:uid="{00000000-0005-0000-0000-00004ECA0000}"/>
    <cellStyle name="Percent 38 3" xfId="51773" xr:uid="{00000000-0005-0000-0000-00004FCA0000}"/>
    <cellStyle name="Percent 38 4" xfId="51774" xr:uid="{00000000-0005-0000-0000-000050CA0000}"/>
    <cellStyle name="Percent 39" xfId="51775" xr:uid="{00000000-0005-0000-0000-000051CA0000}"/>
    <cellStyle name="Percent 39 2" xfId="51776" xr:uid="{00000000-0005-0000-0000-000052CA0000}"/>
    <cellStyle name="Percent 39 2 2" xfId="51777" xr:uid="{00000000-0005-0000-0000-000053CA0000}"/>
    <cellStyle name="Percent 39 3" xfId="51778" xr:uid="{00000000-0005-0000-0000-000054CA0000}"/>
    <cellStyle name="Percent 4" xfId="51779" xr:uid="{00000000-0005-0000-0000-000055CA0000}"/>
    <cellStyle name="Percent 4 2" xfId="51780" xr:uid="{00000000-0005-0000-0000-000056CA0000}"/>
    <cellStyle name="Percent 4 2 2" xfId="51781" xr:uid="{00000000-0005-0000-0000-000057CA0000}"/>
    <cellStyle name="Percent 4 2 3" xfId="51782" xr:uid="{00000000-0005-0000-0000-000058CA0000}"/>
    <cellStyle name="Percent 4 2 4" xfId="51783" xr:uid="{00000000-0005-0000-0000-000059CA0000}"/>
    <cellStyle name="Percent 4 2 5" xfId="51784" xr:uid="{00000000-0005-0000-0000-00005ACA0000}"/>
    <cellStyle name="Percent 4 3" xfId="51785" xr:uid="{00000000-0005-0000-0000-00005BCA0000}"/>
    <cellStyle name="Percent 4 4" xfId="51786" xr:uid="{00000000-0005-0000-0000-00005CCA0000}"/>
    <cellStyle name="Percent 4 5" xfId="51787" xr:uid="{00000000-0005-0000-0000-00005DCA0000}"/>
    <cellStyle name="Percent 40" xfId="51788" xr:uid="{00000000-0005-0000-0000-00005ECA0000}"/>
    <cellStyle name="Percent 40 2" xfId="51789" xr:uid="{00000000-0005-0000-0000-00005FCA0000}"/>
    <cellStyle name="Percent 40 2 2" xfId="51790" xr:uid="{00000000-0005-0000-0000-000060CA0000}"/>
    <cellStyle name="Percent 40 3" xfId="51791" xr:uid="{00000000-0005-0000-0000-000061CA0000}"/>
    <cellStyle name="Percent 41" xfId="51792" xr:uid="{00000000-0005-0000-0000-000062CA0000}"/>
    <cellStyle name="Percent 41 2" xfId="51793" xr:uid="{00000000-0005-0000-0000-000063CA0000}"/>
    <cellStyle name="Percent 41 2 2" xfId="51794" xr:uid="{00000000-0005-0000-0000-000064CA0000}"/>
    <cellStyle name="Percent 41 3" xfId="51795" xr:uid="{00000000-0005-0000-0000-000065CA0000}"/>
    <cellStyle name="Percent 42" xfId="51796" xr:uid="{00000000-0005-0000-0000-000066CA0000}"/>
    <cellStyle name="Percent 42 2" xfId="51797" xr:uid="{00000000-0005-0000-0000-000067CA0000}"/>
    <cellStyle name="Percent 42 2 2" xfId="51798" xr:uid="{00000000-0005-0000-0000-000068CA0000}"/>
    <cellStyle name="Percent 42 3" xfId="51799" xr:uid="{00000000-0005-0000-0000-000069CA0000}"/>
    <cellStyle name="Percent 43" xfId="51800" xr:uid="{00000000-0005-0000-0000-00006ACA0000}"/>
    <cellStyle name="Percent 43 2" xfId="51801" xr:uid="{00000000-0005-0000-0000-00006BCA0000}"/>
    <cellStyle name="Percent 43 2 2" xfId="51802" xr:uid="{00000000-0005-0000-0000-00006CCA0000}"/>
    <cellStyle name="Percent 43 3" xfId="51803" xr:uid="{00000000-0005-0000-0000-00006DCA0000}"/>
    <cellStyle name="Percent 44" xfId="51804" xr:uid="{00000000-0005-0000-0000-00006ECA0000}"/>
    <cellStyle name="Percent 44 2" xfId="51805" xr:uid="{00000000-0005-0000-0000-00006FCA0000}"/>
    <cellStyle name="Percent 44 2 2" xfId="51806" xr:uid="{00000000-0005-0000-0000-000070CA0000}"/>
    <cellStyle name="Percent 44 3" xfId="51807" xr:uid="{00000000-0005-0000-0000-000071CA0000}"/>
    <cellStyle name="Percent 45" xfId="51808" xr:uid="{00000000-0005-0000-0000-000072CA0000}"/>
    <cellStyle name="Percent 45 2" xfId="51809" xr:uid="{00000000-0005-0000-0000-000073CA0000}"/>
    <cellStyle name="Percent 45 2 2" xfId="51810" xr:uid="{00000000-0005-0000-0000-000074CA0000}"/>
    <cellStyle name="Percent 45 3" xfId="51811" xr:uid="{00000000-0005-0000-0000-000075CA0000}"/>
    <cellStyle name="Percent 46" xfId="51812" xr:uid="{00000000-0005-0000-0000-000076CA0000}"/>
    <cellStyle name="Percent 47" xfId="51813" xr:uid="{00000000-0005-0000-0000-000077CA0000}"/>
    <cellStyle name="Percent 48" xfId="51814" xr:uid="{00000000-0005-0000-0000-000078CA0000}"/>
    <cellStyle name="Percent 49" xfId="51815" xr:uid="{00000000-0005-0000-0000-000079CA0000}"/>
    <cellStyle name="Percent 5" xfId="51816" xr:uid="{00000000-0005-0000-0000-00007ACA0000}"/>
    <cellStyle name="Percent 5 2" xfId="51817" xr:uid="{00000000-0005-0000-0000-00007BCA0000}"/>
    <cellStyle name="Percent 5 2 2" xfId="51818" xr:uid="{00000000-0005-0000-0000-00007CCA0000}"/>
    <cellStyle name="Percent 5 2 3" xfId="51819" xr:uid="{00000000-0005-0000-0000-00007DCA0000}"/>
    <cellStyle name="Percent 5 3" xfId="51820" xr:uid="{00000000-0005-0000-0000-00007ECA0000}"/>
    <cellStyle name="Percent 50" xfId="51821" xr:uid="{00000000-0005-0000-0000-00007FCA0000}"/>
    <cellStyle name="Percent 51" xfId="51822" xr:uid="{00000000-0005-0000-0000-000080CA0000}"/>
    <cellStyle name="Percent 52" xfId="51823" xr:uid="{00000000-0005-0000-0000-000081CA0000}"/>
    <cellStyle name="Percent 53" xfId="51824" xr:uid="{00000000-0005-0000-0000-000082CA0000}"/>
    <cellStyle name="Percent 54" xfId="51825" xr:uid="{00000000-0005-0000-0000-000083CA0000}"/>
    <cellStyle name="Percent 55" xfId="51826" xr:uid="{00000000-0005-0000-0000-000084CA0000}"/>
    <cellStyle name="Percent 56" xfId="51827" xr:uid="{00000000-0005-0000-0000-000085CA0000}"/>
    <cellStyle name="Percent 57" xfId="51828" xr:uid="{00000000-0005-0000-0000-000086CA0000}"/>
    <cellStyle name="Percent 57 2" xfId="51829" xr:uid="{00000000-0005-0000-0000-000087CA0000}"/>
    <cellStyle name="Percent 58" xfId="51830" xr:uid="{00000000-0005-0000-0000-000088CA0000}"/>
    <cellStyle name="Percent 59" xfId="53994" xr:uid="{00000000-0005-0000-0000-000089CA0000}"/>
    <cellStyle name="Percent 59 2" xfId="54011" xr:uid="{E59194D0-2130-47B6-AAC6-053130FB668A}"/>
    <cellStyle name="Percent 6" xfId="51831" xr:uid="{00000000-0005-0000-0000-00008ACA0000}"/>
    <cellStyle name="Percent 6 2" xfId="51832" xr:uid="{00000000-0005-0000-0000-00008BCA0000}"/>
    <cellStyle name="Percent 6 2 2" xfId="51833" xr:uid="{00000000-0005-0000-0000-00008CCA0000}"/>
    <cellStyle name="Percent 6 2 3" xfId="51834" xr:uid="{00000000-0005-0000-0000-00008DCA0000}"/>
    <cellStyle name="Percent 6 2 4" xfId="51835" xr:uid="{00000000-0005-0000-0000-00008ECA0000}"/>
    <cellStyle name="Percent 6 2 5" xfId="51836" xr:uid="{00000000-0005-0000-0000-00008FCA0000}"/>
    <cellStyle name="Percent 6 3" xfId="51837" xr:uid="{00000000-0005-0000-0000-000090CA0000}"/>
    <cellStyle name="Percent 6 3 2" xfId="51838" xr:uid="{00000000-0005-0000-0000-000091CA0000}"/>
    <cellStyle name="Percent 6 4" xfId="51839" xr:uid="{00000000-0005-0000-0000-000092CA0000}"/>
    <cellStyle name="Percent 6 5" xfId="51840" xr:uid="{00000000-0005-0000-0000-000093CA0000}"/>
    <cellStyle name="Percent 6 6" xfId="51841" xr:uid="{00000000-0005-0000-0000-000094CA0000}"/>
    <cellStyle name="Percent 6 7" xfId="51842" xr:uid="{00000000-0005-0000-0000-000095CA0000}"/>
    <cellStyle name="Percent 6 8" xfId="51843" xr:uid="{00000000-0005-0000-0000-000096CA0000}"/>
    <cellStyle name="Percent 6 9" xfId="51844" xr:uid="{00000000-0005-0000-0000-000097CA0000}"/>
    <cellStyle name="Percent 7" xfId="51845" xr:uid="{00000000-0005-0000-0000-000098CA0000}"/>
    <cellStyle name="Percent 7 10" xfId="51846" xr:uid="{00000000-0005-0000-0000-000099CA0000}"/>
    <cellStyle name="Percent 7 2" xfId="51847" xr:uid="{00000000-0005-0000-0000-00009ACA0000}"/>
    <cellStyle name="Percent 7 2 2" xfId="51848" xr:uid="{00000000-0005-0000-0000-00009BCA0000}"/>
    <cellStyle name="Percent 7 2 3" xfId="51849" xr:uid="{00000000-0005-0000-0000-00009CCA0000}"/>
    <cellStyle name="Percent 7 2 4" xfId="51850" xr:uid="{00000000-0005-0000-0000-00009DCA0000}"/>
    <cellStyle name="Percent 7 2 5" xfId="51851" xr:uid="{00000000-0005-0000-0000-00009ECA0000}"/>
    <cellStyle name="Percent 7 2 6" xfId="51852" xr:uid="{00000000-0005-0000-0000-00009FCA0000}"/>
    <cellStyle name="Percent 7 2 7" xfId="51853" xr:uid="{00000000-0005-0000-0000-0000A0CA0000}"/>
    <cellStyle name="Percent 7 2 8" xfId="51854" xr:uid="{00000000-0005-0000-0000-0000A1CA0000}"/>
    <cellStyle name="Percent 7 2 9" xfId="51855" xr:uid="{00000000-0005-0000-0000-0000A2CA0000}"/>
    <cellStyle name="Percent 7 3" xfId="51856" xr:uid="{00000000-0005-0000-0000-0000A3CA0000}"/>
    <cellStyle name="Percent 7 4" xfId="51857" xr:uid="{00000000-0005-0000-0000-0000A4CA0000}"/>
    <cellStyle name="Percent 7 5" xfId="51858" xr:uid="{00000000-0005-0000-0000-0000A5CA0000}"/>
    <cellStyle name="Percent 7 6" xfId="51859" xr:uid="{00000000-0005-0000-0000-0000A6CA0000}"/>
    <cellStyle name="Percent 7 7" xfId="51860" xr:uid="{00000000-0005-0000-0000-0000A7CA0000}"/>
    <cellStyle name="Percent 7 8" xfId="51861" xr:uid="{00000000-0005-0000-0000-0000A8CA0000}"/>
    <cellStyle name="Percent 7 9" xfId="51862" xr:uid="{00000000-0005-0000-0000-0000A9CA0000}"/>
    <cellStyle name="Percent 7_GE.IU" xfId="51863" xr:uid="{00000000-0005-0000-0000-0000AACA0000}"/>
    <cellStyle name="Percent 8" xfId="51864" xr:uid="{00000000-0005-0000-0000-0000ABCA0000}"/>
    <cellStyle name="Percent 8 2" xfId="51865" xr:uid="{00000000-0005-0000-0000-0000ACCA0000}"/>
    <cellStyle name="Percent 8 2 2" xfId="51866" xr:uid="{00000000-0005-0000-0000-0000ADCA0000}"/>
    <cellStyle name="Percent 8 2 3" xfId="51867" xr:uid="{00000000-0005-0000-0000-0000AECA0000}"/>
    <cellStyle name="Percent 8 3" xfId="51868" xr:uid="{00000000-0005-0000-0000-0000AFCA0000}"/>
    <cellStyle name="Percent 8 4" xfId="51869" xr:uid="{00000000-0005-0000-0000-0000B0CA0000}"/>
    <cellStyle name="Percent 8 5" xfId="51870" xr:uid="{00000000-0005-0000-0000-0000B1CA0000}"/>
    <cellStyle name="Percent 8 6" xfId="51871" xr:uid="{00000000-0005-0000-0000-0000B2CA0000}"/>
    <cellStyle name="Percent 8 7" xfId="51872" xr:uid="{00000000-0005-0000-0000-0000B3CA0000}"/>
    <cellStyle name="Percent 8 8" xfId="51873" xr:uid="{00000000-0005-0000-0000-0000B4CA0000}"/>
    <cellStyle name="Percent 8 9" xfId="51874" xr:uid="{00000000-0005-0000-0000-0000B5CA0000}"/>
    <cellStyle name="Percent 8_Proj" xfId="51875" xr:uid="{00000000-0005-0000-0000-0000B6CA0000}"/>
    <cellStyle name="Percent 9" xfId="51876" xr:uid="{00000000-0005-0000-0000-0000B7CA0000}"/>
    <cellStyle name="Percent 9 10" xfId="51877" xr:uid="{00000000-0005-0000-0000-0000B8CA0000}"/>
    <cellStyle name="Percent 9 10 2" xfId="51878" xr:uid="{00000000-0005-0000-0000-0000B9CA0000}"/>
    <cellStyle name="Percent 9 11" xfId="51879" xr:uid="{00000000-0005-0000-0000-0000BACA0000}"/>
    <cellStyle name="Percent 9 11 2" xfId="51880" xr:uid="{00000000-0005-0000-0000-0000BBCA0000}"/>
    <cellStyle name="Percent 9 12" xfId="51881" xr:uid="{00000000-0005-0000-0000-0000BCCA0000}"/>
    <cellStyle name="Percent 9 13" xfId="51882" xr:uid="{00000000-0005-0000-0000-0000BDCA0000}"/>
    <cellStyle name="Percent 9 14" xfId="51883" xr:uid="{00000000-0005-0000-0000-0000BECA0000}"/>
    <cellStyle name="Percent 9 15" xfId="51884" xr:uid="{00000000-0005-0000-0000-0000BFCA0000}"/>
    <cellStyle name="Percent 9 2" xfId="51885" xr:uid="{00000000-0005-0000-0000-0000C0CA0000}"/>
    <cellStyle name="Percent 9 2 10" xfId="51886" xr:uid="{00000000-0005-0000-0000-0000C1CA0000}"/>
    <cellStyle name="Percent 9 2 11" xfId="51887" xr:uid="{00000000-0005-0000-0000-0000C2CA0000}"/>
    <cellStyle name="Percent 9 2 12" xfId="51888" xr:uid="{00000000-0005-0000-0000-0000C3CA0000}"/>
    <cellStyle name="Percent 9 2 13" xfId="51889" xr:uid="{00000000-0005-0000-0000-0000C4CA0000}"/>
    <cellStyle name="Percent 9 2 2" xfId="51890" xr:uid="{00000000-0005-0000-0000-0000C5CA0000}"/>
    <cellStyle name="Percent 9 2 2 10" xfId="51891" xr:uid="{00000000-0005-0000-0000-0000C6CA0000}"/>
    <cellStyle name="Percent 9 2 2 11" xfId="51892" xr:uid="{00000000-0005-0000-0000-0000C7CA0000}"/>
    <cellStyle name="Percent 9 2 2 2" xfId="51893" xr:uid="{00000000-0005-0000-0000-0000C8CA0000}"/>
    <cellStyle name="Percent 9 2 2 2 2" xfId="51894" xr:uid="{00000000-0005-0000-0000-0000C9CA0000}"/>
    <cellStyle name="Percent 9 2 2 2 2 2" xfId="51895" xr:uid="{00000000-0005-0000-0000-0000CACA0000}"/>
    <cellStyle name="Percent 9 2 2 2 2 2 2" xfId="51896" xr:uid="{00000000-0005-0000-0000-0000CBCA0000}"/>
    <cellStyle name="Percent 9 2 2 2 2 2 2 2" xfId="51897" xr:uid="{00000000-0005-0000-0000-0000CCCA0000}"/>
    <cellStyle name="Percent 9 2 2 2 2 2 3" xfId="51898" xr:uid="{00000000-0005-0000-0000-0000CDCA0000}"/>
    <cellStyle name="Percent 9 2 2 2 2 3" xfId="51899" xr:uid="{00000000-0005-0000-0000-0000CECA0000}"/>
    <cellStyle name="Percent 9 2 2 2 2 3 2" xfId="51900" xr:uid="{00000000-0005-0000-0000-0000CFCA0000}"/>
    <cellStyle name="Percent 9 2 2 2 2 4" xfId="51901" xr:uid="{00000000-0005-0000-0000-0000D0CA0000}"/>
    <cellStyle name="Percent 9 2 2 2 3" xfId="51902" xr:uid="{00000000-0005-0000-0000-0000D1CA0000}"/>
    <cellStyle name="Percent 9 2 2 2 3 2" xfId="51903" xr:uid="{00000000-0005-0000-0000-0000D2CA0000}"/>
    <cellStyle name="Percent 9 2 2 2 3 2 2" xfId="51904" xr:uid="{00000000-0005-0000-0000-0000D3CA0000}"/>
    <cellStyle name="Percent 9 2 2 2 3 3" xfId="51905" xr:uid="{00000000-0005-0000-0000-0000D4CA0000}"/>
    <cellStyle name="Percent 9 2 2 2 4" xfId="51906" xr:uid="{00000000-0005-0000-0000-0000D5CA0000}"/>
    <cellStyle name="Percent 9 2 2 2 4 2" xfId="51907" xr:uid="{00000000-0005-0000-0000-0000D6CA0000}"/>
    <cellStyle name="Percent 9 2 2 2 5" xfId="51908" xr:uid="{00000000-0005-0000-0000-0000D7CA0000}"/>
    <cellStyle name="Percent 9 2 2 2 6" xfId="51909" xr:uid="{00000000-0005-0000-0000-0000D8CA0000}"/>
    <cellStyle name="Percent 9 2 2 3" xfId="51910" xr:uid="{00000000-0005-0000-0000-0000D9CA0000}"/>
    <cellStyle name="Percent 9 2 2 3 2" xfId="51911" xr:uid="{00000000-0005-0000-0000-0000DACA0000}"/>
    <cellStyle name="Percent 9 2 2 3 2 2" xfId="51912" xr:uid="{00000000-0005-0000-0000-0000DBCA0000}"/>
    <cellStyle name="Percent 9 2 2 3 2 2 2" xfId="51913" xr:uid="{00000000-0005-0000-0000-0000DCCA0000}"/>
    <cellStyle name="Percent 9 2 2 3 2 3" xfId="51914" xr:uid="{00000000-0005-0000-0000-0000DDCA0000}"/>
    <cellStyle name="Percent 9 2 2 3 3" xfId="51915" xr:uid="{00000000-0005-0000-0000-0000DECA0000}"/>
    <cellStyle name="Percent 9 2 2 3 3 2" xfId="51916" xr:uid="{00000000-0005-0000-0000-0000DFCA0000}"/>
    <cellStyle name="Percent 9 2 2 3 4" xfId="51917" xr:uid="{00000000-0005-0000-0000-0000E0CA0000}"/>
    <cellStyle name="Percent 9 2 2 4" xfId="51918" xr:uid="{00000000-0005-0000-0000-0000E1CA0000}"/>
    <cellStyle name="Percent 9 2 2 4 2" xfId="51919" xr:uid="{00000000-0005-0000-0000-0000E2CA0000}"/>
    <cellStyle name="Percent 9 2 2 4 2 2" xfId="51920" xr:uid="{00000000-0005-0000-0000-0000E3CA0000}"/>
    <cellStyle name="Percent 9 2 2 4 2 2 2" xfId="51921" xr:uid="{00000000-0005-0000-0000-0000E4CA0000}"/>
    <cellStyle name="Percent 9 2 2 4 2 3" xfId="51922" xr:uid="{00000000-0005-0000-0000-0000E5CA0000}"/>
    <cellStyle name="Percent 9 2 2 4 3" xfId="51923" xr:uid="{00000000-0005-0000-0000-0000E6CA0000}"/>
    <cellStyle name="Percent 9 2 2 4 3 2" xfId="51924" xr:uid="{00000000-0005-0000-0000-0000E7CA0000}"/>
    <cellStyle name="Percent 9 2 2 4 4" xfId="51925" xr:uid="{00000000-0005-0000-0000-0000E8CA0000}"/>
    <cellStyle name="Percent 9 2 2 5" xfId="51926" xr:uid="{00000000-0005-0000-0000-0000E9CA0000}"/>
    <cellStyle name="Percent 9 2 2 5 2" xfId="51927" xr:uid="{00000000-0005-0000-0000-0000EACA0000}"/>
    <cellStyle name="Percent 9 2 2 5 2 2" xfId="51928" xr:uid="{00000000-0005-0000-0000-0000EBCA0000}"/>
    <cellStyle name="Percent 9 2 2 5 3" xfId="51929" xr:uid="{00000000-0005-0000-0000-0000ECCA0000}"/>
    <cellStyle name="Percent 9 2 2 6" xfId="51930" xr:uid="{00000000-0005-0000-0000-0000EDCA0000}"/>
    <cellStyle name="Percent 9 2 2 6 2" xfId="51931" xr:uid="{00000000-0005-0000-0000-0000EECA0000}"/>
    <cellStyle name="Percent 9 2 2 7" xfId="51932" xr:uid="{00000000-0005-0000-0000-0000EFCA0000}"/>
    <cellStyle name="Percent 9 2 2 7 2" xfId="51933" xr:uid="{00000000-0005-0000-0000-0000F0CA0000}"/>
    <cellStyle name="Percent 9 2 2 8" xfId="51934" xr:uid="{00000000-0005-0000-0000-0000F1CA0000}"/>
    <cellStyle name="Percent 9 2 2 9" xfId="51935" xr:uid="{00000000-0005-0000-0000-0000F2CA0000}"/>
    <cellStyle name="Percent 9 2 3" xfId="51936" xr:uid="{00000000-0005-0000-0000-0000F3CA0000}"/>
    <cellStyle name="Percent 9 2 3 2" xfId="51937" xr:uid="{00000000-0005-0000-0000-0000F4CA0000}"/>
    <cellStyle name="Percent 9 2 3 2 2" xfId="51938" xr:uid="{00000000-0005-0000-0000-0000F5CA0000}"/>
    <cellStyle name="Percent 9 2 3 2 2 2" xfId="51939" xr:uid="{00000000-0005-0000-0000-0000F6CA0000}"/>
    <cellStyle name="Percent 9 2 3 2 2 2 2" xfId="51940" xr:uid="{00000000-0005-0000-0000-0000F7CA0000}"/>
    <cellStyle name="Percent 9 2 3 2 2 3" xfId="51941" xr:uid="{00000000-0005-0000-0000-0000F8CA0000}"/>
    <cellStyle name="Percent 9 2 3 2 3" xfId="51942" xr:uid="{00000000-0005-0000-0000-0000F9CA0000}"/>
    <cellStyle name="Percent 9 2 3 2 3 2" xfId="51943" xr:uid="{00000000-0005-0000-0000-0000FACA0000}"/>
    <cellStyle name="Percent 9 2 3 2 4" xfId="51944" xr:uid="{00000000-0005-0000-0000-0000FBCA0000}"/>
    <cellStyle name="Percent 9 2 3 3" xfId="51945" xr:uid="{00000000-0005-0000-0000-0000FCCA0000}"/>
    <cellStyle name="Percent 9 2 3 3 2" xfId="51946" xr:uid="{00000000-0005-0000-0000-0000FDCA0000}"/>
    <cellStyle name="Percent 9 2 3 3 2 2" xfId="51947" xr:uid="{00000000-0005-0000-0000-0000FECA0000}"/>
    <cellStyle name="Percent 9 2 3 3 2 2 2" xfId="51948" xr:uid="{00000000-0005-0000-0000-0000FFCA0000}"/>
    <cellStyle name="Percent 9 2 3 3 2 3" xfId="51949" xr:uid="{00000000-0005-0000-0000-000000CB0000}"/>
    <cellStyle name="Percent 9 2 3 3 3" xfId="51950" xr:uid="{00000000-0005-0000-0000-000001CB0000}"/>
    <cellStyle name="Percent 9 2 3 3 3 2" xfId="51951" xr:uid="{00000000-0005-0000-0000-000002CB0000}"/>
    <cellStyle name="Percent 9 2 3 3 4" xfId="51952" xr:uid="{00000000-0005-0000-0000-000003CB0000}"/>
    <cellStyle name="Percent 9 2 3 4" xfId="51953" xr:uid="{00000000-0005-0000-0000-000004CB0000}"/>
    <cellStyle name="Percent 9 2 3 4 2" xfId="51954" xr:uid="{00000000-0005-0000-0000-000005CB0000}"/>
    <cellStyle name="Percent 9 2 3 4 2 2" xfId="51955" xr:uid="{00000000-0005-0000-0000-000006CB0000}"/>
    <cellStyle name="Percent 9 2 3 4 3" xfId="51956" xr:uid="{00000000-0005-0000-0000-000007CB0000}"/>
    <cellStyle name="Percent 9 2 3 5" xfId="51957" xr:uid="{00000000-0005-0000-0000-000008CB0000}"/>
    <cellStyle name="Percent 9 2 3 5 2" xfId="51958" xr:uid="{00000000-0005-0000-0000-000009CB0000}"/>
    <cellStyle name="Percent 9 2 3 6" xfId="51959" xr:uid="{00000000-0005-0000-0000-00000ACB0000}"/>
    <cellStyle name="Percent 9 2 3 7" xfId="51960" xr:uid="{00000000-0005-0000-0000-00000BCB0000}"/>
    <cellStyle name="Percent 9 2 4" xfId="51961" xr:uid="{00000000-0005-0000-0000-00000CCB0000}"/>
    <cellStyle name="Percent 9 2 4 2" xfId="51962" xr:uid="{00000000-0005-0000-0000-00000DCB0000}"/>
    <cellStyle name="Percent 9 2 4 2 2" xfId="51963" xr:uid="{00000000-0005-0000-0000-00000ECB0000}"/>
    <cellStyle name="Percent 9 2 4 2 2 2" xfId="51964" xr:uid="{00000000-0005-0000-0000-00000FCB0000}"/>
    <cellStyle name="Percent 9 2 4 2 3" xfId="51965" xr:uid="{00000000-0005-0000-0000-000010CB0000}"/>
    <cellStyle name="Percent 9 2 4 3" xfId="51966" xr:uid="{00000000-0005-0000-0000-000011CB0000}"/>
    <cellStyle name="Percent 9 2 4 3 2" xfId="51967" xr:uid="{00000000-0005-0000-0000-000012CB0000}"/>
    <cellStyle name="Percent 9 2 4 4" xfId="51968" xr:uid="{00000000-0005-0000-0000-000013CB0000}"/>
    <cellStyle name="Percent 9 2 5" xfId="51969" xr:uid="{00000000-0005-0000-0000-000014CB0000}"/>
    <cellStyle name="Percent 9 2 5 2" xfId="51970" xr:uid="{00000000-0005-0000-0000-000015CB0000}"/>
    <cellStyle name="Percent 9 2 5 2 2" xfId="51971" xr:uid="{00000000-0005-0000-0000-000016CB0000}"/>
    <cellStyle name="Percent 9 2 5 2 2 2" xfId="51972" xr:uid="{00000000-0005-0000-0000-000017CB0000}"/>
    <cellStyle name="Percent 9 2 5 2 3" xfId="51973" xr:uid="{00000000-0005-0000-0000-000018CB0000}"/>
    <cellStyle name="Percent 9 2 5 3" xfId="51974" xr:uid="{00000000-0005-0000-0000-000019CB0000}"/>
    <cellStyle name="Percent 9 2 5 3 2" xfId="51975" xr:uid="{00000000-0005-0000-0000-00001ACB0000}"/>
    <cellStyle name="Percent 9 2 5 4" xfId="51976" xr:uid="{00000000-0005-0000-0000-00001BCB0000}"/>
    <cellStyle name="Percent 9 2 6" xfId="51977" xr:uid="{00000000-0005-0000-0000-00001CCB0000}"/>
    <cellStyle name="Percent 9 2 6 2" xfId="51978" xr:uid="{00000000-0005-0000-0000-00001DCB0000}"/>
    <cellStyle name="Percent 9 2 6 2 2" xfId="51979" xr:uid="{00000000-0005-0000-0000-00001ECB0000}"/>
    <cellStyle name="Percent 9 2 6 2 2 2" xfId="51980" xr:uid="{00000000-0005-0000-0000-00001FCB0000}"/>
    <cellStyle name="Percent 9 2 6 2 3" xfId="51981" xr:uid="{00000000-0005-0000-0000-000020CB0000}"/>
    <cellStyle name="Percent 9 2 6 3" xfId="51982" xr:uid="{00000000-0005-0000-0000-000021CB0000}"/>
    <cellStyle name="Percent 9 2 6 3 2" xfId="51983" xr:uid="{00000000-0005-0000-0000-000022CB0000}"/>
    <cellStyle name="Percent 9 2 6 4" xfId="51984" xr:uid="{00000000-0005-0000-0000-000023CB0000}"/>
    <cellStyle name="Percent 9 2 7" xfId="51985" xr:uid="{00000000-0005-0000-0000-000024CB0000}"/>
    <cellStyle name="Percent 9 2 7 2" xfId="51986" xr:uid="{00000000-0005-0000-0000-000025CB0000}"/>
    <cellStyle name="Percent 9 2 7 2 2" xfId="51987" xr:uid="{00000000-0005-0000-0000-000026CB0000}"/>
    <cellStyle name="Percent 9 2 7 3" xfId="51988" xr:uid="{00000000-0005-0000-0000-000027CB0000}"/>
    <cellStyle name="Percent 9 2 8" xfId="51989" xr:uid="{00000000-0005-0000-0000-000028CB0000}"/>
    <cellStyle name="Percent 9 2 8 2" xfId="51990" xr:uid="{00000000-0005-0000-0000-000029CB0000}"/>
    <cellStyle name="Percent 9 2 9" xfId="51991" xr:uid="{00000000-0005-0000-0000-00002ACB0000}"/>
    <cellStyle name="Percent 9 2 9 2" xfId="51992" xr:uid="{00000000-0005-0000-0000-00002BCB0000}"/>
    <cellStyle name="Percent 9 3" xfId="51993" xr:uid="{00000000-0005-0000-0000-00002CCB0000}"/>
    <cellStyle name="Percent 9 3 10" xfId="51994" xr:uid="{00000000-0005-0000-0000-00002DCB0000}"/>
    <cellStyle name="Percent 9 3 11" xfId="51995" xr:uid="{00000000-0005-0000-0000-00002ECB0000}"/>
    <cellStyle name="Percent 9 3 2" xfId="51996" xr:uid="{00000000-0005-0000-0000-00002FCB0000}"/>
    <cellStyle name="Percent 9 3 2 2" xfId="51997" xr:uid="{00000000-0005-0000-0000-000030CB0000}"/>
    <cellStyle name="Percent 9 3 2 2 2" xfId="51998" xr:uid="{00000000-0005-0000-0000-000031CB0000}"/>
    <cellStyle name="Percent 9 3 2 2 2 2" xfId="51999" xr:uid="{00000000-0005-0000-0000-000032CB0000}"/>
    <cellStyle name="Percent 9 3 2 2 2 2 2" xfId="52000" xr:uid="{00000000-0005-0000-0000-000033CB0000}"/>
    <cellStyle name="Percent 9 3 2 2 2 3" xfId="52001" xr:uid="{00000000-0005-0000-0000-000034CB0000}"/>
    <cellStyle name="Percent 9 3 2 2 3" xfId="52002" xr:uid="{00000000-0005-0000-0000-000035CB0000}"/>
    <cellStyle name="Percent 9 3 2 2 3 2" xfId="52003" xr:uid="{00000000-0005-0000-0000-000036CB0000}"/>
    <cellStyle name="Percent 9 3 2 2 4" xfId="52004" xr:uid="{00000000-0005-0000-0000-000037CB0000}"/>
    <cellStyle name="Percent 9 3 2 3" xfId="52005" xr:uid="{00000000-0005-0000-0000-000038CB0000}"/>
    <cellStyle name="Percent 9 3 2 3 2" xfId="52006" xr:uid="{00000000-0005-0000-0000-000039CB0000}"/>
    <cellStyle name="Percent 9 3 2 3 2 2" xfId="52007" xr:uid="{00000000-0005-0000-0000-00003ACB0000}"/>
    <cellStyle name="Percent 9 3 2 3 2 2 2" xfId="52008" xr:uid="{00000000-0005-0000-0000-00003BCB0000}"/>
    <cellStyle name="Percent 9 3 2 3 2 3" xfId="52009" xr:uid="{00000000-0005-0000-0000-00003CCB0000}"/>
    <cellStyle name="Percent 9 3 2 3 3" xfId="52010" xr:uid="{00000000-0005-0000-0000-00003DCB0000}"/>
    <cellStyle name="Percent 9 3 2 3 3 2" xfId="52011" xr:uid="{00000000-0005-0000-0000-00003ECB0000}"/>
    <cellStyle name="Percent 9 3 2 3 4" xfId="52012" xr:uid="{00000000-0005-0000-0000-00003FCB0000}"/>
    <cellStyle name="Percent 9 3 2 4" xfId="52013" xr:uid="{00000000-0005-0000-0000-000040CB0000}"/>
    <cellStyle name="Percent 9 3 2 4 2" xfId="52014" xr:uid="{00000000-0005-0000-0000-000041CB0000}"/>
    <cellStyle name="Percent 9 3 2 4 2 2" xfId="52015" xr:uid="{00000000-0005-0000-0000-000042CB0000}"/>
    <cellStyle name="Percent 9 3 2 4 3" xfId="52016" xr:uid="{00000000-0005-0000-0000-000043CB0000}"/>
    <cellStyle name="Percent 9 3 2 5" xfId="52017" xr:uid="{00000000-0005-0000-0000-000044CB0000}"/>
    <cellStyle name="Percent 9 3 2 5 2" xfId="52018" xr:uid="{00000000-0005-0000-0000-000045CB0000}"/>
    <cellStyle name="Percent 9 3 2 6" xfId="52019" xr:uid="{00000000-0005-0000-0000-000046CB0000}"/>
    <cellStyle name="Percent 9 3 2 7" xfId="52020" xr:uid="{00000000-0005-0000-0000-000047CB0000}"/>
    <cellStyle name="Percent 9 3 3" xfId="52021" xr:uid="{00000000-0005-0000-0000-000048CB0000}"/>
    <cellStyle name="Percent 9 3 3 2" xfId="52022" xr:uid="{00000000-0005-0000-0000-000049CB0000}"/>
    <cellStyle name="Percent 9 3 3 2 2" xfId="52023" xr:uid="{00000000-0005-0000-0000-00004ACB0000}"/>
    <cellStyle name="Percent 9 3 3 2 2 2" xfId="52024" xr:uid="{00000000-0005-0000-0000-00004BCB0000}"/>
    <cellStyle name="Percent 9 3 3 2 2 2 2" xfId="52025" xr:uid="{00000000-0005-0000-0000-00004CCB0000}"/>
    <cellStyle name="Percent 9 3 3 2 2 3" xfId="52026" xr:uid="{00000000-0005-0000-0000-00004DCB0000}"/>
    <cellStyle name="Percent 9 3 3 2 3" xfId="52027" xr:uid="{00000000-0005-0000-0000-00004ECB0000}"/>
    <cellStyle name="Percent 9 3 3 2 3 2" xfId="52028" xr:uid="{00000000-0005-0000-0000-00004FCB0000}"/>
    <cellStyle name="Percent 9 3 3 2 4" xfId="52029" xr:uid="{00000000-0005-0000-0000-000050CB0000}"/>
    <cellStyle name="Percent 9 3 3 3" xfId="52030" xr:uid="{00000000-0005-0000-0000-000051CB0000}"/>
    <cellStyle name="Percent 9 3 3 3 2" xfId="52031" xr:uid="{00000000-0005-0000-0000-000052CB0000}"/>
    <cellStyle name="Percent 9 3 3 3 2 2" xfId="52032" xr:uid="{00000000-0005-0000-0000-000053CB0000}"/>
    <cellStyle name="Percent 9 3 3 3 3" xfId="52033" xr:uid="{00000000-0005-0000-0000-000054CB0000}"/>
    <cellStyle name="Percent 9 3 3 4" xfId="52034" xr:uid="{00000000-0005-0000-0000-000055CB0000}"/>
    <cellStyle name="Percent 9 3 3 4 2" xfId="52035" xr:uid="{00000000-0005-0000-0000-000056CB0000}"/>
    <cellStyle name="Percent 9 3 3 5" xfId="52036" xr:uid="{00000000-0005-0000-0000-000057CB0000}"/>
    <cellStyle name="Percent 9 3 4" xfId="52037" xr:uid="{00000000-0005-0000-0000-000058CB0000}"/>
    <cellStyle name="Percent 9 3 4 2" xfId="52038" xr:uid="{00000000-0005-0000-0000-000059CB0000}"/>
    <cellStyle name="Percent 9 3 4 2 2" xfId="52039" xr:uid="{00000000-0005-0000-0000-00005ACB0000}"/>
    <cellStyle name="Percent 9 3 4 2 2 2" xfId="52040" xr:uid="{00000000-0005-0000-0000-00005BCB0000}"/>
    <cellStyle name="Percent 9 3 4 2 3" xfId="52041" xr:uid="{00000000-0005-0000-0000-00005CCB0000}"/>
    <cellStyle name="Percent 9 3 4 3" xfId="52042" xr:uid="{00000000-0005-0000-0000-00005DCB0000}"/>
    <cellStyle name="Percent 9 3 4 3 2" xfId="52043" xr:uid="{00000000-0005-0000-0000-00005ECB0000}"/>
    <cellStyle name="Percent 9 3 4 4" xfId="52044" xr:uid="{00000000-0005-0000-0000-00005FCB0000}"/>
    <cellStyle name="Percent 9 3 5" xfId="52045" xr:uid="{00000000-0005-0000-0000-000060CB0000}"/>
    <cellStyle name="Percent 9 3 5 2" xfId="52046" xr:uid="{00000000-0005-0000-0000-000061CB0000}"/>
    <cellStyle name="Percent 9 3 5 2 2" xfId="52047" xr:uid="{00000000-0005-0000-0000-000062CB0000}"/>
    <cellStyle name="Percent 9 3 5 3" xfId="52048" xr:uid="{00000000-0005-0000-0000-000063CB0000}"/>
    <cellStyle name="Percent 9 3 6" xfId="52049" xr:uid="{00000000-0005-0000-0000-000064CB0000}"/>
    <cellStyle name="Percent 9 3 6 2" xfId="52050" xr:uid="{00000000-0005-0000-0000-000065CB0000}"/>
    <cellStyle name="Percent 9 3 7" xfId="52051" xr:uid="{00000000-0005-0000-0000-000066CB0000}"/>
    <cellStyle name="Percent 9 3 7 2" xfId="52052" xr:uid="{00000000-0005-0000-0000-000067CB0000}"/>
    <cellStyle name="Percent 9 3 8" xfId="52053" xr:uid="{00000000-0005-0000-0000-000068CB0000}"/>
    <cellStyle name="Percent 9 3 9" xfId="52054" xr:uid="{00000000-0005-0000-0000-000069CB0000}"/>
    <cellStyle name="Percent 9 4" xfId="52055" xr:uid="{00000000-0005-0000-0000-00006ACB0000}"/>
    <cellStyle name="Percent 9 4 2" xfId="52056" xr:uid="{00000000-0005-0000-0000-00006BCB0000}"/>
    <cellStyle name="Percent 9 4 2 2" xfId="52057" xr:uid="{00000000-0005-0000-0000-00006CCB0000}"/>
    <cellStyle name="Percent 9 4 2 2 2" xfId="52058" xr:uid="{00000000-0005-0000-0000-00006DCB0000}"/>
    <cellStyle name="Percent 9 4 2 2 2 2" xfId="52059" xr:uid="{00000000-0005-0000-0000-00006ECB0000}"/>
    <cellStyle name="Percent 9 4 2 2 3" xfId="52060" xr:uid="{00000000-0005-0000-0000-00006FCB0000}"/>
    <cellStyle name="Percent 9 4 2 3" xfId="52061" xr:uid="{00000000-0005-0000-0000-000070CB0000}"/>
    <cellStyle name="Percent 9 4 2 3 2" xfId="52062" xr:uid="{00000000-0005-0000-0000-000071CB0000}"/>
    <cellStyle name="Percent 9 4 2 4" xfId="52063" xr:uid="{00000000-0005-0000-0000-000072CB0000}"/>
    <cellStyle name="Percent 9 4 2 5" xfId="52064" xr:uid="{00000000-0005-0000-0000-000073CB0000}"/>
    <cellStyle name="Percent 9 4 3" xfId="52065" xr:uid="{00000000-0005-0000-0000-000074CB0000}"/>
    <cellStyle name="Percent 9 4 3 2" xfId="52066" xr:uid="{00000000-0005-0000-0000-000075CB0000}"/>
    <cellStyle name="Percent 9 4 3 2 2" xfId="52067" xr:uid="{00000000-0005-0000-0000-000076CB0000}"/>
    <cellStyle name="Percent 9 4 3 2 2 2" xfId="52068" xr:uid="{00000000-0005-0000-0000-000077CB0000}"/>
    <cellStyle name="Percent 9 4 3 2 3" xfId="52069" xr:uid="{00000000-0005-0000-0000-000078CB0000}"/>
    <cellStyle name="Percent 9 4 3 3" xfId="52070" xr:uid="{00000000-0005-0000-0000-000079CB0000}"/>
    <cellStyle name="Percent 9 4 3 3 2" xfId="52071" xr:uid="{00000000-0005-0000-0000-00007ACB0000}"/>
    <cellStyle name="Percent 9 4 3 4" xfId="52072" xr:uid="{00000000-0005-0000-0000-00007BCB0000}"/>
    <cellStyle name="Percent 9 4 4" xfId="52073" xr:uid="{00000000-0005-0000-0000-00007CCB0000}"/>
    <cellStyle name="Percent 9 4 4 2" xfId="52074" xr:uid="{00000000-0005-0000-0000-00007DCB0000}"/>
    <cellStyle name="Percent 9 4 4 2 2" xfId="52075" xr:uid="{00000000-0005-0000-0000-00007ECB0000}"/>
    <cellStyle name="Percent 9 4 4 3" xfId="52076" xr:uid="{00000000-0005-0000-0000-00007FCB0000}"/>
    <cellStyle name="Percent 9 4 5" xfId="52077" xr:uid="{00000000-0005-0000-0000-000080CB0000}"/>
    <cellStyle name="Percent 9 4 5 2" xfId="52078" xr:uid="{00000000-0005-0000-0000-000081CB0000}"/>
    <cellStyle name="Percent 9 4 6" xfId="52079" xr:uid="{00000000-0005-0000-0000-000082CB0000}"/>
    <cellStyle name="Percent 9 4 6 2" xfId="52080" xr:uid="{00000000-0005-0000-0000-000083CB0000}"/>
    <cellStyle name="Percent 9 4 7" xfId="52081" xr:uid="{00000000-0005-0000-0000-000084CB0000}"/>
    <cellStyle name="Percent 9 4 8" xfId="52082" xr:uid="{00000000-0005-0000-0000-000085CB0000}"/>
    <cellStyle name="Percent 9 5" xfId="52083" xr:uid="{00000000-0005-0000-0000-000086CB0000}"/>
    <cellStyle name="Percent 9 5 2" xfId="52084" xr:uid="{00000000-0005-0000-0000-000087CB0000}"/>
    <cellStyle name="Percent 9 5 2 2" xfId="52085" xr:uid="{00000000-0005-0000-0000-000088CB0000}"/>
    <cellStyle name="Percent 9 5 2 2 2" xfId="52086" xr:uid="{00000000-0005-0000-0000-000089CB0000}"/>
    <cellStyle name="Percent 9 5 2 2 2 2" xfId="52087" xr:uid="{00000000-0005-0000-0000-00008ACB0000}"/>
    <cellStyle name="Percent 9 5 2 2 3" xfId="52088" xr:uid="{00000000-0005-0000-0000-00008BCB0000}"/>
    <cellStyle name="Percent 9 5 2 3" xfId="52089" xr:uid="{00000000-0005-0000-0000-00008CCB0000}"/>
    <cellStyle name="Percent 9 5 2 3 2" xfId="52090" xr:uid="{00000000-0005-0000-0000-00008DCB0000}"/>
    <cellStyle name="Percent 9 5 2 4" xfId="52091" xr:uid="{00000000-0005-0000-0000-00008ECB0000}"/>
    <cellStyle name="Percent 9 5 3" xfId="52092" xr:uid="{00000000-0005-0000-0000-00008FCB0000}"/>
    <cellStyle name="Percent 9 5 3 2" xfId="52093" xr:uid="{00000000-0005-0000-0000-000090CB0000}"/>
    <cellStyle name="Percent 9 5 3 2 2" xfId="52094" xr:uid="{00000000-0005-0000-0000-000091CB0000}"/>
    <cellStyle name="Percent 9 5 3 2 2 2" xfId="52095" xr:uid="{00000000-0005-0000-0000-000092CB0000}"/>
    <cellStyle name="Percent 9 5 3 2 3" xfId="52096" xr:uid="{00000000-0005-0000-0000-000093CB0000}"/>
    <cellStyle name="Percent 9 5 3 3" xfId="52097" xr:uid="{00000000-0005-0000-0000-000094CB0000}"/>
    <cellStyle name="Percent 9 5 3 3 2" xfId="52098" xr:uid="{00000000-0005-0000-0000-000095CB0000}"/>
    <cellStyle name="Percent 9 5 3 4" xfId="52099" xr:uid="{00000000-0005-0000-0000-000096CB0000}"/>
    <cellStyle name="Percent 9 5 4" xfId="52100" xr:uid="{00000000-0005-0000-0000-000097CB0000}"/>
    <cellStyle name="Percent 9 5 4 2" xfId="52101" xr:uid="{00000000-0005-0000-0000-000098CB0000}"/>
    <cellStyle name="Percent 9 5 4 2 2" xfId="52102" xr:uid="{00000000-0005-0000-0000-000099CB0000}"/>
    <cellStyle name="Percent 9 5 4 3" xfId="52103" xr:uid="{00000000-0005-0000-0000-00009ACB0000}"/>
    <cellStyle name="Percent 9 5 5" xfId="52104" xr:uid="{00000000-0005-0000-0000-00009BCB0000}"/>
    <cellStyle name="Percent 9 5 5 2" xfId="52105" xr:uid="{00000000-0005-0000-0000-00009CCB0000}"/>
    <cellStyle name="Percent 9 5 6" xfId="52106" xr:uid="{00000000-0005-0000-0000-00009DCB0000}"/>
    <cellStyle name="Percent 9 5 7" xfId="52107" xr:uid="{00000000-0005-0000-0000-00009ECB0000}"/>
    <cellStyle name="Percent 9 6" xfId="52108" xr:uid="{00000000-0005-0000-0000-00009FCB0000}"/>
    <cellStyle name="Percent 9 6 2" xfId="52109" xr:uid="{00000000-0005-0000-0000-0000A0CB0000}"/>
    <cellStyle name="Percent 9 6 2 2" xfId="52110" xr:uid="{00000000-0005-0000-0000-0000A1CB0000}"/>
    <cellStyle name="Percent 9 6 2 2 2" xfId="52111" xr:uid="{00000000-0005-0000-0000-0000A2CB0000}"/>
    <cellStyle name="Percent 9 6 2 3" xfId="52112" xr:uid="{00000000-0005-0000-0000-0000A3CB0000}"/>
    <cellStyle name="Percent 9 6 3" xfId="52113" xr:uid="{00000000-0005-0000-0000-0000A4CB0000}"/>
    <cellStyle name="Percent 9 6 3 2" xfId="52114" xr:uid="{00000000-0005-0000-0000-0000A5CB0000}"/>
    <cellStyle name="Percent 9 6 4" xfId="52115" xr:uid="{00000000-0005-0000-0000-0000A6CB0000}"/>
    <cellStyle name="Percent 9 7" xfId="52116" xr:uid="{00000000-0005-0000-0000-0000A7CB0000}"/>
    <cellStyle name="Percent 9 7 2" xfId="52117" xr:uid="{00000000-0005-0000-0000-0000A8CB0000}"/>
    <cellStyle name="Percent 9 7 2 2" xfId="52118" xr:uid="{00000000-0005-0000-0000-0000A9CB0000}"/>
    <cellStyle name="Percent 9 7 2 2 2" xfId="52119" xr:uid="{00000000-0005-0000-0000-0000AACB0000}"/>
    <cellStyle name="Percent 9 7 2 3" xfId="52120" xr:uid="{00000000-0005-0000-0000-0000ABCB0000}"/>
    <cellStyle name="Percent 9 7 3" xfId="52121" xr:uid="{00000000-0005-0000-0000-0000ACCB0000}"/>
    <cellStyle name="Percent 9 7 3 2" xfId="52122" xr:uid="{00000000-0005-0000-0000-0000ADCB0000}"/>
    <cellStyle name="Percent 9 7 4" xfId="52123" xr:uid="{00000000-0005-0000-0000-0000AECB0000}"/>
    <cellStyle name="Percent 9 8" xfId="52124" xr:uid="{00000000-0005-0000-0000-0000AFCB0000}"/>
    <cellStyle name="Percent 9 8 2" xfId="52125" xr:uid="{00000000-0005-0000-0000-0000B0CB0000}"/>
    <cellStyle name="Percent 9 8 2 2" xfId="52126" xr:uid="{00000000-0005-0000-0000-0000B1CB0000}"/>
    <cellStyle name="Percent 9 8 2 2 2" xfId="52127" xr:uid="{00000000-0005-0000-0000-0000B2CB0000}"/>
    <cellStyle name="Percent 9 8 2 3" xfId="52128" xr:uid="{00000000-0005-0000-0000-0000B3CB0000}"/>
    <cellStyle name="Percent 9 8 3" xfId="52129" xr:uid="{00000000-0005-0000-0000-0000B4CB0000}"/>
    <cellStyle name="Percent 9 8 3 2" xfId="52130" xr:uid="{00000000-0005-0000-0000-0000B5CB0000}"/>
    <cellStyle name="Percent 9 8 4" xfId="52131" xr:uid="{00000000-0005-0000-0000-0000B6CB0000}"/>
    <cellStyle name="Percent 9 9" xfId="52132" xr:uid="{00000000-0005-0000-0000-0000B7CB0000}"/>
    <cellStyle name="Percent 9 9 2" xfId="52133" xr:uid="{00000000-0005-0000-0000-0000B8CB0000}"/>
    <cellStyle name="Percent 9 9 2 2" xfId="52134" xr:uid="{00000000-0005-0000-0000-0000B9CB0000}"/>
    <cellStyle name="Percent 9 9 3" xfId="52135" xr:uid="{00000000-0005-0000-0000-0000BACB0000}"/>
    <cellStyle name="Popis" xfId="52136" xr:uid="{00000000-0005-0000-0000-0000BBCB0000}"/>
    <cellStyle name="PrePop Currency (0)" xfId="52137" xr:uid="{00000000-0005-0000-0000-0000BCCB0000}"/>
    <cellStyle name="PrePop Currency (2)" xfId="52138" xr:uid="{00000000-0005-0000-0000-0000BDCB0000}"/>
    <cellStyle name="PrePop Units (0)" xfId="52139" xr:uid="{00000000-0005-0000-0000-0000BECB0000}"/>
    <cellStyle name="PrePop Units (1)" xfId="52140" xr:uid="{00000000-0005-0000-0000-0000BFCB0000}"/>
    <cellStyle name="PrePop Units (2)" xfId="52141" xr:uid="{00000000-0005-0000-0000-0000C0CB0000}"/>
    <cellStyle name="pricing" xfId="52142" xr:uid="{00000000-0005-0000-0000-0000C1CB0000}"/>
    <cellStyle name="Prozent_PREISE" xfId="52143" xr:uid="{00000000-0005-0000-0000-0000C2CB0000}"/>
    <cellStyle name="PSChar" xfId="52144" xr:uid="{00000000-0005-0000-0000-0000C3CB0000}"/>
    <cellStyle name="PSDec" xfId="52145" xr:uid="{00000000-0005-0000-0000-0000C4CB0000}"/>
    <cellStyle name="PSDec 2" xfId="52146" xr:uid="{00000000-0005-0000-0000-0000C5CB0000}"/>
    <cellStyle name="PSDec 3" xfId="52147" xr:uid="{00000000-0005-0000-0000-0000C6CB0000}"/>
    <cellStyle name="PSDec 4" xfId="52148" xr:uid="{00000000-0005-0000-0000-0000C7CB0000}"/>
    <cellStyle name="PSHeading" xfId="52149" xr:uid="{00000000-0005-0000-0000-0000C8CB0000}"/>
    <cellStyle name="PSHeading 2" xfId="52150" xr:uid="{00000000-0005-0000-0000-0000C9CB0000}"/>
    <cellStyle name="PSHeading 2 2" xfId="52151" xr:uid="{00000000-0005-0000-0000-0000CACB0000}"/>
    <cellStyle name="PSHeading 3" xfId="52152" xr:uid="{00000000-0005-0000-0000-0000CBCB0000}"/>
    <cellStyle name="PSHeading 3 2" xfId="52153" xr:uid="{00000000-0005-0000-0000-0000CCCB0000}"/>
    <cellStyle name="PSHeading 4" xfId="52154" xr:uid="{00000000-0005-0000-0000-0000CDCB0000}"/>
    <cellStyle name="PSInt" xfId="52155" xr:uid="{00000000-0005-0000-0000-0000CECB0000}"/>
    <cellStyle name="PSInt 2" xfId="52156" xr:uid="{00000000-0005-0000-0000-0000CFCB0000}"/>
    <cellStyle name="PSInt 3" xfId="52157" xr:uid="{00000000-0005-0000-0000-0000D0CB0000}"/>
    <cellStyle name="PSInt 4" xfId="52158" xr:uid="{00000000-0005-0000-0000-0000D1CB0000}"/>
    <cellStyle name="PSSpacer" xfId="52159" xr:uid="{00000000-0005-0000-0000-0000D2CB0000}"/>
    <cellStyle name="PSSpacer 2" xfId="52160" xr:uid="{00000000-0005-0000-0000-0000D3CB0000}"/>
    <cellStyle name="PSSpacer 3" xfId="52161" xr:uid="{00000000-0005-0000-0000-0000D4CB0000}"/>
    <cellStyle name="PSSpacer 4" xfId="52162" xr:uid="{00000000-0005-0000-0000-0000D5CB0000}"/>
    <cellStyle name="Rate" xfId="52163" xr:uid="{00000000-0005-0000-0000-0000D6CB0000}"/>
    <cellStyle name="RateBold" xfId="52164" xr:uid="{00000000-0005-0000-0000-0000D7CB0000}"/>
    <cellStyle name="Red" xfId="52165" xr:uid="{00000000-0005-0000-0000-0000D8CB0000}"/>
    <cellStyle name="Reset  - Style7" xfId="52166" xr:uid="{00000000-0005-0000-0000-0000D9CB0000}"/>
    <cellStyle name="RevList" xfId="52167" xr:uid="{00000000-0005-0000-0000-0000DACB0000}"/>
    <cellStyle name="sebi" xfId="52168" xr:uid="{00000000-0005-0000-0000-0000DBCB0000}"/>
    <cellStyle name="sebi 2" xfId="52169" xr:uid="{00000000-0005-0000-0000-0000DCCB0000}"/>
    <cellStyle name="Section Title" xfId="52170" xr:uid="{00000000-0005-0000-0000-0000DDCB0000}"/>
    <cellStyle name="Shaded_ " xfId="52171" xr:uid="{00000000-0005-0000-0000-0000DECB0000}"/>
    <cellStyle name="Sledovaný hypertextový odkaz" xfId="52172" xr:uid="{00000000-0005-0000-0000-0000DFCB0000}"/>
    <cellStyle name="Standaard_prod eu distr" xfId="52173" xr:uid="{00000000-0005-0000-0000-0000E0CB0000}"/>
    <cellStyle name="Standard_AB" xfId="52174" xr:uid="{00000000-0005-0000-0000-0000E1CB0000}"/>
    <cellStyle name="Style 1" xfId="52175" xr:uid="{00000000-0005-0000-0000-0000E2CB0000}"/>
    <cellStyle name="Style 1 2" xfId="52176" xr:uid="{00000000-0005-0000-0000-0000E3CB0000}"/>
    <cellStyle name="Style 1 2 2" xfId="52177" xr:uid="{00000000-0005-0000-0000-0000E4CB0000}"/>
    <cellStyle name="Style 1 3" xfId="52178" xr:uid="{00000000-0005-0000-0000-0000E5CB0000}"/>
    <cellStyle name="Style 1 4" xfId="52179" xr:uid="{00000000-0005-0000-0000-0000E6CB0000}"/>
    <cellStyle name="Style 1 4 2" xfId="52180" xr:uid="{00000000-0005-0000-0000-0000E7CB0000}"/>
    <cellStyle name="SubDescription" xfId="52181" xr:uid="{00000000-0005-0000-0000-0000E8CB0000}"/>
    <cellStyle name="subhead" xfId="52182" xr:uid="{00000000-0005-0000-0000-0000E9CB0000}"/>
    <cellStyle name="Subtitle" xfId="52183" xr:uid="{00000000-0005-0000-0000-0000EACB0000}"/>
    <cellStyle name="Subtotal" xfId="52184" xr:uid="{00000000-0005-0000-0000-0000EBCB0000}"/>
    <cellStyle name="sum" xfId="52185" xr:uid="{00000000-0005-0000-0000-0000ECCB0000}"/>
    <cellStyle name="sum8" xfId="52186" xr:uid="{00000000-0005-0000-0000-0000EDCB0000}"/>
    <cellStyle name="Summary_back" xfId="52187" xr:uid="{00000000-0005-0000-0000-0000EECB0000}"/>
    <cellStyle name="SWT-Number" xfId="52188" xr:uid="{00000000-0005-0000-0000-0000EFCB0000}"/>
    <cellStyle name="SWT-Title" xfId="52189" xr:uid="{00000000-0005-0000-0000-0000F0CB0000}"/>
    <cellStyle name="SWT-Unprotect" xfId="52190" xr:uid="{00000000-0005-0000-0000-0000F1CB0000}"/>
    <cellStyle name="Table  - Style6" xfId="52191" xr:uid="{00000000-0005-0000-0000-0000F2CB0000}"/>
    <cellStyle name="Table  - Style6 2" xfId="52192" xr:uid="{00000000-0005-0000-0000-0000F3CB0000}"/>
    <cellStyle name="Table  - Style6 3" xfId="52193" xr:uid="{00000000-0005-0000-0000-0000F4CB0000}"/>
    <cellStyle name="Table  - Style6 4" xfId="52194" xr:uid="{00000000-0005-0000-0000-0000F5CB0000}"/>
    <cellStyle name="Table  - Style6 5" xfId="52195" xr:uid="{00000000-0005-0000-0000-0000F6CB0000}"/>
    <cellStyle name="Text Indent A" xfId="52196" xr:uid="{00000000-0005-0000-0000-0000F7CB0000}"/>
    <cellStyle name="Text Indent B" xfId="52197" xr:uid="{00000000-0005-0000-0000-0000F8CB0000}"/>
    <cellStyle name="Text Indent C" xfId="52198" xr:uid="{00000000-0005-0000-0000-0000F9CB0000}"/>
    <cellStyle name="Times New Roman" xfId="52199" xr:uid="{00000000-0005-0000-0000-0000FACB0000}"/>
    <cellStyle name="Title  - Style1" xfId="52200" xr:uid="{00000000-0005-0000-0000-0000FBCB0000}"/>
    <cellStyle name="Title 10" xfId="52201" xr:uid="{00000000-0005-0000-0000-0000FCCB0000}"/>
    <cellStyle name="Title 10 2" xfId="52202" xr:uid="{00000000-0005-0000-0000-0000FDCB0000}"/>
    <cellStyle name="Title 10 3" xfId="52203" xr:uid="{00000000-0005-0000-0000-0000FECB0000}"/>
    <cellStyle name="Title 10 4" xfId="52204" xr:uid="{00000000-0005-0000-0000-0000FFCB0000}"/>
    <cellStyle name="Title 10 5" xfId="52205" xr:uid="{00000000-0005-0000-0000-000000CC0000}"/>
    <cellStyle name="Title 11" xfId="52206" xr:uid="{00000000-0005-0000-0000-000001CC0000}"/>
    <cellStyle name="Title 12" xfId="52207" xr:uid="{00000000-0005-0000-0000-000002CC0000}"/>
    <cellStyle name="Title 13" xfId="52208" xr:uid="{00000000-0005-0000-0000-000003CC0000}"/>
    <cellStyle name="Title 14" xfId="52209" xr:uid="{00000000-0005-0000-0000-000004CC0000}"/>
    <cellStyle name="Title 15" xfId="52210" xr:uid="{00000000-0005-0000-0000-000005CC0000}"/>
    <cellStyle name="Title 16" xfId="52211" xr:uid="{00000000-0005-0000-0000-000006CC0000}"/>
    <cellStyle name="Title 17" xfId="52212" xr:uid="{00000000-0005-0000-0000-000007CC0000}"/>
    <cellStyle name="Title 18" xfId="52213" xr:uid="{00000000-0005-0000-0000-000008CC0000}"/>
    <cellStyle name="Title 19" xfId="52214" xr:uid="{00000000-0005-0000-0000-000009CC0000}"/>
    <cellStyle name="Title 2" xfId="52215" xr:uid="{00000000-0005-0000-0000-00000ACC0000}"/>
    <cellStyle name="Title 2 10" xfId="52216" xr:uid="{00000000-0005-0000-0000-00000BCC0000}"/>
    <cellStyle name="Title 2 11" xfId="52217" xr:uid="{00000000-0005-0000-0000-00000CCC0000}"/>
    <cellStyle name="Title 2 12" xfId="52218" xr:uid="{00000000-0005-0000-0000-00000DCC0000}"/>
    <cellStyle name="Title 2 13" xfId="52219" xr:uid="{00000000-0005-0000-0000-00000ECC0000}"/>
    <cellStyle name="Title 2 14" xfId="52220" xr:uid="{00000000-0005-0000-0000-00000FCC0000}"/>
    <cellStyle name="Title 2 15" xfId="52221" xr:uid="{00000000-0005-0000-0000-000010CC0000}"/>
    <cellStyle name="Title 2 16" xfId="52222" xr:uid="{00000000-0005-0000-0000-000011CC0000}"/>
    <cellStyle name="Title 2 2" xfId="52223" xr:uid="{00000000-0005-0000-0000-000012CC0000}"/>
    <cellStyle name="Title 2 2 2" xfId="52224" xr:uid="{00000000-0005-0000-0000-000013CC0000}"/>
    <cellStyle name="Title 2 3" xfId="52225" xr:uid="{00000000-0005-0000-0000-000014CC0000}"/>
    <cellStyle name="Title 2 4" xfId="52226" xr:uid="{00000000-0005-0000-0000-000015CC0000}"/>
    <cellStyle name="Title 2 5" xfId="52227" xr:uid="{00000000-0005-0000-0000-000016CC0000}"/>
    <cellStyle name="Title 2 6" xfId="52228" xr:uid="{00000000-0005-0000-0000-000017CC0000}"/>
    <cellStyle name="Title 2 7" xfId="52229" xr:uid="{00000000-0005-0000-0000-000018CC0000}"/>
    <cellStyle name="Title 2 8" xfId="52230" xr:uid="{00000000-0005-0000-0000-000019CC0000}"/>
    <cellStyle name="Title 2 9" xfId="52231" xr:uid="{00000000-0005-0000-0000-00001ACC0000}"/>
    <cellStyle name="Title 20" xfId="52232" xr:uid="{00000000-0005-0000-0000-00001BCC0000}"/>
    <cellStyle name="Title 21" xfId="52233" xr:uid="{00000000-0005-0000-0000-00001CCC0000}"/>
    <cellStyle name="Title 22" xfId="52234" xr:uid="{00000000-0005-0000-0000-00001DCC0000}"/>
    <cellStyle name="Title 23" xfId="52235" xr:uid="{00000000-0005-0000-0000-00001ECC0000}"/>
    <cellStyle name="Title 24" xfId="52236" xr:uid="{00000000-0005-0000-0000-00001FCC0000}"/>
    <cellStyle name="Title 25" xfId="52237" xr:uid="{00000000-0005-0000-0000-000020CC0000}"/>
    <cellStyle name="Title 26" xfId="52238" xr:uid="{00000000-0005-0000-0000-000021CC0000}"/>
    <cellStyle name="Title 27" xfId="52239" xr:uid="{00000000-0005-0000-0000-000022CC0000}"/>
    <cellStyle name="Title 28" xfId="52240" xr:uid="{00000000-0005-0000-0000-000023CC0000}"/>
    <cellStyle name="Title 29" xfId="52241" xr:uid="{00000000-0005-0000-0000-000024CC0000}"/>
    <cellStyle name="Title 3" xfId="52242" xr:uid="{00000000-0005-0000-0000-000025CC0000}"/>
    <cellStyle name="Title 3 2" xfId="52243" xr:uid="{00000000-0005-0000-0000-000026CC0000}"/>
    <cellStyle name="Title 3 2 2" xfId="52244" xr:uid="{00000000-0005-0000-0000-000027CC0000}"/>
    <cellStyle name="Title 3 3" xfId="52245" xr:uid="{00000000-0005-0000-0000-000028CC0000}"/>
    <cellStyle name="Title 3 4" xfId="52246" xr:uid="{00000000-0005-0000-0000-000029CC0000}"/>
    <cellStyle name="Title 3 5" xfId="52247" xr:uid="{00000000-0005-0000-0000-00002ACC0000}"/>
    <cellStyle name="Title 3 6" xfId="52248" xr:uid="{00000000-0005-0000-0000-00002BCC0000}"/>
    <cellStyle name="Title 30" xfId="52249" xr:uid="{00000000-0005-0000-0000-00002CCC0000}"/>
    <cellStyle name="Title 31" xfId="52250" xr:uid="{00000000-0005-0000-0000-00002DCC0000}"/>
    <cellStyle name="Title 32" xfId="52251" xr:uid="{00000000-0005-0000-0000-00002ECC0000}"/>
    <cellStyle name="Title 33" xfId="52252" xr:uid="{00000000-0005-0000-0000-00002FCC0000}"/>
    <cellStyle name="Title 34" xfId="52253" xr:uid="{00000000-0005-0000-0000-000030CC0000}"/>
    <cellStyle name="Title 4" xfId="52254" xr:uid="{00000000-0005-0000-0000-000031CC0000}"/>
    <cellStyle name="Title 4 2" xfId="52255" xr:uid="{00000000-0005-0000-0000-000032CC0000}"/>
    <cellStyle name="Title 4 3" xfId="52256" xr:uid="{00000000-0005-0000-0000-000033CC0000}"/>
    <cellStyle name="Title 4 4" xfId="52257" xr:uid="{00000000-0005-0000-0000-000034CC0000}"/>
    <cellStyle name="Title 4 5" xfId="52258" xr:uid="{00000000-0005-0000-0000-000035CC0000}"/>
    <cellStyle name="Title 5" xfId="52259" xr:uid="{00000000-0005-0000-0000-000036CC0000}"/>
    <cellStyle name="Title 5 2" xfId="52260" xr:uid="{00000000-0005-0000-0000-000037CC0000}"/>
    <cellStyle name="Title 5 3" xfId="52261" xr:uid="{00000000-0005-0000-0000-000038CC0000}"/>
    <cellStyle name="Title 5 4" xfId="52262" xr:uid="{00000000-0005-0000-0000-000039CC0000}"/>
    <cellStyle name="Title 5 5" xfId="52263" xr:uid="{00000000-0005-0000-0000-00003ACC0000}"/>
    <cellStyle name="Title 6" xfId="52264" xr:uid="{00000000-0005-0000-0000-00003BCC0000}"/>
    <cellStyle name="Title 6 2" xfId="52265" xr:uid="{00000000-0005-0000-0000-00003CCC0000}"/>
    <cellStyle name="Title 6 3" xfId="52266" xr:uid="{00000000-0005-0000-0000-00003DCC0000}"/>
    <cellStyle name="Title 6 4" xfId="52267" xr:uid="{00000000-0005-0000-0000-00003ECC0000}"/>
    <cellStyle name="Title 6 5" xfId="52268" xr:uid="{00000000-0005-0000-0000-00003FCC0000}"/>
    <cellStyle name="Title 7" xfId="52269" xr:uid="{00000000-0005-0000-0000-000040CC0000}"/>
    <cellStyle name="Title 7 2" xfId="52270" xr:uid="{00000000-0005-0000-0000-000041CC0000}"/>
    <cellStyle name="Title 7 3" xfId="52271" xr:uid="{00000000-0005-0000-0000-000042CC0000}"/>
    <cellStyle name="Title 7 4" xfId="52272" xr:uid="{00000000-0005-0000-0000-000043CC0000}"/>
    <cellStyle name="Title 7 5" xfId="52273" xr:uid="{00000000-0005-0000-0000-000044CC0000}"/>
    <cellStyle name="Title 8" xfId="52274" xr:uid="{00000000-0005-0000-0000-000045CC0000}"/>
    <cellStyle name="Title 8 2" xfId="52275" xr:uid="{00000000-0005-0000-0000-000046CC0000}"/>
    <cellStyle name="Title 8 3" xfId="52276" xr:uid="{00000000-0005-0000-0000-000047CC0000}"/>
    <cellStyle name="Title 8 4" xfId="52277" xr:uid="{00000000-0005-0000-0000-000048CC0000}"/>
    <cellStyle name="Title 8 5" xfId="52278" xr:uid="{00000000-0005-0000-0000-000049CC0000}"/>
    <cellStyle name="Title 9" xfId="52279" xr:uid="{00000000-0005-0000-0000-00004ACC0000}"/>
    <cellStyle name="Title 9 2" xfId="52280" xr:uid="{00000000-0005-0000-0000-00004BCC0000}"/>
    <cellStyle name="Title 9 3" xfId="52281" xr:uid="{00000000-0005-0000-0000-00004CCC0000}"/>
    <cellStyle name="Title 9 4" xfId="52282" xr:uid="{00000000-0005-0000-0000-00004DCC0000}"/>
    <cellStyle name="Title 9 5" xfId="52283" xr:uid="{00000000-0005-0000-0000-00004ECC0000}"/>
    <cellStyle name="Title Row" xfId="52284" xr:uid="{00000000-0005-0000-0000-00004FCC0000}"/>
    <cellStyle name="Title Row 2" xfId="52285" xr:uid="{00000000-0005-0000-0000-000050CC0000}"/>
    <cellStyle name="Title Row 2 2" xfId="52286" xr:uid="{00000000-0005-0000-0000-000051CC0000}"/>
    <cellStyle name="Title Row 3" xfId="52287" xr:uid="{00000000-0005-0000-0000-000052CC0000}"/>
    <cellStyle name="topbot" xfId="52288" xr:uid="{00000000-0005-0000-0000-000053CC0000}"/>
    <cellStyle name="Total 10" xfId="52289" xr:uid="{00000000-0005-0000-0000-000054CC0000}"/>
    <cellStyle name="Total 10 10" xfId="52290" xr:uid="{00000000-0005-0000-0000-000055CC0000}"/>
    <cellStyle name="Total 10 2" xfId="52291" xr:uid="{00000000-0005-0000-0000-000056CC0000}"/>
    <cellStyle name="Total 10 2 2" xfId="52292" xr:uid="{00000000-0005-0000-0000-000057CC0000}"/>
    <cellStyle name="Total 10 2 3" xfId="52293" xr:uid="{00000000-0005-0000-0000-000058CC0000}"/>
    <cellStyle name="Total 10 2 4" xfId="52294" xr:uid="{00000000-0005-0000-0000-000059CC0000}"/>
    <cellStyle name="Total 10 2 5" xfId="52295" xr:uid="{00000000-0005-0000-0000-00005ACC0000}"/>
    <cellStyle name="Total 10 3" xfId="52296" xr:uid="{00000000-0005-0000-0000-00005BCC0000}"/>
    <cellStyle name="Total 10 3 2" xfId="52297" xr:uid="{00000000-0005-0000-0000-00005CCC0000}"/>
    <cellStyle name="Total 10 3 3" xfId="52298" xr:uid="{00000000-0005-0000-0000-00005DCC0000}"/>
    <cellStyle name="Total 10 4" xfId="52299" xr:uid="{00000000-0005-0000-0000-00005ECC0000}"/>
    <cellStyle name="Total 10 4 2" xfId="52300" xr:uid="{00000000-0005-0000-0000-00005FCC0000}"/>
    <cellStyle name="Total 10 4 3" xfId="52301" xr:uid="{00000000-0005-0000-0000-000060CC0000}"/>
    <cellStyle name="Total 10 5" xfId="52302" xr:uid="{00000000-0005-0000-0000-000061CC0000}"/>
    <cellStyle name="Total 10 5 2" xfId="52303" xr:uid="{00000000-0005-0000-0000-000062CC0000}"/>
    <cellStyle name="Total 10 5 3" xfId="52304" xr:uid="{00000000-0005-0000-0000-000063CC0000}"/>
    <cellStyle name="Total 10 6" xfId="52305" xr:uid="{00000000-0005-0000-0000-000064CC0000}"/>
    <cellStyle name="Total 10 6 2" xfId="52306" xr:uid="{00000000-0005-0000-0000-000065CC0000}"/>
    <cellStyle name="Total 10 6 3" xfId="52307" xr:uid="{00000000-0005-0000-0000-000066CC0000}"/>
    <cellStyle name="Total 10 7" xfId="52308" xr:uid="{00000000-0005-0000-0000-000067CC0000}"/>
    <cellStyle name="Total 10 8" xfId="52309" xr:uid="{00000000-0005-0000-0000-000068CC0000}"/>
    <cellStyle name="Total 10 9" xfId="52310" xr:uid="{00000000-0005-0000-0000-000069CC0000}"/>
    <cellStyle name="Total 11" xfId="52311" xr:uid="{00000000-0005-0000-0000-00006ACC0000}"/>
    <cellStyle name="Total 11 10" xfId="52312" xr:uid="{00000000-0005-0000-0000-00006BCC0000}"/>
    <cellStyle name="Total 11 2" xfId="52313" xr:uid="{00000000-0005-0000-0000-00006CCC0000}"/>
    <cellStyle name="Total 11 2 2" xfId="52314" xr:uid="{00000000-0005-0000-0000-00006DCC0000}"/>
    <cellStyle name="Total 11 2 3" xfId="52315" xr:uid="{00000000-0005-0000-0000-00006ECC0000}"/>
    <cellStyle name="Total 11 2 4" xfId="52316" xr:uid="{00000000-0005-0000-0000-00006FCC0000}"/>
    <cellStyle name="Total 11 2 5" xfId="52317" xr:uid="{00000000-0005-0000-0000-000070CC0000}"/>
    <cellStyle name="Total 11 3" xfId="52318" xr:uid="{00000000-0005-0000-0000-000071CC0000}"/>
    <cellStyle name="Total 11 3 2" xfId="52319" xr:uid="{00000000-0005-0000-0000-000072CC0000}"/>
    <cellStyle name="Total 11 3 3" xfId="52320" xr:uid="{00000000-0005-0000-0000-000073CC0000}"/>
    <cellStyle name="Total 11 4" xfId="52321" xr:uid="{00000000-0005-0000-0000-000074CC0000}"/>
    <cellStyle name="Total 11 4 2" xfId="52322" xr:uid="{00000000-0005-0000-0000-000075CC0000}"/>
    <cellStyle name="Total 11 4 3" xfId="52323" xr:uid="{00000000-0005-0000-0000-000076CC0000}"/>
    <cellStyle name="Total 11 5" xfId="52324" xr:uid="{00000000-0005-0000-0000-000077CC0000}"/>
    <cellStyle name="Total 11 5 2" xfId="52325" xr:uid="{00000000-0005-0000-0000-000078CC0000}"/>
    <cellStyle name="Total 11 5 3" xfId="52326" xr:uid="{00000000-0005-0000-0000-000079CC0000}"/>
    <cellStyle name="Total 11 6" xfId="52327" xr:uid="{00000000-0005-0000-0000-00007ACC0000}"/>
    <cellStyle name="Total 11 6 2" xfId="52328" xr:uid="{00000000-0005-0000-0000-00007BCC0000}"/>
    <cellStyle name="Total 11 6 3" xfId="52329" xr:uid="{00000000-0005-0000-0000-00007CCC0000}"/>
    <cellStyle name="Total 11 7" xfId="52330" xr:uid="{00000000-0005-0000-0000-00007DCC0000}"/>
    <cellStyle name="Total 11 8" xfId="52331" xr:uid="{00000000-0005-0000-0000-00007ECC0000}"/>
    <cellStyle name="Total 11 9" xfId="52332" xr:uid="{00000000-0005-0000-0000-00007FCC0000}"/>
    <cellStyle name="Total 12" xfId="52333" xr:uid="{00000000-0005-0000-0000-000080CC0000}"/>
    <cellStyle name="Total 12 10" xfId="52334" xr:uid="{00000000-0005-0000-0000-000081CC0000}"/>
    <cellStyle name="Total 12 2" xfId="52335" xr:uid="{00000000-0005-0000-0000-000082CC0000}"/>
    <cellStyle name="Total 12 2 2" xfId="52336" xr:uid="{00000000-0005-0000-0000-000083CC0000}"/>
    <cellStyle name="Total 12 2 3" xfId="52337" xr:uid="{00000000-0005-0000-0000-000084CC0000}"/>
    <cellStyle name="Total 12 2 4" xfId="52338" xr:uid="{00000000-0005-0000-0000-000085CC0000}"/>
    <cellStyle name="Total 12 2 5" xfId="52339" xr:uid="{00000000-0005-0000-0000-000086CC0000}"/>
    <cellStyle name="Total 12 3" xfId="52340" xr:uid="{00000000-0005-0000-0000-000087CC0000}"/>
    <cellStyle name="Total 12 3 2" xfId="52341" xr:uid="{00000000-0005-0000-0000-000088CC0000}"/>
    <cellStyle name="Total 12 3 3" xfId="52342" xr:uid="{00000000-0005-0000-0000-000089CC0000}"/>
    <cellStyle name="Total 12 4" xfId="52343" xr:uid="{00000000-0005-0000-0000-00008ACC0000}"/>
    <cellStyle name="Total 12 4 2" xfId="52344" xr:uid="{00000000-0005-0000-0000-00008BCC0000}"/>
    <cellStyle name="Total 12 4 3" xfId="52345" xr:uid="{00000000-0005-0000-0000-00008CCC0000}"/>
    <cellStyle name="Total 12 5" xfId="52346" xr:uid="{00000000-0005-0000-0000-00008DCC0000}"/>
    <cellStyle name="Total 12 5 2" xfId="52347" xr:uid="{00000000-0005-0000-0000-00008ECC0000}"/>
    <cellStyle name="Total 12 5 3" xfId="52348" xr:uid="{00000000-0005-0000-0000-00008FCC0000}"/>
    <cellStyle name="Total 12 6" xfId="52349" xr:uid="{00000000-0005-0000-0000-000090CC0000}"/>
    <cellStyle name="Total 12 6 2" xfId="52350" xr:uid="{00000000-0005-0000-0000-000091CC0000}"/>
    <cellStyle name="Total 12 6 3" xfId="52351" xr:uid="{00000000-0005-0000-0000-000092CC0000}"/>
    <cellStyle name="Total 12 7" xfId="52352" xr:uid="{00000000-0005-0000-0000-000093CC0000}"/>
    <cellStyle name="Total 12 8" xfId="52353" xr:uid="{00000000-0005-0000-0000-000094CC0000}"/>
    <cellStyle name="Total 12 9" xfId="52354" xr:uid="{00000000-0005-0000-0000-000095CC0000}"/>
    <cellStyle name="Total 13" xfId="52355" xr:uid="{00000000-0005-0000-0000-000096CC0000}"/>
    <cellStyle name="Total 13 10" xfId="52356" xr:uid="{00000000-0005-0000-0000-000097CC0000}"/>
    <cellStyle name="Total 13 2" xfId="52357" xr:uid="{00000000-0005-0000-0000-000098CC0000}"/>
    <cellStyle name="Total 13 2 2" xfId="52358" xr:uid="{00000000-0005-0000-0000-000099CC0000}"/>
    <cellStyle name="Total 13 2 3" xfId="52359" xr:uid="{00000000-0005-0000-0000-00009ACC0000}"/>
    <cellStyle name="Total 13 2 4" xfId="52360" xr:uid="{00000000-0005-0000-0000-00009BCC0000}"/>
    <cellStyle name="Total 13 2 5" xfId="52361" xr:uid="{00000000-0005-0000-0000-00009CCC0000}"/>
    <cellStyle name="Total 13 3" xfId="52362" xr:uid="{00000000-0005-0000-0000-00009DCC0000}"/>
    <cellStyle name="Total 13 3 2" xfId="52363" xr:uid="{00000000-0005-0000-0000-00009ECC0000}"/>
    <cellStyle name="Total 13 3 3" xfId="52364" xr:uid="{00000000-0005-0000-0000-00009FCC0000}"/>
    <cellStyle name="Total 13 4" xfId="52365" xr:uid="{00000000-0005-0000-0000-0000A0CC0000}"/>
    <cellStyle name="Total 13 4 2" xfId="52366" xr:uid="{00000000-0005-0000-0000-0000A1CC0000}"/>
    <cellStyle name="Total 13 4 3" xfId="52367" xr:uid="{00000000-0005-0000-0000-0000A2CC0000}"/>
    <cellStyle name="Total 13 5" xfId="52368" xr:uid="{00000000-0005-0000-0000-0000A3CC0000}"/>
    <cellStyle name="Total 13 5 2" xfId="52369" xr:uid="{00000000-0005-0000-0000-0000A4CC0000}"/>
    <cellStyle name="Total 13 5 3" xfId="52370" xr:uid="{00000000-0005-0000-0000-0000A5CC0000}"/>
    <cellStyle name="Total 13 6" xfId="52371" xr:uid="{00000000-0005-0000-0000-0000A6CC0000}"/>
    <cellStyle name="Total 13 6 2" xfId="52372" xr:uid="{00000000-0005-0000-0000-0000A7CC0000}"/>
    <cellStyle name="Total 13 6 3" xfId="52373" xr:uid="{00000000-0005-0000-0000-0000A8CC0000}"/>
    <cellStyle name="Total 13 7" xfId="52374" xr:uid="{00000000-0005-0000-0000-0000A9CC0000}"/>
    <cellStyle name="Total 13 8" xfId="52375" xr:uid="{00000000-0005-0000-0000-0000AACC0000}"/>
    <cellStyle name="Total 13 9" xfId="52376" xr:uid="{00000000-0005-0000-0000-0000ABCC0000}"/>
    <cellStyle name="Total 14" xfId="52377" xr:uid="{00000000-0005-0000-0000-0000ACCC0000}"/>
    <cellStyle name="Total 14 10" xfId="52378" xr:uid="{00000000-0005-0000-0000-0000ADCC0000}"/>
    <cellStyle name="Total 14 2" xfId="52379" xr:uid="{00000000-0005-0000-0000-0000AECC0000}"/>
    <cellStyle name="Total 14 2 2" xfId="52380" xr:uid="{00000000-0005-0000-0000-0000AFCC0000}"/>
    <cellStyle name="Total 14 2 3" xfId="52381" xr:uid="{00000000-0005-0000-0000-0000B0CC0000}"/>
    <cellStyle name="Total 14 2 4" xfId="52382" xr:uid="{00000000-0005-0000-0000-0000B1CC0000}"/>
    <cellStyle name="Total 14 2 5" xfId="52383" xr:uid="{00000000-0005-0000-0000-0000B2CC0000}"/>
    <cellStyle name="Total 14 3" xfId="52384" xr:uid="{00000000-0005-0000-0000-0000B3CC0000}"/>
    <cellStyle name="Total 14 3 2" xfId="52385" xr:uid="{00000000-0005-0000-0000-0000B4CC0000}"/>
    <cellStyle name="Total 14 3 3" xfId="52386" xr:uid="{00000000-0005-0000-0000-0000B5CC0000}"/>
    <cellStyle name="Total 14 4" xfId="52387" xr:uid="{00000000-0005-0000-0000-0000B6CC0000}"/>
    <cellStyle name="Total 14 4 2" xfId="52388" xr:uid="{00000000-0005-0000-0000-0000B7CC0000}"/>
    <cellStyle name="Total 14 4 3" xfId="52389" xr:uid="{00000000-0005-0000-0000-0000B8CC0000}"/>
    <cellStyle name="Total 14 5" xfId="52390" xr:uid="{00000000-0005-0000-0000-0000B9CC0000}"/>
    <cellStyle name="Total 14 5 2" xfId="52391" xr:uid="{00000000-0005-0000-0000-0000BACC0000}"/>
    <cellStyle name="Total 14 5 3" xfId="52392" xr:uid="{00000000-0005-0000-0000-0000BBCC0000}"/>
    <cellStyle name="Total 14 6" xfId="52393" xr:uid="{00000000-0005-0000-0000-0000BCCC0000}"/>
    <cellStyle name="Total 14 6 2" xfId="52394" xr:uid="{00000000-0005-0000-0000-0000BDCC0000}"/>
    <cellStyle name="Total 14 6 3" xfId="52395" xr:uid="{00000000-0005-0000-0000-0000BECC0000}"/>
    <cellStyle name="Total 14 7" xfId="52396" xr:uid="{00000000-0005-0000-0000-0000BFCC0000}"/>
    <cellStyle name="Total 14 8" xfId="52397" xr:uid="{00000000-0005-0000-0000-0000C0CC0000}"/>
    <cellStyle name="Total 14 9" xfId="52398" xr:uid="{00000000-0005-0000-0000-0000C1CC0000}"/>
    <cellStyle name="Total 15" xfId="52399" xr:uid="{00000000-0005-0000-0000-0000C2CC0000}"/>
    <cellStyle name="Total 15 10" xfId="52400" xr:uid="{00000000-0005-0000-0000-0000C3CC0000}"/>
    <cellStyle name="Total 15 2" xfId="52401" xr:uid="{00000000-0005-0000-0000-0000C4CC0000}"/>
    <cellStyle name="Total 15 2 2" xfId="52402" xr:uid="{00000000-0005-0000-0000-0000C5CC0000}"/>
    <cellStyle name="Total 15 2 3" xfId="52403" xr:uid="{00000000-0005-0000-0000-0000C6CC0000}"/>
    <cellStyle name="Total 15 2 4" xfId="52404" xr:uid="{00000000-0005-0000-0000-0000C7CC0000}"/>
    <cellStyle name="Total 15 2 5" xfId="52405" xr:uid="{00000000-0005-0000-0000-0000C8CC0000}"/>
    <cellStyle name="Total 15 3" xfId="52406" xr:uid="{00000000-0005-0000-0000-0000C9CC0000}"/>
    <cellStyle name="Total 15 3 2" xfId="52407" xr:uid="{00000000-0005-0000-0000-0000CACC0000}"/>
    <cellStyle name="Total 15 3 3" xfId="52408" xr:uid="{00000000-0005-0000-0000-0000CBCC0000}"/>
    <cellStyle name="Total 15 4" xfId="52409" xr:uid="{00000000-0005-0000-0000-0000CCCC0000}"/>
    <cellStyle name="Total 15 4 2" xfId="52410" xr:uid="{00000000-0005-0000-0000-0000CDCC0000}"/>
    <cellStyle name="Total 15 4 3" xfId="52411" xr:uid="{00000000-0005-0000-0000-0000CECC0000}"/>
    <cellStyle name="Total 15 5" xfId="52412" xr:uid="{00000000-0005-0000-0000-0000CFCC0000}"/>
    <cellStyle name="Total 15 5 2" xfId="52413" xr:uid="{00000000-0005-0000-0000-0000D0CC0000}"/>
    <cellStyle name="Total 15 5 3" xfId="52414" xr:uid="{00000000-0005-0000-0000-0000D1CC0000}"/>
    <cellStyle name="Total 15 6" xfId="52415" xr:uid="{00000000-0005-0000-0000-0000D2CC0000}"/>
    <cellStyle name="Total 15 6 2" xfId="52416" xr:uid="{00000000-0005-0000-0000-0000D3CC0000}"/>
    <cellStyle name="Total 15 6 3" xfId="52417" xr:uid="{00000000-0005-0000-0000-0000D4CC0000}"/>
    <cellStyle name="Total 15 7" xfId="52418" xr:uid="{00000000-0005-0000-0000-0000D5CC0000}"/>
    <cellStyle name="Total 15 8" xfId="52419" xr:uid="{00000000-0005-0000-0000-0000D6CC0000}"/>
    <cellStyle name="Total 15 9" xfId="52420" xr:uid="{00000000-0005-0000-0000-0000D7CC0000}"/>
    <cellStyle name="Total 16" xfId="52421" xr:uid="{00000000-0005-0000-0000-0000D8CC0000}"/>
    <cellStyle name="Total 16 10" xfId="52422" xr:uid="{00000000-0005-0000-0000-0000D9CC0000}"/>
    <cellStyle name="Total 16 2" xfId="52423" xr:uid="{00000000-0005-0000-0000-0000DACC0000}"/>
    <cellStyle name="Total 16 2 2" xfId="52424" xr:uid="{00000000-0005-0000-0000-0000DBCC0000}"/>
    <cellStyle name="Total 16 2 3" xfId="52425" xr:uid="{00000000-0005-0000-0000-0000DCCC0000}"/>
    <cellStyle name="Total 16 2 4" xfId="52426" xr:uid="{00000000-0005-0000-0000-0000DDCC0000}"/>
    <cellStyle name="Total 16 2 5" xfId="52427" xr:uid="{00000000-0005-0000-0000-0000DECC0000}"/>
    <cellStyle name="Total 16 3" xfId="52428" xr:uid="{00000000-0005-0000-0000-0000DFCC0000}"/>
    <cellStyle name="Total 16 3 2" xfId="52429" xr:uid="{00000000-0005-0000-0000-0000E0CC0000}"/>
    <cellStyle name="Total 16 3 3" xfId="52430" xr:uid="{00000000-0005-0000-0000-0000E1CC0000}"/>
    <cellStyle name="Total 16 4" xfId="52431" xr:uid="{00000000-0005-0000-0000-0000E2CC0000}"/>
    <cellStyle name="Total 16 4 2" xfId="52432" xr:uid="{00000000-0005-0000-0000-0000E3CC0000}"/>
    <cellStyle name="Total 16 4 3" xfId="52433" xr:uid="{00000000-0005-0000-0000-0000E4CC0000}"/>
    <cellStyle name="Total 16 5" xfId="52434" xr:uid="{00000000-0005-0000-0000-0000E5CC0000}"/>
    <cellStyle name="Total 16 5 2" xfId="52435" xr:uid="{00000000-0005-0000-0000-0000E6CC0000}"/>
    <cellStyle name="Total 16 5 3" xfId="52436" xr:uid="{00000000-0005-0000-0000-0000E7CC0000}"/>
    <cellStyle name="Total 16 6" xfId="52437" xr:uid="{00000000-0005-0000-0000-0000E8CC0000}"/>
    <cellStyle name="Total 16 6 2" xfId="52438" xr:uid="{00000000-0005-0000-0000-0000E9CC0000}"/>
    <cellStyle name="Total 16 6 3" xfId="52439" xr:uid="{00000000-0005-0000-0000-0000EACC0000}"/>
    <cellStyle name="Total 16 7" xfId="52440" xr:uid="{00000000-0005-0000-0000-0000EBCC0000}"/>
    <cellStyle name="Total 16 8" xfId="52441" xr:uid="{00000000-0005-0000-0000-0000ECCC0000}"/>
    <cellStyle name="Total 16 9" xfId="52442" xr:uid="{00000000-0005-0000-0000-0000EDCC0000}"/>
    <cellStyle name="Total 17" xfId="52443" xr:uid="{00000000-0005-0000-0000-0000EECC0000}"/>
    <cellStyle name="Total 17 10" xfId="52444" xr:uid="{00000000-0005-0000-0000-0000EFCC0000}"/>
    <cellStyle name="Total 17 2" xfId="52445" xr:uid="{00000000-0005-0000-0000-0000F0CC0000}"/>
    <cellStyle name="Total 17 2 2" xfId="52446" xr:uid="{00000000-0005-0000-0000-0000F1CC0000}"/>
    <cellStyle name="Total 17 2 3" xfId="52447" xr:uid="{00000000-0005-0000-0000-0000F2CC0000}"/>
    <cellStyle name="Total 17 2 4" xfId="52448" xr:uid="{00000000-0005-0000-0000-0000F3CC0000}"/>
    <cellStyle name="Total 17 2 5" xfId="52449" xr:uid="{00000000-0005-0000-0000-0000F4CC0000}"/>
    <cellStyle name="Total 17 3" xfId="52450" xr:uid="{00000000-0005-0000-0000-0000F5CC0000}"/>
    <cellStyle name="Total 17 3 2" xfId="52451" xr:uid="{00000000-0005-0000-0000-0000F6CC0000}"/>
    <cellStyle name="Total 17 3 3" xfId="52452" xr:uid="{00000000-0005-0000-0000-0000F7CC0000}"/>
    <cellStyle name="Total 17 4" xfId="52453" xr:uid="{00000000-0005-0000-0000-0000F8CC0000}"/>
    <cellStyle name="Total 17 4 2" xfId="52454" xr:uid="{00000000-0005-0000-0000-0000F9CC0000}"/>
    <cellStyle name="Total 17 4 3" xfId="52455" xr:uid="{00000000-0005-0000-0000-0000FACC0000}"/>
    <cellStyle name="Total 17 5" xfId="52456" xr:uid="{00000000-0005-0000-0000-0000FBCC0000}"/>
    <cellStyle name="Total 17 5 2" xfId="52457" xr:uid="{00000000-0005-0000-0000-0000FCCC0000}"/>
    <cellStyle name="Total 17 5 3" xfId="52458" xr:uid="{00000000-0005-0000-0000-0000FDCC0000}"/>
    <cellStyle name="Total 17 6" xfId="52459" xr:uid="{00000000-0005-0000-0000-0000FECC0000}"/>
    <cellStyle name="Total 17 6 2" xfId="52460" xr:uid="{00000000-0005-0000-0000-0000FFCC0000}"/>
    <cellStyle name="Total 17 6 3" xfId="52461" xr:uid="{00000000-0005-0000-0000-000000CD0000}"/>
    <cellStyle name="Total 17 7" xfId="52462" xr:uid="{00000000-0005-0000-0000-000001CD0000}"/>
    <cellStyle name="Total 17 8" xfId="52463" xr:uid="{00000000-0005-0000-0000-000002CD0000}"/>
    <cellStyle name="Total 17 9" xfId="52464" xr:uid="{00000000-0005-0000-0000-000003CD0000}"/>
    <cellStyle name="Total 18" xfId="52465" xr:uid="{00000000-0005-0000-0000-000004CD0000}"/>
    <cellStyle name="Total 18 10" xfId="52466" xr:uid="{00000000-0005-0000-0000-000005CD0000}"/>
    <cellStyle name="Total 18 2" xfId="52467" xr:uid="{00000000-0005-0000-0000-000006CD0000}"/>
    <cellStyle name="Total 18 2 2" xfId="52468" xr:uid="{00000000-0005-0000-0000-000007CD0000}"/>
    <cellStyle name="Total 18 2 3" xfId="52469" xr:uid="{00000000-0005-0000-0000-000008CD0000}"/>
    <cellStyle name="Total 18 2 4" xfId="52470" xr:uid="{00000000-0005-0000-0000-000009CD0000}"/>
    <cellStyle name="Total 18 2 5" xfId="52471" xr:uid="{00000000-0005-0000-0000-00000ACD0000}"/>
    <cellStyle name="Total 18 3" xfId="52472" xr:uid="{00000000-0005-0000-0000-00000BCD0000}"/>
    <cellStyle name="Total 18 3 2" xfId="52473" xr:uid="{00000000-0005-0000-0000-00000CCD0000}"/>
    <cellStyle name="Total 18 3 3" xfId="52474" xr:uid="{00000000-0005-0000-0000-00000DCD0000}"/>
    <cellStyle name="Total 18 4" xfId="52475" xr:uid="{00000000-0005-0000-0000-00000ECD0000}"/>
    <cellStyle name="Total 18 4 2" xfId="52476" xr:uid="{00000000-0005-0000-0000-00000FCD0000}"/>
    <cellStyle name="Total 18 4 3" xfId="52477" xr:uid="{00000000-0005-0000-0000-000010CD0000}"/>
    <cellStyle name="Total 18 5" xfId="52478" xr:uid="{00000000-0005-0000-0000-000011CD0000}"/>
    <cellStyle name="Total 18 5 2" xfId="52479" xr:uid="{00000000-0005-0000-0000-000012CD0000}"/>
    <cellStyle name="Total 18 5 3" xfId="52480" xr:uid="{00000000-0005-0000-0000-000013CD0000}"/>
    <cellStyle name="Total 18 6" xfId="52481" xr:uid="{00000000-0005-0000-0000-000014CD0000}"/>
    <cellStyle name="Total 18 6 2" xfId="52482" xr:uid="{00000000-0005-0000-0000-000015CD0000}"/>
    <cellStyle name="Total 18 6 3" xfId="52483" xr:uid="{00000000-0005-0000-0000-000016CD0000}"/>
    <cellStyle name="Total 18 7" xfId="52484" xr:uid="{00000000-0005-0000-0000-000017CD0000}"/>
    <cellStyle name="Total 18 8" xfId="52485" xr:uid="{00000000-0005-0000-0000-000018CD0000}"/>
    <cellStyle name="Total 18 9" xfId="52486" xr:uid="{00000000-0005-0000-0000-000019CD0000}"/>
    <cellStyle name="Total 19" xfId="52487" xr:uid="{00000000-0005-0000-0000-00001ACD0000}"/>
    <cellStyle name="Total 19 10" xfId="52488" xr:uid="{00000000-0005-0000-0000-00001BCD0000}"/>
    <cellStyle name="Total 19 2" xfId="52489" xr:uid="{00000000-0005-0000-0000-00001CCD0000}"/>
    <cellStyle name="Total 19 2 2" xfId="52490" xr:uid="{00000000-0005-0000-0000-00001DCD0000}"/>
    <cellStyle name="Total 19 2 3" xfId="52491" xr:uid="{00000000-0005-0000-0000-00001ECD0000}"/>
    <cellStyle name="Total 19 2 4" xfId="52492" xr:uid="{00000000-0005-0000-0000-00001FCD0000}"/>
    <cellStyle name="Total 19 2 5" xfId="52493" xr:uid="{00000000-0005-0000-0000-000020CD0000}"/>
    <cellStyle name="Total 19 3" xfId="52494" xr:uid="{00000000-0005-0000-0000-000021CD0000}"/>
    <cellStyle name="Total 19 3 2" xfId="52495" xr:uid="{00000000-0005-0000-0000-000022CD0000}"/>
    <cellStyle name="Total 19 3 3" xfId="52496" xr:uid="{00000000-0005-0000-0000-000023CD0000}"/>
    <cellStyle name="Total 19 4" xfId="52497" xr:uid="{00000000-0005-0000-0000-000024CD0000}"/>
    <cellStyle name="Total 19 4 2" xfId="52498" xr:uid="{00000000-0005-0000-0000-000025CD0000}"/>
    <cellStyle name="Total 19 4 3" xfId="52499" xr:uid="{00000000-0005-0000-0000-000026CD0000}"/>
    <cellStyle name="Total 19 5" xfId="52500" xr:uid="{00000000-0005-0000-0000-000027CD0000}"/>
    <cellStyle name="Total 19 5 2" xfId="52501" xr:uid="{00000000-0005-0000-0000-000028CD0000}"/>
    <cellStyle name="Total 19 5 3" xfId="52502" xr:uid="{00000000-0005-0000-0000-000029CD0000}"/>
    <cellStyle name="Total 19 6" xfId="52503" xr:uid="{00000000-0005-0000-0000-00002ACD0000}"/>
    <cellStyle name="Total 19 6 2" xfId="52504" xr:uid="{00000000-0005-0000-0000-00002BCD0000}"/>
    <cellStyle name="Total 19 6 3" xfId="52505" xr:uid="{00000000-0005-0000-0000-00002CCD0000}"/>
    <cellStyle name="Total 19 7" xfId="52506" xr:uid="{00000000-0005-0000-0000-00002DCD0000}"/>
    <cellStyle name="Total 19 8" xfId="52507" xr:uid="{00000000-0005-0000-0000-00002ECD0000}"/>
    <cellStyle name="Total 19 9" xfId="52508" xr:uid="{00000000-0005-0000-0000-00002FCD0000}"/>
    <cellStyle name="Total 2" xfId="52509" xr:uid="{00000000-0005-0000-0000-000030CD0000}"/>
    <cellStyle name="Total 2 10" xfId="52510" xr:uid="{00000000-0005-0000-0000-000031CD0000}"/>
    <cellStyle name="Total 2 10 10" xfId="52511" xr:uid="{00000000-0005-0000-0000-000032CD0000}"/>
    <cellStyle name="Total 2 10 2" xfId="52512" xr:uid="{00000000-0005-0000-0000-000033CD0000}"/>
    <cellStyle name="Total 2 10 2 2" xfId="52513" xr:uid="{00000000-0005-0000-0000-000034CD0000}"/>
    <cellStyle name="Total 2 10 2 3" xfId="52514" xr:uid="{00000000-0005-0000-0000-000035CD0000}"/>
    <cellStyle name="Total 2 10 3" xfId="52515" xr:uid="{00000000-0005-0000-0000-000036CD0000}"/>
    <cellStyle name="Total 2 10 3 2" xfId="52516" xr:uid="{00000000-0005-0000-0000-000037CD0000}"/>
    <cellStyle name="Total 2 10 3 3" xfId="52517" xr:uid="{00000000-0005-0000-0000-000038CD0000}"/>
    <cellStyle name="Total 2 10 4" xfId="52518" xr:uid="{00000000-0005-0000-0000-000039CD0000}"/>
    <cellStyle name="Total 2 10 4 2" xfId="52519" xr:uid="{00000000-0005-0000-0000-00003ACD0000}"/>
    <cellStyle name="Total 2 10 4 3" xfId="52520" xr:uid="{00000000-0005-0000-0000-00003BCD0000}"/>
    <cellStyle name="Total 2 10 5" xfId="52521" xr:uid="{00000000-0005-0000-0000-00003CCD0000}"/>
    <cellStyle name="Total 2 10 6" xfId="52522" xr:uid="{00000000-0005-0000-0000-00003DCD0000}"/>
    <cellStyle name="Total 2 10 7" xfId="52523" xr:uid="{00000000-0005-0000-0000-00003ECD0000}"/>
    <cellStyle name="Total 2 10 8" xfId="52524" xr:uid="{00000000-0005-0000-0000-00003FCD0000}"/>
    <cellStyle name="Total 2 10 9" xfId="52525" xr:uid="{00000000-0005-0000-0000-000040CD0000}"/>
    <cellStyle name="Total 2 11" xfId="52526" xr:uid="{00000000-0005-0000-0000-000041CD0000}"/>
    <cellStyle name="Total 2 11 10" xfId="52527" xr:uid="{00000000-0005-0000-0000-000042CD0000}"/>
    <cellStyle name="Total 2 11 2" xfId="52528" xr:uid="{00000000-0005-0000-0000-000043CD0000}"/>
    <cellStyle name="Total 2 11 2 2" xfId="52529" xr:uid="{00000000-0005-0000-0000-000044CD0000}"/>
    <cellStyle name="Total 2 11 2 3" xfId="52530" xr:uid="{00000000-0005-0000-0000-000045CD0000}"/>
    <cellStyle name="Total 2 11 3" xfId="52531" xr:uid="{00000000-0005-0000-0000-000046CD0000}"/>
    <cellStyle name="Total 2 11 3 2" xfId="52532" xr:uid="{00000000-0005-0000-0000-000047CD0000}"/>
    <cellStyle name="Total 2 11 3 3" xfId="52533" xr:uid="{00000000-0005-0000-0000-000048CD0000}"/>
    <cellStyle name="Total 2 11 4" xfId="52534" xr:uid="{00000000-0005-0000-0000-000049CD0000}"/>
    <cellStyle name="Total 2 11 4 2" xfId="52535" xr:uid="{00000000-0005-0000-0000-00004ACD0000}"/>
    <cellStyle name="Total 2 11 4 3" xfId="52536" xr:uid="{00000000-0005-0000-0000-00004BCD0000}"/>
    <cellStyle name="Total 2 11 5" xfId="52537" xr:uid="{00000000-0005-0000-0000-00004CCD0000}"/>
    <cellStyle name="Total 2 11 6" xfId="52538" xr:uid="{00000000-0005-0000-0000-00004DCD0000}"/>
    <cellStyle name="Total 2 11 7" xfId="52539" xr:uid="{00000000-0005-0000-0000-00004ECD0000}"/>
    <cellStyle name="Total 2 11 8" xfId="52540" xr:uid="{00000000-0005-0000-0000-00004FCD0000}"/>
    <cellStyle name="Total 2 11 9" xfId="52541" xr:uid="{00000000-0005-0000-0000-000050CD0000}"/>
    <cellStyle name="Total 2 12" xfId="52542" xr:uid="{00000000-0005-0000-0000-000051CD0000}"/>
    <cellStyle name="Total 2 12 2" xfId="52543" xr:uid="{00000000-0005-0000-0000-000052CD0000}"/>
    <cellStyle name="Total 2 12 2 2" xfId="52544" xr:uid="{00000000-0005-0000-0000-000053CD0000}"/>
    <cellStyle name="Total 2 12 2 3" xfId="52545" xr:uid="{00000000-0005-0000-0000-000054CD0000}"/>
    <cellStyle name="Total 2 12 3" xfId="52546" xr:uid="{00000000-0005-0000-0000-000055CD0000}"/>
    <cellStyle name="Total 2 12 3 2" xfId="52547" xr:uid="{00000000-0005-0000-0000-000056CD0000}"/>
    <cellStyle name="Total 2 12 3 3" xfId="52548" xr:uid="{00000000-0005-0000-0000-000057CD0000}"/>
    <cellStyle name="Total 2 12 4" xfId="52549" xr:uid="{00000000-0005-0000-0000-000058CD0000}"/>
    <cellStyle name="Total 2 12 4 2" xfId="52550" xr:uid="{00000000-0005-0000-0000-000059CD0000}"/>
    <cellStyle name="Total 2 12 4 3" xfId="52551" xr:uid="{00000000-0005-0000-0000-00005ACD0000}"/>
    <cellStyle name="Total 2 12 5" xfId="52552" xr:uid="{00000000-0005-0000-0000-00005BCD0000}"/>
    <cellStyle name="Total 2 12 6" xfId="52553" xr:uid="{00000000-0005-0000-0000-00005CCD0000}"/>
    <cellStyle name="Total 2 12 7" xfId="52554" xr:uid="{00000000-0005-0000-0000-00005DCD0000}"/>
    <cellStyle name="Total 2 12 8" xfId="52555" xr:uid="{00000000-0005-0000-0000-00005ECD0000}"/>
    <cellStyle name="Total 2 12 9" xfId="52556" xr:uid="{00000000-0005-0000-0000-00005FCD0000}"/>
    <cellStyle name="Total 2 13" xfId="52557" xr:uid="{00000000-0005-0000-0000-000060CD0000}"/>
    <cellStyle name="Total 2 13 2" xfId="52558" xr:uid="{00000000-0005-0000-0000-000061CD0000}"/>
    <cellStyle name="Total 2 13 2 2" xfId="52559" xr:uid="{00000000-0005-0000-0000-000062CD0000}"/>
    <cellStyle name="Total 2 13 2 3" xfId="52560" xr:uid="{00000000-0005-0000-0000-000063CD0000}"/>
    <cellStyle name="Total 2 13 3" xfId="52561" xr:uid="{00000000-0005-0000-0000-000064CD0000}"/>
    <cellStyle name="Total 2 13 3 2" xfId="52562" xr:uid="{00000000-0005-0000-0000-000065CD0000}"/>
    <cellStyle name="Total 2 13 3 3" xfId="52563" xr:uid="{00000000-0005-0000-0000-000066CD0000}"/>
    <cellStyle name="Total 2 13 4" xfId="52564" xr:uid="{00000000-0005-0000-0000-000067CD0000}"/>
    <cellStyle name="Total 2 13 4 2" xfId="52565" xr:uid="{00000000-0005-0000-0000-000068CD0000}"/>
    <cellStyle name="Total 2 13 4 3" xfId="52566" xr:uid="{00000000-0005-0000-0000-000069CD0000}"/>
    <cellStyle name="Total 2 13 5" xfId="52567" xr:uid="{00000000-0005-0000-0000-00006ACD0000}"/>
    <cellStyle name="Total 2 13 6" xfId="52568" xr:uid="{00000000-0005-0000-0000-00006BCD0000}"/>
    <cellStyle name="Total 2 13 7" xfId="52569" xr:uid="{00000000-0005-0000-0000-00006CCD0000}"/>
    <cellStyle name="Total 2 13 8" xfId="52570" xr:uid="{00000000-0005-0000-0000-00006DCD0000}"/>
    <cellStyle name="Total 2 14" xfId="52571" xr:uid="{00000000-0005-0000-0000-00006ECD0000}"/>
    <cellStyle name="Total 2 14 2" xfId="52572" xr:uid="{00000000-0005-0000-0000-00006FCD0000}"/>
    <cellStyle name="Total 2 14 2 2" xfId="52573" xr:uid="{00000000-0005-0000-0000-000070CD0000}"/>
    <cellStyle name="Total 2 14 2 3" xfId="52574" xr:uid="{00000000-0005-0000-0000-000071CD0000}"/>
    <cellStyle name="Total 2 14 3" xfId="52575" xr:uid="{00000000-0005-0000-0000-000072CD0000}"/>
    <cellStyle name="Total 2 14 3 2" xfId="52576" xr:uid="{00000000-0005-0000-0000-000073CD0000}"/>
    <cellStyle name="Total 2 14 3 3" xfId="52577" xr:uid="{00000000-0005-0000-0000-000074CD0000}"/>
    <cellStyle name="Total 2 14 4" xfId="52578" xr:uid="{00000000-0005-0000-0000-000075CD0000}"/>
    <cellStyle name="Total 2 14 4 2" xfId="52579" xr:uid="{00000000-0005-0000-0000-000076CD0000}"/>
    <cellStyle name="Total 2 14 4 3" xfId="52580" xr:uid="{00000000-0005-0000-0000-000077CD0000}"/>
    <cellStyle name="Total 2 14 5" xfId="52581" xr:uid="{00000000-0005-0000-0000-000078CD0000}"/>
    <cellStyle name="Total 2 14 6" xfId="52582" xr:uid="{00000000-0005-0000-0000-000079CD0000}"/>
    <cellStyle name="Total 2 14 7" xfId="52583" xr:uid="{00000000-0005-0000-0000-00007ACD0000}"/>
    <cellStyle name="Total 2 15" xfId="52584" xr:uid="{00000000-0005-0000-0000-00007BCD0000}"/>
    <cellStyle name="Total 2 15 2" xfId="52585" xr:uid="{00000000-0005-0000-0000-00007CCD0000}"/>
    <cellStyle name="Total 2 15 2 2" xfId="52586" xr:uid="{00000000-0005-0000-0000-00007DCD0000}"/>
    <cellStyle name="Total 2 15 2 3" xfId="52587" xr:uid="{00000000-0005-0000-0000-00007ECD0000}"/>
    <cellStyle name="Total 2 15 3" xfId="52588" xr:uid="{00000000-0005-0000-0000-00007FCD0000}"/>
    <cellStyle name="Total 2 15 3 2" xfId="52589" xr:uid="{00000000-0005-0000-0000-000080CD0000}"/>
    <cellStyle name="Total 2 15 3 3" xfId="52590" xr:uid="{00000000-0005-0000-0000-000081CD0000}"/>
    <cellStyle name="Total 2 15 4" xfId="52591" xr:uid="{00000000-0005-0000-0000-000082CD0000}"/>
    <cellStyle name="Total 2 15 4 2" xfId="52592" xr:uid="{00000000-0005-0000-0000-000083CD0000}"/>
    <cellStyle name="Total 2 15 4 3" xfId="52593" xr:uid="{00000000-0005-0000-0000-000084CD0000}"/>
    <cellStyle name="Total 2 15 5" xfId="52594" xr:uid="{00000000-0005-0000-0000-000085CD0000}"/>
    <cellStyle name="Total 2 15 6" xfId="52595" xr:uid="{00000000-0005-0000-0000-000086CD0000}"/>
    <cellStyle name="Total 2 15 7" xfId="52596" xr:uid="{00000000-0005-0000-0000-000087CD0000}"/>
    <cellStyle name="Total 2 16" xfId="52597" xr:uid="{00000000-0005-0000-0000-000088CD0000}"/>
    <cellStyle name="Total 2 16 2" xfId="52598" xr:uid="{00000000-0005-0000-0000-000089CD0000}"/>
    <cellStyle name="Total 2 16 3" xfId="52599" xr:uid="{00000000-0005-0000-0000-00008ACD0000}"/>
    <cellStyle name="Total 2 17" xfId="52600" xr:uid="{00000000-0005-0000-0000-00008BCD0000}"/>
    <cellStyle name="Total 2 17 2" xfId="52601" xr:uid="{00000000-0005-0000-0000-00008CCD0000}"/>
    <cellStyle name="Total 2 17 3" xfId="52602" xr:uid="{00000000-0005-0000-0000-00008DCD0000}"/>
    <cellStyle name="Total 2 18" xfId="52603" xr:uid="{00000000-0005-0000-0000-00008ECD0000}"/>
    <cellStyle name="Total 2 18 2" xfId="52604" xr:uid="{00000000-0005-0000-0000-00008FCD0000}"/>
    <cellStyle name="Total 2 18 3" xfId="52605" xr:uid="{00000000-0005-0000-0000-000090CD0000}"/>
    <cellStyle name="Total 2 19" xfId="52606" xr:uid="{00000000-0005-0000-0000-000091CD0000}"/>
    <cellStyle name="Total 2 19 2" xfId="52607" xr:uid="{00000000-0005-0000-0000-000092CD0000}"/>
    <cellStyle name="Total 2 19 3" xfId="52608" xr:uid="{00000000-0005-0000-0000-000093CD0000}"/>
    <cellStyle name="Total 2 2" xfId="52609" xr:uid="{00000000-0005-0000-0000-000094CD0000}"/>
    <cellStyle name="Total 2 2 10" xfId="52610" xr:uid="{00000000-0005-0000-0000-000095CD0000}"/>
    <cellStyle name="Total 2 2 10 2" xfId="52611" xr:uid="{00000000-0005-0000-0000-000096CD0000}"/>
    <cellStyle name="Total 2 2 11" xfId="52612" xr:uid="{00000000-0005-0000-0000-000097CD0000}"/>
    <cellStyle name="Total 2 2 12" xfId="52613" xr:uid="{00000000-0005-0000-0000-000098CD0000}"/>
    <cellStyle name="Total 2 2 13" xfId="52614" xr:uid="{00000000-0005-0000-0000-000099CD0000}"/>
    <cellStyle name="Total 2 2 14" xfId="52615" xr:uid="{00000000-0005-0000-0000-00009ACD0000}"/>
    <cellStyle name="Total 2 2 15" xfId="52616" xr:uid="{00000000-0005-0000-0000-00009BCD0000}"/>
    <cellStyle name="Total 2 2 16" xfId="52617" xr:uid="{00000000-0005-0000-0000-00009CCD0000}"/>
    <cellStyle name="Total 2 2 17" xfId="52618" xr:uid="{00000000-0005-0000-0000-00009DCD0000}"/>
    <cellStyle name="Total 2 2 18" xfId="52619" xr:uid="{00000000-0005-0000-0000-00009ECD0000}"/>
    <cellStyle name="Total 2 2 2" xfId="52620" xr:uid="{00000000-0005-0000-0000-00009FCD0000}"/>
    <cellStyle name="Total 2 2 2 2" xfId="52621" xr:uid="{00000000-0005-0000-0000-0000A0CD0000}"/>
    <cellStyle name="Total 2 2 2 2 2" xfId="52622" xr:uid="{00000000-0005-0000-0000-0000A1CD0000}"/>
    <cellStyle name="Total 2 2 2 2 2 2" xfId="52623" xr:uid="{00000000-0005-0000-0000-0000A2CD0000}"/>
    <cellStyle name="Total 2 2 2 2 3" xfId="52624" xr:uid="{00000000-0005-0000-0000-0000A3CD0000}"/>
    <cellStyle name="Total 2 2 2 2 3 2" xfId="52625" xr:uid="{00000000-0005-0000-0000-0000A4CD0000}"/>
    <cellStyle name="Total 2 2 2 2 4" xfId="52626" xr:uid="{00000000-0005-0000-0000-0000A5CD0000}"/>
    <cellStyle name="Total 2 2 2 3" xfId="52627" xr:uid="{00000000-0005-0000-0000-0000A6CD0000}"/>
    <cellStyle name="Total 2 2 2 3 2" xfId="52628" xr:uid="{00000000-0005-0000-0000-0000A7CD0000}"/>
    <cellStyle name="Total 2 2 2 3 2 2" xfId="52629" xr:uid="{00000000-0005-0000-0000-0000A8CD0000}"/>
    <cellStyle name="Total 2 2 2 3 3" xfId="52630" xr:uid="{00000000-0005-0000-0000-0000A9CD0000}"/>
    <cellStyle name="Total 2 2 2 3 3 2" xfId="52631" xr:uid="{00000000-0005-0000-0000-0000AACD0000}"/>
    <cellStyle name="Total 2 2 2 3 4" xfId="52632" xr:uid="{00000000-0005-0000-0000-0000ABCD0000}"/>
    <cellStyle name="Total 2 2 2 4" xfId="52633" xr:uid="{00000000-0005-0000-0000-0000ACCD0000}"/>
    <cellStyle name="Total 2 2 2 4 2" xfId="52634" xr:uid="{00000000-0005-0000-0000-0000ADCD0000}"/>
    <cellStyle name="Total 2 2 2 5" xfId="52635" xr:uid="{00000000-0005-0000-0000-0000AECD0000}"/>
    <cellStyle name="Total 2 2 2 5 2" xfId="52636" xr:uid="{00000000-0005-0000-0000-0000AFCD0000}"/>
    <cellStyle name="Total 2 2 2 6" xfId="52637" xr:uid="{00000000-0005-0000-0000-0000B0CD0000}"/>
    <cellStyle name="Total 2 2 3" xfId="52638" xr:uid="{00000000-0005-0000-0000-0000B1CD0000}"/>
    <cellStyle name="Total 2 2 3 2" xfId="52639" xr:uid="{00000000-0005-0000-0000-0000B2CD0000}"/>
    <cellStyle name="Total 2 2 3 2 2" xfId="52640" xr:uid="{00000000-0005-0000-0000-0000B3CD0000}"/>
    <cellStyle name="Total 2 2 3 2 2 2" xfId="52641" xr:uid="{00000000-0005-0000-0000-0000B4CD0000}"/>
    <cellStyle name="Total 2 2 3 2 3" xfId="52642" xr:uid="{00000000-0005-0000-0000-0000B5CD0000}"/>
    <cellStyle name="Total 2 2 3 2 3 2" xfId="52643" xr:uid="{00000000-0005-0000-0000-0000B6CD0000}"/>
    <cellStyle name="Total 2 2 3 2 4" xfId="52644" xr:uid="{00000000-0005-0000-0000-0000B7CD0000}"/>
    <cellStyle name="Total 2 2 3 3" xfId="52645" xr:uid="{00000000-0005-0000-0000-0000B8CD0000}"/>
    <cellStyle name="Total 2 2 3 3 2" xfId="52646" xr:uid="{00000000-0005-0000-0000-0000B9CD0000}"/>
    <cellStyle name="Total 2 2 3 3 2 2" xfId="52647" xr:uid="{00000000-0005-0000-0000-0000BACD0000}"/>
    <cellStyle name="Total 2 2 3 3 3" xfId="52648" xr:uid="{00000000-0005-0000-0000-0000BBCD0000}"/>
    <cellStyle name="Total 2 2 3 3 3 2" xfId="52649" xr:uid="{00000000-0005-0000-0000-0000BCCD0000}"/>
    <cellStyle name="Total 2 2 3 3 4" xfId="52650" xr:uid="{00000000-0005-0000-0000-0000BDCD0000}"/>
    <cellStyle name="Total 2 2 3 4" xfId="52651" xr:uid="{00000000-0005-0000-0000-0000BECD0000}"/>
    <cellStyle name="Total 2 2 3 4 2" xfId="52652" xr:uid="{00000000-0005-0000-0000-0000BFCD0000}"/>
    <cellStyle name="Total 2 2 3 5" xfId="52653" xr:uid="{00000000-0005-0000-0000-0000C0CD0000}"/>
    <cellStyle name="Total 2 2 3 5 2" xfId="52654" xr:uid="{00000000-0005-0000-0000-0000C1CD0000}"/>
    <cellStyle name="Total 2 2 3 6" xfId="52655" xr:uid="{00000000-0005-0000-0000-0000C2CD0000}"/>
    <cellStyle name="Total 2 2 4" xfId="52656" xr:uid="{00000000-0005-0000-0000-0000C3CD0000}"/>
    <cellStyle name="Total 2 2 4 2" xfId="52657" xr:uid="{00000000-0005-0000-0000-0000C4CD0000}"/>
    <cellStyle name="Total 2 2 4 2 2" xfId="52658" xr:uid="{00000000-0005-0000-0000-0000C5CD0000}"/>
    <cellStyle name="Total 2 2 4 2 2 2" xfId="52659" xr:uid="{00000000-0005-0000-0000-0000C6CD0000}"/>
    <cellStyle name="Total 2 2 4 2 3" xfId="52660" xr:uid="{00000000-0005-0000-0000-0000C7CD0000}"/>
    <cellStyle name="Total 2 2 4 2 3 2" xfId="52661" xr:uid="{00000000-0005-0000-0000-0000C8CD0000}"/>
    <cellStyle name="Total 2 2 4 2 4" xfId="52662" xr:uid="{00000000-0005-0000-0000-0000C9CD0000}"/>
    <cellStyle name="Total 2 2 4 3" xfId="52663" xr:uid="{00000000-0005-0000-0000-0000CACD0000}"/>
    <cellStyle name="Total 2 2 4 3 2" xfId="52664" xr:uid="{00000000-0005-0000-0000-0000CBCD0000}"/>
    <cellStyle name="Total 2 2 4 3 2 2" xfId="52665" xr:uid="{00000000-0005-0000-0000-0000CCCD0000}"/>
    <cellStyle name="Total 2 2 4 3 3" xfId="52666" xr:uid="{00000000-0005-0000-0000-0000CDCD0000}"/>
    <cellStyle name="Total 2 2 4 3 3 2" xfId="52667" xr:uid="{00000000-0005-0000-0000-0000CECD0000}"/>
    <cellStyle name="Total 2 2 4 3 4" xfId="52668" xr:uid="{00000000-0005-0000-0000-0000CFCD0000}"/>
    <cellStyle name="Total 2 2 4 4" xfId="52669" xr:uid="{00000000-0005-0000-0000-0000D0CD0000}"/>
    <cellStyle name="Total 2 2 4 4 2" xfId="52670" xr:uid="{00000000-0005-0000-0000-0000D1CD0000}"/>
    <cellStyle name="Total 2 2 4 5" xfId="52671" xr:uid="{00000000-0005-0000-0000-0000D2CD0000}"/>
    <cellStyle name="Total 2 2 4 5 2" xfId="52672" xr:uid="{00000000-0005-0000-0000-0000D3CD0000}"/>
    <cellStyle name="Total 2 2 4 6" xfId="52673" xr:uid="{00000000-0005-0000-0000-0000D4CD0000}"/>
    <cellStyle name="Total 2 2 5" xfId="52674" xr:uid="{00000000-0005-0000-0000-0000D5CD0000}"/>
    <cellStyle name="Total 2 2 5 2" xfId="52675" xr:uid="{00000000-0005-0000-0000-0000D6CD0000}"/>
    <cellStyle name="Total 2 2 5 2 2" xfId="52676" xr:uid="{00000000-0005-0000-0000-0000D7CD0000}"/>
    <cellStyle name="Total 2 2 5 2 2 2" xfId="52677" xr:uid="{00000000-0005-0000-0000-0000D8CD0000}"/>
    <cellStyle name="Total 2 2 5 2 3" xfId="52678" xr:uid="{00000000-0005-0000-0000-0000D9CD0000}"/>
    <cellStyle name="Total 2 2 5 2 3 2" xfId="52679" xr:uid="{00000000-0005-0000-0000-0000DACD0000}"/>
    <cellStyle name="Total 2 2 5 2 4" xfId="52680" xr:uid="{00000000-0005-0000-0000-0000DBCD0000}"/>
    <cellStyle name="Total 2 2 5 3" xfId="52681" xr:uid="{00000000-0005-0000-0000-0000DCCD0000}"/>
    <cellStyle name="Total 2 2 5 3 2" xfId="52682" xr:uid="{00000000-0005-0000-0000-0000DDCD0000}"/>
    <cellStyle name="Total 2 2 5 3 2 2" xfId="52683" xr:uid="{00000000-0005-0000-0000-0000DECD0000}"/>
    <cellStyle name="Total 2 2 5 3 3" xfId="52684" xr:uid="{00000000-0005-0000-0000-0000DFCD0000}"/>
    <cellStyle name="Total 2 2 5 3 3 2" xfId="52685" xr:uid="{00000000-0005-0000-0000-0000E0CD0000}"/>
    <cellStyle name="Total 2 2 5 3 4" xfId="52686" xr:uid="{00000000-0005-0000-0000-0000E1CD0000}"/>
    <cellStyle name="Total 2 2 5 4" xfId="52687" xr:uid="{00000000-0005-0000-0000-0000E2CD0000}"/>
    <cellStyle name="Total 2 2 5 4 2" xfId="52688" xr:uid="{00000000-0005-0000-0000-0000E3CD0000}"/>
    <cellStyle name="Total 2 2 5 5" xfId="52689" xr:uid="{00000000-0005-0000-0000-0000E4CD0000}"/>
    <cellStyle name="Total 2 2 5 5 2" xfId="52690" xr:uid="{00000000-0005-0000-0000-0000E5CD0000}"/>
    <cellStyle name="Total 2 2 5 6" xfId="52691" xr:uid="{00000000-0005-0000-0000-0000E6CD0000}"/>
    <cellStyle name="Total 2 2 6" xfId="52692" xr:uid="{00000000-0005-0000-0000-0000E7CD0000}"/>
    <cellStyle name="Total 2 2 6 2" xfId="52693" xr:uid="{00000000-0005-0000-0000-0000E8CD0000}"/>
    <cellStyle name="Total 2 2 6 2 2" xfId="52694" xr:uid="{00000000-0005-0000-0000-0000E9CD0000}"/>
    <cellStyle name="Total 2 2 6 2 2 2" xfId="52695" xr:uid="{00000000-0005-0000-0000-0000EACD0000}"/>
    <cellStyle name="Total 2 2 6 2 3" xfId="52696" xr:uid="{00000000-0005-0000-0000-0000EBCD0000}"/>
    <cellStyle name="Total 2 2 6 2 3 2" xfId="52697" xr:uid="{00000000-0005-0000-0000-0000ECCD0000}"/>
    <cellStyle name="Total 2 2 6 2 4" xfId="52698" xr:uid="{00000000-0005-0000-0000-0000EDCD0000}"/>
    <cellStyle name="Total 2 2 6 3" xfId="52699" xr:uid="{00000000-0005-0000-0000-0000EECD0000}"/>
    <cellStyle name="Total 2 2 6 3 2" xfId="52700" xr:uid="{00000000-0005-0000-0000-0000EFCD0000}"/>
    <cellStyle name="Total 2 2 6 3 2 2" xfId="52701" xr:uid="{00000000-0005-0000-0000-0000F0CD0000}"/>
    <cellStyle name="Total 2 2 6 3 3" xfId="52702" xr:uid="{00000000-0005-0000-0000-0000F1CD0000}"/>
    <cellStyle name="Total 2 2 6 3 3 2" xfId="52703" xr:uid="{00000000-0005-0000-0000-0000F2CD0000}"/>
    <cellStyle name="Total 2 2 6 3 4" xfId="52704" xr:uid="{00000000-0005-0000-0000-0000F3CD0000}"/>
    <cellStyle name="Total 2 2 6 4" xfId="52705" xr:uid="{00000000-0005-0000-0000-0000F4CD0000}"/>
    <cellStyle name="Total 2 2 6 4 2" xfId="52706" xr:uid="{00000000-0005-0000-0000-0000F5CD0000}"/>
    <cellStyle name="Total 2 2 6 5" xfId="52707" xr:uid="{00000000-0005-0000-0000-0000F6CD0000}"/>
    <cellStyle name="Total 2 2 6 5 2" xfId="52708" xr:uid="{00000000-0005-0000-0000-0000F7CD0000}"/>
    <cellStyle name="Total 2 2 6 6" xfId="52709" xr:uid="{00000000-0005-0000-0000-0000F8CD0000}"/>
    <cellStyle name="Total 2 2 7" xfId="52710" xr:uid="{00000000-0005-0000-0000-0000F9CD0000}"/>
    <cellStyle name="Total 2 2 7 2" xfId="52711" xr:uid="{00000000-0005-0000-0000-0000FACD0000}"/>
    <cellStyle name="Total 2 2 7 2 2" xfId="52712" xr:uid="{00000000-0005-0000-0000-0000FBCD0000}"/>
    <cellStyle name="Total 2 2 7 3" xfId="52713" xr:uid="{00000000-0005-0000-0000-0000FCCD0000}"/>
    <cellStyle name="Total 2 2 7 3 2" xfId="52714" xr:uid="{00000000-0005-0000-0000-0000FDCD0000}"/>
    <cellStyle name="Total 2 2 7 4" xfId="52715" xr:uid="{00000000-0005-0000-0000-0000FECD0000}"/>
    <cellStyle name="Total 2 2 8" xfId="52716" xr:uid="{00000000-0005-0000-0000-0000FFCD0000}"/>
    <cellStyle name="Total 2 2 8 2" xfId="52717" xr:uid="{00000000-0005-0000-0000-000000CE0000}"/>
    <cellStyle name="Total 2 2 8 2 2" xfId="52718" xr:uid="{00000000-0005-0000-0000-000001CE0000}"/>
    <cellStyle name="Total 2 2 8 3" xfId="52719" xr:uid="{00000000-0005-0000-0000-000002CE0000}"/>
    <cellStyle name="Total 2 2 8 3 2" xfId="52720" xr:uid="{00000000-0005-0000-0000-000003CE0000}"/>
    <cellStyle name="Total 2 2 8 4" xfId="52721" xr:uid="{00000000-0005-0000-0000-000004CE0000}"/>
    <cellStyle name="Total 2 2 9" xfId="52722" xr:uid="{00000000-0005-0000-0000-000005CE0000}"/>
    <cellStyle name="Total 2 2 9 2" xfId="52723" xr:uid="{00000000-0005-0000-0000-000006CE0000}"/>
    <cellStyle name="Total 2 20" xfId="52724" xr:uid="{00000000-0005-0000-0000-000007CE0000}"/>
    <cellStyle name="Total 2 21" xfId="52725" xr:uid="{00000000-0005-0000-0000-000008CE0000}"/>
    <cellStyle name="Total 2 22" xfId="52726" xr:uid="{00000000-0005-0000-0000-000009CE0000}"/>
    <cellStyle name="Total 2 3" xfId="52727" xr:uid="{00000000-0005-0000-0000-00000ACE0000}"/>
    <cellStyle name="Total 2 3 10" xfId="52728" xr:uid="{00000000-0005-0000-0000-00000BCE0000}"/>
    <cellStyle name="Total 2 3 10 2" xfId="52729" xr:uid="{00000000-0005-0000-0000-00000CCE0000}"/>
    <cellStyle name="Total 2 3 11" xfId="52730" xr:uid="{00000000-0005-0000-0000-00000DCE0000}"/>
    <cellStyle name="Total 2 3 12" xfId="52731" xr:uid="{00000000-0005-0000-0000-00000ECE0000}"/>
    <cellStyle name="Total 2 3 13" xfId="52732" xr:uid="{00000000-0005-0000-0000-00000FCE0000}"/>
    <cellStyle name="Total 2 3 14" xfId="52733" xr:uid="{00000000-0005-0000-0000-000010CE0000}"/>
    <cellStyle name="Total 2 3 15" xfId="52734" xr:uid="{00000000-0005-0000-0000-000011CE0000}"/>
    <cellStyle name="Total 2 3 16" xfId="52735" xr:uid="{00000000-0005-0000-0000-000012CE0000}"/>
    <cellStyle name="Total 2 3 17" xfId="52736" xr:uid="{00000000-0005-0000-0000-000013CE0000}"/>
    <cellStyle name="Total 2 3 18" xfId="52737" xr:uid="{00000000-0005-0000-0000-000014CE0000}"/>
    <cellStyle name="Total 2 3 2" xfId="52738" xr:uid="{00000000-0005-0000-0000-000015CE0000}"/>
    <cellStyle name="Total 2 3 2 2" xfId="52739" xr:uid="{00000000-0005-0000-0000-000016CE0000}"/>
    <cellStyle name="Total 2 3 2 2 2" xfId="52740" xr:uid="{00000000-0005-0000-0000-000017CE0000}"/>
    <cellStyle name="Total 2 3 2 2 2 2" xfId="52741" xr:uid="{00000000-0005-0000-0000-000018CE0000}"/>
    <cellStyle name="Total 2 3 2 2 3" xfId="52742" xr:uid="{00000000-0005-0000-0000-000019CE0000}"/>
    <cellStyle name="Total 2 3 2 2 3 2" xfId="52743" xr:uid="{00000000-0005-0000-0000-00001ACE0000}"/>
    <cellStyle name="Total 2 3 2 2 4" xfId="52744" xr:uid="{00000000-0005-0000-0000-00001BCE0000}"/>
    <cellStyle name="Total 2 3 2 3" xfId="52745" xr:uid="{00000000-0005-0000-0000-00001CCE0000}"/>
    <cellStyle name="Total 2 3 2 3 2" xfId="52746" xr:uid="{00000000-0005-0000-0000-00001DCE0000}"/>
    <cellStyle name="Total 2 3 2 3 2 2" xfId="52747" xr:uid="{00000000-0005-0000-0000-00001ECE0000}"/>
    <cellStyle name="Total 2 3 2 3 3" xfId="52748" xr:uid="{00000000-0005-0000-0000-00001FCE0000}"/>
    <cellStyle name="Total 2 3 2 3 3 2" xfId="52749" xr:uid="{00000000-0005-0000-0000-000020CE0000}"/>
    <cellStyle name="Total 2 3 2 3 4" xfId="52750" xr:uid="{00000000-0005-0000-0000-000021CE0000}"/>
    <cellStyle name="Total 2 3 2 4" xfId="52751" xr:uid="{00000000-0005-0000-0000-000022CE0000}"/>
    <cellStyle name="Total 2 3 2 4 2" xfId="52752" xr:uid="{00000000-0005-0000-0000-000023CE0000}"/>
    <cellStyle name="Total 2 3 2 5" xfId="52753" xr:uid="{00000000-0005-0000-0000-000024CE0000}"/>
    <cellStyle name="Total 2 3 2 5 2" xfId="52754" xr:uid="{00000000-0005-0000-0000-000025CE0000}"/>
    <cellStyle name="Total 2 3 2 6" xfId="52755" xr:uid="{00000000-0005-0000-0000-000026CE0000}"/>
    <cellStyle name="Total 2 3 3" xfId="52756" xr:uid="{00000000-0005-0000-0000-000027CE0000}"/>
    <cellStyle name="Total 2 3 3 2" xfId="52757" xr:uid="{00000000-0005-0000-0000-000028CE0000}"/>
    <cellStyle name="Total 2 3 3 2 2" xfId="52758" xr:uid="{00000000-0005-0000-0000-000029CE0000}"/>
    <cellStyle name="Total 2 3 3 2 2 2" xfId="52759" xr:uid="{00000000-0005-0000-0000-00002ACE0000}"/>
    <cellStyle name="Total 2 3 3 2 3" xfId="52760" xr:uid="{00000000-0005-0000-0000-00002BCE0000}"/>
    <cellStyle name="Total 2 3 3 2 3 2" xfId="52761" xr:uid="{00000000-0005-0000-0000-00002CCE0000}"/>
    <cellStyle name="Total 2 3 3 2 4" xfId="52762" xr:uid="{00000000-0005-0000-0000-00002DCE0000}"/>
    <cellStyle name="Total 2 3 3 3" xfId="52763" xr:uid="{00000000-0005-0000-0000-00002ECE0000}"/>
    <cellStyle name="Total 2 3 3 3 2" xfId="52764" xr:uid="{00000000-0005-0000-0000-00002FCE0000}"/>
    <cellStyle name="Total 2 3 3 3 2 2" xfId="52765" xr:uid="{00000000-0005-0000-0000-000030CE0000}"/>
    <cellStyle name="Total 2 3 3 3 3" xfId="52766" xr:uid="{00000000-0005-0000-0000-000031CE0000}"/>
    <cellStyle name="Total 2 3 3 3 3 2" xfId="52767" xr:uid="{00000000-0005-0000-0000-000032CE0000}"/>
    <cellStyle name="Total 2 3 3 3 4" xfId="52768" xr:uid="{00000000-0005-0000-0000-000033CE0000}"/>
    <cellStyle name="Total 2 3 3 4" xfId="52769" xr:uid="{00000000-0005-0000-0000-000034CE0000}"/>
    <cellStyle name="Total 2 3 3 4 2" xfId="52770" xr:uid="{00000000-0005-0000-0000-000035CE0000}"/>
    <cellStyle name="Total 2 3 3 5" xfId="52771" xr:uid="{00000000-0005-0000-0000-000036CE0000}"/>
    <cellStyle name="Total 2 3 3 5 2" xfId="52772" xr:uid="{00000000-0005-0000-0000-000037CE0000}"/>
    <cellStyle name="Total 2 3 3 6" xfId="52773" xr:uid="{00000000-0005-0000-0000-000038CE0000}"/>
    <cellStyle name="Total 2 3 4" xfId="52774" xr:uid="{00000000-0005-0000-0000-000039CE0000}"/>
    <cellStyle name="Total 2 3 4 2" xfId="52775" xr:uid="{00000000-0005-0000-0000-00003ACE0000}"/>
    <cellStyle name="Total 2 3 4 2 2" xfId="52776" xr:uid="{00000000-0005-0000-0000-00003BCE0000}"/>
    <cellStyle name="Total 2 3 4 2 2 2" xfId="52777" xr:uid="{00000000-0005-0000-0000-00003CCE0000}"/>
    <cellStyle name="Total 2 3 4 2 3" xfId="52778" xr:uid="{00000000-0005-0000-0000-00003DCE0000}"/>
    <cellStyle name="Total 2 3 4 2 3 2" xfId="52779" xr:uid="{00000000-0005-0000-0000-00003ECE0000}"/>
    <cellStyle name="Total 2 3 4 2 4" xfId="52780" xr:uid="{00000000-0005-0000-0000-00003FCE0000}"/>
    <cellStyle name="Total 2 3 4 3" xfId="52781" xr:uid="{00000000-0005-0000-0000-000040CE0000}"/>
    <cellStyle name="Total 2 3 4 3 2" xfId="52782" xr:uid="{00000000-0005-0000-0000-000041CE0000}"/>
    <cellStyle name="Total 2 3 4 3 2 2" xfId="52783" xr:uid="{00000000-0005-0000-0000-000042CE0000}"/>
    <cellStyle name="Total 2 3 4 3 3" xfId="52784" xr:uid="{00000000-0005-0000-0000-000043CE0000}"/>
    <cellStyle name="Total 2 3 4 3 3 2" xfId="52785" xr:uid="{00000000-0005-0000-0000-000044CE0000}"/>
    <cellStyle name="Total 2 3 4 3 4" xfId="52786" xr:uid="{00000000-0005-0000-0000-000045CE0000}"/>
    <cellStyle name="Total 2 3 4 4" xfId="52787" xr:uid="{00000000-0005-0000-0000-000046CE0000}"/>
    <cellStyle name="Total 2 3 4 4 2" xfId="52788" xr:uid="{00000000-0005-0000-0000-000047CE0000}"/>
    <cellStyle name="Total 2 3 4 5" xfId="52789" xr:uid="{00000000-0005-0000-0000-000048CE0000}"/>
    <cellStyle name="Total 2 3 4 5 2" xfId="52790" xr:uid="{00000000-0005-0000-0000-000049CE0000}"/>
    <cellStyle name="Total 2 3 4 6" xfId="52791" xr:uid="{00000000-0005-0000-0000-00004ACE0000}"/>
    <cellStyle name="Total 2 3 5" xfId="52792" xr:uid="{00000000-0005-0000-0000-00004BCE0000}"/>
    <cellStyle name="Total 2 3 5 2" xfId="52793" xr:uid="{00000000-0005-0000-0000-00004CCE0000}"/>
    <cellStyle name="Total 2 3 5 2 2" xfId="52794" xr:uid="{00000000-0005-0000-0000-00004DCE0000}"/>
    <cellStyle name="Total 2 3 5 2 2 2" xfId="52795" xr:uid="{00000000-0005-0000-0000-00004ECE0000}"/>
    <cellStyle name="Total 2 3 5 2 3" xfId="52796" xr:uid="{00000000-0005-0000-0000-00004FCE0000}"/>
    <cellStyle name="Total 2 3 5 2 3 2" xfId="52797" xr:uid="{00000000-0005-0000-0000-000050CE0000}"/>
    <cellStyle name="Total 2 3 5 2 4" xfId="52798" xr:uid="{00000000-0005-0000-0000-000051CE0000}"/>
    <cellStyle name="Total 2 3 5 3" xfId="52799" xr:uid="{00000000-0005-0000-0000-000052CE0000}"/>
    <cellStyle name="Total 2 3 5 3 2" xfId="52800" xr:uid="{00000000-0005-0000-0000-000053CE0000}"/>
    <cellStyle name="Total 2 3 5 3 2 2" xfId="52801" xr:uid="{00000000-0005-0000-0000-000054CE0000}"/>
    <cellStyle name="Total 2 3 5 3 3" xfId="52802" xr:uid="{00000000-0005-0000-0000-000055CE0000}"/>
    <cellStyle name="Total 2 3 5 3 3 2" xfId="52803" xr:uid="{00000000-0005-0000-0000-000056CE0000}"/>
    <cellStyle name="Total 2 3 5 3 4" xfId="52804" xr:uid="{00000000-0005-0000-0000-000057CE0000}"/>
    <cellStyle name="Total 2 3 5 4" xfId="52805" xr:uid="{00000000-0005-0000-0000-000058CE0000}"/>
    <cellStyle name="Total 2 3 5 4 2" xfId="52806" xr:uid="{00000000-0005-0000-0000-000059CE0000}"/>
    <cellStyle name="Total 2 3 5 5" xfId="52807" xr:uid="{00000000-0005-0000-0000-00005ACE0000}"/>
    <cellStyle name="Total 2 3 5 5 2" xfId="52808" xr:uid="{00000000-0005-0000-0000-00005BCE0000}"/>
    <cellStyle name="Total 2 3 5 6" xfId="52809" xr:uid="{00000000-0005-0000-0000-00005CCE0000}"/>
    <cellStyle name="Total 2 3 6" xfId="52810" xr:uid="{00000000-0005-0000-0000-00005DCE0000}"/>
    <cellStyle name="Total 2 3 6 2" xfId="52811" xr:uid="{00000000-0005-0000-0000-00005ECE0000}"/>
    <cellStyle name="Total 2 3 6 2 2" xfId="52812" xr:uid="{00000000-0005-0000-0000-00005FCE0000}"/>
    <cellStyle name="Total 2 3 6 2 2 2" xfId="52813" xr:uid="{00000000-0005-0000-0000-000060CE0000}"/>
    <cellStyle name="Total 2 3 6 2 3" xfId="52814" xr:uid="{00000000-0005-0000-0000-000061CE0000}"/>
    <cellStyle name="Total 2 3 6 2 3 2" xfId="52815" xr:uid="{00000000-0005-0000-0000-000062CE0000}"/>
    <cellStyle name="Total 2 3 6 2 4" xfId="52816" xr:uid="{00000000-0005-0000-0000-000063CE0000}"/>
    <cellStyle name="Total 2 3 6 3" xfId="52817" xr:uid="{00000000-0005-0000-0000-000064CE0000}"/>
    <cellStyle name="Total 2 3 6 3 2" xfId="52818" xr:uid="{00000000-0005-0000-0000-000065CE0000}"/>
    <cellStyle name="Total 2 3 6 3 2 2" xfId="52819" xr:uid="{00000000-0005-0000-0000-000066CE0000}"/>
    <cellStyle name="Total 2 3 6 3 3" xfId="52820" xr:uid="{00000000-0005-0000-0000-000067CE0000}"/>
    <cellStyle name="Total 2 3 6 3 3 2" xfId="52821" xr:uid="{00000000-0005-0000-0000-000068CE0000}"/>
    <cellStyle name="Total 2 3 6 3 4" xfId="52822" xr:uid="{00000000-0005-0000-0000-000069CE0000}"/>
    <cellStyle name="Total 2 3 6 4" xfId="52823" xr:uid="{00000000-0005-0000-0000-00006ACE0000}"/>
    <cellStyle name="Total 2 3 6 4 2" xfId="52824" xr:uid="{00000000-0005-0000-0000-00006BCE0000}"/>
    <cellStyle name="Total 2 3 6 5" xfId="52825" xr:uid="{00000000-0005-0000-0000-00006CCE0000}"/>
    <cellStyle name="Total 2 3 6 5 2" xfId="52826" xr:uid="{00000000-0005-0000-0000-00006DCE0000}"/>
    <cellStyle name="Total 2 3 6 6" xfId="52827" xr:uid="{00000000-0005-0000-0000-00006ECE0000}"/>
    <cellStyle name="Total 2 3 7" xfId="52828" xr:uid="{00000000-0005-0000-0000-00006FCE0000}"/>
    <cellStyle name="Total 2 3 7 2" xfId="52829" xr:uid="{00000000-0005-0000-0000-000070CE0000}"/>
    <cellStyle name="Total 2 3 7 2 2" xfId="52830" xr:uid="{00000000-0005-0000-0000-000071CE0000}"/>
    <cellStyle name="Total 2 3 7 3" xfId="52831" xr:uid="{00000000-0005-0000-0000-000072CE0000}"/>
    <cellStyle name="Total 2 3 7 3 2" xfId="52832" xr:uid="{00000000-0005-0000-0000-000073CE0000}"/>
    <cellStyle name="Total 2 3 7 4" xfId="52833" xr:uid="{00000000-0005-0000-0000-000074CE0000}"/>
    <cellStyle name="Total 2 3 8" xfId="52834" xr:uid="{00000000-0005-0000-0000-000075CE0000}"/>
    <cellStyle name="Total 2 3 8 2" xfId="52835" xr:uid="{00000000-0005-0000-0000-000076CE0000}"/>
    <cellStyle name="Total 2 3 8 2 2" xfId="52836" xr:uid="{00000000-0005-0000-0000-000077CE0000}"/>
    <cellStyle name="Total 2 3 8 3" xfId="52837" xr:uid="{00000000-0005-0000-0000-000078CE0000}"/>
    <cellStyle name="Total 2 3 8 3 2" xfId="52838" xr:uid="{00000000-0005-0000-0000-000079CE0000}"/>
    <cellStyle name="Total 2 3 8 4" xfId="52839" xr:uid="{00000000-0005-0000-0000-00007ACE0000}"/>
    <cellStyle name="Total 2 3 9" xfId="52840" xr:uid="{00000000-0005-0000-0000-00007BCE0000}"/>
    <cellStyle name="Total 2 3 9 2" xfId="52841" xr:uid="{00000000-0005-0000-0000-00007CCE0000}"/>
    <cellStyle name="Total 2 4" xfId="52842" xr:uid="{00000000-0005-0000-0000-00007DCE0000}"/>
    <cellStyle name="Total 2 4 10" xfId="52843" xr:uid="{00000000-0005-0000-0000-00007ECE0000}"/>
    <cellStyle name="Total 2 4 10 2" xfId="52844" xr:uid="{00000000-0005-0000-0000-00007FCE0000}"/>
    <cellStyle name="Total 2 4 11" xfId="52845" xr:uid="{00000000-0005-0000-0000-000080CE0000}"/>
    <cellStyle name="Total 2 4 12" xfId="52846" xr:uid="{00000000-0005-0000-0000-000081CE0000}"/>
    <cellStyle name="Total 2 4 13" xfId="52847" xr:uid="{00000000-0005-0000-0000-000082CE0000}"/>
    <cellStyle name="Total 2 4 14" xfId="52848" xr:uid="{00000000-0005-0000-0000-000083CE0000}"/>
    <cellStyle name="Total 2 4 15" xfId="52849" xr:uid="{00000000-0005-0000-0000-000084CE0000}"/>
    <cellStyle name="Total 2 4 16" xfId="52850" xr:uid="{00000000-0005-0000-0000-000085CE0000}"/>
    <cellStyle name="Total 2 4 17" xfId="52851" xr:uid="{00000000-0005-0000-0000-000086CE0000}"/>
    <cellStyle name="Total 2 4 18" xfId="52852" xr:uid="{00000000-0005-0000-0000-000087CE0000}"/>
    <cellStyle name="Total 2 4 2" xfId="52853" xr:uid="{00000000-0005-0000-0000-000088CE0000}"/>
    <cellStyle name="Total 2 4 2 2" xfId="52854" xr:uid="{00000000-0005-0000-0000-000089CE0000}"/>
    <cellStyle name="Total 2 4 2 2 2" xfId="52855" xr:uid="{00000000-0005-0000-0000-00008ACE0000}"/>
    <cellStyle name="Total 2 4 2 2 2 2" xfId="52856" xr:uid="{00000000-0005-0000-0000-00008BCE0000}"/>
    <cellStyle name="Total 2 4 2 2 3" xfId="52857" xr:uid="{00000000-0005-0000-0000-00008CCE0000}"/>
    <cellStyle name="Total 2 4 2 2 3 2" xfId="52858" xr:uid="{00000000-0005-0000-0000-00008DCE0000}"/>
    <cellStyle name="Total 2 4 2 2 4" xfId="52859" xr:uid="{00000000-0005-0000-0000-00008ECE0000}"/>
    <cellStyle name="Total 2 4 2 3" xfId="52860" xr:uid="{00000000-0005-0000-0000-00008FCE0000}"/>
    <cellStyle name="Total 2 4 2 3 2" xfId="52861" xr:uid="{00000000-0005-0000-0000-000090CE0000}"/>
    <cellStyle name="Total 2 4 2 3 2 2" xfId="52862" xr:uid="{00000000-0005-0000-0000-000091CE0000}"/>
    <cellStyle name="Total 2 4 2 3 3" xfId="52863" xr:uid="{00000000-0005-0000-0000-000092CE0000}"/>
    <cellStyle name="Total 2 4 2 3 3 2" xfId="52864" xr:uid="{00000000-0005-0000-0000-000093CE0000}"/>
    <cellStyle name="Total 2 4 2 3 4" xfId="52865" xr:uid="{00000000-0005-0000-0000-000094CE0000}"/>
    <cellStyle name="Total 2 4 2 4" xfId="52866" xr:uid="{00000000-0005-0000-0000-000095CE0000}"/>
    <cellStyle name="Total 2 4 2 4 2" xfId="52867" xr:uid="{00000000-0005-0000-0000-000096CE0000}"/>
    <cellStyle name="Total 2 4 2 5" xfId="52868" xr:uid="{00000000-0005-0000-0000-000097CE0000}"/>
    <cellStyle name="Total 2 4 2 5 2" xfId="52869" xr:uid="{00000000-0005-0000-0000-000098CE0000}"/>
    <cellStyle name="Total 2 4 2 6" xfId="52870" xr:uid="{00000000-0005-0000-0000-000099CE0000}"/>
    <cellStyle name="Total 2 4 3" xfId="52871" xr:uid="{00000000-0005-0000-0000-00009ACE0000}"/>
    <cellStyle name="Total 2 4 3 2" xfId="52872" xr:uid="{00000000-0005-0000-0000-00009BCE0000}"/>
    <cellStyle name="Total 2 4 3 2 2" xfId="52873" xr:uid="{00000000-0005-0000-0000-00009CCE0000}"/>
    <cellStyle name="Total 2 4 3 2 2 2" xfId="52874" xr:uid="{00000000-0005-0000-0000-00009DCE0000}"/>
    <cellStyle name="Total 2 4 3 2 3" xfId="52875" xr:uid="{00000000-0005-0000-0000-00009ECE0000}"/>
    <cellStyle name="Total 2 4 3 2 3 2" xfId="52876" xr:uid="{00000000-0005-0000-0000-00009FCE0000}"/>
    <cellStyle name="Total 2 4 3 2 4" xfId="52877" xr:uid="{00000000-0005-0000-0000-0000A0CE0000}"/>
    <cellStyle name="Total 2 4 3 3" xfId="52878" xr:uid="{00000000-0005-0000-0000-0000A1CE0000}"/>
    <cellStyle name="Total 2 4 3 3 2" xfId="52879" xr:uid="{00000000-0005-0000-0000-0000A2CE0000}"/>
    <cellStyle name="Total 2 4 3 3 2 2" xfId="52880" xr:uid="{00000000-0005-0000-0000-0000A3CE0000}"/>
    <cellStyle name="Total 2 4 3 3 3" xfId="52881" xr:uid="{00000000-0005-0000-0000-0000A4CE0000}"/>
    <cellStyle name="Total 2 4 3 3 3 2" xfId="52882" xr:uid="{00000000-0005-0000-0000-0000A5CE0000}"/>
    <cellStyle name="Total 2 4 3 3 4" xfId="52883" xr:uid="{00000000-0005-0000-0000-0000A6CE0000}"/>
    <cellStyle name="Total 2 4 3 4" xfId="52884" xr:uid="{00000000-0005-0000-0000-0000A7CE0000}"/>
    <cellStyle name="Total 2 4 3 4 2" xfId="52885" xr:uid="{00000000-0005-0000-0000-0000A8CE0000}"/>
    <cellStyle name="Total 2 4 3 5" xfId="52886" xr:uid="{00000000-0005-0000-0000-0000A9CE0000}"/>
    <cellStyle name="Total 2 4 3 5 2" xfId="52887" xr:uid="{00000000-0005-0000-0000-0000AACE0000}"/>
    <cellStyle name="Total 2 4 3 6" xfId="52888" xr:uid="{00000000-0005-0000-0000-0000ABCE0000}"/>
    <cellStyle name="Total 2 4 4" xfId="52889" xr:uid="{00000000-0005-0000-0000-0000ACCE0000}"/>
    <cellStyle name="Total 2 4 4 2" xfId="52890" xr:uid="{00000000-0005-0000-0000-0000ADCE0000}"/>
    <cellStyle name="Total 2 4 4 2 2" xfId="52891" xr:uid="{00000000-0005-0000-0000-0000AECE0000}"/>
    <cellStyle name="Total 2 4 4 2 2 2" xfId="52892" xr:uid="{00000000-0005-0000-0000-0000AFCE0000}"/>
    <cellStyle name="Total 2 4 4 2 3" xfId="52893" xr:uid="{00000000-0005-0000-0000-0000B0CE0000}"/>
    <cellStyle name="Total 2 4 4 2 3 2" xfId="52894" xr:uid="{00000000-0005-0000-0000-0000B1CE0000}"/>
    <cellStyle name="Total 2 4 4 2 4" xfId="52895" xr:uid="{00000000-0005-0000-0000-0000B2CE0000}"/>
    <cellStyle name="Total 2 4 4 3" xfId="52896" xr:uid="{00000000-0005-0000-0000-0000B3CE0000}"/>
    <cellStyle name="Total 2 4 4 3 2" xfId="52897" xr:uid="{00000000-0005-0000-0000-0000B4CE0000}"/>
    <cellStyle name="Total 2 4 4 3 2 2" xfId="52898" xr:uid="{00000000-0005-0000-0000-0000B5CE0000}"/>
    <cellStyle name="Total 2 4 4 3 3" xfId="52899" xr:uid="{00000000-0005-0000-0000-0000B6CE0000}"/>
    <cellStyle name="Total 2 4 4 3 3 2" xfId="52900" xr:uid="{00000000-0005-0000-0000-0000B7CE0000}"/>
    <cellStyle name="Total 2 4 4 3 4" xfId="52901" xr:uid="{00000000-0005-0000-0000-0000B8CE0000}"/>
    <cellStyle name="Total 2 4 4 4" xfId="52902" xr:uid="{00000000-0005-0000-0000-0000B9CE0000}"/>
    <cellStyle name="Total 2 4 4 4 2" xfId="52903" xr:uid="{00000000-0005-0000-0000-0000BACE0000}"/>
    <cellStyle name="Total 2 4 4 5" xfId="52904" xr:uid="{00000000-0005-0000-0000-0000BBCE0000}"/>
    <cellStyle name="Total 2 4 4 5 2" xfId="52905" xr:uid="{00000000-0005-0000-0000-0000BCCE0000}"/>
    <cellStyle name="Total 2 4 4 6" xfId="52906" xr:uid="{00000000-0005-0000-0000-0000BDCE0000}"/>
    <cellStyle name="Total 2 4 5" xfId="52907" xr:uid="{00000000-0005-0000-0000-0000BECE0000}"/>
    <cellStyle name="Total 2 4 5 2" xfId="52908" xr:uid="{00000000-0005-0000-0000-0000BFCE0000}"/>
    <cellStyle name="Total 2 4 5 2 2" xfId="52909" xr:uid="{00000000-0005-0000-0000-0000C0CE0000}"/>
    <cellStyle name="Total 2 4 5 2 2 2" xfId="52910" xr:uid="{00000000-0005-0000-0000-0000C1CE0000}"/>
    <cellStyle name="Total 2 4 5 2 3" xfId="52911" xr:uid="{00000000-0005-0000-0000-0000C2CE0000}"/>
    <cellStyle name="Total 2 4 5 2 3 2" xfId="52912" xr:uid="{00000000-0005-0000-0000-0000C3CE0000}"/>
    <cellStyle name="Total 2 4 5 2 4" xfId="52913" xr:uid="{00000000-0005-0000-0000-0000C4CE0000}"/>
    <cellStyle name="Total 2 4 5 3" xfId="52914" xr:uid="{00000000-0005-0000-0000-0000C5CE0000}"/>
    <cellStyle name="Total 2 4 5 3 2" xfId="52915" xr:uid="{00000000-0005-0000-0000-0000C6CE0000}"/>
    <cellStyle name="Total 2 4 5 3 2 2" xfId="52916" xr:uid="{00000000-0005-0000-0000-0000C7CE0000}"/>
    <cellStyle name="Total 2 4 5 3 3" xfId="52917" xr:uid="{00000000-0005-0000-0000-0000C8CE0000}"/>
    <cellStyle name="Total 2 4 5 3 3 2" xfId="52918" xr:uid="{00000000-0005-0000-0000-0000C9CE0000}"/>
    <cellStyle name="Total 2 4 5 3 4" xfId="52919" xr:uid="{00000000-0005-0000-0000-0000CACE0000}"/>
    <cellStyle name="Total 2 4 5 4" xfId="52920" xr:uid="{00000000-0005-0000-0000-0000CBCE0000}"/>
    <cellStyle name="Total 2 4 5 4 2" xfId="52921" xr:uid="{00000000-0005-0000-0000-0000CCCE0000}"/>
    <cellStyle name="Total 2 4 5 5" xfId="52922" xr:uid="{00000000-0005-0000-0000-0000CDCE0000}"/>
    <cellStyle name="Total 2 4 5 5 2" xfId="52923" xr:uid="{00000000-0005-0000-0000-0000CECE0000}"/>
    <cellStyle name="Total 2 4 5 6" xfId="52924" xr:uid="{00000000-0005-0000-0000-0000CFCE0000}"/>
    <cellStyle name="Total 2 4 6" xfId="52925" xr:uid="{00000000-0005-0000-0000-0000D0CE0000}"/>
    <cellStyle name="Total 2 4 6 2" xfId="52926" xr:uid="{00000000-0005-0000-0000-0000D1CE0000}"/>
    <cellStyle name="Total 2 4 6 2 2" xfId="52927" xr:uid="{00000000-0005-0000-0000-0000D2CE0000}"/>
    <cellStyle name="Total 2 4 6 2 2 2" xfId="52928" xr:uid="{00000000-0005-0000-0000-0000D3CE0000}"/>
    <cellStyle name="Total 2 4 6 2 3" xfId="52929" xr:uid="{00000000-0005-0000-0000-0000D4CE0000}"/>
    <cellStyle name="Total 2 4 6 2 3 2" xfId="52930" xr:uid="{00000000-0005-0000-0000-0000D5CE0000}"/>
    <cellStyle name="Total 2 4 6 2 4" xfId="52931" xr:uid="{00000000-0005-0000-0000-0000D6CE0000}"/>
    <cellStyle name="Total 2 4 6 3" xfId="52932" xr:uid="{00000000-0005-0000-0000-0000D7CE0000}"/>
    <cellStyle name="Total 2 4 6 3 2" xfId="52933" xr:uid="{00000000-0005-0000-0000-0000D8CE0000}"/>
    <cellStyle name="Total 2 4 6 3 2 2" xfId="52934" xr:uid="{00000000-0005-0000-0000-0000D9CE0000}"/>
    <cellStyle name="Total 2 4 6 3 3" xfId="52935" xr:uid="{00000000-0005-0000-0000-0000DACE0000}"/>
    <cellStyle name="Total 2 4 6 3 3 2" xfId="52936" xr:uid="{00000000-0005-0000-0000-0000DBCE0000}"/>
    <cellStyle name="Total 2 4 6 3 4" xfId="52937" xr:uid="{00000000-0005-0000-0000-0000DCCE0000}"/>
    <cellStyle name="Total 2 4 6 4" xfId="52938" xr:uid="{00000000-0005-0000-0000-0000DDCE0000}"/>
    <cellStyle name="Total 2 4 6 4 2" xfId="52939" xr:uid="{00000000-0005-0000-0000-0000DECE0000}"/>
    <cellStyle name="Total 2 4 6 5" xfId="52940" xr:uid="{00000000-0005-0000-0000-0000DFCE0000}"/>
    <cellStyle name="Total 2 4 6 5 2" xfId="52941" xr:uid="{00000000-0005-0000-0000-0000E0CE0000}"/>
    <cellStyle name="Total 2 4 6 6" xfId="52942" xr:uid="{00000000-0005-0000-0000-0000E1CE0000}"/>
    <cellStyle name="Total 2 4 7" xfId="52943" xr:uid="{00000000-0005-0000-0000-0000E2CE0000}"/>
    <cellStyle name="Total 2 4 7 2" xfId="52944" xr:uid="{00000000-0005-0000-0000-0000E3CE0000}"/>
    <cellStyle name="Total 2 4 7 2 2" xfId="52945" xr:uid="{00000000-0005-0000-0000-0000E4CE0000}"/>
    <cellStyle name="Total 2 4 7 3" xfId="52946" xr:uid="{00000000-0005-0000-0000-0000E5CE0000}"/>
    <cellStyle name="Total 2 4 7 3 2" xfId="52947" xr:uid="{00000000-0005-0000-0000-0000E6CE0000}"/>
    <cellStyle name="Total 2 4 7 4" xfId="52948" xr:uid="{00000000-0005-0000-0000-0000E7CE0000}"/>
    <cellStyle name="Total 2 4 8" xfId="52949" xr:uid="{00000000-0005-0000-0000-0000E8CE0000}"/>
    <cellStyle name="Total 2 4 8 2" xfId="52950" xr:uid="{00000000-0005-0000-0000-0000E9CE0000}"/>
    <cellStyle name="Total 2 4 8 2 2" xfId="52951" xr:uid="{00000000-0005-0000-0000-0000EACE0000}"/>
    <cellStyle name="Total 2 4 8 3" xfId="52952" xr:uid="{00000000-0005-0000-0000-0000EBCE0000}"/>
    <cellStyle name="Total 2 4 8 3 2" xfId="52953" xr:uid="{00000000-0005-0000-0000-0000ECCE0000}"/>
    <cellStyle name="Total 2 4 8 4" xfId="52954" xr:uid="{00000000-0005-0000-0000-0000EDCE0000}"/>
    <cellStyle name="Total 2 4 9" xfId="52955" xr:uid="{00000000-0005-0000-0000-0000EECE0000}"/>
    <cellStyle name="Total 2 4 9 2" xfId="52956" xr:uid="{00000000-0005-0000-0000-0000EFCE0000}"/>
    <cellStyle name="Total 2 5" xfId="52957" xr:uid="{00000000-0005-0000-0000-0000F0CE0000}"/>
    <cellStyle name="Total 2 5 10" xfId="52958" xr:uid="{00000000-0005-0000-0000-0000F1CE0000}"/>
    <cellStyle name="Total 2 5 10 2" xfId="52959" xr:uid="{00000000-0005-0000-0000-0000F2CE0000}"/>
    <cellStyle name="Total 2 5 11" xfId="52960" xr:uid="{00000000-0005-0000-0000-0000F3CE0000}"/>
    <cellStyle name="Total 2 5 12" xfId="52961" xr:uid="{00000000-0005-0000-0000-0000F4CE0000}"/>
    <cellStyle name="Total 2 5 13" xfId="52962" xr:uid="{00000000-0005-0000-0000-0000F5CE0000}"/>
    <cellStyle name="Total 2 5 14" xfId="52963" xr:uid="{00000000-0005-0000-0000-0000F6CE0000}"/>
    <cellStyle name="Total 2 5 15" xfId="52964" xr:uid="{00000000-0005-0000-0000-0000F7CE0000}"/>
    <cellStyle name="Total 2 5 16" xfId="52965" xr:uid="{00000000-0005-0000-0000-0000F8CE0000}"/>
    <cellStyle name="Total 2 5 2" xfId="52966" xr:uid="{00000000-0005-0000-0000-0000F9CE0000}"/>
    <cellStyle name="Total 2 5 2 2" xfId="52967" xr:uid="{00000000-0005-0000-0000-0000FACE0000}"/>
    <cellStyle name="Total 2 5 2 2 2" xfId="52968" xr:uid="{00000000-0005-0000-0000-0000FBCE0000}"/>
    <cellStyle name="Total 2 5 2 2 2 2" xfId="52969" xr:uid="{00000000-0005-0000-0000-0000FCCE0000}"/>
    <cellStyle name="Total 2 5 2 2 3" xfId="52970" xr:uid="{00000000-0005-0000-0000-0000FDCE0000}"/>
    <cellStyle name="Total 2 5 2 2 3 2" xfId="52971" xr:uid="{00000000-0005-0000-0000-0000FECE0000}"/>
    <cellStyle name="Total 2 5 2 2 4" xfId="52972" xr:uid="{00000000-0005-0000-0000-0000FFCE0000}"/>
    <cellStyle name="Total 2 5 2 3" xfId="52973" xr:uid="{00000000-0005-0000-0000-000000CF0000}"/>
    <cellStyle name="Total 2 5 2 3 2" xfId="52974" xr:uid="{00000000-0005-0000-0000-000001CF0000}"/>
    <cellStyle name="Total 2 5 2 3 2 2" xfId="52975" xr:uid="{00000000-0005-0000-0000-000002CF0000}"/>
    <cellStyle name="Total 2 5 2 3 3" xfId="52976" xr:uid="{00000000-0005-0000-0000-000003CF0000}"/>
    <cellStyle name="Total 2 5 2 3 3 2" xfId="52977" xr:uid="{00000000-0005-0000-0000-000004CF0000}"/>
    <cellStyle name="Total 2 5 2 3 4" xfId="52978" xr:uid="{00000000-0005-0000-0000-000005CF0000}"/>
    <cellStyle name="Total 2 5 2 4" xfId="52979" xr:uid="{00000000-0005-0000-0000-000006CF0000}"/>
    <cellStyle name="Total 2 5 2 4 2" xfId="52980" xr:uid="{00000000-0005-0000-0000-000007CF0000}"/>
    <cellStyle name="Total 2 5 2 5" xfId="52981" xr:uid="{00000000-0005-0000-0000-000008CF0000}"/>
    <cellStyle name="Total 2 5 2 5 2" xfId="52982" xr:uid="{00000000-0005-0000-0000-000009CF0000}"/>
    <cellStyle name="Total 2 5 2 6" xfId="52983" xr:uid="{00000000-0005-0000-0000-00000ACF0000}"/>
    <cellStyle name="Total 2 5 3" xfId="52984" xr:uid="{00000000-0005-0000-0000-00000BCF0000}"/>
    <cellStyle name="Total 2 5 3 2" xfId="52985" xr:uid="{00000000-0005-0000-0000-00000CCF0000}"/>
    <cellStyle name="Total 2 5 3 2 2" xfId="52986" xr:uid="{00000000-0005-0000-0000-00000DCF0000}"/>
    <cellStyle name="Total 2 5 3 2 2 2" xfId="52987" xr:uid="{00000000-0005-0000-0000-00000ECF0000}"/>
    <cellStyle name="Total 2 5 3 2 3" xfId="52988" xr:uid="{00000000-0005-0000-0000-00000FCF0000}"/>
    <cellStyle name="Total 2 5 3 2 3 2" xfId="52989" xr:uid="{00000000-0005-0000-0000-000010CF0000}"/>
    <cellStyle name="Total 2 5 3 2 4" xfId="52990" xr:uid="{00000000-0005-0000-0000-000011CF0000}"/>
    <cellStyle name="Total 2 5 3 3" xfId="52991" xr:uid="{00000000-0005-0000-0000-000012CF0000}"/>
    <cellStyle name="Total 2 5 3 3 2" xfId="52992" xr:uid="{00000000-0005-0000-0000-000013CF0000}"/>
    <cellStyle name="Total 2 5 3 3 2 2" xfId="52993" xr:uid="{00000000-0005-0000-0000-000014CF0000}"/>
    <cellStyle name="Total 2 5 3 3 3" xfId="52994" xr:uid="{00000000-0005-0000-0000-000015CF0000}"/>
    <cellStyle name="Total 2 5 3 3 3 2" xfId="52995" xr:uid="{00000000-0005-0000-0000-000016CF0000}"/>
    <cellStyle name="Total 2 5 3 3 4" xfId="52996" xr:uid="{00000000-0005-0000-0000-000017CF0000}"/>
    <cellStyle name="Total 2 5 3 4" xfId="52997" xr:uid="{00000000-0005-0000-0000-000018CF0000}"/>
    <cellStyle name="Total 2 5 3 4 2" xfId="52998" xr:uid="{00000000-0005-0000-0000-000019CF0000}"/>
    <cellStyle name="Total 2 5 3 5" xfId="52999" xr:uid="{00000000-0005-0000-0000-00001ACF0000}"/>
    <cellStyle name="Total 2 5 3 5 2" xfId="53000" xr:uid="{00000000-0005-0000-0000-00001BCF0000}"/>
    <cellStyle name="Total 2 5 3 6" xfId="53001" xr:uid="{00000000-0005-0000-0000-00001CCF0000}"/>
    <cellStyle name="Total 2 5 4" xfId="53002" xr:uid="{00000000-0005-0000-0000-00001DCF0000}"/>
    <cellStyle name="Total 2 5 4 2" xfId="53003" xr:uid="{00000000-0005-0000-0000-00001ECF0000}"/>
    <cellStyle name="Total 2 5 4 2 2" xfId="53004" xr:uid="{00000000-0005-0000-0000-00001FCF0000}"/>
    <cellStyle name="Total 2 5 4 2 2 2" xfId="53005" xr:uid="{00000000-0005-0000-0000-000020CF0000}"/>
    <cellStyle name="Total 2 5 4 2 3" xfId="53006" xr:uid="{00000000-0005-0000-0000-000021CF0000}"/>
    <cellStyle name="Total 2 5 4 2 3 2" xfId="53007" xr:uid="{00000000-0005-0000-0000-000022CF0000}"/>
    <cellStyle name="Total 2 5 4 2 4" xfId="53008" xr:uid="{00000000-0005-0000-0000-000023CF0000}"/>
    <cellStyle name="Total 2 5 4 3" xfId="53009" xr:uid="{00000000-0005-0000-0000-000024CF0000}"/>
    <cellStyle name="Total 2 5 4 3 2" xfId="53010" xr:uid="{00000000-0005-0000-0000-000025CF0000}"/>
    <cellStyle name="Total 2 5 4 3 2 2" xfId="53011" xr:uid="{00000000-0005-0000-0000-000026CF0000}"/>
    <cellStyle name="Total 2 5 4 3 3" xfId="53012" xr:uid="{00000000-0005-0000-0000-000027CF0000}"/>
    <cellStyle name="Total 2 5 4 3 3 2" xfId="53013" xr:uid="{00000000-0005-0000-0000-000028CF0000}"/>
    <cellStyle name="Total 2 5 4 3 4" xfId="53014" xr:uid="{00000000-0005-0000-0000-000029CF0000}"/>
    <cellStyle name="Total 2 5 4 4" xfId="53015" xr:uid="{00000000-0005-0000-0000-00002ACF0000}"/>
    <cellStyle name="Total 2 5 4 4 2" xfId="53016" xr:uid="{00000000-0005-0000-0000-00002BCF0000}"/>
    <cellStyle name="Total 2 5 4 5" xfId="53017" xr:uid="{00000000-0005-0000-0000-00002CCF0000}"/>
    <cellStyle name="Total 2 5 4 5 2" xfId="53018" xr:uid="{00000000-0005-0000-0000-00002DCF0000}"/>
    <cellStyle name="Total 2 5 4 6" xfId="53019" xr:uid="{00000000-0005-0000-0000-00002ECF0000}"/>
    <cellStyle name="Total 2 5 5" xfId="53020" xr:uid="{00000000-0005-0000-0000-00002FCF0000}"/>
    <cellStyle name="Total 2 5 5 2" xfId="53021" xr:uid="{00000000-0005-0000-0000-000030CF0000}"/>
    <cellStyle name="Total 2 5 5 2 2" xfId="53022" xr:uid="{00000000-0005-0000-0000-000031CF0000}"/>
    <cellStyle name="Total 2 5 5 2 2 2" xfId="53023" xr:uid="{00000000-0005-0000-0000-000032CF0000}"/>
    <cellStyle name="Total 2 5 5 2 3" xfId="53024" xr:uid="{00000000-0005-0000-0000-000033CF0000}"/>
    <cellStyle name="Total 2 5 5 2 3 2" xfId="53025" xr:uid="{00000000-0005-0000-0000-000034CF0000}"/>
    <cellStyle name="Total 2 5 5 2 4" xfId="53026" xr:uid="{00000000-0005-0000-0000-000035CF0000}"/>
    <cellStyle name="Total 2 5 5 3" xfId="53027" xr:uid="{00000000-0005-0000-0000-000036CF0000}"/>
    <cellStyle name="Total 2 5 5 3 2" xfId="53028" xr:uid="{00000000-0005-0000-0000-000037CF0000}"/>
    <cellStyle name="Total 2 5 5 3 2 2" xfId="53029" xr:uid="{00000000-0005-0000-0000-000038CF0000}"/>
    <cellStyle name="Total 2 5 5 3 3" xfId="53030" xr:uid="{00000000-0005-0000-0000-000039CF0000}"/>
    <cellStyle name="Total 2 5 5 3 3 2" xfId="53031" xr:uid="{00000000-0005-0000-0000-00003ACF0000}"/>
    <cellStyle name="Total 2 5 5 3 4" xfId="53032" xr:uid="{00000000-0005-0000-0000-00003BCF0000}"/>
    <cellStyle name="Total 2 5 5 4" xfId="53033" xr:uid="{00000000-0005-0000-0000-00003CCF0000}"/>
    <cellStyle name="Total 2 5 5 4 2" xfId="53034" xr:uid="{00000000-0005-0000-0000-00003DCF0000}"/>
    <cellStyle name="Total 2 5 5 5" xfId="53035" xr:uid="{00000000-0005-0000-0000-00003ECF0000}"/>
    <cellStyle name="Total 2 5 5 5 2" xfId="53036" xr:uid="{00000000-0005-0000-0000-00003FCF0000}"/>
    <cellStyle name="Total 2 5 5 6" xfId="53037" xr:uid="{00000000-0005-0000-0000-000040CF0000}"/>
    <cellStyle name="Total 2 5 6" xfId="53038" xr:uid="{00000000-0005-0000-0000-000041CF0000}"/>
    <cellStyle name="Total 2 5 6 2" xfId="53039" xr:uid="{00000000-0005-0000-0000-000042CF0000}"/>
    <cellStyle name="Total 2 5 6 2 2" xfId="53040" xr:uid="{00000000-0005-0000-0000-000043CF0000}"/>
    <cellStyle name="Total 2 5 6 2 2 2" xfId="53041" xr:uid="{00000000-0005-0000-0000-000044CF0000}"/>
    <cellStyle name="Total 2 5 6 2 3" xfId="53042" xr:uid="{00000000-0005-0000-0000-000045CF0000}"/>
    <cellStyle name="Total 2 5 6 2 3 2" xfId="53043" xr:uid="{00000000-0005-0000-0000-000046CF0000}"/>
    <cellStyle name="Total 2 5 6 2 4" xfId="53044" xr:uid="{00000000-0005-0000-0000-000047CF0000}"/>
    <cellStyle name="Total 2 5 6 3" xfId="53045" xr:uid="{00000000-0005-0000-0000-000048CF0000}"/>
    <cellStyle name="Total 2 5 6 3 2" xfId="53046" xr:uid="{00000000-0005-0000-0000-000049CF0000}"/>
    <cellStyle name="Total 2 5 6 3 2 2" xfId="53047" xr:uid="{00000000-0005-0000-0000-00004ACF0000}"/>
    <cellStyle name="Total 2 5 6 3 3" xfId="53048" xr:uid="{00000000-0005-0000-0000-00004BCF0000}"/>
    <cellStyle name="Total 2 5 6 3 3 2" xfId="53049" xr:uid="{00000000-0005-0000-0000-00004CCF0000}"/>
    <cellStyle name="Total 2 5 6 3 4" xfId="53050" xr:uid="{00000000-0005-0000-0000-00004DCF0000}"/>
    <cellStyle name="Total 2 5 6 4" xfId="53051" xr:uid="{00000000-0005-0000-0000-00004ECF0000}"/>
    <cellStyle name="Total 2 5 6 4 2" xfId="53052" xr:uid="{00000000-0005-0000-0000-00004FCF0000}"/>
    <cellStyle name="Total 2 5 6 5" xfId="53053" xr:uid="{00000000-0005-0000-0000-000050CF0000}"/>
    <cellStyle name="Total 2 5 6 5 2" xfId="53054" xr:uid="{00000000-0005-0000-0000-000051CF0000}"/>
    <cellStyle name="Total 2 5 6 6" xfId="53055" xr:uid="{00000000-0005-0000-0000-000052CF0000}"/>
    <cellStyle name="Total 2 5 7" xfId="53056" xr:uid="{00000000-0005-0000-0000-000053CF0000}"/>
    <cellStyle name="Total 2 5 7 2" xfId="53057" xr:uid="{00000000-0005-0000-0000-000054CF0000}"/>
    <cellStyle name="Total 2 5 7 2 2" xfId="53058" xr:uid="{00000000-0005-0000-0000-000055CF0000}"/>
    <cellStyle name="Total 2 5 7 3" xfId="53059" xr:uid="{00000000-0005-0000-0000-000056CF0000}"/>
    <cellStyle name="Total 2 5 7 3 2" xfId="53060" xr:uid="{00000000-0005-0000-0000-000057CF0000}"/>
    <cellStyle name="Total 2 5 7 4" xfId="53061" xr:uid="{00000000-0005-0000-0000-000058CF0000}"/>
    <cellStyle name="Total 2 5 8" xfId="53062" xr:uid="{00000000-0005-0000-0000-000059CF0000}"/>
    <cellStyle name="Total 2 5 8 2" xfId="53063" xr:uid="{00000000-0005-0000-0000-00005ACF0000}"/>
    <cellStyle name="Total 2 5 8 2 2" xfId="53064" xr:uid="{00000000-0005-0000-0000-00005BCF0000}"/>
    <cellStyle name="Total 2 5 8 3" xfId="53065" xr:uid="{00000000-0005-0000-0000-00005CCF0000}"/>
    <cellStyle name="Total 2 5 8 3 2" xfId="53066" xr:uid="{00000000-0005-0000-0000-00005DCF0000}"/>
    <cellStyle name="Total 2 5 8 4" xfId="53067" xr:uid="{00000000-0005-0000-0000-00005ECF0000}"/>
    <cellStyle name="Total 2 5 9" xfId="53068" xr:uid="{00000000-0005-0000-0000-00005FCF0000}"/>
    <cellStyle name="Total 2 5 9 2" xfId="53069" xr:uid="{00000000-0005-0000-0000-000060CF0000}"/>
    <cellStyle name="Total 2 6" xfId="53070" xr:uid="{00000000-0005-0000-0000-000061CF0000}"/>
    <cellStyle name="Total 2 6 10" xfId="53071" xr:uid="{00000000-0005-0000-0000-000062CF0000}"/>
    <cellStyle name="Total 2 6 10 2" xfId="53072" xr:uid="{00000000-0005-0000-0000-000063CF0000}"/>
    <cellStyle name="Total 2 6 11" xfId="53073" xr:uid="{00000000-0005-0000-0000-000064CF0000}"/>
    <cellStyle name="Total 2 6 12" xfId="53074" xr:uid="{00000000-0005-0000-0000-000065CF0000}"/>
    <cellStyle name="Total 2 6 13" xfId="53075" xr:uid="{00000000-0005-0000-0000-000066CF0000}"/>
    <cellStyle name="Total 2 6 14" xfId="53076" xr:uid="{00000000-0005-0000-0000-000067CF0000}"/>
    <cellStyle name="Total 2 6 15" xfId="53077" xr:uid="{00000000-0005-0000-0000-000068CF0000}"/>
    <cellStyle name="Total 2 6 16" xfId="53078" xr:uid="{00000000-0005-0000-0000-000069CF0000}"/>
    <cellStyle name="Total 2 6 17" xfId="53079" xr:uid="{00000000-0005-0000-0000-00006ACF0000}"/>
    <cellStyle name="Total 2 6 2" xfId="53080" xr:uid="{00000000-0005-0000-0000-00006BCF0000}"/>
    <cellStyle name="Total 2 6 2 2" xfId="53081" xr:uid="{00000000-0005-0000-0000-00006CCF0000}"/>
    <cellStyle name="Total 2 6 2 2 2" xfId="53082" xr:uid="{00000000-0005-0000-0000-00006DCF0000}"/>
    <cellStyle name="Total 2 6 2 2 2 2" xfId="53083" xr:uid="{00000000-0005-0000-0000-00006ECF0000}"/>
    <cellStyle name="Total 2 6 2 2 3" xfId="53084" xr:uid="{00000000-0005-0000-0000-00006FCF0000}"/>
    <cellStyle name="Total 2 6 2 2 3 2" xfId="53085" xr:uid="{00000000-0005-0000-0000-000070CF0000}"/>
    <cellStyle name="Total 2 6 2 2 4" xfId="53086" xr:uid="{00000000-0005-0000-0000-000071CF0000}"/>
    <cellStyle name="Total 2 6 2 3" xfId="53087" xr:uid="{00000000-0005-0000-0000-000072CF0000}"/>
    <cellStyle name="Total 2 6 2 3 2" xfId="53088" xr:uid="{00000000-0005-0000-0000-000073CF0000}"/>
    <cellStyle name="Total 2 6 2 3 2 2" xfId="53089" xr:uid="{00000000-0005-0000-0000-000074CF0000}"/>
    <cellStyle name="Total 2 6 2 3 3" xfId="53090" xr:uid="{00000000-0005-0000-0000-000075CF0000}"/>
    <cellStyle name="Total 2 6 2 3 3 2" xfId="53091" xr:uid="{00000000-0005-0000-0000-000076CF0000}"/>
    <cellStyle name="Total 2 6 2 3 4" xfId="53092" xr:uid="{00000000-0005-0000-0000-000077CF0000}"/>
    <cellStyle name="Total 2 6 2 4" xfId="53093" xr:uid="{00000000-0005-0000-0000-000078CF0000}"/>
    <cellStyle name="Total 2 6 2 4 2" xfId="53094" xr:uid="{00000000-0005-0000-0000-000079CF0000}"/>
    <cellStyle name="Total 2 6 2 5" xfId="53095" xr:uid="{00000000-0005-0000-0000-00007ACF0000}"/>
    <cellStyle name="Total 2 6 2 5 2" xfId="53096" xr:uid="{00000000-0005-0000-0000-00007BCF0000}"/>
    <cellStyle name="Total 2 6 2 6" xfId="53097" xr:uid="{00000000-0005-0000-0000-00007CCF0000}"/>
    <cellStyle name="Total 2 6 3" xfId="53098" xr:uid="{00000000-0005-0000-0000-00007DCF0000}"/>
    <cellStyle name="Total 2 6 3 2" xfId="53099" xr:uid="{00000000-0005-0000-0000-00007ECF0000}"/>
    <cellStyle name="Total 2 6 3 2 2" xfId="53100" xr:uid="{00000000-0005-0000-0000-00007FCF0000}"/>
    <cellStyle name="Total 2 6 3 2 2 2" xfId="53101" xr:uid="{00000000-0005-0000-0000-000080CF0000}"/>
    <cellStyle name="Total 2 6 3 2 3" xfId="53102" xr:uid="{00000000-0005-0000-0000-000081CF0000}"/>
    <cellStyle name="Total 2 6 3 2 3 2" xfId="53103" xr:uid="{00000000-0005-0000-0000-000082CF0000}"/>
    <cellStyle name="Total 2 6 3 2 4" xfId="53104" xr:uid="{00000000-0005-0000-0000-000083CF0000}"/>
    <cellStyle name="Total 2 6 3 3" xfId="53105" xr:uid="{00000000-0005-0000-0000-000084CF0000}"/>
    <cellStyle name="Total 2 6 3 3 2" xfId="53106" xr:uid="{00000000-0005-0000-0000-000085CF0000}"/>
    <cellStyle name="Total 2 6 3 3 2 2" xfId="53107" xr:uid="{00000000-0005-0000-0000-000086CF0000}"/>
    <cellStyle name="Total 2 6 3 3 3" xfId="53108" xr:uid="{00000000-0005-0000-0000-000087CF0000}"/>
    <cellStyle name="Total 2 6 3 3 3 2" xfId="53109" xr:uid="{00000000-0005-0000-0000-000088CF0000}"/>
    <cellStyle name="Total 2 6 3 3 4" xfId="53110" xr:uid="{00000000-0005-0000-0000-000089CF0000}"/>
    <cellStyle name="Total 2 6 3 4" xfId="53111" xr:uid="{00000000-0005-0000-0000-00008ACF0000}"/>
    <cellStyle name="Total 2 6 3 4 2" xfId="53112" xr:uid="{00000000-0005-0000-0000-00008BCF0000}"/>
    <cellStyle name="Total 2 6 3 5" xfId="53113" xr:uid="{00000000-0005-0000-0000-00008CCF0000}"/>
    <cellStyle name="Total 2 6 3 5 2" xfId="53114" xr:uid="{00000000-0005-0000-0000-00008DCF0000}"/>
    <cellStyle name="Total 2 6 3 6" xfId="53115" xr:uid="{00000000-0005-0000-0000-00008ECF0000}"/>
    <cellStyle name="Total 2 6 4" xfId="53116" xr:uid="{00000000-0005-0000-0000-00008FCF0000}"/>
    <cellStyle name="Total 2 6 4 2" xfId="53117" xr:uid="{00000000-0005-0000-0000-000090CF0000}"/>
    <cellStyle name="Total 2 6 4 2 2" xfId="53118" xr:uid="{00000000-0005-0000-0000-000091CF0000}"/>
    <cellStyle name="Total 2 6 4 2 2 2" xfId="53119" xr:uid="{00000000-0005-0000-0000-000092CF0000}"/>
    <cellStyle name="Total 2 6 4 2 3" xfId="53120" xr:uid="{00000000-0005-0000-0000-000093CF0000}"/>
    <cellStyle name="Total 2 6 4 2 3 2" xfId="53121" xr:uid="{00000000-0005-0000-0000-000094CF0000}"/>
    <cellStyle name="Total 2 6 4 2 4" xfId="53122" xr:uid="{00000000-0005-0000-0000-000095CF0000}"/>
    <cellStyle name="Total 2 6 4 3" xfId="53123" xr:uid="{00000000-0005-0000-0000-000096CF0000}"/>
    <cellStyle name="Total 2 6 4 3 2" xfId="53124" xr:uid="{00000000-0005-0000-0000-000097CF0000}"/>
    <cellStyle name="Total 2 6 4 3 2 2" xfId="53125" xr:uid="{00000000-0005-0000-0000-000098CF0000}"/>
    <cellStyle name="Total 2 6 4 3 3" xfId="53126" xr:uid="{00000000-0005-0000-0000-000099CF0000}"/>
    <cellStyle name="Total 2 6 4 3 3 2" xfId="53127" xr:uid="{00000000-0005-0000-0000-00009ACF0000}"/>
    <cellStyle name="Total 2 6 4 3 4" xfId="53128" xr:uid="{00000000-0005-0000-0000-00009BCF0000}"/>
    <cellStyle name="Total 2 6 4 4" xfId="53129" xr:uid="{00000000-0005-0000-0000-00009CCF0000}"/>
    <cellStyle name="Total 2 6 4 4 2" xfId="53130" xr:uid="{00000000-0005-0000-0000-00009DCF0000}"/>
    <cellStyle name="Total 2 6 4 5" xfId="53131" xr:uid="{00000000-0005-0000-0000-00009ECF0000}"/>
    <cellStyle name="Total 2 6 4 5 2" xfId="53132" xr:uid="{00000000-0005-0000-0000-00009FCF0000}"/>
    <cellStyle name="Total 2 6 4 6" xfId="53133" xr:uid="{00000000-0005-0000-0000-0000A0CF0000}"/>
    <cellStyle name="Total 2 6 5" xfId="53134" xr:uid="{00000000-0005-0000-0000-0000A1CF0000}"/>
    <cellStyle name="Total 2 6 5 2" xfId="53135" xr:uid="{00000000-0005-0000-0000-0000A2CF0000}"/>
    <cellStyle name="Total 2 6 5 2 2" xfId="53136" xr:uid="{00000000-0005-0000-0000-0000A3CF0000}"/>
    <cellStyle name="Total 2 6 5 2 2 2" xfId="53137" xr:uid="{00000000-0005-0000-0000-0000A4CF0000}"/>
    <cellStyle name="Total 2 6 5 2 3" xfId="53138" xr:uid="{00000000-0005-0000-0000-0000A5CF0000}"/>
    <cellStyle name="Total 2 6 5 2 3 2" xfId="53139" xr:uid="{00000000-0005-0000-0000-0000A6CF0000}"/>
    <cellStyle name="Total 2 6 5 2 4" xfId="53140" xr:uid="{00000000-0005-0000-0000-0000A7CF0000}"/>
    <cellStyle name="Total 2 6 5 3" xfId="53141" xr:uid="{00000000-0005-0000-0000-0000A8CF0000}"/>
    <cellStyle name="Total 2 6 5 3 2" xfId="53142" xr:uid="{00000000-0005-0000-0000-0000A9CF0000}"/>
    <cellStyle name="Total 2 6 5 3 2 2" xfId="53143" xr:uid="{00000000-0005-0000-0000-0000AACF0000}"/>
    <cellStyle name="Total 2 6 5 3 3" xfId="53144" xr:uid="{00000000-0005-0000-0000-0000ABCF0000}"/>
    <cellStyle name="Total 2 6 5 3 3 2" xfId="53145" xr:uid="{00000000-0005-0000-0000-0000ACCF0000}"/>
    <cellStyle name="Total 2 6 5 3 4" xfId="53146" xr:uid="{00000000-0005-0000-0000-0000ADCF0000}"/>
    <cellStyle name="Total 2 6 5 4" xfId="53147" xr:uid="{00000000-0005-0000-0000-0000AECF0000}"/>
    <cellStyle name="Total 2 6 5 4 2" xfId="53148" xr:uid="{00000000-0005-0000-0000-0000AFCF0000}"/>
    <cellStyle name="Total 2 6 5 5" xfId="53149" xr:uid="{00000000-0005-0000-0000-0000B0CF0000}"/>
    <cellStyle name="Total 2 6 5 5 2" xfId="53150" xr:uid="{00000000-0005-0000-0000-0000B1CF0000}"/>
    <cellStyle name="Total 2 6 5 6" xfId="53151" xr:uid="{00000000-0005-0000-0000-0000B2CF0000}"/>
    <cellStyle name="Total 2 6 6" xfId="53152" xr:uid="{00000000-0005-0000-0000-0000B3CF0000}"/>
    <cellStyle name="Total 2 6 6 2" xfId="53153" xr:uid="{00000000-0005-0000-0000-0000B4CF0000}"/>
    <cellStyle name="Total 2 6 6 2 2" xfId="53154" xr:uid="{00000000-0005-0000-0000-0000B5CF0000}"/>
    <cellStyle name="Total 2 6 6 2 2 2" xfId="53155" xr:uid="{00000000-0005-0000-0000-0000B6CF0000}"/>
    <cellStyle name="Total 2 6 6 2 3" xfId="53156" xr:uid="{00000000-0005-0000-0000-0000B7CF0000}"/>
    <cellStyle name="Total 2 6 6 2 3 2" xfId="53157" xr:uid="{00000000-0005-0000-0000-0000B8CF0000}"/>
    <cellStyle name="Total 2 6 6 2 4" xfId="53158" xr:uid="{00000000-0005-0000-0000-0000B9CF0000}"/>
    <cellStyle name="Total 2 6 6 3" xfId="53159" xr:uid="{00000000-0005-0000-0000-0000BACF0000}"/>
    <cellStyle name="Total 2 6 6 3 2" xfId="53160" xr:uid="{00000000-0005-0000-0000-0000BBCF0000}"/>
    <cellStyle name="Total 2 6 6 3 2 2" xfId="53161" xr:uid="{00000000-0005-0000-0000-0000BCCF0000}"/>
    <cellStyle name="Total 2 6 6 3 3" xfId="53162" xr:uid="{00000000-0005-0000-0000-0000BDCF0000}"/>
    <cellStyle name="Total 2 6 6 3 3 2" xfId="53163" xr:uid="{00000000-0005-0000-0000-0000BECF0000}"/>
    <cellStyle name="Total 2 6 6 3 4" xfId="53164" xr:uid="{00000000-0005-0000-0000-0000BFCF0000}"/>
    <cellStyle name="Total 2 6 6 4" xfId="53165" xr:uid="{00000000-0005-0000-0000-0000C0CF0000}"/>
    <cellStyle name="Total 2 6 6 4 2" xfId="53166" xr:uid="{00000000-0005-0000-0000-0000C1CF0000}"/>
    <cellStyle name="Total 2 6 6 5" xfId="53167" xr:uid="{00000000-0005-0000-0000-0000C2CF0000}"/>
    <cellStyle name="Total 2 6 6 5 2" xfId="53168" xr:uid="{00000000-0005-0000-0000-0000C3CF0000}"/>
    <cellStyle name="Total 2 6 6 6" xfId="53169" xr:uid="{00000000-0005-0000-0000-0000C4CF0000}"/>
    <cellStyle name="Total 2 6 7" xfId="53170" xr:uid="{00000000-0005-0000-0000-0000C5CF0000}"/>
    <cellStyle name="Total 2 6 7 2" xfId="53171" xr:uid="{00000000-0005-0000-0000-0000C6CF0000}"/>
    <cellStyle name="Total 2 6 7 2 2" xfId="53172" xr:uid="{00000000-0005-0000-0000-0000C7CF0000}"/>
    <cellStyle name="Total 2 6 7 3" xfId="53173" xr:uid="{00000000-0005-0000-0000-0000C8CF0000}"/>
    <cellStyle name="Total 2 6 7 3 2" xfId="53174" xr:uid="{00000000-0005-0000-0000-0000C9CF0000}"/>
    <cellStyle name="Total 2 6 7 4" xfId="53175" xr:uid="{00000000-0005-0000-0000-0000CACF0000}"/>
    <cellStyle name="Total 2 6 8" xfId="53176" xr:uid="{00000000-0005-0000-0000-0000CBCF0000}"/>
    <cellStyle name="Total 2 6 8 2" xfId="53177" xr:uid="{00000000-0005-0000-0000-0000CCCF0000}"/>
    <cellStyle name="Total 2 6 8 2 2" xfId="53178" xr:uid="{00000000-0005-0000-0000-0000CDCF0000}"/>
    <cellStyle name="Total 2 6 8 3" xfId="53179" xr:uid="{00000000-0005-0000-0000-0000CECF0000}"/>
    <cellStyle name="Total 2 6 8 3 2" xfId="53180" xr:uid="{00000000-0005-0000-0000-0000CFCF0000}"/>
    <cellStyle name="Total 2 6 8 4" xfId="53181" xr:uid="{00000000-0005-0000-0000-0000D0CF0000}"/>
    <cellStyle name="Total 2 6 9" xfId="53182" xr:uid="{00000000-0005-0000-0000-0000D1CF0000}"/>
    <cellStyle name="Total 2 6 9 2" xfId="53183" xr:uid="{00000000-0005-0000-0000-0000D2CF0000}"/>
    <cellStyle name="Total 2 7" xfId="53184" xr:uid="{00000000-0005-0000-0000-0000D3CF0000}"/>
    <cellStyle name="Total 2 7 10" xfId="53185" xr:uid="{00000000-0005-0000-0000-0000D4CF0000}"/>
    <cellStyle name="Total 2 7 11" xfId="53186" xr:uid="{00000000-0005-0000-0000-0000D5CF0000}"/>
    <cellStyle name="Total 2 7 12" xfId="53187" xr:uid="{00000000-0005-0000-0000-0000D6CF0000}"/>
    <cellStyle name="Total 2 7 2" xfId="53188" xr:uid="{00000000-0005-0000-0000-0000D7CF0000}"/>
    <cellStyle name="Total 2 7 2 2" xfId="53189" xr:uid="{00000000-0005-0000-0000-0000D8CF0000}"/>
    <cellStyle name="Total 2 7 2 2 2" xfId="53190" xr:uid="{00000000-0005-0000-0000-0000D9CF0000}"/>
    <cellStyle name="Total 2 7 2 3" xfId="53191" xr:uid="{00000000-0005-0000-0000-0000DACF0000}"/>
    <cellStyle name="Total 2 7 2 3 2" xfId="53192" xr:uid="{00000000-0005-0000-0000-0000DBCF0000}"/>
    <cellStyle name="Total 2 7 2 4" xfId="53193" xr:uid="{00000000-0005-0000-0000-0000DCCF0000}"/>
    <cellStyle name="Total 2 7 3" xfId="53194" xr:uid="{00000000-0005-0000-0000-0000DDCF0000}"/>
    <cellStyle name="Total 2 7 3 2" xfId="53195" xr:uid="{00000000-0005-0000-0000-0000DECF0000}"/>
    <cellStyle name="Total 2 7 3 2 2" xfId="53196" xr:uid="{00000000-0005-0000-0000-0000DFCF0000}"/>
    <cellStyle name="Total 2 7 3 3" xfId="53197" xr:uid="{00000000-0005-0000-0000-0000E0CF0000}"/>
    <cellStyle name="Total 2 7 3 3 2" xfId="53198" xr:uid="{00000000-0005-0000-0000-0000E1CF0000}"/>
    <cellStyle name="Total 2 7 3 4" xfId="53199" xr:uid="{00000000-0005-0000-0000-0000E2CF0000}"/>
    <cellStyle name="Total 2 7 4" xfId="53200" xr:uid="{00000000-0005-0000-0000-0000E3CF0000}"/>
    <cellStyle name="Total 2 7 4 2" xfId="53201" xr:uid="{00000000-0005-0000-0000-0000E4CF0000}"/>
    <cellStyle name="Total 2 7 4 3" xfId="53202" xr:uid="{00000000-0005-0000-0000-0000E5CF0000}"/>
    <cellStyle name="Total 2 7 5" xfId="53203" xr:uid="{00000000-0005-0000-0000-0000E6CF0000}"/>
    <cellStyle name="Total 2 7 5 2" xfId="53204" xr:uid="{00000000-0005-0000-0000-0000E7CF0000}"/>
    <cellStyle name="Total 2 7 6" xfId="53205" xr:uid="{00000000-0005-0000-0000-0000E8CF0000}"/>
    <cellStyle name="Total 2 7 7" xfId="53206" xr:uid="{00000000-0005-0000-0000-0000E9CF0000}"/>
    <cellStyle name="Total 2 7 8" xfId="53207" xr:uid="{00000000-0005-0000-0000-0000EACF0000}"/>
    <cellStyle name="Total 2 7 9" xfId="53208" xr:uid="{00000000-0005-0000-0000-0000EBCF0000}"/>
    <cellStyle name="Total 2 8" xfId="53209" xr:uid="{00000000-0005-0000-0000-0000ECCF0000}"/>
    <cellStyle name="Total 2 8 10" xfId="53210" xr:uid="{00000000-0005-0000-0000-0000EDCF0000}"/>
    <cellStyle name="Total 2 8 11" xfId="53211" xr:uid="{00000000-0005-0000-0000-0000EECF0000}"/>
    <cellStyle name="Total 2 8 12" xfId="53212" xr:uid="{00000000-0005-0000-0000-0000EFCF0000}"/>
    <cellStyle name="Total 2 8 2" xfId="53213" xr:uid="{00000000-0005-0000-0000-0000F0CF0000}"/>
    <cellStyle name="Total 2 8 2 2" xfId="53214" xr:uid="{00000000-0005-0000-0000-0000F1CF0000}"/>
    <cellStyle name="Total 2 8 2 2 2" xfId="53215" xr:uid="{00000000-0005-0000-0000-0000F2CF0000}"/>
    <cellStyle name="Total 2 8 2 3" xfId="53216" xr:uid="{00000000-0005-0000-0000-0000F3CF0000}"/>
    <cellStyle name="Total 2 8 2 3 2" xfId="53217" xr:uid="{00000000-0005-0000-0000-0000F4CF0000}"/>
    <cellStyle name="Total 2 8 2 4" xfId="53218" xr:uid="{00000000-0005-0000-0000-0000F5CF0000}"/>
    <cellStyle name="Total 2 8 3" xfId="53219" xr:uid="{00000000-0005-0000-0000-0000F6CF0000}"/>
    <cellStyle name="Total 2 8 3 2" xfId="53220" xr:uid="{00000000-0005-0000-0000-0000F7CF0000}"/>
    <cellStyle name="Total 2 8 3 2 2" xfId="53221" xr:uid="{00000000-0005-0000-0000-0000F8CF0000}"/>
    <cellStyle name="Total 2 8 3 3" xfId="53222" xr:uid="{00000000-0005-0000-0000-0000F9CF0000}"/>
    <cellStyle name="Total 2 8 3 3 2" xfId="53223" xr:uid="{00000000-0005-0000-0000-0000FACF0000}"/>
    <cellStyle name="Total 2 8 3 4" xfId="53224" xr:uid="{00000000-0005-0000-0000-0000FBCF0000}"/>
    <cellStyle name="Total 2 8 4" xfId="53225" xr:uid="{00000000-0005-0000-0000-0000FCCF0000}"/>
    <cellStyle name="Total 2 8 4 2" xfId="53226" xr:uid="{00000000-0005-0000-0000-0000FDCF0000}"/>
    <cellStyle name="Total 2 8 4 3" xfId="53227" xr:uid="{00000000-0005-0000-0000-0000FECF0000}"/>
    <cellStyle name="Total 2 8 5" xfId="53228" xr:uid="{00000000-0005-0000-0000-0000FFCF0000}"/>
    <cellStyle name="Total 2 8 5 2" xfId="53229" xr:uid="{00000000-0005-0000-0000-000000D00000}"/>
    <cellStyle name="Total 2 8 6" xfId="53230" xr:uid="{00000000-0005-0000-0000-000001D00000}"/>
    <cellStyle name="Total 2 8 7" xfId="53231" xr:uid="{00000000-0005-0000-0000-000002D00000}"/>
    <cellStyle name="Total 2 8 8" xfId="53232" xr:uid="{00000000-0005-0000-0000-000003D00000}"/>
    <cellStyle name="Total 2 8 9" xfId="53233" xr:uid="{00000000-0005-0000-0000-000004D00000}"/>
    <cellStyle name="Total 2 9" xfId="53234" xr:uid="{00000000-0005-0000-0000-000005D00000}"/>
    <cellStyle name="Total 2 9 10" xfId="53235" xr:uid="{00000000-0005-0000-0000-000006D00000}"/>
    <cellStyle name="Total 2 9 11" xfId="53236" xr:uid="{00000000-0005-0000-0000-000007D00000}"/>
    <cellStyle name="Total 2 9 12" xfId="53237" xr:uid="{00000000-0005-0000-0000-000008D00000}"/>
    <cellStyle name="Total 2 9 13" xfId="53238" xr:uid="{00000000-0005-0000-0000-000009D00000}"/>
    <cellStyle name="Total 2 9 2" xfId="53239" xr:uid="{00000000-0005-0000-0000-00000AD00000}"/>
    <cellStyle name="Total 2 9 2 2" xfId="53240" xr:uid="{00000000-0005-0000-0000-00000BD00000}"/>
    <cellStyle name="Total 2 9 2 2 2" xfId="53241" xr:uid="{00000000-0005-0000-0000-00000CD00000}"/>
    <cellStyle name="Total 2 9 2 3" xfId="53242" xr:uid="{00000000-0005-0000-0000-00000DD00000}"/>
    <cellStyle name="Total 2 9 2 3 2" xfId="53243" xr:uid="{00000000-0005-0000-0000-00000ED00000}"/>
    <cellStyle name="Total 2 9 2 4" xfId="53244" xr:uid="{00000000-0005-0000-0000-00000FD00000}"/>
    <cellStyle name="Total 2 9 3" xfId="53245" xr:uid="{00000000-0005-0000-0000-000010D00000}"/>
    <cellStyle name="Total 2 9 3 2" xfId="53246" xr:uid="{00000000-0005-0000-0000-000011D00000}"/>
    <cellStyle name="Total 2 9 3 2 2" xfId="53247" xr:uid="{00000000-0005-0000-0000-000012D00000}"/>
    <cellStyle name="Total 2 9 3 3" xfId="53248" xr:uid="{00000000-0005-0000-0000-000013D00000}"/>
    <cellStyle name="Total 2 9 3 3 2" xfId="53249" xr:uid="{00000000-0005-0000-0000-000014D00000}"/>
    <cellStyle name="Total 2 9 3 4" xfId="53250" xr:uid="{00000000-0005-0000-0000-000015D00000}"/>
    <cellStyle name="Total 2 9 4" xfId="53251" xr:uid="{00000000-0005-0000-0000-000016D00000}"/>
    <cellStyle name="Total 2 9 4 2" xfId="53252" xr:uid="{00000000-0005-0000-0000-000017D00000}"/>
    <cellStyle name="Total 2 9 4 2 2" xfId="53253" xr:uid="{00000000-0005-0000-0000-000018D00000}"/>
    <cellStyle name="Total 2 9 4 3" xfId="53254" xr:uid="{00000000-0005-0000-0000-000019D00000}"/>
    <cellStyle name="Total 2 9 4 3 2" xfId="53255" xr:uid="{00000000-0005-0000-0000-00001AD00000}"/>
    <cellStyle name="Total 2 9 4 4" xfId="53256" xr:uid="{00000000-0005-0000-0000-00001BD00000}"/>
    <cellStyle name="Total 2 9 5" xfId="53257" xr:uid="{00000000-0005-0000-0000-00001CD00000}"/>
    <cellStyle name="Total 2 9 5 2" xfId="53258" xr:uid="{00000000-0005-0000-0000-00001DD00000}"/>
    <cellStyle name="Total 2 9 6" xfId="53259" xr:uid="{00000000-0005-0000-0000-00001ED00000}"/>
    <cellStyle name="Total 2 9 6 2" xfId="53260" xr:uid="{00000000-0005-0000-0000-00001FD00000}"/>
    <cellStyle name="Total 2 9 7" xfId="53261" xr:uid="{00000000-0005-0000-0000-000020D00000}"/>
    <cellStyle name="Total 2 9 8" xfId="53262" xr:uid="{00000000-0005-0000-0000-000021D00000}"/>
    <cellStyle name="Total 2 9 9" xfId="53263" xr:uid="{00000000-0005-0000-0000-000022D00000}"/>
    <cellStyle name="Total 2_Labour" xfId="53264" xr:uid="{00000000-0005-0000-0000-000023D00000}"/>
    <cellStyle name="Total 20" xfId="53265" xr:uid="{00000000-0005-0000-0000-000024D00000}"/>
    <cellStyle name="Total 20 10" xfId="53266" xr:uid="{00000000-0005-0000-0000-000025D00000}"/>
    <cellStyle name="Total 20 2" xfId="53267" xr:uid="{00000000-0005-0000-0000-000026D00000}"/>
    <cellStyle name="Total 20 2 2" xfId="53268" xr:uid="{00000000-0005-0000-0000-000027D00000}"/>
    <cellStyle name="Total 20 2 3" xfId="53269" xr:uid="{00000000-0005-0000-0000-000028D00000}"/>
    <cellStyle name="Total 20 2 4" xfId="53270" xr:uid="{00000000-0005-0000-0000-000029D00000}"/>
    <cellStyle name="Total 20 2 5" xfId="53271" xr:uid="{00000000-0005-0000-0000-00002AD00000}"/>
    <cellStyle name="Total 20 3" xfId="53272" xr:uid="{00000000-0005-0000-0000-00002BD00000}"/>
    <cellStyle name="Total 20 3 2" xfId="53273" xr:uid="{00000000-0005-0000-0000-00002CD00000}"/>
    <cellStyle name="Total 20 3 3" xfId="53274" xr:uid="{00000000-0005-0000-0000-00002DD00000}"/>
    <cellStyle name="Total 20 4" xfId="53275" xr:uid="{00000000-0005-0000-0000-00002ED00000}"/>
    <cellStyle name="Total 20 4 2" xfId="53276" xr:uid="{00000000-0005-0000-0000-00002FD00000}"/>
    <cellStyle name="Total 20 4 3" xfId="53277" xr:uid="{00000000-0005-0000-0000-000030D00000}"/>
    <cellStyle name="Total 20 5" xfId="53278" xr:uid="{00000000-0005-0000-0000-000031D00000}"/>
    <cellStyle name="Total 20 5 2" xfId="53279" xr:uid="{00000000-0005-0000-0000-000032D00000}"/>
    <cellStyle name="Total 20 5 3" xfId="53280" xr:uid="{00000000-0005-0000-0000-000033D00000}"/>
    <cellStyle name="Total 20 6" xfId="53281" xr:uid="{00000000-0005-0000-0000-000034D00000}"/>
    <cellStyle name="Total 20 6 2" xfId="53282" xr:uid="{00000000-0005-0000-0000-000035D00000}"/>
    <cellStyle name="Total 20 6 3" xfId="53283" xr:uid="{00000000-0005-0000-0000-000036D00000}"/>
    <cellStyle name="Total 20 7" xfId="53284" xr:uid="{00000000-0005-0000-0000-000037D00000}"/>
    <cellStyle name="Total 20 8" xfId="53285" xr:uid="{00000000-0005-0000-0000-000038D00000}"/>
    <cellStyle name="Total 20 9" xfId="53286" xr:uid="{00000000-0005-0000-0000-000039D00000}"/>
    <cellStyle name="Total 21" xfId="53287" xr:uid="{00000000-0005-0000-0000-00003AD00000}"/>
    <cellStyle name="Total 21 10" xfId="53288" xr:uid="{00000000-0005-0000-0000-00003BD00000}"/>
    <cellStyle name="Total 21 2" xfId="53289" xr:uid="{00000000-0005-0000-0000-00003CD00000}"/>
    <cellStyle name="Total 21 2 2" xfId="53290" xr:uid="{00000000-0005-0000-0000-00003DD00000}"/>
    <cellStyle name="Total 21 2 3" xfId="53291" xr:uid="{00000000-0005-0000-0000-00003ED00000}"/>
    <cellStyle name="Total 21 2 4" xfId="53292" xr:uid="{00000000-0005-0000-0000-00003FD00000}"/>
    <cellStyle name="Total 21 2 5" xfId="53293" xr:uid="{00000000-0005-0000-0000-000040D00000}"/>
    <cellStyle name="Total 21 3" xfId="53294" xr:uid="{00000000-0005-0000-0000-000041D00000}"/>
    <cellStyle name="Total 21 3 2" xfId="53295" xr:uid="{00000000-0005-0000-0000-000042D00000}"/>
    <cellStyle name="Total 21 3 3" xfId="53296" xr:uid="{00000000-0005-0000-0000-000043D00000}"/>
    <cellStyle name="Total 21 4" xfId="53297" xr:uid="{00000000-0005-0000-0000-000044D00000}"/>
    <cellStyle name="Total 21 4 2" xfId="53298" xr:uid="{00000000-0005-0000-0000-000045D00000}"/>
    <cellStyle name="Total 21 4 3" xfId="53299" xr:uid="{00000000-0005-0000-0000-000046D00000}"/>
    <cellStyle name="Total 21 5" xfId="53300" xr:uid="{00000000-0005-0000-0000-000047D00000}"/>
    <cellStyle name="Total 21 5 2" xfId="53301" xr:uid="{00000000-0005-0000-0000-000048D00000}"/>
    <cellStyle name="Total 21 5 3" xfId="53302" xr:uid="{00000000-0005-0000-0000-000049D00000}"/>
    <cellStyle name="Total 21 6" xfId="53303" xr:uid="{00000000-0005-0000-0000-00004AD00000}"/>
    <cellStyle name="Total 21 6 2" xfId="53304" xr:uid="{00000000-0005-0000-0000-00004BD00000}"/>
    <cellStyle name="Total 21 6 3" xfId="53305" xr:uid="{00000000-0005-0000-0000-00004CD00000}"/>
    <cellStyle name="Total 21 7" xfId="53306" xr:uid="{00000000-0005-0000-0000-00004DD00000}"/>
    <cellStyle name="Total 21 8" xfId="53307" xr:uid="{00000000-0005-0000-0000-00004ED00000}"/>
    <cellStyle name="Total 21 9" xfId="53308" xr:uid="{00000000-0005-0000-0000-00004FD00000}"/>
    <cellStyle name="Total 22" xfId="53309" xr:uid="{00000000-0005-0000-0000-000050D00000}"/>
    <cellStyle name="Total 22 10" xfId="53310" xr:uid="{00000000-0005-0000-0000-000051D00000}"/>
    <cellStyle name="Total 22 2" xfId="53311" xr:uid="{00000000-0005-0000-0000-000052D00000}"/>
    <cellStyle name="Total 22 2 2" xfId="53312" xr:uid="{00000000-0005-0000-0000-000053D00000}"/>
    <cellStyle name="Total 22 2 3" xfId="53313" xr:uid="{00000000-0005-0000-0000-000054D00000}"/>
    <cellStyle name="Total 22 2 4" xfId="53314" xr:uid="{00000000-0005-0000-0000-000055D00000}"/>
    <cellStyle name="Total 22 2 5" xfId="53315" xr:uid="{00000000-0005-0000-0000-000056D00000}"/>
    <cellStyle name="Total 22 3" xfId="53316" xr:uid="{00000000-0005-0000-0000-000057D00000}"/>
    <cellStyle name="Total 22 3 2" xfId="53317" xr:uid="{00000000-0005-0000-0000-000058D00000}"/>
    <cellStyle name="Total 22 3 3" xfId="53318" xr:uid="{00000000-0005-0000-0000-000059D00000}"/>
    <cellStyle name="Total 22 4" xfId="53319" xr:uid="{00000000-0005-0000-0000-00005AD00000}"/>
    <cellStyle name="Total 22 4 2" xfId="53320" xr:uid="{00000000-0005-0000-0000-00005BD00000}"/>
    <cellStyle name="Total 22 4 3" xfId="53321" xr:uid="{00000000-0005-0000-0000-00005CD00000}"/>
    <cellStyle name="Total 22 5" xfId="53322" xr:uid="{00000000-0005-0000-0000-00005DD00000}"/>
    <cellStyle name="Total 22 5 2" xfId="53323" xr:uid="{00000000-0005-0000-0000-00005ED00000}"/>
    <cellStyle name="Total 22 5 3" xfId="53324" xr:uid="{00000000-0005-0000-0000-00005FD00000}"/>
    <cellStyle name="Total 22 6" xfId="53325" xr:uid="{00000000-0005-0000-0000-000060D00000}"/>
    <cellStyle name="Total 22 6 2" xfId="53326" xr:uid="{00000000-0005-0000-0000-000061D00000}"/>
    <cellStyle name="Total 22 6 3" xfId="53327" xr:uid="{00000000-0005-0000-0000-000062D00000}"/>
    <cellStyle name="Total 22 7" xfId="53328" xr:uid="{00000000-0005-0000-0000-000063D00000}"/>
    <cellStyle name="Total 22 8" xfId="53329" xr:uid="{00000000-0005-0000-0000-000064D00000}"/>
    <cellStyle name="Total 22 9" xfId="53330" xr:uid="{00000000-0005-0000-0000-000065D00000}"/>
    <cellStyle name="Total 23" xfId="53331" xr:uid="{00000000-0005-0000-0000-000066D00000}"/>
    <cellStyle name="Total 23 2" xfId="53332" xr:uid="{00000000-0005-0000-0000-000067D00000}"/>
    <cellStyle name="Total 23 2 2" xfId="53333" xr:uid="{00000000-0005-0000-0000-000068D00000}"/>
    <cellStyle name="Total 23 2 3" xfId="53334" xr:uid="{00000000-0005-0000-0000-000069D00000}"/>
    <cellStyle name="Total 23 2 4" xfId="53335" xr:uid="{00000000-0005-0000-0000-00006AD00000}"/>
    <cellStyle name="Total 23 2 5" xfId="53336" xr:uid="{00000000-0005-0000-0000-00006BD00000}"/>
    <cellStyle name="Total 23 3" xfId="53337" xr:uid="{00000000-0005-0000-0000-00006CD00000}"/>
    <cellStyle name="Total 23 3 2" xfId="53338" xr:uid="{00000000-0005-0000-0000-00006DD00000}"/>
    <cellStyle name="Total 23 3 3" xfId="53339" xr:uid="{00000000-0005-0000-0000-00006ED00000}"/>
    <cellStyle name="Total 23 4" xfId="53340" xr:uid="{00000000-0005-0000-0000-00006FD00000}"/>
    <cellStyle name="Total 23 4 2" xfId="53341" xr:uid="{00000000-0005-0000-0000-000070D00000}"/>
    <cellStyle name="Total 23 4 3" xfId="53342" xr:uid="{00000000-0005-0000-0000-000071D00000}"/>
    <cellStyle name="Total 23 5" xfId="53343" xr:uid="{00000000-0005-0000-0000-000072D00000}"/>
    <cellStyle name="Total 23 5 2" xfId="53344" xr:uid="{00000000-0005-0000-0000-000073D00000}"/>
    <cellStyle name="Total 23 5 3" xfId="53345" xr:uid="{00000000-0005-0000-0000-000074D00000}"/>
    <cellStyle name="Total 23 6" xfId="53346" xr:uid="{00000000-0005-0000-0000-000075D00000}"/>
    <cellStyle name="Total 23 6 2" xfId="53347" xr:uid="{00000000-0005-0000-0000-000076D00000}"/>
    <cellStyle name="Total 23 7" xfId="53348" xr:uid="{00000000-0005-0000-0000-000077D00000}"/>
    <cellStyle name="Total 23 8" xfId="53349" xr:uid="{00000000-0005-0000-0000-000078D00000}"/>
    <cellStyle name="Total 23 9" xfId="53350" xr:uid="{00000000-0005-0000-0000-000079D00000}"/>
    <cellStyle name="Total 24" xfId="53351" xr:uid="{00000000-0005-0000-0000-00007AD00000}"/>
    <cellStyle name="Total 24 2" xfId="53352" xr:uid="{00000000-0005-0000-0000-00007BD00000}"/>
    <cellStyle name="Total 24 2 2" xfId="53353" xr:uid="{00000000-0005-0000-0000-00007CD00000}"/>
    <cellStyle name="Total 24 2 3" xfId="53354" xr:uid="{00000000-0005-0000-0000-00007DD00000}"/>
    <cellStyle name="Total 24 2 4" xfId="53355" xr:uid="{00000000-0005-0000-0000-00007ED00000}"/>
    <cellStyle name="Total 24 2 5" xfId="53356" xr:uid="{00000000-0005-0000-0000-00007FD00000}"/>
    <cellStyle name="Total 24 3" xfId="53357" xr:uid="{00000000-0005-0000-0000-000080D00000}"/>
    <cellStyle name="Total 24 3 2" xfId="53358" xr:uid="{00000000-0005-0000-0000-000081D00000}"/>
    <cellStyle name="Total 24 3 3" xfId="53359" xr:uid="{00000000-0005-0000-0000-000082D00000}"/>
    <cellStyle name="Total 24 4" xfId="53360" xr:uid="{00000000-0005-0000-0000-000083D00000}"/>
    <cellStyle name="Total 24 4 2" xfId="53361" xr:uid="{00000000-0005-0000-0000-000084D00000}"/>
    <cellStyle name="Total 24 4 3" xfId="53362" xr:uid="{00000000-0005-0000-0000-000085D00000}"/>
    <cellStyle name="Total 24 5" xfId="53363" xr:uid="{00000000-0005-0000-0000-000086D00000}"/>
    <cellStyle name="Total 24 5 2" xfId="53364" xr:uid="{00000000-0005-0000-0000-000087D00000}"/>
    <cellStyle name="Total 24 5 3" xfId="53365" xr:uid="{00000000-0005-0000-0000-000088D00000}"/>
    <cellStyle name="Total 24 6" xfId="53366" xr:uid="{00000000-0005-0000-0000-000089D00000}"/>
    <cellStyle name="Total 24 6 2" xfId="53367" xr:uid="{00000000-0005-0000-0000-00008AD00000}"/>
    <cellStyle name="Total 24 7" xfId="53368" xr:uid="{00000000-0005-0000-0000-00008BD00000}"/>
    <cellStyle name="Total 24 8" xfId="53369" xr:uid="{00000000-0005-0000-0000-00008CD00000}"/>
    <cellStyle name="Total 24 9" xfId="53370" xr:uid="{00000000-0005-0000-0000-00008DD00000}"/>
    <cellStyle name="Total 25" xfId="53371" xr:uid="{00000000-0005-0000-0000-00008ED00000}"/>
    <cellStyle name="Total 25 2" xfId="53372" xr:uid="{00000000-0005-0000-0000-00008FD00000}"/>
    <cellStyle name="Total 25 2 2" xfId="53373" xr:uid="{00000000-0005-0000-0000-000090D00000}"/>
    <cellStyle name="Total 25 2 3" xfId="53374" xr:uid="{00000000-0005-0000-0000-000091D00000}"/>
    <cellStyle name="Total 25 2 4" xfId="53375" xr:uid="{00000000-0005-0000-0000-000092D00000}"/>
    <cellStyle name="Total 25 2 5" xfId="53376" xr:uid="{00000000-0005-0000-0000-000093D00000}"/>
    <cellStyle name="Total 25 3" xfId="53377" xr:uid="{00000000-0005-0000-0000-000094D00000}"/>
    <cellStyle name="Total 25 3 2" xfId="53378" xr:uid="{00000000-0005-0000-0000-000095D00000}"/>
    <cellStyle name="Total 25 3 3" xfId="53379" xr:uid="{00000000-0005-0000-0000-000096D00000}"/>
    <cellStyle name="Total 25 4" xfId="53380" xr:uid="{00000000-0005-0000-0000-000097D00000}"/>
    <cellStyle name="Total 25 4 2" xfId="53381" xr:uid="{00000000-0005-0000-0000-000098D00000}"/>
    <cellStyle name="Total 25 4 3" xfId="53382" xr:uid="{00000000-0005-0000-0000-000099D00000}"/>
    <cellStyle name="Total 25 5" xfId="53383" xr:uid="{00000000-0005-0000-0000-00009AD00000}"/>
    <cellStyle name="Total 25 5 2" xfId="53384" xr:uid="{00000000-0005-0000-0000-00009BD00000}"/>
    <cellStyle name="Total 25 5 3" xfId="53385" xr:uid="{00000000-0005-0000-0000-00009CD00000}"/>
    <cellStyle name="Total 25 6" xfId="53386" xr:uid="{00000000-0005-0000-0000-00009DD00000}"/>
    <cellStyle name="Total 25 6 2" xfId="53387" xr:uid="{00000000-0005-0000-0000-00009ED00000}"/>
    <cellStyle name="Total 25 7" xfId="53388" xr:uid="{00000000-0005-0000-0000-00009FD00000}"/>
    <cellStyle name="Total 25 8" xfId="53389" xr:uid="{00000000-0005-0000-0000-0000A0D00000}"/>
    <cellStyle name="Total 25 9" xfId="53390" xr:uid="{00000000-0005-0000-0000-0000A1D00000}"/>
    <cellStyle name="Total 26" xfId="53391" xr:uid="{00000000-0005-0000-0000-0000A2D00000}"/>
    <cellStyle name="Total 26 2" xfId="53392" xr:uid="{00000000-0005-0000-0000-0000A3D00000}"/>
    <cellStyle name="Total 26 2 2" xfId="53393" xr:uid="{00000000-0005-0000-0000-0000A4D00000}"/>
    <cellStyle name="Total 26 2 3" xfId="53394" xr:uid="{00000000-0005-0000-0000-0000A5D00000}"/>
    <cellStyle name="Total 26 2 4" xfId="53395" xr:uid="{00000000-0005-0000-0000-0000A6D00000}"/>
    <cellStyle name="Total 26 2 5" xfId="53396" xr:uid="{00000000-0005-0000-0000-0000A7D00000}"/>
    <cellStyle name="Total 26 3" xfId="53397" xr:uid="{00000000-0005-0000-0000-0000A8D00000}"/>
    <cellStyle name="Total 26 3 2" xfId="53398" xr:uid="{00000000-0005-0000-0000-0000A9D00000}"/>
    <cellStyle name="Total 26 3 3" xfId="53399" xr:uid="{00000000-0005-0000-0000-0000AAD00000}"/>
    <cellStyle name="Total 26 4" xfId="53400" xr:uid="{00000000-0005-0000-0000-0000ABD00000}"/>
    <cellStyle name="Total 26 4 2" xfId="53401" xr:uid="{00000000-0005-0000-0000-0000ACD00000}"/>
    <cellStyle name="Total 26 4 3" xfId="53402" xr:uid="{00000000-0005-0000-0000-0000ADD00000}"/>
    <cellStyle name="Total 26 5" xfId="53403" xr:uid="{00000000-0005-0000-0000-0000AED00000}"/>
    <cellStyle name="Total 26 5 2" xfId="53404" xr:uid="{00000000-0005-0000-0000-0000AFD00000}"/>
    <cellStyle name="Total 26 5 3" xfId="53405" xr:uid="{00000000-0005-0000-0000-0000B0D00000}"/>
    <cellStyle name="Total 26 6" xfId="53406" xr:uid="{00000000-0005-0000-0000-0000B1D00000}"/>
    <cellStyle name="Total 26 6 2" xfId="53407" xr:uid="{00000000-0005-0000-0000-0000B2D00000}"/>
    <cellStyle name="Total 26 7" xfId="53408" xr:uid="{00000000-0005-0000-0000-0000B3D00000}"/>
    <cellStyle name="Total 26 8" xfId="53409" xr:uid="{00000000-0005-0000-0000-0000B4D00000}"/>
    <cellStyle name="Total 26 9" xfId="53410" xr:uid="{00000000-0005-0000-0000-0000B5D00000}"/>
    <cellStyle name="Total 27" xfId="53411" xr:uid="{00000000-0005-0000-0000-0000B6D00000}"/>
    <cellStyle name="Total 27 2" xfId="53412" xr:uid="{00000000-0005-0000-0000-0000B7D00000}"/>
    <cellStyle name="Total 27 2 2" xfId="53413" xr:uid="{00000000-0005-0000-0000-0000B8D00000}"/>
    <cellStyle name="Total 27 2 3" xfId="53414" xr:uid="{00000000-0005-0000-0000-0000B9D00000}"/>
    <cellStyle name="Total 27 2 4" xfId="53415" xr:uid="{00000000-0005-0000-0000-0000BAD00000}"/>
    <cellStyle name="Total 27 2 5" xfId="53416" xr:uid="{00000000-0005-0000-0000-0000BBD00000}"/>
    <cellStyle name="Total 27 3" xfId="53417" xr:uid="{00000000-0005-0000-0000-0000BCD00000}"/>
    <cellStyle name="Total 27 3 2" xfId="53418" xr:uid="{00000000-0005-0000-0000-0000BDD00000}"/>
    <cellStyle name="Total 27 3 3" xfId="53419" xr:uid="{00000000-0005-0000-0000-0000BED00000}"/>
    <cellStyle name="Total 27 4" xfId="53420" xr:uid="{00000000-0005-0000-0000-0000BFD00000}"/>
    <cellStyle name="Total 27 4 2" xfId="53421" xr:uid="{00000000-0005-0000-0000-0000C0D00000}"/>
    <cellStyle name="Total 27 4 3" xfId="53422" xr:uid="{00000000-0005-0000-0000-0000C1D00000}"/>
    <cellStyle name="Total 27 5" xfId="53423" xr:uid="{00000000-0005-0000-0000-0000C2D00000}"/>
    <cellStyle name="Total 27 5 2" xfId="53424" xr:uid="{00000000-0005-0000-0000-0000C3D00000}"/>
    <cellStyle name="Total 27 5 3" xfId="53425" xr:uid="{00000000-0005-0000-0000-0000C4D00000}"/>
    <cellStyle name="Total 27 6" xfId="53426" xr:uid="{00000000-0005-0000-0000-0000C5D00000}"/>
    <cellStyle name="Total 27 6 2" xfId="53427" xr:uid="{00000000-0005-0000-0000-0000C6D00000}"/>
    <cellStyle name="Total 27 7" xfId="53428" xr:uid="{00000000-0005-0000-0000-0000C7D00000}"/>
    <cellStyle name="Total 27 8" xfId="53429" xr:uid="{00000000-0005-0000-0000-0000C8D00000}"/>
    <cellStyle name="Total 27 9" xfId="53430" xr:uid="{00000000-0005-0000-0000-0000C9D00000}"/>
    <cellStyle name="Total 28" xfId="53431" xr:uid="{00000000-0005-0000-0000-0000CAD00000}"/>
    <cellStyle name="Total 28 2" xfId="53432" xr:uid="{00000000-0005-0000-0000-0000CBD00000}"/>
    <cellStyle name="Total 28 2 2" xfId="53433" xr:uid="{00000000-0005-0000-0000-0000CCD00000}"/>
    <cellStyle name="Total 28 2 3" xfId="53434" xr:uid="{00000000-0005-0000-0000-0000CDD00000}"/>
    <cellStyle name="Total 28 2 4" xfId="53435" xr:uid="{00000000-0005-0000-0000-0000CED00000}"/>
    <cellStyle name="Total 28 2 5" xfId="53436" xr:uid="{00000000-0005-0000-0000-0000CFD00000}"/>
    <cellStyle name="Total 28 3" xfId="53437" xr:uid="{00000000-0005-0000-0000-0000D0D00000}"/>
    <cellStyle name="Total 28 3 2" xfId="53438" xr:uid="{00000000-0005-0000-0000-0000D1D00000}"/>
    <cellStyle name="Total 28 3 3" xfId="53439" xr:uid="{00000000-0005-0000-0000-0000D2D00000}"/>
    <cellStyle name="Total 28 4" xfId="53440" xr:uid="{00000000-0005-0000-0000-0000D3D00000}"/>
    <cellStyle name="Total 28 4 2" xfId="53441" xr:uid="{00000000-0005-0000-0000-0000D4D00000}"/>
    <cellStyle name="Total 28 4 3" xfId="53442" xr:uid="{00000000-0005-0000-0000-0000D5D00000}"/>
    <cellStyle name="Total 28 5" xfId="53443" xr:uid="{00000000-0005-0000-0000-0000D6D00000}"/>
    <cellStyle name="Total 28 5 2" xfId="53444" xr:uid="{00000000-0005-0000-0000-0000D7D00000}"/>
    <cellStyle name="Total 28 5 3" xfId="53445" xr:uid="{00000000-0005-0000-0000-0000D8D00000}"/>
    <cellStyle name="Total 28 6" xfId="53446" xr:uid="{00000000-0005-0000-0000-0000D9D00000}"/>
    <cellStyle name="Total 28 6 2" xfId="53447" xr:uid="{00000000-0005-0000-0000-0000DAD00000}"/>
    <cellStyle name="Total 28 7" xfId="53448" xr:uid="{00000000-0005-0000-0000-0000DBD00000}"/>
    <cellStyle name="Total 28 8" xfId="53449" xr:uid="{00000000-0005-0000-0000-0000DCD00000}"/>
    <cellStyle name="Total 28 9" xfId="53450" xr:uid="{00000000-0005-0000-0000-0000DDD00000}"/>
    <cellStyle name="Total 29" xfId="53451" xr:uid="{00000000-0005-0000-0000-0000DED00000}"/>
    <cellStyle name="Total 29 2" xfId="53452" xr:uid="{00000000-0005-0000-0000-0000DFD00000}"/>
    <cellStyle name="Total 29 2 2" xfId="53453" xr:uid="{00000000-0005-0000-0000-0000E0D00000}"/>
    <cellStyle name="Total 29 2 3" xfId="53454" xr:uid="{00000000-0005-0000-0000-0000E1D00000}"/>
    <cellStyle name="Total 29 2 4" xfId="53455" xr:uid="{00000000-0005-0000-0000-0000E2D00000}"/>
    <cellStyle name="Total 29 2 5" xfId="53456" xr:uid="{00000000-0005-0000-0000-0000E3D00000}"/>
    <cellStyle name="Total 29 3" xfId="53457" xr:uid="{00000000-0005-0000-0000-0000E4D00000}"/>
    <cellStyle name="Total 29 3 2" xfId="53458" xr:uid="{00000000-0005-0000-0000-0000E5D00000}"/>
    <cellStyle name="Total 29 3 3" xfId="53459" xr:uid="{00000000-0005-0000-0000-0000E6D00000}"/>
    <cellStyle name="Total 29 4" xfId="53460" xr:uid="{00000000-0005-0000-0000-0000E7D00000}"/>
    <cellStyle name="Total 29 4 2" xfId="53461" xr:uid="{00000000-0005-0000-0000-0000E8D00000}"/>
    <cellStyle name="Total 29 4 3" xfId="53462" xr:uid="{00000000-0005-0000-0000-0000E9D00000}"/>
    <cellStyle name="Total 29 5" xfId="53463" xr:uid="{00000000-0005-0000-0000-0000EAD00000}"/>
    <cellStyle name="Total 29 5 2" xfId="53464" xr:uid="{00000000-0005-0000-0000-0000EBD00000}"/>
    <cellStyle name="Total 29 5 3" xfId="53465" xr:uid="{00000000-0005-0000-0000-0000ECD00000}"/>
    <cellStyle name="Total 29 6" xfId="53466" xr:uid="{00000000-0005-0000-0000-0000EDD00000}"/>
    <cellStyle name="Total 29 6 2" xfId="53467" xr:uid="{00000000-0005-0000-0000-0000EED00000}"/>
    <cellStyle name="Total 29 7" xfId="53468" xr:uid="{00000000-0005-0000-0000-0000EFD00000}"/>
    <cellStyle name="Total 29 8" xfId="53469" xr:uid="{00000000-0005-0000-0000-0000F0D00000}"/>
    <cellStyle name="Total 29 9" xfId="53470" xr:uid="{00000000-0005-0000-0000-0000F1D00000}"/>
    <cellStyle name="Total 3" xfId="53471" xr:uid="{00000000-0005-0000-0000-0000F2D00000}"/>
    <cellStyle name="Total 3 2" xfId="53472" xr:uid="{00000000-0005-0000-0000-0000F3D00000}"/>
    <cellStyle name="Total 3 2 2" xfId="53473" xr:uid="{00000000-0005-0000-0000-0000F4D00000}"/>
    <cellStyle name="Total 3 2 2 2" xfId="53474" xr:uid="{00000000-0005-0000-0000-0000F5D00000}"/>
    <cellStyle name="Total 3 2 2 2 2" xfId="53475" xr:uid="{00000000-0005-0000-0000-0000F6D00000}"/>
    <cellStyle name="Total 3 2 2 2 3" xfId="53476" xr:uid="{00000000-0005-0000-0000-0000F7D00000}"/>
    <cellStyle name="Total 3 2 2 3" xfId="53477" xr:uid="{00000000-0005-0000-0000-0000F8D00000}"/>
    <cellStyle name="Total 3 2 2 3 2" xfId="53478" xr:uid="{00000000-0005-0000-0000-0000F9D00000}"/>
    <cellStyle name="Total 3 2 2 3 3" xfId="53479" xr:uid="{00000000-0005-0000-0000-0000FAD00000}"/>
    <cellStyle name="Total 3 2 2 4" xfId="53480" xr:uid="{00000000-0005-0000-0000-0000FBD00000}"/>
    <cellStyle name="Total 3 2 2 4 2" xfId="53481" xr:uid="{00000000-0005-0000-0000-0000FCD00000}"/>
    <cellStyle name="Total 3 2 2 5" xfId="53482" xr:uid="{00000000-0005-0000-0000-0000FDD00000}"/>
    <cellStyle name="Total 3 2 3" xfId="53483" xr:uid="{00000000-0005-0000-0000-0000FED00000}"/>
    <cellStyle name="Total 3 2 3 2" xfId="53484" xr:uid="{00000000-0005-0000-0000-0000FFD00000}"/>
    <cellStyle name="Total 3 2 3 3" xfId="53485" xr:uid="{00000000-0005-0000-0000-000000D10000}"/>
    <cellStyle name="Total 3 2 4" xfId="53486" xr:uid="{00000000-0005-0000-0000-000001D10000}"/>
    <cellStyle name="Total 3 2 4 2" xfId="53487" xr:uid="{00000000-0005-0000-0000-000002D10000}"/>
    <cellStyle name="Total 3 2 4 3" xfId="53488" xr:uid="{00000000-0005-0000-0000-000003D10000}"/>
    <cellStyle name="Total 3 2 5" xfId="53489" xr:uid="{00000000-0005-0000-0000-000004D10000}"/>
    <cellStyle name="Total 3 2 5 2" xfId="53490" xr:uid="{00000000-0005-0000-0000-000005D10000}"/>
    <cellStyle name="Total 3 2 5 3" xfId="53491" xr:uid="{00000000-0005-0000-0000-000006D10000}"/>
    <cellStyle name="Total 3 2 6" xfId="53492" xr:uid="{00000000-0005-0000-0000-000007D10000}"/>
    <cellStyle name="Total 3 2 6 2" xfId="53493" xr:uid="{00000000-0005-0000-0000-000008D10000}"/>
    <cellStyle name="Total 3 2 6 3" xfId="53494" xr:uid="{00000000-0005-0000-0000-000009D10000}"/>
    <cellStyle name="Total 3 2 7" xfId="53495" xr:uid="{00000000-0005-0000-0000-00000AD10000}"/>
    <cellStyle name="Total 3 2 8" xfId="53496" xr:uid="{00000000-0005-0000-0000-00000BD10000}"/>
    <cellStyle name="Total 3 2 9" xfId="53497" xr:uid="{00000000-0005-0000-0000-00000CD10000}"/>
    <cellStyle name="Total 3 3" xfId="53498" xr:uid="{00000000-0005-0000-0000-00000DD10000}"/>
    <cellStyle name="Total 3 3 2" xfId="53499" xr:uid="{00000000-0005-0000-0000-00000ED10000}"/>
    <cellStyle name="Total 3 3 3" xfId="53500" xr:uid="{00000000-0005-0000-0000-00000FD10000}"/>
    <cellStyle name="Total 3 4" xfId="53501" xr:uid="{00000000-0005-0000-0000-000010D10000}"/>
    <cellStyle name="Total 3 4 2" xfId="53502" xr:uid="{00000000-0005-0000-0000-000011D10000}"/>
    <cellStyle name="Total 3 4 3" xfId="53503" xr:uid="{00000000-0005-0000-0000-000012D10000}"/>
    <cellStyle name="Total 3 5" xfId="53504" xr:uid="{00000000-0005-0000-0000-000013D10000}"/>
    <cellStyle name="Total 3 5 2" xfId="53505" xr:uid="{00000000-0005-0000-0000-000014D10000}"/>
    <cellStyle name="Total 3 5 3" xfId="53506" xr:uid="{00000000-0005-0000-0000-000015D10000}"/>
    <cellStyle name="Total 3 6" xfId="53507" xr:uid="{00000000-0005-0000-0000-000016D10000}"/>
    <cellStyle name="Total 3 6 2" xfId="53508" xr:uid="{00000000-0005-0000-0000-000017D10000}"/>
    <cellStyle name="Total 3 6 3" xfId="53509" xr:uid="{00000000-0005-0000-0000-000018D10000}"/>
    <cellStyle name="Total 3 7" xfId="53510" xr:uid="{00000000-0005-0000-0000-000019D10000}"/>
    <cellStyle name="Total 3 8" xfId="53511" xr:uid="{00000000-0005-0000-0000-00001AD10000}"/>
    <cellStyle name="Total 3 9" xfId="53512" xr:uid="{00000000-0005-0000-0000-00001BD10000}"/>
    <cellStyle name="Total 30" xfId="53513" xr:uid="{00000000-0005-0000-0000-00001CD10000}"/>
    <cellStyle name="Total 30 2" xfId="53514" xr:uid="{00000000-0005-0000-0000-00001DD10000}"/>
    <cellStyle name="Total 30 2 2" xfId="53515" xr:uid="{00000000-0005-0000-0000-00001ED10000}"/>
    <cellStyle name="Total 30 2 3" xfId="53516" xr:uid="{00000000-0005-0000-0000-00001FD10000}"/>
    <cellStyle name="Total 30 2 4" xfId="53517" xr:uid="{00000000-0005-0000-0000-000020D10000}"/>
    <cellStyle name="Total 30 2 5" xfId="53518" xr:uid="{00000000-0005-0000-0000-000021D10000}"/>
    <cellStyle name="Total 30 3" xfId="53519" xr:uid="{00000000-0005-0000-0000-000022D10000}"/>
    <cellStyle name="Total 30 3 2" xfId="53520" xr:uid="{00000000-0005-0000-0000-000023D10000}"/>
    <cellStyle name="Total 30 3 3" xfId="53521" xr:uid="{00000000-0005-0000-0000-000024D10000}"/>
    <cellStyle name="Total 30 4" xfId="53522" xr:uid="{00000000-0005-0000-0000-000025D10000}"/>
    <cellStyle name="Total 30 4 2" xfId="53523" xr:uid="{00000000-0005-0000-0000-000026D10000}"/>
    <cellStyle name="Total 30 4 3" xfId="53524" xr:uid="{00000000-0005-0000-0000-000027D10000}"/>
    <cellStyle name="Total 30 5" xfId="53525" xr:uid="{00000000-0005-0000-0000-000028D10000}"/>
    <cellStyle name="Total 30 5 2" xfId="53526" xr:uid="{00000000-0005-0000-0000-000029D10000}"/>
    <cellStyle name="Total 30 5 3" xfId="53527" xr:uid="{00000000-0005-0000-0000-00002AD10000}"/>
    <cellStyle name="Total 30 6" xfId="53528" xr:uid="{00000000-0005-0000-0000-00002BD10000}"/>
    <cellStyle name="Total 30 6 2" xfId="53529" xr:uid="{00000000-0005-0000-0000-00002CD10000}"/>
    <cellStyle name="Total 30 7" xfId="53530" xr:uid="{00000000-0005-0000-0000-00002DD10000}"/>
    <cellStyle name="Total 30 8" xfId="53531" xr:uid="{00000000-0005-0000-0000-00002ED10000}"/>
    <cellStyle name="Total 30 9" xfId="53532" xr:uid="{00000000-0005-0000-0000-00002FD10000}"/>
    <cellStyle name="Total 31" xfId="53533" xr:uid="{00000000-0005-0000-0000-000030D10000}"/>
    <cellStyle name="Total 31 2" xfId="53534" xr:uid="{00000000-0005-0000-0000-000031D10000}"/>
    <cellStyle name="Total 31 2 2" xfId="53535" xr:uid="{00000000-0005-0000-0000-000032D10000}"/>
    <cellStyle name="Total 31 2 3" xfId="53536" xr:uid="{00000000-0005-0000-0000-000033D10000}"/>
    <cellStyle name="Total 31 2 4" xfId="53537" xr:uid="{00000000-0005-0000-0000-000034D10000}"/>
    <cellStyle name="Total 31 2 5" xfId="53538" xr:uid="{00000000-0005-0000-0000-000035D10000}"/>
    <cellStyle name="Total 31 3" xfId="53539" xr:uid="{00000000-0005-0000-0000-000036D10000}"/>
    <cellStyle name="Total 31 3 2" xfId="53540" xr:uid="{00000000-0005-0000-0000-000037D10000}"/>
    <cellStyle name="Total 31 3 3" xfId="53541" xr:uid="{00000000-0005-0000-0000-000038D10000}"/>
    <cellStyle name="Total 31 4" xfId="53542" xr:uid="{00000000-0005-0000-0000-000039D10000}"/>
    <cellStyle name="Total 31 4 2" xfId="53543" xr:uid="{00000000-0005-0000-0000-00003AD10000}"/>
    <cellStyle name="Total 31 4 3" xfId="53544" xr:uid="{00000000-0005-0000-0000-00003BD10000}"/>
    <cellStyle name="Total 31 5" xfId="53545" xr:uid="{00000000-0005-0000-0000-00003CD10000}"/>
    <cellStyle name="Total 31 5 2" xfId="53546" xr:uid="{00000000-0005-0000-0000-00003DD10000}"/>
    <cellStyle name="Total 31 5 3" xfId="53547" xr:uid="{00000000-0005-0000-0000-00003ED10000}"/>
    <cellStyle name="Total 31 6" xfId="53548" xr:uid="{00000000-0005-0000-0000-00003FD10000}"/>
    <cellStyle name="Total 31 6 2" xfId="53549" xr:uid="{00000000-0005-0000-0000-000040D10000}"/>
    <cellStyle name="Total 31 7" xfId="53550" xr:uid="{00000000-0005-0000-0000-000041D10000}"/>
    <cellStyle name="Total 31 8" xfId="53551" xr:uid="{00000000-0005-0000-0000-000042D10000}"/>
    <cellStyle name="Total 31 9" xfId="53552" xr:uid="{00000000-0005-0000-0000-000043D10000}"/>
    <cellStyle name="Total 32" xfId="53553" xr:uid="{00000000-0005-0000-0000-000044D10000}"/>
    <cellStyle name="Total 32 2" xfId="53554" xr:uid="{00000000-0005-0000-0000-000045D10000}"/>
    <cellStyle name="Total 32 2 2" xfId="53555" xr:uid="{00000000-0005-0000-0000-000046D10000}"/>
    <cellStyle name="Total 32 2 3" xfId="53556" xr:uid="{00000000-0005-0000-0000-000047D10000}"/>
    <cellStyle name="Total 32 2 4" xfId="53557" xr:uid="{00000000-0005-0000-0000-000048D10000}"/>
    <cellStyle name="Total 32 2 5" xfId="53558" xr:uid="{00000000-0005-0000-0000-000049D10000}"/>
    <cellStyle name="Total 32 3" xfId="53559" xr:uid="{00000000-0005-0000-0000-00004AD10000}"/>
    <cellStyle name="Total 32 3 2" xfId="53560" xr:uid="{00000000-0005-0000-0000-00004BD10000}"/>
    <cellStyle name="Total 32 3 3" xfId="53561" xr:uid="{00000000-0005-0000-0000-00004CD10000}"/>
    <cellStyle name="Total 32 4" xfId="53562" xr:uid="{00000000-0005-0000-0000-00004DD10000}"/>
    <cellStyle name="Total 32 4 2" xfId="53563" xr:uid="{00000000-0005-0000-0000-00004ED10000}"/>
    <cellStyle name="Total 32 4 3" xfId="53564" xr:uid="{00000000-0005-0000-0000-00004FD10000}"/>
    <cellStyle name="Total 32 5" xfId="53565" xr:uid="{00000000-0005-0000-0000-000050D10000}"/>
    <cellStyle name="Total 32 5 2" xfId="53566" xr:uid="{00000000-0005-0000-0000-000051D10000}"/>
    <cellStyle name="Total 32 5 3" xfId="53567" xr:uid="{00000000-0005-0000-0000-000052D10000}"/>
    <cellStyle name="Total 32 6" xfId="53568" xr:uid="{00000000-0005-0000-0000-000053D10000}"/>
    <cellStyle name="Total 32 6 2" xfId="53569" xr:uid="{00000000-0005-0000-0000-000054D10000}"/>
    <cellStyle name="Total 32 7" xfId="53570" xr:uid="{00000000-0005-0000-0000-000055D10000}"/>
    <cellStyle name="Total 32 8" xfId="53571" xr:uid="{00000000-0005-0000-0000-000056D10000}"/>
    <cellStyle name="Total 32 9" xfId="53572" xr:uid="{00000000-0005-0000-0000-000057D10000}"/>
    <cellStyle name="Total 33" xfId="53573" xr:uid="{00000000-0005-0000-0000-000058D10000}"/>
    <cellStyle name="Total 33 2" xfId="53574" xr:uid="{00000000-0005-0000-0000-000059D10000}"/>
    <cellStyle name="Total 33 2 2" xfId="53575" xr:uid="{00000000-0005-0000-0000-00005AD10000}"/>
    <cellStyle name="Total 33 2 3" xfId="53576" xr:uid="{00000000-0005-0000-0000-00005BD10000}"/>
    <cellStyle name="Total 33 2 4" xfId="53577" xr:uid="{00000000-0005-0000-0000-00005CD10000}"/>
    <cellStyle name="Total 33 2 5" xfId="53578" xr:uid="{00000000-0005-0000-0000-00005DD10000}"/>
    <cellStyle name="Total 33 3" xfId="53579" xr:uid="{00000000-0005-0000-0000-00005ED10000}"/>
    <cellStyle name="Total 33 3 2" xfId="53580" xr:uid="{00000000-0005-0000-0000-00005FD10000}"/>
    <cellStyle name="Total 33 3 3" xfId="53581" xr:uid="{00000000-0005-0000-0000-000060D10000}"/>
    <cellStyle name="Total 33 4" xfId="53582" xr:uid="{00000000-0005-0000-0000-000061D10000}"/>
    <cellStyle name="Total 33 4 2" xfId="53583" xr:uid="{00000000-0005-0000-0000-000062D10000}"/>
    <cellStyle name="Total 33 4 3" xfId="53584" xr:uid="{00000000-0005-0000-0000-000063D10000}"/>
    <cellStyle name="Total 33 5" xfId="53585" xr:uid="{00000000-0005-0000-0000-000064D10000}"/>
    <cellStyle name="Total 33 5 2" xfId="53586" xr:uid="{00000000-0005-0000-0000-000065D10000}"/>
    <cellStyle name="Total 33 5 3" xfId="53587" xr:uid="{00000000-0005-0000-0000-000066D10000}"/>
    <cellStyle name="Total 33 6" xfId="53588" xr:uid="{00000000-0005-0000-0000-000067D10000}"/>
    <cellStyle name="Total 33 6 2" xfId="53589" xr:uid="{00000000-0005-0000-0000-000068D10000}"/>
    <cellStyle name="Total 33 7" xfId="53590" xr:uid="{00000000-0005-0000-0000-000069D10000}"/>
    <cellStyle name="Total 33 8" xfId="53591" xr:uid="{00000000-0005-0000-0000-00006AD10000}"/>
    <cellStyle name="Total 33 9" xfId="53592" xr:uid="{00000000-0005-0000-0000-00006BD10000}"/>
    <cellStyle name="Total 34" xfId="53593" xr:uid="{00000000-0005-0000-0000-00006CD10000}"/>
    <cellStyle name="Total 34 2" xfId="53594" xr:uid="{00000000-0005-0000-0000-00006DD10000}"/>
    <cellStyle name="Total 34 3" xfId="53595" xr:uid="{00000000-0005-0000-0000-00006ED10000}"/>
    <cellStyle name="Total 35" xfId="53596" xr:uid="{00000000-0005-0000-0000-00006FD10000}"/>
    <cellStyle name="Total 35 2" xfId="53597" xr:uid="{00000000-0005-0000-0000-000070D10000}"/>
    <cellStyle name="Total 35 3" xfId="53598" xr:uid="{00000000-0005-0000-0000-000071D10000}"/>
    <cellStyle name="Total 36" xfId="53599" xr:uid="{00000000-0005-0000-0000-000072D10000}"/>
    <cellStyle name="Total 36 2" xfId="53600" xr:uid="{00000000-0005-0000-0000-000073D10000}"/>
    <cellStyle name="Total 36 3" xfId="53601" xr:uid="{00000000-0005-0000-0000-000074D10000}"/>
    <cellStyle name="Total 37" xfId="53602" xr:uid="{00000000-0005-0000-0000-000075D10000}"/>
    <cellStyle name="Total 37 2" xfId="53603" xr:uid="{00000000-0005-0000-0000-000076D10000}"/>
    <cellStyle name="Total 37 3" xfId="53604" xr:uid="{00000000-0005-0000-0000-000077D10000}"/>
    <cellStyle name="Total 38" xfId="53605" xr:uid="{00000000-0005-0000-0000-000078D10000}"/>
    <cellStyle name="Total 4" xfId="53606" xr:uid="{00000000-0005-0000-0000-000079D10000}"/>
    <cellStyle name="Total 4 10" xfId="53607" xr:uid="{00000000-0005-0000-0000-00007AD10000}"/>
    <cellStyle name="Total 4 2" xfId="53608" xr:uid="{00000000-0005-0000-0000-00007BD10000}"/>
    <cellStyle name="Total 4 2 2" xfId="53609" xr:uid="{00000000-0005-0000-0000-00007CD10000}"/>
    <cellStyle name="Total 4 2 3" xfId="53610" xr:uid="{00000000-0005-0000-0000-00007DD10000}"/>
    <cellStyle name="Total 4 2 4" xfId="53611" xr:uid="{00000000-0005-0000-0000-00007ED10000}"/>
    <cellStyle name="Total 4 2 5" xfId="53612" xr:uid="{00000000-0005-0000-0000-00007FD10000}"/>
    <cellStyle name="Total 4 3" xfId="53613" xr:uid="{00000000-0005-0000-0000-000080D10000}"/>
    <cellStyle name="Total 4 3 2" xfId="53614" xr:uid="{00000000-0005-0000-0000-000081D10000}"/>
    <cellStyle name="Total 4 3 3" xfId="53615" xr:uid="{00000000-0005-0000-0000-000082D10000}"/>
    <cellStyle name="Total 4 4" xfId="53616" xr:uid="{00000000-0005-0000-0000-000083D10000}"/>
    <cellStyle name="Total 4 4 2" xfId="53617" xr:uid="{00000000-0005-0000-0000-000084D10000}"/>
    <cellStyle name="Total 4 4 3" xfId="53618" xr:uid="{00000000-0005-0000-0000-000085D10000}"/>
    <cellStyle name="Total 4 5" xfId="53619" xr:uid="{00000000-0005-0000-0000-000086D10000}"/>
    <cellStyle name="Total 4 5 2" xfId="53620" xr:uid="{00000000-0005-0000-0000-000087D10000}"/>
    <cellStyle name="Total 4 5 3" xfId="53621" xr:uid="{00000000-0005-0000-0000-000088D10000}"/>
    <cellStyle name="Total 4 6" xfId="53622" xr:uid="{00000000-0005-0000-0000-000089D10000}"/>
    <cellStyle name="Total 4 6 2" xfId="53623" xr:uid="{00000000-0005-0000-0000-00008AD10000}"/>
    <cellStyle name="Total 4 6 3" xfId="53624" xr:uid="{00000000-0005-0000-0000-00008BD10000}"/>
    <cellStyle name="Total 4 7" xfId="53625" xr:uid="{00000000-0005-0000-0000-00008CD10000}"/>
    <cellStyle name="Total 4 8" xfId="53626" xr:uid="{00000000-0005-0000-0000-00008DD10000}"/>
    <cellStyle name="Total 4 9" xfId="53627" xr:uid="{00000000-0005-0000-0000-00008ED10000}"/>
    <cellStyle name="Total 4_Proj" xfId="53628" xr:uid="{00000000-0005-0000-0000-00008FD10000}"/>
    <cellStyle name="Total 5" xfId="53629" xr:uid="{00000000-0005-0000-0000-000090D10000}"/>
    <cellStyle name="Total 5 10" xfId="53630" xr:uid="{00000000-0005-0000-0000-000091D10000}"/>
    <cellStyle name="Total 5 2" xfId="53631" xr:uid="{00000000-0005-0000-0000-000092D10000}"/>
    <cellStyle name="Total 5 2 2" xfId="53632" xr:uid="{00000000-0005-0000-0000-000093D10000}"/>
    <cellStyle name="Total 5 2 3" xfId="53633" xr:uid="{00000000-0005-0000-0000-000094D10000}"/>
    <cellStyle name="Total 5 2 4" xfId="53634" xr:uid="{00000000-0005-0000-0000-000095D10000}"/>
    <cellStyle name="Total 5 2 5" xfId="53635" xr:uid="{00000000-0005-0000-0000-000096D10000}"/>
    <cellStyle name="Total 5 3" xfId="53636" xr:uid="{00000000-0005-0000-0000-000097D10000}"/>
    <cellStyle name="Total 5 3 2" xfId="53637" xr:uid="{00000000-0005-0000-0000-000098D10000}"/>
    <cellStyle name="Total 5 3 3" xfId="53638" xr:uid="{00000000-0005-0000-0000-000099D10000}"/>
    <cellStyle name="Total 5 4" xfId="53639" xr:uid="{00000000-0005-0000-0000-00009AD10000}"/>
    <cellStyle name="Total 5 4 2" xfId="53640" xr:uid="{00000000-0005-0000-0000-00009BD10000}"/>
    <cellStyle name="Total 5 4 3" xfId="53641" xr:uid="{00000000-0005-0000-0000-00009CD10000}"/>
    <cellStyle name="Total 5 5" xfId="53642" xr:uid="{00000000-0005-0000-0000-00009DD10000}"/>
    <cellStyle name="Total 5 5 2" xfId="53643" xr:uid="{00000000-0005-0000-0000-00009ED10000}"/>
    <cellStyle name="Total 5 5 3" xfId="53644" xr:uid="{00000000-0005-0000-0000-00009FD10000}"/>
    <cellStyle name="Total 5 6" xfId="53645" xr:uid="{00000000-0005-0000-0000-0000A0D10000}"/>
    <cellStyle name="Total 5 6 2" xfId="53646" xr:uid="{00000000-0005-0000-0000-0000A1D10000}"/>
    <cellStyle name="Total 5 6 3" xfId="53647" xr:uid="{00000000-0005-0000-0000-0000A2D10000}"/>
    <cellStyle name="Total 5 7" xfId="53648" xr:uid="{00000000-0005-0000-0000-0000A3D10000}"/>
    <cellStyle name="Total 5 8" xfId="53649" xr:uid="{00000000-0005-0000-0000-0000A4D10000}"/>
    <cellStyle name="Total 5 9" xfId="53650" xr:uid="{00000000-0005-0000-0000-0000A5D10000}"/>
    <cellStyle name="Total 6" xfId="53651" xr:uid="{00000000-0005-0000-0000-0000A6D10000}"/>
    <cellStyle name="Total 6 10" xfId="53652" xr:uid="{00000000-0005-0000-0000-0000A7D10000}"/>
    <cellStyle name="Total 6 2" xfId="53653" xr:uid="{00000000-0005-0000-0000-0000A8D10000}"/>
    <cellStyle name="Total 6 2 2" xfId="53654" xr:uid="{00000000-0005-0000-0000-0000A9D10000}"/>
    <cellStyle name="Total 6 2 3" xfId="53655" xr:uid="{00000000-0005-0000-0000-0000AAD10000}"/>
    <cellStyle name="Total 6 2 4" xfId="53656" xr:uid="{00000000-0005-0000-0000-0000ABD10000}"/>
    <cellStyle name="Total 6 2 5" xfId="53657" xr:uid="{00000000-0005-0000-0000-0000ACD10000}"/>
    <cellStyle name="Total 6 3" xfId="53658" xr:uid="{00000000-0005-0000-0000-0000ADD10000}"/>
    <cellStyle name="Total 6 3 2" xfId="53659" xr:uid="{00000000-0005-0000-0000-0000AED10000}"/>
    <cellStyle name="Total 6 3 3" xfId="53660" xr:uid="{00000000-0005-0000-0000-0000AFD10000}"/>
    <cellStyle name="Total 6 4" xfId="53661" xr:uid="{00000000-0005-0000-0000-0000B0D10000}"/>
    <cellStyle name="Total 6 4 2" xfId="53662" xr:uid="{00000000-0005-0000-0000-0000B1D10000}"/>
    <cellStyle name="Total 6 4 3" xfId="53663" xr:uid="{00000000-0005-0000-0000-0000B2D10000}"/>
    <cellStyle name="Total 6 5" xfId="53664" xr:uid="{00000000-0005-0000-0000-0000B3D10000}"/>
    <cellStyle name="Total 6 5 2" xfId="53665" xr:uid="{00000000-0005-0000-0000-0000B4D10000}"/>
    <cellStyle name="Total 6 5 3" xfId="53666" xr:uid="{00000000-0005-0000-0000-0000B5D10000}"/>
    <cellStyle name="Total 6 6" xfId="53667" xr:uid="{00000000-0005-0000-0000-0000B6D10000}"/>
    <cellStyle name="Total 6 6 2" xfId="53668" xr:uid="{00000000-0005-0000-0000-0000B7D10000}"/>
    <cellStyle name="Total 6 6 3" xfId="53669" xr:uid="{00000000-0005-0000-0000-0000B8D10000}"/>
    <cellStyle name="Total 6 7" xfId="53670" xr:uid="{00000000-0005-0000-0000-0000B9D10000}"/>
    <cellStyle name="Total 6 8" xfId="53671" xr:uid="{00000000-0005-0000-0000-0000BAD10000}"/>
    <cellStyle name="Total 6 9" xfId="53672" xr:uid="{00000000-0005-0000-0000-0000BBD10000}"/>
    <cellStyle name="Total 7" xfId="53673" xr:uid="{00000000-0005-0000-0000-0000BCD10000}"/>
    <cellStyle name="Total 7 10" xfId="53674" xr:uid="{00000000-0005-0000-0000-0000BDD10000}"/>
    <cellStyle name="Total 7 2" xfId="53675" xr:uid="{00000000-0005-0000-0000-0000BED10000}"/>
    <cellStyle name="Total 7 2 2" xfId="53676" xr:uid="{00000000-0005-0000-0000-0000BFD10000}"/>
    <cellStyle name="Total 7 2 3" xfId="53677" xr:uid="{00000000-0005-0000-0000-0000C0D10000}"/>
    <cellStyle name="Total 7 2 4" xfId="53678" xr:uid="{00000000-0005-0000-0000-0000C1D10000}"/>
    <cellStyle name="Total 7 2 5" xfId="53679" xr:uid="{00000000-0005-0000-0000-0000C2D10000}"/>
    <cellStyle name="Total 7 3" xfId="53680" xr:uid="{00000000-0005-0000-0000-0000C3D10000}"/>
    <cellStyle name="Total 7 3 2" xfId="53681" xr:uid="{00000000-0005-0000-0000-0000C4D10000}"/>
    <cellStyle name="Total 7 3 3" xfId="53682" xr:uid="{00000000-0005-0000-0000-0000C5D10000}"/>
    <cellStyle name="Total 7 4" xfId="53683" xr:uid="{00000000-0005-0000-0000-0000C6D10000}"/>
    <cellStyle name="Total 7 4 2" xfId="53684" xr:uid="{00000000-0005-0000-0000-0000C7D10000}"/>
    <cellStyle name="Total 7 4 3" xfId="53685" xr:uid="{00000000-0005-0000-0000-0000C8D10000}"/>
    <cellStyle name="Total 7 5" xfId="53686" xr:uid="{00000000-0005-0000-0000-0000C9D10000}"/>
    <cellStyle name="Total 7 5 2" xfId="53687" xr:uid="{00000000-0005-0000-0000-0000CAD10000}"/>
    <cellStyle name="Total 7 5 3" xfId="53688" xr:uid="{00000000-0005-0000-0000-0000CBD10000}"/>
    <cellStyle name="Total 7 6" xfId="53689" xr:uid="{00000000-0005-0000-0000-0000CCD10000}"/>
    <cellStyle name="Total 7 6 2" xfId="53690" xr:uid="{00000000-0005-0000-0000-0000CDD10000}"/>
    <cellStyle name="Total 7 6 3" xfId="53691" xr:uid="{00000000-0005-0000-0000-0000CED10000}"/>
    <cellStyle name="Total 7 7" xfId="53692" xr:uid="{00000000-0005-0000-0000-0000CFD10000}"/>
    <cellStyle name="Total 7 8" xfId="53693" xr:uid="{00000000-0005-0000-0000-0000D0D10000}"/>
    <cellStyle name="Total 7 9" xfId="53694" xr:uid="{00000000-0005-0000-0000-0000D1D10000}"/>
    <cellStyle name="Total 8" xfId="53695" xr:uid="{00000000-0005-0000-0000-0000D2D10000}"/>
    <cellStyle name="Total 8 10" xfId="53696" xr:uid="{00000000-0005-0000-0000-0000D3D10000}"/>
    <cellStyle name="Total 8 2" xfId="53697" xr:uid="{00000000-0005-0000-0000-0000D4D10000}"/>
    <cellStyle name="Total 8 2 2" xfId="53698" xr:uid="{00000000-0005-0000-0000-0000D5D10000}"/>
    <cellStyle name="Total 8 2 3" xfId="53699" xr:uid="{00000000-0005-0000-0000-0000D6D10000}"/>
    <cellStyle name="Total 8 2 4" xfId="53700" xr:uid="{00000000-0005-0000-0000-0000D7D10000}"/>
    <cellStyle name="Total 8 2 5" xfId="53701" xr:uid="{00000000-0005-0000-0000-0000D8D10000}"/>
    <cellStyle name="Total 8 3" xfId="53702" xr:uid="{00000000-0005-0000-0000-0000D9D10000}"/>
    <cellStyle name="Total 8 3 2" xfId="53703" xr:uid="{00000000-0005-0000-0000-0000DAD10000}"/>
    <cellStyle name="Total 8 3 3" xfId="53704" xr:uid="{00000000-0005-0000-0000-0000DBD10000}"/>
    <cellStyle name="Total 8 4" xfId="53705" xr:uid="{00000000-0005-0000-0000-0000DCD10000}"/>
    <cellStyle name="Total 8 4 2" xfId="53706" xr:uid="{00000000-0005-0000-0000-0000DDD10000}"/>
    <cellStyle name="Total 8 4 3" xfId="53707" xr:uid="{00000000-0005-0000-0000-0000DED10000}"/>
    <cellStyle name="Total 8 5" xfId="53708" xr:uid="{00000000-0005-0000-0000-0000DFD10000}"/>
    <cellStyle name="Total 8 5 2" xfId="53709" xr:uid="{00000000-0005-0000-0000-0000E0D10000}"/>
    <cellStyle name="Total 8 5 3" xfId="53710" xr:uid="{00000000-0005-0000-0000-0000E1D10000}"/>
    <cellStyle name="Total 8 6" xfId="53711" xr:uid="{00000000-0005-0000-0000-0000E2D10000}"/>
    <cellStyle name="Total 8 6 2" xfId="53712" xr:uid="{00000000-0005-0000-0000-0000E3D10000}"/>
    <cellStyle name="Total 8 6 3" xfId="53713" xr:uid="{00000000-0005-0000-0000-0000E4D10000}"/>
    <cellStyle name="Total 8 7" xfId="53714" xr:uid="{00000000-0005-0000-0000-0000E5D10000}"/>
    <cellStyle name="Total 8 8" xfId="53715" xr:uid="{00000000-0005-0000-0000-0000E6D10000}"/>
    <cellStyle name="Total 8 9" xfId="53716" xr:uid="{00000000-0005-0000-0000-0000E7D10000}"/>
    <cellStyle name="Total 9" xfId="53717" xr:uid="{00000000-0005-0000-0000-0000E8D10000}"/>
    <cellStyle name="Total 9 10" xfId="53718" xr:uid="{00000000-0005-0000-0000-0000E9D10000}"/>
    <cellStyle name="Total 9 2" xfId="53719" xr:uid="{00000000-0005-0000-0000-0000EAD10000}"/>
    <cellStyle name="Total 9 2 2" xfId="53720" xr:uid="{00000000-0005-0000-0000-0000EBD10000}"/>
    <cellStyle name="Total 9 2 3" xfId="53721" xr:uid="{00000000-0005-0000-0000-0000ECD10000}"/>
    <cellStyle name="Total 9 2 4" xfId="53722" xr:uid="{00000000-0005-0000-0000-0000EDD10000}"/>
    <cellStyle name="Total 9 2 5" xfId="53723" xr:uid="{00000000-0005-0000-0000-0000EED10000}"/>
    <cellStyle name="Total 9 3" xfId="53724" xr:uid="{00000000-0005-0000-0000-0000EFD10000}"/>
    <cellStyle name="Total 9 3 2" xfId="53725" xr:uid="{00000000-0005-0000-0000-0000F0D10000}"/>
    <cellStyle name="Total 9 3 3" xfId="53726" xr:uid="{00000000-0005-0000-0000-0000F1D10000}"/>
    <cellStyle name="Total 9 4" xfId="53727" xr:uid="{00000000-0005-0000-0000-0000F2D10000}"/>
    <cellStyle name="Total 9 4 2" xfId="53728" xr:uid="{00000000-0005-0000-0000-0000F3D10000}"/>
    <cellStyle name="Total 9 4 3" xfId="53729" xr:uid="{00000000-0005-0000-0000-0000F4D10000}"/>
    <cellStyle name="Total 9 5" xfId="53730" xr:uid="{00000000-0005-0000-0000-0000F5D10000}"/>
    <cellStyle name="Total 9 5 2" xfId="53731" xr:uid="{00000000-0005-0000-0000-0000F6D10000}"/>
    <cellStyle name="Total 9 5 3" xfId="53732" xr:uid="{00000000-0005-0000-0000-0000F7D10000}"/>
    <cellStyle name="Total 9 6" xfId="53733" xr:uid="{00000000-0005-0000-0000-0000F8D10000}"/>
    <cellStyle name="Total 9 6 2" xfId="53734" xr:uid="{00000000-0005-0000-0000-0000F9D10000}"/>
    <cellStyle name="Total 9 6 3" xfId="53735" xr:uid="{00000000-0005-0000-0000-0000FAD10000}"/>
    <cellStyle name="Total 9 7" xfId="53736" xr:uid="{00000000-0005-0000-0000-0000FBD10000}"/>
    <cellStyle name="Total 9 8" xfId="53737" xr:uid="{00000000-0005-0000-0000-0000FCD10000}"/>
    <cellStyle name="Total 9 9" xfId="53738" xr:uid="{00000000-0005-0000-0000-0000FDD10000}"/>
    <cellStyle name="totalbold" xfId="53739" xr:uid="{00000000-0005-0000-0000-0000FED10000}"/>
    <cellStyle name="TotCol - Style5" xfId="53740" xr:uid="{00000000-0005-0000-0000-0000FFD10000}"/>
    <cellStyle name="TotRow - Style4" xfId="53741" xr:uid="{00000000-0005-0000-0000-000000D20000}"/>
    <cellStyle name="TotRow - Style4 2" xfId="53742" xr:uid="{00000000-0005-0000-0000-000001D20000}"/>
    <cellStyle name="TotRow - Style4 3" xfId="53743" xr:uid="{00000000-0005-0000-0000-000002D20000}"/>
    <cellStyle name="TotRow - Style4 4" xfId="53744" xr:uid="{00000000-0005-0000-0000-000003D20000}"/>
    <cellStyle name="TotRow - Style4 5" xfId="53745" xr:uid="{00000000-0005-0000-0000-000004D20000}"/>
    <cellStyle name="Tusental (0)_pldt" xfId="53746" xr:uid="{00000000-0005-0000-0000-000005D20000}"/>
    <cellStyle name="Tusental_pldt" xfId="53747" xr:uid="{00000000-0005-0000-0000-000006D20000}"/>
    <cellStyle name="Undefiniert" xfId="53748" xr:uid="{00000000-0005-0000-0000-000007D20000}"/>
    <cellStyle name="Undefiniert 2" xfId="53749" xr:uid="{00000000-0005-0000-0000-000008D20000}"/>
    <cellStyle name="uni" xfId="53750" xr:uid="{00000000-0005-0000-0000-000009D20000}"/>
    <cellStyle name="Unit" xfId="53751" xr:uid="{00000000-0005-0000-0000-00000AD20000}"/>
    <cellStyle name="Unprot" xfId="53752" xr:uid="{00000000-0005-0000-0000-00000BD20000}"/>
    <cellStyle name="Unprot 2" xfId="53753" xr:uid="{00000000-0005-0000-0000-00000CD20000}"/>
    <cellStyle name="Unprot 3" xfId="53754" xr:uid="{00000000-0005-0000-0000-00000DD20000}"/>
    <cellStyle name="Unprot 4" xfId="53755" xr:uid="{00000000-0005-0000-0000-00000ED20000}"/>
    <cellStyle name="Unprot$" xfId="53756" xr:uid="{00000000-0005-0000-0000-00000FD20000}"/>
    <cellStyle name="Unprot$ 2" xfId="53757" xr:uid="{00000000-0005-0000-0000-000010D20000}"/>
    <cellStyle name="Unprot$ 3" xfId="53758" xr:uid="{00000000-0005-0000-0000-000011D20000}"/>
    <cellStyle name="Unprot$ 4" xfId="53759" xr:uid="{00000000-0005-0000-0000-000012D20000}"/>
    <cellStyle name="Unprot$ 5" xfId="53760" xr:uid="{00000000-0005-0000-0000-000013D20000}"/>
    <cellStyle name="Unprot$ 6" xfId="53761" xr:uid="{00000000-0005-0000-0000-000014D20000}"/>
    <cellStyle name="Unprot_5021" xfId="53762" xr:uid="{00000000-0005-0000-0000-000015D20000}"/>
    <cellStyle name="Unprotect" xfId="53763" xr:uid="{00000000-0005-0000-0000-000016D20000}"/>
    <cellStyle name="Unprotect 2" xfId="53764" xr:uid="{00000000-0005-0000-0000-000017D20000}"/>
    <cellStyle name="Unprotect 3" xfId="53765" xr:uid="{00000000-0005-0000-0000-000018D20000}"/>
    <cellStyle name="Unshaded_ " xfId="53766" xr:uid="{00000000-0005-0000-0000-000019D20000}"/>
    <cellStyle name="Untitled1" xfId="53767" xr:uid="{00000000-0005-0000-0000-00001AD20000}"/>
    <cellStyle name="Untitled2" xfId="53768" xr:uid="{00000000-0005-0000-0000-00001BD20000}"/>
    <cellStyle name="Untitled3" xfId="53769" xr:uid="{00000000-0005-0000-0000-00001CD20000}"/>
    <cellStyle name="Untitled4" xfId="53770" xr:uid="{00000000-0005-0000-0000-00001DD20000}"/>
    <cellStyle name="Untitled5" xfId="53771" xr:uid="{00000000-0005-0000-0000-00001ED20000}"/>
    <cellStyle name="Untitled6" xfId="53772" xr:uid="{00000000-0005-0000-0000-00001FD20000}"/>
    <cellStyle name="Untitled7" xfId="53773" xr:uid="{00000000-0005-0000-0000-000020D20000}"/>
    <cellStyle name="v" xfId="53774" xr:uid="{00000000-0005-0000-0000-000021D20000}"/>
    <cellStyle name="v 2" xfId="53775" xr:uid="{00000000-0005-0000-0000-000022D20000}"/>
    <cellStyle name="v 2 2" xfId="53776" xr:uid="{00000000-0005-0000-0000-000023D20000}"/>
    <cellStyle name="v 2 2 2" xfId="53777" xr:uid="{00000000-0005-0000-0000-000024D20000}"/>
    <cellStyle name="v 2 2 2 2" xfId="53778" xr:uid="{00000000-0005-0000-0000-000025D20000}"/>
    <cellStyle name="v 2 2 3" xfId="53779" xr:uid="{00000000-0005-0000-0000-000026D20000}"/>
    <cellStyle name="v 2 2 3 2" xfId="53780" xr:uid="{00000000-0005-0000-0000-000027D20000}"/>
    <cellStyle name="v 2 2 4" xfId="53781" xr:uid="{00000000-0005-0000-0000-000028D20000}"/>
    <cellStyle name="v 2 3" xfId="53782" xr:uid="{00000000-0005-0000-0000-000029D20000}"/>
    <cellStyle name="v 2 3 2" xfId="53783" xr:uid="{00000000-0005-0000-0000-00002AD20000}"/>
    <cellStyle name="v 2 4" xfId="53784" xr:uid="{00000000-0005-0000-0000-00002BD20000}"/>
    <cellStyle name="v 2 4 2" xfId="53785" xr:uid="{00000000-0005-0000-0000-00002CD20000}"/>
    <cellStyle name="v 2 5" xfId="53786" xr:uid="{00000000-0005-0000-0000-00002DD20000}"/>
    <cellStyle name="v 2 5 2" xfId="53787" xr:uid="{00000000-0005-0000-0000-00002ED20000}"/>
    <cellStyle name="v 2 6" xfId="53788" xr:uid="{00000000-0005-0000-0000-00002FD20000}"/>
    <cellStyle name="v 2 7" xfId="53789" xr:uid="{00000000-0005-0000-0000-000030D20000}"/>
    <cellStyle name="v 3" xfId="53790" xr:uid="{00000000-0005-0000-0000-000031D20000}"/>
    <cellStyle name="v 3 2" xfId="53791" xr:uid="{00000000-0005-0000-0000-000032D20000}"/>
    <cellStyle name="v 3 2 2" xfId="53792" xr:uid="{00000000-0005-0000-0000-000033D20000}"/>
    <cellStyle name="v 3 3" xfId="53793" xr:uid="{00000000-0005-0000-0000-000034D20000}"/>
    <cellStyle name="v 3 3 2" xfId="53794" xr:uid="{00000000-0005-0000-0000-000035D20000}"/>
    <cellStyle name="v 3 4" xfId="53795" xr:uid="{00000000-0005-0000-0000-000036D20000}"/>
    <cellStyle name="v 4" xfId="53796" xr:uid="{00000000-0005-0000-0000-000037D20000}"/>
    <cellStyle name="v 4 2" xfId="53797" xr:uid="{00000000-0005-0000-0000-000038D20000}"/>
    <cellStyle name="v 5" xfId="53798" xr:uid="{00000000-0005-0000-0000-000039D20000}"/>
    <cellStyle name="v 5 2" xfId="53799" xr:uid="{00000000-0005-0000-0000-00003AD20000}"/>
    <cellStyle name="v 6" xfId="53800" xr:uid="{00000000-0005-0000-0000-00003BD20000}"/>
    <cellStyle name="v_Risk &amp; Mitigation" xfId="53801" xr:uid="{00000000-0005-0000-0000-00003CD20000}"/>
    <cellStyle name="v_Risk &amp; Mitigation 2" xfId="53802" xr:uid="{00000000-0005-0000-0000-00003DD20000}"/>
    <cellStyle name="v_Risk &amp; Mitigation 2 2" xfId="53803" xr:uid="{00000000-0005-0000-0000-00003ED20000}"/>
    <cellStyle name="v_Risk &amp; Mitigation 2 2 2" xfId="53804" xr:uid="{00000000-0005-0000-0000-00003FD20000}"/>
    <cellStyle name="v_Risk &amp; Mitigation 2 2 2 2" xfId="53805" xr:uid="{00000000-0005-0000-0000-000040D20000}"/>
    <cellStyle name="v_Risk &amp; Mitigation 2 2 3" xfId="53806" xr:uid="{00000000-0005-0000-0000-000041D20000}"/>
    <cellStyle name="v_Risk &amp; Mitigation 2 2 3 2" xfId="53807" xr:uid="{00000000-0005-0000-0000-000042D20000}"/>
    <cellStyle name="v_Risk &amp; Mitigation 2 2 4" xfId="53808" xr:uid="{00000000-0005-0000-0000-000043D20000}"/>
    <cellStyle name="v_Risk &amp; Mitigation 2 3" xfId="53809" xr:uid="{00000000-0005-0000-0000-000044D20000}"/>
    <cellStyle name="v_Risk &amp; Mitigation 2 3 2" xfId="53810" xr:uid="{00000000-0005-0000-0000-000045D20000}"/>
    <cellStyle name="v_Risk &amp; Mitigation 2 4" xfId="53811" xr:uid="{00000000-0005-0000-0000-000046D20000}"/>
    <cellStyle name="v_Risk &amp; Mitigation 2 4 2" xfId="53812" xr:uid="{00000000-0005-0000-0000-000047D20000}"/>
    <cellStyle name="v_Risk &amp; Mitigation 2 5" xfId="53813" xr:uid="{00000000-0005-0000-0000-000048D20000}"/>
    <cellStyle name="v_Risk &amp; Mitigation 2 5 2" xfId="53814" xr:uid="{00000000-0005-0000-0000-000049D20000}"/>
    <cellStyle name="v_Risk &amp; Mitigation 2 6" xfId="53815" xr:uid="{00000000-0005-0000-0000-00004AD20000}"/>
    <cellStyle name="v_Risk &amp; Mitigation 2 7" xfId="53816" xr:uid="{00000000-0005-0000-0000-00004BD20000}"/>
    <cellStyle name="v_Risk &amp; Mitigation 3" xfId="53817" xr:uid="{00000000-0005-0000-0000-00004CD20000}"/>
    <cellStyle name="v_Risk &amp; Mitigation 3 2" xfId="53818" xr:uid="{00000000-0005-0000-0000-00004DD20000}"/>
    <cellStyle name="v_Risk &amp; Mitigation 3 2 2" xfId="53819" xr:uid="{00000000-0005-0000-0000-00004ED20000}"/>
    <cellStyle name="v_Risk &amp; Mitigation 3 3" xfId="53820" xr:uid="{00000000-0005-0000-0000-00004FD20000}"/>
    <cellStyle name="v_Risk &amp; Mitigation 3 3 2" xfId="53821" xr:uid="{00000000-0005-0000-0000-000050D20000}"/>
    <cellStyle name="v_Risk &amp; Mitigation 3 4" xfId="53822" xr:uid="{00000000-0005-0000-0000-000051D20000}"/>
    <cellStyle name="v_Risk &amp; Mitigation 4" xfId="53823" xr:uid="{00000000-0005-0000-0000-000052D20000}"/>
    <cellStyle name="v_Risk &amp; Mitigation 4 2" xfId="53824" xr:uid="{00000000-0005-0000-0000-000053D20000}"/>
    <cellStyle name="v_Risk &amp; Mitigation 5" xfId="53825" xr:uid="{00000000-0005-0000-0000-000054D20000}"/>
    <cellStyle name="v_Risk &amp; Mitigation 5 2" xfId="53826" xr:uid="{00000000-0005-0000-0000-000055D20000}"/>
    <cellStyle name="v_Risk &amp; Mitigation 6" xfId="53827" xr:uid="{00000000-0005-0000-0000-000056D20000}"/>
    <cellStyle name="Valuta (0)_pldt" xfId="53828" xr:uid="{00000000-0005-0000-0000-000057D20000}"/>
    <cellStyle name="Valuta_pldt" xfId="53829" xr:uid="{00000000-0005-0000-0000-000058D20000}"/>
    <cellStyle name="Virgule fixe" xfId="53830" xr:uid="{00000000-0005-0000-0000-000059D20000}"/>
    <cellStyle name="W?rung [0]_KHI_KAB1" xfId="53831" xr:uid="{00000000-0005-0000-0000-00005AD20000}"/>
    <cellStyle name="W?rung_KHI_KAB1" xfId="53832" xr:uid="{00000000-0005-0000-0000-00005BD20000}"/>
    <cellStyle name="W„hrung" xfId="53834" xr:uid="{00000000-0005-0000-0000-00005CD20000}"/>
    <cellStyle name="WährEng_Daten" xfId="53835" xr:uid="{00000000-0005-0000-0000-00005DD20000}"/>
    <cellStyle name="Währung [0]_AE_RM" xfId="53836" xr:uid="{00000000-0005-0000-0000-00005ED20000}"/>
    <cellStyle name="Währung_AE_RM" xfId="53837" xr:uid="{00000000-0005-0000-0000-00005FD20000}"/>
    <cellStyle name="Walutowy [0]_INVEST" xfId="53838" xr:uid="{00000000-0005-0000-0000-000060D20000}"/>
    <cellStyle name="Walutowy_INVEST" xfId="53839" xr:uid="{00000000-0005-0000-0000-000061D20000}"/>
    <cellStyle name="Warning Text 10" xfId="53840" xr:uid="{00000000-0005-0000-0000-000062D20000}"/>
    <cellStyle name="Warning Text 10 2" xfId="53841" xr:uid="{00000000-0005-0000-0000-000063D20000}"/>
    <cellStyle name="Warning Text 10 3" xfId="53842" xr:uid="{00000000-0005-0000-0000-000064D20000}"/>
    <cellStyle name="Warning Text 10 4" xfId="53843" xr:uid="{00000000-0005-0000-0000-000065D20000}"/>
    <cellStyle name="Warning Text 10 5" xfId="53844" xr:uid="{00000000-0005-0000-0000-000066D20000}"/>
    <cellStyle name="Warning Text 11" xfId="53845" xr:uid="{00000000-0005-0000-0000-000067D20000}"/>
    <cellStyle name="Warning Text 11 2" xfId="53846" xr:uid="{00000000-0005-0000-0000-000068D20000}"/>
    <cellStyle name="Warning Text 12" xfId="53847" xr:uid="{00000000-0005-0000-0000-000069D20000}"/>
    <cellStyle name="Warning Text 12 2" xfId="53848" xr:uid="{00000000-0005-0000-0000-00006AD20000}"/>
    <cellStyle name="Warning Text 13" xfId="53849" xr:uid="{00000000-0005-0000-0000-00006BD20000}"/>
    <cellStyle name="Warning Text 13 2" xfId="53850" xr:uid="{00000000-0005-0000-0000-00006CD20000}"/>
    <cellStyle name="Warning Text 14" xfId="53851" xr:uid="{00000000-0005-0000-0000-00006DD20000}"/>
    <cellStyle name="Warning Text 14 2" xfId="53852" xr:uid="{00000000-0005-0000-0000-00006ED20000}"/>
    <cellStyle name="Warning Text 15" xfId="53853" xr:uid="{00000000-0005-0000-0000-00006FD20000}"/>
    <cellStyle name="Warning Text 15 2" xfId="53854" xr:uid="{00000000-0005-0000-0000-000070D20000}"/>
    <cellStyle name="Warning Text 16" xfId="53855" xr:uid="{00000000-0005-0000-0000-000071D20000}"/>
    <cellStyle name="Warning Text 16 2" xfId="53856" xr:uid="{00000000-0005-0000-0000-000072D20000}"/>
    <cellStyle name="Warning Text 17" xfId="53857" xr:uid="{00000000-0005-0000-0000-000073D20000}"/>
    <cellStyle name="Warning Text 17 2" xfId="53858" xr:uid="{00000000-0005-0000-0000-000074D20000}"/>
    <cellStyle name="Warning Text 18" xfId="53859" xr:uid="{00000000-0005-0000-0000-000075D20000}"/>
    <cellStyle name="Warning Text 18 2" xfId="53860" xr:uid="{00000000-0005-0000-0000-000076D20000}"/>
    <cellStyle name="Warning Text 19" xfId="53861" xr:uid="{00000000-0005-0000-0000-000077D20000}"/>
    <cellStyle name="Warning Text 19 2" xfId="53862" xr:uid="{00000000-0005-0000-0000-000078D20000}"/>
    <cellStyle name="Warning Text 2" xfId="53863" xr:uid="{00000000-0005-0000-0000-000079D20000}"/>
    <cellStyle name="Warning Text 2 10" xfId="53864" xr:uid="{00000000-0005-0000-0000-00007AD20000}"/>
    <cellStyle name="Warning Text 2 11" xfId="53865" xr:uid="{00000000-0005-0000-0000-00007BD20000}"/>
    <cellStyle name="Warning Text 2 12" xfId="53866" xr:uid="{00000000-0005-0000-0000-00007CD20000}"/>
    <cellStyle name="Warning Text 2 13" xfId="53867" xr:uid="{00000000-0005-0000-0000-00007DD20000}"/>
    <cellStyle name="Warning Text 2 14" xfId="53868" xr:uid="{00000000-0005-0000-0000-00007ED20000}"/>
    <cellStyle name="Warning Text 2 15" xfId="53869" xr:uid="{00000000-0005-0000-0000-00007FD20000}"/>
    <cellStyle name="Warning Text 2 16" xfId="53870" xr:uid="{00000000-0005-0000-0000-000080D20000}"/>
    <cellStyle name="Warning Text 2 17" xfId="53871" xr:uid="{00000000-0005-0000-0000-000081D20000}"/>
    <cellStyle name="Warning Text 2 18" xfId="53872" xr:uid="{00000000-0005-0000-0000-000082D20000}"/>
    <cellStyle name="Warning Text 2 19" xfId="53873" xr:uid="{00000000-0005-0000-0000-000083D20000}"/>
    <cellStyle name="Warning Text 2 2" xfId="53874" xr:uid="{00000000-0005-0000-0000-000084D20000}"/>
    <cellStyle name="Warning Text 2 2 2" xfId="53875" xr:uid="{00000000-0005-0000-0000-000085D20000}"/>
    <cellStyle name="Warning Text 2 3" xfId="53876" xr:uid="{00000000-0005-0000-0000-000086D20000}"/>
    <cellStyle name="Warning Text 2 3 2" xfId="53877" xr:uid="{00000000-0005-0000-0000-000087D20000}"/>
    <cellStyle name="Warning Text 2 4" xfId="53878" xr:uid="{00000000-0005-0000-0000-000088D20000}"/>
    <cellStyle name="Warning Text 2 4 2" xfId="53879" xr:uid="{00000000-0005-0000-0000-000089D20000}"/>
    <cellStyle name="Warning Text 2 5" xfId="53880" xr:uid="{00000000-0005-0000-0000-00008AD20000}"/>
    <cellStyle name="Warning Text 2 6" xfId="53881" xr:uid="{00000000-0005-0000-0000-00008BD20000}"/>
    <cellStyle name="Warning Text 2 7" xfId="53882" xr:uid="{00000000-0005-0000-0000-00008CD20000}"/>
    <cellStyle name="Warning Text 2 8" xfId="53883" xr:uid="{00000000-0005-0000-0000-00008DD20000}"/>
    <cellStyle name="Warning Text 2 9" xfId="53884" xr:uid="{00000000-0005-0000-0000-00008ED20000}"/>
    <cellStyle name="Warning Text 2_Labour" xfId="53885" xr:uid="{00000000-0005-0000-0000-00008FD20000}"/>
    <cellStyle name="Warning Text 20" xfId="53886" xr:uid="{00000000-0005-0000-0000-000090D20000}"/>
    <cellStyle name="Warning Text 20 2" xfId="53887" xr:uid="{00000000-0005-0000-0000-000091D20000}"/>
    <cellStyle name="Warning Text 21" xfId="53888" xr:uid="{00000000-0005-0000-0000-000092D20000}"/>
    <cellStyle name="Warning Text 21 2" xfId="53889" xr:uid="{00000000-0005-0000-0000-000093D20000}"/>
    <cellStyle name="Warning Text 22" xfId="53890" xr:uid="{00000000-0005-0000-0000-000094D20000}"/>
    <cellStyle name="Warning Text 22 2" xfId="53891" xr:uid="{00000000-0005-0000-0000-000095D20000}"/>
    <cellStyle name="Warning Text 23" xfId="53892" xr:uid="{00000000-0005-0000-0000-000096D20000}"/>
    <cellStyle name="Warning Text 24" xfId="53893" xr:uid="{00000000-0005-0000-0000-000097D20000}"/>
    <cellStyle name="Warning Text 25" xfId="53894" xr:uid="{00000000-0005-0000-0000-000098D20000}"/>
    <cellStyle name="Warning Text 26" xfId="53895" xr:uid="{00000000-0005-0000-0000-000099D20000}"/>
    <cellStyle name="Warning Text 27" xfId="53896" xr:uid="{00000000-0005-0000-0000-00009AD20000}"/>
    <cellStyle name="Warning Text 28" xfId="53897" xr:uid="{00000000-0005-0000-0000-00009BD20000}"/>
    <cellStyle name="Warning Text 29" xfId="53898" xr:uid="{00000000-0005-0000-0000-00009CD20000}"/>
    <cellStyle name="Warning Text 3" xfId="53899" xr:uid="{00000000-0005-0000-0000-00009DD20000}"/>
    <cellStyle name="Warning Text 3 2" xfId="53900" xr:uid="{00000000-0005-0000-0000-00009ED20000}"/>
    <cellStyle name="Warning Text 3 2 2" xfId="53901" xr:uid="{00000000-0005-0000-0000-00009FD20000}"/>
    <cellStyle name="Warning Text 3 3" xfId="53902" xr:uid="{00000000-0005-0000-0000-0000A0D20000}"/>
    <cellStyle name="Warning Text 3 4" xfId="53903" xr:uid="{00000000-0005-0000-0000-0000A1D20000}"/>
    <cellStyle name="Warning Text 3 5" xfId="53904" xr:uid="{00000000-0005-0000-0000-0000A2D20000}"/>
    <cellStyle name="Warning Text 30" xfId="53905" xr:uid="{00000000-0005-0000-0000-0000A3D20000}"/>
    <cellStyle name="Warning Text 31" xfId="53906" xr:uid="{00000000-0005-0000-0000-0000A4D20000}"/>
    <cellStyle name="Warning Text 32" xfId="53907" xr:uid="{00000000-0005-0000-0000-0000A5D20000}"/>
    <cellStyle name="Warning Text 33" xfId="53908" xr:uid="{00000000-0005-0000-0000-0000A6D20000}"/>
    <cellStyle name="Warning Text 34" xfId="53909" xr:uid="{00000000-0005-0000-0000-0000A7D20000}"/>
    <cellStyle name="Warning Text 4" xfId="53910" xr:uid="{00000000-0005-0000-0000-0000A8D20000}"/>
    <cellStyle name="Warning Text 4 2" xfId="53911" xr:uid="{00000000-0005-0000-0000-0000A9D20000}"/>
    <cellStyle name="Warning Text 4 3" xfId="53912" xr:uid="{00000000-0005-0000-0000-0000AAD20000}"/>
    <cellStyle name="Warning Text 4 4" xfId="53913" xr:uid="{00000000-0005-0000-0000-0000ABD20000}"/>
    <cellStyle name="Warning Text 4 5" xfId="53914" xr:uid="{00000000-0005-0000-0000-0000ACD20000}"/>
    <cellStyle name="Warning Text 4_Proj" xfId="53915" xr:uid="{00000000-0005-0000-0000-0000ADD20000}"/>
    <cellStyle name="Warning Text 5" xfId="53916" xr:uid="{00000000-0005-0000-0000-0000AED20000}"/>
    <cellStyle name="Warning Text 5 2" xfId="53917" xr:uid="{00000000-0005-0000-0000-0000AFD20000}"/>
    <cellStyle name="Warning Text 5 3" xfId="53918" xr:uid="{00000000-0005-0000-0000-0000B0D20000}"/>
    <cellStyle name="Warning Text 5 4" xfId="53919" xr:uid="{00000000-0005-0000-0000-0000B1D20000}"/>
    <cellStyle name="Warning Text 5 5" xfId="53920" xr:uid="{00000000-0005-0000-0000-0000B2D20000}"/>
    <cellStyle name="Warning Text 6" xfId="53921" xr:uid="{00000000-0005-0000-0000-0000B3D20000}"/>
    <cellStyle name="Warning Text 6 2" xfId="53922" xr:uid="{00000000-0005-0000-0000-0000B4D20000}"/>
    <cellStyle name="Warning Text 6 3" xfId="53923" xr:uid="{00000000-0005-0000-0000-0000B5D20000}"/>
    <cellStyle name="Warning Text 6 4" xfId="53924" xr:uid="{00000000-0005-0000-0000-0000B6D20000}"/>
    <cellStyle name="Warning Text 6 5" xfId="53925" xr:uid="{00000000-0005-0000-0000-0000B7D20000}"/>
    <cellStyle name="Warning Text 7" xfId="53926" xr:uid="{00000000-0005-0000-0000-0000B8D20000}"/>
    <cellStyle name="Warning Text 7 2" xfId="53927" xr:uid="{00000000-0005-0000-0000-0000B9D20000}"/>
    <cellStyle name="Warning Text 7 3" xfId="53928" xr:uid="{00000000-0005-0000-0000-0000BAD20000}"/>
    <cellStyle name="Warning Text 7 4" xfId="53929" xr:uid="{00000000-0005-0000-0000-0000BBD20000}"/>
    <cellStyle name="Warning Text 7 5" xfId="53930" xr:uid="{00000000-0005-0000-0000-0000BCD20000}"/>
    <cellStyle name="Warning Text 8" xfId="53931" xr:uid="{00000000-0005-0000-0000-0000BDD20000}"/>
    <cellStyle name="Warning Text 8 2" xfId="53932" xr:uid="{00000000-0005-0000-0000-0000BED20000}"/>
    <cellStyle name="Warning Text 8 3" xfId="53933" xr:uid="{00000000-0005-0000-0000-0000BFD20000}"/>
    <cellStyle name="Warning Text 8 4" xfId="53934" xr:uid="{00000000-0005-0000-0000-0000C0D20000}"/>
    <cellStyle name="Warning Text 8 5" xfId="53935" xr:uid="{00000000-0005-0000-0000-0000C1D20000}"/>
    <cellStyle name="Warning Text 9" xfId="53936" xr:uid="{00000000-0005-0000-0000-0000C2D20000}"/>
    <cellStyle name="Warning Text 9 2" xfId="53937" xr:uid="{00000000-0005-0000-0000-0000C3D20000}"/>
    <cellStyle name="Warning Text 9 3" xfId="53938" xr:uid="{00000000-0005-0000-0000-0000C4D20000}"/>
    <cellStyle name="Warning Text 9 4" xfId="53939" xr:uid="{00000000-0005-0000-0000-0000C5D20000}"/>
    <cellStyle name="Warning Text 9 5" xfId="53940" xr:uid="{00000000-0005-0000-0000-0000C6D20000}"/>
    <cellStyle name="x-stens)" xfId="53941" xr:uid="{00000000-0005-0000-0000-0000C7D20000}"/>
    <cellStyle name="x-stens) 2" xfId="53942" xr:uid="{00000000-0005-0000-0000-0000C8D20000}"/>
    <cellStyle name="x-stens) 3" xfId="53943" xr:uid="{00000000-0005-0000-0000-0000C9D20000}"/>
    <cellStyle name="x-stens) 4" xfId="53944" xr:uid="{00000000-0005-0000-0000-0000CAD20000}"/>
    <cellStyle name="Yellow" xfId="53945" xr:uid="{00000000-0005-0000-0000-0000CBD20000}"/>
    <cellStyle name="Yellow 2" xfId="53946" xr:uid="{00000000-0005-0000-0000-0000CCD20000}"/>
    <cellStyle name="Yellow 3" xfId="53947" xr:uid="{00000000-0005-0000-0000-0000CDD20000}"/>
    <cellStyle name="Zeilenumbruch" xfId="53948" xr:uid="{00000000-0005-0000-0000-0000CED20000}"/>
    <cellStyle name="Zeilenumbruch 2" xfId="53949" xr:uid="{00000000-0005-0000-0000-0000CFD20000}"/>
    <cellStyle name="Zeilenumbruch 3" xfId="53950" xr:uid="{00000000-0005-0000-0000-0000D0D20000}"/>
    <cellStyle name="Zeilenumbruch 4" xfId="53951" xr:uid="{00000000-0005-0000-0000-0000D1D20000}"/>
    <cellStyle name="고정소숫점" xfId="53952" xr:uid="{00000000-0005-0000-0000-0000D2D20000}"/>
    <cellStyle name="고정출력1" xfId="53953" xr:uid="{00000000-0005-0000-0000-0000D3D20000}"/>
    <cellStyle name="고정출력2" xfId="53954" xr:uid="{00000000-0005-0000-0000-0000D4D20000}"/>
    <cellStyle name="날짜" xfId="53955" xr:uid="{00000000-0005-0000-0000-0000D5D20000}"/>
    <cellStyle name="달러" xfId="53956" xr:uid="{00000000-0005-0000-0000-0000D6D20000}"/>
    <cellStyle name="뒤에 오는 하이퍼링크_040924 Rev2-Erection BM(I&amp;C)" xfId="53957" xr:uid="{00000000-0005-0000-0000-0000D7D20000}"/>
    <cellStyle name="똿뗦먛귟 [0.00]_PRODUCT DETAIL Q1" xfId="53958" xr:uid="{00000000-0005-0000-0000-0000D8D20000}"/>
    <cellStyle name="똿뗦먛귟_PRODUCT DETAIL Q1" xfId="53959" xr:uid="{00000000-0005-0000-0000-0000D9D20000}"/>
    <cellStyle name="믅됞 [0.00]_PRODUCT DETAIL Q1" xfId="53960" xr:uid="{00000000-0005-0000-0000-0000DAD20000}"/>
    <cellStyle name="믅됞_PRODUCT DETAIL Q1" xfId="53961" xr:uid="{00000000-0005-0000-0000-0000DBD20000}"/>
    <cellStyle name="뷭?_BOOKSHIP" xfId="53962" xr:uid="{00000000-0005-0000-0000-0000DCD20000}"/>
    <cellStyle name="숫자(R)" xfId="53963" xr:uid="{00000000-0005-0000-0000-0000DDD20000}"/>
    <cellStyle name="쉼표 [0] 2" xfId="53964" xr:uid="{00000000-0005-0000-0000-0000DED20000}"/>
    <cellStyle name="쉼표 2" xfId="53965" xr:uid="{00000000-0005-0000-0000-0000DFD20000}"/>
    <cellStyle name="쉼표_boiler" xfId="53966" xr:uid="{00000000-0005-0000-0000-0000E0D20000}"/>
    <cellStyle name="자리수" xfId="53967" xr:uid="{00000000-0005-0000-0000-0000E1D20000}"/>
    <cellStyle name="자리수0" xfId="53968" xr:uid="{00000000-0005-0000-0000-0000E2D20000}"/>
    <cellStyle name="지정되지 않음" xfId="53969" xr:uid="{00000000-0005-0000-0000-0000E3D20000}"/>
    <cellStyle name="콤마 [0]_  종  합  " xfId="53972" xr:uid="{00000000-0005-0000-0000-0000E4D20000}"/>
    <cellStyle name="콤마_  종  합  " xfId="53973" xr:uid="{00000000-0005-0000-0000-0000E5D20000}"/>
    <cellStyle name="통화 [0]_1.24분기 평가표 " xfId="53974" xr:uid="{00000000-0005-0000-0000-0000E6D20000}"/>
    <cellStyle name="통화_1.24분기 평가표 " xfId="53975" xr:uid="{00000000-0005-0000-0000-0000E7D20000}"/>
    <cellStyle name="퍼센트" xfId="53976" xr:uid="{00000000-0005-0000-0000-0000E8D20000}"/>
    <cellStyle name="표준_(정보부문)월별인원계획" xfId="53977" xr:uid="{00000000-0005-0000-0000-0000E9D20000}"/>
    <cellStyle name="합산" xfId="53978" xr:uid="{00000000-0005-0000-0000-0000EAD20000}"/>
    <cellStyle name="합산 2" xfId="53979" xr:uid="{00000000-0005-0000-0000-0000EBD20000}"/>
    <cellStyle name="합산 2 2" xfId="53980" xr:uid="{00000000-0005-0000-0000-0000ECD20000}"/>
    <cellStyle name="합산 3" xfId="53981" xr:uid="{00000000-0005-0000-0000-0000EDD20000}"/>
    <cellStyle name="화폐기호" xfId="53982" xr:uid="{00000000-0005-0000-0000-0000EED20000}"/>
    <cellStyle name="화폐기호0" xfId="53983" xr:uid="{00000000-0005-0000-0000-0000EFD20000}"/>
    <cellStyle name="千位分隔[0]_BOQ" xfId="53970" xr:uid="{00000000-0005-0000-0000-0000F0D20000}"/>
    <cellStyle name="千位分隔_BOQ" xfId="53971" xr:uid="{00000000-0005-0000-0000-0000F1D20000}"/>
    <cellStyle name="常规_BOQ" xfId="53984" xr:uid="{00000000-0005-0000-0000-0000F2D20000}"/>
    <cellStyle name="桁区切り [0.00]_BQ CODE SUMMARY" xfId="53985" xr:uid="{00000000-0005-0000-0000-0000F3D20000}"/>
    <cellStyle name="桁区切り_BQ CODE SUMMARY" xfId="53986" xr:uid="{00000000-0005-0000-0000-0000F4D20000}"/>
    <cellStyle name="標準_ Att. 1- Cover" xfId="53987" xr:uid="{00000000-0005-0000-0000-0000F5D20000}"/>
    <cellStyle name="货币[0]_BOQ" xfId="53988" xr:uid="{00000000-0005-0000-0000-0000F6D20000}"/>
    <cellStyle name="货币_BOQ" xfId="53989" xr:uid="{00000000-0005-0000-0000-0000F7D20000}"/>
    <cellStyle name="通貨 [0.00]_ Att. 1- Cover" xfId="53990" xr:uid="{00000000-0005-0000-0000-0000F8D20000}"/>
    <cellStyle name="通貨_ Att. 1- Cover" xfId="53991" xr:uid="{00000000-0005-0000-0000-0000F9D20000}"/>
  </cellStyles>
  <dxfs count="10">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EKI&#51060;&#51333;&#47749;\JEBEL%20ALI%20KI\My%20Documents\Jebel%20Ali%20KII\MOBI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pulau%20final\WINDOWS\Desktop\New%20Folder\Qo-15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roject-Annual-Budget-02-03\Backups%20for%20link%20files\Discarded%20link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gineer%20wise%20costing%20report%20May-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L"/>
      <sheetName val="기능공"/>
      <sheetName val="기능공 (3)"/>
      <sheetName val="연도별 자금"/>
      <sheetName val="월별자금"/>
      <sheetName val="기능공 (2)"/>
      <sheetName val="LOAD"/>
      <sheetName val="data"/>
      <sheetName val="기능공_(3)"/>
      <sheetName val="연도별_자금"/>
      <sheetName val="기능공_(2)"/>
      <sheetName val="기능공_(3)1"/>
      <sheetName val="연도별_자금1"/>
      <sheetName val="기능공_(2)1"/>
      <sheetName val="기능공_(3)2"/>
      <sheetName val="연도별_자금2"/>
      <sheetName val="기능공_(2)2"/>
      <sheetName val="기능공_(3)3"/>
      <sheetName val="연도별_자금3"/>
      <sheetName val="기능공_(2)3"/>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일위대가"/>
      <sheetName val="PROCTOR"/>
      <sheetName val="Evaluate"/>
      <sheetName val="월별"/>
      <sheetName val="LOCAL RATES"/>
      <sheetName val="WTP"/>
      <sheetName val="structurewise"/>
      <sheetName val="balance Work"/>
      <sheetName val="SAP架設-2005.12.31"/>
      <sheetName val="90101"/>
      <sheetName val="SAP架設-2005_12_31"/>
      <sheetName val="BOQ"/>
      <sheetName val="S-Curve (2)"/>
      <sheetName val="Final Basic rate"/>
      <sheetName val="Labour"/>
      <sheetName val="Steel-Circular"/>
      <sheetName val="공사비집계"/>
      <sheetName val="final abstract"/>
      <sheetName val="ICICI"/>
      <sheetName val="HDFC"/>
      <sheetName val="C &amp; G RHS"/>
      <sheetName val="SOR"/>
      <sheetName val="data"/>
      <sheetName val="Material "/>
      <sheetName val="21-Rate Analysis-1"/>
      <sheetName val="Analysis"/>
      <sheetName val="Process"/>
      <sheetName val="balance_Work"/>
      <sheetName val="Chiet tinh dz35"/>
      <sheetName val="SAP架設-2005_12_311"/>
      <sheetName val="Material_"/>
      <sheetName val="balance_Work1"/>
      <sheetName val="SAP架設-2005_12_312"/>
      <sheetName val="Material_1"/>
      <sheetName val="balance_Work2"/>
      <sheetName val="SAP架設-2005_12_313"/>
      <sheetName val="Material_2"/>
      <sheetName val="C_&amp;_G_RHS"/>
      <sheetName val="LOCAL_RATES"/>
      <sheetName val="Final_Basic_rate"/>
      <sheetName val="S-Curve_(2)"/>
      <sheetName val="Materials Cost"/>
      <sheetName val="REL"/>
      <sheetName val="Back"/>
      <sheetName val="GC-15"/>
      <sheetName val="Materials Cost(PCC)"/>
      <sheetName val="A"/>
      <sheetName val="Coalmine"/>
      <sheetName val="Man"/>
      <sheetName val=""/>
      <sheetName val="Materials_Cost(PCC)"/>
      <sheetName val="final_abstract"/>
      <sheetName val="Bank Guarantee"/>
      <sheetName val="pile Fabrication"/>
      <sheetName val="Fee Rate Summary"/>
      <sheetName val="GWC"/>
      <sheetName val="NWC"/>
      <sheetName val="SPT vs PHI"/>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LOCAL_RATES1"/>
      <sheetName val="S-Curve_(2)1"/>
      <sheetName val="Materials_Cost"/>
      <sheetName val="21-Rate_Analysis-1"/>
      <sheetName val="final_abstract1"/>
      <sheetName val="C_&amp;_G_RHS1"/>
      <sheetName val="Materials_Cost(PCC)1"/>
      <sheetName val="Chiet_tinh_dz35"/>
      <sheetName val="pile_Fabrication"/>
      <sheetName val="input micro"/>
      <sheetName val="Summary"/>
      <sheetName val="0"/>
      <sheetName val="CUM-Mar07"/>
      <sheetName val="CRM"/>
      <sheetName val="A3"/>
      <sheetName val="BUD 07-08"/>
      <sheetName val="HIDE"/>
      <sheetName val="XL"/>
      <sheetName val="Basicrates"/>
      <sheetName val="Rate Analysis"/>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Risk_Te__Co_"/>
      <sheetName val="Informa_"/>
      <sheetName val="01.11.2004"/>
      <sheetName val="Materials "/>
      <sheetName val="MAchinery(R1)"/>
      <sheetName val="MAINBS1"/>
      <sheetName val="UNP-NCW "/>
      <sheetName val="MAIN"/>
      <sheetName val="9.Major Bridge"/>
      <sheetName val="8. ROB"/>
      <sheetName val="10.Minor Structure"/>
      <sheetName val="7. FLYOVER"/>
      <sheetName val="ABSTRACT"/>
      <sheetName val="2. Earthwork"/>
      <sheetName val="Debit_RMC"/>
      <sheetName val="FORM-W3"/>
      <sheetName val="Machinery"/>
      <sheetName val="Material"/>
      <sheetName val="Supply_RMC"/>
      <sheetName val="02.10.06"/>
      <sheetName val="Anggaran"/>
      <sheetName val="01"/>
      <sheetName val="02"/>
      <sheetName val="03"/>
      <sheetName val="04"/>
      <sheetName val="Database"/>
      <sheetName val="SCHEDULE"/>
      <sheetName val="schedule nos"/>
      <sheetName val="horizontal"/>
      <sheetName val="DETAILED  BOQ"/>
      <sheetName val="foundation(V)"/>
      <sheetName val="PlazaElec"/>
      <sheetName val="A.O.R."/>
      <sheetName val="220Kv (2)"/>
      <sheetName val="ENCL9"/>
      <sheetName val="balance_Work3"/>
      <sheetName val="SAP架設-2005_12_314"/>
      <sheetName val="Material_3"/>
      <sheetName val="Final_Basic_rate1"/>
      <sheetName val="balance_Work4"/>
      <sheetName val="SAP架設-2005_12_315"/>
      <sheetName val="Material_4"/>
      <sheetName val="C_&amp;_G_RHS2"/>
      <sheetName val="LOCAL_RATES2"/>
      <sheetName val="Final_Basic_rate2"/>
      <sheetName val="S-Curve_(2)2"/>
      <sheetName val="balance_Work5"/>
      <sheetName val="SAP架設-2005_12_316"/>
      <sheetName val="Material_5"/>
      <sheetName val="C_&amp;_G_RHS3"/>
      <sheetName val="LOCAL_RATES3"/>
      <sheetName val="Final_Basic_rate3"/>
      <sheetName val="S-Curve_(2)3"/>
      <sheetName val="balance_Work6"/>
      <sheetName val="SAP架設-2005_12_317"/>
      <sheetName val="Material_6"/>
      <sheetName val="C_&amp;_G_RHS4"/>
      <sheetName val="LOCAL_RATES4"/>
      <sheetName val="Final_Basic_rate4"/>
      <sheetName val="S-Curve_(2)4"/>
      <sheetName val="21-Rate_Analysis-11"/>
      <sheetName val="final_abstract2"/>
      <sheetName val="Materials_Cost1"/>
      <sheetName val="Materials_Cost(PCC)2"/>
      <sheetName val="제출계산서"/>
      <sheetName val="upa"/>
      <sheetName val="det_est"/>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Improvements"/>
      <sheetName val="CPIPE"/>
      <sheetName val="Anal"/>
      <sheetName val="BLK2"/>
      <sheetName val="BLK3"/>
      <sheetName val="E &amp; R"/>
      <sheetName val="radar"/>
      <sheetName val="UG"/>
      <sheetName val="footing"/>
      <sheetName val="BOQ Distribution"/>
      <sheetName val="05"/>
      <sheetName val="PRELIM5"/>
      <sheetName val="P-Ins &amp; Bonds"/>
      <sheetName val="Code"/>
      <sheetName val="section"/>
      <sheetName val="PLAN_FEB97"/>
      <sheetName val="Plant &amp;  Machinery"/>
      <sheetName val="cul-invSUBMITTED"/>
      <sheetName val="INPUT SHEET"/>
      <sheetName val="RES-PLANNING"/>
      <sheetName val="Macro1"/>
      <sheetName val="footing for SP"/>
      <sheetName val="eb"/>
      <sheetName val="ult"/>
      <sheetName val="fp"/>
      <sheetName val="USB 1"/>
      <sheetName val="Input Data"/>
      <sheetName val="Input Data R"/>
      <sheetName val="Input Data F"/>
      <sheetName val="F4-F7"/>
      <sheetName val="MN T.B."/>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r"/>
      <sheetName val="Analysis-NH-Roads"/>
      <sheetName val="Analysis-NH-Culverts"/>
      <sheetName val=" AnalysisPCC"/>
      <sheetName val="Analysis-Drains &amp; Misc"/>
      <sheetName val="Lead Statement (PCC)"/>
      <sheetName val="Analysis-NH-Traf &amp; Trans"/>
      <sheetName val="Ave.wtd.rates"/>
      <sheetName val="Data Validation"/>
      <sheetName val="C5TRAFFIC"/>
      <sheetName val="C8"/>
      <sheetName val="Progressin Next mon-AP-17"/>
      <sheetName val="Assum"/>
      <sheetName val="Qty SR"/>
      <sheetName val="Cost of O &amp; O"/>
      <sheetName val="發包單價差-車站組鋼筋"/>
      <sheetName val="FORM-16"/>
      <sheetName val="S1BOQ"/>
      <sheetName val="RIP1"/>
      <sheetName val="CIT(1)"/>
      <sheetName val="List"/>
      <sheetName val="leads"/>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doq 1"/>
      <sheetName val="doq 9"/>
      <sheetName val="집계표(OPTION)"/>
      <sheetName val="PMS"/>
      <sheetName val="Jobwise"/>
      <sheetName val="Data 1"/>
      <sheetName val="FT-05-02IsoBOM"/>
      <sheetName val="RA Civil"/>
      <sheetName val="Load Calculation"/>
      <sheetName val="MASTER_RATE ANALYSIS"/>
      <sheetName val="Cashflows"/>
      <sheetName val="yENİCE"/>
      <sheetName val="TBEAM"/>
      <sheetName val="Core Data"/>
      <sheetName val="SS MH"/>
      <sheetName val="gen ledger data"/>
      <sheetName val="Design(600)"/>
      <sheetName val="budget"/>
      <sheetName val="form26"/>
      <sheetName val="Basic"/>
      <sheetName val="Rocker"/>
      <sheetName val="33628-Rev. A"/>
      <sheetName val="concrete"/>
      <sheetName val="Cash2"/>
      <sheetName val="General input"/>
      <sheetName val="Design sheet"/>
      <sheetName val="Cul_detail"/>
      <sheetName val="07"/>
      <sheetName val="RA-markate"/>
      <sheetName val="TS-TC"/>
      <sheetName val="ESOP ECAL TABLES"/>
      <sheetName val="Inputs"/>
      <sheetName val="precast RC element"/>
      <sheetName val="Labour &amp; Plant"/>
      <sheetName val="Timesheet"/>
      <sheetName val="ar"/>
      <sheetName val="Set"/>
      <sheetName val="calcul"/>
      <sheetName val="purpose&amp;input"/>
      <sheetName val="GLEVEL RHS"/>
      <sheetName val="산근"/>
      <sheetName val="대비표"/>
      <sheetName val="General Analysis"/>
      <sheetName val="SCURVE"/>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SUPPORT1"/>
      <sheetName val="Appendix A"/>
      <sheetName val="JCR TOP"/>
      <sheetName val="STRS"/>
      <sheetName val="Dropdown"/>
      <sheetName val="mlead"/>
      <sheetName val="abs road"/>
      <sheetName val="Abs_CD_2"/>
      <sheetName val="coverpage"/>
      <sheetName val="RMR"/>
      <sheetName val="road est"/>
      <sheetName val="Road data"/>
      <sheetName val="ECV"/>
      <sheetName val="12. Ins &amp; Bonds"/>
      <sheetName val="Index"/>
      <sheetName val="Intro"/>
      <sheetName val="Non debit-RMC"/>
      <sheetName val="RATE COMPILATION"/>
      <sheetName val="Debit_Pump"/>
      <sheetName val="Details_Transit"/>
      <sheetName val="Voucher"/>
      <sheetName val="Assmpns"/>
      <sheetName val="DATA-DEP.(13-17)"/>
      <sheetName val="DATA-KBPL(17-25)"/>
      <sheetName val="DATA-GCC(25-34.7)"/>
      <sheetName val="St.-Con(0-17)"/>
      <sheetName val="St.-Con.(17-34)"/>
      <sheetName val="Elect."/>
      <sheetName val="strand"/>
      <sheetName val="Materials_Cost2"/>
      <sheetName val="21-Rate_Analysis-12"/>
      <sheetName val="final_abstract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Jobs"/>
      <sheetName val="balance_Work7"/>
      <sheetName val="SAP架設-2005_12_318"/>
      <sheetName val="Material_7"/>
      <sheetName val="C_&amp;_G_RHS5"/>
      <sheetName val="LOCAL_RATES5"/>
      <sheetName val="Final_Basic_rate5"/>
      <sheetName val="S-Curve_(2)5"/>
      <sheetName val="처리단락"/>
      <sheetName val="1_PROGRESS_BY_LOCATION_FINAL"/>
      <sheetName val="1_PROGRESS_FINAL"/>
      <sheetName val="POCOS 제출및납품일정"/>
      <sheetName val="COMPLEXALL"/>
      <sheetName val="Riser-1"/>
      <sheetName val="Pile cap"/>
      <sheetName val="PIPING LINE LIST"/>
      <sheetName val="A1-Continuous"/>
      <sheetName val="girder"/>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egister"/>
      <sheetName val="SCHEDULE-3B"/>
      <sheetName val="BQMPALOC"/>
      <sheetName val="BLOWER(1)"/>
      <sheetName val="basdat"/>
      <sheetName val="Materials_Cost3"/>
      <sheetName val="21-Rate_Analysis-13"/>
      <sheetName val="final_abstract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Charge"/>
      <sheetName val="Structure du projet"/>
      <sheetName val="SC Cost FEB 03"/>
      <sheetName val="CASH-FLOW"/>
      <sheetName val="PLM_Coversheet"/>
      <sheetName val="연돌일위집계"/>
      <sheetName val="jobhist"/>
      <sheetName val="1월"/>
      <sheetName val="DRUM"/>
      <sheetName val="Rollup Summary"/>
      <sheetName val="Sheet3 (2)"/>
      <sheetName val="BM"/>
      <sheetName val="Materials_Cost4"/>
      <sheetName val="21-Rate_Analysis-14"/>
      <sheetName val="final_abstract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factor "/>
      <sheetName val="Control"/>
      <sheetName val="7IFS-5A"/>
      <sheetName val="Doha Farm"/>
      <sheetName val="POCOS_제출및납품일정"/>
      <sheetName val="Pile_cap"/>
      <sheetName val="PIPING_LINE_LIST"/>
      <sheetName val="Plant_&amp;__Machinery"/>
      <sheetName val="Measurment"/>
      <sheetName val="Diesel Analysis"/>
      <sheetName val="SC revtrgt"/>
      <sheetName val="bASICDATA"/>
      <sheetName val="NLD - Assum"/>
      <sheetName val="11-hsd"/>
      <sheetName val="13-septic"/>
      <sheetName val="7-ug"/>
      <sheetName val="2-utility"/>
      <sheetName val="18-misc"/>
      <sheetName val="5-pipe"/>
      <sheetName val="Highway-I"/>
      <sheetName val="Structure-I"/>
      <sheetName val="QC-I"/>
      <sheetName val="Survey-I"/>
      <sheetName val="Sub con List"/>
      <sheetName val="KM wise Quantity"/>
      <sheetName val="#REF!"/>
      <sheetName val="starter"/>
      <sheetName val="SCH 10"/>
      <sheetName val="Section_by_layers_old"/>
      <sheetName val="갑지"/>
      <sheetName val="Cal(6.3.2) GSB-T"/>
      <sheetName val="Cal(6.3.1) GSB-1(Jn.) DDA"/>
      <sheetName val="Cal(6.2.2) (b)EMB-T"/>
      <sheetName val="Cal(6.3.3) WMM-T"/>
      <sheetName val="Cal(6.2.4) SG-T"/>
      <sheetName val="S4"/>
      <sheetName val="Structure_du_projet"/>
      <sheetName val="ETC Plant Cost"/>
      <sheetName val="beam-reinft-IIInd floor"/>
      <sheetName val="Design"/>
      <sheetName val="dlvoid"/>
      <sheetName val="doq"/>
      <sheetName val=" "/>
      <sheetName val="10-Crop Age"/>
      <sheetName val="EqpPerfJun08"/>
      <sheetName val="MM2"/>
      <sheetName val="ST-O"/>
      <sheetName val="CG -St"/>
      <sheetName val="LL ABUT"/>
      <sheetName val="ADMIN SHEET"/>
      <sheetName val="ANNEXURE-A"/>
      <sheetName val="balance_Work8"/>
      <sheetName val="SAP架設-2005_12_319"/>
      <sheetName val="Material_8"/>
      <sheetName val="C_&amp;_G_RHS6"/>
      <sheetName val="LOCAL_RATES6"/>
      <sheetName val="Final_Basic_rate6"/>
      <sheetName val="S-Curve_(2)6"/>
      <sheetName val="21-Rate_Analysis-15"/>
      <sheetName val="final_abstract6"/>
      <sheetName val="Materials_Cost5"/>
      <sheetName val="Materials_Cost(PCC)6"/>
      <sheetName val="Chiet_tinh_dz355"/>
      <sheetName val="pile_Fabrication5"/>
      <sheetName val="Risk_Te__Co_4"/>
      <sheetName val="Informa_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BUD_07-08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Rate_Analysis4"/>
      <sheetName val="UNP-NCW_3"/>
      <sheetName val="9_Major_Bridge3"/>
      <sheetName val="8__ROB3"/>
      <sheetName val="10_Minor_Structure3"/>
      <sheetName val="7__FLYOVER3"/>
      <sheetName val="2__Earthwork3"/>
      <sheetName val="02_10_063"/>
      <sheetName val="Materials_3"/>
      <sheetName val="01_11_20043"/>
      <sheetName val="schedule_nos3"/>
      <sheetName val="DETAILED__BOQ4"/>
      <sheetName val="A_O_R_3"/>
      <sheetName val="220Kv_(2)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SS_MH3"/>
      <sheetName val="BOQ_Distribution3"/>
      <sheetName val="Wind_Speed_II3"/>
      <sheetName val="Duopitch_Roof3"/>
      <sheetName val="Free-Standing_Wall3"/>
      <sheetName val="Vertical_Walls3"/>
      <sheetName val="Flat_Roof3"/>
      <sheetName val="Factor_Sb3"/>
      <sheetName val="Size_Effect_Factor3"/>
      <sheetName val="Direction_factor3"/>
      <sheetName val="Wind_Speed_I3"/>
      <sheetName val="Bus_Ways3"/>
      <sheetName val="Major_Br__Statement3"/>
      <sheetName val="Site_clearance3"/>
      <sheetName val="4_Annex_1_Basic_rate3"/>
      <sheetName val="33628-Rev__A3"/>
      <sheetName val="gen_ledger_data3"/>
      <sheetName val="General_input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ESOP_ECAL_TABLES3"/>
      <sheetName val="Labour_&amp;_Plant3"/>
      <sheetName val="footing_for_SP3"/>
      <sheetName val="except_wiring3"/>
      <sheetName val="Fee_Rate_Summary3"/>
      <sheetName val="precast_RC_element3"/>
      <sheetName val="Core_Data3"/>
      <sheetName val="GLEVEL_RHS3"/>
      <sheetName val="General_Analysis3"/>
      <sheetName val="RA_Civil3"/>
      <sheetName val="E_&amp;_R3"/>
      <sheetName val="Appendix_A3"/>
      <sheetName val="JCR_TOP3"/>
      <sheetName val="POCOS_제출및납품일정1"/>
      <sheetName val="Pile_cap1"/>
      <sheetName val="PIPING_LINE_LIST1"/>
      <sheetName val="Analysis-Drains_&amp;_Misc3"/>
      <sheetName val="Lead_Statement_(PCC)3"/>
      <sheetName val="Analysis-NH-Traf_&amp;_Trans3"/>
      <sheetName val="abs_road3"/>
      <sheetName val="road_est3"/>
      <sheetName val="Road_data3"/>
      <sheetName val="INPUT_SHEET3"/>
      <sheetName val="12__Ins_&amp;_Bonds3"/>
      <sheetName val="Non_debit-RMC3"/>
      <sheetName val="RATE_COMPILATION3"/>
      <sheetName val="DATA-DEP_(13-17)3"/>
      <sheetName val="DATA-GCC(25-34_7)3"/>
      <sheetName val="St_-Con(0-17)3"/>
      <sheetName val="St_-Con_(17-34)3"/>
      <sheetName val="Elect_1"/>
      <sheetName val="Plant_&amp;__Machinery1"/>
      <sheetName val="Structure_du_projet1"/>
      <sheetName val="SC_Cost_FEB_03"/>
      <sheetName val="Cost_of_O_&amp;_O"/>
      <sheetName val="Rollup_Summary"/>
      <sheetName val="Sheet3_(2)"/>
      <sheetName val="factor_"/>
      <sheetName val="Doha_Farm"/>
      <sheetName val="doq_1"/>
      <sheetName val="doq_9"/>
      <sheetName val="Load_Calculation"/>
      <sheetName val="Diesel_Analysis"/>
      <sheetName val="SC_revtrgt"/>
      <sheetName val="NLD_-_Assum"/>
      <sheetName val="Sub_con_List"/>
      <sheetName val="KM_wise_Quantity"/>
      <sheetName val="SCH_10"/>
      <sheetName val="Cal(6_3_2)_GSB-T"/>
      <sheetName val="Cal(6_3_1)_GSB-1(Jn_)_DDA"/>
      <sheetName val="Cal(6_2_2)_(b)EMB-T"/>
      <sheetName val="Cal(6_3_3)_WMM-T"/>
      <sheetName val="Cal(6_2_4)_SG-T"/>
      <sheetName val="ETC_Plant_Cost"/>
      <sheetName val="beam-reinft-IIInd_floor"/>
      <sheetName val="MASTER_RATE_ANALYSIS"/>
      <sheetName val="_"/>
      <sheetName val="10-Crop_Age"/>
      <sheetName val="CG_-St"/>
      <sheetName val="LL_ABUT"/>
      <sheetName val="ADMIN_SHEET"/>
      <sheetName val="doq-10"/>
      <sheetName val="STAFFSCHED "/>
      <sheetName val="Raw Data"/>
      <sheetName val="balance_Work9"/>
      <sheetName val="SAP架設-2005_12_3110"/>
      <sheetName val="Material_9"/>
      <sheetName val="C_&amp;_G_RHS7"/>
      <sheetName val="LOCAL_RATES7"/>
      <sheetName val="Final_Basic_rate7"/>
      <sheetName val="S-Curve_(2)7"/>
      <sheetName val="21-Rate_Analysis-16"/>
      <sheetName val="final_abstract7"/>
      <sheetName val="Materials_Cost6"/>
      <sheetName val="Materials_Cost(PCC)7"/>
      <sheetName val="Chiet_tinh_dz356"/>
      <sheetName val="pile_Fabrication6"/>
      <sheetName val="Risk_Te__Co_5"/>
      <sheetName val="Informa_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BUD_07-08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Rate_Analysis5"/>
      <sheetName val="UNP-NCW_4"/>
      <sheetName val="9_Major_Bridge4"/>
      <sheetName val="8__ROB4"/>
      <sheetName val="10_Minor_Structure4"/>
      <sheetName val="7__FLYOVER4"/>
      <sheetName val="2__Earthwork4"/>
      <sheetName val="02_10_064"/>
      <sheetName val="Materials_4"/>
      <sheetName val="01_11_20044"/>
      <sheetName val="schedule_nos4"/>
      <sheetName val="DETAILED__BOQ5"/>
      <sheetName val="A_O_R_4"/>
      <sheetName val="220Kv_(2)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SS_MH4"/>
      <sheetName val="BOQ_Distribution4"/>
      <sheetName val="Wind_Speed_II4"/>
      <sheetName val="Duopitch_Roof4"/>
      <sheetName val="Free-Standing_Wall4"/>
      <sheetName val="Vertical_Walls4"/>
      <sheetName val="Flat_Roof4"/>
      <sheetName val="Factor_Sb4"/>
      <sheetName val="Size_Effect_Factor4"/>
      <sheetName val="Direction_factor4"/>
      <sheetName val="Wind_Speed_I4"/>
      <sheetName val="Bus_Ways4"/>
      <sheetName val="Major_Br__Statement4"/>
      <sheetName val="Site_clearance4"/>
      <sheetName val="4_Annex_1_Basic_rate4"/>
      <sheetName val="33628-Rev__A4"/>
      <sheetName val="gen_ledger_data4"/>
      <sheetName val="General_input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ESOP_ECAL_TABLES4"/>
      <sheetName val="Labour_&amp;_Plant4"/>
      <sheetName val="footing_for_SP4"/>
      <sheetName val="except_wiring4"/>
      <sheetName val="Fee_Rate_Summary4"/>
      <sheetName val="precast_RC_element4"/>
      <sheetName val="Core_Data4"/>
      <sheetName val="GLEVEL_RHS4"/>
      <sheetName val="General_Analysis4"/>
      <sheetName val="RA_Civil4"/>
      <sheetName val="E_&amp;_R4"/>
      <sheetName val="Appendix_A4"/>
      <sheetName val="JCR_TOP4"/>
      <sheetName val="POCOS_제출및납품일정2"/>
      <sheetName val="Pile_cap2"/>
      <sheetName val="PIPING_LINE_LIST2"/>
      <sheetName val="Analysis-Drains_&amp;_Misc4"/>
      <sheetName val="Lead_Statement_(PCC)4"/>
      <sheetName val="Analysis-NH-Traf_&amp;_Trans4"/>
      <sheetName val="abs_road4"/>
      <sheetName val="road_est4"/>
      <sheetName val="Road_data4"/>
      <sheetName val="INPUT_SHEET4"/>
      <sheetName val="12__Ins_&amp;_Bonds4"/>
      <sheetName val="Non_debit-RMC4"/>
      <sheetName val="RATE_COMPILATION4"/>
      <sheetName val="DATA-DEP_(13-17)4"/>
      <sheetName val="DATA-GCC(25-34_7)4"/>
      <sheetName val="St_-Con(0-17)4"/>
      <sheetName val="St_-Con_(17-34)4"/>
      <sheetName val="Elect_2"/>
      <sheetName val="Plant_&amp;__Machinery2"/>
      <sheetName val="Structure_du_projet2"/>
      <sheetName val="SC_Cost_FEB_031"/>
      <sheetName val="Cost_of_O_&amp;_O1"/>
      <sheetName val="Rollup_Summary1"/>
      <sheetName val="Sheet3_(2)1"/>
      <sheetName val="factor_1"/>
      <sheetName val="Doha_Farm1"/>
      <sheetName val="doq_11"/>
      <sheetName val="doq_91"/>
      <sheetName val="Load_Calculation1"/>
      <sheetName val="Diesel_Analysis1"/>
      <sheetName val="SC_revtrgt1"/>
      <sheetName val="NLD_-_Assum1"/>
      <sheetName val="Sub_con_List1"/>
      <sheetName val="KM_wise_Quantity1"/>
      <sheetName val="SCH_101"/>
      <sheetName val="Cal(6_3_2)_GSB-T1"/>
      <sheetName val="Cal(6_3_1)_GSB-1(Jn_)_DDA1"/>
      <sheetName val="Cal(6_2_2)_(b)EMB-T1"/>
      <sheetName val="Cal(6_3_3)_WMM-T1"/>
      <sheetName val="Cal(6_2_4)_SG-T1"/>
      <sheetName val="ETC_Plant_Cost1"/>
      <sheetName val="beam-reinft-IIInd_floor1"/>
      <sheetName val="MASTER_RATE_ANALYSIS1"/>
      <sheetName val="_1"/>
      <sheetName val="10-Crop_Age1"/>
      <sheetName val="CG_-St1"/>
      <sheetName val="LL_ABUT1"/>
      <sheetName val="ADMIN_SHEET1"/>
      <sheetName val="STAFFSCHED_"/>
      <sheetName val="Raw_Data"/>
      <sheetName val="balance_Work10"/>
      <sheetName val="SAP架設-2005_12_3111"/>
      <sheetName val="Material_10"/>
      <sheetName val="C_&amp;_G_RHS8"/>
      <sheetName val="LOCAL_RATES8"/>
      <sheetName val="Final_Basic_rate8"/>
      <sheetName val="S-Curve_(2)8"/>
      <sheetName val="21-Rate_Analysis-17"/>
      <sheetName val="final_abstract8"/>
      <sheetName val="Materials_Cost7"/>
      <sheetName val="Materials_Cost(PCC)8"/>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BUD_07-08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Rate_Analysis6"/>
      <sheetName val="UNP-NCW_5"/>
      <sheetName val="9_Major_Bridge5"/>
      <sheetName val="8__ROB5"/>
      <sheetName val="10_Minor_Structure5"/>
      <sheetName val="7__FLYOVER5"/>
      <sheetName val="2__Earthwork5"/>
      <sheetName val="02_10_065"/>
      <sheetName val="Materials_5"/>
      <sheetName val="01_11_20045"/>
      <sheetName val="schedule_nos5"/>
      <sheetName val="DETAILED__BOQ6"/>
      <sheetName val="A_O_R_5"/>
      <sheetName val="220Kv_(2)5"/>
      <sheetName val="P-Ins_&amp;_Bonds5"/>
      <sheetName val="USB_15"/>
      <sheetName val="Ave_wtd_rates5"/>
      <sheetName val="Data_Validation5"/>
      <sheetName val="MN_T_B_5"/>
      <sheetName val="Progressin_Next_mon-AP-175"/>
      <sheetName val="SPT_vs_PHI5"/>
      <sheetName val="Input_Data5"/>
      <sheetName val="Input_Data_R5"/>
      <sheetName val="Input_Data_F5"/>
      <sheetName val="Data_15"/>
      <sheetName val="SS_MH5"/>
      <sheetName val="BOQ_Distribution5"/>
      <sheetName val="Wind_Speed_II5"/>
      <sheetName val="Duopitch_Roof5"/>
      <sheetName val="Free-Standing_Wall5"/>
      <sheetName val="Vertical_Walls5"/>
      <sheetName val="Flat_Roof5"/>
      <sheetName val="Factor_Sb5"/>
      <sheetName val="Size_Effect_Factor5"/>
      <sheetName val="Direction_factor5"/>
      <sheetName val="Wind_Speed_I5"/>
      <sheetName val="Bus_Ways5"/>
      <sheetName val="Major_Br__Statement5"/>
      <sheetName val="Site_clearance5"/>
      <sheetName val="4_Annex_1_Basic_rate5"/>
      <sheetName val="33628-Rev__A5"/>
      <sheetName val="gen_ledger_data5"/>
      <sheetName val="General_input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ESOP_ECAL_TABLES5"/>
      <sheetName val="Labour_&amp;_Plant5"/>
      <sheetName val="footing_for_SP5"/>
      <sheetName val="except_wiring5"/>
      <sheetName val="Fee_Rate_Summary5"/>
      <sheetName val="precast_RC_element5"/>
      <sheetName val="Core_Data5"/>
      <sheetName val="GLEVEL_RHS5"/>
      <sheetName val="General_Analysis5"/>
      <sheetName val="RA_Civil5"/>
      <sheetName val="E_&amp;_R5"/>
      <sheetName val="Appendix_A5"/>
      <sheetName val="JCR_TOP5"/>
      <sheetName val="POCOS_제출및납품일정3"/>
      <sheetName val="Pile_cap3"/>
      <sheetName val="PIPING_LINE_LIST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Elect_3"/>
      <sheetName val="Plant_&amp;__Machinery3"/>
      <sheetName val="Structure_du_projet3"/>
      <sheetName val="SC_Cost_FEB_032"/>
      <sheetName val="Cost_of_O_&amp;_O2"/>
      <sheetName val="Rollup_Summary2"/>
      <sheetName val="Sheet3_(2)2"/>
      <sheetName val="factor_2"/>
      <sheetName val="Doha_Farm2"/>
      <sheetName val="doq_12"/>
      <sheetName val="doq_92"/>
      <sheetName val="Load_Calculation2"/>
      <sheetName val="Diesel_Analysis2"/>
      <sheetName val="SC_revtrgt2"/>
      <sheetName val="NLD_-_Assum2"/>
      <sheetName val="Sub_con_List2"/>
      <sheetName val="KM_wise_Quantity2"/>
      <sheetName val="SCH_102"/>
      <sheetName val="Cal(6_3_2)_GSB-T2"/>
      <sheetName val="Cal(6_3_1)_GSB-1(Jn_)_DDA2"/>
      <sheetName val="Cal(6_2_2)_(b)EMB-T2"/>
      <sheetName val="Cal(6_3_3)_WMM-T2"/>
      <sheetName val="Cal(6_2_4)_SG-T2"/>
      <sheetName val="ETC_Plant_Cost2"/>
      <sheetName val="beam-reinft-IIInd_floor2"/>
      <sheetName val="MASTER_RATE_ANALYSIS2"/>
      <sheetName val="_2"/>
      <sheetName val="10-Crop_Age2"/>
      <sheetName val="CG_-St2"/>
      <sheetName val="LL_ABUT2"/>
      <sheetName val="ADMIN_SHEET2"/>
      <sheetName val="STAFFSCHED_1"/>
      <sheetName val="Raw_Data1"/>
      <sheetName val="ORDER BOOKING"/>
      <sheetName val="doq4 "/>
      <sheetName val="Names&amp;Cases"/>
      <sheetName val="LTG-STG"/>
      <sheetName val="CERT"/>
      <sheetName val="scatch"/>
      <sheetName val="Labor abs-NMR"/>
      <sheetName val="STR"/>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Tower Schedule"/>
      <sheetName val="CLAY"/>
      <sheetName val="Tower_Schedule"/>
      <sheetName val="Tower_Schedule1"/>
      <sheetName val="Transfer"/>
      <sheetName val="Config"/>
      <sheetName val="공문"/>
      <sheetName val="Aggragate"/>
      <sheetName val="ANN -V"/>
      <sheetName val="Sheet4"/>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Comparables"/>
      <sheetName val="Entry"/>
      <sheetName val="maing1"/>
      <sheetName val="dummy"/>
      <sheetName val="loadcal"/>
      <sheetName val="Field Values"/>
      <sheetName val="Desgn(zone I)"/>
      <sheetName val="Costing"/>
      <sheetName val="Abs PMRL"/>
      <sheetName val="Abstract of cost"/>
      <sheetName val="VCH-SLC"/>
      <sheetName val="Supplier"/>
      <sheetName val="IO List"/>
      <sheetName val="S2groupcode"/>
      <sheetName val="TBAL9697 -group wise  sdpl"/>
      <sheetName val="Model"/>
      <sheetName val="CONSTRUCTION COMPONENT"/>
      <sheetName val="MATERIAL COST"/>
      <sheetName val="DSLP"/>
      <sheetName val="Tower_Schedule2"/>
      <sheetName val="Pro Pavement"/>
      <sheetName val="SALIENT"/>
      <sheetName val="Pro_Pavement"/>
      <sheetName val="Rates_PVC"/>
      <sheetName val="FRL-OGL"/>
      <sheetName val="SKMD__32"/>
      <sheetName val="DIR_USED_ITEMS"/>
      <sheetName val="12_8_I_(M-40)"/>
      <sheetName val="Z"/>
      <sheetName val="Project Budget Worksheet"/>
      <sheetName val="1St certified RA bill"/>
      <sheetName val="Cal"/>
      <sheetName val="6공구(당초)"/>
      <sheetName val="Progress"/>
      <sheetName val="no."/>
      <sheetName val="BUD-8306"/>
      <sheetName val="C-data"/>
      <sheetName val="Lead statement"/>
      <sheetName val="aoc-1"/>
      <sheetName val="aoc-10"/>
      <sheetName val="aoc-11"/>
      <sheetName val="aoc-2"/>
      <sheetName val="aoc-3"/>
      <sheetName val="aoc-4"/>
      <sheetName val="aoc-7"/>
      <sheetName val="aoc-8"/>
      <sheetName val="aoc-9"/>
      <sheetName val="Sheet6"/>
      <sheetName val="GSS_PSS_FEEDER"/>
      <sheetName val="BOQ (2)"/>
      <sheetName val="Qty Report"/>
      <sheetName val="banilad"/>
      <sheetName val="Mactan"/>
      <sheetName val="Mandaue"/>
      <sheetName val="BASIC RATES"/>
      <sheetName val="288-1"/>
      <sheetName val="Dayworks Bill"/>
      <sheetName val="Bills of Quantities"/>
      <sheetName val="Vcap1500"/>
      <sheetName val="Cover"/>
      <sheetName val="BOQ DIS"/>
      <sheetName val="Quantity"/>
      <sheetName val="All Equipments"/>
      <sheetName val="ISTDUV_KUR"/>
      <sheetName val="BRIM_ICMAL"/>
      <sheetName val="TELBAĞ_KUR"/>
      <sheetName val="yoca_kur"/>
      <sheetName val="TESKAN_KUR"/>
      <sheetName val="ISITES_KUR"/>
      <sheetName val="POZLAR"/>
      <sheetName val="YOLOT_KUR"/>
      <sheetName val="Desdat"/>
      <sheetName val="95삼성급(본사)"/>
      <sheetName val="Ammonia Unit"/>
      <sheetName val="instrument-b.d"/>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Dtype-Civil"/>
      <sheetName val="Day work"/>
      <sheetName val="Design basis-C"/>
      <sheetName val="Mechanical"/>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Curve_(2)9"/>
      <sheetName val="LOCAL_RATES9"/>
      <sheetName val="C_&amp;_G_RHS9"/>
      <sheetName val="21-Rate_Analysis-18"/>
      <sheetName val="final_abstract9"/>
      <sheetName val="Materials_Cost(PCC)9"/>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Project_Budget_Worksheet"/>
      <sheetName val="no_"/>
      <sheetName val="BOQ_DIS"/>
      <sheetName val="All_Equipments"/>
      <sheetName val="TABLES"/>
      <sheetName val="Report"/>
      <sheetName val="Monthly Turnover (Final)"/>
      <sheetName val="Monthly Programme"/>
      <sheetName val="Sch-3"/>
      <sheetName val="Abstruct total"/>
      <sheetName val="Costing-blk-B"/>
      <sheetName val="HP(9.200)"/>
      <sheetName val="Equipment Master"/>
      <sheetName val="Monthly_Turnover_(Final)"/>
      <sheetName val="Monthly_Programme"/>
      <sheetName val="Abstruct_total"/>
      <sheetName val="HP(9_200)"/>
      <sheetName val="Equipment_Master"/>
      <sheetName val="HW-MEASURMENT"/>
      <sheetName val="Vendor Name"/>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CFL-KIM"/>
      <sheetName val="FORM7"/>
      <sheetName val="REGIONWISE POPULATION"/>
      <sheetName val="tower wt."/>
      <sheetName val="FOREST"/>
      <sheetName val="REGIONWISE_POPULATION"/>
      <sheetName val="tower_wt_"/>
      <sheetName val="CY4 casted"/>
      <sheetName val="PACK (B)"/>
      <sheetName val="VARIABLE"/>
      <sheetName val="Resource"/>
      <sheetName val="Not found as per ground reality"/>
      <sheetName val="Longitudinal"/>
      <sheetName val="Steel Structure"/>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COST"/>
      <sheetName val="Gen Info"/>
      <sheetName val="Overhead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R.A."/>
      <sheetName val="(Do not delete)"/>
      <sheetName val="자바라1"/>
      <sheetName val="Definitions"/>
      <sheetName val="BOQ1"/>
      <sheetName val="ADMIN_SHEET3"/>
      <sheetName val="10-Crop_Age3"/>
      <sheetName val="_3"/>
      <sheetName val="Structure_du_projet4"/>
      <sheetName val="LL_ABUT3"/>
      <sheetName val="CG_-St3"/>
      <sheetName val="Cal(6_3_2)_GSB-T3"/>
      <sheetName val="Cal(6_3_1)_GSB-1(Jn_)_DDA3"/>
      <sheetName val="Cal(6_2_2)_(b)EMB-T3"/>
      <sheetName val="Cal(6_3_3)_WMM-T3"/>
      <sheetName val="Cal(6_2_4)_SG-T3"/>
      <sheetName val="MASTER_RATE_ANALYSIS3"/>
      <sheetName val="ETC_Plant_Cost3"/>
      <sheetName val="beam-reinft-IIInd_floor3"/>
      <sheetName val="Design_basis-C"/>
      <sheetName val="Pro_Pavement1"/>
      <sheetName val="ANN_-V2"/>
      <sheetName val="ORDER_BOOKING2"/>
      <sheetName val="Lead_statement"/>
      <sheetName val="train cash"/>
      <sheetName val="accom cash"/>
      <sheetName val="M-Book for Conc"/>
      <sheetName val="M-Book for FW"/>
      <sheetName val="Pro_Pavement2"/>
      <sheetName val="HB CEC schd 6.2"/>
      <sheetName val="DetEst"/>
      <sheetName val="steam outlet"/>
      <sheetName val="Cost Summary"/>
      <sheetName val="Rising Main"/>
      <sheetName val="Formulas"/>
      <sheetName val="LOCAL_RATES10"/>
      <sheetName val="S-Curve_(2)10"/>
      <sheetName val="Final_Basic_rate9"/>
      <sheetName val="Materials_Cost9"/>
      <sheetName val="C_&amp;_G_RHS10"/>
      <sheetName val="21-Rate_Analysis-19"/>
      <sheetName val="final_abstract10"/>
      <sheetName val="Materials_Cost(PCC)10"/>
      <sheetName val="Chiet_tinh_dz359"/>
      <sheetName val="pile_Fabrication9"/>
      <sheetName val="Risk_Te__Co_8"/>
      <sheetName val="Informa_8"/>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input_micro8"/>
      <sheetName val="Mix_Design7"/>
      <sheetName val="doq-1_DOQ_Culvert7"/>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HSD_LUB_7"/>
      <sheetName val="Rate_Analysis8"/>
      <sheetName val="BUD_07-087"/>
      <sheetName val="schedule_nos7"/>
      <sheetName val="Materials_7"/>
      <sheetName val="01_11_20047"/>
      <sheetName val="UNP-NCW_7"/>
      <sheetName val="9_Major_Bridge7"/>
      <sheetName val="8__ROB7"/>
      <sheetName val="10_Minor_Structure7"/>
      <sheetName val="7__FLYOVER7"/>
      <sheetName val="2__Earthwork7"/>
      <sheetName val="02_10_067"/>
      <sheetName val="P-Ins_&amp;_Bonds7"/>
      <sheetName val="USB_17"/>
      <sheetName val="220Kv_(2)7"/>
      <sheetName val="DETAILED__BOQ8"/>
      <sheetName val="SPT_vs_PHI7"/>
      <sheetName val="MN_T_B_7"/>
      <sheetName val="Wind_Speed_II7"/>
      <sheetName val="Duopitch_Roof7"/>
      <sheetName val="Free-Standing_Wall7"/>
      <sheetName val="Vertical_Walls7"/>
      <sheetName val="Flat_Roof7"/>
      <sheetName val="Factor_Sb7"/>
      <sheetName val="Size_Effect_Factor7"/>
      <sheetName val="Direction_factor7"/>
      <sheetName val="Wind_Speed_I7"/>
      <sheetName val="A_O_R_7"/>
      <sheetName val="Ave_wtd_rates7"/>
      <sheetName val="Data_Validation7"/>
      <sheetName val="Progressin_Next_mon-AP-177"/>
      <sheetName val="Input_Data7"/>
      <sheetName val="Input_Data_R7"/>
      <sheetName val="Input_Data_F7"/>
      <sheetName val="Qty_SR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_AnalysisPCC7"/>
      <sheetName val="Data_17"/>
      <sheetName val="SS_MH7"/>
      <sheetName val="Bus_Ways7"/>
      <sheetName val="Major_Br__Statement7"/>
      <sheetName val="Site_clearance7"/>
      <sheetName val="4_Annex_1_Basic_rate7"/>
      <sheetName val="BOQ_Distribution7"/>
      <sheetName val="33628-Rev__A7"/>
      <sheetName val="gen_ledger_data7"/>
      <sheetName val="General_input7"/>
      <sheetName val="Design_sheet7"/>
      <sheetName val="footing_for_SP7"/>
      <sheetName val="ESOP_ECAL_TABLES7"/>
      <sheetName val="Fee_Rate_Summary7"/>
      <sheetName val="precast_RC_element7"/>
      <sheetName val="Labour_&amp;_Plant7"/>
      <sheetName val="Core_Data7"/>
      <sheetName val="GLEVEL_RHS7"/>
      <sheetName val="General_Analysis7"/>
      <sheetName val="RA_Civil7"/>
      <sheetName val="E_&amp;_R7"/>
      <sheetName val="except_wiring7"/>
      <sheetName val="Appendix_A7"/>
      <sheetName val="JCR_TOP7"/>
      <sheetName val="Analysis-Drains_&amp;_Misc7"/>
      <sheetName val="Lead_Statement_(PCC)7"/>
      <sheetName val="Analysis-NH-Traf_&amp;_Trans7"/>
      <sheetName val="abs_road7"/>
      <sheetName val="road_est7"/>
      <sheetName val="Road_data7"/>
      <sheetName val="INPUT_SHEET7"/>
      <sheetName val="12__Ins_&amp;_Bonds7"/>
      <sheetName val="Non_debit-RMC7"/>
      <sheetName val="RATE_COMPILATION7"/>
      <sheetName val="DATA-DEP_(13-17)7"/>
      <sheetName val="DATA-GCC(25-34_7)7"/>
      <sheetName val="St_-Con(0-17)7"/>
      <sheetName val="St_-Con_(17-34)7"/>
      <sheetName val="Elect_5"/>
      <sheetName val="Plant_&amp;__Machinery5"/>
      <sheetName val="POCOS_제출및납품일정5"/>
      <sheetName val="Pile_cap5"/>
      <sheetName val="PIPING_LINE_LIST5"/>
      <sheetName val="Doha_Farm4"/>
      <sheetName val="Cost_of_O_&amp;_O4"/>
      <sheetName val="Rollup_Summary4"/>
      <sheetName val="Sheet3_(2)4"/>
      <sheetName val="Diesel_Analysis4"/>
      <sheetName val="SC_revtrgt4"/>
      <sheetName val="NLD_-_Assum4"/>
      <sheetName val="Sub_con_List4"/>
      <sheetName val="KM_wise_Quantity4"/>
      <sheetName val="SCH_104"/>
      <sheetName val="doq_14"/>
      <sheetName val="doq_94"/>
      <sheetName val="Load_Calculation4"/>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EAW Final Accounts - 99"/>
      <sheetName val="XREF"/>
      <sheetName val="SAP架設-2005_12_3112"/>
      <sheetName val="balance_Work11"/>
      <sheetName val="LOCAL_RATES11"/>
      <sheetName val="S-Curve_(2)11"/>
      <sheetName val="Final_Basic_rate10"/>
      <sheetName val="Materials_Cost10"/>
      <sheetName val="C_&amp;_G_RHS11"/>
      <sheetName val="Material_11"/>
      <sheetName val="21-Rate_Analysis-110"/>
      <sheetName val="final_abstract11"/>
      <sheetName val="Materials_Cost(PCC)11"/>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input_micro9"/>
      <sheetName val="Mix_Design8"/>
      <sheetName val="doq-1_DOQ_Culvert8"/>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HSD_LUB_8"/>
      <sheetName val="Rate_Analysis9"/>
      <sheetName val="BUD_07-088"/>
      <sheetName val="schedule_nos8"/>
      <sheetName val="Materials_8"/>
      <sheetName val="01_11_20048"/>
      <sheetName val="UNP-NCW_8"/>
      <sheetName val="9_Major_Bridge8"/>
      <sheetName val="8__ROB8"/>
      <sheetName val="10_Minor_Structure8"/>
      <sheetName val="7__FLYOVER8"/>
      <sheetName val="2__Earthwork8"/>
      <sheetName val="02_10_068"/>
      <sheetName val="P-Ins_&amp;_Bonds8"/>
      <sheetName val="USB_18"/>
      <sheetName val="220Kv_(2)8"/>
      <sheetName val="DETAILED__BOQ9"/>
      <sheetName val="SPT_vs_PHI8"/>
      <sheetName val="MN_T_B_8"/>
      <sheetName val="Wind_Speed_II8"/>
      <sheetName val="Duopitch_Roof8"/>
      <sheetName val="Free-Standing_Wall8"/>
      <sheetName val="Vertical_Walls8"/>
      <sheetName val="Flat_Roof8"/>
      <sheetName val="Factor_Sb8"/>
      <sheetName val="Size_Effect_Factor8"/>
      <sheetName val="Direction_factor8"/>
      <sheetName val="Wind_Speed_I8"/>
      <sheetName val="A_O_R_8"/>
      <sheetName val="Ave_wtd_rates8"/>
      <sheetName val="Data_Validation8"/>
      <sheetName val="Progressin_Next_mon-AP-178"/>
      <sheetName val="Input_Data8"/>
      <sheetName val="Input_Data_R8"/>
      <sheetName val="Input_Data_F8"/>
      <sheetName val="Qty_SR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Data_18"/>
      <sheetName val="SS_MH8"/>
      <sheetName val="Bus_Ways8"/>
      <sheetName val="Major_Br__Statement8"/>
      <sheetName val="Site_clearance8"/>
      <sheetName val="4_Annex_1_Basic_rate8"/>
      <sheetName val="BOQ_Distribution8"/>
      <sheetName val="33628-Rev__A8"/>
      <sheetName val="gen_ledger_data8"/>
      <sheetName val="General_input8"/>
      <sheetName val="Design_sheet8"/>
      <sheetName val="footing_for_SP8"/>
      <sheetName val="ESOP_ECAL_TABLES8"/>
      <sheetName val="Fee_Rate_Summary8"/>
      <sheetName val="precast_RC_element8"/>
      <sheetName val="Labour_&amp;_Plant8"/>
      <sheetName val="Core_Data8"/>
      <sheetName val="GLEVEL_RHS8"/>
      <sheetName val="General_Analysis8"/>
      <sheetName val="RA_Civil8"/>
      <sheetName val="E_&amp;_R8"/>
      <sheetName val="except_wiring8"/>
      <sheetName val="Appendix_A8"/>
      <sheetName val="JCR_TOP8"/>
      <sheetName val="Analysis-Drains_&amp;_Misc8"/>
      <sheetName val="Lead_Statement_(PCC)8"/>
      <sheetName val="Analysis-NH-Traf_&amp;_Trans8"/>
      <sheetName val="abs_road8"/>
      <sheetName val="road_est8"/>
      <sheetName val="Road_data8"/>
      <sheetName val="INPUT_SHEET8"/>
      <sheetName val="12__Ins_&amp;_Bonds8"/>
      <sheetName val="Non_debit-RMC8"/>
      <sheetName val="RATE_COMPILATION8"/>
      <sheetName val="DATA-DEP_(13-17)8"/>
      <sheetName val="DATA-GCC(25-34_7)8"/>
      <sheetName val="St_-Con(0-17)8"/>
      <sheetName val="St_-Con_(17-34)8"/>
      <sheetName val="Elect_6"/>
      <sheetName val="Plant_&amp;__Machinery6"/>
      <sheetName val="POCOS_제출및납품일정6"/>
      <sheetName val="Pile_cap6"/>
      <sheetName val="PIPING_LINE_LIST6"/>
      <sheetName val="Doha_Farm5"/>
      <sheetName val="Cost_of_O_&amp;_O5"/>
      <sheetName val="Rollup_Summary5"/>
      <sheetName val="Sheet3_(2)5"/>
      <sheetName val="Diesel_Analysis5"/>
      <sheetName val="SC_revtrgt5"/>
      <sheetName val="NLD_-_Assum5"/>
      <sheetName val="Sub_con_List5"/>
      <sheetName val="KM_wise_Quantity5"/>
      <sheetName val="SCH_105"/>
      <sheetName val="Structure_du_projet5"/>
      <sheetName val="doq_15"/>
      <sheetName val="doq_95"/>
      <sheetName val="Load_Calculation5"/>
      <sheetName val="Pro_Pavement3"/>
      <sheetName val="REGIONWISE_POPULATION1"/>
      <sheetName val="tower_wt_1"/>
      <sheetName val="CY4_casted"/>
      <sheetName val="PACK_(B)"/>
      <sheetName val="train_cash"/>
      <sheetName val="accom_cash"/>
      <sheetName val="M-Book_for_Conc"/>
      <sheetName val="M-Book_for_FW"/>
      <sheetName val="Bill-12"/>
      <sheetName val="Summary_Local"/>
      <sheetName val="Machinary_Road Work"/>
      <sheetName val="Batching&amp;Pil POL"/>
      <sheetName val="Pil"/>
      <sheetName val="Steel Piling_POL"/>
      <sheetName val="Backup PRW - VIIA"/>
      <sheetName val="factor_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Project_Budget_Worksheet1"/>
      <sheetName val="no_1"/>
      <sheetName val="BOQ_DIS1"/>
      <sheetName val="All_Equipments1"/>
      <sheetName val="MATERIAL_COST"/>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doq4_"/>
      <sheetName val="Gen_Info"/>
      <sheetName val="PAVEMENT_MN"/>
      <sheetName val="SP_Break_Up"/>
      <sheetName val="Sweeper_Machine"/>
      <sheetName val="PQC_Design"/>
      <sheetName val="pqc_check"/>
      <sheetName val="Inv_Data"/>
      <sheetName val="_4"/>
      <sheetName val="CG_-St4"/>
      <sheetName val="LL_ABUT4"/>
      <sheetName val="ADMIN_SHEET4"/>
      <sheetName val="10-Crop_Age4"/>
      <sheetName val="factor_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AOR"/>
      <sheetName val="EDWise"/>
      <sheetName val="Code03"/>
      <sheetName val="retaining wall calculatn sheet"/>
      <sheetName val="detail'02"/>
      <sheetName val="Z1_DATA"/>
      <sheetName val="MHNO_LEV"/>
      <sheetName val="zone-2"/>
      <sheetName val="Makro1"/>
      <sheetName val="공장별판관비배부"/>
      <sheetName val="PCC"/>
      <sheetName val="Lead"/>
      <sheetName val="C&amp;G August"/>
      <sheetName val="factors"/>
      <sheetName val="DATA_PILE_BG"/>
      <sheetName val="DATA_PCC"/>
      <sheetName val="DATA_PILECAP"/>
      <sheetName val="DATA_PILE_RT2"/>
      <sheetName val="DATA_PILE_RT1 "/>
      <sheetName val="DATA_PILE _SM"/>
      <sheetName val="1V800"/>
      <sheetName val="EW SR"/>
      <sheetName val="Cube_BOQ"/>
      <sheetName val="As per PCA"/>
      <sheetName val="Data sheet"/>
      <sheetName val="moments-table(tri)"/>
      <sheetName val="Structure_du_projet6"/>
      <sheetName val="EAW_Final_Accounts_-_99"/>
      <sheetName val="As_per_PCA"/>
      <sheetName val="Data_sheet"/>
      <sheetName val="Details"/>
      <sheetName val="Publicbuilding"/>
      <sheetName val="Legal Risk Analysis"/>
      <sheetName val="Staff Acco."/>
      <sheetName val="labour coeff"/>
      <sheetName val="Rate Base"/>
      <sheetName val="CT Thang Mo"/>
      <sheetName val="CT  PL"/>
      <sheetName val="inter"/>
      <sheetName val="sumary"/>
      <sheetName val="2nd "/>
      <sheetName val="shuttering"/>
      <sheetName val="p&amp;m"/>
      <sheetName val="Cable-data"/>
      <sheetName val="foot-slab reinft"/>
      <sheetName val="Variation Statement"/>
      <sheetName val="beam-reinft"/>
      <sheetName val="conc-foot-gradeslab"/>
      <sheetName val="head loss calc"/>
      <sheetName val="A.O.R r1Str"/>
      <sheetName val="A.O.R r1"/>
      <sheetName val="A.O.R (2)"/>
      <sheetName val="Mes"/>
      <sheetName val="RA"/>
      <sheetName val="Slab Drain Ab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SECPROP"/>
      <sheetName val="CABLENOS."/>
      <sheetName val="Excavation"/>
      <sheetName val="Labour productivity"/>
      <sheetName val="TCS IIC"/>
      <sheetName val="TCS II D"/>
      <sheetName val="PIE chart data"/>
      <sheetName val="GE"/>
      <sheetName val="MPW"/>
      <sheetName val="PRW"/>
      <sheetName val="SCW"/>
      <sheetName val="DESBAST"/>
      <sheetName val="Miscellaneous"/>
      <sheetName val="Road_All"/>
      <sheetName val="summery-I"/>
      <sheetName val="2.07 EMB"/>
      <sheetName val="MPR_PA_1"/>
      <sheetName val="Basicdata-f"/>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Qty-UG"/>
      <sheetName val="Income &amp; Occupancy Customer"/>
      <sheetName val="Scope Reconciliation"/>
      <sheetName val="PL"/>
      <sheetName val="Assumptions"/>
      <sheetName val="misc"/>
      <sheetName val="장비"/>
      <sheetName val="노무"/>
      <sheetName val="Labour rates"/>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Bill No 6A- Measurement"/>
      <sheetName val="70R"/>
      <sheetName val="IV 3. Road side drains"/>
      <sheetName val="MATERIALS"/>
      <sheetName val="box-12"/>
      <sheetName val="LabourRates"/>
      <sheetName val="doq-1 bus bay"/>
      <sheetName val="doq 2"/>
      <sheetName val="doq-1 Aoq Culvert"/>
      <sheetName val="doq-7"/>
      <sheetName val="Mach Reco"/>
      <sheetName val="Direct cost shed A-2 "/>
      <sheetName val="MAUN"/>
      <sheetName val="LINER"/>
      <sheetName val="BORING "/>
      <sheetName val="EXPANSION JOINT"/>
      <sheetName val="CIS MAIN BERTH-1"/>
      <sheetName val="New Construction"/>
      <sheetName val="Validation"/>
      <sheetName val="TB"/>
      <sheetName val="Letter"/>
      <sheetName val="Name of the Line"/>
      <sheetName val="VENDOR"/>
      <sheetName val="Bar Budget"/>
      <sheetName val="PNM Justi"/>
      <sheetName val="Bar"/>
      <sheetName val="SITE DATA"/>
      <sheetName val="Shutter"/>
      <sheetName val="BOQ Backup"/>
      <sheetName val="PRECAST_lightconc-II"/>
      <sheetName val="water_prop_"/>
      <sheetName val="Chpt_1-4_&amp;_13"/>
      <sheetName val="L040"/>
      <sheetName val="SMB"/>
      <sheetName val="sheeet7"/>
      <sheetName val="SITE OVERHEADS"/>
      <sheetName val="Misc. Data"/>
      <sheetName val="Fill this out first..."/>
      <sheetName val="csdim"/>
      <sheetName val="cdsload"/>
      <sheetName val="chsload"/>
      <sheetName val="CLAMP"/>
      <sheetName val="cvsload"/>
      <sheetName val="pipe"/>
      <sheetName val="OC 17-04-06"/>
      <sheetName val="SB - reinf"/>
      <sheetName val="Basic Rate"/>
      <sheetName val="10-SHEAR PILES"/>
      <sheetName val="1-INPUT-PARAMETERS"/>
      <sheetName val="Backup"/>
      <sheetName val="Abutment "/>
      <sheetName val="BORING_"/>
      <sheetName val="EXPANSION_JOINT"/>
      <sheetName val="CIS_MAIN_BERTH-1"/>
      <sheetName val="New_Construction"/>
      <sheetName val="Abutment_"/>
      <sheetName val="40mm"/>
      <sheetName val="10mm"/>
      <sheetName val="20mm"/>
      <sheetName val="3BPA00132-5-3 W plan HVPNL"/>
      <sheetName val="Rates Basic"/>
      <sheetName val="Cut to spoil (sound rock)"/>
      <sheetName val="Cut to spoil (soft rock)"/>
      <sheetName val="Divertions"/>
      <sheetName val="Extra over haulages.."/>
      <sheetName val="Fill from borrow"/>
      <sheetName val="Fill Flattening"/>
      <sheetName val="Milling 10.6 TO 58"/>
      <sheetName val="Obliteration"/>
      <sheetName val="Removal Top Soil"/>
      <sheetName val="Removal unsuitable"/>
      <sheetName val="Subbase"/>
      <sheetName val="GSB July"/>
      <sheetName val="WMM July"/>
      <sheetName val="v"/>
      <sheetName val="STRIP Sizing"/>
      <sheetName val="Mass Balance (metric)"/>
      <sheetName val="GROUP"/>
      <sheetName val="LEVEL RHS"/>
      <sheetName val="Aug,02"/>
      <sheetName val="hyperstatic-3"/>
      <sheetName val="Measurements"/>
      <sheetName val="Ceilings"/>
      <sheetName val="ACAD Finishes"/>
      <sheetName val="Site Details"/>
      <sheetName val="Chair"/>
      <sheetName val="Site Area Statement"/>
      <sheetName val="Doors"/>
      <sheetName val="10+260"/>
      <sheetName val="Package-2"/>
      <sheetName val="INPUT-DATA"/>
      <sheetName val="Q-100-2-2_Current_Taxes"/>
      <sheetName val="MC_CST"/>
      <sheetName val="IDC"/>
      <sheetName val="OCE-TOP"/>
      <sheetName val="Cover sheet"/>
      <sheetName val="Est To comp-KTRP"/>
      <sheetName val="JCR TOP(ITEM)-KTRP"/>
      <sheetName val=" Type III"/>
      <sheetName val=" Type I"/>
      <sheetName val="S1BOQ &amp; Workplan"/>
      <sheetName val="405"/>
      <sheetName val="427"/>
      <sheetName val="403"/>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RET_"/>
      <sheetName val="HO_DPR"/>
      <sheetName val="train_cash1"/>
      <sheetName val="accom_cash1"/>
      <sheetName val="M-Book_for_Conc1"/>
      <sheetName val="M-Book_for_FW1"/>
      <sheetName val="HB_CEC_schd_6_2"/>
      <sheetName val="steam_outlet"/>
      <sheetName val="Cost_Summary"/>
      <sheetName val="Rising_Main"/>
      <sheetName val="Machinary_Road_Work"/>
      <sheetName val="Batching&amp;Pil_POL"/>
      <sheetName val="Steel_Piling_POL"/>
      <sheetName val="IV_3__Road_side_drains"/>
      <sheetName val="EAW_Final_Accounts_-_991"/>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Backup_PRW_-_VIIA"/>
      <sheetName val="doq-1_bus_bay"/>
      <sheetName val="doq_2"/>
      <sheetName val="doq-1_Aoq_Culvert"/>
      <sheetName val="Mach_Reco"/>
      <sheetName val="Labour_productivity"/>
      <sheetName val="TCS_IIC"/>
      <sheetName val="TCS_II_D"/>
      <sheetName val="PIE_chart_data"/>
      <sheetName val="CABLENOS_"/>
      <sheetName val="T&amp;P"/>
      <sheetName val="Machinary"/>
      <sheetName val="Building (Non-Res)"/>
      <sheetName val="AMBD"/>
      <sheetName val="MRATES"/>
      <sheetName val="HDPE"/>
      <sheetName val="pvc"/>
      <sheetName val="hdpe_basic"/>
      <sheetName val="pvc_basic"/>
      <sheetName val="GM&amp;PM EST"/>
      <sheetName val="wh_data"/>
      <sheetName val="wh_data_R"/>
      <sheetName val="CPHEEO"/>
      <sheetName val="DATA_PRG"/>
      <sheetName val="R_Det"/>
      <sheetName val="Pop"/>
      <sheetName val="BM-HOOP"/>
      <sheetName val="Data rough"/>
      <sheetName val="m"/>
      <sheetName val="HS final-2"/>
      <sheetName val="int-dia-hdpe"/>
      <sheetName val="int-dia-pvc"/>
      <sheetName val="LABOUR RATE"/>
      <sheetName val="Material Rate"/>
      <sheetName val="AV-HDPE"/>
      <sheetName val="Di_gate-HDPE"/>
      <sheetName val="l"/>
      <sheetName val="Mp-team 1"/>
      <sheetName val="HS 1"/>
      <sheetName val="AV-BWSC&amp;MS"/>
      <sheetName val="AV_AC"/>
      <sheetName val="di_Gate_AC"/>
      <sheetName val="Digate-BWSCP-MS"/>
      <sheetName val="DI_gate_di"/>
      <sheetName val="Usage"/>
      <sheetName val="Common "/>
      <sheetName val="General"/>
      <sheetName val="Works"/>
      <sheetName val="bom"/>
      <sheetName val="DI"/>
      <sheetName val="IRC 18 Table"/>
      <sheetName val="Legend"/>
      <sheetName val="PO NOS"/>
      <sheetName val="ANN_-V4"/>
      <sheetName val="Price_Index_Multiple_(2)3"/>
      <sheetName val="Price_Index_Multiple_-1_REV3"/>
      <sheetName val="Price_Index_Multiple3"/>
      <sheetName val="Abstract-Physical_Progress_3"/>
      <sheetName val="_Earth_Work3"/>
      <sheetName val="_Culverts_(wd)3"/>
      <sheetName val="I-C_-1__Culverts3"/>
      <sheetName val="LEMBAR1"/>
      <sheetName val="LEMBAR2"/>
      <sheetName val="LEMBAR3"/>
      <sheetName val="LEMBAR4"/>
      <sheetName val="LEMBAR5"/>
      <sheetName val="ALAT"/>
      <sheetName val="HARGA DASAR"/>
      <sheetName val="DIV.3"/>
      <sheetName val="DIV.9"/>
      <sheetName val="RAB"/>
      <sheetName val="Design_abf"/>
      <sheetName val="Mgmt,Fin,HR,MIS, Mktg"/>
      <sheetName val="ANAL-PIPE LINE"/>
      <sheetName val="Road metal rate"/>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Basic Data"/>
      <sheetName val="Flash Mixer"/>
      <sheetName val="96_GM_Form"/>
      <sheetName val="30万表三"/>
      <sheetName val="Project Inputs"/>
      <sheetName val="Leg 1-1"/>
      <sheetName val="est"/>
      <sheetName val="1.01-C&amp;G"/>
      <sheetName val="s"/>
      <sheetName val="GRADE"/>
      <sheetName val="MS V"/>
      <sheetName val="Stability"/>
      <sheetName val="Sub Data"/>
      <sheetName val="M-1"/>
      <sheetName val="InputData"/>
      <sheetName val="Spec"/>
      <sheetName val="RA-CD"/>
      <sheetName val="RD-Est"/>
      <sheetName val="Sheet"/>
      <sheetName val="중기사용료"/>
      <sheetName val="slab"/>
      <sheetName val="Sub-Analysis"/>
      <sheetName val="basdat-f"/>
      <sheetName val="balance_Work13"/>
      <sheetName val="LOCAL_RATES13"/>
      <sheetName val="C_&amp;_G_RHS13"/>
      <sheetName val="SAP架設-2005_12_3114"/>
      <sheetName val="S-Curve_(2)13"/>
      <sheetName val="Materials_Cost(PCC)13"/>
      <sheetName val="final_abstract13"/>
      <sheetName val="Material_13"/>
      <sheetName val="Final_Basic_rate12"/>
      <sheetName val="21-Rate_Analysis-112"/>
      <sheetName val="Materials_Cost12"/>
      <sheetName val="DETAILED__BOQ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Rate_Analysis11"/>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UNP-NCW_10"/>
      <sheetName val="9_Major_Bridge10"/>
      <sheetName val="8__ROB10"/>
      <sheetName val="10_Minor_Structure10"/>
      <sheetName val="7__FLYOVER10"/>
      <sheetName val="2__Earthwork10"/>
      <sheetName val="schedule_nos10"/>
      <sheetName val="BUD_07-0810"/>
      <sheetName val="P-Ins_&amp;_Bonds10"/>
      <sheetName val="Plant_&amp;__Machinery8"/>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DATA-DEP_(13-17)10"/>
      <sheetName val="DATA-GCC(25-34_7)10"/>
      <sheetName val="St_-Con(0-17)10"/>
      <sheetName val="St_-Con_(17-34)10"/>
      <sheetName val="Sub_con_List7"/>
      <sheetName val="KM_wise_Quantity7"/>
      <sheetName val="footing_for_SP10"/>
      <sheetName val="12__Ins_&amp;_Bonds10"/>
      <sheetName val="Analysis-Drains_&amp;_Misc10"/>
      <sheetName val="Lead_Statement_(PCC)10"/>
      <sheetName val="Analysis-NH-Traf_&amp;_Trans10"/>
      <sheetName val="RA_Civil10"/>
      <sheetName val="gen_ledger_data10"/>
      <sheetName val="General_input10"/>
      <sheetName val="33628-Rev__A10"/>
      <sheetName val="Design_sheet10"/>
      <sheetName val="ESOP_ECAL_TABLES10"/>
      <sheetName val="precast_RC_element10"/>
      <sheetName val="Core_Data10"/>
      <sheetName val="GLEVEL_RHS10"/>
      <sheetName val="General_Analysis10"/>
      <sheetName val="except_wiring10"/>
      <sheetName val="Appendix_A10"/>
      <sheetName val="JCR_TOP10"/>
      <sheetName val="SCH_107"/>
      <sheetName val="Structure_du_projet8"/>
      <sheetName val="POCOS_제출및납품일정8"/>
      <sheetName val="Pile_cap8"/>
      <sheetName val="PIPING_LINE_LIST8"/>
      <sheetName val="Rollup_Summary7"/>
      <sheetName val="Sheet3_(2)7"/>
      <sheetName val="Doha_Farm7"/>
      <sheetName val="ADMIN_SHEET5"/>
      <sheetName val="10-Crop_Age5"/>
      <sheetName val="LL_ABUT5"/>
      <sheetName val="_5"/>
      <sheetName val="doq_17"/>
      <sheetName val="doq_97"/>
      <sheetName val="Load_Calculation7"/>
      <sheetName val="CG_-St5"/>
      <sheetName val="STAFFSCHED_4"/>
      <sheetName val="ORDER_BOOKING4"/>
      <sheetName val="SKMD__325"/>
      <sheetName val="DIR_USED_ITEMS5"/>
      <sheetName val="12_8_I_(M-40)5"/>
      <sheetName val="SC_Cost_FEB_037"/>
      <sheetName val="factor_7"/>
      <sheetName val="Cal(6_3_2)_GSB-T5"/>
      <sheetName val="Cal(6_3_1)_GSB-1(Jn_)_DDA5"/>
      <sheetName val="Cal(6_2_2)_(b)EMB-T5"/>
      <sheetName val="Cal(6_3_3)_WMM-T5"/>
      <sheetName val="Cal(6_2_4)_SG-T5"/>
      <sheetName val="MASTER_RATE_ANALYSIS5"/>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Tower_Schedule6"/>
      <sheetName val="1St_certified_RA_bill4"/>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Monthly_Turnover_(Final)3"/>
      <sheetName val="Monthly_Programme3"/>
      <sheetName val="Abstruct_total3"/>
      <sheetName val="HP(9_200)3"/>
      <sheetName val="Equipment_Master3"/>
      <sheetName val="Vendor_Name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Not_found_as_per_ground_realit2"/>
      <sheetName val="Steel_Structure2"/>
      <sheetName val="PAVEMENT_MN2"/>
      <sheetName val="SP_Break_Up2"/>
      <sheetName val="Sweeper_Machine2"/>
      <sheetName val="Gen_Info2"/>
      <sheetName val="PQC_Design2"/>
      <sheetName val="pqc_check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EAW_Final_Accounts_-_992"/>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Machinary_Road_Work1"/>
      <sheetName val="Batching&amp;Pil_POL1"/>
      <sheetName val="Steel_Piling_POL1"/>
      <sheetName val="IV_3__Road_side_drains1"/>
      <sheetName val="retaining_wall_calculatn_sheet"/>
      <sheetName val="Income_&amp;_Occupancy_Customer"/>
      <sheetName val="Scope_Reconciliation"/>
      <sheetName val="Slab_Drain_Abs_"/>
      <sheetName val="Backup_PRW_-_VIIA1"/>
      <sheetName val="CABLENOS_1"/>
      <sheetName val="Labour_productivity1"/>
      <sheetName val="TCS_IIC1"/>
      <sheetName val="TCS_II_D1"/>
      <sheetName val="PIE_chart_data1"/>
      <sheetName val="R_A_"/>
      <sheetName val="C&amp;G_August"/>
      <sheetName val="doq-1_bus_bay1"/>
      <sheetName val="doq_21"/>
      <sheetName val="doq-1_Aoq_Culvert1"/>
      <sheetName val="Mach_Reco1"/>
      <sheetName val="7_Other_Costs"/>
      <sheetName val="Occ,_Other_Rev,_Exp,_Dispo"/>
      <sheetName val="Material_List_"/>
      <sheetName val="EW_SR"/>
      <sheetName val="Bill_No_6A-_Measurement"/>
      <sheetName val="Basic_Data"/>
      <sheetName val="Flash_Mixer"/>
      <sheetName val="Main ROB"/>
      <sheetName val="S1BOQ_&amp;_Workplan"/>
      <sheetName val="(Do_not_delete)"/>
      <sheetName val="Admin"/>
      <sheetName val="Fin Sum"/>
      <sheetName val="Main-Material"/>
      <sheetName val="sept-plan"/>
      <sheetName val="Balance sheet"/>
      <sheetName val="Wag&amp;Sal"/>
      <sheetName val="1.Civil"/>
      <sheetName val="BOQ_Direct_selling cost"/>
      <sheetName val="P&amp;L-BDMC"/>
      <sheetName val="RA_markate"/>
      <sheetName val="BOQ_Direct_selling_cost"/>
      <sheetName val="Fin_Sum"/>
      <sheetName val="Balance_sheet"/>
      <sheetName val="1_Civil"/>
      <sheetName val="Abstract Sheet"/>
      <sheetName val="Break up Sheet"/>
      <sheetName val="Controls"/>
      <sheetName val="Aseet1998"/>
      <sheetName val="Delhi"/>
      <sheetName val="Material Summary"/>
      <sheetName val="Consolidated"/>
      <sheetName val="Staff"/>
      <sheetName val="Block Reco. (2)"/>
      <sheetName val="Anlysis"/>
      <sheetName val="bs &amp; P&amp;l (2)"/>
      <sheetName val="Build-up"/>
      <sheetName val="WORK TABLE"/>
      <sheetName val="DP"/>
      <sheetName val="Per Unit"/>
      <sheetName val="SITE_OVERHEADS"/>
      <sheetName val="Misc__Data"/>
      <sheetName val="Fill_this_out_first___"/>
      <sheetName val="OC_17-04-06"/>
      <sheetName val="SB_-_reinf"/>
      <sheetName val="Basic_Rate"/>
      <sheetName val="Design Parameters"/>
      <sheetName val="Wordsdata"/>
      <sheetName val="Prelim.Expense"/>
      <sheetName val="Drg"/>
      <sheetName val="Summary_Slab_Karbook"/>
      <sheetName val="Analy"/>
      <sheetName val="trans"/>
      <sheetName val="item"/>
      <sheetName val="Specification"/>
      <sheetName val="Scheme Area Details_Block__ C2"/>
      <sheetName val="New33KVSS_E3"/>
      <sheetName val="Prop aug of Ex 33KVSS_E3a"/>
      <sheetName val="Annex- 6 - Delinator"/>
      <sheetName val="TORRENT CEMENT"/>
      <sheetName val="Works - Quote Sheet"/>
      <sheetName val="Debits as on 12.04.08"/>
      <sheetName val="CEMENT PSP"/>
      <sheetName val="RCC,Ret. Wall"/>
      <sheetName val="Interface_SC"/>
      <sheetName val="Calc_ISC"/>
      <sheetName val="Calc_SC"/>
      <sheetName val="Interface_ISC"/>
      <sheetName val="GD"/>
      <sheetName val="column details"/>
      <sheetName val="reference"/>
      <sheetName val="Lead (Final)"/>
      <sheetName val="Extra Item"/>
      <sheetName val="Xenon(R2)"/>
      <sheetName val="Detail In Door Stad"/>
      <sheetName val="1 row C.D."/>
      <sheetName val="D"/>
      <sheetName val="C"/>
      <sheetName val="BS"/>
      <sheetName val="Sheet7"/>
      <sheetName val="MPL 技連"/>
      <sheetName val="342E BLOCK"/>
      <sheetName val="MAT-DET"/>
      <sheetName val="CUT QTY"/>
      <sheetName val="CUT QTY Pay"/>
      <sheetName val="SIEVE ANALYSIS_Sand"/>
      <sheetName val="Earnings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sheetData sheetId="899"/>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sheetData sheetId="1312"/>
      <sheetData sheetId="1313"/>
      <sheetData sheetId="1314"/>
      <sheetData sheetId="1315"/>
      <sheetData sheetId="1316"/>
      <sheetData sheetId="1317" refreshError="1"/>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sheetData sheetId="1527"/>
      <sheetData sheetId="1528"/>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sheetData sheetId="1569"/>
      <sheetData sheetId="1570" refreshError="1"/>
      <sheetData sheetId="1571"/>
      <sheetData sheetId="1572"/>
      <sheetData sheetId="1573" refreshError="1"/>
      <sheetData sheetId="1574" refreshError="1"/>
      <sheetData sheetId="1575"/>
      <sheetData sheetId="1576"/>
      <sheetData sheetId="1577"/>
      <sheetData sheetId="1578" refreshError="1"/>
      <sheetData sheetId="1579" refreshError="1"/>
      <sheetData sheetId="1580" refreshError="1"/>
      <sheetData sheetId="158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refreshError="1"/>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sheetData sheetId="2789"/>
      <sheetData sheetId="2790"/>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sheetData sheetId="2811"/>
      <sheetData sheetId="2812"/>
      <sheetData sheetId="2813"/>
      <sheetData sheetId="2814"/>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refreshError="1"/>
      <sheetData sheetId="3512"/>
      <sheetData sheetId="3513"/>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sheetData sheetId="3544"/>
      <sheetData sheetId="3545"/>
      <sheetData sheetId="3546"/>
      <sheetData sheetId="3547"/>
      <sheetData sheetId="3548"/>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S2groupcode"/>
      <sheetName val="Discarded links"/>
      <sheetName val="BHANDUP"/>
      <sheetName val="PLAN_FEB97"/>
      <sheetName val="Form D1"/>
      <sheetName val="Form D12"/>
      <sheetName val="Form D13"/>
      <sheetName val="Index"/>
      <sheetName val="MATERIAL TOTAL"/>
      <sheetName val="Form 5"/>
      <sheetName val="S3workplan"/>
      <sheetName val="bg-charges"/>
      <sheetName val="cl14"/>
      <sheetName val="FORM-W3"/>
      <sheetName val="Officer Budget Form"/>
      <sheetName val="BASIC-Roads"/>
      <sheetName val="Total summary"/>
      <sheetName val="_REF"/>
      <sheetName val="(31)"/>
      <sheetName val="DPR"/>
      <sheetName val="Resources"/>
      <sheetName val="section wise"/>
      <sheetName val="askng rate"/>
      <sheetName val="section wise (2)"/>
      <sheetName val="RCC"/>
      <sheetName val="Summary of 13th RA"/>
      <sheetName val="progress"/>
      <sheetName val="AoR"/>
      <sheetName val="BOQ Distribu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 &amp; Eqpt Summary"/>
      <sheetName val="Sheet2"/>
      <sheetName val="Summary-Financial"/>
      <sheetName val="Summary-Financial (NEW)"/>
      <sheetName val="DPR"/>
      <sheetName val="Static Crusher"/>
      <sheetName val="PRE"/>
      <sheetName val="Liju"/>
      <sheetName val="Anish"/>
      <sheetName val="Manoj"/>
      <sheetName val="Reji-Ducts"/>
      <sheetName val="Jayan"/>
      <sheetName val="Mukesh"/>
      <sheetName val="Mohan"/>
      <sheetName val="Sub Contract Utilities"/>
      <sheetName val="Paul"/>
      <sheetName val="Santhosh"/>
      <sheetName val="Joynal"/>
      <sheetName val="Baskar"/>
      <sheetName val="Others"/>
      <sheetName val="MP &amp; Eqpt Summary 1"/>
      <sheetName val="PRE-1"/>
      <sheetName val="Anish-1"/>
      <sheetName val="Liju-1"/>
      <sheetName val="Manoj-1"/>
      <sheetName val="Reji-Ducts-1"/>
      <sheetName val="Jayan 1"/>
      <sheetName val="Mukesh-1"/>
      <sheetName val="Mohan 1"/>
      <sheetName val="Paul-1"/>
      <sheetName val="Santhosh-1"/>
      <sheetName val="Joynal-1"/>
      <sheetName val="Baskar-1"/>
      <sheetName val="Others-1"/>
      <sheetName val="Static-1"/>
      <sheetName val="Eqpmnt &amp; MP 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4">
          <cell r="B4" t="str">
            <v>Bull Dozer</v>
          </cell>
          <cell r="C4">
            <v>3.75</v>
          </cell>
          <cell r="D4">
            <v>90</v>
          </cell>
          <cell r="E4">
            <v>1.75</v>
          </cell>
          <cell r="F4">
            <v>42</v>
          </cell>
          <cell r="G4">
            <v>0</v>
          </cell>
          <cell r="H4">
            <v>0</v>
          </cell>
        </row>
        <row r="5">
          <cell r="B5" t="str">
            <v>Front End Loader</v>
          </cell>
          <cell r="C5">
            <v>11.75</v>
          </cell>
          <cell r="D5">
            <v>282</v>
          </cell>
          <cell r="E5">
            <v>4.75</v>
          </cell>
          <cell r="F5">
            <v>114</v>
          </cell>
          <cell r="G5">
            <v>1</v>
          </cell>
          <cell r="H5">
            <v>24</v>
          </cell>
        </row>
        <row r="6">
          <cell r="B6" t="str">
            <v>Motor Grader</v>
          </cell>
          <cell r="C6">
            <v>5</v>
          </cell>
          <cell r="D6">
            <v>97</v>
          </cell>
          <cell r="E6">
            <v>4</v>
          </cell>
          <cell r="F6">
            <v>111</v>
          </cell>
          <cell r="G6">
            <v>0</v>
          </cell>
          <cell r="H6">
            <v>0</v>
          </cell>
        </row>
        <row r="7">
          <cell r="B7" t="str">
            <v>Excavator</v>
          </cell>
          <cell r="C7">
            <v>2.75</v>
          </cell>
          <cell r="D7">
            <v>66</v>
          </cell>
          <cell r="E7">
            <v>0</v>
          </cell>
          <cell r="F7">
            <v>0</v>
          </cell>
          <cell r="G7">
            <v>2</v>
          </cell>
          <cell r="H7">
            <v>48</v>
          </cell>
        </row>
        <row r="8">
          <cell r="B8" t="str">
            <v>Vibratory Roller</v>
          </cell>
          <cell r="C8">
            <v>6</v>
          </cell>
          <cell r="D8">
            <v>127</v>
          </cell>
          <cell r="E8">
            <v>7</v>
          </cell>
          <cell r="F8">
            <v>171</v>
          </cell>
          <cell r="G8">
            <v>0</v>
          </cell>
          <cell r="H8">
            <v>0</v>
          </cell>
        </row>
        <row r="9">
          <cell r="B9" t="str">
            <v>Water Tanker</v>
          </cell>
          <cell r="C9">
            <v>7.25</v>
          </cell>
          <cell r="D9">
            <v>174</v>
          </cell>
          <cell r="E9">
            <v>5.5</v>
          </cell>
          <cell r="F9">
            <v>132</v>
          </cell>
          <cell r="G9">
            <v>1</v>
          </cell>
          <cell r="H9">
            <v>24</v>
          </cell>
        </row>
        <row r="10">
          <cell r="B10" t="str">
            <v>Tipper</v>
          </cell>
          <cell r="C10">
            <v>48.25</v>
          </cell>
          <cell r="D10">
            <v>1128</v>
          </cell>
          <cell r="E10">
            <v>28.75</v>
          </cell>
          <cell r="F10">
            <v>720</v>
          </cell>
          <cell r="G10">
            <v>1</v>
          </cell>
          <cell r="H10">
            <v>24</v>
          </cell>
        </row>
        <row r="11">
          <cell r="B11" t="str">
            <v>JCB</v>
          </cell>
          <cell r="C11">
            <v>6</v>
          </cell>
          <cell r="D11">
            <v>144</v>
          </cell>
          <cell r="E11">
            <v>2</v>
          </cell>
          <cell r="F11">
            <v>48</v>
          </cell>
          <cell r="G11">
            <v>2</v>
          </cell>
          <cell r="H11">
            <v>48</v>
          </cell>
        </row>
        <row r="14">
          <cell r="B14" t="str">
            <v>Mason</v>
          </cell>
          <cell r="C14">
            <v>2</v>
          </cell>
          <cell r="D14">
            <v>56</v>
          </cell>
          <cell r="E14">
            <v>0</v>
          </cell>
          <cell r="F14">
            <v>0</v>
          </cell>
          <cell r="G14">
            <v>37</v>
          </cell>
          <cell r="H14">
            <v>1006</v>
          </cell>
        </row>
        <row r="15">
          <cell r="B15" t="str">
            <v>Carpenter</v>
          </cell>
          <cell r="C15">
            <v>11</v>
          </cell>
          <cell r="D15">
            <v>308</v>
          </cell>
          <cell r="E15">
            <v>4</v>
          </cell>
          <cell r="F15">
            <v>112</v>
          </cell>
          <cell r="G15">
            <v>132</v>
          </cell>
          <cell r="H15">
            <v>3501</v>
          </cell>
        </row>
        <row r="16">
          <cell r="B16" t="str">
            <v>Steel Fixer</v>
          </cell>
          <cell r="C16">
            <v>5</v>
          </cell>
          <cell r="D16">
            <v>140</v>
          </cell>
          <cell r="E16">
            <v>3</v>
          </cell>
          <cell r="F16">
            <v>84</v>
          </cell>
          <cell r="G16">
            <v>104</v>
          </cell>
          <cell r="H16">
            <v>2867</v>
          </cell>
        </row>
        <row r="17">
          <cell r="B17" t="str">
            <v>Helper</v>
          </cell>
          <cell r="C17">
            <v>74.5</v>
          </cell>
          <cell r="D17">
            <v>2356</v>
          </cell>
          <cell r="E17">
            <v>68</v>
          </cell>
          <cell r="F17">
            <v>1824</v>
          </cell>
          <cell r="G17">
            <v>22</v>
          </cell>
          <cell r="H17">
            <v>540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D160"/>
  <sheetViews>
    <sheetView view="pageBreakPreview" zoomScaleNormal="100" zoomScaleSheetLayoutView="100" workbookViewId="0">
      <pane xSplit="4" ySplit="6" topLeftCell="E10" activePane="bottomRight" state="frozen"/>
      <selection activeCell="AH8" sqref="AH8"/>
      <selection pane="topRight" activeCell="AH8" sqref="AH8"/>
      <selection pane="bottomLeft" activeCell="AH8" sqref="AH8"/>
      <selection pane="bottomRight" activeCell="H9" sqref="H9"/>
    </sheetView>
  </sheetViews>
  <sheetFormatPr defaultColWidth="9.109375" defaultRowHeight="13.8"/>
  <cols>
    <col min="1" max="1" width="5.44140625" style="25" customWidth="1"/>
    <col min="2" max="2" width="43.109375" style="25" customWidth="1"/>
    <col min="3" max="4" width="9.6640625" style="25" customWidth="1"/>
    <col min="5" max="5" width="6.6640625" style="25" customWidth="1"/>
    <col min="6" max="6" width="11.6640625" style="25" customWidth="1"/>
    <col min="7" max="7" width="9.88671875" style="25" customWidth="1"/>
    <col min="8" max="9" width="8.6640625" style="25" customWidth="1"/>
    <col min="10" max="10" width="13.33203125" style="25" customWidth="1"/>
    <col min="11" max="11" width="11.44140625" style="25" customWidth="1"/>
    <col min="12" max="12" width="11.109375" style="25" customWidth="1"/>
    <col min="13" max="13" width="10.5546875" style="25" customWidth="1"/>
    <col min="14" max="14" width="11" style="25" hidden="1" customWidth="1"/>
    <col min="15" max="15" width="10.88671875" style="25" hidden="1" customWidth="1"/>
    <col min="16" max="17" width="9.5546875" style="25" hidden="1" customWidth="1"/>
    <col min="18" max="18" width="9.33203125" style="25" hidden="1" customWidth="1"/>
    <col min="19" max="19" width="9.5546875" style="25" hidden="1" customWidth="1"/>
    <col min="20" max="21" width="9.33203125" style="25" hidden="1" customWidth="1"/>
    <col min="22" max="22" width="10.5546875" style="25" hidden="1" customWidth="1"/>
    <col min="23" max="31" width="9.33203125" style="25" hidden="1" customWidth="1"/>
    <col min="32" max="32" width="1.6640625" style="25" customWidth="1"/>
    <col min="33" max="33" width="7.88671875" style="25" hidden="1" customWidth="1"/>
    <col min="34" max="36" width="7.44140625" style="25" hidden="1" customWidth="1"/>
    <col min="37" max="37" width="8.5546875" style="25" hidden="1" customWidth="1"/>
    <col min="38" max="48" width="7.44140625" style="25" hidden="1" customWidth="1"/>
    <col min="49" max="56" width="8" style="25" hidden="1" customWidth="1"/>
    <col min="57" max="16384" width="9.109375" style="25"/>
  </cols>
  <sheetData>
    <row r="1" spans="1:56">
      <c r="G1" s="25" t="s">
        <v>679</v>
      </c>
      <c r="H1" s="26" t="s">
        <v>893</v>
      </c>
      <c r="J1" s="25" t="s">
        <v>635</v>
      </c>
      <c r="K1" s="1" t="s">
        <v>893</v>
      </c>
      <c r="L1" s="27"/>
      <c r="AG1" s="78">
        <v>2600</v>
      </c>
      <c r="AH1" s="25">
        <f>AG1/D48</f>
        <v>3.7142857142857144</v>
      </c>
    </row>
    <row r="2" spans="1:56" ht="24.9" customHeight="1" thickBot="1">
      <c r="A2" s="28" t="s">
        <v>892</v>
      </c>
      <c r="J2" s="29" t="s">
        <v>894</v>
      </c>
      <c r="AG2" s="471" t="s">
        <v>858</v>
      </c>
      <c r="AH2" s="472"/>
      <c r="AI2" s="472"/>
      <c r="AJ2" s="472"/>
      <c r="AK2" s="472"/>
      <c r="AL2" s="472"/>
      <c r="AM2" s="472"/>
      <c r="AN2" s="473"/>
      <c r="AO2" s="471" t="s">
        <v>859</v>
      </c>
      <c r="AP2" s="472"/>
      <c r="AQ2" s="472"/>
      <c r="AR2" s="472"/>
      <c r="AS2" s="472"/>
      <c r="AT2" s="472"/>
      <c r="AU2" s="472"/>
      <c r="AV2" s="473"/>
      <c r="AW2" s="471" t="s">
        <v>860</v>
      </c>
      <c r="AX2" s="472"/>
      <c r="AY2" s="472"/>
      <c r="AZ2" s="472"/>
      <c r="BA2" s="472"/>
      <c r="BB2" s="472"/>
      <c r="BC2" s="472"/>
      <c r="BD2" s="473"/>
    </row>
    <row r="3" spans="1:56" s="31" customFormat="1" ht="15" customHeight="1">
      <c r="A3" s="469" t="s">
        <v>590</v>
      </c>
      <c r="B3" s="466" t="s">
        <v>591</v>
      </c>
      <c r="C3" s="466" t="s">
        <v>592</v>
      </c>
      <c r="D3" s="466"/>
      <c r="E3" s="466" t="s">
        <v>6</v>
      </c>
      <c r="F3" s="466" t="s">
        <v>677</v>
      </c>
      <c r="G3" s="466"/>
      <c r="H3" s="466"/>
      <c r="I3" s="466"/>
      <c r="J3" s="466" t="s">
        <v>937</v>
      </c>
      <c r="K3" s="466"/>
      <c r="L3" s="466"/>
      <c r="M3" s="467"/>
      <c r="N3" s="128"/>
      <c r="O3" s="464" t="s">
        <v>760</v>
      </c>
      <c r="P3" s="464"/>
      <c r="Q3" s="464"/>
      <c r="R3" s="128"/>
      <c r="S3" s="30">
        <f>4400*0.6</f>
        <v>2640</v>
      </c>
      <c r="T3" s="128"/>
      <c r="U3" s="128"/>
      <c r="V3" s="128"/>
      <c r="W3" s="128"/>
      <c r="X3" s="128"/>
      <c r="Y3" s="128"/>
      <c r="Z3" s="128">
        <v>44</v>
      </c>
      <c r="AA3" s="128">
        <v>50</v>
      </c>
      <c r="AB3" s="128"/>
      <c r="AC3" s="128"/>
      <c r="AD3" s="128"/>
      <c r="AE3" s="128"/>
      <c r="AF3" s="128"/>
      <c r="AG3" s="474"/>
      <c r="AH3" s="475"/>
      <c r="AI3" s="475"/>
      <c r="AJ3" s="475"/>
      <c r="AK3" s="475"/>
      <c r="AL3" s="475"/>
      <c r="AM3" s="475"/>
      <c r="AN3" s="476"/>
      <c r="AO3" s="474"/>
      <c r="AP3" s="475"/>
      <c r="AQ3" s="475"/>
      <c r="AR3" s="475"/>
      <c r="AS3" s="475"/>
      <c r="AT3" s="475"/>
      <c r="AU3" s="475"/>
      <c r="AV3" s="476"/>
      <c r="AW3" s="474"/>
      <c r="AX3" s="475"/>
      <c r="AY3" s="475"/>
      <c r="AZ3" s="475"/>
      <c r="BA3" s="475"/>
      <c r="BB3" s="475"/>
      <c r="BC3" s="475"/>
      <c r="BD3" s="476"/>
    </row>
    <row r="4" spans="1:56" s="31" customFormat="1" ht="15" customHeight="1">
      <c r="A4" s="470"/>
      <c r="B4" s="465"/>
      <c r="C4" s="465" t="s">
        <v>6</v>
      </c>
      <c r="D4" s="465" t="s">
        <v>594</v>
      </c>
      <c r="E4" s="465"/>
      <c r="F4" s="465" t="s">
        <v>595</v>
      </c>
      <c r="G4" s="465" t="s">
        <v>596</v>
      </c>
      <c r="H4" s="465" t="s">
        <v>597</v>
      </c>
      <c r="I4" s="465" t="s">
        <v>598</v>
      </c>
      <c r="J4" s="465" t="s">
        <v>678</v>
      </c>
      <c r="K4" s="465" t="s">
        <v>596</v>
      </c>
      <c r="L4" s="465" t="s">
        <v>597</v>
      </c>
      <c r="M4" s="468" t="s">
        <v>598</v>
      </c>
      <c r="S4" s="32">
        <f>4400/S3</f>
        <v>1.6666666666666667</v>
      </c>
      <c r="T4" s="38">
        <f>100%</f>
        <v>1</v>
      </c>
      <c r="Z4" s="31">
        <v>11</v>
      </c>
      <c r="AA4" s="31">
        <v>16</v>
      </c>
      <c r="AG4" s="465" t="s">
        <v>595</v>
      </c>
      <c r="AH4" s="465" t="s">
        <v>596</v>
      </c>
      <c r="AI4" s="465" t="s">
        <v>597</v>
      </c>
      <c r="AJ4" s="465" t="s">
        <v>598</v>
      </c>
      <c r="AK4" s="465" t="s">
        <v>678</v>
      </c>
      <c r="AL4" s="465" t="s">
        <v>596</v>
      </c>
      <c r="AM4" s="465" t="s">
        <v>597</v>
      </c>
      <c r="AN4" s="468" t="s">
        <v>598</v>
      </c>
      <c r="AO4" s="465" t="s">
        <v>595</v>
      </c>
      <c r="AP4" s="465" t="s">
        <v>596</v>
      </c>
      <c r="AQ4" s="465" t="s">
        <v>597</v>
      </c>
      <c r="AR4" s="465" t="s">
        <v>598</v>
      </c>
      <c r="AS4" s="465" t="s">
        <v>678</v>
      </c>
      <c r="AT4" s="465" t="s">
        <v>596</v>
      </c>
      <c r="AU4" s="465" t="s">
        <v>597</v>
      </c>
      <c r="AV4" s="468" t="s">
        <v>598</v>
      </c>
      <c r="AW4" s="465" t="s">
        <v>595</v>
      </c>
      <c r="AX4" s="465" t="s">
        <v>596</v>
      </c>
      <c r="AY4" s="465" t="s">
        <v>597</v>
      </c>
      <c r="AZ4" s="465" t="s">
        <v>598</v>
      </c>
      <c r="BA4" s="465" t="s">
        <v>678</v>
      </c>
      <c r="BB4" s="465" t="s">
        <v>596</v>
      </c>
      <c r="BC4" s="465" t="s">
        <v>597</v>
      </c>
      <c r="BD4" s="468" t="s">
        <v>598</v>
      </c>
    </row>
    <row r="5" spans="1:56" s="31" customFormat="1" ht="31.5" customHeight="1">
      <c r="A5" s="470"/>
      <c r="B5" s="465"/>
      <c r="C5" s="465"/>
      <c r="D5" s="465"/>
      <c r="E5" s="465"/>
      <c r="F5" s="465"/>
      <c r="G5" s="465"/>
      <c r="H5" s="465"/>
      <c r="I5" s="465"/>
      <c r="J5" s="465"/>
      <c r="K5" s="465"/>
      <c r="L5" s="465"/>
      <c r="M5" s="468"/>
      <c r="O5" s="33" t="s">
        <v>594</v>
      </c>
      <c r="P5" s="33" t="s">
        <v>596</v>
      </c>
      <c r="Q5" s="33" t="s">
        <v>761</v>
      </c>
      <c r="AG5" s="465"/>
      <c r="AH5" s="465"/>
      <c r="AI5" s="465"/>
      <c r="AJ5" s="465"/>
      <c r="AK5" s="465"/>
      <c r="AL5" s="465"/>
      <c r="AM5" s="465"/>
      <c r="AN5" s="468"/>
      <c r="AO5" s="465"/>
      <c r="AP5" s="465"/>
      <c r="AQ5" s="465"/>
      <c r="AR5" s="465"/>
      <c r="AS5" s="465"/>
      <c r="AT5" s="465"/>
      <c r="AU5" s="465"/>
      <c r="AV5" s="468"/>
      <c r="AW5" s="465"/>
      <c r="AX5" s="465"/>
      <c r="AY5" s="465"/>
      <c r="AZ5" s="465"/>
      <c r="BA5" s="465"/>
      <c r="BB5" s="465"/>
      <c r="BC5" s="465"/>
      <c r="BD5" s="468"/>
    </row>
    <row r="6" spans="1:56" s="31" customFormat="1">
      <c r="A6" s="249"/>
      <c r="B6" s="250"/>
      <c r="C6" s="250"/>
      <c r="D6" s="250"/>
      <c r="E6" s="250"/>
      <c r="F6" s="250"/>
      <c r="G6" s="250"/>
      <c r="H6" s="250"/>
      <c r="I6" s="250"/>
      <c r="J6" s="250"/>
      <c r="K6" s="250"/>
      <c r="L6" s="250"/>
      <c r="M6" s="34"/>
      <c r="AG6" s="34"/>
      <c r="AH6" s="34"/>
      <c r="AI6" s="34"/>
      <c r="AJ6" s="34"/>
      <c r="AK6" s="34"/>
      <c r="AL6" s="34"/>
      <c r="AM6" s="34"/>
      <c r="AN6" s="34"/>
      <c r="AO6" s="34"/>
      <c r="AP6" s="34"/>
      <c r="AQ6" s="34"/>
      <c r="AR6" s="34"/>
      <c r="AS6" s="34"/>
      <c r="AT6" s="34"/>
      <c r="AU6" s="34"/>
      <c r="AV6" s="34"/>
      <c r="AW6" s="34"/>
      <c r="AX6" s="34"/>
      <c r="AY6" s="34"/>
      <c r="AZ6" s="34"/>
      <c r="BA6" s="34"/>
      <c r="BB6" s="34"/>
      <c r="BC6" s="34"/>
      <c r="BD6" s="34"/>
    </row>
    <row r="7" spans="1:56">
      <c r="A7" s="251">
        <v>1</v>
      </c>
      <c r="B7" s="252" t="s">
        <v>600</v>
      </c>
      <c r="C7" s="253"/>
      <c r="D7" s="35"/>
      <c r="E7" s="253"/>
      <c r="F7" s="35"/>
      <c r="G7" s="35">
        <f>SUM(G8:G17)</f>
        <v>0</v>
      </c>
      <c r="H7" s="35"/>
      <c r="I7" s="36">
        <f>IFERROR(G7/H7,0)</f>
        <v>0</v>
      </c>
      <c r="J7" s="35"/>
      <c r="K7" s="35">
        <f>SUM(K8:K17)</f>
        <v>0</v>
      </c>
      <c r="L7" s="35"/>
      <c r="M7" s="36">
        <f>IFERROR(K7/L7,0)</f>
        <v>0</v>
      </c>
      <c r="P7" s="35">
        <f>SUM(P8:P17)</f>
        <v>0</v>
      </c>
      <c r="Q7" s="38" t="e">
        <f>P7/L7</f>
        <v>#DIV/0!</v>
      </c>
      <c r="T7" s="78">
        <f>K7-L7</f>
        <v>0</v>
      </c>
      <c r="U7" s="25">
        <v>103.56</v>
      </c>
      <c r="V7" s="74">
        <f>T7*U7</f>
        <v>0</v>
      </c>
      <c r="Y7" s="74"/>
      <c r="Z7" s="25">
        <v>7</v>
      </c>
      <c r="AG7" s="37"/>
      <c r="AH7" s="35" t="e">
        <f>SUM(AH8:AH17)</f>
        <v>#REF!</v>
      </c>
      <c r="AI7" s="209">
        <f>VLOOKUP($B7,'[5]Eqpmnt &amp; MP Days'!$B$4:$H$11,2,0)</f>
        <v>3.75</v>
      </c>
      <c r="AJ7" s="37" t="str">
        <f>IFERROR(AH7/AI7,"")</f>
        <v/>
      </c>
      <c r="AK7" s="37"/>
      <c r="AL7" s="35" t="e">
        <f>SUM(AL8:AL17)</f>
        <v>#REF!</v>
      </c>
      <c r="AM7" s="209">
        <f>VLOOKUP($B7,'[5]Eqpmnt &amp; MP Days'!$B$4:$H$11,3,0)</f>
        <v>90</v>
      </c>
      <c r="AN7" s="37" t="str">
        <f>IFERROR(AL7/AM7,"")</f>
        <v/>
      </c>
      <c r="AO7" s="37"/>
      <c r="AP7" s="35" t="e">
        <f>SUM(AP8:AP17)</f>
        <v>#REF!</v>
      </c>
      <c r="AQ7" s="209">
        <f>VLOOKUP($B7,'[5]Eqpmnt &amp; MP Days'!$B$4:$H$11,4,0)</f>
        <v>1.75</v>
      </c>
      <c r="AR7" s="37" t="str">
        <f>IFERROR(AP7/AQ7,"")</f>
        <v/>
      </c>
      <c r="AS7" s="37"/>
      <c r="AT7" s="35" t="e">
        <f>SUM(AT8:AT17)</f>
        <v>#REF!</v>
      </c>
      <c r="AU7" s="209">
        <f>VLOOKUP($B7,'[5]Eqpmnt &amp; MP Days'!$B$4:$H$11,5,0)</f>
        <v>42</v>
      </c>
      <c r="AV7" s="37" t="str">
        <f>IFERROR(AT7/AU7,"")</f>
        <v/>
      </c>
      <c r="AW7" s="37"/>
      <c r="AX7" s="35" t="str">
        <f>IFERROR(SUM(AX8:AX17),"")</f>
        <v/>
      </c>
      <c r="AY7" s="209">
        <f>IFERROR(VLOOKUP($B7,'[5]Eqpmnt &amp; MP Days'!$B$4:$H$11,6,0),"")</f>
        <v>0</v>
      </c>
      <c r="AZ7" s="37" t="str">
        <f>IFERROR(AX7/AY7,"")</f>
        <v/>
      </c>
      <c r="BA7" s="37"/>
      <c r="BB7" s="35" t="e">
        <f>SUM(BB8:BB17)</f>
        <v>#REF!</v>
      </c>
      <c r="BC7" s="209">
        <f>VLOOKUP($B7,'[5]Eqpmnt &amp; MP Days'!$B$4:$H$11,7,0)</f>
        <v>0</v>
      </c>
      <c r="BD7" s="37" t="str">
        <f>IFERROR(BB7/BC7,"")</f>
        <v/>
      </c>
    </row>
    <row r="8" spans="1:56">
      <c r="A8" s="254"/>
      <c r="B8" s="255" t="s">
        <v>710</v>
      </c>
      <c r="C8" s="256" t="s">
        <v>602</v>
      </c>
      <c r="D8" s="218">
        <v>4000</v>
      </c>
      <c r="E8" s="256" t="s">
        <v>86</v>
      </c>
      <c r="F8" s="39"/>
      <c r="G8" s="40"/>
      <c r="H8" s="39"/>
      <c r="I8" s="41"/>
      <c r="J8" s="39"/>
      <c r="K8" s="40">
        <f t="shared" ref="K8:K17" si="0">J8/D8</f>
        <v>0</v>
      </c>
      <c r="L8" s="39"/>
      <c r="M8" s="42"/>
      <c r="N8" s="43"/>
      <c r="O8" s="44">
        <v>4000</v>
      </c>
      <c r="P8" s="43">
        <f>J8/O8</f>
        <v>0</v>
      </c>
      <c r="Q8" s="45"/>
      <c r="R8" s="43"/>
      <c r="S8" s="43"/>
      <c r="T8" s="43"/>
      <c r="U8" s="43"/>
      <c r="V8" s="43"/>
      <c r="W8" s="43"/>
      <c r="X8" s="43"/>
      <c r="Y8" s="43"/>
      <c r="Z8" s="43"/>
      <c r="AA8" s="43"/>
      <c r="AB8" s="43"/>
      <c r="AC8" s="43"/>
      <c r="AD8" s="43"/>
      <c r="AE8" s="43"/>
      <c r="AF8" s="43"/>
      <c r="AG8" s="39" t="e">
        <f>#REF!+#REF!</f>
        <v>#REF!</v>
      </c>
      <c r="AH8" s="170" t="e">
        <f>AG8/$D8</f>
        <v>#REF!</v>
      </c>
      <c r="AI8" s="42"/>
      <c r="AJ8" s="42"/>
      <c r="AK8" s="39" t="e">
        <f>#REF!+#REF!</f>
        <v>#REF!</v>
      </c>
      <c r="AL8" s="170" t="e">
        <f>AK8/$D8</f>
        <v>#REF!</v>
      </c>
      <c r="AM8" s="42"/>
      <c r="AN8" s="42"/>
      <c r="AO8" s="39" t="e">
        <f>#REF!+#REF!</f>
        <v>#REF!</v>
      </c>
      <c r="AP8" s="170" t="e">
        <f>AO8/$D8</f>
        <v>#REF!</v>
      </c>
      <c r="AQ8" s="42"/>
      <c r="AR8" s="42"/>
      <c r="AS8" s="39" t="e">
        <f>#REF!+#REF!</f>
        <v>#REF!</v>
      </c>
      <c r="AT8" s="170" t="e">
        <f>AS8/$D8</f>
        <v>#REF!</v>
      </c>
      <c r="AU8" s="42"/>
      <c r="AV8" s="42"/>
      <c r="AW8" s="39" t="e">
        <f>#REF!+#REF!</f>
        <v>#REF!</v>
      </c>
      <c r="AX8" s="170" t="e">
        <f>AW8/$D8</f>
        <v>#REF!</v>
      </c>
      <c r="AY8" s="42"/>
      <c r="AZ8" s="42"/>
      <c r="BA8" s="39" t="e">
        <f>#REF!+#REF!</f>
        <v>#REF!</v>
      </c>
      <c r="BB8" s="170" t="e">
        <f>BA8/$D8</f>
        <v>#REF!</v>
      </c>
      <c r="BC8" s="42"/>
      <c r="BD8" s="42"/>
    </row>
    <row r="9" spans="1:56">
      <c r="A9" s="254"/>
      <c r="B9" s="257" t="s">
        <v>614</v>
      </c>
      <c r="C9" s="256" t="s">
        <v>604</v>
      </c>
      <c r="D9" s="218">
        <v>900</v>
      </c>
      <c r="E9" s="256" t="s">
        <v>35</v>
      </c>
      <c r="F9" s="39"/>
      <c r="G9" s="40"/>
      <c r="H9" s="39"/>
      <c r="I9" s="41"/>
      <c r="J9" s="39"/>
      <c r="K9" s="40">
        <f t="shared" si="0"/>
        <v>0</v>
      </c>
      <c r="L9" s="39"/>
      <c r="M9" s="42"/>
      <c r="N9" s="43"/>
      <c r="O9" s="44">
        <v>900</v>
      </c>
      <c r="P9" s="43">
        <f t="shared" ref="P9:P17" si="1">J9/O9</f>
        <v>0</v>
      </c>
      <c r="Q9" s="45"/>
      <c r="R9" s="43"/>
      <c r="S9" s="43"/>
      <c r="T9" s="43"/>
      <c r="U9" s="43"/>
      <c r="V9" s="43"/>
      <c r="W9" s="43"/>
      <c r="X9" s="43"/>
      <c r="Y9" s="43"/>
      <c r="Z9" s="43"/>
      <c r="AA9" s="43"/>
      <c r="AB9" s="43"/>
      <c r="AC9" s="43"/>
      <c r="AD9" s="43"/>
      <c r="AE9" s="43"/>
      <c r="AF9" s="43"/>
      <c r="AG9" s="39" t="e">
        <f>#REF!+#REF!+#REF!</f>
        <v>#REF!</v>
      </c>
      <c r="AH9" s="170" t="e">
        <f t="shared" ref="AH9:AH17" si="2">AG9/$D9</f>
        <v>#REF!</v>
      </c>
      <c r="AI9" s="42"/>
      <c r="AJ9" s="42"/>
      <c r="AK9" s="39" t="e">
        <f>#REF!+#REF!+#REF!</f>
        <v>#REF!</v>
      </c>
      <c r="AL9" s="170" t="e">
        <f t="shared" ref="AL9:AL17" si="3">AK9/$D9</f>
        <v>#REF!</v>
      </c>
      <c r="AM9" s="42"/>
      <c r="AN9" s="42"/>
      <c r="AO9" s="39" t="e">
        <f>#REF!+#REF!+#REF!</f>
        <v>#REF!</v>
      </c>
      <c r="AP9" s="170" t="e">
        <f t="shared" ref="AP9:AP17" si="4">AO9/$D9</f>
        <v>#REF!</v>
      </c>
      <c r="AQ9" s="42"/>
      <c r="AR9" s="42"/>
      <c r="AS9" s="39" t="e">
        <f>#REF!+#REF!+#REF!</f>
        <v>#REF!</v>
      </c>
      <c r="AT9" s="170" t="e">
        <f t="shared" ref="AT9:AT17" si="5">AS9/$D9</f>
        <v>#REF!</v>
      </c>
      <c r="AU9" s="42"/>
      <c r="AV9" s="42"/>
      <c r="AW9" s="39" t="e">
        <f>#REF!+#REF!+#REF!</f>
        <v>#REF!</v>
      </c>
      <c r="AX9" s="170" t="e">
        <f t="shared" ref="AX9:AX17" si="6">AW9/$D9</f>
        <v>#REF!</v>
      </c>
      <c r="AY9" s="42"/>
      <c r="AZ9" s="42"/>
      <c r="BA9" s="39" t="e">
        <f>#REF!+#REF!+#REF!</f>
        <v>#REF!</v>
      </c>
      <c r="BB9" s="170" t="e">
        <f t="shared" ref="BB9:BB17" si="7">BA9/$D9</f>
        <v>#REF!</v>
      </c>
      <c r="BC9" s="42"/>
      <c r="BD9" s="42"/>
    </row>
    <row r="10" spans="1:56" ht="17.25" customHeight="1">
      <c r="A10" s="258"/>
      <c r="B10" s="259" t="s">
        <v>603</v>
      </c>
      <c r="C10" s="260" t="s">
        <v>604</v>
      </c>
      <c r="D10" s="62">
        <f>1000/1.2</f>
        <v>833.33333333333337</v>
      </c>
      <c r="E10" s="260" t="s">
        <v>35</v>
      </c>
      <c r="F10" s="39"/>
      <c r="G10" s="40"/>
      <c r="H10" s="40"/>
      <c r="I10" s="46"/>
      <c r="J10" s="39"/>
      <c r="K10" s="40">
        <f t="shared" si="0"/>
        <v>0</v>
      </c>
      <c r="L10" s="40"/>
      <c r="M10" s="47"/>
      <c r="N10" s="48"/>
      <c r="O10" s="44">
        <f>1000/(1.4)</f>
        <v>714.28571428571433</v>
      </c>
      <c r="P10" s="43">
        <f t="shared" si="1"/>
        <v>0</v>
      </c>
      <c r="Q10" s="45"/>
      <c r="R10" s="43"/>
      <c r="S10" s="49"/>
      <c r="T10" s="43"/>
      <c r="U10" s="43"/>
      <c r="V10" s="43"/>
      <c r="W10" s="43"/>
      <c r="X10" s="43"/>
      <c r="Y10" s="43"/>
      <c r="Z10" s="43"/>
      <c r="AA10" s="43"/>
      <c r="AB10" s="43"/>
      <c r="AC10" s="43"/>
      <c r="AD10" s="43"/>
      <c r="AE10" s="43"/>
      <c r="AF10" s="43"/>
      <c r="AG10" s="39" t="e">
        <f>(#REF!+#REF!)</f>
        <v>#REF!</v>
      </c>
      <c r="AH10" s="170" t="e">
        <f t="shared" si="2"/>
        <v>#REF!</v>
      </c>
      <c r="AI10" s="47"/>
      <c r="AJ10" s="47"/>
      <c r="AK10" s="39" t="e">
        <f>(#REF!+#REF!)</f>
        <v>#REF!</v>
      </c>
      <c r="AL10" s="170" t="e">
        <f t="shared" si="3"/>
        <v>#REF!</v>
      </c>
      <c r="AM10" s="47"/>
      <c r="AN10" s="47"/>
      <c r="AO10" s="39" t="e">
        <f>(#REF!+#REF!)</f>
        <v>#REF!</v>
      </c>
      <c r="AP10" s="170" t="e">
        <f t="shared" si="4"/>
        <v>#REF!</v>
      </c>
      <c r="AQ10" s="47"/>
      <c r="AR10" s="47"/>
      <c r="AS10" s="39" t="e">
        <f>(#REF!+#REF!)</f>
        <v>#REF!</v>
      </c>
      <c r="AT10" s="170" t="e">
        <f t="shared" si="5"/>
        <v>#REF!</v>
      </c>
      <c r="AU10" s="47"/>
      <c r="AV10" s="47"/>
      <c r="AW10" s="39" t="e">
        <f>(#REF!+#REF!)</f>
        <v>#REF!</v>
      </c>
      <c r="AX10" s="170" t="e">
        <f t="shared" si="6"/>
        <v>#REF!</v>
      </c>
      <c r="AY10" s="47"/>
      <c r="AZ10" s="47"/>
      <c r="BA10" s="39" t="e">
        <f>(#REF!+#REF!)</f>
        <v>#REF!</v>
      </c>
      <c r="BB10" s="170" t="e">
        <f t="shared" si="7"/>
        <v>#REF!</v>
      </c>
      <c r="BC10" s="47"/>
      <c r="BD10" s="47"/>
    </row>
    <row r="11" spans="1:56" ht="17.25" customHeight="1">
      <c r="A11" s="258"/>
      <c r="B11" s="259" t="s">
        <v>799</v>
      </c>
      <c r="C11" s="260" t="s">
        <v>602</v>
      </c>
      <c r="D11" s="62">
        <v>1000</v>
      </c>
      <c r="E11" s="260" t="s">
        <v>86</v>
      </c>
      <c r="F11" s="39"/>
      <c r="G11" s="40"/>
      <c r="H11" s="40"/>
      <c r="I11" s="46"/>
      <c r="J11" s="39"/>
      <c r="K11" s="40">
        <f t="shared" si="0"/>
        <v>0</v>
      </c>
      <c r="L11" s="40"/>
      <c r="M11" s="47"/>
      <c r="N11" s="48"/>
      <c r="O11" s="44">
        <v>1000</v>
      </c>
      <c r="P11" s="43">
        <v>0</v>
      </c>
      <c r="Q11" s="45"/>
      <c r="R11" s="43"/>
      <c r="S11" s="49"/>
      <c r="T11" s="43"/>
      <c r="U11" s="43"/>
      <c r="V11" s="43"/>
      <c r="W11" s="43"/>
      <c r="X11" s="43"/>
      <c r="Y11" s="43"/>
      <c r="Z11" s="43"/>
      <c r="AA11" s="43"/>
      <c r="AB11" s="43"/>
      <c r="AC11" s="43"/>
      <c r="AD11" s="43"/>
      <c r="AE11" s="43"/>
      <c r="AF11" s="43"/>
      <c r="AG11" s="39" t="e">
        <f>#REF!*0.5</f>
        <v>#REF!</v>
      </c>
      <c r="AH11" s="170" t="e">
        <f t="shared" si="2"/>
        <v>#REF!</v>
      </c>
      <c r="AI11" s="47"/>
      <c r="AJ11" s="47"/>
      <c r="AK11" s="39" t="e">
        <f>#REF!</f>
        <v>#REF!</v>
      </c>
      <c r="AL11" s="170" t="e">
        <f t="shared" si="3"/>
        <v>#REF!</v>
      </c>
      <c r="AM11" s="47"/>
      <c r="AN11" s="47"/>
      <c r="AO11" s="39" t="e">
        <f>#REF!*0.5</f>
        <v>#REF!</v>
      </c>
      <c r="AP11" s="170" t="e">
        <f t="shared" si="4"/>
        <v>#REF!</v>
      </c>
      <c r="AQ11" s="47"/>
      <c r="AR11" s="47"/>
      <c r="AS11" s="39" t="e">
        <f>#REF!</f>
        <v>#REF!</v>
      </c>
      <c r="AT11" s="170" t="e">
        <f t="shared" si="5"/>
        <v>#REF!</v>
      </c>
      <c r="AU11" s="47"/>
      <c r="AV11" s="47"/>
      <c r="AW11" s="39" t="e">
        <f>#REF!*0.5</f>
        <v>#REF!</v>
      </c>
      <c r="AX11" s="170" t="e">
        <f t="shared" si="6"/>
        <v>#REF!</v>
      </c>
      <c r="AY11" s="47"/>
      <c r="AZ11" s="47"/>
      <c r="BA11" s="39" t="e">
        <f>#REF!</f>
        <v>#REF!</v>
      </c>
      <c r="BB11" s="170" t="e">
        <f t="shared" si="7"/>
        <v>#REF!</v>
      </c>
      <c r="BC11" s="47"/>
      <c r="BD11" s="47"/>
    </row>
    <row r="12" spans="1:56">
      <c r="A12" s="258"/>
      <c r="B12" s="259" t="s">
        <v>605</v>
      </c>
      <c r="C12" s="260" t="s">
        <v>604</v>
      </c>
      <c r="D12" s="62">
        <f>1000/1.1</f>
        <v>909.09090909090901</v>
      </c>
      <c r="E12" s="260" t="s">
        <v>35</v>
      </c>
      <c r="F12" s="39"/>
      <c r="G12" s="40"/>
      <c r="H12" s="40"/>
      <c r="I12" s="46"/>
      <c r="J12" s="39"/>
      <c r="K12" s="40">
        <f t="shared" si="0"/>
        <v>0</v>
      </c>
      <c r="L12" s="40"/>
      <c r="M12" s="47"/>
      <c r="N12" s="43"/>
      <c r="O12" s="44">
        <v>1154</v>
      </c>
      <c r="P12" s="43">
        <f t="shared" si="1"/>
        <v>0</v>
      </c>
      <c r="Q12" s="45"/>
      <c r="R12" s="43"/>
      <c r="S12" s="43"/>
      <c r="T12" s="43"/>
      <c r="U12" s="43"/>
      <c r="V12" s="43"/>
      <c r="W12" s="43"/>
      <c r="X12" s="43"/>
      <c r="Y12" s="43"/>
      <c r="Z12" s="43"/>
      <c r="AA12" s="43"/>
      <c r="AB12" s="43"/>
      <c r="AC12" s="43"/>
      <c r="AD12" s="43"/>
      <c r="AE12" s="43"/>
      <c r="AF12" s="43"/>
      <c r="AG12" s="39" t="e">
        <f>(#REF!+#REF!+#REF!)*1</f>
        <v>#REF!</v>
      </c>
      <c r="AH12" s="170" t="e">
        <f t="shared" si="2"/>
        <v>#REF!</v>
      </c>
      <c r="AI12" s="47"/>
      <c r="AJ12" s="47"/>
      <c r="AK12" s="39" t="e">
        <f>(#REF!+#REF!+#REF!)</f>
        <v>#REF!</v>
      </c>
      <c r="AL12" s="170" t="e">
        <f t="shared" si="3"/>
        <v>#REF!</v>
      </c>
      <c r="AM12" s="47"/>
      <c r="AN12" s="47"/>
      <c r="AO12" s="39" t="e">
        <f>(#REF!+#REF!+#REF!)*1</f>
        <v>#REF!</v>
      </c>
      <c r="AP12" s="170" t="e">
        <f t="shared" si="4"/>
        <v>#REF!</v>
      </c>
      <c r="AQ12" s="47"/>
      <c r="AR12" s="47"/>
      <c r="AS12" s="39" t="e">
        <f>(#REF!+#REF!+#REF!)</f>
        <v>#REF!</v>
      </c>
      <c r="AT12" s="170" t="e">
        <f t="shared" si="5"/>
        <v>#REF!</v>
      </c>
      <c r="AU12" s="47"/>
      <c r="AV12" s="47"/>
      <c r="AW12" s="39" t="e">
        <f>(#REF!+#REF!+#REF!)*1</f>
        <v>#REF!</v>
      </c>
      <c r="AX12" s="170" t="e">
        <f t="shared" si="6"/>
        <v>#REF!</v>
      </c>
      <c r="AY12" s="47"/>
      <c r="AZ12" s="47"/>
      <c r="BA12" s="39" t="e">
        <f>(#REF!+#REF!+#REF!)</f>
        <v>#REF!</v>
      </c>
      <c r="BB12" s="170" t="e">
        <f t="shared" si="7"/>
        <v>#REF!</v>
      </c>
      <c r="BC12" s="47"/>
      <c r="BD12" s="47"/>
    </row>
    <row r="13" spans="1:56">
      <c r="A13" s="258"/>
      <c r="B13" s="259" t="s">
        <v>708</v>
      </c>
      <c r="C13" s="260" t="s">
        <v>604</v>
      </c>
      <c r="D13" s="62">
        <f>1200/1.4</f>
        <v>857.14285714285722</v>
      </c>
      <c r="E13" s="260" t="s">
        <v>35</v>
      </c>
      <c r="F13" s="39"/>
      <c r="G13" s="40"/>
      <c r="H13" s="40"/>
      <c r="I13" s="46"/>
      <c r="J13" s="39"/>
      <c r="K13" s="40">
        <f t="shared" si="0"/>
        <v>0</v>
      </c>
      <c r="L13" s="40"/>
      <c r="M13" s="47"/>
      <c r="N13" s="43"/>
      <c r="O13" s="44">
        <v>857</v>
      </c>
      <c r="P13" s="43">
        <f t="shared" si="1"/>
        <v>0</v>
      </c>
      <c r="Q13" s="45"/>
      <c r="R13" s="43"/>
      <c r="S13" s="43"/>
      <c r="T13" s="43"/>
      <c r="U13" s="43"/>
      <c r="V13" s="43"/>
      <c r="W13" s="43"/>
      <c r="X13" s="43"/>
      <c r="Y13" s="43"/>
      <c r="Z13" s="43"/>
      <c r="AA13" s="43"/>
      <c r="AB13" s="43"/>
      <c r="AC13" s="43"/>
      <c r="AD13" s="43"/>
      <c r="AE13" s="43"/>
      <c r="AF13" s="43"/>
      <c r="AG13" s="39" t="e">
        <f>#REF!</f>
        <v>#REF!</v>
      </c>
      <c r="AH13" s="170" t="e">
        <f t="shared" si="2"/>
        <v>#REF!</v>
      </c>
      <c r="AI13" s="47"/>
      <c r="AJ13" s="47"/>
      <c r="AK13" s="39" t="e">
        <f>#REF!</f>
        <v>#REF!</v>
      </c>
      <c r="AL13" s="170" t="e">
        <f t="shared" si="3"/>
        <v>#REF!</v>
      </c>
      <c r="AM13" s="47"/>
      <c r="AN13" s="47"/>
      <c r="AO13" s="39" t="e">
        <f>#REF!</f>
        <v>#REF!</v>
      </c>
      <c r="AP13" s="170" t="e">
        <f t="shared" si="4"/>
        <v>#REF!</v>
      </c>
      <c r="AQ13" s="47"/>
      <c r="AR13" s="47"/>
      <c r="AS13" s="39" t="e">
        <f>#REF!</f>
        <v>#REF!</v>
      </c>
      <c r="AT13" s="170" t="e">
        <f t="shared" si="5"/>
        <v>#REF!</v>
      </c>
      <c r="AU13" s="47"/>
      <c r="AV13" s="47"/>
      <c r="AW13" s="39" t="e">
        <f>#REF!</f>
        <v>#REF!</v>
      </c>
      <c r="AX13" s="170" t="e">
        <f t="shared" si="6"/>
        <v>#REF!</v>
      </c>
      <c r="AY13" s="47"/>
      <c r="AZ13" s="47"/>
      <c r="BA13" s="39" t="e">
        <f>#REF!</f>
        <v>#REF!</v>
      </c>
      <c r="BB13" s="170" t="e">
        <f t="shared" si="7"/>
        <v>#REF!</v>
      </c>
      <c r="BC13" s="47"/>
      <c r="BD13" s="47"/>
    </row>
    <row r="14" spans="1:56" ht="15.6">
      <c r="A14" s="258"/>
      <c r="B14" s="259" t="s">
        <v>707</v>
      </c>
      <c r="C14" s="260" t="s">
        <v>604</v>
      </c>
      <c r="D14" s="282">
        <f>1200/(1.6*1.3)</f>
        <v>576.92307692307691</v>
      </c>
      <c r="E14" s="260" t="s">
        <v>35</v>
      </c>
      <c r="F14" s="39"/>
      <c r="G14" s="40"/>
      <c r="H14" s="40"/>
      <c r="I14" s="46"/>
      <c r="J14" s="39"/>
      <c r="K14" s="40">
        <f t="shared" si="0"/>
        <v>0</v>
      </c>
      <c r="L14" s="40"/>
      <c r="M14" s="47"/>
      <c r="N14" s="43"/>
      <c r="O14" s="44">
        <v>577</v>
      </c>
      <c r="P14" s="43">
        <f t="shared" si="1"/>
        <v>0</v>
      </c>
      <c r="Q14" s="45"/>
      <c r="R14" s="43"/>
      <c r="S14" s="43"/>
      <c r="T14" s="43"/>
      <c r="U14" s="43"/>
      <c r="V14" s="43"/>
      <c r="W14" s="43"/>
      <c r="X14" s="43"/>
      <c r="Y14" s="43"/>
      <c r="Z14" s="43"/>
      <c r="AA14" s="43"/>
      <c r="AB14" s="43"/>
      <c r="AC14" s="43"/>
      <c r="AD14" s="43"/>
      <c r="AE14" s="43"/>
      <c r="AF14" s="43"/>
      <c r="AG14" s="39" t="e">
        <f>#REF!+#REF!+#REF!+#REF!+#REF!</f>
        <v>#REF!</v>
      </c>
      <c r="AH14" s="170" t="e">
        <f t="shared" si="2"/>
        <v>#REF!</v>
      </c>
      <c r="AI14" s="47"/>
      <c r="AJ14" s="47"/>
      <c r="AK14" s="39" t="e">
        <f>#REF!+#REF!+#REF!+#REF!+#REF!</f>
        <v>#REF!</v>
      </c>
      <c r="AL14" s="170" t="e">
        <f t="shared" si="3"/>
        <v>#REF!</v>
      </c>
      <c r="AM14" s="47"/>
      <c r="AN14" s="47"/>
      <c r="AO14" s="39" t="e">
        <f>#REF!+#REF!+#REF!+#REF!+#REF!</f>
        <v>#REF!</v>
      </c>
      <c r="AP14" s="170"/>
      <c r="AQ14" s="47"/>
      <c r="AR14" s="47"/>
      <c r="AS14" s="39" t="e">
        <f>#REF!+#REF!+#REF!+#REF!+#REF!</f>
        <v>#REF!</v>
      </c>
      <c r="AT14" s="170"/>
      <c r="AU14" s="47"/>
      <c r="AV14" s="47"/>
      <c r="AW14" s="39" t="e">
        <f>#REF!+#REF!+#REF!+#REF!+#REF!</f>
        <v>#REF!</v>
      </c>
      <c r="AX14" s="170" t="e">
        <f t="shared" si="6"/>
        <v>#REF!</v>
      </c>
      <c r="AY14" s="47"/>
      <c r="AZ14" s="47"/>
      <c r="BA14" s="39" t="e">
        <f>#REF!+#REF!+#REF!+#REF!+#REF!</f>
        <v>#REF!</v>
      </c>
      <c r="BB14" s="170" t="e">
        <f t="shared" si="7"/>
        <v>#REF!</v>
      </c>
      <c r="BC14" s="47"/>
      <c r="BD14" s="47"/>
    </row>
    <row r="15" spans="1:56">
      <c r="A15" s="258"/>
      <c r="B15" s="259" t="s">
        <v>606</v>
      </c>
      <c r="C15" s="260" t="s">
        <v>604</v>
      </c>
      <c r="D15" s="62">
        <f>1000/1.2</f>
        <v>833.33333333333337</v>
      </c>
      <c r="E15" s="260" t="s">
        <v>35</v>
      </c>
      <c r="F15" s="39"/>
      <c r="G15" s="40">
        <f t="shared" ref="G15:G17" si="8">F15/D15</f>
        <v>0</v>
      </c>
      <c r="H15" s="40"/>
      <c r="I15" s="46"/>
      <c r="J15" s="39"/>
      <c r="K15" s="40">
        <f t="shared" si="0"/>
        <v>0</v>
      </c>
      <c r="L15" s="40"/>
      <c r="M15" s="47"/>
      <c r="N15" s="43"/>
      <c r="O15" s="44">
        <v>1000</v>
      </c>
      <c r="P15" s="43">
        <f t="shared" si="1"/>
        <v>0</v>
      </c>
      <c r="Q15" s="45"/>
      <c r="R15" s="43"/>
      <c r="S15" s="43"/>
      <c r="T15" s="43"/>
      <c r="U15" s="43"/>
      <c r="V15" s="43"/>
      <c r="W15" s="43"/>
      <c r="X15" s="43"/>
      <c r="Y15" s="43"/>
      <c r="Z15" s="43"/>
      <c r="AA15" s="43"/>
      <c r="AB15" s="43"/>
      <c r="AC15" s="43"/>
      <c r="AD15" s="43"/>
      <c r="AE15" s="43"/>
      <c r="AF15" s="43"/>
      <c r="AG15" s="39"/>
      <c r="AH15" s="170">
        <f t="shared" si="2"/>
        <v>0</v>
      </c>
      <c r="AI15" s="47"/>
      <c r="AJ15" s="47"/>
      <c r="AK15" s="39"/>
      <c r="AL15" s="170">
        <f t="shared" si="3"/>
        <v>0</v>
      </c>
      <c r="AM15" s="47"/>
      <c r="AN15" s="47"/>
      <c r="AO15" s="39"/>
      <c r="AP15" s="170">
        <f t="shared" si="4"/>
        <v>0</v>
      </c>
      <c r="AQ15" s="47"/>
      <c r="AR15" s="47"/>
      <c r="AS15" s="39"/>
      <c r="AT15" s="170">
        <f t="shared" si="5"/>
        <v>0</v>
      </c>
      <c r="AU15" s="47"/>
      <c r="AV15" s="47"/>
      <c r="AW15" s="39"/>
      <c r="AX15" s="170">
        <f t="shared" si="6"/>
        <v>0</v>
      </c>
      <c r="AY15" s="47"/>
      <c r="AZ15" s="47"/>
      <c r="BA15" s="39"/>
      <c r="BB15" s="170">
        <f t="shared" si="7"/>
        <v>0</v>
      </c>
      <c r="BC15" s="47"/>
      <c r="BD15" s="47"/>
    </row>
    <row r="16" spans="1:56">
      <c r="A16" s="258"/>
      <c r="B16" s="259" t="s">
        <v>709</v>
      </c>
      <c r="C16" s="260"/>
      <c r="D16" s="62"/>
      <c r="E16" s="260"/>
      <c r="F16" s="40"/>
      <c r="G16" s="40">
        <v>0</v>
      </c>
      <c r="H16" s="40"/>
      <c r="I16" s="40"/>
      <c r="J16" s="40"/>
      <c r="K16" s="40">
        <v>0</v>
      </c>
      <c r="L16" s="40"/>
      <c r="M16" s="50"/>
      <c r="N16" s="43"/>
      <c r="O16" s="44"/>
      <c r="P16" s="43"/>
      <c r="Q16" s="45"/>
      <c r="R16" s="43"/>
      <c r="S16" s="43"/>
      <c r="T16" s="43"/>
      <c r="U16" s="43"/>
      <c r="V16" s="43"/>
      <c r="W16" s="43"/>
      <c r="X16" s="43"/>
      <c r="Y16" s="43"/>
      <c r="Z16" s="43"/>
      <c r="AA16" s="43"/>
      <c r="AB16" s="43"/>
      <c r="AC16" s="43"/>
      <c r="AD16" s="43"/>
      <c r="AE16" s="43"/>
      <c r="AF16" s="43"/>
      <c r="AG16" s="40"/>
      <c r="AH16" s="170"/>
      <c r="AI16" s="50"/>
      <c r="AJ16" s="50"/>
      <c r="AK16" s="40"/>
      <c r="AL16" s="170"/>
      <c r="AM16" s="50"/>
      <c r="AN16" s="50"/>
      <c r="AO16" s="40"/>
      <c r="AP16" s="170"/>
      <c r="AQ16" s="50"/>
      <c r="AR16" s="50"/>
      <c r="AS16" s="40"/>
      <c r="AT16" s="170"/>
      <c r="AU16" s="50"/>
      <c r="AV16" s="50"/>
      <c r="AW16" s="40"/>
      <c r="AX16" s="170"/>
      <c r="AY16" s="50"/>
      <c r="AZ16" s="50"/>
      <c r="BA16" s="40"/>
      <c r="BB16" s="170"/>
      <c r="BC16" s="50"/>
      <c r="BD16" s="50"/>
    </row>
    <row r="17" spans="1:56">
      <c r="A17" s="261"/>
      <c r="B17" s="262" t="s">
        <v>607</v>
      </c>
      <c r="C17" s="263" t="s">
        <v>604</v>
      </c>
      <c r="D17" s="216">
        <v>550</v>
      </c>
      <c r="E17" s="263" t="s">
        <v>35</v>
      </c>
      <c r="F17" s="51"/>
      <c r="G17" s="40">
        <f t="shared" si="8"/>
        <v>0</v>
      </c>
      <c r="H17" s="51"/>
      <c r="I17" s="51"/>
      <c r="J17" s="51"/>
      <c r="K17" s="40">
        <f t="shared" si="0"/>
        <v>0</v>
      </c>
      <c r="L17" s="51"/>
      <c r="M17" s="52"/>
      <c r="N17" s="43"/>
      <c r="O17" s="44">
        <v>550</v>
      </c>
      <c r="P17" s="43">
        <f t="shared" si="1"/>
        <v>0</v>
      </c>
      <c r="Q17" s="45"/>
      <c r="R17" s="43"/>
      <c r="S17" s="43"/>
      <c r="T17" s="43"/>
      <c r="U17" s="43"/>
      <c r="V17" s="43"/>
      <c r="W17" s="43"/>
      <c r="X17" s="43"/>
      <c r="Y17" s="43"/>
      <c r="Z17" s="43"/>
      <c r="AA17" s="43"/>
      <c r="AB17" s="43"/>
      <c r="AC17" s="43"/>
      <c r="AD17" s="43"/>
      <c r="AE17" s="43"/>
      <c r="AF17" s="43"/>
      <c r="AG17" s="216"/>
      <c r="AH17" s="170">
        <f t="shared" si="2"/>
        <v>0</v>
      </c>
      <c r="AI17" s="52"/>
      <c r="AJ17" s="52"/>
      <c r="AK17" s="216"/>
      <c r="AL17" s="170">
        <f t="shared" si="3"/>
        <v>0</v>
      </c>
      <c r="AM17" s="52"/>
      <c r="AN17" s="52"/>
      <c r="AO17" s="216"/>
      <c r="AP17" s="170">
        <f t="shared" si="4"/>
        <v>0</v>
      </c>
      <c r="AQ17" s="52"/>
      <c r="AR17" s="52"/>
      <c r="AS17" s="216"/>
      <c r="AT17" s="170">
        <f t="shared" si="5"/>
        <v>0</v>
      </c>
      <c r="AU17" s="52"/>
      <c r="AV17" s="52"/>
      <c r="AW17" s="216"/>
      <c r="AX17" s="170">
        <f t="shared" si="6"/>
        <v>0</v>
      </c>
      <c r="AY17" s="52"/>
      <c r="AZ17" s="52"/>
      <c r="BA17" s="216"/>
      <c r="BB17" s="170">
        <f t="shared" si="7"/>
        <v>0</v>
      </c>
      <c r="BC17" s="52"/>
      <c r="BD17" s="52"/>
    </row>
    <row r="18" spans="1:56">
      <c r="A18" s="251">
        <v>2</v>
      </c>
      <c r="B18" s="252" t="s">
        <v>608</v>
      </c>
      <c r="C18" s="253"/>
      <c r="D18" s="283"/>
      <c r="E18" s="253"/>
      <c r="F18" s="53"/>
      <c r="G18" s="35">
        <f>SUM(G19:G44)</f>
        <v>0</v>
      </c>
      <c r="H18" s="35"/>
      <c r="I18" s="36">
        <f>IFERROR(G18/H18,0)</f>
        <v>0</v>
      </c>
      <c r="J18" s="53"/>
      <c r="K18" s="35">
        <f>SUM(K19:K44)</f>
        <v>0</v>
      </c>
      <c r="L18" s="35"/>
      <c r="M18" s="36">
        <f>IFERROR(K18/L18,0)</f>
        <v>0</v>
      </c>
      <c r="N18" s="43"/>
      <c r="O18" s="44"/>
      <c r="P18" s="35">
        <f>SUM(P19:P44)</f>
        <v>0</v>
      </c>
      <c r="Q18" s="38" t="e">
        <f>P18/L18</f>
        <v>#DIV/0!</v>
      </c>
      <c r="R18" s="79"/>
      <c r="S18" s="54"/>
      <c r="T18" s="78">
        <f>K18-L18</f>
        <v>0</v>
      </c>
      <c r="U18" s="25">
        <v>84.75</v>
      </c>
      <c r="V18" s="74">
        <f>T18*U18</f>
        <v>0</v>
      </c>
      <c r="W18" s="43"/>
      <c r="X18" s="43"/>
      <c r="Y18" s="74"/>
      <c r="Z18" s="43"/>
      <c r="AA18" s="43"/>
      <c r="AB18" s="43"/>
      <c r="AC18" s="43"/>
      <c r="AD18" s="43"/>
      <c r="AE18" s="43"/>
      <c r="AF18" s="43"/>
      <c r="AG18" s="37"/>
      <c r="AH18" s="35" t="e">
        <f>SUM(AH19:AH44)</f>
        <v>#REF!</v>
      </c>
      <c r="AI18" s="209">
        <f>VLOOKUP($B18,'[5]Eqpmnt &amp; MP Days'!$B$4:$H$11,2,0)</f>
        <v>11.75</v>
      </c>
      <c r="AJ18" s="37" t="str">
        <f>IFERROR(AH18/AI18,"")</f>
        <v/>
      </c>
      <c r="AK18" s="37"/>
      <c r="AL18" s="35" t="e">
        <f>SUM(AL19:AL44)</f>
        <v>#REF!</v>
      </c>
      <c r="AM18" s="209">
        <f>VLOOKUP($B18,'[5]Eqpmnt &amp; MP Days'!$B$4:$H$11,3,0)</f>
        <v>282</v>
      </c>
      <c r="AN18" s="37" t="str">
        <f>IFERROR(AL18/AM18,"")</f>
        <v/>
      </c>
      <c r="AO18" s="37"/>
      <c r="AP18" s="35" t="e">
        <f>SUM(AP19:AP44)</f>
        <v>#REF!</v>
      </c>
      <c r="AQ18" s="209">
        <f>VLOOKUP($B18,'[5]Eqpmnt &amp; MP Days'!$B$4:$H$11,4,0)</f>
        <v>4.75</v>
      </c>
      <c r="AR18" s="37" t="str">
        <f>IFERROR(AP18/AQ18,"")</f>
        <v/>
      </c>
      <c r="AS18" s="53"/>
      <c r="AT18" s="35" t="e">
        <f>SUM(AT19:AT44)</f>
        <v>#REF!</v>
      </c>
      <c r="AU18" s="209">
        <f>VLOOKUP($B18,'[5]Eqpmnt &amp; MP Days'!$B$4:$H$11,5,0)</f>
        <v>114</v>
      </c>
      <c r="AV18" s="37" t="str">
        <f>IFERROR(AT18/AU18,"")</f>
        <v/>
      </c>
      <c r="AW18" s="53"/>
      <c r="AX18" s="35" t="e">
        <f>SUM(AX19:AX44)</f>
        <v>#REF!</v>
      </c>
      <c r="AY18" s="209">
        <f>VLOOKUP($B18,'[5]Eqpmnt &amp; MP Days'!$B$4:$H$11,6,0)</f>
        <v>1</v>
      </c>
      <c r="AZ18" s="37" t="str">
        <f>IFERROR(AX18/AY18,"")</f>
        <v/>
      </c>
      <c r="BA18" s="53"/>
      <c r="BB18" s="35" t="e">
        <f>SUM(BB19:BB44)</f>
        <v>#REF!</v>
      </c>
      <c r="BC18" s="209">
        <f>VLOOKUP($B18,'[5]Eqpmnt &amp; MP Days'!$B$4:$H$11,7,0)</f>
        <v>24</v>
      </c>
      <c r="BD18" s="37" t="str">
        <f>IFERROR(BB18/BC18,"")</f>
        <v/>
      </c>
    </row>
    <row r="19" spans="1:56">
      <c r="A19" s="264"/>
      <c r="B19" s="265" t="s">
        <v>710</v>
      </c>
      <c r="C19" s="266" t="s">
        <v>602</v>
      </c>
      <c r="D19" s="284">
        <v>3000</v>
      </c>
      <c r="E19" s="266" t="s">
        <v>86</v>
      </c>
      <c r="F19" s="55">
        <f>F8</f>
        <v>0</v>
      </c>
      <c r="G19" s="40">
        <f t="shared" ref="G19:G20" si="9">F19/D19</f>
        <v>0</v>
      </c>
      <c r="H19" s="55"/>
      <c r="I19" s="56"/>
      <c r="J19" s="55">
        <f>J8</f>
        <v>0</v>
      </c>
      <c r="K19" s="40">
        <f>J19/D19</f>
        <v>0</v>
      </c>
      <c r="L19" s="55"/>
      <c r="M19" s="57"/>
      <c r="N19" s="43"/>
      <c r="O19" s="44">
        <v>3000</v>
      </c>
      <c r="P19" s="43">
        <f>J19/O19</f>
        <v>0</v>
      </c>
      <c r="Q19" s="45"/>
      <c r="R19" s="43"/>
      <c r="S19" s="43"/>
      <c r="T19" s="43"/>
      <c r="U19" s="43"/>
      <c r="V19" s="43"/>
      <c r="W19" s="43"/>
      <c r="X19" s="43"/>
      <c r="Y19" s="43"/>
      <c r="Z19" s="43"/>
      <c r="AA19" s="43"/>
      <c r="AB19" s="43"/>
      <c r="AC19" s="43"/>
      <c r="AD19" s="43"/>
      <c r="AE19" s="43"/>
      <c r="AF19" s="43"/>
      <c r="AG19" s="55" t="e">
        <f>AG8</f>
        <v>#REF!</v>
      </c>
      <c r="AH19" s="170" t="e">
        <f t="shared" ref="AH19:AH43" si="10">AG19/$D19</f>
        <v>#REF!</v>
      </c>
      <c r="AI19" s="57"/>
      <c r="AJ19" s="57"/>
      <c r="AK19" s="55" t="e">
        <f>AK8</f>
        <v>#REF!</v>
      </c>
      <c r="AL19" s="170" t="e">
        <f t="shared" ref="AL19:AL43" si="11">AK19/$D19</f>
        <v>#REF!</v>
      </c>
      <c r="AM19" s="57"/>
      <c r="AN19" s="57"/>
      <c r="AO19" s="55" t="e">
        <f>AO8</f>
        <v>#REF!</v>
      </c>
      <c r="AP19" s="170" t="e">
        <f t="shared" ref="AP19:AP43" si="12">AO19/$D19</f>
        <v>#REF!</v>
      </c>
      <c r="AQ19" s="57"/>
      <c r="AR19" s="57"/>
      <c r="AS19" s="55" t="e">
        <f>AS8</f>
        <v>#REF!</v>
      </c>
      <c r="AT19" s="170" t="e">
        <f t="shared" ref="AT19:AT82" si="13">AS19/$D19</f>
        <v>#REF!</v>
      </c>
      <c r="AU19" s="57"/>
      <c r="AV19" s="57"/>
      <c r="AW19" s="55" t="e">
        <f>AW8</f>
        <v>#REF!</v>
      </c>
      <c r="AX19" s="170" t="e">
        <f t="shared" ref="AX19:AX43" si="14">AW19/$D19</f>
        <v>#REF!</v>
      </c>
      <c r="AY19" s="57"/>
      <c r="AZ19" s="57"/>
      <c r="BA19" s="55" t="e">
        <f>BA8</f>
        <v>#REF!</v>
      </c>
      <c r="BB19" s="170" t="e">
        <f t="shared" ref="BB19:BB43" si="15">BA19/$D19</f>
        <v>#REF!</v>
      </c>
      <c r="BC19" s="57"/>
      <c r="BD19" s="57"/>
    </row>
    <row r="20" spans="1:56">
      <c r="A20" s="267"/>
      <c r="B20" s="268" t="s">
        <v>614</v>
      </c>
      <c r="C20" s="269" t="s">
        <v>604</v>
      </c>
      <c r="D20" s="217">
        <v>600</v>
      </c>
      <c r="E20" s="269" t="s">
        <v>35</v>
      </c>
      <c r="F20" s="40">
        <f>F9</f>
        <v>0</v>
      </c>
      <c r="G20" s="40">
        <f t="shared" si="9"/>
        <v>0</v>
      </c>
      <c r="H20" s="58"/>
      <c r="I20" s="59"/>
      <c r="J20" s="40">
        <f>J9</f>
        <v>0</v>
      </c>
      <c r="K20" s="40">
        <f>J20/D20</f>
        <v>0</v>
      </c>
      <c r="L20" s="58"/>
      <c r="M20" s="60"/>
      <c r="N20" s="43"/>
      <c r="O20" s="44">
        <v>600</v>
      </c>
      <c r="P20" s="43">
        <f t="shared" ref="P20:P38" si="16">J20/O20</f>
        <v>0</v>
      </c>
      <c r="Q20" s="45"/>
      <c r="R20" s="43"/>
      <c r="S20" s="43"/>
      <c r="T20" s="43"/>
      <c r="U20" s="43"/>
      <c r="V20" s="43"/>
      <c r="W20" s="43"/>
      <c r="X20" s="43"/>
      <c r="Y20" s="43"/>
      <c r="Z20" s="43"/>
      <c r="AA20" s="43"/>
      <c r="AB20" s="43"/>
      <c r="AC20" s="43"/>
      <c r="AD20" s="43"/>
      <c r="AE20" s="43"/>
      <c r="AF20" s="43"/>
      <c r="AG20" s="40" t="e">
        <f>AG9</f>
        <v>#REF!</v>
      </c>
      <c r="AH20" s="170" t="e">
        <f t="shared" si="10"/>
        <v>#REF!</v>
      </c>
      <c r="AI20" s="60"/>
      <c r="AJ20" s="60"/>
      <c r="AK20" s="40" t="e">
        <f>AK9</f>
        <v>#REF!</v>
      </c>
      <c r="AL20" s="170" t="e">
        <f t="shared" si="11"/>
        <v>#REF!</v>
      </c>
      <c r="AM20" s="60"/>
      <c r="AN20" s="60"/>
      <c r="AO20" s="40" t="e">
        <f>AO9</f>
        <v>#REF!</v>
      </c>
      <c r="AP20" s="170" t="e">
        <f t="shared" si="12"/>
        <v>#REF!</v>
      </c>
      <c r="AQ20" s="60"/>
      <c r="AR20" s="60"/>
      <c r="AS20" s="40" t="e">
        <f>AS9</f>
        <v>#REF!</v>
      </c>
      <c r="AT20" s="170" t="e">
        <f t="shared" si="13"/>
        <v>#REF!</v>
      </c>
      <c r="AU20" s="60"/>
      <c r="AV20" s="60"/>
      <c r="AW20" s="40" t="e">
        <f>AW9</f>
        <v>#REF!</v>
      </c>
      <c r="AX20" s="170" t="e">
        <f t="shared" si="14"/>
        <v>#REF!</v>
      </c>
      <c r="AY20" s="60"/>
      <c r="AZ20" s="60"/>
      <c r="BA20" s="40" t="e">
        <f>BA9</f>
        <v>#REF!</v>
      </c>
      <c r="BB20" s="170" t="e">
        <f t="shared" si="15"/>
        <v>#REF!</v>
      </c>
      <c r="BC20" s="60"/>
      <c r="BD20" s="60"/>
    </row>
    <row r="21" spans="1:56">
      <c r="A21" s="267"/>
      <c r="B21" s="268" t="s">
        <v>818</v>
      </c>
      <c r="C21" s="269" t="s">
        <v>604</v>
      </c>
      <c r="D21" s="217">
        <v>727</v>
      </c>
      <c r="E21" s="269" t="s">
        <v>35</v>
      </c>
      <c r="F21" s="39"/>
      <c r="G21" s="40"/>
      <c r="H21" s="58"/>
      <c r="I21" s="59"/>
      <c r="J21" s="39"/>
      <c r="K21" s="40"/>
      <c r="L21" s="58"/>
      <c r="M21" s="60"/>
      <c r="N21" s="43"/>
      <c r="O21" s="44">
        <f>D21</f>
        <v>727</v>
      </c>
      <c r="P21" s="43">
        <f>J21/O21</f>
        <v>0</v>
      </c>
      <c r="Q21" s="45"/>
      <c r="R21" s="43"/>
      <c r="S21" s="43"/>
      <c r="T21" s="43"/>
      <c r="U21" s="43"/>
      <c r="V21" s="43"/>
      <c r="W21" s="43"/>
      <c r="X21" s="43"/>
      <c r="Y21" s="43"/>
      <c r="Z21" s="43"/>
      <c r="AA21" s="43"/>
      <c r="AB21" s="43"/>
      <c r="AC21" s="43"/>
      <c r="AD21" s="43"/>
      <c r="AE21" s="43"/>
      <c r="AF21" s="43"/>
      <c r="AG21" s="218" t="e">
        <f>AG10*0</f>
        <v>#REF!</v>
      </c>
      <c r="AH21" s="170" t="e">
        <f t="shared" si="10"/>
        <v>#REF!</v>
      </c>
      <c r="AI21" s="60"/>
      <c r="AJ21" s="60"/>
      <c r="AK21" s="218" t="e">
        <f>AK10*0</f>
        <v>#REF!</v>
      </c>
      <c r="AL21" s="170" t="e">
        <f t="shared" si="11"/>
        <v>#REF!</v>
      </c>
      <c r="AM21" s="60"/>
      <c r="AN21" s="60"/>
      <c r="AO21" s="218" t="e">
        <f>AO10*0</f>
        <v>#REF!</v>
      </c>
      <c r="AP21" s="170" t="e">
        <f t="shared" si="12"/>
        <v>#REF!</v>
      </c>
      <c r="AQ21" s="60"/>
      <c r="AR21" s="60"/>
      <c r="AS21" s="218" t="e">
        <f>AS10*0</f>
        <v>#REF!</v>
      </c>
      <c r="AT21" s="170" t="e">
        <f t="shared" si="13"/>
        <v>#REF!</v>
      </c>
      <c r="AU21" s="60"/>
      <c r="AV21" s="60"/>
      <c r="AW21" s="218" t="e">
        <f>AW10*0</f>
        <v>#REF!</v>
      </c>
      <c r="AX21" s="170" t="e">
        <f t="shared" si="14"/>
        <v>#REF!</v>
      </c>
      <c r="AY21" s="60"/>
      <c r="AZ21" s="60"/>
      <c r="BA21" s="218" t="e">
        <f>BA10*0</f>
        <v>#REF!</v>
      </c>
      <c r="BB21" s="170" t="e">
        <f t="shared" si="15"/>
        <v>#REF!</v>
      </c>
      <c r="BC21" s="60"/>
      <c r="BD21" s="60"/>
    </row>
    <row r="22" spans="1:56">
      <c r="A22" s="267"/>
      <c r="B22" s="268" t="s">
        <v>836</v>
      </c>
      <c r="C22" s="269" t="s">
        <v>604</v>
      </c>
      <c r="D22" s="217">
        <v>60</v>
      </c>
      <c r="E22" s="269" t="s">
        <v>35</v>
      </c>
      <c r="F22" s="39"/>
      <c r="G22" s="40"/>
      <c r="H22" s="58"/>
      <c r="I22" s="59"/>
      <c r="J22" s="39"/>
      <c r="K22" s="40"/>
      <c r="L22" s="58"/>
      <c r="M22" s="60"/>
      <c r="N22" s="43"/>
      <c r="O22" s="44"/>
      <c r="P22" s="43"/>
      <c r="Q22" s="45"/>
      <c r="R22" s="43"/>
      <c r="S22" s="43"/>
      <c r="T22" s="43"/>
      <c r="U22" s="43"/>
      <c r="V22" s="43"/>
      <c r="W22" s="43"/>
      <c r="X22" s="43"/>
      <c r="Y22" s="43"/>
      <c r="Z22" s="43"/>
      <c r="AA22" s="43"/>
      <c r="AB22" s="43"/>
      <c r="AC22" s="43"/>
      <c r="AD22" s="43"/>
      <c r="AE22" s="43"/>
      <c r="AF22" s="43"/>
      <c r="AG22" s="39" t="e">
        <f>#REF!</f>
        <v>#REF!</v>
      </c>
      <c r="AH22" s="170" t="e">
        <f t="shared" si="10"/>
        <v>#REF!</v>
      </c>
      <c r="AI22" s="60"/>
      <c r="AJ22" s="60"/>
      <c r="AK22" s="39" t="e">
        <f>#REF!</f>
        <v>#REF!</v>
      </c>
      <c r="AL22" s="170" t="e">
        <f t="shared" si="11"/>
        <v>#REF!</v>
      </c>
      <c r="AM22" s="60"/>
      <c r="AN22" s="60"/>
      <c r="AO22" s="39" t="e">
        <f>#REF!</f>
        <v>#REF!</v>
      </c>
      <c r="AP22" s="170" t="e">
        <f t="shared" si="12"/>
        <v>#REF!</v>
      </c>
      <c r="AQ22" s="60"/>
      <c r="AR22" s="60"/>
      <c r="AS22" s="39" t="e">
        <f>#REF!</f>
        <v>#REF!</v>
      </c>
      <c r="AT22" s="170" t="e">
        <f t="shared" si="13"/>
        <v>#REF!</v>
      </c>
      <c r="AU22" s="60"/>
      <c r="AV22" s="60"/>
      <c r="AW22" s="39" t="e">
        <f>#REF!</f>
        <v>#REF!</v>
      </c>
      <c r="AX22" s="170" t="e">
        <f t="shared" si="14"/>
        <v>#REF!</v>
      </c>
      <c r="AY22" s="60"/>
      <c r="AZ22" s="60"/>
      <c r="BA22" s="39" t="e">
        <f>#REF!</f>
        <v>#REF!</v>
      </c>
      <c r="BB22" s="170" t="e">
        <f t="shared" si="15"/>
        <v>#REF!</v>
      </c>
      <c r="BC22" s="60"/>
      <c r="BD22" s="60"/>
    </row>
    <row r="23" spans="1:56">
      <c r="A23" s="258"/>
      <c r="B23" s="259" t="s">
        <v>711</v>
      </c>
      <c r="C23" s="260" t="s">
        <v>604</v>
      </c>
      <c r="D23" s="62">
        <f>800/1.1</f>
        <v>727.27272727272725</v>
      </c>
      <c r="E23" s="260" t="s">
        <v>35</v>
      </c>
      <c r="F23" s="39"/>
      <c r="G23" s="231"/>
      <c r="H23" s="40"/>
      <c r="I23" s="46"/>
      <c r="J23" s="39"/>
      <c r="K23" s="40"/>
      <c r="L23" s="40"/>
      <c r="M23" s="47"/>
      <c r="N23" s="43"/>
      <c r="O23" s="44">
        <v>1250</v>
      </c>
      <c r="P23" s="43">
        <f t="shared" si="16"/>
        <v>0</v>
      </c>
      <c r="Q23" s="45"/>
      <c r="R23" s="43"/>
      <c r="S23" s="43"/>
      <c r="T23" s="43"/>
      <c r="U23" s="43"/>
      <c r="V23" s="43"/>
      <c r="W23" s="43"/>
      <c r="X23" s="43"/>
      <c r="Y23" s="43"/>
      <c r="Z23" s="43"/>
      <c r="AA23" s="43"/>
      <c r="AB23" s="43"/>
      <c r="AC23" s="43"/>
      <c r="AD23" s="43"/>
      <c r="AE23" s="43"/>
      <c r="AF23" s="43"/>
      <c r="AG23" s="39" t="e">
        <f>+AG10</f>
        <v>#REF!</v>
      </c>
      <c r="AH23" s="170" t="e">
        <f t="shared" si="10"/>
        <v>#REF!</v>
      </c>
      <c r="AI23" s="47"/>
      <c r="AJ23" s="47"/>
      <c r="AK23" s="39" t="e">
        <f>AK10</f>
        <v>#REF!</v>
      </c>
      <c r="AL23" s="170" t="e">
        <f t="shared" si="11"/>
        <v>#REF!</v>
      </c>
      <c r="AM23" s="47"/>
      <c r="AN23" s="47"/>
      <c r="AO23" s="39" t="e">
        <f>+AO10</f>
        <v>#REF!</v>
      </c>
      <c r="AP23" s="170" t="e">
        <f t="shared" si="12"/>
        <v>#REF!</v>
      </c>
      <c r="AQ23" s="47"/>
      <c r="AR23" s="47"/>
      <c r="AS23" s="39" t="e">
        <f>AS10</f>
        <v>#REF!</v>
      </c>
      <c r="AT23" s="170" t="e">
        <f t="shared" si="13"/>
        <v>#REF!</v>
      </c>
      <c r="AU23" s="47"/>
      <c r="AV23" s="47"/>
      <c r="AW23" s="39" t="e">
        <f>+AW10</f>
        <v>#REF!</v>
      </c>
      <c r="AX23" s="170" t="e">
        <f t="shared" si="14"/>
        <v>#REF!</v>
      </c>
      <c r="AY23" s="47"/>
      <c r="AZ23" s="47"/>
      <c r="BA23" s="39" t="e">
        <f>BA10</f>
        <v>#REF!</v>
      </c>
      <c r="BB23" s="170" t="e">
        <f t="shared" si="15"/>
        <v>#REF!</v>
      </c>
      <c r="BC23" s="47"/>
      <c r="BD23" s="47"/>
    </row>
    <row r="24" spans="1:56">
      <c r="A24" s="258"/>
      <c r="B24" s="259" t="s">
        <v>799</v>
      </c>
      <c r="C24" s="260" t="s">
        <v>604</v>
      </c>
      <c r="D24" s="62">
        <v>1000</v>
      </c>
      <c r="E24" s="260" t="s">
        <v>35</v>
      </c>
      <c r="F24" s="39"/>
      <c r="G24" s="231"/>
      <c r="H24" s="40"/>
      <c r="I24" s="46"/>
      <c r="J24" s="39"/>
      <c r="K24" s="40"/>
      <c r="L24" s="40"/>
      <c r="M24" s="47"/>
      <c r="N24" s="43"/>
      <c r="O24" s="44"/>
      <c r="P24" s="43"/>
      <c r="Q24" s="45"/>
      <c r="R24" s="43"/>
      <c r="S24" s="43"/>
      <c r="T24" s="43"/>
      <c r="U24" s="43"/>
      <c r="V24" s="43"/>
      <c r="W24" s="43"/>
      <c r="X24" s="43"/>
      <c r="Y24" s="43"/>
      <c r="Z24" s="43"/>
      <c r="AA24" s="43"/>
      <c r="AB24" s="43"/>
      <c r="AC24" s="43"/>
      <c r="AD24" s="43"/>
      <c r="AE24" s="43"/>
      <c r="AF24" s="43"/>
      <c r="AG24" s="39" t="e">
        <f>#REF!</f>
        <v>#REF!</v>
      </c>
      <c r="AH24" s="170" t="e">
        <f t="shared" si="10"/>
        <v>#REF!</v>
      </c>
      <c r="AI24" s="47"/>
      <c r="AJ24" s="47"/>
      <c r="AK24" s="39" t="e">
        <f>#REF!</f>
        <v>#REF!</v>
      </c>
      <c r="AL24" s="170" t="e">
        <f t="shared" si="11"/>
        <v>#REF!</v>
      </c>
      <c r="AM24" s="47"/>
      <c r="AN24" s="47"/>
      <c r="AO24" s="39" t="e">
        <f>#REF!</f>
        <v>#REF!</v>
      </c>
      <c r="AP24" s="170" t="e">
        <f t="shared" si="12"/>
        <v>#REF!</v>
      </c>
      <c r="AQ24" s="47"/>
      <c r="AR24" s="47"/>
      <c r="AS24" s="39" t="e">
        <f>#REF!</f>
        <v>#REF!</v>
      </c>
      <c r="AT24" s="170" t="e">
        <f t="shared" si="13"/>
        <v>#REF!</v>
      </c>
      <c r="AU24" s="47"/>
      <c r="AV24" s="47"/>
      <c r="AW24" s="39" t="e">
        <f>#REF!</f>
        <v>#REF!</v>
      </c>
      <c r="AX24" s="170" t="e">
        <f t="shared" si="14"/>
        <v>#REF!</v>
      </c>
      <c r="AY24" s="47"/>
      <c r="AZ24" s="47"/>
      <c r="BA24" s="39" t="e">
        <f>#REF!</f>
        <v>#REF!</v>
      </c>
      <c r="BB24" s="170" t="e">
        <f t="shared" si="15"/>
        <v>#REF!</v>
      </c>
      <c r="BC24" s="47"/>
      <c r="BD24" s="47"/>
    </row>
    <row r="25" spans="1:56">
      <c r="A25" s="258"/>
      <c r="B25" s="259" t="s">
        <v>712</v>
      </c>
      <c r="C25" s="260" t="s">
        <v>604</v>
      </c>
      <c r="D25" s="62">
        <v>636</v>
      </c>
      <c r="E25" s="260" t="s">
        <v>35</v>
      </c>
      <c r="F25" s="39"/>
      <c r="G25" s="231"/>
      <c r="H25" s="40"/>
      <c r="I25" s="46"/>
      <c r="J25" s="39"/>
      <c r="K25" s="40"/>
      <c r="L25" s="40"/>
      <c r="M25" s="47"/>
      <c r="N25" s="43"/>
      <c r="O25" s="44">
        <v>1154</v>
      </c>
      <c r="P25" s="43">
        <f t="shared" si="16"/>
        <v>0</v>
      </c>
      <c r="Q25" s="45"/>
      <c r="R25" s="43"/>
      <c r="S25" s="43"/>
      <c r="T25" s="43"/>
      <c r="U25" s="43"/>
      <c r="V25" s="43"/>
      <c r="W25" s="43"/>
      <c r="X25" s="43"/>
      <c r="Y25" s="43"/>
      <c r="Z25" s="43"/>
      <c r="AA25" s="43"/>
      <c r="AB25" s="43"/>
      <c r="AC25" s="43"/>
      <c r="AD25" s="43"/>
      <c r="AE25" s="43"/>
      <c r="AF25" s="43"/>
      <c r="AG25" s="39" t="e">
        <f>+AG12</f>
        <v>#REF!</v>
      </c>
      <c r="AH25" s="170" t="e">
        <f t="shared" si="10"/>
        <v>#REF!</v>
      </c>
      <c r="AI25" s="47"/>
      <c r="AJ25" s="47"/>
      <c r="AK25" s="39" t="e">
        <f>+AK12</f>
        <v>#REF!</v>
      </c>
      <c r="AL25" s="170" t="e">
        <f t="shared" si="11"/>
        <v>#REF!</v>
      </c>
      <c r="AM25" s="47"/>
      <c r="AN25" s="47"/>
      <c r="AO25" s="39" t="e">
        <f>+AO12</f>
        <v>#REF!</v>
      </c>
      <c r="AP25" s="170" t="e">
        <f t="shared" si="12"/>
        <v>#REF!</v>
      </c>
      <c r="AQ25" s="47"/>
      <c r="AR25" s="47"/>
      <c r="AS25" s="39" t="e">
        <f>+AS12</f>
        <v>#REF!</v>
      </c>
      <c r="AT25" s="170" t="e">
        <f t="shared" si="13"/>
        <v>#REF!</v>
      </c>
      <c r="AU25" s="47"/>
      <c r="AV25" s="47"/>
      <c r="AW25" s="39" t="e">
        <f>+AW12</f>
        <v>#REF!</v>
      </c>
      <c r="AX25" s="170" t="e">
        <f t="shared" si="14"/>
        <v>#REF!</v>
      </c>
      <c r="AY25" s="47"/>
      <c r="AZ25" s="47"/>
      <c r="BA25" s="39" t="e">
        <f>+BA12</f>
        <v>#REF!</v>
      </c>
      <c r="BB25" s="170" t="e">
        <f t="shared" si="15"/>
        <v>#REF!</v>
      </c>
      <c r="BC25" s="47"/>
      <c r="BD25" s="47"/>
    </row>
    <row r="26" spans="1:56">
      <c r="A26" s="258"/>
      <c r="B26" s="259" t="s">
        <v>713</v>
      </c>
      <c r="C26" s="260" t="s">
        <v>604</v>
      </c>
      <c r="D26" s="62">
        <v>700</v>
      </c>
      <c r="E26" s="260" t="s">
        <v>35</v>
      </c>
      <c r="F26" s="39"/>
      <c r="G26" s="40"/>
      <c r="H26" s="40"/>
      <c r="I26" s="46"/>
      <c r="J26" s="39"/>
      <c r="K26" s="40"/>
      <c r="L26" s="40"/>
      <c r="M26" s="47"/>
      <c r="N26" s="43"/>
      <c r="O26" s="44">
        <v>1190</v>
      </c>
      <c r="P26" s="43">
        <f t="shared" si="16"/>
        <v>0</v>
      </c>
      <c r="Q26" s="45"/>
      <c r="R26" s="43"/>
      <c r="S26" s="43"/>
      <c r="T26" s="43"/>
      <c r="U26" s="43"/>
      <c r="V26" s="43"/>
      <c r="W26" s="43"/>
      <c r="X26" s="43"/>
      <c r="Y26" s="43"/>
      <c r="Z26" s="43"/>
      <c r="AA26" s="43"/>
      <c r="AB26" s="43"/>
      <c r="AC26" s="43"/>
      <c r="AD26" s="43"/>
      <c r="AE26" s="43"/>
      <c r="AF26" s="43"/>
      <c r="AG26" s="39" t="e">
        <f>#REF!</f>
        <v>#REF!</v>
      </c>
      <c r="AH26" s="170" t="e">
        <f t="shared" si="10"/>
        <v>#REF!</v>
      </c>
      <c r="AI26" s="47"/>
      <c r="AJ26" s="47"/>
      <c r="AK26" s="39" t="e">
        <f>#REF!</f>
        <v>#REF!</v>
      </c>
      <c r="AL26" s="170" t="e">
        <f t="shared" si="11"/>
        <v>#REF!</v>
      </c>
      <c r="AM26" s="47"/>
      <c r="AN26" s="47"/>
      <c r="AO26" s="39" t="e">
        <f>#REF!</f>
        <v>#REF!</v>
      </c>
      <c r="AP26" s="170" t="e">
        <f t="shared" si="12"/>
        <v>#REF!</v>
      </c>
      <c r="AQ26" s="47"/>
      <c r="AR26" s="47"/>
      <c r="AS26" s="39" t="e">
        <f>#REF!</f>
        <v>#REF!</v>
      </c>
      <c r="AT26" s="170" t="e">
        <f t="shared" si="13"/>
        <v>#REF!</v>
      </c>
      <c r="AU26" s="47"/>
      <c r="AV26" s="47"/>
      <c r="AW26" s="39" t="e">
        <f>#REF!</f>
        <v>#REF!</v>
      </c>
      <c r="AX26" s="170" t="e">
        <f t="shared" si="14"/>
        <v>#REF!</v>
      </c>
      <c r="AY26" s="47"/>
      <c r="AZ26" s="47"/>
      <c r="BA26" s="39" t="e">
        <f>#REF!</f>
        <v>#REF!</v>
      </c>
      <c r="BB26" s="170" t="e">
        <f t="shared" si="15"/>
        <v>#REF!</v>
      </c>
      <c r="BC26" s="47"/>
      <c r="BD26" s="47"/>
    </row>
    <row r="27" spans="1:56">
      <c r="A27" s="258"/>
      <c r="B27" s="259" t="s">
        <v>692</v>
      </c>
      <c r="C27" s="260" t="s">
        <v>604</v>
      </c>
      <c r="D27" s="62">
        <v>700</v>
      </c>
      <c r="E27" s="260" t="s">
        <v>35</v>
      </c>
      <c r="F27" s="39"/>
      <c r="G27" s="231"/>
      <c r="H27" s="40"/>
      <c r="I27" s="46"/>
      <c r="J27" s="39"/>
      <c r="K27" s="40"/>
      <c r="L27" s="40"/>
      <c r="M27" s="47"/>
      <c r="N27" s="43"/>
      <c r="O27" s="44">
        <v>900</v>
      </c>
      <c r="P27" s="43">
        <f t="shared" si="16"/>
        <v>0</v>
      </c>
      <c r="Q27" s="45"/>
      <c r="R27" s="43"/>
      <c r="S27" s="43"/>
      <c r="T27" s="43"/>
      <c r="U27" s="43"/>
      <c r="V27" s="43"/>
      <c r="W27" s="43"/>
      <c r="X27" s="43"/>
      <c r="Y27" s="43"/>
      <c r="Z27" s="43"/>
      <c r="AA27" s="43"/>
      <c r="AB27" s="43"/>
      <c r="AC27" s="43"/>
      <c r="AD27" s="43"/>
      <c r="AE27" s="43"/>
      <c r="AF27" s="43"/>
      <c r="AG27" s="39" t="e">
        <f>#REF!</f>
        <v>#REF!</v>
      </c>
      <c r="AH27" s="170" t="e">
        <f t="shared" si="10"/>
        <v>#REF!</v>
      </c>
      <c r="AI27" s="47"/>
      <c r="AJ27" s="47"/>
      <c r="AK27" s="39" t="e">
        <f>#REF!</f>
        <v>#REF!</v>
      </c>
      <c r="AL27" s="170" t="e">
        <f t="shared" si="11"/>
        <v>#REF!</v>
      </c>
      <c r="AM27" s="47"/>
      <c r="AN27" s="47"/>
      <c r="AO27" s="39" t="e">
        <f>#REF!</f>
        <v>#REF!</v>
      </c>
      <c r="AP27" s="170" t="e">
        <f t="shared" si="12"/>
        <v>#REF!</v>
      </c>
      <c r="AQ27" s="47"/>
      <c r="AR27" s="47"/>
      <c r="AS27" s="39" t="e">
        <f>#REF!</f>
        <v>#REF!</v>
      </c>
      <c r="AT27" s="170" t="e">
        <f t="shared" si="13"/>
        <v>#REF!</v>
      </c>
      <c r="AU27" s="47"/>
      <c r="AV27" s="47"/>
      <c r="AW27" s="39" t="e">
        <f>#REF!</f>
        <v>#REF!</v>
      </c>
      <c r="AX27" s="170" t="e">
        <f t="shared" si="14"/>
        <v>#REF!</v>
      </c>
      <c r="AY27" s="47"/>
      <c r="AZ27" s="47"/>
      <c r="BA27" s="39" t="e">
        <f>#REF!</f>
        <v>#REF!</v>
      </c>
      <c r="BB27" s="170" t="e">
        <f t="shared" si="15"/>
        <v>#REF!</v>
      </c>
      <c r="BC27" s="47"/>
      <c r="BD27" s="47"/>
    </row>
    <row r="28" spans="1:56">
      <c r="A28" s="258"/>
      <c r="B28" s="259" t="s">
        <v>693</v>
      </c>
      <c r="C28" s="260" t="s">
        <v>604</v>
      </c>
      <c r="D28" s="62">
        <v>900</v>
      </c>
      <c r="E28" s="260" t="s">
        <v>35</v>
      </c>
      <c r="F28" s="39"/>
      <c r="G28" s="40"/>
      <c r="H28" s="40"/>
      <c r="I28" s="46"/>
      <c r="J28" s="39"/>
      <c r="K28" s="40"/>
      <c r="L28" s="40"/>
      <c r="M28" s="47"/>
      <c r="N28" s="43"/>
      <c r="O28" s="44">
        <v>900</v>
      </c>
      <c r="P28" s="43">
        <f t="shared" si="16"/>
        <v>0</v>
      </c>
      <c r="Q28" s="45"/>
      <c r="R28" s="43"/>
      <c r="S28" s="43"/>
      <c r="T28" s="43"/>
      <c r="U28" s="43"/>
      <c r="V28" s="43"/>
      <c r="W28" s="43"/>
      <c r="X28" s="43"/>
      <c r="Y28" s="43"/>
      <c r="Z28" s="43"/>
      <c r="AA28" s="43"/>
      <c r="AB28" s="43"/>
      <c r="AC28" s="43"/>
      <c r="AD28" s="43"/>
      <c r="AE28" s="43"/>
      <c r="AF28" s="43"/>
      <c r="AG28" s="39" t="e">
        <f>#REF!+#REF!</f>
        <v>#REF!</v>
      </c>
      <c r="AH28" s="170" t="e">
        <f t="shared" si="10"/>
        <v>#REF!</v>
      </c>
      <c r="AI28" s="47"/>
      <c r="AJ28" s="47"/>
      <c r="AK28" s="39" t="e">
        <f>#REF!+#REF!</f>
        <v>#REF!</v>
      </c>
      <c r="AL28" s="170" t="e">
        <f t="shared" si="11"/>
        <v>#REF!</v>
      </c>
      <c r="AM28" s="47"/>
      <c r="AN28" s="47"/>
      <c r="AO28" s="39" t="e">
        <f>#REF!+#REF!</f>
        <v>#REF!</v>
      </c>
      <c r="AP28" s="170" t="e">
        <f t="shared" si="12"/>
        <v>#REF!</v>
      </c>
      <c r="AQ28" s="47"/>
      <c r="AR28" s="47"/>
      <c r="AS28" s="39" t="e">
        <f>#REF!+#REF!</f>
        <v>#REF!</v>
      </c>
      <c r="AT28" s="170" t="e">
        <f t="shared" si="13"/>
        <v>#REF!</v>
      </c>
      <c r="AU28" s="47"/>
      <c r="AV28" s="47"/>
      <c r="AW28" s="39" t="e">
        <f>#REF!+#REF!</f>
        <v>#REF!</v>
      </c>
      <c r="AX28" s="170" t="e">
        <f t="shared" si="14"/>
        <v>#REF!</v>
      </c>
      <c r="AY28" s="47"/>
      <c r="AZ28" s="47"/>
      <c r="BA28" s="39" t="e">
        <f>#REF!+#REF!</f>
        <v>#REF!</v>
      </c>
      <c r="BB28" s="170" t="e">
        <f t="shared" si="15"/>
        <v>#REF!</v>
      </c>
      <c r="BC28" s="47"/>
      <c r="BD28" s="47"/>
    </row>
    <row r="29" spans="1:56">
      <c r="A29" s="258"/>
      <c r="B29" s="259" t="s">
        <v>714</v>
      </c>
      <c r="C29" s="260" t="s">
        <v>604</v>
      </c>
      <c r="D29" s="62">
        <v>700</v>
      </c>
      <c r="E29" s="260" t="s">
        <v>35</v>
      </c>
      <c r="F29" s="39"/>
      <c r="G29" s="40"/>
      <c r="H29" s="40"/>
      <c r="I29" s="46"/>
      <c r="J29" s="39"/>
      <c r="K29" s="40"/>
      <c r="L29" s="40"/>
      <c r="M29" s="47"/>
      <c r="N29" s="43"/>
      <c r="O29" s="44">
        <v>700</v>
      </c>
      <c r="P29" s="43">
        <f t="shared" si="16"/>
        <v>0</v>
      </c>
      <c r="Q29" s="45"/>
      <c r="R29" s="43"/>
      <c r="S29" s="43"/>
      <c r="T29" s="43"/>
      <c r="U29" s="43"/>
      <c r="V29" s="43"/>
      <c r="W29" s="43"/>
      <c r="X29" s="43"/>
      <c r="Y29" s="43"/>
      <c r="Z29" s="43"/>
      <c r="AA29" s="43"/>
      <c r="AB29" s="43"/>
      <c r="AC29" s="43"/>
      <c r="AD29" s="43"/>
      <c r="AE29" s="43"/>
      <c r="AF29" s="43"/>
      <c r="AG29" s="39">
        <v>0</v>
      </c>
      <c r="AH29" s="170">
        <f t="shared" si="10"/>
        <v>0</v>
      </c>
      <c r="AI29" s="47"/>
      <c r="AJ29" s="47"/>
      <c r="AK29" s="39">
        <v>0</v>
      </c>
      <c r="AL29" s="170">
        <f t="shared" si="11"/>
        <v>0</v>
      </c>
      <c r="AM29" s="47"/>
      <c r="AN29" s="47"/>
      <c r="AO29" s="39">
        <v>0</v>
      </c>
      <c r="AP29" s="170">
        <f t="shared" si="12"/>
        <v>0</v>
      </c>
      <c r="AQ29" s="47"/>
      <c r="AR29" s="47"/>
      <c r="AS29" s="39">
        <v>0</v>
      </c>
      <c r="AT29" s="170">
        <f t="shared" si="13"/>
        <v>0</v>
      </c>
      <c r="AU29" s="47"/>
      <c r="AV29" s="47"/>
      <c r="AW29" s="39">
        <v>0</v>
      </c>
      <c r="AX29" s="170">
        <f t="shared" si="14"/>
        <v>0</v>
      </c>
      <c r="AY29" s="47"/>
      <c r="AZ29" s="47"/>
      <c r="BA29" s="39">
        <v>0</v>
      </c>
      <c r="BB29" s="170">
        <f t="shared" si="15"/>
        <v>0</v>
      </c>
      <c r="BC29" s="47"/>
      <c r="BD29" s="47"/>
    </row>
    <row r="30" spans="1:56">
      <c r="A30" s="258"/>
      <c r="B30" s="259" t="s">
        <v>714</v>
      </c>
      <c r="C30" s="260" t="s">
        <v>604</v>
      </c>
      <c r="D30" s="62">
        <v>500</v>
      </c>
      <c r="E30" s="260" t="s">
        <v>35</v>
      </c>
      <c r="F30" s="39"/>
      <c r="G30" s="40"/>
      <c r="H30" s="40"/>
      <c r="I30" s="46"/>
      <c r="J30" s="39"/>
      <c r="K30" s="40"/>
      <c r="L30" s="40"/>
      <c r="M30" s="47"/>
      <c r="N30" s="43"/>
      <c r="O30" s="44">
        <v>500</v>
      </c>
      <c r="P30" s="43">
        <f t="shared" si="16"/>
        <v>0</v>
      </c>
      <c r="Q30" s="45"/>
      <c r="R30" s="43"/>
      <c r="S30" s="43"/>
      <c r="T30" s="43"/>
      <c r="U30" s="43"/>
      <c r="V30" s="43"/>
      <c r="W30" s="43"/>
      <c r="X30" s="43"/>
      <c r="Y30" s="43"/>
      <c r="Z30" s="43"/>
      <c r="AA30" s="43"/>
      <c r="AB30" s="43"/>
      <c r="AC30" s="43"/>
      <c r="AD30" s="43"/>
      <c r="AE30" s="43"/>
      <c r="AF30" s="43"/>
      <c r="AG30" s="39" t="e">
        <f>#REF!+#REF!</f>
        <v>#REF!</v>
      </c>
      <c r="AH30" s="170" t="e">
        <f t="shared" si="10"/>
        <v>#REF!</v>
      </c>
      <c r="AI30" s="47"/>
      <c r="AJ30" s="47"/>
      <c r="AK30" s="39" t="e">
        <f>#REF!+#REF!</f>
        <v>#REF!</v>
      </c>
      <c r="AL30" s="170" t="e">
        <f t="shared" si="11"/>
        <v>#REF!</v>
      </c>
      <c r="AM30" s="47"/>
      <c r="AN30" s="47"/>
      <c r="AO30" s="39" t="e">
        <f>#REF!+#REF!</f>
        <v>#REF!</v>
      </c>
      <c r="AP30" s="170" t="e">
        <f t="shared" si="12"/>
        <v>#REF!</v>
      </c>
      <c r="AQ30" s="47"/>
      <c r="AR30" s="47"/>
      <c r="AS30" s="39" t="e">
        <f>#REF!+#REF!</f>
        <v>#REF!</v>
      </c>
      <c r="AT30" s="170" t="e">
        <f t="shared" si="13"/>
        <v>#REF!</v>
      </c>
      <c r="AU30" s="47"/>
      <c r="AV30" s="47"/>
      <c r="AW30" s="39" t="e">
        <f>#REF!+#REF!</f>
        <v>#REF!</v>
      </c>
      <c r="AX30" s="170" t="e">
        <f t="shared" si="14"/>
        <v>#REF!</v>
      </c>
      <c r="AY30" s="47"/>
      <c r="AZ30" s="47"/>
      <c r="BA30" s="39" t="e">
        <f>#REF!+#REF!</f>
        <v>#REF!</v>
      </c>
      <c r="BB30" s="170" t="e">
        <f t="shared" si="15"/>
        <v>#REF!</v>
      </c>
      <c r="BC30" s="47"/>
      <c r="BD30" s="47"/>
    </row>
    <row r="31" spans="1:56">
      <c r="A31" s="258"/>
      <c r="B31" s="259" t="s">
        <v>798</v>
      </c>
      <c r="C31" s="260" t="s">
        <v>604</v>
      </c>
      <c r="D31" s="62">
        <v>550</v>
      </c>
      <c r="E31" s="260" t="s">
        <v>35</v>
      </c>
      <c r="F31" s="39"/>
      <c r="G31" s="40"/>
      <c r="H31" s="40"/>
      <c r="I31" s="46"/>
      <c r="J31" s="39"/>
      <c r="K31" s="40"/>
      <c r="L31" s="40"/>
      <c r="M31" s="47"/>
      <c r="N31" s="43"/>
      <c r="O31" s="44">
        <v>550</v>
      </c>
      <c r="P31" s="43">
        <f t="shared" si="16"/>
        <v>0</v>
      </c>
      <c r="Q31" s="45"/>
      <c r="R31" s="43"/>
      <c r="S31" s="43"/>
      <c r="T31" s="43"/>
      <c r="U31" s="43"/>
      <c r="V31" s="43"/>
      <c r="W31" s="43"/>
      <c r="X31" s="43"/>
      <c r="Y31" s="43"/>
      <c r="Z31" s="43"/>
      <c r="AA31" s="43"/>
      <c r="AB31" s="43"/>
      <c r="AC31" s="43"/>
      <c r="AD31" s="43"/>
      <c r="AE31" s="43"/>
      <c r="AF31" s="43"/>
      <c r="AG31" s="39" t="e">
        <f>#REF!+#REF!</f>
        <v>#REF!</v>
      </c>
      <c r="AH31" s="170" t="e">
        <f t="shared" si="10"/>
        <v>#REF!</v>
      </c>
      <c r="AI31" s="47"/>
      <c r="AJ31" s="47"/>
      <c r="AK31" s="39" t="e">
        <f>#REF!+#REF!</f>
        <v>#REF!</v>
      </c>
      <c r="AL31" s="170" t="e">
        <f t="shared" si="11"/>
        <v>#REF!</v>
      </c>
      <c r="AM31" s="47"/>
      <c r="AN31" s="47"/>
      <c r="AO31" s="39" t="e">
        <f>#REF!+#REF!</f>
        <v>#REF!</v>
      </c>
      <c r="AP31" s="170" t="e">
        <f t="shared" si="12"/>
        <v>#REF!</v>
      </c>
      <c r="AQ31" s="47"/>
      <c r="AR31" s="47"/>
      <c r="AS31" s="39" t="e">
        <f>#REF!+#REF!</f>
        <v>#REF!</v>
      </c>
      <c r="AT31" s="170" t="e">
        <f t="shared" si="13"/>
        <v>#REF!</v>
      </c>
      <c r="AU31" s="47"/>
      <c r="AV31" s="47"/>
      <c r="AW31" s="39" t="e">
        <f>#REF!+#REF!</f>
        <v>#REF!</v>
      </c>
      <c r="AX31" s="170" t="e">
        <f t="shared" si="14"/>
        <v>#REF!</v>
      </c>
      <c r="AY31" s="47"/>
      <c r="AZ31" s="47"/>
      <c r="BA31" s="39" t="e">
        <f>#REF!+#REF!</f>
        <v>#REF!</v>
      </c>
      <c r="BB31" s="170" t="e">
        <f t="shared" si="15"/>
        <v>#REF!</v>
      </c>
      <c r="BC31" s="47"/>
      <c r="BD31" s="47"/>
    </row>
    <row r="32" spans="1:56">
      <c r="A32" s="258"/>
      <c r="B32" s="259" t="s">
        <v>707</v>
      </c>
      <c r="C32" s="260" t="s">
        <v>604</v>
      </c>
      <c r="D32" s="62">
        <v>385</v>
      </c>
      <c r="E32" s="260" t="s">
        <v>35</v>
      </c>
      <c r="F32" s="39"/>
      <c r="G32" s="231"/>
      <c r="H32" s="40"/>
      <c r="I32" s="46"/>
      <c r="J32" s="39"/>
      <c r="K32" s="40"/>
      <c r="L32" s="40"/>
      <c r="M32" s="47"/>
      <c r="N32" s="43"/>
      <c r="O32" s="44">
        <v>385</v>
      </c>
      <c r="P32" s="43">
        <f t="shared" si="16"/>
        <v>0</v>
      </c>
      <c r="Q32" s="45"/>
      <c r="R32" s="43"/>
      <c r="S32" s="43"/>
      <c r="T32" s="43"/>
      <c r="U32" s="43"/>
      <c r="V32" s="43"/>
      <c r="W32" s="43"/>
      <c r="X32" s="43"/>
      <c r="Y32" s="43"/>
      <c r="Z32" s="43"/>
      <c r="AA32" s="43"/>
      <c r="AB32" s="43"/>
      <c r="AC32" s="43"/>
      <c r="AD32" s="43"/>
      <c r="AE32" s="43"/>
      <c r="AF32" s="43"/>
      <c r="AG32" s="39" t="e">
        <f>AG14</f>
        <v>#REF!</v>
      </c>
      <c r="AH32" s="170" t="e">
        <f t="shared" si="10"/>
        <v>#REF!</v>
      </c>
      <c r="AI32" s="47"/>
      <c r="AJ32" s="47"/>
      <c r="AK32" s="39" t="e">
        <f>AK14</f>
        <v>#REF!</v>
      </c>
      <c r="AL32" s="170" t="e">
        <f t="shared" si="11"/>
        <v>#REF!</v>
      </c>
      <c r="AM32" s="47"/>
      <c r="AN32" s="47"/>
      <c r="AO32" s="39" t="e">
        <f>AO14</f>
        <v>#REF!</v>
      </c>
      <c r="AP32" s="170" t="e">
        <f t="shared" si="12"/>
        <v>#REF!</v>
      </c>
      <c r="AQ32" s="47"/>
      <c r="AR32" s="47"/>
      <c r="AS32" s="39" t="e">
        <f>AS14</f>
        <v>#REF!</v>
      </c>
      <c r="AT32" s="170" t="e">
        <f t="shared" si="13"/>
        <v>#REF!</v>
      </c>
      <c r="AU32" s="47"/>
      <c r="AV32" s="47"/>
      <c r="AW32" s="39" t="e">
        <f>AW14</f>
        <v>#REF!</v>
      </c>
      <c r="AX32" s="170" t="e">
        <f t="shared" si="14"/>
        <v>#REF!</v>
      </c>
      <c r="AY32" s="47"/>
      <c r="AZ32" s="47"/>
      <c r="BA32" s="39" t="e">
        <f>BA14</f>
        <v>#REF!</v>
      </c>
      <c r="BB32" s="170" t="e">
        <f t="shared" si="15"/>
        <v>#REF!</v>
      </c>
      <c r="BC32" s="47"/>
      <c r="BD32" s="47"/>
    </row>
    <row r="33" spans="1:56">
      <c r="A33" s="258"/>
      <c r="B33" s="259" t="s">
        <v>606</v>
      </c>
      <c r="C33" s="260" t="s">
        <v>604</v>
      </c>
      <c r="D33" s="62">
        <v>800</v>
      </c>
      <c r="E33" s="260" t="s">
        <v>35</v>
      </c>
      <c r="F33" s="39"/>
      <c r="G33" s="40"/>
      <c r="H33" s="40"/>
      <c r="I33" s="40"/>
      <c r="J33" s="61"/>
      <c r="K33" s="40"/>
      <c r="L33" s="40"/>
      <c r="M33" s="50"/>
      <c r="N33" s="43"/>
      <c r="O33" s="44">
        <v>800</v>
      </c>
      <c r="P33" s="43">
        <f t="shared" si="16"/>
        <v>0</v>
      </c>
      <c r="Q33" s="45"/>
      <c r="R33" s="43"/>
      <c r="S33" s="43"/>
      <c r="T33" s="43"/>
      <c r="U33" s="43"/>
      <c r="V33" s="43"/>
      <c r="W33" s="43"/>
      <c r="X33" s="43"/>
      <c r="Y33" s="43"/>
      <c r="Z33" s="43"/>
      <c r="AA33" s="43"/>
      <c r="AB33" s="43"/>
      <c r="AC33" s="43"/>
      <c r="AD33" s="43"/>
      <c r="AE33" s="43"/>
      <c r="AF33" s="43"/>
      <c r="AG33" s="39"/>
      <c r="AH33" s="170">
        <f t="shared" si="10"/>
        <v>0</v>
      </c>
      <c r="AI33" s="50"/>
      <c r="AJ33" s="50"/>
      <c r="AK33" s="61"/>
      <c r="AL33" s="170">
        <f t="shared" si="11"/>
        <v>0</v>
      </c>
      <c r="AM33" s="50"/>
      <c r="AN33" s="50"/>
      <c r="AO33" s="39"/>
      <c r="AP33" s="170">
        <f t="shared" si="12"/>
        <v>0</v>
      </c>
      <c r="AQ33" s="50"/>
      <c r="AR33" s="50"/>
      <c r="AS33" s="61"/>
      <c r="AT33" s="170">
        <f t="shared" si="13"/>
        <v>0</v>
      </c>
      <c r="AU33" s="50"/>
      <c r="AV33" s="50"/>
      <c r="AW33" s="39"/>
      <c r="AX33" s="170">
        <f t="shared" si="14"/>
        <v>0</v>
      </c>
      <c r="AY33" s="50"/>
      <c r="AZ33" s="50"/>
      <c r="BA33" s="61"/>
      <c r="BB33" s="170">
        <f t="shared" si="15"/>
        <v>0</v>
      </c>
      <c r="BC33" s="50"/>
      <c r="BD33" s="50"/>
    </row>
    <row r="34" spans="1:56">
      <c r="A34" s="258"/>
      <c r="B34" s="259" t="s">
        <v>715</v>
      </c>
      <c r="C34" s="260" t="s">
        <v>604</v>
      </c>
      <c r="D34" s="62">
        <v>300</v>
      </c>
      <c r="E34" s="260" t="s">
        <v>35</v>
      </c>
      <c r="F34" s="39"/>
      <c r="G34" s="40"/>
      <c r="H34" s="40"/>
      <c r="I34" s="40"/>
      <c r="J34" s="39"/>
      <c r="K34" s="40"/>
      <c r="L34" s="40"/>
      <c r="M34" s="50"/>
      <c r="N34" s="43"/>
      <c r="O34" s="44">
        <v>200</v>
      </c>
      <c r="P34" s="43">
        <f t="shared" si="16"/>
        <v>0</v>
      </c>
      <c r="Q34" s="45"/>
      <c r="R34" s="43"/>
      <c r="S34" s="43"/>
      <c r="T34" s="43"/>
      <c r="U34" s="43"/>
      <c r="V34" s="43"/>
      <c r="W34" s="43"/>
      <c r="X34" s="43"/>
      <c r="Y34" s="43"/>
      <c r="Z34" s="43"/>
      <c r="AA34" s="43"/>
      <c r="AB34" s="43"/>
      <c r="AC34" s="43"/>
      <c r="AD34" s="43"/>
      <c r="AE34" s="43"/>
      <c r="AF34" s="43"/>
      <c r="AG34" s="39"/>
      <c r="AH34" s="170">
        <f t="shared" si="10"/>
        <v>0</v>
      </c>
      <c r="AI34" s="50"/>
      <c r="AJ34" s="50"/>
      <c r="AK34" s="39"/>
      <c r="AL34" s="170">
        <f t="shared" si="11"/>
        <v>0</v>
      </c>
      <c r="AM34" s="50"/>
      <c r="AN34" s="50"/>
      <c r="AO34" s="39"/>
      <c r="AP34" s="170">
        <f t="shared" si="12"/>
        <v>0</v>
      </c>
      <c r="AQ34" s="50"/>
      <c r="AR34" s="50"/>
      <c r="AS34" s="39"/>
      <c r="AT34" s="170">
        <f t="shared" si="13"/>
        <v>0</v>
      </c>
      <c r="AU34" s="50"/>
      <c r="AV34" s="50"/>
      <c r="AW34" s="39"/>
      <c r="AX34" s="170">
        <f t="shared" si="14"/>
        <v>0</v>
      </c>
      <c r="AY34" s="50"/>
      <c r="AZ34" s="50"/>
      <c r="BA34" s="39"/>
      <c r="BB34" s="170">
        <f t="shared" si="15"/>
        <v>0</v>
      </c>
      <c r="BC34" s="50"/>
      <c r="BD34" s="50"/>
    </row>
    <row r="35" spans="1:56">
      <c r="A35" s="258"/>
      <c r="B35" s="259" t="s">
        <v>716</v>
      </c>
      <c r="C35" s="260" t="s">
        <v>604</v>
      </c>
      <c r="D35" s="62">
        <v>150</v>
      </c>
      <c r="E35" s="260" t="s">
        <v>35</v>
      </c>
      <c r="F35" s="39"/>
      <c r="G35" s="40"/>
      <c r="H35" s="40"/>
      <c r="I35" s="40"/>
      <c r="J35" s="39"/>
      <c r="K35" s="40"/>
      <c r="L35" s="40"/>
      <c r="M35" s="50"/>
      <c r="N35" s="43"/>
      <c r="O35" s="44">
        <v>150</v>
      </c>
      <c r="P35" s="43">
        <f t="shared" si="16"/>
        <v>0</v>
      </c>
      <c r="Q35" s="45"/>
      <c r="R35" s="43"/>
      <c r="S35" s="43"/>
      <c r="T35" s="43"/>
      <c r="U35" s="43"/>
      <c r="V35" s="43"/>
      <c r="W35" s="43"/>
      <c r="X35" s="43"/>
      <c r="Y35" s="43"/>
      <c r="Z35" s="43"/>
      <c r="AA35" s="43"/>
      <c r="AB35" s="43"/>
      <c r="AC35" s="43"/>
      <c r="AD35" s="43"/>
      <c r="AE35" s="43"/>
      <c r="AF35" s="43"/>
      <c r="AG35" s="39" t="e">
        <f>(#REF!+#REF!+#REF!+#REF!+#REF!+#REF!)*0.6</f>
        <v>#REF!</v>
      </c>
      <c r="AH35" s="170" t="e">
        <f t="shared" si="10"/>
        <v>#REF!</v>
      </c>
      <c r="AI35" s="50"/>
      <c r="AJ35" s="50"/>
      <c r="AK35" s="39" t="e">
        <f>#REF!*0.6+#REF!+#REF!+#REF!+#REF!*0.7</f>
        <v>#REF!</v>
      </c>
      <c r="AL35" s="170" t="e">
        <f t="shared" si="11"/>
        <v>#REF!</v>
      </c>
      <c r="AM35" s="50"/>
      <c r="AN35" s="50"/>
      <c r="AO35" s="39" t="e">
        <f>(#REF!+#REF!+#REF!+#REF!+#REF!+#REF!)*0.6</f>
        <v>#REF!</v>
      </c>
      <c r="AP35" s="170" t="e">
        <f t="shared" si="12"/>
        <v>#REF!</v>
      </c>
      <c r="AQ35" s="50"/>
      <c r="AR35" s="50"/>
      <c r="AS35" s="39" t="e">
        <f>#REF!*0.6+#REF!+#REF!+#REF!+#REF!*0.7</f>
        <v>#REF!</v>
      </c>
      <c r="AT35" s="170" t="e">
        <f t="shared" si="13"/>
        <v>#REF!</v>
      </c>
      <c r="AU35" s="50"/>
      <c r="AV35" s="50"/>
      <c r="AW35" s="39" t="e">
        <f>(#REF!+#REF!+#REF!+#REF!+#REF!+#REF!)*0.6</f>
        <v>#REF!</v>
      </c>
      <c r="AX35" s="170" t="e">
        <f t="shared" si="14"/>
        <v>#REF!</v>
      </c>
      <c r="AY35" s="50"/>
      <c r="AZ35" s="50"/>
      <c r="BA35" s="39" t="e">
        <f>#REF!*0.6+#REF!+#REF!+#REF!+#REF!*0.7</f>
        <v>#REF!</v>
      </c>
      <c r="BB35" s="170" t="e">
        <f t="shared" si="15"/>
        <v>#REF!</v>
      </c>
      <c r="BC35" s="50"/>
      <c r="BD35" s="50"/>
    </row>
    <row r="36" spans="1:56">
      <c r="A36" s="258"/>
      <c r="B36" s="259" t="s">
        <v>612</v>
      </c>
      <c r="C36" s="260" t="s">
        <v>604</v>
      </c>
      <c r="D36" s="62">
        <v>200</v>
      </c>
      <c r="E36" s="260" t="s">
        <v>35</v>
      </c>
      <c r="F36" s="39"/>
      <c r="G36" s="40"/>
      <c r="H36" s="40"/>
      <c r="I36" s="40"/>
      <c r="J36" s="39"/>
      <c r="K36" s="40"/>
      <c r="L36" s="40"/>
      <c r="M36" s="50"/>
      <c r="N36" s="43"/>
      <c r="O36" s="44">
        <v>200</v>
      </c>
      <c r="P36" s="43">
        <f t="shared" si="16"/>
        <v>0</v>
      </c>
      <c r="Q36" s="45"/>
      <c r="R36" s="43"/>
      <c r="S36" s="43"/>
      <c r="T36" s="43"/>
      <c r="U36" s="43"/>
      <c r="V36" s="43"/>
      <c r="W36" s="43"/>
      <c r="X36" s="43"/>
      <c r="Y36" s="43"/>
      <c r="Z36" s="43"/>
      <c r="AA36" s="43"/>
      <c r="AB36" s="43"/>
      <c r="AC36" s="43"/>
      <c r="AD36" s="43"/>
      <c r="AE36" s="43"/>
      <c r="AF36" s="43"/>
      <c r="AG36" s="39" t="e">
        <f>#REF!+#REF!+#REF!+#REF!</f>
        <v>#REF!</v>
      </c>
      <c r="AH36" s="170" t="e">
        <f t="shared" si="10"/>
        <v>#REF!</v>
      </c>
      <c r="AI36" s="50"/>
      <c r="AJ36" s="50"/>
      <c r="AK36" s="39" t="e">
        <f>#REF!+#REF!+#REF!+#REF!</f>
        <v>#REF!</v>
      </c>
      <c r="AL36" s="170" t="e">
        <f t="shared" si="11"/>
        <v>#REF!</v>
      </c>
      <c r="AM36" s="50"/>
      <c r="AN36" s="50"/>
      <c r="AO36" s="39" t="e">
        <f>#REF!+#REF!+#REF!+#REF!</f>
        <v>#REF!</v>
      </c>
      <c r="AP36" s="170" t="e">
        <f t="shared" si="12"/>
        <v>#REF!</v>
      </c>
      <c r="AQ36" s="50"/>
      <c r="AR36" s="50"/>
      <c r="AS36" s="39" t="e">
        <f>#REF!+#REF!+#REF!+#REF!</f>
        <v>#REF!</v>
      </c>
      <c r="AT36" s="170" t="e">
        <f t="shared" si="13"/>
        <v>#REF!</v>
      </c>
      <c r="AU36" s="50"/>
      <c r="AV36" s="50"/>
      <c r="AW36" s="39" t="e">
        <f>#REF!+#REF!+#REF!+#REF!</f>
        <v>#REF!</v>
      </c>
      <c r="AX36" s="170" t="e">
        <f t="shared" si="14"/>
        <v>#REF!</v>
      </c>
      <c r="AY36" s="50"/>
      <c r="AZ36" s="50"/>
      <c r="BA36" s="39" t="e">
        <f>#REF!+#REF!+#REF!+#REF!</f>
        <v>#REF!</v>
      </c>
      <c r="BB36" s="170" t="e">
        <f t="shared" si="15"/>
        <v>#REF!</v>
      </c>
      <c r="BC36" s="50"/>
      <c r="BD36" s="50"/>
    </row>
    <row r="37" spans="1:56" s="198" customFormat="1">
      <c r="A37" s="258" t="s">
        <v>883</v>
      </c>
      <c r="B37" s="259" t="s">
        <v>717</v>
      </c>
      <c r="C37" s="260" t="s">
        <v>604</v>
      </c>
      <c r="D37" s="62">
        <v>1000</v>
      </c>
      <c r="E37" s="260" t="s">
        <v>35</v>
      </c>
      <c r="F37" s="39"/>
      <c r="G37" s="40"/>
      <c r="H37" s="40"/>
      <c r="I37" s="40"/>
      <c r="J37" s="39"/>
      <c r="K37" s="40"/>
      <c r="L37" s="40"/>
      <c r="M37" s="50"/>
      <c r="N37" s="194"/>
      <c r="O37" s="195">
        <v>1000</v>
      </c>
      <c r="P37" s="194">
        <f t="shared" si="16"/>
        <v>0</v>
      </c>
      <c r="Q37" s="196"/>
      <c r="R37" s="194"/>
      <c r="S37" s="194"/>
      <c r="T37" s="194"/>
      <c r="U37" s="194"/>
      <c r="V37" s="194"/>
      <c r="W37" s="194"/>
      <c r="X37" s="194"/>
      <c r="Y37" s="194"/>
      <c r="Z37" s="194"/>
      <c r="AA37" s="194"/>
      <c r="AB37" s="194"/>
      <c r="AC37" s="194"/>
      <c r="AD37" s="194"/>
      <c r="AE37" s="194"/>
      <c r="AF37" s="194"/>
      <c r="AG37" s="192"/>
      <c r="AH37" s="197">
        <f t="shared" si="10"/>
        <v>0</v>
      </c>
      <c r="AI37" s="193"/>
      <c r="AJ37" s="193"/>
      <c r="AK37" s="192"/>
      <c r="AL37" s="197">
        <f t="shared" si="11"/>
        <v>0</v>
      </c>
      <c r="AM37" s="193"/>
      <c r="AN37" s="193"/>
      <c r="AO37" s="192"/>
      <c r="AP37" s="197">
        <f t="shared" si="12"/>
        <v>0</v>
      </c>
      <c r="AQ37" s="193"/>
      <c r="AR37" s="193"/>
      <c r="AS37" s="192"/>
      <c r="AT37" s="197">
        <f t="shared" si="13"/>
        <v>0</v>
      </c>
      <c r="AU37" s="193"/>
      <c r="AV37" s="193"/>
      <c r="AW37" s="192"/>
      <c r="AX37" s="197">
        <f t="shared" si="14"/>
        <v>0</v>
      </c>
      <c r="AY37" s="193"/>
      <c r="AZ37" s="193"/>
      <c r="BA37" s="192"/>
      <c r="BB37" s="197">
        <f t="shared" si="15"/>
        <v>0</v>
      </c>
      <c r="BC37" s="193"/>
      <c r="BD37" s="193"/>
    </row>
    <row r="38" spans="1:56">
      <c r="A38" s="267"/>
      <c r="B38" s="262" t="s">
        <v>607</v>
      </c>
      <c r="C38" s="260" t="s">
        <v>604</v>
      </c>
      <c r="D38" s="216">
        <v>200</v>
      </c>
      <c r="E38" s="260" t="s">
        <v>35</v>
      </c>
      <c r="F38" s="39"/>
      <c r="G38" s="40"/>
      <c r="H38" s="40"/>
      <c r="I38" s="40"/>
      <c r="J38" s="39"/>
      <c r="K38" s="40"/>
      <c r="L38" s="40"/>
      <c r="M38" s="50"/>
      <c r="N38" s="43"/>
      <c r="O38" s="44">
        <v>550</v>
      </c>
      <c r="P38" s="43">
        <f t="shared" si="16"/>
        <v>0</v>
      </c>
      <c r="Q38" s="45"/>
      <c r="R38" s="43"/>
      <c r="S38" s="43"/>
      <c r="T38" s="43"/>
      <c r="U38" s="43"/>
      <c r="V38" s="43"/>
      <c r="W38" s="43"/>
      <c r="X38" s="43"/>
      <c r="Y38" s="43"/>
      <c r="Z38" s="43"/>
      <c r="AA38" s="43"/>
      <c r="AB38" s="43"/>
      <c r="AC38" s="43"/>
      <c r="AD38" s="43"/>
      <c r="AE38" s="43"/>
      <c r="AF38" s="43"/>
      <c r="AG38" s="39" t="e">
        <f>(#REF!+#REF!)*0</f>
        <v>#REF!</v>
      </c>
      <c r="AH38" s="170" t="e">
        <f t="shared" si="10"/>
        <v>#REF!</v>
      </c>
      <c r="AI38" s="50"/>
      <c r="AJ38" s="50"/>
      <c r="AK38" s="39" t="e">
        <f>(#REF!+#REF!)*0</f>
        <v>#REF!</v>
      </c>
      <c r="AL38" s="170" t="e">
        <f t="shared" si="11"/>
        <v>#REF!</v>
      </c>
      <c r="AM38" s="50"/>
      <c r="AN38" s="50"/>
      <c r="AO38" s="39" t="e">
        <f>(#REF!+#REF!)*0</f>
        <v>#REF!</v>
      </c>
      <c r="AP38" s="170" t="e">
        <f t="shared" si="12"/>
        <v>#REF!</v>
      </c>
      <c r="AQ38" s="50"/>
      <c r="AR38" s="50"/>
      <c r="AS38" s="39" t="e">
        <f>(#REF!+#REF!)*0</f>
        <v>#REF!</v>
      </c>
      <c r="AT38" s="170" t="e">
        <f t="shared" si="13"/>
        <v>#REF!</v>
      </c>
      <c r="AU38" s="50"/>
      <c r="AV38" s="50"/>
      <c r="AW38" s="39" t="e">
        <f>(#REF!+#REF!)*0</f>
        <v>#REF!</v>
      </c>
      <c r="AX38" s="170" t="e">
        <f t="shared" si="14"/>
        <v>#REF!</v>
      </c>
      <c r="AY38" s="50"/>
      <c r="AZ38" s="50"/>
      <c r="BA38" s="39" t="e">
        <f>(#REF!+#REF!)*0</f>
        <v>#REF!</v>
      </c>
      <c r="BB38" s="170" t="e">
        <f t="shared" si="15"/>
        <v>#REF!</v>
      </c>
      <c r="BC38" s="50"/>
      <c r="BD38" s="50"/>
    </row>
    <row r="39" spans="1:56">
      <c r="A39" s="267"/>
      <c r="B39" s="262" t="s">
        <v>806</v>
      </c>
      <c r="C39" s="260" t="s">
        <v>632</v>
      </c>
      <c r="D39" s="216"/>
      <c r="E39" s="260" t="s">
        <v>632</v>
      </c>
      <c r="F39" s="39"/>
      <c r="G39" s="40"/>
      <c r="H39" s="40"/>
      <c r="I39" s="40"/>
      <c r="J39" s="39"/>
      <c r="K39" s="40"/>
      <c r="L39" s="40"/>
      <c r="M39" s="50"/>
      <c r="N39" s="43"/>
      <c r="O39" s="44"/>
      <c r="P39" s="43">
        <f>K39</f>
        <v>0</v>
      </c>
      <c r="Q39" s="45"/>
      <c r="R39" s="43"/>
      <c r="S39" s="43"/>
      <c r="T39" s="43"/>
      <c r="U39" s="43"/>
      <c r="V39" s="43"/>
      <c r="W39" s="43"/>
      <c r="X39" s="43"/>
      <c r="Y39" s="43"/>
      <c r="Z39" s="43"/>
      <c r="AA39" s="43"/>
      <c r="AB39" s="43"/>
      <c r="AC39" s="43"/>
      <c r="AD39" s="43"/>
      <c r="AE39" s="43"/>
      <c r="AF39" s="43"/>
      <c r="AG39" s="39"/>
      <c r="AH39" s="170"/>
      <c r="AI39" s="50"/>
      <c r="AJ39" s="50"/>
      <c r="AK39" s="39"/>
      <c r="AL39" s="170"/>
      <c r="AM39" s="50"/>
      <c r="AN39" s="50"/>
      <c r="AO39" s="39"/>
      <c r="AP39" s="170"/>
      <c r="AQ39" s="50"/>
      <c r="AR39" s="50"/>
      <c r="AS39" s="39"/>
      <c r="AT39" s="170"/>
      <c r="AU39" s="50"/>
      <c r="AV39" s="50"/>
      <c r="AW39" s="39"/>
      <c r="AX39" s="170"/>
      <c r="AY39" s="50"/>
      <c r="AZ39" s="50"/>
      <c r="BA39" s="39"/>
      <c r="BB39" s="170"/>
      <c r="BC39" s="50"/>
      <c r="BD39" s="50"/>
    </row>
    <row r="40" spans="1:56">
      <c r="A40" s="267"/>
      <c r="B40" s="262" t="s">
        <v>768</v>
      </c>
      <c r="C40" s="263" t="s">
        <v>604</v>
      </c>
      <c r="D40" s="216">
        <v>900</v>
      </c>
      <c r="E40" s="263" t="s">
        <v>35</v>
      </c>
      <c r="F40" s="39"/>
      <c r="G40" s="40"/>
      <c r="H40" s="40"/>
      <c r="I40" s="40"/>
      <c r="J40" s="39"/>
      <c r="K40" s="40"/>
      <c r="L40" s="40"/>
      <c r="M40" s="50"/>
      <c r="N40" s="43"/>
      <c r="O40" s="44">
        <v>900</v>
      </c>
      <c r="P40" s="43">
        <f>J40/O40</f>
        <v>0</v>
      </c>
      <c r="Q40" s="45"/>
      <c r="R40" s="43"/>
      <c r="S40" s="43"/>
      <c r="T40" s="43"/>
      <c r="U40" s="43"/>
      <c r="V40" s="43"/>
      <c r="W40" s="43"/>
      <c r="X40" s="43"/>
      <c r="Y40" s="43"/>
      <c r="Z40" s="43"/>
      <c r="AA40" s="43"/>
      <c r="AB40" s="43"/>
      <c r="AC40" s="43"/>
      <c r="AD40" s="43"/>
      <c r="AE40" s="43"/>
      <c r="AF40" s="43"/>
      <c r="AG40" s="63">
        <f>AG132</f>
        <v>0</v>
      </c>
      <c r="AH40" s="170">
        <f t="shared" si="10"/>
        <v>0</v>
      </c>
      <c r="AI40" s="64"/>
      <c r="AJ40" s="64"/>
      <c r="AK40" s="63">
        <f>AK132</f>
        <v>0</v>
      </c>
      <c r="AL40" s="170">
        <f t="shared" si="11"/>
        <v>0</v>
      </c>
      <c r="AM40" s="64"/>
      <c r="AN40" s="64"/>
      <c r="AO40" s="63">
        <f>AO132</f>
        <v>0</v>
      </c>
      <c r="AP40" s="170">
        <f t="shared" si="12"/>
        <v>0</v>
      </c>
      <c r="AQ40" s="64"/>
      <c r="AR40" s="64"/>
      <c r="AS40" s="63">
        <f>AS132</f>
        <v>0</v>
      </c>
      <c r="AT40" s="170">
        <f t="shared" si="13"/>
        <v>0</v>
      </c>
      <c r="AU40" s="64"/>
      <c r="AV40" s="64"/>
      <c r="AW40" s="63">
        <f>AW132</f>
        <v>0</v>
      </c>
      <c r="AX40" s="170">
        <f t="shared" si="14"/>
        <v>0</v>
      </c>
      <c r="AY40" s="64"/>
      <c r="AZ40" s="64"/>
      <c r="BA40" s="63">
        <f>BA132</f>
        <v>0</v>
      </c>
      <c r="BB40" s="170">
        <f t="shared" si="15"/>
        <v>0</v>
      </c>
      <c r="BC40" s="64"/>
      <c r="BD40" s="64"/>
    </row>
    <row r="41" spans="1:56">
      <c r="A41" s="267"/>
      <c r="B41" s="262" t="s">
        <v>769</v>
      </c>
      <c r="C41" s="263" t="s">
        <v>604</v>
      </c>
      <c r="D41" s="216">
        <v>900</v>
      </c>
      <c r="E41" s="263" t="s">
        <v>35</v>
      </c>
      <c r="F41" s="39"/>
      <c r="G41" s="40"/>
      <c r="H41" s="40"/>
      <c r="I41" s="40"/>
      <c r="J41" s="39"/>
      <c r="K41" s="40"/>
      <c r="L41" s="40"/>
      <c r="M41" s="50"/>
      <c r="N41" s="43"/>
      <c r="O41" s="44">
        <v>900</v>
      </c>
      <c r="P41" s="43">
        <f t="shared" ref="P41:P43" si="17">J41/O41</f>
        <v>0</v>
      </c>
      <c r="Q41" s="45"/>
      <c r="R41" s="43"/>
      <c r="S41" s="43"/>
      <c r="T41" s="43"/>
      <c r="U41" s="43"/>
      <c r="V41" s="43"/>
      <c r="W41" s="43"/>
      <c r="X41" s="43"/>
      <c r="Y41" s="43"/>
      <c r="Z41" s="43"/>
      <c r="AA41" s="43"/>
      <c r="AB41" s="43"/>
      <c r="AC41" s="43"/>
      <c r="AD41" s="43"/>
      <c r="AE41" s="43"/>
      <c r="AF41" s="43"/>
      <c r="AG41" s="63">
        <f t="shared" ref="AG41:AG43" si="18">AG133</f>
        <v>0</v>
      </c>
      <c r="AH41" s="170">
        <f t="shared" si="10"/>
        <v>0</v>
      </c>
      <c r="AI41" s="64"/>
      <c r="AJ41" s="64"/>
      <c r="AK41" s="63">
        <f t="shared" ref="AK41:AK43" si="19">AK133</f>
        <v>0</v>
      </c>
      <c r="AL41" s="170">
        <f t="shared" si="11"/>
        <v>0</v>
      </c>
      <c r="AM41" s="64"/>
      <c r="AN41" s="64"/>
      <c r="AO41" s="63">
        <f t="shared" ref="AO41:AO43" si="20">AO133</f>
        <v>0</v>
      </c>
      <c r="AP41" s="170">
        <f t="shared" si="12"/>
        <v>0</v>
      </c>
      <c r="AQ41" s="64"/>
      <c r="AR41" s="64"/>
      <c r="AS41" s="63">
        <f t="shared" ref="AS41:AS43" si="21">AS133</f>
        <v>0</v>
      </c>
      <c r="AT41" s="170">
        <f t="shared" si="13"/>
        <v>0</v>
      </c>
      <c r="AU41" s="64"/>
      <c r="AV41" s="64"/>
      <c r="AW41" s="63">
        <f t="shared" ref="AW41:AW43" si="22">AW133</f>
        <v>0</v>
      </c>
      <c r="AX41" s="170">
        <f t="shared" si="14"/>
        <v>0</v>
      </c>
      <c r="AY41" s="64"/>
      <c r="AZ41" s="64"/>
      <c r="BA41" s="63">
        <f t="shared" ref="BA41:BA43" si="23">BA133</f>
        <v>0</v>
      </c>
      <c r="BB41" s="170">
        <f t="shared" si="15"/>
        <v>0</v>
      </c>
      <c r="BC41" s="64"/>
      <c r="BD41" s="64"/>
    </row>
    <row r="42" spans="1:56">
      <c r="A42" s="267"/>
      <c r="B42" s="262" t="s">
        <v>770</v>
      </c>
      <c r="C42" s="263" t="s">
        <v>604</v>
      </c>
      <c r="D42" s="216">
        <v>900</v>
      </c>
      <c r="E42" s="263" t="s">
        <v>35</v>
      </c>
      <c r="F42" s="39"/>
      <c r="G42" s="40"/>
      <c r="H42" s="40"/>
      <c r="I42" s="40"/>
      <c r="J42" s="39"/>
      <c r="K42" s="40"/>
      <c r="L42" s="40"/>
      <c r="M42" s="50"/>
      <c r="N42" s="43"/>
      <c r="O42" s="44">
        <v>900</v>
      </c>
      <c r="P42" s="43">
        <f t="shared" si="17"/>
        <v>0</v>
      </c>
      <c r="Q42" s="45"/>
      <c r="R42" s="43"/>
      <c r="S42" s="43"/>
      <c r="T42" s="43"/>
      <c r="U42" s="43"/>
      <c r="V42" s="43"/>
      <c r="W42" s="43"/>
      <c r="X42" s="43"/>
      <c r="Y42" s="43"/>
      <c r="Z42" s="43"/>
      <c r="AA42" s="43"/>
      <c r="AB42" s="43"/>
      <c r="AC42" s="43"/>
      <c r="AD42" s="43"/>
      <c r="AE42" s="43"/>
      <c r="AF42" s="43"/>
      <c r="AG42" s="63">
        <f t="shared" si="18"/>
        <v>0</v>
      </c>
      <c r="AH42" s="170">
        <f t="shared" si="10"/>
        <v>0</v>
      </c>
      <c r="AI42" s="64"/>
      <c r="AJ42" s="64"/>
      <c r="AK42" s="63">
        <f t="shared" si="19"/>
        <v>0</v>
      </c>
      <c r="AL42" s="170">
        <f t="shared" si="11"/>
        <v>0</v>
      </c>
      <c r="AM42" s="64"/>
      <c r="AN42" s="64"/>
      <c r="AO42" s="63">
        <f t="shared" si="20"/>
        <v>0</v>
      </c>
      <c r="AP42" s="170">
        <f t="shared" si="12"/>
        <v>0</v>
      </c>
      <c r="AQ42" s="64"/>
      <c r="AR42" s="64"/>
      <c r="AS42" s="63">
        <f t="shared" si="21"/>
        <v>0</v>
      </c>
      <c r="AT42" s="170">
        <f t="shared" si="13"/>
        <v>0</v>
      </c>
      <c r="AU42" s="64"/>
      <c r="AV42" s="64"/>
      <c r="AW42" s="63">
        <f t="shared" si="22"/>
        <v>0</v>
      </c>
      <c r="AX42" s="170">
        <f t="shared" si="14"/>
        <v>0</v>
      </c>
      <c r="AY42" s="64"/>
      <c r="AZ42" s="64"/>
      <c r="BA42" s="63">
        <f t="shared" si="23"/>
        <v>0</v>
      </c>
      <c r="BB42" s="170">
        <f t="shared" si="15"/>
        <v>0</v>
      </c>
      <c r="BC42" s="64"/>
      <c r="BD42" s="64"/>
    </row>
    <row r="43" spans="1:56">
      <c r="A43" s="267"/>
      <c r="B43" s="262" t="s">
        <v>771</v>
      </c>
      <c r="C43" s="263" t="s">
        <v>604</v>
      </c>
      <c r="D43" s="216">
        <v>900</v>
      </c>
      <c r="E43" s="263" t="s">
        <v>35</v>
      </c>
      <c r="F43" s="39"/>
      <c r="G43" s="40"/>
      <c r="H43" s="40"/>
      <c r="I43" s="40"/>
      <c r="J43" s="39"/>
      <c r="K43" s="40"/>
      <c r="L43" s="40"/>
      <c r="M43" s="50"/>
      <c r="N43" s="43"/>
      <c r="O43" s="44">
        <v>900</v>
      </c>
      <c r="P43" s="43">
        <f t="shared" si="17"/>
        <v>0</v>
      </c>
      <c r="Q43" s="45"/>
      <c r="R43" s="43"/>
      <c r="S43" s="43"/>
      <c r="T43" s="43"/>
      <c r="U43" s="43"/>
      <c r="V43" s="43"/>
      <c r="W43" s="43"/>
      <c r="X43" s="43"/>
      <c r="Y43" s="43"/>
      <c r="Z43" s="43"/>
      <c r="AA43" s="43"/>
      <c r="AB43" s="43"/>
      <c r="AC43" s="43"/>
      <c r="AD43" s="43"/>
      <c r="AE43" s="43"/>
      <c r="AF43" s="43"/>
      <c r="AG43" s="63">
        <f t="shared" si="18"/>
        <v>0</v>
      </c>
      <c r="AH43" s="170">
        <f t="shared" si="10"/>
        <v>0</v>
      </c>
      <c r="AI43" s="64"/>
      <c r="AJ43" s="64"/>
      <c r="AK43" s="63">
        <f t="shared" si="19"/>
        <v>0</v>
      </c>
      <c r="AL43" s="170">
        <f t="shared" si="11"/>
        <v>0</v>
      </c>
      <c r="AM43" s="64"/>
      <c r="AN43" s="64"/>
      <c r="AO43" s="63">
        <f t="shared" si="20"/>
        <v>0</v>
      </c>
      <c r="AP43" s="170">
        <f t="shared" si="12"/>
        <v>0</v>
      </c>
      <c r="AQ43" s="64"/>
      <c r="AR43" s="64"/>
      <c r="AS43" s="63">
        <f t="shared" si="21"/>
        <v>0</v>
      </c>
      <c r="AT43" s="170">
        <f t="shared" si="13"/>
        <v>0</v>
      </c>
      <c r="AU43" s="64"/>
      <c r="AV43" s="64"/>
      <c r="AW43" s="63">
        <f t="shared" si="22"/>
        <v>0</v>
      </c>
      <c r="AX43" s="170">
        <f t="shared" si="14"/>
        <v>0</v>
      </c>
      <c r="AY43" s="64"/>
      <c r="AZ43" s="64"/>
      <c r="BA43" s="63">
        <f t="shared" si="23"/>
        <v>0</v>
      </c>
      <c r="BB43" s="170">
        <f t="shared" si="15"/>
        <v>0</v>
      </c>
      <c r="BC43" s="64"/>
      <c r="BD43" s="64"/>
    </row>
    <row r="44" spans="1:56" ht="14.4" thickBot="1">
      <c r="A44" s="267"/>
      <c r="B44" s="270" t="s">
        <v>796</v>
      </c>
      <c r="C44" s="271" t="s">
        <v>632</v>
      </c>
      <c r="D44" s="285"/>
      <c r="E44" s="271" t="s">
        <v>632</v>
      </c>
      <c r="F44" s="58"/>
      <c r="G44" s="58"/>
      <c r="H44" s="58"/>
      <c r="I44" s="58"/>
      <c r="J44" s="58"/>
      <c r="K44" s="58"/>
      <c r="L44" s="58"/>
      <c r="M44" s="66"/>
      <c r="N44" s="43"/>
      <c r="O44" s="44"/>
      <c r="P44" s="43">
        <f t="shared" ref="P44" si="24">K44</f>
        <v>0</v>
      </c>
      <c r="Q44" s="45"/>
      <c r="R44" s="43"/>
      <c r="S44" s="43"/>
      <c r="T44" s="43"/>
      <c r="U44" s="43"/>
      <c r="V44" s="43"/>
      <c r="W44" s="43"/>
      <c r="X44" s="43"/>
      <c r="Y44" s="43"/>
      <c r="Z44" s="43"/>
      <c r="AA44" s="43"/>
      <c r="AB44" s="43"/>
      <c r="AC44" s="43"/>
      <c r="AD44" s="43"/>
      <c r="AE44" s="43"/>
      <c r="AF44" s="43"/>
      <c r="AG44" s="58"/>
      <c r="AH44" s="170"/>
      <c r="AI44" s="66"/>
      <c r="AJ44" s="66"/>
      <c r="AK44" s="58"/>
      <c r="AL44" s="170"/>
      <c r="AM44" s="66"/>
      <c r="AN44" s="66"/>
      <c r="AO44" s="58"/>
      <c r="AP44" s="170"/>
      <c r="AQ44" s="66"/>
      <c r="AR44" s="66"/>
      <c r="AS44" s="58"/>
      <c r="AT44" s="170"/>
      <c r="AU44" s="66"/>
      <c r="AV44" s="66"/>
      <c r="AW44" s="58"/>
      <c r="AX44" s="170"/>
      <c r="AY44" s="66"/>
      <c r="AZ44" s="66"/>
      <c r="BA44" s="58"/>
      <c r="BB44" s="170"/>
      <c r="BC44" s="66"/>
      <c r="BD44" s="66"/>
    </row>
    <row r="45" spans="1:56">
      <c r="A45" s="251">
        <v>3</v>
      </c>
      <c r="B45" s="272" t="s">
        <v>613</v>
      </c>
      <c r="C45" s="253"/>
      <c r="D45" s="283"/>
      <c r="E45" s="253"/>
      <c r="F45" s="53"/>
      <c r="G45" s="35">
        <f>SUM(G46:G58)</f>
        <v>0</v>
      </c>
      <c r="H45" s="35"/>
      <c r="I45" s="36">
        <f>IFERROR(G45/H45,0)</f>
        <v>0</v>
      </c>
      <c r="J45" s="53"/>
      <c r="K45" s="35">
        <f>SUM(K46:K58)</f>
        <v>0</v>
      </c>
      <c r="L45" s="35"/>
      <c r="M45" s="36">
        <f>IFERROR(K45/L45,0)</f>
        <v>0</v>
      </c>
      <c r="N45" s="48"/>
      <c r="O45" s="44"/>
      <c r="P45" s="35">
        <f>SUM(P46:P58)</f>
        <v>0</v>
      </c>
      <c r="Q45" s="38" t="e">
        <f>P45/L45</f>
        <v>#DIV/0!</v>
      </c>
      <c r="R45" s="43"/>
      <c r="S45" s="43"/>
      <c r="T45" s="78">
        <f>K45-L45</f>
        <v>0</v>
      </c>
      <c r="U45" s="25">
        <v>52.59</v>
      </c>
      <c r="V45" s="74">
        <f>T45*U45</f>
        <v>0</v>
      </c>
      <c r="W45" s="43"/>
      <c r="X45" s="43"/>
      <c r="Y45" s="74">
        <f>L45/12</f>
        <v>0</v>
      </c>
      <c r="Z45" s="43"/>
      <c r="AA45" s="43"/>
      <c r="AB45" s="43"/>
      <c r="AC45" s="43"/>
      <c r="AD45" s="43"/>
      <c r="AE45" s="43"/>
      <c r="AF45" s="43"/>
      <c r="AG45" s="37"/>
      <c r="AH45" s="35" t="e">
        <f>SUM(AH46:AH58)</f>
        <v>#REF!</v>
      </c>
      <c r="AI45" s="209">
        <f>VLOOKUP($B45,'[5]Eqpmnt &amp; MP Days'!$B$4:$H$11,2,0)</f>
        <v>5</v>
      </c>
      <c r="AJ45" s="37" t="str">
        <f>IFERROR(AH45/AI45,"")</f>
        <v/>
      </c>
      <c r="AK45" s="37"/>
      <c r="AL45" s="35" t="e">
        <f>SUM(AL46:AL58)</f>
        <v>#REF!</v>
      </c>
      <c r="AM45" s="209">
        <f>VLOOKUP($B45,'[5]Eqpmnt &amp; MP Days'!$B$4:$H$11,3,0)</f>
        <v>97</v>
      </c>
      <c r="AN45" s="37" t="str">
        <f>IFERROR(AL45/AM45,"")</f>
        <v/>
      </c>
      <c r="AO45" s="37"/>
      <c r="AP45" s="35" t="e">
        <f>SUM(AP46:AP58)</f>
        <v>#REF!</v>
      </c>
      <c r="AQ45" s="209">
        <f>VLOOKUP($B45,'[5]Eqpmnt &amp; MP Days'!$B$4:$H$11,4,0)</f>
        <v>4</v>
      </c>
      <c r="AR45" s="37" t="str">
        <f>IFERROR(AP45/AQ45,"")</f>
        <v/>
      </c>
      <c r="AS45" s="53"/>
      <c r="AT45" s="35" t="e">
        <f>SUM(AT46:AT58)</f>
        <v>#REF!</v>
      </c>
      <c r="AU45" s="209">
        <f>VLOOKUP($B45,'[5]Eqpmnt &amp; MP Days'!$B$4:$H$11,5,0)</f>
        <v>111</v>
      </c>
      <c r="AV45" s="37" t="str">
        <f>IFERROR(AT45/AU45,"")</f>
        <v/>
      </c>
      <c r="AW45" s="53"/>
      <c r="AX45" s="35" t="e">
        <f>SUM(AX46:AX58)</f>
        <v>#REF!</v>
      </c>
      <c r="AY45" s="209">
        <f>VLOOKUP($B45,'[5]Eqpmnt &amp; MP Days'!$B$4:$H$11,6,0)</f>
        <v>0</v>
      </c>
      <c r="AZ45" s="37" t="str">
        <f>IFERROR(AX45/AY45,"")</f>
        <v/>
      </c>
      <c r="BA45" s="53"/>
      <c r="BB45" s="35" t="e">
        <f>SUM(BB46:BB58)</f>
        <v>#REF!</v>
      </c>
      <c r="BC45" s="209">
        <f>VLOOKUP($B45,'[5]Eqpmnt &amp; MP Days'!$B$4:$H$11,7,0)</f>
        <v>0</v>
      </c>
      <c r="BD45" s="37" t="str">
        <f>IFERROR(BB45/BC45,"")</f>
        <v/>
      </c>
    </row>
    <row r="46" spans="1:56" ht="16.5" customHeight="1">
      <c r="A46" s="254"/>
      <c r="B46" s="257" t="s">
        <v>601</v>
      </c>
      <c r="C46" s="256" t="s">
        <v>602</v>
      </c>
      <c r="D46" s="218">
        <v>3000</v>
      </c>
      <c r="E46" s="256" t="s">
        <v>86</v>
      </c>
      <c r="F46" s="39"/>
      <c r="G46" s="39"/>
      <c r="H46" s="39"/>
      <c r="I46" s="41"/>
      <c r="J46" s="39"/>
      <c r="K46" s="39"/>
      <c r="L46" s="233"/>
      <c r="M46" s="42"/>
      <c r="N46" s="43"/>
      <c r="O46" s="44">
        <v>3000</v>
      </c>
      <c r="P46" s="43">
        <f>J46/O46</f>
        <v>0</v>
      </c>
      <c r="Q46" s="45"/>
      <c r="R46" s="43"/>
      <c r="S46" s="43"/>
      <c r="T46" s="43"/>
      <c r="U46" s="43"/>
      <c r="V46" s="43"/>
      <c r="W46" s="43"/>
      <c r="X46" s="43"/>
      <c r="Y46" s="43"/>
      <c r="Z46" s="43"/>
      <c r="AA46" s="43"/>
      <c r="AB46" s="43"/>
      <c r="AC46" s="43"/>
      <c r="AD46" s="43"/>
      <c r="AE46" s="43"/>
      <c r="AF46" s="43"/>
      <c r="AG46" s="39" t="e">
        <f>AG19</f>
        <v>#REF!</v>
      </c>
      <c r="AH46" s="170" t="e">
        <f t="shared" ref="AH46:AH56" si="25">AG46/$D46</f>
        <v>#REF!</v>
      </c>
      <c r="AI46" s="42"/>
      <c r="AJ46" s="42"/>
      <c r="AK46" s="39" t="e">
        <f>AK19</f>
        <v>#REF!</v>
      </c>
      <c r="AL46" s="170" t="e">
        <f t="shared" ref="AL46:AL56" si="26">AK46/$D46</f>
        <v>#REF!</v>
      </c>
      <c r="AM46" s="42"/>
      <c r="AN46" s="42"/>
      <c r="AO46" s="39" t="e">
        <f>AO19</f>
        <v>#REF!</v>
      </c>
      <c r="AP46" s="170" t="e">
        <f t="shared" ref="AP46:AP56" si="27">AO46/$D46</f>
        <v>#REF!</v>
      </c>
      <c r="AQ46" s="42"/>
      <c r="AR46" s="42"/>
      <c r="AS46" s="39" t="e">
        <f>AS19</f>
        <v>#REF!</v>
      </c>
      <c r="AT46" s="170" t="e">
        <f t="shared" si="13"/>
        <v>#REF!</v>
      </c>
      <c r="AU46" s="42"/>
      <c r="AV46" s="42"/>
      <c r="AW46" s="39" t="e">
        <f>AW19</f>
        <v>#REF!</v>
      </c>
      <c r="AX46" s="170" t="e">
        <f t="shared" ref="AX46:AX56" si="28">AW46/$D46</f>
        <v>#REF!</v>
      </c>
      <c r="AY46" s="42"/>
      <c r="AZ46" s="42"/>
      <c r="BA46" s="39" t="e">
        <f>BA19</f>
        <v>#REF!</v>
      </c>
      <c r="BB46" s="170" t="e">
        <f t="shared" ref="BB46:BB56" si="29">BA46/$D46</f>
        <v>#REF!</v>
      </c>
      <c r="BC46" s="42"/>
      <c r="BD46" s="42"/>
    </row>
    <row r="47" spans="1:56">
      <c r="A47" s="258"/>
      <c r="B47" s="259" t="s">
        <v>614</v>
      </c>
      <c r="C47" s="260" t="s">
        <v>604</v>
      </c>
      <c r="D47" s="62">
        <v>600</v>
      </c>
      <c r="E47" s="260" t="s">
        <v>35</v>
      </c>
      <c r="F47" s="39"/>
      <c r="G47" s="40"/>
      <c r="H47" s="40"/>
      <c r="I47" s="46"/>
      <c r="J47" s="39"/>
      <c r="K47" s="39"/>
      <c r="L47" s="40"/>
      <c r="M47" s="47"/>
      <c r="N47" s="43"/>
      <c r="O47" s="44">
        <v>600</v>
      </c>
      <c r="P47" s="43">
        <f t="shared" ref="P47:P55" si="30">J47/O47</f>
        <v>0</v>
      </c>
      <c r="Q47" s="45"/>
      <c r="R47" s="43"/>
      <c r="S47" s="43"/>
      <c r="T47" s="43"/>
      <c r="U47" s="43"/>
      <c r="V47" s="43"/>
      <c r="W47" s="43"/>
      <c r="X47" s="43"/>
      <c r="Y47" s="43"/>
      <c r="Z47" s="43"/>
      <c r="AA47" s="43"/>
      <c r="AB47" s="43"/>
      <c r="AC47" s="43"/>
      <c r="AD47" s="43"/>
      <c r="AE47" s="43"/>
      <c r="AF47" s="43"/>
      <c r="AG47" s="39" t="e">
        <f>AG20</f>
        <v>#REF!</v>
      </c>
      <c r="AH47" s="170" t="e">
        <f t="shared" si="25"/>
        <v>#REF!</v>
      </c>
      <c r="AI47" s="47"/>
      <c r="AJ47" s="47"/>
      <c r="AK47" s="39" t="e">
        <f>AK20</f>
        <v>#REF!</v>
      </c>
      <c r="AL47" s="170" t="e">
        <f t="shared" si="26"/>
        <v>#REF!</v>
      </c>
      <c r="AM47" s="47"/>
      <c r="AN47" s="47"/>
      <c r="AO47" s="39" t="e">
        <f>AO20</f>
        <v>#REF!</v>
      </c>
      <c r="AP47" s="170" t="e">
        <f t="shared" si="27"/>
        <v>#REF!</v>
      </c>
      <c r="AQ47" s="47"/>
      <c r="AR47" s="47"/>
      <c r="AS47" s="39" t="e">
        <f>AS20</f>
        <v>#REF!</v>
      </c>
      <c r="AT47" s="170" t="e">
        <f t="shared" si="13"/>
        <v>#REF!</v>
      </c>
      <c r="AU47" s="47"/>
      <c r="AV47" s="47"/>
      <c r="AW47" s="39" t="e">
        <f>AW20</f>
        <v>#REF!</v>
      </c>
      <c r="AX47" s="170" t="e">
        <f t="shared" si="28"/>
        <v>#REF!</v>
      </c>
      <c r="AY47" s="47"/>
      <c r="AZ47" s="47"/>
      <c r="BA47" s="39" t="e">
        <f>BA20</f>
        <v>#REF!</v>
      </c>
      <c r="BB47" s="170" t="e">
        <f t="shared" si="29"/>
        <v>#REF!</v>
      </c>
      <c r="BC47" s="47"/>
      <c r="BD47" s="47"/>
    </row>
    <row r="48" spans="1:56">
      <c r="A48" s="258"/>
      <c r="B48" s="259" t="s">
        <v>826</v>
      </c>
      <c r="C48" s="260" t="s">
        <v>604</v>
      </c>
      <c r="D48" s="62">
        <v>700</v>
      </c>
      <c r="E48" s="260" t="s">
        <v>35</v>
      </c>
      <c r="F48" s="39"/>
      <c r="G48" s="40"/>
      <c r="H48" s="40"/>
      <c r="I48" s="46"/>
      <c r="J48" s="39"/>
      <c r="K48" s="40"/>
      <c r="L48" s="40"/>
      <c r="M48" s="47"/>
      <c r="N48" s="48"/>
      <c r="O48" s="44">
        <v>700</v>
      </c>
      <c r="P48" s="43">
        <f t="shared" si="30"/>
        <v>0</v>
      </c>
      <c r="Q48" s="45"/>
      <c r="R48" s="43"/>
      <c r="S48" s="43"/>
      <c r="T48" s="43"/>
      <c r="U48" s="43"/>
      <c r="V48" s="43"/>
      <c r="W48" s="43"/>
      <c r="X48" s="43"/>
      <c r="Y48" s="43"/>
      <c r="Z48" s="43"/>
      <c r="AA48" s="43"/>
      <c r="AB48" s="43"/>
      <c r="AC48" s="43"/>
      <c r="AD48" s="43"/>
      <c r="AE48" s="43"/>
      <c r="AF48" s="43"/>
      <c r="AG48" s="39" t="e">
        <f>#REF!</f>
        <v>#REF!</v>
      </c>
      <c r="AH48" s="170" t="e">
        <f t="shared" si="25"/>
        <v>#REF!</v>
      </c>
      <c r="AI48" s="47"/>
      <c r="AJ48" s="47"/>
      <c r="AK48" s="39" t="e">
        <f>#REF!</f>
        <v>#REF!</v>
      </c>
      <c r="AL48" s="170" t="e">
        <f t="shared" si="26"/>
        <v>#REF!</v>
      </c>
      <c r="AM48" s="47"/>
      <c r="AN48" s="47"/>
      <c r="AO48" s="39" t="e">
        <f>#REF!</f>
        <v>#REF!</v>
      </c>
      <c r="AP48" s="170" t="e">
        <f t="shared" si="27"/>
        <v>#REF!</v>
      </c>
      <c r="AQ48" s="47"/>
      <c r="AR48" s="47"/>
      <c r="AS48" s="39" t="e">
        <f>#REF!</f>
        <v>#REF!</v>
      </c>
      <c r="AT48" s="170" t="e">
        <f t="shared" si="13"/>
        <v>#REF!</v>
      </c>
      <c r="AU48" s="47"/>
      <c r="AV48" s="47"/>
      <c r="AW48" s="39" t="e">
        <f>#REF!</f>
        <v>#REF!</v>
      </c>
      <c r="AX48" s="170" t="e">
        <f t="shared" si="28"/>
        <v>#REF!</v>
      </c>
      <c r="AY48" s="47"/>
      <c r="AZ48" s="47"/>
      <c r="BA48" s="39" t="e">
        <f>#REF!</f>
        <v>#REF!</v>
      </c>
      <c r="BB48" s="170" t="e">
        <f t="shared" si="29"/>
        <v>#REF!</v>
      </c>
      <c r="BC48" s="47"/>
      <c r="BD48" s="47"/>
    </row>
    <row r="49" spans="1:56">
      <c r="A49" s="258"/>
      <c r="B49" s="259" t="s">
        <v>827</v>
      </c>
      <c r="C49" s="260" t="s">
        <v>604</v>
      </c>
      <c r="D49" s="62">
        <v>600</v>
      </c>
      <c r="E49" s="260" t="s">
        <v>35</v>
      </c>
      <c r="F49" s="39"/>
      <c r="G49" s="40"/>
      <c r="H49" s="40"/>
      <c r="I49" s="46"/>
      <c r="J49" s="39"/>
      <c r="K49" s="40"/>
      <c r="L49" s="40"/>
      <c r="M49" s="47"/>
      <c r="N49" s="48"/>
      <c r="O49" s="44">
        <v>600</v>
      </c>
      <c r="P49" s="43">
        <f t="shared" si="30"/>
        <v>0</v>
      </c>
      <c r="Q49" s="45"/>
      <c r="R49" s="43"/>
      <c r="S49" s="43"/>
      <c r="T49" s="43"/>
      <c r="U49" s="43"/>
      <c r="V49" s="43"/>
      <c r="W49" s="43"/>
      <c r="X49" s="43"/>
      <c r="Y49" s="43"/>
      <c r="Z49" s="43"/>
      <c r="AA49" s="43"/>
      <c r="AB49" s="43"/>
      <c r="AC49" s="43"/>
      <c r="AD49" s="43"/>
      <c r="AE49" s="43"/>
      <c r="AF49" s="43"/>
      <c r="AG49" s="39" t="e">
        <f>#REF!</f>
        <v>#REF!</v>
      </c>
      <c r="AH49" s="170" t="e">
        <f t="shared" si="25"/>
        <v>#REF!</v>
      </c>
      <c r="AI49" s="47"/>
      <c r="AJ49" s="47"/>
      <c r="AK49" s="39" t="e">
        <f>#REF!</f>
        <v>#REF!</v>
      </c>
      <c r="AL49" s="170" t="e">
        <f t="shared" si="26"/>
        <v>#REF!</v>
      </c>
      <c r="AM49" s="47"/>
      <c r="AN49" s="47"/>
      <c r="AO49" s="39" t="e">
        <f>#REF!</f>
        <v>#REF!</v>
      </c>
      <c r="AP49" s="170" t="e">
        <f t="shared" si="27"/>
        <v>#REF!</v>
      </c>
      <c r="AQ49" s="47"/>
      <c r="AR49" s="47"/>
      <c r="AS49" s="39" t="e">
        <f>#REF!</f>
        <v>#REF!</v>
      </c>
      <c r="AT49" s="170" t="e">
        <f t="shared" si="13"/>
        <v>#REF!</v>
      </c>
      <c r="AU49" s="47"/>
      <c r="AV49" s="47"/>
      <c r="AW49" s="39" t="e">
        <f>#REF!</f>
        <v>#REF!</v>
      </c>
      <c r="AX49" s="170" t="e">
        <f t="shared" si="28"/>
        <v>#REF!</v>
      </c>
      <c r="AY49" s="47"/>
      <c r="AZ49" s="47"/>
      <c r="BA49" s="39" t="e">
        <f>#REF!</f>
        <v>#REF!</v>
      </c>
      <c r="BB49" s="170" t="e">
        <f t="shared" si="29"/>
        <v>#REF!</v>
      </c>
      <c r="BC49" s="47"/>
      <c r="BD49" s="47"/>
    </row>
    <row r="50" spans="1:56">
      <c r="A50" s="258"/>
      <c r="B50" s="259" t="s">
        <v>799</v>
      </c>
      <c r="C50" s="260" t="s">
        <v>602</v>
      </c>
      <c r="D50" s="62">
        <v>1000</v>
      </c>
      <c r="E50" s="260" t="s">
        <v>86</v>
      </c>
      <c r="F50" s="39"/>
      <c r="G50" s="40"/>
      <c r="H50" s="40"/>
      <c r="I50" s="46"/>
      <c r="J50" s="39"/>
      <c r="K50" s="40"/>
      <c r="L50" s="40"/>
      <c r="M50" s="47"/>
      <c r="N50" s="43"/>
      <c r="O50" s="44">
        <v>1000</v>
      </c>
      <c r="P50" s="43">
        <f t="shared" si="30"/>
        <v>0</v>
      </c>
      <c r="Q50" s="45"/>
      <c r="R50" s="43"/>
      <c r="S50" s="43"/>
      <c r="T50" s="43"/>
      <c r="U50" s="43"/>
      <c r="V50" s="43"/>
      <c r="W50" s="43"/>
      <c r="X50" s="43"/>
      <c r="Y50" s="43"/>
      <c r="Z50" s="43"/>
      <c r="AA50" s="43"/>
      <c r="AB50" s="43"/>
      <c r="AC50" s="43"/>
      <c r="AD50" s="43"/>
      <c r="AE50" s="43"/>
      <c r="AF50" s="43"/>
      <c r="AG50" s="39" t="e">
        <f>#REF!</f>
        <v>#REF!</v>
      </c>
      <c r="AH50" s="170" t="e">
        <f t="shared" si="25"/>
        <v>#REF!</v>
      </c>
      <c r="AI50" s="47"/>
      <c r="AJ50" s="47"/>
      <c r="AK50" s="39" t="e">
        <f>#REF!+#REF!</f>
        <v>#REF!</v>
      </c>
      <c r="AL50" s="170" t="e">
        <f t="shared" si="26"/>
        <v>#REF!</v>
      </c>
      <c r="AM50" s="47"/>
      <c r="AN50" s="47"/>
      <c r="AO50" s="39" t="e">
        <f>#REF!</f>
        <v>#REF!</v>
      </c>
      <c r="AP50" s="170" t="e">
        <f t="shared" si="27"/>
        <v>#REF!</v>
      </c>
      <c r="AQ50" s="47"/>
      <c r="AR50" s="47"/>
      <c r="AS50" s="39" t="e">
        <f>#REF!+#REF!</f>
        <v>#REF!</v>
      </c>
      <c r="AT50" s="170" t="e">
        <f t="shared" si="13"/>
        <v>#REF!</v>
      </c>
      <c r="AU50" s="47"/>
      <c r="AV50" s="47"/>
      <c r="AW50" s="39" t="e">
        <f>#REF!</f>
        <v>#REF!</v>
      </c>
      <c r="AX50" s="170" t="e">
        <f t="shared" si="28"/>
        <v>#REF!</v>
      </c>
      <c r="AY50" s="47"/>
      <c r="AZ50" s="47"/>
      <c r="BA50" s="39" t="e">
        <f>#REF!+#REF!</f>
        <v>#REF!</v>
      </c>
      <c r="BB50" s="170" t="e">
        <f t="shared" si="29"/>
        <v>#REF!</v>
      </c>
      <c r="BC50" s="47"/>
      <c r="BD50" s="47"/>
    </row>
    <row r="51" spans="1:56">
      <c r="A51" s="258"/>
      <c r="B51" s="259" t="s">
        <v>606</v>
      </c>
      <c r="C51" s="260" t="s">
        <v>604</v>
      </c>
      <c r="D51" s="62">
        <v>600</v>
      </c>
      <c r="E51" s="260" t="s">
        <v>35</v>
      </c>
      <c r="F51" s="39"/>
      <c r="G51" s="40"/>
      <c r="H51" s="40"/>
      <c r="I51" s="46"/>
      <c r="J51" s="39"/>
      <c r="K51" s="40"/>
      <c r="L51" s="40"/>
      <c r="M51" s="47"/>
      <c r="N51" s="48"/>
      <c r="O51" s="44">
        <v>600</v>
      </c>
      <c r="P51" s="43">
        <f t="shared" si="30"/>
        <v>0</v>
      </c>
      <c r="Q51" s="45"/>
      <c r="R51" s="43"/>
      <c r="S51" s="43"/>
      <c r="T51" s="43"/>
      <c r="U51" s="43"/>
      <c r="V51" s="43"/>
      <c r="W51" s="43"/>
      <c r="X51" s="43"/>
      <c r="Y51" s="43"/>
      <c r="Z51" s="43"/>
      <c r="AA51" s="43"/>
      <c r="AB51" s="43"/>
      <c r="AC51" s="43"/>
      <c r="AD51" s="43"/>
      <c r="AE51" s="43"/>
      <c r="AF51" s="43"/>
      <c r="AG51" s="39"/>
      <c r="AH51" s="170">
        <f t="shared" si="25"/>
        <v>0</v>
      </c>
      <c r="AI51" s="47"/>
      <c r="AJ51" s="47"/>
      <c r="AK51" s="39">
        <v>0</v>
      </c>
      <c r="AL51" s="170">
        <f t="shared" si="26"/>
        <v>0</v>
      </c>
      <c r="AM51" s="47"/>
      <c r="AN51" s="47"/>
      <c r="AO51" s="39"/>
      <c r="AP51" s="170">
        <f t="shared" si="27"/>
        <v>0</v>
      </c>
      <c r="AQ51" s="47"/>
      <c r="AR51" s="47"/>
      <c r="AS51" s="39">
        <v>0</v>
      </c>
      <c r="AT51" s="170">
        <f t="shared" si="13"/>
        <v>0</v>
      </c>
      <c r="AU51" s="47"/>
      <c r="AV51" s="47"/>
      <c r="AW51" s="39"/>
      <c r="AX51" s="170">
        <f t="shared" si="28"/>
        <v>0</v>
      </c>
      <c r="AY51" s="47"/>
      <c r="AZ51" s="47"/>
      <c r="BA51" s="39">
        <v>0</v>
      </c>
      <c r="BB51" s="170">
        <f t="shared" si="29"/>
        <v>0</v>
      </c>
      <c r="BC51" s="47"/>
      <c r="BD51" s="47"/>
    </row>
    <row r="52" spans="1:56" ht="15.75" customHeight="1">
      <c r="A52" s="258"/>
      <c r="B52" s="259" t="s">
        <v>615</v>
      </c>
      <c r="C52" s="260" t="s">
        <v>604</v>
      </c>
      <c r="D52" s="62">
        <v>600</v>
      </c>
      <c r="E52" s="260" t="s">
        <v>35</v>
      </c>
      <c r="F52" s="39"/>
      <c r="G52" s="40"/>
      <c r="H52" s="40"/>
      <c r="I52" s="40"/>
      <c r="J52" s="39"/>
      <c r="K52" s="40"/>
      <c r="L52" s="40"/>
      <c r="M52" s="50"/>
      <c r="N52" s="79"/>
      <c r="O52" s="44">
        <v>600</v>
      </c>
      <c r="P52" s="43">
        <f t="shared" si="30"/>
        <v>0</v>
      </c>
      <c r="Q52" s="45"/>
      <c r="R52" s="43"/>
      <c r="S52" s="43"/>
      <c r="T52" s="43"/>
      <c r="U52" s="43"/>
      <c r="V52" s="43"/>
      <c r="W52" s="43"/>
      <c r="X52" s="43"/>
      <c r="Y52" s="43"/>
      <c r="Z52" s="43"/>
      <c r="AA52" s="43"/>
      <c r="AB52" s="43"/>
      <c r="AC52" s="43"/>
      <c r="AD52" s="43"/>
      <c r="AE52" s="43"/>
      <c r="AF52" s="43"/>
      <c r="AG52" s="39" t="e">
        <f>#REF!+#REF!</f>
        <v>#REF!</v>
      </c>
      <c r="AH52" s="170" t="e">
        <f t="shared" si="25"/>
        <v>#REF!</v>
      </c>
      <c r="AI52" s="50"/>
      <c r="AJ52" s="50"/>
      <c r="AK52" s="39" t="e">
        <f>#REF!+#REF!+#REF!</f>
        <v>#REF!</v>
      </c>
      <c r="AL52" s="170" t="e">
        <f t="shared" si="26"/>
        <v>#REF!</v>
      </c>
      <c r="AM52" s="50"/>
      <c r="AN52" s="50"/>
      <c r="AO52" s="39" t="e">
        <f>#REF!+#REF!</f>
        <v>#REF!</v>
      </c>
      <c r="AP52" s="170" t="e">
        <f t="shared" si="27"/>
        <v>#REF!</v>
      </c>
      <c r="AQ52" s="50"/>
      <c r="AR52" s="50"/>
      <c r="AS52" s="39" t="e">
        <f>#REF!+#REF!+#REF!</f>
        <v>#REF!</v>
      </c>
      <c r="AT52" s="170" t="e">
        <f t="shared" si="13"/>
        <v>#REF!</v>
      </c>
      <c r="AU52" s="50"/>
      <c r="AV52" s="50"/>
      <c r="AW52" s="39" t="e">
        <f>#REF!+#REF!</f>
        <v>#REF!</v>
      </c>
      <c r="AX52" s="170" t="e">
        <f t="shared" si="28"/>
        <v>#REF!</v>
      </c>
      <c r="AY52" s="50"/>
      <c r="AZ52" s="50"/>
      <c r="BA52" s="39" t="e">
        <f>#REF!+#REF!+#REF!</f>
        <v>#REF!</v>
      </c>
      <c r="BB52" s="170" t="e">
        <f t="shared" si="29"/>
        <v>#REF!</v>
      </c>
      <c r="BC52" s="50"/>
      <c r="BD52" s="50"/>
    </row>
    <row r="53" spans="1:56">
      <c r="A53" s="258"/>
      <c r="B53" s="259" t="s">
        <v>715</v>
      </c>
      <c r="C53" s="260" t="s">
        <v>604</v>
      </c>
      <c r="D53" s="62">
        <f>300</f>
        <v>300</v>
      </c>
      <c r="E53" s="260" t="s">
        <v>35</v>
      </c>
      <c r="F53" s="39"/>
      <c r="G53" s="40"/>
      <c r="H53" s="40"/>
      <c r="I53" s="40"/>
      <c r="J53" s="39"/>
      <c r="K53" s="40"/>
      <c r="L53" s="40"/>
      <c r="M53" s="50"/>
      <c r="N53" s="43"/>
      <c r="O53" s="44">
        <v>200</v>
      </c>
      <c r="P53" s="43">
        <f t="shared" si="30"/>
        <v>0</v>
      </c>
      <c r="Q53" s="45"/>
      <c r="R53" s="43"/>
      <c r="S53" s="43"/>
      <c r="T53" s="43"/>
      <c r="U53" s="43"/>
      <c r="V53" s="43"/>
      <c r="W53" s="43"/>
      <c r="X53" s="43"/>
      <c r="Y53" s="43"/>
      <c r="Z53" s="43"/>
      <c r="AA53" s="43"/>
      <c r="AB53" s="43"/>
      <c r="AC53" s="43"/>
      <c r="AD53" s="43"/>
      <c r="AE53" s="43"/>
      <c r="AF53" s="43"/>
      <c r="AG53" s="39"/>
      <c r="AH53" s="170">
        <f t="shared" si="25"/>
        <v>0</v>
      </c>
      <c r="AI53" s="50"/>
      <c r="AJ53" s="50"/>
      <c r="AK53" s="39"/>
      <c r="AL53" s="170">
        <f t="shared" si="26"/>
        <v>0</v>
      </c>
      <c r="AM53" s="50"/>
      <c r="AN53" s="50"/>
      <c r="AO53" s="39"/>
      <c r="AP53" s="170">
        <f t="shared" si="27"/>
        <v>0</v>
      </c>
      <c r="AQ53" s="50"/>
      <c r="AR53" s="50"/>
      <c r="AS53" s="39"/>
      <c r="AT53" s="170">
        <f t="shared" si="13"/>
        <v>0</v>
      </c>
      <c r="AU53" s="50"/>
      <c r="AV53" s="50"/>
      <c r="AW53" s="39"/>
      <c r="AX53" s="170">
        <f t="shared" si="28"/>
        <v>0</v>
      </c>
      <c r="AY53" s="50"/>
      <c r="AZ53" s="50"/>
      <c r="BA53" s="39"/>
      <c r="BB53" s="170">
        <f t="shared" si="29"/>
        <v>0</v>
      </c>
      <c r="BC53" s="50"/>
      <c r="BD53" s="50"/>
    </row>
    <row r="54" spans="1:56">
      <c r="A54" s="258"/>
      <c r="B54" s="259" t="s">
        <v>806</v>
      </c>
      <c r="C54" s="260" t="s">
        <v>632</v>
      </c>
      <c r="D54" s="62"/>
      <c r="E54" s="260" t="s">
        <v>632</v>
      </c>
      <c r="F54" s="39"/>
      <c r="G54" s="40"/>
      <c r="H54" s="40"/>
      <c r="I54" s="40"/>
      <c r="J54" s="39"/>
      <c r="K54" s="40"/>
      <c r="L54" s="40"/>
      <c r="M54" s="50"/>
      <c r="N54" s="43"/>
      <c r="O54" s="44"/>
      <c r="P54" s="43">
        <v>0</v>
      </c>
      <c r="Q54" s="45"/>
      <c r="R54" s="43"/>
      <c r="S54" s="43"/>
      <c r="T54" s="43"/>
      <c r="U54" s="43"/>
      <c r="V54" s="43"/>
      <c r="W54" s="43"/>
      <c r="X54" s="43"/>
      <c r="Y54" s="43"/>
      <c r="Z54" s="43"/>
      <c r="AA54" s="43"/>
      <c r="AB54" s="43"/>
      <c r="AC54" s="43"/>
      <c r="AD54" s="43"/>
      <c r="AE54" s="43"/>
      <c r="AF54" s="43"/>
      <c r="AG54" s="39"/>
      <c r="AH54" s="170"/>
      <c r="AI54" s="50"/>
      <c r="AJ54" s="50"/>
      <c r="AK54" s="39"/>
      <c r="AL54" s="170"/>
      <c r="AM54" s="50"/>
      <c r="AN54" s="50"/>
      <c r="AO54" s="39"/>
      <c r="AP54" s="170"/>
      <c r="AQ54" s="50"/>
      <c r="AR54" s="50"/>
      <c r="AS54" s="39"/>
      <c r="AT54" s="170"/>
      <c r="AU54" s="50"/>
      <c r="AV54" s="50"/>
      <c r="AW54" s="39"/>
      <c r="AX54" s="170"/>
      <c r="AY54" s="50"/>
      <c r="AZ54" s="50"/>
      <c r="BA54" s="39"/>
      <c r="BB54" s="170"/>
      <c r="BC54" s="50"/>
      <c r="BD54" s="50"/>
    </row>
    <row r="55" spans="1:56">
      <c r="A55" s="258"/>
      <c r="B55" s="259" t="s">
        <v>816</v>
      </c>
      <c r="C55" s="260" t="s">
        <v>604</v>
      </c>
      <c r="D55" s="62">
        <v>600</v>
      </c>
      <c r="E55" s="260" t="s">
        <v>35</v>
      </c>
      <c r="F55" s="39"/>
      <c r="G55" s="40"/>
      <c r="H55" s="40"/>
      <c r="I55" s="40"/>
      <c r="J55" s="39"/>
      <c r="K55" s="40"/>
      <c r="L55" s="40"/>
      <c r="M55" s="50"/>
      <c r="N55" s="43"/>
      <c r="O55" s="44">
        <v>400</v>
      </c>
      <c r="P55" s="43">
        <f t="shared" si="30"/>
        <v>0</v>
      </c>
      <c r="Q55" s="45"/>
      <c r="R55" s="43"/>
      <c r="S55" s="43"/>
      <c r="T55" s="43"/>
      <c r="U55" s="43"/>
      <c r="V55" s="43"/>
      <c r="W55" s="43"/>
      <c r="X55" s="43"/>
      <c r="Y55" s="43"/>
      <c r="Z55" s="43"/>
      <c r="AA55" s="43"/>
      <c r="AB55" s="43"/>
      <c r="AC55" s="43"/>
      <c r="AD55" s="43"/>
      <c r="AE55" s="43"/>
      <c r="AF55" s="43"/>
      <c r="AG55" s="39" t="e">
        <f>#REF!</f>
        <v>#REF!</v>
      </c>
      <c r="AH55" s="170" t="e">
        <f t="shared" si="25"/>
        <v>#REF!</v>
      </c>
      <c r="AI55" s="50"/>
      <c r="AJ55" s="50"/>
      <c r="AK55" s="39" t="e">
        <f>#REF!</f>
        <v>#REF!</v>
      </c>
      <c r="AL55" s="170" t="e">
        <f t="shared" si="26"/>
        <v>#REF!</v>
      </c>
      <c r="AM55" s="50"/>
      <c r="AN55" s="50"/>
      <c r="AO55" s="39" t="e">
        <f>#REF!</f>
        <v>#REF!</v>
      </c>
      <c r="AP55" s="170" t="e">
        <f t="shared" si="27"/>
        <v>#REF!</v>
      </c>
      <c r="AQ55" s="50"/>
      <c r="AR55" s="50"/>
      <c r="AS55" s="39" t="e">
        <f>#REF!</f>
        <v>#REF!</v>
      </c>
      <c r="AT55" s="170" t="e">
        <f t="shared" si="13"/>
        <v>#REF!</v>
      </c>
      <c r="AU55" s="50"/>
      <c r="AV55" s="50"/>
      <c r="AW55" s="39" t="e">
        <f>#REF!</f>
        <v>#REF!</v>
      </c>
      <c r="AX55" s="170" t="e">
        <f t="shared" si="28"/>
        <v>#REF!</v>
      </c>
      <c r="AY55" s="50"/>
      <c r="AZ55" s="50"/>
      <c r="BA55" s="39" t="e">
        <f>#REF!</f>
        <v>#REF!</v>
      </c>
      <c r="BB55" s="170" t="e">
        <f t="shared" si="29"/>
        <v>#REF!</v>
      </c>
      <c r="BC55" s="50"/>
      <c r="BD55" s="50"/>
    </row>
    <row r="56" spans="1:56" s="198" customFormat="1">
      <c r="A56" s="267"/>
      <c r="B56" s="273" t="s">
        <v>857</v>
      </c>
      <c r="C56" s="269" t="s">
        <v>604</v>
      </c>
      <c r="D56" s="217">
        <v>300</v>
      </c>
      <c r="E56" s="269" t="s">
        <v>35</v>
      </c>
      <c r="F56" s="58"/>
      <c r="G56" s="58"/>
      <c r="H56" s="58"/>
      <c r="I56" s="58"/>
      <c r="J56" s="58"/>
      <c r="K56" s="40"/>
      <c r="L56" s="58"/>
      <c r="M56" s="66"/>
      <c r="N56" s="194"/>
      <c r="O56" s="195"/>
      <c r="P56" s="194"/>
      <c r="Q56" s="196"/>
      <c r="R56" s="194"/>
      <c r="S56" s="194"/>
      <c r="T56" s="194"/>
      <c r="U56" s="194"/>
      <c r="V56" s="194"/>
      <c r="W56" s="194"/>
      <c r="X56" s="194"/>
      <c r="Y56" s="194"/>
      <c r="Z56" s="194"/>
      <c r="AA56" s="194"/>
      <c r="AB56" s="194"/>
      <c r="AC56" s="194"/>
      <c r="AD56" s="194"/>
      <c r="AE56" s="194"/>
      <c r="AF56" s="194"/>
      <c r="AG56" s="205"/>
      <c r="AH56" s="197">
        <f t="shared" si="25"/>
        <v>0</v>
      </c>
      <c r="AI56" s="208"/>
      <c r="AJ56" s="208"/>
      <c r="AK56" s="205"/>
      <c r="AL56" s="197">
        <f t="shared" si="26"/>
        <v>0</v>
      </c>
      <c r="AM56" s="208"/>
      <c r="AN56" s="208"/>
      <c r="AO56" s="205"/>
      <c r="AP56" s="197">
        <f t="shared" si="27"/>
        <v>0</v>
      </c>
      <c r="AQ56" s="208"/>
      <c r="AR56" s="208"/>
      <c r="AS56" s="205"/>
      <c r="AT56" s="197">
        <f t="shared" si="13"/>
        <v>0</v>
      </c>
      <c r="AU56" s="208"/>
      <c r="AV56" s="208"/>
      <c r="AW56" s="205"/>
      <c r="AX56" s="197">
        <f t="shared" si="28"/>
        <v>0</v>
      </c>
      <c r="AY56" s="208"/>
      <c r="AZ56" s="208"/>
      <c r="BA56" s="205"/>
      <c r="BB56" s="197">
        <f t="shared" si="29"/>
        <v>0</v>
      </c>
      <c r="BC56" s="208"/>
      <c r="BD56" s="208"/>
    </row>
    <row r="57" spans="1:56">
      <c r="A57" s="267"/>
      <c r="B57" s="273" t="s">
        <v>824</v>
      </c>
      <c r="C57" s="269" t="s">
        <v>632</v>
      </c>
      <c r="D57" s="217"/>
      <c r="E57" s="269" t="s">
        <v>632</v>
      </c>
      <c r="F57" s="58"/>
      <c r="G57" s="58"/>
      <c r="H57" s="58"/>
      <c r="I57" s="58"/>
      <c r="J57" s="58"/>
      <c r="K57" s="40"/>
      <c r="L57" s="58"/>
      <c r="M57" s="66"/>
      <c r="N57" s="43"/>
      <c r="O57" s="44"/>
      <c r="P57" s="43"/>
      <c r="Q57" s="45"/>
      <c r="R57" s="43"/>
      <c r="S57" s="43"/>
      <c r="T57" s="43"/>
      <c r="U57" s="43"/>
      <c r="V57" s="43"/>
      <c r="W57" s="43"/>
      <c r="X57" s="43"/>
      <c r="Y57" s="43"/>
      <c r="Z57" s="43"/>
      <c r="AA57" s="43"/>
      <c r="AB57" s="43"/>
      <c r="AC57" s="43"/>
      <c r="AD57" s="43"/>
      <c r="AE57" s="43"/>
      <c r="AF57" s="43"/>
      <c r="AG57" s="58"/>
      <c r="AH57" s="170"/>
      <c r="AI57" s="66"/>
      <c r="AJ57" s="66"/>
      <c r="AK57" s="58"/>
      <c r="AL57" s="170"/>
      <c r="AM57" s="66"/>
      <c r="AN57" s="66"/>
      <c r="AO57" s="58"/>
      <c r="AP57" s="170"/>
      <c r="AQ57" s="66"/>
      <c r="AR57" s="66"/>
      <c r="AS57" s="58"/>
      <c r="AT57" s="170"/>
      <c r="AU57" s="66"/>
      <c r="AV57" s="66"/>
      <c r="AW57" s="58"/>
      <c r="AX57" s="170"/>
      <c r="AY57" s="66"/>
      <c r="AZ57" s="66"/>
      <c r="BA57" s="58"/>
      <c r="BB57" s="170"/>
      <c r="BC57" s="66"/>
      <c r="BD57" s="66"/>
    </row>
    <row r="58" spans="1:56">
      <c r="A58" s="267"/>
      <c r="B58" s="273" t="s">
        <v>719</v>
      </c>
      <c r="C58" s="269" t="s">
        <v>632</v>
      </c>
      <c r="D58" s="217"/>
      <c r="E58" s="269" t="s">
        <v>632</v>
      </c>
      <c r="F58" s="58"/>
      <c r="G58" s="58"/>
      <c r="H58" s="58"/>
      <c r="I58" s="58"/>
      <c r="J58" s="58"/>
      <c r="K58" s="40"/>
      <c r="L58" s="58"/>
      <c r="M58" s="66"/>
      <c r="N58" s="43"/>
      <c r="O58" s="44"/>
      <c r="P58" s="43">
        <f>K58</f>
        <v>0</v>
      </c>
      <c r="Q58" s="45"/>
      <c r="R58" s="43"/>
      <c r="S58" s="43"/>
      <c r="T58" s="43"/>
      <c r="U58" s="43"/>
      <c r="V58" s="43"/>
      <c r="W58" s="43"/>
      <c r="X58" s="43"/>
      <c r="Y58" s="43"/>
      <c r="Z58" s="43"/>
      <c r="AA58" s="43"/>
      <c r="AB58" s="43"/>
      <c r="AC58" s="43"/>
      <c r="AD58" s="43"/>
      <c r="AE58" s="43"/>
      <c r="AF58" s="43"/>
      <c r="AG58" s="58"/>
      <c r="AH58" s="170"/>
      <c r="AI58" s="66"/>
      <c r="AJ58" s="66"/>
      <c r="AK58" s="58"/>
      <c r="AL58" s="170"/>
      <c r="AM58" s="66"/>
      <c r="AN58" s="66"/>
      <c r="AO58" s="58"/>
      <c r="AP58" s="170"/>
      <c r="AQ58" s="66"/>
      <c r="AR58" s="66"/>
      <c r="AS58" s="58"/>
      <c r="AT58" s="170"/>
      <c r="AU58" s="66"/>
      <c r="AV58" s="66"/>
      <c r="AW58" s="58"/>
      <c r="AX58" s="170"/>
      <c r="AY58" s="66"/>
      <c r="AZ58" s="66"/>
      <c r="BA58" s="58"/>
      <c r="BB58" s="170"/>
      <c r="BC58" s="66"/>
      <c r="BD58" s="66"/>
    </row>
    <row r="59" spans="1:56">
      <c r="A59" s="251">
        <v>4</v>
      </c>
      <c r="B59" s="252" t="s">
        <v>616</v>
      </c>
      <c r="C59" s="253"/>
      <c r="D59" s="283"/>
      <c r="E59" s="253"/>
      <c r="F59" s="53"/>
      <c r="G59" s="35">
        <f>SUM(G60:G72)</f>
        <v>0</v>
      </c>
      <c r="H59" s="35"/>
      <c r="I59" s="36">
        <f>IFERROR(G59/H59,0)</f>
        <v>0</v>
      </c>
      <c r="J59" s="53"/>
      <c r="K59" s="35">
        <f>SUM(K60:K72)</f>
        <v>0</v>
      </c>
      <c r="L59" s="35"/>
      <c r="M59" s="36">
        <f>IFERROR(K59/L59,0)</f>
        <v>0</v>
      </c>
      <c r="N59" s="43"/>
      <c r="O59" s="44"/>
      <c r="P59" s="35">
        <f>SUM(P60:P72)</f>
        <v>10</v>
      </c>
      <c r="Q59" s="38" t="e">
        <f>P59/L59</f>
        <v>#DIV/0!</v>
      </c>
      <c r="R59" s="43"/>
      <c r="S59" s="43"/>
      <c r="T59" s="78">
        <f>K59-L59</f>
        <v>0</v>
      </c>
      <c r="U59" s="25">
        <v>35.36</v>
      </c>
      <c r="V59" s="74">
        <f>T59*U59</f>
        <v>0</v>
      </c>
      <c r="W59" s="43"/>
      <c r="X59" s="43"/>
      <c r="Y59" s="74">
        <f>1676.25</f>
        <v>1676.25</v>
      </c>
      <c r="Z59" s="43">
        <f>2*24*10</f>
        <v>480</v>
      </c>
      <c r="AA59" s="43">
        <f>3*12*10</f>
        <v>360</v>
      </c>
      <c r="AB59" s="43"/>
      <c r="AC59" s="43"/>
      <c r="AD59" s="43"/>
      <c r="AE59" s="43"/>
      <c r="AF59" s="43"/>
      <c r="AG59" s="37"/>
      <c r="AH59" s="35" t="e">
        <f>SUM(AH60:AH72)</f>
        <v>#REF!</v>
      </c>
      <c r="AI59" s="209">
        <f>VLOOKUP($B59,'[5]Eqpmnt &amp; MP Days'!$B$4:$H$11,2,0)</f>
        <v>2.75</v>
      </c>
      <c r="AJ59" s="37" t="str">
        <f>IFERROR(AH59/AI59,"")</f>
        <v/>
      </c>
      <c r="AK59" s="37"/>
      <c r="AL59" s="35" t="e">
        <f>SUM(AL60:AL72)</f>
        <v>#REF!</v>
      </c>
      <c r="AM59" s="209">
        <f>VLOOKUP($B59,'[5]Eqpmnt &amp; MP Days'!$B$4:$H$11,3,0)</f>
        <v>66</v>
      </c>
      <c r="AN59" s="37" t="str">
        <f>IFERROR(AL59/AM59,"")</f>
        <v/>
      </c>
      <c r="AO59" s="37"/>
      <c r="AP59" s="35" t="e">
        <f>SUM(AP60:AP72)</f>
        <v>#REF!</v>
      </c>
      <c r="AQ59" s="209">
        <f>VLOOKUP($B59,'[5]Eqpmnt &amp; MP Days'!$B$4:$H$11,4,0)</f>
        <v>0</v>
      </c>
      <c r="AR59" s="37" t="str">
        <f>IFERROR(AP59/AQ59,"")</f>
        <v/>
      </c>
      <c r="AS59" s="53"/>
      <c r="AT59" s="35" t="e">
        <f>SUM(AT60:AT72)</f>
        <v>#REF!</v>
      </c>
      <c r="AU59" s="209">
        <f>VLOOKUP($B59,'[5]Eqpmnt &amp; MP Days'!$B$4:$H$11,5,0)</f>
        <v>0</v>
      </c>
      <c r="AV59" s="37" t="str">
        <f>IFERROR(AT59/AU59,"")</f>
        <v/>
      </c>
      <c r="AW59" s="53"/>
      <c r="AX59" s="35" t="e">
        <f>SUM(AX60:AX72)</f>
        <v>#REF!</v>
      </c>
      <c r="AY59" s="209">
        <f>VLOOKUP($B59,'[5]Eqpmnt &amp; MP Days'!$B$4:$H$11,6,0)</f>
        <v>2</v>
      </c>
      <c r="AZ59" s="37" t="str">
        <f>IFERROR(AX59/AY59,"")</f>
        <v/>
      </c>
      <c r="BA59" s="53"/>
      <c r="BB59" s="35" t="e">
        <f>SUM(BB60:BB72)</f>
        <v>#REF!</v>
      </c>
      <c r="BC59" s="209">
        <f>VLOOKUP($B59,'[5]Eqpmnt &amp; MP Days'!$B$4:$H$11,7,0)</f>
        <v>48</v>
      </c>
      <c r="BD59" s="37" t="str">
        <f>IFERROR(BB59/BC59,"")</f>
        <v/>
      </c>
    </row>
    <row r="60" spans="1:56">
      <c r="A60" s="254"/>
      <c r="B60" s="257" t="s">
        <v>78</v>
      </c>
      <c r="C60" s="256" t="s">
        <v>604</v>
      </c>
      <c r="D60" s="218">
        <v>300</v>
      </c>
      <c r="E60" s="256" t="s">
        <v>35</v>
      </c>
      <c r="F60" s="39"/>
      <c r="G60" s="39"/>
      <c r="H60" s="39"/>
      <c r="I60" s="41"/>
      <c r="J60" s="39"/>
      <c r="K60" s="39"/>
      <c r="L60" s="39"/>
      <c r="M60" s="42"/>
      <c r="N60" s="43"/>
      <c r="O60" s="44">
        <v>300</v>
      </c>
      <c r="P60" s="43">
        <f>J60/O60</f>
        <v>0</v>
      </c>
      <c r="Q60" s="45"/>
      <c r="R60" s="43"/>
      <c r="S60" s="43"/>
      <c r="T60" s="43"/>
      <c r="U60" s="43"/>
      <c r="V60" s="43"/>
      <c r="W60" s="43"/>
      <c r="X60" s="43"/>
      <c r="Y60" s="43"/>
      <c r="Z60" s="43"/>
      <c r="AA60" s="43"/>
      <c r="AB60" s="43"/>
      <c r="AC60" s="43"/>
      <c r="AD60" s="43"/>
      <c r="AE60" s="43"/>
      <c r="AF60" s="43"/>
      <c r="AG60" s="39" t="e">
        <f>AG20</f>
        <v>#REF!</v>
      </c>
      <c r="AH60" s="170" t="e">
        <f t="shared" ref="AH60:AH72" si="31">AG60/$D60</f>
        <v>#REF!</v>
      </c>
      <c r="AI60" s="42"/>
      <c r="AJ60" s="42"/>
      <c r="AK60" s="39" t="e">
        <f>AK20</f>
        <v>#REF!</v>
      </c>
      <c r="AL60" s="170" t="e">
        <f t="shared" ref="AL60:AL72" si="32">AK60/$D60</f>
        <v>#REF!</v>
      </c>
      <c r="AM60" s="42"/>
      <c r="AN60" s="42"/>
      <c r="AO60" s="39" t="e">
        <f>AO20</f>
        <v>#REF!</v>
      </c>
      <c r="AP60" s="170" t="e">
        <f t="shared" ref="AP60:AP72" si="33">AO60/$D60</f>
        <v>#REF!</v>
      </c>
      <c r="AQ60" s="42"/>
      <c r="AR60" s="42"/>
      <c r="AS60" s="39" t="e">
        <f>AS20</f>
        <v>#REF!</v>
      </c>
      <c r="AT60" s="170" t="e">
        <f t="shared" si="13"/>
        <v>#REF!</v>
      </c>
      <c r="AU60" s="42"/>
      <c r="AV60" s="42"/>
      <c r="AW60" s="39" t="e">
        <f>AW20</f>
        <v>#REF!</v>
      </c>
      <c r="AX60" s="170" t="e">
        <f t="shared" ref="AX60:AX72" si="34">AW60/$D60</f>
        <v>#REF!</v>
      </c>
      <c r="AY60" s="42"/>
      <c r="AZ60" s="42"/>
      <c r="BA60" s="39" t="e">
        <f>BA20</f>
        <v>#REF!</v>
      </c>
      <c r="BB60" s="170" t="e">
        <f t="shared" ref="BB60:BB72" si="35">BA60/$D60</f>
        <v>#REF!</v>
      </c>
      <c r="BC60" s="42"/>
      <c r="BD60" s="42"/>
    </row>
    <row r="61" spans="1:56">
      <c r="A61" s="258"/>
      <c r="B61" s="259" t="s">
        <v>777</v>
      </c>
      <c r="C61" s="260" t="s">
        <v>604</v>
      </c>
      <c r="D61" s="62">
        <v>636</v>
      </c>
      <c r="E61" s="260" t="s">
        <v>35</v>
      </c>
      <c r="F61" s="39"/>
      <c r="G61" s="40"/>
      <c r="H61" s="40"/>
      <c r="I61" s="46"/>
      <c r="J61" s="39"/>
      <c r="K61" s="40"/>
      <c r="L61" s="40"/>
      <c r="M61" s="47"/>
      <c r="N61" s="43"/>
      <c r="O61" s="44">
        <v>1154</v>
      </c>
      <c r="P61" s="43">
        <f t="shared" ref="P61:P69" si="36">J61/O61</f>
        <v>0</v>
      </c>
      <c r="Q61" s="45"/>
      <c r="R61" s="43"/>
      <c r="S61" s="43"/>
      <c r="T61" s="43"/>
      <c r="U61" s="43"/>
      <c r="V61" s="43"/>
      <c r="W61" s="43"/>
      <c r="X61" s="43"/>
      <c r="Y61" s="43"/>
      <c r="Z61" s="43"/>
      <c r="AA61" s="43"/>
      <c r="AB61" s="43"/>
      <c r="AC61" s="43"/>
      <c r="AD61" s="43"/>
      <c r="AE61" s="43"/>
      <c r="AF61" s="43"/>
      <c r="AG61" s="39" t="e">
        <f>AG10*0.6</f>
        <v>#REF!</v>
      </c>
      <c r="AH61" s="170" t="e">
        <f t="shared" si="31"/>
        <v>#REF!</v>
      </c>
      <c r="AI61" s="47"/>
      <c r="AJ61" s="47"/>
      <c r="AK61" s="39" t="e">
        <f>AK10</f>
        <v>#REF!</v>
      </c>
      <c r="AL61" s="170" t="e">
        <f t="shared" si="32"/>
        <v>#REF!</v>
      </c>
      <c r="AM61" s="47"/>
      <c r="AN61" s="47"/>
      <c r="AO61" s="39" t="e">
        <f>AO10*0.6</f>
        <v>#REF!</v>
      </c>
      <c r="AP61" s="170" t="e">
        <f t="shared" si="33"/>
        <v>#REF!</v>
      </c>
      <c r="AQ61" s="47"/>
      <c r="AR61" s="47"/>
      <c r="AS61" s="39" t="e">
        <f>AS10</f>
        <v>#REF!</v>
      </c>
      <c r="AT61" s="170" t="e">
        <f t="shared" si="13"/>
        <v>#REF!</v>
      </c>
      <c r="AU61" s="47"/>
      <c r="AV61" s="47"/>
      <c r="AW61" s="39" t="e">
        <f>AW10*0.6</f>
        <v>#REF!</v>
      </c>
      <c r="AX61" s="170" t="e">
        <f t="shared" si="34"/>
        <v>#REF!</v>
      </c>
      <c r="AY61" s="47"/>
      <c r="AZ61" s="47"/>
      <c r="BA61" s="39" t="e">
        <f>BA10</f>
        <v>#REF!</v>
      </c>
      <c r="BB61" s="170" t="e">
        <f t="shared" si="35"/>
        <v>#REF!</v>
      </c>
      <c r="BC61" s="47"/>
      <c r="BD61" s="47"/>
    </row>
    <row r="62" spans="1:56">
      <c r="A62" s="258"/>
      <c r="B62" s="259" t="s">
        <v>720</v>
      </c>
      <c r="C62" s="260" t="s">
        <v>604</v>
      </c>
      <c r="D62" s="62">
        <v>300</v>
      </c>
      <c r="E62" s="260" t="s">
        <v>35</v>
      </c>
      <c r="F62" s="39"/>
      <c r="G62" s="40"/>
      <c r="H62" s="40"/>
      <c r="I62" s="46"/>
      <c r="J62" s="39"/>
      <c r="K62" s="40"/>
      <c r="L62" s="40"/>
      <c r="M62" s="47"/>
      <c r="N62" s="43"/>
      <c r="O62" s="44">
        <v>200</v>
      </c>
      <c r="P62" s="43">
        <f t="shared" si="36"/>
        <v>0</v>
      </c>
      <c r="Q62" s="45"/>
      <c r="R62" s="43"/>
      <c r="S62" s="43"/>
      <c r="T62" s="43"/>
      <c r="U62" s="43"/>
      <c r="V62" s="43"/>
      <c r="W62" s="43"/>
      <c r="X62" s="43"/>
      <c r="Y62" s="43"/>
      <c r="Z62" s="43"/>
      <c r="AA62" s="43"/>
      <c r="AB62" s="43"/>
      <c r="AC62" s="43"/>
      <c r="AD62" s="43"/>
      <c r="AE62" s="43"/>
      <c r="AF62" s="43"/>
      <c r="AG62" s="39" t="e">
        <f>AG10*0.06*0</f>
        <v>#REF!</v>
      </c>
      <c r="AH62" s="170" t="e">
        <f t="shared" si="31"/>
        <v>#REF!</v>
      </c>
      <c r="AI62" s="47"/>
      <c r="AJ62" s="47"/>
      <c r="AK62" s="39" t="e">
        <f>AK10*0.06*0</f>
        <v>#REF!</v>
      </c>
      <c r="AL62" s="170" t="e">
        <f t="shared" si="32"/>
        <v>#REF!</v>
      </c>
      <c r="AM62" s="47"/>
      <c r="AN62" s="47"/>
      <c r="AO62" s="39" t="e">
        <f>AO10*0.06*0</f>
        <v>#REF!</v>
      </c>
      <c r="AP62" s="170" t="e">
        <f t="shared" si="33"/>
        <v>#REF!</v>
      </c>
      <c r="AQ62" s="47"/>
      <c r="AR62" s="47"/>
      <c r="AS62" s="39" t="e">
        <f>AS10*0.06*0</f>
        <v>#REF!</v>
      </c>
      <c r="AT62" s="170" t="e">
        <f t="shared" si="13"/>
        <v>#REF!</v>
      </c>
      <c r="AU62" s="47"/>
      <c r="AV62" s="47"/>
      <c r="AW62" s="39" t="e">
        <f>AW10*0.06*0</f>
        <v>#REF!</v>
      </c>
      <c r="AX62" s="170" t="e">
        <f t="shared" si="34"/>
        <v>#REF!</v>
      </c>
      <c r="AY62" s="47"/>
      <c r="AZ62" s="47"/>
      <c r="BA62" s="39" t="e">
        <f>BA10*0.06*0</f>
        <v>#REF!</v>
      </c>
      <c r="BB62" s="170" t="e">
        <f t="shared" si="35"/>
        <v>#REF!</v>
      </c>
      <c r="BC62" s="47"/>
      <c r="BD62" s="47"/>
    </row>
    <row r="63" spans="1:56">
      <c r="A63" s="258"/>
      <c r="B63" s="274" t="s">
        <v>721</v>
      </c>
      <c r="C63" s="260" t="s">
        <v>604</v>
      </c>
      <c r="D63" s="62">
        <f>700/1.1</f>
        <v>636.36363636363626</v>
      </c>
      <c r="E63" s="260" t="s">
        <v>35</v>
      </c>
      <c r="F63" s="39"/>
      <c r="G63" s="40"/>
      <c r="H63" s="40"/>
      <c r="I63" s="46"/>
      <c r="J63" s="39"/>
      <c r="K63" s="40"/>
      <c r="L63" s="40"/>
      <c r="M63" s="47"/>
      <c r="N63" s="43"/>
      <c r="O63" s="44">
        <v>1154</v>
      </c>
      <c r="P63" s="43">
        <f t="shared" si="36"/>
        <v>0</v>
      </c>
      <c r="Q63" s="45"/>
      <c r="R63" s="43"/>
      <c r="S63" s="43"/>
      <c r="T63" s="43"/>
      <c r="U63" s="43"/>
      <c r="V63" s="43"/>
      <c r="W63" s="43"/>
      <c r="X63" s="43"/>
      <c r="Y63" s="43"/>
      <c r="Z63" s="43"/>
      <c r="AA63" s="43"/>
      <c r="AB63" s="43"/>
      <c r="AC63" s="43"/>
      <c r="AD63" s="43"/>
      <c r="AE63" s="43"/>
      <c r="AF63" s="43"/>
      <c r="AG63" s="39" t="e">
        <f>AG12</f>
        <v>#REF!</v>
      </c>
      <c r="AH63" s="170" t="e">
        <f t="shared" si="31"/>
        <v>#REF!</v>
      </c>
      <c r="AI63" s="47"/>
      <c r="AJ63" s="47"/>
      <c r="AK63" s="39" t="e">
        <f>AK12</f>
        <v>#REF!</v>
      </c>
      <c r="AL63" s="170" t="e">
        <f t="shared" si="32"/>
        <v>#REF!</v>
      </c>
      <c r="AM63" s="47"/>
      <c r="AN63" s="47"/>
      <c r="AO63" s="39" t="e">
        <f>AO12</f>
        <v>#REF!</v>
      </c>
      <c r="AP63" s="170" t="e">
        <f t="shared" si="33"/>
        <v>#REF!</v>
      </c>
      <c r="AQ63" s="47"/>
      <c r="AR63" s="47"/>
      <c r="AS63" s="39" t="e">
        <f>AS12</f>
        <v>#REF!</v>
      </c>
      <c r="AT63" s="170" t="e">
        <f t="shared" si="13"/>
        <v>#REF!</v>
      </c>
      <c r="AU63" s="47"/>
      <c r="AV63" s="47"/>
      <c r="AW63" s="39" t="e">
        <f>AW12</f>
        <v>#REF!</v>
      </c>
      <c r="AX63" s="170" t="e">
        <f t="shared" si="34"/>
        <v>#REF!</v>
      </c>
      <c r="AY63" s="47"/>
      <c r="AZ63" s="47"/>
      <c r="BA63" s="39" t="e">
        <f>BA12</f>
        <v>#REF!</v>
      </c>
      <c r="BB63" s="170" t="e">
        <f t="shared" si="35"/>
        <v>#REF!</v>
      </c>
      <c r="BC63" s="47"/>
      <c r="BD63" s="47"/>
    </row>
    <row r="64" spans="1:56">
      <c r="A64" s="258"/>
      <c r="B64" s="259" t="s">
        <v>617</v>
      </c>
      <c r="C64" s="260" t="s">
        <v>604</v>
      </c>
      <c r="D64" s="62">
        <v>700</v>
      </c>
      <c r="E64" s="260" t="s">
        <v>35</v>
      </c>
      <c r="F64" s="39"/>
      <c r="G64" s="40"/>
      <c r="H64" s="40"/>
      <c r="I64" s="46"/>
      <c r="J64" s="39"/>
      <c r="K64" s="40"/>
      <c r="L64" s="40"/>
      <c r="M64" s="47"/>
      <c r="N64" s="43"/>
      <c r="O64" s="44">
        <v>1429</v>
      </c>
      <c r="P64" s="43">
        <f t="shared" si="36"/>
        <v>0</v>
      </c>
      <c r="Q64" s="45"/>
      <c r="R64" s="43"/>
      <c r="S64" s="43"/>
      <c r="T64" s="43"/>
      <c r="U64" s="43"/>
      <c r="V64" s="43"/>
      <c r="W64" s="43"/>
      <c r="X64" s="43"/>
      <c r="Y64" s="43"/>
      <c r="Z64" s="43"/>
      <c r="AA64" s="43"/>
      <c r="AB64" s="43"/>
      <c r="AC64" s="43"/>
      <c r="AD64" s="43"/>
      <c r="AE64" s="43"/>
      <c r="AF64" s="43"/>
      <c r="AG64" s="39" t="e">
        <f>AG13</f>
        <v>#REF!</v>
      </c>
      <c r="AH64" s="170" t="e">
        <f t="shared" si="31"/>
        <v>#REF!</v>
      </c>
      <c r="AI64" s="47"/>
      <c r="AJ64" s="47"/>
      <c r="AK64" s="39" t="e">
        <f>AK13</f>
        <v>#REF!</v>
      </c>
      <c r="AL64" s="170" t="e">
        <f t="shared" si="32"/>
        <v>#REF!</v>
      </c>
      <c r="AM64" s="47"/>
      <c r="AN64" s="47"/>
      <c r="AO64" s="39" t="e">
        <f>AO13</f>
        <v>#REF!</v>
      </c>
      <c r="AP64" s="170" t="e">
        <f t="shared" si="33"/>
        <v>#REF!</v>
      </c>
      <c r="AQ64" s="47"/>
      <c r="AR64" s="47"/>
      <c r="AS64" s="39" t="e">
        <f>AS13</f>
        <v>#REF!</v>
      </c>
      <c r="AT64" s="170" t="e">
        <f t="shared" si="13"/>
        <v>#REF!</v>
      </c>
      <c r="AU64" s="47"/>
      <c r="AV64" s="47"/>
      <c r="AW64" s="39" t="e">
        <f>AW13</f>
        <v>#REF!</v>
      </c>
      <c r="AX64" s="170" t="e">
        <f t="shared" si="34"/>
        <v>#REF!</v>
      </c>
      <c r="AY64" s="47"/>
      <c r="AZ64" s="47"/>
      <c r="BA64" s="39" t="e">
        <f>BA13</f>
        <v>#REF!</v>
      </c>
      <c r="BB64" s="170" t="e">
        <f t="shared" si="35"/>
        <v>#REF!</v>
      </c>
      <c r="BC64" s="47"/>
      <c r="BD64" s="47"/>
    </row>
    <row r="65" spans="1:56">
      <c r="A65" s="258"/>
      <c r="B65" s="259" t="s">
        <v>612</v>
      </c>
      <c r="C65" s="260" t="s">
        <v>604</v>
      </c>
      <c r="D65" s="62">
        <v>100</v>
      </c>
      <c r="E65" s="260" t="s">
        <v>35</v>
      </c>
      <c r="F65" s="39"/>
      <c r="G65" s="40"/>
      <c r="H65" s="40"/>
      <c r="I65" s="46"/>
      <c r="J65" s="39"/>
      <c r="K65" s="40"/>
      <c r="L65" s="40"/>
      <c r="M65" s="47"/>
      <c r="N65" s="43"/>
      <c r="O65" s="44">
        <v>67</v>
      </c>
      <c r="P65" s="43">
        <f t="shared" si="36"/>
        <v>0</v>
      </c>
      <c r="Q65" s="45"/>
      <c r="R65" s="43"/>
      <c r="S65" s="43"/>
      <c r="T65" s="43"/>
      <c r="U65" s="43"/>
      <c r="V65" s="43"/>
      <c r="W65" s="43"/>
      <c r="X65" s="43"/>
      <c r="Y65" s="43"/>
      <c r="Z65" s="43"/>
      <c r="AA65" s="43"/>
      <c r="AB65" s="43"/>
      <c r="AC65" s="43"/>
      <c r="AD65" s="43"/>
      <c r="AE65" s="43"/>
      <c r="AF65" s="43"/>
      <c r="AG65" s="39" t="e">
        <f>AG36</f>
        <v>#REF!</v>
      </c>
      <c r="AH65" s="170" t="e">
        <f t="shared" si="31"/>
        <v>#REF!</v>
      </c>
      <c r="AI65" s="47"/>
      <c r="AJ65" s="47"/>
      <c r="AK65" s="39" t="e">
        <f>AK36</f>
        <v>#REF!</v>
      </c>
      <c r="AL65" s="170" t="e">
        <f t="shared" si="32"/>
        <v>#REF!</v>
      </c>
      <c r="AM65" s="47"/>
      <c r="AN65" s="47"/>
      <c r="AO65" s="39" t="e">
        <f>AO36</f>
        <v>#REF!</v>
      </c>
      <c r="AP65" s="170" t="e">
        <f t="shared" si="33"/>
        <v>#REF!</v>
      </c>
      <c r="AQ65" s="47"/>
      <c r="AR65" s="47"/>
      <c r="AS65" s="39" t="e">
        <f>AS36</f>
        <v>#REF!</v>
      </c>
      <c r="AT65" s="170" t="e">
        <f t="shared" si="13"/>
        <v>#REF!</v>
      </c>
      <c r="AU65" s="47"/>
      <c r="AV65" s="47"/>
      <c r="AW65" s="39" t="e">
        <f>AW36</f>
        <v>#REF!</v>
      </c>
      <c r="AX65" s="170" t="e">
        <f t="shared" si="34"/>
        <v>#REF!</v>
      </c>
      <c r="AY65" s="47"/>
      <c r="AZ65" s="47"/>
      <c r="BA65" s="39" t="e">
        <f>BA36</f>
        <v>#REF!</v>
      </c>
      <c r="BB65" s="170" t="e">
        <f t="shared" si="35"/>
        <v>#REF!</v>
      </c>
      <c r="BC65" s="47"/>
      <c r="BD65" s="47"/>
    </row>
    <row r="66" spans="1:56">
      <c r="A66" s="258"/>
      <c r="B66" s="259" t="s">
        <v>618</v>
      </c>
      <c r="C66" s="260" t="s">
        <v>604</v>
      </c>
      <c r="D66" s="62">
        <v>700</v>
      </c>
      <c r="E66" s="260" t="s">
        <v>35</v>
      </c>
      <c r="F66" s="39"/>
      <c r="G66" s="40"/>
      <c r="H66" s="40"/>
      <c r="I66" s="46"/>
      <c r="J66" s="39"/>
      <c r="K66" s="40"/>
      <c r="L66" s="40"/>
      <c r="M66" s="47"/>
      <c r="N66" s="43"/>
      <c r="O66" s="44">
        <v>700</v>
      </c>
      <c r="P66" s="43">
        <f t="shared" si="36"/>
        <v>0</v>
      </c>
      <c r="Q66" s="45"/>
      <c r="R66" s="43"/>
      <c r="S66" s="43"/>
      <c r="T66" s="43"/>
      <c r="U66" s="43"/>
      <c r="V66" s="43"/>
      <c r="W66" s="43"/>
      <c r="X66" s="43"/>
      <c r="Y66" s="43"/>
      <c r="Z66" s="43"/>
      <c r="AA66" s="43"/>
      <c r="AB66" s="43"/>
      <c r="AC66" s="43"/>
      <c r="AD66" s="43"/>
      <c r="AE66" s="43"/>
      <c r="AF66" s="43"/>
      <c r="AG66" s="39" t="e">
        <f>#REF!*0</f>
        <v>#REF!</v>
      </c>
      <c r="AH66" s="170" t="e">
        <f t="shared" si="31"/>
        <v>#REF!</v>
      </c>
      <c r="AI66" s="47"/>
      <c r="AJ66" s="47"/>
      <c r="AK66" s="39" t="e">
        <f>#REF!*0</f>
        <v>#REF!</v>
      </c>
      <c r="AL66" s="170" t="e">
        <f t="shared" si="32"/>
        <v>#REF!</v>
      </c>
      <c r="AM66" s="47"/>
      <c r="AN66" s="47"/>
      <c r="AO66" s="39" t="e">
        <f>#REF!*0</f>
        <v>#REF!</v>
      </c>
      <c r="AP66" s="170" t="e">
        <f t="shared" si="33"/>
        <v>#REF!</v>
      </c>
      <c r="AQ66" s="47"/>
      <c r="AR66" s="47"/>
      <c r="AS66" s="39" t="e">
        <f>#REF!*0</f>
        <v>#REF!</v>
      </c>
      <c r="AT66" s="170" t="e">
        <f t="shared" si="13"/>
        <v>#REF!</v>
      </c>
      <c r="AU66" s="47"/>
      <c r="AV66" s="47"/>
      <c r="AW66" s="39" t="e">
        <f>#REF!*0</f>
        <v>#REF!</v>
      </c>
      <c r="AX66" s="170" t="e">
        <f t="shared" si="34"/>
        <v>#REF!</v>
      </c>
      <c r="AY66" s="47"/>
      <c r="AZ66" s="47"/>
      <c r="BA66" s="39" t="e">
        <f>#REF!*0</f>
        <v>#REF!</v>
      </c>
      <c r="BB66" s="170" t="e">
        <f t="shared" si="35"/>
        <v>#REF!</v>
      </c>
      <c r="BC66" s="47"/>
      <c r="BD66" s="47"/>
    </row>
    <row r="67" spans="1:56">
      <c r="A67" s="261"/>
      <c r="B67" s="262" t="s">
        <v>707</v>
      </c>
      <c r="C67" s="263" t="s">
        <v>604</v>
      </c>
      <c r="D67" s="216">
        <v>385</v>
      </c>
      <c r="E67" s="263" t="s">
        <v>35</v>
      </c>
      <c r="F67" s="39"/>
      <c r="G67" s="51"/>
      <c r="H67" s="51"/>
      <c r="I67" s="67"/>
      <c r="J67" s="39"/>
      <c r="K67" s="51"/>
      <c r="L67" s="51"/>
      <c r="M67" s="68"/>
      <c r="N67" s="43"/>
      <c r="O67" s="44">
        <v>192</v>
      </c>
      <c r="P67" s="43">
        <f t="shared" si="36"/>
        <v>0</v>
      </c>
      <c r="Q67" s="45"/>
      <c r="R67" s="43"/>
      <c r="S67" s="43"/>
      <c r="T67" s="43"/>
      <c r="U67" s="43"/>
      <c r="V67" s="43"/>
      <c r="W67" s="43"/>
      <c r="X67" s="43"/>
      <c r="Y67" s="43"/>
      <c r="Z67" s="43"/>
      <c r="AA67" s="43"/>
      <c r="AB67" s="43"/>
      <c r="AC67" s="43"/>
      <c r="AD67" s="43"/>
      <c r="AE67" s="43"/>
      <c r="AF67" s="43"/>
      <c r="AG67" s="39" t="e">
        <f>AG32</f>
        <v>#REF!</v>
      </c>
      <c r="AH67" s="170" t="e">
        <f t="shared" si="31"/>
        <v>#REF!</v>
      </c>
      <c r="AI67" s="68"/>
      <c r="AJ67" s="68"/>
      <c r="AK67" s="39" t="e">
        <f>AK32</f>
        <v>#REF!</v>
      </c>
      <c r="AL67" s="170" t="e">
        <f t="shared" si="32"/>
        <v>#REF!</v>
      </c>
      <c r="AM67" s="68"/>
      <c r="AN67" s="68"/>
      <c r="AO67" s="39" t="e">
        <f>AO32</f>
        <v>#REF!</v>
      </c>
      <c r="AP67" s="170" t="e">
        <f t="shared" si="33"/>
        <v>#REF!</v>
      </c>
      <c r="AQ67" s="68"/>
      <c r="AR67" s="68"/>
      <c r="AS67" s="39" t="e">
        <f>AS32</f>
        <v>#REF!</v>
      </c>
      <c r="AT67" s="170" t="e">
        <f t="shared" si="13"/>
        <v>#REF!</v>
      </c>
      <c r="AU67" s="68"/>
      <c r="AV67" s="68"/>
      <c r="AW67" s="39" t="e">
        <f>AW32</f>
        <v>#REF!</v>
      </c>
      <c r="AX67" s="170" t="e">
        <f t="shared" si="34"/>
        <v>#REF!</v>
      </c>
      <c r="AY67" s="68"/>
      <c r="AZ67" s="68"/>
      <c r="BA67" s="39" t="e">
        <f>BA32</f>
        <v>#REF!</v>
      </c>
      <c r="BB67" s="170" t="e">
        <f t="shared" si="35"/>
        <v>#REF!</v>
      </c>
      <c r="BC67" s="68"/>
      <c r="BD67" s="68"/>
    </row>
    <row r="68" spans="1:56">
      <c r="A68" s="261"/>
      <c r="B68" s="262" t="s">
        <v>722</v>
      </c>
      <c r="C68" s="263" t="s">
        <v>604</v>
      </c>
      <c r="D68" s="216">
        <v>50</v>
      </c>
      <c r="E68" s="263" t="s">
        <v>35</v>
      </c>
      <c r="F68" s="39"/>
      <c r="G68" s="51"/>
      <c r="H68" s="51"/>
      <c r="I68" s="67"/>
      <c r="J68" s="39"/>
      <c r="K68" s="51"/>
      <c r="L68" s="51"/>
      <c r="M68" s="68"/>
      <c r="N68" s="43"/>
      <c r="O68" s="44">
        <v>50</v>
      </c>
      <c r="P68" s="43">
        <f t="shared" si="36"/>
        <v>0</v>
      </c>
      <c r="Q68" s="45"/>
      <c r="R68" s="43"/>
      <c r="S68" s="43"/>
      <c r="T68" s="43"/>
      <c r="U68" s="43"/>
      <c r="V68" s="43"/>
      <c r="W68" s="43"/>
      <c r="X68" s="43"/>
      <c r="Y68" s="43"/>
      <c r="Z68" s="43"/>
      <c r="AA68" s="43"/>
      <c r="AB68" s="43"/>
      <c r="AC68" s="43"/>
      <c r="AD68" s="43"/>
      <c r="AE68" s="43"/>
      <c r="AF68" s="43"/>
      <c r="AG68" s="39" t="e">
        <f>(#REF!+#REF!)*1.8</f>
        <v>#REF!</v>
      </c>
      <c r="AH68" s="170" t="e">
        <f t="shared" si="31"/>
        <v>#REF!</v>
      </c>
      <c r="AI68" s="68"/>
      <c r="AJ68" s="68"/>
      <c r="AK68" s="39" t="e">
        <f>(#REF!+#REF!)*1.8</f>
        <v>#REF!</v>
      </c>
      <c r="AL68" s="170" t="e">
        <f t="shared" si="32"/>
        <v>#REF!</v>
      </c>
      <c r="AM68" s="68"/>
      <c r="AN68" s="68"/>
      <c r="AO68" s="39" t="e">
        <f>(#REF!+#REF!)*1.8</f>
        <v>#REF!</v>
      </c>
      <c r="AP68" s="170" t="e">
        <f t="shared" si="33"/>
        <v>#REF!</v>
      </c>
      <c r="AQ68" s="68"/>
      <c r="AR68" s="68"/>
      <c r="AS68" s="39" t="e">
        <f>(#REF!+#REF!)*1.8</f>
        <v>#REF!</v>
      </c>
      <c r="AT68" s="170" t="e">
        <f t="shared" si="13"/>
        <v>#REF!</v>
      </c>
      <c r="AU68" s="68"/>
      <c r="AV68" s="68"/>
      <c r="AW68" s="39" t="e">
        <f>(#REF!+#REF!)*1.8</f>
        <v>#REF!</v>
      </c>
      <c r="AX68" s="170" t="e">
        <f t="shared" si="34"/>
        <v>#REF!</v>
      </c>
      <c r="AY68" s="68"/>
      <c r="AZ68" s="68"/>
      <c r="BA68" s="39" t="e">
        <f>(#REF!+#REF!)*1.8</f>
        <v>#REF!</v>
      </c>
      <c r="BB68" s="170" t="e">
        <f t="shared" si="35"/>
        <v>#REF!</v>
      </c>
      <c r="BC68" s="68"/>
      <c r="BD68" s="68"/>
    </row>
    <row r="69" spans="1:56" s="198" customFormat="1">
      <c r="A69" s="261"/>
      <c r="B69" s="262" t="s">
        <v>723</v>
      </c>
      <c r="C69" s="263" t="s">
        <v>604</v>
      </c>
      <c r="D69" s="216"/>
      <c r="E69" s="263" t="s">
        <v>35</v>
      </c>
      <c r="F69" s="39"/>
      <c r="G69" s="51"/>
      <c r="H69" s="51"/>
      <c r="I69" s="67"/>
      <c r="J69" s="39"/>
      <c r="K69" s="40"/>
      <c r="L69" s="51"/>
      <c r="M69" s="68"/>
      <c r="N69" s="194"/>
      <c r="O69" s="195">
        <v>200</v>
      </c>
      <c r="P69" s="194">
        <f t="shared" si="36"/>
        <v>0</v>
      </c>
      <c r="Q69" s="196"/>
      <c r="R69" s="194"/>
      <c r="S69" s="194"/>
      <c r="T69" s="194"/>
      <c r="U69" s="194"/>
      <c r="V69" s="194"/>
      <c r="W69" s="194"/>
      <c r="X69" s="194"/>
      <c r="Y69" s="194"/>
      <c r="Z69" s="194"/>
      <c r="AA69" s="194"/>
      <c r="AB69" s="194"/>
      <c r="AC69" s="194"/>
      <c r="AD69" s="194"/>
      <c r="AE69" s="194"/>
      <c r="AF69" s="194"/>
      <c r="AG69" s="192" t="e">
        <f>AG61*0.05*0</f>
        <v>#REF!</v>
      </c>
      <c r="AH69" s="197"/>
      <c r="AI69" s="206"/>
      <c r="AJ69" s="206"/>
      <c r="AK69" s="192" t="e">
        <f>AG69*2</f>
        <v>#REF!</v>
      </c>
      <c r="AL69" s="197"/>
      <c r="AM69" s="206"/>
      <c r="AN69" s="206"/>
      <c r="AO69" s="192" t="e">
        <f>AO61*0.05*0</f>
        <v>#REF!</v>
      </c>
      <c r="AP69" s="197"/>
      <c r="AQ69" s="206"/>
      <c r="AR69" s="206"/>
      <c r="AS69" s="192" t="e">
        <f>AO69*2</f>
        <v>#REF!</v>
      </c>
      <c r="AT69" s="197"/>
      <c r="AU69" s="206"/>
      <c r="AV69" s="206"/>
      <c r="AW69" s="192" t="e">
        <f>AW61*0.05*0</f>
        <v>#REF!</v>
      </c>
      <c r="AX69" s="197"/>
      <c r="AY69" s="206"/>
      <c r="AZ69" s="206"/>
      <c r="BA69" s="192" t="e">
        <f>AW69*2</f>
        <v>#REF!</v>
      </c>
      <c r="BB69" s="197"/>
      <c r="BC69" s="206"/>
      <c r="BD69" s="206"/>
    </row>
    <row r="70" spans="1:56">
      <c r="A70" s="261"/>
      <c r="B70" s="262" t="s">
        <v>724</v>
      </c>
      <c r="C70" s="263" t="s">
        <v>604</v>
      </c>
      <c r="D70" s="216"/>
      <c r="E70" s="263" t="s">
        <v>35</v>
      </c>
      <c r="F70" s="39"/>
      <c r="G70" s="40"/>
      <c r="H70" s="51"/>
      <c r="I70" s="67"/>
      <c r="J70" s="39"/>
      <c r="K70" s="40"/>
      <c r="L70" s="51"/>
      <c r="M70" s="68"/>
      <c r="N70" s="43"/>
      <c r="O70" s="44"/>
      <c r="P70" s="43"/>
      <c r="Q70" s="45"/>
      <c r="R70" s="43"/>
      <c r="S70" s="43"/>
      <c r="T70" s="43"/>
      <c r="U70" s="43"/>
      <c r="V70" s="43"/>
      <c r="W70" s="43"/>
      <c r="X70" s="43"/>
      <c r="Y70" s="43"/>
      <c r="Z70" s="43"/>
      <c r="AA70" s="43"/>
      <c r="AB70" s="43"/>
      <c r="AC70" s="43"/>
      <c r="AD70" s="43"/>
      <c r="AE70" s="43"/>
      <c r="AF70" s="43"/>
      <c r="AG70" s="39"/>
      <c r="AH70" s="170"/>
      <c r="AI70" s="68"/>
      <c r="AJ70" s="68"/>
      <c r="AK70" s="39"/>
      <c r="AL70" s="170"/>
      <c r="AM70" s="68"/>
      <c r="AN70" s="68"/>
      <c r="AO70" s="39"/>
      <c r="AP70" s="170"/>
      <c r="AQ70" s="68"/>
      <c r="AR70" s="68"/>
      <c r="AS70" s="39"/>
      <c r="AT70" s="170"/>
      <c r="AU70" s="68"/>
      <c r="AV70" s="68"/>
      <c r="AW70" s="39"/>
      <c r="AX70" s="170"/>
      <c r="AY70" s="68"/>
      <c r="AZ70" s="68"/>
      <c r="BA70" s="39"/>
      <c r="BB70" s="170"/>
      <c r="BC70" s="68"/>
      <c r="BD70" s="68"/>
    </row>
    <row r="71" spans="1:56" ht="15.6">
      <c r="A71" s="261"/>
      <c r="B71" s="262" t="s">
        <v>795</v>
      </c>
      <c r="C71" s="275" t="s">
        <v>602</v>
      </c>
      <c r="D71" s="216">
        <v>100</v>
      </c>
      <c r="E71" s="263" t="s">
        <v>86</v>
      </c>
      <c r="F71" s="39"/>
      <c r="G71" s="51"/>
      <c r="H71" s="51"/>
      <c r="I71" s="67"/>
      <c r="J71" s="39"/>
      <c r="K71" s="51"/>
      <c r="L71" s="51"/>
      <c r="M71" s="68"/>
      <c r="N71" s="43"/>
      <c r="O71" s="44">
        <v>500</v>
      </c>
      <c r="P71" s="43">
        <v>10</v>
      </c>
      <c r="Q71" s="45"/>
      <c r="R71" s="43"/>
      <c r="S71" s="43"/>
      <c r="T71" s="43"/>
      <c r="U71" s="43"/>
      <c r="V71" s="43"/>
      <c r="W71" s="43"/>
      <c r="X71" s="43"/>
      <c r="Y71" s="43"/>
      <c r="Z71" s="43"/>
      <c r="AA71" s="43"/>
      <c r="AB71" s="43"/>
      <c r="AC71" s="43"/>
      <c r="AD71" s="43"/>
      <c r="AE71" s="43"/>
      <c r="AF71" s="43"/>
      <c r="AG71" s="39" t="e">
        <f>#REF!/0.3</f>
        <v>#REF!</v>
      </c>
      <c r="AH71" s="170" t="e">
        <f t="shared" si="31"/>
        <v>#REF!</v>
      </c>
      <c r="AI71" s="68"/>
      <c r="AJ71" s="68"/>
      <c r="AK71" s="39" t="e">
        <f>#REF!/0.3</f>
        <v>#REF!</v>
      </c>
      <c r="AL71" s="170" t="e">
        <f t="shared" si="32"/>
        <v>#REF!</v>
      </c>
      <c r="AM71" s="68"/>
      <c r="AN71" s="68"/>
      <c r="AO71" s="39" t="e">
        <f>#REF!/0.3</f>
        <v>#REF!</v>
      </c>
      <c r="AP71" s="170" t="e">
        <f t="shared" si="33"/>
        <v>#REF!</v>
      </c>
      <c r="AQ71" s="68"/>
      <c r="AR71" s="68"/>
      <c r="AS71" s="39" t="e">
        <f>#REF!/0.3</f>
        <v>#REF!</v>
      </c>
      <c r="AT71" s="170" t="e">
        <f t="shared" si="13"/>
        <v>#REF!</v>
      </c>
      <c r="AU71" s="68"/>
      <c r="AV71" s="68"/>
      <c r="AW71" s="39" t="e">
        <f>#REF!/0.3</f>
        <v>#REF!</v>
      </c>
      <c r="AX71" s="170" t="e">
        <f t="shared" si="34"/>
        <v>#REF!</v>
      </c>
      <c r="AY71" s="68"/>
      <c r="AZ71" s="68"/>
      <c r="BA71" s="39" t="e">
        <f>#REF!/0.3</f>
        <v>#REF!</v>
      </c>
      <c r="BB71" s="170" t="e">
        <f t="shared" si="35"/>
        <v>#REF!</v>
      </c>
      <c r="BC71" s="68"/>
      <c r="BD71" s="68"/>
    </row>
    <row r="72" spans="1:56">
      <c r="A72" s="261"/>
      <c r="B72" s="262" t="s">
        <v>620</v>
      </c>
      <c r="C72" s="263" t="s">
        <v>604</v>
      </c>
      <c r="D72" s="216">
        <v>40</v>
      </c>
      <c r="E72" s="263" t="s">
        <v>35</v>
      </c>
      <c r="F72" s="39"/>
      <c r="G72" s="51"/>
      <c r="H72" s="51"/>
      <c r="I72" s="51"/>
      <c r="J72" s="39"/>
      <c r="K72" s="51"/>
      <c r="L72" s="51"/>
      <c r="M72" s="52"/>
      <c r="N72" s="43"/>
      <c r="O72" s="44">
        <v>40</v>
      </c>
      <c r="P72" s="43">
        <f t="shared" ref="P72" si="37">F72/O72</f>
        <v>0</v>
      </c>
      <c r="Q72" s="45"/>
      <c r="R72" s="43"/>
      <c r="S72" s="43"/>
      <c r="T72" s="43"/>
      <c r="U72" s="43"/>
      <c r="V72" s="43"/>
      <c r="W72" s="43"/>
      <c r="X72" s="43"/>
      <c r="Y72" s="43"/>
      <c r="Z72" s="43"/>
      <c r="AA72" s="43"/>
      <c r="AB72" s="43"/>
      <c r="AC72" s="43"/>
      <c r="AD72" s="43"/>
      <c r="AE72" s="43"/>
      <c r="AF72" s="43"/>
      <c r="AG72" s="39"/>
      <c r="AH72" s="170">
        <f t="shared" si="31"/>
        <v>0</v>
      </c>
      <c r="AI72" s="52"/>
      <c r="AJ72" s="52"/>
      <c r="AK72" s="39"/>
      <c r="AL72" s="170">
        <f t="shared" si="32"/>
        <v>0</v>
      </c>
      <c r="AM72" s="52"/>
      <c r="AN72" s="52"/>
      <c r="AO72" s="39"/>
      <c r="AP72" s="170">
        <f t="shared" si="33"/>
        <v>0</v>
      </c>
      <c r="AQ72" s="52"/>
      <c r="AR72" s="52"/>
      <c r="AS72" s="39"/>
      <c r="AT72" s="170">
        <f t="shared" si="13"/>
        <v>0</v>
      </c>
      <c r="AU72" s="52"/>
      <c r="AV72" s="52"/>
      <c r="AW72" s="39"/>
      <c r="AX72" s="170">
        <f t="shared" si="34"/>
        <v>0</v>
      </c>
      <c r="AY72" s="52"/>
      <c r="AZ72" s="52"/>
      <c r="BA72" s="39"/>
      <c r="BB72" s="170">
        <f t="shared" si="35"/>
        <v>0</v>
      </c>
      <c r="BC72" s="52"/>
      <c r="BD72" s="52"/>
    </row>
    <row r="73" spans="1:56">
      <c r="A73" s="251">
        <v>5</v>
      </c>
      <c r="B73" s="252" t="s">
        <v>621</v>
      </c>
      <c r="C73" s="253"/>
      <c r="D73" s="283"/>
      <c r="E73" s="253"/>
      <c r="F73" s="53"/>
      <c r="G73" s="35">
        <f>SUM(G74:G87)</f>
        <v>0</v>
      </c>
      <c r="H73" s="35"/>
      <c r="I73" s="36">
        <f>IFERROR(G73/H73,0)</f>
        <v>0</v>
      </c>
      <c r="J73" s="53"/>
      <c r="K73" s="35">
        <f>SUM(K74:K87)</f>
        <v>0</v>
      </c>
      <c r="L73" s="35"/>
      <c r="M73" s="36">
        <f>IFERROR(K73/L73,0)</f>
        <v>0</v>
      </c>
      <c r="N73" s="43"/>
      <c r="O73" s="44"/>
      <c r="P73" s="35">
        <f>SUM(P74:P87)</f>
        <v>1</v>
      </c>
      <c r="Q73" s="38" t="e">
        <f>P73/L73</f>
        <v>#DIV/0!</v>
      </c>
      <c r="R73" s="43"/>
      <c r="S73" s="54"/>
      <c r="T73" s="78">
        <f>K73-L73</f>
        <v>0</v>
      </c>
      <c r="U73" s="25">
        <v>14.56</v>
      </c>
      <c r="V73" s="74">
        <f>T73*U73</f>
        <v>0</v>
      </c>
      <c r="W73" s="43"/>
      <c r="X73" s="43"/>
      <c r="Y73" s="74"/>
      <c r="Z73" s="43"/>
      <c r="AA73" s="43"/>
      <c r="AB73" s="43"/>
      <c r="AC73" s="43"/>
      <c r="AD73" s="43"/>
      <c r="AE73" s="43"/>
      <c r="AF73" s="43"/>
      <c r="AG73" s="37"/>
      <c r="AH73" s="35" t="e">
        <f>SUM(AH74:AH87)</f>
        <v>#REF!</v>
      </c>
      <c r="AI73" s="209">
        <f>VLOOKUP($B73,'[5]Eqpmnt &amp; MP Days'!$B$4:$H$11,2,0)</f>
        <v>6</v>
      </c>
      <c r="AJ73" s="37" t="str">
        <f>IFERROR(AH73/AI73,"")</f>
        <v/>
      </c>
      <c r="AK73" s="37"/>
      <c r="AL73" s="35" t="e">
        <f>SUM(AL74:AL87)</f>
        <v>#REF!</v>
      </c>
      <c r="AM73" s="209">
        <f>VLOOKUP($B73,'[5]Eqpmnt &amp; MP Days'!$B$4:$H$11,3,0)</f>
        <v>127</v>
      </c>
      <c r="AN73" s="37" t="str">
        <f>IFERROR(AL73/AM73,"")</f>
        <v/>
      </c>
      <c r="AO73" s="37"/>
      <c r="AP73" s="35" t="e">
        <f>SUM(AP74:AP87)</f>
        <v>#REF!</v>
      </c>
      <c r="AQ73" s="209">
        <f>VLOOKUP($B73,'[5]Eqpmnt &amp; MP Days'!$B$4:$H$11,4,0)</f>
        <v>7</v>
      </c>
      <c r="AR73" s="37" t="str">
        <f>IFERROR(AP73/AQ73,"")</f>
        <v/>
      </c>
      <c r="AS73" s="53"/>
      <c r="AT73" s="35" t="e">
        <f>SUM(AT74:AT87)</f>
        <v>#REF!</v>
      </c>
      <c r="AU73" s="209">
        <f>VLOOKUP($B73,'[5]Eqpmnt &amp; MP Days'!$B$4:$H$11,5,0)</f>
        <v>171</v>
      </c>
      <c r="AV73" s="37" t="str">
        <f>IFERROR(AT73/AU73,"")</f>
        <v/>
      </c>
      <c r="AW73" s="53"/>
      <c r="AX73" s="35" t="e">
        <f>SUM(AX74:AX87)</f>
        <v>#REF!</v>
      </c>
      <c r="AY73" s="209">
        <f>VLOOKUP($B73,'[5]Eqpmnt &amp; MP Days'!$B$4:$H$11,6,0)</f>
        <v>0</v>
      </c>
      <c r="AZ73" s="37" t="str">
        <f>IFERROR(AX73/AY73,"")</f>
        <v/>
      </c>
      <c r="BA73" s="53"/>
      <c r="BB73" s="35" t="e">
        <f>SUM(BB74:BB87)</f>
        <v>#REF!</v>
      </c>
      <c r="BC73" s="209">
        <f>VLOOKUP($B73,'[5]Eqpmnt &amp; MP Days'!$B$4:$H$11,7,0)</f>
        <v>0</v>
      </c>
      <c r="BD73" s="37" t="str">
        <f>IFERROR(BB73/BC73,"")</f>
        <v/>
      </c>
    </row>
    <row r="74" spans="1:56">
      <c r="A74" s="254"/>
      <c r="B74" s="257" t="s">
        <v>622</v>
      </c>
      <c r="C74" s="256" t="s">
        <v>602</v>
      </c>
      <c r="D74" s="218">
        <v>3000</v>
      </c>
      <c r="E74" s="256" t="s">
        <v>86</v>
      </c>
      <c r="F74" s="39"/>
      <c r="G74" s="39"/>
      <c r="H74" s="39"/>
      <c r="I74" s="41"/>
      <c r="J74" s="39"/>
      <c r="K74" s="40"/>
      <c r="L74" s="39"/>
      <c r="M74" s="42"/>
      <c r="N74" s="43"/>
      <c r="O74" s="44">
        <v>3000</v>
      </c>
      <c r="P74" s="43">
        <f>J74/O74</f>
        <v>0</v>
      </c>
      <c r="Q74" s="45"/>
      <c r="R74" s="43"/>
      <c r="S74" s="43"/>
      <c r="T74" s="43"/>
      <c r="U74" s="43"/>
      <c r="V74" s="43"/>
      <c r="W74" s="43"/>
      <c r="X74" s="43"/>
      <c r="Y74" s="43"/>
      <c r="Z74" s="43"/>
      <c r="AA74" s="43"/>
      <c r="AB74" s="43"/>
      <c r="AC74" s="43"/>
      <c r="AD74" s="43"/>
      <c r="AE74" s="43"/>
      <c r="AF74" s="43"/>
      <c r="AG74" s="39" t="e">
        <f>AG46</f>
        <v>#REF!</v>
      </c>
      <c r="AH74" s="170" t="e">
        <f t="shared" ref="AH74:AH86" si="38">AG74/$D74</f>
        <v>#REF!</v>
      </c>
      <c r="AI74" s="42"/>
      <c r="AJ74" s="42"/>
      <c r="AK74" s="39" t="e">
        <f>AK46</f>
        <v>#REF!</v>
      </c>
      <c r="AL74" s="170" t="e">
        <f t="shared" ref="AL74:AL86" si="39">AK74/$D74</f>
        <v>#REF!</v>
      </c>
      <c r="AM74" s="42"/>
      <c r="AN74" s="42"/>
      <c r="AO74" s="39" t="e">
        <f>AO46</f>
        <v>#REF!</v>
      </c>
      <c r="AP74" s="170" t="e">
        <f t="shared" ref="AP74:AP86" si="40">AO74/$D74</f>
        <v>#REF!</v>
      </c>
      <c r="AQ74" s="42"/>
      <c r="AR74" s="42"/>
      <c r="AS74" s="39" t="e">
        <f>AS46</f>
        <v>#REF!</v>
      </c>
      <c r="AT74" s="170" t="e">
        <f t="shared" si="13"/>
        <v>#REF!</v>
      </c>
      <c r="AU74" s="42"/>
      <c r="AV74" s="42"/>
      <c r="AW74" s="39" t="e">
        <f>AW46</f>
        <v>#REF!</v>
      </c>
      <c r="AX74" s="170" t="e">
        <f t="shared" ref="AX74:AX86" si="41">AW74/$D74</f>
        <v>#REF!</v>
      </c>
      <c r="AY74" s="42"/>
      <c r="AZ74" s="42"/>
      <c r="BA74" s="39" t="e">
        <f>BA46</f>
        <v>#REF!</v>
      </c>
      <c r="BB74" s="170" t="e">
        <f t="shared" ref="BB74:BB137" si="42">BA74/$D74</f>
        <v>#REF!</v>
      </c>
      <c r="BC74" s="42"/>
      <c r="BD74" s="42"/>
    </row>
    <row r="75" spans="1:56">
      <c r="A75" s="254"/>
      <c r="B75" s="257" t="s">
        <v>614</v>
      </c>
      <c r="C75" s="256" t="s">
        <v>604</v>
      </c>
      <c r="D75" s="218">
        <v>600</v>
      </c>
      <c r="E75" s="256" t="s">
        <v>35</v>
      </c>
      <c r="F75" s="39"/>
      <c r="G75" s="40"/>
      <c r="H75" s="39"/>
      <c r="I75" s="41"/>
      <c r="J75" s="39"/>
      <c r="K75" s="40"/>
      <c r="L75" s="39"/>
      <c r="M75" s="42"/>
      <c r="N75" s="43"/>
      <c r="O75" s="44">
        <v>600</v>
      </c>
      <c r="P75" s="43">
        <f t="shared" ref="P75:P86" si="43">J75/O75</f>
        <v>0</v>
      </c>
      <c r="Q75" s="45"/>
      <c r="R75" s="43"/>
      <c r="S75" s="43"/>
      <c r="T75" s="43"/>
      <c r="U75" s="43"/>
      <c r="V75" s="43"/>
      <c r="W75" s="43"/>
      <c r="X75" s="43"/>
      <c r="Y75" s="43"/>
      <c r="Z75" s="43"/>
      <c r="AA75" s="43"/>
      <c r="AB75" s="43"/>
      <c r="AC75" s="43"/>
      <c r="AD75" s="43"/>
      <c r="AE75" s="43"/>
      <c r="AF75" s="43"/>
      <c r="AG75" s="39" t="e">
        <f>AG60</f>
        <v>#REF!</v>
      </c>
      <c r="AH75" s="170" t="e">
        <f t="shared" si="38"/>
        <v>#REF!</v>
      </c>
      <c r="AI75" s="42"/>
      <c r="AJ75" s="42"/>
      <c r="AK75" s="39" t="e">
        <f>AK60</f>
        <v>#REF!</v>
      </c>
      <c r="AL75" s="170" t="e">
        <f t="shared" si="39"/>
        <v>#REF!</v>
      </c>
      <c r="AM75" s="42"/>
      <c r="AN75" s="42"/>
      <c r="AO75" s="39" t="e">
        <f>AO60</f>
        <v>#REF!</v>
      </c>
      <c r="AP75" s="170" t="e">
        <f t="shared" si="40"/>
        <v>#REF!</v>
      </c>
      <c r="AQ75" s="42"/>
      <c r="AR75" s="42"/>
      <c r="AS75" s="39" t="e">
        <f>AS60</f>
        <v>#REF!</v>
      </c>
      <c r="AT75" s="170" t="e">
        <f t="shared" si="13"/>
        <v>#REF!</v>
      </c>
      <c r="AU75" s="42"/>
      <c r="AV75" s="42"/>
      <c r="AW75" s="39" t="e">
        <f>AW60</f>
        <v>#REF!</v>
      </c>
      <c r="AX75" s="170" t="e">
        <f t="shared" si="41"/>
        <v>#REF!</v>
      </c>
      <c r="AY75" s="42"/>
      <c r="AZ75" s="42"/>
      <c r="BA75" s="39" t="e">
        <f>BA60</f>
        <v>#REF!</v>
      </c>
      <c r="BB75" s="170" t="e">
        <f t="shared" si="42"/>
        <v>#REF!</v>
      </c>
      <c r="BC75" s="42"/>
      <c r="BD75" s="42"/>
    </row>
    <row r="76" spans="1:56">
      <c r="A76" s="258"/>
      <c r="B76" s="259" t="s">
        <v>826</v>
      </c>
      <c r="C76" s="260" t="s">
        <v>604</v>
      </c>
      <c r="D76" s="62">
        <v>700</v>
      </c>
      <c r="E76" s="260" t="s">
        <v>35</v>
      </c>
      <c r="F76" s="39"/>
      <c r="G76" s="40"/>
      <c r="H76" s="40"/>
      <c r="I76" s="46"/>
      <c r="J76" s="39"/>
      <c r="K76" s="40"/>
      <c r="L76" s="40"/>
      <c r="M76" s="47"/>
      <c r="N76" s="43"/>
      <c r="O76" s="44">
        <v>700</v>
      </c>
      <c r="P76" s="43">
        <f t="shared" si="43"/>
        <v>0</v>
      </c>
      <c r="Q76" s="45"/>
      <c r="R76" s="43"/>
      <c r="S76" s="43"/>
      <c r="T76" s="43"/>
      <c r="U76" s="43"/>
      <c r="V76" s="43"/>
      <c r="W76" s="43"/>
      <c r="X76" s="43"/>
      <c r="Y76" s="43"/>
      <c r="Z76" s="43"/>
      <c r="AA76" s="43"/>
      <c r="AB76" s="43"/>
      <c r="AC76" s="43"/>
      <c r="AD76" s="43"/>
      <c r="AE76" s="43"/>
      <c r="AF76" s="43"/>
      <c r="AG76" s="39" t="e">
        <f>AG48</f>
        <v>#REF!</v>
      </c>
      <c r="AH76" s="170" t="e">
        <f t="shared" si="38"/>
        <v>#REF!</v>
      </c>
      <c r="AI76" s="47"/>
      <c r="AJ76" s="47"/>
      <c r="AK76" s="39" t="e">
        <f>AK48</f>
        <v>#REF!</v>
      </c>
      <c r="AL76" s="170" t="e">
        <f t="shared" si="39"/>
        <v>#REF!</v>
      </c>
      <c r="AM76" s="47"/>
      <c r="AN76" s="47"/>
      <c r="AO76" s="39" t="e">
        <f>AO48</f>
        <v>#REF!</v>
      </c>
      <c r="AP76" s="170" t="e">
        <f t="shared" si="40"/>
        <v>#REF!</v>
      </c>
      <c r="AQ76" s="47"/>
      <c r="AR76" s="47"/>
      <c r="AS76" s="39" t="e">
        <f>AS48</f>
        <v>#REF!</v>
      </c>
      <c r="AT76" s="170" t="e">
        <f t="shared" si="13"/>
        <v>#REF!</v>
      </c>
      <c r="AU76" s="47"/>
      <c r="AV76" s="47"/>
      <c r="AW76" s="39" t="e">
        <f>AW48</f>
        <v>#REF!</v>
      </c>
      <c r="AX76" s="170" t="e">
        <f t="shared" si="41"/>
        <v>#REF!</v>
      </c>
      <c r="AY76" s="47"/>
      <c r="AZ76" s="47"/>
      <c r="BA76" s="39" t="e">
        <f>BA48</f>
        <v>#REF!</v>
      </c>
      <c r="BB76" s="170" t="e">
        <f t="shared" si="42"/>
        <v>#REF!</v>
      </c>
      <c r="BC76" s="47"/>
      <c r="BD76" s="47"/>
    </row>
    <row r="77" spans="1:56">
      <c r="A77" s="258"/>
      <c r="B77" s="259" t="s">
        <v>827</v>
      </c>
      <c r="C77" s="260" t="s">
        <v>604</v>
      </c>
      <c r="D77" s="62">
        <v>600</v>
      </c>
      <c r="E77" s="260" t="s">
        <v>35</v>
      </c>
      <c r="F77" s="39"/>
      <c r="G77" s="40"/>
      <c r="H77" s="40"/>
      <c r="I77" s="46"/>
      <c r="J77" s="39"/>
      <c r="K77" s="40"/>
      <c r="L77" s="40"/>
      <c r="M77" s="47"/>
      <c r="N77" s="43"/>
      <c r="O77" s="44">
        <v>600</v>
      </c>
      <c r="P77" s="43">
        <f t="shared" si="43"/>
        <v>0</v>
      </c>
      <c r="Q77" s="45"/>
      <c r="R77" s="43"/>
      <c r="S77" s="43"/>
      <c r="T77" s="43"/>
      <c r="U77" s="43"/>
      <c r="V77" s="43"/>
      <c r="W77" s="43"/>
      <c r="X77" s="43"/>
      <c r="Y77" s="43"/>
      <c r="Z77" s="43"/>
      <c r="AA77" s="43"/>
      <c r="AB77" s="43"/>
      <c r="AC77" s="43"/>
      <c r="AD77" s="43"/>
      <c r="AE77" s="43"/>
      <c r="AF77" s="43"/>
      <c r="AG77" s="39" t="e">
        <f>AG49</f>
        <v>#REF!</v>
      </c>
      <c r="AH77" s="170" t="e">
        <f t="shared" si="38"/>
        <v>#REF!</v>
      </c>
      <c r="AI77" s="47"/>
      <c r="AJ77" s="47"/>
      <c r="AK77" s="39" t="e">
        <f>AK49</f>
        <v>#REF!</v>
      </c>
      <c r="AL77" s="170" t="e">
        <f t="shared" si="39"/>
        <v>#REF!</v>
      </c>
      <c r="AM77" s="47"/>
      <c r="AN77" s="47"/>
      <c r="AO77" s="39" t="e">
        <f>AO49</f>
        <v>#REF!</v>
      </c>
      <c r="AP77" s="170" t="e">
        <f t="shared" si="40"/>
        <v>#REF!</v>
      </c>
      <c r="AQ77" s="47"/>
      <c r="AR77" s="47"/>
      <c r="AS77" s="39" t="e">
        <f>AS49</f>
        <v>#REF!</v>
      </c>
      <c r="AT77" s="170" t="e">
        <f t="shared" si="13"/>
        <v>#REF!</v>
      </c>
      <c r="AU77" s="47"/>
      <c r="AV77" s="47"/>
      <c r="AW77" s="39" t="e">
        <f>AW49</f>
        <v>#REF!</v>
      </c>
      <c r="AX77" s="170" t="e">
        <f t="shared" si="41"/>
        <v>#REF!</v>
      </c>
      <c r="AY77" s="47"/>
      <c r="AZ77" s="47"/>
      <c r="BA77" s="39" t="e">
        <f>BA49</f>
        <v>#REF!</v>
      </c>
      <c r="BB77" s="170" t="e">
        <f t="shared" si="42"/>
        <v>#REF!</v>
      </c>
      <c r="BC77" s="47"/>
      <c r="BD77" s="47"/>
    </row>
    <row r="78" spans="1:56">
      <c r="A78" s="258"/>
      <c r="B78" s="259" t="s">
        <v>623</v>
      </c>
      <c r="C78" s="260" t="s">
        <v>604</v>
      </c>
      <c r="D78" s="62">
        <v>600</v>
      </c>
      <c r="E78" s="260" t="s">
        <v>35</v>
      </c>
      <c r="F78" s="39"/>
      <c r="G78" s="40"/>
      <c r="H78" s="40"/>
      <c r="I78" s="46"/>
      <c r="J78" s="39"/>
      <c r="K78" s="40"/>
      <c r="L78" s="40"/>
      <c r="M78" s="47"/>
      <c r="N78" s="43"/>
      <c r="O78" s="44">
        <v>600</v>
      </c>
      <c r="P78" s="43">
        <f t="shared" si="43"/>
        <v>0</v>
      </c>
      <c r="Q78" s="45"/>
      <c r="R78" s="43"/>
      <c r="S78" s="43"/>
      <c r="T78" s="43"/>
      <c r="U78" s="43"/>
      <c r="V78" s="43"/>
      <c r="W78" s="43"/>
      <c r="X78" s="43"/>
      <c r="Y78" s="43"/>
      <c r="Z78" s="43"/>
      <c r="AA78" s="43"/>
      <c r="AB78" s="43"/>
      <c r="AC78" s="43"/>
      <c r="AD78" s="43"/>
      <c r="AE78" s="43"/>
      <c r="AF78" s="43"/>
      <c r="AG78" s="39" t="e">
        <f>AG52</f>
        <v>#REF!</v>
      </c>
      <c r="AH78" s="170" t="e">
        <f t="shared" si="38"/>
        <v>#REF!</v>
      </c>
      <c r="AI78" s="47"/>
      <c r="AJ78" s="47"/>
      <c r="AK78" s="39" t="e">
        <f>AK52</f>
        <v>#REF!</v>
      </c>
      <c r="AL78" s="170" t="e">
        <f t="shared" si="39"/>
        <v>#REF!</v>
      </c>
      <c r="AM78" s="47"/>
      <c r="AN78" s="47"/>
      <c r="AO78" s="39" t="e">
        <f>AO52</f>
        <v>#REF!</v>
      </c>
      <c r="AP78" s="170" t="e">
        <f t="shared" si="40"/>
        <v>#REF!</v>
      </c>
      <c r="AQ78" s="47"/>
      <c r="AR78" s="47"/>
      <c r="AS78" s="39" t="e">
        <f>AS52</f>
        <v>#REF!</v>
      </c>
      <c r="AT78" s="170" t="e">
        <f t="shared" si="13"/>
        <v>#REF!</v>
      </c>
      <c r="AU78" s="47"/>
      <c r="AV78" s="47"/>
      <c r="AW78" s="39" t="e">
        <f>AW52</f>
        <v>#REF!</v>
      </c>
      <c r="AX78" s="170" t="e">
        <f t="shared" si="41"/>
        <v>#REF!</v>
      </c>
      <c r="AY78" s="47"/>
      <c r="AZ78" s="47"/>
      <c r="BA78" s="39" t="e">
        <f>BA52</f>
        <v>#REF!</v>
      </c>
      <c r="BB78" s="170" t="e">
        <f t="shared" si="42"/>
        <v>#REF!</v>
      </c>
      <c r="BC78" s="47"/>
      <c r="BD78" s="47"/>
    </row>
    <row r="79" spans="1:56">
      <c r="A79" s="258"/>
      <c r="B79" s="259" t="s">
        <v>624</v>
      </c>
      <c r="C79" s="260" t="s">
        <v>604</v>
      </c>
      <c r="D79" s="62">
        <v>550</v>
      </c>
      <c r="E79" s="260" t="s">
        <v>35</v>
      </c>
      <c r="F79" s="39"/>
      <c r="G79" s="40"/>
      <c r="H79" s="40"/>
      <c r="I79" s="46"/>
      <c r="J79" s="39"/>
      <c r="K79" s="40"/>
      <c r="L79" s="40"/>
      <c r="M79" s="47"/>
      <c r="N79" s="43"/>
      <c r="O79" s="44">
        <v>550</v>
      </c>
      <c r="P79" s="43">
        <f t="shared" si="43"/>
        <v>0</v>
      </c>
      <c r="Q79" s="45"/>
      <c r="R79" s="43"/>
      <c r="S79" s="43"/>
      <c r="T79" s="43"/>
      <c r="U79" s="43"/>
      <c r="V79" s="43"/>
      <c r="W79" s="43"/>
      <c r="X79" s="43"/>
      <c r="Y79" s="43"/>
      <c r="Z79" s="43"/>
      <c r="AA79" s="43"/>
      <c r="AB79" s="43"/>
      <c r="AC79" s="43"/>
      <c r="AD79" s="43"/>
      <c r="AE79" s="43"/>
      <c r="AF79" s="43"/>
      <c r="AG79" s="39" t="e">
        <f>#REF!+#REF!+#REF!</f>
        <v>#REF!</v>
      </c>
      <c r="AH79" s="170" t="e">
        <f t="shared" si="38"/>
        <v>#REF!</v>
      </c>
      <c r="AI79" s="47"/>
      <c r="AJ79" s="47"/>
      <c r="AK79" s="39" t="e">
        <f>#REF!+#REF!</f>
        <v>#REF!</v>
      </c>
      <c r="AL79" s="170" t="e">
        <f t="shared" si="39"/>
        <v>#REF!</v>
      </c>
      <c r="AM79" s="47"/>
      <c r="AN79" s="47"/>
      <c r="AO79" s="39" t="e">
        <f>#REF!+#REF!+#REF!</f>
        <v>#REF!</v>
      </c>
      <c r="AP79" s="170" t="e">
        <f t="shared" si="40"/>
        <v>#REF!</v>
      </c>
      <c r="AQ79" s="47"/>
      <c r="AR79" s="47"/>
      <c r="AS79" s="39" t="e">
        <f>#REF!+#REF!</f>
        <v>#REF!</v>
      </c>
      <c r="AT79" s="170" t="e">
        <f t="shared" si="13"/>
        <v>#REF!</v>
      </c>
      <c r="AU79" s="47"/>
      <c r="AV79" s="47"/>
      <c r="AW79" s="39" t="e">
        <f>#REF!+#REF!+#REF!</f>
        <v>#REF!</v>
      </c>
      <c r="AX79" s="170" t="e">
        <f t="shared" si="41"/>
        <v>#REF!</v>
      </c>
      <c r="AY79" s="47"/>
      <c r="AZ79" s="47"/>
      <c r="BA79" s="39" t="e">
        <f>#REF!+#REF!</f>
        <v>#REF!</v>
      </c>
      <c r="BB79" s="170" t="e">
        <f t="shared" si="42"/>
        <v>#REF!</v>
      </c>
      <c r="BC79" s="47"/>
      <c r="BD79" s="47"/>
    </row>
    <row r="80" spans="1:56">
      <c r="A80" s="258"/>
      <c r="B80" s="259" t="s">
        <v>799</v>
      </c>
      <c r="C80" s="260" t="s">
        <v>604</v>
      </c>
      <c r="D80" s="62">
        <v>1000</v>
      </c>
      <c r="E80" s="260" t="s">
        <v>35</v>
      </c>
      <c r="F80" s="39"/>
      <c r="G80" s="40"/>
      <c r="H80" s="40"/>
      <c r="I80" s="46"/>
      <c r="J80" s="39"/>
      <c r="K80" s="40"/>
      <c r="L80" s="40"/>
      <c r="M80" s="47"/>
      <c r="N80" s="43"/>
      <c r="O80" s="44"/>
      <c r="P80" s="43"/>
      <c r="Q80" s="45"/>
      <c r="R80" s="43"/>
      <c r="S80" s="43"/>
      <c r="T80" s="43"/>
      <c r="U80" s="43"/>
      <c r="V80" s="43"/>
      <c r="W80" s="43"/>
      <c r="X80" s="43"/>
      <c r="Y80" s="43"/>
      <c r="Z80" s="43"/>
      <c r="AA80" s="43"/>
      <c r="AB80" s="43"/>
      <c r="AC80" s="43"/>
      <c r="AD80" s="43"/>
      <c r="AE80" s="43"/>
      <c r="AF80" s="43"/>
      <c r="AG80" s="39" t="e">
        <f>AG50</f>
        <v>#REF!</v>
      </c>
      <c r="AH80" s="170" t="e">
        <f t="shared" si="38"/>
        <v>#REF!</v>
      </c>
      <c r="AI80" s="47"/>
      <c r="AJ80" s="47"/>
      <c r="AK80" s="39" t="e">
        <f>AK50</f>
        <v>#REF!</v>
      </c>
      <c r="AL80" s="170" t="e">
        <f t="shared" si="39"/>
        <v>#REF!</v>
      </c>
      <c r="AM80" s="47"/>
      <c r="AN80" s="47"/>
      <c r="AO80" s="39" t="e">
        <f>AO50</f>
        <v>#REF!</v>
      </c>
      <c r="AP80" s="170" t="e">
        <f t="shared" si="40"/>
        <v>#REF!</v>
      </c>
      <c r="AQ80" s="47"/>
      <c r="AR80" s="47"/>
      <c r="AS80" s="39" t="e">
        <f>AS50</f>
        <v>#REF!</v>
      </c>
      <c r="AT80" s="170" t="e">
        <f t="shared" si="13"/>
        <v>#REF!</v>
      </c>
      <c r="AU80" s="47"/>
      <c r="AV80" s="47"/>
      <c r="AW80" s="39" t="e">
        <f>AW50</f>
        <v>#REF!</v>
      </c>
      <c r="AX80" s="170" t="e">
        <f t="shared" si="41"/>
        <v>#REF!</v>
      </c>
      <c r="AY80" s="47"/>
      <c r="AZ80" s="47"/>
      <c r="BA80" s="39" t="e">
        <f>BA50</f>
        <v>#REF!</v>
      </c>
      <c r="BB80" s="170" t="e">
        <f t="shared" si="42"/>
        <v>#REF!</v>
      </c>
      <c r="BC80" s="47"/>
      <c r="BD80" s="47"/>
    </row>
    <row r="81" spans="1:56">
      <c r="A81" s="258"/>
      <c r="B81" s="259" t="s">
        <v>606</v>
      </c>
      <c r="C81" s="260" t="s">
        <v>604</v>
      </c>
      <c r="D81" s="62">
        <v>600</v>
      </c>
      <c r="E81" s="260" t="s">
        <v>35</v>
      </c>
      <c r="F81" s="39"/>
      <c r="G81" s="40"/>
      <c r="H81" s="40"/>
      <c r="I81" s="46"/>
      <c r="J81" s="39"/>
      <c r="K81" s="40"/>
      <c r="L81" s="40"/>
      <c r="M81" s="47"/>
      <c r="N81" s="43"/>
      <c r="O81" s="44">
        <v>600</v>
      </c>
      <c r="P81" s="43">
        <f t="shared" si="43"/>
        <v>0</v>
      </c>
      <c r="Q81" s="45"/>
      <c r="R81" s="43"/>
      <c r="S81" s="43"/>
      <c r="T81" s="43"/>
      <c r="U81" s="43"/>
      <c r="V81" s="43"/>
      <c r="W81" s="43"/>
      <c r="X81" s="43"/>
      <c r="Y81" s="43"/>
      <c r="Z81" s="43"/>
      <c r="AA81" s="43"/>
      <c r="AB81" s="43"/>
      <c r="AC81" s="43"/>
      <c r="AD81" s="43"/>
      <c r="AE81" s="43"/>
      <c r="AF81" s="43"/>
      <c r="AG81" s="39">
        <f>AG51</f>
        <v>0</v>
      </c>
      <c r="AH81" s="170">
        <f t="shared" si="38"/>
        <v>0</v>
      </c>
      <c r="AI81" s="47"/>
      <c r="AJ81" s="47"/>
      <c r="AK81" s="39">
        <f>AK51</f>
        <v>0</v>
      </c>
      <c r="AL81" s="170">
        <f t="shared" si="39"/>
        <v>0</v>
      </c>
      <c r="AM81" s="47"/>
      <c r="AN81" s="47"/>
      <c r="AO81" s="39">
        <f>AO51</f>
        <v>0</v>
      </c>
      <c r="AP81" s="170">
        <f t="shared" si="40"/>
        <v>0</v>
      </c>
      <c r="AQ81" s="47"/>
      <c r="AR81" s="47"/>
      <c r="AS81" s="39">
        <f>AS51</f>
        <v>0</v>
      </c>
      <c r="AT81" s="170">
        <f t="shared" si="13"/>
        <v>0</v>
      </c>
      <c r="AU81" s="47"/>
      <c r="AV81" s="47"/>
      <c r="AW81" s="39">
        <f>AW51</f>
        <v>0</v>
      </c>
      <c r="AX81" s="170">
        <f t="shared" si="41"/>
        <v>0</v>
      </c>
      <c r="AY81" s="47"/>
      <c r="AZ81" s="47"/>
      <c r="BA81" s="39">
        <f>BA51</f>
        <v>0</v>
      </c>
      <c r="BB81" s="170">
        <f t="shared" si="42"/>
        <v>0</v>
      </c>
      <c r="BC81" s="47"/>
      <c r="BD81" s="47"/>
    </row>
    <row r="82" spans="1:56">
      <c r="A82" s="258"/>
      <c r="B82" s="259" t="s">
        <v>715</v>
      </c>
      <c r="C82" s="260" t="s">
        <v>604</v>
      </c>
      <c r="D82" s="62">
        <f>300</f>
        <v>300</v>
      </c>
      <c r="E82" s="260" t="s">
        <v>35</v>
      </c>
      <c r="F82" s="39"/>
      <c r="G82" s="40"/>
      <c r="H82" s="40"/>
      <c r="I82" s="46"/>
      <c r="J82" s="39"/>
      <c r="K82" s="40"/>
      <c r="L82" s="40"/>
      <c r="M82" s="47"/>
      <c r="N82" s="43"/>
      <c r="O82" s="44">
        <f>300*0</f>
        <v>0</v>
      </c>
      <c r="P82" s="43">
        <v>1</v>
      </c>
      <c r="Q82" s="45"/>
      <c r="R82" s="43"/>
      <c r="S82" s="43"/>
      <c r="T82" s="43"/>
      <c r="U82" s="43"/>
      <c r="V82" s="43"/>
      <c r="W82" s="43"/>
      <c r="X82" s="43"/>
      <c r="Y82" s="43"/>
      <c r="Z82" s="43"/>
      <c r="AA82" s="43"/>
      <c r="AB82" s="43"/>
      <c r="AC82" s="43"/>
      <c r="AD82" s="43"/>
      <c r="AE82" s="43"/>
      <c r="AF82" s="43"/>
      <c r="AG82" s="39">
        <f>AG53</f>
        <v>0</v>
      </c>
      <c r="AH82" s="170">
        <f t="shared" si="38"/>
        <v>0</v>
      </c>
      <c r="AI82" s="47"/>
      <c r="AJ82" s="47"/>
      <c r="AK82" s="39">
        <f>AK53</f>
        <v>0</v>
      </c>
      <c r="AL82" s="170">
        <f t="shared" si="39"/>
        <v>0</v>
      </c>
      <c r="AM82" s="47"/>
      <c r="AN82" s="47"/>
      <c r="AO82" s="39">
        <f>AO53</f>
        <v>0</v>
      </c>
      <c r="AP82" s="170">
        <f t="shared" si="40"/>
        <v>0</v>
      </c>
      <c r="AQ82" s="47"/>
      <c r="AR82" s="47"/>
      <c r="AS82" s="39">
        <f>AS53</f>
        <v>0</v>
      </c>
      <c r="AT82" s="170">
        <f t="shared" si="13"/>
        <v>0</v>
      </c>
      <c r="AU82" s="47"/>
      <c r="AV82" s="47"/>
      <c r="AW82" s="39">
        <f>AW53</f>
        <v>0</v>
      </c>
      <c r="AX82" s="170">
        <f t="shared" si="41"/>
        <v>0</v>
      </c>
      <c r="AY82" s="47"/>
      <c r="AZ82" s="47"/>
      <c r="BA82" s="39">
        <f>BA53</f>
        <v>0</v>
      </c>
      <c r="BB82" s="170">
        <f t="shared" si="42"/>
        <v>0</v>
      </c>
      <c r="BC82" s="47"/>
      <c r="BD82" s="47"/>
    </row>
    <row r="83" spans="1:56">
      <c r="A83" s="258"/>
      <c r="B83" s="259" t="s">
        <v>806</v>
      </c>
      <c r="C83" s="260" t="s">
        <v>632</v>
      </c>
      <c r="D83" s="62"/>
      <c r="E83" s="260" t="s">
        <v>632</v>
      </c>
      <c r="F83" s="39"/>
      <c r="G83" s="40"/>
      <c r="H83" s="40"/>
      <c r="I83" s="46"/>
      <c r="J83" s="39"/>
      <c r="K83" s="40"/>
      <c r="L83" s="40"/>
      <c r="M83" s="47"/>
      <c r="N83" s="43"/>
      <c r="O83" s="44"/>
      <c r="P83" s="43"/>
      <c r="Q83" s="45"/>
      <c r="R83" s="43"/>
      <c r="S83" s="43"/>
      <c r="T83" s="43"/>
      <c r="U83" s="43"/>
      <c r="V83" s="43"/>
      <c r="W83" s="43"/>
      <c r="X83" s="43"/>
      <c r="Y83" s="43"/>
      <c r="Z83" s="43"/>
      <c r="AA83" s="43"/>
      <c r="AB83" s="43"/>
      <c r="AC83" s="43"/>
      <c r="AD83" s="43"/>
      <c r="AE83" s="43"/>
      <c r="AF83" s="43"/>
      <c r="AG83" s="39"/>
      <c r="AH83" s="170"/>
      <c r="AI83" s="47"/>
      <c r="AJ83" s="47"/>
      <c r="AK83" s="39"/>
      <c r="AL83" s="170"/>
      <c r="AM83" s="47"/>
      <c r="AN83" s="47"/>
      <c r="AO83" s="39"/>
      <c r="AP83" s="170"/>
      <c r="AQ83" s="47"/>
      <c r="AR83" s="47"/>
      <c r="AS83" s="39"/>
      <c r="AT83" s="170"/>
      <c r="AU83" s="47"/>
      <c r="AV83" s="47"/>
      <c r="AW83" s="39"/>
      <c r="AX83" s="170"/>
      <c r="AY83" s="47"/>
      <c r="AZ83" s="47"/>
      <c r="BA83" s="39"/>
      <c r="BB83" s="170"/>
      <c r="BC83" s="47"/>
      <c r="BD83" s="47"/>
    </row>
    <row r="84" spans="1:56">
      <c r="A84" s="258"/>
      <c r="B84" s="259" t="s">
        <v>718</v>
      </c>
      <c r="C84" s="260" t="s">
        <v>604</v>
      </c>
      <c r="D84" s="62">
        <v>400</v>
      </c>
      <c r="E84" s="260" t="s">
        <v>35</v>
      </c>
      <c r="F84" s="39"/>
      <c r="G84" s="40"/>
      <c r="H84" s="40"/>
      <c r="I84" s="46"/>
      <c r="J84" s="39"/>
      <c r="K84" s="40"/>
      <c r="L84" s="40"/>
      <c r="M84" s="47"/>
      <c r="N84" s="43"/>
      <c r="O84" s="44">
        <v>400</v>
      </c>
      <c r="P84" s="43">
        <f t="shared" si="43"/>
        <v>0</v>
      </c>
      <c r="Q84" s="45"/>
      <c r="R84" s="43"/>
      <c r="S84" s="43"/>
      <c r="T84" s="43"/>
      <c r="U84" s="43"/>
      <c r="V84" s="43"/>
      <c r="W84" s="43"/>
      <c r="X84" s="43"/>
      <c r="Y84" s="43"/>
      <c r="Z84" s="43"/>
      <c r="AA84" s="43"/>
      <c r="AB84" s="43"/>
      <c r="AC84" s="43"/>
      <c r="AD84" s="43"/>
      <c r="AE84" s="43"/>
      <c r="AF84" s="43"/>
      <c r="AG84" s="39" t="e">
        <f>AG55*0</f>
        <v>#REF!</v>
      </c>
      <c r="AH84" s="170" t="e">
        <f t="shared" si="38"/>
        <v>#REF!</v>
      </c>
      <c r="AI84" s="47"/>
      <c r="AJ84" s="47"/>
      <c r="AK84" s="39" t="e">
        <f>AK55*0</f>
        <v>#REF!</v>
      </c>
      <c r="AL84" s="170" t="e">
        <f t="shared" si="39"/>
        <v>#REF!</v>
      </c>
      <c r="AM84" s="47"/>
      <c r="AN84" s="47"/>
      <c r="AO84" s="39" t="e">
        <f>AO55*0</f>
        <v>#REF!</v>
      </c>
      <c r="AP84" s="170" t="e">
        <f t="shared" si="40"/>
        <v>#REF!</v>
      </c>
      <c r="AQ84" s="47"/>
      <c r="AR84" s="47"/>
      <c r="AS84" s="39" t="e">
        <f>AS55*0</f>
        <v>#REF!</v>
      </c>
      <c r="AT84" s="170" t="e">
        <f t="shared" ref="AT84:AT86" si="44">AS84/$D84</f>
        <v>#REF!</v>
      </c>
      <c r="AU84" s="47"/>
      <c r="AV84" s="47"/>
      <c r="AW84" s="39" t="e">
        <f>AW55*0</f>
        <v>#REF!</v>
      </c>
      <c r="AX84" s="170" t="e">
        <f t="shared" si="41"/>
        <v>#REF!</v>
      </c>
      <c r="AY84" s="47"/>
      <c r="AZ84" s="47"/>
      <c r="BA84" s="39" t="e">
        <f>BA55*0</f>
        <v>#REF!</v>
      </c>
      <c r="BB84" s="170" t="e">
        <f t="shared" si="42"/>
        <v>#REF!</v>
      </c>
      <c r="BC84" s="47"/>
      <c r="BD84" s="47"/>
    </row>
    <row r="85" spans="1:56">
      <c r="A85" s="258"/>
      <c r="B85" s="259" t="s">
        <v>824</v>
      </c>
      <c r="C85" s="263" t="s">
        <v>632</v>
      </c>
      <c r="D85" s="216"/>
      <c r="E85" s="263" t="s">
        <v>632</v>
      </c>
      <c r="F85" s="39"/>
      <c r="G85" s="40"/>
      <c r="H85" s="40"/>
      <c r="I85" s="46"/>
      <c r="J85" s="39"/>
      <c r="K85" s="40"/>
      <c r="L85" s="40"/>
      <c r="M85" s="47"/>
      <c r="N85" s="43"/>
      <c r="O85" s="44"/>
      <c r="P85" s="43"/>
      <c r="Q85" s="45"/>
      <c r="R85" s="43"/>
      <c r="S85" s="43"/>
      <c r="T85" s="43"/>
      <c r="U85" s="43"/>
      <c r="V85" s="43"/>
      <c r="W85" s="43"/>
      <c r="X85" s="43"/>
      <c r="Y85" s="43"/>
      <c r="Z85" s="43"/>
      <c r="AA85" s="43"/>
      <c r="AB85" s="43"/>
      <c r="AC85" s="43"/>
      <c r="AD85" s="43"/>
      <c r="AE85" s="43"/>
      <c r="AF85" s="43"/>
      <c r="AG85" s="39"/>
      <c r="AH85" s="170"/>
      <c r="AI85" s="47"/>
      <c r="AJ85" s="47"/>
      <c r="AK85" s="39"/>
      <c r="AL85" s="170"/>
      <c r="AM85" s="47"/>
      <c r="AN85" s="47"/>
      <c r="AO85" s="39"/>
      <c r="AP85" s="170"/>
      <c r="AQ85" s="47"/>
      <c r="AR85" s="47"/>
      <c r="AS85" s="39"/>
      <c r="AT85" s="170"/>
      <c r="AU85" s="47"/>
      <c r="AV85" s="47"/>
      <c r="AW85" s="39"/>
      <c r="AX85" s="170"/>
      <c r="AY85" s="47"/>
      <c r="AZ85" s="47"/>
      <c r="BA85" s="39"/>
      <c r="BB85" s="170"/>
      <c r="BC85" s="47"/>
      <c r="BD85" s="47"/>
    </row>
    <row r="86" spans="1:56">
      <c r="A86" s="258"/>
      <c r="B86" s="259" t="s">
        <v>625</v>
      </c>
      <c r="C86" s="260" t="s">
        <v>602</v>
      </c>
      <c r="D86" s="62">
        <v>4000</v>
      </c>
      <c r="E86" s="260" t="s">
        <v>86</v>
      </c>
      <c r="F86" s="39"/>
      <c r="G86" s="40"/>
      <c r="H86" s="40"/>
      <c r="I86" s="46"/>
      <c r="J86" s="39"/>
      <c r="K86" s="40"/>
      <c r="L86" s="40"/>
      <c r="M86" s="47"/>
      <c r="N86" s="43"/>
      <c r="O86" s="44">
        <v>4000</v>
      </c>
      <c r="P86" s="43">
        <f t="shared" si="43"/>
        <v>0</v>
      </c>
      <c r="Q86" s="45"/>
      <c r="R86" s="43"/>
      <c r="S86" s="43"/>
      <c r="T86" s="43"/>
      <c r="U86" s="43"/>
      <c r="V86" s="43"/>
      <c r="W86" s="43"/>
      <c r="X86" s="43"/>
      <c r="Y86" s="43"/>
      <c r="Z86" s="43"/>
      <c r="AA86" s="43"/>
      <c r="AB86" s="43"/>
      <c r="AC86" s="43"/>
      <c r="AD86" s="43"/>
      <c r="AE86" s="43"/>
      <c r="AF86" s="43"/>
      <c r="AG86" s="39"/>
      <c r="AH86" s="170">
        <f t="shared" si="38"/>
        <v>0</v>
      </c>
      <c r="AI86" s="47"/>
      <c r="AJ86" s="47"/>
      <c r="AK86" s="39"/>
      <c r="AL86" s="170">
        <f t="shared" si="39"/>
        <v>0</v>
      </c>
      <c r="AM86" s="47"/>
      <c r="AN86" s="47"/>
      <c r="AO86" s="39"/>
      <c r="AP86" s="170">
        <f t="shared" si="40"/>
        <v>0</v>
      </c>
      <c r="AQ86" s="47"/>
      <c r="AR86" s="47"/>
      <c r="AS86" s="39"/>
      <c r="AT86" s="170">
        <f t="shared" si="44"/>
        <v>0</v>
      </c>
      <c r="AU86" s="47"/>
      <c r="AV86" s="47"/>
      <c r="AW86" s="39"/>
      <c r="AX86" s="170">
        <f t="shared" si="41"/>
        <v>0</v>
      </c>
      <c r="AY86" s="47"/>
      <c r="AZ86" s="47"/>
      <c r="BA86" s="39"/>
      <c r="BB86" s="170">
        <f t="shared" si="42"/>
        <v>0</v>
      </c>
      <c r="BC86" s="47"/>
      <c r="BD86" s="47"/>
    </row>
    <row r="87" spans="1:56">
      <c r="A87" s="261"/>
      <c r="B87" s="262" t="s">
        <v>626</v>
      </c>
      <c r="C87" s="263" t="s">
        <v>632</v>
      </c>
      <c r="D87" s="216"/>
      <c r="E87" s="263" t="s">
        <v>632</v>
      </c>
      <c r="F87" s="39"/>
      <c r="G87" s="40"/>
      <c r="H87" s="51"/>
      <c r="I87" s="51"/>
      <c r="J87" s="39"/>
      <c r="K87" s="40"/>
      <c r="L87" s="51"/>
      <c r="M87" s="52"/>
      <c r="N87" s="43"/>
      <c r="O87" s="44"/>
      <c r="P87" s="43">
        <f>K87</f>
        <v>0</v>
      </c>
      <c r="Q87" s="45"/>
      <c r="R87" s="43"/>
      <c r="S87" s="54"/>
      <c r="T87" s="43"/>
      <c r="U87" s="43"/>
      <c r="V87" s="43"/>
      <c r="W87" s="43"/>
      <c r="X87" s="43"/>
      <c r="Y87" s="43"/>
      <c r="Z87" s="43"/>
      <c r="AA87" s="43"/>
      <c r="AB87" s="43"/>
      <c r="AC87" s="43"/>
      <c r="AD87" s="43"/>
      <c r="AE87" s="43"/>
      <c r="AF87" s="43"/>
      <c r="AG87" s="39"/>
      <c r="AH87" s="170"/>
      <c r="AI87" s="52"/>
      <c r="AJ87" s="52"/>
      <c r="AK87" s="39"/>
      <c r="AL87" s="170"/>
      <c r="AM87" s="52"/>
      <c r="AN87" s="52"/>
      <c r="AO87" s="39"/>
      <c r="AP87" s="170"/>
      <c r="AQ87" s="52"/>
      <c r="AR87" s="52"/>
      <c r="AS87" s="39"/>
      <c r="AT87" s="170"/>
      <c r="AU87" s="52"/>
      <c r="AV87" s="52"/>
      <c r="AW87" s="39"/>
      <c r="AX87" s="170"/>
      <c r="AY87" s="52"/>
      <c r="AZ87" s="52"/>
      <c r="BA87" s="39"/>
      <c r="BB87" s="170"/>
      <c r="BC87" s="52"/>
      <c r="BD87" s="52"/>
    </row>
    <row r="88" spans="1:56">
      <c r="A88" s="251">
        <v>6</v>
      </c>
      <c r="B88" s="252" t="s">
        <v>628</v>
      </c>
      <c r="C88" s="253"/>
      <c r="D88" s="283"/>
      <c r="E88" s="253"/>
      <c r="F88" s="53"/>
      <c r="G88" s="35">
        <f>SUM(G89:G112)</f>
        <v>0</v>
      </c>
      <c r="H88" s="35"/>
      <c r="I88" s="36">
        <f>IFERROR(G88/H88,0)</f>
        <v>0</v>
      </c>
      <c r="J88" s="53"/>
      <c r="K88" s="35">
        <f>SUM(K89:K112)</f>
        <v>0</v>
      </c>
      <c r="L88" s="35"/>
      <c r="M88" s="36">
        <f>IFERROR(K88/L88,0)</f>
        <v>0</v>
      </c>
      <c r="N88" s="43"/>
      <c r="O88" s="44"/>
      <c r="P88" s="35">
        <f>SUM(P89:P112)</f>
        <v>0</v>
      </c>
      <c r="Q88" s="38" t="e">
        <f>P88/L88</f>
        <v>#DIV/0!</v>
      </c>
      <c r="R88" s="43"/>
      <c r="S88" s="43"/>
      <c r="T88" s="78">
        <f>K88-L88</f>
        <v>0</v>
      </c>
      <c r="U88" s="25">
        <v>32.25</v>
      </c>
      <c r="V88" s="74">
        <f>T88*U88</f>
        <v>0</v>
      </c>
      <c r="W88" s="43"/>
      <c r="X88" s="43"/>
      <c r="Y88" s="74">
        <f>367/12</f>
        <v>30.583333333333332</v>
      </c>
      <c r="Z88" s="43"/>
      <c r="AA88" s="43">
        <v>2355.75</v>
      </c>
      <c r="AB88" s="43"/>
      <c r="AC88" s="43"/>
      <c r="AD88" s="43"/>
      <c r="AE88" s="43"/>
      <c r="AF88" s="43"/>
      <c r="AG88" s="37"/>
      <c r="AH88" s="35" t="e">
        <f>SUM(AH89:AH112)</f>
        <v>#REF!</v>
      </c>
      <c r="AI88" s="209">
        <f>VLOOKUP($B88,'[5]Eqpmnt &amp; MP Days'!$B$4:$H$11,2,0)</f>
        <v>7.25</v>
      </c>
      <c r="AJ88" s="37" t="str">
        <f>IFERROR(AH88/AI88,"")</f>
        <v/>
      </c>
      <c r="AK88" s="37"/>
      <c r="AL88" s="35" t="e">
        <f>SUM(AL89:AL112)</f>
        <v>#REF!</v>
      </c>
      <c r="AM88" s="209">
        <f>VLOOKUP($B88,'[5]Eqpmnt &amp; MP Days'!$B$4:$H$11,3,0)</f>
        <v>174</v>
      </c>
      <c r="AN88" s="37" t="str">
        <f>IFERROR(AL88/AM88,"")</f>
        <v/>
      </c>
      <c r="AO88" s="37"/>
      <c r="AP88" s="35" t="e">
        <f>SUM(AP89:AP112)</f>
        <v>#REF!</v>
      </c>
      <c r="AQ88" s="209">
        <f>VLOOKUP($B88,'[5]Eqpmnt &amp; MP Days'!$B$4:$H$11,4,0)</f>
        <v>5.5</v>
      </c>
      <c r="AR88" s="37" t="str">
        <f>IFERROR(AP88/AQ88,"")</f>
        <v/>
      </c>
      <c r="AS88" s="53"/>
      <c r="AT88" s="35" t="e">
        <f>SUM(AT89:AT112)</f>
        <v>#REF!</v>
      </c>
      <c r="AU88" s="209">
        <f>VLOOKUP($B88,'[5]Eqpmnt &amp; MP Days'!$B$4:$H$11,5,0)</f>
        <v>132</v>
      </c>
      <c r="AV88" s="37" t="str">
        <f>IFERROR(AT88/AU88,"")</f>
        <v/>
      </c>
      <c r="AW88" s="53"/>
      <c r="AX88" s="35" t="e">
        <f>SUM(AX89:AX112)</f>
        <v>#REF!</v>
      </c>
      <c r="AY88" s="209">
        <f>VLOOKUP($B88,'[5]Eqpmnt &amp; MP Days'!$B$4:$H$11,6,0)</f>
        <v>1</v>
      </c>
      <c r="AZ88" s="37" t="str">
        <f>IFERROR(AX88/AY88,"")</f>
        <v/>
      </c>
      <c r="BA88" s="53"/>
      <c r="BB88" s="35" t="e">
        <f>SUM(BB89:BB112)</f>
        <v>#REF!</v>
      </c>
      <c r="BC88" s="209">
        <f>VLOOKUP($B88,'[5]Eqpmnt &amp; MP Days'!$B$4:$H$11,7,0)</f>
        <v>24</v>
      </c>
      <c r="BD88" s="37" t="str">
        <f>IFERROR(BB88/BC88,"")</f>
        <v/>
      </c>
    </row>
    <row r="89" spans="1:56">
      <c r="A89" s="249"/>
      <c r="B89" s="257" t="s">
        <v>710</v>
      </c>
      <c r="C89" s="256" t="s">
        <v>602</v>
      </c>
      <c r="D89" s="218">
        <v>3000</v>
      </c>
      <c r="E89" s="256" t="s">
        <v>86</v>
      </c>
      <c r="F89" s="39"/>
      <c r="G89" s="40"/>
      <c r="H89" s="69"/>
      <c r="I89" s="70"/>
      <c r="J89" s="39"/>
      <c r="K89" s="40"/>
      <c r="L89" s="39"/>
      <c r="M89" s="71"/>
      <c r="N89" s="43"/>
      <c r="O89" s="44">
        <v>3000</v>
      </c>
      <c r="P89" s="43">
        <f>J89/O89</f>
        <v>0</v>
      </c>
      <c r="Q89" s="38"/>
      <c r="R89" s="43"/>
      <c r="S89" s="43"/>
      <c r="T89" s="43"/>
      <c r="U89" s="43"/>
      <c r="V89" s="43"/>
      <c r="W89" s="43"/>
      <c r="X89" s="43"/>
      <c r="Y89" s="43"/>
      <c r="Z89" s="43"/>
      <c r="AA89" s="43">
        <v>620</v>
      </c>
      <c r="AB89" s="43"/>
      <c r="AC89" s="43"/>
      <c r="AD89" s="43"/>
      <c r="AE89" s="43"/>
      <c r="AF89" s="43"/>
      <c r="AG89" s="39" t="e">
        <f>AG46</f>
        <v>#REF!</v>
      </c>
      <c r="AH89" s="170" t="e">
        <f t="shared" ref="AH89:AH111" si="45">AG89/$D89</f>
        <v>#REF!</v>
      </c>
      <c r="AI89" s="71"/>
      <c r="AJ89" s="71"/>
      <c r="AK89" s="39" t="e">
        <f>AK46</f>
        <v>#REF!</v>
      </c>
      <c r="AL89" s="170" t="e">
        <f t="shared" ref="AL89:AL111" si="46">AK89/$D89</f>
        <v>#REF!</v>
      </c>
      <c r="AM89" s="71"/>
      <c r="AN89" s="71"/>
      <c r="AO89" s="39" t="e">
        <f>AO46</f>
        <v>#REF!</v>
      </c>
      <c r="AP89" s="170" t="e">
        <f t="shared" ref="AP89:AP111" si="47">AO89/$D89</f>
        <v>#REF!</v>
      </c>
      <c r="AQ89" s="71"/>
      <c r="AR89" s="71"/>
      <c r="AS89" s="39" t="e">
        <f>AS46</f>
        <v>#REF!</v>
      </c>
      <c r="AT89" s="170" t="e">
        <f t="shared" ref="AT89:AT111" si="48">AS89/$D89</f>
        <v>#REF!</v>
      </c>
      <c r="AU89" s="71"/>
      <c r="AV89" s="71"/>
      <c r="AW89" s="39" t="e">
        <f>AW46</f>
        <v>#REF!</v>
      </c>
      <c r="AX89" s="170" t="e">
        <f t="shared" ref="AX89:AX111" si="49">AW89/$D89</f>
        <v>#REF!</v>
      </c>
      <c r="AY89" s="71"/>
      <c r="AZ89" s="71"/>
      <c r="BA89" s="39" t="e">
        <f>BA46</f>
        <v>#REF!</v>
      </c>
      <c r="BB89" s="170" t="e">
        <f t="shared" si="42"/>
        <v>#REF!</v>
      </c>
      <c r="BC89" s="71"/>
      <c r="BD89" s="71"/>
    </row>
    <row r="90" spans="1:56">
      <c r="A90" s="249"/>
      <c r="B90" s="257" t="s">
        <v>614</v>
      </c>
      <c r="C90" s="256" t="s">
        <v>604</v>
      </c>
      <c r="D90" s="218">
        <v>400</v>
      </c>
      <c r="E90" s="256" t="s">
        <v>35</v>
      </c>
      <c r="F90" s="39"/>
      <c r="G90" s="40"/>
      <c r="H90" s="69"/>
      <c r="I90" s="70"/>
      <c r="J90" s="39"/>
      <c r="K90" s="40"/>
      <c r="L90" s="39"/>
      <c r="M90" s="71"/>
      <c r="N90" s="43"/>
      <c r="O90" s="44">
        <v>400</v>
      </c>
      <c r="P90" s="43">
        <f t="shared" ref="P90:P109" si="50">J90/O90</f>
        <v>0</v>
      </c>
      <c r="Q90" s="45"/>
      <c r="R90" s="43"/>
      <c r="S90" s="43"/>
      <c r="T90" s="43"/>
      <c r="U90" s="43"/>
      <c r="V90" s="43"/>
      <c r="W90" s="43"/>
      <c r="X90" s="43"/>
      <c r="Y90" s="43"/>
      <c r="Z90" s="43"/>
      <c r="AA90" s="43">
        <v>598.5</v>
      </c>
      <c r="AB90" s="43"/>
      <c r="AC90" s="43"/>
      <c r="AD90" s="43"/>
      <c r="AE90" s="43"/>
      <c r="AF90" s="43"/>
      <c r="AG90" s="39" t="e">
        <f>AG75</f>
        <v>#REF!</v>
      </c>
      <c r="AH90" s="170" t="e">
        <f t="shared" si="45"/>
        <v>#REF!</v>
      </c>
      <c r="AI90" s="71"/>
      <c r="AJ90" s="71"/>
      <c r="AK90" s="39" t="e">
        <f>AK75</f>
        <v>#REF!</v>
      </c>
      <c r="AL90" s="170" t="e">
        <f t="shared" si="46"/>
        <v>#REF!</v>
      </c>
      <c r="AM90" s="71"/>
      <c r="AN90" s="71"/>
      <c r="AO90" s="39" t="e">
        <f>AO75</f>
        <v>#REF!</v>
      </c>
      <c r="AP90" s="170" t="e">
        <f t="shared" si="47"/>
        <v>#REF!</v>
      </c>
      <c r="AQ90" s="71"/>
      <c r="AR90" s="71"/>
      <c r="AS90" s="39" t="e">
        <f>AS75</f>
        <v>#REF!</v>
      </c>
      <c r="AT90" s="170" t="e">
        <f t="shared" si="48"/>
        <v>#REF!</v>
      </c>
      <c r="AU90" s="71"/>
      <c r="AV90" s="71"/>
      <c r="AW90" s="39" t="e">
        <f>AW75</f>
        <v>#REF!</v>
      </c>
      <c r="AX90" s="170" t="e">
        <f t="shared" si="49"/>
        <v>#REF!</v>
      </c>
      <c r="AY90" s="71"/>
      <c r="AZ90" s="71"/>
      <c r="BA90" s="39" t="e">
        <f>BA75</f>
        <v>#REF!</v>
      </c>
      <c r="BB90" s="170" t="e">
        <f t="shared" si="42"/>
        <v>#REF!</v>
      </c>
      <c r="BC90" s="71"/>
      <c r="BD90" s="71"/>
    </row>
    <row r="91" spans="1:56">
      <c r="A91" s="249"/>
      <c r="B91" s="257" t="s">
        <v>799</v>
      </c>
      <c r="C91" s="256" t="s">
        <v>604</v>
      </c>
      <c r="D91" s="218">
        <v>1000</v>
      </c>
      <c r="E91" s="256" t="s">
        <v>35</v>
      </c>
      <c r="F91" s="39"/>
      <c r="G91" s="40"/>
      <c r="H91" s="69"/>
      <c r="I91" s="70"/>
      <c r="J91" s="39"/>
      <c r="K91" s="40"/>
      <c r="L91" s="39"/>
      <c r="M91" s="71"/>
      <c r="N91" s="43"/>
      <c r="O91" s="44">
        <v>1000</v>
      </c>
      <c r="P91" s="43">
        <f t="shared" si="50"/>
        <v>0</v>
      </c>
      <c r="Q91" s="45"/>
      <c r="R91" s="43"/>
      <c r="S91" s="43"/>
      <c r="T91" s="43"/>
      <c r="U91" s="43"/>
      <c r="V91" s="43"/>
      <c r="W91" s="43"/>
      <c r="X91" s="43"/>
      <c r="Y91" s="43"/>
      <c r="Z91" s="43"/>
      <c r="AA91" s="43"/>
      <c r="AB91" s="43"/>
      <c r="AC91" s="43"/>
      <c r="AD91" s="43"/>
      <c r="AE91" s="43"/>
      <c r="AF91" s="43"/>
      <c r="AG91" s="39" t="e">
        <f>#REF!</f>
        <v>#REF!</v>
      </c>
      <c r="AH91" s="170" t="e">
        <f t="shared" si="45"/>
        <v>#REF!</v>
      </c>
      <c r="AI91" s="71"/>
      <c r="AJ91" s="71"/>
      <c r="AK91" s="39" t="e">
        <f>#REF!</f>
        <v>#REF!</v>
      </c>
      <c r="AL91" s="170" t="e">
        <f t="shared" si="46"/>
        <v>#REF!</v>
      </c>
      <c r="AM91" s="71"/>
      <c r="AN91" s="71"/>
      <c r="AO91" s="39" t="e">
        <f>#REF!</f>
        <v>#REF!</v>
      </c>
      <c r="AP91" s="170" t="e">
        <f t="shared" si="47"/>
        <v>#REF!</v>
      </c>
      <c r="AQ91" s="71"/>
      <c r="AR91" s="71"/>
      <c r="AS91" s="39" t="e">
        <f>#REF!</f>
        <v>#REF!</v>
      </c>
      <c r="AT91" s="170" t="e">
        <f t="shared" si="48"/>
        <v>#REF!</v>
      </c>
      <c r="AU91" s="71"/>
      <c r="AV91" s="71"/>
      <c r="AW91" s="39" t="e">
        <f>#REF!</f>
        <v>#REF!</v>
      </c>
      <c r="AX91" s="170" t="e">
        <f t="shared" si="49"/>
        <v>#REF!</v>
      </c>
      <c r="AY91" s="71"/>
      <c r="AZ91" s="71"/>
      <c r="BA91" s="39" t="e">
        <f>#REF!</f>
        <v>#REF!</v>
      </c>
      <c r="BB91" s="170" t="e">
        <f t="shared" si="42"/>
        <v>#REF!</v>
      </c>
      <c r="BC91" s="71"/>
      <c r="BD91" s="71"/>
    </row>
    <row r="92" spans="1:56">
      <c r="A92" s="276"/>
      <c r="B92" s="257" t="s">
        <v>698</v>
      </c>
      <c r="C92" s="256" t="s">
        <v>604</v>
      </c>
      <c r="D92" s="218">
        <v>900</v>
      </c>
      <c r="E92" s="256" t="s">
        <v>35</v>
      </c>
      <c r="F92" s="39"/>
      <c r="G92" s="39"/>
      <c r="H92" s="69"/>
      <c r="I92" s="70"/>
      <c r="J92" s="39"/>
      <c r="K92" s="39"/>
      <c r="L92" s="39"/>
      <c r="M92" s="71"/>
      <c r="N92" s="43"/>
      <c r="O92" s="44">
        <v>700</v>
      </c>
      <c r="P92" s="43">
        <f t="shared" si="50"/>
        <v>0</v>
      </c>
      <c r="Q92" s="45"/>
      <c r="R92" s="43"/>
      <c r="S92" s="43"/>
      <c r="T92" s="43"/>
      <c r="U92" s="43"/>
      <c r="V92" s="43"/>
      <c r="W92" s="43"/>
      <c r="X92" s="43"/>
      <c r="Y92" s="43"/>
      <c r="Z92" s="43"/>
      <c r="AA92" s="43"/>
      <c r="AB92" s="43"/>
      <c r="AC92" s="43"/>
      <c r="AD92" s="43"/>
      <c r="AE92" s="43"/>
      <c r="AF92" s="43"/>
      <c r="AG92" s="39" t="e">
        <f>AG27</f>
        <v>#REF!</v>
      </c>
      <c r="AH92" s="170" t="e">
        <f t="shared" si="45"/>
        <v>#REF!</v>
      </c>
      <c r="AI92" s="71"/>
      <c r="AJ92" s="71"/>
      <c r="AK92" s="39" t="e">
        <f>#REF!</f>
        <v>#REF!</v>
      </c>
      <c r="AL92" s="170" t="e">
        <f t="shared" si="46"/>
        <v>#REF!</v>
      </c>
      <c r="AM92" s="71"/>
      <c r="AN92" s="71"/>
      <c r="AO92" s="39" t="e">
        <f>AO27</f>
        <v>#REF!</v>
      </c>
      <c r="AP92" s="170" t="e">
        <f t="shared" si="47"/>
        <v>#REF!</v>
      </c>
      <c r="AQ92" s="71"/>
      <c r="AR92" s="71"/>
      <c r="AS92" s="39" t="e">
        <f>#REF!</f>
        <v>#REF!</v>
      </c>
      <c r="AT92" s="170" t="e">
        <f t="shared" si="48"/>
        <v>#REF!</v>
      </c>
      <c r="AU92" s="71"/>
      <c r="AV92" s="71"/>
      <c r="AW92" s="39" t="e">
        <f>AW27</f>
        <v>#REF!</v>
      </c>
      <c r="AX92" s="170" t="e">
        <f t="shared" si="49"/>
        <v>#REF!</v>
      </c>
      <c r="AY92" s="71"/>
      <c r="AZ92" s="71"/>
      <c r="BA92" s="39" t="e">
        <f>#REF!</f>
        <v>#REF!</v>
      </c>
      <c r="BB92" s="170" t="e">
        <f t="shared" si="42"/>
        <v>#REF!</v>
      </c>
      <c r="BC92" s="71"/>
      <c r="BD92" s="71"/>
    </row>
    <row r="93" spans="1:56">
      <c r="A93" s="258"/>
      <c r="B93" s="259" t="s">
        <v>629</v>
      </c>
      <c r="C93" s="260" t="s">
        <v>604</v>
      </c>
      <c r="D93" s="62">
        <v>700</v>
      </c>
      <c r="E93" s="260" t="s">
        <v>35</v>
      </c>
      <c r="F93" s="39"/>
      <c r="G93" s="40"/>
      <c r="H93" s="40"/>
      <c r="I93" s="46"/>
      <c r="J93" s="39"/>
      <c r="K93" s="40"/>
      <c r="L93" s="40"/>
      <c r="M93" s="47"/>
      <c r="N93" s="43"/>
      <c r="O93" s="44">
        <v>700</v>
      </c>
      <c r="P93" s="43">
        <f t="shared" si="50"/>
        <v>0</v>
      </c>
      <c r="Q93" s="45"/>
      <c r="R93" s="43"/>
      <c r="S93" s="43"/>
      <c r="T93" s="43"/>
      <c r="U93" s="43"/>
      <c r="V93" s="43"/>
      <c r="W93" s="43"/>
      <c r="X93" s="43"/>
      <c r="Y93" s="43"/>
      <c r="Z93" s="43"/>
      <c r="AA93" s="43"/>
      <c r="AB93" s="43"/>
      <c r="AC93" s="43"/>
      <c r="AD93" s="43"/>
      <c r="AE93" s="43"/>
      <c r="AF93" s="43"/>
      <c r="AG93" s="39" t="e">
        <f>AG76+AG77</f>
        <v>#REF!</v>
      </c>
      <c r="AH93" s="170" t="e">
        <f t="shared" si="45"/>
        <v>#REF!</v>
      </c>
      <c r="AI93" s="47"/>
      <c r="AJ93" s="47"/>
      <c r="AK93" s="39" t="e">
        <f>AK76+AK77</f>
        <v>#REF!</v>
      </c>
      <c r="AL93" s="170" t="e">
        <f t="shared" si="46"/>
        <v>#REF!</v>
      </c>
      <c r="AM93" s="47"/>
      <c r="AN93" s="47"/>
      <c r="AO93" s="39" t="e">
        <f>AO76+AO77</f>
        <v>#REF!</v>
      </c>
      <c r="AP93" s="170" t="e">
        <f t="shared" si="47"/>
        <v>#REF!</v>
      </c>
      <c r="AQ93" s="47"/>
      <c r="AR93" s="47"/>
      <c r="AS93" s="39" t="e">
        <f>AS76+AS77</f>
        <v>#REF!</v>
      </c>
      <c r="AT93" s="170" t="e">
        <f t="shared" si="48"/>
        <v>#REF!</v>
      </c>
      <c r="AU93" s="47"/>
      <c r="AV93" s="47"/>
      <c r="AW93" s="39" t="e">
        <f>AW76+AW77</f>
        <v>#REF!</v>
      </c>
      <c r="AX93" s="170" t="e">
        <f t="shared" si="49"/>
        <v>#REF!</v>
      </c>
      <c r="AY93" s="47"/>
      <c r="AZ93" s="47"/>
      <c r="BA93" s="39" t="e">
        <f>BA76+BA77</f>
        <v>#REF!</v>
      </c>
      <c r="BB93" s="170" t="e">
        <f t="shared" si="42"/>
        <v>#REF!</v>
      </c>
      <c r="BC93" s="47"/>
      <c r="BD93" s="47"/>
    </row>
    <row r="94" spans="1:56">
      <c r="A94" s="258"/>
      <c r="B94" s="259" t="s">
        <v>725</v>
      </c>
      <c r="C94" s="260" t="s">
        <v>604</v>
      </c>
      <c r="D94" s="62">
        <v>600</v>
      </c>
      <c r="E94" s="260" t="s">
        <v>35</v>
      </c>
      <c r="F94" s="39"/>
      <c r="G94" s="40"/>
      <c r="H94" s="40"/>
      <c r="I94" s="46"/>
      <c r="J94" s="39"/>
      <c r="K94" s="40"/>
      <c r="L94" s="40"/>
      <c r="M94" s="47"/>
      <c r="N94" s="43"/>
      <c r="O94" s="44">
        <v>600</v>
      </c>
      <c r="P94" s="43">
        <f t="shared" si="50"/>
        <v>0</v>
      </c>
      <c r="Q94" s="45"/>
      <c r="R94" s="43"/>
      <c r="S94" s="43"/>
      <c r="T94" s="43"/>
      <c r="U94" s="43"/>
      <c r="V94" s="43"/>
      <c r="W94" s="43"/>
      <c r="X94" s="43"/>
      <c r="Y94" s="43"/>
      <c r="Z94" s="43"/>
      <c r="AA94" s="43"/>
      <c r="AB94" s="43"/>
      <c r="AC94" s="43"/>
      <c r="AD94" s="43"/>
      <c r="AE94" s="43"/>
      <c r="AF94" s="43"/>
      <c r="AG94" s="39" t="e">
        <f>AG28</f>
        <v>#REF!</v>
      </c>
      <c r="AH94" s="170" t="e">
        <f t="shared" si="45"/>
        <v>#REF!</v>
      </c>
      <c r="AI94" s="47"/>
      <c r="AJ94" s="47"/>
      <c r="AK94" s="39" t="e">
        <f>AK28</f>
        <v>#REF!</v>
      </c>
      <c r="AL94" s="170" t="e">
        <f t="shared" si="46"/>
        <v>#REF!</v>
      </c>
      <c r="AM94" s="47"/>
      <c r="AN94" s="47"/>
      <c r="AO94" s="39" t="e">
        <f>AO28</f>
        <v>#REF!</v>
      </c>
      <c r="AP94" s="170" t="e">
        <f t="shared" si="47"/>
        <v>#REF!</v>
      </c>
      <c r="AQ94" s="47"/>
      <c r="AR94" s="47"/>
      <c r="AS94" s="39" t="e">
        <f>AS28</f>
        <v>#REF!</v>
      </c>
      <c r="AT94" s="170" t="e">
        <f t="shared" si="48"/>
        <v>#REF!</v>
      </c>
      <c r="AU94" s="47"/>
      <c r="AV94" s="47"/>
      <c r="AW94" s="39" t="e">
        <f>AW28</f>
        <v>#REF!</v>
      </c>
      <c r="AX94" s="170" t="e">
        <f t="shared" si="49"/>
        <v>#REF!</v>
      </c>
      <c r="AY94" s="47"/>
      <c r="AZ94" s="47"/>
      <c r="BA94" s="39" t="e">
        <f>BA28</f>
        <v>#REF!</v>
      </c>
      <c r="BB94" s="170" t="e">
        <f t="shared" si="42"/>
        <v>#REF!</v>
      </c>
      <c r="BC94" s="47"/>
      <c r="BD94" s="47"/>
    </row>
    <row r="95" spans="1:56">
      <c r="A95" s="258"/>
      <c r="B95" s="259" t="s">
        <v>630</v>
      </c>
      <c r="C95" s="260" t="s">
        <v>604</v>
      </c>
      <c r="D95" s="62">
        <v>600</v>
      </c>
      <c r="E95" s="260" t="s">
        <v>35</v>
      </c>
      <c r="F95" s="39"/>
      <c r="G95" s="40"/>
      <c r="H95" s="40"/>
      <c r="I95" s="46"/>
      <c r="J95" s="39"/>
      <c r="K95" s="40"/>
      <c r="L95" s="40"/>
      <c r="M95" s="47"/>
      <c r="N95" s="43"/>
      <c r="O95" s="44">
        <v>600</v>
      </c>
      <c r="P95" s="43">
        <f t="shared" si="50"/>
        <v>0</v>
      </c>
      <c r="Q95" s="45"/>
      <c r="R95" s="43"/>
      <c r="S95" s="43"/>
      <c r="T95" s="43"/>
      <c r="U95" s="43"/>
      <c r="V95" s="43"/>
      <c r="W95" s="43"/>
      <c r="X95" s="43"/>
      <c r="Y95" s="43"/>
      <c r="Z95" s="43"/>
      <c r="AA95" s="43"/>
      <c r="AB95" s="43"/>
      <c r="AC95" s="43"/>
      <c r="AD95" s="43"/>
      <c r="AE95" s="43"/>
      <c r="AF95" s="43"/>
      <c r="AG95" s="39" t="e">
        <f>AG78</f>
        <v>#REF!</v>
      </c>
      <c r="AH95" s="170" t="e">
        <f t="shared" si="45"/>
        <v>#REF!</v>
      </c>
      <c r="AI95" s="47"/>
      <c r="AJ95" s="47"/>
      <c r="AK95" s="39" t="e">
        <f>AK78</f>
        <v>#REF!</v>
      </c>
      <c r="AL95" s="170" t="e">
        <f t="shared" si="46"/>
        <v>#REF!</v>
      </c>
      <c r="AM95" s="47"/>
      <c r="AN95" s="47"/>
      <c r="AO95" s="39" t="e">
        <f>AO78</f>
        <v>#REF!</v>
      </c>
      <c r="AP95" s="170" t="e">
        <f t="shared" si="47"/>
        <v>#REF!</v>
      </c>
      <c r="AQ95" s="47"/>
      <c r="AR95" s="47"/>
      <c r="AS95" s="39" t="e">
        <f>AS78</f>
        <v>#REF!</v>
      </c>
      <c r="AT95" s="170" t="e">
        <f t="shared" si="48"/>
        <v>#REF!</v>
      </c>
      <c r="AU95" s="47"/>
      <c r="AV95" s="47"/>
      <c r="AW95" s="39" t="e">
        <f>AW78</f>
        <v>#REF!</v>
      </c>
      <c r="AX95" s="170" t="e">
        <f t="shared" si="49"/>
        <v>#REF!</v>
      </c>
      <c r="AY95" s="47"/>
      <c r="AZ95" s="47"/>
      <c r="BA95" s="39" t="e">
        <f>BA78</f>
        <v>#REF!</v>
      </c>
      <c r="BB95" s="170" t="e">
        <f t="shared" si="42"/>
        <v>#REF!</v>
      </c>
      <c r="BC95" s="47"/>
      <c r="BD95" s="47"/>
    </row>
    <row r="96" spans="1:56">
      <c r="A96" s="258"/>
      <c r="B96" s="259" t="s">
        <v>727</v>
      </c>
      <c r="C96" s="260" t="s">
        <v>604</v>
      </c>
      <c r="D96" s="62">
        <v>550</v>
      </c>
      <c r="E96" s="260" t="s">
        <v>35</v>
      </c>
      <c r="F96" s="39"/>
      <c r="G96" s="40"/>
      <c r="H96" s="40"/>
      <c r="I96" s="46"/>
      <c r="J96" s="39"/>
      <c r="K96" s="40"/>
      <c r="L96" s="40"/>
      <c r="M96" s="47"/>
      <c r="N96" s="43"/>
      <c r="O96" s="44">
        <v>550</v>
      </c>
      <c r="P96" s="43">
        <f t="shared" si="50"/>
        <v>0</v>
      </c>
      <c r="Q96" s="45"/>
      <c r="R96" s="43"/>
      <c r="S96" s="43"/>
      <c r="T96" s="43"/>
      <c r="U96" s="43"/>
      <c r="V96" s="43"/>
      <c r="W96" s="43"/>
      <c r="X96" s="43"/>
      <c r="Y96" s="43"/>
      <c r="Z96" s="43"/>
      <c r="AA96" s="43"/>
      <c r="AB96" s="43"/>
      <c r="AC96" s="43"/>
      <c r="AD96" s="43"/>
      <c r="AE96" s="43"/>
      <c r="AF96" s="43"/>
      <c r="AG96" s="39"/>
      <c r="AH96" s="170">
        <f t="shared" si="45"/>
        <v>0</v>
      </c>
      <c r="AI96" s="47"/>
      <c r="AJ96" s="47"/>
      <c r="AK96" s="39" t="e">
        <f>AK124</f>
        <v>#REF!</v>
      </c>
      <c r="AL96" s="170" t="e">
        <f t="shared" si="46"/>
        <v>#REF!</v>
      </c>
      <c r="AM96" s="47"/>
      <c r="AN96" s="47"/>
      <c r="AO96" s="39"/>
      <c r="AP96" s="170">
        <f t="shared" si="47"/>
        <v>0</v>
      </c>
      <c r="AQ96" s="47"/>
      <c r="AR96" s="47"/>
      <c r="AS96" s="39" t="e">
        <f>AS124</f>
        <v>#REF!</v>
      </c>
      <c r="AT96" s="170" t="e">
        <f t="shared" si="48"/>
        <v>#REF!</v>
      </c>
      <c r="AU96" s="47"/>
      <c r="AV96" s="47"/>
      <c r="AW96" s="39"/>
      <c r="AX96" s="170">
        <f t="shared" si="49"/>
        <v>0</v>
      </c>
      <c r="AY96" s="47"/>
      <c r="AZ96" s="47"/>
      <c r="BA96" s="39" t="e">
        <f>BA124</f>
        <v>#REF!</v>
      </c>
      <c r="BB96" s="170" t="e">
        <f t="shared" si="42"/>
        <v>#REF!</v>
      </c>
      <c r="BC96" s="47"/>
      <c r="BD96" s="47"/>
    </row>
    <row r="97" spans="1:56">
      <c r="A97" s="258"/>
      <c r="B97" s="259" t="s">
        <v>726</v>
      </c>
      <c r="C97" s="260" t="s">
        <v>604</v>
      </c>
      <c r="D97" s="62">
        <v>550</v>
      </c>
      <c r="E97" s="260" t="s">
        <v>35</v>
      </c>
      <c r="F97" s="39"/>
      <c r="G97" s="40"/>
      <c r="H97" s="40"/>
      <c r="I97" s="46"/>
      <c r="J97" s="39"/>
      <c r="K97" s="40"/>
      <c r="L97" s="40"/>
      <c r="M97" s="47"/>
      <c r="N97" s="43"/>
      <c r="O97" s="44">
        <v>550</v>
      </c>
      <c r="P97" s="43">
        <f t="shared" si="50"/>
        <v>0</v>
      </c>
      <c r="Q97" s="45"/>
      <c r="R97" s="43"/>
      <c r="S97" s="43"/>
      <c r="T97" s="43"/>
      <c r="U97" s="43"/>
      <c r="V97" s="43"/>
      <c r="W97" s="43"/>
      <c r="X97" s="43"/>
      <c r="Y97" s="43"/>
      <c r="Z97" s="43"/>
      <c r="AA97" s="43"/>
      <c r="AB97" s="43"/>
      <c r="AC97" s="43"/>
      <c r="AD97" s="43"/>
      <c r="AE97" s="43"/>
      <c r="AF97" s="43"/>
      <c r="AG97" s="39" t="e">
        <f>AG79</f>
        <v>#REF!</v>
      </c>
      <c r="AH97" s="170" t="e">
        <f t="shared" si="45"/>
        <v>#REF!</v>
      </c>
      <c r="AI97" s="47"/>
      <c r="AJ97" s="47"/>
      <c r="AK97" s="39" t="e">
        <f>AK79</f>
        <v>#REF!</v>
      </c>
      <c r="AL97" s="170" t="e">
        <f t="shared" si="46"/>
        <v>#REF!</v>
      </c>
      <c r="AM97" s="47"/>
      <c r="AN97" s="47"/>
      <c r="AO97" s="39" t="e">
        <f>AO79</f>
        <v>#REF!</v>
      </c>
      <c r="AP97" s="170" t="e">
        <f t="shared" si="47"/>
        <v>#REF!</v>
      </c>
      <c r="AQ97" s="47"/>
      <c r="AR97" s="47"/>
      <c r="AS97" s="39" t="e">
        <f>AS79</f>
        <v>#REF!</v>
      </c>
      <c r="AT97" s="170" t="e">
        <f t="shared" si="48"/>
        <v>#REF!</v>
      </c>
      <c r="AU97" s="47"/>
      <c r="AV97" s="47"/>
      <c r="AW97" s="39" t="e">
        <f>AW79</f>
        <v>#REF!</v>
      </c>
      <c r="AX97" s="170" t="e">
        <f t="shared" si="49"/>
        <v>#REF!</v>
      </c>
      <c r="AY97" s="47"/>
      <c r="AZ97" s="47"/>
      <c r="BA97" s="39" t="e">
        <f>BA79</f>
        <v>#REF!</v>
      </c>
      <c r="BB97" s="170" t="e">
        <f t="shared" si="42"/>
        <v>#REF!</v>
      </c>
      <c r="BC97" s="47"/>
      <c r="BD97" s="47"/>
    </row>
    <row r="98" spans="1:56">
      <c r="A98" s="258"/>
      <c r="B98" s="259" t="s">
        <v>728</v>
      </c>
      <c r="C98" s="260" t="s">
        <v>604</v>
      </c>
      <c r="D98" s="62">
        <v>550</v>
      </c>
      <c r="E98" s="260" t="s">
        <v>35</v>
      </c>
      <c r="F98" s="39"/>
      <c r="G98" s="40"/>
      <c r="H98" s="40"/>
      <c r="I98" s="46"/>
      <c r="J98" s="39"/>
      <c r="K98" s="40"/>
      <c r="L98" s="40"/>
      <c r="M98" s="47"/>
      <c r="N98" s="43"/>
      <c r="O98" s="44">
        <v>550</v>
      </c>
      <c r="P98" s="43">
        <f t="shared" si="50"/>
        <v>0</v>
      </c>
      <c r="Q98" s="45"/>
      <c r="R98" s="43"/>
      <c r="S98" s="43"/>
      <c r="T98" s="43"/>
      <c r="U98" s="43"/>
      <c r="V98" s="43"/>
      <c r="W98" s="43"/>
      <c r="X98" s="43"/>
      <c r="Y98" s="43"/>
      <c r="Z98" s="43"/>
      <c r="AA98" s="43"/>
      <c r="AB98" s="43"/>
      <c r="AC98" s="43"/>
      <c r="AD98" s="43"/>
      <c r="AE98" s="43"/>
      <c r="AF98" s="43"/>
      <c r="AG98" s="39"/>
      <c r="AH98" s="170">
        <f t="shared" si="45"/>
        <v>0</v>
      </c>
      <c r="AI98" s="47"/>
      <c r="AJ98" s="47"/>
      <c r="AK98" s="39"/>
      <c r="AL98" s="170">
        <f t="shared" si="46"/>
        <v>0</v>
      </c>
      <c r="AM98" s="47"/>
      <c r="AN98" s="47"/>
      <c r="AO98" s="39"/>
      <c r="AP98" s="170">
        <f t="shared" si="47"/>
        <v>0</v>
      </c>
      <c r="AQ98" s="47"/>
      <c r="AR98" s="47"/>
      <c r="AS98" s="39"/>
      <c r="AT98" s="170">
        <f t="shared" si="48"/>
        <v>0</v>
      </c>
      <c r="AU98" s="47"/>
      <c r="AV98" s="47"/>
      <c r="AW98" s="39"/>
      <c r="AX98" s="170">
        <f t="shared" si="49"/>
        <v>0</v>
      </c>
      <c r="AY98" s="47"/>
      <c r="AZ98" s="47"/>
      <c r="BA98" s="39"/>
      <c r="BB98" s="170">
        <f t="shared" si="42"/>
        <v>0</v>
      </c>
      <c r="BC98" s="47"/>
      <c r="BD98" s="47"/>
    </row>
    <row r="99" spans="1:56">
      <c r="A99" s="258"/>
      <c r="B99" s="259" t="s">
        <v>707</v>
      </c>
      <c r="C99" s="260" t="s">
        <v>604</v>
      </c>
      <c r="D99" s="62">
        <f>1000/(1.6*1.3)</f>
        <v>480.76923076923077</v>
      </c>
      <c r="E99" s="260" t="s">
        <v>35</v>
      </c>
      <c r="F99" s="39"/>
      <c r="G99" s="40"/>
      <c r="H99" s="40"/>
      <c r="I99" s="46"/>
      <c r="J99" s="39"/>
      <c r="K99" s="40"/>
      <c r="L99" s="40"/>
      <c r="M99" s="47"/>
      <c r="N99" s="43"/>
      <c r="O99" s="44">
        <v>481</v>
      </c>
      <c r="P99" s="43">
        <f t="shared" si="50"/>
        <v>0</v>
      </c>
      <c r="Q99" s="45"/>
      <c r="R99" s="43"/>
      <c r="S99" s="43"/>
      <c r="T99" s="43"/>
      <c r="U99" s="43"/>
      <c r="V99" s="43"/>
      <c r="W99" s="43"/>
      <c r="X99" s="43"/>
      <c r="Y99" s="43"/>
      <c r="Z99" s="43"/>
      <c r="AA99" s="43"/>
      <c r="AB99" s="43"/>
      <c r="AC99" s="43"/>
      <c r="AD99" s="43"/>
      <c r="AE99" s="43"/>
      <c r="AF99" s="43"/>
      <c r="AG99" s="39" t="e">
        <f>AG32</f>
        <v>#REF!</v>
      </c>
      <c r="AH99" s="170" t="e">
        <f t="shared" si="45"/>
        <v>#REF!</v>
      </c>
      <c r="AI99" s="47"/>
      <c r="AJ99" s="47"/>
      <c r="AK99" s="39" t="e">
        <f>AK32</f>
        <v>#REF!</v>
      </c>
      <c r="AL99" s="170" t="e">
        <f t="shared" si="46"/>
        <v>#REF!</v>
      </c>
      <c r="AM99" s="47"/>
      <c r="AN99" s="47"/>
      <c r="AO99" s="39" t="e">
        <f>AO32</f>
        <v>#REF!</v>
      </c>
      <c r="AP99" s="170"/>
      <c r="AQ99" s="47"/>
      <c r="AR99" s="47"/>
      <c r="AS99" s="39" t="e">
        <f>AS32</f>
        <v>#REF!</v>
      </c>
      <c r="AT99" s="170"/>
      <c r="AU99" s="47"/>
      <c r="AV99" s="47"/>
      <c r="AW99" s="39" t="e">
        <f>AW32</f>
        <v>#REF!</v>
      </c>
      <c r="AX99" s="170" t="e">
        <f t="shared" si="49"/>
        <v>#REF!</v>
      </c>
      <c r="AY99" s="47"/>
      <c r="AZ99" s="47"/>
      <c r="BA99" s="39" t="e">
        <f>BA32</f>
        <v>#REF!</v>
      </c>
      <c r="BB99" s="170" t="e">
        <f t="shared" si="42"/>
        <v>#REF!</v>
      </c>
      <c r="BC99" s="47"/>
      <c r="BD99" s="47"/>
    </row>
    <row r="100" spans="1:56">
      <c r="A100" s="258"/>
      <c r="B100" s="259" t="s">
        <v>729</v>
      </c>
      <c r="C100" s="260" t="s">
        <v>604</v>
      </c>
      <c r="D100" s="62">
        <v>300</v>
      </c>
      <c r="E100" s="260" t="s">
        <v>35</v>
      </c>
      <c r="F100" s="39"/>
      <c r="G100" s="40"/>
      <c r="H100" s="40"/>
      <c r="I100" s="46"/>
      <c r="J100" s="39"/>
      <c r="K100" s="40"/>
      <c r="L100" s="40"/>
      <c r="M100" s="47"/>
      <c r="N100" s="43"/>
      <c r="O100" s="44">
        <v>300</v>
      </c>
      <c r="P100" s="43">
        <f t="shared" si="50"/>
        <v>0</v>
      </c>
      <c r="Q100" s="45"/>
      <c r="R100" s="43"/>
      <c r="S100" s="43"/>
      <c r="T100" s="43"/>
      <c r="U100" s="43"/>
      <c r="V100" s="43"/>
      <c r="W100" s="43"/>
      <c r="X100" s="43"/>
      <c r="Y100" s="43"/>
      <c r="Z100" s="43"/>
      <c r="AA100" s="43"/>
      <c r="AB100" s="43"/>
      <c r="AC100" s="43"/>
      <c r="AD100" s="43"/>
      <c r="AE100" s="43"/>
      <c r="AF100" s="43"/>
      <c r="AG100" s="39" t="e">
        <f>AG99</f>
        <v>#REF!</v>
      </c>
      <c r="AH100" s="170" t="e">
        <f t="shared" si="45"/>
        <v>#REF!</v>
      </c>
      <c r="AI100" s="47"/>
      <c r="AJ100" s="47"/>
      <c r="AK100" s="39" t="e">
        <f>AK99</f>
        <v>#REF!</v>
      </c>
      <c r="AL100" s="170" t="e">
        <f t="shared" si="46"/>
        <v>#REF!</v>
      </c>
      <c r="AM100" s="47"/>
      <c r="AN100" s="47"/>
      <c r="AO100" s="39" t="e">
        <f>AO99</f>
        <v>#REF!</v>
      </c>
      <c r="AP100" s="170"/>
      <c r="AQ100" s="47"/>
      <c r="AR100" s="47"/>
      <c r="AS100" s="39" t="e">
        <f>AS99</f>
        <v>#REF!</v>
      </c>
      <c r="AT100" s="170"/>
      <c r="AU100" s="47"/>
      <c r="AV100" s="47"/>
      <c r="AW100" s="39" t="e">
        <f>AW99</f>
        <v>#REF!</v>
      </c>
      <c r="AX100" s="170" t="e">
        <f t="shared" si="49"/>
        <v>#REF!</v>
      </c>
      <c r="AY100" s="47"/>
      <c r="AZ100" s="47"/>
      <c r="BA100" s="39" t="e">
        <f>BA99</f>
        <v>#REF!</v>
      </c>
      <c r="BB100" s="170" t="e">
        <f t="shared" si="42"/>
        <v>#REF!</v>
      </c>
      <c r="BC100" s="47"/>
      <c r="BD100" s="47"/>
    </row>
    <row r="101" spans="1:56">
      <c r="A101" s="258"/>
      <c r="B101" s="259" t="s">
        <v>730</v>
      </c>
      <c r="C101" s="260" t="s">
        <v>610</v>
      </c>
      <c r="D101" s="62">
        <v>150</v>
      </c>
      <c r="E101" s="260" t="s">
        <v>611</v>
      </c>
      <c r="F101" s="39"/>
      <c r="G101" s="40"/>
      <c r="H101" s="40"/>
      <c r="I101" s="40"/>
      <c r="J101" s="39"/>
      <c r="K101" s="40"/>
      <c r="L101" s="40"/>
      <c r="M101" s="47"/>
      <c r="N101" s="43"/>
      <c r="O101" s="44">
        <f>200*0</f>
        <v>0</v>
      </c>
      <c r="P101" s="43"/>
      <c r="Q101" s="45"/>
      <c r="R101" s="43"/>
      <c r="S101" s="43"/>
      <c r="T101" s="43"/>
      <c r="U101" s="43"/>
      <c r="V101" s="43"/>
      <c r="W101" s="43"/>
      <c r="X101" s="43"/>
      <c r="Y101" s="43"/>
      <c r="Z101" s="43"/>
      <c r="AA101" s="43"/>
      <c r="AB101" s="43"/>
      <c r="AC101" s="43"/>
      <c r="AD101" s="43"/>
      <c r="AE101" s="43"/>
      <c r="AF101" s="43"/>
      <c r="AG101" s="39"/>
      <c r="AH101" s="170">
        <f t="shared" si="45"/>
        <v>0</v>
      </c>
      <c r="AI101" s="47"/>
      <c r="AJ101" s="47"/>
      <c r="AK101" s="39"/>
      <c r="AL101" s="170">
        <f t="shared" si="46"/>
        <v>0</v>
      </c>
      <c r="AM101" s="47"/>
      <c r="AN101" s="47"/>
      <c r="AO101" s="39"/>
      <c r="AP101" s="170">
        <f t="shared" si="47"/>
        <v>0</v>
      </c>
      <c r="AQ101" s="47"/>
      <c r="AR101" s="47"/>
      <c r="AS101" s="39"/>
      <c r="AT101" s="170">
        <f t="shared" si="48"/>
        <v>0</v>
      </c>
      <c r="AU101" s="47"/>
      <c r="AV101" s="47"/>
      <c r="AW101" s="39"/>
      <c r="AX101" s="170">
        <f t="shared" si="49"/>
        <v>0</v>
      </c>
      <c r="AY101" s="47"/>
      <c r="AZ101" s="47"/>
      <c r="BA101" s="39"/>
      <c r="BB101" s="170">
        <f t="shared" si="42"/>
        <v>0</v>
      </c>
      <c r="BC101" s="47"/>
      <c r="BD101" s="47"/>
    </row>
    <row r="102" spans="1:56">
      <c r="A102" s="258"/>
      <c r="B102" s="259" t="s">
        <v>676</v>
      </c>
      <c r="C102" s="260" t="s">
        <v>604</v>
      </c>
      <c r="D102" s="62">
        <v>150</v>
      </c>
      <c r="E102" s="260" t="s">
        <v>35</v>
      </c>
      <c r="F102" s="39"/>
      <c r="G102" s="40"/>
      <c r="H102" s="40"/>
      <c r="I102" s="40"/>
      <c r="J102" s="39"/>
      <c r="K102" s="40"/>
      <c r="L102" s="40"/>
      <c r="M102" s="47"/>
      <c r="N102" s="43"/>
      <c r="O102" s="44">
        <v>150</v>
      </c>
      <c r="P102" s="43">
        <f t="shared" si="50"/>
        <v>0</v>
      </c>
      <c r="Q102" s="45"/>
      <c r="R102" s="43"/>
      <c r="S102" s="43"/>
      <c r="T102" s="43"/>
      <c r="U102" s="43"/>
      <c r="V102" s="43"/>
      <c r="W102" s="43"/>
      <c r="X102" s="43"/>
      <c r="Y102" s="43"/>
      <c r="Z102" s="43"/>
      <c r="AA102" s="43"/>
      <c r="AB102" s="43"/>
      <c r="AC102" s="43"/>
      <c r="AD102" s="43"/>
      <c r="AE102" s="43"/>
      <c r="AF102" s="43"/>
      <c r="AG102" s="39" t="e">
        <f>(#REF!+#REF!)*0.3</f>
        <v>#REF!</v>
      </c>
      <c r="AH102" s="170" t="e">
        <f t="shared" si="45"/>
        <v>#REF!</v>
      </c>
      <c r="AI102" s="47"/>
      <c r="AJ102" s="47"/>
      <c r="AK102" s="39" t="e">
        <f>(#REF!+#REF!)*0.3</f>
        <v>#REF!</v>
      </c>
      <c r="AL102" s="170" t="e">
        <f t="shared" si="46"/>
        <v>#REF!</v>
      </c>
      <c r="AM102" s="47"/>
      <c r="AN102" s="47"/>
      <c r="AO102" s="39" t="e">
        <f>(#REF!+#REF!)*0.3</f>
        <v>#REF!</v>
      </c>
      <c r="AP102" s="170" t="e">
        <f t="shared" si="47"/>
        <v>#REF!</v>
      </c>
      <c r="AQ102" s="47"/>
      <c r="AR102" s="47"/>
      <c r="AS102" s="39" t="e">
        <f>(#REF!+#REF!)*0.3</f>
        <v>#REF!</v>
      </c>
      <c r="AT102" s="170" t="e">
        <f t="shared" si="48"/>
        <v>#REF!</v>
      </c>
      <c r="AU102" s="47"/>
      <c r="AV102" s="47"/>
      <c r="AW102" s="39" t="e">
        <f>(#REF!+#REF!)*0.3</f>
        <v>#REF!</v>
      </c>
      <c r="AX102" s="170" t="e">
        <f t="shared" si="49"/>
        <v>#REF!</v>
      </c>
      <c r="AY102" s="47"/>
      <c r="AZ102" s="47"/>
      <c r="BA102" s="39" t="e">
        <f>(#REF!+#REF!)*0.3</f>
        <v>#REF!</v>
      </c>
      <c r="BB102" s="170" t="e">
        <f t="shared" si="42"/>
        <v>#REF!</v>
      </c>
      <c r="BC102" s="47"/>
      <c r="BD102" s="47"/>
    </row>
    <row r="103" spans="1:56">
      <c r="A103" s="258"/>
      <c r="B103" s="259" t="s">
        <v>631</v>
      </c>
      <c r="C103" s="260" t="s">
        <v>604</v>
      </c>
      <c r="D103" s="62">
        <v>200</v>
      </c>
      <c r="E103" s="260" t="s">
        <v>619</v>
      </c>
      <c r="F103" s="39"/>
      <c r="G103" s="40"/>
      <c r="H103" s="40"/>
      <c r="I103" s="40"/>
      <c r="J103" s="39"/>
      <c r="K103" s="40"/>
      <c r="L103" s="40"/>
      <c r="M103" s="47"/>
      <c r="N103" s="43"/>
      <c r="O103" s="44">
        <v>150</v>
      </c>
      <c r="P103" s="43">
        <f t="shared" si="50"/>
        <v>0</v>
      </c>
      <c r="Q103" s="45"/>
      <c r="R103" s="43"/>
      <c r="S103" s="43"/>
      <c r="T103" s="43"/>
      <c r="U103" s="43"/>
      <c r="V103" s="43"/>
      <c r="W103" s="43"/>
      <c r="X103" s="43"/>
      <c r="Y103" s="43"/>
      <c r="Z103" s="43"/>
      <c r="AA103" s="43"/>
      <c r="AB103" s="43"/>
      <c r="AC103" s="43"/>
      <c r="AD103" s="43"/>
      <c r="AE103" s="43"/>
      <c r="AF103" s="43"/>
      <c r="AG103" s="39" t="e">
        <f>#REF!+#REF!+#REF!+#REF!+#REF!+#REF!+#REF!+#REF!+#REF!+#REF!+#REF!+#REF!</f>
        <v>#REF!</v>
      </c>
      <c r="AH103" s="170" t="e">
        <f t="shared" si="45"/>
        <v>#REF!</v>
      </c>
      <c r="AI103" s="47"/>
      <c r="AJ103" s="47"/>
      <c r="AK103" s="39" t="e">
        <f>#REF!+#REF!+#REF!+#REF!+#REF!+#REF!+#REF!+#REF!+#REF!+#REF!+#REF!+#REF!</f>
        <v>#REF!</v>
      </c>
      <c r="AL103" s="170" t="e">
        <f t="shared" si="46"/>
        <v>#REF!</v>
      </c>
      <c r="AM103" s="47"/>
      <c r="AN103" s="47"/>
      <c r="AO103" s="39" t="e">
        <f>#REF!+#REF!+#REF!+#REF!+#REF!+#REF!+#REF!+#REF!+#REF!+#REF!+#REF!+#REF!</f>
        <v>#REF!</v>
      </c>
      <c r="AP103" s="170" t="e">
        <f t="shared" si="47"/>
        <v>#REF!</v>
      </c>
      <c r="AQ103" s="47"/>
      <c r="AR103" s="47"/>
      <c r="AS103" s="39" t="e">
        <f>#REF!+#REF!+#REF!+#REF!+#REF!+#REF!+#REF!+#REF!+#REF!+#REF!+#REF!+#REF!</f>
        <v>#REF!</v>
      </c>
      <c r="AT103" s="170" t="e">
        <f t="shared" si="48"/>
        <v>#REF!</v>
      </c>
      <c r="AU103" s="47"/>
      <c r="AV103" s="47"/>
      <c r="AW103" s="39" t="e">
        <f>#REF!+#REF!+#REF!+#REF!+#REF!+#REF!+#REF!+#REF!+#REF!+#REF!+#REF!+#REF!</f>
        <v>#REF!</v>
      </c>
      <c r="AX103" s="170" t="e">
        <f t="shared" si="49"/>
        <v>#REF!</v>
      </c>
      <c r="AY103" s="47"/>
      <c r="AZ103" s="47"/>
      <c r="BA103" s="39" t="e">
        <f>#REF!+#REF!+#REF!+#REF!+#REF!+#REF!+#REF!+#REF!+#REF!+#REF!+#REF!+#REF!</f>
        <v>#REF!</v>
      </c>
      <c r="BB103" s="170" t="e">
        <f t="shared" si="42"/>
        <v>#REF!</v>
      </c>
      <c r="BC103" s="47"/>
      <c r="BD103" s="47"/>
    </row>
    <row r="104" spans="1:56">
      <c r="A104" s="258"/>
      <c r="B104" s="259" t="s">
        <v>794</v>
      </c>
      <c r="C104" s="260" t="s">
        <v>604</v>
      </c>
      <c r="D104" s="62">
        <v>90</v>
      </c>
      <c r="E104" s="260" t="s">
        <v>35</v>
      </c>
      <c r="F104" s="39"/>
      <c r="G104" s="40"/>
      <c r="H104" s="40"/>
      <c r="I104" s="40"/>
      <c r="J104" s="39"/>
      <c r="K104" s="40"/>
      <c r="L104" s="40"/>
      <c r="M104" s="47"/>
      <c r="N104" s="43"/>
      <c r="O104" s="44">
        <v>90</v>
      </c>
      <c r="P104" s="43">
        <f t="shared" si="50"/>
        <v>0</v>
      </c>
      <c r="Q104" s="45"/>
      <c r="R104" s="43"/>
      <c r="S104" s="43"/>
      <c r="T104" s="43"/>
      <c r="U104" s="43"/>
      <c r="V104" s="43"/>
      <c r="W104" s="43"/>
      <c r="X104" s="43"/>
      <c r="Y104" s="43"/>
      <c r="Z104" s="43"/>
      <c r="AA104" s="43"/>
      <c r="AB104" s="43"/>
      <c r="AC104" s="43"/>
      <c r="AD104" s="43"/>
      <c r="AE104" s="43"/>
      <c r="AF104" s="43"/>
      <c r="AG104" s="39" t="e">
        <f>#REF!*0.4+#REF!*0.15</f>
        <v>#REF!</v>
      </c>
      <c r="AH104" s="170" t="e">
        <f t="shared" si="45"/>
        <v>#REF!</v>
      </c>
      <c r="AI104" s="47"/>
      <c r="AJ104" s="47"/>
      <c r="AK104" s="39" t="e">
        <f>#REF!*0.4+#REF!*0.15</f>
        <v>#REF!</v>
      </c>
      <c r="AL104" s="170" t="e">
        <f t="shared" si="46"/>
        <v>#REF!</v>
      </c>
      <c r="AM104" s="47"/>
      <c r="AN104" s="47"/>
      <c r="AO104" s="39" t="e">
        <f>#REF!*0.4+#REF!*0.15</f>
        <v>#REF!</v>
      </c>
      <c r="AP104" s="170" t="e">
        <f t="shared" si="47"/>
        <v>#REF!</v>
      </c>
      <c r="AQ104" s="47"/>
      <c r="AR104" s="47"/>
      <c r="AS104" s="39" t="e">
        <f>#REF!*0.4+#REF!*0.15</f>
        <v>#REF!</v>
      </c>
      <c r="AT104" s="170" t="e">
        <f t="shared" si="48"/>
        <v>#REF!</v>
      </c>
      <c r="AU104" s="47"/>
      <c r="AV104" s="47"/>
      <c r="AW104" s="39" t="e">
        <f>#REF!*0.4+#REF!*0.15</f>
        <v>#REF!</v>
      </c>
      <c r="AX104" s="170" t="e">
        <f t="shared" si="49"/>
        <v>#REF!</v>
      </c>
      <c r="AY104" s="47"/>
      <c r="AZ104" s="47"/>
      <c r="BA104" s="39" t="e">
        <f>#REF!*0.4+#REF!*0.15</f>
        <v>#REF!</v>
      </c>
      <c r="BB104" s="170" t="e">
        <f t="shared" si="42"/>
        <v>#REF!</v>
      </c>
      <c r="BC104" s="47"/>
      <c r="BD104" s="47"/>
    </row>
    <row r="105" spans="1:56">
      <c r="A105" s="258"/>
      <c r="B105" s="259" t="s">
        <v>697</v>
      </c>
      <c r="C105" s="260" t="s">
        <v>732</v>
      </c>
      <c r="D105" s="62">
        <v>50</v>
      </c>
      <c r="E105" s="260" t="s">
        <v>21</v>
      </c>
      <c r="F105" s="39"/>
      <c r="G105" s="40"/>
      <c r="H105" s="40"/>
      <c r="I105" s="40"/>
      <c r="J105" s="39"/>
      <c r="K105" s="40"/>
      <c r="L105" s="40"/>
      <c r="M105" s="47"/>
      <c r="N105" s="43"/>
      <c r="O105" s="44">
        <v>50</v>
      </c>
      <c r="P105" s="43">
        <f t="shared" si="50"/>
        <v>0</v>
      </c>
      <c r="Q105" s="45"/>
      <c r="R105" s="43"/>
      <c r="S105" s="43"/>
      <c r="T105" s="43"/>
      <c r="U105" s="43"/>
      <c r="V105" s="43"/>
      <c r="W105" s="43"/>
      <c r="X105" s="43"/>
      <c r="Y105" s="43"/>
      <c r="Z105" s="43"/>
      <c r="AA105" s="43"/>
      <c r="AB105" s="43"/>
      <c r="AC105" s="43"/>
      <c r="AD105" s="43"/>
      <c r="AE105" s="43"/>
      <c r="AF105" s="43"/>
      <c r="AG105" s="39" t="e">
        <f>(#REF!+#REF!)*1.8</f>
        <v>#REF!</v>
      </c>
      <c r="AH105" s="170" t="e">
        <f t="shared" si="45"/>
        <v>#REF!</v>
      </c>
      <c r="AI105" s="47"/>
      <c r="AJ105" s="47"/>
      <c r="AK105" s="39" t="e">
        <f>(#REF!+#REF!)*1.8</f>
        <v>#REF!</v>
      </c>
      <c r="AL105" s="170" t="e">
        <f t="shared" si="46"/>
        <v>#REF!</v>
      </c>
      <c r="AM105" s="47"/>
      <c r="AN105" s="47"/>
      <c r="AO105" s="39" t="e">
        <f>(#REF!+#REF!)*1.8</f>
        <v>#REF!</v>
      </c>
      <c r="AP105" s="170" t="e">
        <f t="shared" si="47"/>
        <v>#REF!</v>
      </c>
      <c r="AQ105" s="47"/>
      <c r="AR105" s="47"/>
      <c r="AS105" s="39" t="e">
        <f>(#REF!+#REF!)*1.8</f>
        <v>#REF!</v>
      </c>
      <c r="AT105" s="170" t="e">
        <f t="shared" si="48"/>
        <v>#REF!</v>
      </c>
      <c r="AU105" s="47"/>
      <c r="AV105" s="47"/>
      <c r="AW105" s="39" t="e">
        <f>(#REF!+#REF!)*1.8</f>
        <v>#REF!</v>
      </c>
      <c r="AX105" s="170" t="e">
        <f t="shared" si="49"/>
        <v>#REF!</v>
      </c>
      <c r="AY105" s="47"/>
      <c r="AZ105" s="47"/>
      <c r="BA105" s="39" t="e">
        <f>(#REF!+#REF!)*1.8</f>
        <v>#REF!</v>
      </c>
      <c r="BB105" s="170" t="e">
        <f t="shared" si="42"/>
        <v>#REF!</v>
      </c>
      <c r="BC105" s="47"/>
      <c r="BD105" s="47"/>
    </row>
    <row r="106" spans="1:56">
      <c r="A106" s="258"/>
      <c r="B106" s="259" t="s">
        <v>699</v>
      </c>
      <c r="C106" s="260" t="s">
        <v>732</v>
      </c>
      <c r="D106" s="62">
        <v>1000</v>
      </c>
      <c r="E106" s="260" t="s">
        <v>21</v>
      </c>
      <c r="F106" s="39"/>
      <c r="G106" s="40"/>
      <c r="H106" s="40"/>
      <c r="I106" s="40"/>
      <c r="J106" s="39"/>
      <c r="K106" s="40"/>
      <c r="L106" s="40"/>
      <c r="M106" s="47"/>
      <c r="N106" s="43"/>
      <c r="O106" s="44">
        <v>1000</v>
      </c>
      <c r="P106" s="43">
        <f t="shared" si="50"/>
        <v>0</v>
      </c>
      <c r="Q106" s="45"/>
      <c r="R106" s="43"/>
      <c r="S106" s="43"/>
      <c r="T106" s="43"/>
      <c r="U106" s="43"/>
      <c r="V106" s="43"/>
      <c r="W106" s="43"/>
      <c r="X106" s="43"/>
      <c r="Y106" s="43"/>
      <c r="Z106" s="43"/>
      <c r="AA106" s="43"/>
      <c r="AB106" s="43"/>
      <c r="AC106" s="43"/>
      <c r="AD106" s="43"/>
      <c r="AE106" s="43"/>
      <c r="AF106" s="43"/>
      <c r="AG106" s="39" t="e">
        <f>#REF!</f>
        <v>#REF!</v>
      </c>
      <c r="AH106" s="170" t="e">
        <f t="shared" si="45"/>
        <v>#REF!</v>
      </c>
      <c r="AI106" s="47"/>
      <c r="AJ106" s="47"/>
      <c r="AK106" s="39" t="e">
        <f>#REF!</f>
        <v>#REF!</v>
      </c>
      <c r="AL106" s="170" t="e">
        <f t="shared" si="46"/>
        <v>#REF!</v>
      </c>
      <c r="AM106" s="47"/>
      <c r="AN106" s="47"/>
      <c r="AO106" s="39" t="e">
        <f>#REF!</f>
        <v>#REF!</v>
      </c>
      <c r="AP106" s="170" t="e">
        <f t="shared" si="47"/>
        <v>#REF!</v>
      </c>
      <c r="AQ106" s="47"/>
      <c r="AR106" s="47"/>
      <c r="AS106" s="39" t="e">
        <f>#REF!</f>
        <v>#REF!</v>
      </c>
      <c r="AT106" s="170" t="e">
        <f t="shared" si="48"/>
        <v>#REF!</v>
      </c>
      <c r="AU106" s="47"/>
      <c r="AV106" s="47"/>
      <c r="AW106" s="39" t="e">
        <f>#REF!</f>
        <v>#REF!</v>
      </c>
      <c r="AX106" s="170" t="e">
        <f t="shared" si="49"/>
        <v>#REF!</v>
      </c>
      <c r="AY106" s="47"/>
      <c r="AZ106" s="47"/>
      <c r="BA106" s="39" t="e">
        <f>#REF!</f>
        <v>#REF!</v>
      </c>
      <c r="BB106" s="170" t="e">
        <f t="shared" si="42"/>
        <v>#REF!</v>
      </c>
      <c r="BC106" s="47"/>
      <c r="BD106" s="47"/>
    </row>
    <row r="107" spans="1:56">
      <c r="A107" s="258"/>
      <c r="B107" s="259" t="s">
        <v>838</v>
      </c>
      <c r="C107" s="260" t="s">
        <v>602</v>
      </c>
      <c r="D107" s="62">
        <v>300</v>
      </c>
      <c r="E107" s="260" t="s">
        <v>86</v>
      </c>
      <c r="F107" s="39"/>
      <c r="G107" s="40"/>
      <c r="H107" s="40"/>
      <c r="I107" s="40"/>
      <c r="J107" s="39"/>
      <c r="K107" s="40"/>
      <c r="L107" s="40"/>
      <c r="M107" s="47"/>
      <c r="N107" s="43"/>
      <c r="O107" s="44"/>
      <c r="P107" s="43"/>
      <c r="Q107" s="45"/>
      <c r="R107" s="43"/>
      <c r="S107" s="43"/>
      <c r="T107" s="43"/>
      <c r="U107" s="43"/>
      <c r="V107" s="43"/>
      <c r="W107" s="43"/>
      <c r="X107" s="43"/>
      <c r="Y107" s="43"/>
      <c r="Z107" s="43"/>
      <c r="AA107" s="43"/>
      <c r="AB107" s="43"/>
      <c r="AC107" s="43"/>
      <c r="AD107" s="43"/>
      <c r="AE107" s="43"/>
      <c r="AF107" s="43"/>
      <c r="AG107" s="39" t="e">
        <f>#REF!</f>
        <v>#REF!</v>
      </c>
      <c r="AH107" s="170" t="e">
        <f t="shared" si="45"/>
        <v>#REF!</v>
      </c>
      <c r="AI107" s="47"/>
      <c r="AJ107" s="47"/>
      <c r="AK107" s="39" t="e">
        <f>#REF!</f>
        <v>#REF!</v>
      </c>
      <c r="AL107" s="170" t="e">
        <f t="shared" si="46"/>
        <v>#REF!</v>
      </c>
      <c r="AM107" s="47"/>
      <c r="AN107" s="47"/>
      <c r="AO107" s="39" t="e">
        <f>#REF!</f>
        <v>#REF!</v>
      </c>
      <c r="AP107" s="170" t="e">
        <f t="shared" si="47"/>
        <v>#REF!</v>
      </c>
      <c r="AQ107" s="47"/>
      <c r="AR107" s="47"/>
      <c r="AS107" s="39" t="e">
        <f>#REF!</f>
        <v>#REF!</v>
      </c>
      <c r="AT107" s="170" t="e">
        <f t="shared" si="48"/>
        <v>#REF!</v>
      </c>
      <c r="AU107" s="47"/>
      <c r="AV107" s="47"/>
      <c r="AW107" s="39" t="e">
        <f>#REF!</f>
        <v>#REF!</v>
      </c>
      <c r="AX107" s="170" t="e">
        <f t="shared" si="49"/>
        <v>#REF!</v>
      </c>
      <c r="AY107" s="47"/>
      <c r="AZ107" s="47"/>
      <c r="BA107" s="39" t="e">
        <f>#REF!</f>
        <v>#REF!</v>
      </c>
      <c r="BB107" s="170" t="e">
        <f t="shared" si="42"/>
        <v>#REF!</v>
      </c>
      <c r="BC107" s="47"/>
      <c r="BD107" s="47"/>
    </row>
    <row r="108" spans="1:56">
      <c r="A108" s="258"/>
      <c r="B108" s="259" t="s">
        <v>839</v>
      </c>
      <c r="C108" s="260" t="s">
        <v>602</v>
      </c>
      <c r="D108" s="62">
        <v>667</v>
      </c>
      <c r="E108" s="260" t="s">
        <v>86</v>
      </c>
      <c r="F108" s="39"/>
      <c r="G108" s="40"/>
      <c r="H108" s="40"/>
      <c r="I108" s="40"/>
      <c r="J108" s="39"/>
      <c r="K108" s="40"/>
      <c r="L108" s="40"/>
      <c r="M108" s="47"/>
      <c r="N108" s="43"/>
      <c r="O108" s="44"/>
      <c r="P108" s="43"/>
      <c r="Q108" s="45"/>
      <c r="R108" s="43"/>
      <c r="S108" s="43"/>
      <c r="T108" s="43"/>
      <c r="U108" s="43"/>
      <c r="V108" s="43"/>
      <c r="W108" s="43"/>
      <c r="X108" s="43"/>
      <c r="Y108" s="43"/>
      <c r="Z108" s="43"/>
      <c r="AA108" s="43"/>
      <c r="AB108" s="43"/>
      <c r="AC108" s="43"/>
      <c r="AD108" s="43"/>
      <c r="AE108" s="43"/>
      <c r="AF108" s="43"/>
      <c r="AG108" s="39" t="e">
        <f>AG71</f>
        <v>#REF!</v>
      </c>
      <c r="AH108" s="170" t="e">
        <f t="shared" si="45"/>
        <v>#REF!</v>
      </c>
      <c r="AI108" s="47"/>
      <c r="AJ108" s="47"/>
      <c r="AK108" s="39" t="e">
        <f>AK71</f>
        <v>#REF!</v>
      </c>
      <c r="AL108" s="170" t="e">
        <f t="shared" si="46"/>
        <v>#REF!</v>
      </c>
      <c r="AM108" s="47"/>
      <c r="AN108" s="47"/>
      <c r="AO108" s="39" t="e">
        <f>AO71</f>
        <v>#REF!</v>
      </c>
      <c r="AP108" s="170" t="e">
        <f t="shared" si="47"/>
        <v>#REF!</v>
      </c>
      <c r="AQ108" s="47"/>
      <c r="AR108" s="47"/>
      <c r="AS108" s="39" t="e">
        <f>AS71</f>
        <v>#REF!</v>
      </c>
      <c r="AT108" s="170" t="e">
        <f t="shared" si="48"/>
        <v>#REF!</v>
      </c>
      <c r="AU108" s="47"/>
      <c r="AV108" s="47"/>
      <c r="AW108" s="39" t="e">
        <f>AW71</f>
        <v>#REF!</v>
      </c>
      <c r="AX108" s="170" t="e">
        <f t="shared" si="49"/>
        <v>#REF!</v>
      </c>
      <c r="AY108" s="47"/>
      <c r="AZ108" s="47"/>
      <c r="BA108" s="39" t="e">
        <f>BA71</f>
        <v>#REF!</v>
      </c>
      <c r="BB108" s="170" t="e">
        <f t="shared" si="42"/>
        <v>#REF!</v>
      </c>
      <c r="BC108" s="47"/>
      <c r="BD108" s="47"/>
    </row>
    <row r="109" spans="1:56">
      <c r="A109" s="258"/>
      <c r="B109" s="259" t="s">
        <v>731</v>
      </c>
      <c r="C109" s="260" t="s">
        <v>604</v>
      </c>
      <c r="D109" s="62">
        <v>200</v>
      </c>
      <c r="E109" s="260" t="s">
        <v>35</v>
      </c>
      <c r="F109" s="39"/>
      <c r="G109" s="40"/>
      <c r="H109" s="40"/>
      <c r="I109" s="40"/>
      <c r="J109" s="39"/>
      <c r="K109" s="40"/>
      <c r="L109" s="40"/>
      <c r="M109" s="47"/>
      <c r="N109" s="43"/>
      <c r="O109" s="44">
        <v>200</v>
      </c>
      <c r="P109" s="43">
        <f t="shared" si="50"/>
        <v>0</v>
      </c>
      <c r="Q109" s="45"/>
      <c r="R109" s="43"/>
      <c r="S109" s="43"/>
      <c r="T109" s="43"/>
      <c r="U109" s="43"/>
      <c r="V109" s="43"/>
      <c r="W109" s="43"/>
      <c r="X109" s="43"/>
      <c r="Y109" s="43"/>
      <c r="Z109" s="43"/>
      <c r="AA109" s="43"/>
      <c r="AB109" s="43"/>
      <c r="AC109" s="43"/>
      <c r="AD109" s="43"/>
      <c r="AE109" s="43"/>
      <c r="AF109" s="43"/>
      <c r="AG109" s="39" t="e">
        <f>AG65</f>
        <v>#REF!</v>
      </c>
      <c r="AH109" s="170" t="e">
        <f t="shared" si="45"/>
        <v>#REF!</v>
      </c>
      <c r="AI109" s="47"/>
      <c r="AJ109" s="47"/>
      <c r="AK109" s="39" t="e">
        <f>AK65</f>
        <v>#REF!</v>
      </c>
      <c r="AL109" s="170" t="e">
        <f t="shared" si="46"/>
        <v>#REF!</v>
      </c>
      <c r="AM109" s="47"/>
      <c r="AN109" s="47"/>
      <c r="AO109" s="39" t="e">
        <f>AO65</f>
        <v>#REF!</v>
      </c>
      <c r="AP109" s="170" t="e">
        <f t="shared" si="47"/>
        <v>#REF!</v>
      </c>
      <c r="AQ109" s="47"/>
      <c r="AR109" s="47"/>
      <c r="AS109" s="39" t="e">
        <f>AS65</f>
        <v>#REF!</v>
      </c>
      <c r="AT109" s="170" t="e">
        <f t="shared" si="48"/>
        <v>#REF!</v>
      </c>
      <c r="AU109" s="47"/>
      <c r="AV109" s="47"/>
      <c r="AW109" s="39" t="e">
        <f>AW65</f>
        <v>#REF!</v>
      </c>
      <c r="AX109" s="170" t="e">
        <f t="shared" si="49"/>
        <v>#REF!</v>
      </c>
      <c r="AY109" s="47"/>
      <c r="AZ109" s="47"/>
      <c r="BA109" s="39" t="e">
        <f>BA65</f>
        <v>#REF!</v>
      </c>
      <c r="BB109" s="170" t="e">
        <f t="shared" si="42"/>
        <v>#REF!</v>
      </c>
      <c r="BC109" s="47"/>
      <c r="BD109" s="47"/>
    </row>
    <row r="110" spans="1:56">
      <c r="A110" s="258"/>
      <c r="B110" s="259" t="s">
        <v>606</v>
      </c>
      <c r="C110" s="260" t="s">
        <v>632</v>
      </c>
      <c r="D110" s="62"/>
      <c r="E110" s="260" t="s">
        <v>632</v>
      </c>
      <c r="F110" s="39"/>
      <c r="G110" s="40"/>
      <c r="H110" s="40"/>
      <c r="I110" s="40"/>
      <c r="J110" s="39"/>
      <c r="K110" s="40"/>
      <c r="L110" s="40"/>
      <c r="M110" s="47"/>
      <c r="N110" s="43"/>
      <c r="O110" s="44"/>
      <c r="P110" s="43">
        <f>K110*2</f>
        <v>0</v>
      </c>
      <c r="Q110" s="45"/>
      <c r="R110" s="43"/>
      <c r="S110" s="43"/>
      <c r="T110" s="43"/>
      <c r="U110" s="43"/>
      <c r="V110" s="43"/>
      <c r="W110" s="43"/>
      <c r="X110" s="43"/>
      <c r="Y110" s="43"/>
      <c r="Z110" s="43"/>
      <c r="AA110" s="43"/>
      <c r="AB110" s="43"/>
      <c r="AC110" s="43"/>
      <c r="AD110" s="43"/>
      <c r="AE110" s="43"/>
      <c r="AF110" s="43"/>
      <c r="AG110" s="39"/>
      <c r="AH110" s="170"/>
      <c r="AI110" s="47"/>
      <c r="AJ110" s="47"/>
      <c r="AK110" s="39"/>
      <c r="AL110" s="170"/>
      <c r="AM110" s="47"/>
      <c r="AN110" s="47"/>
      <c r="AO110" s="39"/>
      <c r="AP110" s="170"/>
      <c r="AQ110" s="47"/>
      <c r="AR110" s="47"/>
      <c r="AS110" s="39"/>
      <c r="AT110" s="170"/>
      <c r="AU110" s="47"/>
      <c r="AV110" s="47"/>
      <c r="AW110" s="39"/>
      <c r="AX110" s="170"/>
      <c r="AY110" s="47"/>
      <c r="AZ110" s="47"/>
      <c r="BA110" s="39"/>
      <c r="BB110" s="170"/>
      <c r="BC110" s="47"/>
      <c r="BD110" s="47"/>
    </row>
    <row r="111" spans="1:56">
      <c r="A111" s="258"/>
      <c r="B111" s="262" t="s">
        <v>717</v>
      </c>
      <c r="C111" s="260" t="s">
        <v>604</v>
      </c>
      <c r="D111" s="62">
        <v>1000</v>
      </c>
      <c r="E111" s="260" t="s">
        <v>35</v>
      </c>
      <c r="F111" s="39"/>
      <c r="G111" s="40"/>
      <c r="H111" s="40"/>
      <c r="I111" s="40"/>
      <c r="J111" s="39"/>
      <c r="K111" s="40"/>
      <c r="L111" s="40"/>
      <c r="M111" s="47"/>
      <c r="N111" s="43"/>
      <c r="O111" s="44"/>
      <c r="P111" s="43">
        <f>K111</f>
        <v>0</v>
      </c>
      <c r="Q111" s="45"/>
      <c r="R111" s="43"/>
      <c r="S111" s="43"/>
      <c r="T111" s="43"/>
      <c r="U111" s="43"/>
      <c r="V111" s="43"/>
      <c r="W111" s="43"/>
      <c r="X111" s="43"/>
      <c r="Y111" s="43"/>
      <c r="Z111" s="43"/>
      <c r="AA111" s="43"/>
      <c r="AB111" s="43"/>
      <c r="AC111" s="43"/>
      <c r="AD111" s="43"/>
      <c r="AE111" s="43"/>
      <c r="AF111" s="43"/>
      <c r="AG111" s="39">
        <f>AG37</f>
        <v>0</v>
      </c>
      <c r="AH111" s="170">
        <f t="shared" si="45"/>
        <v>0</v>
      </c>
      <c r="AI111" s="47"/>
      <c r="AJ111" s="47"/>
      <c r="AK111" s="39">
        <f>AK37</f>
        <v>0</v>
      </c>
      <c r="AL111" s="170">
        <f t="shared" si="46"/>
        <v>0</v>
      </c>
      <c r="AM111" s="47"/>
      <c r="AN111" s="47"/>
      <c r="AO111" s="39">
        <f>AO37</f>
        <v>0</v>
      </c>
      <c r="AP111" s="170">
        <f t="shared" si="47"/>
        <v>0</v>
      </c>
      <c r="AQ111" s="47"/>
      <c r="AR111" s="47"/>
      <c r="AS111" s="39">
        <f>AS37</f>
        <v>0</v>
      </c>
      <c r="AT111" s="170">
        <f t="shared" si="48"/>
        <v>0</v>
      </c>
      <c r="AU111" s="47"/>
      <c r="AV111" s="47"/>
      <c r="AW111" s="39">
        <f>AW37</f>
        <v>0</v>
      </c>
      <c r="AX111" s="170">
        <f t="shared" si="49"/>
        <v>0</v>
      </c>
      <c r="AY111" s="47"/>
      <c r="AZ111" s="47"/>
      <c r="BA111" s="39">
        <f>BA37</f>
        <v>0</v>
      </c>
      <c r="BB111" s="170">
        <f t="shared" si="42"/>
        <v>0</v>
      </c>
      <c r="BC111" s="47"/>
      <c r="BD111" s="47"/>
    </row>
    <row r="112" spans="1:56">
      <c r="A112" s="258"/>
      <c r="B112" s="259" t="s">
        <v>633</v>
      </c>
      <c r="C112" s="260" t="s">
        <v>632</v>
      </c>
      <c r="D112" s="62"/>
      <c r="E112" s="260" t="s">
        <v>632</v>
      </c>
      <c r="F112" s="40"/>
      <c r="G112" s="40"/>
      <c r="H112" s="40"/>
      <c r="I112" s="40"/>
      <c r="J112" s="40"/>
      <c r="K112" s="40"/>
      <c r="L112" s="40"/>
      <c r="M112" s="47"/>
      <c r="N112" s="43"/>
      <c r="O112" s="44"/>
      <c r="P112" s="43">
        <f>K112</f>
        <v>0</v>
      </c>
      <c r="Q112" s="45"/>
      <c r="R112" s="43"/>
      <c r="S112" s="43"/>
      <c r="T112" s="43"/>
      <c r="U112" s="43"/>
      <c r="V112" s="43"/>
      <c r="W112" s="43"/>
      <c r="X112" s="43"/>
      <c r="Y112" s="43"/>
      <c r="Z112" s="43"/>
      <c r="AA112" s="43"/>
      <c r="AB112" s="43"/>
      <c r="AC112" s="43"/>
      <c r="AD112" s="43"/>
      <c r="AE112" s="43"/>
      <c r="AF112" s="43"/>
      <c r="AG112" s="40"/>
      <c r="AH112" s="170"/>
      <c r="AI112" s="47"/>
      <c r="AJ112" s="47"/>
      <c r="AK112" s="40"/>
      <c r="AL112" s="170"/>
      <c r="AM112" s="47"/>
      <c r="AN112" s="47"/>
      <c r="AO112" s="40"/>
      <c r="AP112" s="170"/>
      <c r="AQ112" s="47"/>
      <c r="AR112" s="47"/>
      <c r="AS112" s="40"/>
      <c r="AT112" s="170"/>
      <c r="AU112" s="47"/>
      <c r="AV112" s="47"/>
      <c r="AW112" s="40"/>
      <c r="AX112" s="170"/>
      <c r="AY112" s="47"/>
      <c r="AZ112" s="47"/>
      <c r="BA112" s="40"/>
      <c r="BB112" s="170"/>
      <c r="BC112" s="47"/>
      <c r="BD112" s="47"/>
    </row>
    <row r="113" spans="1:56">
      <c r="A113" s="251">
        <v>7</v>
      </c>
      <c r="B113" s="252" t="s">
        <v>634</v>
      </c>
      <c r="C113" s="253"/>
      <c r="D113" s="283"/>
      <c r="E113" s="253"/>
      <c r="F113" s="53"/>
      <c r="G113" s="35">
        <f>SUM(G115:G138)</f>
        <v>0</v>
      </c>
      <c r="H113" s="35"/>
      <c r="I113" s="36">
        <f>IFERROR(G113/H113,0)</f>
        <v>0</v>
      </c>
      <c r="J113" s="53"/>
      <c r="K113" s="35">
        <f>SUM(K115:K138)</f>
        <v>0</v>
      </c>
      <c r="L113" s="35"/>
      <c r="M113" s="36">
        <f>IFERROR(K113/L113,0)</f>
        <v>0</v>
      </c>
      <c r="N113" s="43"/>
      <c r="O113" s="44"/>
      <c r="P113" s="35">
        <f>SUM(P115:P138)</f>
        <v>1</v>
      </c>
      <c r="Q113" s="38" t="e">
        <f>P113/L113</f>
        <v>#DIV/0!</v>
      </c>
      <c r="R113" s="43"/>
      <c r="S113" s="43"/>
      <c r="T113" s="78">
        <f>K113-L113</f>
        <v>0</v>
      </c>
      <c r="U113" s="25">
        <v>36.68</v>
      </c>
      <c r="V113" s="74">
        <f>T113*U113</f>
        <v>0</v>
      </c>
      <c r="W113" s="43"/>
      <c r="X113" s="43"/>
      <c r="Y113" s="74">
        <f>L113/12</f>
        <v>0</v>
      </c>
      <c r="Z113" s="43"/>
      <c r="AA113" s="43">
        <v>10505</v>
      </c>
      <c r="AB113" s="43"/>
      <c r="AC113" s="43"/>
      <c r="AD113" s="43"/>
      <c r="AE113" s="43"/>
      <c r="AF113" s="43"/>
      <c r="AG113" s="37"/>
      <c r="AH113" s="35" t="e">
        <f>SUM(AH115:AH138)</f>
        <v>#REF!</v>
      </c>
      <c r="AI113" s="209">
        <f>VLOOKUP($B113,'[5]Eqpmnt &amp; MP Days'!$B$4:$H$11,2,0)</f>
        <v>48.25</v>
      </c>
      <c r="AJ113" s="37" t="str">
        <f>IFERROR(AH113/AI113,"")</f>
        <v/>
      </c>
      <c r="AK113" s="37"/>
      <c r="AL113" s="35" t="e">
        <f>SUM(AL115:AL138)</f>
        <v>#REF!</v>
      </c>
      <c r="AM113" s="209">
        <f>VLOOKUP($B113,'[5]Eqpmnt &amp; MP Days'!$B$4:$H$11,3,0)</f>
        <v>1128</v>
      </c>
      <c r="AN113" s="37" t="str">
        <f>IFERROR(AL113/AM113,"")</f>
        <v/>
      </c>
      <c r="AO113" s="37"/>
      <c r="AP113" s="35" t="e">
        <f>SUM(AP115:AP138)</f>
        <v>#REF!</v>
      </c>
      <c r="AQ113" s="209">
        <f>VLOOKUP($B113,'[5]Eqpmnt &amp; MP Days'!$B$4:$H$11,4,0)</f>
        <v>28.75</v>
      </c>
      <c r="AR113" s="37" t="str">
        <f>IFERROR(AP113/AQ113,"")</f>
        <v/>
      </c>
      <c r="AS113" s="53"/>
      <c r="AT113" s="35" t="e">
        <f>SUM(AT115:AT138)</f>
        <v>#REF!</v>
      </c>
      <c r="AU113" s="209">
        <f>VLOOKUP($B113,'[5]Eqpmnt &amp; MP Days'!$B$4:$H$11,5,0)</f>
        <v>720</v>
      </c>
      <c r="AV113" s="37" t="str">
        <f>IFERROR(AT113/AU113,"")</f>
        <v/>
      </c>
      <c r="AW113" s="53"/>
      <c r="AX113" s="35" t="e">
        <f>SUM(AX115:AX138)</f>
        <v>#REF!</v>
      </c>
      <c r="AY113" s="209">
        <f>VLOOKUP($B113,'[5]Eqpmnt &amp; MP Days'!$B$4:$H$11,6,0)</f>
        <v>1</v>
      </c>
      <c r="AZ113" s="37" t="str">
        <f>IFERROR(AX113/AY113,"")</f>
        <v/>
      </c>
      <c r="BA113" s="53"/>
      <c r="BB113" s="35" t="e">
        <f>SUM(BB115:BB138)</f>
        <v>#REF!</v>
      </c>
      <c r="BC113" s="209">
        <f>VLOOKUP($B113,'[5]Eqpmnt &amp; MP Days'!$B$4:$H$11,7,0)</f>
        <v>24</v>
      </c>
      <c r="BD113" s="37" t="str">
        <f>IFERROR(BB113/BC113,"")</f>
        <v/>
      </c>
    </row>
    <row r="114" spans="1:56">
      <c r="A114" s="249"/>
      <c r="B114" s="268" t="s">
        <v>700</v>
      </c>
      <c r="C114" s="256" t="s">
        <v>602</v>
      </c>
      <c r="D114" s="218">
        <v>1000</v>
      </c>
      <c r="E114" s="256" t="s">
        <v>86</v>
      </c>
      <c r="F114" s="40"/>
      <c r="G114" s="40"/>
      <c r="H114" s="40"/>
      <c r="I114" s="40"/>
      <c r="J114" s="40"/>
      <c r="K114" s="40"/>
      <c r="L114" s="80"/>
      <c r="M114" s="81"/>
      <c r="N114" s="43"/>
      <c r="O114" s="44">
        <v>1000</v>
      </c>
      <c r="P114" s="43">
        <f>J114/O114</f>
        <v>0</v>
      </c>
      <c r="Q114" s="38"/>
      <c r="R114" s="43"/>
      <c r="S114" s="43"/>
      <c r="T114" s="78"/>
      <c r="V114" s="74"/>
      <c r="W114" s="43"/>
      <c r="X114" s="43"/>
      <c r="Y114" s="43"/>
      <c r="Z114" s="43"/>
      <c r="AA114" s="43">
        <v>1209</v>
      </c>
      <c r="AB114" s="43"/>
      <c r="AC114" s="43"/>
      <c r="AD114" s="43"/>
      <c r="AE114" s="43"/>
      <c r="AF114" s="43"/>
      <c r="AG114" s="40" t="e">
        <f>AG89</f>
        <v>#REF!</v>
      </c>
      <c r="AH114" s="170" t="e">
        <f t="shared" ref="AH114:AH137" si="51">AG114/$D114</f>
        <v>#REF!</v>
      </c>
      <c r="AI114" s="81"/>
      <c r="AJ114" s="81"/>
      <c r="AK114" s="40" t="e">
        <f>AK89</f>
        <v>#REF!</v>
      </c>
      <c r="AL114" s="170" t="e">
        <f t="shared" ref="AL114:AL137" si="52">AK114/$D114</f>
        <v>#REF!</v>
      </c>
      <c r="AM114" s="81"/>
      <c r="AN114" s="81"/>
      <c r="AO114" s="40" t="e">
        <f>AO89</f>
        <v>#REF!</v>
      </c>
      <c r="AP114" s="170" t="e">
        <f t="shared" ref="AP114:AP137" si="53">AO114/$D114</f>
        <v>#REF!</v>
      </c>
      <c r="AQ114" s="81"/>
      <c r="AR114" s="81"/>
      <c r="AS114" s="40" t="e">
        <f>AS89</f>
        <v>#REF!</v>
      </c>
      <c r="AT114" s="170" t="e">
        <f t="shared" ref="AT114:AT137" si="54">AS114/$D114</f>
        <v>#REF!</v>
      </c>
      <c r="AU114" s="81"/>
      <c r="AV114" s="81"/>
      <c r="AW114" s="40" t="e">
        <f>AW89</f>
        <v>#REF!</v>
      </c>
      <c r="AX114" s="170" t="e">
        <f t="shared" ref="AX114:AX137" si="55">AW114/$D114</f>
        <v>#REF!</v>
      </c>
      <c r="AY114" s="81"/>
      <c r="AZ114" s="81"/>
      <c r="BA114" s="40" t="e">
        <f>BA89</f>
        <v>#REF!</v>
      </c>
      <c r="BB114" s="170" t="e">
        <f t="shared" si="42"/>
        <v>#REF!</v>
      </c>
      <c r="BC114" s="81"/>
      <c r="BD114" s="81"/>
    </row>
    <row r="115" spans="1:56">
      <c r="A115" s="254"/>
      <c r="B115" s="257" t="s">
        <v>737</v>
      </c>
      <c r="C115" s="256" t="s">
        <v>604</v>
      </c>
      <c r="D115" s="218">
        <v>400</v>
      </c>
      <c r="E115" s="256" t="s">
        <v>35</v>
      </c>
      <c r="F115" s="39"/>
      <c r="G115" s="39"/>
      <c r="H115" s="39"/>
      <c r="I115" s="41"/>
      <c r="J115" s="39"/>
      <c r="K115" s="39"/>
      <c r="L115" s="39"/>
      <c r="M115" s="42"/>
      <c r="N115" s="43"/>
      <c r="O115" s="44">
        <v>400</v>
      </c>
      <c r="P115" s="43">
        <f>J115/O115</f>
        <v>0</v>
      </c>
      <c r="Q115" s="45"/>
      <c r="R115" s="43"/>
      <c r="S115" s="43"/>
      <c r="T115" s="43"/>
      <c r="U115" s="43"/>
      <c r="V115" s="43"/>
      <c r="W115" s="43"/>
      <c r="X115" s="43"/>
      <c r="Y115" s="43"/>
      <c r="Z115" s="43"/>
      <c r="AA115" s="43"/>
      <c r="AB115" s="43"/>
      <c r="AC115" s="43"/>
      <c r="AD115" s="43"/>
      <c r="AE115" s="43"/>
      <c r="AF115" s="43"/>
      <c r="AG115" s="39" t="e">
        <f>AG23</f>
        <v>#REF!</v>
      </c>
      <c r="AH115" s="170" t="e">
        <f t="shared" si="51"/>
        <v>#REF!</v>
      </c>
      <c r="AI115" s="42"/>
      <c r="AJ115" s="42"/>
      <c r="AK115" s="39" t="e">
        <f>AK23</f>
        <v>#REF!</v>
      </c>
      <c r="AL115" s="170" t="e">
        <f t="shared" si="52"/>
        <v>#REF!</v>
      </c>
      <c r="AM115" s="42"/>
      <c r="AN115" s="42"/>
      <c r="AO115" s="39" t="e">
        <f>AO23</f>
        <v>#REF!</v>
      </c>
      <c r="AP115" s="170" t="e">
        <f t="shared" si="53"/>
        <v>#REF!</v>
      </c>
      <c r="AQ115" s="42"/>
      <c r="AR115" s="42"/>
      <c r="AS115" s="39" t="e">
        <f>AS23</f>
        <v>#REF!</v>
      </c>
      <c r="AT115" s="170" t="e">
        <f t="shared" si="54"/>
        <v>#REF!</v>
      </c>
      <c r="AU115" s="42"/>
      <c r="AV115" s="42"/>
      <c r="AW115" s="39" t="e">
        <f>AW23</f>
        <v>#REF!</v>
      </c>
      <c r="AX115" s="170" t="e">
        <f t="shared" si="55"/>
        <v>#REF!</v>
      </c>
      <c r="AY115" s="42"/>
      <c r="AZ115" s="42"/>
      <c r="BA115" s="39" t="e">
        <f>BA23</f>
        <v>#REF!</v>
      </c>
      <c r="BB115" s="170" t="e">
        <f t="shared" si="42"/>
        <v>#REF!</v>
      </c>
      <c r="BC115" s="42"/>
      <c r="BD115" s="42"/>
    </row>
    <row r="116" spans="1:56">
      <c r="A116" s="258"/>
      <c r="B116" s="259" t="s">
        <v>738</v>
      </c>
      <c r="C116" s="260" t="s">
        <v>604</v>
      </c>
      <c r="D116" s="62">
        <v>350</v>
      </c>
      <c r="E116" s="260" t="s">
        <v>35</v>
      </c>
      <c r="F116" s="39"/>
      <c r="G116" s="40"/>
      <c r="H116" s="40"/>
      <c r="I116" s="46"/>
      <c r="J116" s="39"/>
      <c r="K116" s="40"/>
      <c r="L116" s="40"/>
      <c r="M116" s="47"/>
      <c r="N116" s="43"/>
      <c r="O116" s="44">
        <v>350</v>
      </c>
      <c r="P116" s="43">
        <f t="shared" ref="P116:P129" si="56">J116/O116</f>
        <v>0</v>
      </c>
      <c r="Q116" s="45"/>
      <c r="R116" s="43"/>
      <c r="S116" s="43"/>
      <c r="T116" s="43"/>
      <c r="U116" s="43"/>
      <c r="V116" s="43"/>
      <c r="W116" s="43"/>
      <c r="X116" s="43"/>
      <c r="Y116" s="43"/>
      <c r="Z116" s="43"/>
      <c r="AA116" s="43"/>
      <c r="AB116" s="43"/>
      <c r="AC116" s="43"/>
      <c r="AD116" s="43"/>
      <c r="AE116" s="43"/>
      <c r="AF116" s="43"/>
      <c r="AG116" s="39" t="e">
        <f>AG25</f>
        <v>#REF!</v>
      </c>
      <c r="AH116" s="170" t="e">
        <f t="shared" si="51"/>
        <v>#REF!</v>
      </c>
      <c r="AI116" s="47"/>
      <c r="AJ116" s="47"/>
      <c r="AK116" s="39" t="e">
        <f>AK25*0.4</f>
        <v>#REF!</v>
      </c>
      <c r="AL116" s="170" t="e">
        <f t="shared" si="52"/>
        <v>#REF!</v>
      </c>
      <c r="AM116" s="47"/>
      <c r="AN116" s="47"/>
      <c r="AO116" s="39" t="e">
        <f>AO25</f>
        <v>#REF!</v>
      </c>
      <c r="AP116" s="170" t="e">
        <f t="shared" si="53"/>
        <v>#REF!</v>
      </c>
      <c r="AQ116" s="47"/>
      <c r="AR116" s="47"/>
      <c r="AS116" s="39" t="e">
        <f>AS25*0.4</f>
        <v>#REF!</v>
      </c>
      <c r="AT116" s="170" t="e">
        <f t="shared" si="54"/>
        <v>#REF!</v>
      </c>
      <c r="AU116" s="47"/>
      <c r="AV116" s="47"/>
      <c r="AW116" s="39" t="e">
        <f>AW25</f>
        <v>#REF!</v>
      </c>
      <c r="AX116" s="170" t="e">
        <f t="shared" si="55"/>
        <v>#REF!</v>
      </c>
      <c r="AY116" s="47"/>
      <c r="AZ116" s="47"/>
      <c r="BA116" s="39" t="e">
        <f>BA25*0.4</f>
        <v>#REF!</v>
      </c>
      <c r="BB116" s="170" t="e">
        <f t="shared" si="42"/>
        <v>#REF!</v>
      </c>
      <c r="BC116" s="47"/>
      <c r="BD116" s="47"/>
    </row>
    <row r="117" spans="1:56" hidden="1">
      <c r="A117" s="258"/>
      <c r="B117" s="259" t="s">
        <v>694</v>
      </c>
      <c r="C117" s="260" t="s">
        <v>604</v>
      </c>
      <c r="D117" s="62">
        <v>500</v>
      </c>
      <c r="E117" s="260" t="s">
        <v>35</v>
      </c>
      <c r="F117" s="39"/>
      <c r="G117" s="40"/>
      <c r="H117" s="40"/>
      <c r="I117" s="46"/>
      <c r="J117" s="39"/>
      <c r="K117" s="40"/>
      <c r="L117" s="40"/>
      <c r="M117" s="50"/>
      <c r="N117" s="43"/>
      <c r="O117" s="44">
        <v>500</v>
      </c>
      <c r="P117" s="43">
        <f t="shared" si="56"/>
        <v>0</v>
      </c>
      <c r="Q117" s="45"/>
      <c r="R117" s="43"/>
      <c r="S117" s="43"/>
      <c r="T117" s="43"/>
      <c r="U117" s="43"/>
      <c r="V117" s="79"/>
      <c r="W117" s="43"/>
      <c r="X117" s="43"/>
      <c r="Y117" s="43"/>
      <c r="Z117" s="43"/>
      <c r="AA117" s="43"/>
      <c r="AB117" s="43"/>
      <c r="AC117" s="43"/>
      <c r="AD117" s="43"/>
      <c r="AE117" s="43"/>
      <c r="AF117" s="43"/>
      <c r="AG117" s="39" t="e">
        <f>AG25*0</f>
        <v>#REF!</v>
      </c>
      <c r="AH117" s="170" t="e">
        <f t="shared" si="51"/>
        <v>#REF!</v>
      </c>
      <c r="AI117" s="50"/>
      <c r="AJ117" s="50"/>
      <c r="AK117" s="39"/>
      <c r="AL117" s="170">
        <f t="shared" si="52"/>
        <v>0</v>
      </c>
      <c r="AM117" s="50"/>
      <c r="AN117" s="50"/>
      <c r="AO117" s="39" t="e">
        <f>AO25*0</f>
        <v>#REF!</v>
      </c>
      <c r="AP117" s="170" t="e">
        <f t="shared" si="53"/>
        <v>#REF!</v>
      </c>
      <c r="AQ117" s="50"/>
      <c r="AR117" s="50"/>
      <c r="AS117" s="39"/>
      <c r="AT117" s="170">
        <f t="shared" si="54"/>
        <v>0</v>
      </c>
      <c r="AU117" s="50"/>
      <c r="AV117" s="50"/>
      <c r="AW117" s="39" t="e">
        <f>AW25*0</f>
        <v>#REF!</v>
      </c>
      <c r="AX117" s="170" t="e">
        <f t="shared" si="55"/>
        <v>#REF!</v>
      </c>
      <c r="AY117" s="50"/>
      <c r="AZ117" s="50"/>
      <c r="BA117" s="39"/>
      <c r="BB117" s="170">
        <f t="shared" si="42"/>
        <v>0</v>
      </c>
      <c r="BC117" s="50"/>
      <c r="BD117" s="50"/>
    </row>
    <row r="118" spans="1:56">
      <c r="A118" s="258"/>
      <c r="B118" s="259" t="s">
        <v>800</v>
      </c>
      <c r="C118" s="260" t="s">
        <v>604</v>
      </c>
      <c r="D118" s="62">
        <v>120</v>
      </c>
      <c r="E118" s="260" t="s">
        <v>35</v>
      </c>
      <c r="F118" s="39"/>
      <c r="G118" s="40"/>
      <c r="H118" s="40"/>
      <c r="I118" s="40"/>
      <c r="J118" s="39"/>
      <c r="K118" s="40"/>
      <c r="L118" s="40"/>
      <c r="M118" s="50"/>
      <c r="N118" s="43"/>
      <c r="O118" s="44">
        <v>120</v>
      </c>
      <c r="P118" s="43">
        <f t="shared" si="56"/>
        <v>0</v>
      </c>
      <c r="Q118" s="45"/>
      <c r="R118" s="43"/>
      <c r="S118" s="43"/>
      <c r="T118" s="43"/>
      <c r="U118" s="43"/>
      <c r="V118" s="43"/>
      <c r="W118" s="48"/>
      <c r="X118" s="43"/>
      <c r="Y118" s="43"/>
      <c r="Z118" s="43"/>
      <c r="AA118" s="43"/>
      <c r="AB118" s="43"/>
      <c r="AC118" s="43"/>
      <c r="AD118" s="43"/>
      <c r="AE118" s="43"/>
      <c r="AF118" s="43"/>
      <c r="AG118" s="39" t="e">
        <f>#REF!+#REF!</f>
        <v>#REF!</v>
      </c>
      <c r="AH118" s="170" t="e">
        <f t="shared" si="51"/>
        <v>#REF!</v>
      </c>
      <c r="AI118" s="50"/>
      <c r="AJ118" s="50"/>
      <c r="AK118" s="39" t="e">
        <f>AK92</f>
        <v>#REF!</v>
      </c>
      <c r="AL118" s="170" t="e">
        <f t="shared" si="52"/>
        <v>#REF!</v>
      </c>
      <c r="AM118" s="50"/>
      <c r="AN118" s="50"/>
      <c r="AO118" s="39" t="e">
        <f>#REF!+#REF!</f>
        <v>#REF!</v>
      </c>
      <c r="AP118" s="170" t="e">
        <f t="shared" si="53"/>
        <v>#REF!</v>
      </c>
      <c r="AQ118" s="50"/>
      <c r="AR118" s="50"/>
      <c r="AS118" s="39" t="e">
        <f>AS92</f>
        <v>#REF!</v>
      </c>
      <c r="AT118" s="170" t="e">
        <f t="shared" si="54"/>
        <v>#REF!</v>
      </c>
      <c r="AU118" s="50"/>
      <c r="AV118" s="50"/>
      <c r="AW118" s="39" t="e">
        <f>#REF!+#REF!</f>
        <v>#REF!</v>
      </c>
      <c r="AX118" s="170" t="e">
        <f t="shared" si="55"/>
        <v>#REF!</v>
      </c>
      <c r="AY118" s="50"/>
      <c r="AZ118" s="50"/>
      <c r="BA118" s="39" t="e">
        <f>BA92</f>
        <v>#REF!</v>
      </c>
      <c r="BB118" s="170" t="e">
        <f t="shared" si="42"/>
        <v>#REF!</v>
      </c>
      <c r="BC118" s="50"/>
      <c r="BD118" s="50"/>
    </row>
    <row r="119" spans="1:56">
      <c r="A119" s="258"/>
      <c r="B119" s="259" t="s">
        <v>614</v>
      </c>
      <c r="C119" s="260" t="s">
        <v>604</v>
      </c>
      <c r="D119" s="62">
        <v>90</v>
      </c>
      <c r="E119" s="260" t="s">
        <v>35</v>
      </c>
      <c r="F119" s="39"/>
      <c r="G119" s="40"/>
      <c r="H119" s="40"/>
      <c r="I119" s="40"/>
      <c r="J119" s="39"/>
      <c r="K119" s="40"/>
      <c r="L119" s="40"/>
      <c r="M119" s="50"/>
      <c r="N119" s="43"/>
      <c r="O119" s="44">
        <v>90</v>
      </c>
      <c r="P119" s="43">
        <f t="shared" si="56"/>
        <v>0</v>
      </c>
      <c r="Q119" s="45"/>
      <c r="R119" s="43"/>
      <c r="S119" s="43"/>
      <c r="T119" s="43"/>
      <c r="U119" s="43"/>
      <c r="V119" s="43"/>
      <c r="W119" s="43"/>
      <c r="X119" s="43"/>
      <c r="Y119" s="43"/>
      <c r="Z119" s="43"/>
      <c r="AA119" s="43"/>
      <c r="AB119" s="43"/>
      <c r="AC119" s="43"/>
      <c r="AD119" s="43"/>
      <c r="AE119" s="43"/>
      <c r="AF119" s="43"/>
      <c r="AG119" s="39" t="e">
        <f>AG60</f>
        <v>#REF!</v>
      </c>
      <c r="AH119" s="170" t="e">
        <f t="shared" si="51"/>
        <v>#REF!</v>
      </c>
      <c r="AI119" s="50"/>
      <c r="AJ119" s="50"/>
      <c r="AK119" s="39" t="e">
        <f>AK60</f>
        <v>#REF!</v>
      </c>
      <c r="AL119" s="170" t="e">
        <f t="shared" si="52"/>
        <v>#REF!</v>
      </c>
      <c r="AM119" s="50"/>
      <c r="AN119" s="50"/>
      <c r="AO119" s="39" t="e">
        <f>AO60</f>
        <v>#REF!</v>
      </c>
      <c r="AP119" s="170" t="e">
        <f t="shared" si="53"/>
        <v>#REF!</v>
      </c>
      <c r="AQ119" s="50"/>
      <c r="AR119" s="50"/>
      <c r="AS119" s="39" t="e">
        <f>AS60</f>
        <v>#REF!</v>
      </c>
      <c r="AT119" s="170" t="e">
        <f t="shared" si="54"/>
        <v>#REF!</v>
      </c>
      <c r="AU119" s="50"/>
      <c r="AV119" s="50"/>
      <c r="AW119" s="39" t="e">
        <f>AW60</f>
        <v>#REF!</v>
      </c>
      <c r="AX119" s="170" t="e">
        <f t="shared" si="55"/>
        <v>#REF!</v>
      </c>
      <c r="AY119" s="50"/>
      <c r="AZ119" s="50"/>
      <c r="BA119" s="39" t="e">
        <f>BA60</f>
        <v>#REF!</v>
      </c>
      <c r="BB119" s="170" t="e">
        <f t="shared" si="42"/>
        <v>#REF!</v>
      </c>
      <c r="BC119" s="50"/>
      <c r="BD119" s="50"/>
    </row>
    <row r="120" spans="1:56">
      <c r="A120" s="258"/>
      <c r="B120" s="259" t="s">
        <v>799</v>
      </c>
      <c r="C120" s="260" t="s">
        <v>604</v>
      </c>
      <c r="D120" s="62">
        <v>100</v>
      </c>
      <c r="E120" s="260" t="s">
        <v>35</v>
      </c>
      <c r="F120" s="39"/>
      <c r="G120" s="40"/>
      <c r="H120" s="40"/>
      <c r="I120" s="40"/>
      <c r="J120" s="39"/>
      <c r="K120" s="40"/>
      <c r="L120" s="40"/>
      <c r="M120" s="50"/>
      <c r="N120" s="43"/>
      <c r="O120" s="44">
        <v>100</v>
      </c>
      <c r="P120" s="43">
        <f t="shared" si="56"/>
        <v>0</v>
      </c>
      <c r="Q120" s="45"/>
      <c r="R120" s="43"/>
      <c r="S120" s="43"/>
      <c r="T120" s="43"/>
      <c r="U120" s="43"/>
      <c r="V120" s="43"/>
      <c r="W120" s="43"/>
      <c r="X120" s="43"/>
      <c r="Y120" s="43"/>
      <c r="Z120" s="43"/>
      <c r="AA120" s="43"/>
      <c r="AB120" s="43"/>
      <c r="AC120" s="43"/>
      <c r="AD120" s="43"/>
      <c r="AE120" s="43"/>
      <c r="AF120" s="43"/>
      <c r="AG120" s="39" t="e">
        <f>AG50</f>
        <v>#REF!</v>
      </c>
      <c r="AH120" s="170" t="e">
        <f t="shared" si="51"/>
        <v>#REF!</v>
      </c>
      <c r="AI120" s="50"/>
      <c r="AJ120" s="50"/>
      <c r="AK120" s="39" t="e">
        <f>AK50</f>
        <v>#REF!</v>
      </c>
      <c r="AL120" s="170" t="e">
        <f t="shared" si="52"/>
        <v>#REF!</v>
      </c>
      <c r="AM120" s="50"/>
      <c r="AN120" s="50"/>
      <c r="AO120" s="39" t="e">
        <f>AO50</f>
        <v>#REF!</v>
      </c>
      <c r="AP120" s="170" t="e">
        <f t="shared" si="53"/>
        <v>#REF!</v>
      </c>
      <c r="AQ120" s="50"/>
      <c r="AR120" s="50"/>
      <c r="AS120" s="39" t="e">
        <f>AS50</f>
        <v>#REF!</v>
      </c>
      <c r="AT120" s="170" t="e">
        <f t="shared" si="54"/>
        <v>#REF!</v>
      </c>
      <c r="AU120" s="50"/>
      <c r="AV120" s="50"/>
      <c r="AW120" s="39" t="e">
        <f>AW50</f>
        <v>#REF!</v>
      </c>
      <c r="AX120" s="170" t="e">
        <f t="shared" si="55"/>
        <v>#REF!</v>
      </c>
      <c r="AY120" s="50"/>
      <c r="AZ120" s="50"/>
      <c r="BA120" s="39" t="e">
        <f>BA50</f>
        <v>#REF!</v>
      </c>
      <c r="BB120" s="170" t="e">
        <f t="shared" si="42"/>
        <v>#REF!</v>
      </c>
      <c r="BC120" s="50"/>
      <c r="BD120" s="50"/>
    </row>
    <row r="121" spans="1:56">
      <c r="A121" s="258"/>
      <c r="B121" s="259" t="s">
        <v>660</v>
      </c>
      <c r="C121" s="260" t="s">
        <v>604</v>
      </c>
      <c r="D121" s="62">
        <v>70</v>
      </c>
      <c r="E121" s="260" t="s">
        <v>35</v>
      </c>
      <c r="F121" s="40"/>
      <c r="G121" s="40"/>
      <c r="H121" s="40"/>
      <c r="I121" s="40"/>
      <c r="J121" s="40"/>
      <c r="K121" s="40"/>
      <c r="L121" s="40"/>
      <c r="M121" s="50"/>
      <c r="N121" s="43"/>
      <c r="O121" s="44">
        <v>70</v>
      </c>
      <c r="P121" s="43">
        <f t="shared" si="56"/>
        <v>0</v>
      </c>
      <c r="Q121" s="45"/>
      <c r="R121" s="43"/>
      <c r="S121" s="43"/>
      <c r="T121" s="43"/>
      <c r="U121" s="43"/>
      <c r="V121" s="43"/>
      <c r="W121" s="43"/>
      <c r="X121" s="43"/>
      <c r="Y121" s="43"/>
      <c r="Z121" s="43"/>
      <c r="AA121" s="43"/>
      <c r="AB121" s="43"/>
      <c r="AC121" s="43"/>
      <c r="AD121" s="43"/>
      <c r="AE121" s="43"/>
      <c r="AF121" s="43"/>
      <c r="AG121" s="40" t="e">
        <f>AG65</f>
        <v>#REF!</v>
      </c>
      <c r="AH121" s="170" t="e">
        <f t="shared" si="51"/>
        <v>#REF!</v>
      </c>
      <c r="AI121" s="50"/>
      <c r="AJ121" s="50"/>
      <c r="AK121" s="40" t="e">
        <f>AK65</f>
        <v>#REF!</v>
      </c>
      <c r="AL121" s="170" t="e">
        <f t="shared" si="52"/>
        <v>#REF!</v>
      </c>
      <c r="AM121" s="50"/>
      <c r="AN121" s="50"/>
      <c r="AO121" s="40" t="e">
        <f>AO65</f>
        <v>#REF!</v>
      </c>
      <c r="AP121" s="170" t="e">
        <f t="shared" si="53"/>
        <v>#REF!</v>
      </c>
      <c r="AQ121" s="50"/>
      <c r="AR121" s="50"/>
      <c r="AS121" s="40" t="e">
        <f>AS65</f>
        <v>#REF!</v>
      </c>
      <c r="AT121" s="170" t="e">
        <f t="shared" si="54"/>
        <v>#REF!</v>
      </c>
      <c r="AU121" s="50"/>
      <c r="AV121" s="50"/>
      <c r="AW121" s="40" t="e">
        <f>AW65</f>
        <v>#REF!</v>
      </c>
      <c r="AX121" s="170" t="e">
        <f t="shared" si="55"/>
        <v>#REF!</v>
      </c>
      <c r="AY121" s="50"/>
      <c r="AZ121" s="50"/>
      <c r="BA121" s="40" t="e">
        <f>BA65</f>
        <v>#REF!</v>
      </c>
      <c r="BB121" s="170" t="e">
        <f t="shared" si="42"/>
        <v>#REF!</v>
      </c>
      <c r="BC121" s="50"/>
      <c r="BD121" s="50"/>
    </row>
    <row r="122" spans="1:56">
      <c r="A122" s="258"/>
      <c r="B122" s="259" t="s">
        <v>801</v>
      </c>
      <c r="C122" s="260" t="s">
        <v>604</v>
      </c>
      <c r="D122" s="62">
        <v>80</v>
      </c>
      <c r="E122" s="260" t="s">
        <v>35</v>
      </c>
      <c r="F122" s="39"/>
      <c r="G122" s="40"/>
      <c r="H122" s="40"/>
      <c r="I122" s="40"/>
      <c r="J122" s="39"/>
      <c r="K122" s="40"/>
      <c r="L122" s="40"/>
      <c r="M122" s="50"/>
      <c r="N122" s="43"/>
      <c r="O122" s="44">
        <v>100</v>
      </c>
      <c r="P122" s="43">
        <f t="shared" si="56"/>
        <v>0</v>
      </c>
      <c r="Q122" s="45"/>
      <c r="R122" s="43"/>
      <c r="S122" s="43"/>
      <c r="T122" s="43"/>
      <c r="U122" s="43"/>
      <c r="V122" s="43"/>
      <c r="W122" s="43"/>
      <c r="X122" s="43"/>
      <c r="Y122" s="43"/>
      <c r="Z122" s="43"/>
      <c r="AA122" s="43"/>
      <c r="AB122" s="43"/>
      <c r="AC122" s="43"/>
      <c r="AD122" s="43"/>
      <c r="AE122" s="43"/>
      <c r="AF122" s="43"/>
      <c r="AG122" s="39" t="e">
        <f>+#REF!+#REF!</f>
        <v>#REF!</v>
      </c>
      <c r="AH122" s="170" t="e">
        <f t="shared" si="51"/>
        <v>#REF!</v>
      </c>
      <c r="AI122" s="50"/>
      <c r="AJ122" s="50"/>
      <c r="AK122" s="39" t="e">
        <f>#REF!+#REF!</f>
        <v>#REF!</v>
      </c>
      <c r="AL122" s="170" t="e">
        <f t="shared" si="52"/>
        <v>#REF!</v>
      </c>
      <c r="AM122" s="50"/>
      <c r="AN122" s="50"/>
      <c r="AO122" s="39" t="e">
        <f>+#REF!+#REF!</f>
        <v>#REF!</v>
      </c>
      <c r="AP122" s="170" t="e">
        <f t="shared" si="53"/>
        <v>#REF!</v>
      </c>
      <c r="AQ122" s="50"/>
      <c r="AR122" s="50"/>
      <c r="AS122" s="39" t="e">
        <f>#REF!+#REF!</f>
        <v>#REF!</v>
      </c>
      <c r="AT122" s="170" t="e">
        <f t="shared" si="54"/>
        <v>#REF!</v>
      </c>
      <c r="AU122" s="50"/>
      <c r="AV122" s="50"/>
      <c r="AW122" s="39" t="e">
        <f>+#REF!+#REF!</f>
        <v>#REF!</v>
      </c>
      <c r="AX122" s="170" t="e">
        <f t="shared" si="55"/>
        <v>#REF!</v>
      </c>
      <c r="AY122" s="50"/>
      <c r="AZ122" s="50"/>
      <c r="BA122" s="39" t="e">
        <f>#REF!+#REF!</f>
        <v>#REF!</v>
      </c>
      <c r="BB122" s="170" t="e">
        <f t="shared" si="42"/>
        <v>#REF!</v>
      </c>
      <c r="BC122" s="50"/>
      <c r="BD122" s="50"/>
    </row>
    <row r="123" spans="1:56">
      <c r="A123" s="258"/>
      <c r="B123" s="259" t="s">
        <v>733</v>
      </c>
      <c r="C123" s="260" t="s">
        <v>604</v>
      </c>
      <c r="D123" s="62">
        <v>300</v>
      </c>
      <c r="E123" s="260" t="s">
        <v>35</v>
      </c>
      <c r="F123" s="39"/>
      <c r="G123" s="40"/>
      <c r="H123" s="40"/>
      <c r="I123" s="40"/>
      <c r="J123" s="39"/>
      <c r="K123" s="40"/>
      <c r="L123" s="40"/>
      <c r="M123" s="50"/>
      <c r="N123" s="43"/>
      <c r="O123" s="44">
        <v>300</v>
      </c>
      <c r="P123" s="43">
        <f t="shared" si="56"/>
        <v>0</v>
      </c>
      <c r="Q123" s="45"/>
      <c r="R123" s="43"/>
      <c r="S123" s="43"/>
      <c r="T123" s="43"/>
      <c r="U123" s="43"/>
      <c r="V123" s="43"/>
      <c r="W123" s="43"/>
      <c r="X123" s="43"/>
      <c r="Y123" s="43"/>
      <c r="Z123" s="43"/>
      <c r="AA123" s="43"/>
      <c r="AB123" s="43"/>
      <c r="AC123" s="43"/>
      <c r="AD123" s="43"/>
      <c r="AE123" s="43"/>
      <c r="AF123" s="43"/>
      <c r="AG123" s="39" t="e">
        <f>#REF!+#REF!</f>
        <v>#REF!</v>
      </c>
      <c r="AH123" s="170" t="e">
        <f t="shared" si="51"/>
        <v>#REF!</v>
      </c>
      <c r="AI123" s="50"/>
      <c r="AJ123" s="50"/>
      <c r="AK123" s="39" t="e">
        <f>(#REF!+#REF!)*0</f>
        <v>#REF!</v>
      </c>
      <c r="AL123" s="170" t="e">
        <f t="shared" si="52"/>
        <v>#REF!</v>
      </c>
      <c r="AM123" s="50"/>
      <c r="AN123" s="50"/>
      <c r="AO123" s="39" t="e">
        <f>#REF!+#REF!</f>
        <v>#REF!</v>
      </c>
      <c r="AP123" s="170" t="e">
        <f t="shared" si="53"/>
        <v>#REF!</v>
      </c>
      <c r="AQ123" s="50"/>
      <c r="AR123" s="50"/>
      <c r="AS123" s="39" t="e">
        <f>(#REF!+#REF!)*0</f>
        <v>#REF!</v>
      </c>
      <c r="AT123" s="170" t="e">
        <f t="shared" si="54"/>
        <v>#REF!</v>
      </c>
      <c r="AU123" s="50"/>
      <c r="AV123" s="50"/>
      <c r="AW123" s="39" t="e">
        <f>#REF!+#REF!</f>
        <v>#REF!</v>
      </c>
      <c r="AX123" s="170" t="e">
        <f t="shared" si="55"/>
        <v>#REF!</v>
      </c>
      <c r="AY123" s="50"/>
      <c r="AZ123" s="50"/>
      <c r="BA123" s="39" t="e">
        <f>(#REF!+#REF!)*0</f>
        <v>#REF!</v>
      </c>
      <c r="BB123" s="170" t="e">
        <f t="shared" si="42"/>
        <v>#REF!</v>
      </c>
      <c r="BC123" s="50"/>
      <c r="BD123" s="50"/>
    </row>
    <row r="124" spans="1:56">
      <c r="A124" s="258"/>
      <c r="B124" s="259" t="s">
        <v>802</v>
      </c>
      <c r="C124" s="260" t="s">
        <v>604</v>
      </c>
      <c r="D124" s="62">
        <v>80</v>
      </c>
      <c r="E124" s="260" t="s">
        <v>35</v>
      </c>
      <c r="F124" s="39"/>
      <c r="G124" s="40"/>
      <c r="H124" s="40"/>
      <c r="I124" s="40"/>
      <c r="J124" s="39"/>
      <c r="K124" s="40"/>
      <c r="L124" s="40"/>
      <c r="M124" s="50"/>
      <c r="N124" s="43"/>
      <c r="O124" s="44">
        <v>100</v>
      </c>
      <c r="P124" s="43">
        <f t="shared" si="56"/>
        <v>0</v>
      </c>
      <c r="Q124" s="45"/>
      <c r="R124" s="43"/>
      <c r="S124" s="43"/>
      <c r="T124" s="43"/>
      <c r="U124" s="43"/>
      <c r="V124" s="43"/>
      <c r="W124" s="43"/>
      <c r="X124" s="43"/>
      <c r="Y124" s="43"/>
      <c r="Z124" s="43"/>
      <c r="AA124" s="43"/>
      <c r="AB124" s="43"/>
      <c r="AC124" s="43"/>
      <c r="AD124" s="43"/>
      <c r="AE124" s="43"/>
      <c r="AF124" s="43"/>
      <c r="AG124" s="39" t="e">
        <f>#REF!+#REF!</f>
        <v>#REF!</v>
      </c>
      <c r="AH124" s="170" t="e">
        <f t="shared" si="51"/>
        <v>#REF!</v>
      </c>
      <c r="AI124" s="50"/>
      <c r="AJ124" s="50"/>
      <c r="AK124" s="39" t="e">
        <f>#REF!+#REF!</f>
        <v>#REF!</v>
      </c>
      <c r="AL124" s="170" t="e">
        <f t="shared" si="52"/>
        <v>#REF!</v>
      </c>
      <c r="AM124" s="50"/>
      <c r="AN124" s="50"/>
      <c r="AO124" s="39" t="e">
        <f>#REF!+#REF!</f>
        <v>#REF!</v>
      </c>
      <c r="AP124" s="170" t="e">
        <f t="shared" si="53"/>
        <v>#REF!</v>
      </c>
      <c r="AQ124" s="50"/>
      <c r="AR124" s="50"/>
      <c r="AS124" s="39" t="e">
        <f>#REF!+#REF!</f>
        <v>#REF!</v>
      </c>
      <c r="AT124" s="170" t="e">
        <f t="shared" si="54"/>
        <v>#REF!</v>
      </c>
      <c r="AU124" s="50"/>
      <c r="AV124" s="50"/>
      <c r="AW124" s="39" t="e">
        <f>#REF!+#REF!</f>
        <v>#REF!</v>
      </c>
      <c r="AX124" s="170" t="e">
        <f t="shared" si="55"/>
        <v>#REF!</v>
      </c>
      <c r="AY124" s="50"/>
      <c r="AZ124" s="50"/>
      <c r="BA124" s="39" t="e">
        <f>#REF!+#REF!</f>
        <v>#REF!</v>
      </c>
      <c r="BB124" s="170" t="e">
        <f t="shared" si="42"/>
        <v>#REF!</v>
      </c>
      <c r="BC124" s="50"/>
      <c r="BD124" s="50"/>
    </row>
    <row r="125" spans="1:56">
      <c r="A125" s="258"/>
      <c r="B125" s="259" t="s">
        <v>707</v>
      </c>
      <c r="C125" s="260" t="s">
        <v>604</v>
      </c>
      <c r="D125" s="62">
        <v>100</v>
      </c>
      <c r="E125" s="260" t="s">
        <v>35</v>
      </c>
      <c r="F125" s="39"/>
      <c r="G125" s="40"/>
      <c r="H125" s="40"/>
      <c r="I125" s="40"/>
      <c r="J125" s="39"/>
      <c r="K125" s="40"/>
      <c r="L125" s="40"/>
      <c r="M125" s="50"/>
      <c r="N125" s="43"/>
      <c r="O125" s="44">
        <v>100</v>
      </c>
      <c r="P125" s="43">
        <f t="shared" si="56"/>
        <v>0</v>
      </c>
      <c r="Q125" s="45"/>
      <c r="R125" s="43"/>
      <c r="S125" s="43"/>
      <c r="T125" s="43"/>
      <c r="U125" s="43"/>
      <c r="V125" s="43"/>
      <c r="W125" s="43"/>
      <c r="X125" s="43"/>
      <c r="Y125" s="43"/>
      <c r="Z125" s="43"/>
      <c r="AA125" s="43"/>
      <c r="AB125" s="43"/>
      <c r="AC125" s="43"/>
      <c r="AD125" s="43"/>
      <c r="AE125" s="43"/>
      <c r="AF125" s="43"/>
      <c r="AG125" s="39" t="e">
        <f>AG126</f>
        <v>#REF!</v>
      </c>
      <c r="AH125" s="170" t="e">
        <f t="shared" si="51"/>
        <v>#REF!</v>
      </c>
      <c r="AI125" s="50"/>
      <c r="AJ125" s="50"/>
      <c r="AK125" s="39" t="e">
        <f>AK126</f>
        <v>#REF!</v>
      </c>
      <c r="AL125" s="170" t="e">
        <f t="shared" si="52"/>
        <v>#REF!</v>
      </c>
      <c r="AM125" s="50"/>
      <c r="AN125" s="50"/>
      <c r="AO125" s="39" t="e">
        <f>AO126</f>
        <v>#REF!</v>
      </c>
      <c r="AP125" s="170" t="e">
        <f t="shared" si="53"/>
        <v>#REF!</v>
      </c>
      <c r="AQ125" s="50"/>
      <c r="AR125" s="50"/>
      <c r="AS125" s="39" t="e">
        <f>AS126</f>
        <v>#REF!</v>
      </c>
      <c r="AT125" s="170" t="e">
        <f t="shared" si="54"/>
        <v>#REF!</v>
      </c>
      <c r="AU125" s="50"/>
      <c r="AV125" s="50"/>
      <c r="AW125" s="39" t="e">
        <f>AW126</f>
        <v>#REF!</v>
      </c>
      <c r="AX125" s="170" t="e">
        <f t="shared" si="55"/>
        <v>#REF!</v>
      </c>
      <c r="AY125" s="50"/>
      <c r="AZ125" s="50"/>
      <c r="BA125" s="39" t="e">
        <f>BA126</f>
        <v>#REF!</v>
      </c>
      <c r="BB125" s="170" t="e">
        <f t="shared" si="42"/>
        <v>#REF!</v>
      </c>
      <c r="BC125" s="50"/>
      <c r="BD125" s="50"/>
    </row>
    <row r="126" spans="1:56">
      <c r="A126" s="258"/>
      <c r="B126" s="259" t="s">
        <v>734</v>
      </c>
      <c r="C126" s="260" t="s">
        <v>604</v>
      </c>
      <c r="D126" s="62">
        <v>30</v>
      </c>
      <c r="E126" s="260" t="s">
        <v>35</v>
      </c>
      <c r="F126" s="39"/>
      <c r="G126" s="40"/>
      <c r="H126" s="40"/>
      <c r="I126" s="40"/>
      <c r="J126" s="39"/>
      <c r="K126" s="40"/>
      <c r="L126" s="40"/>
      <c r="M126" s="50"/>
      <c r="N126" s="43"/>
      <c r="O126" s="44">
        <v>40</v>
      </c>
      <c r="P126" s="43">
        <f t="shared" si="56"/>
        <v>0</v>
      </c>
      <c r="Q126" s="45"/>
      <c r="R126" s="43"/>
      <c r="S126" s="43"/>
      <c r="T126" s="43"/>
      <c r="U126" s="43"/>
      <c r="V126" s="43"/>
      <c r="W126" s="43"/>
      <c r="X126" s="43"/>
      <c r="Y126" s="43"/>
      <c r="Z126" s="43"/>
      <c r="AA126" s="43"/>
      <c r="AB126" s="43"/>
      <c r="AC126" s="43"/>
      <c r="AD126" s="43"/>
      <c r="AE126" s="43"/>
      <c r="AF126" s="43"/>
      <c r="AG126" s="39" t="e">
        <f>#REF!+#REF!+#REF!+#REF!+#REF!</f>
        <v>#REF!</v>
      </c>
      <c r="AH126" s="170" t="e">
        <f t="shared" si="51"/>
        <v>#REF!</v>
      </c>
      <c r="AI126" s="50"/>
      <c r="AJ126" s="50"/>
      <c r="AK126" s="39" t="e">
        <f>#REF!+#REF!+#REF!+#REF!+#REF!</f>
        <v>#REF!</v>
      </c>
      <c r="AL126" s="170" t="e">
        <f t="shared" si="52"/>
        <v>#REF!</v>
      </c>
      <c r="AM126" s="50"/>
      <c r="AN126" s="50"/>
      <c r="AO126" s="39" t="e">
        <f>#REF!+#REF!+#REF!+#REF!+#REF!</f>
        <v>#REF!</v>
      </c>
      <c r="AP126" s="170"/>
      <c r="AQ126" s="50"/>
      <c r="AR126" s="50"/>
      <c r="AS126" s="39" t="e">
        <f>#REF!+#REF!+#REF!+#REF!+#REF!</f>
        <v>#REF!</v>
      </c>
      <c r="AT126" s="170"/>
      <c r="AU126" s="50"/>
      <c r="AV126" s="50"/>
      <c r="AW126" s="39" t="e">
        <f>#REF!+#REF!+#REF!+#REF!+#REF!</f>
        <v>#REF!</v>
      </c>
      <c r="AX126" s="170" t="e">
        <f t="shared" si="55"/>
        <v>#REF!</v>
      </c>
      <c r="AY126" s="50"/>
      <c r="AZ126" s="50"/>
      <c r="BA126" s="39" t="e">
        <f>#REF!+#REF!+#REF!+#REF!+#REF!</f>
        <v>#REF!</v>
      </c>
      <c r="BB126" s="170" t="e">
        <f t="shared" si="42"/>
        <v>#REF!</v>
      </c>
      <c r="BC126" s="50"/>
      <c r="BD126" s="50"/>
    </row>
    <row r="127" spans="1:56">
      <c r="A127" s="258"/>
      <c r="B127" s="259" t="s">
        <v>735</v>
      </c>
      <c r="C127" s="260" t="s">
        <v>604</v>
      </c>
      <c r="D127" s="62">
        <v>100</v>
      </c>
      <c r="E127" s="260" t="s">
        <v>35</v>
      </c>
      <c r="F127" s="39"/>
      <c r="G127" s="40"/>
      <c r="H127" s="40"/>
      <c r="I127" s="40"/>
      <c r="J127" s="39"/>
      <c r="K127" s="40"/>
      <c r="L127" s="40"/>
      <c r="M127" s="50"/>
      <c r="N127" s="43"/>
      <c r="O127" s="44">
        <v>100</v>
      </c>
      <c r="P127" s="43">
        <f t="shared" si="56"/>
        <v>0</v>
      </c>
      <c r="Q127" s="45"/>
      <c r="R127" s="43"/>
      <c r="S127" s="43"/>
      <c r="T127" s="43"/>
      <c r="U127" s="43"/>
      <c r="V127" s="43"/>
      <c r="W127" s="43"/>
      <c r="X127" s="43"/>
      <c r="Y127" s="43"/>
      <c r="Z127" s="43"/>
      <c r="AA127" s="43"/>
      <c r="AB127" s="43"/>
      <c r="AC127" s="43"/>
      <c r="AD127" s="43"/>
      <c r="AE127" s="43"/>
      <c r="AF127" s="43"/>
      <c r="AG127" s="39" t="e">
        <f>#REF!+#REF!+#REF!</f>
        <v>#REF!</v>
      </c>
      <c r="AH127" s="170" t="e">
        <f t="shared" si="51"/>
        <v>#REF!</v>
      </c>
      <c r="AI127" s="50"/>
      <c r="AJ127" s="50"/>
      <c r="AK127" s="39" t="e">
        <f>#REF!+#REF!+#REF!+#REF!*0.6+#REF!*0.7</f>
        <v>#REF!</v>
      </c>
      <c r="AL127" s="170" t="e">
        <f t="shared" si="52"/>
        <v>#REF!</v>
      </c>
      <c r="AM127" s="50"/>
      <c r="AN127" s="50"/>
      <c r="AO127" s="39" t="e">
        <f>#REF!+#REF!+#REF!</f>
        <v>#REF!</v>
      </c>
      <c r="AP127" s="170"/>
      <c r="AQ127" s="50"/>
      <c r="AR127" s="50"/>
      <c r="AS127" s="39" t="e">
        <f>#REF!+#REF!+#REF!+#REF!*0.6+#REF!*0.7</f>
        <v>#REF!</v>
      </c>
      <c r="AT127" s="170"/>
      <c r="AU127" s="50"/>
      <c r="AV127" s="50"/>
      <c r="AW127" s="39" t="e">
        <f>#REF!+#REF!+#REF!</f>
        <v>#REF!</v>
      </c>
      <c r="AX127" s="170" t="e">
        <f t="shared" si="55"/>
        <v>#REF!</v>
      </c>
      <c r="AY127" s="50"/>
      <c r="AZ127" s="50"/>
      <c r="BA127" s="39" t="e">
        <f>#REF!+#REF!+#REF!+#REF!*0.6+#REF!*0.7</f>
        <v>#REF!</v>
      </c>
      <c r="BB127" s="170" t="e">
        <f t="shared" si="42"/>
        <v>#REF!</v>
      </c>
      <c r="BC127" s="50"/>
      <c r="BD127" s="50"/>
    </row>
    <row r="128" spans="1:56">
      <c r="A128" s="258"/>
      <c r="B128" s="268" t="s">
        <v>736</v>
      </c>
      <c r="C128" s="260" t="s">
        <v>604</v>
      </c>
      <c r="D128" s="62">
        <v>120</v>
      </c>
      <c r="E128" s="260" t="s">
        <v>35</v>
      </c>
      <c r="F128" s="39"/>
      <c r="G128" s="40"/>
      <c r="H128" s="40"/>
      <c r="I128" s="40"/>
      <c r="J128" s="39"/>
      <c r="K128" s="40"/>
      <c r="L128" s="40"/>
      <c r="M128" s="50"/>
      <c r="N128" s="43"/>
      <c r="O128" s="44">
        <v>120</v>
      </c>
      <c r="P128" s="43">
        <f t="shared" si="56"/>
        <v>0</v>
      </c>
      <c r="Q128" s="45"/>
      <c r="R128" s="43"/>
      <c r="S128" s="43"/>
      <c r="T128" s="43"/>
      <c r="U128" s="43"/>
      <c r="V128" s="43"/>
      <c r="W128" s="43"/>
      <c r="X128" s="43"/>
      <c r="Y128" s="43"/>
      <c r="Z128" s="43"/>
      <c r="AA128" s="43"/>
      <c r="AB128" s="43"/>
      <c r="AC128" s="43"/>
      <c r="AD128" s="43"/>
      <c r="AE128" s="43"/>
      <c r="AF128" s="43"/>
      <c r="AG128" s="39"/>
      <c r="AH128" s="170">
        <f t="shared" si="51"/>
        <v>0</v>
      </c>
      <c r="AI128" s="50"/>
      <c r="AJ128" s="50"/>
      <c r="AK128" s="39"/>
      <c r="AL128" s="170">
        <f t="shared" si="52"/>
        <v>0</v>
      </c>
      <c r="AM128" s="50"/>
      <c r="AN128" s="50"/>
      <c r="AO128" s="39"/>
      <c r="AP128" s="170">
        <f t="shared" si="53"/>
        <v>0</v>
      </c>
      <c r="AQ128" s="50"/>
      <c r="AR128" s="50"/>
      <c r="AS128" s="39"/>
      <c r="AT128" s="170">
        <f t="shared" si="54"/>
        <v>0</v>
      </c>
      <c r="AU128" s="50"/>
      <c r="AV128" s="50"/>
      <c r="AW128" s="39"/>
      <c r="AX128" s="170">
        <f t="shared" si="55"/>
        <v>0</v>
      </c>
      <c r="AY128" s="50"/>
      <c r="AZ128" s="50"/>
      <c r="BA128" s="39"/>
      <c r="BB128" s="170">
        <f t="shared" si="42"/>
        <v>0</v>
      </c>
      <c r="BC128" s="50"/>
      <c r="BD128" s="50"/>
    </row>
    <row r="129" spans="1:56">
      <c r="A129" s="258"/>
      <c r="B129" s="268" t="s">
        <v>794</v>
      </c>
      <c r="C129" s="256" t="s">
        <v>604</v>
      </c>
      <c r="D129" s="218">
        <v>20</v>
      </c>
      <c r="E129" s="256" t="s">
        <v>35</v>
      </c>
      <c r="F129" s="40"/>
      <c r="G129" s="40"/>
      <c r="H129" s="40"/>
      <c r="I129" s="40"/>
      <c r="J129" s="40"/>
      <c r="K129" s="40"/>
      <c r="L129" s="40"/>
      <c r="M129" s="50"/>
      <c r="N129" s="43"/>
      <c r="O129" s="44">
        <v>1000</v>
      </c>
      <c r="P129" s="43">
        <f t="shared" si="56"/>
        <v>0</v>
      </c>
      <c r="Q129" s="45"/>
      <c r="R129" s="43"/>
      <c r="S129" s="43"/>
      <c r="T129" s="43"/>
      <c r="U129" s="43"/>
      <c r="V129" s="43"/>
      <c r="W129" s="43"/>
      <c r="X129" s="43"/>
      <c r="Y129" s="43"/>
      <c r="Z129" s="43"/>
      <c r="AA129" s="43"/>
      <c r="AB129" s="43"/>
      <c r="AC129" s="43"/>
      <c r="AD129" s="43"/>
      <c r="AE129" s="43"/>
      <c r="AF129" s="43"/>
      <c r="AG129" s="40" t="e">
        <f>#REF!*0.55</f>
        <v>#REF!</v>
      </c>
      <c r="AH129" s="170" t="e">
        <f t="shared" si="51"/>
        <v>#REF!</v>
      </c>
      <c r="AI129" s="50"/>
      <c r="AJ129" s="50"/>
      <c r="AK129" s="40" t="e">
        <f>#REF!*0.55</f>
        <v>#REF!</v>
      </c>
      <c r="AL129" s="170" t="e">
        <f t="shared" si="52"/>
        <v>#REF!</v>
      </c>
      <c r="AM129" s="50"/>
      <c r="AN129" s="50"/>
      <c r="AO129" s="40" t="e">
        <f>#REF!*0.55</f>
        <v>#REF!</v>
      </c>
      <c r="AP129" s="170"/>
      <c r="AQ129" s="50"/>
      <c r="AR129" s="50"/>
      <c r="AS129" s="40" t="e">
        <f>#REF!*0.55</f>
        <v>#REF!</v>
      </c>
      <c r="AT129" s="170"/>
      <c r="AU129" s="50"/>
      <c r="AV129" s="50"/>
      <c r="AW129" s="40" t="e">
        <f>#REF!*0.55</f>
        <v>#REF!</v>
      </c>
      <c r="AX129" s="170" t="e">
        <f t="shared" si="55"/>
        <v>#REF!</v>
      </c>
      <c r="AY129" s="50"/>
      <c r="AZ129" s="50"/>
      <c r="BA129" s="40" t="e">
        <f>#REF!*0.55</f>
        <v>#REF!</v>
      </c>
      <c r="BB129" s="170" t="e">
        <f t="shared" si="42"/>
        <v>#REF!</v>
      </c>
      <c r="BC129" s="50"/>
      <c r="BD129" s="50"/>
    </row>
    <row r="130" spans="1:56">
      <c r="A130" s="261"/>
      <c r="B130" s="277" t="s">
        <v>849</v>
      </c>
      <c r="C130" s="269" t="s">
        <v>604</v>
      </c>
      <c r="D130" s="217">
        <v>40</v>
      </c>
      <c r="E130" s="256" t="s">
        <v>35</v>
      </c>
      <c r="F130" s="51"/>
      <c r="G130" s="40"/>
      <c r="H130" s="51"/>
      <c r="I130" s="51"/>
      <c r="J130" s="51"/>
      <c r="K130" s="40"/>
      <c r="L130" s="51"/>
      <c r="M130" s="52"/>
      <c r="N130" s="43"/>
      <c r="O130" s="44"/>
      <c r="P130" s="43"/>
      <c r="Q130" s="45"/>
      <c r="R130" s="43"/>
      <c r="S130" s="43"/>
      <c r="T130" s="43"/>
      <c r="U130" s="43"/>
      <c r="V130" s="43"/>
      <c r="W130" s="43"/>
      <c r="X130" s="43"/>
      <c r="Y130" s="43"/>
      <c r="Z130" s="43"/>
      <c r="AA130" s="43"/>
      <c r="AB130" s="43"/>
      <c r="AC130" s="43"/>
      <c r="AD130" s="43"/>
      <c r="AE130" s="43"/>
      <c r="AF130" s="43"/>
      <c r="AG130" s="51" t="e">
        <f>#REF!</f>
        <v>#REF!</v>
      </c>
      <c r="AH130" s="170" t="e">
        <f t="shared" si="51"/>
        <v>#REF!</v>
      </c>
      <c r="AI130" s="52"/>
      <c r="AJ130" s="52"/>
      <c r="AK130" s="51" t="e">
        <f>#REF!</f>
        <v>#REF!</v>
      </c>
      <c r="AL130" s="170" t="e">
        <f t="shared" si="52"/>
        <v>#REF!</v>
      </c>
      <c r="AM130" s="52"/>
      <c r="AN130" s="52"/>
      <c r="AO130" s="51" t="e">
        <f>#REF!</f>
        <v>#REF!</v>
      </c>
      <c r="AP130" s="170" t="e">
        <f t="shared" si="53"/>
        <v>#REF!</v>
      </c>
      <c r="AQ130" s="52"/>
      <c r="AR130" s="52"/>
      <c r="AS130" s="51" t="e">
        <f>#REF!</f>
        <v>#REF!</v>
      </c>
      <c r="AT130" s="170" t="e">
        <f t="shared" si="54"/>
        <v>#REF!</v>
      </c>
      <c r="AU130" s="52"/>
      <c r="AV130" s="52"/>
      <c r="AW130" s="51" t="e">
        <f>#REF!</f>
        <v>#REF!</v>
      </c>
      <c r="AX130" s="170" t="e">
        <f t="shared" si="55"/>
        <v>#REF!</v>
      </c>
      <c r="AY130" s="52"/>
      <c r="AZ130" s="52"/>
      <c r="BA130" s="51" t="e">
        <f>#REF!</f>
        <v>#REF!</v>
      </c>
      <c r="BB130" s="170" t="e">
        <f t="shared" si="42"/>
        <v>#REF!</v>
      </c>
      <c r="BC130" s="52"/>
      <c r="BD130" s="52"/>
    </row>
    <row r="131" spans="1:56">
      <c r="A131" s="261"/>
      <c r="B131" s="262" t="s">
        <v>739</v>
      </c>
      <c r="C131" s="263" t="s">
        <v>604</v>
      </c>
      <c r="D131" s="216">
        <v>40</v>
      </c>
      <c r="E131" s="263" t="s">
        <v>35</v>
      </c>
      <c r="F131" s="51"/>
      <c r="G131" s="40"/>
      <c r="H131" s="51"/>
      <c r="I131" s="51"/>
      <c r="J131" s="51"/>
      <c r="K131" s="40"/>
      <c r="L131" s="51"/>
      <c r="M131" s="52"/>
      <c r="N131" s="43"/>
      <c r="O131" s="44">
        <v>40</v>
      </c>
      <c r="P131" s="43">
        <v>1</v>
      </c>
      <c r="Q131" s="45"/>
      <c r="R131" s="43"/>
      <c r="S131" s="43"/>
      <c r="T131" s="43"/>
      <c r="U131" s="43"/>
      <c r="V131" s="43"/>
      <c r="W131" s="43"/>
      <c r="X131" s="43"/>
      <c r="Y131" s="43"/>
      <c r="Z131" s="43"/>
      <c r="AA131" s="43"/>
      <c r="AB131" s="43"/>
      <c r="AC131" s="43"/>
      <c r="AD131" s="43"/>
      <c r="AE131" s="43"/>
      <c r="AF131" s="43"/>
      <c r="AG131" s="51"/>
      <c r="AH131" s="170">
        <f t="shared" si="51"/>
        <v>0</v>
      </c>
      <c r="AI131" s="52"/>
      <c r="AJ131" s="52"/>
      <c r="AK131" s="51"/>
      <c r="AL131" s="170">
        <f t="shared" si="52"/>
        <v>0</v>
      </c>
      <c r="AM131" s="52"/>
      <c r="AN131" s="52"/>
      <c r="AO131" s="51"/>
      <c r="AP131" s="170">
        <f t="shared" si="53"/>
        <v>0</v>
      </c>
      <c r="AQ131" s="52"/>
      <c r="AR131" s="52"/>
      <c r="AS131" s="51"/>
      <c r="AT131" s="170">
        <f t="shared" si="54"/>
        <v>0</v>
      </c>
      <c r="AU131" s="52"/>
      <c r="AV131" s="52"/>
      <c r="AW131" s="51"/>
      <c r="AX131" s="170">
        <f t="shared" si="55"/>
        <v>0</v>
      </c>
      <c r="AY131" s="52"/>
      <c r="AZ131" s="52"/>
      <c r="BA131" s="51"/>
      <c r="BB131" s="170">
        <f t="shared" si="42"/>
        <v>0</v>
      </c>
      <c r="BC131" s="52"/>
      <c r="BD131" s="52"/>
    </row>
    <row r="132" spans="1:56" s="198" customFormat="1">
      <c r="A132" s="261"/>
      <c r="B132" s="262" t="s">
        <v>776</v>
      </c>
      <c r="C132" s="263" t="s">
        <v>604</v>
      </c>
      <c r="D132" s="216">
        <v>135</v>
      </c>
      <c r="E132" s="263" t="s">
        <v>35</v>
      </c>
      <c r="F132" s="51"/>
      <c r="G132" s="40"/>
      <c r="H132" s="51"/>
      <c r="I132" s="51"/>
      <c r="J132" s="51"/>
      <c r="K132" s="51"/>
      <c r="L132" s="51"/>
      <c r="M132" s="52"/>
      <c r="N132" s="194"/>
      <c r="O132" s="195">
        <v>135</v>
      </c>
      <c r="P132" s="194">
        <f>J132/D132</f>
        <v>0</v>
      </c>
      <c r="Q132" s="196"/>
      <c r="R132" s="194" t="s">
        <v>774</v>
      </c>
      <c r="S132" s="194">
        <f>17*8</f>
        <v>136</v>
      </c>
      <c r="T132" s="194"/>
      <c r="U132" s="194"/>
      <c r="V132" s="194"/>
      <c r="W132" s="194"/>
      <c r="X132" s="194"/>
      <c r="Y132" s="194"/>
      <c r="Z132" s="194"/>
      <c r="AA132" s="194"/>
      <c r="AB132" s="194"/>
      <c r="AC132" s="194"/>
      <c r="AD132" s="194"/>
      <c r="AE132" s="194"/>
      <c r="AF132" s="194"/>
      <c r="AG132" s="199"/>
      <c r="AH132" s="197">
        <f t="shared" si="51"/>
        <v>0</v>
      </c>
      <c r="AI132" s="200"/>
      <c r="AJ132" s="200"/>
      <c r="AK132" s="199"/>
      <c r="AL132" s="197">
        <f t="shared" si="52"/>
        <v>0</v>
      </c>
      <c r="AM132" s="200"/>
      <c r="AN132" s="200"/>
      <c r="AO132" s="199"/>
      <c r="AP132" s="197">
        <f t="shared" si="53"/>
        <v>0</v>
      </c>
      <c r="AQ132" s="200"/>
      <c r="AR132" s="200"/>
      <c r="AS132" s="199"/>
      <c r="AT132" s="197">
        <f t="shared" si="54"/>
        <v>0</v>
      </c>
      <c r="AU132" s="200"/>
      <c r="AV132" s="200"/>
      <c r="AW132" s="199"/>
      <c r="AX132" s="197">
        <f t="shared" si="55"/>
        <v>0</v>
      </c>
      <c r="AY132" s="200"/>
      <c r="AZ132" s="200"/>
      <c r="BA132" s="199"/>
      <c r="BB132" s="197">
        <f t="shared" si="42"/>
        <v>0</v>
      </c>
      <c r="BC132" s="200"/>
      <c r="BD132" s="200"/>
    </row>
    <row r="133" spans="1:56" s="198" customFormat="1">
      <c r="A133" s="261"/>
      <c r="B133" s="262" t="s">
        <v>769</v>
      </c>
      <c r="C133" s="263" t="s">
        <v>604</v>
      </c>
      <c r="D133" s="216">
        <v>135</v>
      </c>
      <c r="E133" s="263" t="s">
        <v>35</v>
      </c>
      <c r="F133" s="51"/>
      <c r="G133" s="40"/>
      <c r="H133" s="51"/>
      <c r="I133" s="51"/>
      <c r="J133" s="51"/>
      <c r="K133" s="40"/>
      <c r="L133" s="51"/>
      <c r="M133" s="52"/>
      <c r="N133" s="194"/>
      <c r="O133" s="195">
        <v>135</v>
      </c>
      <c r="P133" s="194">
        <f t="shared" ref="P133:P135" si="57">J133/D133</f>
        <v>0</v>
      </c>
      <c r="Q133" s="196"/>
      <c r="R133" s="194"/>
      <c r="S133" s="194"/>
      <c r="T133" s="194"/>
      <c r="U133" s="194"/>
      <c r="V133" s="194"/>
      <c r="W133" s="194"/>
      <c r="X133" s="194"/>
      <c r="Y133" s="194"/>
      <c r="Z133" s="194"/>
      <c r="AA133" s="194"/>
      <c r="AB133" s="194"/>
      <c r="AC133" s="194"/>
      <c r="AD133" s="194"/>
      <c r="AE133" s="194"/>
      <c r="AF133" s="194"/>
      <c r="AG133" s="199"/>
      <c r="AH133" s="197">
        <f t="shared" si="51"/>
        <v>0</v>
      </c>
      <c r="AI133" s="200"/>
      <c r="AJ133" s="200"/>
      <c r="AK133" s="199"/>
      <c r="AL133" s="197">
        <f t="shared" si="52"/>
        <v>0</v>
      </c>
      <c r="AM133" s="200"/>
      <c r="AN133" s="200"/>
      <c r="AO133" s="199"/>
      <c r="AP133" s="197">
        <f t="shared" si="53"/>
        <v>0</v>
      </c>
      <c r="AQ133" s="200"/>
      <c r="AR133" s="200"/>
      <c r="AS133" s="199"/>
      <c r="AT133" s="197">
        <f t="shared" si="54"/>
        <v>0</v>
      </c>
      <c r="AU133" s="200"/>
      <c r="AV133" s="200"/>
      <c r="AW133" s="199"/>
      <c r="AX133" s="197">
        <f t="shared" si="55"/>
        <v>0</v>
      </c>
      <c r="AY133" s="200"/>
      <c r="AZ133" s="200"/>
      <c r="BA133" s="199"/>
      <c r="BB133" s="197">
        <f t="shared" si="42"/>
        <v>0</v>
      </c>
      <c r="BC133" s="200"/>
      <c r="BD133" s="200"/>
    </row>
    <row r="134" spans="1:56" s="198" customFormat="1">
      <c r="A134" s="261"/>
      <c r="B134" s="262" t="s">
        <v>770</v>
      </c>
      <c r="C134" s="263" t="s">
        <v>604</v>
      </c>
      <c r="D134" s="216">
        <v>350</v>
      </c>
      <c r="E134" s="263" t="s">
        <v>35</v>
      </c>
      <c r="F134" s="51"/>
      <c r="G134" s="40"/>
      <c r="H134" s="51"/>
      <c r="I134" s="51"/>
      <c r="J134" s="51"/>
      <c r="K134" s="40"/>
      <c r="L134" s="51"/>
      <c r="M134" s="52"/>
      <c r="N134" s="194"/>
      <c r="O134" s="195">
        <v>350</v>
      </c>
      <c r="P134" s="194">
        <f t="shared" si="57"/>
        <v>0</v>
      </c>
      <c r="Q134" s="196"/>
      <c r="R134" s="194" t="s">
        <v>775</v>
      </c>
      <c r="S134" s="194"/>
      <c r="T134" s="194"/>
      <c r="U134" s="194"/>
      <c r="V134" s="194"/>
      <c r="W134" s="194"/>
      <c r="X134" s="194"/>
      <c r="Y134" s="194"/>
      <c r="Z134" s="194"/>
      <c r="AA134" s="194"/>
      <c r="AB134" s="194"/>
      <c r="AC134" s="194"/>
      <c r="AD134" s="194"/>
      <c r="AE134" s="194"/>
      <c r="AF134" s="194"/>
      <c r="AG134" s="199"/>
      <c r="AH134" s="197">
        <f t="shared" si="51"/>
        <v>0</v>
      </c>
      <c r="AI134" s="200"/>
      <c r="AJ134" s="200"/>
      <c r="AK134" s="199"/>
      <c r="AL134" s="197">
        <f t="shared" si="52"/>
        <v>0</v>
      </c>
      <c r="AM134" s="200"/>
      <c r="AN134" s="200"/>
      <c r="AO134" s="199"/>
      <c r="AP134" s="197">
        <f t="shared" si="53"/>
        <v>0</v>
      </c>
      <c r="AQ134" s="200"/>
      <c r="AR134" s="200"/>
      <c r="AS134" s="199"/>
      <c r="AT134" s="197">
        <f t="shared" si="54"/>
        <v>0</v>
      </c>
      <c r="AU134" s="200"/>
      <c r="AV134" s="200"/>
      <c r="AW134" s="199"/>
      <c r="AX134" s="197">
        <f t="shared" si="55"/>
        <v>0</v>
      </c>
      <c r="AY134" s="200"/>
      <c r="AZ134" s="200"/>
      <c r="BA134" s="199"/>
      <c r="BB134" s="197">
        <f t="shared" si="42"/>
        <v>0</v>
      </c>
      <c r="BC134" s="200"/>
      <c r="BD134" s="200"/>
    </row>
    <row r="135" spans="1:56" s="198" customFormat="1">
      <c r="A135" s="261"/>
      <c r="B135" s="262" t="s">
        <v>771</v>
      </c>
      <c r="C135" s="263" t="s">
        <v>604</v>
      </c>
      <c r="D135" s="216">
        <v>135</v>
      </c>
      <c r="E135" s="263" t="s">
        <v>35</v>
      </c>
      <c r="F135" s="51"/>
      <c r="G135" s="40"/>
      <c r="H135" s="51"/>
      <c r="I135" s="51"/>
      <c r="J135" s="51"/>
      <c r="K135" s="40"/>
      <c r="L135" s="51"/>
      <c r="M135" s="52"/>
      <c r="N135" s="194"/>
      <c r="O135" s="195">
        <v>135</v>
      </c>
      <c r="P135" s="194">
        <f t="shared" si="57"/>
        <v>0</v>
      </c>
      <c r="Q135" s="196"/>
      <c r="R135" s="194"/>
      <c r="S135" s="194"/>
      <c r="T135" s="194"/>
      <c r="U135" s="194"/>
      <c r="V135" s="194"/>
      <c r="W135" s="194"/>
      <c r="X135" s="194"/>
      <c r="Y135" s="194"/>
      <c r="Z135" s="194"/>
      <c r="AA135" s="194"/>
      <c r="AB135" s="194"/>
      <c r="AC135" s="194"/>
      <c r="AD135" s="194"/>
      <c r="AE135" s="194"/>
      <c r="AF135" s="194"/>
      <c r="AG135" s="199"/>
      <c r="AH135" s="197">
        <f t="shared" si="51"/>
        <v>0</v>
      </c>
      <c r="AI135" s="200"/>
      <c r="AJ135" s="200"/>
      <c r="AK135" s="199"/>
      <c r="AL135" s="197">
        <f t="shared" si="52"/>
        <v>0</v>
      </c>
      <c r="AM135" s="200"/>
      <c r="AN135" s="200"/>
      <c r="AO135" s="199"/>
      <c r="AP135" s="197">
        <f t="shared" si="53"/>
        <v>0</v>
      </c>
      <c r="AQ135" s="200"/>
      <c r="AR135" s="200"/>
      <c r="AS135" s="199"/>
      <c r="AT135" s="197">
        <f t="shared" si="54"/>
        <v>0</v>
      </c>
      <c r="AU135" s="200"/>
      <c r="AV135" s="200"/>
      <c r="AW135" s="199"/>
      <c r="AX135" s="197">
        <f t="shared" si="55"/>
        <v>0</v>
      </c>
      <c r="AY135" s="200"/>
      <c r="AZ135" s="200"/>
      <c r="BA135" s="199"/>
      <c r="BB135" s="197">
        <f t="shared" si="42"/>
        <v>0</v>
      </c>
      <c r="BC135" s="200"/>
      <c r="BD135" s="200"/>
    </row>
    <row r="136" spans="1:56">
      <c r="A136" s="261"/>
      <c r="B136" s="262" t="s">
        <v>850</v>
      </c>
      <c r="C136" s="263" t="s">
        <v>604</v>
      </c>
      <c r="D136" s="216">
        <v>100</v>
      </c>
      <c r="E136" s="263" t="s">
        <v>35</v>
      </c>
      <c r="F136" s="51"/>
      <c r="G136" s="40"/>
      <c r="H136" s="51"/>
      <c r="I136" s="51"/>
      <c r="J136" s="51"/>
      <c r="K136" s="40"/>
      <c r="L136" s="51"/>
      <c r="M136" s="52"/>
      <c r="N136" s="43"/>
      <c r="O136" s="44"/>
      <c r="P136" s="43"/>
      <c r="Q136" s="45"/>
      <c r="R136" s="43"/>
      <c r="S136" s="43"/>
      <c r="T136" s="43"/>
      <c r="U136" s="43"/>
      <c r="V136" s="43"/>
      <c r="W136" s="43"/>
      <c r="X136" s="43"/>
      <c r="Y136" s="43"/>
      <c r="Z136" s="43"/>
      <c r="AA136" s="43"/>
      <c r="AB136" s="43"/>
      <c r="AC136" s="43"/>
      <c r="AD136" s="43"/>
      <c r="AE136" s="43"/>
      <c r="AF136" s="43"/>
      <c r="AG136" s="51" t="e">
        <f>#REF!</f>
        <v>#REF!</v>
      </c>
      <c r="AH136" s="170" t="e">
        <f t="shared" si="51"/>
        <v>#REF!</v>
      </c>
      <c r="AI136" s="52"/>
      <c r="AJ136" s="52"/>
      <c r="AK136" s="51" t="e">
        <f>#REF!</f>
        <v>#REF!</v>
      </c>
      <c r="AL136" s="170" t="e">
        <f t="shared" si="52"/>
        <v>#REF!</v>
      </c>
      <c r="AM136" s="52"/>
      <c r="AN136" s="52"/>
      <c r="AO136" s="51" t="e">
        <f>#REF!</f>
        <v>#REF!</v>
      </c>
      <c r="AP136" s="170" t="e">
        <f t="shared" si="53"/>
        <v>#REF!</v>
      </c>
      <c r="AQ136" s="52"/>
      <c r="AR136" s="52"/>
      <c r="AS136" s="51" t="e">
        <f>#REF!</f>
        <v>#REF!</v>
      </c>
      <c r="AT136" s="170" t="e">
        <f t="shared" si="54"/>
        <v>#REF!</v>
      </c>
      <c r="AU136" s="52"/>
      <c r="AV136" s="52"/>
      <c r="AW136" s="51" t="e">
        <f>#REF!</f>
        <v>#REF!</v>
      </c>
      <c r="AX136" s="170" t="e">
        <f t="shared" si="55"/>
        <v>#REF!</v>
      </c>
      <c r="AY136" s="52"/>
      <c r="AZ136" s="52"/>
      <c r="BA136" s="51" t="e">
        <f>#REF!</f>
        <v>#REF!</v>
      </c>
      <c r="BB136" s="170" t="e">
        <f t="shared" si="42"/>
        <v>#REF!</v>
      </c>
      <c r="BC136" s="52"/>
      <c r="BD136" s="52"/>
    </row>
    <row r="137" spans="1:56">
      <c r="A137" s="261"/>
      <c r="B137" s="259" t="s">
        <v>717</v>
      </c>
      <c r="C137" s="263" t="s">
        <v>604</v>
      </c>
      <c r="D137" s="216">
        <v>170</v>
      </c>
      <c r="E137" s="263" t="s">
        <v>632</v>
      </c>
      <c r="F137" s="51"/>
      <c r="G137" s="40"/>
      <c r="H137" s="51"/>
      <c r="I137" s="51"/>
      <c r="J137" s="51"/>
      <c r="K137" s="40"/>
      <c r="L137" s="51"/>
      <c r="M137" s="52"/>
      <c r="N137" s="43"/>
      <c r="O137" s="44"/>
      <c r="P137" s="43"/>
      <c r="Q137" s="45"/>
      <c r="R137" s="43"/>
      <c r="S137" s="43"/>
      <c r="T137" s="43"/>
      <c r="U137" s="43"/>
      <c r="V137" s="43"/>
      <c r="W137" s="43"/>
      <c r="X137" s="43"/>
      <c r="Y137" s="43"/>
      <c r="Z137" s="43"/>
      <c r="AA137" s="43"/>
      <c r="AB137" s="43"/>
      <c r="AC137" s="43"/>
      <c r="AD137" s="43"/>
      <c r="AE137" s="43"/>
      <c r="AF137" s="43"/>
      <c r="AG137" s="51">
        <f>AG111</f>
        <v>0</v>
      </c>
      <c r="AH137" s="170">
        <f t="shared" si="51"/>
        <v>0</v>
      </c>
      <c r="AI137" s="52"/>
      <c r="AJ137" s="52"/>
      <c r="AK137" s="51">
        <f>AK111</f>
        <v>0</v>
      </c>
      <c r="AL137" s="170">
        <f t="shared" si="52"/>
        <v>0</v>
      </c>
      <c r="AM137" s="52"/>
      <c r="AN137" s="52"/>
      <c r="AO137" s="51">
        <f>AO111</f>
        <v>0</v>
      </c>
      <c r="AP137" s="170">
        <f t="shared" si="53"/>
        <v>0</v>
      </c>
      <c r="AQ137" s="52"/>
      <c r="AR137" s="52"/>
      <c r="AS137" s="51">
        <f>AS111</f>
        <v>0</v>
      </c>
      <c r="AT137" s="170">
        <f t="shared" si="54"/>
        <v>0</v>
      </c>
      <c r="AU137" s="52"/>
      <c r="AV137" s="52"/>
      <c r="AW137" s="51">
        <f>AW111</f>
        <v>0</v>
      </c>
      <c r="AX137" s="170">
        <f t="shared" si="55"/>
        <v>0</v>
      </c>
      <c r="AY137" s="52"/>
      <c r="AZ137" s="52"/>
      <c r="BA137" s="51">
        <f>BA111</f>
        <v>0</v>
      </c>
      <c r="BB137" s="170">
        <f t="shared" si="42"/>
        <v>0</v>
      </c>
      <c r="BC137" s="52"/>
      <c r="BD137" s="52"/>
    </row>
    <row r="138" spans="1:56">
      <c r="A138" s="261"/>
      <c r="B138" s="262" t="s">
        <v>806</v>
      </c>
      <c r="C138" s="263" t="s">
        <v>632</v>
      </c>
      <c r="D138" s="216"/>
      <c r="E138" s="263" t="s">
        <v>632</v>
      </c>
      <c r="F138" s="51"/>
      <c r="G138" s="40"/>
      <c r="H138" s="51"/>
      <c r="I138" s="51"/>
      <c r="J138" s="51"/>
      <c r="K138" s="40"/>
      <c r="L138" s="51"/>
      <c r="M138" s="52"/>
      <c r="N138" s="43"/>
      <c r="O138" s="44"/>
      <c r="P138" s="43">
        <v>0</v>
      </c>
      <c r="Q138" s="72"/>
      <c r="R138" s="43" t="s">
        <v>792</v>
      </c>
      <c r="S138" s="43"/>
      <c r="T138" s="43"/>
      <c r="U138" s="43"/>
      <c r="V138" s="43"/>
      <c r="W138" s="43"/>
      <c r="X138" s="43"/>
      <c r="Y138" s="43"/>
      <c r="Z138" s="43"/>
      <c r="AA138" s="43"/>
      <c r="AB138" s="43"/>
      <c r="AC138" s="43"/>
      <c r="AD138" s="43"/>
      <c r="AE138" s="43"/>
      <c r="AF138" s="43"/>
      <c r="AG138" s="51"/>
      <c r="AH138" s="170"/>
      <c r="AI138" s="52"/>
      <c r="AJ138" s="52"/>
      <c r="AK138" s="51"/>
      <c r="AL138" s="170"/>
      <c r="AM138" s="52"/>
      <c r="AN138" s="52"/>
      <c r="AO138" s="51"/>
      <c r="AP138" s="170"/>
      <c r="AQ138" s="52"/>
      <c r="AR138" s="52"/>
      <c r="AS138" s="51"/>
      <c r="AT138" s="170"/>
      <c r="AU138" s="52"/>
      <c r="AV138" s="52"/>
      <c r="AW138" s="51"/>
      <c r="AX138" s="170"/>
      <c r="AY138" s="52"/>
      <c r="AZ138" s="52"/>
      <c r="BA138" s="51"/>
      <c r="BB138" s="170"/>
      <c r="BC138" s="52"/>
      <c r="BD138" s="52"/>
    </row>
    <row r="139" spans="1:56" hidden="1">
      <c r="A139" s="251">
        <v>8</v>
      </c>
      <c r="B139" s="252" t="s">
        <v>740</v>
      </c>
      <c r="C139" s="253"/>
      <c r="D139" s="283"/>
      <c r="E139" s="253"/>
      <c r="F139" s="53"/>
      <c r="G139" s="35" t="e">
        <f>SUM(G140:G144)</f>
        <v>#REF!</v>
      </c>
      <c r="H139" s="35">
        <v>7</v>
      </c>
      <c r="I139" s="36" t="e">
        <f>G139/H139</f>
        <v>#REF!</v>
      </c>
      <c r="J139" s="53"/>
      <c r="K139" s="35" t="e">
        <f>SUM(K140:K144)</f>
        <v>#REF!</v>
      </c>
      <c r="L139" s="35">
        <v>227</v>
      </c>
      <c r="M139" s="37" t="e">
        <f>K139/L139</f>
        <v>#REF!</v>
      </c>
      <c r="O139" s="73"/>
      <c r="P139" s="35" t="e">
        <f>SUM(P140:P144)</f>
        <v>#REF!</v>
      </c>
      <c r="Q139" s="38" t="e">
        <f>P139/L139</f>
        <v>#REF!</v>
      </c>
      <c r="T139" s="78" t="e">
        <f>K139-L139</f>
        <v>#REF!</v>
      </c>
      <c r="U139" s="25">
        <v>35</v>
      </c>
      <c r="V139" s="74" t="e">
        <f>T139*U139</f>
        <v>#REF!</v>
      </c>
      <c r="Z139" s="74"/>
      <c r="AG139" s="37"/>
      <c r="AH139" s="35" t="e">
        <f>SUM(AH140:AH144)</f>
        <v>#REF!</v>
      </c>
      <c r="AI139" s="37"/>
      <c r="AJ139" s="37"/>
      <c r="AK139" s="53"/>
      <c r="AL139" s="35" t="e">
        <f>SUM(AL140:AL144)</f>
        <v>#REF!</v>
      </c>
      <c r="AM139" s="37"/>
      <c r="AN139" s="37"/>
      <c r="AO139" s="37"/>
      <c r="AP139" s="35" t="e">
        <f>SUM(AP140:AP144)</f>
        <v>#REF!</v>
      </c>
      <c r="AQ139" s="37"/>
      <c r="AR139" s="37"/>
      <c r="AS139" s="53"/>
      <c r="AT139" s="35" t="e">
        <f>SUM(AT140:AT144)</f>
        <v>#REF!</v>
      </c>
      <c r="AU139" s="37"/>
      <c r="AV139" s="37"/>
      <c r="AW139" s="53"/>
      <c r="AX139" s="35" t="e">
        <f>SUM(AX140:AX144)</f>
        <v>#REF!</v>
      </c>
      <c r="AY139" s="37"/>
      <c r="AZ139" s="37"/>
      <c r="BA139" s="53"/>
      <c r="BB139" s="35" t="e">
        <f>SUM(BB140:BB144)</f>
        <v>#REF!</v>
      </c>
      <c r="BC139" s="37"/>
      <c r="BD139" s="37"/>
    </row>
    <row r="140" spans="1:56" hidden="1">
      <c r="A140" s="254"/>
      <c r="B140" s="257" t="s">
        <v>741</v>
      </c>
      <c r="C140" s="256" t="s">
        <v>604</v>
      </c>
      <c r="D140" s="218">
        <v>360</v>
      </c>
      <c r="E140" s="256" t="s">
        <v>35</v>
      </c>
      <c r="F140" s="39">
        <f>(F25+F26)*0</f>
        <v>0</v>
      </c>
      <c r="G140" s="39">
        <f>F140/D140</f>
        <v>0</v>
      </c>
      <c r="H140" s="39"/>
      <c r="I140" s="41"/>
      <c r="J140" s="39">
        <f>J26*0</f>
        <v>0</v>
      </c>
      <c r="K140" s="39">
        <f>J140/D140</f>
        <v>0</v>
      </c>
      <c r="L140" s="39"/>
      <c r="M140" s="42"/>
      <c r="O140" s="73">
        <v>360</v>
      </c>
      <c r="P140" s="43">
        <f>J140/O140</f>
        <v>0</v>
      </c>
      <c r="Q140" s="31"/>
      <c r="AG140" s="39" t="e">
        <f>(AG25+AG26)*0</f>
        <v>#REF!</v>
      </c>
      <c r="AH140" s="170" t="e">
        <f t="shared" ref="AH140:AH144" si="58">AG140/$D140</f>
        <v>#REF!</v>
      </c>
      <c r="AI140" s="42"/>
      <c r="AJ140" s="42"/>
      <c r="AK140" s="39" t="e">
        <f>AK26*0</f>
        <v>#REF!</v>
      </c>
      <c r="AL140" s="170" t="e">
        <f t="shared" ref="AL140:AL144" si="59">AK140/$D140</f>
        <v>#REF!</v>
      </c>
      <c r="AM140" s="42"/>
      <c r="AN140" s="42"/>
      <c r="AO140" s="39" t="e">
        <f>(AO25+AO26)*0</f>
        <v>#REF!</v>
      </c>
      <c r="AP140" s="170" t="e">
        <f t="shared" ref="AP140:AP144" si="60">AO140/$D140</f>
        <v>#REF!</v>
      </c>
      <c r="AQ140" s="42"/>
      <c r="AR140" s="42"/>
      <c r="AS140" s="39" t="e">
        <f>AS26*0</f>
        <v>#REF!</v>
      </c>
      <c r="AT140" s="170" t="e">
        <f t="shared" ref="AT140:AT144" si="61">AS140/$D140</f>
        <v>#REF!</v>
      </c>
      <c r="AU140" s="42"/>
      <c r="AV140" s="42"/>
      <c r="AW140" s="39" t="e">
        <f>(AW25+AW26)*0</f>
        <v>#REF!</v>
      </c>
      <c r="AX140" s="170" t="e">
        <f t="shared" ref="AX140:AX144" si="62">AW140/$D140</f>
        <v>#REF!</v>
      </c>
      <c r="AY140" s="42"/>
      <c r="AZ140" s="42"/>
      <c r="BA140" s="39" t="e">
        <f>BA26*0</f>
        <v>#REF!</v>
      </c>
      <c r="BB140" s="170" t="e">
        <f t="shared" ref="BB140:BB144" si="63">BA140/$D140</f>
        <v>#REF!</v>
      </c>
      <c r="BC140" s="42"/>
      <c r="BD140" s="42"/>
    </row>
    <row r="141" spans="1:56" hidden="1">
      <c r="A141" s="258"/>
      <c r="B141" s="259" t="s">
        <v>817</v>
      </c>
      <c r="C141" s="260" t="s">
        <v>604</v>
      </c>
      <c r="D141" s="62">
        <v>90</v>
      </c>
      <c r="E141" s="260" t="s">
        <v>35</v>
      </c>
      <c r="F141" s="39">
        <v>593</v>
      </c>
      <c r="G141" s="40">
        <f>F141/D141</f>
        <v>6.5888888888888886</v>
      </c>
      <c r="H141" s="40"/>
      <c r="I141" s="46"/>
      <c r="J141" s="39">
        <f>8218+(3067/1.6)</f>
        <v>10134.875</v>
      </c>
      <c r="K141" s="40">
        <f>J141/D141</f>
        <v>112.60972222222222</v>
      </c>
      <c r="L141" s="40"/>
      <c r="M141" s="47"/>
      <c r="O141" s="73">
        <v>90</v>
      </c>
      <c r="P141" s="43">
        <f t="shared" ref="P141:P144" si="64">J141/O141</f>
        <v>112.60972222222222</v>
      </c>
      <c r="Q141" s="31"/>
      <c r="AG141" s="39"/>
      <c r="AH141" s="170">
        <f t="shared" si="58"/>
        <v>0</v>
      </c>
      <c r="AI141" s="47"/>
      <c r="AJ141" s="47"/>
      <c r="AK141" s="39">
        <f>8218+(3067/1.6)</f>
        <v>10134.875</v>
      </c>
      <c r="AL141" s="170">
        <f t="shared" si="59"/>
        <v>112.60972222222222</v>
      </c>
      <c r="AM141" s="47"/>
      <c r="AN141" s="47"/>
      <c r="AO141" s="39"/>
      <c r="AP141" s="170">
        <f t="shared" si="60"/>
        <v>0</v>
      </c>
      <c r="AQ141" s="47"/>
      <c r="AR141" s="47"/>
      <c r="AS141" s="39">
        <f>8218+(3067/1.6)</f>
        <v>10134.875</v>
      </c>
      <c r="AT141" s="170">
        <f t="shared" si="61"/>
        <v>112.60972222222222</v>
      </c>
      <c r="AU141" s="47"/>
      <c r="AV141" s="47"/>
      <c r="AW141" s="39">
        <v>593</v>
      </c>
      <c r="AX141" s="170">
        <f t="shared" si="62"/>
        <v>6.5888888888888886</v>
      </c>
      <c r="AY141" s="47"/>
      <c r="AZ141" s="47"/>
      <c r="BA141" s="39">
        <f>8218+(3067/1.6)</f>
        <v>10134.875</v>
      </c>
      <c r="BB141" s="170">
        <f t="shared" si="63"/>
        <v>112.60972222222222</v>
      </c>
      <c r="BC141" s="47"/>
      <c r="BD141" s="47"/>
    </row>
    <row r="142" spans="1:56" s="198" customFormat="1" hidden="1">
      <c r="A142" s="258"/>
      <c r="B142" s="259" t="s">
        <v>764</v>
      </c>
      <c r="C142" s="260" t="s">
        <v>604</v>
      </c>
      <c r="D142" s="62">
        <v>90</v>
      </c>
      <c r="E142" s="260" t="s">
        <v>35</v>
      </c>
      <c r="F142" s="39" t="e">
        <f>#REF!</f>
        <v>#REF!</v>
      </c>
      <c r="G142" s="40" t="e">
        <f>F142/D142</f>
        <v>#REF!</v>
      </c>
      <c r="H142" s="40"/>
      <c r="I142" s="46"/>
      <c r="J142" s="39" t="e">
        <f>#REF!</f>
        <v>#REF!</v>
      </c>
      <c r="K142" s="40" t="e">
        <f>J142/D142</f>
        <v>#REF!</v>
      </c>
      <c r="L142" s="40"/>
      <c r="M142" s="47"/>
      <c r="O142" s="202">
        <v>90</v>
      </c>
      <c r="P142" s="194" t="e">
        <f t="shared" si="64"/>
        <v>#REF!</v>
      </c>
      <c r="Q142" s="203"/>
      <c r="AG142" s="192"/>
      <c r="AH142" s="197">
        <f t="shared" si="58"/>
        <v>0</v>
      </c>
      <c r="AI142" s="201"/>
      <c r="AJ142" s="201"/>
      <c r="AK142" s="192" t="e">
        <f>#REF!</f>
        <v>#REF!</v>
      </c>
      <c r="AL142" s="197" t="e">
        <f t="shared" si="59"/>
        <v>#REF!</v>
      </c>
      <c r="AM142" s="201"/>
      <c r="AN142" s="201"/>
      <c r="AO142" s="192"/>
      <c r="AP142" s="197">
        <f t="shared" si="60"/>
        <v>0</v>
      </c>
      <c r="AQ142" s="201"/>
      <c r="AR142" s="201"/>
      <c r="AS142" s="192" t="e">
        <f>#REF!</f>
        <v>#REF!</v>
      </c>
      <c r="AT142" s="197" t="e">
        <f t="shared" si="61"/>
        <v>#REF!</v>
      </c>
      <c r="AU142" s="201"/>
      <c r="AV142" s="201"/>
      <c r="AW142" s="192" t="e">
        <f>#REF!</f>
        <v>#REF!</v>
      </c>
      <c r="AX142" s="197" t="e">
        <f t="shared" si="62"/>
        <v>#REF!</v>
      </c>
      <c r="AY142" s="201"/>
      <c r="AZ142" s="201"/>
      <c r="BA142" s="192" t="e">
        <f>#REF!</f>
        <v>#REF!</v>
      </c>
      <c r="BB142" s="197" t="e">
        <f t="shared" si="63"/>
        <v>#REF!</v>
      </c>
      <c r="BC142" s="201"/>
      <c r="BD142" s="201"/>
    </row>
    <row r="143" spans="1:56" s="198" customFormat="1" hidden="1">
      <c r="A143" s="258"/>
      <c r="B143" s="259" t="s">
        <v>767</v>
      </c>
      <c r="C143" s="260" t="s">
        <v>604</v>
      </c>
      <c r="D143" s="62">
        <v>100</v>
      </c>
      <c r="E143" s="260" t="s">
        <v>35</v>
      </c>
      <c r="F143" s="39" t="e">
        <f>#REF!</f>
        <v>#REF!</v>
      </c>
      <c r="G143" s="40" t="e">
        <f>F143/D143</f>
        <v>#REF!</v>
      </c>
      <c r="H143" s="40"/>
      <c r="I143" s="46"/>
      <c r="J143" s="39" t="e">
        <f>#REF!</f>
        <v>#REF!</v>
      </c>
      <c r="K143" s="40" t="e">
        <f>J143/D143</f>
        <v>#REF!</v>
      </c>
      <c r="L143" s="40"/>
      <c r="M143" s="47"/>
      <c r="O143" s="202"/>
      <c r="P143" s="194" t="e">
        <f>K143</f>
        <v>#REF!</v>
      </c>
      <c r="Q143" s="203"/>
      <c r="AG143" s="192"/>
      <c r="AH143" s="197">
        <f t="shared" si="58"/>
        <v>0</v>
      </c>
      <c r="AI143" s="201"/>
      <c r="AJ143" s="201"/>
      <c r="AK143" s="192" t="e">
        <f>#REF!</f>
        <v>#REF!</v>
      </c>
      <c r="AL143" s="197" t="e">
        <f t="shared" si="59"/>
        <v>#REF!</v>
      </c>
      <c r="AM143" s="201"/>
      <c r="AN143" s="201"/>
      <c r="AO143" s="192"/>
      <c r="AP143" s="197">
        <f t="shared" si="60"/>
        <v>0</v>
      </c>
      <c r="AQ143" s="201"/>
      <c r="AR143" s="201"/>
      <c r="AS143" s="192" t="e">
        <f>#REF!</f>
        <v>#REF!</v>
      </c>
      <c r="AT143" s="197" t="e">
        <f t="shared" si="61"/>
        <v>#REF!</v>
      </c>
      <c r="AU143" s="201"/>
      <c r="AV143" s="201"/>
      <c r="AW143" s="192" t="e">
        <f>#REF!</f>
        <v>#REF!</v>
      </c>
      <c r="AX143" s="197" t="e">
        <f t="shared" si="62"/>
        <v>#REF!</v>
      </c>
      <c r="AY143" s="201"/>
      <c r="AZ143" s="201"/>
      <c r="BA143" s="192" t="e">
        <f>#REF!</f>
        <v>#REF!</v>
      </c>
      <c r="BB143" s="197" t="e">
        <f t="shared" si="63"/>
        <v>#REF!</v>
      </c>
      <c r="BC143" s="201"/>
      <c r="BD143" s="201"/>
    </row>
    <row r="144" spans="1:56" ht="14.4" hidden="1" thickBot="1">
      <c r="A144" s="278"/>
      <c r="B144" s="270" t="s">
        <v>742</v>
      </c>
      <c r="C144" s="271" t="s">
        <v>604</v>
      </c>
      <c r="D144" s="285">
        <v>96</v>
      </c>
      <c r="E144" s="271" t="s">
        <v>35</v>
      </c>
      <c r="F144" s="65">
        <f>F13*0.25*0</f>
        <v>0</v>
      </c>
      <c r="G144" s="65">
        <f>F144/D144</f>
        <v>0</v>
      </c>
      <c r="H144" s="65"/>
      <c r="I144" s="76"/>
      <c r="J144" s="65">
        <f>J13*0.25*0</f>
        <v>0</v>
      </c>
      <c r="K144" s="65">
        <f>J144/D144</f>
        <v>0</v>
      </c>
      <c r="L144" s="65"/>
      <c r="M144" s="77"/>
      <c r="O144" s="73">
        <v>96</v>
      </c>
      <c r="P144" s="43">
        <f t="shared" si="64"/>
        <v>0</v>
      </c>
      <c r="Q144" s="31"/>
      <c r="AG144" s="65" t="e">
        <f>AG13*0.25*0</f>
        <v>#REF!</v>
      </c>
      <c r="AH144" s="170" t="e">
        <f t="shared" si="58"/>
        <v>#REF!</v>
      </c>
      <c r="AI144" s="77"/>
      <c r="AJ144" s="77"/>
      <c r="AK144" s="65" t="e">
        <f>AK13*0.25*0</f>
        <v>#REF!</v>
      </c>
      <c r="AL144" s="170" t="e">
        <f t="shared" si="59"/>
        <v>#REF!</v>
      </c>
      <c r="AM144" s="77"/>
      <c r="AN144" s="77"/>
      <c r="AO144" s="65" t="e">
        <f>AO13*0.25*0</f>
        <v>#REF!</v>
      </c>
      <c r="AP144" s="170" t="e">
        <f t="shared" si="60"/>
        <v>#REF!</v>
      </c>
      <c r="AQ144" s="77"/>
      <c r="AR144" s="77"/>
      <c r="AS144" s="65" t="e">
        <f>AS13*0.25*0</f>
        <v>#REF!</v>
      </c>
      <c r="AT144" s="170" t="e">
        <f t="shared" si="61"/>
        <v>#REF!</v>
      </c>
      <c r="AU144" s="77"/>
      <c r="AV144" s="77"/>
      <c r="AW144" s="65" t="e">
        <f>AW13*0.25*0</f>
        <v>#REF!</v>
      </c>
      <c r="AX144" s="170" t="e">
        <f t="shared" si="62"/>
        <v>#REF!</v>
      </c>
      <c r="AY144" s="77"/>
      <c r="AZ144" s="77"/>
      <c r="BA144" s="65" t="e">
        <f>BA13*0.25*0</f>
        <v>#REF!</v>
      </c>
      <c r="BB144" s="170" t="e">
        <f t="shared" si="63"/>
        <v>#REF!</v>
      </c>
      <c r="BC144" s="77"/>
      <c r="BD144" s="77"/>
    </row>
    <row r="145" spans="1:56">
      <c r="A145" s="279">
        <v>8</v>
      </c>
      <c r="B145" s="280" t="s">
        <v>743</v>
      </c>
      <c r="C145" s="281"/>
      <c r="D145" s="286"/>
      <c r="E145" s="281"/>
      <c r="F145" s="132"/>
      <c r="G145" s="131">
        <f>SUM(G146:G158)</f>
        <v>0</v>
      </c>
      <c r="H145" s="131"/>
      <c r="I145" s="36">
        <f>IFERROR(G145/H145,0)</f>
        <v>0</v>
      </c>
      <c r="J145" s="132"/>
      <c r="K145" s="131">
        <f>SUM(K146:K158)</f>
        <v>0</v>
      </c>
      <c r="L145" s="131"/>
      <c r="M145" s="36">
        <f>IFERROR(K145/L145,0)</f>
        <v>0</v>
      </c>
      <c r="N145" s="74"/>
      <c r="O145" s="73"/>
      <c r="P145" s="35">
        <f>SUM(P146:P158)</f>
        <v>0</v>
      </c>
      <c r="Q145" s="38" t="e">
        <f>P145/L145</f>
        <v>#DIV/0!</v>
      </c>
      <c r="T145" s="78">
        <f>K145-L145</f>
        <v>0</v>
      </c>
      <c r="U145" s="25">
        <v>14.56</v>
      </c>
      <c r="V145" s="74">
        <f>T145*U145</f>
        <v>0</v>
      </c>
      <c r="Y145" s="74"/>
      <c r="AG145" s="133"/>
      <c r="AH145" s="131" t="e">
        <f>SUM(AH146:AH158)</f>
        <v>#REF!</v>
      </c>
      <c r="AI145" s="209">
        <f>VLOOKUP($B145,'[5]Eqpmnt &amp; MP Days'!$B$4:$H$11,2,0)</f>
        <v>6</v>
      </c>
      <c r="AJ145" s="37" t="str">
        <f>IFERROR(AH145/AI145,"")</f>
        <v/>
      </c>
      <c r="AK145" s="132"/>
      <c r="AL145" s="131" t="e">
        <f>SUM(AL146:AL158)</f>
        <v>#REF!</v>
      </c>
      <c r="AM145" s="209">
        <f>VLOOKUP($B145,'[5]Eqpmnt &amp; MP Days'!$B$4:$H$11,3,0)</f>
        <v>144</v>
      </c>
      <c r="AN145" s="37" t="str">
        <f>IFERROR(AL145/AM145,"")</f>
        <v/>
      </c>
      <c r="AO145" s="133"/>
      <c r="AP145" s="131" t="e">
        <f>SUM(AP146:AP158)</f>
        <v>#REF!</v>
      </c>
      <c r="AQ145" s="209">
        <f>VLOOKUP($B145,'[5]Eqpmnt &amp; MP Days'!$B$4:$H$11,4,0)</f>
        <v>2</v>
      </c>
      <c r="AR145" s="37" t="str">
        <f>IFERROR(AP145/AQ145,"")</f>
        <v/>
      </c>
      <c r="AS145" s="132"/>
      <c r="AT145" s="131" t="e">
        <f>SUM(AT146:AT158)</f>
        <v>#REF!</v>
      </c>
      <c r="AU145" s="209">
        <f>VLOOKUP($B145,'[5]Eqpmnt &amp; MP Days'!$B$4:$H$11,5,0)</f>
        <v>48</v>
      </c>
      <c r="AV145" s="37" t="str">
        <f>IFERROR(AT145/AU145,"")</f>
        <v/>
      </c>
      <c r="AW145" s="132"/>
      <c r="AX145" s="131" t="e">
        <f>SUM(AX146:AX158)</f>
        <v>#REF!</v>
      </c>
      <c r="AY145" s="209">
        <f>VLOOKUP($B145,'[5]Eqpmnt &amp; MP Days'!$B$4:$H$11,6,0)</f>
        <v>2</v>
      </c>
      <c r="AZ145" s="37" t="str">
        <f>IFERROR(AX145/AY145,"")</f>
        <v/>
      </c>
      <c r="BA145" s="132"/>
      <c r="BB145" s="131" t="e">
        <f>SUM(BB146:BB158)</f>
        <v>#REF!</v>
      </c>
      <c r="BC145" s="209">
        <f>VLOOKUP($B145,'[5]Eqpmnt &amp; MP Days'!$B$4:$H$11,7,0)</f>
        <v>48</v>
      </c>
      <c r="BD145" s="37" t="str">
        <f>IFERROR(BB145/BC145,"")</f>
        <v/>
      </c>
    </row>
    <row r="146" spans="1:56" s="198" customFormat="1">
      <c r="A146" s="254"/>
      <c r="B146" s="257" t="s">
        <v>744</v>
      </c>
      <c r="C146" s="256" t="s">
        <v>604</v>
      </c>
      <c r="D146" s="218">
        <v>100</v>
      </c>
      <c r="E146" s="256" t="s">
        <v>35</v>
      </c>
      <c r="F146" s="58"/>
      <c r="G146" s="39"/>
      <c r="H146" s="39"/>
      <c r="I146" s="41"/>
      <c r="J146" s="39"/>
      <c r="K146" s="39"/>
      <c r="L146" s="39"/>
      <c r="M146" s="42"/>
      <c r="O146" s="202">
        <v>100</v>
      </c>
      <c r="P146" s="194">
        <f>J146/O146</f>
        <v>0</v>
      </c>
      <c r="Q146" s="203"/>
      <c r="AG146" s="192"/>
      <c r="AH146" s="197">
        <f t="shared" ref="AH146:AH156" si="65">AG146/$D146</f>
        <v>0</v>
      </c>
      <c r="AI146" s="204"/>
      <c r="AJ146" s="204"/>
      <c r="AK146" s="192"/>
      <c r="AL146" s="197">
        <f t="shared" ref="AL146:AL156" si="66">AK146/$D146</f>
        <v>0</v>
      </c>
      <c r="AM146" s="204"/>
      <c r="AN146" s="204"/>
      <c r="AO146" s="192"/>
      <c r="AP146" s="197">
        <f t="shared" ref="AP146:AP156" si="67">AO146/$D146</f>
        <v>0</v>
      </c>
      <c r="AQ146" s="204"/>
      <c r="AR146" s="204"/>
      <c r="AS146" s="192"/>
      <c r="AT146" s="197">
        <f t="shared" ref="AT146:AT156" si="68">AS146/$D146</f>
        <v>0</v>
      </c>
      <c r="AU146" s="204"/>
      <c r="AV146" s="204"/>
      <c r="AW146" s="192"/>
      <c r="AX146" s="197">
        <f t="shared" ref="AX146:AX156" si="69">AW146/$D146</f>
        <v>0</v>
      </c>
      <c r="AY146" s="204"/>
      <c r="AZ146" s="204"/>
      <c r="BA146" s="192"/>
      <c r="BB146" s="197">
        <f t="shared" ref="BB146:BB156" si="70">BA146/$D146</f>
        <v>0</v>
      </c>
      <c r="BC146" s="204"/>
      <c r="BD146" s="204"/>
    </row>
    <row r="147" spans="1:56">
      <c r="A147" s="254"/>
      <c r="B147" s="257" t="s">
        <v>824</v>
      </c>
      <c r="C147" s="256" t="s">
        <v>650</v>
      </c>
      <c r="D147" s="218">
        <v>80</v>
      </c>
      <c r="E147" s="256" t="s">
        <v>86</v>
      </c>
      <c r="F147" s="39"/>
      <c r="G147" s="39"/>
      <c r="H147" s="39"/>
      <c r="I147" s="41"/>
      <c r="J147" s="39"/>
      <c r="K147" s="39"/>
      <c r="L147" s="39"/>
      <c r="M147" s="42"/>
      <c r="O147" s="73">
        <v>70</v>
      </c>
      <c r="P147" s="43">
        <f>J147/O147</f>
        <v>0</v>
      </c>
      <c r="Q147" s="31"/>
      <c r="AG147" s="39" t="e">
        <f>(#REF!+#REF!)/0.1</f>
        <v>#REF!</v>
      </c>
      <c r="AH147" s="170" t="e">
        <f t="shared" si="65"/>
        <v>#REF!</v>
      </c>
      <c r="AI147" s="42"/>
      <c r="AJ147" s="42"/>
      <c r="AK147" s="39" t="e">
        <f>(#REF!+#REF!)/0.06</f>
        <v>#REF!</v>
      </c>
      <c r="AL147" s="170" t="e">
        <f t="shared" si="66"/>
        <v>#REF!</v>
      </c>
      <c r="AM147" s="42"/>
      <c r="AN147" s="42"/>
      <c r="AO147" s="39" t="e">
        <f>(#REF!+#REF!)/0.1</f>
        <v>#REF!</v>
      </c>
      <c r="AP147" s="170" t="e">
        <f t="shared" si="67"/>
        <v>#REF!</v>
      </c>
      <c r="AQ147" s="42"/>
      <c r="AR147" s="42"/>
      <c r="AS147" s="39" t="e">
        <f>(#REF!+#REF!)/0.06</f>
        <v>#REF!</v>
      </c>
      <c r="AT147" s="170" t="e">
        <f t="shared" si="68"/>
        <v>#REF!</v>
      </c>
      <c r="AU147" s="42"/>
      <c r="AV147" s="42"/>
      <c r="AW147" s="39" t="e">
        <f>(#REF!+#REF!)/0.1</f>
        <v>#REF!</v>
      </c>
      <c r="AX147" s="170" t="e">
        <f t="shared" si="69"/>
        <v>#REF!</v>
      </c>
      <c r="AY147" s="42"/>
      <c r="AZ147" s="42"/>
      <c r="BA147" s="39" t="e">
        <f>(#REF!+#REF!)/0.06</f>
        <v>#REF!</v>
      </c>
      <c r="BB147" s="170" t="e">
        <f t="shared" si="70"/>
        <v>#REF!</v>
      </c>
      <c r="BC147" s="42"/>
      <c r="BD147" s="42"/>
    </row>
    <row r="148" spans="1:56">
      <c r="A148" s="254"/>
      <c r="B148" s="257" t="s">
        <v>765</v>
      </c>
      <c r="C148" s="256" t="s">
        <v>604</v>
      </c>
      <c r="D148" s="218">
        <v>50</v>
      </c>
      <c r="E148" s="256" t="s">
        <v>35</v>
      </c>
      <c r="F148" s="39"/>
      <c r="G148" s="39"/>
      <c r="H148" s="39"/>
      <c r="I148" s="41"/>
      <c r="J148" s="39"/>
      <c r="K148" s="39"/>
      <c r="L148" s="39"/>
      <c r="M148" s="42"/>
      <c r="O148" s="73">
        <v>50</v>
      </c>
      <c r="P148" s="43">
        <f>J148/O148</f>
        <v>0</v>
      </c>
      <c r="Q148" s="31"/>
      <c r="AG148" s="39" t="e">
        <f>#REF!+#REF!</f>
        <v>#REF!</v>
      </c>
      <c r="AH148" s="170" t="e">
        <f t="shared" si="65"/>
        <v>#REF!</v>
      </c>
      <c r="AI148" s="42"/>
      <c r="AJ148" s="42"/>
      <c r="AK148" s="39" t="e">
        <f>#REF!+#REF!</f>
        <v>#REF!</v>
      </c>
      <c r="AL148" s="170" t="e">
        <f t="shared" si="66"/>
        <v>#REF!</v>
      </c>
      <c r="AM148" s="42"/>
      <c r="AN148" s="42"/>
      <c r="AO148" s="39" t="e">
        <f>#REF!+#REF!</f>
        <v>#REF!</v>
      </c>
      <c r="AP148" s="170" t="e">
        <f t="shared" si="67"/>
        <v>#REF!</v>
      </c>
      <c r="AQ148" s="42"/>
      <c r="AR148" s="42"/>
      <c r="AS148" s="39" t="e">
        <f>#REF!+#REF!</f>
        <v>#REF!</v>
      </c>
      <c r="AT148" s="170" t="e">
        <f t="shared" si="68"/>
        <v>#REF!</v>
      </c>
      <c r="AU148" s="42"/>
      <c r="AV148" s="42"/>
      <c r="AW148" s="39" t="e">
        <f>#REF!+#REF!</f>
        <v>#REF!</v>
      </c>
      <c r="AX148" s="170" t="e">
        <f t="shared" si="69"/>
        <v>#REF!</v>
      </c>
      <c r="AY148" s="42"/>
      <c r="AZ148" s="42"/>
      <c r="BA148" s="39" t="e">
        <f>#REF!+#REF!</f>
        <v>#REF!</v>
      </c>
      <c r="BB148" s="170" t="e">
        <f t="shared" si="70"/>
        <v>#REF!</v>
      </c>
      <c r="BC148" s="42"/>
      <c r="BD148" s="42"/>
    </row>
    <row r="149" spans="1:56">
      <c r="A149" s="258"/>
      <c r="B149" s="259" t="s">
        <v>745</v>
      </c>
      <c r="C149" s="260" t="s">
        <v>604</v>
      </c>
      <c r="D149" s="62">
        <v>50</v>
      </c>
      <c r="E149" s="260" t="s">
        <v>35</v>
      </c>
      <c r="F149" s="39"/>
      <c r="G149" s="40"/>
      <c r="H149" s="40"/>
      <c r="I149" s="46"/>
      <c r="J149" s="39"/>
      <c r="K149" s="40"/>
      <c r="L149" s="40"/>
      <c r="M149" s="47"/>
      <c r="O149" s="73">
        <v>50</v>
      </c>
      <c r="P149" s="43">
        <f t="shared" ref="P149:P156" si="71">J149/O149</f>
        <v>0</v>
      </c>
      <c r="Q149" s="31"/>
      <c r="AG149" s="39" t="e">
        <f>AG105</f>
        <v>#REF!</v>
      </c>
      <c r="AH149" s="170" t="e">
        <f t="shared" si="65"/>
        <v>#REF!</v>
      </c>
      <c r="AI149" s="47"/>
      <c r="AJ149" s="47"/>
      <c r="AK149" s="39" t="e">
        <f>AK105</f>
        <v>#REF!</v>
      </c>
      <c r="AL149" s="170" t="e">
        <f t="shared" si="66"/>
        <v>#REF!</v>
      </c>
      <c r="AM149" s="47"/>
      <c r="AN149" s="47"/>
      <c r="AO149" s="39" t="e">
        <f>AO105</f>
        <v>#REF!</v>
      </c>
      <c r="AP149" s="170" t="e">
        <f t="shared" si="67"/>
        <v>#REF!</v>
      </c>
      <c r="AQ149" s="47"/>
      <c r="AR149" s="47"/>
      <c r="AS149" s="39" t="e">
        <f>AS105</f>
        <v>#REF!</v>
      </c>
      <c r="AT149" s="170" t="e">
        <f t="shared" si="68"/>
        <v>#REF!</v>
      </c>
      <c r="AU149" s="47"/>
      <c r="AV149" s="47"/>
      <c r="AW149" s="39" t="e">
        <f>AW105</f>
        <v>#REF!</v>
      </c>
      <c r="AX149" s="170" t="e">
        <f t="shared" si="69"/>
        <v>#REF!</v>
      </c>
      <c r="AY149" s="47"/>
      <c r="AZ149" s="47"/>
      <c r="BA149" s="39" t="e">
        <f>BA105</f>
        <v>#REF!</v>
      </c>
      <c r="BB149" s="170" t="e">
        <f t="shared" si="70"/>
        <v>#REF!</v>
      </c>
      <c r="BC149" s="47"/>
      <c r="BD149" s="47"/>
    </row>
    <row r="150" spans="1:56">
      <c r="A150" s="258"/>
      <c r="B150" s="259" t="s">
        <v>837</v>
      </c>
      <c r="C150" s="260" t="s">
        <v>602</v>
      </c>
      <c r="D150" s="62">
        <v>90</v>
      </c>
      <c r="E150" s="260" t="s">
        <v>86</v>
      </c>
      <c r="F150" s="39"/>
      <c r="G150" s="40"/>
      <c r="H150" s="40"/>
      <c r="I150" s="46"/>
      <c r="J150" s="39"/>
      <c r="K150" s="40"/>
      <c r="L150" s="40"/>
      <c r="M150" s="47"/>
      <c r="O150" s="73"/>
      <c r="P150" s="43"/>
      <c r="Q150" s="31"/>
      <c r="AG150" s="39" t="e">
        <f>#REF!/0.3</f>
        <v>#REF!</v>
      </c>
      <c r="AH150" s="170" t="e">
        <f t="shared" si="65"/>
        <v>#REF!</v>
      </c>
      <c r="AI150" s="47"/>
      <c r="AJ150" s="47"/>
      <c r="AK150" s="39" t="e">
        <f>#REF!/0.3</f>
        <v>#REF!</v>
      </c>
      <c r="AL150" s="170" t="e">
        <f t="shared" si="66"/>
        <v>#REF!</v>
      </c>
      <c r="AM150" s="47"/>
      <c r="AN150" s="47"/>
      <c r="AO150" s="39" t="e">
        <f>#REF!/0.3</f>
        <v>#REF!</v>
      </c>
      <c r="AP150" s="170" t="e">
        <f t="shared" si="67"/>
        <v>#REF!</v>
      </c>
      <c r="AQ150" s="47"/>
      <c r="AR150" s="47"/>
      <c r="AS150" s="39" t="e">
        <f>#REF!/0.3</f>
        <v>#REF!</v>
      </c>
      <c r="AT150" s="170" t="e">
        <f t="shared" si="68"/>
        <v>#REF!</v>
      </c>
      <c r="AU150" s="47"/>
      <c r="AV150" s="47"/>
      <c r="AW150" s="39" t="e">
        <f>#REF!/0.3</f>
        <v>#REF!</v>
      </c>
      <c r="AX150" s="170" t="e">
        <f t="shared" si="69"/>
        <v>#REF!</v>
      </c>
      <c r="AY150" s="47"/>
      <c r="AZ150" s="47"/>
      <c r="BA150" s="39" t="e">
        <f>#REF!/0.3</f>
        <v>#REF!</v>
      </c>
      <c r="BB150" s="170" t="e">
        <f t="shared" si="70"/>
        <v>#REF!</v>
      </c>
      <c r="BC150" s="47"/>
      <c r="BD150" s="47"/>
    </row>
    <row r="151" spans="1:56">
      <c r="A151" s="258"/>
      <c r="B151" s="259" t="s">
        <v>746</v>
      </c>
      <c r="C151" s="260" t="s">
        <v>604</v>
      </c>
      <c r="D151" s="62">
        <v>15</v>
      </c>
      <c r="E151" s="260" t="s">
        <v>35</v>
      </c>
      <c r="F151" s="39"/>
      <c r="G151" s="40"/>
      <c r="H151" s="40"/>
      <c r="I151" s="46"/>
      <c r="J151" s="39"/>
      <c r="K151" s="40"/>
      <c r="L151" s="40"/>
      <c r="M151" s="47"/>
      <c r="O151" s="73">
        <v>15</v>
      </c>
      <c r="P151" s="43">
        <f t="shared" si="71"/>
        <v>0</v>
      </c>
      <c r="AG151" s="39" t="e">
        <f>#REF!*1.2</f>
        <v>#REF!</v>
      </c>
      <c r="AH151" s="170" t="e">
        <f t="shared" si="65"/>
        <v>#REF!</v>
      </c>
      <c r="AI151" s="47"/>
      <c r="AJ151" s="47"/>
      <c r="AK151" s="39" t="e">
        <f>#REF!*1.2</f>
        <v>#REF!</v>
      </c>
      <c r="AL151" s="170" t="e">
        <f t="shared" si="66"/>
        <v>#REF!</v>
      </c>
      <c r="AM151" s="47"/>
      <c r="AN151" s="47"/>
      <c r="AO151" s="39" t="e">
        <f>#REF!*1.2</f>
        <v>#REF!</v>
      </c>
      <c r="AP151" s="170" t="e">
        <f t="shared" si="67"/>
        <v>#REF!</v>
      </c>
      <c r="AQ151" s="47"/>
      <c r="AR151" s="47"/>
      <c r="AS151" s="39" t="e">
        <f>#REF!*1.2</f>
        <v>#REF!</v>
      </c>
      <c r="AT151" s="170" t="e">
        <f t="shared" si="68"/>
        <v>#REF!</v>
      </c>
      <c r="AU151" s="47"/>
      <c r="AV151" s="47"/>
      <c r="AW151" s="39" t="e">
        <f>#REF!*1.2</f>
        <v>#REF!</v>
      </c>
      <c r="AX151" s="170" t="e">
        <f t="shared" si="69"/>
        <v>#REF!</v>
      </c>
      <c r="AY151" s="47"/>
      <c r="AZ151" s="47"/>
      <c r="BA151" s="39" t="e">
        <f>#REF!*1.2</f>
        <v>#REF!</v>
      </c>
      <c r="BB151" s="170" t="e">
        <f t="shared" si="70"/>
        <v>#REF!</v>
      </c>
      <c r="BC151" s="47"/>
      <c r="BD151" s="47"/>
    </row>
    <row r="152" spans="1:56">
      <c r="A152" s="258"/>
      <c r="B152" s="259" t="s">
        <v>747</v>
      </c>
      <c r="C152" s="260" t="s">
        <v>604</v>
      </c>
      <c r="D152" s="62">
        <v>50</v>
      </c>
      <c r="E152" s="260" t="s">
        <v>35</v>
      </c>
      <c r="F152" s="39"/>
      <c r="G152" s="40"/>
      <c r="H152" s="40"/>
      <c r="I152" s="46"/>
      <c r="J152" s="39"/>
      <c r="K152" s="40"/>
      <c r="L152" s="40"/>
      <c r="M152" s="47"/>
      <c r="O152" s="73">
        <v>50</v>
      </c>
      <c r="P152" s="43">
        <f t="shared" si="71"/>
        <v>0</v>
      </c>
      <c r="AG152" s="39" t="e">
        <f>AG35</f>
        <v>#REF!</v>
      </c>
      <c r="AH152" s="170" t="e">
        <f t="shared" si="65"/>
        <v>#REF!</v>
      </c>
      <c r="AI152" s="47"/>
      <c r="AJ152" s="47"/>
      <c r="AK152" s="39" t="e">
        <f>AK35</f>
        <v>#REF!</v>
      </c>
      <c r="AL152" s="170" t="e">
        <f t="shared" si="66"/>
        <v>#REF!</v>
      </c>
      <c r="AM152" s="47"/>
      <c r="AN152" s="47"/>
      <c r="AO152" s="39" t="e">
        <f>AO35</f>
        <v>#REF!</v>
      </c>
      <c r="AP152" s="170" t="e">
        <f t="shared" si="67"/>
        <v>#REF!</v>
      </c>
      <c r="AQ152" s="47"/>
      <c r="AR152" s="47"/>
      <c r="AS152" s="39" t="e">
        <f>AS35</f>
        <v>#REF!</v>
      </c>
      <c r="AT152" s="170" t="e">
        <f t="shared" si="68"/>
        <v>#REF!</v>
      </c>
      <c r="AU152" s="47"/>
      <c r="AV152" s="47"/>
      <c r="AW152" s="39" t="e">
        <f>AW35</f>
        <v>#REF!</v>
      </c>
      <c r="AX152" s="170" t="e">
        <f t="shared" si="69"/>
        <v>#REF!</v>
      </c>
      <c r="AY152" s="47"/>
      <c r="AZ152" s="47"/>
      <c r="BA152" s="39" t="e">
        <f>BA35</f>
        <v>#REF!</v>
      </c>
      <c r="BB152" s="170" t="e">
        <f t="shared" si="70"/>
        <v>#REF!</v>
      </c>
      <c r="BC152" s="47"/>
      <c r="BD152" s="47"/>
    </row>
    <row r="153" spans="1:56">
      <c r="A153" s="261"/>
      <c r="B153" s="277" t="s">
        <v>849</v>
      </c>
      <c r="C153" s="269" t="s">
        <v>604</v>
      </c>
      <c r="D153" s="217">
        <v>40</v>
      </c>
      <c r="E153" s="256" t="s">
        <v>35</v>
      </c>
      <c r="F153" s="58"/>
      <c r="G153" s="40"/>
      <c r="H153" s="51"/>
      <c r="I153" s="67"/>
      <c r="J153" s="58"/>
      <c r="K153" s="40"/>
      <c r="L153" s="51"/>
      <c r="M153" s="68"/>
      <c r="O153" s="73"/>
      <c r="P153" s="43"/>
      <c r="AG153" s="58" t="e">
        <f>AG130</f>
        <v>#REF!</v>
      </c>
      <c r="AH153" s="170" t="e">
        <f t="shared" si="65"/>
        <v>#REF!</v>
      </c>
      <c r="AI153" s="68"/>
      <c r="AJ153" s="68"/>
      <c r="AK153" s="58" t="e">
        <f>AK130</f>
        <v>#REF!</v>
      </c>
      <c r="AL153" s="170" t="e">
        <f t="shared" si="66"/>
        <v>#REF!</v>
      </c>
      <c r="AM153" s="68"/>
      <c r="AN153" s="68"/>
      <c r="AO153" s="58" t="e">
        <f>AO130</f>
        <v>#REF!</v>
      </c>
      <c r="AP153" s="170" t="e">
        <f t="shared" si="67"/>
        <v>#REF!</v>
      </c>
      <c r="AQ153" s="68"/>
      <c r="AR153" s="68"/>
      <c r="AS153" s="58" t="e">
        <f>AS130</f>
        <v>#REF!</v>
      </c>
      <c r="AT153" s="170" t="e">
        <f t="shared" si="68"/>
        <v>#REF!</v>
      </c>
      <c r="AU153" s="68"/>
      <c r="AV153" s="68"/>
      <c r="AW153" s="58" t="e">
        <f>AW130</f>
        <v>#REF!</v>
      </c>
      <c r="AX153" s="170" t="e">
        <f t="shared" si="69"/>
        <v>#REF!</v>
      </c>
      <c r="AY153" s="68"/>
      <c r="AZ153" s="68"/>
      <c r="BA153" s="58" t="e">
        <f>BA130</f>
        <v>#REF!</v>
      </c>
      <c r="BB153" s="170" t="e">
        <f t="shared" si="70"/>
        <v>#REF!</v>
      </c>
      <c r="BC153" s="68"/>
      <c r="BD153" s="68"/>
    </row>
    <row r="154" spans="1:56" s="198" customFormat="1">
      <c r="A154" s="261"/>
      <c r="B154" s="262" t="s">
        <v>821</v>
      </c>
      <c r="C154" s="263" t="s">
        <v>602</v>
      </c>
      <c r="D154" s="216">
        <v>150</v>
      </c>
      <c r="E154" s="263" t="s">
        <v>86</v>
      </c>
      <c r="F154" s="58"/>
      <c r="G154" s="51"/>
      <c r="H154" s="51"/>
      <c r="I154" s="67"/>
      <c r="J154" s="58"/>
      <c r="K154" s="40"/>
      <c r="L154" s="51"/>
      <c r="M154" s="68"/>
      <c r="O154" s="207">
        <f>D154</f>
        <v>150</v>
      </c>
      <c r="P154" s="194">
        <f t="shared" si="71"/>
        <v>0</v>
      </c>
      <c r="AG154" s="205"/>
      <c r="AH154" s="197">
        <f t="shared" si="65"/>
        <v>0</v>
      </c>
      <c r="AI154" s="206"/>
      <c r="AJ154" s="206"/>
      <c r="AK154" s="205"/>
      <c r="AL154" s="197">
        <f t="shared" si="66"/>
        <v>0</v>
      </c>
      <c r="AM154" s="206"/>
      <c r="AN154" s="206"/>
      <c r="AO154" s="205"/>
      <c r="AP154" s="197">
        <f t="shared" si="67"/>
        <v>0</v>
      </c>
      <c r="AQ154" s="206"/>
      <c r="AR154" s="206"/>
      <c r="AS154" s="205"/>
      <c r="AT154" s="197">
        <f t="shared" si="68"/>
        <v>0</v>
      </c>
      <c r="AU154" s="206"/>
      <c r="AV154" s="206"/>
      <c r="AW154" s="205"/>
      <c r="AX154" s="197">
        <f t="shared" si="69"/>
        <v>0</v>
      </c>
      <c r="AY154" s="206"/>
      <c r="AZ154" s="206"/>
      <c r="BA154" s="205"/>
      <c r="BB154" s="197">
        <f t="shared" si="70"/>
        <v>0</v>
      </c>
      <c r="BC154" s="206"/>
      <c r="BD154" s="206"/>
    </row>
    <row r="155" spans="1:56" s="198" customFormat="1">
      <c r="A155" s="261"/>
      <c r="B155" s="262" t="s">
        <v>819</v>
      </c>
      <c r="C155" s="263" t="s">
        <v>602</v>
      </c>
      <c r="D155" s="216">
        <f>100*1.5</f>
        <v>150</v>
      </c>
      <c r="E155" s="263" t="s">
        <v>86</v>
      </c>
      <c r="F155" s="58"/>
      <c r="G155" s="51"/>
      <c r="H155" s="51"/>
      <c r="I155" s="67"/>
      <c r="J155" s="58"/>
      <c r="K155" s="40"/>
      <c r="L155" s="51"/>
      <c r="M155" s="68"/>
      <c r="O155" s="207">
        <f t="shared" ref="O155:O156" si="72">D155</f>
        <v>150</v>
      </c>
      <c r="P155" s="194">
        <f t="shared" si="71"/>
        <v>0</v>
      </c>
      <c r="AG155" s="205"/>
      <c r="AH155" s="197">
        <f t="shared" si="65"/>
        <v>0</v>
      </c>
      <c r="AI155" s="206"/>
      <c r="AJ155" s="206"/>
      <c r="AK155" s="205"/>
      <c r="AL155" s="197">
        <f t="shared" si="66"/>
        <v>0</v>
      </c>
      <c r="AM155" s="206"/>
      <c r="AN155" s="206"/>
      <c r="AO155" s="205"/>
      <c r="AP155" s="197">
        <f t="shared" si="67"/>
        <v>0</v>
      </c>
      <c r="AQ155" s="206"/>
      <c r="AR155" s="206"/>
      <c r="AS155" s="205"/>
      <c r="AT155" s="197">
        <f t="shared" si="68"/>
        <v>0</v>
      </c>
      <c r="AU155" s="206"/>
      <c r="AV155" s="206"/>
      <c r="AW155" s="205"/>
      <c r="AX155" s="197">
        <f t="shared" si="69"/>
        <v>0</v>
      </c>
      <c r="AY155" s="206"/>
      <c r="AZ155" s="206"/>
      <c r="BA155" s="205"/>
      <c r="BB155" s="197">
        <f t="shared" si="70"/>
        <v>0</v>
      </c>
      <c r="BC155" s="206"/>
      <c r="BD155" s="206"/>
    </row>
    <row r="156" spans="1:56" s="198" customFormat="1">
      <c r="A156" s="261"/>
      <c r="B156" s="262" t="s">
        <v>820</v>
      </c>
      <c r="C156" s="263" t="s">
        <v>602</v>
      </c>
      <c r="D156" s="216">
        <f>22.5/0.15</f>
        <v>150</v>
      </c>
      <c r="E156" s="263" t="s">
        <v>86</v>
      </c>
      <c r="F156" s="58"/>
      <c r="G156" s="51"/>
      <c r="H156" s="51"/>
      <c r="I156" s="67"/>
      <c r="J156" s="58"/>
      <c r="K156" s="40"/>
      <c r="L156" s="51"/>
      <c r="M156" s="68"/>
      <c r="O156" s="207">
        <f t="shared" si="72"/>
        <v>150</v>
      </c>
      <c r="P156" s="194">
        <f t="shared" si="71"/>
        <v>0</v>
      </c>
      <c r="AG156" s="205"/>
      <c r="AH156" s="197">
        <f t="shared" si="65"/>
        <v>0</v>
      </c>
      <c r="AI156" s="206"/>
      <c r="AJ156" s="206"/>
      <c r="AK156" s="205"/>
      <c r="AL156" s="197">
        <f t="shared" si="66"/>
        <v>0</v>
      </c>
      <c r="AM156" s="206"/>
      <c r="AN156" s="206"/>
      <c r="AO156" s="205"/>
      <c r="AP156" s="197">
        <f t="shared" si="67"/>
        <v>0</v>
      </c>
      <c r="AQ156" s="206"/>
      <c r="AR156" s="206"/>
      <c r="AS156" s="205"/>
      <c r="AT156" s="197">
        <f t="shared" si="68"/>
        <v>0</v>
      </c>
      <c r="AU156" s="206"/>
      <c r="AV156" s="206"/>
      <c r="AW156" s="205"/>
      <c r="AX156" s="197">
        <f t="shared" si="69"/>
        <v>0</v>
      </c>
      <c r="AY156" s="206"/>
      <c r="AZ156" s="206"/>
      <c r="BA156" s="205"/>
      <c r="BB156" s="197">
        <f t="shared" si="70"/>
        <v>0</v>
      </c>
      <c r="BC156" s="206"/>
      <c r="BD156" s="206"/>
    </row>
    <row r="157" spans="1:56">
      <c r="A157" s="261"/>
      <c r="B157" s="262" t="s">
        <v>823</v>
      </c>
      <c r="C157" s="263"/>
      <c r="D157" s="216"/>
      <c r="E157" s="263"/>
      <c r="F157" s="58"/>
      <c r="G157" s="51"/>
      <c r="H157" s="51"/>
      <c r="I157" s="67"/>
      <c r="J157" s="58"/>
      <c r="K157" s="51"/>
      <c r="L157" s="51"/>
      <c r="M157" s="68"/>
      <c r="O157" s="130"/>
      <c r="P157" s="43"/>
      <c r="AG157" s="58"/>
      <c r="AH157" s="170"/>
      <c r="AI157" s="68"/>
      <c r="AJ157" s="68"/>
      <c r="AK157" s="58"/>
      <c r="AL157" s="170"/>
      <c r="AM157" s="68"/>
      <c r="AN157" s="68"/>
      <c r="AO157" s="58"/>
      <c r="AP157" s="170"/>
      <c r="AQ157" s="68"/>
      <c r="AR157" s="68"/>
      <c r="AS157" s="58"/>
      <c r="AT157" s="170"/>
      <c r="AU157" s="68"/>
      <c r="AV157" s="68"/>
      <c r="AW157" s="58"/>
      <c r="AX157" s="170"/>
      <c r="AY157" s="68"/>
      <c r="AZ157" s="68"/>
      <c r="BA157" s="58"/>
      <c r="BB157" s="170"/>
      <c r="BC157" s="68"/>
      <c r="BD157" s="68"/>
    </row>
    <row r="158" spans="1:56" ht="14.4" thickBot="1">
      <c r="A158" s="278"/>
      <c r="B158" s="270" t="s">
        <v>822</v>
      </c>
      <c r="C158" s="271" t="s">
        <v>632</v>
      </c>
      <c r="D158" s="285"/>
      <c r="E158" s="271" t="s">
        <v>632</v>
      </c>
      <c r="F158" s="75"/>
      <c r="G158" s="65"/>
      <c r="H158" s="65"/>
      <c r="I158" s="76"/>
      <c r="J158" s="75"/>
      <c r="K158" s="65"/>
      <c r="L158" s="65"/>
      <c r="M158" s="77"/>
      <c r="O158" s="73"/>
      <c r="P158" s="78">
        <f>K158</f>
        <v>0</v>
      </c>
      <c r="AG158" s="75"/>
      <c r="AH158" s="170"/>
      <c r="AI158" s="77"/>
      <c r="AJ158" s="77"/>
      <c r="AK158" s="75"/>
      <c r="AL158" s="170"/>
      <c r="AM158" s="77"/>
      <c r="AN158" s="77"/>
      <c r="AO158" s="75"/>
      <c r="AP158" s="170"/>
      <c r="AQ158" s="77"/>
      <c r="AR158" s="77"/>
      <c r="AS158" s="75"/>
      <c r="AT158" s="170"/>
      <c r="AU158" s="77"/>
      <c r="AV158" s="77"/>
      <c r="AW158" s="75"/>
      <c r="AX158" s="170"/>
      <c r="AY158" s="77"/>
      <c r="AZ158" s="77"/>
      <c r="BA158" s="75"/>
      <c r="BB158" s="170"/>
      <c r="BC158" s="77"/>
      <c r="BD158" s="77"/>
    </row>
    <row r="159" spans="1:56">
      <c r="V159" s="74" t="e">
        <f>SUM(V7:V158)</f>
        <v>#REF!</v>
      </c>
    </row>
    <row r="160" spans="1:56">
      <c r="D160" s="74"/>
    </row>
  </sheetData>
  <mergeCells count="44">
    <mergeCell ref="BA4:BA5"/>
    <mergeCell ref="BB4:BB5"/>
    <mergeCell ref="BC4:BC5"/>
    <mergeCell ref="BD4:BD5"/>
    <mergeCell ref="AG2:AN3"/>
    <mergeCell ref="AO2:AV3"/>
    <mergeCell ref="AW2:BD3"/>
    <mergeCell ref="AV4:AV5"/>
    <mergeCell ref="AW4:AW5"/>
    <mergeCell ref="AX4:AX5"/>
    <mergeCell ref="AY4:AY5"/>
    <mergeCell ref="AZ4:AZ5"/>
    <mergeCell ref="AQ4:AQ5"/>
    <mergeCell ref="AR4:AR5"/>
    <mergeCell ref="AS4:AS5"/>
    <mergeCell ref="AT4:AT5"/>
    <mergeCell ref="AU4:AU5"/>
    <mergeCell ref="AL4:AL5"/>
    <mergeCell ref="AM4:AM5"/>
    <mergeCell ref="AN4:AN5"/>
    <mergeCell ref="AO4:AO5"/>
    <mergeCell ref="AP4:AP5"/>
    <mergeCell ref="AG4:AG5"/>
    <mergeCell ref="AH4:AH5"/>
    <mergeCell ref="AI4:AI5"/>
    <mergeCell ref="AJ4:AJ5"/>
    <mergeCell ref="AK4:AK5"/>
    <mergeCell ref="A3:A5"/>
    <mergeCell ref="B3:B5"/>
    <mergeCell ref="C3:D3"/>
    <mergeCell ref="E3:E5"/>
    <mergeCell ref="F3:I3"/>
    <mergeCell ref="G4:G5"/>
    <mergeCell ref="H4:H5"/>
    <mergeCell ref="I4:I5"/>
    <mergeCell ref="O3:Q3"/>
    <mergeCell ref="L4:L5"/>
    <mergeCell ref="J3:M3"/>
    <mergeCell ref="C4:C5"/>
    <mergeCell ref="D4:D5"/>
    <mergeCell ref="F4:F5"/>
    <mergeCell ref="M4:M5"/>
    <mergeCell ref="J4:J5"/>
    <mergeCell ref="K4:K5"/>
  </mergeCells>
  <printOptions horizontalCentered="1"/>
  <pageMargins left="0.24" right="0.22" top="0.32" bottom="0.3" header="0.24" footer="0.25"/>
  <pageSetup paperSize="9" scale="62"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M117"/>
  <sheetViews>
    <sheetView view="pageBreakPreview" zoomScale="115" zoomScaleNormal="100" zoomScaleSheetLayoutView="115" workbookViewId="0">
      <pane xSplit="5" ySplit="6" topLeftCell="F40" activePane="bottomRight" state="frozen"/>
      <selection pane="topRight" activeCell="F1" sqref="F1"/>
      <selection pane="bottomLeft" activeCell="A7" sqref="A7"/>
      <selection pane="bottomRight" activeCell="I12" sqref="I12"/>
    </sheetView>
  </sheetViews>
  <sheetFormatPr defaultColWidth="9.109375" defaultRowHeight="15.6"/>
  <cols>
    <col min="1" max="1" width="5.44140625" style="83" customWidth="1"/>
    <col min="2" max="2" width="34.6640625" style="83" bestFit="1" customWidth="1"/>
    <col min="3" max="4" width="9.6640625" style="83" customWidth="1"/>
    <col min="5" max="5" width="6.6640625" style="83" customWidth="1"/>
    <col min="6" max="6" width="8.88671875" style="83" customWidth="1"/>
    <col min="7" max="7" width="10" style="83" customWidth="1"/>
    <col min="8" max="10" width="8.88671875" style="83" customWidth="1"/>
    <col min="11" max="11" width="10.109375" style="83" customWidth="1"/>
    <col min="12" max="12" width="10.5546875" style="83" customWidth="1"/>
    <col min="13" max="13" width="8.88671875" style="83" hidden="1" customWidth="1"/>
    <col min="14" max="14" width="8.88671875" style="83" customWidth="1"/>
    <col min="15" max="15" width="30.109375" style="83" hidden="1" customWidth="1"/>
    <col min="16" max="16" width="16.6640625" style="83" hidden="1" customWidth="1"/>
    <col min="17" max="17" width="9.109375" style="83" hidden="1" customWidth="1"/>
    <col min="18" max="18" width="10.33203125" style="83" hidden="1" customWidth="1"/>
    <col min="19" max="19" width="10" style="83" hidden="1" customWidth="1"/>
    <col min="20" max="20" width="10.88671875" style="83" hidden="1" customWidth="1"/>
    <col min="21" max="24" width="9.109375" style="83" hidden="1" customWidth="1"/>
    <col min="25" max="27" width="0" style="83" hidden="1" customWidth="1"/>
    <col min="28" max="28" width="1.6640625" style="83" customWidth="1"/>
    <col min="29" max="32" width="8.109375" style="83" hidden="1" customWidth="1"/>
    <col min="33" max="33" width="9.33203125" style="83" hidden="1" customWidth="1"/>
    <col min="34" max="40" width="8.33203125" style="83" hidden="1" customWidth="1"/>
    <col min="41" max="52" width="9.109375" style="83" hidden="1" customWidth="1"/>
    <col min="53" max="53" width="9.109375" style="83"/>
    <col min="54" max="63" width="9.109375" style="83" hidden="1" customWidth="1"/>
    <col min="64" max="64" width="0" style="83" hidden="1" customWidth="1"/>
    <col min="65" max="16384" width="9.109375" style="83"/>
  </cols>
  <sheetData>
    <row r="1" spans="1:63">
      <c r="G1" s="83" t="s">
        <v>679</v>
      </c>
      <c r="H1" s="84" t="str">
        <f>'Plant utilization'!H1</f>
        <v>xxxx</v>
      </c>
      <c r="K1" s="83" t="s">
        <v>635</v>
      </c>
      <c r="L1" s="85" t="str">
        <f>'Plant utilization'!K1</f>
        <v>xxxx</v>
      </c>
      <c r="M1" s="86"/>
      <c r="N1" s="86"/>
      <c r="AC1" s="506" t="s">
        <v>858</v>
      </c>
      <c r="AD1" s="507"/>
      <c r="AE1" s="507"/>
      <c r="AF1" s="507"/>
      <c r="AG1" s="507"/>
      <c r="AH1" s="507"/>
      <c r="AI1" s="507"/>
      <c r="AJ1" s="508"/>
      <c r="AK1" s="506" t="s">
        <v>859</v>
      </c>
      <c r="AL1" s="507"/>
      <c r="AM1" s="507"/>
      <c r="AN1" s="507"/>
      <c r="AO1" s="507"/>
      <c r="AP1" s="507"/>
      <c r="AQ1" s="507"/>
      <c r="AR1" s="508"/>
      <c r="AS1" s="506" t="s">
        <v>860</v>
      </c>
      <c r="AT1" s="507"/>
      <c r="AU1" s="507"/>
      <c r="AV1" s="507"/>
      <c r="AW1" s="507"/>
      <c r="AX1" s="507"/>
      <c r="AY1" s="507"/>
      <c r="AZ1" s="508"/>
    </row>
    <row r="2" spans="1:63" ht="24.9" customHeight="1" thickBot="1">
      <c r="A2" s="82" t="str">
        <f>'Plant utilization'!A2</f>
        <v>Resource Capacity Utilization Report -Month xxxx</v>
      </c>
      <c r="J2" s="82" t="s">
        <v>894</v>
      </c>
      <c r="AC2" s="509"/>
      <c r="AD2" s="510"/>
      <c r="AE2" s="510"/>
      <c r="AF2" s="510"/>
      <c r="AG2" s="510"/>
      <c r="AH2" s="510"/>
      <c r="AI2" s="510"/>
      <c r="AJ2" s="511"/>
      <c r="AK2" s="509"/>
      <c r="AL2" s="510"/>
      <c r="AM2" s="510"/>
      <c r="AN2" s="510"/>
      <c r="AO2" s="510"/>
      <c r="AP2" s="510"/>
      <c r="AQ2" s="510"/>
      <c r="AR2" s="511"/>
      <c r="AS2" s="509"/>
      <c r="AT2" s="510"/>
      <c r="AU2" s="510"/>
      <c r="AV2" s="510"/>
      <c r="AW2" s="510"/>
      <c r="AX2" s="510"/>
      <c r="AY2" s="510"/>
      <c r="AZ2" s="511"/>
      <c r="BC2" s="83">
        <f>30/0.6</f>
        <v>50</v>
      </c>
    </row>
    <row r="3" spans="1:63" s="29" customFormat="1" ht="15" customHeight="1">
      <c r="A3" s="492" t="s">
        <v>590</v>
      </c>
      <c r="B3" s="491" t="s">
        <v>591</v>
      </c>
      <c r="C3" s="495" t="s">
        <v>592</v>
      </c>
      <c r="D3" s="496"/>
      <c r="E3" s="491" t="s">
        <v>6</v>
      </c>
      <c r="F3" s="491" t="s">
        <v>593</v>
      </c>
      <c r="G3" s="491"/>
      <c r="H3" s="491"/>
      <c r="I3" s="491"/>
      <c r="J3" s="491" t="s">
        <v>695</v>
      </c>
      <c r="K3" s="491"/>
      <c r="L3" s="491"/>
      <c r="M3" s="491"/>
      <c r="N3" s="491"/>
      <c r="O3" s="486" t="s">
        <v>636</v>
      </c>
      <c r="R3" s="489" t="s">
        <v>762</v>
      </c>
      <c r="S3" s="489"/>
      <c r="T3" s="489"/>
      <c r="AC3" s="491" t="s">
        <v>593</v>
      </c>
      <c r="AD3" s="491"/>
      <c r="AE3" s="491"/>
      <c r="AF3" s="491"/>
      <c r="AG3" s="491" t="s">
        <v>695</v>
      </c>
      <c r="AH3" s="491"/>
      <c r="AI3" s="491"/>
      <c r="AJ3" s="491"/>
      <c r="AK3" s="512" t="s">
        <v>593</v>
      </c>
      <c r="AL3" s="512"/>
      <c r="AM3" s="512"/>
      <c r="AN3" s="512"/>
      <c r="AO3" s="512" t="s">
        <v>695</v>
      </c>
      <c r="AP3" s="512"/>
      <c r="AQ3" s="512"/>
      <c r="AR3" s="512"/>
      <c r="AS3" s="513" t="s">
        <v>593</v>
      </c>
      <c r="AT3" s="514"/>
      <c r="AU3" s="514"/>
      <c r="AV3" s="515"/>
      <c r="AW3" s="513" t="s">
        <v>695</v>
      </c>
      <c r="AX3" s="514"/>
      <c r="AY3" s="514"/>
      <c r="AZ3" s="515"/>
    </row>
    <row r="4" spans="1:63" s="29" customFormat="1" ht="15" customHeight="1">
      <c r="A4" s="493"/>
      <c r="B4" s="494"/>
      <c r="C4" s="497" t="s">
        <v>6</v>
      </c>
      <c r="D4" s="499" t="s">
        <v>594</v>
      </c>
      <c r="E4" s="494"/>
      <c r="F4" s="501" t="s">
        <v>595</v>
      </c>
      <c r="G4" s="502" t="s">
        <v>596</v>
      </c>
      <c r="H4" s="504" t="s">
        <v>597</v>
      </c>
      <c r="I4" s="488" t="s">
        <v>598</v>
      </c>
      <c r="J4" s="501" t="s">
        <v>678</v>
      </c>
      <c r="K4" s="502" t="s">
        <v>596</v>
      </c>
      <c r="L4" s="504" t="s">
        <v>597</v>
      </c>
      <c r="M4" s="487" t="s">
        <v>599</v>
      </c>
      <c r="N4" s="488" t="s">
        <v>598</v>
      </c>
      <c r="O4" s="486"/>
      <c r="R4" s="490" t="s">
        <v>594</v>
      </c>
      <c r="S4" s="490" t="s">
        <v>596</v>
      </c>
      <c r="T4" s="490" t="s">
        <v>761</v>
      </c>
      <c r="AC4" s="501" t="s">
        <v>595</v>
      </c>
      <c r="AD4" s="502" t="s">
        <v>596</v>
      </c>
      <c r="AE4" s="504" t="s">
        <v>597</v>
      </c>
      <c r="AF4" s="488" t="s">
        <v>598</v>
      </c>
      <c r="AG4" s="501" t="s">
        <v>678</v>
      </c>
      <c r="AH4" s="502" t="s">
        <v>596</v>
      </c>
      <c r="AI4" s="504" t="s">
        <v>637</v>
      </c>
      <c r="AJ4" s="488" t="s">
        <v>598</v>
      </c>
      <c r="AK4" s="501" t="s">
        <v>595</v>
      </c>
      <c r="AL4" s="502" t="s">
        <v>596</v>
      </c>
      <c r="AM4" s="504" t="s">
        <v>597</v>
      </c>
      <c r="AN4" s="488" t="s">
        <v>598</v>
      </c>
      <c r="AO4" s="501" t="s">
        <v>678</v>
      </c>
      <c r="AP4" s="502" t="s">
        <v>596</v>
      </c>
      <c r="AQ4" s="504" t="s">
        <v>637</v>
      </c>
      <c r="AR4" s="488" t="s">
        <v>598</v>
      </c>
      <c r="AS4" s="488" t="s">
        <v>595</v>
      </c>
      <c r="AT4" s="488" t="s">
        <v>596</v>
      </c>
      <c r="AU4" s="488" t="s">
        <v>597</v>
      </c>
      <c r="AV4" s="488" t="s">
        <v>598</v>
      </c>
      <c r="AW4" s="488" t="s">
        <v>678</v>
      </c>
      <c r="AX4" s="488" t="s">
        <v>596</v>
      </c>
      <c r="AY4" s="488" t="s">
        <v>637</v>
      </c>
      <c r="AZ4" s="488" t="s">
        <v>598</v>
      </c>
    </row>
    <row r="5" spans="1:63" s="29" customFormat="1" ht="28.5" customHeight="1">
      <c r="A5" s="493"/>
      <c r="B5" s="494"/>
      <c r="C5" s="498"/>
      <c r="D5" s="500"/>
      <c r="E5" s="494"/>
      <c r="F5" s="501"/>
      <c r="G5" s="503"/>
      <c r="H5" s="505"/>
      <c r="I5" s="488"/>
      <c r="J5" s="501"/>
      <c r="K5" s="503"/>
      <c r="L5" s="505"/>
      <c r="M5" s="487"/>
      <c r="N5" s="488"/>
      <c r="O5" s="486"/>
      <c r="R5" s="490"/>
      <c r="S5" s="490"/>
      <c r="T5" s="490"/>
      <c r="AC5" s="501"/>
      <c r="AD5" s="503"/>
      <c r="AE5" s="505"/>
      <c r="AF5" s="488"/>
      <c r="AG5" s="501"/>
      <c r="AH5" s="503"/>
      <c r="AI5" s="505"/>
      <c r="AJ5" s="488"/>
      <c r="AK5" s="501"/>
      <c r="AL5" s="503"/>
      <c r="AM5" s="505"/>
      <c r="AN5" s="488"/>
      <c r="AO5" s="501"/>
      <c r="AP5" s="503"/>
      <c r="AQ5" s="505"/>
      <c r="AR5" s="488"/>
      <c r="AS5" s="488"/>
      <c r="AT5" s="488"/>
      <c r="AU5" s="488"/>
      <c r="AV5" s="488"/>
      <c r="AW5" s="488"/>
      <c r="AX5" s="488"/>
      <c r="AY5" s="488"/>
      <c r="AZ5" s="488"/>
    </row>
    <row r="6" spans="1:63" s="29" customFormat="1">
      <c r="A6" s="87"/>
      <c r="B6" s="87"/>
      <c r="C6" s="87"/>
      <c r="D6" s="87"/>
      <c r="E6" s="87"/>
      <c r="F6" s="87"/>
      <c r="G6" s="87"/>
      <c r="H6" s="87"/>
      <c r="I6" s="87"/>
      <c r="J6" s="88" t="s">
        <v>638</v>
      </c>
      <c r="K6" s="87"/>
      <c r="L6" s="87"/>
      <c r="M6" s="87"/>
      <c r="N6" s="87"/>
      <c r="O6" s="480"/>
      <c r="R6" s="89"/>
      <c r="AC6" s="88"/>
      <c r="AD6" s="87"/>
      <c r="AE6" s="87"/>
      <c r="AF6" s="87"/>
      <c r="AG6" s="88"/>
      <c r="AH6" s="88"/>
      <c r="AI6" s="87"/>
      <c r="AJ6" s="87"/>
      <c r="AK6" s="87"/>
      <c r="AL6" s="87"/>
      <c r="AM6" s="87"/>
      <c r="AN6" s="87"/>
      <c r="AO6" s="87"/>
      <c r="AP6" s="87"/>
      <c r="AQ6" s="87"/>
      <c r="AR6" s="87"/>
      <c r="AS6" s="87"/>
      <c r="AT6" s="87"/>
      <c r="AU6" s="87"/>
      <c r="AV6" s="87"/>
      <c r="AW6" s="87"/>
      <c r="AX6" s="87"/>
      <c r="AY6" s="87"/>
      <c r="AZ6" s="87"/>
    </row>
    <row r="7" spans="1:63">
      <c r="A7" s="87">
        <v>1</v>
      </c>
      <c r="B7" s="287" t="s">
        <v>639</v>
      </c>
      <c r="C7" s="87"/>
      <c r="D7" s="92"/>
      <c r="E7" s="87"/>
      <c r="F7" s="92"/>
      <c r="G7" s="92">
        <f>SUM(G8:G27)</f>
        <v>0</v>
      </c>
      <c r="H7" s="92"/>
      <c r="I7" s="91">
        <f>IFERROR(G7/H7,0)</f>
        <v>0</v>
      </c>
      <c r="J7" s="92"/>
      <c r="K7" s="92">
        <f>SUM(K8:K27)</f>
        <v>0</v>
      </c>
      <c r="L7" s="92"/>
      <c r="M7" s="92"/>
      <c r="N7" s="91">
        <f>IFERROR(L7/M7,0)</f>
        <v>0</v>
      </c>
      <c r="O7" s="481"/>
      <c r="R7" s="93"/>
      <c r="S7" s="94">
        <f>SUM(S8:S27)</f>
        <v>0</v>
      </c>
      <c r="T7" s="95" t="e">
        <f>S7/L7</f>
        <v>#DIV/0!</v>
      </c>
      <c r="AA7" s="168"/>
      <c r="AC7" s="92"/>
      <c r="AD7" s="92" t="e">
        <f>SUM(AD8:AD27)</f>
        <v>#REF!</v>
      </c>
      <c r="AE7" s="92">
        <f>VLOOKUP($B7,'[5]Eqpmnt &amp; MP Days'!$B$14:$H$17,2,0)</f>
        <v>2</v>
      </c>
      <c r="AF7" s="91" t="str">
        <f>IFERROR(AD7/AE7,"")</f>
        <v/>
      </c>
      <c r="AG7" s="92"/>
      <c r="AH7" s="92" t="e">
        <f>SUM(AH8:AH27)</f>
        <v>#REF!</v>
      </c>
      <c r="AI7" s="92">
        <f>VLOOKUP($B7,'[5]Eqpmnt &amp; MP Days'!$B$14:$H$17,3,0)</f>
        <v>56</v>
      </c>
      <c r="AJ7" s="91" t="str">
        <f>IFERROR(AH7/AI7,"")</f>
        <v/>
      </c>
      <c r="AK7" s="92"/>
      <c r="AL7" s="92" t="e">
        <f>SUM(AL8:AL27)</f>
        <v>#REF!</v>
      </c>
      <c r="AM7" s="92">
        <f>VLOOKUP($B7,'[5]Eqpmnt &amp; MP Days'!$B$14:$H$17,4,0)</f>
        <v>0</v>
      </c>
      <c r="AN7" s="91" t="str">
        <f>IFERROR(AL7/AM7,"")</f>
        <v/>
      </c>
      <c r="AO7" s="92"/>
      <c r="AP7" s="92" t="e">
        <f>SUM(AP8:AP27)</f>
        <v>#REF!</v>
      </c>
      <c r="AQ7" s="92">
        <f>VLOOKUP($B7,'[5]Eqpmnt &amp; MP Days'!$B$14:$H$17,5,0)</f>
        <v>0</v>
      </c>
      <c r="AR7" s="91" t="str">
        <f>IFERROR(AP7/AQ7,"")</f>
        <v/>
      </c>
      <c r="AS7" s="92"/>
      <c r="AT7" s="92" t="e">
        <f>SUM(AT8:AT27)</f>
        <v>#REF!</v>
      </c>
      <c r="AU7" s="92">
        <f>VLOOKUP($B7,'[5]Eqpmnt &amp; MP Days'!$B$14:$H$17,6,0)</f>
        <v>37</v>
      </c>
      <c r="AV7" s="91" t="str">
        <f>IFERROR(AT7/AU7,"")</f>
        <v/>
      </c>
      <c r="AW7" s="92"/>
      <c r="AX7" s="92" t="e">
        <f>SUM(AX8:AX27)</f>
        <v>#REF!</v>
      </c>
      <c r="AY7" s="92">
        <f>VLOOKUP($B7,'[5]Eqpmnt &amp; MP Days'!$B$14:$H$17,7,0)</f>
        <v>1006</v>
      </c>
      <c r="AZ7" s="91" t="str">
        <f>IFERROR(AX7/AY7,"")</f>
        <v/>
      </c>
      <c r="BB7" s="25" t="s">
        <v>878</v>
      </c>
      <c r="BC7" s="25" t="s">
        <v>879</v>
      </c>
      <c r="BD7" s="25" t="s">
        <v>880</v>
      </c>
      <c r="BE7" s="25" t="s">
        <v>881</v>
      </c>
      <c r="BH7" s="25" t="s">
        <v>878</v>
      </c>
      <c r="BI7" s="25" t="s">
        <v>879</v>
      </c>
      <c r="BJ7" s="25" t="s">
        <v>880</v>
      </c>
      <c r="BK7" s="25" t="s">
        <v>881</v>
      </c>
    </row>
    <row r="8" spans="1:63">
      <c r="A8" s="96"/>
      <c r="B8" s="288" t="s">
        <v>640</v>
      </c>
      <c r="C8" s="96" t="s">
        <v>604</v>
      </c>
      <c r="D8" s="98">
        <v>8</v>
      </c>
      <c r="E8" s="96" t="s">
        <v>35</v>
      </c>
      <c r="F8" s="98"/>
      <c r="G8" s="98"/>
      <c r="H8" s="98"/>
      <c r="I8" s="99"/>
      <c r="J8" s="98"/>
      <c r="K8" s="98"/>
      <c r="L8" s="98"/>
      <c r="M8" s="98" t="e">
        <f>J8/L8</f>
        <v>#DIV/0!</v>
      </c>
      <c r="N8" s="99"/>
      <c r="O8" s="481"/>
      <c r="R8" s="100">
        <v>8</v>
      </c>
      <c r="S8" s="101">
        <f>J8/R8</f>
        <v>0</v>
      </c>
      <c r="T8" s="29"/>
      <c r="AC8" s="98" t="e">
        <f>#REF!+#REF!</f>
        <v>#REF!</v>
      </c>
      <c r="AD8" s="97" t="e">
        <f>AC8/D8</f>
        <v>#REF!</v>
      </c>
      <c r="AE8" s="97"/>
      <c r="AF8" s="98"/>
      <c r="AG8" s="98" t="e">
        <f>#REF!+#REF!</f>
        <v>#REF!</v>
      </c>
      <c r="AH8" s="98" t="e">
        <f>AG8/D8</f>
        <v>#REF!</v>
      </c>
      <c r="AI8" s="98"/>
      <c r="AJ8" s="98"/>
      <c r="AK8" s="98" t="e">
        <f>#REF!+#REF!</f>
        <v>#REF!</v>
      </c>
      <c r="AL8" s="98" t="e">
        <f>AK8/$D8</f>
        <v>#REF!</v>
      </c>
      <c r="AM8" s="98"/>
      <c r="AN8" s="98"/>
      <c r="AO8" s="98" t="e">
        <f>#REF!+#REF!</f>
        <v>#REF!</v>
      </c>
      <c r="AP8" s="98" t="e">
        <f>AO8/D8</f>
        <v>#REF!</v>
      </c>
      <c r="AQ8" s="98"/>
      <c r="AR8" s="98"/>
      <c r="AS8" s="98" t="e">
        <f>#REF!+#REF!</f>
        <v>#REF!</v>
      </c>
      <c r="AT8" s="98" t="e">
        <f>AS8/$D8</f>
        <v>#REF!</v>
      </c>
      <c r="AU8" s="98"/>
      <c r="AV8" s="98"/>
      <c r="AW8" s="98" t="e">
        <f>#REF!+#REF!</f>
        <v>#REF!</v>
      </c>
      <c r="AX8" s="98" t="e">
        <f>AW8/$D8</f>
        <v>#REF!</v>
      </c>
      <c r="AY8" s="98"/>
      <c r="AZ8" s="98"/>
      <c r="BB8" s="98" t="e">
        <f>#REF!+#REF!</f>
        <v>#REF!</v>
      </c>
      <c r="BC8" s="98" t="e">
        <f>#REF!+#REF!</f>
        <v>#REF!</v>
      </c>
      <c r="BD8" s="98" t="e">
        <f>#REF!+#REF!</f>
        <v>#REF!</v>
      </c>
      <c r="BE8" s="98" t="e">
        <f>#REF!+#REF!</f>
        <v>#REF!</v>
      </c>
      <c r="BF8" s="101" t="e">
        <f>SUM(BB8:BE8)</f>
        <v>#REF!</v>
      </c>
      <c r="BG8" s="101" t="e">
        <f>J8-BF8</f>
        <v>#REF!</v>
      </c>
      <c r="BH8" s="227" t="e">
        <f>BB8/$D8</f>
        <v>#REF!</v>
      </c>
      <c r="BI8" s="227" t="e">
        <f t="shared" ref="BI8:BK8" si="0">BC8/$D8</f>
        <v>#REF!</v>
      </c>
      <c r="BJ8" s="227" t="e">
        <f t="shared" si="0"/>
        <v>#REF!</v>
      </c>
      <c r="BK8" s="227" t="e">
        <f t="shared" si="0"/>
        <v>#REF!</v>
      </c>
    </row>
    <row r="9" spans="1:63">
      <c r="A9" s="102"/>
      <c r="B9" s="289" t="s">
        <v>641</v>
      </c>
      <c r="C9" s="102" t="s">
        <v>604</v>
      </c>
      <c r="D9" s="104">
        <v>7</v>
      </c>
      <c r="E9" s="102" t="s">
        <v>35</v>
      </c>
      <c r="F9" s="104"/>
      <c r="G9" s="104"/>
      <c r="H9" s="104"/>
      <c r="I9" s="105"/>
      <c r="J9" s="104"/>
      <c r="K9" s="104"/>
      <c r="L9" s="104"/>
      <c r="M9" s="104" t="e">
        <f>J9/L9</f>
        <v>#DIV/0!</v>
      </c>
      <c r="N9" s="105"/>
      <c r="O9" s="481"/>
      <c r="R9" s="100">
        <v>7</v>
      </c>
      <c r="S9" s="101">
        <f t="shared" ref="S9:S26" si="1">J9/R9</f>
        <v>0</v>
      </c>
      <c r="T9" s="29"/>
      <c r="AC9" s="104" t="e">
        <f>#REF!+#REF!</f>
        <v>#REF!</v>
      </c>
      <c r="AD9" s="97" t="e">
        <f t="shared" ref="AD9:AD26" si="2">AC9/D9</f>
        <v>#REF!</v>
      </c>
      <c r="AE9" s="104"/>
      <c r="AF9" s="104"/>
      <c r="AG9" s="104" t="e">
        <f>#REF!+#REF!</f>
        <v>#REF!</v>
      </c>
      <c r="AH9" s="98" t="e">
        <f t="shared" ref="AH9:AH26" si="3">AG9/D9</f>
        <v>#REF!</v>
      </c>
      <c r="AI9" s="104"/>
      <c r="AJ9" s="104"/>
      <c r="AK9" s="104" t="e">
        <f>#REF!+#REF!</f>
        <v>#REF!</v>
      </c>
      <c r="AL9" s="98" t="e">
        <f t="shared" ref="AL9:AL26" si="4">AK9/$D9</f>
        <v>#REF!</v>
      </c>
      <c r="AM9" s="104"/>
      <c r="AN9" s="104"/>
      <c r="AO9" s="104" t="e">
        <f>#REF!+#REF!</f>
        <v>#REF!</v>
      </c>
      <c r="AP9" s="98" t="e">
        <f t="shared" ref="AP9:AP26" si="5">AO9/D9</f>
        <v>#REF!</v>
      </c>
      <c r="AQ9" s="104"/>
      <c r="AR9" s="104"/>
      <c r="AS9" s="104" t="e">
        <f>#REF!+#REF!</f>
        <v>#REF!</v>
      </c>
      <c r="AT9" s="98" t="e">
        <f t="shared" ref="AT9:AT26" si="6">AS9/$D9</f>
        <v>#REF!</v>
      </c>
      <c r="AU9" s="104"/>
      <c r="AV9" s="104"/>
      <c r="AW9" s="104" t="e">
        <f>#REF!+#REF!</f>
        <v>#REF!</v>
      </c>
      <c r="AX9" s="98" t="e">
        <f t="shared" ref="AX9:AX26" si="7">AW9/$D9</f>
        <v>#REF!</v>
      </c>
      <c r="AY9" s="104"/>
      <c r="AZ9" s="104"/>
      <c r="BB9" s="104" t="e">
        <f>#REF!+#REF!</f>
        <v>#REF!</v>
      </c>
      <c r="BC9" s="104" t="e">
        <f>#REF!+#REF!</f>
        <v>#REF!</v>
      </c>
      <c r="BD9" s="104" t="e">
        <f>#REF!+#REF!</f>
        <v>#REF!</v>
      </c>
      <c r="BE9" s="104" t="e">
        <f>#REF!+#REF!</f>
        <v>#REF!</v>
      </c>
      <c r="BF9" s="101" t="e">
        <f t="shared" ref="BF9:BF71" si="8">SUM(BB9:BE9)</f>
        <v>#REF!</v>
      </c>
      <c r="BG9" s="101" t="e">
        <f t="shared" ref="BG9:BG71" si="9">J9-BF9</f>
        <v>#REF!</v>
      </c>
      <c r="BH9" s="227" t="e">
        <f t="shared" ref="BH9:BH26" si="10">BB9/$D9</f>
        <v>#REF!</v>
      </c>
      <c r="BI9" s="227" t="e">
        <f t="shared" ref="BI9:BI26" si="11">BC9/$D9</f>
        <v>#REF!</v>
      </c>
      <c r="BJ9" s="227" t="e">
        <f t="shared" ref="BJ9:BJ26" si="12">BD9/$D9</f>
        <v>#REF!</v>
      </c>
      <c r="BK9" s="227" t="e">
        <f t="shared" ref="BK9:BK26" si="13">BE9/$D9</f>
        <v>#REF!</v>
      </c>
    </row>
    <row r="10" spans="1:63">
      <c r="A10" s="102"/>
      <c r="B10" s="289" t="s">
        <v>701</v>
      </c>
      <c r="C10" s="102" t="s">
        <v>650</v>
      </c>
      <c r="D10" s="104">
        <v>10</v>
      </c>
      <c r="E10" s="102" t="s">
        <v>86</v>
      </c>
      <c r="F10" s="104"/>
      <c r="G10" s="104"/>
      <c r="H10" s="104"/>
      <c r="I10" s="105"/>
      <c r="J10" s="104"/>
      <c r="K10" s="104"/>
      <c r="L10" s="104"/>
      <c r="M10" s="104"/>
      <c r="N10" s="105"/>
      <c r="O10" s="481"/>
      <c r="R10" s="100">
        <v>10</v>
      </c>
      <c r="S10" s="101">
        <f t="shared" si="1"/>
        <v>0</v>
      </c>
      <c r="T10" s="29"/>
      <c r="AC10" s="104" t="e">
        <f>#REF!+#REF!</f>
        <v>#REF!</v>
      </c>
      <c r="AD10" s="97" t="e">
        <f t="shared" si="2"/>
        <v>#REF!</v>
      </c>
      <c r="AE10" s="104"/>
      <c r="AF10" s="104"/>
      <c r="AG10" s="104" t="e">
        <f>#REF!+#REF!</f>
        <v>#REF!</v>
      </c>
      <c r="AH10" s="98" t="e">
        <f t="shared" si="3"/>
        <v>#REF!</v>
      </c>
      <c r="AI10" s="104"/>
      <c r="AJ10" s="104"/>
      <c r="AK10" s="104" t="e">
        <f>#REF!+#REF!</f>
        <v>#REF!</v>
      </c>
      <c r="AL10" s="98"/>
      <c r="AM10" s="104"/>
      <c r="AN10" s="104"/>
      <c r="AO10" s="104" t="e">
        <f>#REF!+#REF!</f>
        <v>#REF!</v>
      </c>
      <c r="AP10" s="98" t="e">
        <f t="shared" si="5"/>
        <v>#REF!</v>
      </c>
      <c r="AQ10" s="104"/>
      <c r="AR10" s="104"/>
      <c r="AS10" s="104" t="e">
        <f>#REF!+#REF!</f>
        <v>#REF!</v>
      </c>
      <c r="AT10" s="98" t="e">
        <f t="shared" si="6"/>
        <v>#REF!</v>
      </c>
      <c r="AU10" s="104"/>
      <c r="AV10" s="104"/>
      <c r="AW10" s="104" t="e">
        <f>#REF!*0.5+#REF!</f>
        <v>#REF!</v>
      </c>
      <c r="AX10" s="98" t="e">
        <f t="shared" si="7"/>
        <v>#REF!</v>
      </c>
      <c r="AY10" s="104"/>
      <c r="AZ10" s="104"/>
      <c r="BB10" s="104" t="e">
        <f>#REF!+#REF!</f>
        <v>#REF!</v>
      </c>
      <c r="BC10" s="104" t="e">
        <f>#REF!+#REF!</f>
        <v>#REF!</v>
      </c>
      <c r="BD10" s="104" t="e">
        <f>#REF!+#REF!</f>
        <v>#REF!</v>
      </c>
      <c r="BE10" s="104" t="e">
        <f>#REF!+#REF!</f>
        <v>#REF!</v>
      </c>
      <c r="BF10" s="101" t="e">
        <f t="shared" si="8"/>
        <v>#REF!</v>
      </c>
      <c r="BG10" s="101" t="e">
        <f t="shared" si="9"/>
        <v>#REF!</v>
      </c>
      <c r="BH10" s="227" t="e">
        <f t="shared" si="10"/>
        <v>#REF!</v>
      </c>
      <c r="BI10" s="227" t="e">
        <f t="shared" si="11"/>
        <v>#REF!</v>
      </c>
      <c r="BJ10" s="227" t="e">
        <f t="shared" si="12"/>
        <v>#REF!</v>
      </c>
      <c r="BK10" s="227" t="e">
        <f t="shared" si="13"/>
        <v>#REF!</v>
      </c>
    </row>
    <row r="11" spans="1:63">
      <c r="A11" s="102"/>
      <c r="B11" s="289" t="s">
        <v>642</v>
      </c>
      <c r="C11" s="102" t="s">
        <v>604</v>
      </c>
      <c r="D11" s="104">
        <v>7</v>
      </c>
      <c r="E11" s="102" t="s">
        <v>35</v>
      </c>
      <c r="F11" s="104"/>
      <c r="G11" s="104"/>
      <c r="H11" s="104"/>
      <c r="I11" s="105"/>
      <c r="J11" s="104"/>
      <c r="K11" s="104"/>
      <c r="L11" s="104"/>
      <c r="M11" s="104" t="e">
        <f>J11/L11</f>
        <v>#DIV/0!</v>
      </c>
      <c r="N11" s="105"/>
      <c r="O11" s="481"/>
      <c r="R11" s="100">
        <v>7</v>
      </c>
      <c r="S11" s="101">
        <f t="shared" si="1"/>
        <v>0</v>
      </c>
      <c r="T11" s="29"/>
      <c r="AC11" s="104" t="e">
        <f>#REF!+#REF!</f>
        <v>#REF!</v>
      </c>
      <c r="AD11" s="97" t="e">
        <f t="shared" si="2"/>
        <v>#REF!</v>
      </c>
      <c r="AE11" s="104"/>
      <c r="AF11" s="104"/>
      <c r="AG11" s="104" t="e">
        <f>#REF!+#REF!</f>
        <v>#REF!</v>
      </c>
      <c r="AH11" s="98" t="e">
        <f t="shared" si="3"/>
        <v>#REF!</v>
      </c>
      <c r="AI11" s="104"/>
      <c r="AJ11" s="104"/>
      <c r="AK11" s="104" t="e">
        <f>#REF!+#REF!</f>
        <v>#REF!</v>
      </c>
      <c r="AL11" s="98" t="e">
        <f t="shared" si="4"/>
        <v>#REF!</v>
      </c>
      <c r="AM11" s="104"/>
      <c r="AN11" s="104"/>
      <c r="AO11" s="104" t="e">
        <f>#REF!+#REF!</f>
        <v>#REF!</v>
      </c>
      <c r="AP11" s="98" t="e">
        <f t="shared" si="5"/>
        <v>#REF!</v>
      </c>
      <c r="AQ11" s="104"/>
      <c r="AR11" s="104"/>
      <c r="AS11" s="104" t="e">
        <f>#REF!+#REF!</f>
        <v>#REF!</v>
      </c>
      <c r="AT11" s="98" t="e">
        <f t="shared" si="6"/>
        <v>#REF!</v>
      </c>
      <c r="AU11" s="104"/>
      <c r="AV11" s="104"/>
      <c r="AW11" s="104" t="e">
        <f>#REF!+#REF!</f>
        <v>#REF!</v>
      </c>
      <c r="AX11" s="98" t="e">
        <f t="shared" si="7"/>
        <v>#REF!</v>
      </c>
      <c r="AY11" s="104"/>
      <c r="AZ11" s="104"/>
      <c r="BB11" s="104" t="e">
        <f>#REF!+#REF!</f>
        <v>#REF!</v>
      </c>
      <c r="BC11" s="104" t="e">
        <f>#REF!+#REF!</f>
        <v>#REF!</v>
      </c>
      <c r="BD11" s="104" t="e">
        <f>#REF!+#REF!</f>
        <v>#REF!</v>
      </c>
      <c r="BE11" s="104" t="e">
        <f>#REF!+#REF!</f>
        <v>#REF!</v>
      </c>
      <c r="BF11" s="101" t="e">
        <f t="shared" si="8"/>
        <v>#REF!</v>
      </c>
      <c r="BG11" s="101" t="e">
        <f t="shared" si="9"/>
        <v>#REF!</v>
      </c>
      <c r="BH11" s="227" t="e">
        <f t="shared" si="10"/>
        <v>#REF!</v>
      </c>
      <c r="BI11" s="227" t="e">
        <f t="shared" si="11"/>
        <v>#REF!</v>
      </c>
      <c r="BJ11" s="227" t="e">
        <f t="shared" si="12"/>
        <v>#REF!</v>
      </c>
      <c r="BK11" s="227" t="e">
        <f t="shared" si="13"/>
        <v>#REF!</v>
      </c>
    </row>
    <row r="12" spans="1:63">
      <c r="A12" s="102"/>
      <c r="B12" s="289" t="s">
        <v>643</v>
      </c>
      <c r="C12" s="102" t="s">
        <v>604</v>
      </c>
      <c r="D12" s="104">
        <v>5</v>
      </c>
      <c r="E12" s="102" t="s">
        <v>35</v>
      </c>
      <c r="F12" s="104"/>
      <c r="G12" s="104"/>
      <c r="H12" s="104"/>
      <c r="I12" s="105"/>
      <c r="J12" s="104"/>
      <c r="K12" s="104"/>
      <c r="L12" s="104"/>
      <c r="M12" s="104"/>
      <c r="N12" s="105"/>
      <c r="O12" s="481"/>
      <c r="R12" s="100">
        <v>4</v>
      </c>
      <c r="S12" s="101">
        <f t="shared" si="1"/>
        <v>0</v>
      </c>
      <c r="T12" s="29"/>
      <c r="AC12" s="104" t="e">
        <f>#REF!+#REF!+#REF!+#REF!+#REF!+#REF!</f>
        <v>#REF!</v>
      </c>
      <c r="AD12" s="97" t="e">
        <f t="shared" si="2"/>
        <v>#REF!</v>
      </c>
      <c r="AE12" s="104"/>
      <c r="AF12" s="104"/>
      <c r="AG12" s="104" t="e">
        <f>#REF!+#REF!+#REF!+#REF!+#REF!+#REF!</f>
        <v>#REF!</v>
      </c>
      <c r="AH12" s="98" t="e">
        <f t="shared" si="3"/>
        <v>#REF!</v>
      </c>
      <c r="AI12" s="104"/>
      <c r="AJ12" s="104"/>
      <c r="AK12" s="104" t="e">
        <f>#REF!+#REF!+#REF!+#REF!+#REF!+#REF!</f>
        <v>#REF!</v>
      </c>
      <c r="AL12" s="98" t="e">
        <f t="shared" si="4"/>
        <v>#REF!</v>
      </c>
      <c r="AM12" s="104"/>
      <c r="AN12" s="104"/>
      <c r="AO12" s="104" t="e">
        <f>#REF!+#REF!+#REF!+#REF!+#REF!+#REF!</f>
        <v>#REF!</v>
      </c>
      <c r="AP12" s="98" t="e">
        <f t="shared" si="5"/>
        <v>#REF!</v>
      </c>
      <c r="AQ12" s="104"/>
      <c r="AR12" s="104"/>
      <c r="AS12" s="104" t="e">
        <f>#REF!+#REF!+#REF!+#REF!+#REF!+#REF!</f>
        <v>#REF!</v>
      </c>
      <c r="AT12" s="98" t="e">
        <f t="shared" si="6"/>
        <v>#REF!</v>
      </c>
      <c r="AU12" s="104"/>
      <c r="AV12" s="104"/>
      <c r="AW12" s="104" t="e">
        <f>#REF!+#REF!+#REF!+#REF!+#REF!+#REF!</f>
        <v>#REF!</v>
      </c>
      <c r="AX12" s="98" t="e">
        <f t="shared" si="7"/>
        <v>#REF!</v>
      </c>
      <c r="AY12" s="104"/>
      <c r="AZ12" s="104"/>
      <c r="BB12" s="104" t="e">
        <f>#REF!+#REF!+#REF!+#REF!+#REF!+#REF!</f>
        <v>#REF!</v>
      </c>
      <c r="BC12" s="104" t="e">
        <f>#REF!+#REF!+#REF!+#REF!+#REF!+#REF!</f>
        <v>#REF!</v>
      </c>
      <c r="BD12" s="104" t="e">
        <f>#REF!+#REF!+#REF!+#REF!+#REF!+#REF!</f>
        <v>#REF!</v>
      </c>
      <c r="BE12" s="104" t="e">
        <f>#REF!+#REF!+#REF!+#REF!+#REF!+#REF!</f>
        <v>#REF!</v>
      </c>
      <c r="BF12" s="101" t="e">
        <f t="shared" si="8"/>
        <v>#REF!</v>
      </c>
      <c r="BG12" s="101" t="e">
        <f t="shared" si="9"/>
        <v>#REF!</v>
      </c>
      <c r="BH12" s="227" t="e">
        <f t="shared" si="10"/>
        <v>#REF!</v>
      </c>
      <c r="BI12" s="227" t="e">
        <f t="shared" si="11"/>
        <v>#REF!</v>
      </c>
      <c r="BJ12" s="227" t="e">
        <f t="shared" si="12"/>
        <v>#REF!</v>
      </c>
      <c r="BK12" s="227" t="e">
        <f t="shared" si="13"/>
        <v>#REF!</v>
      </c>
    </row>
    <row r="13" spans="1:63">
      <c r="A13" s="102"/>
      <c r="B13" s="290" t="s">
        <v>748</v>
      </c>
      <c r="C13" s="291" t="s">
        <v>604</v>
      </c>
      <c r="D13" s="104">
        <v>8</v>
      </c>
      <c r="E13" s="291" t="s">
        <v>35</v>
      </c>
      <c r="F13" s="104"/>
      <c r="G13" s="104"/>
      <c r="H13" s="104"/>
      <c r="I13" s="105"/>
      <c r="J13" s="104"/>
      <c r="K13" s="104"/>
      <c r="L13" s="104"/>
      <c r="M13" s="104"/>
      <c r="N13" s="105"/>
      <c r="O13" s="481"/>
      <c r="R13" s="100">
        <v>8</v>
      </c>
      <c r="S13" s="101">
        <f t="shared" si="1"/>
        <v>0</v>
      </c>
      <c r="T13" s="29"/>
      <c r="AC13" s="104" t="e">
        <f>#REF!</f>
        <v>#REF!</v>
      </c>
      <c r="AD13" s="97" t="e">
        <f t="shared" si="2"/>
        <v>#REF!</v>
      </c>
      <c r="AE13" s="104"/>
      <c r="AF13" s="104"/>
      <c r="AG13" s="104" t="e">
        <f>#REF!</f>
        <v>#REF!</v>
      </c>
      <c r="AH13" s="98" t="e">
        <f t="shared" si="3"/>
        <v>#REF!</v>
      </c>
      <c r="AI13" s="104"/>
      <c r="AJ13" s="104"/>
      <c r="AK13" s="104" t="e">
        <f>#REF!</f>
        <v>#REF!</v>
      </c>
      <c r="AL13" s="98" t="e">
        <f t="shared" si="4"/>
        <v>#REF!</v>
      </c>
      <c r="AM13" s="104"/>
      <c r="AN13" s="104"/>
      <c r="AO13" s="104" t="e">
        <f>#REF!</f>
        <v>#REF!</v>
      </c>
      <c r="AP13" s="98" t="e">
        <f t="shared" si="5"/>
        <v>#REF!</v>
      </c>
      <c r="AQ13" s="104"/>
      <c r="AR13" s="104"/>
      <c r="AS13" s="104" t="e">
        <f>#REF!</f>
        <v>#REF!</v>
      </c>
      <c r="AT13" s="98" t="e">
        <f t="shared" si="6"/>
        <v>#REF!</v>
      </c>
      <c r="AU13" s="104"/>
      <c r="AV13" s="104"/>
      <c r="AW13" s="104" t="e">
        <f>#REF!</f>
        <v>#REF!</v>
      </c>
      <c r="AX13" s="98" t="e">
        <f t="shared" si="7"/>
        <v>#REF!</v>
      </c>
      <c r="AY13" s="104"/>
      <c r="AZ13" s="104"/>
      <c r="BB13" s="104" t="e">
        <f>#REF!</f>
        <v>#REF!</v>
      </c>
      <c r="BC13" s="104" t="e">
        <f>#REF!</f>
        <v>#REF!</v>
      </c>
      <c r="BD13" s="104" t="e">
        <f>#REF!</f>
        <v>#REF!</v>
      </c>
      <c r="BE13" s="104" t="e">
        <f>#REF!</f>
        <v>#REF!</v>
      </c>
      <c r="BF13" s="101" t="e">
        <f t="shared" si="8"/>
        <v>#REF!</v>
      </c>
      <c r="BG13" s="101" t="e">
        <f t="shared" si="9"/>
        <v>#REF!</v>
      </c>
      <c r="BH13" s="227" t="e">
        <f t="shared" si="10"/>
        <v>#REF!</v>
      </c>
      <c r="BI13" s="227" t="e">
        <f t="shared" si="11"/>
        <v>#REF!</v>
      </c>
      <c r="BJ13" s="227" t="e">
        <f t="shared" si="12"/>
        <v>#REF!</v>
      </c>
      <c r="BK13" s="227" t="e">
        <f t="shared" si="13"/>
        <v>#REF!</v>
      </c>
    </row>
    <row r="14" spans="1:63" s="222" customFormat="1">
      <c r="A14" s="102"/>
      <c r="B14" s="289" t="s">
        <v>644</v>
      </c>
      <c r="C14" s="102" t="s">
        <v>889</v>
      </c>
      <c r="D14" s="104">
        <v>3.5</v>
      </c>
      <c r="E14" s="102" t="s">
        <v>814</v>
      </c>
      <c r="F14" s="104"/>
      <c r="G14" s="104"/>
      <c r="H14" s="104"/>
      <c r="I14" s="105"/>
      <c r="J14" s="104"/>
      <c r="K14" s="104"/>
      <c r="L14" s="104"/>
      <c r="M14" s="104"/>
      <c r="N14" s="105"/>
      <c r="O14" s="481"/>
      <c r="R14" s="229">
        <v>5</v>
      </c>
      <c r="S14" s="224">
        <f t="shared" si="1"/>
        <v>0</v>
      </c>
      <c r="T14" s="84"/>
      <c r="AA14" s="224"/>
      <c r="AC14" s="221" t="e">
        <f>#REF!*0.375+#REF!*0.6</f>
        <v>#REF!</v>
      </c>
      <c r="AD14" s="225" t="e">
        <f t="shared" si="2"/>
        <v>#REF!</v>
      </c>
      <c r="AE14" s="221"/>
      <c r="AF14" s="221"/>
      <c r="AG14" s="221" t="e">
        <f>#REF!*0.375+#REF!*0.6</f>
        <v>#REF!</v>
      </c>
      <c r="AH14" s="225" t="e">
        <f t="shared" si="3"/>
        <v>#REF!</v>
      </c>
      <c r="AI14" s="221"/>
      <c r="AJ14" s="221"/>
      <c r="AK14" s="221" t="e">
        <f>#REF!*0.375+#REF!*0.6</f>
        <v>#REF!</v>
      </c>
      <c r="AL14" s="225" t="e">
        <f t="shared" si="4"/>
        <v>#REF!</v>
      </c>
      <c r="AM14" s="221"/>
      <c r="AN14" s="221"/>
      <c r="AO14" s="221" t="e">
        <f>#REF!*0.375+#REF!*0.6</f>
        <v>#REF!</v>
      </c>
      <c r="AP14" s="225" t="e">
        <f t="shared" si="5"/>
        <v>#REF!</v>
      </c>
      <c r="AQ14" s="221"/>
      <c r="AR14" s="221"/>
      <c r="AS14" s="221" t="e">
        <f>#REF!*0.375+#REF!*0.6</f>
        <v>#REF!</v>
      </c>
      <c r="AT14" s="225" t="e">
        <f t="shared" si="6"/>
        <v>#REF!</v>
      </c>
      <c r="AU14" s="221"/>
      <c r="AV14" s="221"/>
      <c r="AW14" s="221" t="e">
        <f>#REF!*0.375+#REF!*0.6</f>
        <v>#REF!</v>
      </c>
      <c r="AX14" s="225" t="e">
        <f t="shared" si="7"/>
        <v>#REF!</v>
      </c>
      <c r="AY14" s="221"/>
      <c r="AZ14" s="221"/>
      <c r="BB14" s="221" t="e">
        <f>#REF!*0.375+#REF!</f>
        <v>#REF!</v>
      </c>
      <c r="BC14" s="221" t="e">
        <f>#REF!*0.375+#REF!</f>
        <v>#REF!</v>
      </c>
      <c r="BD14" s="221" t="e">
        <f>#REF!*0.375+#REF!</f>
        <v>#REF!</v>
      </c>
      <c r="BE14" s="221" t="e">
        <f>#REF!*0.375+#REF!</f>
        <v>#REF!</v>
      </c>
      <c r="BF14" s="224" t="e">
        <f t="shared" si="8"/>
        <v>#REF!</v>
      </c>
      <c r="BG14" s="224" t="e">
        <f t="shared" si="9"/>
        <v>#REF!</v>
      </c>
      <c r="BH14" s="230" t="e">
        <f t="shared" si="10"/>
        <v>#REF!</v>
      </c>
      <c r="BI14" s="230" t="e">
        <f t="shared" si="11"/>
        <v>#REF!</v>
      </c>
      <c r="BJ14" s="230" t="e">
        <f t="shared" si="12"/>
        <v>#REF!</v>
      </c>
      <c r="BK14" s="230" t="e">
        <f t="shared" si="13"/>
        <v>#REF!</v>
      </c>
    </row>
    <row r="15" spans="1:63">
      <c r="A15" s="102"/>
      <c r="B15" s="290" t="s">
        <v>749</v>
      </c>
      <c r="C15" s="102" t="s">
        <v>604</v>
      </c>
      <c r="D15" s="104">
        <v>5</v>
      </c>
      <c r="E15" s="102" t="s">
        <v>35</v>
      </c>
      <c r="F15" s="104"/>
      <c r="G15" s="104"/>
      <c r="H15" s="104"/>
      <c r="I15" s="105"/>
      <c r="J15" s="104"/>
      <c r="K15" s="104"/>
      <c r="L15" s="104"/>
      <c r="M15" s="104"/>
      <c r="N15" s="105"/>
      <c r="O15" s="481"/>
      <c r="R15" s="100">
        <v>5</v>
      </c>
      <c r="S15" s="101">
        <f t="shared" si="1"/>
        <v>0</v>
      </c>
      <c r="T15" s="29"/>
      <c r="AC15" s="104" t="e">
        <f>#REF!*0.41</f>
        <v>#REF!</v>
      </c>
      <c r="AD15" s="97" t="e">
        <f t="shared" si="2"/>
        <v>#REF!</v>
      </c>
      <c r="AE15" s="104"/>
      <c r="AF15" s="104"/>
      <c r="AG15" s="104" t="e">
        <f>#REF!*0.41</f>
        <v>#REF!</v>
      </c>
      <c r="AH15" s="98" t="e">
        <f t="shared" si="3"/>
        <v>#REF!</v>
      </c>
      <c r="AI15" s="104"/>
      <c r="AJ15" s="104"/>
      <c r="AK15" s="104" t="e">
        <f>#REF!*0.41</f>
        <v>#REF!</v>
      </c>
      <c r="AL15" s="98" t="e">
        <f t="shared" si="4"/>
        <v>#REF!</v>
      </c>
      <c r="AM15" s="104"/>
      <c r="AN15" s="104"/>
      <c r="AO15" s="104" t="e">
        <f>#REF!*0.41</f>
        <v>#REF!</v>
      </c>
      <c r="AP15" s="98" t="e">
        <f t="shared" si="5"/>
        <v>#REF!</v>
      </c>
      <c r="AQ15" s="104"/>
      <c r="AR15" s="104"/>
      <c r="AS15" s="104" t="e">
        <f>#REF!*0.41</f>
        <v>#REF!</v>
      </c>
      <c r="AT15" s="98" t="e">
        <f t="shared" si="6"/>
        <v>#REF!</v>
      </c>
      <c r="AU15" s="104"/>
      <c r="AV15" s="104"/>
      <c r="AW15" s="104" t="e">
        <f>#REF!*0.41</f>
        <v>#REF!</v>
      </c>
      <c r="AX15" s="98" t="e">
        <f t="shared" si="7"/>
        <v>#REF!</v>
      </c>
      <c r="AY15" s="104"/>
      <c r="AZ15" s="104"/>
      <c r="BB15" s="104" t="e">
        <f>#REF!*0.41</f>
        <v>#REF!</v>
      </c>
      <c r="BC15" s="104" t="e">
        <f>#REF!*0.41</f>
        <v>#REF!</v>
      </c>
      <c r="BD15" s="104" t="e">
        <f>#REF!*0.41</f>
        <v>#REF!</v>
      </c>
      <c r="BE15" s="104" t="e">
        <f>#REF!*0.41</f>
        <v>#REF!</v>
      </c>
      <c r="BF15" s="101" t="e">
        <f t="shared" si="8"/>
        <v>#REF!</v>
      </c>
      <c r="BG15" s="101" t="e">
        <f t="shared" si="9"/>
        <v>#REF!</v>
      </c>
      <c r="BH15" s="227" t="e">
        <f t="shared" si="10"/>
        <v>#REF!</v>
      </c>
      <c r="BI15" s="227" t="e">
        <f t="shared" si="11"/>
        <v>#REF!</v>
      </c>
      <c r="BJ15" s="227" t="e">
        <f t="shared" si="12"/>
        <v>#REF!</v>
      </c>
      <c r="BK15" s="227" t="e">
        <f t="shared" si="13"/>
        <v>#REF!</v>
      </c>
    </row>
    <row r="16" spans="1:63">
      <c r="A16" s="102"/>
      <c r="B16" s="290" t="s">
        <v>766</v>
      </c>
      <c r="C16" s="102" t="s">
        <v>604</v>
      </c>
      <c r="D16" s="104">
        <v>5</v>
      </c>
      <c r="E16" s="102" t="s">
        <v>35</v>
      </c>
      <c r="F16" s="104"/>
      <c r="G16" s="104"/>
      <c r="H16" s="104"/>
      <c r="I16" s="105"/>
      <c r="J16" s="104"/>
      <c r="K16" s="104"/>
      <c r="L16" s="104"/>
      <c r="M16" s="104"/>
      <c r="N16" s="105"/>
      <c r="O16" s="481"/>
      <c r="R16" s="100">
        <v>5</v>
      </c>
      <c r="S16" s="101">
        <f t="shared" si="1"/>
        <v>0</v>
      </c>
      <c r="T16" s="29"/>
      <c r="AC16" s="104" t="e">
        <f>#REF!*0.16</f>
        <v>#REF!</v>
      </c>
      <c r="AD16" s="97" t="e">
        <f t="shared" si="2"/>
        <v>#REF!</v>
      </c>
      <c r="AE16" s="104"/>
      <c r="AF16" s="104"/>
      <c r="AG16" s="104" t="e">
        <f>#REF!*0.16</f>
        <v>#REF!</v>
      </c>
      <c r="AH16" s="98" t="e">
        <f t="shared" si="3"/>
        <v>#REF!</v>
      </c>
      <c r="AI16" s="104"/>
      <c r="AJ16" s="104"/>
      <c r="AK16" s="104" t="e">
        <f>#REF!*0.16</f>
        <v>#REF!</v>
      </c>
      <c r="AL16" s="98" t="e">
        <f t="shared" si="4"/>
        <v>#REF!</v>
      </c>
      <c r="AM16" s="104"/>
      <c r="AN16" s="104"/>
      <c r="AO16" s="104" t="e">
        <f>#REF!*0.16</f>
        <v>#REF!</v>
      </c>
      <c r="AP16" s="98" t="e">
        <f t="shared" si="5"/>
        <v>#REF!</v>
      </c>
      <c r="AQ16" s="104"/>
      <c r="AR16" s="104"/>
      <c r="AS16" s="104" t="e">
        <f>#REF!*0.16</f>
        <v>#REF!</v>
      </c>
      <c r="AT16" s="98" t="e">
        <f t="shared" si="6"/>
        <v>#REF!</v>
      </c>
      <c r="AU16" s="104"/>
      <c r="AV16" s="104"/>
      <c r="AW16" s="104" t="e">
        <f>#REF!*0.16</f>
        <v>#REF!</v>
      </c>
      <c r="AX16" s="98" t="e">
        <f t="shared" si="7"/>
        <v>#REF!</v>
      </c>
      <c r="AY16" s="104"/>
      <c r="AZ16" s="104"/>
      <c r="BB16" s="104" t="e">
        <f>#REF!*0.16</f>
        <v>#REF!</v>
      </c>
      <c r="BC16" s="104" t="e">
        <f>#REF!*0.16</f>
        <v>#REF!</v>
      </c>
      <c r="BD16" s="104" t="e">
        <f>#REF!*0.16</f>
        <v>#REF!</v>
      </c>
      <c r="BE16" s="104" t="e">
        <f>#REF!*0.16</f>
        <v>#REF!</v>
      </c>
      <c r="BF16" s="101" t="e">
        <f t="shared" si="8"/>
        <v>#REF!</v>
      </c>
      <c r="BG16" s="101" t="e">
        <f t="shared" si="9"/>
        <v>#REF!</v>
      </c>
      <c r="BH16" s="227" t="e">
        <f t="shared" si="10"/>
        <v>#REF!</v>
      </c>
      <c r="BI16" s="227" t="e">
        <f t="shared" si="11"/>
        <v>#REF!</v>
      </c>
      <c r="BJ16" s="227" t="e">
        <f t="shared" si="12"/>
        <v>#REF!</v>
      </c>
      <c r="BK16" s="227" t="e">
        <f t="shared" si="13"/>
        <v>#REF!</v>
      </c>
    </row>
    <row r="17" spans="1:63">
      <c r="A17" s="102"/>
      <c r="B17" s="289" t="s">
        <v>645</v>
      </c>
      <c r="C17" s="102" t="s">
        <v>604</v>
      </c>
      <c r="D17" s="104">
        <v>5</v>
      </c>
      <c r="E17" s="102" t="s">
        <v>35</v>
      </c>
      <c r="F17" s="104"/>
      <c r="G17" s="104"/>
      <c r="H17" s="104"/>
      <c r="I17" s="105"/>
      <c r="J17" s="104"/>
      <c r="K17" s="104"/>
      <c r="L17" s="104"/>
      <c r="M17" s="104"/>
      <c r="N17" s="105"/>
      <c r="O17" s="481"/>
      <c r="R17" s="100">
        <v>5</v>
      </c>
      <c r="S17" s="101">
        <f t="shared" si="1"/>
        <v>0</v>
      </c>
      <c r="T17" s="29"/>
      <c r="AC17" s="104" t="e">
        <f>#REF!*0.4</f>
        <v>#REF!</v>
      </c>
      <c r="AD17" s="97" t="e">
        <f t="shared" si="2"/>
        <v>#REF!</v>
      </c>
      <c r="AE17" s="104"/>
      <c r="AF17" s="104"/>
      <c r="AG17" s="104" t="e">
        <f>#REF!*0.4</f>
        <v>#REF!</v>
      </c>
      <c r="AH17" s="98" t="e">
        <f t="shared" si="3"/>
        <v>#REF!</v>
      </c>
      <c r="AI17" s="104"/>
      <c r="AJ17" s="104"/>
      <c r="AK17" s="104" t="e">
        <f>#REF!*0.4</f>
        <v>#REF!</v>
      </c>
      <c r="AL17" s="98" t="e">
        <f t="shared" si="4"/>
        <v>#REF!</v>
      </c>
      <c r="AM17" s="104"/>
      <c r="AN17" s="104"/>
      <c r="AO17" s="104" t="e">
        <f>#REF!*0.4</f>
        <v>#REF!</v>
      </c>
      <c r="AP17" s="98" t="e">
        <f t="shared" si="5"/>
        <v>#REF!</v>
      </c>
      <c r="AQ17" s="104"/>
      <c r="AR17" s="104"/>
      <c r="AS17" s="104" t="e">
        <f>#REF!*0.4</f>
        <v>#REF!</v>
      </c>
      <c r="AT17" s="98" t="e">
        <f t="shared" si="6"/>
        <v>#REF!</v>
      </c>
      <c r="AU17" s="104"/>
      <c r="AV17" s="104"/>
      <c r="AW17" s="104" t="e">
        <f>#REF!*0.4</f>
        <v>#REF!</v>
      </c>
      <c r="AX17" s="98" t="e">
        <f t="shared" si="7"/>
        <v>#REF!</v>
      </c>
      <c r="AY17" s="104"/>
      <c r="AZ17" s="104"/>
      <c r="BB17" s="104" t="e">
        <f>#REF!*0.4</f>
        <v>#REF!</v>
      </c>
      <c r="BC17" s="104" t="e">
        <f>#REF!*0.4</f>
        <v>#REF!</v>
      </c>
      <c r="BD17" s="104" t="e">
        <f>#REF!*0.4</f>
        <v>#REF!</v>
      </c>
      <c r="BE17" s="104" t="e">
        <f>#REF!*0.4</f>
        <v>#REF!</v>
      </c>
      <c r="BF17" s="101" t="e">
        <f t="shared" si="8"/>
        <v>#REF!</v>
      </c>
      <c r="BG17" s="101" t="e">
        <f t="shared" si="9"/>
        <v>#REF!</v>
      </c>
      <c r="BH17" s="227" t="e">
        <f t="shared" si="10"/>
        <v>#REF!</v>
      </c>
      <c r="BI17" s="227" t="e">
        <f t="shared" si="11"/>
        <v>#REF!</v>
      </c>
      <c r="BJ17" s="227" t="e">
        <f t="shared" si="12"/>
        <v>#REF!</v>
      </c>
      <c r="BK17" s="227" t="e">
        <f t="shared" si="13"/>
        <v>#REF!</v>
      </c>
    </row>
    <row r="18" spans="1:63">
      <c r="A18" s="102"/>
      <c r="B18" s="289" t="s">
        <v>646</v>
      </c>
      <c r="C18" s="102" t="s">
        <v>604</v>
      </c>
      <c r="D18" s="104">
        <v>4</v>
      </c>
      <c r="E18" s="102" t="s">
        <v>35</v>
      </c>
      <c r="F18" s="104"/>
      <c r="G18" s="104"/>
      <c r="H18" s="104"/>
      <c r="I18" s="105"/>
      <c r="J18" s="104"/>
      <c r="K18" s="104"/>
      <c r="L18" s="104"/>
      <c r="M18" s="104"/>
      <c r="N18" s="105"/>
      <c r="O18" s="481"/>
      <c r="R18" s="100">
        <v>4</v>
      </c>
      <c r="S18" s="101">
        <f t="shared" si="1"/>
        <v>0</v>
      </c>
      <c r="T18" s="29"/>
      <c r="AA18" s="101"/>
      <c r="AC18" s="104" t="e">
        <f>#REF!*0.28</f>
        <v>#REF!</v>
      </c>
      <c r="AD18" s="97" t="e">
        <f t="shared" si="2"/>
        <v>#REF!</v>
      </c>
      <c r="AE18" s="104"/>
      <c r="AF18" s="104"/>
      <c r="AG18" s="104" t="e">
        <f>#REF!*0.28</f>
        <v>#REF!</v>
      </c>
      <c r="AH18" s="98" t="e">
        <f t="shared" si="3"/>
        <v>#REF!</v>
      </c>
      <c r="AI18" s="104"/>
      <c r="AJ18" s="104"/>
      <c r="AK18" s="104" t="e">
        <f>#REF!*0.28</f>
        <v>#REF!</v>
      </c>
      <c r="AL18" s="98" t="e">
        <f t="shared" si="4"/>
        <v>#REF!</v>
      </c>
      <c r="AM18" s="104"/>
      <c r="AN18" s="104"/>
      <c r="AO18" s="104" t="e">
        <f>#REF!*0.28</f>
        <v>#REF!</v>
      </c>
      <c r="AP18" s="98" t="e">
        <f t="shared" si="5"/>
        <v>#REF!</v>
      </c>
      <c r="AQ18" s="104"/>
      <c r="AR18" s="104"/>
      <c r="AS18" s="104" t="e">
        <f>#REF!*0.28</f>
        <v>#REF!</v>
      </c>
      <c r="AT18" s="98" t="e">
        <f t="shared" si="6"/>
        <v>#REF!</v>
      </c>
      <c r="AU18" s="104"/>
      <c r="AV18" s="104"/>
      <c r="AW18" s="104" t="e">
        <f>#REF!*0.28</f>
        <v>#REF!</v>
      </c>
      <c r="AX18" s="98" t="e">
        <f t="shared" si="7"/>
        <v>#REF!</v>
      </c>
      <c r="AY18" s="104"/>
      <c r="AZ18" s="104"/>
      <c r="BB18" s="104" t="e">
        <f>#REF!*0.28</f>
        <v>#REF!</v>
      </c>
      <c r="BC18" s="104" t="e">
        <f>#REF!*0.28</f>
        <v>#REF!</v>
      </c>
      <c r="BD18" s="104" t="e">
        <f>#REF!*0.28</f>
        <v>#REF!</v>
      </c>
      <c r="BE18" s="104" t="e">
        <f>#REF!*0.28</f>
        <v>#REF!</v>
      </c>
      <c r="BF18" s="101" t="e">
        <f t="shared" si="8"/>
        <v>#REF!</v>
      </c>
      <c r="BG18" s="101" t="e">
        <f t="shared" si="9"/>
        <v>#REF!</v>
      </c>
      <c r="BH18" s="227" t="e">
        <f t="shared" si="10"/>
        <v>#REF!</v>
      </c>
      <c r="BI18" s="227" t="e">
        <f t="shared" si="11"/>
        <v>#REF!</v>
      </c>
      <c r="BJ18" s="227" t="e">
        <f t="shared" si="12"/>
        <v>#REF!</v>
      </c>
      <c r="BK18" s="227" t="e">
        <f t="shared" si="13"/>
        <v>#REF!</v>
      </c>
    </row>
    <row r="19" spans="1:63">
      <c r="A19" s="102"/>
      <c r="B19" s="289" t="s">
        <v>647</v>
      </c>
      <c r="C19" s="102" t="s">
        <v>604</v>
      </c>
      <c r="D19" s="104">
        <v>4</v>
      </c>
      <c r="E19" s="102" t="s">
        <v>35</v>
      </c>
      <c r="F19" s="104"/>
      <c r="G19" s="104"/>
      <c r="H19" s="104"/>
      <c r="I19" s="105"/>
      <c r="J19" s="104"/>
      <c r="K19" s="104"/>
      <c r="L19" s="104"/>
      <c r="M19" s="104"/>
      <c r="N19" s="105"/>
      <c r="O19" s="481"/>
      <c r="R19" s="100">
        <v>4</v>
      </c>
      <c r="S19" s="101">
        <f t="shared" si="1"/>
        <v>0</v>
      </c>
      <c r="T19" s="29"/>
      <c r="U19" s="83">
        <f>1.2*1.5*0.2</f>
        <v>0.36</v>
      </c>
      <c r="AA19" s="118"/>
      <c r="AC19" s="104" t="e">
        <f>#REF!*0.3*0</f>
        <v>#REF!</v>
      </c>
      <c r="AD19" s="97" t="e">
        <f t="shared" si="2"/>
        <v>#REF!</v>
      </c>
      <c r="AE19" s="104"/>
      <c r="AF19" s="104"/>
      <c r="AG19" s="104" t="e">
        <f>#REF!*0.3</f>
        <v>#REF!</v>
      </c>
      <c r="AH19" s="98" t="e">
        <f t="shared" si="3"/>
        <v>#REF!</v>
      </c>
      <c r="AI19" s="104"/>
      <c r="AJ19" s="104"/>
      <c r="AK19" s="104" t="e">
        <f>#REF!*0.3</f>
        <v>#REF!</v>
      </c>
      <c r="AL19" s="98" t="e">
        <f t="shared" si="4"/>
        <v>#REF!</v>
      </c>
      <c r="AM19" s="104"/>
      <c r="AN19" s="104"/>
      <c r="AO19" s="104" t="e">
        <f>#REF!*0.3</f>
        <v>#REF!</v>
      </c>
      <c r="AP19" s="98" t="e">
        <f t="shared" si="5"/>
        <v>#REF!</v>
      </c>
      <c r="AQ19" s="104"/>
      <c r="AR19" s="104"/>
      <c r="AS19" s="104" t="e">
        <f>#REF!*0.3</f>
        <v>#REF!</v>
      </c>
      <c r="AT19" s="98" t="e">
        <f t="shared" si="6"/>
        <v>#REF!</v>
      </c>
      <c r="AU19" s="104"/>
      <c r="AV19" s="104"/>
      <c r="AW19" s="104" t="e">
        <f>#REF!*0.3</f>
        <v>#REF!</v>
      </c>
      <c r="AX19" s="98" t="e">
        <f t="shared" si="7"/>
        <v>#REF!</v>
      </c>
      <c r="AY19" s="104"/>
      <c r="AZ19" s="104"/>
      <c r="BB19" s="104" t="e">
        <f>#REF!*0.3</f>
        <v>#REF!</v>
      </c>
      <c r="BC19" s="104" t="e">
        <f>#REF!*0.3</f>
        <v>#REF!</v>
      </c>
      <c r="BD19" s="104" t="e">
        <f>#REF!*0.3</f>
        <v>#REF!</v>
      </c>
      <c r="BE19" s="104" t="e">
        <f>#REF!*0.3</f>
        <v>#REF!</v>
      </c>
      <c r="BF19" s="101" t="e">
        <f t="shared" si="8"/>
        <v>#REF!</v>
      </c>
      <c r="BG19" s="101" t="e">
        <f t="shared" si="9"/>
        <v>#REF!</v>
      </c>
      <c r="BH19" s="227" t="e">
        <f t="shared" si="10"/>
        <v>#REF!</v>
      </c>
      <c r="BI19" s="227" t="e">
        <f t="shared" si="11"/>
        <v>#REF!</v>
      </c>
      <c r="BJ19" s="227" t="e">
        <f t="shared" si="12"/>
        <v>#REF!</v>
      </c>
      <c r="BK19" s="227" t="e">
        <f t="shared" si="13"/>
        <v>#REF!</v>
      </c>
    </row>
    <row r="20" spans="1:63">
      <c r="A20" s="248"/>
      <c r="B20" s="292" t="s">
        <v>750</v>
      </c>
      <c r="C20" s="102" t="s">
        <v>604</v>
      </c>
      <c r="D20" s="106">
        <v>4</v>
      </c>
      <c r="E20" s="102" t="s">
        <v>35</v>
      </c>
      <c r="F20" s="106"/>
      <c r="G20" s="104"/>
      <c r="H20" s="106"/>
      <c r="I20" s="107"/>
      <c r="J20" s="106"/>
      <c r="K20" s="104"/>
      <c r="L20" s="106"/>
      <c r="M20" s="106"/>
      <c r="N20" s="107"/>
      <c r="O20" s="482"/>
      <c r="R20" s="100">
        <v>4</v>
      </c>
      <c r="S20" s="101">
        <f t="shared" si="1"/>
        <v>0</v>
      </c>
      <c r="T20" s="29"/>
      <c r="U20" s="83">
        <v>1.2</v>
      </c>
      <c r="V20" s="83">
        <v>0.36</v>
      </c>
      <c r="W20" s="83">
        <f>V20/U20</f>
        <v>0.3</v>
      </c>
      <c r="AC20" s="106" t="e">
        <f>#REF!*0.3</f>
        <v>#REF!</v>
      </c>
      <c r="AD20" s="97" t="e">
        <f t="shared" si="2"/>
        <v>#REF!</v>
      </c>
      <c r="AE20" s="106"/>
      <c r="AF20" s="106"/>
      <c r="AG20" s="106" t="e">
        <f>#REF!*0.3</f>
        <v>#REF!</v>
      </c>
      <c r="AH20" s="98" t="e">
        <f t="shared" si="3"/>
        <v>#REF!</v>
      </c>
      <c r="AI20" s="104"/>
      <c r="AJ20" s="106"/>
      <c r="AK20" s="106" t="e">
        <f>#REF!*0.3</f>
        <v>#REF!</v>
      </c>
      <c r="AL20" s="98" t="e">
        <f t="shared" si="4"/>
        <v>#REF!</v>
      </c>
      <c r="AM20" s="106"/>
      <c r="AN20" s="106"/>
      <c r="AO20" s="106" t="e">
        <f>#REF!*0.3</f>
        <v>#REF!</v>
      </c>
      <c r="AP20" s="98" t="e">
        <f t="shared" si="5"/>
        <v>#REF!</v>
      </c>
      <c r="AQ20" s="106"/>
      <c r="AR20" s="106"/>
      <c r="AS20" s="106" t="e">
        <f>#REF!*0.3</f>
        <v>#REF!</v>
      </c>
      <c r="AT20" s="98" t="e">
        <f t="shared" si="6"/>
        <v>#REF!</v>
      </c>
      <c r="AU20" s="106"/>
      <c r="AV20" s="106"/>
      <c r="AW20" s="106" t="e">
        <f>#REF!*0.3</f>
        <v>#REF!</v>
      </c>
      <c r="AX20" s="98" t="e">
        <f t="shared" si="7"/>
        <v>#REF!</v>
      </c>
      <c r="AY20" s="106"/>
      <c r="AZ20" s="106"/>
      <c r="BB20" s="106" t="e">
        <f>#REF!*0.3</f>
        <v>#REF!</v>
      </c>
      <c r="BC20" s="106" t="e">
        <f>#REF!*0.3</f>
        <v>#REF!</v>
      </c>
      <c r="BD20" s="106" t="e">
        <f>#REF!*0.3</f>
        <v>#REF!</v>
      </c>
      <c r="BE20" s="106" t="e">
        <f>#REF!*0.3</f>
        <v>#REF!</v>
      </c>
      <c r="BF20" s="101" t="e">
        <f t="shared" si="8"/>
        <v>#REF!</v>
      </c>
      <c r="BG20" s="101" t="e">
        <f t="shared" si="9"/>
        <v>#REF!</v>
      </c>
      <c r="BH20" s="227" t="e">
        <f t="shared" si="10"/>
        <v>#REF!</v>
      </c>
      <c r="BI20" s="227" t="e">
        <f t="shared" si="11"/>
        <v>#REF!</v>
      </c>
      <c r="BJ20" s="227" t="e">
        <f t="shared" si="12"/>
        <v>#REF!</v>
      </c>
      <c r="BK20" s="227" t="e">
        <f t="shared" si="13"/>
        <v>#REF!</v>
      </c>
    </row>
    <row r="21" spans="1:63">
      <c r="A21" s="248"/>
      <c r="B21" s="292" t="s">
        <v>778</v>
      </c>
      <c r="C21" s="248" t="s">
        <v>610</v>
      </c>
      <c r="D21" s="106">
        <v>10</v>
      </c>
      <c r="E21" s="248" t="s">
        <v>86</v>
      </c>
      <c r="F21" s="106"/>
      <c r="G21" s="104"/>
      <c r="H21" s="106"/>
      <c r="I21" s="107"/>
      <c r="J21" s="106"/>
      <c r="K21" s="104"/>
      <c r="L21" s="106"/>
      <c r="M21" s="106"/>
      <c r="N21" s="107"/>
      <c r="O21" s="482"/>
      <c r="R21" s="100">
        <v>10</v>
      </c>
      <c r="S21" s="101">
        <f t="shared" si="1"/>
        <v>0</v>
      </c>
      <c r="T21" s="29"/>
      <c r="AC21" s="106" t="e">
        <f>AC8/0.1*0.5</f>
        <v>#REF!</v>
      </c>
      <c r="AD21" s="97" t="e">
        <f t="shared" si="2"/>
        <v>#REF!</v>
      </c>
      <c r="AE21" s="106"/>
      <c r="AF21" s="106"/>
      <c r="AG21" s="106" t="e">
        <f>AG8/0.1</f>
        <v>#REF!</v>
      </c>
      <c r="AH21" s="98" t="e">
        <f t="shared" si="3"/>
        <v>#REF!</v>
      </c>
      <c r="AI21" s="104"/>
      <c r="AJ21" s="106"/>
      <c r="AK21" s="106" t="e">
        <f>AK8/0.1*0.5</f>
        <v>#REF!</v>
      </c>
      <c r="AL21" s="98" t="e">
        <f t="shared" si="4"/>
        <v>#REF!</v>
      </c>
      <c r="AM21" s="106"/>
      <c r="AN21" s="106"/>
      <c r="AO21" s="106" t="e">
        <f>AO8/0.1</f>
        <v>#REF!</v>
      </c>
      <c r="AP21" s="98" t="e">
        <f t="shared" si="5"/>
        <v>#REF!</v>
      </c>
      <c r="AQ21" s="106"/>
      <c r="AR21" s="106"/>
      <c r="AS21" s="106" t="e">
        <f>AS8/0.1*0.5</f>
        <v>#REF!</v>
      </c>
      <c r="AT21" s="98" t="e">
        <f t="shared" si="6"/>
        <v>#REF!</v>
      </c>
      <c r="AU21" s="106"/>
      <c r="AV21" s="106"/>
      <c r="AW21" s="106" t="e">
        <f>AW8/0.1</f>
        <v>#REF!</v>
      </c>
      <c r="AX21" s="98" t="e">
        <f t="shared" si="7"/>
        <v>#REF!</v>
      </c>
      <c r="AY21" s="106"/>
      <c r="AZ21" s="106"/>
      <c r="BB21" s="106" t="e">
        <f>BB8/0.1</f>
        <v>#REF!</v>
      </c>
      <c r="BC21" s="106" t="e">
        <f>BC8/0.1</f>
        <v>#REF!</v>
      </c>
      <c r="BD21" s="106" t="e">
        <f>BD8/0.1</f>
        <v>#REF!</v>
      </c>
      <c r="BE21" s="106" t="e">
        <f>BE8/0.1</f>
        <v>#REF!</v>
      </c>
      <c r="BF21" s="101" t="e">
        <f t="shared" si="8"/>
        <v>#REF!</v>
      </c>
      <c r="BG21" s="101" t="e">
        <f t="shared" si="9"/>
        <v>#REF!</v>
      </c>
      <c r="BH21" s="227" t="e">
        <f t="shared" si="10"/>
        <v>#REF!</v>
      </c>
      <c r="BI21" s="227" t="e">
        <f t="shared" si="11"/>
        <v>#REF!</v>
      </c>
      <c r="BJ21" s="227" t="e">
        <f t="shared" si="12"/>
        <v>#REF!</v>
      </c>
      <c r="BK21" s="227" t="e">
        <f t="shared" si="13"/>
        <v>#REF!</v>
      </c>
    </row>
    <row r="22" spans="1:63">
      <c r="A22" s="248"/>
      <c r="B22" s="292" t="s">
        <v>855</v>
      </c>
      <c r="C22" s="106" t="s">
        <v>610</v>
      </c>
      <c r="D22" s="106">
        <v>100</v>
      </c>
      <c r="E22" s="248" t="s">
        <v>611</v>
      </c>
      <c r="F22" s="106"/>
      <c r="G22" s="104"/>
      <c r="H22" s="106"/>
      <c r="I22" s="107"/>
      <c r="J22" s="106"/>
      <c r="K22" s="104"/>
      <c r="L22" s="106"/>
      <c r="M22" s="106"/>
      <c r="N22" s="107"/>
      <c r="O22" s="482"/>
      <c r="R22" s="100"/>
      <c r="S22" s="101">
        <f>K22</f>
        <v>0</v>
      </c>
      <c r="T22" s="29"/>
      <c r="U22" s="83">
        <v>3</v>
      </c>
      <c r="V22" s="83">
        <v>1.23</v>
      </c>
      <c r="W22" s="83">
        <f>V22/U22</f>
        <v>0.41</v>
      </c>
      <c r="AC22" s="228" t="e">
        <f>#REF!/0.3*0</f>
        <v>#REF!</v>
      </c>
      <c r="AD22" s="97" t="e">
        <f t="shared" si="2"/>
        <v>#REF!</v>
      </c>
      <c r="AE22" s="106"/>
      <c r="AF22" s="106"/>
      <c r="AG22" s="106" t="e">
        <f>#REF!/0.3</f>
        <v>#REF!</v>
      </c>
      <c r="AH22" s="98" t="e">
        <f t="shared" si="3"/>
        <v>#REF!</v>
      </c>
      <c r="AI22" s="104"/>
      <c r="AJ22" s="106"/>
      <c r="AK22" s="106" t="e">
        <f>#REF!/0.3</f>
        <v>#REF!</v>
      </c>
      <c r="AL22" s="98" t="e">
        <f t="shared" si="4"/>
        <v>#REF!</v>
      </c>
      <c r="AM22" s="106"/>
      <c r="AN22" s="106"/>
      <c r="AO22" s="106" t="e">
        <f>#REF!/0.3</f>
        <v>#REF!</v>
      </c>
      <c r="AP22" s="98" t="e">
        <f t="shared" si="5"/>
        <v>#REF!</v>
      </c>
      <c r="AQ22" s="106"/>
      <c r="AR22" s="106"/>
      <c r="AS22" s="106" t="e">
        <f>#REF!/0.3</f>
        <v>#REF!</v>
      </c>
      <c r="AT22" s="98" t="e">
        <f t="shared" si="6"/>
        <v>#REF!</v>
      </c>
      <c r="AU22" s="106"/>
      <c r="AV22" s="106"/>
      <c r="AW22" s="106" t="e">
        <f>#REF!/0.3</f>
        <v>#REF!</v>
      </c>
      <c r="AX22" s="98" t="e">
        <f t="shared" si="7"/>
        <v>#REF!</v>
      </c>
      <c r="AY22" s="106"/>
      <c r="AZ22" s="106"/>
      <c r="BB22" s="106" t="e">
        <f>#REF!/0.3</f>
        <v>#REF!</v>
      </c>
      <c r="BC22" s="106" t="e">
        <f>#REF!/0.3</f>
        <v>#REF!</v>
      </c>
      <c r="BD22" s="106" t="e">
        <f>#REF!/0.3</f>
        <v>#REF!</v>
      </c>
      <c r="BE22" s="106" t="e">
        <f>#REF!/0.3</f>
        <v>#REF!</v>
      </c>
      <c r="BF22" s="101" t="e">
        <f t="shared" si="8"/>
        <v>#REF!</v>
      </c>
      <c r="BG22" s="101" t="e">
        <f t="shared" si="9"/>
        <v>#REF!</v>
      </c>
      <c r="BH22" s="227" t="e">
        <f t="shared" si="10"/>
        <v>#REF!</v>
      </c>
      <c r="BI22" s="227" t="e">
        <f t="shared" si="11"/>
        <v>#REF!</v>
      </c>
      <c r="BJ22" s="227" t="e">
        <f t="shared" si="12"/>
        <v>#REF!</v>
      </c>
      <c r="BK22" s="227" t="e">
        <f t="shared" si="13"/>
        <v>#REF!</v>
      </c>
    </row>
    <row r="23" spans="1:63">
      <c r="A23" s="248"/>
      <c r="B23" s="292" t="s">
        <v>841</v>
      </c>
      <c r="C23" s="106" t="s">
        <v>610</v>
      </c>
      <c r="D23" s="106">
        <v>17</v>
      </c>
      <c r="E23" s="248" t="s">
        <v>86</v>
      </c>
      <c r="F23" s="106"/>
      <c r="G23" s="104"/>
      <c r="H23" s="106"/>
      <c r="I23" s="107"/>
      <c r="J23" s="106"/>
      <c r="K23" s="104"/>
      <c r="L23" s="106"/>
      <c r="M23" s="106"/>
      <c r="N23" s="107"/>
      <c r="O23" s="482"/>
      <c r="R23" s="100"/>
      <c r="S23" s="101"/>
      <c r="T23" s="29"/>
      <c r="AC23" s="106" t="e">
        <f>#REF!</f>
        <v>#REF!</v>
      </c>
      <c r="AD23" s="97" t="e">
        <f t="shared" si="2"/>
        <v>#REF!</v>
      </c>
      <c r="AE23" s="106"/>
      <c r="AF23" s="106"/>
      <c r="AG23" s="106" t="e">
        <f>#REF!</f>
        <v>#REF!</v>
      </c>
      <c r="AH23" s="98" t="e">
        <f t="shared" si="3"/>
        <v>#REF!</v>
      </c>
      <c r="AI23" s="104"/>
      <c r="AJ23" s="106"/>
      <c r="AK23" s="106" t="e">
        <f>#REF!</f>
        <v>#REF!</v>
      </c>
      <c r="AL23" s="98" t="e">
        <f t="shared" si="4"/>
        <v>#REF!</v>
      </c>
      <c r="AM23" s="106"/>
      <c r="AN23" s="106"/>
      <c r="AO23" s="106" t="e">
        <f>#REF!</f>
        <v>#REF!</v>
      </c>
      <c r="AP23" s="98" t="e">
        <f t="shared" si="5"/>
        <v>#REF!</v>
      </c>
      <c r="AQ23" s="106"/>
      <c r="AR23" s="106"/>
      <c r="AS23" s="106" t="e">
        <f>#REF!</f>
        <v>#REF!</v>
      </c>
      <c r="AT23" s="98" t="e">
        <f t="shared" si="6"/>
        <v>#REF!</v>
      </c>
      <c r="AU23" s="106"/>
      <c r="AV23" s="106"/>
      <c r="AW23" s="106" t="e">
        <f>#REF!</f>
        <v>#REF!</v>
      </c>
      <c r="AX23" s="98" t="e">
        <f t="shared" si="7"/>
        <v>#REF!</v>
      </c>
      <c r="AY23" s="106"/>
      <c r="AZ23" s="106"/>
      <c r="BB23" s="106" t="e">
        <f>#REF!</f>
        <v>#REF!</v>
      </c>
      <c r="BC23" s="106" t="e">
        <f>#REF!</f>
        <v>#REF!</v>
      </c>
      <c r="BD23" s="106" t="e">
        <f>#REF!</f>
        <v>#REF!</v>
      </c>
      <c r="BE23" s="106" t="e">
        <f>#REF!</f>
        <v>#REF!</v>
      </c>
      <c r="BF23" s="101" t="e">
        <f t="shared" si="8"/>
        <v>#REF!</v>
      </c>
      <c r="BG23" s="101" t="e">
        <f t="shared" si="9"/>
        <v>#REF!</v>
      </c>
      <c r="BH23" s="227" t="e">
        <f t="shared" si="10"/>
        <v>#REF!</v>
      </c>
      <c r="BI23" s="227" t="e">
        <f t="shared" si="11"/>
        <v>#REF!</v>
      </c>
      <c r="BJ23" s="227" t="e">
        <f t="shared" si="12"/>
        <v>#REF!</v>
      </c>
      <c r="BK23" s="227" t="e">
        <f t="shared" si="13"/>
        <v>#REF!</v>
      </c>
    </row>
    <row r="24" spans="1:63">
      <c r="A24" s="248"/>
      <c r="B24" s="292" t="s">
        <v>888</v>
      </c>
      <c r="C24" s="106" t="s">
        <v>610</v>
      </c>
      <c r="D24" s="106">
        <v>20</v>
      </c>
      <c r="E24" s="248" t="s">
        <v>86</v>
      </c>
      <c r="F24" s="106"/>
      <c r="G24" s="104"/>
      <c r="H24" s="106"/>
      <c r="I24" s="107"/>
      <c r="J24" s="106"/>
      <c r="K24" s="238"/>
      <c r="L24" s="106"/>
      <c r="M24" s="106"/>
      <c r="N24" s="107"/>
      <c r="O24" s="482"/>
      <c r="R24" s="100"/>
      <c r="S24" s="101"/>
      <c r="T24" s="29"/>
      <c r="AC24" s="106"/>
      <c r="AD24" s="236"/>
      <c r="AE24" s="106"/>
      <c r="AF24" s="106"/>
      <c r="AG24" s="106"/>
      <c r="AH24" s="237"/>
      <c r="AI24" s="104"/>
      <c r="AJ24" s="106"/>
      <c r="AK24" s="106"/>
      <c r="AL24" s="237"/>
      <c r="AM24" s="106"/>
      <c r="AN24" s="106"/>
      <c r="AO24" s="106"/>
      <c r="AP24" s="237"/>
      <c r="AQ24" s="106"/>
      <c r="AR24" s="106"/>
      <c r="AS24" s="106"/>
      <c r="AT24" s="237"/>
      <c r="AU24" s="106"/>
      <c r="AV24" s="106"/>
      <c r="AW24" s="106"/>
      <c r="AX24" s="237"/>
      <c r="AY24" s="106"/>
      <c r="AZ24" s="106"/>
      <c r="BB24" s="106" t="e">
        <f>#REF!</f>
        <v>#REF!</v>
      </c>
      <c r="BC24" s="106" t="e">
        <f>#REF!</f>
        <v>#REF!</v>
      </c>
      <c r="BD24" s="106" t="e">
        <f>#REF!</f>
        <v>#REF!</v>
      </c>
      <c r="BE24" s="106" t="e">
        <f>#REF!</f>
        <v>#REF!</v>
      </c>
      <c r="BF24" s="101" t="e">
        <f t="shared" ref="BF24" si="14">SUM(BB24:BE24)</f>
        <v>#REF!</v>
      </c>
      <c r="BG24" s="101" t="e">
        <f t="shared" ref="BG24" si="15">J24-BF24</f>
        <v>#REF!</v>
      </c>
      <c r="BH24" s="227" t="e">
        <f t="shared" ref="BH24" si="16">BB24/$D24</f>
        <v>#REF!</v>
      </c>
      <c r="BI24" s="227" t="e">
        <f t="shared" ref="BI24" si="17">BC24/$D24</f>
        <v>#REF!</v>
      </c>
      <c r="BJ24" s="227" t="e">
        <f t="shared" ref="BJ24" si="18">BD24/$D24</f>
        <v>#REF!</v>
      </c>
      <c r="BK24" s="227" t="e">
        <f t="shared" ref="BK24" si="19">BE24/$D24</f>
        <v>#REF!</v>
      </c>
    </row>
    <row r="25" spans="1:63">
      <c r="A25" s="248"/>
      <c r="B25" s="292" t="s">
        <v>842</v>
      </c>
      <c r="C25" s="106" t="s">
        <v>177</v>
      </c>
      <c r="D25" s="106">
        <v>1</v>
      </c>
      <c r="E25" s="248" t="s">
        <v>177</v>
      </c>
      <c r="F25" s="106"/>
      <c r="G25" s="104"/>
      <c r="H25" s="106"/>
      <c r="I25" s="107"/>
      <c r="J25" s="106"/>
      <c r="K25" s="104"/>
      <c r="L25" s="106"/>
      <c r="M25" s="106"/>
      <c r="N25" s="107"/>
      <c r="O25" s="482"/>
      <c r="R25" s="100"/>
      <c r="S25" s="101"/>
      <c r="T25" s="29"/>
      <c r="AC25" s="106" t="e">
        <f>#REF!</f>
        <v>#REF!</v>
      </c>
      <c r="AD25" s="97" t="e">
        <f t="shared" si="2"/>
        <v>#REF!</v>
      </c>
      <c r="AE25" s="106"/>
      <c r="AF25" s="106"/>
      <c r="AG25" s="106" t="e">
        <f>#REF!</f>
        <v>#REF!</v>
      </c>
      <c r="AH25" s="98" t="e">
        <f t="shared" si="3"/>
        <v>#REF!</v>
      </c>
      <c r="AI25" s="104"/>
      <c r="AJ25" s="106"/>
      <c r="AK25" s="106" t="e">
        <f>#REF!</f>
        <v>#REF!</v>
      </c>
      <c r="AL25" s="98" t="e">
        <f t="shared" si="4"/>
        <v>#REF!</v>
      </c>
      <c r="AM25" s="106"/>
      <c r="AN25" s="106"/>
      <c r="AO25" s="106" t="e">
        <f>#REF!</f>
        <v>#REF!</v>
      </c>
      <c r="AP25" s="98" t="e">
        <f t="shared" si="5"/>
        <v>#REF!</v>
      </c>
      <c r="AQ25" s="106"/>
      <c r="AR25" s="106"/>
      <c r="AS25" s="106" t="e">
        <f>#REF!</f>
        <v>#REF!</v>
      </c>
      <c r="AT25" s="98" t="e">
        <f t="shared" si="6"/>
        <v>#REF!</v>
      </c>
      <c r="AU25" s="106"/>
      <c r="AV25" s="106"/>
      <c r="AW25" s="106" t="e">
        <f>#REF!</f>
        <v>#REF!</v>
      </c>
      <c r="AX25" s="98" t="e">
        <f t="shared" si="7"/>
        <v>#REF!</v>
      </c>
      <c r="AY25" s="106"/>
      <c r="AZ25" s="106"/>
      <c r="BB25" s="106" t="e">
        <f>#REF!</f>
        <v>#REF!</v>
      </c>
      <c r="BC25" s="106" t="e">
        <f>#REF!</f>
        <v>#REF!</v>
      </c>
      <c r="BD25" s="106" t="e">
        <f>#REF!</f>
        <v>#REF!</v>
      </c>
      <c r="BE25" s="106" t="e">
        <f>#REF!</f>
        <v>#REF!</v>
      </c>
      <c r="BF25" s="101" t="e">
        <f t="shared" si="8"/>
        <v>#REF!</v>
      </c>
      <c r="BG25" s="101" t="e">
        <f t="shared" si="9"/>
        <v>#REF!</v>
      </c>
      <c r="BH25" s="227" t="e">
        <f t="shared" si="10"/>
        <v>#REF!</v>
      </c>
      <c r="BI25" s="227" t="e">
        <f t="shared" si="11"/>
        <v>#REF!</v>
      </c>
      <c r="BJ25" s="227" t="e">
        <f t="shared" si="12"/>
        <v>#REF!</v>
      </c>
      <c r="BK25" s="227" t="e">
        <f t="shared" si="13"/>
        <v>#REF!</v>
      </c>
    </row>
    <row r="26" spans="1:63">
      <c r="A26" s="248"/>
      <c r="B26" s="292" t="s">
        <v>772</v>
      </c>
      <c r="C26" s="248"/>
      <c r="D26" s="106">
        <v>400</v>
      </c>
      <c r="E26" s="248" t="s">
        <v>671</v>
      </c>
      <c r="F26" s="106"/>
      <c r="G26" s="104"/>
      <c r="H26" s="106"/>
      <c r="I26" s="107"/>
      <c r="J26" s="106"/>
      <c r="K26" s="104"/>
      <c r="L26" s="106"/>
      <c r="M26" s="106"/>
      <c r="N26" s="107"/>
      <c r="O26" s="482"/>
      <c r="R26" s="100">
        <v>400</v>
      </c>
      <c r="S26" s="101">
        <f t="shared" si="1"/>
        <v>0</v>
      </c>
      <c r="T26" s="29"/>
      <c r="AC26" s="106" t="e">
        <f>(AC9+AC11+AC12+AC13)*10</f>
        <v>#REF!</v>
      </c>
      <c r="AD26" s="97" t="e">
        <f t="shared" si="2"/>
        <v>#REF!</v>
      </c>
      <c r="AE26" s="106"/>
      <c r="AF26" s="106"/>
      <c r="AG26" s="106" t="e">
        <f>(AG9+AG11+AG12+AG13)*10</f>
        <v>#REF!</v>
      </c>
      <c r="AH26" s="98" t="e">
        <f t="shared" si="3"/>
        <v>#REF!</v>
      </c>
      <c r="AI26" s="104"/>
      <c r="AJ26" s="106"/>
      <c r="AK26" s="106" t="e">
        <f>(AK9+AK11+AK12+AK13)*10</f>
        <v>#REF!</v>
      </c>
      <c r="AL26" s="98" t="e">
        <f t="shared" si="4"/>
        <v>#REF!</v>
      </c>
      <c r="AM26" s="106"/>
      <c r="AN26" s="106"/>
      <c r="AO26" s="106" t="e">
        <f>(AO9+AO11+AO12+AO13)*10</f>
        <v>#REF!</v>
      </c>
      <c r="AP26" s="98" t="e">
        <f t="shared" si="5"/>
        <v>#REF!</v>
      </c>
      <c r="AQ26" s="106"/>
      <c r="AR26" s="106"/>
      <c r="AS26" s="106" t="e">
        <f>(AS9+AS11+AS12+AS13)*10</f>
        <v>#REF!</v>
      </c>
      <c r="AT26" s="98" t="e">
        <f t="shared" si="6"/>
        <v>#REF!</v>
      </c>
      <c r="AU26" s="106"/>
      <c r="AV26" s="106"/>
      <c r="AW26" s="106" t="e">
        <f>(AW9+AW11+AW12+AW13)*10</f>
        <v>#REF!</v>
      </c>
      <c r="AX26" s="98" t="e">
        <f t="shared" si="7"/>
        <v>#REF!</v>
      </c>
      <c r="AY26" s="106"/>
      <c r="AZ26" s="106"/>
      <c r="BB26" s="106" t="e">
        <f>(BB9+BB11+BB12+BB13)*10</f>
        <v>#REF!</v>
      </c>
      <c r="BC26" s="106" t="e">
        <f>(BC9+BC11+BC12+BC13)*10</f>
        <v>#REF!</v>
      </c>
      <c r="BD26" s="106" t="e">
        <f>(BD9+BD11+BD12+BD13)*10</f>
        <v>#REF!</v>
      </c>
      <c r="BE26" s="106" t="e">
        <f>(BE9+BE11+BE12+BE13)*10</f>
        <v>#REF!</v>
      </c>
      <c r="BF26" s="101" t="e">
        <f t="shared" si="8"/>
        <v>#REF!</v>
      </c>
      <c r="BG26" s="101" t="e">
        <f t="shared" si="9"/>
        <v>#REF!</v>
      </c>
      <c r="BH26" s="227" t="e">
        <f t="shared" si="10"/>
        <v>#REF!</v>
      </c>
      <c r="BI26" s="227" t="e">
        <f t="shared" si="11"/>
        <v>#REF!</v>
      </c>
      <c r="BJ26" s="227" t="e">
        <f t="shared" si="12"/>
        <v>#REF!</v>
      </c>
      <c r="BK26" s="227" t="e">
        <f t="shared" si="13"/>
        <v>#REF!</v>
      </c>
    </row>
    <row r="27" spans="1:63" s="241" customFormat="1">
      <c r="A27" s="248"/>
      <c r="B27" s="292" t="s">
        <v>648</v>
      </c>
      <c r="C27" s="248"/>
      <c r="D27" s="106"/>
      <c r="E27" s="248" t="s">
        <v>671</v>
      </c>
      <c r="F27" s="106"/>
      <c r="G27" s="106"/>
      <c r="H27" s="106"/>
      <c r="I27" s="106"/>
      <c r="J27" s="106"/>
      <c r="K27" s="106"/>
      <c r="L27" s="106"/>
      <c r="M27" s="106"/>
      <c r="N27" s="106"/>
      <c r="O27" s="482"/>
      <c r="R27" s="242"/>
      <c r="S27" s="243">
        <f>K27</f>
        <v>0</v>
      </c>
      <c r="T27" s="244"/>
      <c r="AC27" s="240"/>
      <c r="AD27" s="245"/>
      <c r="AE27" s="240"/>
      <c r="AF27" s="240"/>
      <c r="AG27" s="240"/>
      <c r="AH27" s="245"/>
      <c r="AI27" s="240"/>
      <c r="AJ27" s="240"/>
      <c r="AK27" s="240"/>
      <c r="AL27" s="245"/>
      <c r="AM27" s="240"/>
      <c r="AN27" s="240"/>
      <c r="AO27" s="240"/>
      <c r="AP27" s="245"/>
      <c r="AQ27" s="240"/>
      <c r="AR27" s="240"/>
      <c r="AS27" s="240"/>
      <c r="AT27" s="245"/>
      <c r="AU27" s="240"/>
      <c r="AV27" s="240"/>
      <c r="AW27" s="240"/>
      <c r="AX27" s="245"/>
      <c r="AY27" s="240"/>
      <c r="AZ27" s="240"/>
      <c r="BB27" s="240"/>
      <c r="BC27" s="240"/>
      <c r="BD27" s="240"/>
      <c r="BE27" s="240"/>
      <c r="BF27" s="243">
        <f t="shared" si="8"/>
        <v>0</v>
      </c>
      <c r="BG27" s="243">
        <f t="shared" si="9"/>
        <v>0</v>
      </c>
      <c r="BH27" s="246">
        <f>$G$27*6</f>
        <v>0</v>
      </c>
      <c r="BI27" s="246">
        <f>BH27</f>
        <v>0</v>
      </c>
      <c r="BJ27" s="246"/>
      <c r="BK27" s="246"/>
    </row>
    <row r="28" spans="1:63">
      <c r="A28" s="87">
        <v>2</v>
      </c>
      <c r="B28" s="287" t="s">
        <v>649</v>
      </c>
      <c r="C28" s="87"/>
      <c r="D28" s="92"/>
      <c r="E28" s="87"/>
      <c r="F28" s="92"/>
      <c r="G28" s="92">
        <f>SUM(G29:G46)</f>
        <v>0</v>
      </c>
      <c r="H28" s="92"/>
      <c r="I28" s="91">
        <f>IFERROR(G28/H28,0)</f>
        <v>0</v>
      </c>
      <c r="J28" s="92"/>
      <c r="K28" s="92">
        <f>SUM(K29:K46)</f>
        <v>0</v>
      </c>
      <c r="L28" s="92"/>
      <c r="M28" s="92"/>
      <c r="N28" s="91">
        <f>IFERROR(L28/M28,0)</f>
        <v>0</v>
      </c>
      <c r="O28" s="483"/>
      <c r="P28" s="101">
        <f>L28/26</f>
        <v>0</v>
      </c>
      <c r="R28" s="93"/>
      <c r="S28" s="94">
        <f>SUM(S29:S46)</f>
        <v>0</v>
      </c>
      <c r="T28" s="95" t="e">
        <f>S28/L28</f>
        <v>#DIV/0!</v>
      </c>
      <c r="AC28" s="90"/>
      <c r="AD28" s="92" t="e">
        <f>SUM(AD29:AD46)</f>
        <v>#REF!</v>
      </c>
      <c r="AE28" s="215">
        <f>VLOOKUP($B28,'[5]Eqpmnt &amp; MP Days'!$B$14:$H$17,2,0)</f>
        <v>11</v>
      </c>
      <c r="AF28" s="91" t="str">
        <f>IFERROR(AD28/AE28,"")</f>
        <v/>
      </c>
      <c r="AG28" s="92"/>
      <c r="AH28" s="92" t="e">
        <f>SUM(AH29:AH46)</f>
        <v>#REF!</v>
      </c>
      <c r="AI28" s="92">
        <f>VLOOKUP($B28,'[5]Eqpmnt &amp; MP Days'!$B$14:$H$17,3,0)</f>
        <v>308</v>
      </c>
      <c r="AJ28" s="91" t="str">
        <f>IFERROR(AH28/AI28,"")</f>
        <v/>
      </c>
      <c r="AK28" s="90"/>
      <c r="AL28" s="92" t="e">
        <f>SUM(AL29:AL46)</f>
        <v>#REF!</v>
      </c>
      <c r="AM28" s="92">
        <f>VLOOKUP($B28,'[5]Eqpmnt &amp; MP Days'!$B$14:$H$17,4,0)</f>
        <v>4</v>
      </c>
      <c r="AN28" s="91" t="str">
        <f>IFERROR(AL28/AM28,"")</f>
        <v/>
      </c>
      <c r="AO28" s="92"/>
      <c r="AP28" s="92" t="e">
        <f>SUM(AP29:AP46)</f>
        <v>#REF!</v>
      </c>
      <c r="AQ28" s="92">
        <f>VLOOKUP($B28,'[5]Eqpmnt &amp; MP Days'!$B$14:$H$17,5,0)</f>
        <v>112</v>
      </c>
      <c r="AR28" s="91" t="str">
        <f>IFERROR(AP28/AQ28,"")</f>
        <v/>
      </c>
      <c r="AS28" s="90"/>
      <c r="AT28" s="92" t="e">
        <f>SUM(AT29:AT46)</f>
        <v>#REF!</v>
      </c>
      <c r="AU28" s="92">
        <f>VLOOKUP($B28,'[5]Eqpmnt &amp; MP Days'!$B$14:$H$17,6,0)</f>
        <v>132</v>
      </c>
      <c r="AV28" s="91" t="str">
        <f>IFERROR(AT28/AU28,"")</f>
        <v/>
      </c>
      <c r="AW28" s="92"/>
      <c r="AX28" s="92" t="e">
        <f>SUM(AX29:AX46)</f>
        <v>#REF!</v>
      </c>
      <c r="AY28" s="92">
        <f>VLOOKUP($B28,'[5]Eqpmnt &amp; MP Days'!$B$14:$H$17,7,0)</f>
        <v>3501</v>
      </c>
      <c r="AZ28" s="91" t="str">
        <f>IFERROR(AX28/AY28,"")</f>
        <v/>
      </c>
      <c r="BB28" s="92"/>
      <c r="BC28" s="92"/>
      <c r="BD28" s="92"/>
      <c r="BE28" s="92"/>
      <c r="BF28" s="101">
        <f t="shared" si="8"/>
        <v>0</v>
      </c>
      <c r="BG28" s="101">
        <f t="shared" si="9"/>
        <v>0</v>
      </c>
      <c r="BH28" s="227"/>
      <c r="BI28" s="227"/>
      <c r="BJ28" s="227"/>
      <c r="BK28" s="227"/>
    </row>
    <row r="29" spans="1:63">
      <c r="A29" s="96"/>
      <c r="B29" s="288" t="s">
        <v>640</v>
      </c>
      <c r="C29" s="96" t="s">
        <v>604</v>
      </c>
      <c r="D29" s="98">
        <v>6</v>
      </c>
      <c r="E29" s="96" t="s">
        <v>35</v>
      </c>
      <c r="F29" s="98"/>
      <c r="G29" s="98"/>
      <c r="H29" s="98"/>
      <c r="I29" s="99"/>
      <c r="J29" s="98"/>
      <c r="K29" s="98"/>
      <c r="L29" s="98"/>
      <c r="M29" s="98" t="e">
        <f>J29/L29</f>
        <v>#DIV/0!</v>
      </c>
      <c r="N29" s="99"/>
      <c r="O29" s="484"/>
      <c r="R29" s="100">
        <v>6</v>
      </c>
      <c r="S29" s="101">
        <f>J29/R29</f>
        <v>0</v>
      </c>
      <c r="T29" s="29"/>
      <c r="AC29" s="98" t="e">
        <f>AC8</f>
        <v>#REF!</v>
      </c>
      <c r="AD29" s="97" t="e">
        <f t="shared" ref="AD29:AD45" si="20">AC29/D29</f>
        <v>#REF!</v>
      </c>
      <c r="AE29" s="98"/>
      <c r="AF29" s="98"/>
      <c r="AG29" s="98" t="e">
        <f>AG8</f>
        <v>#REF!</v>
      </c>
      <c r="AH29" s="98" t="e">
        <f t="shared" ref="AH29:AH45" si="21">AG29/D29</f>
        <v>#REF!</v>
      </c>
      <c r="AI29" s="98"/>
      <c r="AJ29" s="98"/>
      <c r="AK29" s="98" t="e">
        <f>AK8</f>
        <v>#REF!</v>
      </c>
      <c r="AL29" s="98" t="e">
        <f t="shared" ref="AL29:AL61" si="22">AK29/$D29</f>
        <v>#REF!</v>
      </c>
      <c r="AM29" s="98"/>
      <c r="AN29" s="98"/>
      <c r="AO29" s="98" t="e">
        <f>AO8</f>
        <v>#REF!</v>
      </c>
      <c r="AP29" s="98" t="e">
        <f t="shared" ref="AP29:AP45" si="23">AO29/D29</f>
        <v>#REF!</v>
      </c>
      <c r="AQ29" s="98"/>
      <c r="AR29" s="98"/>
      <c r="AS29" s="98" t="e">
        <f>AS8</f>
        <v>#REF!</v>
      </c>
      <c r="AT29" s="98" t="e">
        <f t="shared" ref="AT29:AT45" si="24">AS29/$D29</f>
        <v>#REF!</v>
      </c>
      <c r="AU29" s="98"/>
      <c r="AV29" s="98"/>
      <c r="AW29" s="98" t="e">
        <f>AW8</f>
        <v>#REF!</v>
      </c>
      <c r="AX29" s="98" t="e">
        <f t="shared" ref="AX29:AX45" si="25">AW29/$D29</f>
        <v>#REF!</v>
      </c>
      <c r="AY29" s="98"/>
      <c r="AZ29" s="98"/>
      <c r="BB29" s="98" t="e">
        <f>BB8</f>
        <v>#REF!</v>
      </c>
      <c r="BC29" s="98" t="e">
        <f>BC8</f>
        <v>#REF!</v>
      </c>
      <c r="BD29" s="98" t="e">
        <f>BD8</f>
        <v>#REF!</v>
      </c>
      <c r="BE29" s="98" t="e">
        <f>BE8</f>
        <v>#REF!</v>
      </c>
      <c r="BF29" s="101" t="e">
        <f t="shared" si="8"/>
        <v>#REF!</v>
      </c>
      <c r="BG29" s="101" t="e">
        <f t="shared" si="9"/>
        <v>#REF!</v>
      </c>
      <c r="BH29" s="227" t="e">
        <f t="shared" ref="BH29:BH45" si="26">BB29/$D29</f>
        <v>#REF!</v>
      </c>
      <c r="BI29" s="227" t="e">
        <f t="shared" ref="BI29:BI45" si="27">BC29/$D29</f>
        <v>#REF!</v>
      </c>
      <c r="BJ29" s="227" t="e">
        <f t="shared" ref="BJ29:BJ45" si="28">BD29/$D29</f>
        <v>#REF!</v>
      </c>
      <c r="BK29" s="227" t="e">
        <f t="shared" ref="BK29:BK45" si="29">BE29/$D29</f>
        <v>#REF!</v>
      </c>
    </row>
    <row r="30" spans="1:63">
      <c r="A30" s="102"/>
      <c r="B30" s="289" t="s">
        <v>641</v>
      </c>
      <c r="C30" s="102" t="s">
        <v>650</v>
      </c>
      <c r="D30" s="104">
        <v>3.5</v>
      </c>
      <c r="E30" s="102" t="s">
        <v>86</v>
      </c>
      <c r="F30" s="104"/>
      <c r="G30" s="104"/>
      <c r="H30" s="104"/>
      <c r="I30" s="105"/>
      <c r="J30" s="104"/>
      <c r="K30" s="104"/>
      <c r="L30" s="104"/>
      <c r="M30" s="104" t="e">
        <f>J30/L30</f>
        <v>#DIV/0!</v>
      </c>
      <c r="N30" s="105"/>
      <c r="O30" s="484"/>
      <c r="P30" s="101"/>
      <c r="R30" s="127">
        <v>3.5</v>
      </c>
      <c r="S30" s="101">
        <f t="shared" ref="S30:S45" si="30">J30/R30</f>
        <v>0</v>
      </c>
      <c r="T30" s="29"/>
      <c r="AC30" s="104" t="e">
        <f>AC9*3.5</f>
        <v>#REF!</v>
      </c>
      <c r="AD30" s="97" t="e">
        <f t="shared" si="20"/>
        <v>#REF!</v>
      </c>
      <c r="AE30" s="104"/>
      <c r="AF30" s="104"/>
      <c r="AG30" s="104" t="e">
        <f>AG9*3.5</f>
        <v>#REF!</v>
      </c>
      <c r="AH30" s="98" t="e">
        <f t="shared" si="21"/>
        <v>#REF!</v>
      </c>
      <c r="AI30" s="104"/>
      <c r="AJ30" s="104"/>
      <c r="AK30" s="104" t="e">
        <f>AK9*3.5</f>
        <v>#REF!</v>
      </c>
      <c r="AL30" s="98" t="e">
        <f t="shared" si="22"/>
        <v>#REF!</v>
      </c>
      <c r="AM30" s="104"/>
      <c r="AN30" s="104"/>
      <c r="AO30" s="104" t="e">
        <f>AO9*3.5</f>
        <v>#REF!</v>
      </c>
      <c r="AP30" s="98" t="e">
        <f t="shared" si="23"/>
        <v>#REF!</v>
      </c>
      <c r="AQ30" s="104"/>
      <c r="AR30" s="104"/>
      <c r="AS30" s="104" t="e">
        <f>AS9*3.5</f>
        <v>#REF!</v>
      </c>
      <c r="AT30" s="98" t="e">
        <f t="shared" si="24"/>
        <v>#REF!</v>
      </c>
      <c r="AU30" s="104"/>
      <c r="AV30" s="104"/>
      <c r="AW30" s="104" t="e">
        <f>AW9*3.5</f>
        <v>#REF!</v>
      </c>
      <c r="AX30" s="98" t="e">
        <f t="shared" si="25"/>
        <v>#REF!</v>
      </c>
      <c r="AY30" s="104"/>
      <c r="AZ30" s="104"/>
      <c r="BB30" s="104" t="e">
        <f>BB9*3.5</f>
        <v>#REF!</v>
      </c>
      <c r="BC30" s="104" t="e">
        <f>BC9*3.5</f>
        <v>#REF!</v>
      </c>
      <c r="BD30" s="104" t="e">
        <f>BD9*3.5</f>
        <v>#REF!</v>
      </c>
      <c r="BE30" s="104" t="e">
        <f>BE9*3.5</f>
        <v>#REF!</v>
      </c>
      <c r="BF30" s="101" t="e">
        <f t="shared" si="8"/>
        <v>#REF!</v>
      </c>
      <c r="BG30" s="101" t="e">
        <f t="shared" si="9"/>
        <v>#REF!</v>
      </c>
      <c r="BH30" s="227" t="e">
        <f t="shared" si="26"/>
        <v>#REF!</v>
      </c>
      <c r="BI30" s="227" t="e">
        <f t="shared" si="27"/>
        <v>#REF!</v>
      </c>
      <c r="BJ30" s="227" t="e">
        <f t="shared" si="28"/>
        <v>#REF!</v>
      </c>
      <c r="BK30" s="227" t="e">
        <f t="shared" si="29"/>
        <v>#REF!</v>
      </c>
    </row>
    <row r="31" spans="1:63">
      <c r="A31" s="102"/>
      <c r="B31" s="289" t="s">
        <v>642</v>
      </c>
      <c r="C31" s="102" t="s">
        <v>650</v>
      </c>
      <c r="D31" s="104">
        <v>4</v>
      </c>
      <c r="E31" s="102" t="s">
        <v>86</v>
      </c>
      <c r="F31" s="104"/>
      <c r="G31" s="104"/>
      <c r="H31" s="104"/>
      <c r="I31" s="105"/>
      <c r="J31" s="104"/>
      <c r="K31" s="104"/>
      <c r="L31" s="104"/>
      <c r="M31" s="104"/>
      <c r="N31" s="105"/>
      <c r="O31" s="484"/>
      <c r="P31" s="101"/>
      <c r="R31" s="100">
        <v>4</v>
      </c>
      <c r="S31" s="101">
        <f t="shared" si="30"/>
        <v>0</v>
      </c>
      <c r="T31" s="29"/>
      <c r="AC31" s="104" t="e">
        <f>AC11*3.5</f>
        <v>#REF!</v>
      </c>
      <c r="AD31" s="97" t="e">
        <f t="shared" si="20"/>
        <v>#REF!</v>
      </c>
      <c r="AE31" s="104"/>
      <c r="AF31" s="104"/>
      <c r="AG31" s="104" t="e">
        <f>AG11*3.5</f>
        <v>#REF!</v>
      </c>
      <c r="AH31" s="98" t="e">
        <f t="shared" si="21"/>
        <v>#REF!</v>
      </c>
      <c r="AI31" s="104"/>
      <c r="AJ31" s="104"/>
      <c r="AK31" s="104" t="e">
        <f>AK11*3.5</f>
        <v>#REF!</v>
      </c>
      <c r="AL31" s="98" t="e">
        <f t="shared" si="22"/>
        <v>#REF!</v>
      </c>
      <c r="AM31" s="104"/>
      <c r="AN31" s="104"/>
      <c r="AO31" s="104" t="e">
        <f>AO11*3.5</f>
        <v>#REF!</v>
      </c>
      <c r="AP31" s="98" t="e">
        <f t="shared" si="23"/>
        <v>#REF!</v>
      </c>
      <c r="AQ31" s="104"/>
      <c r="AR31" s="104"/>
      <c r="AS31" s="104" t="e">
        <f>AS11*3.5</f>
        <v>#REF!</v>
      </c>
      <c r="AT31" s="98" t="e">
        <f t="shared" si="24"/>
        <v>#REF!</v>
      </c>
      <c r="AU31" s="104"/>
      <c r="AV31" s="104"/>
      <c r="AW31" s="104" t="e">
        <f>AW11*3.5</f>
        <v>#REF!</v>
      </c>
      <c r="AX31" s="98" t="e">
        <f t="shared" si="25"/>
        <v>#REF!</v>
      </c>
      <c r="AY31" s="104"/>
      <c r="AZ31" s="104"/>
      <c r="BB31" s="104" t="e">
        <f>BB11*3.5</f>
        <v>#REF!</v>
      </c>
      <c r="BC31" s="104" t="e">
        <f>BC11*3.5</f>
        <v>#REF!</v>
      </c>
      <c r="BD31" s="104" t="e">
        <f>BD11*3.5</f>
        <v>#REF!</v>
      </c>
      <c r="BE31" s="104" t="e">
        <f>BE11*3.5</f>
        <v>#REF!</v>
      </c>
      <c r="BF31" s="101" t="e">
        <f t="shared" si="8"/>
        <v>#REF!</v>
      </c>
      <c r="BG31" s="101" t="e">
        <f t="shared" si="9"/>
        <v>#REF!</v>
      </c>
      <c r="BH31" s="227" t="e">
        <f t="shared" si="26"/>
        <v>#REF!</v>
      </c>
      <c r="BI31" s="227" t="e">
        <f t="shared" si="27"/>
        <v>#REF!</v>
      </c>
      <c r="BJ31" s="227" t="e">
        <f t="shared" si="28"/>
        <v>#REF!</v>
      </c>
      <c r="BK31" s="227" t="e">
        <f t="shared" si="29"/>
        <v>#REF!</v>
      </c>
    </row>
    <row r="32" spans="1:63">
      <c r="A32" s="102"/>
      <c r="B32" s="289" t="s">
        <v>651</v>
      </c>
      <c r="C32" s="102" t="s">
        <v>650</v>
      </c>
      <c r="D32" s="104">
        <v>4</v>
      </c>
      <c r="E32" s="102" t="s">
        <v>611</v>
      </c>
      <c r="F32" s="104"/>
      <c r="G32" s="104"/>
      <c r="H32" s="104"/>
      <c r="I32" s="105"/>
      <c r="J32" s="104"/>
      <c r="K32" s="104"/>
      <c r="L32" s="104"/>
      <c r="M32" s="104" t="e">
        <f>J32/L32</f>
        <v>#DIV/0!</v>
      </c>
      <c r="N32" s="105"/>
      <c r="O32" s="484"/>
      <c r="R32" s="100">
        <v>4</v>
      </c>
      <c r="S32" s="101">
        <f t="shared" si="30"/>
        <v>0</v>
      </c>
      <c r="T32" s="29"/>
      <c r="AC32" s="104" t="e">
        <f>AC12*4</f>
        <v>#REF!</v>
      </c>
      <c r="AD32" s="97" t="e">
        <f t="shared" si="20"/>
        <v>#REF!</v>
      </c>
      <c r="AE32" s="104"/>
      <c r="AF32" s="104"/>
      <c r="AG32" s="104" t="e">
        <f>AG12*4</f>
        <v>#REF!</v>
      </c>
      <c r="AH32" s="98" t="e">
        <f t="shared" si="21"/>
        <v>#REF!</v>
      </c>
      <c r="AI32" s="104"/>
      <c r="AJ32" s="104"/>
      <c r="AK32" s="104" t="e">
        <f>AK12*4</f>
        <v>#REF!</v>
      </c>
      <c r="AL32" s="98" t="e">
        <f t="shared" si="22"/>
        <v>#REF!</v>
      </c>
      <c r="AM32" s="104"/>
      <c r="AN32" s="104"/>
      <c r="AO32" s="104" t="e">
        <f>AO12*4</f>
        <v>#REF!</v>
      </c>
      <c r="AP32" s="98" t="e">
        <f t="shared" si="23"/>
        <v>#REF!</v>
      </c>
      <c r="AQ32" s="104"/>
      <c r="AR32" s="104"/>
      <c r="AS32" s="104" t="e">
        <f>AS12*4</f>
        <v>#REF!</v>
      </c>
      <c r="AT32" s="98" t="e">
        <f t="shared" si="24"/>
        <v>#REF!</v>
      </c>
      <c r="AU32" s="104"/>
      <c r="AV32" s="104"/>
      <c r="AW32" s="104" t="e">
        <f>AW12*4</f>
        <v>#REF!</v>
      </c>
      <c r="AX32" s="98" t="e">
        <f t="shared" si="25"/>
        <v>#REF!</v>
      </c>
      <c r="AY32" s="104"/>
      <c r="AZ32" s="104"/>
      <c r="BB32" s="104" t="e">
        <f>BB12*4</f>
        <v>#REF!</v>
      </c>
      <c r="BC32" s="104" t="e">
        <f>BC12*4</f>
        <v>#REF!</v>
      </c>
      <c r="BD32" s="104" t="e">
        <f>BD12*4</f>
        <v>#REF!</v>
      </c>
      <c r="BE32" s="104" t="e">
        <f>BE12*4</f>
        <v>#REF!</v>
      </c>
      <c r="BF32" s="101" t="e">
        <f t="shared" si="8"/>
        <v>#REF!</v>
      </c>
      <c r="BG32" s="101" t="e">
        <f t="shared" si="9"/>
        <v>#REF!</v>
      </c>
      <c r="BH32" s="227" t="e">
        <f t="shared" si="26"/>
        <v>#REF!</v>
      </c>
      <c r="BI32" s="227" t="e">
        <f t="shared" si="27"/>
        <v>#REF!</v>
      </c>
      <c r="BJ32" s="227" t="e">
        <f t="shared" si="28"/>
        <v>#REF!</v>
      </c>
      <c r="BK32" s="227" t="e">
        <f t="shared" si="29"/>
        <v>#REF!</v>
      </c>
    </row>
    <row r="33" spans="1:65">
      <c r="A33" s="102"/>
      <c r="B33" s="289" t="s">
        <v>807</v>
      </c>
      <c r="C33" s="102" t="s">
        <v>604</v>
      </c>
      <c r="D33" s="104">
        <v>20</v>
      </c>
      <c r="E33" s="102" t="s">
        <v>35</v>
      </c>
      <c r="F33" s="104"/>
      <c r="G33" s="104"/>
      <c r="H33" s="104"/>
      <c r="I33" s="105"/>
      <c r="J33" s="104"/>
      <c r="K33" s="104"/>
      <c r="L33" s="104"/>
      <c r="M33" s="104"/>
      <c r="N33" s="105"/>
      <c r="O33" s="484"/>
      <c r="R33" s="100">
        <v>20</v>
      </c>
      <c r="S33" s="101">
        <f t="shared" si="30"/>
        <v>0</v>
      </c>
      <c r="T33" s="29"/>
      <c r="AC33" s="104" t="e">
        <f>(AC9+AC12)*7*0.4</f>
        <v>#REF!</v>
      </c>
      <c r="AD33" s="97" t="e">
        <f t="shared" si="20"/>
        <v>#REF!</v>
      </c>
      <c r="AE33" s="104"/>
      <c r="AF33" s="104"/>
      <c r="AG33" s="104" t="e">
        <f>(AG9+AG12)*7*0.4</f>
        <v>#REF!</v>
      </c>
      <c r="AH33" s="98" t="e">
        <f t="shared" si="21"/>
        <v>#REF!</v>
      </c>
      <c r="AI33" s="104"/>
      <c r="AJ33" s="104"/>
      <c r="AK33" s="104" t="e">
        <f>(AK9+AK12)*7*0.4</f>
        <v>#REF!</v>
      </c>
      <c r="AL33" s="98" t="e">
        <f t="shared" si="22"/>
        <v>#REF!</v>
      </c>
      <c r="AM33" s="104"/>
      <c r="AN33" s="104"/>
      <c r="AO33" s="104" t="e">
        <f>(AO9+AO12)*7*0.4</f>
        <v>#REF!</v>
      </c>
      <c r="AP33" s="98" t="e">
        <f t="shared" si="23"/>
        <v>#REF!</v>
      </c>
      <c r="AQ33" s="104"/>
      <c r="AR33" s="104"/>
      <c r="AS33" s="104" t="e">
        <f>(AS9+AS12)*7*0.4</f>
        <v>#REF!</v>
      </c>
      <c r="AT33" s="98" t="e">
        <f t="shared" si="24"/>
        <v>#REF!</v>
      </c>
      <c r="AU33" s="104"/>
      <c r="AV33" s="104"/>
      <c r="AW33" s="104" t="e">
        <f>(AW9+AW12)*7*0.4</f>
        <v>#REF!</v>
      </c>
      <c r="AX33" s="98" t="e">
        <f t="shared" si="25"/>
        <v>#REF!</v>
      </c>
      <c r="AY33" s="104"/>
      <c r="AZ33" s="104"/>
      <c r="BB33" s="104" t="e">
        <f>(BB9+BB12)*7*0.3</f>
        <v>#REF!</v>
      </c>
      <c r="BC33" s="104" t="e">
        <f>(BC9+BC12)*7*0.3</f>
        <v>#REF!</v>
      </c>
      <c r="BD33" s="104" t="e">
        <f>(BD9+BD12)*7*0.3</f>
        <v>#REF!</v>
      </c>
      <c r="BE33" s="104" t="e">
        <f>(BE9+BE12)*7*0.3</f>
        <v>#REF!</v>
      </c>
      <c r="BF33" s="101" t="e">
        <f t="shared" si="8"/>
        <v>#REF!</v>
      </c>
      <c r="BG33" s="101" t="e">
        <f t="shared" si="9"/>
        <v>#REF!</v>
      </c>
      <c r="BH33" s="227" t="e">
        <f t="shared" si="26"/>
        <v>#REF!</v>
      </c>
      <c r="BI33" s="227" t="e">
        <f t="shared" si="27"/>
        <v>#REF!</v>
      </c>
      <c r="BJ33" s="227" t="e">
        <f t="shared" si="28"/>
        <v>#REF!</v>
      </c>
      <c r="BK33" s="227" t="e">
        <f t="shared" si="29"/>
        <v>#REF!</v>
      </c>
    </row>
    <row r="34" spans="1:65">
      <c r="A34" s="102"/>
      <c r="B34" s="289" t="s">
        <v>751</v>
      </c>
      <c r="C34" s="102" t="s">
        <v>604</v>
      </c>
      <c r="D34" s="104">
        <v>10</v>
      </c>
      <c r="E34" s="102" t="s">
        <v>35</v>
      </c>
      <c r="F34" s="104"/>
      <c r="G34" s="104"/>
      <c r="H34" s="104"/>
      <c r="I34" s="105"/>
      <c r="J34" s="104"/>
      <c r="K34" s="104"/>
      <c r="L34" s="104"/>
      <c r="M34" s="104"/>
      <c r="N34" s="105"/>
      <c r="O34" s="484"/>
      <c r="R34" s="100">
        <v>20</v>
      </c>
      <c r="S34" s="101">
        <f t="shared" si="30"/>
        <v>0</v>
      </c>
      <c r="T34" s="29"/>
      <c r="AC34" s="104" t="e">
        <f>AC12*7</f>
        <v>#REF!</v>
      </c>
      <c r="AD34" s="97" t="e">
        <f t="shared" si="20"/>
        <v>#REF!</v>
      </c>
      <c r="AE34" s="104"/>
      <c r="AF34" s="104"/>
      <c r="AG34" s="104" t="e">
        <f>AG12*7</f>
        <v>#REF!</v>
      </c>
      <c r="AH34" s="98" t="e">
        <f t="shared" si="21"/>
        <v>#REF!</v>
      </c>
      <c r="AI34" s="104"/>
      <c r="AJ34" s="104"/>
      <c r="AK34" s="104" t="e">
        <f>AK12*7</f>
        <v>#REF!</v>
      </c>
      <c r="AL34" s="98" t="e">
        <f t="shared" si="22"/>
        <v>#REF!</v>
      </c>
      <c r="AM34" s="104"/>
      <c r="AN34" s="104"/>
      <c r="AO34" s="104" t="e">
        <f>AO12*7</f>
        <v>#REF!</v>
      </c>
      <c r="AP34" s="98" t="e">
        <f t="shared" si="23"/>
        <v>#REF!</v>
      </c>
      <c r="AQ34" s="104"/>
      <c r="AR34" s="104"/>
      <c r="AS34" s="104" t="e">
        <f>AS12*7</f>
        <v>#REF!</v>
      </c>
      <c r="AT34" s="98" t="e">
        <f t="shared" si="24"/>
        <v>#REF!</v>
      </c>
      <c r="AU34" s="104"/>
      <c r="AV34" s="104"/>
      <c r="AW34" s="104" t="e">
        <f>AW12*7</f>
        <v>#REF!</v>
      </c>
      <c r="AX34" s="98" t="e">
        <f t="shared" si="25"/>
        <v>#REF!</v>
      </c>
      <c r="AY34" s="104"/>
      <c r="AZ34" s="104"/>
      <c r="BB34" s="234" t="e">
        <f>BB12</f>
        <v>#REF!</v>
      </c>
      <c r="BC34" s="104" t="e">
        <f>BC12</f>
        <v>#REF!</v>
      </c>
      <c r="BD34" s="104" t="e">
        <f>BD12</f>
        <v>#REF!</v>
      </c>
      <c r="BE34" s="104" t="e">
        <f>BE12</f>
        <v>#REF!</v>
      </c>
      <c r="BF34" s="101" t="e">
        <f t="shared" si="8"/>
        <v>#REF!</v>
      </c>
      <c r="BG34" s="101" t="e">
        <f t="shared" si="9"/>
        <v>#REF!</v>
      </c>
      <c r="BH34" s="227" t="e">
        <f t="shared" si="26"/>
        <v>#REF!</v>
      </c>
      <c r="BI34" s="227" t="e">
        <f t="shared" si="27"/>
        <v>#REF!</v>
      </c>
      <c r="BJ34" s="227" t="e">
        <f t="shared" si="28"/>
        <v>#REF!</v>
      </c>
      <c r="BK34" s="227" t="e">
        <f t="shared" si="29"/>
        <v>#REF!</v>
      </c>
    </row>
    <row r="35" spans="1:65" s="222" customFormat="1">
      <c r="A35" s="102"/>
      <c r="B35" s="289" t="s">
        <v>644</v>
      </c>
      <c r="C35" s="102" t="s">
        <v>889</v>
      </c>
      <c r="D35" s="104">
        <v>3.5</v>
      </c>
      <c r="E35" s="102" t="s">
        <v>814</v>
      </c>
      <c r="F35" s="104"/>
      <c r="G35" s="104"/>
      <c r="H35" s="104"/>
      <c r="I35" s="105"/>
      <c r="J35" s="104"/>
      <c r="K35" s="104"/>
      <c r="L35" s="104"/>
      <c r="M35" s="104"/>
      <c r="N35" s="105"/>
      <c r="O35" s="484"/>
      <c r="R35" s="229">
        <v>8</v>
      </c>
      <c r="S35" s="224">
        <f t="shared" si="30"/>
        <v>0</v>
      </c>
      <c r="T35" s="84"/>
      <c r="AC35" s="221" t="e">
        <f>AC14</f>
        <v>#REF!</v>
      </c>
      <c r="AD35" s="225" t="e">
        <f t="shared" si="20"/>
        <v>#REF!</v>
      </c>
      <c r="AE35" s="221"/>
      <c r="AF35" s="221"/>
      <c r="AG35" s="221" t="e">
        <f>AG14</f>
        <v>#REF!</v>
      </c>
      <c r="AH35" s="225" t="e">
        <f t="shared" si="21"/>
        <v>#REF!</v>
      </c>
      <c r="AI35" s="221"/>
      <c r="AJ35" s="221"/>
      <c r="AK35" s="221" t="e">
        <f>AK14</f>
        <v>#REF!</v>
      </c>
      <c r="AL35" s="225" t="e">
        <f t="shared" si="22"/>
        <v>#REF!</v>
      </c>
      <c r="AM35" s="221"/>
      <c r="AN35" s="221"/>
      <c r="AO35" s="221" t="e">
        <f>AO14</f>
        <v>#REF!</v>
      </c>
      <c r="AP35" s="225" t="e">
        <f t="shared" si="23"/>
        <v>#REF!</v>
      </c>
      <c r="AQ35" s="221"/>
      <c r="AR35" s="221"/>
      <c r="AS35" s="221" t="e">
        <f>AS14</f>
        <v>#REF!</v>
      </c>
      <c r="AT35" s="225" t="e">
        <f t="shared" si="24"/>
        <v>#REF!</v>
      </c>
      <c r="AU35" s="221"/>
      <c r="AV35" s="221"/>
      <c r="AW35" s="221" t="e">
        <f>AW14</f>
        <v>#REF!</v>
      </c>
      <c r="AX35" s="225" t="e">
        <f t="shared" si="25"/>
        <v>#REF!</v>
      </c>
      <c r="AY35" s="221"/>
      <c r="AZ35" s="221"/>
      <c r="BB35" s="221" t="e">
        <f>BB14</f>
        <v>#REF!</v>
      </c>
      <c r="BC35" s="221" t="e">
        <f>BC14</f>
        <v>#REF!</v>
      </c>
      <c r="BD35" s="221" t="e">
        <f>BD14</f>
        <v>#REF!</v>
      </c>
      <c r="BE35" s="221" t="e">
        <f>BE14</f>
        <v>#REF!</v>
      </c>
      <c r="BF35" s="224" t="e">
        <f t="shared" si="8"/>
        <v>#REF!</v>
      </c>
      <c r="BG35" s="224" t="e">
        <f t="shared" si="9"/>
        <v>#REF!</v>
      </c>
      <c r="BH35" s="230" t="e">
        <f t="shared" si="26"/>
        <v>#REF!</v>
      </c>
      <c r="BI35" s="230" t="e">
        <f t="shared" si="27"/>
        <v>#REF!</v>
      </c>
      <c r="BJ35" s="230" t="e">
        <f t="shared" si="28"/>
        <v>#REF!</v>
      </c>
      <c r="BK35" s="230" t="e">
        <f t="shared" si="29"/>
        <v>#REF!</v>
      </c>
    </row>
    <row r="36" spans="1:65">
      <c r="A36" s="102"/>
      <c r="B36" s="289" t="s">
        <v>645</v>
      </c>
      <c r="C36" s="102" t="s">
        <v>650</v>
      </c>
      <c r="D36" s="104">
        <v>5</v>
      </c>
      <c r="E36" s="102" t="s">
        <v>86</v>
      </c>
      <c r="F36" s="104"/>
      <c r="G36" s="104"/>
      <c r="H36" s="104"/>
      <c r="I36" s="105"/>
      <c r="J36" s="104"/>
      <c r="K36" s="104"/>
      <c r="L36" s="104"/>
      <c r="M36" s="104"/>
      <c r="N36" s="105"/>
      <c r="O36" s="484"/>
      <c r="R36" s="100">
        <v>5</v>
      </c>
      <c r="S36" s="101">
        <f t="shared" si="30"/>
        <v>0</v>
      </c>
      <c r="T36" s="29"/>
      <c r="AC36" s="104" t="e">
        <f>AC17</f>
        <v>#REF!</v>
      </c>
      <c r="AD36" s="97" t="e">
        <f t="shared" si="20"/>
        <v>#REF!</v>
      </c>
      <c r="AE36" s="104"/>
      <c r="AF36" s="104"/>
      <c r="AG36" s="104" t="e">
        <f>AG17</f>
        <v>#REF!</v>
      </c>
      <c r="AH36" s="98" t="e">
        <f t="shared" si="21"/>
        <v>#REF!</v>
      </c>
      <c r="AI36" s="104"/>
      <c r="AJ36" s="104"/>
      <c r="AK36" s="104" t="e">
        <f>AK17</f>
        <v>#REF!</v>
      </c>
      <c r="AL36" s="98" t="e">
        <f t="shared" si="22"/>
        <v>#REF!</v>
      </c>
      <c r="AM36" s="104"/>
      <c r="AN36" s="104"/>
      <c r="AO36" s="104" t="e">
        <f>AO17</f>
        <v>#REF!</v>
      </c>
      <c r="AP36" s="98" t="e">
        <f t="shared" si="23"/>
        <v>#REF!</v>
      </c>
      <c r="AQ36" s="104"/>
      <c r="AR36" s="104"/>
      <c r="AS36" s="104" t="e">
        <f>AS17</f>
        <v>#REF!</v>
      </c>
      <c r="AT36" s="98" t="e">
        <f t="shared" si="24"/>
        <v>#REF!</v>
      </c>
      <c r="AU36" s="104"/>
      <c r="AV36" s="104"/>
      <c r="AW36" s="104" t="e">
        <f>AW17</f>
        <v>#REF!</v>
      </c>
      <c r="AX36" s="98" t="e">
        <f t="shared" si="25"/>
        <v>#REF!</v>
      </c>
      <c r="AY36" s="104"/>
      <c r="AZ36" s="104"/>
      <c r="BB36" s="104" t="e">
        <f>BB17</f>
        <v>#REF!</v>
      </c>
      <c r="BC36" s="104" t="e">
        <f>BC17</f>
        <v>#REF!</v>
      </c>
      <c r="BD36" s="104" t="e">
        <f>BD17</f>
        <v>#REF!</v>
      </c>
      <c r="BE36" s="104" t="e">
        <f>BE17</f>
        <v>#REF!</v>
      </c>
      <c r="BF36" s="101" t="e">
        <f t="shared" si="8"/>
        <v>#REF!</v>
      </c>
      <c r="BG36" s="101" t="e">
        <f t="shared" si="9"/>
        <v>#REF!</v>
      </c>
      <c r="BH36" s="227" t="e">
        <f t="shared" si="26"/>
        <v>#REF!</v>
      </c>
      <c r="BI36" s="227" t="e">
        <f t="shared" si="27"/>
        <v>#REF!</v>
      </c>
      <c r="BJ36" s="227" t="e">
        <f t="shared" si="28"/>
        <v>#REF!</v>
      </c>
      <c r="BK36" s="227" t="e">
        <f t="shared" si="29"/>
        <v>#REF!</v>
      </c>
    </row>
    <row r="37" spans="1:65">
      <c r="A37" s="102"/>
      <c r="B37" s="289" t="s">
        <v>779</v>
      </c>
      <c r="C37" s="102" t="s">
        <v>650</v>
      </c>
      <c r="D37" s="104">
        <v>4</v>
      </c>
      <c r="E37" s="102" t="s">
        <v>86</v>
      </c>
      <c r="F37" s="104"/>
      <c r="G37" s="104"/>
      <c r="H37" s="104"/>
      <c r="I37" s="105"/>
      <c r="J37" s="104"/>
      <c r="K37" s="104"/>
      <c r="L37" s="104"/>
      <c r="M37" s="104"/>
      <c r="N37" s="105"/>
      <c r="O37" s="484"/>
      <c r="R37" s="100">
        <v>4</v>
      </c>
      <c r="S37" s="101">
        <f t="shared" si="30"/>
        <v>0</v>
      </c>
      <c r="T37" s="29"/>
      <c r="AC37" s="104" t="e">
        <f>#REF!*3.67</f>
        <v>#REF!</v>
      </c>
      <c r="AD37" s="97" t="e">
        <f t="shared" si="20"/>
        <v>#REF!</v>
      </c>
      <c r="AE37" s="104"/>
      <c r="AF37" s="104"/>
      <c r="AG37" s="104" t="e">
        <f>#REF!*3.67</f>
        <v>#REF!</v>
      </c>
      <c r="AH37" s="98" t="e">
        <f t="shared" si="21"/>
        <v>#REF!</v>
      </c>
      <c r="AI37" s="104"/>
      <c r="AJ37" s="104"/>
      <c r="AK37" s="104" t="e">
        <f>#REF!*3.67</f>
        <v>#REF!</v>
      </c>
      <c r="AL37" s="98" t="e">
        <f t="shared" si="22"/>
        <v>#REF!</v>
      </c>
      <c r="AM37" s="104"/>
      <c r="AN37" s="104"/>
      <c r="AO37" s="104" t="e">
        <f>#REF!*3.67</f>
        <v>#REF!</v>
      </c>
      <c r="AP37" s="98" t="e">
        <f t="shared" si="23"/>
        <v>#REF!</v>
      </c>
      <c r="AQ37" s="104"/>
      <c r="AR37" s="104"/>
      <c r="AS37" s="104" t="e">
        <f>#REF!*3.67</f>
        <v>#REF!</v>
      </c>
      <c r="AT37" s="98" t="e">
        <f t="shared" si="24"/>
        <v>#REF!</v>
      </c>
      <c r="AU37" s="104"/>
      <c r="AV37" s="104"/>
      <c r="AW37" s="104" t="e">
        <f>#REF!*3.67</f>
        <v>#REF!</v>
      </c>
      <c r="AX37" s="98" t="e">
        <f t="shared" si="25"/>
        <v>#REF!</v>
      </c>
      <c r="AY37" s="104"/>
      <c r="AZ37" s="104"/>
      <c r="BB37" s="104" t="e">
        <f>#REF!*3.67</f>
        <v>#REF!</v>
      </c>
      <c r="BC37" s="104" t="e">
        <f>#REF!*3.67</f>
        <v>#REF!</v>
      </c>
      <c r="BD37" s="104" t="e">
        <f>#REF!*3.67</f>
        <v>#REF!</v>
      </c>
      <c r="BE37" s="104" t="e">
        <f>#REF!*3.67</f>
        <v>#REF!</v>
      </c>
      <c r="BF37" s="101" t="e">
        <f t="shared" si="8"/>
        <v>#REF!</v>
      </c>
      <c r="BG37" s="101" t="e">
        <f t="shared" si="9"/>
        <v>#REF!</v>
      </c>
      <c r="BH37" s="227" t="e">
        <f t="shared" si="26"/>
        <v>#REF!</v>
      </c>
      <c r="BI37" s="227" t="e">
        <f t="shared" si="27"/>
        <v>#REF!</v>
      </c>
      <c r="BJ37" s="227" t="e">
        <f t="shared" si="28"/>
        <v>#REF!</v>
      </c>
      <c r="BK37" s="227" t="e">
        <f t="shared" si="29"/>
        <v>#REF!</v>
      </c>
    </row>
    <row r="38" spans="1:65">
      <c r="A38" s="102"/>
      <c r="B38" s="289" t="s">
        <v>780</v>
      </c>
      <c r="C38" s="102" t="s">
        <v>610</v>
      </c>
      <c r="D38" s="104">
        <v>2</v>
      </c>
      <c r="E38" s="102" t="s">
        <v>86</v>
      </c>
      <c r="F38" s="104"/>
      <c r="G38" s="104"/>
      <c r="H38" s="104"/>
      <c r="I38" s="105"/>
      <c r="J38" s="104"/>
      <c r="K38" s="104"/>
      <c r="L38" s="104"/>
      <c r="M38" s="104"/>
      <c r="N38" s="105"/>
      <c r="O38" s="484"/>
      <c r="R38" s="100">
        <v>2</v>
      </c>
      <c r="S38" s="101">
        <f t="shared" si="30"/>
        <v>0</v>
      </c>
      <c r="T38" s="29"/>
      <c r="AC38" s="104" t="e">
        <f>#REF!*0.8</f>
        <v>#REF!</v>
      </c>
      <c r="AD38" s="97" t="e">
        <f t="shared" si="20"/>
        <v>#REF!</v>
      </c>
      <c r="AE38" s="104"/>
      <c r="AF38" s="104"/>
      <c r="AG38" s="104" t="e">
        <f>#REF!*0.8</f>
        <v>#REF!</v>
      </c>
      <c r="AH38" s="98" t="e">
        <f t="shared" si="21"/>
        <v>#REF!</v>
      </c>
      <c r="AI38" s="104"/>
      <c r="AJ38" s="104"/>
      <c r="AK38" s="104" t="e">
        <f>#REF!*0.8</f>
        <v>#REF!</v>
      </c>
      <c r="AL38" s="98" t="e">
        <f t="shared" si="22"/>
        <v>#REF!</v>
      </c>
      <c r="AM38" s="104"/>
      <c r="AN38" s="104"/>
      <c r="AO38" s="104" t="e">
        <f>#REF!*0.8</f>
        <v>#REF!</v>
      </c>
      <c r="AP38" s="98" t="e">
        <f t="shared" si="23"/>
        <v>#REF!</v>
      </c>
      <c r="AQ38" s="104"/>
      <c r="AR38" s="104"/>
      <c r="AS38" s="104" t="e">
        <f>#REF!*0.8</f>
        <v>#REF!</v>
      </c>
      <c r="AT38" s="98" t="e">
        <f t="shared" si="24"/>
        <v>#REF!</v>
      </c>
      <c r="AU38" s="104"/>
      <c r="AV38" s="104"/>
      <c r="AW38" s="104" t="e">
        <f>#REF!*0.8</f>
        <v>#REF!</v>
      </c>
      <c r="AX38" s="98" t="e">
        <f t="shared" si="25"/>
        <v>#REF!</v>
      </c>
      <c r="AY38" s="104"/>
      <c r="AZ38" s="104"/>
      <c r="BB38" s="104" t="e">
        <f>#REF!*0.8</f>
        <v>#REF!</v>
      </c>
      <c r="BC38" s="104" t="e">
        <f>#REF!*0.8</f>
        <v>#REF!</v>
      </c>
      <c r="BD38" s="104" t="e">
        <f>#REF!*0.8</f>
        <v>#REF!</v>
      </c>
      <c r="BE38" s="104" t="e">
        <f>#REF!*0.8</f>
        <v>#REF!</v>
      </c>
      <c r="BF38" s="101" t="e">
        <f t="shared" si="8"/>
        <v>#REF!</v>
      </c>
      <c r="BG38" s="101" t="e">
        <f t="shared" si="9"/>
        <v>#REF!</v>
      </c>
      <c r="BH38" s="227" t="e">
        <f t="shared" si="26"/>
        <v>#REF!</v>
      </c>
      <c r="BI38" s="227" t="e">
        <f t="shared" si="27"/>
        <v>#REF!</v>
      </c>
      <c r="BJ38" s="227" t="e">
        <f t="shared" si="28"/>
        <v>#REF!</v>
      </c>
      <c r="BK38" s="227" t="e">
        <f t="shared" si="29"/>
        <v>#REF!</v>
      </c>
    </row>
    <row r="39" spans="1:65">
      <c r="A39" s="102"/>
      <c r="B39" s="289" t="s">
        <v>781</v>
      </c>
      <c r="C39" s="102" t="s">
        <v>604</v>
      </c>
      <c r="D39" s="104">
        <v>30</v>
      </c>
      <c r="E39" s="102" t="s">
        <v>35</v>
      </c>
      <c r="F39" s="104"/>
      <c r="G39" s="104"/>
      <c r="H39" s="104"/>
      <c r="I39" s="105"/>
      <c r="J39" s="104"/>
      <c r="K39" s="104"/>
      <c r="L39" s="104"/>
      <c r="M39" s="104"/>
      <c r="N39" s="105"/>
      <c r="O39" s="484"/>
      <c r="R39" s="100">
        <v>30</v>
      </c>
      <c r="S39" s="101">
        <f t="shared" si="30"/>
        <v>0</v>
      </c>
      <c r="T39" s="29"/>
      <c r="AC39" s="104" t="e">
        <f>AC9</f>
        <v>#REF!</v>
      </c>
      <c r="AD39" s="97" t="e">
        <f t="shared" si="20"/>
        <v>#REF!</v>
      </c>
      <c r="AE39" s="104"/>
      <c r="AF39" s="104"/>
      <c r="AG39" s="104" t="e">
        <f>AG9</f>
        <v>#REF!</v>
      </c>
      <c r="AH39" s="98" t="e">
        <f t="shared" si="21"/>
        <v>#REF!</v>
      </c>
      <c r="AI39" s="104"/>
      <c r="AJ39" s="104"/>
      <c r="AK39" s="104" t="e">
        <f>AK9</f>
        <v>#REF!</v>
      </c>
      <c r="AL39" s="98" t="e">
        <f t="shared" si="22"/>
        <v>#REF!</v>
      </c>
      <c r="AM39" s="104"/>
      <c r="AN39" s="104"/>
      <c r="AO39" s="104" t="e">
        <f>AO9</f>
        <v>#REF!</v>
      </c>
      <c r="AP39" s="98" t="e">
        <f t="shared" si="23"/>
        <v>#REF!</v>
      </c>
      <c r="AQ39" s="104"/>
      <c r="AR39" s="104"/>
      <c r="AS39" s="104" t="e">
        <f>AS9</f>
        <v>#REF!</v>
      </c>
      <c r="AT39" s="98" t="e">
        <f t="shared" si="24"/>
        <v>#REF!</v>
      </c>
      <c r="AU39" s="104"/>
      <c r="AV39" s="104"/>
      <c r="AW39" s="104" t="e">
        <f>AW9</f>
        <v>#REF!</v>
      </c>
      <c r="AX39" s="98" t="e">
        <f t="shared" si="25"/>
        <v>#REF!</v>
      </c>
      <c r="AY39" s="104"/>
      <c r="AZ39" s="104"/>
      <c r="BB39" s="104" t="e">
        <f>BB9</f>
        <v>#REF!</v>
      </c>
      <c r="BC39" s="104" t="e">
        <f>BC9</f>
        <v>#REF!</v>
      </c>
      <c r="BD39" s="104" t="e">
        <f>BD9</f>
        <v>#REF!</v>
      </c>
      <c r="BE39" s="104" t="e">
        <f>BE9</f>
        <v>#REF!</v>
      </c>
      <c r="BF39" s="101" t="e">
        <f t="shared" si="8"/>
        <v>#REF!</v>
      </c>
      <c r="BG39" s="101" t="e">
        <f t="shared" si="9"/>
        <v>#REF!</v>
      </c>
      <c r="BH39" s="227" t="e">
        <f t="shared" si="26"/>
        <v>#REF!</v>
      </c>
      <c r="BI39" s="227" t="e">
        <f t="shared" si="27"/>
        <v>#REF!</v>
      </c>
      <c r="BJ39" s="227" t="e">
        <f t="shared" si="28"/>
        <v>#REF!</v>
      </c>
      <c r="BK39" s="227" t="e">
        <f t="shared" si="29"/>
        <v>#REF!</v>
      </c>
    </row>
    <row r="40" spans="1:65">
      <c r="A40" s="102"/>
      <c r="B40" s="289" t="s">
        <v>853</v>
      </c>
      <c r="C40" s="102" t="s">
        <v>854</v>
      </c>
      <c r="D40" s="104">
        <v>3</v>
      </c>
      <c r="E40" s="102" t="s">
        <v>814</v>
      </c>
      <c r="F40" s="104"/>
      <c r="G40" s="104"/>
      <c r="H40" s="104"/>
      <c r="I40" s="105"/>
      <c r="J40" s="104"/>
      <c r="K40" s="104"/>
      <c r="L40" s="104"/>
      <c r="M40" s="104"/>
      <c r="N40" s="105"/>
      <c r="O40" s="484"/>
      <c r="R40" s="100"/>
      <c r="S40" s="101"/>
      <c r="T40" s="29"/>
      <c r="AC40" s="104" t="e">
        <f>AC59</f>
        <v>#REF!</v>
      </c>
      <c r="AD40" s="97" t="e">
        <f t="shared" si="20"/>
        <v>#REF!</v>
      </c>
      <c r="AE40" s="104"/>
      <c r="AF40" s="104"/>
      <c r="AG40" s="104" t="e">
        <f>AG59</f>
        <v>#REF!</v>
      </c>
      <c r="AH40" s="98" t="e">
        <f t="shared" si="21"/>
        <v>#REF!</v>
      </c>
      <c r="AI40" s="104"/>
      <c r="AJ40" s="104"/>
      <c r="AK40" s="104" t="e">
        <f>AK59</f>
        <v>#REF!</v>
      </c>
      <c r="AL40" s="98" t="e">
        <f t="shared" si="22"/>
        <v>#REF!</v>
      </c>
      <c r="AM40" s="104"/>
      <c r="AN40" s="104"/>
      <c r="AO40" s="104" t="e">
        <f>AO59</f>
        <v>#REF!</v>
      </c>
      <c r="AP40" s="98" t="e">
        <f t="shared" si="23"/>
        <v>#REF!</v>
      </c>
      <c r="AQ40" s="104"/>
      <c r="AR40" s="104"/>
      <c r="AS40" s="104" t="e">
        <f>AS59</f>
        <v>#REF!</v>
      </c>
      <c r="AT40" s="98" t="e">
        <f t="shared" si="24"/>
        <v>#REF!</v>
      </c>
      <c r="AU40" s="104"/>
      <c r="AV40" s="104"/>
      <c r="AW40" s="104" t="e">
        <f>AW59</f>
        <v>#REF!</v>
      </c>
      <c r="AX40" s="98" t="e">
        <f t="shared" si="25"/>
        <v>#REF!</v>
      </c>
      <c r="AY40" s="104"/>
      <c r="AZ40" s="104"/>
      <c r="BB40" s="104" t="e">
        <f>BB59</f>
        <v>#REF!</v>
      </c>
      <c r="BC40" s="104" t="e">
        <f>BC59</f>
        <v>#REF!</v>
      </c>
      <c r="BD40" s="104" t="e">
        <f>BD59</f>
        <v>#REF!</v>
      </c>
      <c r="BE40" s="104" t="e">
        <f>BE59</f>
        <v>#REF!</v>
      </c>
      <c r="BF40" s="101" t="e">
        <f t="shared" si="8"/>
        <v>#REF!</v>
      </c>
      <c r="BG40" s="101" t="e">
        <f t="shared" si="9"/>
        <v>#REF!</v>
      </c>
      <c r="BH40" s="227" t="e">
        <f t="shared" si="26"/>
        <v>#REF!</v>
      </c>
      <c r="BI40" s="227" t="e">
        <f t="shared" si="27"/>
        <v>#REF!</v>
      </c>
      <c r="BJ40" s="227" t="e">
        <f t="shared" si="28"/>
        <v>#REF!</v>
      </c>
      <c r="BK40" s="227" t="e">
        <f t="shared" si="29"/>
        <v>#REF!</v>
      </c>
    </row>
    <row r="41" spans="1:65">
      <c r="A41" s="102"/>
      <c r="B41" s="292" t="s">
        <v>841</v>
      </c>
      <c r="C41" s="106" t="s">
        <v>610</v>
      </c>
      <c r="D41" s="106">
        <v>17</v>
      </c>
      <c r="E41" s="248" t="s">
        <v>86</v>
      </c>
      <c r="F41" s="104"/>
      <c r="G41" s="104"/>
      <c r="H41" s="104"/>
      <c r="I41" s="105"/>
      <c r="J41" s="104"/>
      <c r="K41" s="104"/>
      <c r="L41" s="104"/>
      <c r="M41" s="104"/>
      <c r="N41" s="105"/>
      <c r="O41" s="484"/>
      <c r="R41" s="100"/>
      <c r="S41" s="101"/>
      <c r="T41" s="29"/>
      <c r="AC41" s="104" t="e">
        <f>AC23</f>
        <v>#REF!</v>
      </c>
      <c r="AD41" s="97" t="e">
        <f t="shared" si="20"/>
        <v>#REF!</v>
      </c>
      <c r="AE41" s="104"/>
      <c r="AF41" s="104"/>
      <c r="AG41" s="104" t="e">
        <f>AG23</f>
        <v>#REF!</v>
      </c>
      <c r="AH41" s="98" t="e">
        <f t="shared" si="21"/>
        <v>#REF!</v>
      </c>
      <c r="AI41" s="104"/>
      <c r="AJ41" s="104"/>
      <c r="AK41" s="104" t="e">
        <f>AK23</f>
        <v>#REF!</v>
      </c>
      <c r="AL41" s="98" t="e">
        <f t="shared" si="22"/>
        <v>#REF!</v>
      </c>
      <c r="AM41" s="104"/>
      <c r="AN41" s="104"/>
      <c r="AO41" s="104" t="e">
        <f>AO23</f>
        <v>#REF!</v>
      </c>
      <c r="AP41" s="98" t="e">
        <f t="shared" si="23"/>
        <v>#REF!</v>
      </c>
      <c r="AQ41" s="104"/>
      <c r="AR41" s="104"/>
      <c r="AS41" s="104" t="e">
        <f>AS23</f>
        <v>#REF!</v>
      </c>
      <c r="AT41" s="98" t="e">
        <f t="shared" si="24"/>
        <v>#REF!</v>
      </c>
      <c r="AU41" s="104"/>
      <c r="AV41" s="104"/>
      <c r="AW41" s="104" t="e">
        <f>AW23</f>
        <v>#REF!</v>
      </c>
      <c r="AX41" s="98" t="e">
        <f t="shared" si="25"/>
        <v>#REF!</v>
      </c>
      <c r="AY41" s="104"/>
      <c r="AZ41" s="104"/>
      <c r="BB41" s="104" t="e">
        <f>BB23</f>
        <v>#REF!</v>
      </c>
      <c r="BC41" s="104" t="e">
        <f>BC23</f>
        <v>#REF!</v>
      </c>
      <c r="BD41" s="104" t="e">
        <f>BD23</f>
        <v>#REF!</v>
      </c>
      <c r="BE41" s="104" t="e">
        <f>BE23</f>
        <v>#REF!</v>
      </c>
      <c r="BF41" s="101" t="e">
        <f t="shared" si="8"/>
        <v>#REF!</v>
      </c>
      <c r="BG41" s="101" t="e">
        <f t="shared" si="9"/>
        <v>#REF!</v>
      </c>
      <c r="BH41" s="227" t="e">
        <f t="shared" si="26"/>
        <v>#REF!</v>
      </c>
      <c r="BI41" s="227" t="e">
        <f t="shared" si="27"/>
        <v>#REF!</v>
      </c>
      <c r="BJ41" s="227" t="e">
        <f t="shared" si="28"/>
        <v>#REF!</v>
      </c>
      <c r="BK41" s="227" t="e">
        <f t="shared" si="29"/>
        <v>#REF!</v>
      </c>
      <c r="BM41" s="83">
        <f>100/6</f>
        <v>16.666666666666668</v>
      </c>
    </row>
    <row r="42" spans="1:65">
      <c r="A42" s="102"/>
      <c r="B42" s="292" t="s">
        <v>888</v>
      </c>
      <c r="C42" s="106" t="s">
        <v>610</v>
      </c>
      <c r="D42" s="106">
        <v>10</v>
      </c>
      <c r="E42" s="248" t="s">
        <v>86</v>
      </c>
      <c r="F42" s="104"/>
      <c r="G42" s="104"/>
      <c r="H42" s="104"/>
      <c r="I42" s="105"/>
      <c r="J42" s="104"/>
      <c r="K42" s="104"/>
      <c r="L42" s="104"/>
      <c r="M42" s="104"/>
      <c r="N42" s="105"/>
      <c r="O42" s="484"/>
      <c r="R42" s="100"/>
      <c r="S42" s="101"/>
      <c r="T42" s="29"/>
      <c r="AC42" s="104"/>
      <c r="AD42" s="236"/>
      <c r="AE42" s="104"/>
      <c r="AF42" s="104"/>
      <c r="AG42" s="104"/>
      <c r="AH42" s="237"/>
      <c r="AI42" s="104"/>
      <c r="AJ42" s="104"/>
      <c r="AK42" s="104"/>
      <c r="AL42" s="237"/>
      <c r="AM42" s="104"/>
      <c r="AN42" s="104"/>
      <c r="AO42" s="104"/>
      <c r="AP42" s="237"/>
      <c r="AQ42" s="104"/>
      <c r="AR42" s="104"/>
      <c r="AS42" s="104"/>
      <c r="AT42" s="237"/>
      <c r="AU42" s="104"/>
      <c r="AV42" s="104"/>
      <c r="AW42" s="104"/>
      <c r="AX42" s="237"/>
      <c r="AY42" s="104"/>
      <c r="AZ42" s="104"/>
      <c r="BB42" s="104" t="e">
        <f>#REF!</f>
        <v>#REF!</v>
      </c>
      <c r="BC42" s="104" t="e">
        <f>#REF!</f>
        <v>#REF!</v>
      </c>
      <c r="BD42" s="104" t="e">
        <f>#REF!</f>
        <v>#REF!</v>
      </c>
      <c r="BE42" s="104" t="e">
        <f>#REF!</f>
        <v>#REF!</v>
      </c>
      <c r="BF42" s="101" t="e">
        <f t="shared" ref="BF42" si="31">SUM(BB42:BE42)</f>
        <v>#REF!</v>
      </c>
      <c r="BG42" s="101" t="e">
        <f t="shared" ref="BG42" si="32">J42-BF42</f>
        <v>#REF!</v>
      </c>
      <c r="BH42" s="227" t="e">
        <f t="shared" ref="BH42" si="33">BB42/$D42</f>
        <v>#REF!</v>
      </c>
      <c r="BI42" s="227" t="e">
        <f t="shared" ref="BI42" si="34">BC42/$D42</f>
        <v>#REF!</v>
      </c>
      <c r="BJ42" s="227" t="e">
        <f t="shared" ref="BJ42" si="35">BD42/$D42</f>
        <v>#REF!</v>
      </c>
      <c r="BK42" s="227" t="e">
        <f t="shared" ref="BK42" si="36">BE42/$D42</f>
        <v>#REF!</v>
      </c>
    </row>
    <row r="43" spans="1:65">
      <c r="A43" s="102"/>
      <c r="B43" s="289" t="s">
        <v>646</v>
      </c>
      <c r="C43" s="102" t="s">
        <v>650</v>
      </c>
      <c r="D43" s="104">
        <v>4</v>
      </c>
      <c r="E43" s="102" t="s">
        <v>86</v>
      </c>
      <c r="F43" s="104"/>
      <c r="G43" s="104"/>
      <c r="H43" s="104"/>
      <c r="I43" s="105"/>
      <c r="J43" s="104"/>
      <c r="K43" s="104"/>
      <c r="L43" s="104"/>
      <c r="M43" s="104"/>
      <c r="N43" s="105"/>
      <c r="O43" s="484"/>
      <c r="R43" s="100">
        <v>4</v>
      </c>
      <c r="S43" s="101">
        <f t="shared" si="30"/>
        <v>0</v>
      </c>
      <c r="T43" s="29"/>
      <c r="AC43" s="104" t="e">
        <f>#REF!*0.8</f>
        <v>#REF!</v>
      </c>
      <c r="AD43" s="97" t="e">
        <f t="shared" si="20"/>
        <v>#REF!</v>
      </c>
      <c r="AE43" s="104"/>
      <c r="AF43" s="104"/>
      <c r="AG43" s="104" t="e">
        <f>#REF!*0.8</f>
        <v>#REF!</v>
      </c>
      <c r="AH43" s="98" t="e">
        <f t="shared" si="21"/>
        <v>#REF!</v>
      </c>
      <c r="AI43" s="104"/>
      <c r="AJ43" s="104"/>
      <c r="AK43" s="104" t="e">
        <f>#REF!*0.8</f>
        <v>#REF!</v>
      </c>
      <c r="AL43" s="98" t="e">
        <f t="shared" si="22"/>
        <v>#REF!</v>
      </c>
      <c r="AM43" s="104"/>
      <c r="AN43" s="104"/>
      <c r="AO43" s="104" t="e">
        <f>#REF!*0.8</f>
        <v>#REF!</v>
      </c>
      <c r="AP43" s="98" t="e">
        <f t="shared" si="23"/>
        <v>#REF!</v>
      </c>
      <c r="AQ43" s="104"/>
      <c r="AR43" s="104"/>
      <c r="AS43" s="104" t="e">
        <f>#REF!*0.8</f>
        <v>#REF!</v>
      </c>
      <c r="AT43" s="98" t="e">
        <f t="shared" si="24"/>
        <v>#REF!</v>
      </c>
      <c r="AU43" s="104"/>
      <c r="AV43" s="104"/>
      <c r="AW43" s="104" t="e">
        <f>#REF!*0.8</f>
        <v>#REF!</v>
      </c>
      <c r="AX43" s="98" t="e">
        <f t="shared" si="25"/>
        <v>#REF!</v>
      </c>
      <c r="AY43" s="104"/>
      <c r="AZ43" s="104"/>
      <c r="BB43" s="104" t="e">
        <f>#REF!*0.8</f>
        <v>#REF!</v>
      </c>
      <c r="BC43" s="104" t="e">
        <f>#REF!*0.8</f>
        <v>#REF!</v>
      </c>
      <c r="BD43" s="104" t="e">
        <f>#REF!*0.8</f>
        <v>#REF!</v>
      </c>
      <c r="BE43" s="104" t="e">
        <f>#REF!*0.8</f>
        <v>#REF!</v>
      </c>
      <c r="BF43" s="101" t="e">
        <f t="shared" si="8"/>
        <v>#REF!</v>
      </c>
      <c r="BG43" s="101" t="e">
        <f t="shared" si="9"/>
        <v>#REF!</v>
      </c>
      <c r="BH43" s="227" t="e">
        <f t="shared" si="26"/>
        <v>#REF!</v>
      </c>
      <c r="BI43" s="227" t="e">
        <f t="shared" si="27"/>
        <v>#REF!</v>
      </c>
      <c r="BJ43" s="227" t="e">
        <f t="shared" si="28"/>
        <v>#REF!</v>
      </c>
      <c r="BK43" s="227" t="e">
        <f t="shared" si="29"/>
        <v>#REF!</v>
      </c>
    </row>
    <row r="44" spans="1:65">
      <c r="A44" s="102"/>
      <c r="B44" s="289" t="s">
        <v>647</v>
      </c>
      <c r="C44" s="102" t="s">
        <v>650</v>
      </c>
      <c r="D44" s="104">
        <v>4</v>
      </c>
      <c r="E44" s="102" t="s">
        <v>86</v>
      </c>
      <c r="F44" s="104"/>
      <c r="G44" s="104"/>
      <c r="H44" s="104"/>
      <c r="I44" s="105"/>
      <c r="J44" s="104"/>
      <c r="K44" s="104"/>
      <c r="L44" s="104"/>
      <c r="M44" s="104"/>
      <c r="N44" s="105"/>
      <c r="O44" s="484"/>
      <c r="R44" s="100">
        <v>4</v>
      </c>
      <c r="S44" s="101">
        <f t="shared" si="30"/>
        <v>0</v>
      </c>
      <c r="T44" s="29"/>
      <c r="AC44" s="104" t="e">
        <f>#REF!*0.8</f>
        <v>#REF!</v>
      </c>
      <c r="AD44" s="97" t="e">
        <f t="shared" si="20"/>
        <v>#REF!</v>
      </c>
      <c r="AE44" s="104"/>
      <c r="AF44" s="104"/>
      <c r="AG44" s="104" t="e">
        <f>#REF!*0.8</f>
        <v>#REF!</v>
      </c>
      <c r="AH44" s="98" t="e">
        <f t="shared" si="21"/>
        <v>#REF!</v>
      </c>
      <c r="AI44" s="104"/>
      <c r="AJ44" s="104"/>
      <c r="AK44" s="104" t="e">
        <f>#REF!*0.8</f>
        <v>#REF!</v>
      </c>
      <c r="AL44" s="98" t="e">
        <f t="shared" si="22"/>
        <v>#REF!</v>
      </c>
      <c r="AM44" s="104"/>
      <c r="AN44" s="104"/>
      <c r="AO44" s="104" t="e">
        <f>#REF!*0.8</f>
        <v>#REF!</v>
      </c>
      <c r="AP44" s="98" t="e">
        <f t="shared" si="23"/>
        <v>#REF!</v>
      </c>
      <c r="AQ44" s="104"/>
      <c r="AR44" s="104"/>
      <c r="AS44" s="104" t="e">
        <f>#REF!*0.8</f>
        <v>#REF!</v>
      </c>
      <c r="AT44" s="98" t="e">
        <f t="shared" si="24"/>
        <v>#REF!</v>
      </c>
      <c r="AU44" s="104"/>
      <c r="AV44" s="104"/>
      <c r="AW44" s="104" t="e">
        <f>#REF!*0.8</f>
        <v>#REF!</v>
      </c>
      <c r="AX44" s="98" t="e">
        <f t="shared" si="25"/>
        <v>#REF!</v>
      </c>
      <c r="AY44" s="104"/>
      <c r="AZ44" s="104"/>
      <c r="BB44" s="104" t="e">
        <f>#REF!*0.8</f>
        <v>#REF!</v>
      </c>
      <c r="BC44" s="104" t="e">
        <f>#REF!*0.8</f>
        <v>#REF!</v>
      </c>
      <c r="BD44" s="104" t="e">
        <f>#REF!*0.8</f>
        <v>#REF!</v>
      </c>
      <c r="BE44" s="104" t="e">
        <f>#REF!*0.8</f>
        <v>#REF!</v>
      </c>
      <c r="BF44" s="101" t="e">
        <f t="shared" si="8"/>
        <v>#REF!</v>
      </c>
      <c r="BG44" s="101" t="e">
        <f t="shared" si="9"/>
        <v>#REF!</v>
      </c>
      <c r="BH44" s="227" t="e">
        <f t="shared" si="26"/>
        <v>#REF!</v>
      </c>
      <c r="BI44" s="227" t="e">
        <f t="shared" si="27"/>
        <v>#REF!</v>
      </c>
      <c r="BJ44" s="227" t="e">
        <f t="shared" si="28"/>
        <v>#REF!</v>
      </c>
      <c r="BK44" s="227" t="e">
        <f t="shared" si="29"/>
        <v>#REF!</v>
      </c>
    </row>
    <row r="45" spans="1:65" ht="15.75" hidden="1" customHeight="1">
      <c r="A45" s="248"/>
      <c r="B45" s="292" t="s">
        <v>782</v>
      </c>
      <c r="C45" s="248"/>
      <c r="D45" s="106">
        <v>36</v>
      </c>
      <c r="E45" s="248"/>
      <c r="F45" s="106"/>
      <c r="G45" s="106"/>
      <c r="H45" s="106"/>
      <c r="I45" s="107"/>
      <c r="J45" s="106"/>
      <c r="K45" s="106"/>
      <c r="L45" s="106"/>
      <c r="M45" s="106"/>
      <c r="N45" s="107"/>
      <c r="O45" s="485"/>
      <c r="R45" s="100">
        <v>36</v>
      </c>
      <c r="S45" s="101">
        <f t="shared" si="30"/>
        <v>0</v>
      </c>
      <c r="T45" s="29"/>
      <c r="AC45" s="106"/>
      <c r="AD45" s="97">
        <f t="shared" si="20"/>
        <v>0</v>
      </c>
      <c r="AE45" s="106"/>
      <c r="AF45" s="106"/>
      <c r="AG45" s="106">
        <f>144*11</f>
        <v>1584</v>
      </c>
      <c r="AH45" s="98">
        <f t="shared" si="21"/>
        <v>44</v>
      </c>
      <c r="AI45" s="106"/>
      <c r="AJ45" s="106"/>
      <c r="AK45" s="106"/>
      <c r="AL45" s="98">
        <f t="shared" si="22"/>
        <v>0</v>
      </c>
      <c r="AM45" s="106"/>
      <c r="AN45" s="106"/>
      <c r="AO45" s="106">
        <f>144*11</f>
        <v>1584</v>
      </c>
      <c r="AP45" s="98">
        <f t="shared" si="23"/>
        <v>44</v>
      </c>
      <c r="AQ45" s="106"/>
      <c r="AR45" s="106"/>
      <c r="AS45" s="106"/>
      <c r="AT45" s="98">
        <f t="shared" si="24"/>
        <v>0</v>
      </c>
      <c r="AU45" s="106"/>
      <c r="AV45" s="106"/>
      <c r="AW45" s="106">
        <f>144*11</f>
        <v>1584</v>
      </c>
      <c r="AX45" s="98">
        <f t="shared" si="25"/>
        <v>44</v>
      </c>
      <c r="AY45" s="106"/>
      <c r="AZ45" s="106"/>
      <c r="BB45" s="106">
        <f>144*11</f>
        <v>1584</v>
      </c>
      <c r="BC45" s="106">
        <f>144*11</f>
        <v>1584</v>
      </c>
      <c r="BD45" s="106">
        <f>144*11</f>
        <v>1584</v>
      </c>
      <c r="BE45" s="106">
        <f>144*11</f>
        <v>1584</v>
      </c>
      <c r="BF45" s="101">
        <f t="shared" si="8"/>
        <v>6336</v>
      </c>
      <c r="BG45" s="101">
        <f t="shared" si="9"/>
        <v>-6336</v>
      </c>
      <c r="BH45" s="227">
        <f t="shared" si="26"/>
        <v>44</v>
      </c>
      <c r="BI45" s="227">
        <f t="shared" si="27"/>
        <v>44</v>
      </c>
      <c r="BJ45" s="227">
        <f t="shared" si="28"/>
        <v>44</v>
      </c>
      <c r="BK45" s="227">
        <f t="shared" si="29"/>
        <v>44</v>
      </c>
    </row>
    <row r="46" spans="1:65">
      <c r="A46" s="248"/>
      <c r="B46" s="292" t="s">
        <v>759</v>
      </c>
      <c r="C46" s="248"/>
      <c r="D46" s="106"/>
      <c r="E46" s="248"/>
      <c r="F46" s="106"/>
      <c r="G46" s="106"/>
      <c r="H46" s="106"/>
      <c r="I46" s="107"/>
      <c r="J46" s="106"/>
      <c r="K46" s="106"/>
      <c r="L46" s="106"/>
      <c r="M46" s="106"/>
      <c r="N46" s="107"/>
      <c r="O46" s="485"/>
      <c r="R46" s="100"/>
      <c r="S46" s="101">
        <f>K46</f>
        <v>0</v>
      </c>
      <c r="T46" s="29"/>
      <c r="AC46" s="106"/>
      <c r="AD46" s="97"/>
      <c r="AE46" s="106"/>
      <c r="AF46" s="106"/>
      <c r="AG46" s="106"/>
      <c r="AH46" s="98"/>
      <c r="AI46" s="106"/>
      <c r="AJ46" s="106"/>
      <c r="AK46" s="106"/>
      <c r="AL46" s="98"/>
      <c r="AM46" s="106"/>
      <c r="AN46" s="106"/>
      <c r="AO46" s="106"/>
      <c r="AP46" s="98"/>
      <c r="AQ46" s="106"/>
      <c r="AR46" s="106"/>
      <c r="AS46" s="106"/>
      <c r="AT46" s="98"/>
      <c r="AU46" s="106"/>
      <c r="AV46" s="106"/>
      <c r="AW46" s="106"/>
      <c r="AX46" s="98"/>
      <c r="AY46" s="106"/>
      <c r="AZ46" s="106"/>
      <c r="BB46" s="106"/>
      <c r="BC46" s="106"/>
      <c r="BD46" s="106"/>
      <c r="BE46" s="106"/>
      <c r="BF46" s="101">
        <f t="shared" si="8"/>
        <v>0</v>
      </c>
      <c r="BG46" s="101">
        <f t="shared" si="9"/>
        <v>0</v>
      </c>
      <c r="BH46" s="227"/>
      <c r="BI46" s="227"/>
      <c r="BJ46" s="227"/>
      <c r="BK46" s="227"/>
    </row>
    <row r="47" spans="1:65">
      <c r="A47" s="87">
        <v>3</v>
      </c>
      <c r="B47" s="287" t="s">
        <v>652</v>
      </c>
      <c r="C47" s="87"/>
      <c r="D47" s="92"/>
      <c r="E47" s="87"/>
      <c r="F47" s="92"/>
      <c r="G47" s="92">
        <f>SUM(G48:G61)</f>
        <v>0</v>
      </c>
      <c r="H47" s="92"/>
      <c r="I47" s="91">
        <f>IFERROR(G47/H47,0)</f>
        <v>0</v>
      </c>
      <c r="J47" s="92"/>
      <c r="K47" s="92">
        <f>SUM(K48:K61)</f>
        <v>0</v>
      </c>
      <c r="L47" s="92"/>
      <c r="M47" s="92"/>
      <c r="N47" s="91">
        <f>IFERROR(L47/M47,0)</f>
        <v>0</v>
      </c>
      <c r="O47" s="483"/>
      <c r="P47" s="101">
        <f>L47/26</f>
        <v>0</v>
      </c>
      <c r="R47" s="100"/>
      <c r="S47" s="94">
        <f>SUM(S48:S61)</f>
        <v>0</v>
      </c>
      <c r="T47" s="95" t="e">
        <f>S47/L47</f>
        <v>#DIV/0!</v>
      </c>
      <c r="AC47" s="90"/>
      <c r="AD47" s="92" t="e">
        <f>SUM(AD48:AD61)</f>
        <v>#REF!</v>
      </c>
      <c r="AE47" s="92">
        <f>VLOOKUP($B47,'[5]Eqpmnt &amp; MP Days'!$B$14:$H$17,2,0)</f>
        <v>5</v>
      </c>
      <c r="AF47" s="91" t="str">
        <f>IFERROR(AD47/AE47,"")</f>
        <v/>
      </c>
      <c r="AG47" s="92"/>
      <c r="AH47" s="92" t="e">
        <f>SUM(AH48:AH61)</f>
        <v>#REF!</v>
      </c>
      <c r="AI47" s="92">
        <f>VLOOKUP($B47,'[5]Eqpmnt &amp; MP Days'!$B$14:$H$17,3,0)</f>
        <v>140</v>
      </c>
      <c r="AJ47" s="91" t="str">
        <f>IFERROR(AH47/AI47,"")</f>
        <v/>
      </c>
      <c r="AK47" s="90"/>
      <c r="AL47" s="92" t="e">
        <f>SUM(AL48:AL61)</f>
        <v>#REF!</v>
      </c>
      <c r="AM47" s="92">
        <f>VLOOKUP($B47,'[5]Eqpmnt &amp; MP Days'!$B$14:$H$17,4,0)</f>
        <v>3</v>
      </c>
      <c r="AN47" s="91" t="str">
        <f>IFERROR(AL47/AM47,"")</f>
        <v/>
      </c>
      <c r="AO47" s="92"/>
      <c r="AP47" s="92" t="e">
        <f>SUM(AP48:AP61)</f>
        <v>#REF!</v>
      </c>
      <c r="AQ47" s="92">
        <f>VLOOKUP($B47,'[5]Eqpmnt &amp; MP Days'!$B$14:$H$17,5,0)</f>
        <v>84</v>
      </c>
      <c r="AR47" s="91" t="str">
        <f>IFERROR(AP47/AQ47,"")</f>
        <v/>
      </c>
      <c r="AS47" s="90"/>
      <c r="AT47" s="92" t="e">
        <f>SUM(AT48:AT61)</f>
        <v>#REF!</v>
      </c>
      <c r="AU47" s="92">
        <f>VLOOKUP($B47,'[5]Eqpmnt &amp; MP Days'!$B$14:$H$17,6,0)</f>
        <v>104</v>
      </c>
      <c r="AV47" s="91" t="str">
        <f>IFERROR(AT47/AU47,"")</f>
        <v/>
      </c>
      <c r="AW47" s="92"/>
      <c r="AX47" s="92" t="e">
        <f>SUM(AX48:AX61)</f>
        <v>#REF!</v>
      </c>
      <c r="AY47" s="92">
        <f>VLOOKUP($B47,'[5]Eqpmnt &amp; MP Days'!$B$14:$H$17,7,0)</f>
        <v>2867</v>
      </c>
      <c r="AZ47" s="91" t="str">
        <f>IFERROR(AX47/AY47,"")</f>
        <v/>
      </c>
      <c r="BB47" s="92"/>
      <c r="BC47" s="92"/>
      <c r="BD47" s="92"/>
      <c r="BE47" s="92"/>
      <c r="BF47" s="101">
        <f t="shared" si="8"/>
        <v>0</v>
      </c>
      <c r="BG47" s="101">
        <f t="shared" si="9"/>
        <v>0</v>
      </c>
      <c r="BH47" s="227"/>
      <c r="BI47" s="227"/>
      <c r="BJ47" s="227"/>
      <c r="BK47" s="227"/>
    </row>
    <row r="48" spans="1:65">
      <c r="A48" s="96"/>
      <c r="B48" s="288" t="s">
        <v>653</v>
      </c>
      <c r="C48" s="96" t="s">
        <v>456</v>
      </c>
      <c r="D48" s="293">
        <v>0.5</v>
      </c>
      <c r="E48" s="96" t="s">
        <v>456</v>
      </c>
      <c r="F48" s="98"/>
      <c r="G48" s="98"/>
      <c r="H48" s="98"/>
      <c r="I48" s="99"/>
      <c r="J48" s="98"/>
      <c r="K48" s="98"/>
      <c r="L48" s="98"/>
      <c r="M48" s="98"/>
      <c r="N48" s="232"/>
      <c r="O48" s="484"/>
      <c r="R48" s="108">
        <v>0.5</v>
      </c>
      <c r="S48" s="101">
        <f>J48/R48</f>
        <v>0</v>
      </c>
      <c r="T48" s="29"/>
      <c r="AC48" s="98" t="e">
        <f>#REF!+#REF!</f>
        <v>#REF!</v>
      </c>
      <c r="AD48" s="97" t="e">
        <f t="shared" ref="AD48:AD61" si="37">AC48/D48</f>
        <v>#REF!</v>
      </c>
      <c r="AE48" s="98"/>
      <c r="AF48" s="98"/>
      <c r="AG48" s="98" t="e">
        <f>#REF!+#REF!</f>
        <v>#REF!</v>
      </c>
      <c r="AH48" s="98" t="e">
        <f t="shared" ref="AH48:AH112" si="38">AG48/D48</f>
        <v>#REF!</v>
      </c>
      <c r="AI48" s="98"/>
      <c r="AJ48" s="98"/>
      <c r="AK48" s="98" t="e">
        <f>#REF!+#REF!</f>
        <v>#REF!</v>
      </c>
      <c r="AL48" s="98" t="e">
        <f t="shared" si="22"/>
        <v>#REF!</v>
      </c>
      <c r="AM48" s="98"/>
      <c r="AN48" s="98"/>
      <c r="AO48" s="98" t="e">
        <f>#REF!+#REF!</f>
        <v>#REF!</v>
      </c>
      <c r="AP48" s="98" t="e">
        <f t="shared" ref="AP48:AP61" si="39">AO48/D48</f>
        <v>#REF!</v>
      </c>
      <c r="AQ48" s="98"/>
      <c r="AR48" s="98"/>
      <c r="AS48" s="98" t="e">
        <f>#REF!+#REF!</f>
        <v>#REF!</v>
      </c>
      <c r="AT48" s="98" t="e">
        <f t="shared" ref="AT48:AT61" si="40">AS48/$D48</f>
        <v>#REF!</v>
      </c>
      <c r="AU48" s="98"/>
      <c r="AV48" s="98"/>
      <c r="AW48" s="98" t="e">
        <f>#REF!+#REF!</f>
        <v>#REF!</v>
      </c>
      <c r="AX48" s="98" t="e">
        <f t="shared" ref="AX48:AX112" si="41">AW48/$D48</f>
        <v>#REF!</v>
      </c>
      <c r="AY48" s="98"/>
      <c r="AZ48" s="98"/>
      <c r="BB48" s="98" t="e">
        <f>#REF!+#REF!</f>
        <v>#REF!</v>
      </c>
      <c r="BC48" s="98" t="e">
        <f>#REF!+#REF!</f>
        <v>#REF!</v>
      </c>
      <c r="BD48" s="98" t="e">
        <f>#REF!+#REF!</f>
        <v>#REF!</v>
      </c>
      <c r="BE48" s="98" t="e">
        <f>#REF!+#REF!</f>
        <v>#REF!</v>
      </c>
      <c r="BF48" s="101" t="e">
        <f t="shared" si="8"/>
        <v>#REF!</v>
      </c>
      <c r="BG48" s="101" t="e">
        <f t="shared" si="9"/>
        <v>#REF!</v>
      </c>
      <c r="BH48" s="227" t="e">
        <f t="shared" ref="BH48:BH61" si="42">BB48/$D48</f>
        <v>#REF!</v>
      </c>
      <c r="BI48" s="227" t="e">
        <f t="shared" ref="BI48:BI61" si="43">BC48/$D48</f>
        <v>#REF!</v>
      </c>
      <c r="BJ48" s="227" t="e">
        <f t="shared" ref="BJ48:BJ61" si="44">BD48/$D48</f>
        <v>#REF!</v>
      </c>
      <c r="BK48" s="227" t="e">
        <f t="shared" ref="BK48:BK61" si="45">BE48/$D48</f>
        <v>#REF!</v>
      </c>
    </row>
    <row r="49" spans="1:63">
      <c r="A49" s="109"/>
      <c r="B49" s="294" t="s">
        <v>783</v>
      </c>
      <c r="C49" s="109" t="s">
        <v>456</v>
      </c>
      <c r="D49" s="295">
        <v>3.5</v>
      </c>
      <c r="E49" s="109" t="s">
        <v>456</v>
      </c>
      <c r="F49" s="110"/>
      <c r="G49" s="98"/>
      <c r="H49" s="110"/>
      <c r="I49" s="112"/>
      <c r="J49" s="110"/>
      <c r="K49" s="98"/>
      <c r="L49" s="110"/>
      <c r="M49" s="110"/>
      <c r="N49" s="232"/>
      <c r="O49" s="484"/>
      <c r="R49" s="108">
        <v>3.5</v>
      </c>
      <c r="S49" s="101">
        <f>J49/R49</f>
        <v>0</v>
      </c>
      <c r="T49" s="29"/>
      <c r="AC49" s="110" t="e">
        <f>AC48</f>
        <v>#REF!</v>
      </c>
      <c r="AD49" s="97" t="e">
        <f t="shared" si="37"/>
        <v>#REF!</v>
      </c>
      <c r="AE49" s="110"/>
      <c r="AF49" s="110"/>
      <c r="AG49" s="110" t="e">
        <f>AG48</f>
        <v>#REF!</v>
      </c>
      <c r="AH49" s="98" t="e">
        <f t="shared" si="38"/>
        <v>#REF!</v>
      </c>
      <c r="AI49" s="98"/>
      <c r="AJ49" s="110"/>
      <c r="AK49" s="110" t="e">
        <f>AK48</f>
        <v>#REF!</v>
      </c>
      <c r="AL49" s="98" t="e">
        <f t="shared" si="22"/>
        <v>#REF!</v>
      </c>
      <c r="AM49" s="110"/>
      <c r="AN49" s="110"/>
      <c r="AO49" s="110" t="e">
        <f>AO48</f>
        <v>#REF!</v>
      </c>
      <c r="AP49" s="98" t="e">
        <f t="shared" si="39"/>
        <v>#REF!</v>
      </c>
      <c r="AQ49" s="110"/>
      <c r="AR49" s="110"/>
      <c r="AS49" s="110" t="e">
        <f>AS48</f>
        <v>#REF!</v>
      </c>
      <c r="AT49" s="98" t="e">
        <f t="shared" si="40"/>
        <v>#REF!</v>
      </c>
      <c r="AU49" s="110"/>
      <c r="AV49" s="110"/>
      <c r="AW49" s="110" t="e">
        <f>AW48</f>
        <v>#REF!</v>
      </c>
      <c r="AX49" s="98" t="e">
        <f t="shared" si="41"/>
        <v>#REF!</v>
      </c>
      <c r="AY49" s="110"/>
      <c r="AZ49" s="110"/>
      <c r="BB49" s="110" t="e">
        <f>BB48</f>
        <v>#REF!</v>
      </c>
      <c r="BC49" s="110" t="e">
        <f>BC48</f>
        <v>#REF!</v>
      </c>
      <c r="BD49" s="110" t="e">
        <f>BD48</f>
        <v>#REF!</v>
      </c>
      <c r="BE49" s="110" t="e">
        <f>BE48</f>
        <v>#REF!</v>
      </c>
      <c r="BF49" s="101" t="e">
        <f t="shared" si="8"/>
        <v>#REF!</v>
      </c>
      <c r="BG49" s="101" t="e">
        <f t="shared" si="9"/>
        <v>#REF!</v>
      </c>
      <c r="BH49" s="227" t="e">
        <f t="shared" si="42"/>
        <v>#REF!</v>
      </c>
      <c r="BI49" s="227" t="e">
        <f t="shared" si="43"/>
        <v>#REF!</v>
      </c>
      <c r="BJ49" s="227" t="e">
        <f t="shared" si="44"/>
        <v>#REF!</v>
      </c>
      <c r="BK49" s="227" t="e">
        <f t="shared" si="45"/>
        <v>#REF!</v>
      </c>
    </row>
    <row r="50" spans="1:63">
      <c r="A50" s="102"/>
      <c r="B50" s="289" t="s">
        <v>655</v>
      </c>
      <c r="C50" s="102" t="s">
        <v>456</v>
      </c>
      <c r="D50" s="296">
        <v>0.21</v>
      </c>
      <c r="E50" s="102" t="s">
        <v>456</v>
      </c>
      <c r="F50" s="104"/>
      <c r="G50" s="104"/>
      <c r="H50" s="104"/>
      <c r="I50" s="105"/>
      <c r="J50" s="104"/>
      <c r="K50" s="104"/>
      <c r="L50" s="104"/>
      <c r="M50" s="104"/>
      <c r="N50" s="232"/>
      <c r="O50" s="484"/>
      <c r="R50" s="108">
        <v>0.2</v>
      </c>
      <c r="S50" s="101">
        <f t="shared" ref="S50:S61" si="46">J50/R50</f>
        <v>0</v>
      </c>
      <c r="T50" s="29"/>
      <c r="AC50" s="103" t="e">
        <f>#REF!+#REF!</f>
        <v>#REF!</v>
      </c>
      <c r="AD50" s="97" t="e">
        <f t="shared" si="37"/>
        <v>#REF!</v>
      </c>
      <c r="AE50" s="103"/>
      <c r="AF50" s="103"/>
      <c r="AG50" s="103" t="e">
        <f>#REF!+#REF!</f>
        <v>#REF!</v>
      </c>
      <c r="AH50" s="98" t="e">
        <f t="shared" si="38"/>
        <v>#REF!</v>
      </c>
      <c r="AI50" s="103"/>
      <c r="AJ50" s="103"/>
      <c r="AK50" s="103" t="e">
        <f>#REF!+#REF!</f>
        <v>#REF!</v>
      </c>
      <c r="AL50" s="98" t="e">
        <f t="shared" si="22"/>
        <v>#REF!</v>
      </c>
      <c r="AM50" s="103"/>
      <c r="AN50" s="103"/>
      <c r="AO50" s="103" t="e">
        <f>#REF!+#REF!</f>
        <v>#REF!</v>
      </c>
      <c r="AP50" s="98" t="e">
        <f t="shared" si="39"/>
        <v>#REF!</v>
      </c>
      <c r="AQ50" s="103"/>
      <c r="AR50" s="103"/>
      <c r="AS50" s="103" t="e">
        <f>#REF!+#REF!</f>
        <v>#REF!</v>
      </c>
      <c r="AT50" s="98" t="e">
        <f t="shared" si="40"/>
        <v>#REF!</v>
      </c>
      <c r="AU50" s="103"/>
      <c r="AV50" s="103"/>
      <c r="AW50" s="103" t="e">
        <f>#REF!+#REF!</f>
        <v>#REF!</v>
      </c>
      <c r="AX50" s="98" t="e">
        <f t="shared" si="41"/>
        <v>#REF!</v>
      </c>
      <c r="AY50" s="103"/>
      <c r="AZ50" s="103"/>
      <c r="BB50" s="103" t="e">
        <f>#REF!+#REF!</f>
        <v>#REF!</v>
      </c>
      <c r="BC50" s="103" t="e">
        <f>#REF!+#REF!</f>
        <v>#REF!</v>
      </c>
      <c r="BD50" s="103" t="e">
        <f>#REF!+#REF!</f>
        <v>#REF!</v>
      </c>
      <c r="BE50" s="103" t="e">
        <f>#REF!+#REF!</f>
        <v>#REF!</v>
      </c>
      <c r="BF50" s="101" t="e">
        <f t="shared" si="8"/>
        <v>#REF!</v>
      </c>
      <c r="BG50" s="101" t="e">
        <f t="shared" si="9"/>
        <v>#REF!</v>
      </c>
      <c r="BH50" s="227" t="e">
        <f t="shared" si="42"/>
        <v>#REF!</v>
      </c>
      <c r="BI50" s="227" t="e">
        <f t="shared" si="43"/>
        <v>#REF!</v>
      </c>
      <c r="BJ50" s="227" t="e">
        <f t="shared" si="44"/>
        <v>#REF!</v>
      </c>
      <c r="BK50" s="227" t="e">
        <f t="shared" si="45"/>
        <v>#REF!</v>
      </c>
    </row>
    <row r="51" spans="1:63">
      <c r="A51" s="102"/>
      <c r="B51" s="289" t="s">
        <v>785</v>
      </c>
      <c r="C51" s="102" t="s">
        <v>456</v>
      </c>
      <c r="D51" s="296">
        <v>0.15</v>
      </c>
      <c r="E51" s="102" t="s">
        <v>456</v>
      </c>
      <c r="F51" s="104"/>
      <c r="G51" s="104"/>
      <c r="H51" s="104"/>
      <c r="I51" s="105"/>
      <c r="J51" s="104"/>
      <c r="K51" s="104"/>
      <c r="L51" s="104"/>
      <c r="M51" s="104"/>
      <c r="N51" s="105"/>
      <c r="O51" s="485"/>
      <c r="Q51" s="113">
        <f>J51/11/11</f>
        <v>0</v>
      </c>
      <c r="R51" s="108">
        <v>7.4999999999999997E-2</v>
      </c>
      <c r="S51" s="101">
        <f t="shared" si="46"/>
        <v>0</v>
      </c>
      <c r="T51" s="29"/>
      <c r="AC51" s="103" t="e">
        <f>#REF!*0.163</f>
        <v>#REF!</v>
      </c>
      <c r="AD51" s="97" t="e">
        <f t="shared" si="37"/>
        <v>#REF!</v>
      </c>
      <c r="AE51" s="103"/>
      <c r="AF51" s="103"/>
      <c r="AG51" s="103" t="e">
        <f>#REF!*0.163</f>
        <v>#REF!</v>
      </c>
      <c r="AH51" s="98" t="e">
        <f t="shared" si="38"/>
        <v>#REF!</v>
      </c>
      <c r="AI51" s="103"/>
      <c r="AJ51" s="103"/>
      <c r="AK51" s="103" t="e">
        <f>#REF!*0.163</f>
        <v>#REF!</v>
      </c>
      <c r="AL51" s="98" t="e">
        <f t="shared" si="22"/>
        <v>#REF!</v>
      </c>
      <c r="AM51" s="103"/>
      <c r="AN51" s="103"/>
      <c r="AO51" s="103" t="e">
        <f>#REF!*0.163</f>
        <v>#REF!</v>
      </c>
      <c r="AP51" s="98" t="e">
        <f t="shared" si="39"/>
        <v>#REF!</v>
      </c>
      <c r="AQ51" s="103"/>
      <c r="AR51" s="103"/>
      <c r="AS51" s="103" t="e">
        <f>#REF!*0.163</f>
        <v>#REF!</v>
      </c>
      <c r="AT51" s="98" t="e">
        <f t="shared" si="40"/>
        <v>#REF!</v>
      </c>
      <c r="AU51" s="103"/>
      <c r="AV51" s="103"/>
      <c r="AW51" s="103" t="e">
        <f>#REF!*0.163</f>
        <v>#REF!</v>
      </c>
      <c r="AX51" s="98" t="e">
        <f t="shared" si="41"/>
        <v>#REF!</v>
      </c>
      <c r="AY51" s="103"/>
      <c r="AZ51" s="103"/>
      <c r="BB51" s="103" t="e">
        <f>#REF!*0.163</f>
        <v>#REF!</v>
      </c>
      <c r="BC51" s="103" t="e">
        <f>#REF!*0.163</f>
        <v>#REF!</v>
      </c>
      <c r="BD51" s="103" t="e">
        <f>#REF!*0.163</f>
        <v>#REF!</v>
      </c>
      <c r="BE51" s="103" t="e">
        <f>#REF!*0.163</f>
        <v>#REF!</v>
      </c>
      <c r="BF51" s="101" t="e">
        <f t="shared" si="8"/>
        <v>#REF!</v>
      </c>
      <c r="BG51" s="101" t="e">
        <f t="shared" si="9"/>
        <v>#REF!</v>
      </c>
      <c r="BH51" s="227" t="e">
        <f t="shared" si="42"/>
        <v>#REF!</v>
      </c>
      <c r="BI51" s="227" t="e">
        <f t="shared" si="43"/>
        <v>#REF!</v>
      </c>
      <c r="BJ51" s="227" t="e">
        <f t="shared" si="44"/>
        <v>#REF!</v>
      </c>
      <c r="BK51" s="227" t="e">
        <f t="shared" si="45"/>
        <v>#REF!</v>
      </c>
    </row>
    <row r="52" spans="1:63">
      <c r="A52" s="102"/>
      <c r="B52" s="289" t="s">
        <v>779</v>
      </c>
      <c r="C52" s="102" t="s">
        <v>456</v>
      </c>
      <c r="D52" s="296">
        <v>0.2</v>
      </c>
      <c r="E52" s="102" t="s">
        <v>456</v>
      </c>
      <c r="F52" s="104"/>
      <c r="G52" s="104"/>
      <c r="H52" s="104"/>
      <c r="I52" s="105"/>
      <c r="J52" s="104"/>
      <c r="K52" s="104"/>
      <c r="L52" s="104"/>
      <c r="M52" s="104"/>
      <c r="N52" s="105"/>
      <c r="O52" s="485"/>
      <c r="Q52" s="113"/>
      <c r="R52" s="108">
        <v>0.2</v>
      </c>
      <c r="S52" s="101">
        <f t="shared" si="46"/>
        <v>0</v>
      </c>
      <c r="T52" s="29"/>
      <c r="AC52" s="103" t="e">
        <f>AC15*0.08</f>
        <v>#REF!</v>
      </c>
      <c r="AD52" s="97" t="e">
        <f t="shared" si="37"/>
        <v>#REF!</v>
      </c>
      <c r="AE52" s="103"/>
      <c r="AF52" s="103"/>
      <c r="AG52" s="103" t="e">
        <f>AG15*0.08</f>
        <v>#REF!</v>
      </c>
      <c r="AH52" s="98" t="e">
        <f t="shared" si="38"/>
        <v>#REF!</v>
      </c>
      <c r="AI52" s="103"/>
      <c r="AJ52" s="103"/>
      <c r="AK52" s="103" t="e">
        <f>AK15*0.08</f>
        <v>#REF!</v>
      </c>
      <c r="AL52" s="98" t="e">
        <f t="shared" si="22"/>
        <v>#REF!</v>
      </c>
      <c r="AM52" s="103"/>
      <c r="AN52" s="103"/>
      <c r="AO52" s="103" t="e">
        <f>AO15*0.08</f>
        <v>#REF!</v>
      </c>
      <c r="AP52" s="98" t="e">
        <f t="shared" si="39"/>
        <v>#REF!</v>
      </c>
      <c r="AQ52" s="103"/>
      <c r="AR52" s="103"/>
      <c r="AS52" s="103" t="e">
        <f>AS15*0.08</f>
        <v>#REF!</v>
      </c>
      <c r="AT52" s="98" t="e">
        <f t="shared" si="40"/>
        <v>#REF!</v>
      </c>
      <c r="AU52" s="103"/>
      <c r="AV52" s="103"/>
      <c r="AW52" s="103" t="e">
        <f>AW15*0.08</f>
        <v>#REF!</v>
      </c>
      <c r="AX52" s="98" t="e">
        <f t="shared" si="41"/>
        <v>#REF!</v>
      </c>
      <c r="AY52" s="103"/>
      <c r="AZ52" s="103"/>
      <c r="BB52" s="103" t="e">
        <f>BB15*0.08</f>
        <v>#REF!</v>
      </c>
      <c r="BC52" s="103" t="e">
        <f>BC15*0.08</f>
        <v>#REF!</v>
      </c>
      <c r="BD52" s="103" t="e">
        <f>BD15*0.08</f>
        <v>#REF!</v>
      </c>
      <c r="BE52" s="103" t="e">
        <f>BE15*0.08</f>
        <v>#REF!</v>
      </c>
      <c r="BF52" s="101" t="e">
        <f t="shared" si="8"/>
        <v>#REF!</v>
      </c>
      <c r="BG52" s="101" t="e">
        <f t="shared" si="9"/>
        <v>#REF!</v>
      </c>
      <c r="BH52" s="227" t="e">
        <f t="shared" si="42"/>
        <v>#REF!</v>
      </c>
      <c r="BI52" s="227" t="e">
        <f t="shared" si="43"/>
        <v>#REF!</v>
      </c>
      <c r="BJ52" s="227" t="e">
        <f t="shared" si="44"/>
        <v>#REF!</v>
      </c>
      <c r="BK52" s="227" t="e">
        <f t="shared" si="45"/>
        <v>#REF!</v>
      </c>
    </row>
    <row r="53" spans="1:63">
      <c r="A53" s="102"/>
      <c r="B53" s="289" t="s">
        <v>784</v>
      </c>
      <c r="C53" s="102" t="s">
        <v>456</v>
      </c>
      <c r="D53" s="296">
        <v>0.2</v>
      </c>
      <c r="E53" s="102" t="s">
        <v>456</v>
      </c>
      <c r="F53" s="104"/>
      <c r="G53" s="104"/>
      <c r="H53" s="104"/>
      <c r="I53" s="105"/>
      <c r="J53" s="104"/>
      <c r="K53" s="104"/>
      <c r="L53" s="104"/>
      <c r="M53" s="104"/>
      <c r="N53" s="105"/>
      <c r="O53" s="485"/>
      <c r="R53" s="108">
        <v>0.2</v>
      </c>
      <c r="S53" s="101">
        <f t="shared" si="46"/>
        <v>0</v>
      </c>
      <c r="T53" s="29"/>
      <c r="AC53" s="103" t="e">
        <f>#REF!*0.03</f>
        <v>#REF!</v>
      </c>
      <c r="AD53" s="97" t="e">
        <f t="shared" si="37"/>
        <v>#REF!</v>
      </c>
      <c r="AE53" s="103"/>
      <c r="AF53" s="103"/>
      <c r="AG53" s="103" t="e">
        <f>#REF!*0.03</f>
        <v>#REF!</v>
      </c>
      <c r="AH53" s="98" t="e">
        <f t="shared" si="38"/>
        <v>#REF!</v>
      </c>
      <c r="AI53" s="103"/>
      <c r="AJ53" s="103"/>
      <c r="AK53" s="103" t="e">
        <f>#REF!*0.03</f>
        <v>#REF!</v>
      </c>
      <c r="AL53" s="98" t="e">
        <f t="shared" si="22"/>
        <v>#REF!</v>
      </c>
      <c r="AM53" s="103"/>
      <c r="AN53" s="103"/>
      <c r="AO53" s="103" t="e">
        <f>#REF!*0.03</f>
        <v>#REF!</v>
      </c>
      <c r="AP53" s="98" t="e">
        <f t="shared" si="39"/>
        <v>#REF!</v>
      </c>
      <c r="AQ53" s="103"/>
      <c r="AR53" s="103"/>
      <c r="AS53" s="103" t="e">
        <f>#REF!*0.03</f>
        <v>#REF!</v>
      </c>
      <c r="AT53" s="98" t="e">
        <f t="shared" si="40"/>
        <v>#REF!</v>
      </c>
      <c r="AU53" s="103"/>
      <c r="AV53" s="103"/>
      <c r="AW53" s="103" t="e">
        <f>#REF!*0.03</f>
        <v>#REF!</v>
      </c>
      <c r="AX53" s="98" t="e">
        <f t="shared" si="41"/>
        <v>#REF!</v>
      </c>
      <c r="AY53" s="103"/>
      <c r="AZ53" s="103"/>
      <c r="BB53" s="103" t="e">
        <f>#REF!*0.03</f>
        <v>#REF!</v>
      </c>
      <c r="BC53" s="103" t="e">
        <f>#REF!*0.03</f>
        <v>#REF!</v>
      </c>
      <c r="BD53" s="103" t="e">
        <f>#REF!*0.03</f>
        <v>#REF!</v>
      </c>
      <c r="BE53" s="103" t="e">
        <f>#REF!*0.03</f>
        <v>#REF!</v>
      </c>
      <c r="BF53" s="101" t="e">
        <f t="shared" si="8"/>
        <v>#REF!</v>
      </c>
      <c r="BG53" s="101" t="e">
        <f t="shared" si="9"/>
        <v>#REF!</v>
      </c>
      <c r="BH53" s="227" t="e">
        <f t="shared" si="42"/>
        <v>#REF!</v>
      </c>
      <c r="BI53" s="227" t="e">
        <f t="shared" si="43"/>
        <v>#REF!</v>
      </c>
      <c r="BJ53" s="227" t="e">
        <f t="shared" si="44"/>
        <v>#REF!</v>
      </c>
      <c r="BK53" s="227" t="e">
        <f t="shared" si="45"/>
        <v>#REF!</v>
      </c>
    </row>
    <row r="54" spans="1:63">
      <c r="A54" s="102"/>
      <c r="B54" s="289" t="s">
        <v>856</v>
      </c>
      <c r="C54" s="102" t="s">
        <v>814</v>
      </c>
      <c r="D54" s="296">
        <v>9</v>
      </c>
      <c r="E54" s="102" t="s">
        <v>814</v>
      </c>
      <c r="F54" s="104"/>
      <c r="G54" s="104"/>
      <c r="H54" s="104"/>
      <c r="I54" s="105"/>
      <c r="J54" s="104"/>
      <c r="K54" s="104"/>
      <c r="L54" s="104"/>
      <c r="M54" s="104"/>
      <c r="N54" s="105"/>
      <c r="O54" s="485"/>
      <c r="R54" s="108"/>
      <c r="S54" s="101"/>
      <c r="T54" s="29"/>
      <c r="AC54" s="103">
        <f>0*3.3</f>
        <v>0</v>
      </c>
      <c r="AD54" s="97">
        <f t="shared" si="37"/>
        <v>0</v>
      </c>
      <c r="AE54" s="103"/>
      <c r="AF54" s="103"/>
      <c r="AG54" s="103"/>
      <c r="AH54" s="98">
        <f t="shared" si="38"/>
        <v>0</v>
      </c>
      <c r="AI54" s="103"/>
      <c r="AJ54" s="103"/>
      <c r="AK54" s="103">
        <f>0*3.3</f>
        <v>0</v>
      </c>
      <c r="AL54" s="98">
        <f t="shared" si="22"/>
        <v>0</v>
      </c>
      <c r="AM54" s="103"/>
      <c r="AN54" s="103"/>
      <c r="AO54" s="103"/>
      <c r="AP54" s="98">
        <f t="shared" si="39"/>
        <v>0</v>
      </c>
      <c r="AQ54" s="103"/>
      <c r="AR54" s="103"/>
      <c r="AS54" s="103">
        <f>0*3.3</f>
        <v>0</v>
      </c>
      <c r="AT54" s="98">
        <f t="shared" si="40"/>
        <v>0</v>
      </c>
      <c r="AU54" s="103"/>
      <c r="AV54" s="103"/>
      <c r="AW54" s="103"/>
      <c r="AX54" s="98">
        <f t="shared" si="41"/>
        <v>0</v>
      </c>
      <c r="AY54" s="103"/>
      <c r="AZ54" s="103"/>
      <c r="BB54" s="103"/>
      <c r="BC54" s="103"/>
      <c r="BD54" s="103"/>
      <c r="BE54" s="103"/>
      <c r="BF54" s="101">
        <f t="shared" si="8"/>
        <v>0</v>
      </c>
      <c r="BG54" s="101">
        <f t="shared" si="9"/>
        <v>0</v>
      </c>
      <c r="BH54" s="227">
        <f t="shared" si="42"/>
        <v>0</v>
      </c>
      <c r="BI54" s="227">
        <f t="shared" si="43"/>
        <v>0</v>
      </c>
      <c r="BJ54" s="227">
        <f t="shared" si="44"/>
        <v>0</v>
      </c>
      <c r="BK54" s="227">
        <f t="shared" si="45"/>
        <v>0</v>
      </c>
    </row>
    <row r="55" spans="1:63">
      <c r="A55" s="102"/>
      <c r="B55" s="289" t="s">
        <v>828</v>
      </c>
      <c r="C55" s="102" t="s">
        <v>456</v>
      </c>
      <c r="D55" s="296">
        <v>0.33</v>
      </c>
      <c r="E55" s="102" t="s">
        <v>456</v>
      </c>
      <c r="F55" s="104"/>
      <c r="G55" s="104"/>
      <c r="H55" s="104"/>
      <c r="I55" s="105"/>
      <c r="J55" s="238"/>
      <c r="K55" s="104"/>
      <c r="L55" s="104"/>
      <c r="M55" s="104"/>
      <c r="N55" s="105"/>
      <c r="O55" s="485"/>
      <c r="R55" s="108"/>
      <c r="S55" s="101"/>
      <c r="T55" s="29"/>
      <c r="AC55" s="103" t="e">
        <f>#REF!</f>
        <v>#REF!</v>
      </c>
      <c r="AD55" s="97" t="e">
        <f t="shared" si="37"/>
        <v>#REF!</v>
      </c>
      <c r="AE55" s="103"/>
      <c r="AF55" s="103"/>
      <c r="AG55" s="103" t="e">
        <f>#REF!</f>
        <v>#REF!</v>
      </c>
      <c r="AH55" s="98" t="e">
        <f t="shared" si="38"/>
        <v>#REF!</v>
      </c>
      <c r="AI55" s="103"/>
      <c r="AJ55" s="103"/>
      <c r="AK55" s="103" t="e">
        <f>#REF!</f>
        <v>#REF!</v>
      </c>
      <c r="AL55" s="98" t="e">
        <f t="shared" si="22"/>
        <v>#REF!</v>
      </c>
      <c r="AM55" s="103"/>
      <c r="AN55" s="103"/>
      <c r="AO55" s="103" t="e">
        <f>#REF!</f>
        <v>#REF!</v>
      </c>
      <c r="AP55" s="98" t="e">
        <f t="shared" si="39"/>
        <v>#REF!</v>
      </c>
      <c r="AQ55" s="103"/>
      <c r="AR55" s="103"/>
      <c r="AS55" s="103" t="e">
        <f>#REF!</f>
        <v>#REF!</v>
      </c>
      <c r="AT55" s="98" t="e">
        <f t="shared" si="40"/>
        <v>#REF!</v>
      </c>
      <c r="AU55" s="103"/>
      <c r="AV55" s="103"/>
      <c r="AW55" s="103" t="e">
        <f>#REF!</f>
        <v>#REF!</v>
      </c>
      <c r="AX55" s="98" t="e">
        <f t="shared" si="41"/>
        <v>#REF!</v>
      </c>
      <c r="AY55" s="103"/>
      <c r="AZ55" s="103"/>
      <c r="BB55" s="239" t="e">
        <f>#REF!+#REF!</f>
        <v>#REF!</v>
      </c>
      <c r="BC55" s="239" t="e">
        <f>#REF!+#REF!</f>
        <v>#REF!</v>
      </c>
      <c r="BD55" s="239" t="e">
        <f>#REF!+#REF!</f>
        <v>#REF!</v>
      </c>
      <c r="BE55" s="239" t="e">
        <f>#REF!+#REF!</f>
        <v>#REF!</v>
      </c>
      <c r="BF55" s="101" t="e">
        <f t="shared" si="8"/>
        <v>#REF!</v>
      </c>
      <c r="BG55" s="101" t="e">
        <f t="shared" si="9"/>
        <v>#REF!</v>
      </c>
      <c r="BH55" s="227" t="e">
        <f t="shared" si="42"/>
        <v>#REF!</v>
      </c>
      <c r="BI55" s="227" t="e">
        <f t="shared" si="43"/>
        <v>#REF!</v>
      </c>
      <c r="BJ55" s="227" t="e">
        <f t="shared" si="44"/>
        <v>#REF!</v>
      </c>
      <c r="BK55" s="227" t="e">
        <f t="shared" si="45"/>
        <v>#REF!</v>
      </c>
    </row>
    <row r="56" spans="1:63">
      <c r="A56" s="102"/>
      <c r="B56" s="289" t="s">
        <v>841</v>
      </c>
      <c r="C56" s="102" t="s">
        <v>611</v>
      </c>
      <c r="D56" s="296">
        <v>17</v>
      </c>
      <c r="E56" s="102" t="s">
        <v>86</v>
      </c>
      <c r="F56" s="104"/>
      <c r="G56" s="104"/>
      <c r="H56" s="104"/>
      <c r="I56" s="105"/>
      <c r="J56" s="104"/>
      <c r="K56" s="104"/>
      <c r="L56" s="104"/>
      <c r="M56" s="104"/>
      <c r="N56" s="105"/>
      <c r="O56" s="485"/>
      <c r="R56" s="108"/>
      <c r="S56" s="101"/>
      <c r="T56" s="29"/>
      <c r="AC56" s="103" t="e">
        <f>AC41</f>
        <v>#REF!</v>
      </c>
      <c r="AD56" s="97" t="e">
        <f t="shared" si="37"/>
        <v>#REF!</v>
      </c>
      <c r="AE56" s="103"/>
      <c r="AF56" s="103"/>
      <c r="AG56" s="103" t="e">
        <f>AG41</f>
        <v>#REF!</v>
      </c>
      <c r="AH56" s="98" t="e">
        <f t="shared" si="38"/>
        <v>#REF!</v>
      </c>
      <c r="AI56" s="103"/>
      <c r="AJ56" s="103"/>
      <c r="AK56" s="103" t="e">
        <f>AK41</f>
        <v>#REF!</v>
      </c>
      <c r="AL56" s="98" t="e">
        <f t="shared" si="22"/>
        <v>#REF!</v>
      </c>
      <c r="AM56" s="103"/>
      <c r="AN56" s="103"/>
      <c r="AO56" s="103" t="e">
        <f>AO41</f>
        <v>#REF!</v>
      </c>
      <c r="AP56" s="98" t="e">
        <f t="shared" si="39"/>
        <v>#REF!</v>
      </c>
      <c r="AQ56" s="103"/>
      <c r="AR56" s="103"/>
      <c r="AS56" s="103" t="e">
        <f>AS41</f>
        <v>#REF!</v>
      </c>
      <c r="AT56" s="98" t="e">
        <f t="shared" si="40"/>
        <v>#REF!</v>
      </c>
      <c r="AU56" s="103"/>
      <c r="AV56" s="103"/>
      <c r="AW56" s="103" t="e">
        <f>AW41</f>
        <v>#REF!</v>
      </c>
      <c r="AX56" s="98" t="e">
        <f t="shared" si="41"/>
        <v>#REF!</v>
      </c>
      <c r="AY56" s="103"/>
      <c r="AZ56" s="103"/>
      <c r="BB56" s="103" t="e">
        <f>BB41</f>
        <v>#REF!</v>
      </c>
      <c r="BC56" s="103" t="e">
        <f>BC41</f>
        <v>#REF!</v>
      </c>
      <c r="BD56" s="103" t="e">
        <f>BD41</f>
        <v>#REF!</v>
      </c>
      <c r="BE56" s="103" t="e">
        <f>BE41</f>
        <v>#REF!</v>
      </c>
      <c r="BF56" s="101" t="e">
        <f t="shared" si="8"/>
        <v>#REF!</v>
      </c>
      <c r="BG56" s="101" t="e">
        <f t="shared" si="9"/>
        <v>#REF!</v>
      </c>
      <c r="BH56" s="227" t="e">
        <f t="shared" si="42"/>
        <v>#REF!</v>
      </c>
      <c r="BI56" s="227" t="e">
        <f t="shared" si="43"/>
        <v>#REF!</v>
      </c>
      <c r="BJ56" s="227" t="e">
        <f t="shared" si="44"/>
        <v>#REF!</v>
      </c>
      <c r="BK56" s="227" t="e">
        <f t="shared" si="45"/>
        <v>#REF!</v>
      </c>
    </row>
    <row r="57" spans="1:63">
      <c r="A57" s="102"/>
      <c r="B57" s="289" t="s">
        <v>888</v>
      </c>
      <c r="C57" s="102" t="s">
        <v>610</v>
      </c>
      <c r="D57" s="296">
        <v>10</v>
      </c>
      <c r="E57" s="102" t="s">
        <v>86</v>
      </c>
      <c r="F57" s="104"/>
      <c r="G57" s="104"/>
      <c r="H57" s="104"/>
      <c r="I57" s="105"/>
      <c r="J57" s="104"/>
      <c r="K57" s="104"/>
      <c r="L57" s="104"/>
      <c r="M57" s="104"/>
      <c r="N57" s="105"/>
      <c r="O57" s="485"/>
      <c r="R57" s="108"/>
      <c r="S57" s="101"/>
      <c r="T57" s="29"/>
      <c r="AC57" s="103"/>
      <c r="AD57" s="236"/>
      <c r="AE57" s="103"/>
      <c r="AF57" s="103"/>
      <c r="AG57" s="103"/>
      <c r="AH57" s="237"/>
      <c r="AI57" s="103"/>
      <c r="AJ57" s="103"/>
      <c r="AK57" s="103"/>
      <c r="AL57" s="237"/>
      <c r="AM57" s="103"/>
      <c r="AN57" s="103"/>
      <c r="AO57" s="103"/>
      <c r="AP57" s="237"/>
      <c r="AQ57" s="103"/>
      <c r="AR57" s="103"/>
      <c r="AS57" s="103"/>
      <c r="AT57" s="237"/>
      <c r="AU57" s="103"/>
      <c r="AV57" s="103"/>
      <c r="AW57" s="103"/>
      <c r="AX57" s="237"/>
      <c r="AY57" s="103"/>
      <c r="AZ57" s="103"/>
      <c r="BB57" s="103"/>
      <c r="BC57" s="103"/>
      <c r="BD57" s="103"/>
      <c r="BE57" s="103"/>
      <c r="BF57" s="101"/>
      <c r="BG57" s="101"/>
      <c r="BH57" s="227"/>
      <c r="BI57" s="227"/>
      <c r="BJ57" s="227"/>
      <c r="BK57" s="227"/>
    </row>
    <row r="58" spans="1:63">
      <c r="A58" s="102"/>
      <c r="B58" s="289" t="s">
        <v>813</v>
      </c>
      <c r="C58" s="102" t="s">
        <v>814</v>
      </c>
      <c r="D58" s="296">
        <v>17</v>
      </c>
      <c r="E58" s="102" t="s">
        <v>814</v>
      </c>
      <c r="F58" s="104"/>
      <c r="G58" s="104"/>
      <c r="H58" s="104"/>
      <c r="I58" s="105"/>
      <c r="J58" s="104"/>
      <c r="K58" s="104"/>
      <c r="L58" s="104"/>
      <c r="M58" s="104"/>
      <c r="N58" s="105"/>
      <c r="O58" s="485"/>
      <c r="R58" s="108">
        <v>17</v>
      </c>
      <c r="S58" s="101">
        <f t="shared" si="46"/>
        <v>0</v>
      </c>
      <c r="T58" s="29"/>
      <c r="AC58" s="103" t="e">
        <f>#REF!+#REF!</f>
        <v>#REF!</v>
      </c>
      <c r="AD58" s="97" t="e">
        <f t="shared" si="37"/>
        <v>#REF!</v>
      </c>
      <c r="AE58" s="103"/>
      <c r="AF58" s="103"/>
      <c r="AG58" s="103" t="e">
        <f>#REF!+#REF!</f>
        <v>#REF!</v>
      </c>
      <c r="AH58" s="98" t="e">
        <f t="shared" si="38"/>
        <v>#REF!</v>
      </c>
      <c r="AI58" s="103"/>
      <c r="AJ58" s="103"/>
      <c r="AK58" s="103" t="e">
        <f>#REF!+#REF!</f>
        <v>#REF!</v>
      </c>
      <c r="AL58" s="98" t="e">
        <f t="shared" si="22"/>
        <v>#REF!</v>
      </c>
      <c r="AM58" s="103"/>
      <c r="AN58" s="103"/>
      <c r="AO58" s="103" t="e">
        <f>#REF!+#REF!</f>
        <v>#REF!</v>
      </c>
      <c r="AP58" s="98" t="e">
        <f t="shared" si="39"/>
        <v>#REF!</v>
      </c>
      <c r="AQ58" s="103"/>
      <c r="AR58" s="103"/>
      <c r="AS58" s="103" t="e">
        <f>#REF!+#REF!</f>
        <v>#REF!</v>
      </c>
      <c r="AT58" s="98" t="e">
        <f t="shared" si="40"/>
        <v>#REF!</v>
      </c>
      <c r="AU58" s="103"/>
      <c r="AV58" s="103"/>
      <c r="AW58" s="103" t="e">
        <f>#REF!+#REF!</f>
        <v>#REF!</v>
      </c>
      <c r="AX58" s="98" t="e">
        <f t="shared" si="41"/>
        <v>#REF!</v>
      </c>
      <c r="AY58" s="103"/>
      <c r="AZ58" s="103"/>
      <c r="BB58" s="103" t="e">
        <f>#REF!+#REF!</f>
        <v>#REF!</v>
      </c>
      <c r="BC58" s="103" t="e">
        <f>#REF!+#REF!</f>
        <v>#REF!</v>
      </c>
      <c r="BD58" s="103" t="e">
        <f>#REF!+#REF!</f>
        <v>#REF!</v>
      </c>
      <c r="BE58" s="103" t="e">
        <f>#REF!+#REF!</f>
        <v>#REF!</v>
      </c>
      <c r="BF58" s="101" t="e">
        <f t="shared" si="8"/>
        <v>#REF!</v>
      </c>
      <c r="BG58" s="101" t="e">
        <f t="shared" si="9"/>
        <v>#REF!</v>
      </c>
      <c r="BH58" s="227" t="e">
        <f t="shared" si="42"/>
        <v>#REF!</v>
      </c>
      <c r="BI58" s="227" t="e">
        <f t="shared" si="43"/>
        <v>#REF!</v>
      </c>
      <c r="BJ58" s="227" t="e">
        <f t="shared" si="44"/>
        <v>#REF!</v>
      </c>
      <c r="BK58" s="227" t="e">
        <f t="shared" si="45"/>
        <v>#REF!</v>
      </c>
    </row>
    <row r="59" spans="1:63">
      <c r="A59" s="102"/>
      <c r="B59" s="289" t="s">
        <v>853</v>
      </c>
      <c r="C59" s="102" t="s">
        <v>854</v>
      </c>
      <c r="D59" s="296">
        <v>10</v>
      </c>
      <c r="E59" s="102" t="s">
        <v>814</v>
      </c>
      <c r="F59" s="104"/>
      <c r="G59" s="104"/>
      <c r="H59" s="104"/>
      <c r="I59" s="105"/>
      <c r="J59" s="104"/>
      <c r="K59" s="104"/>
      <c r="L59" s="104"/>
      <c r="M59" s="104"/>
      <c r="N59" s="105"/>
      <c r="O59" s="485"/>
      <c r="R59" s="108"/>
      <c r="S59" s="101"/>
      <c r="T59" s="29"/>
      <c r="AC59" s="103" t="e">
        <f>#REF!</f>
        <v>#REF!</v>
      </c>
      <c r="AD59" s="97" t="e">
        <f t="shared" si="37"/>
        <v>#REF!</v>
      </c>
      <c r="AE59" s="103"/>
      <c r="AF59" s="103"/>
      <c r="AG59" s="103" t="e">
        <f>#REF!</f>
        <v>#REF!</v>
      </c>
      <c r="AH59" s="98" t="e">
        <f t="shared" si="38"/>
        <v>#REF!</v>
      </c>
      <c r="AI59" s="103"/>
      <c r="AJ59" s="103"/>
      <c r="AK59" s="103" t="e">
        <f>#REF!</f>
        <v>#REF!</v>
      </c>
      <c r="AL59" s="98" t="e">
        <f t="shared" si="22"/>
        <v>#REF!</v>
      </c>
      <c r="AM59" s="103"/>
      <c r="AN59" s="103"/>
      <c r="AO59" s="103" t="e">
        <f>#REF!</f>
        <v>#REF!</v>
      </c>
      <c r="AP59" s="98" t="e">
        <f t="shared" si="39"/>
        <v>#REF!</v>
      </c>
      <c r="AQ59" s="103"/>
      <c r="AR59" s="103"/>
      <c r="AS59" s="103" t="e">
        <f>#REF!</f>
        <v>#REF!</v>
      </c>
      <c r="AT59" s="98" t="e">
        <f t="shared" si="40"/>
        <v>#REF!</v>
      </c>
      <c r="AU59" s="103"/>
      <c r="AV59" s="103"/>
      <c r="AW59" s="103" t="e">
        <f>#REF!</f>
        <v>#REF!</v>
      </c>
      <c r="AX59" s="98" t="e">
        <f t="shared" si="41"/>
        <v>#REF!</v>
      </c>
      <c r="AY59" s="103"/>
      <c r="AZ59" s="103"/>
      <c r="BB59" s="103" t="e">
        <f>#REF!</f>
        <v>#REF!</v>
      </c>
      <c r="BC59" s="103" t="e">
        <f>#REF!</f>
        <v>#REF!</v>
      </c>
      <c r="BD59" s="103" t="e">
        <f>#REF!</f>
        <v>#REF!</v>
      </c>
      <c r="BE59" s="103" t="e">
        <f>#REF!</f>
        <v>#REF!</v>
      </c>
      <c r="BF59" s="101" t="e">
        <f t="shared" si="8"/>
        <v>#REF!</v>
      </c>
      <c r="BG59" s="101" t="e">
        <f t="shared" si="9"/>
        <v>#REF!</v>
      </c>
      <c r="BH59" s="227" t="e">
        <f t="shared" si="42"/>
        <v>#REF!</v>
      </c>
      <c r="BI59" s="227" t="e">
        <f t="shared" si="43"/>
        <v>#REF!</v>
      </c>
      <c r="BJ59" s="227" t="e">
        <f t="shared" si="44"/>
        <v>#REF!</v>
      </c>
      <c r="BK59" s="227" t="e">
        <f t="shared" si="45"/>
        <v>#REF!</v>
      </c>
    </row>
    <row r="60" spans="1:63" s="222" customFormat="1" ht="15.75" customHeight="1">
      <c r="A60" s="102"/>
      <c r="B60" s="289" t="s">
        <v>644</v>
      </c>
      <c r="C60" s="102" t="s">
        <v>656</v>
      </c>
      <c r="D60" s="104">
        <v>375</v>
      </c>
      <c r="E60" s="102" t="s">
        <v>656</v>
      </c>
      <c r="F60" s="104"/>
      <c r="G60" s="104"/>
      <c r="H60" s="104"/>
      <c r="I60" s="105"/>
      <c r="J60" s="104"/>
      <c r="K60" s="104"/>
      <c r="L60" s="104"/>
      <c r="M60" s="104"/>
      <c r="N60" s="105"/>
      <c r="O60" s="485"/>
      <c r="R60" s="229">
        <v>150</v>
      </c>
      <c r="S60" s="224">
        <f t="shared" si="46"/>
        <v>0</v>
      </c>
      <c r="T60" s="84"/>
      <c r="AC60" s="221" t="e">
        <f>AC14</f>
        <v>#REF!</v>
      </c>
      <c r="AD60" s="225" t="e">
        <f t="shared" si="37"/>
        <v>#REF!</v>
      </c>
      <c r="AE60" s="221"/>
      <c r="AF60" s="221"/>
      <c r="AG60" s="221" t="e">
        <f>AG14</f>
        <v>#REF!</v>
      </c>
      <c r="AH60" s="225" t="e">
        <f t="shared" si="38"/>
        <v>#REF!</v>
      </c>
      <c r="AI60" s="221"/>
      <c r="AJ60" s="221"/>
      <c r="AK60" s="221" t="e">
        <f>AK14</f>
        <v>#REF!</v>
      </c>
      <c r="AL60" s="225" t="e">
        <f t="shared" si="22"/>
        <v>#REF!</v>
      </c>
      <c r="AM60" s="221"/>
      <c r="AN60" s="221"/>
      <c r="AO60" s="221" t="e">
        <f>AO14</f>
        <v>#REF!</v>
      </c>
      <c r="AP60" s="225" t="e">
        <f t="shared" si="39"/>
        <v>#REF!</v>
      </c>
      <c r="AQ60" s="221"/>
      <c r="AR60" s="221"/>
      <c r="AS60" s="221" t="e">
        <f>AS14</f>
        <v>#REF!</v>
      </c>
      <c r="AT60" s="225" t="e">
        <f t="shared" si="40"/>
        <v>#REF!</v>
      </c>
      <c r="AU60" s="221"/>
      <c r="AV60" s="221"/>
      <c r="AW60" s="221" t="e">
        <f>AW14</f>
        <v>#REF!</v>
      </c>
      <c r="AX60" s="225" t="e">
        <f t="shared" si="41"/>
        <v>#REF!</v>
      </c>
      <c r="AY60" s="221"/>
      <c r="AZ60" s="221"/>
      <c r="BB60" s="221" t="e">
        <f>BB14</f>
        <v>#REF!</v>
      </c>
      <c r="BC60" s="221" t="e">
        <f>BC14</f>
        <v>#REF!</v>
      </c>
      <c r="BD60" s="221" t="e">
        <f>BD14</f>
        <v>#REF!</v>
      </c>
      <c r="BE60" s="221" t="e">
        <f>BE14</f>
        <v>#REF!</v>
      </c>
      <c r="BF60" s="224" t="e">
        <f t="shared" si="8"/>
        <v>#REF!</v>
      </c>
      <c r="BG60" s="224" t="e">
        <f t="shared" si="9"/>
        <v>#REF!</v>
      </c>
      <c r="BH60" s="230" t="e">
        <f t="shared" si="42"/>
        <v>#REF!</v>
      </c>
      <c r="BI60" s="230" t="e">
        <f t="shared" si="43"/>
        <v>#REF!</v>
      </c>
      <c r="BJ60" s="230" t="e">
        <f t="shared" si="44"/>
        <v>#REF!</v>
      </c>
      <c r="BK60" s="230" t="e">
        <f t="shared" si="45"/>
        <v>#REF!</v>
      </c>
    </row>
    <row r="61" spans="1:63" ht="15.75" customHeight="1">
      <c r="A61" s="247"/>
      <c r="B61" s="297" t="s">
        <v>750</v>
      </c>
      <c r="C61" s="247" t="s">
        <v>654</v>
      </c>
      <c r="D61" s="298">
        <v>200</v>
      </c>
      <c r="E61" s="247" t="s">
        <v>654</v>
      </c>
      <c r="F61" s="298"/>
      <c r="G61" s="104"/>
      <c r="H61" s="298"/>
      <c r="I61" s="298"/>
      <c r="J61" s="298"/>
      <c r="K61" s="104"/>
      <c r="L61" s="298"/>
      <c r="M61" s="298"/>
      <c r="N61" s="298"/>
      <c r="O61" s="115"/>
      <c r="R61" s="100">
        <v>150</v>
      </c>
      <c r="S61" s="101">
        <f t="shared" si="46"/>
        <v>0</v>
      </c>
      <c r="T61" s="29"/>
      <c r="AC61" s="114"/>
      <c r="AD61" s="97">
        <f t="shared" si="37"/>
        <v>0</v>
      </c>
      <c r="AE61" s="114"/>
      <c r="AF61" s="114"/>
      <c r="AG61" s="114"/>
      <c r="AH61" s="98">
        <f t="shared" si="38"/>
        <v>0</v>
      </c>
      <c r="AI61" s="103"/>
      <c r="AJ61" s="114"/>
      <c r="AK61" s="114"/>
      <c r="AL61" s="98">
        <f t="shared" si="22"/>
        <v>0</v>
      </c>
      <c r="AM61" s="114"/>
      <c r="AN61" s="114"/>
      <c r="AO61" s="114"/>
      <c r="AP61" s="98">
        <f t="shared" si="39"/>
        <v>0</v>
      </c>
      <c r="AQ61" s="114"/>
      <c r="AR61" s="114"/>
      <c r="AS61" s="114"/>
      <c r="AT61" s="98">
        <f t="shared" si="40"/>
        <v>0</v>
      </c>
      <c r="AU61" s="114"/>
      <c r="AV61" s="114"/>
      <c r="AW61" s="114"/>
      <c r="AX61" s="98">
        <f t="shared" si="41"/>
        <v>0</v>
      </c>
      <c r="AY61" s="114"/>
      <c r="AZ61" s="114"/>
      <c r="BB61" s="114"/>
      <c r="BC61" s="114"/>
      <c r="BD61" s="114"/>
      <c r="BE61" s="114"/>
      <c r="BF61" s="101">
        <f t="shared" si="8"/>
        <v>0</v>
      </c>
      <c r="BG61" s="101">
        <f t="shared" si="9"/>
        <v>0</v>
      </c>
      <c r="BH61" s="227">
        <f t="shared" si="42"/>
        <v>0</v>
      </c>
      <c r="BI61" s="227">
        <f t="shared" si="43"/>
        <v>0</v>
      </c>
      <c r="BJ61" s="227">
        <f t="shared" si="44"/>
        <v>0</v>
      </c>
      <c r="BK61" s="227">
        <f t="shared" si="45"/>
        <v>0</v>
      </c>
    </row>
    <row r="62" spans="1:63">
      <c r="A62" s="87">
        <v>4</v>
      </c>
      <c r="B62" s="287" t="s">
        <v>657</v>
      </c>
      <c r="C62" s="116"/>
      <c r="D62" s="116"/>
      <c r="E62" s="116"/>
      <c r="F62" s="116"/>
      <c r="G62" s="299">
        <f>SUM(G63:G116)</f>
        <v>0</v>
      </c>
      <c r="H62" s="300"/>
      <c r="I62" s="91">
        <f>IFERROR(G62/H62,0)</f>
        <v>0</v>
      </c>
      <c r="J62" s="116"/>
      <c r="K62" s="117">
        <f>SUM(K63:K116)</f>
        <v>0</v>
      </c>
      <c r="L62" s="300"/>
      <c r="M62" s="116"/>
      <c r="N62" s="91">
        <f>IFERROR(L62/M62,0)</f>
        <v>0</v>
      </c>
      <c r="O62" s="477"/>
      <c r="Q62" s="118"/>
      <c r="R62" s="100"/>
      <c r="S62" s="119" t="e">
        <f>SUM(S63:S115)</f>
        <v>#VALUE!</v>
      </c>
      <c r="T62" s="95" t="e">
        <f>S62/L62</f>
        <v>#VALUE!</v>
      </c>
      <c r="AC62" s="116"/>
      <c r="AD62" s="117" t="e">
        <f>SUM(AD63:AD115)</f>
        <v>#REF!</v>
      </c>
      <c r="AE62" s="92">
        <f>VLOOKUP($B62,'[5]Eqpmnt &amp; MP Days'!$B$14:$H$17,2,0)</f>
        <v>74.5</v>
      </c>
      <c r="AF62" s="91" t="str">
        <f>IFERROR(AD62/AE62,"")</f>
        <v/>
      </c>
      <c r="AG62" s="116"/>
      <c r="AH62" s="117" t="e">
        <f>SUM(AH63:AH115)</f>
        <v>#REF!</v>
      </c>
      <c r="AI62" s="92">
        <f>VLOOKUP($B62,'[5]Eqpmnt &amp; MP Days'!$B$14:$H$17,3,0)</f>
        <v>2356</v>
      </c>
      <c r="AJ62" s="91" t="str">
        <f>IFERROR(AH62/AI62,"")</f>
        <v/>
      </c>
      <c r="AK62" s="116"/>
      <c r="AL62" s="117" t="e">
        <f>SUM(AL63:AL115)</f>
        <v>#REF!</v>
      </c>
      <c r="AM62" s="92">
        <f>VLOOKUP($B62,'[5]Eqpmnt &amp; MP Days'!$B$14:$H$17,4,0)</f>
        <v>68</v>
      </c>
      <c r="AN62" s="91" t="str">
        <f>IFERROR(AL62/AM62,"")</f>
        <v/>
      </c>
      <c r="AO62" s="116"/>
      <c r="AP62" s="117" t="e">
        <f>SUM(AP63:AP115)</f>
        <v>#REF!</v>
      </c>
      <c r="AQ62" s="92">
        <f>VLOOKUP($B62,'[5]Eqpmnt &amp; MP Days'!$B$14:$H$17,5,0)</f>
        <v>1824</v>
      </c>
      <c r="AR62" s="91" t="str">
        <f>IFERROR(AP62/AQ62,"")</f>
        <v/>
      </c>
      <c r="AS62" s="116"/>
      <c r="AT62" s="117" t="e">
        <f>SUM(AT63:AT115)</f>
        <v>#REF!</v>
      </c>
      <c r="AU62" s="92">
        <f>VLOOKUP($B62,'[5]Eqpmnt &amp; MP Days'!$B$14:$H$17,6,0)</f>
        <v>22</v>
      </c>
      <c r="AV62" s="91" t="str">
        <f>IFERROR(AT62/AU62,"")</f>
        <v/>
      </c>
      <c r="AW62" s="116"/>
      <c r="AX62" s="117" t="e">
        <f>SUM(AX63:AX115)</f>
        <v>#REF!</v>
      </c>
      <c r="AY62" s="92">
        <f>VLOOKUP($B62,'[5]Eqpmnt &amp; MP Days'!$B$14:$H$17,7,0)</f>
        <v>540</v>
      </c>
      <c r="AZ62" s="91" t="str">
        <f>IFERROR(AX62/AY62,"")</f>
        <v/>
      </c>
      <c r="BB62" s="116"/>
      <c r="BC62" s="116"/>
      <c r="BD62" s="116"/>
      <c r="BE62" s="116"/>
      <c r="BF62" s="101">
        <f t="shared" si="8"/>
        <v>0</v>
      </c>
      <c r="BG62" s="101">
        <f t="shared" si="9"/>
        <v>0</v>
      </c>
      <c r="BH62" s="227"/>
      <c r="BI62" s="227"/>
      <c r="BJ62" s="227"/>
      <c r="BK62" s="227"/>
    </row>
    <row r="63" spans="1:63">
      <c r="A63" s="96"/>
      <c r="B63" s="288" t="s">
        <v>658</v>
      </c>
      <c r="C63" s="96" t="s">
        <v>35</v>
      </c>
      <c r="D63" s="301">
        <v>150</v>
      </c>
      <c r="E63" s="96" t="s">
        <v>35</v>
      </c>
      <c r="F63" s="302"/>
      <c r="G63" s="303"/>
      <c r="H63" s="304"/>
      <c r="I63" s="96"/>
      <c r="J63" s="302"/>
      <c r="K63" s="98"/>
      <c r="L63" s="96"/>
      <c r="M63" s="96"/>
      <c r="N63" s="96"/>
      <c r="O63" s="478"/>
      <c r="R63" s="93">
        <v>150</v>
      </c>
      <c r="S63" s="101">
        <f>J63/R63</f>
        <v>0</v>
      </c>
      <c r="T63" s="29"/>
      <c r="AC63" s="120"/>
      <c r="AD63" s="97">
        <f t="shared" ref="AD63:AD115" si="47">AC63/D63</f>
        <v>0</v>
      </c>
      <c r="AE63" s="96"/>
      <c r="AF63" s="96"/>
      <c r="AG63" s="120"/>
      <c r="AH63" s="98">
        <f t="shared" si="38"/>
        <v>0</v>
      </c>
      <c r="AI63" s="97"/>
      <c r="AJ63" s="96"/>
      <c r="AK63" s="120"/>
      <c r="AL63" s="98">
        <f t="shared" ref="AL63:AL115" si="48">AK63/$D63</f>
        <v>0</v>
      </c>
      <c r="AM63" s="96"/>
      <c r="AN63" s="96"/>
      <c r="AO63" s="120"/>
      <c r="AP63" s="98">
        <f t="shared" ref="AP63:AP115" si="49">AO63/D63</f>
        <v>0</v>
      </c>
      <c r="AQ63" s="96"/>
      <c r="AR63" s="96"/>
      <c r="AS63" s="120"/>
      <c r="AT63" s="98">
        <f t="shared" ref="AT63:AT115" si="50">AS63/$D63</f>
        <v>0</v>
      </c>
      <c r="AU63" s="96"/>
      <c r="AV63" s="96"/>
      <c r="AW63" s="120"/>
      <c r="AX63" s="98">
        <f t="shared" si="41"/>
        <v>0</v>
      </c>
      <c r="AY63" s="96"/>
      <c r="AZ63" s="96"/>
      <c r="BB63" s="120"/>
      <c r="BC63" s="120"/>
      <c r="BD63" s="120"/>
      <c r="BE63" s="120"/>
      <c r="BF63" s="101">
        <f t="shared" si="8"/>
        <v>0</v>
      </c>
      <c r="BG63" s="101">
        <f t="shared" si="9"/>
        <v>0</v>
      </c>
      <c r="BH63" s="227">
        <f t="shared" ref="BH63:BH115" si="51">BB63/$D63</f>
        <v>0</v>
      </c>
      <c r="BI63" s="227">
        <f t="shared" ref="BI63:BI115" si="52">BC63/$D63</f>
        <v>0</v>
      </c>
      <c r="BJ63" s="227">
        <f t="shared" ref="BJ63:BJ115" si="53">BD63/$D63</f>
        <v>0</v>
      </c>
      <c r="BK63" s="227">
        <f t="shared" ref="BK63:BK115" si="54">BE63/$D63</f>
        <v>0</v>
      </c>
    </row>
    <row r="64" spans="1:63">
      <c r="A64" s="109"/>
      <c r="B64" s="294" t="s">
        <v>614</v>
      </c>
      <c r="C64" s="109" t="s">
        <v>619</v>
      </c>
      <c r="D64" s="305">
        <v>150</v>
      </c>
      <c r="E64" s="109" t="s">
        <v>619</v>
      </c>
      <c r="F64" s="306"/>
      <c r="G64" s="307"/>
      <c r="H64" s="308"/>
      <c r="I64" s="109"/>
      <c r="J64" s="306"/>
      <c r="K64" s="110"/>
      <c r="L64" s="109"/>
      <c r="M64" s="109"/>
      <c r="N64" s="109"/>
      <c r="O64" s="478"/>
      <c r="R64" s="93">
        <v>150</v>
      </c>
      <c r="S64" s="101">
        <f>J64/R64</f>
        <v>0</v>
      </c>
      <c r="T64" s="29"/>
      <c r="AC64" s="125" t="e">
        <f>#REF!+#REF!</f>
        <v>#REF!</v>
      </c>
      <c r="AD64" s="97" t="e">
        <f t="shared" si="47"/>
        <v>#REF!</v>
      </c>
      <c r="AE64" s="109"/>
      <c r="AF64" s="109"/>
      <c r="AG64" s="125" t="e">
        <f>#REF!+#REF!</f>
        <v>#REF!</v>
      </c>
      <c r="AH64" s="98" t="e">
        <f t="shared" si="38"/>
        <v>#REF!</v>
      </c>
      <c r="AI64" s="111"/>
      <c r="AJ64" s="109"/>
      <c r="AK64" s="125" t="e">
        <f>#REF!+#REF!</f>
        <v>#REF!</v>
      </c>
      <c r="AL64" s="98" t="e">
        <f t="shared" si="48"/>
        <v>#REF!</v>
      </c>
      <c r="AM64" s="109"/>
      <c r="AN64" s="109"/>
      <c r="AO64" s="125" t="e">
        <f>#REF!+#REF!</f>
        <v>#REF!</v>
      </c>
      <c r="AP64" s="98" t="e">
        <f t="shared" si="49"/>
        <v>#REF!</v>
      </c>
      <c r="AQ64" s="109"/>
      <c r="AR64" s="109"/>
      <c r="AS64" s="125" t="e">
        <f>#REF!+#REF!</f>
        <v>#REF!</v>
      </c>
      <c r="AT64" s="98" t="e">
        <f t="shared" si="50"/>
        <v>#REF!</v>
      </c>
      <c r="AU64" s="109"/>
      <c r="AV64" s="109"/>
      <c r="AW64" s="125" t="e">
        <f>#REF!+#REF!</f>
        <v>#REF!</v>
      </c>
      <c r="AX64" s="98" t="e">
        <f t="shared" si="41"/>
        <v>#REF!</v>
      </c>
      <c r="AY64" s="109"/>
      <c r="AZ64" s="109"/>
      <c r="BB64" s="125" t="e">
        <f>#REF!+#REF!</f>
        <v>#REF!</v>
      </c>
      <c r="BC64" s="125" t="e">
        <f>#REF!+#REF!</f>
        <v>#REF!</v>
      </c>
      <c r="BD64" s="125" t="e">
        <f>#REF!+#REF!</f>
        <v>#REF!</v>
      </c>
      <c r="BE64" s="125" t="e">
        <f>#REF!+#REF!</f>
        <v>#REF!</v>
      </c>
      <c r="BF64" s="101" t="e">
        <f t="shared" si="8"/>
        <v>#REF!</v>
      </c>
      <c r="BG64" s="101" t="e">
        <f t="shared" si="9"/>
        <v>#REF!</v>
      </c>
      <c r="BH64" s="227" t="e">
        <f t="shared" si="51"/>
        <v>#REF!</v>
      </c>
      <c r="BI64" s="227" t="e">
        <f t="shared" si="52"/>
        <v>#REF!</v>
      </c>
      <c r="BJ64" s="227" t="e">
        <f t="shared" si="53"/>
        <v>#REF!</v>
      </c>
      <c r="BK64" s="227" t="e">
        <f t="shared" si="54"/>
        <v>#REF!</v>
      </c>
    </row>
    <row r="65" spans="1:63" s="222" customFormat="1">
      <c r="A65" s="102"/>
      <c r="B65" s="289" t="s">
        <v>754</v>
      </c>
      <c r="C65" s="102" t="s">
        <v>35</v>
      </c>
      <c r="D65" s="126">
        <f>700/4</f>
        <v>175</v>
      </c>
      <c r="E65" s="102" t="s">
        <v>35</v>
      </c>
      <c r="F65" s="309"/>
      <c r="G65" s="310"/>
      <c r="H65" s="311"/>
      <c r="I65" s="102"/>
      <c r="J65" s="309"/>
      <c r="K65" s="104"/>
      <c r="L65" s="102"/>
      <c r="M65" s="102"/>
      <c r="N65" s="102"/>
      <c r="O65" s="478"/>
      <c r="R65" s="223">
        <v>175</v>
      </c>
      <c r="S65" s="224">
        <f t="shared" ref="S65:S108" si="55">J65/R65</f>
        <v>0</v>
      </c>
      <c r="T65" s="84"/>
      <c r="AC65" s="220" t="e">
        <f>'Plant utilization'!AG76</f>
        <v>#REF!</v>
      </c>
      <c r="AD65" s="225" t="e">
        <f t="shared" si="47"/>
        <v>#REF!</v>
      </c>
      <c r="AE65" s="219"/>
      <c r="AF65" s="219"/>
      <c r="AG65" s="220" t="e">
        <f>'Plant utilization'!AK76</f>
        <v>#REF!</v>
      </c>
      <c r="AH65" s="225" t="e">
        <f t="shared" si="38"/>
        <v>#REF!</v>
      </c>
      <c r="AI65" s="221"/>
      <c r="AJ65" s="219"/>
      <c r="AK65" s="220" t="e">
        <f>'Plant utilization'!AO76</f>
        <v>#REF!</v>
      </c>
      <c r="AL65" s="225" t="e">
        <f t="shared" si="48"/>
        <v>#REF!</v>
      </c>
      <c r="AM65" s="219"/>
      <c r="AN65" s="219"/>
      <c r="AO65" s="220" t="e">
        <f>'Plant utilization'!AS76</f>
        <v>#REF!</v>
      </c>
      <c r="AP65" s="225" t="e">
        <f t="shared" si="49"/>
        <v>#REF!</v>
      </c>
      <c r="AQ65" s="219"/>
      <c r="AR65" s="219"/>
      <c r="AS65" s="220" t="e">
        <f>'Plant utilization'!AW76</f>
        <v>#REF!</v>
      </c>
      <c r="AT65" s="225" t="e">
        <f t="shared" si="50"/>
        <v>#REF!</v>
      </c>
      <c r="AU65" s="219"/>
      <c r="AV65" s="219"/>
      <c r="AW65" s="220" t="e">
        <f>'Plant utilization'!BA76</f>
        <v>#REF!</v>
      </c>
      <c r="AX65" s="225" t="e">
        <f t="shared" si="41"/>
        <v>#REF!</v>
      </c>
      <c r="AY65" s="219"/>
      <c r="AZ65" s="219"/>
      <c r="BB65" s="220" t="e">
        <f>'Plant utilization'!#REF!+'Plant utilization'!#REF!</f>
        <v>#REF!</v>
      </c>
      <c r="BC65" s="220" t="e">
        <f>'Plant utilization'!#REF!+'Plant utilization'!#REF!</f>
        <v>#REF!</v>
      </c>
      <c r="BD65" s="220" t="e">
        <f>'Plant utilization'!#REF!+'Plant utilization'!#REF!</f>
        <v>#REF!</v>
      </c>
      <c r="BE65" s="220" t="e">
        <f>'Plant utilization'!#REF!+'Plant utilization'!#REF!</f>
        <v>#REF!</v>
      </c>
      <c r="BF65" s="101" t="e">
        <f t="shared" si="8"/>
        <v>#REF!</v>
      </c>
      <c r="BG65" s="101" t="e">
        <f t="shared" si="9"/>
        <v>#REF!</v>
      </c>
      <c r="BH65" s="227" t="e">
        <f t="shared" si="51"/>
        <v>#REF!</v>
      </c>
      <c r="BI65" s="227" t="e">
        <f t="shared" si="52"/>
        <v>#REF!</v>
      </c>
      <c r="BJ65" s="227" t="e">
        <f t="shared" si="53"/>
        <v>#REF!</v>
      </c>
      <c r="BK65" s="227" t="e">
        <f t="shared" si="54"/>
        <v>#REF!</v>
      </c>
    </row>
    <row r="66" spans="1:63">
      <c r="A66" s="102"/>
      <c r="B66" s="289" t="s">
        <v>702</v>
      </c>
      <c r="C66" s="102" t="s">
        <v>619</v>
      </c>
      <c r="D66" s="126">
        <v>2000</v>
      </c>
      <c r="E66" s="102" t="s">
        <v>619</v>
      </c>
      <c r="F66" s="309"/>
      <c r="G66" s="310"/>
      <c r="H66" s="311"/>
      <c r="I66" s="102"/>
      <c r="J66" s="309"/>
      <c r="K66" s="104"/>
      <c r="L66" s="102"/>
      <c r="M66" s="102"/>
      <c r="N66" s="102"/>
      <c r="O66" s="478"/>
      <c r="R66" s="93">
        <v>2000</v>
      </c>
      <c r="S66" s="101">
        <f t="shared" si="55"/>
        <v>0</v>
      </c>
      <c r="T66" s="29"/>
      <c r="AC66" s="121" t="e">
        <f>#REF!</f>
        <v>#REF!</v>
      </c>
      <c r="AD66" s="97" t="e">
        <f t="shared" si="47"/>
        <v>#REF!</v>
      </c>
      <c r="AE66" s="102"/>
      <c r="AF66" s="102"/>
      <c r="AG66" s="121" t="e">
        <f>#REF!+#REF!</f>
        <v>#REF!</v>
      </c>
      <c r="AH66" s="98" t="e">
        <f t="shared" si="38"/>
        <v>#REF!</v>
      </c>
      <c r="AI66" s="103"/>
      <c r="AJ66" s="102"/>
      <c r="AK66" s="121" t="e">
        <f>#REF!</f>
        <v>#REF!</v>
      </c>
      <c r="AL66" s="98" t="e">
        <f t="shared" si="48"/>
        <v>#REF!</v>
      </c>
      <c r="AM66" s="102"/>
      <c r="AN66" s="102"/>
      <c r="AO66" s="121" t="e">
        <f>#REF!+#REF!</f>
        <v>#REF!</v>
      </c>
      <c r="AP66" s="98" t="e">
        <f t="shared" si="49"/>
        <v>#REF!</v>
      </c>
      <c r="AQ66" s="102"/>
      <c r="AR66" s="102"/>
      <c r="AS66" s="121" t="e">
        <f>#REF!</f>
        <v>#REF!</v>
      </c>
      <c r="AT66" s="98" t="e">
        <f t="shared" si="50"/>
        <v>#REF!</v>
      </c>
      <c r="AU66" s="102"/>
      <c r="AV66" s="102"/>
      <c r="AW66" s="121" t="e">
        <f>#REF!+#REF!</f>
        <v>#REF!</v>
      </c>
      <c r="AX66" s="98" t="e">
        <f t="shared" si="41"/>
        <v>#REF!</v>
      </c>
      <c r="AY66" s="102"/>
      <c r="AZ66" s="102"/>
      <c r="BB66" s="121" t="e">
        <f>#REF!+#REF!</f>
        <v>#REF!</v>
      </c>
      <c r="BC66" s="121" t="e">
        <f>#REF!+#REF!</f>
        <v>#REF!</v>
      </c>
      <c r="BD66" s="121" t="e">
        <f>#REF!+#REF!</f>
        <v>#REF!</v>
      </c>
      <c r="BE66" s="121" t="e">
        <f>#REF!+#REF!</f>
        <v>#REF!</v>
      </c>
      <c r="BF66" s="101" t="e">
        <f t="shared" si="8"/>
        <v>#REF!</v>
      </c>
      <c r="BG66" s="101" t="e">
        <f t="shared" si="9"/>
        <v>#REF!</v>
      </c>
      <c r="BH66" s="227" t="e">
        <f t="shared" si="51"/>
        <v>#REF!</v>
      </c>
      <c r="BI66" s="227" t="e">
        <f t="shared" si="52"/>
        <v>#REF!</v>
      </c>
      <c r="BJ66" s="227" t="e">
        <f t="shared" si="53"/>
        <v>#REF!</v>
      </c>
      <c r="BK66" s="227" t="e">
        <f t="shared" si="54"/>
        <v>#REF!</v>
      </c>
    </row>
    <row r="67" spans="1:63" s="222" customFormat="1">
      <c r="A67" s="102"/>
      <c r="B67" s="289" t="s">
        <v>609</v>
      </c>
      <c r="C67" s="312" t="s">
        <v>86</v>
      </c>
      <c r="D67" s="126">
        <f>3000/5</f>
        <v>600</v>
      </c>
      <c r="E67" s="312" t="s">
        <v>86</v>
      </c>
      <c r="F67" s="309"/>
      <c r="G67" s="310"/>
      <c r="H67" s="311"/>
      <c r="I67" s="102"/>
      <c r="J67" s="309"/>
      <c r="K67" s="104"/>
      <c r="L67" s="102"/>
      <c r="M67" s="102"/>
      <c r="N67" s="102"/>
      <c r="O67" s="478"/>
      <c r="R67" s="223">
        <v>600</v>
      </c>
      <c r="S67" s="224">
        <f t="shared" si="55"/>
        <v>0</v>
      </c>
      <c r="T67" s="84"/>
      <c r="AC67" s="220" t="e">
        <f>'Plant utilization'!AG19</f>
        <v>#REF!</v>
      </c>
      <c r="AD67" s="225" t="e">
        <f t="shared" si="47"/>
        <v>#REF!</v>
      </c>
      <c r="AE67" s="219"/>
      <c r="AF67" s="219"/>
      <c r="AG67" s="220" t="e">
        <f>'Plant utilization'!AK19</f>
        <v>#REF!</v>
      </c>
      <c r="AH67" s="225" t="e">
        <f t="shared" si="38"/>
        <v>#REF!</v>
      </c>
      <c r="AI67" s="221"/>
      <c r="AJ67" s="219"/>
      <c r="AK67" s="220" t="e">
        <f>'Plant utilization'!AO19</f>
        <v>#REF!</v>
      </c>
      <c r="AL67" s="225" t="e">
        <f t="shared" si="48"/>
        <v>#REF!</v>
      </c>
      <c r="AM67" s="219"/>
      <c r="AN67" s="219"/>
      <c r="AO67" s="220" t="e">
        <f>'Plant utilization'!AS19</f>
        <v>#REF!</v>
      </c>
      <c r="AP67" s="225" t="e">
        <f t="shared" si="49"/>
        <v>#REF!</v>
      </c>
      <c r="AQ67" s="219"/>
      <c r="AR67" s="219"/>
      <c r="AS67" s="220" t="e">
        <f>'Plant utilization'!AW19</f>
        <v>#REF!</v>
      </c>
      <c r="AT67" s="225" t="e">
        <f t="shared" si="50"/>
        <v>#REF!</v>
      </c>
      <c r="AU67" s="219"/>
      <c r="AV67" s="219"/>
      <c r="AW67" s="220" t="e">
        <f>'Plant utilization'!BA19</f>
        <v>#REF!</v>
      </c>
      <c r="AX67" s="225" t="e">
        <f t="shared" si="41"/>
        <v>#REF!</v>
      </c>
      <c r="AY67" s="219"/>
      <c r="AZ67" s="219"/>
      <c r="BB67" s="220" t="e">
        <f>'Plant utilization'!#REF!</f>
        <v>#REF!</v>
      </c>
      <c r="BC67" s="220" t="e">
        <f>'Plant utilization'!#REF!</f>
        <v>#REF!</v>
      </c>
      <c r="BD67" s="220" t="e">
        <f>'Plant utilization'!#REF!</f>
        <v>#REF!</v>
      </c>
      <c r="BE67" s="220" t="e">
        <f>'Plant utilization'!#REF!</f>
        <v>#REF!</v>
      </c>
      <c r="BF67" s="101" t="e">
        <f t="shared" si="8"/>
        <v>#REF!</v>
      </c>
      <c r="BG67" s="101" t="e">
        <f t="shared" si="9"/>
        <v>#REF!</v>
      </c>
      <c r="BH67" s="227" t="e">
        <f t="shared" si="51"/>
        <v>#REF!</v>
      </c>
      <c r="BI67" s="227" t="e">
        <f t="shared" si="52"/>
        <v>#REF!</v>
      </c>
      <c r="BJ67" s="227" t="e">
        <f t="shared" si="53"/>
        <v>#REF!</v>
      </c>
      <c r="BK67" s="227" t="e">
        <f t="shared" si="54"/>
        <v>#REF!</v>
      </c>
    </row>
    <row r="68" spans="1:63">
      <c r="A68" s="102"/>
      <c r="B68" s="289" t="s">
        <v>799</v>
      </c>
      <c r="C68" s="312" t="s">
        <v>86</v>
      </c>
      <c r="D68" s="126">
        <v>333</v>
      </c>
      <c r="E68" s="312" t="s">
        <v>86</v>
      </c>
      <c r="F68" s="309"/>
      <c r="G68" s="310"/>
      <c r="H68" s="311"/>
      <c r="I68" s="102"/>
      <c r="J68" s="309"/>
      <c r="K68" s="104"/>
      <c r="L68" s="102"/>
      <c r="M68" s="102"/>
      <c r="N68" s="102"/>
      <c r="O68" s="478"/>
      <c r="R68" s="93"/>
      <c r="S68" s="101"/>
      <c r="T68" s="29"/>
      <c r="AC68" s="121" t="e">
        <f>#REF!</f>
        <v>#REF!</v>
      </c>
      <c r="AD68" s="97" t="e">
        <f t="shared" si="47"/>
        <v>#REF!</v>
      </c>
      <c r="AE68" s="102"/>
      <c r="AF68" s="102"/>
      <c r="AG68" s="121" t="e">
        <f>#REF!</f>
        <v>#REF!</v>
      </c>
      <c r="AH68" s="98" t="e">
        <f t="shared" si="38"/>
        <v>#REF!</v>
      </c>
      <c r="AI68" s="103"/>
      <c r="AJ68" s="102"/>
      <c r="AK68" s="121" t="e">
        <f>#REF!</f>
        <v>#REF!</v>
      </c>
      <c r="AL68" s="98" t="e">
        <f t="shared" si="48"/>
        <v>#REF!</v>
      </c>
      <c r="AM68" s="102"/>
      <c r="AN68" s="102"/>
      <c r="AO68" s="121" t="e">
        <f>#REF!</f>
        <v>#REF!</v>
      </c>
      <c r="AP68" s="98" t="e">
        <f t="shared" si="49"/>
        <v>#REF!</v>
      </c>
      <c r="AQ68" s="102"/>
      <c r="AR68" s="102"/>
      <c r="AS68" s="121" t="e">
        <f>#REF!</f>
        <v>#REF!</v>
      </c>
      <c r="AT68" s="98" t="e">
        <f t="shared" si="50"/>
        <v>#REF!</v>
      </c>
      <c r="AU68" s="102"/>
      <c r="AV68" s="102"/>
      <c r="AW68" s="121" t="e">
        <f>#REF!</f>
        <v>#REF!</v>
      </c>
      <c r="AX68" s="98" t="e">
        <f t="shared" si="41"/>
        <v>#REF!</v>
      </c>
      <c r="AY68" s="102"/>
      <c r="AZ68" s="102"/>
      <c r="BB68" s="121" t="e">
        <f>#REF!</f>
        <v>#REF!</v>
      </c>
      <c r="BC68" s="121" t="e">
        <f>#REF!</f>
        <v>#REF!</v>
      </c>
      <c r="BD68" s="121" t="e">
        <f>#REF!</f>
        <v>#REF!</v>
      </c>
      <c r="BE68" s="121" t="e">
        <f>#REF!</f>
        <v>#REF!</v>
      </c>
      <c r="BF68" s="101" t="e">
        <f t="shared" si="8"/>
        <v>#REF!</v>
      </c>
      <c r="BG68" s="101" t="e">
        <f t="shared" si="9"/>
        <v>#REF!</v>
      </c>
      <c r="BH68" s="227" t="e">
        <f t="shared" si="51"/>
        <v>#REF!</v>
      </c>
      <c r="BI68" s="227" t="e">
        <f t="shared" si="52"/>
        <v>#REF!</v>
      </c>
      <c r="BJ68" s="227" t="e">
        <f t="shared" si="53"/>
        <v>#REF!</v>
      </c>
      <c r="BK68" s="227" t="e">
        <f t="shared" si="54"/>
        <v>#REF!</v>
      </c>
    </row>
    <row r="69" spans="1:63">
      <c r="A69" s="102"/>
      <c r="B69" s="289" t="s">
        <v>659</v>
      </c>
      <c r="C69" s="312" t="s">
        <v>619</v>
      </c>
      <c r="D69" s="126">
        <v>4</v>
      </c>
      <c r="E69" s="312" t="s">
        <v>619</v>
      </c>
      <c r="F69" s="309"/>
      <c r="G69" s="310"/>
      <c r="H69" s="102"/>
      <c r="I69" s="102"/>
      <c r="J69" s="309"/>
      <c r="K69" s="104"/>
      <c r="L69" s="102"/>
      <c r="M69" s="102"/>
      <c r="N69" s="102"/>
      <c r="O69" s="478"/>
      <c r="R69" s="93">
        <v>4</v>
      </c>
      <c r="S69" s="101">
        <f t="shared" si="55"/>
        <v>0</v>
      </c>
      <c r="T69" s="29"/>
      <c r="AC69" s="121"/>
      <c r="AD69" s="97">
        <f t="shared" si="47"/>
        <v>0</v>
      </c>
      <c r="AE69" s="102"/>
      <c r="AF69" s="102"/>
      <c r="AG69" s="121"/>
      <c r="AH69" s="98">
        <f t="shared" si="38"/>
        <v>0</v>
      </c>
      <c r="AI69" s="103"/>
      <c r="AJ69" s="102"/>
      <c r="AK69" s="121"/>
      <c r="AL69" s="98">
        <f t="shared" si="48"/>
        <v>0</v>
      </c>
      <c r="AM69" s="102"/>
      <c r="AN69" s="102"/>
      <c r="AO69" s="121"/>
      <c r="AP69" s="98">
        <f t="shared" si="49"/>
        <v>0</v>
      </c>
      <c r="AQ69" s="102"/>
      <c r="AR69" s="102"/>
      <c r="AS69" s="121"/>
      <c r="AT69" s="98">
        <f t="shared" si="50"/>
        <v>0</v>
      </c>
      <c r="AU69" s="102"/>
      <c r="AV69" s="102"/>
      <c r="AW69" s="121"/>
      <c r="AX69" s="98">
        <f t="shared" si="41"/>
        <v>0</v>
      </c>
      <c r="AY69" s="102"/>
      <c r="AZ69" s="102"/>
      <c r="BB69" s="121"/>
      <c r="BC69" s="121"/>
      <c r="BD69" s="121"/>
      <c r="BE69" s="121"/>
      <c r="BF69" s="101">
        <f t="shared" si="8"/>
        <v>0</v>
      </c>
      <c r="BG69" s="101">
        <f t="shared" si="9"/>
        <v>0</v>
      </c>
      <c r="BH69" s="227">
        <f t="shared" si="51"/>
        <v>0</v>
      </c>
      <c r="BI69" s="227">
        <f t="shared" si="52"/>
        <v>0</v>
      </c>
      <c r="BJ69" s="227">
        <f t="shared" si="53"/>
        <v>0</v>
      </c>
      <c r="BK69" s="227">
        <f t="shared" si="54"/>
        <v>0</v>
      </c>
    </row>
    <row r="70" spans="1:63">
      <c r="A70" s="102"/>
      <c r="B70" s="289" t="s">
        <v>627</v>
      </c>
      <c r="C70" s="312" t="s">
        <v>619</v>
      </c>
      <c r="D70" s="126">
        <v>3.33</v>
      </c>
      <c r="E70" s="312" t="s">
        <v>619</v>
      </c>
      <c r="F70" s="309"/>
      <c r="G70" s="310"/>
      <c r="H70" s="102"/>
      <c r="I70" s="102"/>
      <c r="J70" s="309"/>
      <c r="K70" s="104"/>
      <c r="L70" s="102"/>
      <c r="M70" s="102"/>
      <c r="N70" s="102"/>
      <c r="O70" s="478"/>
      <c r="R70" s="93">
        <v>3.33</v>
      </c>
      <c r="S70" s="101">
        <f t="shared" si="55"/>
        <v>0</v>
      </c>
      <c r="T70" s="29"/>
      <c r="AC70" s="121" t="e">
        <f>#REF!</f>
        <v>#REF!</v>
      </c>
      <c r="AD70" s="97" t="e">
        <f t="shared" si="47"/>
        <v>#REF!</v>
      </c>
      <c r="AE70" s="102"/>
      <c r="AF70" s="102"/>
      <c r="AG70" s="121" t="e">
        <f>#REF!</f>
        <v>#REF!</v>
      </c>
      <c r="AH70" s="98" t="e">
        <f t="shared" si="38"/>
        <v>#REF!</v>
      </c>
      <c r="AI70" s="103"/>
      <c r="AJ70" s="102"/>
      <c r="AK70" s="121" t="e">
        <f>#REF!</f>
        <v>#REF!</v>
      </c>
      <c r="AL70" s="98" t="e">
        <f t="shared" si="48"/>
        <v>#REF!</v>
      </c>
      <c r="AM70" s="102"/>
      <c r="AN70" s="102"/>
      <c r="AO70" s="121" t="e">
        <f>#REF!</f>
        <v>#REF!</v>
      </c>
      <c r="AP70" s="98" t="e">
        <f t="shared" si="49"/>
        <v>#REF!</v>
      </c>
      <c r="AQ70" s="102"/>
      <c r="AR70" s="102"/>
      <c r="AS70" s="121" t="e">
        <f>#REF!</f>
        <v>#REF!</v>
      </c>
      <c r="AT70" s="98" t="e">
        <f t="shared" si="50"/>
        <v>#REF!</v>
      </c>
      <c r="AU70" s="102"/>
      <c r="AV70" s="102"/>
      <c r="AW70" s="121" t="e">
        <f>#REF!</f>
        <v>#REF!</v>
      </c>
      <c r="AX70" s="98" t="e">
        <f t="shared" si="41"/>
        <v>#REF!</v>
      </c>
      <c r="AY70" s="102"/>
      <c r="AZ70" s="102"/>
      <c r="BB70" s="121" t="e">
        <f>#REF!</f>
        <v>#REF!</v>
      </c>
      <c r="BC70" s="121" t="e">
        <f>#REF!</f>
        <v>#REF!</v>
      </c>
      <c r="BD70" s="121" t="e">
        <f>#REF!</f>
        <v>#REF!</v>
      </c>
      <c r="BE70" s="121" t="e">
        <f>#REF!</f>
        <v>#REF!</v>
      </c>
      <c r="BF70" s="101" t="e">
        <f t="shared" si="8"/>
        <v>#REF!</v>
      </c>
      <c r="BG70" s="101" t="e">
        <f t="shared" si="9"/>
        <v>#REF!</v>
      </c>
      <c r="BH70" s="227" t="e">
        <f t="shared" si="51"/>
        <v>#REF!</v>
      </c>
      <c r="BI70" s="227" t="e">
        <f t="shared" si="52"/>
        <v>#REF!</v>
      </c>
      <c r="BJ70" s="227" t="e">
        <f t="shared" si="53"/>
        <v>#REF!</v>
      </c>
      <c r="BK70" s="227" t="e">
        <f t="shared" si="54"/>
        <v>#REF!</v>
      </c>
    </row>
    <row r="71" spans="1:63">
      <c r="A71" s="102"/>
      <c r="B71" s="289" t="s">
        <v>843</v>
      </c>
      <c r="C71" s="312" t="s">
        <v>212</v>
      </c>
      <c r="D71" s="126">
        <v>6.25</v>
      </c>
      <c r="E71" s="312" t="s">
        <v>814</v>
      </c>
      <c r="F71" s="309"/>
      <c r="G71" s="310"/>
      <c r="H71" s="102"/>
      <c r="I71" s="102"/>
      <c r="J71" s="309"/>
      <c r="K71" s="104"/>
      <c r="L71" s="102"/>
      <c r="M71" s="102"/>
      <c r="N71" s="102"/>
      <c r="O71" s="478"/>
      <c r="R71" s="93"/>
      <c r="S71" s="101"/>
      <c r="T71" s="29"/>
      <c r="AC71" s="121" t="e">
        <f>#REF!</f>
        <v>#REF!</v>
      </c>
      <c r="AD71" s="97" t="e">
        <f t="shared" si="47"/>
        <v>#REF!</v>
      </c>
      <c r="AE71" s="102"/>
      <c r="AF71" s="102"/>
      <c r="AG71" s="121" t="e">
        <f>#REF!</f>
        <v>#REF!</v>
      </c>
      <c r="AH71" s="98" t="e">
        <f t="shared" si="38"/>
        <v>#REF!</v>
      </c>
      <c r="AI71" s="103"/>
      <c r="AJ71" s="102"/>
      <c r="AK71" s="121" t="e">
        <f>#REF!</f>
        <v>#REF!</v>
      </c>
      <c r="AL71" s="98" t="e">
        <f t="shared" si="48"/>
        <v>#REF!</v>
      </c>
      <c r="AM71" s="102"/>
      <c r="AN71" s="102"/>
      <c r="AO71" s="121" t="e">
        <f>#REF!</f>
        <v>#REF!</v>
      </c>
      <c r="AP71" s="98" t="e">
        <f t="shared" si="49"/>
        <v>#REF!</v>
      </c>
      <c r="AQ71" s="102"/>
      <c r="AR71" s="102"/>
      <c r="AS71" s="121" t="e">
        <f>#REF!</f>
        <v>#REF!</v>
      </c>
      <c r="AT71" s="98" t="e">
        <f t="shared" si="50"/>
        <v>#REF!</v>
      </c>
      <c r="AU71" s="102"/>
      <c r="AV71" s="102"/>
      <c r="AW71" s="121" t="e">
        <f>#REF!</f>
        <v>#REF!</v>
      </c>
      <c r="AX71" s="98" t="e">
        <f t="shared" si="41"/>
        <v>#REF!</v>
      </c>
      <c r="AY71" s="102"/>
      <c r="AZ71" s="102"/>
      <c r="BB71" s="121" t="e">
        <f>#REF!</f>
        <v>#REF!</v>
      </c>
      <c r="BC71" s="121" t="e">
        <f>#REF!</f>
        <v>#REF!</v>
      </c>
      <c r="BD71" s="121" t="e">
        <f>#REF!</f>
        <v>#REF!</v>
      </c>
      <c r="BE71" s="121" t="e">
        <f>#REF!</f>
        <v>#REF!</v>
      </c>
      <c r="BF71" s="101" t="e">
        <f t="shared" si="8"/>
        <v>#REF!</v>
      </c>
      <c r="BG71" s="101" t="e">
        <f t="shared" si="9"/>
        <v>#REF!</v>
      </c>
      <c r="BH71" s="227" t="e">
        <f t="shared" si="51"/>
        <v>#REF!</v>
      </c>
      <c r="BI71" s="227" t="e">
        <f t="shared" si="52"/>
        <v>#REF!</v>
      </c>
      <c r="BJ71" s="227" t="e">
        <f t="shared" si="53"/>
        <v>#REF!</v>
      </c>
      <c r="BK71" s="227" t="e">
        <f t="shared" si="54"/>
        <v>#REF!</v>
      </c>
    </row>
    <row r="72" spans="1:63">
      <c r="A72" s="102"/>
      <c r="B72" s="289" t="s">
        <v>844</v>
      </c>
      <c r="C72" s="312" t="s">
        <v>611</v>
      </c>
      <c r="D72" s="126">
        <v>12.5</v>
      </c>
      <c r="E72" s="312" t="s">
        <v>86</v>
      </c>
      <c r="F72" s="309"/>
      <c r="G72" s="310"/>
      <c r="H72" s="102"/>
      <c r="I72" s="102"/>
      <c r="J72" s="309"/>
      <c r="K72" s="104"/>
      <c r="L72" s="102"/>
      <c r="M72" s="102"/>
      <c r="N72" s="102"/>
      <c r="O72" s="478"/>
      <c r="R72" s="93"/>
      <c r="S72" s="101"/>
      <c r="T72" s="29"/>
      <c r="AC72" s="121" t="e">
        <f>#REF!</f>
        <v>#REF!</v>
      </c>
      <c r="AD72" s="97" t="e">
        <f t="shared" si="47"/>
        <v>#REF!</v>
      </c>
      <c r="AE72" s="102"/>
      <c r="AF72" s="102"/>
      <c r="AG72" s="121" t="e">
        <f>#REF!</f>
        <v>#REF!</v>
      </c>
      <c r="AH72" s="98" t="e">
        <f t="shared" si="38"/>
        <v>#REF!</v>
      </c>
      <c r="AI72" s="103"/>
      <c r="AJ72" s="102"/>
      <c r="AK72" s="121" t="e">
        <f>#REF!</f>
        <v>#REF!</v>
      </c>
      <c r="AL72" s="98" t="e">
        <f t="shared" si="48"/>
        <v>#REF!</v>
      </c>
      <c r="AM72" s="102"/>
      <c r="AN72" s="102"/>
      <c r="AO72" s="121" t="e">
        <f>#REF!</f>
        <v>#REF!</v>
      </c>
      <c r="AP72" s="98" t="e">
        <f t="shared" si="49"/>
        <v>#REF!</v>
      </c>
      <c r="AQ72" s="102"/>
      <c r="AR72" s="102"/>
      <c r="AS72" s="121" t="e">
        <f>#REF!</f>
        <v>#REF!</v>
      </c>
      <c r="AT72" s="98" t="e">
        <f t="shared" si="50"/>
        <v>#REF!</v>
      </c>
      <c r="AU72" s="102"/>
      <c r="AV72" s="102"/>
      <c r="AW72" s="121" t="e">
        <f>#REF!</f>
        <v>#REF!</v>
      </c>
      <c r="AX72" s="98" t="e">
        <f t="shared" si="41"/>
        <v>#REF!</v>
      </c>
      <c r="AY72" s="102"/>
      <c r="AZ72" s="102"/>
      <c r="BB72" s="121" t="e">
        <f>#REF!</f>
        <v>#REF!</v>
      </c>
      <c r="BC72" s="121" t="e">
        <f>#REF!</f>
        <v>#REF!</v>
      </c>
      <c r="BD72" s="121" t="e">
        <f>#REF!</f>
        <v>#REF!</v>
      </c>
      <c r="BE72" s="121" t="e">
        <f>#REF!</f>
        <v>#REF!</v>
      </c>
      <c r="BF72" s="101" t="e">
        <f t="shared" ref="BF72:BF115" si="56">SUM(BB72:BE72)</f>
        <v>#REF!</v>
      </c>
      <c r="BG72" s="101" t="e">
        <f t="shared" ref="BG72:BG110" si="57">J72-BF72</f>
        <v>#REF!</v>
      </c>
      <c r="BH72" s="227" t="e">
        <f t="shared" si="51"/>
        <v>#REF!</v>
      </c>
      <c r="BI72" s="227" t="e">
        <f t="shared" si="52"/>
        <v>#REF!</v>
      </c>
      <c r="BJ72" s="227" t="e">
        <f t="shared" si="53"/>
        <v>#REF!</v>
      </c>
      <c r="BK72" s="227" t="e">
        <f t="shared" si="54"/>
        <v>#REF!</v>
      </c>
    </row>
    <row r="73" spans="1:63">
      <c r="A73" s="102"/>
      <c r="B73" s="289" t="s">
        <v>845</v>
      </c>
      <c r="C73" s="312" t="s">
        <v>814</v>
      </c>
      <c r="D73" s="126">
        <v>12.5</v>
      </c>
      <c r="E73" s="312" t="s">
        <v>814</v>
      </c>
      <c r="F73" s="309"/>
      <c r="G73" s="310"/>
      <c r="H73" s="102"/>
      <c r="I73" s="102"/>
      <c r="J73" s="309"/>
      <c r="K73" s="104"/>
      <c r="L73" s="102"/>
      <c r="M73" s="102"/>
      <c r="N73" s="102"/>
      <c r="O73" s="478"/>
      <c r="R73" s="93"/>
      <c r="S73" s="101"/>
      <c r="T73" s="29"/>
      <c r="AC73" s="121" t="e">
        <f>#REF!</f>
        <v>#REF!</v>
      </c>
      <c r="AD73" s="97" t="e">
        <f t="shared" si="47"/>
        <v>#REF!</v>
      </c>
      <c r="AE73" s="102"/>
      <c r="AF73" s="102"/>
      <c r="AG73" s="121" t="e">
        <f>#REF!</f>
        <v>#REF!</v>
      </c>
      <c r="AH73" s="98" t="e">
        <f t="shared" si="38"/>
        <v>#REF!</v>
      </c>
      <c r="AI73" s="103"/>
      <c r="AJ73" s="102"/>
      <c r="AK73" s="121" t="e">
        <f>#REF!</f>
        <v>#REF!</v>
      </c>
      <c r="AL73" s="98" t="e">
        <f t="shared" si="48"/>
        <v>#REF!</v>
      </c>
      <c r="AM73" s="102"/>
      <c r="AN73" s="102"/>
      <c r="AO73" s="121" t="e">
        <f>#REF!</f>
        <v>#REF!</v>
      </c>
      <c r="AP73" s="98" t="e">
        <f t="shared" si="49"/>
        <v>#REF!</v>
      </c>
      <c r="AQ73" s="102"/>
      <c r="AR73" s="102"/>
      <c r="AS73" s="121" t="e">
        <f>#REF!</f>
        <v>#REF!</v>
      </c>
      <c r="AT73" s="98" t="e">
        <f t="shared" si="50"/>
        <v>#REF!</v>
      </c>
      <c r="AU73" s="102"/>
      <c r="AV73" s="102"/>
      <c r="AW73" s="121" t="e">
        <f>#REF!</f>
        <v>#REF!</v>
      </c>
      <c r="AX73" s="98" t="e">
        <f t="shared" si="41"/>
        <v>#REF!</v>
      </c>
      <c r="AY73" s="102"/>
      <c r="AZ73" s="102"/>
      <c r="BB73" s="121" t="e">
        <f>#REF!</f>
        <v>#REF!</v>
      </c>
      <c r="BC73" s="121" t="e">
        <f>#REF!</f>
        <v>#REF!</v>
      </c>
      <c r="BD73" s="121" t="e">
        <f>#REF!</f>
        <v>#REF!</v>
      </c>
      <c r="BE73" s="121" t="e">
        <f>#REF!</f>
        <v>#REF!</v>
      </c>
      <c r="BF73" s="101" t="e">
        <f t="shared" si="56"/>
        <v>#REF!</v>
      </c>
      <c r="BG73" s="101" t="e">
        <f t="shared" si="57"/>
        <v>#REF!</v>
      </c>
      <c r="BH73" s="227" t="e">
        <f t="shared" si="51"/>
        <v>#REF!</v>
      </c>
      <c r="BI73" s="227" t="e">
        <f t="shared" si="52"/>
        <v>#REF!</v>
      </c>
      <c r="BJ73" s="227" t="e">
        <f t="shared" si="53"/>
        <v>#REF!</v>
      </c>
      <c r="BK73" s="227" t="e">
        <f t="shared" si="54"/>
        <v>#REF!</v>
      </c>
    </row>
    <row r="74" spans="1:63">
      <c r="A74" s="102"/>
      <c r="B74" s="289" t="s">
        <v>70</v>
      </c>
      <c r="C74" s="312" t="s">
        <v>805</v>
      </c>
      <c r="D74" s="126">
        <v>0.4</v>
      </c>
      <c r="E74" s="312" t="s">
        <v>805</v>
      </c>
      <c r="F74" s="309"/>
      <c r="G74" s="310"/>
      <c r="H74" s="102"/>
      <c r="I74" s="102"/>
      <c r="J74" s="309"/>
      <c r="K74" s="104"/>
      <c r="L74" s="102"/>
      <c r="M74" s="102"/>
      <c r="N74" s="102"/>
      <c r="O74" s="478"/>
      <c r="R74" s="93"/>
      <c r="S74" s="101"/>
      <c r="T74" s="29"/>
      <c r="AC74" s="121" t="e">
        <f>#REF!</f>
        <v>#REF!</v>
      </c>
      <c r="AD74" s="97" t="e">
        <f t="shared" si="47"/>
        <v>#REF!</v>
      </c>
      <c r="AE74" s="102"/>
      <c r="AF74" s="102"/>
      <c r="AG74" s="121" t="e">
        <f>#REF!</f>
        <v>#REF!</v>
      </c>
      <c r="AH74" s="98" t="e">
        <f t="shared" si="38"/>
        <v>#REF!</v>
      </c>
      <c r="AI74" s="103"/>
      <c r="AJ74" s="102"/>
      <c r="AK74" s="121" t="e">
        <f>#REF!</f>
        <v>#REF!</v>
      </c>
      <c r="AL74" s="98" t="e">
        <f t="shared" si="48"/>
        <v>#REF!</v>
      </c>
      <c r="AM74" s="102"/>
      <c r="AN74" s="102"/>
      <c r="AO74" s="121" t="e">
        <f>#REF!</f>
        <v>#REF!</v>
      </c>
      <c r="AP74" s="98" t="e">
        <f t="shared" si="49"/>
        <v>#REF!</v>
      </c>
      <c r="AQ74" s="102"/>
      <c r="AR74" s="102"/>
      <c r="AS74" s="121" t="e">
        <f>#REF!</f>
        <v>#REF!</v>
      </c>
      <c r="AT74" s="98" t="e">
        <f t="shared" si="50"/>
        <v>#REF!</v>
      </c>
      <c r="AU74" s="102"/>
      <c r="AV74" s="102"/>
      <c r="AW74" s="121" t="e">
        <f>#REF!</f>
        <v>#REF!</v>
      </c>
      <c r="AX74" s="98" t="e">
        <f t="shared" si="41"/>
        <v>#REF!</v>
      </c>
      <c r="AY74" s="102"/>
      <c r="AZ74" s="102"/>
      <c r="BB74" s="121" t="e">
        <f>#REF!</f>
        <v>#REF!</v>
      </c>
      <c r="BC74" s="121" t="e">
        <f>#REF!</f>
        <v>#REF!</v>
      </c>
      <c r="BD74" s="121" t="e">
        <f>#REF!</f>
        <v>#REF!</v>
      </c>
      <c r="BE74" s="121" t="e">
        <f>#REF!</f>
        <v>#REF!</v>
      </c>
      <c r="BF74" s="101" t="e">
        <f t="shared" si="56"/>
        <v>#REF!</v>
      </c>
      <c r="BG74" s="101" t="e">
        <f t="shared" si="57"/>
        <v>#REF!</v>
      </c>
      <c r="BH74" s="227" t="e">
        <f t="shared" si="51"/>
        <v>#REF!</v>
      </c>
      <c r="BI74" s="227" t="e">
        <f t="shared" si="52"/>
        <v>#REF!</v>
      </c>
      <c r="BJ74" s="227" t="e">
        <f t="shared" si="53"/>
        <v>#REF!</v>
      </c>
      <c r="BK74" s="227" t="e">
        <f t="shared" si="54"/>
        <v>#REF!</v>
      </c>
    </row>
    <row r="75" spans="1:63">
      <c r="A75" s="102"/>
      <c r="B75" s="289" t="s">
        <v>846</v>
      </c>
      <c r="C75" s="312" t="s">
        <v>35</v>
      </c>
      <c r="D75" s="126">
        <v>33.333333333333336</v>
      </c>
      <c r="E75" s="312" t="s">
        <v>35</v>
      </c>
      <c r="F75" s="309"/>
      <c r="G75" s="310"/>
      <c r="H75" s="102"/>
      <c r="I75" s="102"/>
      <c r="J75" s="309"/>
      <c r="K75" s="104"/>
      <c r="L75" s="102"/>
      <c r="M75" s="102"/>
      <c r="N75" s="102"/>
      <c r="O75" s="478"/>
      <c r="R75" s="93"/>
      <c r="S75" s="101"/>
      <c r="T75" s="29"/>
      <c r="AC75" s="121" t="e">
        <f>#REF!</f>
        <v>#REF!</v>
      </c>
      <c r="AD75" s="97" t="e">
        <f t="shared" si="47"/>
        <v>#REF!</v>
      </c>
      <c r="AE75" s="102"/>
      <c r="AF75" s="102"/>
      <c r="AG75" s="121" t="e">
        <f>#REF!</f>
        <v>#REF!</v>
      </c>
      <c r="AH75" s="98" t="e">
        <f t="shared" si="38"/>
        <v>#REF!</v>
      </c>
      <c r="AI75" s="103"/>
      <c r="AJ75" s="102"/>
      <c r="AK75" s="121" t="e">
        <f>#REF!</f>
        <v>#REF!</v>
      </c>
      <c r="AL75" s="98" t="e">
        <f t="shared" si="48"/>
        <v>#REF!</v>
      </c>
      <c r="AM75" s="102"/>
      <c r="AN75" s="102"/>
      <c r="AO75" s="121" t="e">
        <f>#REF!</f>
        <v>#REF!</v>
      </c>
      <c r="AP75" s="98" t="e">
        <f t="shared" si="49"/>
        <v>#REF!</v>
      </c>
      <c r="AQ75" s="102"/>
      <c r="AR75" s="102"/>
      <c r="AS75" s="121" t="e">
        <f>#REF!</f>
        <v>#REF!</v>
      </c>
      <c r="AT75" s="98" t="e">
        <f t="shared" si="50"/>
        <v>#REF!</v>
      </c>
      <c r="AU75" s="102"/>
      <c r="AV75" s="102"/>
      <c r="AW75" s="121" t="e">
        <f>#REF!</f>
        <v>#REF!</v>
      </c>
      <c r="AX75" s="98" t="e">
        <f t="shared" si="41"/>
        <v>#REF!</v>
      </c>
      <c r="AY75" s="102"/>
      <c r="AZ75" s="102"/>
      <c r="BB75" s="121" t="e">
        <f>#REF!</f>
        <v>#REF!</v>
      </c>
      <c r="BC75" s="121" t="e">
        <f>#REF!</f>
        <v>#REF!</v>
      </c>
      <c r="BD75" s="121" t="e">
        <f>#REF!</f>
        <v>#REF!</v>
      </c>
      <c r="BE75" s="121" t="e">
        <f>#REF!</f>
        <v>#REF!</v>
      </c>
      <c r="BF75" s="101" t="e">
        <f t="shared" si="56"/>
        <v>#REF!</v>
      </c>
      <c r="BG75" s="101" t="e">
        <f t="shared" si="57"/>
        <v>#REF!</v>
      </c>
      <c r="BH75" s="227" t="e">
        <f t="shared" si="51"/>
        <v>#REF!</v>
      </c>
      <c r="BI75" s="227" t="e">
        <f t="shared" si="52"/>
        <v>#REF!</v>
      </c>
      <c r="BJ75" s="227" t="e">
        <f t="shared" si="53"/>
        <v>#REF!</v>
      </c>
      <c r="BK75" s="227" t="e">
        <f t="shared" si="54"/>
        <v>#REF!</v>
      </c>
    </row>
    <row r="76" spans="1:63">
      <c r="A76" s="102"/>
      <c r="B76" s="289" t="s">
        <v>72</v>
      </c>
      <c r="C76" s="312" t="s">
        <v>805</v>
      </c>
      <c r="D76" s="126">
        <v>0.2</v>
      </c>
      <c r="E76" s="312" t="s">
        <v>805</v>
      </c>
      <c r="F76" s="309"/>
      <c r="G76" s="310"/>
      <c r="H76" s="102"/>
      <c r="I76" s="102"/>
      <c r="J76" s="309"/>
      <c r="K76" s="104"/>
      <c r="L76" s="102"/>
      <c r="M76" s="102"/>
      <c r="N76" s="102"/>
      <c r="O76" s="478"/>
      <c r="R76" s="93"/>
      <c r="S76" s="101"/>
      <c r="T76" s="29"/>
      <c r="AC76" s="121" t="e">
        <f>#REF!</f>
        <v>#REF!</v>
      </c>
      <c r="AD76" s="97" t="e">
        <f t="shared" si="47"/>
        <v>#REF!</v>
      </c>
      <c r="AE76" s="102"/>
      <c r="AF76" s="102"/>
      <c r="AG76" s="121" t="e">
        <f>#REF!</f>
        <v>#REF!</v>
      </c>
      <c r="AH76" s="98" t="e">
        <f t="shared" si="38"/>
        <v>#REF!</v>
      </c>
      <c r="AI76" s="103"/>
      <c r="AJ76" s="102"/>
      <c r="AK76" s="121" t="e">
        <f>#REF!</f>
        <v>#REF!</v>
      </c>
      <c r="AL76" s="98" t="e">
        <f t="shared" si="48"/>
        <v>#REF!</v>
      </c>
      <c r="AM76" s="102"/>
      <c r="AN76" s="102"/>
      <c r="AO76" s="121" t="e">
        <f>#REF!</f>
        <v>#REF!</v>
      </c>
      <c r="AP76" s="98" t="e">
        <f t="shared" si="49"/>
        <v>#REF!</v>
      </c>
      <c r="AQ76" s="102"/>
      <c r="AR76" s="102"/>
      <c r="AS76" s="121" t="e">
        <f>#REF!</f>
        <v>#REF!</v>
      </c>
      <c r="AT76" s="98" t="e">
        <f t="shared" si="50"/>
        <v>#REF!</v>
      </c>
      <c r="AU76" s="102"/>
      <c r="AV76" s="102"/>
      <c r="AW76" s="121" t="e">
        <f>#REF!</f>
        <v>#REF!</v>
      </c>
      <c r="AX76" s="98" t="e">
        <f t="shared" si="41"/>
        <v>#REF!</v>
      </c>
      <c r="AY76" s="102"/>
      <c r="AZ76" s="102"/>
      <c r="BB76" s="121" t="e">
        <f>#REF!</f>
        <v>#REF!</v>
      </c>
      <c r="BC76" s="121" t="e">
        <f>#REF!</f>
        <v>#REF!</v>
      </c>
      <c r="BD76" s="121" t="e">
        <f>#REF!</f>
        <v>#REF!</v>
      </c>
      <c r="BE76" s="121" t="e">
        <f>#REF!</f>
        <v>#REF!</v>
      </c>
      <c r="BF76" s="101" t="e">
        <f t="shared" si="56"/>
        <v>#REF!</v>
      </c>
      <c r="BG76" s="101" t="e">
        <f t="shared" si="57"/>
        <v>#REF!</v>
      </c>
      <c r="BH76" s="227" t="e">
        <f t="shared" si="51"/>
        <v>#REF!</v>
      </c>
      <c r="BI76" s="227" t="e">
        <f t="shared" si="52"/>
        <v>#REF!</v>
      </c>
      <c r="BJ76" s="227" t="e">
        <f t="shared" si="53"/>
        <v>#REF!</v>
      </c>
      <c r="BK76" s="227" t="e">
        <f t="shared" si="54"/>
        <v>#REF!</v>
      </c>
    </row>
    <row r="77" spans="1:63">
      <c r="A77" s="102"/>
      <c r="B77" s="289" t="s">
        <v>847</v>
      </c>
      <c r="C77" s="312" t="s">
        <v>619</v>
      </c>
      <c r="D77" s="126">
        <v>3.3333333333333335</v>
      </c>
      <c r="E77" s="312" t="s">
        <v>619</v>
      </c>
      <c r="F77" s="309"/>
      <c r="G77" s="310"/>
      <c r="H77" s="102"/>
      <c r="I77" s="102"/>
      <c r="J77" s="309"/>
      <c r="K77" s="104"/>
      <c r="L77" s="102"/>
      <c r="M77" s="102"/>
      <c r="N77" s="102"/>
      <c r="O77" s="478"/>
      <c r="R77" s="93"/>
      <c r="S77" s="101"/>
      <c r="T77" s="29"/>
      <c r="AC77" s="121"/>
      <c r="AD77" s="97">
        <f t="shared" si="47"/>
        <v>0</v>
      </c>
      <c r="AE77" s="102"/>
      <c r="AF77" s="102"/>
      <c r="AG77" s="121"/>
      <c r="AH77" s="98">
        <f t="shared" si="38"/>
        <v>0</v>
      </c>
      <c r="AI77" s="103"/>
      <c r="AJ77" s="102"/>
      <c r="AK77" s="121"/>
      <c r="AL77" s="98">
        <f t="shared" si="48"/>
        <v>0</v>
      </c>
      <c r="AM77" s="102"/>
      <c r="AN77" s="102"/>
      <c r="AO77" s="121"/>
      <c r="AP77" s="98">
        <f t="shared" si="49"/>
        <v>0</v>
      </c>
      <c r="AQ77" s="102"/>
      <c r="AR77" s="102"/>
      <c r="AS77" s="121"/>
      <c r="AT77" s="98">
        <f t="shared" si="50"/>
        <v>0</v>
      </c>
      <c r="AU77" s="102"/>
      <c r="AV77" s="102"/>
      <c r="AW77" s="121"/>
      <c r="AX77" s="98">
        <f t="shared" si="41"/>
        <v>0</v>
      </c>
      <c r="AY77" s="102"/>
      <c r="AZ77" s="102"/>
      <c r="BB77" s="121"/>
      <c r="BC77" s="121"/>
      <c r="BD77" s="121"/>
      <c r="BE77" s="121"/>
      <c r="BF77" s="101">
        <f t="shared" si="56"/>
        <v>0</v>
      </c>
      <c r="BG77" s="101">
        <f t="shared" si="57"/>
        <v>0</v>
      </c>
      <c r="BH77" s="227">
        <f t="shared" si="51"/>
        <v>0</v>
      </c>
      <c r="BI77" s="227">
        <f t="shared" si="52"/>
        <v>0</v>
      </c>
      <c r="BJ77" s="227">
        <f t="shared" si="53"/>
        <v>0</v>
      </c>
      <c r="BK77" s="227">
        <f t="shared" si="54"/>
        <v>0</v>
      </c>
    </row>
    <row r="78" spans="1:63">
      <c r="A78" s="102"/>
      <c r="B78" s="289" t="s">
        <v>848</v>
      </c>
      <c r="C78" s="312" t="s">
        <v>805</v>
      </c>
      <c r="D78" s="126">
        <v>0.6</v>
      </c>
      <c r="E78" s="312" t="s">
        <v>805</v>
      </c>
      <c r="F78" s="309"/>
      <c r="G78" s="310"/>
      <c r="H78" s="102"/>
      <c r="I78" s="102"/>
      <c r="J78" s="309"/>
      <c r="K78" s="104"/>
      <c r="L78" s="102"/>
      <c r="M78" s="102"/>
      <c r="N78" s="102"/>
      <c r="O78" s="478"/>
      <c r="R78" s="93"/>
      <c r="S78" s="101"/>
      <c r="T78" s="29"/>
      <c r="AC78" s="121" t="e">
        <f>#REF!</f>
        <v>#REF!</v>
      </c>
      <c r="AD78" s="97" t="e">
        <f t="shared" si="47"/>
        <v>#REF!</v>
      </c>
      <c r="AE78" s="102"/>
      <c r="AF78" s="102"/>
      <c r="AG78" s="121" t="e">
        <f>#REF!</f>
        <v>#REF!</v>
      </c>
      <c r="AH78" s="98" t="e">
        <f t="shared" si="38"/>
        <v>#REF!</v>
      </c>
      <c r="AI78" s="103"/>
      <c r="AJ78" s="102"/>
      <c r="AK78" s="121" t="e">
        <f>#REF!</f>
        <v>#REF!</v>
      </c>
      <c r="AL78" s="98" t="e">
        <f t="shared" si="48"/>
        <v>#REF!</v>
      </c>
      <c r="AM78" s="102"/>
      <c r="AN78" s="102"/>
      <c r="AO78" s="121" t="e">
        <f>#REF!</f>
        <v>#REF!</v>
      </c>
      <c r="AP78" s="98" t="e">
        <f t="shared" si="49"/>
        <v>#REF!</v>
      </c>
      <c r="AQ78" s="102"/>
      <c r="AR78" s="102"/>
      <c r="AS78" s="121" t="e">
        <f>#REF!</f>
        <v>#REF!</v>
      </c>
      <c r="AT78" s="98" t="e">
        <f t="shared" si="50"/>
        <v>#REF!</v>
      </c>
      <c r="AU78" s="102"/>
      <c r="AV78" s="102"/>
      <c r="AW78" s="121" t="e">
        <f>#REF!</f>
        <v>#REF!</v>
      </c>
      <c r="AX78" s="98" t="e">
        <f t="shared" si="41"/>
        <v>#REF!</v>
      </c>
      <c r="AY78" s="102"/>
      <c r="AZ78" s="102"/>
      <c r="BB78" s="121" t="e">
        <f>#REF!</f>
        <v>#REF!</v>
      </c>
      <c r="BC78" s="121" t="e">
        <f>#REF!</f>
        <v>#REF!</v>
      </c>
      <c r="BD78" s="121" t="e">
        <f>#REF!</f>
        <v>#REF!</v>
      </c>
      <c r="BE78" s="121" t="e">
        <f>#REF!</f>
        <v>#REF!</v>
      </c>
      <c r="BF78" s="101" t="e">
        <f t="shared" si="56"/>
        <v>#REF!</v>
      </c>
      <c r="BG78" s="101" t="e">
        <f t="shared" si="57"/>
        <v>#REF!</v>
      </c>
      <c r="BH78" s="227" t="e">
        <f t="shared" si="51"/>
        <v>#REF!</v>
      </c>
      <c r="BI78" s="227" t="e">
        <f t="shared" si="52"/>
        <v>#REF!</v>
      </c>
      <c r="BJ78" s="227" t="e">
        <f t="shared" si="53"/>
        <v>#REF!</v>
      </c>
      <c r="BK78" s="227" t="e">
        <f t="shared" si="54"/>
        <v>#REF!</v>
      </c>
    </row>
    <row r="79" spans="1:63" s="222" customFormat="1">
      <c r="A79" s="102"/>
      <c r="B79" s="313" t="s">
        <v>660</v>
      </c>
      <c r="C79" s="312" t="s">
        <v>35</v>
      </c>
      <c r="D79" s="126">
        <v>20</v>
      </c>
      <c r="E79" s="312" t="s">
        <v>35</v>
      </c>
      <c r="F79" s="309"/>
      <c r="G79" s="310"/>
      <c r="H79" s="102"/>
      <c r="I79" s="102"/>
      <c r="J79" s="309"/>
      <c r="K79" s="104"/>
      <c r="L79" s="102"/>
      <c r="M79" s="102"/>
      <c r="N79" s="102"/>
      <c r="O79" s="478"/>
      <c r="R79" s="223">
        <v>20</v>
      </c>
      <c r="S79" s="224">
        <f t="shared" si="55"/>
        <v>0</v>
      </c>
      <c r="T79" s="84"/>
      <c r="AC79" s="220" t="e">
        <f>'Plant utilization'!AG65</f>
        <v>#REF!</v>
      </c>
      <c r="AD79" s="225" t="e">
        <f t="shared" si="47"/>
        <v>#REF!</v>
      </c>
      <c r="AE79" s="219"/>
      <c r="AF79" s="219"/>
      <c r="AG79" s="220" t="e">
        <f>'Plant utilization'!AK65</f>
        <v>#REF!</v>
      </c>
      <c r="AH79" s="225" t="e">
        <f t="shared" si="38"/>
        <v>#REF!</v>
      </c>
      <c r="AI79" s="221"/>
      <c r="AJ79" s="219"/>
      <c r="AK79" s="220" t="e">
        <f>'Plant utilization'!AO65</f>
        <v>#REF!</v>
      </c>
      <c r="AL79" s="225" t="e">
        <f t="shared" si="48"/>
        <v>#REF!</v>
      </c>
      <c r="AM79" s="219"/>
      <c r="AN79" s="219"/>
      <c r="AO79" s="220" t="e">
        <f>'Plant utilization'!AS65</f>
        <v>#REF!</v>
      </c>
      <c r="AP79" s="225" t="e">
        <f t="shared" si="49"/>
        <v>#REF!</v>
      </c>
      <c r="AQ79" s="219"/>
      <c r="AR79" s="219"/>
      <c r="AS79" s="220" t="e">
        <f>'Plant utilization'!AW65</f>
        <v>#REF!</v>
      </c>
      <c r="AT79" s="225" t="e">
        <f t="shared" si="50"/>
        <v>#REF!</v>
      </c>
      <c r="AU79" s="219"/>
      <c r="AV79" s="219"/>
      <c r="AW79" s="220" t="e">
        <f>'Plant utilization'!BA65</f>
        <v>#REF!</v>
      </c>
      <c r="AX79" s="225" t="e">
        <f t="shared" si="41"/>
        <v>#REF!</v>
      </c>
      <c r="AY79" s="219"/>
      <c r="AZ79" s="219"/>
      <c r="BB79" s="220" t="e">
        <f>'Plant utilization'!#REF!</f>
        <v>#REF!</v>
      </c>
      <c r="BC79" s="220" t="e">
        <f>'Plant utilization'!#REF!</f>
        <v>#REF!</v>
      </c>
      <c r="BD79" s="220" t="e">
        <f>'Plant utilization'!#REF!</f>
        <v>#REF!</v>
      </c>
      <c r="BE79" s="220" t="e">
        <f>'Plant utilization'!#REF!</f>
        <v>#REF!</v>
      </c>
      <c r="BF79" s="101" t="e">
        <f t="shared" si="56"/>
        <v>#REF!</v>
      </c>
      <c r="BG79" s="101" t="e">
        <f t="shared" si="57"/>
        <v>#REF!</v>
      </c>
      <c r="BH79" s="227" t="e">
        <f t="shared" si="51"/>
        <v>#REF!</v>
      </c>
      <c r="BI79" s="227" t="e">
        <f t="shared" si="52"/>
        <v>#REF!</v>
      </c>
      <c r="BJ79" s="227" t="e">
        <f t="shared" si="53"/>
        <v>#REF!</v>
      </c>
      <c r="BK79" s="227" t="e">
        <f t="shared" si="54"/>
        <v>#REF!</v>
      </c>
    </row>
    <row r="80" spans="1:63">
      <c r="A80" s="102"/>
      <c r="B80" s="289" t="s">
        <v>703</v>
      </c>
      <c r="C80" s="102" t="s">
        <v>35</v>
      </c>
      <c r="D80" s="126">
        <v>500</v>
      </c>
      <c r="E80" s="102" t="s">
        <v>35</v>
      </c>
      <c r="F80" s="309"/>
      <c r="G80" s="310"/>
      <c r="H80" s="102"/>
      <c r="I80" s="102"/>
      <c r="J80" s="309"/>
      <c r="K80" s="104"/>
      <c r="L80" s="102"/>
      <c r="M80" s="102"/>
      <c r="N80" s="102"/>
      <c r="O80" s="478"/>
      <c r="R80" s="93">
        <v>500</v>
      </c>
      <c r="S80" s="101">
        <f t="shared" si="55"/>
        <v>0</v>
      </c>
      <c r="T80" s="29"/>
      <c r="AC80" s="121" t="e">
        <f>#REF!</f>
        <v>#REF!</v>
      </c>
      <c r="AD80" s="97" t="e">
        <f t="shared" si="47"/>
        <v>#REF!</v>
      </c>
      <c r="AE80" s="102"/>
      <c r="AF80" s="102"/>
      <c r="AG80" s="121" t="e">
        <f>#REF!</f>
        <v>#REF!</v>
      </c>
      <c r="AH80" s="98" t="e">
        <f t="shared" si="38"/>
        <v>#REF!</v>
      </c>
      <c r="AI80" s="103"/>
      <c r="AJ80" s="102"/>
      <c r="AK80" s="121" t="e">
        <f>#REF!</f>
        <v>#REF!</v>
      </c>
      <c r="AL80" s="98" t="e">
        <f t="shared" si="48"/>
        <v>#REF!</v>
      </c>
      <c r="AM80" s="102"/>
      <c r="AN80" s="102"/>
      <c r="AO80" s="121" t="e">
        <f>#REF!</f>
        <v>#REF!</v>
      </c>
      <c r="AP80" s="98" t="e">
        <f t="shared" si="49"/>
        <v>#REF!</v>
      </c>
      <c r="AQ80" s="102"/>
      <c r="AR80" s="102"/>
      <c r="AS80" s="121" t="e">
        <f>#REF!</f>
        <v>#REF!</v>
      </c>
      <c r="AT80" s="98" t="e">
        <f t="shared" si="50"/>
        <v>#REF!</v>
      </c>
      <c r="AU80" s="102"/>
      <c r="AV80" s="102"/>
      <c r="AW80" s="121" t="e">
        <f>#REF!</f>
        <v>#REF!</v>
      </c>
      <c r="AX80" s="98" t="e">
        <f t="shared" si="41"/>
        <v>#REF!</v>
      </c>
      <c r="AY80" s="102"/>
      <c r="AZ80" s="102"/>
      <c r="BB80" s="121" t="e">
        <f>#REF!</f>
        <v>#REF!</v>
      </c>
      <c r="BC80" s="121" t="e">
        <f>#REF!</f>
        <v>#REF!</v>
      </c>
      <c r="BD80" s="121" t="e">
        <f>#REF!</f>
        <v>#REF!</v>
      </c>
      <c r="BE80" s="121" t="e">
        <f>#REF!</f>
        <v>#REF!</v>
      </c>
      <c r="BF80" s="101" t="e">
        <f t="shared" si="56"/>
        <v>#REF!</v>
      </c>
      <c r="BG80" s="101" t="e">
        <f t="shared" si="57"/>
        <v>#REF!</v>
      </c>
      <c r="BH80" s="227" t="e">
        <f t="shared" si="51"/>
        <v>#REF!</v>
      </c>
      <c r="BI80" s="227" t="e">
        <f t="shared" si="52"/>
        <v>#REF!</v>
      </c>
      <c r="BJ80" s="227" t="e">
        <f t="shared" si="53"/>
        <v>#REF!</v>
      </c>
      <c r="BK80" s="227" t="e">
        <f t="shared" si="54"/>
        <v>#REF!</v>
      </c>
    </row>
    <row r="81" spans="1:63">
      <c r="A81" s="102"/>
      <c r="B81" s="289" t="s">
        <v>661</v>
      </c>
      <c r="C81" s="102" t="s">
        <v>35</v>
      </c>
      <c r="D81" s="126">
        <f>600/4</f>
        <v>150</v>
      </c>
      <c r="E81" s="102" t="s">
        <v>35</v>
      </c>
      <c r="F81" s="309"/>
      <c r="G81" s="310"/>
      <c r="H81" s="102"/>
      <c r="I81" s="102"/>
      <c r="J81" s="309"/>
      <c r="K81" s="104"/>
      <c r="L81" s="102"/>
      <c r="M81" s="102"/>
      <c r="N81" s="102"/>
      <c r="O81" s="478"/>
      <c r="R81" s="93">
        <v>150</v>
      </c>
      <c r="S81" s="101">
        <f t="shared" si="55"/>
        <v>0</v>
      </c>
      <c r="T81" s="29"/>
      <c r="AC81" s="121" t="e">
        <f>#REF!+#REF!</f>
        <v>#REF!</v>
      </c>
      <c r="AD81" s="97" t="e">
        <f t="shared" si="47"/>
        <v>#REF!</v>
      </c>
      <c r="AE81" s="102"/>
      <c r="AF81" s="102"/>
      <c r="AG81" s="121" t="e">
        <f>#REF!+#REF!</f>
        <v>#REF!</v>
      </c>
      <c r="AH81" s="98" t="e">
        <f t="shared" si="38"/>
        <v>#REF!</v>
      </c>
      <c r="AI81" s="103"/>
      <c r="AJ81" s="102"/>
      <c r="AK81" s="121" t="e">
        <f>#REF!+#REF!</f>
        <v>#REF!</v>
      </c>
      <c r="AL81" s="98" t="e">
        <f t="shared" si="48"/>
        <v>#REF!</v>
      </c>
      <c r="AM81" s="102"/>
      <c r="AN81" s="102"/>
      <c r="AO81" s="121" t="e">
        <f>#REF!+#REF!</f>
        <v>#REF!</v>
      </c>
      <c r="AP81" s="98" t="e">
        <f t="shared" si="49"/>
        <v>#REF!</v>
      </c>
      <c r="AQ81" s="102"/>
      <c r="AR81" s="102"/>
      <c r="AS81" s="121" t="e">
        <f>#REF!+#REF!</f>
        <v>#REF!</v>
      </c>
      <c r="AT81" s="98" t="e">
        <f t="shared" si="50"/>
        <v>#REF!</v>
      </c>
      <c r="AU81" s="102"/>
      <c r="AV81" s="102"/>
      <c r="AW81" s="121" t="e">
        <f>#REF!+#REF!</f>
        <v>#REF!</v>
      </c>
      <c r="AX81" s="98" t="e">
        <f t="shared" si="41"/>
        <v>#REF!</v>
      </c>
      <c r="AY81" s="102"/>
      <c r="AZ81" s="102"/>
      <c r="BB81" s="121" t="e">
        <f>#REF!+#REF!</f>
        <v>#REF!</v>
      </c>
      <c r="BC81" s="121" t="e">
        <f>#REF!+#REF!</f>
        <v>#REF!</v>
      </c>
      <c r="BD81" s="121" t="e">
        <f>#REF!+#REF!</f>
        <v>#REF!</v>
      </c>
      <c r="BE81" s="121" t="e">
        <f>#REF!+#REF!</f>
        <v>#REF!</v>
      </c>
      <c r="BF81" s="101" t="e">
        <f t="shared" si="56"/>
        <v>#REF!</v>
      </c>
      <c r="BG81" s="101" t="e">
        <f t="shared" si="57"/>
        <v>#REF!</v>
      </c>
      <c r="BH81" s="227" t="e">
        <f t="shared" si="51"/>
        <v>#REF!</v>
      </c>
      <c r="BI81" s="227" t="e">
        <f t="shared" si="52"/>
        <v>#REF!</v>
      </c>
      <c r="BJ81" s="227" t="e">
        <f t="shared" si="53"/>
        <v>#REF!</v>
      </c>
      <c r="BK81" s="227" t="e">
        <f t="shared" si="54"/>
        <v>#REF!</v>
      </c>
    </row>
    <row r="82" spans="1:63">
      <c r="A82" s="102"/>
      <c r="B82" s="289" t="s">
        <v>808</v>
      </c>
      <c r="C82" s="102" t="s">
        <v>619</v>
      </c>
      <c r="D82" s="126">
        <v>75</v>
      </c>
      <c r="E82" s="102" t="s">
        <v>35</v>
      </c>
      <c r="F82" s="309"/>
      <c r="G82" s="310"/>
      <c r="H82" s="102"/>
      <c r="I82" s="102"/>
      <c r="J82" s="309"/>
      <c r="K82" s="104"/>
      <c r="L82" s="102"/>
      <c r="M82" s="102"/>
      <c r="N82" s="102"/>
      <c r="O82" s="478"/>
      <c r="R82" s="93">
        <v>75</v>
      </c>
      <c r="S82" s="101">
        <f t="shared" si="55"/>
        <v>0</v>
      </c>
      <c r="T82" s="29"/>
      <c r="AC82" s="121" t="e">
        <f>#REF!</f>
        <v>#REF!</v>
      </c>
      <c r="AD82" s="97" t="e">
        <f t="shared" si="47"/>
        <v>#REF!</v>
      </c>
      <c r="AE82" s="102"/>
      <c r="AF82" s="102"/>
      <c r="AG82" s="121" t="e">
        <f>#REF!</f>
        <v>#REF!</v>
      </c>
      <c r="AH82" s="98" t="e">
        <f t="shared" si="38"/>
        <v>#REF!</v>
      </c>
      <c r="AI82" s="103"/>
      <c r="AJ82" s="102"/>
      <c r="AK82" s="121" t="e">
        <f>#REF!</f>
        <v>#REF!</v>
      </c>
      <c r="AL82" s="98" t="e">
        <f t="shared" si="48"/>
        <v>#REF!</v>
      </c>
      <c r="AM82" s="102"/>
      <c r="AN82" s="102"/>
      <c r="AO82" s="121" t="e">
        <f>#REF!</f>
        <v>#REF!</v>
      </c>
      <c r="AP82" s="98" t="e">
        <f t="shared" si="49"/>
        <v>#REF!</v>
      </c>
      <c r="AQ82" s="102"/>
      <c r="AR82" s="102"/>
      <c r="AS82" s="121" t="e">
        <f>#REF!</f>
        <v>#REF!</v>
      </c>
      <c r="AT82" s="98" t="e">
        <f t="shared" si="50"/>
        <v>#REF!</v>
      </c>
      <c r="AU82" s="102"/>
      <c r="AV82" s="102"/>
      <c r="AW82" s="121" t="e">
        <f>#REF!</f>
        <v>#REF!</v>
      </c>
      <c r="AX82" s="98" t="e">
        <f t="shared" si="41"/>
        <v>#REF!</v>
      </c>
      <c r="AY82" s="102"/>
      <c r="AZ82" s="102"/>
      <c r="BB82" s="121" t="e">
        <f>#REF!</f>
        <v>#REF!</v>
      </c>
      <c r="BC82" s="121" t="e">
        <f>#REF!</f>
        <v>#REF!</v>
      </c>
      <c r="BD82" s="121" t="e">
        <f>#REF!</f>
        <v>#REF!</v>
      </c>
      <c r="BE82" s="121" t="e">
        <f>#REF!</f>
        <v>#REF!</v>
      </c>
      <c r="BF82" s="101" t="e">
        <f t="shared" si="56"/>
        <v>#REF!</v>
      </c>
      <c r="BG82" s="101" t="e">
        <f t="shared" si="57"/>
        <v>#REF!</v>
      </c>
      <c r="BH82" s="227" t="e">
        <f t="shared" si="51"/>
        <v>#REF!</v>
      </c>
      <c r="BI82" s="227" t="e">
        <f t="shared" si="52"/>
        <v>#REF!</v>
      </c>
      <c r="BJ82" s="227" t="e">
        <f t="shared" si="53"/>
        <v>#REF!</v>
      </c>
      <c r="BK82" s="227" t="e">
        <f t="shared" si="54"/>
        <v>#REF!</v>
      </c>
    </row>
    <row r="83" spans="1:63">
      <c r="A83" s="102"/>
      <c r="B83" s="313" t="s">
        <v>704</v>
      </c>
      <c r="C83" s="102" t="s">
        <v>35</v>
      </c>
      <c r="D83" s="126">
        <v>500</v>
      </c>
      <c r="E83" s="102" t="s">
        <v>35</v>
      </c>
      <c r="F83" s="309"/>
      <c r="G83" s="310"/>
      <c r="H83" s="102"/>
      <c r="I83" s="102"/>
      <c r="J83" s="309"/>
      <c r="K83" s="104"/>
      <c r="L83" s="102"/>
      <c r="M83" s="102"/>
      <c r="N83" s="102"/>
      <c r="O83" s="478"/>
      <c r="R83" s="93">
        <v>500</v>
      </c>
      <c r="S83" s="101">
        <f t="shared" si="55"/>
        <v>0</v>
      </c>
      <c r="T83" s="29"/>
      <c r="AC83" s="121" t="e">
        <f>#REF!</f>
        <v>#REF!</v>
      </c>
      <c r="AD83" s="97" t="e">
        <f t="shared" si="47"/>
        <v>#REF!</v>
      </c>
      <c r="AE83" s="102"/>
      <c r="AF83" s="102"/>
      <c r="AG83" s="121" t="e">
        <f>#REF!</f>
        <v>#REF!</v>
      </c>
      <c r="AH83" s="98" t="e">
        <f t="shared" si="38"/>
        <v>#REF!</v>
      </c>
      <c r="AI83" s="103"/>
      <c r="AJ83" s="102"/>
      <c r="AK83" s="121" t="e">
        <f>#REF!</f>
        <v>#REF!</v>
      </c>
      <c r="AL83" s="98" t="e">
        <f t="shared" si="48"/>
        <v>#REF!</v>
      </c>
      <c r="AM83" s="102"/>
      <c r="AN83" s="102"/>
      <c r="AO83" s="121" t="e">
        <f>#REF!</f>
        <v>#REF!</v>
      </c>
      <c r="AP83" s="98" t="e">
        <f t="shared" si="49"/>
        <v>#REF!</v>
      </c>
      <c r="AQ83" s="102"/>
      <c r="AR83" s="102"/>
      <c r="AS83" s="121" t="e">
        <f>#REF!</f>
        <v>#REF!</v>
      </c>
      <c r="AT83" s="98" t="e">
        <f t="shared" si="50"/>
        <v>#REF!</v>
      </c>
      <c r="AU83" s="102"/>
      <c r="AV83" s="102"/>
      <c r="AW83" s="121" t="e">
        <f>#REF!</f>
        <v>#REF!</v>
      </c>
      <c r="AX83" s="98" t="e">
        <f t="shared" si="41"/>
        <v>#REF!</v>
      </c>
      <c r="AY83" s="102"/>
      <c r="AZ83" s="102"/>
      <c r="BB83" s="121" t="e">
        <f>#REF!</f>
        <v>#REF!</v>
      </c>
      <c r="BC83" s="121" t="e">
        <f>#REF!</f>
        <v>#REF!</v>
      </c>
      <c r="BD83" s="121" t="e">
        <f>#REF!</f>
        <v>#REF!</v>
      </c>
      <c r="BE83" s="121" t="e">
        <f>#REF!</f>
        <v>#REF!</v>
      </c>
      <c r="BF83" s="101" t="e">
        <f t="shared" si="56"/>
        <v>#REF!</v>
      </c>
      <c r="BG83" s="101" t="e">
        <f t="shared" si="57"/>
        <v>#REF!</v>
      </c>
      <c r="BH83" s="227" t="e">
        <f t="shared" si="51"/>
        <v>#REF!</v>
      </c>
      <c r="BI83" s="227" t="e">
        <f t="shared" si="52"/>
        <v>#REF!</v>
      </c>
      <c r="BJ83" s="227" t="e">
        <f t="shared" si="53"/>
        <v>#REF!</v>
      </c>
      <c r="BK83" s="227" t="e">
        <f t="shared" si="54"/>
        <v>#REF!</v>
      </c>
    </row>
    <row r="84" spans="1:63">
      <c r="A84" s="102"/>
      <c r="B84" s="313" t="s">
        <v>752</v>
      </c>
      <c r="C84" s="102" t="s">
        <v>619</v>
      </c>
      <c r="D84" s="126">
        <v>333.33300000000003</v>
      </c>
      <c r="E84" s="102" t="s">
        <v>35</v>
      </c>
      <c r="F84" s="309"/>
      <c r="G84" s="310"/>
      <c r="H84" s="102"/>
      <c r="I84" s="102"/>
      <c r="J84" s="309"/>
      <c r="K84" s="104"/>
      <c r="L84" s="102"/>
      <c r="M84" s="102"/>
      <c r="N84" s="102"/>
      <c r="O84" s="478"/>
      <c r="R84" s="93">
        <v>333.33300000000003</v>
      </c>
      <c r="S84" s="101">
        <f t="shared" si="55"/>
        <v>0</v>
      </c>
      <c r="T84" s="29"/>
      <c r="AC84" s="121" t="e">
        <f>#REF!+#REF!</f>
        <v>#REF!</v>
      </c>
      <c r="AD84" s="97" t="e">
        <f t="shared" si="47"/>
        <v>#REF!</v>
      </c>
      <c r="AE84" s="102"/>
      <c r="AF84" s="102"/>
      <c r="AG84" s="121" t="e">
        <f>#REF!+#REF!</f>
        <v>#REF!</v>
      </c>
      <c r="AH84" s="98" t="e">
        <f t="shared" si="38"/>
        <v>#REF!</v>
      </c>
      <c r="AI84" s="103"/>
      <c r="AJ84" s="102"/>
      <c r="AK84" s="121" t="e">
        <f>#REF!+#REF!</f>
        <v>#REF!</v>
      </c>
      <c r="AL84" s="98" t="e">
        <f t="shared" si="48"/>
        <v>#REF!</v>
      </c>
      <c r="AM84" s="102"/>
      <c r="AN84" s="102"/>
      <c r="AO84" s="121" t="e">
        <f>#REF!+#REF!</f>
        <v>#REF!</v>
      </c>
      <c r="AP84" s="98" t="e">
        <f t="shared" si="49"/>
        <v>#REF!</v>
      </c>
      <c r="AQ84" s="102"/>
      <c r="AR84" s="102"/>
      <c r="AS84" s="121" t="e">
        <f>#REF!+#REF!</f>
        <v>#REF!</v>
      </c>
      <c r="AT84" s="98" t="e">
        <f t="shared" si="50"/>
        <v>#REF!</v>
      </c>
      <c r="AU84" s="102"/>
      <c r="AV84" s="102"/>
      <c r="AW84" s="121" t="e">
        <f>#REF!+#REF!</f>
        <v>#REF!</v>
      </c>
      <c r="AX84" s="98" t="e">
        <f t="shared" si="41"/>
        <v>#REF!</v>
      </c>
      <c r="AY84" s="102"/>
      <c r="AZ84" s="102"/>
      <c r="BB84" s="121" t="e">
        <f>#REF!+#REF!</f>
        <v>#REF!</v>
      </c>
      <c r="BC84" s="121" t="e">
        <f>#REF!+#REF!</f>
        <v>#REF!</v>
      </c>
      <c r="BD84" s="121" t="e">
        <f>#REF!+#REF!</f>
        <v>#REF!</v>
      </c>
      <c r="BE84" s="121" t="e">
        <f>#REF!+#REF!</f>
        <v>#REF!</v>
      </c>
      <c r="BF84" s="101" t="e">
        <f t="shared" si="56"/>
        <v>#REF!</v>
      </c>
      <c r="BG84" s="101" t="e">
        <f t="shared" si="57"/>
        <v>#REF!</v>
      </c>
      <c r="BH84" s="227" t="e">
        <f t="shared" si="51"/>
        <v>#REF!</v>
      </c>
      <c r="BI84" s="227" t="e">
        <f t="shared" si="52"/>
        <v>#REF!</v>
      </c>
      <c r="BJ84" s="227" t="e">
        <f t="shared" si="53"/>
        <v>#REF!</v>
      </c>
      <c r="BK84" s="227" t="e">
        <f t="shared" si="54"/>
        <v>#REF!</v>
      </c>
    </row>
    <row r="85" spans="1:63" s="222" customFormat="1">
      <c r="A85" s="102"/>
      <c r="B85" s="289" t="s">
        <v>662</v>
      </c>
      <c r="C85" s="102" t="s">
        <v>35</v>
      </c>
      <c r="D85" s="126">
        <f>500/5</f>
        <v>100</v>
      </c>
      <c r="E85" s="102" t="s">
        <v>35</v>
      </c>
      <c r="F85" s="309"/>
      <c r="G85" s="310"/>
      <c r="H85" s="102"/>
      <c r="I85" s="102"/>
      <c r="J85" s="309"/>
      <c r="K85" s="104"/>
      <c r="L85" s="102"/>
      <c r="M85" s="102"/>
      <c r="N85" s="102"/>
      <c r="O85" s="478"/>
      <c r="R85" s="223">
        <v>100</v>
      </c>
      <c r="S85" s="224">
        <f t="shared" si="55"/>
        <v>0</v>
      </c>
      <c r="T85" s="84"/>
      <c r="AC85" s="220" t="e">
        <f>'Plant utilization'!AG79</f>
        <v>#REF!</v>
      </c>
      <c r="AD85" s="225" t="e">
        <f t="shared" si="47"/>
        <v>#REF!</v>
      </c>
      <c r="AE85" s="219"/>
      <c r="AF85" s="219"/>
      <c r="AG85" s="220" t="e">
        <f>'Plant utilization'!AK79</f>
        <v>#REF!</v>
      </c>
      <c r="AH85" s="225" t="e">
        <f t="shared" si="38"/>
        <v>#REF!</v>
      </c>
      <c r="AI85" s="221"/>
      <c r="AJ85" s="219"/>
      <c r="AK85" s="220" t="e">
        <f>'Plant utilization'!AO79</f>
        <v>#REF!</v>
      </c>
      <c r="AL85" s="225" t="e">
        <f t="shared" si="48"/>
        <v>#REF!</v>
      </c>
      <c r="AM85" s="219"/>
      <c r="AN85" s="219"/>
      <c r="AO85" s="220" t="e">
        <f>'Plant utilization'!AS79</f>
        <v>#REF!</v>
      </c>
      <c r="AP85" s="225" t="e">
        <f t="shared" si="49"/>
        <v>#REF!</v>
      </c>
      <c r="AQ85" s="219"/>
      <c r="AR85" s="219"/>
      <c r="AS85" s="220" t="e">
        <f>'Plant utilization'!AW79</f>
        <v>#REF!</v>
      </c>
      <c r="AT85" s="225" t="e">
        <f t="shared" si="50"/>
        <v>#REF!</v>
      </c>
      <c r="AU85" s="219"/>
      <c r="AV85" s="219"/>
      <c r="AW85" s="220" t="e">
        <f>'Plant utilization'!BA79</f>
        <v>#REF!</v>
      </c>
      <c r="AX85" s="225" t="e">
        <f t="shared" si="41"/>
        <v>#REF!</v>
      </c>
      <c r="AY85" s="219"/>
      <c r="AZ85" s="219"/>
      <c r="BB85" s="220" t="e">
        <f>'Plant utilization'!#REF!</f>
        <v>#REF!</v>
      </c>
      <c r="BC85" s="220" t="e">
        <f>'Plant utilization'!#REF!</f>
        <v>#REF!</v>
      </c>
      <c r="BD85" s="220" t="e">
        <f>'Plant utilization'!#REF!</f>
        <v>#REF!</v>
      </c>
      <c r="BE85" s="220" t="e">
        <f>'Plant utilization'!#REF!</f>
        <v>#REF!</v>
      </c>
      <c r="BF85" s="101" t="e">
        <f t="shared" si="56"/>
        <v>#REF!</v>
      </c>
      <c r="BG85" s="101" t="e">
        <f t="shared" si="57"/>
        <v>#REF!</v>
      </c>
      <c r="BH85" s="227" t="e">
        <f t="shared" si="51"/>
        <v>#REF!</v>
      </c>
      <c r="BI85" s="227" t="e">
        <f t="shared" si="52"/>
        <v>#REF!</v>
      </c>
      <c r="BJ85" s="227" t="e">
        <f t="shared" si="53"/>
        <v>#REF!</v>
      </c>
      <c r="BK85" s="227" t="e">
        <f t="shared" si="54"/>
        <v>#REF!</v>
      </c>
    </row>
    <row r="86" spans="1:63">
      <c r="A86" s="102"/>
      <c r="B86" s="313" t="s">
        <v>753</v>
      </c>
      <c r="C86" s="312" t="s">
        <v>86</v>
      </c>
      <c r="D86" s="126">
        <v>1500</v>
      </c>
      <c r="E86" s="312" t="s">
        <v>86</v>
      </c>
      <c r="F86" s="309"/>
      <c r="G86" s="310"/>
      <c r="H86" s="102"/>
      <c r="I86" s="102"/>
      <c r="J86" s="309"/>
      <c r="K86" s="104"/>
      <c r="L86" s="102"/>
      <c r="M86" s="102"/>
      <c r="N86" s="102"/>
      <c r="O86" s="478"/>
      <c r="R86" s="93">
        <v>1500</v>
      </c>
      <c r="S86" s="101">
        <f t="shared" si="55"/>
        <v>0</v>
      </c>
      <c r="T86" s="29"/>
      <c r="AC86" s="121" t="e">
        <f>#REF!+#REF!+#REF!+#REF!</f>
        <v>#REF!</v>
      </c>
      <c r="AD86" s="97" t="e">
        <f t="shared" si="47"/>
        <v>#REF!</v>
      </c>
      <c r="AE86" s="102"/>
      <c r="AF86" s="102"/>
      <c r="AG86" s="121" t="e">
        <f>#REF!+#REF!+#REF!</f>
        <v>#REF!</v>
      </c>
      <c r="AH86" s="98" t="e">
        <f t="shared" si="38"/>
        <v>#REF!</v>
      </c>
      <c r="AI86" s="103"/>
      <c r="AJ86" s="102"/>
      <c r="AK86" s="121" t="e">
        <f>#REF!+#REF!+#REF!+#REF!</f>
        <v>#REF!</v>
      </c>
      <c r="AL86" s="98" t="e">
        <f t="shared" si="48"/>
        <v>#REF!</v>
      </c>
      <c r="AM86" s="102"/>
      <c r="AN86" s="102"/>
      <c r="AO86" s="121" t="e">
        <f>#REF!+#REF!+#REF!</f>
        <v>#REF!</v>
      </c>
      <c r="AP86" s="98" t="e">
        <f t="shared" si="49"/>
        <v>#REF!</v>
      </c>
      <c r="AQ86" s="102"/>
      <c r="AR86" s="102"/>
      <c r="AS86" s="121" t="e">
        <f>#REF!+#REF!+#REF!+#REF!</f>
        <v>#REF!</v>
      </c>
      <c r="AT86" s="98" t="e">
        <f t="shared" si="50"/>
        <v>#REF!</v>
      </c>
      <c r="AU86" s="102"/>
      <c r="AV86" s="102"/>
      <c r="AW86" s="121" t="e">
        <f>#REF!+#REF!+#REF!</f>
        <v>#REF!</v>
      </c>
      <c r="AX86" s="98" t="e">
        <f t="shared" si="41"/>
        <v>#REF!</v>
      </c>
      <c r="AY86" s="102"/>
      <c r="AZ86" s="102"/>
      <c r="BB86" s="121" t="e">
        <f>#REF!+#REF!+#REF!+#REF!</f>
        <v>#REF!</v>
      </c>
      <c r="BC86" s="121" t="e">
        <f>#REF!+#REF!+#REF!+#REF!</f>
        <v>#REF!</v>
      </c>
      <c r="BD86" s="121" t="e">
        <f>#REF!+#REF!+#REF!+#REF!</f>
        <v>#REF!</v>
      </c>
      <c r="BE86" s="121" t="e">
        <f>#REF!+#REF!+#REF!+#REF!</f>
        <v>#REF!</v>
      </c>
      <c r="BF86" s="101" t="e">
        <f t="shared" si="56"/>
        <v>#REF!</v>
      </c>
      <c r="BG86" s="101" t="e">
        <f t="shared" si="57"/>
        <v>#REF!</v>
      </c>
      <c r="BH86" s="227" t="e">
        <f t="shared" si="51"/>
        <v>#REF!</v>
      </c>
      <c r="BI86" s="227" t="e">
        <f t="shared" si="52"/>
        <v>#REF!</v>
      </c>
      <c r="BJ86" s="227" t="e">
        <f t="shared" si="53"/>
        <v>#REF!</v>
      </c>
      <c r="BK86" s="227" t="e">
        <f t="shared" si="54"/>
        <v>#REF!</v>
      </c>
    </row>
    <row r="87" spans="1:63">
      <c r="A87" s="102"/>
      <c r="B87" s="313" t="s">
        <v>663</v>
      </c>
      <c r="C87" s="312" t="s">
        <v>35</v>
      </c>
      <c r="D87" s="126">
        <v>17</v>
      </c>
      <c r="E87" s="312" t="s">
        <v>35</v>
      </c>
      <c r="F87" s="309"/>
      <c r="G87" s="310"/>
      <c r="H87" s="102"/>
      <c r="I87" s="102"/>
      <c r="J87" s="309"/>
      <c r="K87" s="104"/>
      <c r="L87" s="102"/>
      <c r="M87" s="102"/>
      <c r="N87" s="102"/>
      <c r="O87" s="478"/>
      <c r="R87" s="93">
        <f>D87</f>
        <v>17</v>
      </c>
      <c r="S87" s="101">
        <f t="shared" si="55"/>
        <v>0</v>
      </c>
      <c r="T87" s="29"/>
      <c r="AC87" s="121" t="e">
        <f>#REF!+#REF!+#REF!+#REF!</f>
        <v>#REF!</v>
      </c>
      <c r="AD87" s="97" t="e">
        <f t="shared" si="47"/>
        <v>#REF!</v>
      </c>
      <c r="AE87" s="102"/>
      <c r="AF87" s="102"/>
      <c r="AG87" s="121" t="e">
        <f>#REF!+#REF!+#REF!+#REF!</f>
        <v>#REF!</v>
      </c>
      <c r="AH87" s="98" t="e">
        <f t="shared" si="38"/>
        <v>#REF!</v>
      </c>
      <c r="AI87" s="103"/>
      <c r="AJ87" s="102"/>
      <c r="AK87" s="121" t="e">
        <f>#REF!+#REF!+#REF!+#REF!</f>
        <v>#REF!</v>
      </c>
      <c r="AL87" s="98"/>
      <c r="AM87" s="102"/>
      <c r="AN87" s="102"/>
      <c r="AO87" s="121" t="e">
        <f>#REF!+#REF!+#REF!+#REF!</f>
        <v>#REF!</v>
      </c>
      <c r="AP87" s="98"/>
      <c r="AQ87" s="102"/>
      <c r="AR87" s="102"/>
      <c r="AS87" s="121" t="e">
        <f>#REF!+#REF!+#REF!+#REF!</f>
        <v>#REF!</v>
      </c>
      <c r="AT87" s="98" t="e">
        <f t="shared" si="50"/>
        <v>#REF!</v>
      </c>
      <c r="AU87" s="102"/>
      <c r="AV87" s="102"/>
      <c r="AW87" s="121" t="e">
        <f>#REF!+#REF!+#REF!+#REF!</f>
        <v>#REF!</v>
      </c>
      <c r="AX87" s="98" t="e">
        <f t="shared" si="41"/>
        <v>#REF!</v>
      </c>
      <c r="AY87" s="102"/>
      <c r="AZ87" s="102"/>
      <c r="BB87" s="121" t="e">
        <f>#REF!+#REF!+#REF!+#REF!+#REF!</f>
        <v>#REF!</v>
      </c>
      <c r="BC87" s="121" t="e">
        <f>#REF!+#REF!+#REF!+#REF!+#REF!</f>
        <v>#REF!</v>
      </c>
      <c r="BD87" s="121" t="e">
        <f>#REF!+#REF!+#REF!+#REF!+#REF!</f>
        <v>#REF!</v>
      </c>
      <c r="BE87" s="121" t="e">
        <f>#REF!+#REF!+#REF!+#REF!+#REF!</f>
        <v>#REF!</v>
      </c>
      <c r="BF87" s="101" t="e">
        <f t="shared" si="56"/>
        <v>#REF!</v>
      </c>
      <c r="BG87" s="101" t="e">
        <f t="shared" si="57"/>
        <v>#REF!</v>
      </c>
      <c r="BH87" s="227" t="e">
        <f t="shared" si="51"/>
        <v>#REF!</v>
      </c>
      <c r="BI87" s="227" t="e">
        <f t="shared" si="52"/>
        <v>#REF!</v>
      </c>
      <c r="BJ87" s="227" t="e">
        <f t="shared" si="53"/>
        <v>#REF!</v>
      </c>
      <c r="BK87" s="227" t="e">
        <f t="shared" si="54"/>
        <v>#REF!</v>
      </c>
    </row>
    <row r="88" spans="1:63">
      <c r="A88" s="102"/>
      <c r="B88" s="313" t="s">
        <v>664</v>
      </c>
      <c r="C88" s="312" t="s">
        <v>35</v>
      </c>
      <c r="D88" s="126">
        <v>17</v>
      </c>
      <c r="E88" s="312" t="s">
        <v>35</v>
      </c>
      <c r="F88" s="309"/>
      <c r="G88" s="310"/>
      <c r="H88" s="102"/>
      <c r="I88" s="102"/>
      <c r="J88" s="309"/>
      <c r="K88" s="104"/>
      <c r="L88" s="102"/>
      <c r="M88" s="102"/>
      <c r="N88" s="102"/>
      <c r="O88" s="478"/>
      <c r="R88" s="93">
        <f t="shared" ref="R88:R93" si="58">D88</f>
        <v>17</v>
      </c>
      <c r="S88" s="101">
        <f t="shared" si="55"/>
        <v>0</v>
      </c>
      <c r="T88" s="29"/>
      <c r="AC88" s="121" t="e">
        <f>#REF!</f>
        <v>#REF!</v>
      </c>
      <c r="AD88" s="97" t="e">
        <f t="shared" si="47"/>
        <v>#REF!</v>
      </c>
      <c r="AE88" s="102"/>
      <c r="AF88" s="102"/>
      <c r="AG88" s="121" t="e">
        <f>#REF!</f>
        <v>#REF!</v>
      </c>
      <c r="AH88" s="98" t="e">
        <f t="shared" si="38"/>
        <v>#REF!</v>
      </c>
      <c r="AI88" s="103"/>
      <c r="AJ88" s="102"/>
      <c r="AK88" s="121" t="e">
        <f>#REF!</f>
        <v>#REF!</v>
      </c>
      <c r="AL88" s="98" t="e">
        <f t="shared" si="48"/>
        <v>#REF!</v>
      </c>
      <c r="AM88" s="102"/>
      <c r="AN88" s="102"/>
      <c r="AO88" s="121" t="e">
        <f>#REF!</f>
        <v>#REF!</v>
      </c>
      <c r="AP88" s="98" t="e">
        <f t="shared" si="49"/>
        <v>#REF!</v>
      </c>
      <c r="AQ88" s="102"/>
      <c r="AR88" s="102"/>
      <c r="AS88" s="121" t="e">
        <f>#REF!</f>
        <v>#REF!</v>
      </c>
      <c r="AT88" s="98" t="e">
        <f t="shared" si="50"/>
        <v>#REF!</v>
      </c>
      <c r="AU88" s="102"/>
      <c r="AV88" s="102"/>
      <c r="AW88" s="121" t="e">
        <f>#REF!</f>
        <v>#REF!</v>
      </c>
      <c r="AX88" s="98" t="e">
        <f t="shared" si="41"/>
        <v>#REF!</v>
      </c>
      <c r="AY88" s="102"/>
      <c r="AZ88" s="102"/>
      <c r="BB88" s="121" t="e">
        <f>#REF!</f>
        <v>#REF!</v>
      </c>
      <c r="BC88" s="121" t="e">
        <f>#REF!</f>
        <v>#REF!</v>
      </c>
      <c r="BD88" s="121" t="e">
        <f>#REF!</f>
        <v>#REF!</v>
      </c>
      <c r="BE88" s="121" t="e">
        <f>#REF!</f>
        <v>#REF!</v>
      </c>
      <c r="BF88" s="101" t="e">
        <f t="shared" si="56"/>
        <v>#REF!</v>
      </c>
      <c r="BG88" s="101" t="e">
        <f t="shared" si="57"/>
        <v>#REF!</v>
      </c>
      <c r="BH88" s="227" t="e">
        <f t="shared" si="51"/>
        <v>#REF!</v>
      </c>
      <c r="BI88" s="227" t="e">
        <f t="shared" si="52"/>
        <v>#REF!</v>
      </c>
      <c r="BJ88" s="227" t="e">
        <f t="shared" si="53"/>
        <v>#REF!</v>
      </c>
      <c r="BK88" s="227" t="e">
        <f t="shared" si="54"/>
        <v>#REF!</v>
      </c>
    </row>
    <row r="89" spans="1:63">
      <c r="A89" s="102"/>
      <c r="B89" s="314" t="s">
        <v>809</v>
      </c>
      <c r="C89" s="315" t="s">
        <v>35</v>
      </c>
      <c r="D89" s="126">
        <f>90/8</f>
        <v>11.25</v>
      </c>
      <c r="E89" s="315" t="s">
        <v>35</v>
      </c>
      <c r="F89" s="309"/>
      <c r="G89" s="310"/>
      <c r="H89" s="102"/>
      <c r="I89" s="102"/>
      <c r="J89" s="309"/>
      <c r="K89" s="104"/>
      <c r="L89" s="102"/>
      <c r="M89" s="102"/>
      <c r="N89" s="102"/>
      <c r="O89" s="478"/>
      <c r="R89" s="93">
        <f t="shared" si="58"/>
        <v>11.25</v>
      </c>
      <c r="S89" s="101">
        <f t="shared" si="55"/>
        <v>0</v>
      </c>
      <c r="T89" s="29"/>
      <c r="AC89" s="121" t="e">
        <f>#REF!*0.7</f>
        <v>#REF!</v>
      </c>
      <c r="AD89" s="97" t="e">
        <f t="shared" si="47"/>
        <v>#REF!</v>
      </c>
      <c r="AE89" s="102"/>
      <c r="AF89" s="102"/>
      <c r="AG89" s="121" t="e">
        <f>#REF!*0.7</f>
        <v>#REF!</v>
      </c>
      <c r="AH89" s="98" t="e">
        <f t="shared" si="38"/>
        <v>#REF!</v>
      </c>
      <c r="AI89" s="103"/>
      <c r="AJ89" s="102"/>
      <c r="AK89" s="121" t="e">
        <f>#REF!*0.7</f>
        <v>#REF!</v>
      </c>
      <c r="AL89" s="98" t="e">
        <f t="shared" si="48"/>
        <v>#REF!</v>
      </c>
      <c r="AM89" s="102"/>
      <c r="AN89" s="102"/>
      <c r="AO89" s="121" t="e">
        <f>#REF!*0.7</f>
        <v>#REF!</v>
      </c>
      <c r="AP89" s="98" t="e">
        <f t="shared" si="49"/>
        <v>#REF!</v>
      </c>
      <c r="AQ89" s="102"/>
      <c r="AR89" s="102"/>
      <c r="AS89" s="121" t="e">
        <f>#REF!*0.7</f>
        <v>#REF!</v>
      </c>
      <c r="AT89" s="98" t="e">
        <f t="shared" si="50"/>
        <v>#REF!</v>
      </c>
      <c r="AU89" s="102"/>
      <c r="AV89" s="102"/>
      <c r="AW89" s="121" t="e">
        <f>#REF!*0.7</f>
        <v>#REF!</v>
      </c>
      <c r="AX89" s="98" t="e">
        <f t="shared" si="41"/>
        <v>#REF!</v>
      </c>
      <c r="AY89" s="102"/>
      <c r="AZ89" s="102"/>
      <c r="BB89" s="121" t="e">
        <f>#REF!</f>
        <v>#REF!</v>
      </c>
      <c r="BC89" s="121" t="e">
        <f>#REF!</f>
        <v>#REF!</v>
      </c>
      <c r="BD89" s="121"/>
      <c r="BE89" s="121" t="e">
        <f>#REF!</f>
        <v>#REF!</v>
      </c>
      <c r="BF89" s="101" t="e">
        <f t="shared" si="56"/>
        <v>#REF!</v>
      </c>
      <c r="BG89" s="101" t="e">
        <f t="shared" si="57"/>
        <v>#REF!</v>
      </c>
      <c r="BH89" s="227" t="e">
        <f t="shared" si="51"/>
        <v>#REF!</v>
      </c>
      <c r="BI89" s="227" t="e">
        <f t="shared" si="52"/>
        <v>#REF!</v>
      </c>
      <c r="BJ89" s="227">
        <f t="shared" si="53"/>
        <v>0</v>
      </c>
      <c r="BK89" s="227" t="e">
        <f t="shared" si="54"/>
        <v>#REF!</v>
      </c>
    </row>
    <row r="90" spans="1:63">
      <c r="A90" s="102"/>
      <c r="B90" s="314" t="s">
        <v>810</v>
      </c>
      <c r="C90" s="315" t="s">
        <v>35</v>
      </c>
      <c r="D90" s="126">
        <f>50/10</f>
        <v>5</v>
      </c>
      <c r="E90" s="315" t="s">
        <v>35</v>
      </c>
      <c r="F90" s="309"/>
      <c r="G90" s="310"/>
      <c r="H90" s="102"/>
      <c r="I90" s="102"/>
      <c r="J90" s="309"/>
      <c r="K90" s="104"/>
      <c r="L90" s="102"/>
      <c r="M90" s="102"/>
      <c r="N90" s="102"/>
      <c r="O90" s="478"/>
      <c r="R90" s="93">
        <f t="shared" si="58"/>
        <v>5</v>
      </c>
      <c r="S90" s="101">
        <f t="shared" si="55"/>
        <v>0</v>
      </c>
      <c r="T90" s="29"/>
      <c r="AC90" s="121" t="e">
        <f>#REF!*0.15</f>
        <v>#REF!</v>
      </c>
      <c r="AD90" s="97" t="e">
        <f t="shared" si="47"/>
        <v>#REF!</v>
      </c>
      <c r="AE90" s="102"/>
      <c r="AF90" s="102"/>
      <c r="AG90" s="121" t="e">
        <f>#REF!*0.15</f>
        <v>#REF!</v>
      </c>
      <c r="AH90" s="98" t="e">
        <f t="shared" si="38"/>
        <v>#REF!</v>
      </c>
      <c r="AI90" s="103"/>
      <c r="AJ90" s="102"/>
      <c r="AK90" s="121" t="e">
        <f>#REF!*0.15</f>
        <v>#REF!</v>
      </c>
      <c r="AL90" s="98" t="e">
        <f t="shared" si="48"/>
        <v>#REF!</v>
      </c>
      <c r="AM90" s="102"/>
      <c r="AN90" s="102"/>
      <c r="AO90" s="121" t="e">
        <f>#REF!*0.15</f>
        <v>#REF!</v>
      </c>
      <c r="AP90" s="98" t="e">
        <f t="shared" si="49"/>
        <v>#REF!</v>
      </c>
      <c r="AQ90" s="102"/>
      <c r="AR90" s="102"/>
      <c r="AS90" s="121" t="e">
        <f>#REF!*0.15</f>
        <v>#REF!</v>
      </c>
      <c r="AT90" s="98" t="e">
        <f t="shared" si="50"/>
        <v>#REF!</v>
      </c>
      <c r="AU90" s="102"/>
      <c r="AV90" s="102"/>
      <c r="AW90" s="121" t="e">
        <f>#REF!*0.15</f>
        <v>#REF!</v>
      </c>
      <c r="AX90" s="98" t="e">
        <f t="shared" si="41"/>
        <v>#REF!</v>
      </c>
      <c r="AY90" s="102"/>
      <c r="AZ90" s="102"/>
      <c r="BB90" s="121" t="e">
        <f>#REF!*0.15</f>
        <v>#REF!</v>
      </c>
      <c r="BC90" s="121" t="e">
        <f>#REF!*0.15</f>
        <v>#REF!</v>
      </c>
      <c r="BD90" s="121"/>
      <c r="BE90" s="121" t="e">
        <f>#REF!*0.15</f>
        <v>#REF!</v>
      </c>
      <c r="BF90" s="101" t="e">
        <f t="shared" si="56"/>
        <v>#REF!</v>
      </c>
      <c r="BG90" s="101" t="e">
        <f t="shared" si="57"/>
        <v>#REF!</v>
      </c>
      <c r="BH90" s="227" t="e">
        <f t="shared" si="51"/>
        <v>#REF!</v>
      </c>
      <c r="BI90" s="227" t="e">
        <f t="shared" si="52"/>
        <v>#REF!</v>
      </c>
      <c r="BJ90" s="227">
        <f t="shared" si="53"/>
        <v>0</v>
      </c>
      <c r="BK90" s="227" t="e">
        <f t="shared" si="54"/>
        <v>#REF!</v>
      </c>
    </row>
    <row r="91" spans="1:63">
      <c r="A91" s="102"/>
      <c r="B91" s="314" t="s">
        <v>811</v>
      </c>
      <c r="C91" s="315" t="s">
        <v>86</v>
      </c>
      <c r="D91" s="126">
        <v>1000</v>
      </c>
      <c r="E91" s="315" t="s">
        <v>86</v>
      </c>
      <c r="F91" s="309"/>
      <c r="G91" s="310"/>
      <c r="H91" s="102"/>
      <c r="I91" s="102"/>
      <c r="J91" s="309"/>
      <c r="K91" s="104"/>
      <c r="L91" s="102"/>
      <c r="M91" s="102"/>
      <c r="N91" s="102"/>
      <c r="O91" s="478"/>
      <c r="R91" s="93">
        <f t="shared" si="58"/>
        <v>1000</v>
      </c>
      <c r="S91" s="101">
        <f t="shared" si="55"/>
        <v>0</v>
      </c>
      <c r="T91" s="29"/>
      <c r="AC91" s="121" t="e">
        <f>(AC92/0.05)*0.9</f>
        <v>#REF!</v>
      </c>
      <c r="AD91" s="97" t="e">
        <f t="shared" si="47"/>
        <v>#REF!</v>
      </c>
      <c r="AE91" s="102"/>
      <c r="AF91" s="102"/>
      <c r="AG91" s="121" t="e">
        <f>(AG92/0.05)*0.9</f>
        <v>#REF!</v>
      </c>
      <c r="AH91" s="98" t="e">
        <f t="shared" si="38"/>
        <v>#REF!</v>
      </c>
      <c r="AI91" s="103"/>
      <c r="AJ91" s="102"/>
      <c r="AK91" s="121" t="e">
        <f>(AK92/0.05)*0.9</f>
        <v>#REF!</v>
      </c>
      <c r="AL91" s="98" t="e">
        <f t="shared" si="48"/>
        <v>#REF!</v>
      </c>
      <c r="AM91" s="102"/>
      <c r="AN91" s="102"/>
      <c r="AO91" s="121" t="e">
        <f>(AO92/0.05)*0.9</f>
        <v>#REF!</v>
      </c>
      <c r="AP91" s="98" t="e">
        <f t="shared" si="49"/>
        <v>#REF!</v>
      </c>
      <c r="AQ91" s="102"/>
      <c r="AR91" s="102"/>
      <c r="AS91" s="121" t="e">
        <f>(AS92/0.05)*0.9</f>
        <v>#REF!</v>
      </c>
      <c r="AT91" s="98" t="e">
        <f t="shared" si="50"/>
        <v>#REF!</v>
      </c>
      <c r="AU91" s="102"/>
      <c r="AV91" s="102"/>
      <c r="AW91" s="121" t="e">
        <f>(AW92/0.05)*0.9</f>
        <v>#REF!</v>
      </c>
      <c r="AX91" s="98" t="e">
        <f t="shared" si="41"/>
        <v>#REF!</v>
      </c>
      <c r="AY91" s="102"/>
      <c r="AZ91" s="102"/>
      <c r="BB91" s="121" t="e">
        <f>(BB92/0.05)*0.9</f>
        <v>#REF!</v>
      </c>
      <c r="BC91" s="121" t="e">
        <f>(BC92/0.05)*0.9</f>
        <v>#REF!</v>
      </c>
      <c r="BD91" s="121"/>
      <c r="BE91" s="121" t="e">
        <f>(BE92/0.05)*0.9</f>
        <v>#REF!</v>
      </c>
      <c r="BF91" s="101" t="e">
        <f t="shared" si="56"/>
        <v>#REF!</v>
      </c>
      <c r="BG91" s="101" t="e">
        <f t="shared" si="57"/>
        <v>#REF!</v>
      </c>
      <c r="BH91" s="227" t="e">
        <f t="shared" si="51"/>
        <v>#REF!</v>
      </c>
      <c r="BI91" s="227" t="e">
        <f t="shared" si="52"/>
        <v>#REF!</v>
      </c>
      <c r="BJ91" s="227">
        <f t="shared" si="53"/>
        <v>0</v>
      </c>
      <c r="BK91" s="227" t="e">
        <f t="shared" si="54"/>
        <v>#REF!</v>
      </c>
    </row>
    <row r="92" spans="1:63">
      <c r="A92" s="102"/>
      <c r="B92" s="314" t="s">
        <v>840</v>
      </c>
      <c r="C92" s="315" t="s">
        <v>35</v>
      </c>
      <c r="D92" s="126">
        <f>100/20</f>
        <v>5</v>
      </c>
      <c r="E92" s="315" t="s">
        <v>35</v>
      </c>
      <c r="F92" s="309"/>
      <c r="G92" s="310"/>
      <c r="H92" s="102"/>
      <c r="I92" s="102"/>
      <c r="J92" s="309"/>
      <c r="K92" s="104"/>
      <c r="L92" s="102"/>
      <c r="M92" s="102"/>
      <c r="N92" s="102"/>
      <c r="O92" s="478"/>
      <c r="R92" s="93">
        <f t="shared" si="58"/>
        <v>5</v>
      </c>
      <c r="S92" s="101">
        <f t="shared" si="55"/>
        <v>0</v>
      </c>
      <c r="T92" s="29"/>
      <c r="AC92" s="121" t="e">
        <f>#REF!*0.05*0</f>
        <v>#REF!</v>
      </c>
      <c r="AD92" s="97" t="e">
        <f t="shared" si="47"/>
        <v>#REF!</v>
      </c>
      <c r="AE92" s="102"/>
      <c r="AF92" s="102"/>
      <c r="AG92" s="121" t="e">
        <f>#REF!*0.05</f>
        <v>#REF!</v>
      </c>
      <c r="AH92" s="98" t="e">
        <f t="shared" si="38"/>
        <v>#REF!</v>
      </c>
      <c r="AI92" s="103"/>
      <c r="AJ92" s="102"/>
      <c r="AK92" s="121" t="e">
        <f>#REF!*0.05*0</f>
        <v>#REF!</v>
      </c>
      <c r="AL92" s="98" t="e">
        <f t="shared" si="48"/>
        <v>#REF!</v>
      </c>
      <c r="AM92" s="102"/>
      <c r="AN92" s="102"/>
      <c r="AO92" s="121" t="e">
        <f>#REF!*0.05</f>
        <v>#REF!</v>
      </c>
      <c r="AP92" s="98" t="e">
        <f t="shared" si="49"/>
        <v>#REF!</v>
      </c>
      <c r="AQ92" s="102"/>
      <c r="AR92" s="102"/>
      <c r="AS92" s="121" t="e">
        <f>#REF!*0.05*0</f>
        <v>#REF!</v>
      </c>
      <c r="AT92" s="98" t="e">
        <f t="shared" si="50"/>
        <v>#REF!</v>
      </c>
      <c r="AU92" s="102"/>
      <c r="AV92" s="102"/>
      <c r="AW92" s="121" t="e">
        <f>#REF!*0.05</f>
        <v>#REF!</v>
      </c>
      <c r="AX92" s="98" t="e">
        <f t="shared" si="41"/>
        <v>#REF!</v>
      </c>
      <c r="AY92" s="102"/>
      <c r="AZ92" s="102"/>
      <c r="BB92" s="121" t="e">
        <f>#REF!*0.05</f>
        <v>#REF!</v>
      </c>
      <c r="BC92" s="121" t="e">
        <f>#REF!*0.05</f>
        <v>#REF!</v>
      </c>
      <c r="BD92" s="121">
        <f>J92</f>
        <v>0</v>
      </c>
      <c r="BE92" s="121" t="e">
        <f>#REF!*0.05</f>
        <v>#REF!</v>
      </c>
      <c r="BF92" s="101" t="e">
        <f t="shared" si="56"/>
        <v>#REF!</v>
      </c>
      <c r="BG92" s="101" t="e">
        <f t="shared" si="57"/>
        <v>#REF!</v>
      </c>
      <c r="BH92" s="227" t="e">
        <f t="shared" si="51"/>
        <v>#REF!</v>
      </c>
      <c r="BI92" s="227" t="e">
        <f t="shared" si="52"/>
        <v>#REF!</v>
      </c>
      <c r="BJ92" s="227">
        <f t="shared" si="53"/>
        <v>0</v>
      </c>
      <c r="BK92" s="227" t="e">
        <f t="shared" si="54"/>
        <v>#REF!</v>
      </c>
    </row>
    <row r="93" spans="1:63">
      <c r="A93" s="102"/>
      <c r="B93" s="314" t="s">
        <v>812</v>
      </c>
      <c r="C93" s="315" t="s">
        <v>86</v>
      </c>
      <c r="D93" s="126">
        <f>500/4</f>
        <v>125</v>
      </c>
      <c r="E93" s="315" t="s">
        <v>86</v>
      </c>
      <c r="F93" s="309"/>
      <c r="G93" s="310"/>
      <c r="H93" s="102"/>
      <c r="I93" s="102"/>
      <c r="J93" s="309"/>
      <c r="K93" s="104"/>
      <c r="L93" s="102"/>
      <c r="M93" s="102"/>
      <c r="N93" s="102"/>
      <c r="O93" s="478"/>
      <c r="R93" s="93">
        <f t="shared" si="58"/>
        <v>125</v>
      </c>
      <c r="S93" s="101">
        <f t="shared" si="55"/>
        <v>0</v>
      </c>
      <c r="T93" s="29"/>
      <c r="AC93" s="121" t="e">
        <f>#REF!</f>
        <v>#REF!</v>
      </c>
      <c r="AD93" s="97" t="e">
        <f t="shared" si="47"/>
        <v>#REF!</v>
      </c>
      <c r="AE93" s="102"/>
      <c r="AF93" s="102"/>
      <c r="AG93" s="121" t="e">
        <f>#REF!</f>
        <v>#REF!</v>
      </c>
      <c r="AH93" s="98" t="e">
        <f t="shared" si="38"/>
        <v>#REF!</v>
      </c>
      <c r="AI93" s="103"/>
      <c r="AJ93" s="102"/>
      <c r="AK93" s="121" t="e">
        <f>#REF!</f>
        <v>#REF!</v>
      </c>
      <c r="AL93" s="98" t="e">
        <f t="shared" si="48"/>
        <v>#REF!</v>
      </c>
      <c r="AM93" s="102"/>
      <c r="AN93" s="102"/>
      <c r="AO93" s="121" t="e">
        <f>#REF!</f>
        <v>#REF!</v>
      </c>
      <c r="AP93" s="98" t="e">
        <f t="shared" si="49"/>
        <v>#REF!</v>
      </c>
      <c r="AQ93" s="102"/>
      <c r="AR93" s="102"/>
      <c r="AS93" s="121" t="e">
        <f>#REF!</f>
        <v>#REF!</v>
      </c>
      <c r="AT93" s="98" t="e">
        <f t="shared" si="50"/>
        <v>#REF!</v>
      </c>
      <c r="AU93" s="102"/>
      <c r="AV93" s="102"/>
      <c r="AW93" s="121" t="e">
        <f>#REF!</f>
        <v>#REF!</v>
      </c>
      <c r="AX93" s="98" t="e">
        <f t="shared" si="41"/>
        <v>#REF!</v>
      </c>
      <c r="AY93" s="102"/>
      <c r="AZ93" s="102"/>
      <c r="BB93" s="121" t="e">
        <f>#REF!</f>
        <v>#REF!</v>
      </c>
      <c r="BC93" s="121" t="e">
        <f>#REF!</f>
        <v>#REF!</v>
      </c>
      <c r="BD93" s="121" t="e">
        <f>#REF!</f>
        <v>#REF!</v>
      </c>
      <c r="BE93" s="121" t="e">
        <f>#REF!</f>
        <v>#REF!</v>
      </c>
      <c r="BF93" s="101" t="e">
        <f t="shared" si="56"/>
        <v>#REF!</v>
      </c>
      <c r="BG93" s="101" t="e">
        <f t="shared" si="57"/>
        <v>#REF!</v>
      </c>
      <c r="BH93" s="227" t="e">
        <f t="shared" si="51"/>
        <v>#REF!</v>
      </c>
      <c r="BI93" s="227" t="e">
        <f t="shared" si="52"/>
        <v>#REF!</v>
      </c>
      <c r="BJ93" s="227" t="e">
        <f t="shared" si="53"/>
        <v>#REF!</v>
      </c>
      <c r="BK93" s="227" t="e">
        <f t="shared" si="54"/>
        <v>#REF!</v>
      </c>
    </row>
    <row r="94" spans="1:63">
      <c r="A94" s="102"/>
      <c r="B94" s="289" t="s">
        <v>665</v>
      </c>
      <c r="C94" s="102" t="s">
        <v>35</v>
      </c>
      <c r="D94" s="316">
        <v>5</v>
      </c>
      <c r="E94" s="102" t="s">
        <v>35</v>
      </c>
      <c r="F94" s="309"/>
      <c r="G94" s="310"/>
      <c r="H94" s="102"/>
      <c r="I94" s="102"/>
      <c r="J94" s="309"/>
      <c r="K94" s="104"/>
      <c r="L94" s="102"/>
      <c r="M94" s="102"/>
      <c r="N94" s="102"/>
      <c r="O94" s="478"/>
      <c r="R94" s="122">
        <v>5</v>
      </c>
      <c r="S94" s="101">
        <f t="shared" si="55"/>
        <v>0</v>
      </c>
      <c r="T94" s="29"/>
      <c r="AC94" s="121" t="e">
        <f>AC8+AC9+AC12+AC13</f>
        <v>#REF!</v>
      </c>
      <c r="AD94" s="97" t="e">
        <f t="shared" si="47"/>
        <v>#REF!</v>
      </c>
      <c r="AE94" s="102"/>
      <c r="AF94" s="102"/>
      <c r="AG94" s="121" t="e">
        <f>AG8+AG9+AG12+AG11+AG13</f>
        <v>#REF!</v>
      </c>
      <c r="AH94" s="98" t="e">
        <f t="shared" si="38"/>
        <v>#REF!</v>
      </c>
      <c r="AI94" s="103"/>
      <c r="AJ94" s="102"/>
      <c r="AK94" s="121" t="e">
        <f>AK8+AK9+AK12+AK13</f>
        <v>#REF!</v>
      </c>
      <c r="AL94" s="98" t="e">
        <f t="shared" si="48"/>
        <v>#REF!</v>
      </c>
      <c r="AM94" s="102"/>
      <c r="AN94" s="102"/>
      <c r="AO94" s="121" t="e">
        <f>AO8+AO9+AO12+AO11+AO13</f>
        <v>#REF!</v>
      </c>
      <c r="AP94" s="98" t="e">
        <f t="shared" si="49"/>
        <v>#REF!</v>
      </c>
      <c r="AQ94" s="102"/>
      <c r="AR94" s="102"/>
      <c r="AS94" s="121" t="e">
        <f>AS8+AS9+AS12+AS13</f>
        <v>#REF!</v>
      </c>
      <c r="AT94" s="98"/>
      <c r="AU94" s="102"/>
      <c r="AV94" s="102"/>
      <c r="AW94" s="121" t="e">
        <f>AW8+AW9+AW12+AW11+AW13</f>
        <v>#REF!</v>
      </c>
      <c r="AX94" s="98"/>
      <c r="AY94" s="102"/>
      <c r="AZ94" s="102"/>
      <c r="BB94" s="121" t="e">
        <f>BB8+BB9+BB12+BB11+BB13</f>
        <v>#REF!</v>
      </c>
      <c r="BC94" s="121" t="e">
        <f>BC8+BC9+BC12+BC11+BC13</f>
        <v>#REF!</v>
      </c>
      <c r="BD94" s="121" t="e">
        <f>BD8+BD9+BD12+BD11+BD13</f>
        <v>#REF!</v>
      </c>
      <c r="BE94" s="121" t="e">
        <f>BE8+BE9+BE12+BE11+BE13</f>
        <v>#REF!</v>
      </c>
      <c r="BF94" s="101" t="e">
        <f t="shared" si="56"/>
        <v>#REF!</v>
      </c>
      <c r="BG94" s="101" t="e">
        <f t="shared" si="57"/>
        <v>#REF!</v>
      </c>
      <c r="BH94" s="227" t="e">
        <f t="shared" si="51"/>
        <v>#REF!</v>
      </c>
      <c r="BI94" s="227" t="e">
        <f t="shared" si="52"/>
        <v>#REF!</v>
      </c>
      <c r="BJ94" s="227" t="e">
        <f t="shared" si="53"/>
        <v>#REF!</v>
      </c>
      <c r="BK94" s="227" t="e">
        <f t="shared" si="54"/>
        <v>#REF!</v>
      </c>
    </row>
    <row r="95" spans="1:63">
      <c r="A95" s="102"/>
      <c r="B95" s="313" t="s">
        <v>755</v>
      </c>
      <c r="C95" s="102" t="s">
        <v>666</v>
      </c>
      <c r="D95" s="316">
        <v>0.7</v>
      </c>
      <c r="E95" s="102" t="s">
        <v>666</v>
      </c>
      <c r="F95" s="309"/>
      <c r="G95" s="310"/>
      <c r="H95" s="102"/>
      <c r="I95" s="102"/>
      <c r="J95" s="309"/>
      <c r="K95" s="104"/>
      <c r="L95" s="102"/>
      <c r="M95" s="102"/>
      <c r="N95" s="102"/>
      <c r="O95" s="478"/>
      <c r="R95" s="122">
        <v>0.7</v>
      </c>
      <c r="S95" s="101">
        <f t="shared" si="55"/>
        <v>0</v>
      </c>
      <c r="T95" s="29"/>
      <c r="AC95" s="121" t="e">
        <f>AC48</f>
        <v>#REF!</v>
      </c>
      <c r="AD95" s="97" t="e">
        <f t="shared" si="47"/>
        <v>#REF!</v>
      </c>
      <c r="AE95" s="102"/>
      <c r="AF95" s="102"/>
      <c r="AG95" s="121" t="e">
        <f>AG48</f>
        <v>#REF!</v>
      </c>
      <c r="AH95" s="98" t="e">
        <f t="shared" si="38"/>
        <v>#REF!</v>
      </c>
      <c r="AI95" s="103"/>
      <c r="AJ95" s="102"/>
      <c r="AK95" s="121" t="e">
        <f>AK48</f>
        <v>#REF!</v>
      </c>
      <c r="AL95" s="98" t="e">
        <f t="shared" si="48"/>
        <v>#REF!</v>
      </c>
      <c r="AM95" s="102"/>
      <c r="AN95" s="102"/>
      <c r="AO95" s="121" t="e">
        <f>AO48</f>
        <v>#REF!</v>
      </c>
      <c r="AP95" s="98" t="e">
        <f t="shared" si="49"/>
        <v>#REF!</v>
      </c>
      <c r="AQ95" s="102"/>
      <c r="AR95" s="102"/>
      <c r="AS95" s="121" t="e">
        <f>AS48</f>
        <v>#REF!</v>
      </c>
      <c r="AT95" s="98"/>
      <c r="AU95" s="102"/>
      <c r="AV95" s="102"/>
      <c r="AW95" s="121" t="e">
        <f>AW48</f>
        <v>#REF!</v>
      </c>
      <c r="AX95" s="98"/>
      <c r="AY95" s="102"/>
      <c r="AZ95" s="102"/>
      <c r="BB95" s="121" t="e">
        <f>BB48</f>
        <v>#REF!</v>
      </c>
      <c r="BC95" s="121" t="e">
        <f>BC48</f>
        <v>#REF!</v>
      </c>
      <c r="BD95" s="121" t="e">
        <f>BD48</f>
        <v>#REF!</v>
      </c>
      <c r="BE95" s="121" t="e">
        <f>BE48</f>
        <v>#REF!</v>
      </c>
      <c r="BF95" s="101" t="e">
        <f t="shared" si="56"/>
        <v>#REF!</v>
      </c>
      <c r="BG95" s="101" t="e">
        <f t="shared" si="57"/>
        <v>#REF!</v>
      </c>
      <c r="BH95" s="227" t="e">
        <f t="shared" si="51"/>
        <v>#REF!</v>
      </c>
      <c r="BI95" s="227" t="e">
        <f t="shared" si="52"/>
        <v>#REF!</v>
      </c>
      <c r="BJ95" s="227" t="e">
        <f t="shared" si="53"/>
        <v>#REF!</v>
      </c>
      <c r="BK95" s="227" t="e">
        <f t="shared" si="54"/>
        <v>#REF!</v>
      </c>
    </row>
    <row r="96" spans="1:63">
      <c r="A96" s="102"/>
      <c r="B96" s="313" t="s">
        <v>655</v>
      </c>
      <c r="C96" s="102" t="s">
        <v>666</v>
      </c>
      <c r="D96" s="316">
        <v>0.7</v>
      </c>
      <c r="E96" s="102" t="s">
        <v>666</v>
      </c>
      <c r="F96" s="309"/>
      <c r="G96" s="310"/>
      <c r="H96" s="102"/>
      <c r="I96" s="102"/>
      <c r="J96" s="309"/>
      <c r="K96" s="104"/>
      <c r="L96" s="102"/>
      <c r="M96" s="102"/>
      <c r="N96" s="102"/>
      <c r="O96" s="478"/>
      <c r="R96" s="122">
        <v>0.7</v>
      </c>
      <c r="S96" s="101">
        <f t="shared" si="55"/>
        <v>0</v>
      </c>
      <c r="T96" s="29"/>
      <c r="AC96" s="121" t="e">
        <f>AC50+AC60</f>
        <v>#REF!</v>
      </c>
      <c r="AD96" s="97" t="e">
        <f t="shared" si="47"/>
        <v>#REF!</v>
      </c>
      <c r="AE96" s="102"/>
      <c r="AF96" s="102"/>
      <c r="AG96" s="121" t="e">
        <f>AG50+AG60</f>
        <v>#REF!</v>
      </c>
      <c r="AH96" s="98" t="e">
        <f t="shared" si="38"/>
        <v>#REF!</v>
      </c>
      <c r="AI96" s="103"/>
      <c r="AJ96" s="102"/>
      <c r="AK96" s="121" t="e">
        <f>AK50+AK60</f>
        <v>#REF!</v>
      </c>
      <c r="AL96" s="98" t="e">
        <f t="shared" si="48"/>
        <v>#REF!</v>
      </c>
      <c r="AM96" s="102"/>
      <c r="AN96" s="102"/>
      <c r="AO96" s="121" t="e">
        <f>AO50+AO60</f>
        <v>#REF!</v>
      </c>
      <c r="AP96" s="98" t="e">
        <f t="shared" si="49"/>
        <v>#REF!</v>
      </c>
      <c r="AQ96" s="102"/>
      <c r="AR96" s="102"/>
      <c r="AS96" s="121" t="e">
        <f>AS50+AS60</f>
        <v>#REF!</v>
      </c>
      <c r="AT96" s="98" t="e">
        <f t="shared" si="50"/>
        <v>#REF!</v>
      </c>
      <c r="AU96" s="102"/>
      <c r="AV96" s="102"/>
      <c r="AW96" s="121" t="e">
        <f>AW50+AW60</f>
        <v>#REF!</v>
      </c>
      <c r="AX96" s="98" t="e">
        <f t="shared" si="41"/>
        <v>#REF!</v>
      </c>
      <c r="AY96" s="102"/>
      <c r="AZ96" s="102"/>
      <c r="BB96" s="121" t="e">
        <f>BB50</f>
        <v>#REF!</v>
      </c>
      <c r="BC96" s="121" t="e">
        <f>BC50</f>
        <v>#REF!</v>
      </c>
      <c r="BD96" s="121" t="e">
        <f>BD50</f>
        <v>#REF!</v>
      </c>
      <c r="BE96" s="121" t="e">
        <f>BE50+BE60</f>
        <v>#REF!</v>
      </c>
      <c r="BF96" s="101" t="e">
        <f t="shared" si="56"/>
        <v>#REF!</v>
      </c>
      <c r="BG96" s="101" t="e">
        <f t="shared" si="57"/>
        <v>#REF!</v>
      </c>
      <c r="BH96" s="227" t="e">
        <f t="shared" si="51"/>
        <v>#REF!</v>
      </c>
      <c r="BI96" s="227" t="e">
        <f t="shared" si="52"/>
        <v>#REF!</v>
      </c>
      <c r="BJ96" s="227" t="e">
        <f t="shared" si="53"/>
        <v>#REF!</v>
      </c>
      <c r="BK96" s="227" t="e">
        <f t="shared" si="54"/>
        <v>#REF!</v>
      </c>
    </row>
    <row r="97" spans="1:63">
      <c r="A97" s="102"/>
      <c r="B97" s="289" t="s">
        <v>828</v>
      </c>
      <c r="C97" s="102" t="s">
        <v>456</v>
      </c>
      <c r="D97" s="296">
        <v>0.2</v>
      </c>
      <c r="E97" s="102" t="s">
        <v>456</v>
      </c>
      <c r="F97" s="309"/>
      <c r="G97" s="310"/>
      <c r="H97" s="102"/>
      <c r="I97" s="102"/>
      <c r="J97" s="309"/>
      <c r="K97" s="104"/>
      <c r="L97" s="102"/>
      <c r="M97" s="102"/>
      <c r="N97" s="102"/>
      <c r="O97" s="478"/>
      <c r="R97" s="122"/>
      <c r="S97" s="101"/>
      <c r="T97" s="29"/>
      <c r="AC97" s="121" t="e">
        <f>AC55</f>
        <v>#REF!</v>
      </c>
      <c r="AD97" s="97" t="e">
        <f t="shared" si="47"/>
        <v>#REF!</v>
      </c>
      <c r="AE97" s="102"/>
      <c r="AF97" s="102"/>
      <c r="AG97" s="121" t="e">
        <f>AG55</f>
        <v>#REF!</v>
      </c>
      <c r="AH97" s="98" t="e">
        <f t="shared" si="38"/>
        <v>#REF!</v>
      </c>
      <c r="AI97" s="103"/>
      <c r="AJ97" s="102"/>
      <c r="AK97" s="121" t="e">
        <f>AK55</f>
        <v>#REF!</v>
      </c>
      <c r="AL97" s="98" t="e">
        <f t="shared" si="48"/>
        <v>#REF!</v>
      </c>
      <c r="AM97" s="102"/>
      <c r="AN97" s="102"/>
      <c r="AO97" s="121" t="e">
        <f>AO55</f>
        <v>#REF!</v>
      </c>
      <c r="AP97" s="98" t="e">
        <f t="shared" si="49"/>
        <v>#REF!</v>
      </c>
      <c r="AQ97" s="102"/>
      <c r="AR97" s="102"/>
      <c r="AS97" s="121" t="e">
        <f>AS55</f>
        <v>#REF!</v>
      </c>
      <c r="AT97" s="98" t="e">
        <f t="shared" si="50"/>
        <v>#REF!</v>
      </c>
      <c r="AU97" s="102"/>
      <c r="AV97" s="102"/>
      <c r="AW97" s="121" t="e">
        <f>AW55</f>
        <v>#REF!</v>
      </c>
      <c r="AX97" s="98" t="e">
        <f t="shared" si="41"/>
        <v>#REF!</v>
      </c>
      <c r="AY97" s="102"/>
      <c r="AZ97" s="102"/>
      <c r="BB97" s="121" t="e">
        <f>BB55</f>
        <v>#REF!</v>
      </c>
      <c r="BC97" s="121" t="e">
        <f>BC55</f>
        <v>#REF!</v>
      </c>
      <c r="BD97" s="121" t="e">
        <f>BD55</f>
        <v>#REF!</v>
      </c>
      <c r="BE97" s="121" t="e">
        <f>BE55</f>
        <v>#REF!</v>
      </c>
      <c r="BF97" s="101" t="e">
        <f t="shared" si="56"/>
        <v>#REF!</v>
      </c>
      <c r="BG97" s="101" t="e">
        <f t="shared" si="57"/>
        <v>#REF!</v>
      </c>
      <c r="BH97" s="227" t="e">
        <f t="shared" si="51"/>
        <v>#REF!</v>
      </c>
      <c r="BI97" s="227" t="e">
        <f t="shared" si="52"/>
        <v>#REF!</v>
      </c>
      <c r="BJ97" s="227" t="e">
        <f t="shared" si="53"/>
        <v>#REF!</v>
      </c>
      <c r="BK97" s="227" t="e">
        <f t="shared" si="54"/>
        <v>#REF!</v>
      </c>
    </row>
    <row r="98" spans="1:63">
      <c r="A98" s="102"/>
      <c r="B98" s="289" t="str">
        <f>B59</f>
        <v>Bridge deck void formers  700mm dia.</v>
      </c>
      <c r="C98" s="102" t="s">
        <v>814</v>
      </c>
      <c r="D98" s="296">
        <v>12.5</v>
      </c>
      <c r="E98" s="102" t="s">
        <v>814</v>
      </c>
      <c r="F98" s="309"/>
      <c r="G98" s="310"/>
      <c r="H98" s="102"/>
      <c r="I98" s="102"/>
      <c r="J98" s="309"/>
      <c r="K98" s="104"/>
      <c r="L98" s="102"/>
      <c r="M98" s="102"/>
      <c r="N98" s="102"/>
      <c r="O98" s="478"/>
      <c r="R98" s="122"/>
      <c r="S98" s="101"/>
      <c r="T98" s="29"/>
      <c r="AC98" s="121" t="e">
        <f>AC59</f>
        <v>#REF!</v>
      </c>
      <c r="AD98" s="97" t="e">
        <f t="shared" si="47"/>
        <v>#REF!</v>
      </c>
      <c r="AE98" s="102"/>
      <c r="AF98" s="102"/>
      <c r="AG98" s="121" t="e">
        <f>AG59</f>
        <v>#REF!</v>
      </c>
      <c r="AH98" s="98" t="e">
        <f t="shared" si="38"/>
        <v>#REF!</v>
      </c>
      <c r="AI98" s="103"/>
      <c r="AJ98" s="102"/>
      <c r="AK98" s="121" t="e">
        <f>AK59</f>
        <v>#REF!</v>
      </c>
      <c r="AL98" s="98" t="e">
        <f t="shared" si="48"/>
        <v>#REF!</v>
      </c>
      <c r="AM98" s="102"/>
      <c r="AN98" s="102"/>
      <c r="AO98" s="121" t="e">
        <f>AO59</f>
        <v>#REF!</v>
      </c>
      <c r="AP98" s="98" t="e">
        <f t="shared" si="49"/>
        <v>#REF!</v>
      </c>
      <c r="AQ98" s="102"/>
      <c r="AR98" s="102"/>
      <c r="AS98" s="121" t="e">
        <f>AS59</f>
        <v>#REF!</v>
      </c>
      <c r="AT98" s="98" t="e">
        <f t="shared" si="50"/>
        <v>#REF!</v>
      </c>
      <c r="AU98" s="102"/>
      <c r="AV98" s="102"/>
      <c r="AW98" s="121" t="e">
        <f>AW59</f>
        <v>#REF!</v>
      </c>
      <c r="AX98" s="98" t="e">
        <f t="shared" si="41"/>
        <v>#REF!</v>
      </c>
      <c r="AY98" s="102"/>
      <c r="AZ98" s="102"/>
      <c r="BB98" s="121" t="e">
        <f>BB59</f>
        <v>#REF!</v>
      </c>
      <c r="BC98" s="121" t="e">
        <f>BC59</f>
        <v>#REF!</v>
      </c>
      <c r="BD98" s="121" t="e">
        <f>BD59</f>
        <v>#REF!</v>
      </c>
      <c r="BE98" s="121" t="e">
        <f>BE59</f>
        <v>#REF!</v>
      </c>
      <c r="BF98" s="101" t="e">
        <f t="shared" si="56"/>
        <v>#REF!</v>
      </c>
      <c r="BG98" s="101" t="e">
        <f t="shared" si="57"/>
        <v>#REF!</v>
      </c>
      <c r="BH98" s="227" t="e">
        <f t="shared" si="51"/>
        <v>#REF!</v>
      </c>
      <c r="BI98" s="227" t="e">
        <f t="shared" si="52"/>
        <v>#REF!</v>
      </c>
      <c r="BJ98" s="227" t="e">
        <f t="shared" si="53"/>
        <v>#REF!</v>
      </c>
      <c r="BK98" s="227" t="e">
        <f t="shared" si="54"/>
        <v>#REF!</v>
      </c>
    </row>
    <row r="99" spans="1:63">
      <c r="A99" s="102"/>
      <c r="B99" s="289" t="s">
        <v>667</v>
      </c>
      <c r="C99" s="102" t="s">
        <v>668</v>
      </c>
      <c r="D99" s="316">
        <f>50/4</f>
        <v>12.5</v>
      </c>
      <c r="E99" s="102" t="s">
        <v>668</v>
      </c>
      <c r="F99" s="309"/>
      <c r="G99" s="310"/>
      <c r="H99" s="102"/>
      <c r="I99" s="102"/>
      <c r="J99" s="309"/>
      <c r="K99" s="104"/>
      <c r="L99" s="102"/>
      <c r="M99" s="102"/>
      <c r="N99" s="102"/>
      <c r="O99" s="478"/>
      <c r="R99" s="122">
        <v>12.5</v>
      </c>
      <c r="S99" s="101">
        <f t="shared" si="55"/>
        <v>0</v>
      </c>
      <c r="T99" s="29"/>
      <c r="AC99" s="121" t="e">
        <f>#REF!+#REF!</f>
        <v>#REF!</v>
      </c>
      <c r="AD99" s="97" t="e">
        <f t="shared" si="47"/>
        <v>#REF!</v>
      </c>
      <c r="AE99" s="102"/>
      <c r="AF99" s="102"/>
      <c r="AG99" s="121" t="e">
        <f>#REF!+#REF!</f>
        <v>#REF!</v>
      </c>
      <c r="AH99" s="98" t="e">
        <f t="shared" si="38"/>
        <v>#REF!</v>
      </c>
      <c r="AI99" s="103"/>
      <c r="AJ99" s="102"/>
      <c r="AK99" s="121" t="e">
        <f>#REF!+#REF!</f>
        <v>#REF!</v>
      </c>
      <c r="AL99" s="98" t="e">
        <f t="shared" si="48"/>
        <v>#REF!</v>
      </c>
      <c r="AM99" s="102"/>
      <c r="AN99" s="102"/>
      <c r="AO99" s="121" t="e">
        <f>#REF!+#REF!</f>
        <v>#REF!</v>
      </c>
      <c r="AP99" s="98" t="e">
        <f t="shared" si="49"/>
        <v>#REF!</v>
      </c>
      <c r="AQ99" s="102"/>
      <c r="AR99" s="102"/>
      <c r="AS99" s="121" t="e">
        <f>#REF!+#REF!</f>
        <v>#REF!</v>
      </c>
      <c r="AT99" s="98" t="e">
        <f t="shared" si="50"/>
        <v>#REF!</v>
      </c>
      <c r="AU99" s="102"/>
      <c r="AV99" s="102"/>
      <c r="AW99" s="121" t="e">
        <f>#REF!+#REF!</f>
        <v>#REF!</v>
      </c>
      <c r="AX99" s="98" t="e">
        <f t="shared" si="41"/>
        <v>#REF!</v>
      </c>
      <c r="AY99" s="102"/>
      <c r="AZ99" s="102"/>
      <c r="BB99" s="121" t="e">
        <f>#REF!+#REF!</f>
        <v>#REF!</v>
      </c>
      <c r="BC99" s="121" t="e">
        <f>#REF!+#REF!</f>
        <v>#REF!</v>
      </c>
      <c r="BD99" s="121" t="e">
        <f>#REF!+#REF!</f>
        <v>#REF!</v>
      </c>
      <c r="BE99" s="121" t="e">
        <f>#REF!+#REF!</f>
        <v>#REF!</v>
      </c>
      <c r="BF99" s="101" t="e">
        <f t="shared" si="56"/>
        <v>#REF!</v>
      </c>
      <c r="BG99" s="101" t="e">
        <f t="shared" si="57"/>
        <v>#REF!</v>
      </c>
      <c r="BH99" s="227" t="e">
        <f t="shared" si="51"/>
        <v>#REF!</v>
      </c>
      <c r="BI99" s="227" t="e">
        <f t="shared" si="52"/>
        <v>#REF!</v>
      </c>
      <c r="BJ99" s="227" t="e">
        <f t="shared" si="53"/>
        <v>#REF!</v>
      </c>
      <c r="BK99" s="227" t="e">
        <f t="shared" si="54"/>
        <v>#REF!</v>
      </c>
    </row>
    <row r="100" spans="1:63">
      <c r="A100" s="102"/>
      <c r="B100" s="289" t="s">
        <v>803</v>
      </c>
      <c r="C100" s="102" t="s">
        <v>668</v>
      </c>
      <c r="D100" s="316">
        <v>2.5</v>
      </c>
      <c r="E100" s="102" t="s">
        <v>668</v>
      </c>
      <c r="F100" s="309"/>
      <c r="G100" s="310"/>
      <c r="H100" s="102"/>
      <c r="I100" s="102"/>
      <c r="J100" s="309"/>
      <c r="K100" s="104"/>
      <c r="L100" s="102"/>
      <c r="M100" s="102"/>
      <c r="N100" s="102"/>
      <c r="O100" s="478"/>
      <c r="R100" s="122">
        <v>2.5</v>
      </c>
      <c r="S100" s="101">
        <f t="shared" si="55"/>
        <v>0</v>
      </c>
      <c r="T100" s="29"/>
      <c r="AC100" s="121" t="e">
        <f>#REF!</f>
        <v>#REF!</v>
      </c>
      <c r="AD100" s="97" t="e">
        <f t="shared" si="47"/>
        <v>#REF!</v>
      </c>
      <c r="AE100" s="102"/>
      <c r="AF100" s="102"/>
      <c r="AG100" s="121" t="e">
        <f>#REF!</f>
        <v>#REF!</v>
      </c>
      <c r="AH100" s="98" t="e">
        <f t="shared" si="38"/>
        <v>#REF!</v>
      </c>
      <c r="AI100" s="103"/>
      <c r="AJ100" s="102"/>
      <c r="AK100" s="121" t="e">
        <f>#REF!</f>
        <v>#REF!</v>
      </c>
      <c r="AL100" s="98" t="e">
        <f t="shared" si="48"/>
        <v>#REF!</v>
      </c>
      <c r="AM100" s="102"/>
      <c r="AN100" s="102"/>
      <c r="AO100" s="121" t="e">
        <f>#REF!</f>
        <v>#REF!</v>
      </c>
      <c r="AP100" s="98" t="e">
        <f t="shared" si="49"/>
        <v>#REF!</v>
      </c>
      <c r="AQ100" s="102"/>
      <c r="AR100" s="102"/>
      <c r="AS100" s="121" t="e">
        <f>#REF!</f>
        <v>#REF!</v>
      </c>
      <c r="AT100" s="98" t="e">
        <f t="shared" si="50"/>
        <v>#REF!</v>
      </c>
      <c r="AU100" s="102"/>
      <c r="AV100" s="102"/>
      <c r="AW100" s="121" t="e">
        <f>#REF!</f>
        <v>#REF!</v>
      </c>
      <c r="AX100" s="98" t="e">
        <f t="shared" si="41"/>
        <v>#REF!</v>
      </c>
      <c r="AY100" s="102"/>
      <c r="AZ100" s="102"/>
      <c r="BB100" s="121" t="e">
        <f>#REF!</f>
        <v>#REF!</v>
      </c>
      <c r="BC100" s="121" t="e">
        <f>#REF!</f>
        <v>#REF!</v>
      </c>
      <c r="BD100" s="121" t="e">
        <f>#REF!</f>
        <v>#REF!</v>
      </c>
      <c r="BE100" s="121" t="e">
        <f>#REF!</f>
        <v>#REF!</v>
      </c>
      <c r="BF100" s="101" t="e">
        <f t="shared" si="56"/>
        <v>#REF!</v>
      </c>
      <c r="BG100" s="101" t="e">
        <f t="shared" si="57"/>
        <v>#REF!</v>
      </c>
      <c r="BH100" s="227" t="e">
        <f t="shared" si="51"/>
        <v>#REF!</v>
      </c>
      <c r="BI100" s="227" t="e">
        <f t="shared" si="52"/>
        <v>#REF!</v>
      </c>
      <c r="BJ100" s="227" t="e">
        <f t="shared" si="53"/>
        <v>#REF!</v>
      </c>
      <c r="BK100" s="227" t="e">
        <f t="shared" si="54"/>
        <v>#REF!</v>
      </c>
    </row>
    <row r="101" spans="1:63">
      <c r="A101" s="102"/>
      <c r="B101" s="289" t="s">
        <v>841</v>
      </c>
      <c r="C101" s="102" t="s">
        <v>86</v>
      </c>
      <c r="D101" s="316">
        <v>16.7</v>
      </c>
      <c r="E101" s="102" t="s">
        <v>86</v>
      </c>
      <c r="F101" s="309"/>
      <c r="G101" s="310"/>
      <c r="H101" s="102"/>
      <c r="I101" s="102"/>
      <c r="J101" s="309"/>
      <c r="K101" s="104"/>
      <c r="L101" s="102"/>
      <c r="M101" s="102"/>
      <c r="N101" s="102"/>
      <c r="O101" s="478"/>
      <c r="R101" s="122"/>
      <c r="S101" s="101"/>
      <c r="T101" s="29"/>
      <c r="AC101" s="121" t="e">
        <f>AC56</f>
        <v>#REF!</v>
      </c>
      <c r="AD101" s="97" t="e">
        <f t="shared" si="47"/>
        <v>#REF!</v>
      </c>
      <c r="AE101" s="102"/>
      <c r="AF101" s="102"/>
      <c r="AG101" s="121" t="e">
        <f>AG56</f>
        <v>#REF!</v>
      </c>
      <c r="AH101" s="98" t="e">
        <f t="shared" si="38"/>
        <v>#REF!</v>
      </c>
      <c r="AI101" s="103"/>
      <c r="AJ101" s="102"/>
      <c r="AK101" s="121" t="e">
        <f>AK56</f>
        <v>#REF!</v>
      </c>
      <c r="AL101" s="98" t="e">
        <f t="shared" si="48"/>
        <v>#REF!</v>
      </c>
      <c r="AM101" s="102"/>
      <c r="AN101" s="102"/>
      <c r="AO101" s="121" t="e">
        <f>AO56</f>
        <v>#REF!</v>
      </c>
      <c r="AP101" s="98" t="e">
        <f t="shared" si="49"/>
        <v>#REF!</v>
      </c>
      <c r="AQ101" s="102"/>
      <c r="AR101" s="102"/>
      <c r="AS101" s="121" t="e">
        <f>AS56</f>
        <v>#REF!</v>
      </c>
      <c r="AT101" s="98" t="e">
        <f t="shared" si="50"/>
        <v>#REF!</v>
      </c>
      <c r="AU101" s="102"/>
      <c r="AV101" s="102"/>
      <c r="AW101" s="121" t="e">
        <f>AW56</f>
        <v>#REF!</v>
      </c>
      <c r="AX101" s="98" t="e">
        <f t="shared" si="41"/>
        <v>#REF!</v>
      </c>
      <c r="AY101" s="102"/>
      <c r="AZ101" s="102"/>
      <c r="BB101" s="121" t="e">
        <f>BB56</f>
        <v>#REF!</v>
      </c>
      <c r="BC101" s="121" t="e">
        <f>BC56</f>
        <v>#REF!</v>
      </c>
      <c r="BD101" s="121" t="e">
        <f>BD56</f>
        <v>#REF!</v>
      </c>
      <c r="BE101" s="121" t="e">
        <f>BE56</f>
        <v>#REF!</v>
      </c>
      <c r="BF101" s="101" t="e">
        <f t="shared" si="56"/>
        <v>#REF!</v>
      </c>
      <c r="BG101" s="101" t="e">
        <f t="shared" si="57"/>
        <v>#REF!</v>
      </c>
      <c r="BH101" s="227" t="e">
        <f t="shared" si="51"/>
        <v>#REF!</v>
      </c>
      <c r="BI101" s="227" t="e">
        <f t="shared" si="52"/>
        <v>#REF!</v>
      </c>
      <c r="BJ101" s="227" t="e">
        <f t="shared" si="53"/>
        <v>#REF!</v>
      </c>
      <c r="BK101" s="227" t="e">
        <f t="shared" si="54"/>
        <v>#REF!</v>
      </c>
    </row>
    <row r="102" spans="1:63">
      <c r="A102" s="102"/>
      <c r="B102" s="289" t="s">
        <v>804</v>
      </c>
      <c r="C102" s="102" t="s">
        <v>805</v>
      </c>
      <c r="D102" s="316">
        <v>0.4</v>
      </c>
      <c r="E102" s="102" t="s">
        <v>805</v>
      </c>
      <c r="F102" s="309"/>
      <c r="G102" s="310"/>
      <c r="H102" s="102"/>
      <c r="I102" s="102"/>
      <c r="J102" s="309"/>
      <c r="K102" s="104"/>
      <c r="L102" s="102"/>
      <c r="M102" s="102"/>
      <c r="N102" s="102"/>
      <c r="O102" s="478"/>
      <c r="R102" s="122">
        <v>0.4</v>
      </c>
      <c r="S102" s="101">
        <f t="shared" si="55"/>
        <v>0</v>
      </c>
      <c r="T102" s="29"/>
      <c r="AC102" s="121" t="e">
        <f>#REF!</f>
        <v>#REF!</v>
      </c>
      <c r="AD102" s="97" t="e">
        <f t="shared" si="47"/>
        <v>#REF!</v>
      </c>
      <c r="AE102" s="102"/>
      <c r="AF102" s="102"/>
      <c r="AG102" s="121" t="e">
        <f>#REF!</f>
        <v>#REF!</v>
      </c>
      <c r="AH102" s="98" t="e">
        <f t="shared" si="38"/>
        <v>#REF!</v>
      </c>
      <c r="AI102" s="103"/>
      <c r="AJ102" s="102"/>
      <c r="AK102" s="121" t="e">
        <f>#REF!</f>
        <v>#REF!</v>
      </c>
      <c r="AL102" s="98" t="e">
        <f t="shared" si="48"/>
        <v>#REF!</v>
      </c>
      <c r="AM102" s="102"/>
      <c r="AN102" s="102"/>
      <c r="AO102" s="121" t="e">
        <f>#REF!</f>
        <v>#REF!</v>
      </c>
      <c r="AP102" s="98" t="e">
        <f t="shared" si="49"/>
        <v>#REF!</v>
      </c>
      <c r="AQ102" s="102"/>
      <c r="AR102" s="102"/>
      <c r="AS102" s="121" t="e">
        <f>#REF!</f>
        <v>#REF!</v>
      </c>
      <c r="AT102" s="98" t="e">
        <f t="shared" si="50"/>
        <v>#REF!</v>
      </c>
      <c r="AU102" s="102"/>
      <c r="AV102" s="102"/>
      <c r="AW102" s="121" t="e">
        <f>#REF!</f>
        <v>#REF!</v>
      </c>
      <c r="AX102" s="98" t="e">
        <f t="shared" si="41"/>
        <v>#REF!</v>
      </c>
      <c r="AY102" s="102"/>
      <c r="AZ102" s="102"/>
      <c r="BB102" s="121" t="e">
        <f>#REF!</f>
        <v>#REF!</v>
      </c>
      <c r="BC102" s="121" t="e">
        <f>#REF!</f>
        <v>#REF!</v>
      </c>
      <c r="BD102" s="121" t="e">
        <f>#REF!</f>
        <v>#REF!</v>
      </c>
      <c r="BE102" s="121" t="e">
        <f>#REF!</f>
        <v>#REF!</v>
      </c>
      <c r="BF102" s="101" t="e">
        <f t="shared" si="56"/>
        <v>#REF!</v>
      </c>
      <c r="BG102" s="101" t="e">
        <f t="shared" si="57"/>
        <v>#REF!</v>
      </c>
      <c r="BH102" s="227" t="e">
        <f t="shared" si="51"/>
        <v>#REF!</v>
      </c>
      <c r="BI102" s="227" t="e">
        <f t="shared" si="52"/>
        <v>#REF!</v>
      </c>
      <c r="BJ102" s="227" t="e">
        <f t="shared" si="53"/>
        <v>#REF!</v>
      </c>
      <c r="BK102" s="227" t="e">
        <f t="shared" si="54"/>
        <v>#REF!</v>
      </c>
    </row>
    <row r="103" spans="1:63">
      <c r="A103" s="102"/>
      <c r="B103" s="289" t="s">
        <v>644</v>
      </c>
      <c r="C103" s="102" t="s">
        <v>668</v>
      </c>
      <c r="D103" s="316">
        <v>4</v>
      </c>
      <c r="E103" s="102" t="s">
        <v>668</v>
      </c>
      <c r="F103" s="309"/>
      <c r="G103" s="310"/>
      <c r="H103" s="102"/>
      <c r="I103" s="102"/>
      <c r="J103" s="309"/>
      <c r="K103" s="104"/>
      <c r="L103" s="102"/>
      <c r="M103" s="102"/>
      <c r="N103" s="102"/>
      <c r="O103" s="478"/>
      <c r="R103" s="122">
        <v>4</v>
      </c>
      <c r="S103" s="101">
        <f t="shared" si="55"/>
        <v>0</v>
      </c>
      <c r="T103" s="29"/>
      <c r="AC103" s="121" t="e">
        <f>#REF!+#REF!</f>
        <v>#REF!</v>
      </c>
      <c r="AD103" s="97" t="e">
        <f t="shared" si="47"/>
        <v>#REF!</v>
      </c>
      <c r="AE103" s="102"/>
      <c r="AF103" s="102"/>
      <c r="AG103" s="121" t="e">
        <f>#REF!+#REF!</f>
        <v>#REF!</v>
      </c>
      <c r="AH103" s="98" t="e">
        <f t="shared" si="38"/>
        <v>#REF!</v>
      </c>
      <c r="AI103" s="103"/>
      <c r="AJ103" s="102"/>
      <c r="AK103" s="121" t="e">
        <f>#REF!+#REF!</f>
        <v>#REF!</v>
      </c>
      <c r="AL103" s="98" t="e">
        <f t="shared" si="48"/>
        <v>#REF!</v>
      </c>
      <c r="AM103" s="102"/>
      <c r="AN103" s="102"/>
      <c r="AO103" s="121" t="e">
        <f>#REF!+#REF!</f>
        <v>#REF!</v>
      </c>
      <c r="AP103" s="98" t="e">
        <f t="shared" si="49"/>
        <v>#REF!</v>
      </c>
      <c r="AQ103" s="102"/>
      <c r="AR103" s="102"/>
      <c r="AS103" s="121" t="e">
        <f>#REF!+#REF!</f>
        <v>#REF!</v>
      </c>
      <c r="AT103" s="98" t="e">
        <f t="shared" si="50"/>
        <v>#REF!</v>
      </c>
      <c r="AU103" s="102"/>
      <c r="AV103" s="102"/>
      <c r="AW103" s="121" t="e">
        <f>#REF!+#REF!</f>
        <v>#REF!</v>
      </c>
      <c r="AX103" s="98" t="e">
        <f t="shared" si="41"/>
        <v>#REF!</v>
      </c>
      <c r="AY103" s="102"/>
      <c r="AZ103" s="102"/>
      <c r="BB103" s="121" t="e">
        <f>#REF!+#REF!</f>
        <v>#REF!</v>
      </c>
      <c r="BC103" s="121" t="e">
        <f>#REF!+#REF!</f>
        <v>#REF!</v>
      </c>
      <c r="BD103" s="121" t="e">
        <f>#REF!+#REF!</f>
        <v>#REF!</v>
      </c>
      <c r="BE103" s="121" t="e">
        <f>#REF!+#REF!</f>
        <v>#REF!</v>
      </c>
      <c r="BF103" s="101" t="e">
        <f t="shared" si="56"/>
        <v>#REF!</v>
      </c>
      <c r="BG103" s="101" t="e">
        <f t="shared" si="57"/>
        <v>#REF!</v>
      </c>
      <c r="BH103" s="227" t="e">
        <f t="shared" si="51"/>
        <v>#REF!</v>
      </c>
      <c r="BI103" s="227" t="e">
        <f t="shared" si="52"/>
        <v>#REF!</v>
      </c>
      <c r="BJ103" s="227" t="e">
        <f t="shared" si="53"/>
        <v>#REF!</v>
      </c>
      <c r="BK103" s="227" t="e">
        <f t="shared" si="54"/>
        <v>#REF!</v>
      </c>
    </row>
    <row r="104" spans="1:63" s="222" customFormat="1">
      <c r="A104" s="102"/>
      <c r="B104" s="289" t="s">
        <v>756</v>
      </c>
      <c r="C104" s="102" t="s">
        <v>619</v>
      </c>
      <c r="D104" s="316">
        <v>150</v>
      </c>
      <c r="E104" s="102" t="s">
        <v>619</v>
      </c>
      <c r="F104" s="309"/>
      <c r="G104" s="310"/>
      <c r="H104" s="102"/>
      <c r="I104" s="102"/>
      <c r="J104" s="309"/>
      <c r="K104" s="104"/>
      <c r="L104" s="102"/>
      <c r="M104" s="102"/>
      <c r="N104" s="102"/>
      <c r="O104" s="478"/>
      <c r="R104" s="226">
        <v>150</v>
      </c>
      <c r="S104" s="224">
        <f t="shared" si="55"/>
        <v>0</v>
      </c>
      <c r="T104" s="84"/>
      <c r="AC104" s="220" t="e">
        <f>'Plant utilization'!AG127</f>
        <v>#REF!</v>
      </c>
      <c r="AD104" s="225" t="e">
        <f t="shared" si="47"/>
        <v>#REF!</v>
      </c>
      <c r="AE104" s="219"/>
      <c r="AF104" s="219"/>
      <c r="AG104" s="220" t="e">
        <f>'Plant utilization'!AK127</f>
        <v>#REF!</v>
      </c>
      <c r="AH104" s="225" t="e">
        <f t="shared" si="38"/>
        <v>#REF!</v>
      </c>
      <c r="AI104" s="221"/>
      <c r="AJ104" s="219"/>
      <c r="AK104" s="220" t="e">
        <f>'Plant utilization'!AO127</f>
        <v>#REF!</v>
      </c>
      <c r="AL104" s="225" t="e">
        <f t="shared" si="48"/>
        <v>#REF!</v>
      </c>
      <c r="AM104" s="219"/>
      <c r="AN104" s="219"/>
      <c r="AO104" s="220" t="e">
        <f>'Plant utilization'!AS127</f>
        <v>#REF!</v>
      </c>
      <c r="AP104" s="225" t="e">
        <f t="shared" si="49"/>
        <v>#REF!</v>
      </c>
      <c r="AQ104" s="219"/>
      <c r="AR104" s="219"/>
      <c r="AS104" s="220" t="e">
        <f>'Plant utilization'!AW127</f>
        <v>#REF!</v>
      </c>
      <c r="AT104" s="225" t="e">
        <f t="shared" si="50"/>
        <v>#REF!</v>
      </c>
      <c r="AU104" s="219"/>
      <c r="AV104" s="219"/>
      <c r="AW104" s="220" t="e">
        <f>'Plant utilization'!BA127</f>
        <v>#REF!</v>
      </c>
      <c r="AX104" s="225" t="e">
        <f t="shared" si="41"/>
        <v>#REF!</v>
      </c>
      <c r="AY104" s="219"/>
      <c r="AZ104" s="219"/>
      <c r="BB104" s="220" t="e">
        <f>'Plant utilization'!#REF!</f>
        <v>#REF!</v>
      </c>
      <c r="BC104" s="220" t="e">
        <f>'Plant utilization'!#REF!</f>
        <v>#REF!</v>
      </c>
      <c r="BD104" s="220" t="e">
        <f>'Plant utilization'!#REF!</f>
        <v>#REF!</v>
      </c>
      <c r="BE104" s="220" t="e">
        <f>'Plant utilization'!#REF!</f>
        <v>#REF!</v>
      </c>
      <c r="BF104" s="101" t="e">
        <f t="shared" si="56"/>
        <v>#REF!</v>
      </c>
      <c r="BG104" s="101" t="e">
        <f t="shared" si="57"/>
        <v>#REF!</v>
      </c>
      <c r="BH104" s="227" t="e">
        <f t="shared" si="51"/>
        <v>#REF!</v>
      </c>
      <c r="BI104" s="227" t="e">
        <f t="shared" si="52"/>
        <v>#REF!</v>
      </c>
      <c r="BJ104" s="227" t="e">
        <f t="shared" si="53"/>
        <v>#REF!</v>
      </c>
      <c r="BK104" s="227" t="e">
        <f t="shared" si="54"/>
        <v>#REF!</v>
      </c>
    </row>
    <row r="105" spans="1:63">
      <c r="A105" s="102"/>
      <c r="B105" s="289" t="s">
        <v>757</v>
      </c>
      <c r="C105" s="102" t="s">
        <v>668</v>
      </c>
      <c r="D105" s="316">
        <v>100</v>
      </c>
      <c r="E105" s="102" t="s">
        <v>668</v>
      </c>
      <c r="F105" s="309"/>
      <c r="G105" s="310"/>
      <c r="H105" s="102"/>
      <c r="I105" s="102"/>
      <c r="J105" s="309"/>
      <c r="K105" s="104"/>
      <c r="L105" s="102"/>
      <c r="M105" s="102"/>
      <c r="N105" s="102"/>
      <c r="O105" s="478"/>
      <c r="R105" s="122">
        <v>100</v>
      </c>
      <c r="S105" s="101">
        <f t="shared" si="55"/>
        <v>0</v>
      </c>
      <c r="T105" s="29"/>
      <c r="AC105" s="121" t="e">
        <f>#REF!</f>
        <v>#REF!</v>
      </c>
      <c r="AD105" s="97" t="e">
        <f t="shared" si="47"/>
        <v>#REF!</v>
      </c>
      <c r="AE105" s="102"/>
      <c r="AF105" s="102"/>
      <c r="AG105" s="121" t="e">
        <f>#REF!</f>
        <v>#REF!</v>
      </c>
      <c r="AH105" s="98" t="e">
        <f t="shared" si="38"/>
        <v>#REF!</v>
      </c>
      <c r="AI105" s="103"/>
      <c r="AJ105" s="102"/>
      <c r="AK105" s="121" t="e">
        <f>#REF!</f>
        <v>#REF!</v>
      </c>
      <c r="AL105" s="98" t="e">
        <f t="shared" si="48"/>
        <v>#REF!</v>
      </c>
      <c r="AM105" s="102"/>
      <c r="AN105" s="102"/>
      <c r="AO105" s="121" t="e">
        <f>#REF!</f>
        <v>#REF!</v>
      </c>
      <c r="AP105" s="98" t="e">
        <f t="shared" si="49"/>
        <v>#REF!</v>
      </c>
      <c r="AQ105" s="102"/>
      <c r="AR105" s="102"/>
      <c r="AS105" s="121" t="e">
        <f>#REF!</f>
        <v>#REF!</v>
      </c>
      <c r="AT105" s="98" t="e">
        <f t="shared" si="50"/>
        <v>#REF!</v>
      </c>
      <c r="AU105" s="102"/>
      <c r="AV105" s="102"/>
      <c r="AW105" s="121" t="e">
        <f>#REF!</f>
        <v>#REF!</v>
      </c>
      <c r="AX105" s="98" t="e">
        <f t="shared" si="41"/>
        <v>#REF!</v>
      </c>
      <c r="AY105" s="102"/>
      <c r="AZ105" s="102"/>
      <c r="BB105" s="121" t="e">
        <f>#REF!</f>
        <v>#REF!</v>
      </c>
      <c r="BC105" s="121" t="e">
        <f>#REF!</f>
        <v>#REF!</v>
      </c>
      <c r="BD105" s="121" t="e">
        <f>#REF!</f>
        <v>#REF!</v>
      </c>
      <c r="BE105" s="121" t="e">
        <f>#REF!</f>
        <v>#REF!</v>
      </c>
      <c r="BF105" s="101" t="e">
        <f t="shared" si="56"/>
        <v>#REF!</v>
      </c>
      <c r="BG105" s="101" t="e">
        <f t="shared" si="57"/>
        <v>#REF!</v>
      </c>
      <c r="BH105" s="227" t="e">
        <f t="shared" si="51"/>
        <v>#REF!</v>
      </c>
      <c r="BI105" s="227" t="e">
        <f t="shared" si="52"/>
        <v>#REF!</v>
      </c>
      <c r="BJ105" s="227" t="e">
        <f t="shared" si="53"/>
        <v>#REF!</v>
      </c>
      <c r="BK105" s="227" t="e">
        <f t="shared" si="54"/>
        <v>#REF!</v>
      </c>
    </row>
    <row r="106" spans="1:63">
      <c r="A106" s="102"/>
      <c r="B106" s="289" t="s">
        <v>645</v>
      </c>
      <c r="C106" s="102" t="s">
        <v>668</v>
      </c>
      <c r="D106" s="316">
        <v>4</v>
      </c>
      <c r="E106" s="102" t="s">
        <v>668</v>
      </c>
      <c r="F106" s="309"/>
      <c r="G106" s="310"/>
      <c r="H106" s="102"/>
      <c r="I106" s="102"/>
      <c r="J106" s="309"/>
      <c r="K106" s="104"/>
      <c r="L106" s="102"/>
      <c r="M106" s="102"/>
      <c r="N106" s="102"/>
      <c r="O106" s="478"/>
      <c r="R106" s="122">
        <v>4</v>
      </c>
      <c r="S106" s="101">
        <f t="shared" si="55"/>
        <v>0</v>
      </c>
      <c r="T106" s="29"/>
      <c r="AC106" s="121" t="e">
        <f>AC17</f>
        <v>#REF!</v>
      </c>
      <c r="AD106" s="97" t="e">
        <f t="shared" si="47"/>
        <v>#REF!</v>
      </c>
      <c r="AE106" s="102"/>
      <c r="AF106" s="102"/>
      <c r="AG106" s="121" t="e">
        <f>AG17</f>
        <v>#REF!</v>
      </c>
      <c r="AH106" s="98" t="e">
        <f t="shared" si="38"/>
        <v>#REF!</v>
      </c>
      <c r="AI106" s="103"/>
      <c r="AJ106" s="102"/>
      <c r="AK106" s="121" t="e">
        <f>AK17</f>
        <v>#REF!</v>
      </c>
      <c r="AL106" s="98" t="e">
        <f t="shared" si="48"/>
        <v>#REF!</v>
      </c>
      <c r="AM106" s="102"/>
      <c r="AN106" s="102"/>
      <c r="AO106" s="121" t="e">
        <f>AO17</f>
        <v>#REF!</v>
      </c>
      <c r="AP106" s="98" t="e">
        <f t="shared" si="49"/>
        <v>#REF!</v>
      </c>
      <c r="AQ106" s="102"/>
      <c r="AR106" s="102"/>
      <c r="AS106" s="121" t="e">
        <f>AS17</f>
        <v>#REF!</v>
      </c>
      <c r="AT106" s="98" t="e">
        <f t="shared" si="50"/>
        <v>#REF!</v>
      </c>
      <c r="AU106" s="102"/>
      <c r="AV106" s="102"/>
      <c r="AW106" s="121" t="e">
        <f>AW17</f>
        <v>#REF!</v>
      </c>
      <c r="AX106" s="98" t="e">
        <f t="shared" si="41"/>
        <v>#REF!</v>
      </c>
      <c r="AY106" s="102"/>
      <c r="AZ106" s="102"/>
      <c r="BB106" s="121" t="e">
        <f>BB17</f>
        <v>#REF!</v>
      </c>
      <c r="BC106" s="121" t="e">
        <f>BC17</f>
        <v>#REF!</v>
      </c>
      <c r="BD106" s="121" t="e">
        <f>BD17</f>
        <v>#REF!</v>
      </c>
      <c r="BE106" s="121" t="e">
        <f>BE17</f>
        <v>#REF!</v>
      </c>
      <c r="BF106" s="101" t="e">
        <f t="shared" si="56"/>
        <v>#REF!</v>
      </c>
      <c r="BG106" s="101" t="e">
        <f t="shared" si="57"/>
        <v>#REF!</v>
      </c>
      <c r="BH106" s="227" t="e">
        <f t="shared" si="51"/>
        <v>#REF!</v>
      </c>
      <c r="BI106" s="227" t="e">
        <f t="shared" si="52"/>
        <v>#REF!</v>
      </c>
      <c r="BJ106" s="227" t="e">
        <f t="shared" si="53"/>
        <v>#REF!</v>
      </c>
      <c r="BK106" s="227" t="e">
        <f t="shared" si="54"/>
        <v>#REF!</v>
      </c>
    </row>
    <row r="107" spans="1:63">
      <c r="A107" s="102"/>
      <c r="B107" s="289" t="s">
        <v>646</v>
      </c>
      <c r="C107" s="102" t="s">
        <v>668</v>
      </c>
      <c r="D107" s="316">
        <f>20/3</f>
        <v>6.666666666666667</v>
      </c>
      <c r="E107" s="102" t="s">
        <v>668</v>
      </c>
      <c r="F107" s="309"/>
      <c r="G107" s="310"/>
      <c r="H107" s="102"/>
      <c r="I107" s="102"/>
      <c r="J107" s="309"/>
      <c r="K107" s="104"/>
      <c r="L107" s="102"/>
      <c r="M107" s="102"/>
      <c r="N107" s="102"/>
      <c r="O107" s="478"/>
      <c r="R107" s="122">
        <v>6.666666666666667</v>
      </c>
      <c r="S107" s="101">
        <f t="shared" si="55"/>
        <v>0</v>
      </c>
      <c r="T107" s="29"/>
      <c r="AC107" s="121" t="e">
        <f>#REF!</f>
        <v>#REF!</v>
      </c>
      <c r="AD107" s="97" t="e">
        <f t="shared" si="47"/>
        <v>#REF!</v>
      </c>
      <c r="AE107" s="102"/>
      <c r="AF107" s="102"/>
      <c r="AG107" s="121" t="e">
        <f>#REF!</f>
        <v>#REF!</v>
      </c>
      <c r="AH107" s="98" t="e">
        <f t="shared" si="38"/>
        <v>#REF!</v>
      </c>
      <c r="AI107" s="103"/>
      <c r="AJ107" s="102"/>
      <c r="AK107" s="121" t="e">
        <f>#REF!</f>
        <v>#REF!</v>
      </c>
      <c r="AL107" s="98" t="e">
        <f t="shared" si="48"/>
        <v>#REF!</v>
      </c>
      <c r="AM107" s="102"/>
      <c r="AN107" s="102"/>
      <c r="AO107" s="121" t="e">
        <f>#REF!</f>
        <v>#REF!</v>
      </c>
      <c r="AP107" s="98" t="e">
        <f t="shared" si="49"/>
        <v>#REF!</v>
      </c>
      <c r="AQ107" s="102"/>
      <c r="AR107" s="102"/>
      <c r="AS107" s="121" t="e">
        <f>#REF!</f>
        <v>#REF!</v>
      </c>
      <c r="AT107" s="98" t="e">
        <f t="shared" si="50"/>
        <v>#REF!</v>
      </c>
      <c r="AU107" s="102"/>
      <c r="AV107" s="102"/>
      <c r="AW107" s="121" t="e">
        <f>#REF!</f>
        <v>#REF!</v>
      </c>
      <c r="AX107" s="98" t="e">
        <f t="shared" si="41"/>
        <v>#REF!</v>
      </c>
      <c r="AY107" s="102"/>
      <c r="AZ107" s="102"/>
      <c r="BB107" s="121" t="e">
        <f>#REF!</f>
        <v>#REF!</v>
      </c>
      <c r="BC107" s="121" t="e">
        <f>#REF!</f>
        <v>#REF!</v>
      </c>
      <c r="BD107" s="121" t="e">
        <f>#REF!</f>
        <v>#REF!</v>
      </c>
      <c r="BE107" s="121" t="e">
        <f>#REF!</f>
        <v>#REF!</v>
      </c>
      <c r="BF107" s="101" t="e">
        <f t="shared" si="56"/>
        <v>#REF!</v>
      </c>
      <c r="BG107" s="101" t="e">
        <f t="shared" si="57"/>
        <v>#REF!</v>
      </c>
      <c r="BH107" s="227" t="e">
        <f t="shared" si="51"/>
        <v>#REF!</v>
      </c>
      <c r="BI107" s="227" t="e">
        <f t="shared" si="52"/>
        <v>#REF!</v>
      </c>
      <c r="BJ107" s="227" t="e">
        <f t="shared" si="53"/>
        <v>#REF!</v>
      </c>
      <c r="BK107" s="227" t="e">
        <f t="shared" si="54"/>
        <v>#REF!</v>
      </c>
    </row>
    <row r="108" spans="1:63">
      <c r="A108" s="102"/>
      <c r="B108" s="289" t="s">
        <v>647</v>
      </c>
      <c r="C108" s="102" t="s">
        <v>668</v>
      </c>
      <c r="D108" s="316">
        <f>20/3</f>
        <v>6.666666666666667</v>
      </c>
      <c r="E108" s="102" t="s">
        <v>668</v>
      </c>
      <c r="F108" s="309"/>
      <c r="G108" s="310"/>
      <c r="H108" s="102"/>
      <c r="I108" s="102"/>
      <c r="J108" s="309"/>
      <c r="K108" s="104"/>
      <c r="L108" s="102"/>
      <c r="M108" s="102"/>
      <c r="N108" s="102"/>
      <c r="O108" s="478"/>
      <c r="R108" s="122">
        <v>6.666666666666667</v>
      </c>
      <c r="S108" s="101">
        <f t="shared" si="55"/>
        <v>0</v>
      </c>
      <c r="T108" s="29"/>
      <c r="AC108" s="121" t="e">
        <f>#REF!</f>
        <v>#REF!</v>
      </c>
      <c r="AD108" s="97" t="e">
        <f t="shared" si="47"/>
        <v>#REF!</v>
      </c>
      <c r="AE108" s="102"/>
      <c r="AF108" s="102"/>
      <c r="AG108" s="121" t="e">
        <f>#REF!</f>
        <v>#REF!</v>
      </c>
      <c r="AH108" s="98" t="e">
        <f t="shared" si="38"/>
        <v>#REF!</v>
      </c>
      <c r="AI108" s="103"/>
      <c r="AJ108" s="102"/>
      <c r="AK108" s="121" t="e">
        <f>#REF!</f>
        <v>#REF!</v>
      </c>
      <c r="AL108" s="98" t="e">
        <f t="shared" si="48"/>
        <v>#REF!</v>
      </c>
      <c r="AM108" s="102"/>
      <c r="AN108" s="102"/>
      <c r="AO108" s="121" t="e">
        <f>#REF!</f>
        <v>#REF!</v>
      </c>
      <c r="AP108" s="98" t="e">
        <f t="shared" si="49"/>
        <v>#REF!</v>
      </c>
      <c r="AQ108" s="102"/>
      <c r="AR108" s="102"/>
      <c r="AS108" s="121" t="e">
        <f>#REF!</f>
        <v>#REF!</v>
      </c>
      <c r="AT108" s="98" t="e">
        <f t="shared" si="50"/>
        <v>#REF!</v>
      </c>
      <c r="AU108" s="102"/>
      <c r="AV108" s="102"/>
      <c r="AW108" s="121" t="e">
        <f>#REF!</f>
        <v>#REF!</v>
      </c>
      <c r="AX108" s="98" t="e">
        <f t="shared" si="41"/>
        <v>#REF!</v>
      </c>
      <c r="AY108" s="102"/>
      <c r="AZ108" s="102"/>
      <c r="BB108" s="121" t="e">
        <f>#REF!</f>
        <v>#REF!</v>
      </c>
      <c r="BC108" s="121" t="e">
        <f>#REF!</f>
        <v>#REF!</v>
      </c>
      <c r="BD108" s="121" t="e">
        <f>#REF!</f>
        <v>#REF!</v>
      </c>
      <c r="BE108" s="121" t="e">
        <f>#REF!</f>
        <v>#REF!</v>
      </c>
      <c r="BF108" s="101" t="e">
        <f t="shared" si="56"/>
        <v>#REF!</v>
      </c>
      <c r="BG108" s="101" t="e">
        <f t="shared" si="57"/>
        <v>#REF!</v>
      </c>
      <c r="BH108" s="227" t="e">
        <f t="shared" si="51"/>
        <v>#REF!</v>
      </c>
      <c r="BI108" s="227" t="e">
        <f t="shared" si="52"/>
        <v>#REF!</v>
      </c>
      <c r="BJ108" s="227" t="e">
        <f t="shared" si="53"/>
        <v>#REF!</v>
      </c>
      <c r="BK108" s="227" t="e">
        <f t="shared" si="54"/>
        <v>#REF!</v>
      </c>
    </row>
    <row r="109" spans="1:63">
      <c r="A109" s="102"/>
      <c r="B109" s="289" t="s">
        <v>669</v>
      </c>
      <c r="C109" s="102" t="s">
        <v>670</v>
      </c>
      <c r="D109" s="126">
        <v>1</v>
      </c>
      <c r="E109" s="102" t="s">
        <v>671</v>
      </c>
      <c r="F109" s="309"/>
      <c r="G109" s="310"/>
      <c r="H109" s="102"/>
      <c r="I109" s="102"/>
      <c r="J109" s="309"/>
      <c r="K109" s="104"/>
      <c r="L109" s="102"/>
      <c r="M109" s="102"/>
      <c r="N109" s="102"/>
      <c r="O109" s="478"/>
      <c r="R109" s="93">
        <v>1</v>
      </c>
      <c r="S109" s="129" t="e">
        <f>16*$H$1</f>
        <v>#VALUE!</v>
      </c>
      <c r="T109" s="29"/>
      <c r="AC109" s="121"/>
      <c r="AD109" s="97">
        <f t="shared" si="47"/>
        <v>0</v>
      </c>
      <c r="AE109" s="102"/>
      <c r="AF109" s="102"/>
      <c r="AG109" s="121"/>
      <c r="AH109" s="98">
        <f t="shared" si="38"/>
        <v>0</v>
      </c>
      <c r="AI109" s="103"/>
      <c r="AJ109" s="102"/>
      <c r="AK109" s="121"/>
      <c r="AL109" s="98">
        <f t="shared" si="48"/>
        <v>0</v>
      </c>
      <c r="AM109" s="102"/>
      <c r="AN109" s="102"/>
      <c r="AO109" s="121"/>
      <c r="AP109" s="98">
        <f t="shared" si="49"/>
        <v>0</v>
      </c>
      <c r="AQ109" s="102"/>
      <c r="AR109" s="102"/>
      <c r="AS109" s="121"/>
      <c r="AT109" s="98">
        <f t="shared" si="50"/>
        <v>0</v>
      </c>
      <c r="AU109" s="102"/>
      <c r="AV109" s="102"/>
      <c r="AW109" s="121"/>
      <c r="AX109" s="98">
        <f t="shared" si="41"/>
        <v>0</v>
      </c>
      <c r="AY109" s="102"/>
      <c r="AZ109" s="102"/>
      <c r="BB109" s="121">
        <f>$G$109*5</f>
        <v>0</v>
      </c>
      <c r="BC109" s="121">
        <f>$G$109*6</f>
        <v>0</v>
      </c>
      <c r="BD109" s="121">
        <f>$G$109*6</f>
        <v>0</v>
      </c>
      <c r="BE109" s="121">
        <f t="shared" ref="BE109" si="59">$G$109*0</f>
        <v>0</v>
      </c>
      <c r="BF109" s="101">
        <f t="shared" si="56"/>
        <v>0</v>
      </c>
      <c r="BG109" s="101">
        <f t="shared" ref="BG109" si="60">K109-BF109</f>
        <v>0</v>
      </c>
      <c r="BH109" s="227">
        <f>$G$109*5</f>
        <v>0</v>
      </c>
      <c r="BI109" s="227">
        <f>$G$109*0</f>
        <v>0</v>
      </c>
      <c r="BJ109" s="227">
        <f t="shared" ref="BJ109:BK109" si="61">$G$109*0</f>
        <v>0</v>
      </c>
      <c r="BK109" s="227">
        <f t="shared" si="61"/>
        <v>0</v>
      </c>
    </row>
    <row r="110" spans="1:63">
      <c r="A110" s="102"/>
      <c r="B110" s="292" t="s">
        <v>849</v>
      </c>
      <c r="C110" s="106" t="s">
        <v>604</v>
      </c>
      <c r="D110" s="106">
        <v>7</v>
      </c>
      <c r="E110" s="248" t="s">
        <v>35</v>
      </c>
      <c r="F110" s="309"/>
      <c r="G110" s="310"/>
      <c r="H110" s="102"/>
      <c r="I110" s="102"/>
      <c r="J110" s="309"/>
      <c r="K110" s="104"/>
      <c r="L110" s="102"/>
      <c r="M110" s="102"/>
      <c r="N110" s="102"/>
      <c r="O110" s="478"/>
      <c r="R110" s="93"/>
      <c r="S110" s="129"/>
      <c r="T110" s="29"/>
      <c r="AC110" s="121" t="e">
        <f>AC22*0.3</f>
        <v>#REF!</v>
      </c>
      <c r="AD110" s="97" t="e">
        <f t="shared" si="47"/>
        <v>#REF!</v>
      </c>
      <c r="AE110" s="102"/>
      <c r="AF110" s="102"/>
      <c r="AG110" s="121" t="e">
        <f>AG22*0.3</f>
        <v>#REF!</v>
      </c>
      <c r="AH110" s="98" t="e">
        <f t="shared" si="38"/>
        <v>#REF!</v>
      </c>
      <c r="AI110" s="103"/>
      <c r="AJ110" s="102"/>
      <c r="AK110" s="121" t="e">
        <f>AK22*0.3</f>
        <v>#REF!</v>
      </c>
      <c r="AL110" s="98" t="e">
        <f t="shared" si="48"/>
        <v>#REF!</v>
      </c>
      <c r="AM110" s="102"/>
      <c r="AN110" s="102"/>
      <c r="AO110" s="121" t="e">
        <f>AO22*0.3</f>
        <v>#REF!</v>
      </c>
      <c r="AP110" s="98" t="e">
        <f t="shared" si="49"/>
        <v>#REF!</v>
      </c>
      <c r="AQ110" s="102"/>
      <c r="AR110" s="102"/>
      <c r="AS110" s="121" t="e">
        <f>AS22*0.3</f>
        <v>#REF!</v>
      </c>
      <c r="AT110" s="98" t="e">
        <f t="shared" si="50"/>
        <v>#REF!</v>
      </c>
      <c r="AU110" s="102"/>
      <c r="AV110" s="102"/>
      <c r="AW110" s="121" t="e">
        <f>AW22*0.3</f>
        <v>#REF!</v>
      </c>
      <c r="AX110" s="98" t="e">
        <f t="shared" si="41"/>
        <v>#REF!</v>
      </c>
      <c r="AY110" s="102"/>
      <c r="AZ110" s="102"/>
      <c r="BB110" s="121" t="e">
        <f>BB22*0.3</f>
        <v>#REF!</v>
      </c>
      <c r="BC110" s="121" t="e">
        <f>BC22*0.3</f>
        <v>#REF!</v>
      </c>
      <c r="BD110" s="121" t="e">
        <f>BD22*0.3</f>
        <v>#REF!</v>
      </c>
      <c r="BE110" s="121" t="e">
        <f>BE22*0.3</f>
        <v>#REF!</v>
      </c>
      <c r="BF110" s="101" t="e">
        <f t="shared" si="56"/>
        <v>#REF!</v>
      </c>
      <c r="BG110" s="101" t="e">
        <f t="shared" si="57"/>
        <v>#REF!</v>
      </c>
      <c r="BH110" s="227" t="e">
        <f t="shared" si="51"/>
        <v>#REF!</v>
      </c>
      <c r="BI110" s="227" t="e">
        <f t="shared" si="52"/>
        <v>#REF!</v>
      </c>
      <c r="BJ110" s="227" t="e">
        <f t="shared" si="53"/>
        <v>#REF!</v>
      </c>
      <c r="BK110" s="227" t="e">
        <f t="shared" si="54"/>
        <v>#REF!</v>
      </c>
    </row>
    <row r="111" spans="1:63">
      <c r="A111" s="102"/>
      <c r="B111" s="289" t="s">
        <v>890</v>
      </c>
      <c r="C111" s="102" t="s">
        <v>670</v>
      </c>
      <c r="D111" s="126">
        <v>1</v>
      </c>
      <c r="E111" s="102" t="s">
        <v>671</v>
      </c>
      <c r="F111" s="309"/>
      <c r="G111" s="310"/>
      <c r="H111" s="102"/>
      <c r="I111" s="102"/>
      <c r="J111" s="309"/>
      <c r="K111" s="104"/>
      <c r="L111" s="102"/>
      <c r="M111" s="102"/>
      <c r="N111" s="102"/>
      <c r="O111" s="478"/>
      <c r="R111" s="93">
        <v>1</v>
      </c>
      <c r="S111" s="101">
        <f t="shared" ref="S111:S115" si="62">K111</f>
        <v>0</v>
      </c>
      <c r="T111" s="29"/>
      <c r="AC111" s="121"/>
      <c r="AD111" s="97">
        <f t="shared" si="47"/>
        <v>0</v>
      </c>
      <c r="AE111" s="102"/>
      <c r="AF111" s="102"/>
      <c r="AG111" s="121"/>
      <c r="AH111" s="98">
        <f t="shared" si="38"/>
        <v>0</v>
      </c>
      <c r="AI111" s="103"/>
      <c r="AJ111" s="102"/>
      <c r="AK111" s="121"/>
      <c r="AL111" s="98">
        <f t="shared" si="48"/>
        <v>0</v>
      </c>
      <c r="AM111" s="102"/>
      <c r="AN111" s="102"/>
      <c r="AO111" s="121"/>
      <c r="AP111" s="98">
        <f t="shared" si="49"/>
        <v>0</v>
      </c>
      <c r="AQ111" s="102"/>
      <c r="AR111" s="102"/>
      <c r="AS111" s="121"/>
      <c r="AT111" s="98">
        <f t="shared" si="50"/>
        <v>0</v>
      </c>
      <c r="AU111" s="102"/>
      <c r="AV111" s="102"/>
      <c r="AW111" s="121"/>
      <c r="AX111" s="98">
        <f t="shared" si="41"/>
        <v>0</v>
      </c>
      <c r="AY111" s="102"/>
      <c r="AZ111" s="102"/>
      <c r="BB111" s="121">
        <f>$G111*5</f>
        <v>0</v>
      </c>
      <c r="BC111" s="121">
        <f>$G111*6</f>
        <v>0</v>
      </c>
      <c r="BD111" s="121">
        <f>$G111*6</f>
        <v>0</v>
      </c>
      <c r="BE111" s="121">
        <f t="shared" ref="BE111" si="63">$G111*0</f>
        <v>0</v>
      </c>
      <c r="BF111" s="101">
        <f t="shared" si="56"/>
        <v>0</v>
      </c>
      <c r="BG111" s="101">
        <f>K111-BF111</f>
        <v>0</v>
      </c>
      <c r="BH111" s="227">
        <f t="shared" si="51"/>
        <v>0</v>
      </c>
      <c r="BI111" s="227">
        <f t="shared" si="52"/>
        <v>0</v>
      </c>
      <c r="BJ111" s="227">
        <f t="shared" si="53"/>
        <v>0</v>
      </c>
      <c r="BK111" s="227">
        <f t="shared" si="54"/>
        <v>0</v>
      </c>
    </row>
    <row r="112" spans="1:63">
      <c r="A112" s="102"/>
      <c r="B112" s="289" t="s">
        <v>672</v>
      </c>
      <c r="C112" s="102" t="s">
        <v>670</v>
      </c>
      <c r="D112" s="126">
        <v>1</v>
      </c>
      <c r="E112" s="102" t="s">
        <v>671</v>
      </c>
      <c r="F112" s="309"/>
      <c r="G112" s="310"/>
      <c r="H112" s="102"/>
      <c r="I112" s="102"/>
      <c r="J112" s="309"/>
      <c r="K112" s="104"/>
      <c r="L112" s="102"/>
      <c r="M112" s="102"/>
      <c r="N112" s="102"/>
      <c r="O112" s="478"/>
      <c r="R112" s="93">
        <v>1</v>
      </c>
      <c r="S112" s="101">
        <f t="shared" si="62"/>
        <v>0</v>
      </c>
      <c r="T112" s="29"/>
      <c r="AC112" s="121"/>
      <c r="AD112" s="97">
        <f t="shared" si="47"/>
        <v>0</v>
      </c>
      <c r="AE112" s="102"/>
      <c r="AF112" s="102"/>
      <c r="AG112" s="121"/>
      <c r="AH112" s="98">
        <f t="shared" si="38"/>
        <v>0</v>
      </c>
      <c r="AI112" s="103"/>
      <c r="AJ112" s="102"/>
      <c r="AK112" s="121"/>
      <c r="AL112" s="98">
        <f t="shared" si="48"/>
        <v>0</v>
      </c>
      <c r="AM112" s="102"/>
      <c r="AN112" s="102"/>
      <c r="AO112" s="121"/>
      <c r="AP112" s="98">
        <f t="shared" si="49"/>
        <v>0</v>
      </c>
      <c r="AQ112" s="102"/>
      <c r="AR112" s="102"/>
      <c r="AS112" s="121"/>
      <c r="AT112" s="98">
        <f t="shared" si="50"/>
        <v>0</v>
      </c>
      <c r="AU112" s="102"/>
      <c r="AV112" s="102"/>
      <c r="AW112" s="121"/>
      <c r="AX112" s="98">
        <f t="shared" si="41"/>
        <v>0</v>
      </c>
      <c r="AY112" s="102"/>
      <c r="AZ112" s="102"/>
      <c r="BB112" s="121">
        <f t="shared" ref="BB112:BB115" si="64">$G112*5</f>
        <v>0</v>
      </c>
      <c r="BC112" s="121">
        <f t="shared" ref="BC112:BD115" si="65">$G112*6</f>
        <v>0</v>
      </c>
      <c r="BD112" s="121">
        <f t="shared" si="65"/>
        <v>0</v>
      </c>
      <c r="BE112" s="121">
        <f t="shared" ref="BE112:BE115" si="66">$G112*0</f>
        <v>0</v>
      </c>
      <c r="BF112" s="101">
        <f t="shared" si="56"/>
        <v>0</v>
      </c>
      <c r="BG112" s="101">
        <f t="shared" ref="BG112:BG115" si="67">K112-BF112</f>
        <v>0</v>
      </c>
      <c r="BH112" s="227">
        <f t="shared" si="51"/>
        <v>0</v>
      </c>
      <c r="BI112" s="227">
        <f t="shared" si="52"/>
        <v>0</v>
      </c>
      <c r="BJ112" s="227">
        <f t="shared" si="53"/>
        <v>0</v>
      </c>
      <c r="BK112" s="227">
        <f t="shared" si="54"/>
        <v>0</v>
      </c>
    </row>
    <row r="113" spans="1:63">
      <c r="A113" s="102"/>
      <c r="B113" s="289" t="s">
        <v>673</v>
      </c>
      <c r="C113" s="102" t="s">
        <v>670</v>
      </c>
      <c r="D113" s="126">
        <v>1</v>
      </c>
      <c r="E113" s="102" t="s">
        <v>671</v>
      </c>
      <c r="F113" s="309"/>
      <c r="G113" s="310"/>
      <c r="H113" s="102"/>
      <c r="I113" s="102"/>
      <c r="J113" s="309"/>
      <c r="K113" s="104"/>
      <c r="L113" s="102"/>
      <c r="M113" s="102"/>
      <c r="N113" s="102"/>
      <c r="O113" s="478"/>
      <c r="R113" s="93">
        <v>1</v>
      </c>
      <c r="S113" s="101">
        <f t="shared" si="62"/>
        <v>0</v>
      </c>
      <c r="T113" s="29"/>
      <c r="AC113" s="121"/>
      <c r="AD113" s="97">
        <f t="shared" si="47"/>
        <v>0</v>
      </c>
      <c r="AE113" s="102"/>
      <c r="AF113" s="102"/>
      <c r="AG113" s="121"/>
      <c r="AH113" s="98">
        <f t="shared" ref="AH113:AH115" si="68">AG113/D113</f>
        <v>0</v>
      </c>
      <c r="AI113" s="103"/>
      <c r="AJ113" s="102"/>
      <c r="AK113" s="121"/>
      <c r="AL113" s="98">
        <f t="shared" si="48"/>
        <v>0</v>
      </c>
      <c r="AM113" s="102"/>
      <c r="AN113" s="102"/>
      <c r="AO113" s="121"/>
      <c r="AP113" s="98">
        <f t="shared" si="49"/>
        <v>0</v>
      </c>
      <c r="AQ113" s="102"/>
      <c r="AR113" s="102"/>
      <c r="AS113" s="121"/>
      <c r="AT113" s="98">
        <f t="shared" si="50"/>
        <v>0</v>
      </c>
      <c r="AU113" s="102"/>
      <c r="AV113" s="102"/>
      <c r="AW113" s="121"/>
      <c r="AX113" s="98">
        <f t="shared" ref="AX113:AX115" si="69">AW113/$D113</f>
        <v>0</v>
      </c>
      <c r="AY113" s="102"/>
      <c r="AZ113" s="102"/>
      <c r="BB113" s="121">
        <f t="shared" si="64"/>
        <v>0</v>
      </c>
      <c r="BC113" s="121">
        <f t="shared" si="65"/>
        <v>0</v>
      </c>
      <c r="BD113" s="121">
        <f t="shared" si="65"/>
        <v>0</v>
      </c>
      <c r="BE113" s="121">
        <f t="shared" si="66"/>
        <v>0</v>
      </c>
      <c r="BF113" s="101">
        <f t="shared" si="56"/>
        <v>0</v>
      </c>
      <c r="BG113" s="101">
        <f t="shared" si="67"/>
        <v>0</v>
      </c>
      <c r="BH113" s="227">
        <f t="shared" si="51"/>
        <v>0</v>
      </c>
      <c r="BI113" s="227">
        <f t="shared" si="52"/>
        <v>0</v>
      </c>
      <c r="BJ113" s="227">
        <f t="shared" si="53"/>
        <v>0</v>
      </c>
      <c r="BK113" s="227">
        <f t="shared" si="54"/>
        <v>0</v>
      </c>
    </row>
    <row r="114" spans="1:63">
      <c r="A114" s="102"/>
      <c r="B114" s="289" t="s">
        <v>674</v>
      </c>
      <c r="C114" s="102" t="s">
        <v>670</v>
      </c>
      <c r="D114" s="126">
        <v>1</v>
      </c>
      <c r="E114" s="102" t="s">
        <v>671</v>
      </c>
      <c r="F114" s="309"/>
      <c r="G114" s="310"/>
      <c r="H114" s="102"/>
      <c r="I114" s="102"/>
      <c r="J114" s="309"/>
      <c r="K114" s="104"/>
      <c r="L114" s="102"/>
      <c r="M114" s="102"/>
      <c r="N114" s="102"/>
      <c r="O114" s="478"/>
      <c r="R114" s="93">
        <v>1</v>
      </c>
      <c r="S114" s="101">
        <f t="shared" si="62"/>
        <v>0</v>
      </c>
      <c r="T114" s="29"/>
      <c r="AC114" s="121"/>
      <c r="AD114" s="97">
        <f t="shared" si="47"/>
        <v>0</v>
      </c>
      <c r="AE114" s="102"/>
      <c r="AF114" s="102"/>
      <c r="AG114" s="121"/>
      <c r="AH114" s="98">
        <f t="shared" si="68"/>
        <v>0</v>
      </c>
      <c r="AI114" s="103"/>
      <c r="AJ114" s="102"/>
      <c r="AK114" s="121"/>
      <c r="AL114" s="98">
        <f t="shared" si="48"/>
        <v>0</v>
      </c>
      <c r="AM114" s="102"/>
      <c r="AN114" s="102"/>
      <c r="AO114" s="121"/>
      <c r="AP114" s="98">
        <f t="shared" si="49"/>
        <v>0</v>
      </c>
      <c r="AQ114" s="102"/>
      <c r="AR114" s="102"/>
      <c r="AS114" s="121"/>
      <c r="AT114" s="98">
        <f t="shared" si="50"/>
        <v>0</v>
      </c>
      <c r="AU114" s="102"/>
      <c r="AV114" s="102"/>
      <c r="AW114" s="121"/>
      <c r="AX114" s="98">
        <f t="shared" si="69"/>
        <v>0</v>
      </c>
      <c r="AY114" s="102"/>
      <c r="AZ114" s="102"/>
      <c r="BB114" s="121">
        <f t="shared" si="64"/>
        <v>0</v>
      </c>
      <c r="BC114" s="121">
        <f t="shared" si="65"/>
        <v>0</v>
      </c>
      <c r="BD114" s="121">
        <f t="shared" si="65"/>
        <v>0</v>
      </c>
      <c r="BE114" s="121">
        <f t="shared" si="66"/>
        <v>0</v>
      </c>
      <c r="BF114" s="101">
        <f t="shared" si="56"/>
        <v>0</v>
      </c>
      <c r="BG114" s="101">
        <f t="shared" si="67"/>
        <v>0</v>
      </c>
      <c r="BH114" s="227">
        <f t="shared" si="51"/>
        <v>0</v>
      </c>
      <c r="BI114" s="227">
        <f t="shared" si="52"/>
        <v>0</v>
      </c>
      <c r="BJ114" s="227">
        <f t="shared" si="53"/>
        <v>0</v>
      </c>
      <c r="BK114" s="227">
        <f t="shared" si="54"/>
        <v>0</v>
      </c>
    </row>
    <row r="115" spans="1:63" ht="18" customHeight="1">
      <c r="A115" s="123"/>
      <c r="B115" s="317" t="s">
        <v>675</v>
      </c>
      <c r="C115" s="123" t="s">
        <v>670</v>
      </c>
      <c r="D115" s="318">
        <v>1</v>
      </c>
      <c r="E115" s="123" t="s">
        <v>671</v>
      </c>
      <c r="F115" s="319"/>
      <c r="G115" s="320"/>
      <c r="H115" s="123"/>
      <c r="I115" s="123"/>
      <c r="J115" s="319"/>
      <c r="K115" s="319"/>
      <c r="L115" s="123"/>
      <c r="M115" s="123"/>
      <c r="N115" s="123"/>
      <c r="O115" s="479"/>
      <c r="R115" s="93">
        <v>1</v>
      </c>
      <c r="S115" s="101">
        <f t="shared" si="62"/>
        <v>0</v>
      </c>
      <c r="T115" s="29"/>
      <c r="AC115" s="124"/>
      <c r="AD115" s="97">
        <f t="shared" si="47"/>
        <v>0</v>
      </c>
      <c r="AE115" s="123"/>
      <c r="AF115" s="123"/>
      <c r="AG115" s="124"/>
      <c r="AH115" s="98">
        <f t="shared" si="68"/>
        <v>0</v>
      </c>
      <c r="AI115" s="124"/>
      <c r="AJ115" s="123"/>
      <c r="AK115" s="124"/>
      <c r="AL115" s="98">
        <f t="shared" si="48"/>
        <v>0</v>
      </c>
      <c r="AM115" s="123"/>
      <c r="AN115" s="123"/>
      <c r="AO115" s="124"/>
      <c r="AP115" s="98">
        <f t="shared" si="49"/>
        <v>0</v>
      </c>
      <c r="AQ115" s="123"/>
      <c r="AR115" s="123"/>
      <c r="AS115" s="124"/>
      <c r="AT115" s="98">
        <f t="shared" si="50"/>
        <v>0</v>
      </c>
      <c r="AU115" s="123"/>
      <c r="AV115" s="123"/>
      <c r="AW115" s="124"/>
      <c r="AX115" s="98">
        <f t="shared" si="69"/>
        <v>0</v>
      </c>
      <c r="AY115" s="123"/>
      <c r="AZ115" s="123"/>
      <c r="BB115" s="121">
        <f t="shared" si="64"/>
        <v>0</v>
      </c>
      <c r="BC115" s="121">
        <f t="shared" si="65"/>
        <v>0</v>
      </c>
      <c r="BD115" s="121">
        <f t="shared" si="65"/>
        <v>0</v>
      </c>
      <c r="BE115" s="121">
        <f t="shared" si="66"/>
        <v>0</v>
      </c>
      <c r="BF115" s="101">
        <f t="shared" si="56"/>
        <v>0</v>
      </c>
      <c r="BG115" s="101">
        <f t="shared" si="67"/>
        <v>0</v>
      </c>
      <c r="BH115" s="227">
        <f t="shared" si="51"/>
        <v>0</v>
      </c>
      <c r="BI115" s="227">
        <f t="shared" si="52"/>
        <v>0</v>
      </c>
      <c r="BJ115" s="227">
        <f t="shared" si="53"/>
        <v>0</v>
      </c>
      <c r="BK115" s="227">
        <f t="shared" si="54"/>
        <v>0</v>
      </c>
    </row>
    <row r="116" spans="1:63" ht="18" customHeight="1">
      <c r="A116" s="123"/>
      <c r="B116" s="317" t="s">
        <v>888</v>
      </c>
      <c r="C116" s="123" t="s">
        <v>610</v>
      </c>
      <c r="D116" s="318">
        <f>40/6</f>
        <v>6.666666666666667</v>
      </c>
      <c r="E116" s="123" t="s">
        <v>86</v>
      </c>
      <c r="F116" s="319"/>
      <c r="G116" s="320"/>
      <c r="H116" s="123"/>
      <c r="I116" s="123"/>
      <c r="J116" s="319"/>
      <c r="K116" s="104"/>
      <c r="L116" s="123"/>
      <c r="M116" s="123"/>
      <c r="N116" s="123"/>
      <c r="R116" s="93"/>
      <c r="S116" s="101"/>
      <c r="T116" s="29"/>
      <c r="AC116" s="124"/>
      <c r="AD116" s="97"/>
      <c r="AE116" s="123"/>
      <c r="AF116" s="123"/>
      <c r="AG116" s="124"/>
      <c r="AH116" s="98"/>
      <c r="AI116" s="124"/>
      <c r="AJ116" s="123"/>
      <c r="AK116" s="124"/>
      <c r="AL116" s="98"/>
      <c r="AM116" s="123"/>
      <c r="AN116" s="123"/>
      <c r="AO116" s="124"/>
      <c r="AP116" s="98"/>
      <c r="AQ116" s="123"/>
      <c r="AR116" s="123"/>
      <c r="AS116" s="124"/>
      <c r="AT116" s="98"/>
      <c r="AU116" s="123"/>
      <c r="AV116" s="123"/>
      <c r="AW116" s="124"/>
      <c r="AX116" s="98"/>
      <c r="AY116" s="123"/>
      <c r="AZ116" s="123"/>
      <c r="BB116" s="121" t="e">
        <f>#REF!</f>
        <v>#REF!</v>
      </c>
      <c r="BC116" s="121" t="e">
        <f>#REF!</f>
        <v>#REF!</v>
      </c>
      <c r="BD116" s="121" t="e">
        <f>#REF!</f>
        <v>#REF!</v>
      </c>
      <c r="BE116" s="121" t="e">
        <f>#REF!</f>
        <v>#REF!</v>
      </c>
      <c r="BF116" s="101" t="e">
        <f t="shared" ref="BF116" si="70">SUM(BB116:BE116)</f>
        <v>#REF!</v>
      </c>
      <c r="BG116" s="101" t="e">
        <f>J116-BF116</f>
        <v>#REF!</v>
      </c>
      <c r="BH116" s="227" t="e">
        <f t="shared" ref="BH116" si="71">BB116/$D116</f>
        <v>#REF!</v>
      </c>
      <c r="BI116" s="227" t="e">
        <f t="shared" ref="BI116" si="72">BC116/$D116</f>
        <v>#REF!</v>
      </c>
      <c r="BJ116" s="227" t="e">
        <f t="shared" ref="BJ116" si="73">BD116/$D116</f>
        <v>#REF!</v>
      </c>
      <c r="BK116" s="227" t="e">
        <f t="shared" ref="BK116" si="74">BE116/$D116</f>
        <v>#REF!</v>
      </c>
    </row>
    <row r="117" spans="1:63">
      <c r="T117" s="29"/>
    </row>
  </sheetData>
  <mergeCells count="59">
    <mergeCell ref="AY4:AY5"/>
    <mergeCell ref="AZ4:AZ5"/>
    <mergeCell ref="AS1:AZ2"/>
    <mergeCell ref="AS3:AV3"/>
    <mergeCell ref="AW3:AZ3"/>
    <mergeCell ref="AS4:AS5"/>
    <mergeCell ref="AT4:AT5"/>
    <mergeCell ref="AU4:AU5"/>
    <mergeCell ref="AV4:AV5"/>
    <mergeCell ref="AW4:AW5"/>
    <mergeCell ref="AX4:AX5"/>
    <mergeCell ref="AR4:AR5"/>
    <mergeCell ref="AK1:AR2"/>
    <mergeCell ref="AC1:AJ2"/>
    <mergeCell ref="AK3:AN3"/>
    <mergeCell ref="AO3:AR3"/>
    <mergeCell ref="AM4:AM5"/>
    <mergeCell ref="AN4:AN5"/>
    <mergeCell ref="AO4:AO5"/>
    <mergeCell ref="AP4:AP5"/>
    <mergeCell ref="AQ4:AQ5"/>
    <mergeCell ref="AK4:AK5"/>
    <mergeCell ref="AG3:AJ3"/>
    <mergeCell ref="AL4:AL5"/>
    <mergeCell ref="AG4:AG5"/>
    <mergeCell ref="AH4:AH5"/>
    <mergeCell ref="AI4:AI5"/>
    <mergeCell ref="AJ4:AJ5"/>
    <mergeCell ref="AC4:AC5"/>
    <mergeCell ref="AD4:AD5"/>
    <mergeCell ref="AE4:AE5"/>
    <mergeCell ref="AF4:AF5"/>
    <mergeCell ref="AC3:AF3"/>
    <mergeCell ref="A3:A5"/>
    <mergeCell ref="B3:B5"/>
    <mergeCell ref="C3:D3"/>
    <mergeCell ref="E3:E5"/>
    <mergeCell ref="F3:I3"/>
    <mergeCell ref="I4:I5"/>
    <mergeCell ref="C4:C5"/>
    <mergeCell ref="D4:D5"/>
    <mergeCell ref="F4:F5"/>
    <mergeCell ref="G4:G5"/>
    <mergeCell ref="H4:H5"/>
    <mergeCell ref="J4:J5"/>
    <mergeCell ref="K4:K5"/>
    <mergeCell ref="L4:L5"/>
    <mergeCell ref="J3:N3"/>
    <mergeCell ref="M4:M5"/>
    <mergeCell ref="N4:N5"/>
    <mergeCell ref="R3:T3"/>
    <mergeCell ref="R4:R5"/>
    <mergeCell ref="S4:S5"/>
    <mergeCell ref="T4:T5"/>
    <mergeCell ref="O62:O115"/>
    <mergeCell ref="O6:O27"/>
    <mergeCell ref="O28:O46"/>
    <mergeCell ref="O47:O60"/>
    <mergeCell ref="O3:O5"/>
  </mergeCells>
  <printOptions horizontalCentered="1"/>
  <pageMargins left="0.24" right="0.22" top="0.32" bottom="0.3" header="0.24" footer="0.25"/>
  <pageSetup paperSize="9" scale="4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R22"/>
  <sheetViews>
    <sheetView tabSelected="1" zoomScale="115" zoomScaleNormal="115" workbookViewId="0">
      <selection activeCell="T16" sqref="T16"/>
    </sheetView>
  </sheetViews>
  <sheetFormatPr defaultRowHeight="14.4"/>
  <cols>
    <col min="2" max="2" width="18.6640625" customWidth="1"/>
    <col min="3" max="4" width="7.109375" customWidth="1"/>
    <col min="5" max="5" width="13" customWidth="1"/>
    <col min="6" max="7" width="7.33203125" customWidth="1"/>
    <col min="8" max="8" width="14.109375" customWidth="1"/>
    <col min="9" max="10" width="9.109375" hidden="1" customWidth="1"/>
    <col min="11" max="11" width="9.33203125" hidden="1" customWidth="1"/>
    <col min="12" max="12" width="6" customWidth="1"/>
    <col min="13" max="16" width="7.44140625" hidden="1" customWidth="1"/>
    <col min="17" max="18" width="6.88671875" hidden="1" customWidth="1"/>
    <col min="19" max="20" width="9.109375" customWidth="1"/>
  </cols>
  <sheetData>
    <row r="1" spans="2:18">
      <c r="C1" s="3" t="s">
        <v>679</v>
      </c>
      <c r="D1" s="3"/>
      <c r="E1" s="4" t="str">
        <f>'Plant utilization'!H1</f>
        <v>xxxx</v>
      </c>
      <c r="F1" s="2"/>
      <c r="G1" s="2"/>
      <c r="H1" s="2"/>
    </row>
    <row r="2" spans="2:18" hidden="1"/>
    <row r="3" spans="2:18">
      <c r="C3" s="2" t="s">
        <v>635</v>
      </c>
      <c r="D3" s="2"/>
      <c r="E3" s="186" t="str">
        <f>'Plant utilization'!K1</f>
        <v>xxxx</v>
      </c>
      <c r="H3" s="15" t="s">
        <v>884</v>
      </c>
      <c r="K3" s="15" t="s">
        <v>763</v>
      </c>
    </row>
    <row r="4" spans="2:18" s="17" customFormat="1" ht="19.5" customHeight="1">
      <c r="B4" s="172"/>
      <c r="C4" s="517" t="s">
        <v>861</v>
      </c>
      <c r="D4" s="518"/>
      <c r="E4" s="519"/>
      <c r="F4" s="517" t="s">
        <v>862</v>
      </c>
      <c r="G4" s="518"/>
      <c r="H4" s="519"/>
      <c r="K4" s="18" t="s">
        <v>758</v>
      </c>
      <c r="M4" s="516" t="s">
        <v>858</v>
      </c>
      <c r="N4" s="516"/>
      <c r="O4" s="516" t="s">
        <v>859</v>
      </c>
      <c r="P4" s="516"/>
      <c r="Q4" s="516" t="s">
        <v>870</v>
      </c>
      <c r="R4" s="516"/>
    </row>
    <row r="5" spans="2:18" s="17" customFormat="1" ht="26.25" customHeight="1">
      <c r="B5" s="173" t="s">
        <v>865</v>
      </c>
      <c r="C5" s="174" t="s">
        <v>863</v>
      </c>
      <c r="D5" s="174" t="s">
        <v>597</v>
      </c>
      <c r="E5" s="174" t="s">
        <v>864</v>
      </c>
      <c r="F5" s="174" t="s">
        <v>863</v>
      </c>
      <c r="G5" s="174" t="s">
        <v>597</v>
      </c>
      <c r="H5" s="174" t="s">
        <v>864</v>
      </c>
      <c r="K5" s="18"/>
      <c r="M5" s="210" t="s">
        <v>861</v>
      </c>
      <c r="N5" s="210" t="s">
        <v>862</v>
      </c>
      <c r="O5" s="210" t="s">
        <v>861</v>
      </c>
      <c r="P5" s="210" t="s">
        <v>862</v>
      </c>
      <c r="Q5" s="210" t="s">
        <v>861</v>
      </c>
      <c r="R5" s="210" t="s">
        <v>862</v>
      </c>
    </row>
    <row r="6" spans="2:18">
      <c r="B6" s="188" t="s">
        <v>600</v>
      </c>
      <c r="C6" s="171">
        <f>VLOOKUP($B6,'Plant utilization'!$B$7:$M$158,6,0)</f>
        <v>0</v>
      </c>
      <c r="D6" s="171">
        <f>VLOOKUP($B6,'Plant utilization'!$B$7:$M$158,7,0)</f>
        <v>0</v>
      </c>
      <c r="E6" s="211">
        <f>IFERROR(C6/D6,0)</f>
        <v>0</v>
      </c>
      <c r="F6" s="212">
        <f>VLOOKUP($B6,'Plant utilization'!$B$7:$M$158,10,0)</f>
        <v>0</v>
      </c>
      <c r="G6" s="212">
        <f>VLOOKUP($B6,'Plant utilization'!$B$7:$M$158,11,0)</f>
        <v>0</v>
      </c>
      <c r="H6" s="211">
        <f>IFERROR(F6/G6,0)</f>
        <v>0</v>
      </c>
      <c r="K6" s="10" t="e">
        <f>'Plant utilization'!Q7</f>
        <v>#DIV/0!</v>
      </c>
      <c r="M6" s="178" t="str">
        <f>'Plant utilization'!AJ7</f>
        <v/>
      </c>
      <c r="N6" s="178" t="str">
        <f>'Plant utilization'!AN7</f>
        <v/>
      </c>
      <c r="O6" s="178" t="str">
        <f>'Plant utilization'!AR7</f>
        <v/>
      </c>
      <c r="P6" s="178" t="str">
        <f>'Plant utilization'!AV7</f>
        <v/>
      </c>
      <c r="Q6" s="178" t="str">
        <f>'Plant utilization'!AZ7</f>
        <v/>
      </c>
      <c r="R6" s="178" t="str">
        <f>'Plant utilization'!BD7</f>
        <v/>
      </c>
    </row>
    <row r="7" spans="2:18">
      <c r="B7" s="189" t="s">
        <v>608</v>
      </c>
      <c r="C7" s="171">
        <f>VLOOKUP($B7,'Plant utilization'!$B$7:$M$158,6,0)</f>
        <v>0</v>
      </c>
      <c r="D7" s="171">
        <f>VLOOKUP($B7,'Plant utilization'!$B$7:$M$158,7,0)</f>
        <v>0</v>
      </c>
      <c r="E7" s="211">
        <f t="shared" ref="E7:E13" si="0">IFERROR(C7/D7,0)</f>
        <v>0</v>
      </c>
      <c r="F7" s="212">
        <f>VLOOKUP($B7,'Plant utilization'!$B$7:$M$158,10,0)</f>
        <v>0</v>
      </c>
      <c r="G7" s="212">
        <f>VLOOKUP($B7,'Plant utilization'!$B$7:$M$158,11,0)</f>
        <v>0</v>
      </c>
      <c r="H7" s="211">
        <f t="shared" ref="H7:H13" si="1">IFERROR(F7/G7,0)</f>
        <v>0</v>
      </c>
      <c r="K7" s="12" t="e">
        <f>'Plant utilization'!Q18</f>
        <v>#DIV/0!</v>
      </c>
      <c r="M7" s="178" t="str">
        <f>'Plant utilization'!AJ18</f>
        <v/>
      </c>
      <c r="N7" s="178" t="str">
        <f>'Plant utilization'!AN18</f>
        <v/>
      </c>
      <c r="O7" s="178" t="str">
        <f>'Plant utilization'!AR18</f>
        <v/>
      </c>
      <c r="P7" s="178" t="str">
        <f>'Plant utilization'!AV18</f>
        <v/>
      </c>
      <c r="Q7" s="178" t="str">
        <f>'Plant utilization'!AZ18</f>
        <v/>
      </c>
      <c r="R7" s="178" t="str">
        <f>'Plant utilization'!BD18</f>
        <v/>
      </c>
    </row>
    <row r="8" spans="2:18">
      <c r="B8" s="190" t="s">
        <v>613</v>
      </c>
      <c r="C8" s="171">
        <f>VLOOKUP($B8,'Plant utilization'!$B$7:$M$158,6,0)</f>
        <v>0</v>
      </c>
      <c r="D8" s="171">
        <f>VLOOKUP($B8,'Plant utilization'!$B$7:$M$158,7,0)</f>
        <v>0</v>
      </c>
      <c r="E8" s="211">
        <f t="shared" si="0"/>
        <v>0</v>
      </c>
      <c r="F8" s="212">
        <f>VLOOKUP($B8,'Plant utilization'!$B$7:$M$158,10,0)</f>
        <v>0</v>
      </c>
      <c r="G8" s="212">
        <f>VLOOKUP($B8,'Plant utilization'!$B$7:$M$158,11,0)</f>
        <v>0</v>
      </c>
      <c r="H8" s="211">
        <f t="shared" si="1"/>
        <v>0</v>
      </c>
      <c r="K8" s="12" t="e">
        <f>'Plant utilization'!Q45</f>
        <v>#DIV/0!</v>
      </c>
      <c r="M8" s="178" t="str">
        <f>'Plant utilization'!AJ45</f>
        <v/>
      </c>
      <c r="N8" s="178" t="str">
        <f>'Plant utilization'!AN45</f>
        <v/>
      </c>
      <c r="O8" s="178" t="str">
        <f>'Plant utilization'!AR45</f>
        <v/>
      </c>
      <c r="P8" s="178" t="str">
        <f>'Plant utilization'!AV45</f>
        <v/>
      </c>
      <c r="Q8" s="178" t="str">
        <f>'Plant utilization'!AZ45</f>
        <v/>
      </c>
      <c r="R8" s="178" t="str">
        <f>'Plant utilization'!BD45</f>
        <v/>
      </c>
    </row>
    <row r="9" spans="2:18">
      <c r="B9" s="189" t="s">
        <v>616</v>
      </c>
      <c r="C9" s="171">
        <f>VLOOKUP($B9,'Plant utilization'!$B$7:$M$158,6,0)</f>
        <v>0</v>
      </c>
      <c r="D9" s="171">
        <f>VLOOKUP($B9,'Plant utilization'!$B$7:$M$158,7,0)</f>
        <v>0</v>
      </c>
      <c r="E9" s="211">
        <f t="shared" si="0"/>
        <v>0</v>
      </c>
      <c r="F9" s="212">
        <f>VLOOKUP($B9,'Plant utilization'!$B$7:$M$158,10,0)</f>
        <v>0</v>
      </c>
      <c r="G9" s="212">
        <f>VLOOKUP($B9,'Plant utilization'!$B$7:$M$158,11,0)</f>
        <v>0</v>
      </c>
      <c r="H9" s="211">
        <f t="shared" si="1"/>
        <v>0</v>
      </c>
      <c r="K9" s="12" t="e">
        <f>'Plant utilization'!Q59</f>
        <v>#DIV/0!</v>
      </c>
      <c r="M9" s="178" t="str">
        <f>'Plant utilization'!AJ59</f>
        <v/>
      </c>
      <c r="N9" s="178" t="str">
        <f>'Plant utilization'!AN59</f>
        <v/>
      </c>
      <c r="O9" s="178" t="str">
        <f>'Plant utilization'!AR59</f>
        <v/>
      </c>
      <c r="P9" s="178" t="str">
        <f>'Plant utilization'!AV59</f>
        <v/>
      </c>
      <c r="Q9" s="178" t="str">
        <f>'Plant utilization'!AZ59</f>
        <v/>
      </c>
      <c r="R9" s="178" t="str">
        <f>'Plant utilization'!BD59</f>
        <v/>
      </c>
    </row>
    <row r="10" spans="2:18">
      <c r="B10" s="189" t="s">
        <v>621</v>
      </c>
      <c r="C10" s="171">
        <f>VLOOKUP($B10,'Plant utilization'!$B$7:$M$158,6,0)</f>
        <v>0</v>
      </c>
      <c r="D10" s="171">
        <f>VLOOKUP($B10,'Plant utilization'!$B$7:$M$158,7,0)</f>
        <v>0</v>
      </c>
      <c r="E10" s="211">
        <f t="shared" si="0"/>
        <v>0</v>
      </c>
      <c r="F10" s="212">
        <f>VLOOKUP($B10,'Plant utilization'!$B$7:$M$158,10,0)</f>
        <v>0</v>
      </c>
      <c r="G10" s="212">
        <f>VLOOKUP($B10,'Plant utilization'!$B$7:$M$158,11,0)</f>
        <v>0</v>
      </c>
      <c r="H10" s="211">
        <f t="shared" si="1"/>
        <v>0</v>
      </c>
      <c r="K10" s="12" t="e">
        <f>'Plant utilization'!Q73</f>
        <v>#DIV/0!</v>
      </c>
      <c r="M10" s="178" t="str">
        <f>'Plant utilization'!AJ73</f>
        <v/>
      </c>
      <c r="N10" s="178" t="str">
        <f>'Plant utilization'!AN73</f>
        <v/>
      </c>
      <c r="O10" s="178" t="str">
        <f>'Plant utilization'!AR73</f>
        <v/>
      </c>
      <c r="P10" s="178" t="str">
        <f>'Plant utilization'!AV73</f>
        <v/>
      </c>
      <c r="Q10" s="178" t="str">
        <f>'Plant utilization'!AZ73</f>
        <v/>
      </c>
      <c r="R10" s="178" t="str">
        <f>'Plant utilization'!BD73</f>
        <v/>
      </c>
    </row>
    <row r="11" spans="2:18">
      <c r="B11" s="191" t="s">
        <v>628</v>
      </c>
      <c r="C11" s="175">
        <f>VLOOKUP($B11,'Plant utilization'!$B$7:$M$158,6,0)</f>
        <v>0</v>
      </c>
      <c r="D11" s="175">
        <f>VLOOKUP($B11,'Plant utilization'!$B$7:$M$158,7,0)</f>
        <v>0</v>
      </c>
      <c r="E11" s="211">
        <f t="shared" si="0"/>
        <v>0</v>
      </c>
      <c r="F11" s="213">
        <f>VLOOKUP($B11,'Plant utilization'!$B$7:$M$158,10,0)</f>
        <v>0</v>
      </c>
      <c r="G11" s="213">
        <f>VLOOKUP($B11,'Plant utilization'!$B$7:$M$158,11,0)</f>
        <v>0</v>
      </c>
      <c r="H11" s="211">
        <f t="shared" si="1"/>
        <v>0</v>
      </c>
      <c r="K11" s="12" t="e">
        <f>'Plant utilization'!Q88</f>
        <v>#DIV/0!</v>
      </c>
      <c r="M11" s="178" t="str">
        <f>'Plant utilization'!AJ88</f>
        <v/>
      </c>
      <c r="N11" s="178" t="str">
        <f>'Plant utilization'!AN88</f>
        <v/>
      </c>
      <c r="O11" s="178" t="str">
        <f>'Plant utilization'!AR88</f>
        <v/>
      </c>
      <c r="P11" s="178" t="str">
        <f>'Plant utilization'!AV88</f>
        <v/>
      </c>
      <c r="Q11" s="178" t="str">
        <f>'Plant utilization'!AZ88</f>
        <v/>
      </c>
      <c r="R11" s="178" t="str">
        <f>'Plant utilization'!BD88</f>
        <v/>
      </c>
    </row>
    <row r="12" spans="2:18">
      <c r="B12" s="185" t="s">
        <v>634</v>
      </c>
      <c r="C12" s="177">
        <f>VLOOKUP($B12,'Plant utilization'!$B$7:$M$158,6,0)</f>
        <v>0</v>
      </c>
      <c r="D12" s="177">
        <f>VLOOKUP($B12,'Plant utilization'!$B$7:$M$158,7,0)</f>
        <v>0</v>
      </c>
      <c r="E12" s="211">
        <f t="shared" si="0"/>
        <v>0</v>
      </c>
      <c r="F12" s="214">
        <f>VLOOKUP($B12,'Plant utilization'!$B$7:$M$158,10,0)</f>
        <v>0</v>
      </c>
      <c r="G12" s="214">
        <f>VLOOKUP($B12,'Plant utilization'!$B$7:$M$158,11,0)</f>
        <v>0</v>
      </c>
      <c r="H12" s="211">
        <f t="shared" si="1"/>
        <v>0</v>
      </c>
      <c r="K12" s="12" t="e">
        <f>'Plant utilization'!Q113</f>
        <v>#DIV/0!</v>
      </c>
      <c r="M12" s="178" t="str">
        <f>'Plant utilization'!AJ113</f>
        <v/>
      </c>
      <c r="N12" s="178" t="str">
        <f>'Plant utilization'!AN113</f>
        <v/>
      </c>
      <c r="O12" s="178" t="str">
        <f>'Plant utilization'!AR113</f>
        <v/>
      </c>
      <c r="P12" s="178" t="str">
        <f>'Plant utilization'!AV113</f>
        <v/>
      </c>
      <c r="Q12" s="178" t="str">
        <f>'Plant utilization'!AZ113</f>
        <v/>
      </c>
      <c r="R12" s="178" t="str">
        <f>'Plant utilization'!BD113</f>
        <v/>
      </c>
    </row>
    <row r="13" spans="2:18">
      <c r="B13" s="185" t="s">
        <v>743</v>
      </c>
      <c r="C13" s="177">
        <f>VLOOKUP($B13,'Plant utilization'!$B$7:$M$158,6,0)</f>
        <v>0</v>
      </c>
      <c r="D13" s="177">
        <f>VLOOKUP($B13,'Plant utilization'!$B$7:$M$158,7,0)</f>
        <v>0</v>
      </c>
      <c r="E13" s="211">
        <f t="shared" si="0"/>
        <v>0</v>
      </c>
      <c r="F13" s="214">
        <f>VLOOKUP($B13,'Plant utilization'!$B$7:$M$158,10,0)</f>
        <v>0</v>
      </c>
      <c r="G13" s="214">
        <f>VLOOKUP($B13,'Plant utilization'!$B$7:$M$158,11,0)</f>
        <v>0</v>
      </c>
      <c r="H13" s="211">
        <f t="shared" si="1"/>
        <v>0</v>
      </c>
      <c r="K13" s="14" t="e">
        <f>'Plant utilization'!Q145</f>
        <v>#DIV/0!</v>
      </c>
      <c r="M13" s="178" t="str">
        <f>'Plant utilization'!AJ145</f>
        <v/>
      </c>
      <c r="N13" s="178" t="str">
        <f>'Plant utilization'!AN145</f>
        <v/>
      </c>
      <c r="O13" s="178" t="str">
        <f>'Plant utilization'!AR145</f>
        <v/>
      </c>
      <c r="P13" s="178" t="str">
        <f>'Plant utilization'!AV145</f>
        <v/>
      </c>
      <c r="Q13" s="178" t="str">
        <f>'Plant utilization'!AZ145</f>
        <v/>
      </c>
      <c r="R13" s="178" t="str">
        <f>'Plant utilization'!BD145</f>
        <v/>
      </c>
    </row>
    <row r="14" spans="2:18" ht="4.5" customHeight="1">
      <c r="B14" s="176"/>
      <c r="C14" s="177"/>
      <c r="D14" s="177"/>
      <c r="F14" s="177"/>
      <c r="G14" s="177"/>
      <c r="K14" s="187"/>
    </row>
    <row r="15" spans="2:18" hidden="1">
      <c r="B15" s="176" t="s">
        <v>825</v>
      </c>
      <c r="C15" s="179"/>
      <c r="D15" s="179"/>
      <c r="E15" s="180">
        <f>AVERAGE(E6:E13)</f>
        <v>0</v>
      </c>
      <c r="F15" s="179"/>
      <c r="G15" s="179"/>
      <c r="H15" s="180">
        <f>AVERAGE(H6:H13)</f>
        <v>0</v>
      </c>
      <c r="K15" s="16" t="e">
        <f>AVERAGE(K6:K13)</f>
        <v>#DIV/0!</v>
      </c>
    </row>
    <row r="16" spans="2:18" ht="18.75" customHeight="1">
      <c r="B16" s="181" t="s">
        <v>866</v>
      </c>
      <c r="C16" s="182"/>
      <c r="D16" s="183"/>
      <c r="E16" s="183"/>
      <c r="F16" s="183"/>
      <c r="G16" s="183"/>
      <c r="H16" s="184"/>
    </row>
    <row r="17" spans="2:18">
      <c r="B17" s="185" t="s">
        <v>639</v>
      </c>
      <c r="C17" s="177">
        <f>VLOOKUP($B17,'Manpower utilization'!$B$7:$N$115,6,0)</f>
        <v>0</v>
      </c>
      <c r="D17" s="177">
        <f>VLOOKUP($B17,'Manpower utilization'!$B$7:$N$115,7,0)</f>
        <v>0</v>
      </c>
      <c r="E17" s="211">
        <f t="shared" ref="E17:E20" si="2">IFERROR(C17/D17,0)</f>
        <v>0</v>
      </c>
      <c r="F17" s="214">
        <f>VLOOKUP($B17,'Manpower utilization'!$B$7:$N$115,10,0)</f>
        <v>0</v>
      </c>
      <c r="G17" s="214">
        <f>VLOOKUP($B17,'Manpower utilization'!$B$7:$N$115,11,0)</f>
        <v>0</v>
      </c>
      <c r="H17" s="211">
        <f t="shared" ref="H17:H20" si="3">IFERROR(F17/G17,0)</f>
        <v>0</v>
      </c>
      <c r="K17" s="10" t="e">
        <f>'Manpower utilization'!T7</f>
        <v>#DIV/0!</v>
      </c>
      <c r="M17" s="178" t="str">
        <f>'Manpower utilization'!AF7</f>
        <v/>
      </c>
      <c r="N17" s="178" t="str">
        <f>'Manpower utilization'!AJ7</f>
        <v/>
      </c>
      <c r="O17" s="178" t="str">
        <f>'Manpower utilization'!AN7</f>
        <v/>
      </c>
      <c r="P17" s="178" t="str">
        <f>'Manpower utilization'!AR7</f>
        <v/>
      </c>
      <c r="Q17" s="178" t="str">
        <f>'Manpower utilization'!AV7</f>
        <v/>
      </c>
      <c r="R17" s="178" t="str">
        <f>'Manpower utilization'!AZ7</f>
        <v/>
      </c>
    </row>
    <row r="18" spans="2:18">
      <c r="B18" s="185" t="s">
        <v>649</v>
      </c>
      <c r="C18" s="177">
        <f>VLOOKUP($B18,'Manpower utilization'!$B$7:$N$115,6,0)</f>
        <v>0</v>
      </c>
      <c r="D18" s="177">
        <f>VLOOKUP($B18,'Manpower utilization'!$B$7:$N$115,7,0)</f>
        <v>0</v>
      </c>
      <c r="E18" s="211">
        <f t="shared" si="2"/>
        <v>0</v>
      </c>
      <c r="F18" s="214">
        <f>VLOOKUP($B18,'Manpower utilization'!$B$7:$N$115,10,0)</f>
        <v>0</v>
      </c>
      <c r="G18" s="214">
        <f>VLOOKUP($B18,'Manpower utilization'!$B$7:$N$115,11,0)</f>
        <v>0</v>
      </c>
      <c r="H18" s="211">
        <f t="shared" si="3"/>
        <v>0</v>
      </c>
      <c r="K18" s="12" t="e">
        <f>'Manpower utilization'!T28</f>
        <v>#DIV/0!</v>
      </c>
      <c r="M18" s="178" t="str">
        <f>'Manpower utilization'!AF28</f>
        <v/>
      </c>
      <c r="N18" s="178" t="str">
        <f>'Manpower utilization'!AJ28</f>
        <v/>
      </c>
      <c r="O18" s="178" t="str">
        <f>'Manpower utilization'!AN28</f>
        <v/>
      </c>
      <c r="P18" s="178" t="str">
        <f>'Manpower utilization'!AR28</f>
        <v/>
      </c>
      <c r="Q18" s="178" t="str">
        <f>'Manpower utilization'!AV28</f>
        <v/>
      </c>
      <c r="R18" s="178" t="str">
        <f>'Manpower utilization'!AZ28</f>
        <v/>
      </c>
    </row>
    <row r="19" spans="2:18">
      <c r="B19" s="185" t="s">
        <v>652</v>
      </c>
      <c r="C19" s="177">
        <f>VLOOKUP($B19,'Manpower utilization'!$B$7:$N$115,6,0)</f>
        <v>0</v>
      </c>
      <c r="D19" s="177">
        <f>VLOOKUP($B19,'Manpower utilization'!$B$7:$N$115,7,0)</f>
        <v>0</v>
      </c>
      <c r="E19" s="211">
        <f t="shared" si="2"/>
        <v>0</v>
      </c>
      <c r="F19" s="214">
        <f>VLOOKUP($B19,'Manpower utilization'!$B$7:$N$115,10,0)</f>
        <v>0</v>
      </c>
      <c r="G19" s="214">
        <f>VLOOKUP($B19,'Manpower utilization'!$B$7:$N$115,11,0)</f>
        <v>0</v>
      </c>
      <c r="H19" s="211">
        <f t="shared" si="3"/>
        <v>0</v>
      </c>
      <c r="K19" s="12" t="e">
        <f>'Manpower utilization'!T47</f>
        <v>#DIV/0!</v>
      </c>
      <c r="M19" s="178" t="str">
        <f>'Manpower utilization'!AF47</f>
        <v/>
      </c>
      <c r="N19" s="178" t="str">
        <f>'Manpower utilization'!AJ47</f>
        <v/>
      </c>
      <c r="O19" s="178" t="str">
        <f>'Manpower utilization'!AN47</f>
        <v/>
      </c>
      <c r="P19" s="178" t="str">
        <f>'Manpower utilization'!AR47</f>
        <v/>
      </c>
      <c r="Q19" s="178" t="str">
        <f>'Manpower utilization'!AV47</f>
        <v/>
      </c>
      <c r="R19" s="178" t="str">
        <f>'Manpower utilization'!AZ47</f>
        <v/>
      </c>
    </row>
    <row r="20" spans="2:18">
      <c r="B20" s="185" t="s">
        <v>657</v>
      </c>
      <c r="C20" s="177">
        <f>VLOOKUP($B20,'Manpower utilization'!$B$7:$N$115,6,0)</f>
        <v>0</v>
      </c>
      <c r="D20" s="177">
        <f>VLOOKUP($B20,'Manpower utilization'!$B$7:$N$115,7,0)</f>
        <v>0</v>
      </c>
      <c r="E20" s="211">
        <f t="shared" si="2"/>
        <v>0</v>
      </c>
      <c r="F20" s="214">
        <f>VLOOKUP($B20,'Manpower utilization'!$B$7:$N$115,10,0)</f>
        <v>0</v>
      </c>
      <c r="G20" s="214">
        <f>VLOOKUP($B20,'Manpower utilization'!$B$7:$N$115,11,0)</f>
        <v>0</v>
      </c>
      <c r="H20" s="211">
        <f t="shared" si="3"/>
        <v>0</v>
      </c>
      <c r="K20" s="14" t="e">
        <f>'Manpower utilization'!T62</f>
        <v>#VALUE!</v>
      </c>
      <c r="M20" s="178" t="str">
        <f>'Manpower utilization'!AF62</f>
        <v/>
      </c>
      <c r="N20" s="178" t="str">
        <f>'Manpower utilization'!AJ62</f>
        <v/>
      </c>
      <c r="O20" s="178" t="str">
        <f>'Manpower utilization'!AN62</f>
        <v/>
      </c>
      <c r="P20" s="178" t="str">
        <f>'Manpower utilization'!AR62</f>
        <v/>
      </c>
      <c r="Q20" s="178" t="str">
        <f>'Manpower utilization'!AV62</f>
        <v/>
      </c>
      <c r="R20" s="178" t="str">
        <f>'Manpower utilization'!AZ62</f>
        <v/>
      </c>
    </row>
    <row r="21" spans="2:18" ht="5.25" customHeight="1">
      <c r="B21" s="176"/>
      <c r="C21" s="177"/>
      <c r="D21" s="177"/>
      <c r="F21" s="177"/>
      <c r="G21" s="177"/>
      <c r="K21" s="187"/>
    </row>
    <row r="22" spans="2:18" hidden="1">
      <c r="B22" s="176" t="s">
        <v>825</v>
      </c>
      <c r="C22" s="179"/>
      <c r="D22" s="179"/>
      <c r="E22" s="180">
        <f>AVERAGE(E17:E20)</f>
        <v>0</v>
      </c>
      <c r="F22" s="179"/>
      <c r="G22" s="179"/>
      <c r="H22" s="180">
        <f>AVERAGE(H17:H20)</f>
        <v>0</v>
      </c>
      <c r="K22" s="16" t="e">
        <f>AVERAGE(K17:K20)</f>
        <v>#DIV/0!</v>
      </c>
    </row>
  </sheetData>
  <mergeCells count="5">
    <mergeCell ref="Q4:R4"/>
    <mergeCell ref="F4:H4"/>
    <mergeCell ref="C4:E4"/>
    <mergeCell ref="M4:N4"/>
    <mergeCell ref="O4:P4"/>
  </mergeCells>
  <conditionalFormatting sqref="M6:R13">
    <cfRule type="cellIs" dxfId="9" priority="3" operator="lessThan">
      <formula>0.9</formula>
    </cfRule>
  </conditionalFormatting>
  <conditionalFormatting sqref="M17:R20">
    <cfRule type="cellIs" dxfId="8" priority="2" operator="lessThan">
      <formula>0.9</formula>
    </cfRule>
  </conditionalFormatting>
  <pageMargins left="0.7" right="0.7" top="0.75" bottom="0.75" header="0.3" footer="0.3"/>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Q39"/>
  <sheetViews>
    <sheetView topLeftCell="A7" workbookViewId="0">
      <selection activeCell="L34" sqref="L34"/>
    </sheetView>
  </sheetViews>
  <sheetFormatPr defaultRowHeight="14.4"/>
  <cols>
    <col min="1" max="1" width="5.88671875" bestFit="1" customWidth="1"/>
    <col min="2" max="2" width="18.5546875" bestFit="1" customWidth="1"/>
    <col min="3" max="3" width="14.109375" style="134" customWidth="1"/>
    <col min="4" max="8" width="4.33203125" style="134" hidden="1" customWidth="1"/>
    <col min="9" max="17" width="5.6640625" customWidth="1"/>
    <col min="18" max="18" width="5.88671875" customWidth="1"/>
    <col min="19" max="39" width="5.6640625" customWidth="1"/>
    <col min="40" max="40" width="9.109375" style="135"/>
  </cols>
  <sheetData>
    <row r="1" spans="1:40" ht="17.25" customHeight="1"/>
    <row r="2" spans="1:40">
      <c r="A2" s="9" t="s">
        <v>895</v>
      </c>
    </row>
    <row r="3" spans="1:40" ht="6" customHeight="1"/>
    <row r="4" spans="1:40">
      <c r="A4" s="136" t="s">
        <v>829</v>
      </c>
      <c r="B4" s="137" t="s">
        <v>830</v>
      </c>
      <c r="C4" s="137" t="s">
        <v>896</v>
      </c>
      <c r="D4" s="165"/>
      <c r="E4" s="165"/>
      <c r="F4" s="165"/>
      <c r="G4" s="165"/>
      <c r="H4" s="165"/>
      <c r="I4" s="138">
        <v>1</v>
      </c>
      <c r="J4" s="139">
        <v>2</v>
      </c>
      <c r="K4" s="139">
        <v>3</v>
      </c>
      <c r="L4" s="139">
        <v>4</v>
      </c>
      <c r="M4" s="139">
        <v>5</v>
      </c>
      <c r="N4" s="139">
        <v>6</v>
      </c>
      <c r="O4" s="139">
        <v>7</v>
      </c>
      <c r="P4" s="139">
        <v>8</v>
      </c>
      <c r="Q4" s="139">
        <v>9</v>
      </c>
      <c r="R4" s="139">
        <v>10</v>
      </c>
      <c r="S4" s="139">
        <v>11</v>
      </c>
      <c r="T4" s="139">
        <v>12</v>
      </c>
      <c r="U4" s="139">
        <v>13</v>
      </c>
      <c r="V4" s="139">
        <v>14</v>
      </c>
      <c r="W4" s="139">
        <v>15</v>
      </c>
      <c r="X4" s="139">
        <v>16</v>
      </c>
      <c r="Y4" s="139">
        <v>17</v>
      </c>
      <c r="Z4" s="139">
        <v>18</v>
      </c>
      <c r="AA4" s="139">
        <v>19</v>
      </c>
      <c r="AB4" s="139">
        <v>20</v>
      </c>
      <c r="AC4" s="139">
        <v>21</v>
      </c>
      <c r="AD4" s="139">
        <v>22</v>
      </c>
      <c r="AE4" s="139">
        <v>23</v>
      </c>
      <c r="AF4" s="139">
        <v>24</v>
      </c>
      <c r="AG4" s="139">
        <v>25</v>
      </c>
      <c r="AH4" s="139">
        <v>26</v>
      </c>
      <c r="AI4" s="139">
        <v>27</v>
      </c>
      <c r="AJ4" s="139">
        <v>28</v>
      </c>
      <c r="AK4" s="139">
        <v>29</v>
      </c>
      <c r="AL4" s="139">
        <v>30</v>
      </c>
      <c r="AM4" s="139">
        <v>31</v>
      </c>
      <c r="AN4" s="137" t="s">
        <v>793</v>
      </c>
    </row>
    <row r="5" spans="1:40">
      <c r="A5" s="140">
        <v>1</v>
      </c>
      <c r="B5" s="141" t="s">
        <v>832</v>
      </c>
      <c r="C5" s="142"/>
      <c r="D5" s="166"/>
      <c r="E5" s="166"/>
      <c r="F5" s="166"/>
      <c r="G5" s="166"/>
      <c r="H5" s="166"/>
      <c r="I5" s="143"/>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44"/>
      <c r="AK5" s="144"/>
      <c r="AL5" s="144"/>
      <c r="AM5" s="144"/>
      <c r="AN5" s="145">
        <f>SUM(I5:AM5)</f>
        <v>0</v>
      </c>
    </row>
    <row r="6" spans="1:40">
      <c r="A6" s="146">
        <v>2</v>
      </c>
      <c r="B6" s="11" t="s">
        <v>773</v>
      </c>
      <c r="C6" s="142"/>
      <c r="D6" s="166"/>
      <c r="E6" s="166"/>
      <c r="F6" s="166"/>
      <c r="G6" s="166"/>
      <c r="H6" s="166"/>
      <c r="I6" s="143"/>
      <c r="J6" s="144"/>
      <c r="K6" s="147"/>
      <c r="L6" s="147"/>
      <c r="M6" s="147"/>
      <c r="N6" s="147"/>
      <c r="O6" s="147"/>
      <c r="P6" s="147"/>
      <c r="Q6" s="144"/>
      <c r="R6" s="147"/>
      <c r="S6" s="147"/>
      <c r="T6" s="147"/>
      <c r="U6" s="147"/>
      <c r="V6" s="147"/>
      <c r="W6" s="147"/>
      <c r="X6" s="147"/>
      <c r="Y6" s="147"/>
      <c r="Z6" s="147"/>
      <c r="AA6" s="147"/>
      <c r="AB6" s="147"/>
      <c r="AC6" s="147"/>
      <c r="AD6" s="147"/>
      <c r="AE6" s="147"/>
      <c r="AF6" s="147"/>
      <c r="AG6" s="147"/>
      <c r="AH6" s="147"/>
      <c r="AI6" s="147"/>
      <c r="AJ6" s="147"/>
      <c r="AK6" s="147"/>
      <c r="AL6" s="147"/>
      <c r="AM6" s="147"/>
      <c r="AN6" s="145">
        <f t="shared" ref="AN6:AN13" si="0">SUM(I6:AM6)</f>
        <v>0</v>
      </c>
    </row>
    <row r="7" spans="1:40">
      <c r="A7" s="146">
        <v>3</v>
      </c>
      <c r="B7" s="11" t="s">
        <v>833</v>
      </c>
      <c r="C7" s="142"/>
      <c r="D7" s="166"/>
      <c r="E7" s="166"/>
      <c r="F7" s="166"/>
      <c r="G7" s="166"/>
      <c r="H7" s="166"/>
      <c r="I7" s="143"/>
      <c r="J7" s="144"/>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5">
        <f t="shared" si="0"/>
        <v>0</v>
      </c>
    </row>
    <row r="8" spans="1:40">
      <c r="A8" s="146">
        <v>4</v>
      </c>
      <c r="B8" s="11" t="s">
        <v>815</v>
      </c>
      <c r="C8" s="142"/>
      <c r="D8" s="166"/>
      <c r="E8" s="166"/>
      <c r="F8" s="166"/>
      <c r="G8" s="166"/>
      <c r="H8" s="166"/>
      <c r="I8" s="143"/>
      <c r="J8" s="144"/>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5">
        <f t="shared" si="0"/>
        <v>0</v>
      </c>
    </row>
    <row r="9" spans="1:40">
      <c r="A9" s="146">
        <v>5</v>
      </c>
      <c r="B9" s="11" t="s">
        <v>616</v>
      </c>
      <c r="C9" s="142"/>
      <c r="D9" s="166"/>
      <c r="E9" s="166"/>
      <c r="F9" s="166"/>
      <c r="G9" s="166"/>
      <c r="H9" s="166"/>
      <c r="I9" s="143"/>
      <c r="J9" s="144"/>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5">
        <f t="shared" si="0"/>
        <v>0</v>
      </c>
    </row>
    <row r="10" spans="1:40">
      <c r="A10" s="146">
        <v>6</v>
      </c>
      <c r="B10" s="11" t="s">
        <v>743</v>
      </c>
      <c r="C10" s="142"/>
      <c r="D10" s="166"/>
      <c r="E10" s="166"/>
      <c r="F10" s="166"/>
      <c r="G10" s="166"/>
      <c r="H10" s="166"/>
      <c r="I10" s="143"/>
      <c r="J10" s="144"/>
      <c r="K10" s="147"/>
      <c r="L10" s="147"/>
      <c r="M10" s="147"/>
      <c r="N10" s="147"/>
      <c r="O10" s="147"/>
      <c r="P10" s="147"/>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5">
        <f t="shared" si="0"/>
        <v>0</v>
      </c>
    </row>
    <row r="11" spans="1:40">
      <c r="A11" s="146">
        <v>7</v>
      </c>
      <c r="B11" s="11" t="s">
        <v>634</v>
      </c>
      <c r="C11" s="142"/>
      <c r="D11" s="166"/>
      <c r="E11" s="166"/>
      <c r="F11" s="166"/>
      <c r="G11" s="166"/>
      <c r="H11" s="166"/>
      <c r="I11" s="148"/>
      <c r="J11" s="148"/>
      <c r="K11" s="147"/>
      <c r="L11" s="148"/>
      <c r="M11" s="148"/>
      <c r="N11" s="148"/>
      <c r="O11" s="148"/>
      <c r="P11" s="147"/>
      <c r="Q11" s="147"/>
      <c r="R11" s="147"/>
      <c r="S11" s="147"/>
      <c r="T11" s="147"/>
      <c r="U11" s="147"/>
      <c r="V11" s="147"/>
      <c r="W11" s="147"/>
      <c r="X11" s="147"/>
      <c r="Y11" s="147"/>
      <c r="Z11" s="147"/>
      <c r="AA11" s="147"/>
      <c r="AB11" s="147"/>
      <c r="AC11" s="147"/>
      <c r="AD11" s="147"/>
      <c r="AE11" s="147"/>
      <c r="AF11" s="147"/>
      <c r="AG11" s="147"/>
      <c r="AH11" s="147"/>
      <c r="AI11" s="147"/>
      <c r="AJ11" s="147"/>
      <c r="AK11" s="147"/>
      <c r="AL11" s="147"/>
      <c r="AM11" s="147"/>
      <c r="AN11" s="145">
        <f t="shared" si="0"/>
        <v>0</v>
      </c>
    </row>
    <row r="12" spans="1:40">
      <c r="A12" s="149">
        <v>8</v>
      </c>
      <c r="B12" s="150" t="s">
        <v>740</v>
      </c>
      <c r="C12" s="151"/>
      <c r="I12" s="152"/>
      <c r="J12" s="152"/>
      <c r="K12" s="153"/>
      <c r="L12" s="152"/>
      <c r="M12" s="152"/>
      <c r="N12" s="152"/>
      <c r="O12" s="152"/>
      <c r="P12" s="153"/>
      <c r="Q12" s="153"/>
      <c r="R12" s="153"/>
      <c r="S12" s="153"/>
      <c r="T12" s="153"/>
      <c r="U12" s="153"/>
      <c r="V12" s="153"/>
      <c r="W12" s="153"/>
      <c r="X12" s="153"/>
      <c r="Y12" s="153"/>
      <c r="Z12" s="153"/>
      <c r="AA12" s="153"/>
      <c r="AB12" s="153"/>
      <c r="AC12" s="153"/>
      <c r="AD12" s="153"/>
      <c r="AE12" s="153"/>
      <c r="AF12" s="153"/>
      <c r="AG12" s="153"/>
      <c r="AH12" s="153"/>
      <c r="AI12" s="153"/>
      <c r="AJ12" s="153"/>
      <c r="AK12" s="153"/>
      <c r="AL12" s="153"/>
      <c r="AM12" s="153"/>
      <c r="AN12" s="145">
        <f t="shared" si="0"/>
        <v>0</v>
      </c>
    </row>
    <row r="13" spans="1:40">
      <c r="A13" s="154">
        <v>9</v>
      </c>
      <c r="B13" s="13" t="s">
        <v>834</v>
      </c>
      <c r="C13" s="155"/>
      <c r="D13" s="167"/>
      <c r="E13" s="167"/>
      <c r="F13" s="167"/>
      <c r="G13" s="167"/>
      <c r="H13" s="167"/>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7">
        <f t="shared" si="0"/>
        <v>0</v>
      </c>
    </row>
    <row r="14" spans="1:40" ht="15" customHeight="1"/>
    <row r="15" spans="1:40">
      <c r="A15" s="9" t="s">
        <v>897</v>
      </c>
    </row>
    <row r="16" spans="1:40" ht="6" customHeight="1"/>
    <row r="17" spans="1:43">
      <c r="A17" s="136" t="s">
        <v>829</v>
      </c>
      <c r="B17" s="137" t="s">
        <v>830</v>
      </c>
      <c r="C17" s="137" t="str">
        <f>+C4</f>
        <v>Plan hours</v>
      </c>
      <c r="D17" s="165"/>
      <c r="E17" s="165"/>
      <c r="F17" s="165"/>
      <c r="G17" s="165"/>
      <c r="H17" s="165"/>
      <c r="I17" s="138">
        <v>1</v>
      </c>
      <c r="J17" s="139">
        <v>2</v>
      </c>
      <c r="K17" s="139">
        <v>3</v>
      </c>
      <c r="L17" s="139">
        <v>4</v>
      </c>
      <c r="M17" s="139">
        <v>5</v>
      </c>
      <c r="N17" s="139">
        <v>6</v>
      </c>
      <c r="O17" s="139">
        <v>7</v>
      </c>
      <c r="P17" s="139">
        <v>8</v>
      </c>
      <c r="Q17" s="139">
        <v>9</v>
      </c>
      <c r="R17" s="139">
        <v>10</v>
      </c>
      <c r="S17" s="139">
        <v>11</v>
      </c>
      <c r="T17" s="139">
        <v>12</v>
      </c>
      <c r="U17" s="139">
        <v>13</v>
      </c>
      <c r="V17" s="139">
        <v>14</v>
      </c>
      <c r="W17" s="139">
        <v>15</v>
      </c>
      <c r="X17" s="139">
        <v>16</v>
      </c>
      <c r="Y17" s="139">
        <v>17</v>
      </c>
      <c r="Z17" s="139">
        <v>18</v>
      </c>
      <c r="AA17" s="139">
        <v>19</v>
      </c>
      <c r="AB17" s="139">
        <v>20</v>
      </c>
      <c r="AC17" s="139">
        <v>21</v>
      </c>
      <c r="AD17" s="139">
        <v>22</v>
      </c>
      <c r="AE17" s="139">
        <v>23</v>
      </c>
      <c r="AF17" s="139">
        <v>24</v>
      </c>
      <c r="AG17" s="139">
        <v>25</v>
      </c>
      <c r="AH17" s="139">
        <v>26</v>
      </c>
      <c r="AI17" s="139">
        <v>27</v>
      </c>
      <c r="AJ17" s="139">
        <v>28</v>
      </c>
      <c r="AK17" s="139">
        <v>29</v>
      </c>
      <c r="AL17" s="139">
        <v>30</v>
      </c>
      <c r="AM17" s="139">
        <v>31</v>
      </c>
      <c r="AN17" s="137" t="s">
        <v>793</v>
      </c>
    </row>
    <row r="18" spans="1:43">
      <c r="A18" s="140">
        <v>1</v>
      </c>
      <c r="B18" s="141" t="s">
        <v>832</v>
      </c>
      <c r="C18" s="142"/>
      <c r="D18" s="166"/>
      <c r="E18" s="166"/>
      <c r="F18" s="166"/>
      <c r="G18" s="166"/>
      <c r="H18" s="166"/>
      <c r="I18" s="144"/>
      <c r="J18" s="144"/>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5">
        <f>SUM(I18:AM18)</f>
        <v>0</v>
      </c>
    </row>
    <row r="19" spans="1:43">
      <c r="A19" s="146">
        <v>2</v>
      </c>
      <c r="B19" s="11" t="s">
        <v>773</v>
      </c>
      <c r="C19" s="142"/>
      <c r="D19" s="166"/>
      <c r="E19" s="166"/>
      <c r="F19" s="166"/>
      <c r="G19" s="166"/>
      <c r="H19" s="166"/>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5">
        <f t="shared" ref="AN19:AN26" si="1">SUM(I19:AM19)</f>
        <v>0</v>
      </c>
    </row>
    <row r="20" spans="1:43">
      <c r="A20" s="146">
        <v>3</v>
      </c>
      <c r="B20" s="11" t="s">
        <v>833</v>
      </c>
      <c r="C20" s="142"/>
      <c r="D20" s="166"/>
      <c r="E20" s="166"/>
      <c r="F20" s="166"/>
      <c r="G20" s="166"/>
      <c r="H20" s="166"/>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5">
        <f t="shared" si="1"/>
        <v>0</v>
      </c>
    </row>
    <row r="21" spans="1:43">
      <c r="A21" s="146">
        <v>4</v>
      </c>
      <c r="B21" s="11" t="s">
        <v>815</v>
      </c>
      <c r="C21" s="142"/>
      <c r="D21" s="166"/>
      <c r="E21" s="166"/>
      <c r="F21" s="166"/>
      <c r="G21" s="166"/>
      <c r="H21" s="166"/>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5">
        <f t="shared" si="1"/>
        <v>0</v>
      </c>
    </row>
    <row r="22" spans="1:43">
      <c r="A22" s="146">
        <v>5</v>
      </c>
      <c r="B22" s="11" t="s">
        <v>616</v>
      </c>
      <c r="C22" s="142"/>
      <c r="D22" s="166"/>
      <c r="E22" s="166"/>
      <c r="F22" s="166"/>
      <c r="G22" s="166"/>
      <c r="H22" s="166"/>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5">
        <f t="shared" si="1"/>
        <v>0</v>
      </c>
    </row>
    <row r="23" spans="1:43">
      <c r="A23" s="146">
        <v>6</v>
      </c>
      <c r="B23" s="11" t="s">
        <v>743</v>
      </c>
      <c r="C23" s="142"/>
      <c r="D23" s="166"/>
      <c r="E23" s="166"/>
      <c r="F23" s="166"/>
      <c r="G23" s="166"/>
      <c r="H23" s="166"/>
      <c r="I23" s="144"/>
      <c r="J23" s="144"/>
      <c r="K23" s="144"/>
      <c r="L23" s="144"/>
      <c r="M23" s="144"/>
      <c r="N23" s="144"/>
      <c r="O23" s="144"/>
      <c r="P23" s="144"/>
      <c r="Q23" s="144"/>
      <c r="R23" s="144"/>
      <c r="S23" s="144"/>
      <c r="T23" s="144"/>
      <c r="U23" s="144"/>
      <c r="V23" s="144"/>
      <c r="W23" s="144"/>
      <c r="X23" s="144"/>
      <c r="Y23" s="144"/>
      <c r="Z23" s="144"/>
      <c r="AA23" s="147"/>
      <c r="AB23" s="147"/>
      <c r="AC23" s="147"/>
      <c r="AD23" s="147"/>
      <c r="AE23" s="147"/>
      <c r="AF23" s="147"/>
      <c r="AG23" s="147"/>
      <c r="AH23" s="147"/>
      <c r="AI23" s="147"/>
      <c r="AJ23" s="147"/>
      <c r="AK23" s="147"/>
      <c r="AL23" s="147"/>
      <c r="AM23" s="147"/>
      <c r="AN23" s="145">
        <f t="shared" si="1"/>
        <v>0</v>
      </c>
    </row>
    <row r="24" spans="1:43">
      <c r="A24" s="146">
        <v>7</v>
      </c>
      <c r="B24" s="11" t="s">
        <v>634</v>
      </c>
      <c r="C24" s="142"/>
      <c r="D24" s="166"/>
      <c r="E24" s="166"/>
      <c r="F24" s="166"/>
      <c r="G24" s="166"/>
      <c r="H24" s="166"/>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5">
        <f t="shared" si="1"/>
        <v>0</v>
      </c>
    </row>
    <row r="25" spans="1:43">
      <c r="A25" s="149">
        <v>8</v>
      </c>
      <c r="B25" s="150" t="s">
        <v>835</v>
      </c>
      <c r="C25" s="151"/>
      <c r="I25" s="153"/>
      <c r="J25" s="15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153"/>
      <c r="AH25" s="153"/>
      <c r="AI25" s="153"/>
      <c r="AJ25" s="153"/>
      <c r="AK25" s="153"/>
      <c r="AL25" s="153"/>
      <c r="AM25" s="153"/>
      <c r="AN25" s="158">
        <f t="shared" si="1"/>
        <v>0</v>
      </c>
    </row>
    <row r="26" spans="1:43">
      <c r="A26" s="154">
        <v>9</v>
      </c>
      <c r="B26" s="13" t="s">
        <v>834</v>
      </c>
      <c r="C26" s="155"/>
      <c r="D26" s="167"/>
      <c r="E26" s="167"/>
      <c r="F26" s="167"/>
      <c r="G26" s="167"/>
      <c r="H26" s="167"/>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7">
        <f t="shared" si="1"/>
        <v>0</v>
      </c>
    </row>
    <row r="27" spans="1:43" ht="15.75" customHeight="1">
      <c r="A27" s="134"/>
      <c r="M27" s="159"/>
    </row>
    <row r="28" spans="1:43">
      <c r="A28" s="9" t="s">
        <v>898</v>
      </c>
    </row>
    <row r="29" spans="1:43" ht="5.25" customHeight="1"/>
    <row r="30" spans="1:43" s="135" customFormat="1">
      <c r="A30" s="136" t="s">
        <v>829</v>
      </c>
      <c r="B30" s="137" t="s">
        <v>830</v>
      </c>
      <c r="C30" s="137" t="s">
        <v>831</v>
      </c>
      <c r="D30" s="165"/>
      <c r="E30" s="165"/>
      <c r="F30" s="165"/>
      <c r="G30" s="165"/>
      <c r="H30" s="165"/>
      <c r="I30" s="138">
        <v>1</v>
      </c>
      <c r="J30" s="139">
        <v>2</v>
      </c>
      <c r="K30" s="139">
        <v>3</v>
      </c>
      <c r="L30" s="139">
        <v>4</v>
      </c>
      <c r="M30" s="139">
        <v>5</v>
      </c>
      <c r="N30" s="139">
        <v>6</v>
      </c>
      <c r="O30" s="139">
        <v>7</v>
      </c>
      <c r="P30" s="139">
        <v>8</v>
      </c>
      <c r="Q30" s="139">
        <v>9</v>
      </c>
      <c r="R30" s="139">
        <v>10</v>
      </c>
      <c r="S30" s="139">
        <v>11</v>
      </c>
      <c r="T30" s="139">
        <v>12</v>
      </c>
      <c r="U30" s="139">
        <v>13</v>
      </c>
      <c r="V30" s="139">
        <v>14</v>
      </c>
      <c r="W30" s="139">
        <v>15</v>
      </c>
      <c r="X30" s="139">
        <v>16</v>
      </c>
      <c r="Y30" s="139">
        <v>17</v>
      </c>
      <c r="Z30" s="139">
        <v>18</v>
      </c>
      <c r="AA30" s="139">
        <v>19</v>
      </c>
      <c r="AB30" s="139">
        <v>20</v>
      </c>
      <c r="AC30" s="139">
        <v>21</v>
      </c>
      <c r="AD30" s="139">
        <v>22</v>
      </c>
      <c r="AE30" s="139">
        <v>23</v>
      </c>
      <c r="AF30" s="139">
        <v>24</v>
      </c>
      <c r="AG30" s="139">
        <v>25</v>
      </c>
      <c r="AH30" s="139">
        <v>26</v>
      </c>
      <c r="AI30" s="139">
        <v>27</v>
      </c>
      <c r="AJ30" s="139">
        <v>28</v>
      </c>
      <c r="AK30" s="139">
        <v>29</v>
      </c>
      <c r="AL30" s="139">
        <v>30</v>
      </c>
      <c r="AM30" s="139">
        <v>31</v>
      </c>
      <c r="AN30" s="137" t="s">
        <v>793</v>
      </c>
    </row>
    <row r="31" spans="1:43">
      <c r="A31" s="140">
        <v>1</v>
      </c>
      <c r="B31" s="141" t="s">
        <v>832</v>
      </c>
      <c r="C31" s="142">
        <f t="shared" ref="C31:C37" si="2">C5+C18</f>
        <v>0</v>
      </c>
      <c r="D31" s="166"/>
      <c r="E31" s="166"/>
      <c r="F31" s="166"/>
      <c r="G31" s="166"/>
      <c r="H31" s="166"/>
      <c r="I31" s="160">
        <f>I5+0.9*I18</f>
        <v>0</v>
      </c>
      <c r="J31" s="160">
        <f>J5+0.9*J18</f>
        <v>0</v>
      </c>
      <c r="K31" s="160">
        <f>K5+0.9*K18</f>
        <v>0</v>
      </c>
      <c r="L31" s="160">
        <f t="shared" ref="L31:AI31" si="3">L5+0.9*L18</f>
        <v>0</v>
      </c>
      <c r="M31" s="160">
        <f t="shared" si="3"/>
        <v>0</v>
      </c>
      <c r="N31" s="160">
        <f t="shared" si="3"/>
        <v>0</v>
      </c>
      <c r="O31" s="160">
        <f t="shared" si="3"/>
        <v>0</v>
      </c>
      <c r="P31" s="160">
        <f t="shared" si="3"/>
        <v>0</v>
      </c>
      <c r="Q31" s="160">
        <f t="shared" si="3"/>
        <v>0</v>
      </c>
      <c r="R31" s="160">
        <f t="shared" si="3"/>
        <v>0</v>
      </c>
      <c r="S31" s="160">
        <f t="shared" si="3"/>
        <v>0</v>
      </c>
      <c r="T31" s="160">
        <f t="shared" si="3"/>
        <v>0</v>
      </c>
      <c r="U31" s="160">
        <f t="shared" si="3"/>
        <v>0</v>
      </c>
      <c r="V31" s="160">
        <f t="shared" si="3"/>
        <v>0</v>
      </c>
      <c r="W31" s="160">
        <f t="shared" si="3"/>
        <v>0</v>
      </c>
      <c r="X31" s="160">
        <f t="shared" si="3"/>
        <v>0</v>
      </c>
      <c r="Y31" s="160">
        <f t="shared" si="3"/>
        <v>0</v>
      </c>
      <c r="Z31" s="160">
        <f t="shared" si="3"/>
        <v>0</v>
      </c>
      <c r="AA31" s="160">
        <f t="shared" si="3"/>
        <v>0</v>
      </c>
      <c r="AB31" s="160">
        <f t="shared" si="3"/>
        <v>0</v>
      </c>
      <c r="AC31" s="160">
        <f t="shared" si="3"/>
        <v>0</v>
      </c>
      <c r="AD31" s="160">
        <f t="shared" si="3"/>
        <v>0</v>
      </c>
      <c r="AE31" s="160">
        <f t="shared" si="3"/>
        <v>0</v>
      </c>
      <c r="AF31" s="160">
        <f t="shared" si="3"/>
        <v>0</v>
      </c>
      <c r="AG31" s="160">
        <f t="shared" si="3"/>
        <v>0</v>
      </c>
      <c r="AH31" s="160">
        <f t="shared" si="3"/>
        <v>0</v>
      </c>
      <c r="AI31" s="160">
        <f t="shared" si="3"/>
        <v>0</v>
      </c>
      <c r="AJ31" s="160">
        <f>AJ5+0.9*AJ18</f>
        <v>0</v>
      </c>
      <c r="AK31" s="160">
        <f>AK5+0.9*AK18</f>
        <v>0</v>
      </c>
      <c r="AL31" s="160">
        <f t="shared" ref="AL31:AM37" si="4">AL5+0.9*AL18</f>
        <v>0</v>
      </c>
      <c r="AM31" s="160">
        <f t="shared" si="4"/>
        <v>0</v>
      </c>
      <c r="AN31" s="161">
        <f t="shared" ref="AN31:AN35" si="5">SUM(I31:AM31)</f>
        <v>0</v>
      </c>
      <c r="AO31" s="162">
        <f>AL31/10</f>
        <v>0</v>
      </c>
      <c r="AP31" s="163"/>
      <c r="AQ31">
        <f>AN31/10</f>
        <v>0</v>
      </c>
    </row>
    <row r="32" spans="1:43">
      <c r="A32" s="146">
        <v>2</v>
      </c>
      <c r="B32" s="11" t="s">
        <v>773</v>
      </c>
      <c r="C32" s="142">
        <f t="shared" si="2"/>
        <v>0</v>
      </c>
      <c r="D32" s="166"/>
      <c r="E32" s="166"/>
      <c r="F32" s="166"/>
      <c r="G32" s="166"/>
      <c r="H32" s="166"/>
      <c r="I32" s="160">
        <f t="shared" ref="I32:AI39" si="6">I6+0.9*I19</f>
        <v>0</v>
      </c>
      <c r="J32" s="160">
        <f t="shared" si="6"/>
        <v>0</v>
      </c>
      <c r="K32" s="160">
        <f t="shared" si="6"/>
        <v>0</v>
      </c>
      <c r="L32" s="160">
        <f t="shared" si="6"/>
        <v>0</v>
      </c>
      <c r="M32" s="160">
        <f t="shared" si="6"/>
        <v>0</v>
      </c>
      <c r="N32" s="160">
        <f t="shared" si="6"/>
        <v>0</v>
      </c>
      <c r="O32" s="160">
        <f t="shared" si="6"/>
        <v>0</v>
      </c>
      <c r="P32" s="160">
        <f t="shared" si="6"/>
        <v>0</v>
      </c>
      <c r="Q32" s="160">
        <f t="shared" si="6"/>
        <v>0</v>
      </c>
      <c r="R32" s="160">
        <f t="shared" si="6"/>
        <v>0</v>
      </c>
      <c r="S32" s="160">
        <f t="shared" si="6"/>
        <v>0</v>
      </c>
      <c r="T32" s="160">
        <f t="shared" si="6"/>
        <v>0</v>
      </c>
      <c r="U32" s="160">
        <f t="shared" si="6"/>
        <v>0</v>
      </c>
      <c r="V32" s="160">
        <f t="shared" si="6"/>
        <v>0</v>
      </c>
      <c r="W32" s="160">
        <f t="shared" si="6"/>
        <v>0</v>
      </c>
      <c r="X32" s="160">
        <f t="shared" si="6"/>
        <v>0</v>
      </c>
      <c r="Y32" s="160">
        <f t="shared" si="6"/>
        <v>0</v>
      </c>
      <c r="Z32" s="160">
        <f t="shared" si="6"/>
        <v>0</v>
      </c>
      <c r="AA32" s="160">
        <f t="shared" si="6"/>
        <v>0</v>
      </c>
      <c r="AB32" s="160">
        <f t="shared" si="6"/>
        <v>0</v>
      </c>
      <c r="AC32" s="160">
        <f t="shared" si="6"/>
        <v>0</v>
      </c>
      <c r="AD32" s="160">
        <f t="shared" si="6"/>
        <v>0</v>
      </c>
      <c r="AE32" s="160">
        <f t="shared" si="6"/>
        <v>0</v>
      </c>
      <c r="AF32" s="160">
        <f t="shared" si="6"/>
        <v>0</v>
      </c>
      <c r="AG32" s="160">
        <f t="shared" si="6"/>
        <v>0</v>
      </c>
      <c r="AH32" s="160">
        <f t="shared" si="6"/>
        <v>0</v>
      </c>
      <c r="AI32" s="160">
        <f t="shared" si="6"/>
        <v>0</v>
      </c>
      <c r="AJ32" s="160">
        <f>AJ6+0.9*AJ19</f>
        <v>0</v>
      </c>
      <c r="AK32" s="160">
        <f>AK6+0.9*AK19</f>
        <v>0</v>
      </c>
      <c r="AL32" s="160">
        <f t="shared" si="4"/>
        <v>0</v>
      </c>
      <c r="AM32" s="160">
        <f t="shared" si="4"/>
        <v>0</v>
      </c>
      <c r="AN32" s="161">
        <f t="shared" si="5"/>
        <v>0</v>
      </c>
      <c r="AO32" s="162">
        <f t="shared" ref="AO32:AO39" si="7">AL32/10</f>
        <v>0</v>
      </c>
      <c r="AP32" s="163"/>
      <c r="AQ32">
        <f t="shared" ref="AQ32:AQ39" si="8">AN32/10</f>
        <v>0</v>
      </c>
    </row>
    <row r="33" spans="1:43">
      <c r="A33" s="146">
        <v>3</v>
      </c>
      <c r="B33" s="11" t="s">
        <v>833</v>
      </c>
      <c r="C33" s="142">
        <f t="shared" si="2"/>
        <v>0</v>
      </c>
      <c r="D33" s="166"/>
      <c r="E33" s="166"/>
      <c r="F33" s="166"/>
      <c r="G33" s="166"/>
      <c r="H33" s="166"/>
      <c r="I33" s="160">
        <f t="shared" si="6"/>
        <v>0</v>
      </c>
      <c r="J33" s="160">
        <f t="shared" si="6"/>
        <v>0</v>
      </c>
      <c r="K33" s="160">
        <f t="shared" si="6"/>
        <v>0</v>
      </c>
      <c r="L33" s="160">
        <f t="shared" si="6"/>
        <v>0</v>
      </c>
      <c r="M33" s="160">
        <f t="shared" si="6"/>
        <v>0</v>
      </c>
      <c r="N33" s="160">
        <f t="shared" si="6"/>
        <v>0</v>
      </c>
      <c r="O33" s="160">
        <f t="shared" si="6"/>
        <v>0</v>
      </c>
      <c r="P33" s="160">
        <f t="shared" si="6"/>
        <v>0</v>
      </c>
      <c r="Q33" s="160">
        <f t="shared" si="6"/>
        <v>0</v>
      </c>
      <c r="R33" s="160">
        <f t="shared" si="6"/>
        <v>0</v>
      </c>
      <c r="S33" s="160">
        <f t="shared" si="6"/>
        <v>0</v>
      </c>
      <c r="T33" s="160">
        <f t="shared" si="6"/>
        <v>0</v>
      </c>
      <c r="U33" s="160">
        <f t="shared" si="6"/>
        <v>0</v>
      </c>
      <c r="V33" s="160">
        <f t="shared" si="6"/>
        <v>0</v>
      </c>
      <c r="W33" s="160">
        <f t="shared" si="6"/>
        <v>0</v>
      </c>
      <c r="X33" s="160">
        <f t="shared" si="6"/>
        <v>0</v>
      </c>
      <c r="Y33" s="160">
        <f t="shared" si="6"/>
        <v>0</v>
      </c>
      <c r="Z33" s="160">
        <f t="shared" si="6"/>
        <v>0</v>
      </c>
      <c r="AA33" s="160">
        <f t="shared" si="6"/>
        <v>0</v>
      </c>
      <c r="AB33" s="160">
        <f t="shared" si="6"/>
        <v>0</v>
      </c>
      <c r="AC33" s="160">
        <f t="shared" si="6"/>
        <v>0</v>
      </c>
      <c r="AD33" s="160">
        <f t="shared" si="6"/>
        <v>0</v>
      </c>
      <c r="AE33" s="160">
        <f t="shared" si="6"/>
        <v>0</v>
      </c>
      <c r="AF33" s="160">
        <f t="shared" si="6"/>
        <v>0</v>
      </c>
      <c r="AG33" s="160">
        <f t="shared" si="6"/>
        <v>0</v>
      </c>
      <c r="AH33" s="160">
        <f t="shared" si="6"/>
        <v>0</v>
      </c>
      <c r="AI33" s="160">
        <f t="shared" si="6"/>
        <v>0</v>
      </c>
      <c r="AJ33" s="160">
        <f t="shared" ref="AJ33:AM39" si="9">AJ7+0.9*AJ20</f>
        <v>0</v>
      </c>
      <c r="AK33" s="160">
        <f t="shared" si="9"/>
        <v>0</v>
      </c>
      <c r="AL33" s="160">
        <f t="shared" si="4"/>
        <v>0</v>
      </c>
      <c r="AM33" s="160">
        <f t="shared" si="4"/>
        <v>0</v>
      </c>
      <c r="AN33" s="161">
        <f t="shared" si="5"/>
        <v>0</v>
      </c>
      <c r="AO33" s="162">
        <f t="shared" si="7"/>
        <v>0</v>
      </c>
      <c r="AP33" s="163"/>
      <c r="AQ33">
        <f t="shared" si="8"/>
        <v>0</v>
      </c>
    </row>
    <row r="34" spans="1:43">
      <c r="A34" s="146">
        <v>4</v>
      </c>
      <c r="B34" s="11" t="s">
        <v>815</v>
      </c>
      <c r="C34" s="142">
        <f t="shared" si="2"/>
        <v>0</v>
      </c>
      <c r="D34" s="166"/>
      <c r="E34" s="166"/>
      <c r="F34" s="166"/>
      <c r="G34" s="166"/>
      <c r="H34" s="166"/>
      <c r="I34" s="160">
        <f t="shared" si="6"/>
        <v>0</v>
      </c>
      <c r="J34" s="160">
        <f t="shared" si="6"/>
        <v>0</v>
      </c>
      <c r="K34" s="160">
        <f>K8+0.9*K21</f>
        <v>0</v>
      </c>
      <c r="L34" s="160">
        <f t="shared" si="6"/>
        <v>0</v>
      </c>
      <c r="M34" s="160">
        <f t="shared" si="6"/>
        <v>0</v>
      </c>
      <c r="N34" s="160">
        <f t="shared" si="6"/>
        <v>0</v>
      </c>
      <c r="O34" s="160">
        <f t="shared" si="6"/>
        <v>0</v>
      </c>
      <c r="P34" s="160">
        <f t="shared" si="6"/>
        <v>0</v>
      </c>
      <c r="Q34" s="160">
        <f t="shared" si="6"/>
        <v>0</v>
      </c>
      <c r="R34" s="160">
        <f t="shared" si="6"/>
        <v>0</v>
      </c>
      <c r="S34" s="160">
        <f t="shared" si="6"/>
        <v>0</v>
      </c>
      <c r="T34" s="160">
        <f t="shared" si="6"/>
        <v>0</v>
      </c>
      <c r="U34" s="160">
        <f t="shared" si="6"/>
        <v>0</v>
      </c>
      <c r="V34" s="160">
        <f t="shared" si="6"/>
        <v>0</v>
      </c>
      <c r="W34" s="160">
        <f t="shared" si="6"/>
        <v>0</v>
      </c>
      <c r="X34" s="160">
        <f t="shared" si="6"/>
        <v>0</v>
      </c>
      <c r="Y34" s="160">
        <f t="shared" si="6"/>
        <v>0</v>
      </c>
      <c r="Z34" s="160">
        <f t="shared" si="6"/>
        <v>0</v>
      </c>
      <c r="AA34" s="160">
        <f t="shared" si="6"/>
        <v>0</v>
      </c>
      <c r="AB34" s="160">
        <f t="shared" si="6"/>
        <v>0</v>
      </c>
      <c r="AC34" s="160">
        <f t="shared" si="6"/>
        <v>0</v>
      </c>
      <c r="AD34" s="160">
        <f t="shared" si="6"/>
        <v>0</v>
      </c>
      <c r="AE34" s="160">
        <f t="shared" si="6"/>
        <v>0</v>
      </c>
      <c r="AF34" s="160">
        <f t="shared" si="6"/>
        <v>0</v>
      </c>
      <c r="AG34" s="160">
        <f t="shared" si="6"/>
        <v>0</v>
      </c>
      <c r="AH34" s="160">
        <f t="shared" si="6"/>
        <v>0</v>
      </c>
      <c r="AI34" s="160">
        <f t="shared" si="6"/>
        <v>0</v>
      </c>
      <c r="AJ34" s="160">
        <f t="shared" si="9"/>
        <v>0</v>
      </c>
      <c r="AK34" s="160">
        <f t="shared" si="9"/>
        <v>0</v>
      </c>
      <c r="AL34" s="160">
        <f t="shared" si="4"/>
        <v>0</v>
      </c>
      <c r="AM34" s="160">
        <f t="shared" si="4"/>
        <v>0</v>
      </c>
      <c r="AN34" s="161">
        <f t="shared" si="5"/>
        <v>0</v>
      </c>
      <c r="AO34" s="162">
        <f t="shared" si="7"/>
        <v>0</v>
      </c>
      <c r="AP34" s="163"/>
      <c r="AQ34">
        <f t="shared" si="8"/>
        <v>0</v>
      </c>
    </row>
    <row r="35" spans="1:43">
      <c r="A35" s="146">
        <v>5</v>
      </c>
      <c r="B35" s="11" t="s">
        <v>616</v>
      </c>
      <c r="C35" s="142">
        <f t="shared" si="2"/>
        <v>0</v>
      </c>
      <c r="D35" s="166"/>
      <c r="E35" s="166"/>
      <c r="F35" s="166"/>
      <c r="G35" s="166"/>
      <c r="H35" s="166"/>
      <c r="I35" s="160">
        <f t="shared" si="6"/>
        <v>0</v>
      </c>
      <c r="J35" s="160">
        <f t="shared" si="6"/>
        <v>0</v>
      </c>
      <c r="K35" s="160">
        <f t="shared" si="6"/>
        <v>0</v>
      </c>
      <c r="L35" s="160">
        <f t="shared" si="6"/>
        <v>0</v>
      </c>
      <c r="M35" s="160">
        <f t="shared" si="6"/>
        <v>0</v>
      </c>
      <c r="N35" s="160">
        <f t="shared" si="6"/>
        <v>0</v>
      </c>
      <c r="O35" s="160">
        <f t="shared" si="6"/>
        <v>0</v>
      </c>
      <c r="P35" s="160">
        <f t="shared" si="6"/>
        <v>0</v>
      </c>
      <c r="Q35" s="160">
        <f t="shared" si="6"/>
        <v>0</v>
      </c>
      <c r="R35" s="160">
        <f t="shared" si="6"/>
        <v>0</v>
      </c>
      <c r="S35" s="160">
        <f t="shared" si="6"/>
        <v>0</v>
      </c>
      <c r="T35" s="160">
        <f t="shared" si="6"/>
        <v>0</v>
      </c>
      <c r="U35" s="160">
        <f t="shared" si="6"/>
        <v>0</v>
      </c>
      <c r="V35" s="160">
        <f t="shared" si="6"/>
        <v>0</v>
      </c>
      <c r="W35" s="160">
        <f t="shared" si="6"/>
        <v>0</v>
      </c>
      <c r="X35" s="160">
        <f t="shared" si="6"/>
        <v>0</v>
      </c>
      <c r="Y35" s="160">
        <f t="shared" si="6"/>
        <v>0</v>
      </c>
      <c r="Z35" s="160">
        <f t="shared" si="6"/>
        <v>0</v>
      </c>
      <c r="AA35" s="160">
        <f t="shared" si="6"/>
        <v>0</v>
      </c>
      <c r="AB35" s="160">
        <f t="shared" si="6"/>
        <v>0</v>
      </c>
      <c r="AC35" s="160">
        <f t="shared" si="6"/>
        <v>0</v>
      </c>
      <c r="AD35" s="160">
        <f t="shared" si="6"/>
        <v>0</v>
      </c>
      <c r="AE35" s="160">
        <f t="shared" si="6"/>
        <v>0</v>
      </c>
      <c r="AF35" s="160">
        <f t="shared" si="6"/>
        <v>0</v>
      </c>
      <c r="AG35" s="160">
        <f t="shared" si="6"/>
        <v>0</v>
      </c>
      <c r="AH35" s="160">
        <f t="shared" si="6"/>
        <v>0</v>
      </c>
      <c r="AI35" s="160">
        <f t="shared" si="6"/>
        <v>0</v>
      </c>
      <c r="AJ35" s="160">
        <f t="shared" si="9"/>
        <v>0</v>
      </c>
      <c r="AK35" s="160">
        <f t="shared" si="9"/>
        <v>0</v>
      </c>
      <c r="AL35" s="160">
        <f t="shared" si="4"/>
        <v>0</v>
      </c>
      <c r="AM35" s="160">
        <f t="shared" si="4"/>
        <v>0</v>
      </c>
      <c r="AN35" s="161">
        <f t="shared" si="5"/>
        <v>0</v>
      </c>
      <c r="AO35" s="162">
        <f t="shared" si="7"/>
        <v>0</v>
      </c>
      <c r="AP35" s="163"/>
      <c r="AQ35">
        <f t="shared" si="8"/>
        <v>0</v>
      </c>
    </row>
    <row r="36" spans="1:43">
      <c r="A36" s="146">
        <v>6</v>
      </c>
      <c r="B36" s="11" t="s">
        <v>743</v>
      </c>
      <c r="C36" s="142">
        <f t="shared" si="2"/>
        <v>0</v>
      </c>
      <c r="D36" s="166"/>
      <c r="E36" s="166"/>
      <c r="F36" s="166"/>
      <c r="G36" s="166"/>
      <c r="H36" s="166"/>
      <c r="I36" s="160">
        <f t="shared" si="6"/>
        <v>0</v>
      </c>
      <c r="J36" s="160">
        <f t="shared" si="6"/>
        <v>0</v>
      </c>
      <c r="K36" s="160">
        <f t="shared" si="6"/>
        <v>0</v>
      </c>
      <c r="L36" s="160">
        <f t="shared" si="6"/>
        <v>0</v>
      </c>
      <c r="M36" s="160">
        <f t="shared" si="6"/>
        <v>0</v>
      </c>
      <c r="N36" s="160">
        <f t="shared" si="6"/>
        <v>0</v>
      </c>
      <c r="O36" s="160">
        <f t="shared" si="6"/>
        <v>0</v>
      </c>
      <c r="P36" s="160">
        <f t="shared" si="6"/>
        <v>0</v>
      </c>
      <c r="Q36" s="160">
        <f t="shared" si="6"/>
        <v>0</v>
      </c>
      <c r="R36" s="160">
        <f t="shared" si="6"/>
        <v>0</v>
      </c>
      <c r="S36" s="160">
        <f t="shared" si="6"/>
        <v>0</v>
      </c>
      <c r="T36" s="160">
        <f t="shared" si="6"/>
        <v>0</v>
      </c>
      <c r="U36" s="160">
        <f t="shared" si="6"/>
        <v>0</v>
      </c>
      <c r="V36" s="160">
        <f t="shared" si="6"/>
        <v>0</v>
      </c>
      <c r="W36" s="160">
        <f t="shared" si="6"/>
        <v>0</v>
      </c>
      <c r="X36" s="160">
        <f t="shared" si="6"/>
        <v>0</v>
      </c>
      <c r="Y36" s="160">
        <f t="shared" si="6"/>
        <v>0</v>
      </c>
      <c r="Z36" s="160">
        <f t="shared" si="6"/>
        <v>0</v>
      </c>
      <c r="AA36" s="160">
        <f t="shared" si="6"/>
        <v>0</v>
      </c>
      <c r="AB36" s="160">
        <f t="shared" si="6"/>
        <v>0</v>
      </c>
      <c r="AC36" s="160">
        <f t="shared" si="6"/>
        <v>0</v>
      </c>
      <c r="AD36" s="160">
        <f t="shared" si="6"/>
        <v>0</v>
      </c>
      <c r="AE36" s="160">
        <f t="shared" si="6"/>
        <v>0</v>
      </c>
      <c r="AF36" s="160">
        <f t="shared" si="6"/>
        <v>0</v>
      </c>
      <c r="AG36" s="160">
        <f t="shared" si="6"/>
        <v>0</v>
      </c>
      <c r="AH36" s="160">
        <f t="shared" si="6"/>
        <v>0</v>
      </c>
      <c r="AI36" s="160">
        <f t="shared" si="6"/>
        <v>0</v>
      </c>
      <c r="AJ36" s="160">
        <f t="shared" si="9"/>
        <v>0</v>
      </c>
      <c r="AK36" s="160">
        <f t="shared" si="9"/>
        <v>0</v>
      </c>
      <c r="AL36" s="160">
        <f t="shared" si="4"/>
        <v>0</v>
      </c>
      <c r="AM36" s="160">
        <f t="shared" si="4"/>
        <v>0</v>
      </c>
      <c r="AN36" s="161">
        <f>SUM(I36:AM36)</f>
        <v>0</v>
      </c>
      <c r="AO36" s="162">
        <f t="shared" si="7"/>
        <v>0</v>
      </c>
      <c r="AP36" s="163"/>
      <c r="AQ36">
        <f t="shared" si="8"/>
        <v>0</v>
      </c>
    </row>
    <row r="37" spans="1:43">
      <c r="A37" s="146">
        <v>7</v>
      </c>
      <c r="B37" s="11" t="s">
        <v>634</v>
      </c>
      <c r="C37" s="142">
        <f t="shared" si="2"/>
        <v>0</v>
      </c>
      <c r="D37" s="166"/>
      <c r="E37" s="166"/>
      <c r="F37" s="166"/>
      <c r="G37" s="166"/>
      <c r="H37" s="166"/>
      <c r="I37" s="160">
        <f t="shared" si="6"/>
        <v>0</v>
      </c>
      <c r="J37" s="160">
        <f t="shared" si="6"/>
        <v>0</v>
      </c>
      <c r="K37" s="160">
        <f t="shared" si="6"/>
        <v>0</v>
      </c>
      <c r="L37" s="160">
        <f t="shared" si="6"/>
        <v>0</v>
      </c>
      <c r="M37" s="160">
        <f t="shared" si="6"/>
        <v>0</v>
      </c>
      <c r="N37" s="160">
        <f t="shared" si="6"/>
        <v>0</v>
      </c>
      <c r="O37" s="160">
        <f t="shared" si="6"/>
        <v>0</v>
      </c>
      <c r="P37" s="160">
        <f t="shared" si="6"/>
        <v>0</v>
      </c>
      <c r="Q37" s="160">
        <f t="shared" si="6"/>
        <v>0</v>
      </c>
      <c r="R37" s="160">
        <f t="shared" si="6"/>
        <v>0</v>
      </c>
      <c r="S37" s="160">
        <f t="shared" si="6"/>
        <v>0</v>
      </c>
      <c r="T37" s="160">
        <f t="shared" si="6"/>
        <v>0</v>
      </c>
      <c r="U37" s="160">
        <f t="shared" si="6"/>
        <v>0</v>
      </c>
      <c r="V37" s="160">
        <f t="shared" si="6"/>
        <v>0</v>
      </c>
      <c r="W37" s="160">
        <f t="shared" si="6"/>
        <v>0</v>
      </c>
      <c r="X37" s="160">
        <f t="shared" si="6"/>
        <v>0</v>
      </c>
      <c r="Y37" s="160">
        <f t="shared" si="6"/>
        <v>0</v>
      </c>
      <c r="Z37" s="160">
        <f t="shared" si="6"/>
        <v>0</v>
      </c>
      <c r="AA37" s="160">
        <f t="shared" si="6"/>
        <v>0</v>
      </c>
      <c r="AB37" s="160">
        <f t="shared" si="6"/>
        <v>0</v>
      </c>
      <c r="AC37" s="160">
        <f t="shared" si="6"/>
        <v>0</v>
      </c>
      <c r="AD37" s="160">
        <f t="shared" si="6"/>
        <v>0</v>
      </c>
      <c r="AE37" s="160">
        <f t="shared" si="6"/>
        <v>0</v>
      </c>
      <c r="AF37" s="160">
        <f t="shared" si="6"/>
        <v>0</v>
      </c>
      <c r="AG37" s="160">
        <f t="shared" si="6"/>
        <v>0</v>
      </c>
      <c r="AH37" s="160">
        <f t="shared" si="6"/>
        <v>0</v>
      </c>
      <c r="AI37" s="160">
        <f t="shared" si="6"/>
        <v>0</v>
      </c>
      <c r="AJ37" s="160">
        <f t="shared" si="9"/>
        <v>0</v>
      </c>
      <c r="AK37" s="160">
        <f t="shared" si="9"/>
        <v>0</v>
      </c>
      <c r="AL37" s="160">
        <f t="shared" si="4"/>
        <v>0</v>
      </c>
      <c r="AM37" s="160">
        <f t="shared" si="4"/>
        <v>0</v>
      </c>
      <c r="AN37" s="161">
        <f t="shared" ref="AN37:AN39" si="10">SUM(I37:AM37)</f>
        <v>0</v>
      </c>
      <c r="AO37" s="162">
        <f t="shared" si="7"/>
        <v>0</v>
      </c>
      <c r="AP37" s="163"/>
      <c r="AQ37">
        <f t="shared" si="8"/>
        <v>0</v>
      </c>
    </row>
    <row r="38" spans="1:43">
      <c r="A38" s="149">
        <v>8</v>
      </c>
      <c r="B38" s="150" t="s">
        <v>835</v>
      </c>
      <c r="C38" s="151"/>
      <c r="I38" s="160">
        <f t="shared" si="6"/>
        <v>0</v>
      </c>
      <c r="J38" s="160">
        <f t="shared" si="6"/>
        <v>0</v>
      </c>
      <c r="K38" s="160">
        <f t="shared" si="6"/>
        <v>0</v>
      </c>
      <c r="L38" s="160">
        <f t="shared" si="6"/>
        <v>0</v>
      </c>
      <c r="M38" s="160">
        <f t="shared" si="6"/>
        <v>0</v>
      </c>
      <c r="N38" s="160">
        <f t="shared" si="6"/>
        <v>0</v>
      </c>
      <c r="O38" s="160">
        <f t="shared" si="6"/>
        <v>0</v>
      </c>
      <c r="P38" s="160">
        <f t="shared" si="6"/>
        <v>0</v>
      </c>
      <c r="Q38" s="160">
        <f t="shared" si="6"/>
        <v>0</v>
      </c>
      <c r="R38" s="160">
        <f t="shared" si="6"/>
        <v>0</v>
      </c>
      <c r="S38" s="160">
        <f t="shared" si="6"/>
        <v>0</v>
      </c>
      <c r="T38" s="160">
        <f t="shared" si="6"/>
        <v>0</v>
      </c>
      <c r="U38" s="160">
        <f t="shared" si="6"/>
        <v>0</v>
      </c>
      <c r="V38" s="160">
        <f t="shared" si="6"/>
        <v>0</v>
      </c>
      <c r="W38" s="160">
        <f t="shared" si="6"/>
        <v>0</v>
      </c>
      <c r="X38" s="160">
        <f t="shared" si="6"/>
        <v>0</v>
      </c>
      <c r="Y38" s="160">
        <f t="shared" si="6"/>
        <v>0</v>
      </c>
      <c r="Z38" s="160">
        <f t="shared" si="6"/>
        <v>0</v>
      </c>
      <c r="AA38" s="160">
        <f t="shared" si="6"/>
        <v>0</v>
      </c>
      <c r="AB38" s="160">
        <f t="shared" si="6"/>
        <v>0</v>
      </c>
      <c r="AC38" s="160">
        <f t="shared" si="6"/>
        <v>0</v>
      </c>
      <c r="AD38" s="160">
        <f t="shared" si="6"/>
        <v>0</v>
      </c>
      <c r="AE38" s="160">
        <f t="shared" si="6"/>
        <v>0</v>
      </c>
      <c r="AF38" s="160">
        <f t="shared" si="6"/>
        <v>0</v>
      </c>
      <c r="AG38" s="160">
        <f t="shared" si="6"/>
        <v>0</v>
      </c>
      <c r="AH38" s="160">
        <f t="shared" si="6"/>
        <v>0</v>
      </c>
      <c r="AI38" s="160">
        <f t="shared" si="6"/>
        <v>0</v>
      </c>
      <c r="AJ38" s="160">
        <f t="shared" si="9"/>
        <v>0</v>
      </c>
      <c r="AK38" s="160">
        <f t="shared" si="9"/>
        <v>0</v>
      </c>
      <c r="AL38" s="160">
        <f t="shared" si="9"/>
        <v>0</v>
      </c>
      <c r="AM38" s="160">
        <f t="shared" si="9"/>
        <v>0</v>
      </c>
      <c r="AN38" s="161">
        <f t="shared" si="10"/>
        <v>0</v>
      </c>
      <c r="AO38" s="162">
        <f t="shared" si="7"/>
        <v>0</v>
      </c>
      <c r="AP38" s="163"/>
      <c r="AQ38">
        <f t="shared" si="8"/>
        <v>0</v>
      </c>
    </row>
    <row r="39" spans="1:43">
      <c r="A39" s="154">
        <v>9</v>
      </c>
      <c r="B39" s="13" t="s">
        <v>834</v>
      </c>
      <c r="C39" s="155">
        <f t="shared" ref="C39" si="11">C13+C26</f>
        <v>0</v>
      </c>
      <c r="D39" s="154"/>
      <c r="E39" s="154"/>
      <c r="F39" s="154"/>
      <c r="G39" s="154"/>
      <c r="H39" s="154"/>
      <c r="I39" s="164">
        <f t="shared" si="6"/>
        <v>0</v>
      </c>
      <c r="J39" s="160">
        <f t="shared" si="6"/>
        <v>0</v>
      </c>
      <c r="K39" s="160">
        <f t="shared" si="6"/>
        <v>0</v>
      </c>
      <c r="L39" s="160">
        <f t="shared" si="6"/>
        <v>0</v>
      </c>
      <c r="M39" s="160">
        <f t="shared" si="6"/>
        <v>0</v>
      </c>
      <c r="N39" s="160">
        <f t="shared" si="6"/>
        <v>0</v>
      </c>
      <c r="O39" s="160">
        <f t="shared" si="6"/>
        <v>0</v>
      </c>
      <c r="P39" s="160">
        <f t="shared" si="6"/>
        <v>0</v>
      </c>
      <c r="Q39" s="160">
        <f t="shared" si="6"/>
        <v>0</v>
      </c>
      <c r="R39" s="160">
        <f t="shared" si="6"/>
        <v>0</v>
      </c>
      <c r="S39" s="160">
        <f t="shared" si="6"/>
        <v>0</v>
      </c>
      <c r="T39" s="160">
        <f t="shared" si="6"/>
        <v>0</v>
      </c>
      <c r="U39" s="160">
        <f t="shared" si="6"/>
        <v>0</v>
      </c>
      <c r="V39" s="160">
        <f t="shared" si="6"/>
        <v>0</v>
      </c>
      <c r="W39" s="160">
        <f t="shared" si="6"/>
        <v>0</v>
      </c>
      <c r="X39" s="160">
        <f t="shared" si="6"/>
        <v>0</v>
      </c>
      <c r="Y39" s="160">
        <f t="shared" si="6"/>
        <v>0</v>
      </c>
      <c r="Z39" s="160">
        <f t="shared" si="6"/>
        <v>0</v>
      </c>
      <c r="AA39" s="160">
        <f t="shared" si="6"/>
        <v>0</v>
      </c>
      <c r="AB39" s="160">
        <f t="shared" si="6"/>
        <v>0</v>
      </c>
      <c r="AC39" s="160">
        <f t="shared" si="6"/>
        <v>0</v>
      </c>
      <c r="AD39" s="160">
        <f t="shared" si="6"/>
        <v>0</v>
      </c>
      <c r="AE39" s="160">
        <f t="shared" si="6"/>
        <v>0</v>
      </c>
      <c r="AF39" s="160">
        <f t="shared" si="6"/>
        <v>0</v>
      </c>
      <c r="AG39" s="160">
        <f t="shared" si="6"/>
        <v>0</v>
      </c>
      <c r="AH39" s="160">
        <f t="shared" si="6"/>
        <v>0</v>
      </c>
      <c r="AI39" s="160">
        <f t="shared" si="6"/>
        <v>0</v>
      </c>
      <c r="AJ39" s="160">
        <f t="shared" si="9"/>
        <v>0</v>
      </c>
      <c r="AK39" s="160">
        <f t="shared" si="9"/>
        <v>0</v>
      </c>
      <c r="AL39" s="160">
        <f t="shared" si="9"/>
        <v>0</v>
      </c>
      <c r="AM39" s="160">
        <f t="shared" si="9"/>
        <v>0</v>
      </c>
      <c r="AN39" s="161">
        <f t="shared" si="10"/>
        <v>0</v>
      </c>
      <c r="AO39" s="162">
        <f t="shared" si="7"/>
        <v>0</v>
      </c>
      <c r="AP39" s="163"/>
      <c r="AQ39">
        <f t="shared" si="8"/>
        <v>0</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34F6-035F-4274-8BEA-C85E15657A83}">
  <dimension ref="A1:BE346"/>
  <sheetViews>
    <sheetView zoomScale="50" zoomScaleNormal="50" workbookViewId="0">
      <pane xSplit="8" ySplit="9" topLeftCell="I10" activePane="bottomRight" state="frozen"/>
      <selection activeCell="H22" sqref="H22"/>
      <selection pane="topRight" activeCell="H22" sqref="H22"/>
      <selection pane="bottomLeft" activeCell="H22" sqref="H22"/>
      <selection pane="bottomRight" activeCell="N344" sqref="N344"/>
    </sheetView>
  </sheetViews>
  <sheetFormatPr defaultRowHeight="13.8"/>
  <cols>
    <col min="1" max="1" width="14.44140625" style="395" customWidth="1"/>
    <col min="2" max="2" width="47.6640625" style="420" customWidth="1"/>
    <col min="3" max="3" width="8.6640625" style="395" customWidth="1"/>
    <col min="4" max="4" width="14.33203125" style="395" customWidth="1"/>
    <col min="5" max="5" width="11" style="432" customWidth="1"/>
    <col min="6" max="6" width="12.44140625" style="432" bestFit="1" customWidth="1"/>
    <col min="7" max="7" width="11" style="395" customWidth="1"/>
    <col min="8" max="8" width="14" style="395" customWidth="1"/>
    <col min="9" max="10" width="11.6640625" style="394" customWidth="1"/>
    <col min="11" max="14" width="11.6640625" style="393" customWidth="1"/>
    <col min="15" max="15" width="12" style="393" customWidth="1"/>
    <col min="16" max="16" width="11.6640625" style="394" customWidth="1"/>
    <col min="17" max="17" width="11.6640625" style="393" customWidth="1"/>
    <col min="18" max="18" width="13.109375" style="393" customWidth="1"/>
    <col min="19" max="19" width="12" style="393" customWidth="1"/>
    <col min="20" max="21" width="11.6640625" style="393" customWidth="1"/>
    <col min="22" max="22" width="12" style="393" customWidth="1"/>
    <col min="23" max="23" width="12.109375" style="394" customWidth="1"/>
    <col min="24" max="25" width="11.6640625" style="393" customWidth="1"/>
    <col min="26" max="26" width="11.88671875" style="393" customWidth="1"/>
    <col min="27" max="27" width="12.33203125" style="393" customWidth="1"/>
    <col min="28" max="29" width="12.109375" style="393" customWidth="1"/>
    <col min="30" max="30" width="12.109375" style="394" customWidth="1"/>
    <col min="31" max="31" width="11.88671875" style="393" customWidth="1"/>
    <col min="32" max="32" width="13.109375" style="393" customWidth="1"/>
    <col min="33" max="33" width="12.33203125" style="393" customWidth="1"/>
    <col min="34" max="34" width="12.109375" style="393" customWidth="1"/>
    <col min="35" max="35" width="13.109375" style="393" customWidth="1"/>
    <col min="36" max="36" width="14.44140625" style="393" customWidth="1"/>
    <col min="37" max="37" width="12.33203125" style="394" customWidth="1"/>
    <col min="38" max="38" width="14" style="393" customWidth="1"/>
    <col min="39" max="39" width="12.88671875" style="393" customWidth="1"/>
    <col min="40" max="40" width="16" style="395" customWidth="1"/>
    <col min="41" max="42" width="8.88671875" style="395"/>
    <col min="43" max="43" width="12.88671875" style="395" customWidth="1"/>
    <col min="44" max="44" width="10.6640625" style="395" bestFit="1" customWidth="1"/>
    <col min="45" max="48" width="12.44140625" style="395" customWidth="1"/>
    <col min="49" max="49" width="11.88671875" style="396" customWidth="1"/>
    <col min="50" max="50" width="18.33203125" style="396" customWidth="1"/>
    <col min="51" max="52" width="8.88671875" style="395"/>
    <col min="53" max="54" width="10.5546875" style="397" bestFit="1" customWidth="1"/>
    <col min="55" max="55" width="11.109375" style="397" customWidth="1"/>
    <col min="56" max="56" width="10.109375" style="397" bestFit="1" customWidth="1"/>
    <col min="57" max="57" width="8.88671875" style="397"/>
    <col min="58" max="256" width="8.88671875" style="395"/>
    <col min="257" max="257" width="66.44140625" style="395" customWidth="1"/>
    <col min="258" max="258" width="8.6640625" style="395" customWidth="1"/>
    <col min="259" max="259" width="12.44140625" style="395" customWidth="1"/>
    <col min="260" max="260" width="11" style="395" customWidth="1"/>
    <col min="261" max="261" width="12.44140625" style="395" bestFit="1" customWidth="1"/>
    <col min="262" max="262" width="11" style="395" customWidth="1"/>
    <col min="263" max="263" width="14" style="395" customWidth="1"/>
    <col min="264" max="264" width="11.6640625" style="395" customWidth="1"/>
    <col min="265" max="267" width="11.6640625" style="395" bestFit="1" customWidth="1"/>
    <col min="268" max="268" width="11.6640625" style="395" customWidth="1"/>
    <col min="269" max="269" width="11.6640625" style="395" bestFit="1" customWidth="1"/>
    <col min="270" max="270" width="12" style="395" bestFit="1" customWidth="1"/>
    <col min="271" max="275" width="11.6640625" style="395" bestFit="1" customWidth="1"/>
    <col min="276" max="276" width="11.6640625" style="395" customWidth="1"/>
    <col min="277" max="277" width="11.6640625" style="395" bestFit="1" customWidth="1"/>
    <col min="278" max="278" width="12.109375" style="395" customWidth="1"/>
    <col min="279" max="280" width="11.6640625" style="395" bestFit="1" customWidth="1"/>
    <col min="281" max="281" width="11.88671875" style="395" customWidth="1"/>
    <col min="282" max="282" width="12.33203125" style="395" customWidth="1"/>
    <col min="283" max="285" width="12.109375" style="395" customWidth="1"/>
    <col min="286" max="286" width="11.88671875" style="395" customWidth="1"/>
    <col min="287" max="287" width="13.109375" style="395" customWidth="1"/>
    <col min="288" max="288" width="12.33203125" style="395" customWidth="1"/>
    <col min="289" max="289" width="12.109375" style="395" customWidth="1"/>
    <col min="290" max="290" width="11.88671875" style="395" customWidth="1"/>
    <col min="291" max="291" width="11.6640625" style="395" customWidth="1"/>
    <col min="292" max="292" width="12.33203125" style="395" customWidth="1"/>
    <col min="293" max="293" width="11.5546875" style="395" customWidth="1"/>
    <col min="294" max="294" width="13.109375" style="395" customWidth="1"/>
    <col min="295" max="295" width="8.88671875" style="395"/>
    <col min="296" max="296" width="16" style="395" customWidth="1"/>
    <col min="297" max="512" width="8.88671875" style="395"/>
    <col min="513" max="513" width="66.44140625" style="395" customWidth="1"/>
    <col min="514" max="514" width="8.6640625" style="395" customWidth="1"/>
    <col min="515" max="515" width="12.44140625" style="395" customWidth="1"/>
    <col min="516" max="516" width="11" style="395" customWidth="1"/>
    <col min="517" max="517" width="12.44140625" style="395" bestFit="1" customWidth="1"/>
    <col min="518" max="518" width="11" style="395" customWidth="1"/>
    <col min="519" max="519" width="14" style="395" customWidth="1"/>
    <col min="520" max="520" width="11.6640625" style="395" customWidth="1"/>
    <col min="521" max="523" width="11.6640625" style="395" bestFit="1" customWidth="1"/>
    <col min="524" max="524" width="11.6640625" style="395" customWidth="1"/>
    <col min="525" max="525" width="11.6640625" style="395" bestFit="1" customWidth="1"/>
    <col min="526" max="526" width="12" style="395" bestFit="1" customWidth="1"/>
    <col min="527" max="531" width="11.6640625" style="395" bestFit="1" customWidth="1"/>
    <col min="532" max="532" width="11.6640625" style="395" customWidth="1"/>
    <col min="533" max="533" width="11.6640625" style="395" bestFit="1" customWidth="1"/>
    <col min="534" max="534" width="12.109375" style="395" customWidth="1"/>
    <col min="535" max="536" width="11.6640625" style="395" bestFit="1" customWidth="1"/>
    <col min="537" max="537" width="11.88671875" style="395" customWidth="1"/>
    <col min="538" max="538" width="12.33203125" style="395" customWidth="1"/>
    <col min="539" max="541" width="12.109375" style="395" customWidth="1"/>
    <col min="542" max="542" width="11.88671875" style="395" customWidth="1"/>
    <col min="543" max="543" width="13.109375" style="395" customWidth="1"/>
    <col min="544" max="544" width="12.33203125" style="395" customWidth="1"/>
    <col min="545" max="545" width="12.109375" style="395" customWidth="1"/>
    <col min="546" max="546" width="11.88671875" style="395" customWidth="1"/>
    <col min="547" max="547" width="11.6640625" style="395" customWidth="1"/>
    <col min="548" max="548" width="12.33203125" style="395" customWidth="1"/>
    <col min="549" max="549" width="11.5546875" style="395" customWidth="1"/>
    <col min="550" max="550" width="13.109375" style="395" customWidth="1"/>
    <col min="551" max="551" width="8.88671875" style="395"/>
    <col min="552" max="552" width="16" style="395" customWidth="1"/>
    <col min="553" max="768" width="8.88671875" style="395"/>
    <col min="769" max="769" width="66.44140625" style="395" customWidth="1"/>
    <col min="770" max="770" width="8.6640625" style="395" customWidth="1"/>
    <col min="771" max="771" width="12.44140625" style="395" customWidth="1"/>
    <col min="772" max="772" width="11" style="395" customWidth="1"/>
    <col min="773" max="773" width="12.44140625" style="395" bestFit="1" customWidth="1"/>
    <col min="774" max="774" width="11" style="395" customWidth="1"/>
    <col min="775" max="775" width="14" style="395" customWidth="1"/>
    <col min="776" max="776" width="11.6640625" style="395" customWidth="1"/>
    <col min="777" max="779" width="11.6640625" style="395" bestFit="1" customWidth="1"/>
    <col min="780" max="780" width="11.6640625" style="395" customWidth="1"/>
    <col min="781" max="781" width="11.6640625" style="395" bestFit="1" customWidth="1"/>
    <col min="782" max="782" width="12" style="395" bestFit="1" customWidth="1"/>
    <col min="783" max="787" width="11.6640625" style="395" bestFit="1" customWidth="1"/>
    <col min="788" max="788" width="11.6640625" style="395" customWidth="1"/>
    <col min="789" max="789" width="11.6640625" style="395" bestFit="1" customWidth="1"/>
    <col min="790" max="790" width="12.109375" style="395" customWidth="1"/>
    <col min="791" max="792" width="11.6640625" style="395" bestFit="1" customWidth="1"/>
    <col min="793" max="793" width="11.88671875" style="395" customWidth="1"/>
    <col min="794" max="794" width="12.33203125" style="395" customWidth="1"/>
    <col min="795" max="797" width="12.109375" style="395" customWidth="1"/>
    <col min="798" max="798" width="11.88671875" style="395" customWidth="1"/>
    <col min="799" max="799" width="13.109375" style="395" customWidth="1"/>
    <col min="800" max="800" width="12.33203125" style="395" customWidth="1"/>
    <col min="801" max="801" width="12.109375" style="395" customWidth="1"/>
    <col min="802" max="802" width="11.88671875" style="395" customWidth="1"/>
    <col min="803" max="803" width="11.6640625" style="395" customWidth="1"/>
    <col min="804" max="804" width="12.33203125" style="395" customWidth="1"/>
    <col min="805" max="805" width="11.5546875" style="395" customWidth="1"/>
    <col min="806" max="806" width="13.109375" style="395" customWidth="1"/>
    <col min="807" max="807" width="8.88671875" style="395"/>
    <col min="808" max="808" width="16" style="395" customWidth="1"/>
    <col min="809" max="1024" width="8.88671875" style="395"/>
    <col min="1025" max="1025" width="66.44140625" style="395" customWidth="1"/>
    <col min="1026" max="1026" width="8.6640625" style="395" customWidth="1"/>
    <col min="1027" max="1027" width="12.44140625" style="395" customWidth="1"/>
    <col min="1028" max="1028" width="11" style="395" customWidth="1"/>
    <col min="1029" max="1029" width="12.44140625" style="395" bestFit="1" customWidth="1"/>
    <col min="1030" max="1030" width="11" style="395" customWidth="1"/>
    <col min="1031" max="1031" width="14" style="395" customWidth="1"/>
    <col min="1032" max="1032" width="11.6640625" style="395" customWidth="1"/>
    <col min="1033" max="1035" width="11.6640625" style="395" bestFit="1" customWidth="1"/>
    <col min="1036" max="1036" width="11.6640625" style="395" customWidth="1"/>
    <col min="1037" max="1037" width="11.6640625" style="395" bestFit="1" customWidth="1"/>
    <col min="1038" max="1038" width="12" style="395" bestFit="1" customWidth="1"/>
    <col min="1039" max="1043" width="11.6640625" style="395" bestFit="1" customWidth="1"/>
    <col min="1044" max="1044" width="11.6640625" style="395" customWidth="1"/>
    <col min="1045" max="1045" width="11.6640625" style="395" bestFit="1" customWidth="1"/>
    <col min="1046" max="1046" width="12.109375" style="395" customWidth="1"/>
    <col min="1047" max="1048" width="11.6640625" style="395" bestFit="1" customWidth="1"/>
    <col min="1049" max="1049" width="11.88671875" style="395" customWidth="1"/>
    <col min="1050" max="1050" width="12.33203125" style="395" customWidth="1"/>
    <col min="1051" max="1053" width="12.109375" style="395" customWidth="1"/>
    <col min="1054" max="1054" width="11.88671875" style="395" customWidth="1"/>
    <col min="1055" max="1055" width="13.109375" style="395" customWidth="1"/>
    <col min="1056" max="1056" width="12.33203125" style="395" customWidth="1"/>
    <col min="1057" max="1057" width="12.109375" style="395" customWidth="1"/>
    <col min="1058" max="1058" width="11.88671875" style="395" customWidth="1"/>
    <col min="1059" max="1059" width="11.6640625" style="395" customWidth="1"/>
    <col min="1060" max="1060" width="12.33203125" style="395" customWidth="1"/>
    <col min="1061" max="1061" width="11.5546875" style="395" customWidth="1"/>
    <col min="1062" max="1062" width="13.109375" style="395" customWidth="1"/>
    <col min="1063" max="1063" width="8.88671875" style="395"/>
    <col min="1064" max="1064" width="16" style="395" customWidth="1"/>
    <col min="1065" max="1280" width="8.88671875" style="395"/>
    <col min="1281" max="1281" width="66.44140625" style="395" customWidth="1"/>
    <col min="1282" max="1282" width="8.6640625" style="395" customWidth="1"/>
    <col min="1283" max="1283" width="12.44140625" style="395" customWidth="1"/>
    <col min="1284" max="1284" width="11" style="395" customWidth="1"/>
    <col min="1285" max="1285" width="12.44140625" style="395" bestFit="1" customWidth="1"/>
    <col min="1286" max="1286" width="11" style="395" customWidth="1"/>
    <col min="1287" max="1287" width="14" style="395" customWidth="1"/>
    <col min="1288" max="1288" width="11.6640625" style="395" customWidth="1"/>
    <col min="1289" max="1291" width="11.6640625" style="395" bestFit="1" customWidth="1"/>
    <col min="1292" max="1292" width="11.6640625" style="395" customWidth="1"/>
    <col min="1293" max="1293" width="11.6640625" style="395" bestFit="1" customWidth="1"/>
    <col min="1294" max="1294" width="12" style="395" bestFit="1" customWidth="1"/>
    <col min="1295" max="1299" width="11.6640625" style="395" bestFit="1" customWidth="1"/>
    <col min="1300" max="1300" width="11.6640625" style="395" customWidth="1"/>
    <col min="1301" max="1301" width="11.6640625" style="395" bestFit="1" customWidth="1"/>
    <col min="1302" max="1302" width="12.109375" style="395" customWidth="1"/>
    <col min="1303" max="1304" width="11.6640625" style="395" bestFit="1" customWidth="1"/>
    <col min="1305" max="1305" width="11.88671875" style="395" customWidth="1"/>
    <col min="1306" max="1306" width="12.33203125" style="395" customWidth="1"/>
    <col min="1307" max="1309" width="12.109375" style="395" customWidth="1"/>
    <col min="1310" max="1310" width="11.88671875" style="395" customWidth="1"/>
    <col min="1311" max="1311" width="13.109375" style="395" customWidth="1"/>
    <col min="1312" max="1312" width="12.33203125" style="395" customWidth="1"/>
    <col min="1313" max="1313" width="12.109375" style="395" customWidth="1"/>
    <col min="1314" max="1314" width="11.88671875" style="395" customWidth="1"/>
    <col min="1315" max="1315" width="11.6640625" style="395" customWidth="1"/>
    <col min="1316" max="1316" width="12.33203125" style="395" customWidth="1"/>
    <col min="1317" max="1317" width="11.5546875" style="395" customWidth="1"/>
    <col min="1318" max="1318" width="13.109375" style="395" customWidth="1"/>
    <col min="1319" max="1319" width="8.88671875" style="395"/>
    <col min="1320" max="1320" width="16" style="395" customWidth="1"/>
    <col min="1321" max="1536" width="8.88671875" style="395"/>
    <col min="1537" max="1537" width="66.44140625" style="395" customWidth="1"/>
    <col min="1538" max="1538" width="8.6640625" style="395" customWidth="1"/>
    <col min="1539" max="1539" width="12.44140625" style="395" customWidth="1"/>
    <col min="1540" max="1540" width="11" style="395" customWidth="1"/>
    <col min="1541" max="1541" width="12.44140625" style="395" bestFit="1" customWidth="1"/>
    <col min="1542" max="1542" width="11" style="395" customWidth="1"/>
    <col min="1543" max="1543" width="14" style="395" customWidth="1"/>
    <col min="1544" max="1544" width="11.6640625" style="395" customWidth="1"/>
    <col min="1545" max="1547" width="11.6640625" style="395" bestFit="1" customWidth="1"/>
    <col min="1548" max="1548" width="11.6640625" style="395" customWidth="1"/>
    <col min="1549" max="1549" width="11.6640625" style="395" bestFit="1" customWidth="1"/>
    <col min="1550" max="1550" width="12" style="395" bestFit="1" customWidth="1"/>
    <col min="1551" max="1555" width="11.6640625" style="395" bestFit="1" customWidth="1"/>
    <col min="1556" max="1556" width="11.6640625" style="395" customWidth="1"/>
    <col min="1557" max="1557" width="11.6640625" style="395" bestFit="1" customWidth="1"/>
    <col min="1558" max="1558" width="12.109375" style="395" customWidth="1"/>
    <col min="1559" max="1560" width="11.6640625" style="395" bestFit="1" customWidth="1"/>
    <col min="1561" max="1561" width="11.88671875" style="395" customWidth="1"/>
    <col min="1562" max="1562" width="12.33203125" style="395" customWidth="1"/>
    <col min="1563" max="1565" width="12.109375" style="395" customWidth="1"/>
    <col min="1566" max="1566" width="11.88671875" style="395" customWidth="1"/>
    <col min="1567" max="1567" width="13.109375" style="395" customWidth="1"/>
    <col min="1568" max="1568" width="12.33203125" style="395" customWidth="1"/>
    <col min="1569" max="1569" width="12.109375" style="395" customWidth="1"/>
    <col min="1570" max="1570" width="11.88671875" style="395" customWidth="1"/>
    <col min="1571" max="1571" width="11.6640625" style="395" customWidth="1"/>
    <col min="1572" max="1572" width="12.33203125" style="395" customWidth="1"/>
    <col min="1573" max="1573" width="11.5546875" style="395" customWidth="1"/>
    <col min="1574" max="1574" width="13.109375" style="395" customWidth="1"/>
    <col min="1575" max="1575" width="8.88671875" style="395"/>
    <col min="1576" max="1576" width="16" style="395" customWidth="1"/>
    <col min="1577" max="1792" width="8.88671875" style="395"/>
    <col min="1793" max="1793" width="66.44140625" style="395" customWidth="1"/>
    <col min="1794" max="1794" width="8.6640625" style="395" customWidth="1"/>
    <col min="1795" max="1795" width="12.44140625" style="395" customWidth="1"/>
    <col min="1796" max="1796" width="11" style="395" customWidth="1"/>
    <col min="1797" max="1797" width="12.44140625" style="395" bestFit="1" customWidth="1"/>
    <col min="1798" max="1798" width="11" style="395" customWidth="1"/>
    <col min="1799" max="1799" width="14" style="395" customWidth="1"/>
    <col min="1800" max="1800" width="11.6640625" style="395" customWidth="1"/>
    <col min="1801" max="1803" width="11.6640625" style="395" bestFit="1" customWidth="1"/>
    <col min="1804" max="1804" width="11.6640625" style="395" customWidth="1"/>
    <col min="1805" max="1805" width="11.6640625" style="395" bestFit="1" customWidth="1"/>
    <col min="1806" max="1806" width="12" style="395" bestFit="1" customWidth="1"/>
    <col min="1807" max="1811" width="11.6640625" style="395" bestFit="1" customWidth="1"/>
    <col min="1812" max="1812" width="11.6640625" style="395" customWidth="1"/>
    <col min="1813" max="1813" width="11.6640625" style="395" bestFit="1" customWidth="1"/>
    <col min="1814" max="1814" width="12.109375" style="395" customWidth="1"/>
    <col min="1815" max="1816" width="11.6640625" style="395" bestFit="1" customWidth="1"/>
    <col min="1817" max="1817" width="11.88671875" style="395" customWidth="1"/>
    <col min="1818" max="1818" width="12.33203125" style="395" customWidth="1"/>
    <col min="1819" max="1821" width="12.109375" style="395" customWidth="1"/>
    <col min="1822" max="1822" width="11.88671875" style="395" customWidth="1"/>
    <col min="1823" max="1823" width="13.109375" style="395" customWidth="1"/>
    <col min="1824" max="1824" width="12.33203125" style="395" customWidth="1"/>
    <col min="1825" max="1825" width="12.109375" style="395" customWidth="1"/>
    <col min="1826" max="1826" width="11.88671875" style="395" customWidth="1"/>
    <col min="1827" max="1827" width="11.6640625" style="395" customWidth="1"/>
    <col min="1828" max="1828" width="12.33203125" style="395" customWidth="1"/>
    <col min="1829" max="1829" width="11.5546875" style="395" customWidth="1"/>
    <col min="1830" max="1830" width="13.109375" style="395" customWidth="1"/>
    <col min="1831" max="1831" width="8.88671875" style="395"/>
    <col min="1832" max="1832" width="16" style="395" customWidth="1"/>
    <col min="1833" max="2048" width="8.88671875" style="395"/>
    <col min="2049" max="2049" width="66.44140625" style="395" customWidth="1"/>
    <col min="2050" max="2050" width="8.6640625" style="395" customWidth="1"/>
    <col min="2051" max="2051" width="12.44140625" style="395" customWidth="1"/>
    <col min="2052" max="2052" width="11" style="395" customWidth="1"/>
    <col min="2053" max="2053" width="12.44140625" style="395" bestFit="1" customWidth="1"/>
    <col min="2054" max="2054" width="11" style="395" customWidth="1"/>
    <col min="2055" max="2055" width="14" style="395" customWidth="1"/>
    <col min="2056" max="2056" width="11.6640625" style="395" customWidth="1"/>
    <col min="2057" max="2059" width="11.6640625" style="395" bestFit="1" customWidth="1"/>
    <col min="2060" max="2060" width="11.6640625" style="395" customWidth="1"/>
    <col min="2061" max="2061" width="11.6640625" style="395" bestFit="1" customWidth="1"/>
    <col min="2062" max="2062" width="12" style="395" bestFit="1" customWidth="1"/>
    <col min="2063" max="2067" width="11.6640625" style="395" bestFit="1" customWidth="1"/>
    <col min="2068" max="2068" width="11.6640625" style="395" customWidth="1"/>
    <col min="2069" max="2069" width="11.6640625" style="395" bestFit="1" customWidth="1"/>
    <col min="2070" max="2070" width="12.109375" style="395" customWidth="1"/>
    <col min="2071" max="2072" width="11.6640625" style="395" bestFit="1" customWidth="1"/>
    <col min="2073" max="2073" width="11.88671875" style="395" customWidth="1"/>
    <col min="2074" max="2074" width="12.33203125" style="395" customWidth="1"/>
    <col min="2075" max="2077" width="12.109375" style="395" customWidth="1"/>
    <col min="2078" max="2078" width="11.88671875" style="395" customWidth="1"/>
    <col min="2079" max="2079" width="13.109375" style="395" customWidth="1"/>
    <col min="2080" max="2080" width="12.33203125" style="395" customWidth="1"/>
    <col min="2081" max="2081" width="12.109375" style="395" customWidth="1"/>
    <col min="2082" max="2082" width="11.88671875" style="395" customWidth="1"/>
    <col min="2083" max="2083" width="11.6640625" style="395" customWidth="1"/>
    <col min="2084" max="2084" width="12.33203125" style="395" customWidth="1"/>
    <col min="2085" max="2085" width="11.5546875" style="395" customWidth="1"/>
    <col min="2086" max="2086" width="13.109375" style="395" customWidth="1"/>
    <col min="2087" max="2087" width="8.88671875" style="395"/>
    <col min="2088" max="2088" width="16" style="395" customWidth="1"/>
    <col min="2089" max="2304" width="8.88671875" style="395"/>
    <col min="2305" max="2305" width="66.44140625" style="395" customWidth="1"/>
    <col min="2306" max="2306" width="8.6640625" style="395" customWidth="1"/>
    <col min="2307" max="2307" width="12.44140625" style="395" customWidth="1"/>
    <col min="2308" max="2308" width="11" style="395" customWidth="1"/>
    <col min="2309" max="2309" width="12.44140625" style="395" bestFit="1" customWidth="1"/>
    <col min="2310" max="2310" width="11" style="395" customWidth="1"/>
    <col min="2311" max="2311" width="14" style="395" customWidth="1"/>
    <col min="2312" max="2312" width="11.6640625" style="395" customWidth="1"/>
    <col min="2313" max="2315" width="11.6640625" style="395" bestFit="1" customWidth="1"/>
    <col min="2316" max="2316" width="11.6640625" style="395" customWidth="1"/>
    <col min="2317" max="2317" width="11.6640625" style="395" bestFit="1" customWidth="1"/>
    <col min="2318" max="2318" width="12" style="395" bestFit="1" customWidth="1"/>
    <col min="2319" max="2323" width="11.6640625" style="395" bestFit="1" customWidth="1"/>
    <col min="2324" max="2324" width="11.6640625" style="395" customWidth="1"/>
    <col min="2325" max="2325" width="11.6640625" style="395" bestFit="1" customWidth="1"/>
    <col min="2326" max="2326" width="12.109375" style="395" customWidth="1"/>
    <col min="2327" max="2328" width="11.6640625" style="395" bestFit="1" customWidth="1"/>
    <col min="2329" max="2329" width="11.88671875" style="395" customWidth="1"/>
    <col min="2330" max="2330" width="12.33203125" style="395" customWidth="1"/>
    <col min="2331" max="2333" width="12.109375" style="395" customWidth="1"/>
    <col min="2334" max="2334" width="11.88671875" style="395" customWidth="1"/>
    <col min="2335" max="2335" width="13.109375" style="395" customWidth="1"/>
    <col min="2336" max="2336" width="12.33203125" style="395" customWidth="1"/>
    <col min="2337" max="2337" width="12.109375" style="395" customWidth="1"/>
    <col min="2338" max="2338" width="11.88671875" style="395" customWidth="1"/>
    <col min="2339" max="2339" width="11.6640625" style="395" customWidth="1"/>
    <col min="2340" max="2340" width="12.33203125" style="395" customWidth="1"/>
    <col min="2341" max="2341" width="11.5546875" style="395" customWidth="1"/>
    <col min="2342" max="2342" width="13.109375" style="395" customWidth="1"/>
    <col min="2343" max="2343" width="8.88671875" style="395"/>
    <col min="2344" max="2344" width="16" style="395" customWidth="1"/>
    <col min="2345" max="2560" width="8.88671875" style="395"/>
    <col min="2561" max="2561" width="66.44140625" style="395" customWidth="1"/>
    <col min="2562" max="2562" width="8.6640625" style="395" customWidth="1"/>
    <col min="2563" max="2563" width="12.44140625" style="395" customWidth="1"/>
    <col min="2564" max="2564" width="11" style="395" customWidth="1"/>
    <col min="2565" max="2565" width="12.44140625" style="395" bestFit="1" customWidth="1"/>
    <col min="2566" max="2566" width="11" style="395" customWidth="1"/>
    <col min="2567" max="2567" width="14" style="395" customWidth="1"/>
    <col min="2568" max="2568" width="11.6640625" style="395" customWidth="1"/>
    <col min="2569" max="2571" width="11.6640625" style="395" bestFit="1" customWidth="1"/>
    <col min="2572" max="2572" width="11.6640625" style="395" customWidth="1"/>
    <col min="2573" max="2573" width="11.6640625" style="395" bestFit="1" customWidth="1"/>
    <col min="2574" max="2574" width="12" style="395" bestFit="1" customWidth="1"/>
    <col min="2575" max="2579" width="11.6640625" style="395" bestFit="1" customWidth="1"/>
    <col min="2580" max="2580" width="11.6640625" style="395" customWidth="1"/>
    <col min="2581" max="2581" width="11.6640625" style="395" bestFit="1" customWidth="1"/>
    <col min="2582" max="2582" width="12.109375" style="395" customWidth="1"/>
    <col min="2583" max="2584" width="11.6640625" style="395" bestFit="1" customWidth="1"/>
    <col min="2585" max="2585" width="11.88671875" style="395" customWidth="1"/>
    <col min="2586" max="2586" width="12.33203125" style="395" customWidth="1"/>
    <col min="2587" max="2589" width="12.109375" style="395" customWidth="1"/>
    <col min="2590" max="2590" width="11.88671875" style="395" customWidth="1"/>
    <col min="2591" max="2591" width="13.109375" style="395" customWidth="1"/>
    <col min="2592" max="2592" width="12.33203125" style="395" customWidth="1"/>
    <col min="2593" max="2593" width="12.109375" style="395" customWidth="1"/>
    <col min="2594" max="2594" width="11.88671875" style="395" customWidth="1"/>
    <col min="2595" max="2595" width="11.6640625" style="395" customWidth="1"/>
    <col min="2596" max="2596" width="12.33203125" style="395" customWidth="1"/>
    <col min="2597" max="2597" width="11.5546875" style="395" customWidth="1"/>
    <col min="2598" max="2598" width="13.109375" style="395" customWidth="1"/>
    <col min="2599" max="2599" width="8.88671875" style="395"/>
    <col min="2600" max="2600" width="16" style="395" customWidth="1"/>
    <col min="2601" max="2816" width="8.88671875" style="395"/>
    <col min="2817" max="2817" width="66.44140625" style="395" customWidth="1"/>
    <col min="2818" max="2818" width="8.6640625" style="395" customWidth="1"/>
    <col min="2819" max="2819" width="12.44140625" style="395" customWidth="1"/>
    <col min="2820" max="2820" width="11" style="395" customWidth="1"/>
    <col min="2821" max="2821" width="12.44140625" style="395" bestFit="1" customWidth="1"/>
    <col min="2822" max="2822" width="11" style="395" customWidth="1"/>
    <col min="2823" max="2823" width="14" style="395" customWidth="1"/>
    <col min="2824" max="2824" width="11.6640625" style="395" customWidth="1"/>
    <col min="2825" max="2827" width="11.6640625" style="395" bestFit="1" customWidth="1"/>
    <col min="2828" max="2828" width="11.6640625" style="395" customWidth="1"/>
    <col min="2829" max="2829" width="11.6640625" style="395" bestFit="1" customWidth="1"/>
    <col min="2830" max="2830" width="12" style="395" bestFit="1" customWidth="1"/>
    <col min="2831" max="2835" width="11.6640625" style="395" bestFit="1" customWidth="1"/>
    <col min="2836" max="2836" width="11.6640625" style="395" customWidth="1"/>
    <col min="2837" max="2837" width="11.6640625" style="395" bestFit="1" customWidth="1"/>
    <col min="2838" max="2838" width="12.109375" style="395" customWidth="1"/>
    <col min="2839" max="2840" width="11.6640625" style="395" bestFit="1" customWidth="1"/>
    <col min="2841" max="2841" width="11.88671875" style="395" customWidth="1"/>
    <col min="2842" max="2842" width="12.33203125" style="395" customWidth="1"/>
    <col min="2843" max="2845" width="12.109375" style="395" customWidth="1"/>
    <col min="2846" max="2846" width="11.88671875" style="395" customWidth="1"/>
    <col min="2847" max="2847" width="13.109375" style="395" customWidth="1"/>
    <col min="2848" max="2848" width="12.33203125" style="395" customWidth="1"/>
    <col min="2849" max="2849" width="12.109375" style="395" customWidth="1"/>
    <col min="2850" max="2850" width="11.88671875" style="395" customWidth="1"/>
    <col min="2851" max="2851" width="11.6640625" style="395" customWidth="1"/>
    <col min="2852" max="2852" width="12.33203125" style="395" customWidth="1"/>
    <col min="2853" max="2853" width="11.5546875" style="395" customWidth="1"/>
    <col min="2854" max="2854" width="13.109375" style="395" customWidth="1"/>
    <col min="2855" max="2855" width="8.88671875" style="395"/>
    <col min="2856" max="2856" width="16" style="395" customWidth="1"/>
    <col min="2857" max="3072" width="8.88671875" style="395"/>
    <col min="3073" max="3073" width="66.44140625" style="395" customWidth="1"/>
    <col min="3074" max="3074" width="8.6640625" style="395" customWidth="1"/>
    <col min="3075" max="3075" width="12.44140625" style="395" customWidth="1"/>
    <col min="3076" max="3076" width="11" style="395" customWidth="1"/>
    <col min="3077" max="3077" width="12.44140625" style="395" bestFit="1" customWidth="1"/>
    <col min="3078" max="3078" width="11" style="395" customWidth="1"/>
    <col min="3079" max="3079" width="14" style="395" customWidth="1"/>
    <col min="3080" max="3080" width="11.6640625" style="395" customWidth="1"/>
    <col min="3081" max="3083" width="11.6640625" style="395" bestFit="1" customWidth="1"/>
    <col min="3084" max="3084" width="11.6640625" style="395" customWidth="1"/>
    <col min="3085" max="3085" width="11.6640625" style="395" bestFit="1" customWidth="1"/>
    <col min="3086" max="3086" width="12" style="395" bestFit="1" customWidth="1"/>
    <col min="3087" max="3091" width="11.6640625" style="395" bestFit="1" customWidth="1"/>
    <col min="3092" max="3092" width="11.6640625" style="395" customWidth="1"/>
    <col min="3093" max="3093" width="11.6640625" style="395" bestFit="1" customWidth="1"/>
    <col min="3094" max="3094" width="12.109375" style="395" customWidth="1"/>
    <col min="3095" max="3096" width="11.6640625" style="395" bestFit="1" customWidth="1"/>
    <col min="3097" max="3097" width="11.88671875" style="395" customWidth="1"/>
    <col min="3098" max="3098" width="12.33203125" style="395" customWidth="1"/>
    <col min="3099" max="3101" width="12.109375" style="395" customWidth="1"/>
    <col min="3102" max="3102" width="11.88671875" style="395" customWidth="1"/>
    <col min="3103" max="3103" width="13.109375" style="395" customWidth="1"/>
    <col min="3104" max="3104" width="12.33203125" style="395" customWidth="1"/>
    <col min="3105" max="3105" width="12.109375" style="395" customWidth="1"/>
    <col min="3106" max="3106" width="11.88671875" style="395" customWidth="1"/>
    <col min="3107" max="3107" width="11.6640625" style="395" customWidth="1"/>
    <col min="3108" max="3108" width="12.33203125" style="395" customWidth="1"/>
    <col min="3109" max="3109" width="11.5546875" style="395" customWidth="1"/>
    <col min="3110" max="3110" width="13.109375" style="395" customWidth="1"/>
    <col min="3111" max="3111" width="8.88671875" style="395"/>
    <col min="3112" max="3112" width="16" style="395" customWidth="1"/>
    <col min="3113" max="3328" width="8.88671875" style="395"/>
    <col min="3329" max="3329" width="66.44140625" style="395" customWidth="1"/>
    <col min="3330" max="3330" width="8.6640625" style="395" customWidth="1"/>
    <col min="3331" max="3331" width="12.44140625" style="395" customWidth="1"/>
    <col min="3332" max="3332" width="11" style="395" customWidth="1"/>
    <col min="3333" max="3333" width="12.44140625" style="395" bestFit="1" customWidth="1"/>
    <col min="3334" max="3334" width="11" style="395" customWidth="1"/>
    <col min="3335" max="3335" width="14" style="395" customWidth="1"/>
    <col min="3336" max="3336" width="11.6640625" style="395" customWidth="1"/>
    <col min="3337" max="3339" width="11.6640625" style="395" bestFit="1" customWidth="1"/>
    <col min="3340" max="3340" width="11.6640625" style="395" customWidth="1"/>
    <col min="3341" max="3341" width="11.6640625" style="395" bestFit="1" customWidth="1"/>
    <col min="3342" max="3342" width="12" style="395" bestFit="1" customWidth="1"/>
    <col min="3343" max="3347" width="11.6640625" style="395" bestFit="1" customWidth="1"/>
    <col min="3348" max="3348" width="11.6640625" style="395" customWidth="1"/>
    <col min="3349" max="3349" width="11.6640625" style="395" bestFit="1" customWidth="1"/>
    <col min="3350" max="3350" width="12.109375" style="395" customWidth="1"/>
    <col min="3351" max="3352" width="11.6640625" style="395" bestFit="1" customWidth="1"/>
    <col min="3353" max="3353" width="11.88671875" style="395" customWidth="1"/>
    <col min="3354" max="3354" width="12.33203125" style="395" customWidth="1"/>
    <col min="3355" max="3357" width="12.109375" style="395" customWidth="1"/>
    <col min="3358" max="3358" width="11.88671875" style="395" customWidth="1"/>
    <col min="3359" max="3359" width="13.109375" style="395" customWidth="1"/>
    <col min="3360" max="3360" width="12.33203125" style="395" customWidth="1"/>
    <col min="3361" max="3361" width="12.109375" style="395" customWidth="1"/>
    <col min="3362" max="3362" width="11.88671875" style="395" customWidth="1"/>
    <col min="3363" max="3363" width="11.6640625" style="395" customWidth="1"/>
    <col min="3364" max="3364" width="12.33203125" style="395" customWidth="1"/>
    <col min="3365" max="3365" width="11.5546875" style="395" customWidth="1"/>
    <col min="3366" max="3366" width="13.109375" style="395" customWidth="1"/>
    <col min="3367" max="3367" width="8.88671875" style="395"/>
    <col min="3368" max="3368" width="16" style="395" customWidth="1"/>
    <col min="3369" max="3584" width="8.88671875" style="395"/>
    <col min="3585" max="3585" width="66.44140625" style="395" customWidth="1"/>
    <col min="3586" max="3586" width="8.6640625" style="395" customWidth="1"/>
    <col min="3587" max="3587" width="12.44140625" style="395" customWidth="1"/>
    <col min="3588" max="3588" width="11" style="395" customWidth="1"/>
    <col min="3589" max="3589" width="12.44140625" style="395" bestFit="1" customWidth="1"/>
    <col min="3590" max="3590" width="11" style="395" customWidth="1"/>
    <col min="3591" max="3591" width="14" style="395" customWidth="1"/>
    <col min="3592" max="3592" width="11.6640625" style="395" customWidth="1"/>
    <col min="3593" max="3595" width="11.6640625" style="395" bestFit="1" customWidth="1"/>
    <col min="3596" max="3596" width="11.6640625" style="395" customWidth="1"/>
    <col min="3597" max="3597" width="11.6640625" style="395" bestFit="1" customWidth="1"/>
    <col min="3598" max="3598" width="12" style="395" bestFit="1" customWidth="1"/>
    <col min="3599" max="3603" width="11.6640625" style="395" bestFit="1" customWidth="1"/>
    <col min="3604" max="3604" width="11.6640625" style="395" customWidth="1"/>
    <col min="3605" max="3605" width="11.6640625" style="395" bestFit="1" customWidth="1"/>
    <col min="3606" max="3606" width="12.109375" style="395" customWidth="1"/>
    <col min="3607" max="3608" width="11.6640625" style="395" bestFit="1" customWidth="1"/>
    <col min="3609" max="3609" width="11.88671875" style="395" customWidth="1"/>
    <col min="3610" max="3610" width="12.33203125" style="395" customWidth="1"/>
    <col min="3611" max="3613" width="12.109375" style="395" customWidth="1"/>
    <col min="3614" max="3614" width="11.88671875" style="395" customWidth="1"/>
    <col min="3615" max="3615" width="13.109375" style="395" customWidth="1"/>
    <col min="3616" max="3616" width="12.33203125" style="395" customWidth="1"/>
    <col min="3617" max="3617" width="12.109375" style="395" customWidth="1"/>
    <col min="3618" max="3618" width="11.88671875" style="395" customWidth="1"/>
    <col min="3619" max="3619" width="11.6640625" style="395" customWidth="1"/>
    <col min="3620" max="3620" width="12.33203125" style="395" customWidth="1"/>
    <col min="3621" max="3621" width="11.5546875" style="395" customWidth="1"/>
    <col min="3622" max="3622" width="13.109375" style="395" customWidth="1"/>
    <col min="3623" max="3623" width="8.88671875" style="395"/>
    <col min="3624" max="3624" width="16" style="395" customWidth="1"/>
    <col min="3625" max="3840" width="8.88671875" style="395"/>
    <col min="3841" max="3841" width="66.44140625" style="395" customWidth="1"/>
    <col min="3842" max="3842" width="8.6640625" style="395" customWidth="1"/>
    <col min="3843" max="3843" width="12.44140625" style="395" customWidth="1"/>
    <col min="3844" max="3844" width="11" style="395" customWidth="1"/>
    <col min="3845" max="3845" width="12.44140625" style="395" bestFit="1" customWidth="1"/>
    <col min="3846" max="3846" width="11" style="395" customWidth="1"/>
    <col min="3847" max="3847" width="14" style="395" customWidth="1"/>
    <col min="3848" max="3848" width="11.6640625" style="395" customWidth="1"/>
    <col min="3849" max="3851" width="11.6640625" style="395" bestFit="1" customWidth="1"/>
    <col min="3852" max="3852" width="11.6640625" style="395" customWidth="1"/>
    <col min="3853" max="3853" width="11.6640625" style="395" bestFit="1" customWidth="1"/>
    <col min="3854" max="3854" width="12" style="395" bestFit="1" customWidth="1"/>
    <col min="3855" max="3859" width="11.6640625" style="395" bestFit="1" customWidth="1"/>
    <col min="3860" max="3860" width="11.6640625" style="395" customWidth="1"/>
    <col min="3861" max="3861" width="11.6640625" style="395" bestFit="1" customWidth="1"/>
    <col min="3862" max="3862" width="12.109375" style="395" customWidth="1"/>
    <col min="3863" max="3864" width="11.6640625" style="395" bestFit="1" customWidth="1"/>
    <col min="3865" max="3865" width="11.88671875" style="395" customWidth="1"/>
    <col min="3866" max="3866" width="12.33203125" style="395" customWidth="1"/>
    <col min="3867" max="3869" width="12.109375" style="395" customWidth="1"/>
    <col min="3870" max="3870" width="11.88671875" style="395" customWidth="1"/>
    <col min="3871" max="3871" width="13.109375" style="395" customWidth="1"/>
    <col min="3872" max="3872" width="12.33203125" style="395" customWidth="1"/>
    <col min="3873" max="3873" width="12.109375" style="395" customWidth="1"/>
    <col min="3874" max="3874" width="11.88671875" style="395" customWidth="1"/>
    <col min="3875" max="3875" width="11.6640625" style="395" customWidth="1"/>
    <col min="3876" max="3876" width="12.33203125" style="395" customWidth="1"/>
    <col min="3877" max="3877" width="11.5546875" style="395" customWidth="1"/>
    <col min="3878" max="3878" width="13.109375" style="395" customWidth="1"/>
    <col min="3879" max="3879" width="8.88671875" style="395"/>
    <col min="3880" max="3880" width="16" style="395" customWidth="1"/>
    <col min="3881" max="4096" width="8.88671875" style="395"/>
    <col min="4097" max="4097" width="66.44140625" style="395" customWidth="1"/>
    <col min="4098" max="4098" width="8.6640625" style="395" customWidth="1"/>
    <col min="4099" max="4099" width="12.44140625" style="395" customWidth="1"/>
    <col min="4100" max="4100" width="11" style="395" customWidth="1"/>
    <col min="4101" max="4101" width="12.44140625" style="395" bestFit="1" customWidth="1"/>
    <col min="4102" max="4102" width="11" style="395" customWidth="1"/>
    <col min="4103" max="4103" width="14" style="395" customWidth="1"/>
    <col min="4104" max="4104" width="11.6640625" style="395" customWidth="1"/>
    <col min="4105" max="4107" width="11.6640625" style="395" bestFit="1" customWidth="1"/>
    <col min="4108" max="4108" width="11.6640625" style="395" customWidth="1"/>
    <col min="4109" max="4109" width="11.6640625" style="395" bestFit="1" customWidth="1"/>
    <col min="4110" max="4110" width="12" style="395" bestFit="1" customWidth="1"/>
    <col min="4111" max="4115" width="11.6640625" style="395" bestFit="1" customWidth="1"/>
    <col min="4116" max="4116" width="11.6640625" style="395" customWidth="1"/>
    <col min="4117" max="4117" width="11.6640625" style="395" bestFit="1" customWidth="1"/>
    <col min="4118" max="4118" width="12.109375" style="395" customWidth="1"/>
    <col min="4119" max="4120" width="11.6640625" style="395" bestFit="1" customWidth="1"/>
    <col min="4121" max="4121" width="11.88671875" style="395" customWidth="1"/>
    <col min="4122" max="4122" width="12.33203125" style="395" customWidth="1"/>
    <col min="4123" max="4125" width="12.109375" style="395" customWidth="1"/>
    <col min="4126" max="4126" width="11.88671875" style="395" customWidth="1"/>
    <col min="4127" max="4127" width="13.109375" style="395" customWidth="1"/>
    <col min="4128" max="4128" width="12.33203125" style="395" customWidth="1"/>
    <col min="4129" max="4129" width="12.109375" style="395" customWidth="1"/>
    <col min="4130" max="4130" width="11.88671875" style="395" customWidth="1"/>
    <col min="4131" max="4131" width="11.6640625" style="395" customWidth="1"/>
    <col min="4132" max="4132" width="12.33203125" style="395" customWidth="1"/>
    <col min="4133" max="4133" width="11.5546875" style="395" customWidth="1"/>
    <col min="4134" max="4134" width="13.109375" style="395" customWidth="1"/>
    <col min="4135" max="4135" width="8.88671875" style="395"/>
    <col min="4136" max="4136" width="16" style="395" customWidth="1"/>
    <col min="4137" max="4352" width="8.88671875" style="395"/>
    <col min="4353" max="4353" width="66.44140625" style="395" customWidth="1"/>
    <col min="4354" max="4354" width="8.6640625" style="395" customWidth="1"/>
    <col min="4355" max="4355" width="12.44140625" style="395" customWidth="1"/>
    <col min="4356" max="4356" width="11" style="395" customWidth="1"/>
    <col min="4357" max="4357" width="12.44140625" style="395" bestFit="1" customWidth="1"/>
    <col min="4358" max="4358" width="11" style="395" customWidth="1"/>
    <col min="4359" max="4359" width="14" style="395" customWidth="1"/>
    <col min="4360" max="4360" width="11.6640625" style="395" customWidth="1"/>
    <col min="4361" max="4363" width="11.6640625" style="395" bestFit="1" customWidth="1"/>
    <col min="4364" max="4364" width="11.6640625" style="395" customWidth="1"/>
    <col min="4365" max="4365" width="11.6640625" style="395" bestFit="1" customWidth="1"/>
    <col min="4366" max="4366" width="12" style="395" bestFit="1" customWidth="1"/>
    <col min="4367" max="4371" width="11.6640625" style="395" bestFit="1" customWidth="1"/>
    <col min="4372" max="4372" width="11.6640625" style="395" customWidth="1"/>
    <col min="4373" max="4373" width="11.6640625" style="395" bestFit="1" customWidth="1"/>
    <col min="4374" max="4374" width="12.109375" style="395" customWidth="1"/>
    <col min="4375" max="4376" width="11.6640625" style="395" bestFit="1" customWidth="1"/>
    <col min="4377" max="4377" width="11.88671875" style="395" customWidth="1"/>
    <col min="4378" max="4378" width="12.33203125" style="395" customWidth="1"/>
    <col min="4379" max="4381" width="12.109375" style="395" customWidth="1"/>
    <col min="4382" max="4382" width="11.88671875" style="395" customWidth="1"/>
    <col min="4383" max="4383" width="13.109375" style="395" customWidth="1"/>
    <col min="4384" max="4384" width="12.33203125" style="395" customWidth="1"/>
    <col min="4385" max="4385" width="12.109375" style="395" customWidth="1"/>
    <col min="4386" max="4386" width="11.88671875" style="395" customWidth="1"/>
    <col min="4387" max="4387" width="11.6640625" style="395" customWidth="1"/>
    <col min="4388" max="4388" width="12.33203125" style="395" customWidth="1"/>
    <col min="4389" max="4389" width="11.5546875" style="395" customWidth="1"/>
    <col min="4390" max="4390" width="13.109375" style="395" customWidth="1"/>
    <col min="4391" max="4391" width="8.88671875" style="395"/>
    <col min="4392" max="4392" width="16" style="395" customWidth="1"/>
    <col min="4393" max="4608" width="8.88671875" style="395"/>
    <col min="4609" max="4609" width="66.44140625" style="395" customWidth="1"/>
    <col min="4610" max="4610" width="8.6640625" style="395" customWidth="1"/>
    <col min="4611" max="4611" width="12.44140625" style="395" customWidth="1"/>
    <col min="4612" max="4612" width="11" style="395" customWidth="1"/>
    <col min="4613" max="4613" width="12.44140625" style="395" bestFit="1" customWidth="1"/>
    <col min="4614" max="4614" width="11" style="395" customWidth="1"/>
    <col min="4615" max="4615" width="14" style="395" customWidth="1"/>
    <col min="4616" max="4616" width="11.6640625" style="395" customWidth="1"/>
    <col min="4617" max="4619" width="11.6640625" style="395" bestFit="1" customWidth="1"/>
    <col min="4620" max="4620" width="11.6640625" style="395" customWidth="1"/>
    <col min="4621" max="4621" width="11.6640625" style="395" bestFit="1" customWidth="1"/>
    <col min="4622" max="4622" width="12" style="395" bestFit="1" customWidth="1"/>
    <col min="4623" max="4627" width="11.6640625" style="395" bestFit="1" customWidth="1"/>
    <col min="4628" max="4628" width="11.6640625" style="395" customWidth="1"/>
    <col min="4629" max="4629" width="11.6640625" style="395" bestFit="1" customWidth="1"/>
    <col min="4630" max="4630" width="12.109375" style="395" customWidth="1"/>
    <col min="4631" max="4632" width="11.6640625" style="395" bestFit="1" customWidth="1"/>
    <col min="4633" max="4633" width="11.88671875" style="395" customWidth="1"/>
    <col min="4634" max="4634" width="12.33203125" style="395" customWidth="1"/>
    <col min="4635" max="4637" width="12.109375" style="395" customWidth="1"/>
    <col min="4638" max="4638" width="11.88671875" style="395" customWidth="1"/>
    <col min="4639" max="4639" width="13.109375" style="395" customWidth="1"/>
    <col min="4640" max="4640" width="12.33203125" style="395" customWidth="1"/>
    <col min="4641" max="4641" width="12.109375" style="395" customWidth="1"/>
    <col min="4642" max="4642" width="11.88671875" style="395" customWidth="1"/>
    <col min="4643" max="4643" width="11.6640625" style="395" customWidth="1"/>
    <col min="4644" max="4644" width="12.33203125" style="395" customWidth="1"/>
    <col min="4645" max="4645" width="11.5546875" style="395" customWidth="1"/>
    <col min="4646" max="4646" width="13.109375" style="395" customWidth="1"/>
    <col min="4647" max="4647" width="8.88671875" style="395"/>
    <col min="4648" max="4648" width="16" style="395" customWidth="1"/>
    <col min="4649" max="4864" width="8.88671875" style="395"/>
    <col min="4865" max="4865" width="66.44140625" style="395" customWidth="1"/>
    <col min="4866" max="4866" width="8.6640625" style="395" customWidth="1"/>
    <col min="4867" max="4867" width="12.44140625" style="395" customWidth="1"/>
    <col min="4868" max="4868" width="11" style="395" customWidth="1"/>
    <col min="4869" max="4869" width="12.44140625" style="395" bestFit="1" customWidth="1"/>
    <col min="4870" max="4870" width="11" style="395" customWidth="1"/>
    <col min="4871" max="4871" width="14" style="395" customWidth="1"/>
    <col min="4872" max="4872" width="11.6640625" style="395" customWidth="1"/>
    <col min="4873" max="4875" width="11.6640625" style="395" bestFit="1" customWidth="1"/>
    <col min="4876" max="4876" width="11.6640625" style="395" customWidth="1"/>
    <col min="4877" max="4877" width="11.6640625" style="395" bestFit="1" customWidth="1"/>
    <col min="4878" max="4878" width="12" style="395" bestFit="1" customWidth="1"/>
    <col min="4879" max="4883" width="11.6640625" style="395" bestFit="1" customWidth="1"/>
    <col min="4884" max="4884" width="11.6640625" style="395" customWidth="1"/>
    <col min="4885" max="4885" width="11.6640625" style="395" bestFit="1" customWidth="1"/>
    <col min="4886" max="4886" width="12.109375" style="395" customWidth="1"/>
    <col min="4887" max="4888" width="11.6640625" style="395" bestFit="1" customWidth="1"/>
    <col min="4889" max="4889" width="11.88671875" style="395" customWidth="1"/>
    <col min="4890" max="4890" width="12.33203125" style="395" customWidth="1"/>
    <col min="4891" max="4893" width="12.109375" style="395" customWidth="1"/>
    <col min="4894" max="4894" width="11.88671875" style="395" customWidth="1"/>
    <col min="4895" max="4895" width="13.109375" style="395" customWidth="1"/>
    <col min="4896" max="4896" width="12.33203125" style="395" customWidth="1"/>
    <col min="4897" max="4897" width="12.109375" style="395" customWidth="1"/>
    <col min="4898" max="4898" width="11.88671875" style="395" customWidth="1"/>
    <col min="4899" max="4899" width="11.6640625" style="395" customWidth="1"/>
    <col min="4900" max="4900" width="12.33203125" style="395" customWidth="1"/>
    <col min="4901" max="4901" width="11.5546875" style="395" customWidth="1"/>
    <col min="4902" max="4902" width="13.109375" style="395" customWidth="1"/>
    <col min="4903" max="4903" width="8.88671875" style="395"/>
    <col min="4904" max="4904" width="16" style="395" customWidth="1"/>
    <col min="4905" max="5120" width="8.88671875" style="395"/>
    <col min="5121" max="5121" width="66.44140625" style="395" customWidth="1"/>
    <col min="5122" max="5122" width="8.6640625" style="395" customWidth="1"/>
    <col min="5123" max="5123" width="12.44140625" style="395" customWidth="1"/>
    <col min="5124" max="5124" width="11" style="395" customWidth="1"/>
    <col min="5125" max="5125" width="12.44140625" style="395" bestFit="1" customWidth="1"/>
    <col min="5126" max="5126" width="11" style="395" customWidth="1"/>
    <col min="5127" max="5127" width="14" style="395" customWidth="1"/>
    <col min="5128" max="5128" width="11.6640625" style="395" customWidth="1"/>
    <col min="5129" max="5131" width="11.6640625" style="395" bestFit="1" customWidth="1"/>
    <col min="5132" max="5132" width="11.6640625" style="395" customWidth="1"/>
    <col min="5133" max="5133" width="11.6640625" style="395" bestFit="1" customWidth="1"/>
    <col min="5134" max="5134" width="12" style="395" bestFit="1" customWidth="1"/>
    <col min="5135" max="5139" width="11.6640625" style="395" bestFit="1" customWidth="1"/>
    <col min="5140" max="5140" width="11.6640625" style="395" customWidth="1"/>
    <col min="5141" max="5141" width="11.6640625" style="395" bestFit="1" customWidth="1"/>
    <col min="5142" max="5142" width="12.109375" style="395" customWidth="1"/>
    <col min="5143" max="5144" width="11.6640625" style="395" bestFit="1" customWidth="1"/>
    <col min="5145" max="5145" width="11.88671875" style="395" customWidth="1"/>
    <col min="5146" max="5146" width="12.33203125" style="395" customWidth="1"/>
    <col min="5147" max="5149" width="12.109375" style="395" customWidth="1"/>
    <col min="5150" max="5150" width="11.88671875" style="395" customWidth="1"/>
    <col min="5151" max="5151" width="13.109375" style="395" customWidth="1"/>
    <col min="5152" max="5152" width="12.33203125" style="395" customWidth="1"/>
    <col min="5153" max="5153" width="12.109375" style="395" customWidth="1"/>
    <col min="5154" max="5154" width="11.88671875" style="395" customWidth="1"/>
    <col min="5155" max="5155" width="11.6640625" style="395" customWidth="1"/>
    <col min="5156" max="5156" width="12.33203125" style="395" customWidth="1"/>
    <col min="5157" max="5157" width="11.5546875" style="395" customWidth="1"/>
    <col min="5158" max="5158" width="13.109375" style="395" customWidth="1"/>
    <col min="5159" max="5159" width="8.88671875" style="395"/>
    <col min="5160" max="5160" width="16" style="395" customWidth="1"/>
    <col min="5161" max="5376" width="8.88671875" style="395"/>
    <col min="5377" max="5377" width="66.44140625" style="395" customWidth="1"/>
    <col min="5378" max="5378" width="8.6640625" style="395" customWidth="1"/>
    <col min="5379" max="5379" width="12.44140625" style="395" customWidth="1"/>
    <col min="5380" max="5380" width="11" style="395" customWidth="1"/>
    <col min="5381" max="5381" width="12.44140625" style="395" bestFit="1" customWidth="1"/>
    <col min="5382" max="5382" width="11" style="395" customWidth="1"/>
    <col min="5383" max="5383" width="14" style="395" customWidth="1"/>
    <col min="5384" max="5384" width="11.6640625" style="395" customWidth="1"/>
    <col min="5385" max="5387" width="11.6640625" style="395" bestFit="1" customWidth="1"/>
    <col min="5388" max="5388" width="11.6640625" style="395" customWidth="1"/>
    <col min="5389" max="5389" width="11.6640625" style="395" bestFit="1" customWidth="1"/>
    <col min="5390" max="5390" width="12" style="395" bestFit="1" customWidth="1"/>
    <col min="5391" max="5395" width="11.6640625" style="395" bestFit="1" customWidth="1"/>
    <col min="5396" max="5396" width="11.6640625" style="395" customWidth="1"/>
    <col min="5397" max="5397" width="11.6640625" style="395" bestFit="1" customWidth="1"/>
    <col min="5398" max="5398" width="12.109375" style="395" customWidth="1"/>
    <col min="5399" max="5400" width="11.6640625" style="395" bestFit="1" customWidth="1"/>
    <col min="5401" max="5401" width="11.88671875" style="395" customWidth="1"/>
    <col min="5402" max="5402" width="12.33203125" style="395" customWidth="1"/>
    <col min="5403" max="5405" width="12.109375" style="395" customWidth="1"/>
    <col min="5406" max="5406" width="11.88671875" style="395" customWidth="1"/>
    <col min="5407" max="5407" width="13.109375" style="395" customWidth="1"/>
    <col min="5408" max="5408" width="12.33203125" style="395" customWidth="1"/>
    <col min="5409" max="5409" width="12.109375" style="395" customWidth="1"/>
    <col min="5410" max="5410" width="11.88671875" style="395" customWidth="1"/>
    <col min="5411" max="5411" width="11.6640625" style="395" customWidth="1"/>
    <col min="5412" max="5412" width="12.33203125" style="395" customWidth="1"/>
    <col min="5413" max="5413" width="11.5546875" style="395" customWidth="1"/>
    <col min="5414" max="5414" width="13.109375" style="395" customWidth="1"/>
    <col min="5415" max="5415" width="8.88671875" style="395"/>
    <col min="5416" max="5416" width="16" style="395" customWidth="1"/>
    <col min="5417" max="5632" width="8.88671875" style="395"/>
    <col min="5633" max="5633" width="66.44140625" style="395" customWidth="1"/>
    <col min="5634" max="5634" width="8.6640625" style="395" customWidth="1"/>
    <col min="5635" max="5635" width="12.44140625" style="395" customWidth="1"/>
    <col min="5636" max="5636" width="11" style="395" customWidth="1"/>
    <col min="5637" max="5637" width="12.44140625" style="395" bestFit="1" customWidth="1"/>
    <col min="5638" max="5638" width="11" style="395" customWidth="1"/>
    <col min="5639" max="5639" width="14" style="395" customWidth="1"/>
    <col min="5640" max="5640" width="11.6640625" style="395" customWidth="1"/>
    <col min="5641" max="5643" width="11.6640625" style="395" bestFit="1" customWidth="1"/>
    <col min="5644" max="5644" width="11.6640625" style="395" customWidth="1"/>
    <col min="5645" max="5645" width="11.6640625" style="395" bestFit="1" customWidth="1"/>
    <col min="5646" max="5646" width="12" style="395" bestFit="1" customWidth="1"/>
    <col min="5647" max="5651" width="11.6640625" style="395" bestFit="1" customWidth="1"/>
    <col min="5652" max="5652" width="11.6640625" style="395" customWidth="1"/>
    <col min="5653" max="5653" width="11.6640625" style="395" bestFit="1" customWidth="1"/>
    <col min="5654" max="5654" width="12.109375" style="395" customWidth="1"/>
    <col min="5655" max="5656" width="11.6640625" style="395" bestFit="1" customWidth="1"/>
    <col min="5657" max="5657" width="11.88671875" style="395" customWidth="1"/>
    <col min="5658" max="5658" width="12.33203125" style="395" customWidth="1"/>
    <col min="5659" max="5661" width="12.109375" style="395" customWidth="1"/>
    <col min="5662" max="5662" width="11.88671875" style="395" customWidth="1"/>
    <col min="5663" max="5663" width="13.109375" style="395" customWidth="1"/>
    <col min="5664" max="5664" width="12.33203125" style="395" customWidth="1"/>
    <col min="5665" max="5665" width="12.109375" style="395" customWidth="1"/>
    <col min="5666" max="5666" width="11.88671875" style="395" customWidth="1"/>
    <col min="5667" max="5667" width="11.6640625" style="395" customWidth="1"/>
    <col min="5668" max="5668" width="12.33203125" style="395" customWidth="1"/>
    <col min="5669" max="5669" width="11.5546875" style="395" customWidth="1"/>
    <col min="5670" max="5670" width="13.109375" style="395" customWidth="1"/>
    <col min="5671" max="5671" width="8.88671875" style="395"/>
    <col min="5672" max="5672" width="16" style="395" customWidth="1"/>
    <col min="5673" max="5888" width="8.88671875" style="395"/>
    <col min="5889" max="5889" width="66.44140625" style="395" customWidth="1"/>
    <col min="5890" max="5890" width="8.6640625" style="395" customWidth="1"/>
    <col min="5891" max="5891" width="12.44140625" style="395" customWidth="1"/>
    <col min="5892" max="5892" width="11" style="395" customWidth="1"/>
    <col min="5893" max="5893" width="12.44140625" style="395" bestFit="1" customWidth="1"/>
    <col min="5894" max="5894" width="11" style="395" customWidth="1"/>
    <col min="5895" max="5895" width="14" style="395" customWidth="1"/>
    <col min="5896" max="5896" width="11.6640625" style="395" customWidth="1"/>
    <col min="5897" max="5899" width="11.6640625" style="395" bestFit="1" customWidth="1"/>
    <col min="5900" max="5900" width="11.6640625" style="395" customWidth="1"/>
    <col min="5901" max="5901" width="11.6640625" style="395" bestFit="1" customWidth="1"/>
    <col min="5902" max="5902" width="12" style="395" bestFit="1" customWidth="1"/>
    <col min="5903" max="5907" width="11.6640625" style="395" bestFit="1" customWidth="1"/>
    <col min="5908" max="5908" width="11.6640625" style="395" customWidth="1"/>
    <col min="5909" max="5909" width="11.6640625" style="395" bestFit="1" customWidth="1"/>
    <col min="5910" max="5910" width="12.109375" style="395" customWidth="1"/>
    <col min="5911" max="5912" width="11.6640625" style="395" bestFit="1" customWidth="1"/>
    <col min="5913" max="5913" width="11.88671875" style="395" customWidth="1"/>
    <col min="5914" max="5914" width="12.33203125" style="395" customWidth="1"/>
    <col min="5915" max="5917" width="12.109375" style="395" customWidth="1"/>
    <col min="5918" max="5918" width="11.88671875" style="395" customWidth="1"/>
    <col min="5919" max="5919" width="13.109375" style="395" customWidth="1"/>
    <col min="5920" max="5920" width="12.33203125" style="395" customWidth="1"/>
    <col min="5921" max="5921" width="12.109375" style="395" customWidth="1"/>
    <col min="5922" max="5922" width="11.88671875" style="395" customWidth="1"/>
    <col min="5923" max="5923" width="11.6640625" style="395" customWidth="1"/>
    <col min="5924" max="5924" width="12.33203125" style="395" customWidth="1"/>
    <col min="5925" max="5925" width="11.5546875" style="395" customWidth="1"/>
    <col min="5926" max="5926" width="13.109375" style="395" customWidth="1"/>
    <col min="5927" max="5927" width="8.88671875" style="395"/>
    <col min="5928" max="5928" width="16" style="395" customWidth="1"/>
    <col min="5929" max="6144" width="8.88671875" style="395"/>
    <col min="6145" max="6145" width="66.44140625" style="395" customWidth="1"/>
    <col min="6146" max="6146" width="8.6640625" style="395" customWidth="1"/>
    <col min="6147" max="6147" width="12.44140625" style="395" customWidth="1"/>
    <col min="6148" max="6148" width="11" style="395" customWidth="1"/>
    <col min="6149" max="6149" width="12.44140625" style="395" bestFit="1" customWidth="1"/>
    <col min="6150" max="6150" width="11" style="395" customWidth="1"/>
    <col min="6151" max="6151" width="14" style="395" customWidth="1"/>
    <col min="6152" max="6152" width="11.6640625" style="395" customWidth="1"/>
    <col min="6153" max="6155" width="11.6640625" style="395" bestFit="1" customWidth="1"/>
    <col min="6156" max="6156" width="11.6640625" style="395" customWidth="1"/>
    <col min="6157" max="6157" width="11.6640625" style="395" bestFit="1" customWidth="1"/>
    <col min="6158" max="6158" width="12" style="395" bestFit="1" customWidth="1"/>
    <col min="6159" max="6163" width="11.6640625" style="395" bestFit="1" customWidth="1"/>
    <col min="6164" max="6164" width="11.6640625" style="395" customWidth="1"/>
    <col min="6165" max="6165" width="11.6640625" style="395" bestFit="1" customWidth="1"/>
    <col min="6166" max="6166" width="12.109375" style="395" customWidth="1"/>
    <col min="6167" max="6168" width="11.6640625" style="395" bestFit="1" customWidth="1"/>
    <col min="6169" max="6169" width="11.88671875" style="395" customWidth="1"/>
    <col min="6170" max="6170" width="12.33203125" style="395" customWidth="1"/>
    <col min="6171" max="6173" width="12.109375" style="395" customWidth="1"/>
    <col min="6174" max="6174" width="11.88671875" style="395" customWidth="1"/>
    <col min="6175" max="6175" width="13.109375" style="395" customWidth="1"/>
    <col min="6176" max="6176" width="12.33203125" style="395" customWidth="1"/>
    <col min="6177" max="6177" width="12.109375" style="395" customWidth="1"/>
    <col min="6178" max="6178" width="11.88671875" style="395" customWidth="1"/>
    <col min="6179" max="6179" width="11.6640625" style="395" customWidth="1"/>
    <col min="6180" max="6180" width="12.33203125" style="395" customWidth="1"/>
    <col min="6181" max="6181" width="11.5546875" style="395" customWidth="1"/>
    <col min="6182" max="6182" width="13.109375" style="395" customWidth="1"/>
    <col min="6183" max="6183" width="8.88671875" style="395"/>
    <col min="6184" max="6184" width="16" style="395" customWidth="1"/>
    <col min="6185" max="6400" width="8.88671875" style="395"/>
    <col min="6401" max="6401" width="66.44140625" style="395" customWidth="1"/>
    <col min="6402" max="6402" width="8.6640625" style="395" customWidth="1"/>
    <col min="6403" max="6403" width="12.44140625" style="395" customWidth="1"/>
    <col min="6404" max="6404" width="11" style="395" customWidth="1"/>
    <col min="6405" max="6405" width="12.44140625" style="395" bestFit="1" customWidth="1"/>
    <col min="6406" max="6406" width="11" style="395" customWidth="1"/>
    <col min="6407" max="6407" width="14" style="395" customWidth="1"/>
    <col min="6408" max="6408" width="11.6640625" style="395" customWidth="1"/>
    <col min="6409" max="6411" width="11.6640625" style="395" bestFit="1" customWidth="1"/>
    <col min="6412" max="6412" width="11.6640625" style="395" customWidth="1"/>
    <col min="6413" max="6413" width="11.6640625" style="395" bestFit="1" customWidth="1"/>
    <col min="6414" max="6414" width="12" style="395" bestFit="1" customWidth="1"/>
    <col min="6415" max="6419" width="11.6640625" style="395" bestFit="1" customWidth="1"/>
    <col min="6420" max="6420" width="11.6640625" style="395" customWidth="1"/>
    <col min="6421" max="6421" width="11.6640625" style="395" bestFit="1" customWidth="1"/>
    <col min="6422" max="6422" width="12.109375" style="395" customWidth="1"/>
    <col min="6423" max="6424" width="11.6640625" style="395" bestFit="1" customWidth="1"/>
    <col min="6425" max="6425" width="11.88671875" style="395" customWidth="1"/>
    <col min="6426" max="6426" width="12.33203125" style="395" customWidth="1"/>
    <col min="6427" max="6429" width="12.109375" style="395" customWidth="1"/>
    <col min="6430" max="6430" width="11.88671875" style="395" customWidth="1"/>
    <col min="6431" max="6431" width="13.109375" style="395" customWidth="1"/>
    <col min="6432" max="6432" width="12.33203125" style="395" customWidth="1"/>
    <col min="6433" max="6433" width="12.109375" style="395" customWidth="1"/>
    <col min="6434" max="6434" width="11.88671875" style="395" customWidth="1"/>
    <col min="6435" max="6435" width="11.6640625" style="395" customWidth="1"/>
    <col min="6436" max="6436" width="12.33203125" style="395" customWidth="1"/>
    <col min="6437" max="6437" width="11.5546875" style="395" customWidth="1"/>
    <col min="6438" max="6438" width="13.109375" style="395" customWidth="1"/>
    <col min="6439" max="6439" width="8.88671875" style="395"/>
    <col min="6440" max="6440" width="16" style="395" customWidth="1"/>
    <col min="6441" max="6656" width="8.88671875" style="395"/>
    <col min="6657" max="6657" width="66.44140625" style="395" customWidth="1"/>
    <col min="6658" max="6658" width="8.6640625" style="395" customWidth="1"/>
    <col min="6659" max="6659" width="12.44140625" style="395" customWidth="1"/>
    <col min="6660" max="6660" width="11" style="395" customWidth="1"/>
    <col min="6661" max="6661" width="12.44140625" style="395" bestFit="1" customWidth="1"/>
    <col min="6662" max="6662" width="11" style="395" customWidth="1"/>
    <col min="6663" max="6663" width="14" style="395" customWidth="1"/>
    <col min="6664" max="6664" width="11.6640625" style="395" customWidth="1"/>
    <col min="6665" max="6667" width="11.6640625" style="395" bestFit="1" customWidth="1"/>
    <col min="6668" max="6668" width="11.6640625" style="395" customWidth="1"/>
    <col min="6669" max="6669" width="11.6640625" style="395" bestFit="1" customWidth="1"/>
    <col min="6670" max="6670" width="12" style="395" bestFit="1" customWidth="1"/>
    <col min="6671" max="6675" width="11.6640625" style="395" bestFit="1" customWidth="1"/>
    <col min="6676" max="6676" width="11.6640625" style="395" customWidth="1"/>
    <col min="6677" max="6677" width="11.6640625" style="395" bestFit="1" customWidth="1"/>
    <col min="6678" max="6678" width="12.109375" style="395" customWidth="1"/>
    <col min="6679" max="6680" width="11.6640625" style="395" bestFit="1" customWidth="1"/>
    <col min="6681" max="6681" width="11.88671875" style="395" customWidth="1"/>
    <col min="6682" max="6682" width="12.33203125" style="395" customWidth="1"/>
    <col min="6683" max="6685" width="12.109375" style="395" customWidth="1"/>
    <col min="6686" max="6686" width="11.88671875" style="395" customWidth="1"/>
    <col min="6687" max="6687" width="13.109375" style="395" customWidth="1"/>
    <col min="6688" max="6688" width="12.33203125" style="395" customWidth="1"/>
    <col min="6689" max="6689" width="12.109375" style="395" customWidth="1"/>
    <col min="6690" max="6690" width="11.88671875" style="395" customWidth="1"/>
    <col min="6691" max="6691" width="11.6640625" style="395" customWidth="1"/>
    <col min="6692" max="6692" width="12.33203125" style="395" customWidth="1"/>
    <col min="6693" max="6693" width="11.5546875" style="395" customWidth="1"/>
    <col min="6694" max="6694" width="13.109375" style="395" customWidth="1"/>
    <col min="6695" max="6695" width="8.88671875" style="395"/>
    <col min="6696" max="6696" width="16" style="395" customWidth="1"/>
    <col min="6697" max="6912" width="8.88671875" style="395"/>
    <col min="6913" max="6913" width="66.44140625" style="395" customWidth="1"/>
    <col min="6914" max="6914" width="8.6640625" style="395" customWidth="1"/>
    <col min="6915" max="6915" width="12.44140625" style="395" customWidth="1"/>
    <col min="6916" max="6916" width="11" style="395" customWidth="1"/>
    <col min="6917" max="6917" width="12.44140625" style="395" bestFit="1" customWidth="1"/>
    <col min="6918" max="6918" width="11" style="395" customWidth="1"/>
    <col min="6919" max="6919" width="14" style="395" customWidth="1"/>
    <col min="6920" max="6920" width="11.6640625" style="395" customWidth="1"/>
    <col min="6921" max="6923" width="11.6640625" style="395" bestFit="1" customWidth="1"/>
    <col min="6924" max="6924" width="11.6640625" style="395" customWidth="1"/>
    <col min="6925" max="6925" width="11.6640625" style="395" bestFit="1" customWidth="1"/>
    <col min="6926" max="6926" width="12" style="395" bestFit="1" customWidth="1"/>
    <col min="6927" max="6931" width="11.6640625" style="395" bestFit="1" customWidth="1"/>
    <col min="6932" max="6932" width="11.6640625" style="395" customWidth="1"/>
    <col min="6933" max="6933" width="11.6640625" style="395" bestFit="1" customWidth="1"/>
    <col min="6934" max="6934" width="12.109375" style="395" customWidth="1"/>
    <col min="6935" max="6936" width="11.6640625" style="395" bestFit="1" customWidth="1"/>
    <col min="6937" max="6937" width="11.88671875" style="395" customWidth="1"/>
    <col min="6938" max="6938" width="12.33203125" style="395" customWidth="1"/>
    <col min="6939" max="6941" width="12.109375" style="395" customWidth="1"/>
    <col min="6942" max="6942" width="11.88671875" style="395" customWidth="1"/>
    <col min="6943" max="6943" width="13.109375" style="395" customWidth="1"/>
    <col min="6944" max="6944" width="12.33203125" style="395" customWidth="1"/>
    <col min="6945" max="6945" width="12.109375" style="395" customWidth="1"/>
    <col min="6946" max="6946" width="11.88671875" style="395" customWidth="1"/>
    <col min="6947" max="6947" width="11.6640625" style="395" customWidth="1"/>
    <col min="6948" max="6948" width="12.33203125" style="395" customWidth="1"/>
    <col min="6949" max="6949" width="11.5546875" style="395" customWidth="1"/>
    <col min="6950" max="6950" width="13.109375" style="395" customWidth="1"/>
    <col min="6951" max="6951" width="8.88671875" style="395"/>
    <col min="6952" max="6952" width="16" style="395" customWidth="1"/>
    <col min="6953" max="7168" width="8.88671875" style="395"/>
    <col min="7169" max="7169" width="66.44140625" style="395" customWidth="1"/>
    <col min="7170" max="7170" width="8.6640625" style="395" customWidth="1"/>
    <col min="7171" max="7171" width="12.44140625" style="395" customWidth="1"/>
    <col min="7172" max="7172" width="11" style="395" customWidth="1"/>
    <col min="7173" max="7173" width="12.44140625" style="395" bestFit="1" customWidth="1"/>
    <col min="7174" max="7174" width="11" style="395" customWidth="1"/>
    <col min="7175" max="7175" width="14" style="395" customWidth="1"/>
    <col min="7176" max="7176" width="11.6640625" style="395" customWidth="1"/>
    <col min="7177" max="7179" width="11.6640625" style="395" bestFit="1" customWidth="1"/>
    <col min="7180" max="7180" width="11.6640625" style="395" customWidth="1"/>
    <col min="7181" max="7181" width="11.6640625" style="395" bestFit="1" customWidth="1"/>
    <col min="7182" max="7182" width="12" style="395" bestFit="1" customWidth="1"/>
    <col min="7183" max="7187" width="11.6640625" style="395" bestFit="1" customWidth="1"/>
    <col min="7188" max="7188" width="11.6640625" style="395" customWidth="1"/>
    <col min="7189" max="7189" width="11.6640625" style="395" bestFit="1" customWidth="1"/>
    <col min="7190" max="7190" width="12.109375" style="395" customWidth="1"/>
    <col min="7191" max="7192" width="11.6640625" style="395" bestFit="1" customWidth="1"/>
    <col min="7193" max="7193" width="11.88671875" style="395" customWidth="1"/>
    <col min="7194" max="7194" width="12.33203125" style="395" customWidth="1"/>
    <col min="7195" max="7197" width="12.109375" style="395" customWidth="1"/>
    <col min="7198" max="7198" width="11.88671875" style="395" customWidth="1"/>
    <col min="7199" max="7199" width="13.109375" style="395" customWidth="1"/>
    <col min="7200" max="7200" width="12.33203125" style="395" customWidth="1"/>
    <col min="7201" max="7201" width="12.109375" style="395" customWidth="1"/>
    <col min="7202" max="7202" width="11.88671875" style="395" customWidth="1"/>
    <col min="7203" max="7203" width="11.6640625" style="395" customWidth="1"/>
    <col min="7204" max="7204" width="12.33203125" style="395" customWidth="1"/>
    <col min="7205" max="7205" width="11.5546875" style="395" customWidth="1"/>
    <col min="7206" max="7206" width="13.109375" style="395" customWidth="1"/>
    <col min="7207" max="7207" width="8.88671875" style="395"/>
    <col min="7208" max="7208" width="16" style="395" customWidth="1"/>
    <col min="7209" max="7424" width="8.88671875" style="395"/>
    <col min="7425" max="7425" width="66.44140625" style="395" customWidth="1"/>
    <col min="7426" max="7426" width="8.6640625" style="395" customWidth="1"/>
    <col min="7427" max="7427" width="12.44140625" style="395" customWidth="1"/>
    <col min="7428" max="7428" width="11" style="395" customWidth="1"/>
    <col min="7429" max="7429" width="12.44140625" style="395" bestFit="1" customWidth="1"/>
    <col min="7430" max="7430" width="11" style="395" customWidth="1"/>
    <col min="7431" max="7431" width="14" style="395" customWidth="1"/>
    <col min="7432" max="7432" width="11.6640625" style="395" customWidth="1"/>
    <col min="7433" max="7435" width="11.6640625" style="395" bestFit="1" customWidth="1"/>
    <col min="7436" max="7436" width="11.6640625" style="395" customWidth="1"/>
    <col min="7437" max="7437" width="11.6640625" style="395" bestFit="1" customWidth="1"/>
    <col min="7438" max="7438" width="12" style="395" bestFit="1" customWidth="1"/>
    <col min="7439" max="7443" width="11.6640625" style="395" bestFit="1" customWidth="1"/>
    <col min="7444" max="7444" width="11.6640625" style="395" customWidth="1"/>
    <col min="7445" max="7445" width="11.6640625" style="395" bestFit="1" customWidth="1"/>
    <col min="7446" max="7446" width="12.109375" style="395" customWidth="1"/>
    <col min="7447" max="7448" width="11.6640625" style="395" bestFit="1" customWidth="1"/>
    <col min="7449" max="7449" width="11.88671875" style="395" customWidth="1"/>
    <col min="7450" max="7450" width="12.33203125" style="395" customWidth="1"/>
    <col min="7451" max="7453" width="12.109375" style="395" customWidth="1"/>
    <col min="7454" max="7454" width="11.88671875" style="395" customWidth="1"/>
    <col min="7455" max="7455" width="13.109375" style="395" customWidth="1"/>
    <col min="7456" max="7456" width="12.33203125" style="395" customWidth="1"/>
    <col min="7457" max="7457" width="12.109375" style="395" customWidth="1"/>
    <col min="7458" max="7458" width="11.88671875" style="395" customWidth="1"/>
    <col min="7459" max="7459" width="11.6640625" style="395" customWidth="1"/>
    <col min="7460" max="7460" width="12.33203125" style="395" customWidth="1"/>
    <col min="7461" max="7461" width="11.5546875" style="395" customWidth="1"/>
    <col min="7462" max="7462" width="13.109375" style="395" customWidth="1"/>
    <col min="7463" max="7463" width="8.88671875" style="395"/>
    <col min="7464" max="7464" width="16" style="395" customWidth="1"/>
    <col min="7465" max="7680" width="8.88671875" style="395"/>
    <col min="7681" max="7681" width="66.44140625" style="395" customWidth="1"/>
    <col min="7682" max="7682" width="8.6640625" style="395" customWidth="1"/>
    <col min="7683" max="7683" width="12.44140625" style="395" customWidth="1"/>
    <col min="7684" max="7684" width="11" style="395" customWidth="1"/>
    <col min="7685" max="7685" width="12.44140625" style="395" bestFit="1" customWidth="1"/>
    <col min="7686" max="7686" width="11" style="395" customWidth="1"/>
    <col min="7687" max="7687" width="14" style="395" customWidth="1"/>
    <col min="7688" max="7688" width="11.6640625" style="395" customWidth="1"/>
    <col min="7689" max="7691" width="11.6640625" style="395" bestFit="1" customWidth="1"/>
    <col min="7692" max="7692" width="11.6640625" style="395" customWidth="1"/>
    <col min="7693" max="7693" width="11.6640625" style="395" bestFit="1" customWidth="1"/>
    <col min="7694" max="7694" width="12" style="395" bestFit="1" customWidth="1"/>
    <col min="7695" max="7699" width="11.6640625" style="395" bestFit="1" customWidth="1"/>
    <col min="7700" max="7700" width="11.6640625" style="395" customWidth="1"/>
    <col min="7701" max="7701" width="11.6640625" style="395" bestFit="1" customWidth="1"/>
    <col min="7702" max="7702" width="12.109375" style="395" customWidth="1"/>
    <col min="7703" max="7704" width="11.6640625" style="395" bestFit="1" customWidth="1"/>
    <col min="7705" max="7705" width="11.88671875" style="395" customWidth="1"/>
    <col min="7706" max="7706" width="12.33203125" style="395" customWidth="1"/>
    <col min="7707" max="7709" width="12.109375" style="395" customWidth="1"/>
    <col min="7710" max="7710" width="11.88671875" style="395" customWidth="1"/>
    <col min="7711" max="7711" width="13.109375" style="395" customWidth="1"/>
    <col min="7712" max="7712" width="12.33203125" style="395" customWidth="1"/>
    <col min="7713" max="7713" width="12.109375" style="395" customWidth="1"/>
    <col min="7714" max="7714" width="11.88671875" style="395" customWidth="1"/>
    <col min="7715" max="7715" width="11.6640625" style="395" customWidth="1"/>
    <col min="7716" max="7716" width="12.33203125" style="395" customWidth="1"/>
    <col min="7717" max="7717" width="11.5546875" style="395" customWidth="1"/>
    <col min="7718" max="7718" width="13.109375" style="395" customWidth="1"/>
    <col min="7719" max="7719" width="8.88671875" style="395"/>
    <col min="7720" max="7720" width="16" style="395" customWidth="1"/>
    <col min="7721" max="7936" width="8.88671875" style="395"/>
    <col min="7937" max="7937" width="66.44140625" style="395" customWidth="1"/>
    <col min="7938" max="7938" width="8.6640625" style="395" customWidth="1"/>
    <col min="7939" max="7939" width="12.44140625" style="395" customWidth="1"/>
    <col min="7940" max="7940" width="11" style="395" customWidth="1"/>
    <col min="7941" max="7941" width="12.44140625" style="395" bestFit="1" customWidth="1"/>
    <col min="7942" max="7942" width="11" style="395" customWidth="1"/>
    <col min="7943" max="7943" width="14" style="395" customWidth="1"/>
    <col min="7944" max="7944" width="11.6640625" style="395" customWidth="1"/>
    <col min="7945" max="7947" width="11.6640625" style="395" bestFit="1" customWidth="1"/>
    <col min="7948" max="7948" width="11.6640625" style="395" customWidth="1"/>
    <col min="7949" max="7949" width="11.6640625" style="395" bestFit="1" customWidth="1"/>
    <col min="7950" max="7950" width="12" style="395" bestFit="1" customWidth="1"/>
    <col min="7951" max="7955" width="11.6640625" style="395" bestFit="1" customWidth="1"/>
    <col min="7956" max="7956" width="11.6640625" style="395" customWidth="1"/>
    <col min="7957" max="7957" width="11.6640625" style="395" bestFit="1" customWidth="1"/>
    <col min="7958" max="7958" width="12.109375" style="395" customWidth="1"/>
    <col min="7959" max="7960" width="11.6640625" style="395" bestFit="1" customWidth="1"/>
    <col min="7961" max="7961" width="11.88671875" style="395" customWidth="1"/>
    <col min="7962" max="7962" width="12.33203125" style="395" customWidth="1"/>
    <col min="7963" max="7965" width="12.109375" style="395" customWidth="1"/>
    <col min="7966" max="7966" width="11.88671875" style="395" customWidth="1"/>
    <col min="7967" max="7967" width="13.109375" style="395" customWidth="1"/>
    <col min="7968" max="7968" width="12.33203125" style="395" customWidth="1"/>
    <col min="7969" max="7969" width="12.109375" style="395" customWidth="1"/>
    <col min="7970" max="7970" width="11.88671875" style="395" customWidth="1"/>
    <col min="7971" max="7971" width="11.6640625" style="395" customWidth="1"/>
    <col min="7972" max="7972" width="12.33203125" style="395" customWidth="1"/>
    <col min="7973" max="7973" width="11.5546875" style="395" customWidth="1"/>
    <col min="7974" max="7974" width="13.109375" style="395" customWidth="1"/>
    <col min="7975" max="7975" width="8.88671875" style="395"/>
    <col min="7976" max="7976" width="16" style="395" customWidth="1"/>
    <col min="7977" max="8192" width="8.88671875" style="395"/>
    <col min="8193" max="8193" width="66.44140625" style="395" customWidth="1"/>
    <col min="8194" max="8194" width="8.6640625" style="395" customWidth="1"/>
    <col min="8195" max="8195" width="12.44140625" style="395" customWidth="1"/>
    <col min="8196" max="8196" width="11" style="395" customWidth="1"/>
    <col min="8197" max="8197" width="12.44140625" style="395" bestFit="1" customWidth="1"/>
    <col min="8198" max="8198" width="11" style="395" customWidth="1"/>
    <col min="8199" max="8199" width="14" style="395" customWidth="1"/>
    <col min="8200" max="8200" width="11.6640625" style="395" customWidth="1"/>
    <col min="8201" max="8203" width="11.6640625" style="395" bestFit="1" customWidth="1"/>
    <col min="8204" max="8204" width="11.6640625" style="395" customWidth="1"/>
    <col min="8205" max="8205" width="11.6640625" style="395" bestFit="1" customWidth="1"/>
    <col min="8206" max="8206" width="12" style="395" bestFit="1" customWidth="1"/>
    <col min="8207" max="8211" width="11.6640625" style="395" bestFit="1" customWidth="1"/>
    <col min="8212" max="8212" width="11.6640625" style="395" customWidth="1"/>
    <col min="8213" max="8213" width="11.6640625" style="395" bestFit="1" customWidth="1"/>
    <col min="8214" max="8214" width="12.109375" style="395" customWidth="1"/>
    <col min="8215" max="8216" width="11.6640625" style="395" bestFit="1" customWidth="1"/>
    <col min="8217" max="8217" width="11.88671875" style="395" customWidth="1"/>
    <col min="8218" max="8218" width="12.33203125" style="395" customWidth="1"/>
    <col min="8219" max="8221" width="12.109375" style="395" customWidth="1"/>
    <col min="8222" max="8222" width="11.88671875" style="395" customWidth="1"/>
    <col min="8223" max="8223" width="13.109375" style="395" customWidth="1"/>
    <col min="8224" max="8224" width="12.33203125" style="395" customWidth="1"/>
    <col min="8225" max="8225" width="12.109375" style="395" customWidth="1"/>
    <col min="8226" max="8226" width="11.88671875" style="395" customWidth="1"/>
    <col min="8227" max="8227" width="11.6640625" style="395" customWidth="1"/>
    <col min="8228" max="8228" width="12.33203125" style="395" customWidth="1"/>
    <col min="8229" max="8229" width="11.5546875" style="395" customWidth="1"/>
    <col min="8230" max="8230" width="13.109375" style="395" customWidth="1"/>
    <col min="8231" max="8231" width="8.88671875" style="395"/>
    <col min="8232" max="8232" width="16" style="395" customWidth="1"/>
    <col min="8233" max="8448" width="8.88671875" style="395"/>
    <col min="8449" max="8449" width="66.44140625" style="395" customWidth="1"/>
    <col min="8450" max="8450" width="8.6640625" style="395" customWidth="1"/>
    <col min="8451" max="8451" width="12.44140625" style="395" customWidth="1"/>
    <col min="8452" max="8452" width="11" style="395" customWidth="1"/>
    <col min="8453" max="8453" width="12.44140625" style="395" bestFit="1" customWidth="1"/>
    <col min="8454" max="8454" width="11" style="395" customWidth="1"/>
    <col min="8455" max="8455" width="14" style="395" customWidth="1"/>
    <col min="8456" max="8456" width="11.6640625" style="395" customWidth="1"/>
    <col min="8457" max="8459" width="11.6640625" style="395" bestFit="1" customWidth="1"/>
    <col min="8460" max="8460" width="11.6640625" style="395" customWidth="1"/>
    <col min="8461" max="8461" width="11.6640625" style="395" bestFit="1" customWidth="1"/>
    <col min="8462" max="8462" width="12" style="395" bestFit="1" customWidth="1"/>
    <col min="8463" max="8467" width="11.6640625" style="395" bestFit="1" customWidth="1"/>
    <col min="8468" max="8468" width="11.6640625" style="395" customWidth="1"/>
    <col min="8469" max="8469" width="11.6640625" style="395" bestFit="1" customWidth="1"/>
    <col min="8470" max="8470" width="12.109375" style="395" customWidth="1"/>
    <col min="8471" max="8472" width="11.6640625" style="395" bestFit="1" customWidth="1"/>
    <col min="8473" max="8473" width="11.88671875" style="395" customWidth="1"/>
    <col min="8474" max="8474" width="12.33203125" style="395" customWidth="1"/>
    <col min="8475" max="8477" width="12.109375" style="395" customWidth="1"/>
    <col min="8478" max="8478" width="11.88671875" style="395" customWidth="1"/>
    <col min="8479" max="8479" width="13.109375" style="395" customWidth="1"/>
    <col min="8480" max="8480" width="12.33203125" style="395" customWidth="1"/>
    <col min="8481" max="8481" width="12.109375" style="395" customWidth="1"/>
    <col min="8482" max="8482" width="11.88671875" style="395" customWidth="1"/>
    <col min="8483" max="8483" width="11.6640625" style="395" customWidth="1"/>
    <col min="8484" max="8484" width="12.33203125" style="395" customWidth="1"/>
    <col min="8485" max="8485" width="11.5546875" style="395" customWidth="1"/>
    <col min="8486" max="8486" width="13.109375" style="395" customWidth="1"/>
    <col min="8487" max="8487" width="8.88671875" style="395"/>
    <col min="8488" max="8488" width="16" style="395" customWidth="1"/>
    <col min="8489" max="8704" width="8.88671875" style="395"/>
    <col min="8705" max="8705" width="66.44140625" style="395" customWidth="1"/>
    <col min="8706" max="8706" width="8.6640625" style="395" customWidth="1"/>
    <col min="8707" max="8707" width="12.44140625" style="395" customWidth="1"/>
    <col min="8708" max="8708" width="11" style="395" customWidth="1"/>
    <col min="8709" max="8709" width="12.44140625" style="395" bestFit="1" customWidth="1"/>
    <col min="8710" max="8710" width="11" style="395" customWidth="1"/>
    <col min="8711" max="8711" width="14" style="395" customWidth="1"/>
    <col min="8712" max="8712" width="11.6640625" style="395" customWidth="1"/>
    <col min="8713" max="8715" width="11.6640625" style="395" bestFit="1" customWidth="1"/>
    <col min="8716" max="8716" width="11.6640625" style="395" customWidth="1"/>
    <col min="8717" max="8717" width="11.6640625" style="395" bestFit="1" customWidth="1"/>
    <col min="8718" max="8718" width="12" style="395" bestFit="1" customWidth="1"/>
    <col min="8719" max="8723" width="11.6640625" style="395" bestFit="1" customWidth="1"/>
    <col min="8724" max="8724" width="11.6640625" style="395" customWidth="1"/>
    <col min="8725" max="8725" width="11.6640625" style="395" bestFit="1" customWidth="1"/>
    <col min="8726" max="8726" width="12.109375" style="395" customWidth="1"/>
    <col min="8727" max="8728" width="11.6640625" style="395" bestFit="1" customWidth="1"/>
    <col min="8729" max="8729" width="11.88671875" style="395" customWidth="1"/>
    <col min="8730" max="8730" width="12.33203125" style="395" customWidth="1"/>
    <col min="8731" max="8733" width="12.109375" style="395" customWidth="1"/>
    <col min="8734" max="8734" width="11.88671875" style="395" customWidth="1"/>
    <col min="8735" max="8735" width="13.109375" style="395" customWidth="1"/>
    <col min="8736" max="8736" width="12.33203125" style="395" customWidth="1"/>
    <col min="8737" max="8737" width="12.109375" style="395" customWidth="1"/>
    <col min="8738" max="8738" width="11.88671875" style="395" customWidth="1"/>
    <col min="8739" max="8739" width="11.6640625" style="395" customWidth="1"/>
    <col min="8740" max="8740" width="12.33203125" style="395" customWidth="1"/>
    <col min="8741" max="8741" width="11.5546875" style="395" customWidth="1"/>
    <col min="8742" max="8742" width="13.109375" style="395" customWidth="1"/>
    <col min="8743" max="8743" width="8.88671875" style="395"/>
    <col min="8744" max="8744" width="16" style="395" customWidth="1"/>
    <col min="8745" max="8960" width="8.88671875" style="395"/>
    <col min="8961" max="8961" width="66.44140625" style="395" customWidth="1"/>
    <col min="8962" max="8962" width="8.6640625" style="395" customWidth="1"/>
    <col min="8963" max="8963" width="12.44140625" style="395" customWidth="1"/>
    <col min="8964" max="8964" width="11" style="395" customWidth="1"/>
    <col min="8965" max="8965" width="12.44140625" style="395" bestFit="1" customWidth="1"/>
    <col min="8966" max="8966" width="11" style="395" customWidth="1"/>
    <col min="8967" max="8967" width="14" style="395" customWidth="1"/>
    <col min="8968" max="8968" width="11.6640625" style="395" customWidth="1"/>
    <col min="8969" max="8971" width="11.6640625" style="395" bestFit="1" customWidth="1"/>
    <col min="8972" max="8972" width="11.6640625" style="395" customWidth="1"/>
    <col min="8973" max="8973" width="11.6640625" style="395" bestFit="1" customWidth="1"/>
    <col min="8974" max="8974" width="12" style="395" bestFit="1" customWidth="1"/>
    <col min="8975" max="8979" width="11.6640625" style="395" bestFit="1" customWidth="1"/>
    <col min="8980" max="8980" width="11.6640625" style="395" customWidth="1"/>
    <col min="8981" max="8981" width="11.6640625" style="395" bestFit="1" customWidth="1"/>
    <col min="8982" max="8982" width="12.109375" style="395" customWidth="1"/>
    <col min="8983" max="8984" width="11.6640625" style="395" bestFit="1" customWidth="1"/>
    <col min="8985" max="8985" width="11.88671875" style="395" customWidth="1"/>
    <col min="8986" max="8986" width="12.33203125" style="395" customWidth="1"/>
    <col min="8987" max="8989" width="12.109375" style="395" customWidth="1"/>
    <col min="8990" max="8990" width="11.88671875" style="395" customWidth="1"/>
    <col min="8991" max="8991" width="13.109375" style="395" customWidth="1"/>
    <col min="8992" max="8992" width="12.33203125" style="395" customWidth="1"/>
    <col min="8993" max="8993" width="12.109375" style="395" customWidth="1"/>
    <col min="8994" max="8994" width="11.88671875" style="395" customWidth="1"/>
    <col min="8995" max="8995" width="11.6640625" style="395" customWidth="1"/>
    <col min="8996" max="8996" width="12.33203125" style="395" customWidth="1"/>
    <col min="8997" max="8997" width="11.5546875" style="395" customWidth="1"/>
    <col min="8998" max="8998" width="13.109375" style="395" customWidth="1"/>
    <col min="8999" max="8999" width="8.88671875" style="395"/>
    <col min="9000" max="9000" width="16" style="395" customWidth="1"/>
    <col min="9001" max="9216" width="8.88671875" style="395"/>
    <col min="9217" max="9217" width="66.44140625" style="395" customWidth="1"/>
    <col min="9218" max="9218" width="8.6640625" style="395" customWidth="1"/>
    <col min="9219" max="9219" width="12.44140625" style="395" customWidth="1"/>
    <col min="9220" max="9220" width="11" style="395" customWidth="1"/>
    <col min="9221" max="9221" width="12.44140625" style="395" bestFit="1" customWidth="1"/>
    <col min="9222" max="9222" width="11" style="395" customWidth="1"/>
    <col min="9223" max="9223" width="14" style="395" customWidth="1"/>
    <col min="9224" max="9224" width="11.6640625" style="395" customWidth="1"/>
    <col min="9225" max="9227" width="11.6640625" style="395" bestFit="1" customWidth="1"/>
    <col min="9228" max="9228" width="11.6640625" style="395" customWidth="1"/>
    <col min="9229" max="9229" width="11.6640625" style="395" bestFit="1" customWidth="1"/>
    <col min="9230" max="9230" width="12" style="395" bestFit="1" customWidth="1"/>
    <col min="9231" max="9235" width="11.6640625" style="395" bestFit="1" customWidth="1"/>
    <col min="9236" max="9236" width="11.6640625" style="395" customWidth="1"/>
    <col min="9237" max="9237" width="11.6640625" style="395" bestFit="1" customWidth="1"/>
    <col min="9238" max="9238" width="12.109375" style="395" customWidth="1"/>
    <col min="9239" max="9240" width="11.6640625" style="395" bestFit="1" customWidth="1"/>
    <col min="9241" max="9241" width="11.88671875" style="395" customWidth="1"/>
    <col min="9242" max="9242" width="12.33203125" style="395" customWidth="1"/>
    <col min="9243" max="9245" width="12.109375" style="395" customWidth="1"/>
    <col min="9246" max="9246" width="11.88671875" style="395" customWidth="1"/>
    <col min="9247" max="9247" width="13.109375" style="395" customWidth="1"/>
    <col min="9248" max="9248" width="12.33203125" style="395" customWidth="1"/>
    <col min="9249" max="9249" width="12.109375" style="395" customWidth="1"/>
    <col min="9250" max="9250" width="11.88671875" style="395" customWidth="1"/>
    <col min="9251" max="9251" width="11.6640625" style="395" customWidth="1"/>
    <col min="9252" max="9252" width="12.33203125" style="395" customWidth="1"/>
    <col min="9253" max="9253" width="11.5546875" style="395" customWidth="1"/>
    <col min="9254" max="9254" width="13.109375" style="395" customWidth="1"/>
    <col min="9255" max="9255" width="8.88671875" style="395"/>
    <col min="9256" max="9256" width="16" style="395" customWidth="1"/>
    <col min="9257" max="9472" width="8.88671875" style="395"/>
    <col min="9473" max="9473" width="66.44140625" style="395" customWidth="1"/>
    <col min="9474" max="9474" width="8.6640625" style="395" customWidth="1"/>
    <col min="9475" max="9475" width="12.44140625" style="395" customWidth="1"/>
    <col min="9476" max="9476" width="11" style="395" customWidth="1"/>
    <col min="9477" max="9477" width="12.44140625" style="395" bestFit="1" customWidth="1"/>
    <col min="9478" max="9478" width="11" style="395" customWidth="1"/>
    <col min="9479" max="9479" width="14" style="395" customWidth="1"/>
    <col min="9480" max="9480" width="11.6640625" style="395" customWidth="1"/>
    <col min="9481" max="9483" width="11.6640625" style="395" bestFit="1" customWidth="1"/>
    <col min="9484" max="9484" width="11.6640625" style="395" customWidth="1"/>
    <col min="9485" max="9485" width="11.6640625" style="395" bestFit="1" customWidth="1"/>
    <col min="9486" max="9486" width="12" style="395" bestFit="1" customWidth="1"/>
    <col min="9487" max="9491" width="11.6640625" style="395" bestFit="1" customWidth="1"/>
    <col min="9492" max="9492" width="11.6640625" style="395" customWidth="1"/>
    <col min="9493" max="9493" width="11.6640625" style="395" bestFit="1" customWidth="1"/>
    <col min="9494" max="9494" width="12.109375" style="395" customWidth="1"/>
    <col min="9495" max="9496" width="11.6640625" style="395" bestFit="1" customWidth="1"/>
    <col min="9497" max="9497" width="11.88671875" style="395" customWidth="1"/>
    <col min="9498" max="9498" width="12.33203125" style="395" customWidth="1"/>
    <col min="9499" max="9501" width="12.109375" style="395" customWidth="1"/>
    <col min="9502" max="9502" width="11.88671875" style="395" customWidth="1"/>
    <col min="9503" max="9503" width="13.109375" style="395" customWidth="1"/>
    <col min="9504" max="9504" width="12.33203125" style="395" customWidth="1"/>
    <col min="9505" max="9505" width="12.109375" style="395" customWidth="1"/>
    <col min="9506" max="9506" width="11.88671875" style="395" customWidth="1"/>
    <col min="9507" max="9507" width="11.6640625" style="395" customWidth="1"/>
    <col min="9508" max="9508" width="12.33203125" style="395" customWidth="1"/>
    <col min="9509" max="9509" width="11.5546875" style="395" customWidth="1"/>
    <col min="9510" max="9510" width="13.109375" style="395" customWidth="1"/>
    <col min="9511" max="9511" width="8.88671875" style="395"/>
    <col min="9512" max="9512" width="16" style="395" customWidth="1"/>
    <col min="9513" max="9728" width="8.88671875" style="395"/>
    <col min="9729" max="9729" width="66.44140625" style="395" customWidth="1"/>
    <col min="9730" max="9730" width="8.6640625" style="395" customWidth="1"/>
    <col min="9731" max="9731" width="12.44140625" style="395" customWidth="1"/>
    <col min="9732" max="9732" width="11" style="395" customWidth="1"/>
    <col min="9733" max="9733" width="12.44140625" style="395" bestFit="1" customWidth="1"/>
    <col min="9734" max="9734" width="11" style="395" customWidth="1"/>
    <col min="9735" max="9735" width="14" style="395" customWidth="1"/>
    <col min="9736" max="9736" width="11.6640625" style="395" customWidth="1"/>
    <col min="9737" max="9739" width="11.6640625" style="395" bestFit="1" customWidth="1"/>
    <col min="9740" max="9740" width="11.6640625" style="395" customWidth="1"/>
    <col min="9741" max="9741" width="11.6640625" style="395" bestFit="1" customWidth="1"/>
    <col min="9742" max="9742" width="12" style="395" bestFit="1" customWidth="1"/>
    <col min="9743" max="9747" width="11.6640625" style="395" bestFit="1" customWidth="1"/>
    <col min="9748" max="9748" width="11.6640625" style="395" customWidth="1"/>
    <col min="9749" max="9749" width="11.6640625" style="395" bestFit="1" customWidth="1"/>
    <col min="9750" max="9750" width="12.109375" style="395" customWidth="1"/>
    <col min="9751" max="9752" width="11.6640625" style="395" bestFit="1" customWidth="1"/>
    <col min="9753" max="9753" width="11.88671875" style="395" customWidth="1"/>
    <col min="9754" max="9754" width="12.33203125" style="395" customWidth="1"/>
    <col min="9755" max="9757" width="12.109375" style="395" customWidth="1"/>
    <col min="9758" max="9758" width="11.88671875" style="395" customWidth="1"/>
    <col min="9759" max="9759" width="13.109375" style="395" customWidth="1"/>
    <col min="9760" max="9760" width="12.33203125" style="395" customWidth="1"/>
    <col min="9761" max="9761" width="12.109375" style="395" customWidth="1"/>
    <col min="9762" max="9762" width="11.88671875" style="395" customWidth="1"/>
    <col min="9763" max="9763" width="11.6640625" style="395" customWidth="1"/>
    <col min="9764" max="9764" width="12.33203125" style="395" customWidth="1"/>
    <col min="9765" max="9765" width="11.5546875" style="395" customWidth="1"/>
    <col min="9766" max="9766" width="13.109375" style="395" customWidth="1"/>
    <col min="9767" max="9767" width="8.88671875" style="395"/>
    <col min="9768" max="9768" width="16" style="395" customWidth="1"/>
    <col min="9769" max="9984" width="8.88671875" style="395"/>
    <col min="9985" max="9985" width="66.44140625" style="395" customWidth="1"/>
    <col min="9986" max="9986" width="8.6640625" style="395" customWidth="1"/>
    <col min="9987" max="9987" width="12.44140625" style="395" customWidth="1"/>
    <col min="9988" max="9988" width="11" style="395" customWidth="1"/>
    <col min="9989" max="9989" width="12.44140625" style="395" bestFit="1" customWidth="1"/>
    <col min="9990" max="9990" width="11" style="395" customWidth="1"/>
    <col min="9991" max="9991" width="14" style="395" customWidth="1"/>
    <col min="9992" max="9992" width="11.6640625" style="395" customWidth="1"/>
    <col min="9993" max="9995" width="11.6640625" style="395" bestFit="1" customWidth="1"/>
    <col min="9996" max="9996" width="11.6640625" style="395" customWidth="1"/>
    <col min="9997" max="9997" width="11.6640625" style="395" bestFit="1" customWidth="1"/>
    <col min="9998" max="9998" width="12" style="395" bestFit="1" customWidth="1"/>
    <col min="9999" max="10003" width="11.6640625" style="395" bestFit="1" customWidth="1"/>
    <col min="10004" max="10004" width="11.6640625" style="395" customWidth="1"/>
    <col min="10005" max="10005" width="11.6640625" style="395" bestFit="1" customWidth="1"/>
    <col min="10006" max="10006" width="12.109375" style="395" customWidth="1"/>
    <col min="10007" max="10008" width="11.6640625" style="395" bestFit="1" customWidth="1"/>
    <col min="10009" max="10009" width="11.88671875" style="395" customWidth="1"/>
    <col min="10010" max="10010" width="12.33203125" style="395" customWidth="1"/>
    <col min="10011" max="10013" width="12.109375" style="395" customWidth="1"/>
    <col min="10014" max="10014" width="11.88671875" style="395" customWidth="1"/>
    <col min="10015" max="10015" width="13.109375" style="395" customWidth="1"/>
    <col min="10016" max="10016" width="12.33203125" style="395" customWidth="1"/>
    <col min="10017" max="10017" width="12.109375" style="395" customWidth="1"/>
    <col min="10018" max="10018" width="11.88671875" style="395" customWidth="1"/>
    <col min="10019" max="10019" width="11.6640625" style="395" customWidth="1"/>
    <col min="10020" max="10020" width="12.33203125" style="395" customWidth="1"/>
    <col min="10021" max="10021" width="11.5546875" style="395" customWidth="1"/>
    <col min="10022" max="10022" width="13.109375" style="395" customWidth="1"/>
    <col min="10023" max="10023" width="8.88671875" style="395"/>
    <col min="10024" max="10024" width="16" style="395" customWidth="1"/>
    <col min="10025" max="10240" width="8.88671875" style="395"/>
    <col min="10241" max="10241" width="66.44140625" style="395" customWidth="1"/>
    <col min="10242" max="10242" width="8.6640625" style="395" customWidth="1"/>
    <col min="10243" max="10243" width="12.44140625" style="395" customWidth="1"/>
    <col min="10244" max="10244" width="11" style="395" customWidth="1"/>
    <col min="10245" max="10245" width="12.44140625" style="395" bestFit="1" customWidth="1"/>
    <col min="10246" max="10246" width="11" style="395" customWidth="1"/>
    <col min="10247" max="10247" width="14" style="395" customWidth="1"/>
    <col min="10248" max="10248" width="11.6640625" style="395" customWidth="1"/>
    <col min="10249" max="10251" width="11.6640625" style="395" bestFit="1" customWidth="1"/>
    <col min="10252" max="10252" width="11.6640625" style="395" customWidth="1"/>
    <col min="10253" max="10253" width="11.6640625" style="395" bestFit="1" customWidth="1"/>
    <col min="10254" max="10254" width="12" style="395" bestFit="1" customWidth="1"/>
    <col min="10255" max="10259" width="11.6640625" style="395" bestFit="1" customWidth="1"/>
    <col min="10260" max="10260" width="11.6640625" style="395" customWidth="1"/>
    <col min="10261" max="10261" width="11.6640625" style="395" bestFit="1" customWidth="1"/>
    <col min="10262" max="10262" width="12.109375" style="395" customWidth="1"/>
    <col min="10263" max="10264" width="11.6640625" style="395" bestFit="1" customWidth="1"/>
    <col min="10265" max="10265" width="11.88671875" style="395" customWidth="1"/>
    <col min="10266" max="10266" width="12.33203125" style="395" customWidth="1"/>
    <col min="10267" max="10269" width="12.109375" style="395" customWidth="1"/>
    <col min="10270" max="10270" width="11.88671875" style="395" customWidth="1"/>
    <col min="10271" max="10271" width="13.109375" style="395" customWidth="1"/>
    <col min="10272" max="10272" width="12.33203125" style="395" customWidth="1"/>
    <col min="10273" max="10273" width="12.109375" style="395" customWidth="1"/>
    <col min="10274" max="10274" width="11.88671875" style="395" customWidth="1"/>
    <col min="10275" max="10275" width="11.6640625" style="395" customWidth="1"/>
    <col min="10276" max="10276" width="12.33203125" style="395" customWidth="1"/>
    <col min="10277" max="10277" width="11.5546875" style="395" customWidth="1"/>
    <col min="10278" max="10278" width="13.109375" style="395" customWidth="1"/>
    <col min="10279" max="10279" width="8.88671875" style="395"/>
    <col min="10280" max="10280" width="16" style="395" customWidth="1"/>
    <col min="10281" max="10496" width="8.88671875" style="395"/>
    <col min="10497" max="10497" width="66.44140625" style="395" customWidth="1"/>
    <col min="10498" max="10498" width="8.6640625" style="395" customWidth="1"/>
    <col min="10499" max="10499" width="12.44140625" style="395" customWidth="1"/>
    <col min="10500" max="10500" width="11" style="395" customWidth="1"/>
    <col min="10501" max="10501" width="12.44140625" style="395" bestFit="1" customWidth="1"/>
    <col min="10502" max="10502" width="11" style="395" customWidth="1"/>
    <col min="10503" max="10503" width="14" style="395" customWidth="1"/>
    <col min="10504" max="10504" width="11.6640625" style="395" customWidth="1"/>
    <col min="10505" max="10507" width="11.6640625" style="395" bestFit="1" customWidth="1"/>
    <col min="10508" max="10508" width="11.6640625" style="395" customWidth="1"/>
    <col min="10509" max="10509" width="11.6640625" style="395" bestFit="1" customWidth="1"/>
    <col min="10510" max="10510" width="12" style="395" bestFit="1" customWidth="1"/>
    <col min="10511" max="10515" width="11.6640625" style="395" bestFit="1" customWidth="1"/>
    <col min="10516" max="10516" width="11.6640625" style="395" customWidth="1"/>
    <col min="10517" max="10517" width="11.6640625" style="395" bestFit="1" customWidth="1"/>
    <col min="10518" max="10518" width="12.109375" style="395" customWidth="1"/>
    <col min="10519" max="10520" width="11.6640625" style="395" bestFit="1" customWidth="1"/>
    <col min="10521" max="10521" width="11.88671875" style="395" customWidth="1"/>
    <col min="10522" max="10522" width="12.33203125" style="395" customWidth="1"/>
    <col min="10523" max="10525" width="12.109375" style="395" customWidth="1"/>
    <col min="10526" max="10526" width="11.88671875" style="395" customWidth="1"/>
    <col min="10527" max="10527" width="13.109375" style="395" customWidth="1"/>
    <col min="10528" max="10528" width="12.33203125" style="395" customWidth="1"/>
    <col min="10529" max="10529" width="12.109375" style="395" customWidth="1"/>
    <col min="10530" max="10530" width="11.88671875" style="395" customWidth="1"/>
    <col min="10531" max="10531" width="11.6640625" style="395" customWidth="1"/>
    <col min="10532" max="10532" width="12.33203125" style="395" customWidth="1"/>
    <col min="10533" max="10533" width="11.5546875" style="395" customWidth="1"/>
    <col min="10534" max="10534" width="13.109375" style="395" customWidth="1"/>
    <col min="10535" max="10535" width="8.88671875" style="395"/>
    <col min="10536" max="10536" width="16" style="395" customWidth="1"/>
    <col min="10537" max="10752" width="8.88671875" style="395"/>
    <col min="10753" max="10753" width="66.44140625" style="395" customWidth="1"/>
    <col min="10754" max="10754" width="8.6640625" style="395" customWidth="1"/>
    <col min="10755" max="10755" width="12.44140625" style="395" customWidth="1"/>
    <col min="10756" max="10756" width="11" style="395" customWidth="1"/>
    <col min="10757" max="10757" width="12.44140625" style="395" bestFit="1" customWidth="1"/>
    <col min="10758" max="10758" width="11" style="395" customWidth="1"/>
    <col min="10759" max="10759" width="14" style="395" customWidth="1"/>
    <col min="10760" max="10760" width="11.6640625" style="395" customWidth="1"/>
    <col min="10761" max="10763" width="11.6640625" style="395" bestFit="1" customWidth="1"/>
    <col min="10764" max="10764" width="11.6640625" style="395" customWidth="1"/>
    <col min="10765" max="10765" width="11.6640625" style="395" bestFit="1" customWidth="1"/>
    <col min="10766" max="10766" width="12" style="395" bestFit="1" customWidth="1"/>
    <col min="10767" max="10771" width="11.6640625" style="395" bestFit="1" customWidth="1"/>
    <col min="10772" max="10772" width="11.6640625" style="395" customWidth="1"/>
    <col min="10773" max="10773" width="11.6640625" style="395" bestFit="1" customWidth="1"/>
    <col min="10774" max="10774" width="12.109375" style="395" customWidth="1"/>
    <col min="10775" max="10776" width="11.6640625" style="395" bestFit="1" customWidth="1"/>
    <col min="10777" max="10777" width="11.88671875" style="395" customWidth="1"/>
    <col min="10778" max="10778" width="12.33203125" style="395" customWidth="1"/>
    <col min="10779" max="10781" width="12.109375" style="395" customWidth="1"/>
    <col min="10782" max="10782" width="11.88671875" style="395" customWidth="1"/>
    <col min="10783" max="10783" width="13.109375" style="395" customWidth="1"/>
    <col min="10784" max="10784" width="12.33203125" style="395" customWidth="1"/>
    <col min="10785" max="10785" width="12.109375" style="395" customWidth="1"/>
    <col min="10786" max="10786" width="11.88671875" style="395" customWidth="1"/>
    <col min="10787" max="10787" width="11.6640625" style="395" customWidth="1"/>
    <col min="10788" max="10788" width="12.33203125" style="395" customWidth="1"/>
    <col min="10789" max="10789" width="11.5546875" style="395" customWidth="1"/>
    <col min="10790" max="10790" width="13.109375" style="395" customWidth="1"/>
    <col min="10791" max="10791" width="8.88671875" style="395"/>
    <col min="10792" max="10792" width="16" style="395" customWidth="1"/>
    <col min="10793" max="11008" width="8.88671875" style="395"/>
    <col min="11009" max="11009" width="66.44140625" style="395" customWidth="1"/>
    <col min="11010" max="11010" width="8.6640625" style="395" customWidth="1"/>
    <col min="11011" max="11011" width="12.44140625" style="395" customWidth="1"/>
    <col min="11012" max="11012" width="11" style="395" customWidth="1"/>
    <col min="11013" max="11013" width="12.44140625" style="395" bestFit="1" customWidth="1"/>
    <col min="11014" max="11014" width="11" style="395" customWidth="1"/>
    <col min="11015" max="11015" width="14" style="395" customWidth="1"/>
    <col min="11016" max="11016" width="11.6640625" style="395" customWidth="1"/>
    <col min="11017" max="11019" width="11.6640625" style="395" bestFit="1" customWidth="1"/>
    <col min="11020" max="11020" width="11.6640625" style="395" customWidth="1"/>
    <col min="11021" max="11021" width="11.6640625" style="395" bestFit="1" customWidth="1"/>
    <col min="11022" max="11022" width="12" style="395" bestFit="1" customWidth="1"/>
    <col min="11023" max="11027" width="11.6640625" style="395" bestFit="1" customWidth="1"/>
    <col min="11028" max="11028" width="11.6640625" style="395" customWidth="1"/>
    <col min="11029" max="11029" width="11.6640625" style="395" bestFit="1" customWidth="1"/>
    <col min="11030" max="11030" width="12.109375" style="395" customWidth="1"/>
    <col min="11031" max="11032" width="11.6640625" style="395" bestFit="1" customWidth="1"/>
    <col min="11033" max="11033" width="11.88671875" style="395" customWidth="1"/>
    <col min="11034" max="11034" width="12.33203125" style="395" customWidth="1"/>
    <col min="11035" max="11037" width="12.109375" style="395" customWidth="1"/>
    <col min="11038" max="11038" width="11.88671875" style="395" customWidth="1"/>
    <col min="11039" max="11039" width="13.109375" style="395" customWidth="1"/>
    <col min="11040" max="11040" width="12.33203125" style="395" customWidth="1"/>
    <col min="11041" max="11041" width="12.109375" style="395" customWidth="1"/>
    <col min="11042" max="11042" width="11.88671875" style="395" customWidth="1"/>
    <col min="11043" max="11043" width="11.6640625" style="395" customWidth="1"/>
    <col min="11044" max="11044" width="12.33203125" style="395" customWidth="1"/>
    <col min="11045" max="11045" width="11.5546875" style="395" customWidth="1"/>
    <col min="11046" max="11046" width="13.109375" style="395" customWidth="1"/>
    <col min="11047" max="11047" width="8.88671875" style="395"/>
    <col min="11048" max="11048" width="16" style="395" customWidth="1"/>
    <col min="11049" max="11264" width="8.88671875" style="395"/>
    <col min="11265" max="11265" width="66.44140625" style="395" customWidth="1"/>
    <col min="11266" max="11266" width="8.6640625" style="395" customWidth="1"/>
    <col min="11267" max="11267" width="12.44140625" style="395" customWidth="1"/>
    <col min="11268" max="11268" width="11" style="395" customWidth="1"/>
    <col min="11269" max="11269" width="12.44140625" style="395" bestFit="1" customWidth="1"/>
    <col min="11270" max="11270" width="11" style="395" customWidth="1"/>
    <col min="11271" max="11271" width="14" style="395" customWidth="1"/>
    <col min="11272" max="11272" width="11.6640625" style="395" customWidth="1"/>
    <col min="11273" max="11275" width="11.6640625" style="395" bestFit="1" customWidth="1"/>
    <col min="11276" max="11276" width="11.6640625" style="395" customWidth="1"/>
    <col min="11277" max="11277" width="11.6640625" style="395" bestFit="1" customWidth="1"/>
    <col min="11278" max="11278" width="12" style="395" bestFit="1" customWidth="1"/>
    <col min="11279" max="11283" width="11.6640625" style="395" bestFit="1" customWidth="1"/>
    <col min="11284" max="11284" width="11.6640625" style="395" customWidth="1"/>
    <col min="11285" max="11285" width="11.6640625" style="395" bestFit="1" customWidth="1"/>
    <col min="11286" max="11286" width="12.109375" style="395" customWidth="1"/>
    <col min="11287" max="11288" width="11.6640625" style="395" bestFit="1" customWidth="1"/>
    <col min="11289" max="11289" width="11.88671875" style="395" customWidth="1"/>
    <col min="11290" max="11290" width="12.33203125" style="395" customWidth="1"/>
    <col min="11291" max="11293" width="12.109375" style="395" customWidth="1"/>
    <col min="11294" max="11294" width="11.88671875" style="395" customWidth="1"/>
    <col min="11295" max="11295" width="13.109375" style="395" customWidth="1"/>
    <col min="11296" max="11296" width="12.33203125" style="395" customWidth="1"/>
    <col min="11297" max="11297" width="12.109375" style="395" customWidth="1"/>
    <col min="11298" max="11298" width="11.88671875" style="395" customWidth="1"/>
    <col min="11299" max="11299" width="11.6640625" style="395" customWidth="1"/>
    <col min="11300" max="11300" width="12.33203125" style="395" customWidth="1"/>
    <col min="11301" max="11301" width="11.5546875" style="395" customWidth="1"/>
    <col min="11302" max="11302" width="13.109375" style="395" customWidth="1"/>
    <col min="11303" max="11303" width="8.88671875" style="395"/>
    <col min="11304" max="11304" width="16" style="395" customWidth="1"/>
    <col min="11305" max="11520" width="8.88671875" style="395"/>
    <col min="11521" max="11521" width="66.44140625" style="395" customWidth="1"/>
    <col min="11522" max="11522" width="8.6640625" style="395" customWidth="1"/>
    <col min="11523" max="11523" width="12.44140625" style="395" customWidth="1"/>
    <col min="11524" max="11524" width="11" style="395" customWidth="1"/>
    <col min="11525" max="11525" width="12.44140625" style="395" bestFit="1" customWidth="1"/>
    <col min="11526" max="11526" width="11" style="395" customWidth="1"/>
    <col min="11527" max="11527" width="14" style="395" customWidth="1"/>
    <col min="11528" max="11528" width="11.6640625" style="395" customWidth="1"/>
    <col min="11529" max="11531" width="11.6640625" style="395" bestFit="1" customWidth="1"/>
    <col min="11532" max="11532" width="11.6640625" style="395" customWidth="1"/>
    <col min="11533" max="11533" width="11.6640625" style="395" bestFit="1" customWidth="1"/>
    <col min="11534" max="11534" width="12" style="395" bestFit="1" customWidth="1"/>
    <col min="11535" max="11539" width="11.6640625" style="395" bestFit="1" customWidth="1"/>
    <col min="11540" max="11540" width="11.6640625" style="395" customWidth="1"/>
    <col min="11541" max="11541" width="11.6640625" style="395" bestFit="1" customWidth="1"/>
    <col min="11542" max="11542" width="12.109375" style="395" customWidth="1"/>
    <col min="11543" max="11544" width="11.6640625" style="395" bestFit="1" customWidth="1"/>
    <col min="11545" max="11545" width="11.88671875" style="395" customWidth="1"/>
    <col min="11546" max="11546" width="12.33203125" style="395" customWidth="1"/>
    <col min="11547" max="11549" width="12.109375" style="395" customWidth="1"/>
    <col min="11550" max="11550" width="11.88671875" style="395" customWidth="1"/>
    <col min="11551" max="11551" width="13.109375" style="395" customWidth="1"/>
    <col min="11552" max="11552" width="12.33203125" style="395" customWidth="1"/>
    <col min="11553" max="11553" width="12.109375" style="395" customWidth="1"/>
    <col min="11554" max="11554" width="11.88671875" style="395" customWidth="1"/>
    <col min="11555" max="11555" width="11.6640625" style="395" customWidth="1"/>
    <col min="11556" max="11556" width="12.33203125" style="395" customWidth="1"/>
    <col min="11557" max="11557" width="11.5546875" style="395" customWidth="1"/>
    <col min="11558" max="11558" width="13.109375" style="395" customWidth="1"/>
    <col min="11559" max="11559" width="8.88671875" style="395"/>
    <col min="11560" max="11560" width="16" style="395" customWidth="1"/>
    <col min="11561" max="11776" width="8.88671875" style="395"/>
    <col min="11777" max="11777" width="66.44140625" style="395" customWidth="1"/>
    <col min="11778" max="11778" width="8.6640625" style="395" customWidth="1"/>
    <col min="11779" max="11779" width="12.44140625" style="395" customWidth="1"/>
    <col min="11780" max="11780" width="11" style="395" customWidth="1"/>
    <col min="11781" max="11781" width="12.44140625" style="395" bestFit="1" customWidth="1"/>
    <col min="11782" max="11782" width="11" style="395" customWidth="1"/>
    <col min="11783" max="11783" width="14" style="395" customWidth="1"/>
    <col min="11784" max="11784" width="11.6640625" style="395" customWidth="1"/>
    <col min="11785" max="11787" width="11.6640625" style="395" bestFit="1" customWidth="1"/>
    <col min="11788" max="11788" width="11.6640625" style="395" customWidth="1"/>
    <col min="11789" max="11789" width="11.6640625" style="395" bestFit="1" customWidth="1"/>
    <col min="11790" max="11790" width="12" style="395" bestFit="1" customWidth="1"/>
    <col min="11791" max="11795" width="11.6640625" style="395" bestFit="1" customWidth="1"/>
    <col min="11796" max="11796" width="11.6640625" style="395" customWidth="1"/>
    <col min="11797" max="11797" width="11.6640625" style="395" bestFit="1" customWidth="1"/>
    <col min="11798" max="11798" width="12.109375" style="395" customWidth="1"/>
    <col min="11799" max="11800" width="11.6640625" style="395" bestFit="1" customWidth="1"/>
    <col min="11801" max="11801" width="11.88671875" style="395" customWidth="1"/>
    <col min="11802" max="11802" width="12.33203125" style="395" customWidth="1"/>
    <col min="11803" max="11805" width="12.109375" style="395" customWidth="1"/>
    <col min="11806" max="11806" width="11.88671875" style="395" customWidth="1"/>
    <col min="11807" max="11807" width="13.109375" style="395" customWidth="1"/>
    <col min="11808" max="11808" width="12.33203125" style="395" customWidth="1"/>
    <col min="11809" max="11809" width="12.109375" style="395" customWidth="1"/>
    <col min="11810" max="11810" width="11.88671875" style="395" customWidth="1"/>
    <col min="11811" max="11811" width="11.6640625" style="395" customWidth="1"/>
    <col min="11812" max="11812" width="12.33203125" style="395" customWidth="1"/>
    <col min="11813" max="11813" width="11.5546875" style="395" customWidth="1"/>
    <col min="11814" max="11814" width="13.109375" style="395" customWidth="1"/>
    <col min="11815" max="11815" width="8.88671875" style="395"/>
    <col min="11816" max="11816" width="16" style="395" customWidth="1"/>
    <col min="11817" max="12032" width="8.88671875" style="395"/>
    <col min="12033" max="12033" width="66.44140625" style="395" customWidth="1"/>
    <col min="12034" max="12034" width="8.6640625" style="395" customWidth="1"/>
    <col min="12035" max="12035" width="12.44140625" style="395" customWidth="1"/>
    <col min="12036" max="12036" width="11" style="395" customWidth="1"/>
    <col min="12037" max="12037" width="12.44140625" style="395" bestFit="1" customWidth="1"/>
    <col min="12038" max="12038" width="11" style="395" customWidth="1"/>
    <col min="12039" max="12039" width="14" style="395" customWidth="1"/>
    <col min="12040" max="12040" width="11.6640625" style="395" customWidth="1"/>
    <col min="12041" max="12043" width="11.6640625" style="395" bestFit="1" customWidth="1"/>
    <col min="12044" max="12044" width="11.6640625" style="395" customWidth="1"/>
    <col min="12045" max="12045" width="11.6640625" style="395" bestFit="1" customWidth="1"/>
    <col min="12046" max="12046" width="12" style="395" bestFit="1" customWidth="1"/>
    <col min="12047" max="12051" width="11.6640625" style="395" bestFit="1" customWidth="1"/>
    <col min="12052" max="12052" width="11.6640625" style="395" customWidth="1"/>
    <col min="12053" max="12053" width="11.6640625" style="395" bestFit="1" customWidth="1"/>
    <col min="12054" max="12054" width="12.109375" style="395" customWidth="1"/>
    <col min="12055" max="12056" width="11.6640625" style="395" bestFit="1" customWidth="1"/>
    <col min="12057" max="12057" width="11.88671875" style="395" customWidth="1"/>
    <col min="12058" max="12058" width="12.33203125" style="395" customWidth="1"/>
    <col min="12059" max="12061" width="12.109375" style="395" customWidth="1"/>
    <col min="12062" max="12062" width="11.88671875" style="395" customWidth="1"/>
    <col min="12063" max="12063" width="13.109375" style="395" customWidth="1"/>
    <col min="12064" max="12064" width="12.33203125" style="395" customWidth="1"/>
    <col min="12065" max="12065" width="12.109375" style="395" customWidth="1"/>
    <col min="12066" max="12066" width="11.88671875" style="395" customWidth="1"/>
    <col min="12067" max="12067" width="11.6640625" style="395" customWidth="1"/>
    <col min="12068" max="12068" width="12.33203125" style="395" customWidth="1"/>
    <col min="12069" max="12069" width="11.5546875" style="395" customWidth="1"/>
    <col min="12070" max="12070" width="13.109375" style="395" customWidth="1"/>
    <col min="12071" max="12071" width="8.88671875" style="395"/>
    <col min="12072" max="12072" width="16" style="395" customWidth="1"/>
    <col min="12073" max="12288" width="8.88671875" style="395"/>
    <col min="12289" max="12289" width="66.44140625" style="395" customWidth="1"/>
    <col min="12290" max="12290" width="8.6640625" style="395" customWidth="1"/>
    <col min="12291" max="12291" width="12.44140625" style="395" customWidth="1"/>
    <col min="12292" max="12292" width="11" style="395" customWidth="1"/>
    <col min="12293" max="12293" width="12.44140625" style="395" bestFit="1" customWidth="1"/>
    <col min="12294" max="12294" width="11" style="395" customWidth="1"/>
    <col min="12295" max="12295" width="14" style="395" customWidth="1"/>
    <col min="12296" max="12296" width="11.6640625" style="395" customWidth="1"/>
    <col min="12297" max="12299" width="11.6640625" style="395" bestFit="1" customWidth="1"/>
    <col min="12300" max="12300" width="11.6640625" style="395" customWidth="1"/>
    <col min="12301" max="12301" width="11.6640625" style="395" bestFit="1" customWidth="1"/>
    <col min="12302" max="12302" width="12" style="395" bestFit="1" customWidth="1"/>
    <col min="12303" max="12307" width="11.6640625" style="395" bestFit="1" customWidth="1"/>
    <col min="12308" max="12308" width="11.6640625" style="395" customWidth="1"/>
    <col min="12309" max="12309" width="11.6640625" style="395" bestFit="1" customWidth="1"/>
    <col min="12310" max="12310" width="12.109375" style="395" customWidth="1"/>
    <col min="12311" max="12312" width="11.6640625" style="395" bestFit="1" customWidth="1"/>
    <col min="12313" max="12313" width="11.88671875" style="395" customWidth="1"/>
    <col min="12314" max="12314" width="12.33203125" style="395" customWidth="1"/>
    <col min="12315" max="12317" width="12.109375" style="395" customWidth="1"/>
    <col min="12318" max="12318" width="11.88671875" style="395" customWidth="1"/>
    <col min="12319" max="12319" width="13.109375" style="395" customWidth="1"/>
    <col min="12320" max="12320" width="12.33203125" style="395" customWidth="1"/>
    <col min="12321" max="12321" width="12.109375" style="395" customWidth="1"/>
    <col min="12322" max="12322" width="11.88671875" style="395" customWidth="1"/>
    <col min="12323" max="12323" width="11.6640625" style="395" customWidth="1"/>
    <col min="12324" max="12324" width="12.33203125" style="395" customWidth="1"/>
    <col min="12325" max="12325" width="11.5546875" style="395" customWidth="1"/>
    <col min="12326" max="12326" width="13.109375" style="395" customWidth="1"/>
    <col min="12327" max="12327" width="8.88671875" style="395"/>
    <col min="12328" max="12328" width="16" style="395" customWidth="1"/>
    <col min="12329" max="12544" width="8.88671875" style="395"/>
    <col min="12545" max="12545" width="66.44140625" style="395" customWidth="1"/>
    <col min="12546" max="12546" width="8.6640625" style="395" customWidth="1"/>
    <col min="12547" max="12547" width="12.44140625" style="395" customWidth="1"/>
    <col min="12548" max="12548" width="11" style="395" customWidth="1"/>
    <col min="12549" max="12549" width="12.44140625" style="395" bestFit="1" customWidth="1"/>
    <col min="12550" max="12550" width="11" style="395" customWidth="1"/>
    <col min="12551" max="12551" width="14" style="395" customWidth="1"/>
    <col min="12552" max="12552" width="11.6640625" style="395" customWidth="1"/>
    <col min="12553" max="12555" width="11.6640625" style="395" bestFit="1" customWidth="1"/>
    <col min="12556" max="12556" width="11.6640625" style="395" customWidth="1"/>
    <col min="12557" max="12557" width="11.6640625" style="395" bestFit="1" customWidth="1"/>
    <col min="12558" max="12558" width="12" style="395" bestFit="1" customWidth="1"/>
    <col min="12559" max="12563" width="11.6640625" style="395" bestFit="1" customWidth="1"/>
    <col min="12564" max="12564" width="11.6640625" style="395" customWidth="1"/>
    <col min="12565" max="12565" width="11.6640625" style="395" bestFit="1" customWidth="1"/>
    <col min="12566" max="12566" width="12.109375" style="395" customWidth="1"/>
    <col min="12567" max="12568" width="11.6640625" style="395" bestFit="1" customWidth="1"/>
    <col min="12569" max="12569" width="11.88671875" style="395" customWidth="1"/>
    <col min="12570" max="12570" width="12.33203125" style="395" customWidth="1"/>
    <col min="12571" max="12573" width="12.109375" style="395" customWidth="1"/>
    <col min="12574" max="12574" width="11.88671875" style="395" customWidth="1"/>
    <col min="12575" max="12575" width="13.109375" style="395" customWidth="1"/>
    <col min="12576" max="12576" width="12.33203125" style="395" customWidth="1"/>
    <col min="12577" max="12577" width="12.109375" style="395" customWidth="1"/>
    <col min="12578" max="12578" width="11.88671875" style="395" customWidth="1"/>
    <col min="12579" max="12579" width="11.6640625" style="395" customWidth="1"/>
    <col min="12580" max="12580" width="12.33203125" style="395" customWidth="1"/>
    <col min="12581" max="12581" width="11.5546875" style="395" customWidth="1"/>
    <col min="12582" max="12582" width="13.109375" style="395" customWidth="1"/>
    <col min="12583" max="12583" width="8.88671875" style="395"/>
    <col min="12584" max="12584" width="16" style="395" customWidth="1"/>
    <col min="12585" max="12800" width="8.88671875" style="395"/>
    <col min="12801" max="12801" width="66.44140625" style="395" customWidth="1"/>
    <col min="12802" max="12802" width="8.6640625" style="395" customWidth="1"/>
    <col min="12803" max="12803" width="12.44140625" style="395" customWidth="1"/>
    <col min="12804" max="12804" width="11" style="395" customWidth="1"/>
    <col min="12805" max="12805" width="12.44140625" style="395" bestFit="1" customWidth="1"/>
    <col min="12806" max="12806" width="11" style="395" customWidth="1"/>
    <col min="12807" max="12807" width="14" style="395" customWidth="1"/>
    <col min="12808" max="12808" width="11.6640625" style="395" customWidth="1"/>
    <col min="12809" max="12811" width="11.6640625" style="395" bestFit="1" customWidth="1"/>
    <col min="12812" max="12812" width="11.6640625" style="395" customWidth="1"/>
    <col min="12813" max="12813" width="11.6640625" style="395" bestFit="1" customWidth="1"/>
    <col min="12814" max="12814" width="12" style="395" bestFit="1" customWidth="1"/>
    <col min="12815" max="12819" width="11.6640625" style="395" bestFit="1" customWidth="1"/>
    <col min="12820" max="12820" width="11.6640625" style="395" customWidth="1"/>
    <col min="12821" max="12821" width="11.6640625" style="395" bestFit="1" customWidth="1"/>
    <col min="12822" max="12822" width="12.109375" style="395" customWidth="1"/>
    <col min="12823" max="12824" width="11.6640625" style="395" bestFit="1" customWidth="1"/>
    <col min="12825" max="12825" width="11.88671875" style="395" customWidth="1"/>
    <col min="12826" max="12826" width="12.33203125" style="395" customWidth="1"/>
    <col min="12827" max="12829" width="12.109375" style="395" customWidth="1"/>
    <col min="12830" max="12830" width="11.88671875" style="395" customWidth="1"/>
    <col min="12831" max="12831" width="13.109375" style="395" customWidth="1"/>
    <col min="12832" max="12832" width="12.33203125" style="395" customWidth="1"/>
    <col min="12833" max="12833" width="12.109375" style="395" customWidth="1"/>
    <col min="12834" max="12834" width="11.88671875" style="395" customWidth="1"/>
    <col min="12835" max="12835" width="11.6640625" style="395" customWidth="1"/>
    <col min="12836" max="12836" width="12.33203125" style="395" customWidth="1"/>
    <col min="12837" max="12837" width="11.5546875" style="395" customWidth="1"/>
    <col min="12838" max="12838" width="13.109375" style="395" customWidth="1"/>
    <col min="12839" max="12839" width="8.88671875" style="395"/>
    <col min="12840" max="12840" width="16" style="395" customWidth="1"/>
    <col min="12841" max="13056" width="8.88671875" style="395"/>
    <col min="13057" max="13057" width="66.44140625" style="395" customWidth="1"/>
    <col min="13058" max="13058" width="8.6640625" style="395" customWidth="1"/>
    <col min="13059" max="13059" width="12.44140625" style="395" customWidth="1"/>
    <col min="13060" max="13060" width="11" style="395" customWidth="1"/>
    <col min="13061" max="13061" width="12.44140625" style="395" bestFit="1" customWidth="1"/>
    <col min="13062" max="13062" width="11" style="395" customWidth="1"/>
    <col min="13063" max="13063" width="14" style="395" customWidth="1"/>
    <col min="13064" max="13064" width="11.6640625" style="395" customWidth="1"/>
    <col min="13065" max="13067" width="11.6640625" style="395" bestFit="1" customWidth="1"/>
    <col min="13068" max="13068" width="11.6640625" style="395" customWidth="1"/>
    <col min="13069" max="13069" width="11.6640625" style="395" bestFit="1" customWidth="1"/>
    <col min="13070" max="13070" width="12" style="395" bestFit="1" customWidth="1"/>
    <col min="13071" max="13075" width="11.6640625" style="395" bestFit="1" customWidth="1"/>
    <col min="13076" max="13076" width="11.6640625" style="395" customWidth="1"/>
    <col min="13077" max="13077" width="11.6640625" style="395" bestFit="1" customWidth="1"/>
    <col min="13078" max="13078" width="12.109375" style="395" customWidth="1"/>
    <col min="13079" max="13080" width="11.6640625" style="395" bestFit="1" customWidth="1"/>
    <col min="13081" max="13081" width="11.88671875" style="395" customWidth="1"/>
    <col min="13082" max="13082" width="12.33203125" style="395" customWidth="1"/>
    <col min="13083" max="13085" width="12.109375" style="395" customWidth="1"/>
    <col min="13086" max="13086" width="11.88671875" style="395" customWidth="1"/>
    <col min="13087" max="13087" width="13.109375" style="395" customWidth="1"/>
    <col min="13088" max="13088" width="12.33203125" style="395" customWidth="1"/>
    <col min="13089" max="13089" width="12.109375" style="395" customWidth="1"/>
    <col min="13090" max="13090" width="11.88671875" style="395" customWidth="1"/>
    <col min="13091" max="13091" width="11.6640625" style="395" customWidth="1"/>
    <col min="13092" max="13092" width="12.33203125" style="395" customWidth="1"/>
    <col min="13093" max="13093" width="11.5546875" style="395" customWidth="1"/>
    <col min="13094" max="13094" width="13.109375" style="395" customWidth="1"/>
    <col min="13095" max="13095" width="8.88671875" style="395"/>
    <col min="13096" max="13096" width="16" style="395" customWidth="1"/>
    <col min="13097" max="13312" width="8.88671875" style="395"/>
    <col min="13313" max="13313" width="66.44140625" style="395" customWidth="1"/>
    <col min="13314" max="13314" width="8.6640625" style="395" customWidth="1"/>
    <col min="13315" max="13315" width="12.44140625" style="395" customWidth="1"/>
    <col min="13316" max="13316" width="11" style="395" customWidth="1"/>
    <col min="13317" max="13317" width="12.44140625" style="395" bestFit="1" customWidth="1"/>
    <col min="13318" max="13318" width="11" style="395" customWidth="1"/>
    <col min="13319" max="13319" width="14" style="395" customWidth="1"/>
    <col min="13320" max="13320" width="11.6640625" style="395" customWidth="1"/>
    <col min="13321" max="13323" width="11.6640625" style="395" bestFit="1" customWidth="1"/>
    <col min="13324" max="13324" width="11.6640625" style="395" customWidth="1"/>
    <col min="13325" max="13325" width="11.6640625" style="395" bestFit="1" customWidth="1"/>
    <col min="13326" max="13326" width="12" style="395" bestFit="1" customWidth="1"/>
    <col min="13327" max="13331" width="11.6640625" style="395" bestFit="1" customWidth="1"/>
    <col min="13332" max="13332" width="11.6640625" style="395" customWidth="1"/>
    <col min="13333" max="13333" width="11.6640625" style="395" bestFit="1" customWidth="1"/>
    <col min="13334" max="13334" width="12.109375" style="395" customWidth="1"/>
    <col min="13335" max="13336" width="11.6640625" style="395" bestFit="1" customWidth="1"/>
    <col min="13337" max="13337" width="11.88671875" style="395" customWidth="1"/>
    <col min="13338" max="13338" width="12.33203125" style="395" customWidth="1"/>
    <col min="13339" max="13341" width="12.109375" style="395" customWidth="1"/>
    <col min="13342" max="13342" width="11.88671875" style="395" customWidth="1"/>
    <col min="13343" max="13343" width="13.109375" style="395" customWidth="1"/>
    <col min="13344" max="13344" width="12.33203125" style="395" customWidth="1"/>
    <col min="13345" max="13345" width="12.109375" style="395" customWidth="1"/>
    <col min="13346" max="13346" width="11.88671875" style="395" customWidth="1"/>
    <col min="13347" max="13347" width="11.6640625" style="395" customWidth="1"/>
    <col min="13348" max="13348" width="12.33203125" style="395" customWidth="1"/>
    <col min="13349" max="13349" width="11.5546875" style="395" customWidth="1"/>
    <col min="13350" max="13350" width="13.109375" style="395" customWidth="1"/>
    <col min="13351" max="13351" width="8.88671875" style="395"/>
    <col min="13352" max="13352" width="16" style="395" customWidth="1"/>
    <col min="13353" max="13568" width="8.88671875" style="395"/>
    <col min="13569" max="13569" width="66.44140625" style="395" customWidth="1"/>
    <col min="13570" max="13570" width="8.6640625" style="395" customWidth="1"/>
    <col min="13571" max="13571" width="12.44140625" style="395" customWidth="1"/>
    <col min="13572" max="13572" width="11" style="395" customWidth="1"/>
    <col min="13573" max="13573" width="12.44140625" style="395" bestFit="1" customWidth="1"/>
    <col min="13574" max="13574" width="11" style="395" customWidth="1"/>
    <col min="13575" max="13575" width="14" style="395" customWidth="1"/>
    <col min="13576" max="13576" width="11.6640625" style="395" customWidth="1"/>
    <col min="13577" max="13579" width="11.6640625" style="395" bestFit="1" customWidth="1"/>
    <col min="13580" max="13580" width="11.6640625" style="395" customWidth="1"/>
    <col min="13581" max="13581" width="11.6640625" style="395" bestFit="1" customWidth="1"/>
    <col min="13582" max="13582" width="12" style="395" bestFit="1" customWidth="1"/>
    <col min="13583" max="13587" width="11.6640625" style="395" bestFit="1" customWidth="1"/>
    <col min="13588" max="13588" width="11.6640625" style="395" customWidth="1"/>
    <col min="13589" max="13589" width="11.6640625" style="395" bestFit="1" customWidth="1"/>
    <col min="13590" max="13590" width="12.109375" style="395" customWidth="1"/>
    <col min="13591" max="13592" width="11.6640625" style="395" bestFit="1" customWidth="1"/>
    <col min="13593" max="13593" width="11.88671875" style="395" customWidth="1"/>
    <col min="13594" max="13594" width="12.33203125" style="395" customWidth="1"/>
    <col min="13595" max="13597" width="12.109375" style="395" customWidth="1"/>
    <col min="13598" max="13598" width="11.88671875" style="395" customWidth="1"/>
    <col min="13599" max="13599" width="13.109375" style="395" customWidth="1"/>
    <col min="13600" max="13600" width="12.33203125" style="395" customWidth="1"/>
    <col min="13601" max="13601" width="12.109375" style="395" customWidth="1"/>
    <col min="13602" max="13602" width="11.88671875" style="395" customWidth="1"/>
    <col min="13603" max="13603" width="11.6640625" style="395" customWidth="1"/>
    <col min="13604" max="13604" width="12.33203125" style="395" customWidth="1"/>
    <col min="13605" max="13605" width="11.5546875" style="395" customWidth="1"/>
    <col min="13606" max="13606" width="13.109375" style="395" customWidth="1"/>
    <col min="13607" max="13607" width="8.88671875" style="395"/>
    <col min="13608" max="13608" width="16" style="395" customWidth="1"/>
    <col min="13609" max="13824" width="8.88671875" style="395"/>
    <col min="13825" max="13825" width="66.44140625" style="395" customWidth="1"/>
    <col min="13826" max="13826" width="8.6640625" style="395" customWidth="1"/>
    <col min="13827" max="13827" width="12.44140625" style="395" customWidth="1"/>
    <col min="13828" max="13828" width="11" style="395" customWidth="1"/>
    <col min="13829" max="13829" width="12.44140625" style="395" bestFit="1" customWidth="1"/>
    <col min="13830" max="13830" width="11" style="395" customWidth="1"/>
    <col min="13831" max="13831" width="14" style="395" customWidth="1"/>
    <col min="13832" max="13832" width="11.6640625" style="395" customWidth="1"/>
    <col min="13833" max="13835" width="11.6640625" style="395" bestFit="1" customWidth="1"/>
    <col min="13836" max="13836" width="11.6640625" style="395" customWidth="1"/>
    <col min="13837" max="13837" width="11.6640625" style="395" bestFit="1" customWidth="1"/>
    <col min="13838" max="13838" width="12" style="395" bestFit="1" customWidth="1"/>
    <col min="13839" max="13843" width="11.6640625" style="395" bestFit="1" customWidth="1"/>
    <col min="13844" max="13844" width="11.6640625" style="395" customWidth="1"/>
    <col min="13845" max="13845" width="11.6640625" style="395" bestFit="1" customWidth="1"/>
    <col min="13846" max="13846" width="12.109375" style="395" customWidth="1"/>
    <col min="13847" max="13848" width="11.6640625" style="395" bestFit="1" customWidth="1"/>
    <col min="13849" max="13849" width="11.88671875" style="395" customWidth="1"/>
    <col min="13850" max="13850" width="12.33203125" style="395" customWidth="1"/>
    <col min="13851" max="13853" width="12.109375" style="395" customWidth="1"/>
    <col min="13854" max="13854" width="11.88671875" style="395" customWidth="1"/>
    <col min="13855" max="13855" width="13.109375" style="395" customWidth="1"/>
    <col min="13856" max="13856" width="12.33203125" style="395" customWidth="1"/>
    <col min="13857" max="13857" width="12.109375" style="395" customWidth="1"/>
    <col min="13858" max="13858" width="11.88671875" style="395" customWidth="1"/>
    <col min="13859" max="13859" width="11.6640625" style="395" customWidth="1"/>
    <col min="13860" max="13860" width="12.33203125" style="395" customWidth="1"/>
    <col min="13861" max="13861" width="11.5546875" style="395" customWidth="1"/>
    <col min="13862" max="13862" width="13.109375" style="395" customWidth="1"/>
    <col min="13863" max="13863" width="8.88671875" style="395"/>
    <col min="13864" max="13864" width="16" style="395" customWidth="1"/>
    <col min="13865" max="14080" width="8.88671875" style="395"/>
    <col min="14081" max="14081" width="66.44140625" style="395" customWidth="1"/>
    <col min="14082" max="14082" width="8.6640625" style="395" customWidth="1"/>
    <col min="14083" max="14083" width="12.44140625" style="395" customWidth="1"/>
    <col min="14084" max="14084" width="11" style="395" customWidth="1"/>
    <col min="14085" max="14085" width="12.44140625" style="395" bestFit="1" customWidth="1"/>
    <col min="14086" max="14086" width="11" style="395" customWidth="1"/>
    <col min="14087" max="14087" width="14" style="395" customWidth="1"/>
    <col min="14088" max="14088" width="11.6640625" style="395" customWidth="1"/>
    <col min="14089" max="14091" width="11.6640625" style="395" bestFit="1" customWidth="1"/>
    <col min="14092" max="14092" width="11.6640625" style="395" customWidth="1"/>
    <col min="14093" max="14093" width="11.6640625" style="395" bestFit="1" customWidth="1"/>
    <col min="14094" max="14094" width="12" style="395" bestFit="1" customWidth="1"/>
    <col min="14095" max="14099" width="11.6640625" style="395" bestFit="1" customWidth="1"/>
    <col min="14100" max="14100" width="11.6640625" style="395" customWidth="1"/>
    <col min="14101" max="14101" width="11.6640625" style="395" bestFit="1" customWidth="1"/>
    <col min="14102" max="14102" width="12.109375" style="395" customWidth="1"/>
    <col min="14103" max="14104" width="11.6640625" style="395" bestFit="1" customWidth="1"/>
    <col min="14105" max="14105" width="11.88671875" style="395" customWidth="1"/>
    <col min="14106" max="14106" width="12.33203125" style="395" customWidth="1"/>
    <col min="14107" max="14109" width="12.109375" style="395" customWidth="1"/>
    <col min="14110" max="14110" width="11.88671875" style="395" customWidth="1"/>
    <col min="14111" max="14111" width="13.109375" style="395" customWidth="1"/>
    <col min="14112" max="14112" width="12.33203125" style="395" customWidth="1"/>
    <col min="14113" max="14113" width="12.109375" style="395" customWidth="1"/>
    <col min="14114" max="14114" width="11.88671875" style="395" customWidth="1"/>
    <col min="14115" max="14115" width="11.6640625" style="395" customWidth="1"/>
    <col min="14116" max="14116" width="12.33203125" style="395" customWidth="1"/>
    <col min="14117" max="14117" width="11.5546875" style="395" customWidth="1"/>
    <col min="14118" max="14118" width="13.109375" style="395" customWidth="1"/>
    <col min="14119" max="14119" width="8.88671875" style="395"/>
    <col min="14120" max="14120" width="16" style="395" customWidth="1"/>
    <col min="14121" max="14336" width="8.88671875" style="395"/>
    <col min="14337" max="14337" width="66.44140625" style="395" customWidth="1"/>
    <col min="14338" max="14338" width="8.6640625" style="395" customWidth="1"/>
    <col min="14339" max="14339" width="12.44140625" style="395" customWidth="1"/>
    <col min="14340" max="14340" width="11" style="395" customWidth="1"/>
    <col min="14341" max="14341" width="12.44140625" style="395" bestFit="1" customWidth="1"/>
    <col min="14342" max="14342" width="11" style="395" customWidth="1"/>
    <col min="14343" max="14343" width="14" style="395" customWidth="1"/>
    <col min="14344" max="14344" width="11.6640625" style="395" customWidth="1"/>
    <col min="14345" max="14347" width="11.6640625" style="395" bestFit="1" customWidth="1"/>
    <col min="14348" max="14348" width="11.6640625" style="395" customWidth="1"/>
    <col min="14349" max="14349" width="11.6640625" style="395" bestFit="1" customWidth="1"/>
    <col min="14350" max="14350" width="12" style="395" bestFit="1" customWidth="1"/>
    <col min="14351" max="14355" width="11.6640625" style="395" bestFit="1" customWidth="1"/>
    <col min="14356" max="14356" width="11.6640625" style="395" customWidth="1"/>
    <col min="14357" max="14357" width="11.6640625" style="395" bestFit="1" customWidth="1"/>
    <col min="14358" max="14358" width="12.109375" style="395" customWidth="1"/>
    <col min="14359" max="14360" width="11.6640625" style="395" bestFit="1" customWidth="1"/>
    <col min="14361" max="14361" width="11.88671875" style="395" customWidth="1"/>
    <col min="14362" max="14362" width="12.33203125" style="395" customWidth="1"/>
    <col min="14363" max="14365" width="12.109375" style="395" customWidth="1"/>
    <col min="14366" max="14366" width="11.88671875" style="395" customWidth="1"/>
    <col min="14367" max="14367" width="13.109375" style="395" customWidth="1"/>
    <col min="14368" max="14368" width="12.33203125" style="395" customWidth="1"/>
    <col min="14369" max="14369" width="12.109375" style="395" customWidth="1"/>
    <col min="14370" max="14370" width="11.88671875" style="395" customWidth="1"/>
    <col min="14371" max="14371" width="11.6640625" style="395" customWidth="1"/>
    <col min="14372" max="14372" width="12.33203125" style="395" customWidth="1"/>
    <col min="14373" max="14373" width="11.5546875" style="395" customWidth="1"/>
    <col min="14374" max="14374" width="13.109375" style="395" customWidth="1"/>
    <col min="14375" max="14375" width="8.88671875" style="395"/>
    <col min="14376" max="14376" width="16" style="395" customWidth="1"/>
    <col min="14377" max="14592" width="8.88671875" style="395"/>
    <col min="14593" max="14593" width="66.44140625" style="395" customWidth="1"/>
    <col min="14594" max="14594" width="8.6640625" style="395" customWidth="1"/>
    <col min="14595" max="14595" width="12.44140625" style="395" customWidth="1"/>
    <col min="14596" max="14596" width="11" style="395" customWidth="1"/>
    <col min="14597" max="14597" width="12.44140625" style="395" bestFit="1" customWidth="1"/>
    <col min="14598" max="14598" width="11" style="395" customWidth="1"/>
    <col min="14599" max="14599" width="14" style="395" customWidth="1"/>
    <col min="14600" max="14600" width="11.6640625" style="395" customWidth="1"/>
    <col min="14601" max="14603" width="11.6640625" style="395" bestFit="1" customWidth="1"/>
    <col min="14604" max="14604" width="11.6640625" style="395" customWidth="1"/>
    <col min="14605" max="14605" width="11.6640625" style="395" bestFit="1" customWidth="1"/>
    <col min="14606" max="14606" width="12" style="395" bestFit="1" customWidth="1"/>
    <col min="14607" max="14611" width="11.6640625" style="395" bestFit="1" customWidth="1"/>
    <col min="14612" max="14612" width="11.6640625" style="395" customWidth="1"/>
    <col min="14613" max="14613" width="11.6640625" style="395" bestFit="1" customWidth="1"/>
    <col min="14614" max="14614" width="12.109375" style="395" customWidth="1"/>
    <col min="14615" max="14616" width="11.6640625" style="395" bestFit="1" customWidth="1"/>
    <col min="14617" max="14617" width="11.88671875" style="395" customWidth="1"/>
    <col min="14618" max="14618" width="12.33203125" style="395" customWidth="1"/>
    <col min="14619" max="14621" width="12.109375" style="395" customWidth="1"/>
    <col min="14622" max="14622" width="11.88671875" style="395" customWidth="1"/>
    <col min="14623" max="14623" width="13.109375" style="395" customWidth="1"/>
    <col min="14624" max="14624" width="12.33203125" style="395" customWidth="1"/>
    <col min="14625" max="14625" width="12.109375" style="395" customWidth="1"/>
    <col min="14626" max="14626" width="11.88671875" style="395" customWidth="1"/>
    <col min="14627" max="14627" width="11.6640625" style="395" customWidth="1"/>
    <col min="14628" max="14628" width="12.33203125" style="395" customWidth="1"/>
    <col min="14629" max="14629" width="11.5546875" style="395" customWidth="1"/>
    <col min="14630" max="14630" width="13.109375" style="395" customWidth="1"/>
    <col min="14631" max="14631" width="8.88671875" style="395"/>
    <col min="14632" max="14632" width="16" style="395" customWidth="1"/>
    <col min="14633" max="14848" width="8.88671875" style="395"/>
    <col min="14849" max="14849" width="66.44140625" style="395" customWidth="1"/>
    <col min="14850" max="14850" width="8.6640625" style="395" customWidth="1"/>
    <col min="14851" max="14851" width="12.44140625" style="395" customWidth="1"/>
    <col min="14852" max="14852" width="11" style="395" customWidth="1"/>
    <col min="14853" max="14853" width="12.44140625" style="395" bestFit="1" customWidth="1"/>
    <col min="14854" max="14854" width="11" style="395" customWidth="1"/>
    <col min="14855" max="14855" width="14" style="395" customWidth="1"/>
    <col min="14856" max="14856" width="11.6640625" style="395" customWidth="1"/>
    <col min="14857" max="14859" width="11.6640625" style="395" bestFit="1" customWidth="1"/>
    <col min="14860" max="14860" width="11.6640625" style="395" customWidth="1"/>
    <col min="14861" max="14861" width="11.6640625" style="395" bestFit="1" customWidth="1"/>
    <col min="14862" max="14862" width="12" style="395" bestFit="1" customWidth="1"/>
    <col min="14863" max="14867" width="11.6640625" style="395" bestFit="1" customWidth="1"/>
    <col min="14868" max="14868" width="11.6640625" style="395" customWidth="1"/>
    <col min="14869" max="14869" width="11.6640625" style="395" bestFit="1" customWidth="1"/>
    <col min="14870" max="14870" width="12.109375" style="395" customWidth="1"/>
    <col min="14871" max="14872" width="11.6640625" style="395" bestFit="1" customWidth="1"/>
    <col min="14873" max="14873" width="11.88671875" style="395" customWidth="1"/>
    <col min="14874" max="14874" width="12.33203125" style="395" customWidth="1"/>
    <col min="14875" max="14877" width="12.109375" style="395" customWidth="1"/>
    <col min="14878" max="14878" width="11.88671875" style="395" customWidth="1"/>
    <col min="14879" max="14879" width="13.109375" style="395" customWidth="1"/>
    <col min="14880" max="14880" width="12.33203125" style="395" customWidth="1"/>
    <col min="14881" max="14881" width="12.109375" style="395" customWidth="1"/>
    <col min="14882" max="14882" width="11.88671875" style="395" customWidth="1"/>
    <col min="14883" max="14883" width="11.6640625" style="395" customWidth="1"/>
    <col min="14884" max="14884" width="12.33203125" style="395" customWidth="1"/>
    <col min="14885" max="14885" width="11.5546875" style="395" customWidth="1"/>
    <col min="14886" max="14886" width="13.109375" style="395" customWidth="1"/>
    <col min="14887" max="14887" width="8.88671875" style="395"/>
    <col min="14888" max="14888" width="16" style="395" customWidth="1"/>
    <col min="14889" max="15104" width="8.88671875" style="395"/>
    <col min="15105" max="15105" width="66.44140625" style="395" customWidth="1"/>
    <col min="15106" max="15106" width="8.6640625" style="395" customWidth="1"/>
    <col min="15107" max="15107" width="12.44140625" style="395" customWidth="1"/>
    <col min="15108" max="15108" width="11" style="395" customWidth="1"/>
    <col min="15109" max="15109" width="12.44140625" style="395" bestFit="1" customWidth="1"/>
    <col min="15110" max="15110" width="11" style="395" customWidth="1"/>
    <col min="15111" max="15111" width="14" style="395" customWidth="1"/>
    <col min="15112" max="15112" width="11.6640625" style="395" customWidth="1"/>
    <col min="15113" max="15115" width="11.6640625" style="395" bestFit="1" customWidth="1"/>
    <col min="15116" max="15116" width="11.6640625" style="395" customWidth="1"/>
    <col min="15117" max="15117" width="11.6640625" style="395" bestFit="1" customWidth="1"/>
    <col min="15118" max="15118" width="12" style="395" bestFit="1" customWidth="1"/>
    <col min="15119" max="15123" width="11.6640625" style="395" bestFit="1" customWidth="1"/>
    <col min="15124" max="15124" width="11.6640625" style="395" customWidth="1"/>
    <col min="15125" max="15125" width="11.6640625" style="395" bestFit="1" customWidth="1"/>
    <col min="15126" max="15126" width="12.109375" style="395" customWidth="1"/>
    <col min="15127" max="15128" width="11.6640625" style="395" bestFit="1" customWidth="1"/>
    <col min="15129" max="15129" width="11.88671875" style="395" customWidth="1"/>
    <col min="15130" max="15130" width="12.33203125" style="395" customWidth="1"/>
    <col min="15131" max="15133" width="12.109375" style="395" customWidth="1"/>
    <col min="15134" max="15134" width="11.88671875" style="395" customWidth="1"/>
    <col min="15135" max="15135" width="13.109375" style="395" customWidth="1"/>
    <col min="15136" max="15136" width="12.33203125" style="395" customWidth="1"/>
    <col min="15137" max="15137" width="12.109375" style="395" customWidth="1"/>
    <col min="15138" max="15138" width="11.88671875" style="395" customWidth="1"/>
    <col min="15139" max="15139" width="11.6640625" style="395" customWidth="1"/>
    <col min="15140" max="15140" width="12.33203125" style="395" customWidth="1"/>
    <col min="15141" max="15141" width="11.5546875" style="395" customWidth="1"/>
    <col min="15142" max="15142" width="13.109375" style="395" customWidth="1"/>
    <col min="15143" max="15143" width="8.88671875" style="395"/>
    <col min="15144" max="15144" width="16" style="395" customWidth="1"/>
    <col min="15145" max="15360" width="8.88671875" style="395"/>
    <col min="15361" max="15361" width="66.44140625" style="395" customWidth="1"/>
    <col min="15362" max="15362" width="8.6640625" style="395" customWidth="1"/>
    <col min="15363" max="15363" width="12.44140625" style="395" customWidth="1"/>
    <col min="15364" max="15364" width="11" style="395" customWidth="1"/>
    <col min="15365" max="15365" width="12.44140625" style="395" bestFit="1" customWidth="1"/>
    <col min="15366" max="15366" width="11" style="395" customWidth="1"/>
    <col min="15367" max="15367" width="14" style="395" customWidth="1"/>
    <col min="15368" max="15368" width="11.6640625" style="395" customWidth="1"/>
    <col min="15369" max="15371" width="11.6640625" style="395" bestFit="1" customWidth="1"/>
    <col min="15372" max="15372" width="11.6640625" style="395" customWidth="1"/>
    <col min="15373" max="15373" width="11.6640625" style="395" bestFit="1" customWidth="1"/>
    <col min="15374" max="15374" width="12" style="395" bestFit="1" customWidth="1"/>
    <col min="15375" max="15379" width="11.6640625" style="395" bestFit="1" customWidth="1"/>
    <col min="15380" max="15380" width="11.6640625" style="395" customWidth="1"/>
    <col min="15381" max="15381" width="11.6640625" style="395" bestFit="1" customWidth="1"/>
    <col min="15382" max="15382" width="12.109375" style="395" customWidth="1"/>
    <col min="15383" max="15384" width="11.6640625" style="395" bestFit="1" customWidth="1"/>
    <col min="15385" max="15385" width="11.88671875" style="395" customWidth="1"/>
    <col min="15386" max="15386" width="12.33203125" style="395" customWidth="1"/>
    <col min="15387" max="15389" width="12.109375" style="395" customWidth="1"/>
    <col min="15390" max="15390" width="11.88671875" style="395" customWidth="1"/>
    <col min="15391" max="15391" width="13.109375" style="395" customWidth="1"/>
    <col min="15392" max="15392" width="12.33203125" style="395" customWidth="1"/>
    <col min="15393" max="15393" width="12.109375" style="395" customWidth="1"/>
    <col min="15394" max="15394" width="11.88671875" style="395" customWidth="1"/>
    <col min="15395" max="15395" width="11.6640625" style="395" customWidth="1"/>
    <col min="15396" max="15396" width="12.33203125" style="395" customWidth="1"/>
    <col min="15397" max="15397" width="11.5546875" style="395" customWidth="1"/>
    <col min="15398" max="15398" width="13.109375" style="395" customWidth="1"/>
    <col min="15399" max="15399" width="8.88671875" style="395"/>
    <col min="15400" max="15400" width="16" style="395" customWidth="1"/>
    <col min="15401" max="15616" width="8.88671875" style="395"/>
    <col min="15617" max="15617" width="66.44140625" style="395" customWidth="1"/>
    <col min="15618" max="15618" width="8.6640625" style="395" customWidth="1"/>
    <col min="15619" max="15619" width="12.44140625" style="395" customWidth="1"/>
    <col min="15620" max="15620" width="11" style="395" customWidth="1"/>
    <col min="15621" max="15621" width="12.44140625" style="395" bestFit="1" customWidth="1"/>
    <col min="15622" max="15622" width="11" style="395" customWidth="1"/>
    <col min="15623" max="15623" width="14" style="395" customWidth="1"/>
    <col min="15624" max="15624" width="11.6640625" style="395" customWidth="1"/>
    <col min="15625" max="15627" width="11.6640625" style="395" bestFit="1" customWidth="1"/>
    <col min="15628" max="15628" width="11.6640625" style="395" customWidth="1"/>
    <col min="15629" max="15629" width="11.6640625" style="395" bestFit="1" customWidth="1"/>
    <col min="15630" max="15630" width="12" style="395" bestFit="1" customWidth="1"/>
    <col min="15631" max="15635" width="11.6640625" style="395" bestFit="1" customWidth="1"/>
    <col min="15636" max="15636" width="11.6640625" style="395" customWidth="1"/>
    <col min="15637" max="15637" width="11.6640625" style="395" bestFit="1" customWidth="1"/>
    <col min="15638" max="15638" width="12.109375" style="395" customWidth="1"/>
    <col min="15639" max="15640" width="11.6640625" style="395" bestFit="1" customWidth="1"/>
    <col min="15641" max="15641" width="11.88671875" style="395" customWidth="1"/>
    <col min="15642" max="15642" width="12.33203125" style="395" customWidth="1"/>
    <col min="15643" max="15645" width="12.109375" style="395" customWidth="1"/>
    <col min="15646" max="15646" width="11.88671875" style="395" customWidth="1"/>
    <col min="15647" max="15647" width="13.109375" style="395" customWidth="1"/>
    <col min="15648" max="15648" width="12.33203125" style="395" customWidth="1"/>
    <col min="15649" max="15649" width="12.109375" style="395" customWidth="1"/>
    <col min="15650" max="15650" width="11.88671875" style="395" customWidth="1"/>
    <col min="15651" max="15651" width="11.6640625" style="395" customWidth="1"/>
    <col min="15652" max="15652" width="12.33203125" style="395" customWidth="1"/>
    <col min="15653" max="15653" width="11.5546875" style="395" customWidth="1"/>
    <col min="15654" max="15654" width="13.109375" style="395" customWidth="1"/>
    <col min="15655" max="15655" width="8.88671875" style="395"/>
    <col min="15656" max="15656" width="16" style="395" customWidth="1"/>
    <col min="15657" max="15872" width="8.88671875" style="395"/>
    <col min="15873" max="15873" width="66.44140625" style="395" customWidth="1"/>
    <col min="15874" max="15874" width="8.6640625" style="395" customWidth="1"/>
    <col min="15875" max="15875" width="12.44140625" style="395" customWidth="1"/>
    <col min="15876" max="15876" width="11" style="395" customWidth="1"/>
    <col min="15877" max="15877" width="12.44140625" style="395" bestFit="1" customWidth="1"/>
    <col min="15878" max="15878" width="11" style="395" customWidth="1"/>
    <col min="15879" max="15879" width="14" style="395" customWidth="1"/>
    <col min="15880" max="15880" width="11.6640625" style="395" customWidth="1"/>
    <col min="15881" max="15883" width="11.6640625" style="395" bestFit="1" customWidth="1"/>
    <col min="15884" max="15884" width="11.6640625" style="395" customWidth="1"/>
    <col min="15885" max="15885" width="11.6640625" style="395" bestFit="1" customWidth="1"/>
    <col min="15886" max="15886" width="12" style="395" bestFit="1" customWidth="1"/>
    <col min="15887" max="15891" width="11.6640625" style="395" bestFit="1" customWidth="1"/>
    <col min="15892" max="15892" width="11.6640625" style="395" customWidth="1"/>
    <col min="15893" max="15893" width="11.6640625" style="395" bestFit="1" customWidth="1"/>
    <col min="15894" max="15894" width="12.109375" style="395" customWidth="1"/>
    <col min="15895" max="15896" width="11.6640625" style="395" bestFit="1" customWidth="1"/>
    <col min="15897" max="15897" width="11.88671875" style="395" customWidth="1"/>
    <col min="15898" max="15898" width="12.33203125" style="395" customWidth="1"/>
    <col min="15899" max="15901" width="12.109375" style="395" customWidth="1"/>
    <col min="15902" max="15902" width="11.88671875" style="395" customWidth="1"/>
    <col min="15903" max="15903" width="13.109375" style="395" customWidth="1"/>
    <col min="15904" max="15904" width="12.33203125" style="395" customWidth="1"/>
    <col min="15905" max="15905" width="12.109375" style="395" customWidth="1"/>
    <col min="15906" max="15906" width="11.88671875" style="395" customWidth="1"/>
    <col min="15907" max="15907" width="11.6640625" style="395" customWidth="1"/>
    <col min="15908" max="15908" width="12.33203125" style="395" customWidth="1"/>
    <col min="15909" max="15909" width="11.5546875" style="395" customWidth="1"/>
    <col min="15910" max="15910" width="13.109375" style="395" customWidth="1"/>
    <col min="15911" max="15911" width="8.88671875" style="395"/>
    <col min="15912" max="15912" width="16" style="395" customWidth="1"/>
    <col min="15913" max="16128" width="8.88671875" style="395"/>
    <col min="16129" max="16129" width="66.44140625" style="395" customWidth="1"/>
    <col min="16130" max="16130" width="8.6640625" style="395" customWidth="1"/>
    <col min="16131" max="16131" width="12.44140625" style="395" customWidth="1"/>
    <col min="16132" max="16132" width="11" style="395" customWidth="1"/>
    <col min="16133" max="16133" width="12.44140625" style="395" bestFit="1" customWidth="1"/>
    <col min="16134" max="16134" width="11" style="395" customWidth="1"/>
    <col min="16135" max="16135" width="14" style="395" customWidth="1"/>
    <col min="16136" max="16136" width="11.6640625" style="395" customWidth="1"/>
    <col min="16137" max="16139" width="11.6640625" style="395" bestFit="1" customWidth="1"/>
    <col min="16140" max="16140" width="11.6640625" style="395" customWidth="1"/>
    <col min="16141" max="16141" width="11.6640625" style="395" bestFit="1" customWidth="1"/>
    <col min="16142" max="16142" width="12" style="395" bestFit="1" customWidth="1"/>
    <col min="16143" max="16147" width="11.6640625" style="395" bestFit="1" customWidth="1"/>
    <col min="16148" max="16148" width="11.6640625" style="395" customWidth="1"/>
    <col min="16149" max="16149" width="11.6640625" style="395" bestFit="1" customWidth="1"/>
    <col min="16150" max="16150" width="12.109375" style="395" customWidth="1"/>
    <col min="16151" max="16152" width="11.6640625" style="395" bestFit="1" customWidth="1"/>
    <col min="16153" max="16153" width="11.88671875" style="395" customWidth="1"/>
    <col min="16154" max="16154" width="12.33203125" style="395" customWidth="1"/>
    <col min="16155" max="16157" width="12.109375" style="395" customWidth="1"/>
    <col min="16158" max="16158" width="11.88671875" style="395" customWidth="1"/>
    <col min="16159" max="16159" width="13.109375" style="395" customWidth="1"/>
    <col min="16160" max="16160" width="12.33203125" style="395" customWidth="1"/>
    <col min="16161" max="16161" width="12.109375" style="395" customWidth="1"/>
    <col min="16162" max="16162" width="11.88671875" style="395" customWidth="1"/>
    <col min="16163" max="16163" width="11.6640625" style="395" customWidth="1"/>
    <col min="16164" max="16164" width="12.33203125" style="395" customWidth="1"/>
    <col min="16165" max="16165" width="11.5546875" style="395" customWidth="1"/>
    <col min="16166" max="16166" width="13.109375" style="395" customWidth="1"/>
    <col min="16167" max="16167" width="8.88671875" style="395"/>
    <col min="16168" max="16168" width="16" style="395" customWidth="1"/>
    <col min="16169" max="16384" width="8.88671875" style="395"/>
  </cols>
  <sheetData>
    <row r="1" spans="1:57">
      <c r="A1" s="321" t="s">
        <v>899</v>
      </c>
      <c r="B1" s="322"/>
      <c r="C1" s="324"/>
      <c r="D1" s="324"/>
      <c r="E1" s="323"/>
      <c r="F1" s="323"/>
      <c r="G1" s="324"/>
      <c r="H1" s="324"/>
      <c r="I1" s="325"/>
      <c r="J1" s="325"/>
      <c r="K1" s="326"/>
      <c r="L1" s="326"/>
      <c r="M1" s="326"/>
      <c r="N1" s="326"/>
      <c r="O1" s="327"/>
      <c r="P1" s="328"/>
      <c r="Q1" s="327"/>
    </row>
    <row r="2" spans="1:57">
      <c r="A2" s="398" t="s">
        <v>900</v>
      </c>
      <c r="B2" s="399"/>
      <c r="C2" s="400" t="s">
        <v>696</v>
      </c>
      <c r="D2" s="401"/>
      <c r="E2" s="402"/>
      <c r="F2" s="402"/>
      <c r="G2" s="1"/>
      <c r="H2" s="1"/>
      <c r="I2" s="403"/>
      <c r="J2" s="404"/>
      <c r="K2" s="405"/>
      <c r="L2" s="406"/>
      <c r="M2" s="407"/>
      <c r="N2" s="407"/>
      <c r="O2" s="405"/>
      <c r="P2" s="408"/>
      <c r="Q2" s="405"/>
    </row>
    <row r="3" spans="1:57" ht="4.5" customHeight="1">
      <c r="A3" s="409"/>
      <c r="B3" s="410"/>
      <c r="C3" s="411"/>
      <c r="D3" s="412"/>
      <c r="E3" s="402"/>
      <c r="F3" s="402"/>
      <c r="G3" s="1"/>
      <c r="H3" s="1"/>
      <c r="I3" s="413"/>
      <c r="J3" s="404"/>
      <c r="K3" s="405"/>
      <c r="L3" s="406"/>
      <c r="M3" s="407"/>
      <c r="N3" s="407"/>
      <c r="O3" s="405"/>
      <c r="P3" s="408"/>
      <c r="Q3" s="405"/>
    </row>
    <row r="4" spans="1:57" ht="5.25" customHeight="1">
      <c r="A4" s="409"/>
      <c r="B4" s="410"/>
      <c r="C4" s="411"/>
      <c r="D4" s="412"/>
      <c r="E4" s="402"/>
      <c r="F4" s="402"/>
      <c r="G4" s="1"/>
      <c r="H4" s="1"/>
      <c r="I4" s="413"/>
      <c r="J4" s="404"/>
      <c r="K4" s="405"/>
      <c r="L4" s="406"/>
      <c r="M4" s="407"/>
      <c r="N4" s="407"/>
      <c r="O4" s="405"/>
      <c r="P4" s="408"/>
      <c r="Q4" s="405"/>
    </row>
    <row r="5" spans="1:57" ht="5.25" customHeight="1">
      <c r="A5" s="409"/>
      <c r="B5" s="410"/>
      <c r="C5" s="411"/>
      <c r="D5" s="412"/>
      <c r="E5" s="402"/>
      <c r="F5" s="402"/>
      <c r="G5" s="1"/>
      <c r="H5" s="1"/>
      <c r="I5" s="413"/>
      <c r="J5" s="404"/>
      <c r="K5" s="405"/>
      <c r="L5" s="406"/>
      <c r="M5" s="407"/>
      <c r="N5" s="407"/>
      <c r="O5" s="405"/>
      <c r="P5" s="408"/>
    </row>
    <row r="6" spans="1:57">
      <c r="A6" s="409" t="s">
        <v>901</v>
      </c>
      <c r="B6" s="410"/>
      <c r="C6" s="411" t="s">
        <v>0</v>
      </c>
      <c r="D6" s="414"/>
      <c r="E6" s="415"/>
      <c r="F6" s="415"/>
      <c r="G6" s="416"/>
      <c r="H6" s="417"/>
      <c r="I6" s="235"/>
      <c r="J6" s="418"/>
      <c r="K6" s="406"/>
      <c r="L6" s="406"/>
      <c r="M6" s="405"/>
      <c r="N6" s="405"/>
      <c r="O6" s="405"/>
      <c r="P6" s="413"/>
      <c r="Q6" s="405"/>
    </row>
    <row r="7" spans="1:57">
      <c r="A7" s="419" t="s">
        <v>1</v>
      </c>
      <c r="C7" s="411"/>
      <c r="D7" s="421"/>
      <c r="E7" s="422"/>
      <c r="F7" s="422"/>
      <c r="G7" s="423"/>
      <c r="H7" s="423"/>
      <c r="I7" s="413"/>
      <c r="J7" s="418"/>
      <c r="K7" s="406"/>
      <c r="L7" s="406"/>
      <c r="M7" s="405"/>
      <c r="N7" s="405"/>
      <c r="O7" s="405"/>
      <c r="P7" s="413"/>
      <c r="Q7" s="405"/>
    </row>
    <row r="8" spans="1:57" ht="25.5" customHeight="1">
      <c r="A8" s="419" t="s">
        <v>902</v>
      </c>
      <c r="C8" s="411"/>
      <c r="D8" s="421"/>
      <c r="E8" s="459" t="s">
        <v>2</v>
      </c>
      <c r="F8" s="459"/>
      <c r="G8" s="460" t="s">
        <v>3</v>
      </c>
      <c r="H8" s="460"/>
      <c r="I8" s="413"/>
      <c r="J8" s="418"/>
      <c r="K8" s="406"/>
      <c r="L8" s="406"/>
      <c r="M8" s="405"/>
      <c r="N8" s="405"/>
      <c r="O8" s="405"/>
      <c r="P8" s="413"/>
      <c r="Q8" s="405"/>
      <c r="AQ8" s="461" t="s">
        <v>903</v>
      </c>
      <c r="AR8" s="461"/>
      <c r="AS8" s="461" t="s">
        <v>904</v>
      </c>
      <c r="AT8" s="461"/>
      <c r="AU8" s="461" t="s">
        <v>905</v>
      </c>
      <c r="AV8" s="461"/>
    </row>
    <row r="9" spans="1:57" ht="37.5" customHeight="1" thickBot="1">
      <c r="A9" s="424" t="s">
        <v>4</v>
      </c>
      <c r="B9" s="425" t="s">
        <v>5</v>
      </c>
      <c r="C9" s="425" t="s">
        <v>6</v>
      </c>
      <c r="D9" s="426" t="s">
        <v>7</v>
      </c>
      <c r="E9" s="427" t="s">
        <v>8</v>
      </c>
      <c r="F9" s="427" t="s">
        <v>9</v>
      </c>
      <c r="G9" s="426" t="s">
        <v>8</v>
      </c>
      <c r="H9" s="426" t="s">
        <v>9</v>
      </c>
      <c r="I9" s="428" t="s">
        <v>906</v>
      </c>
      <c r="J9" s="428" t="s">
        <v>907</v>
      </c>
      <c r="K9" s="428" t="s">
        <v>908</v>
      </c>
      <c r="L9" s="428" t="s">
        <v>909</v>
      </c>
      <c r="M9" s="428" t="s">
        <v>910</v>
      </c>
      <c r="N9" s="428" t="s">
        <v>911</v>
      </c>
      <c r="O9" s="428" t="s">
        <v>912</v>
      </c>
      <c r="P9" s="428" t="s">
        <v>913</v>
      </c>
      <c r="Q9" s="428" t="s">
        <v>914</v>
      </c>
      <c r="R9" s="428" t="s">
        <v>915</v>
      </c>
      <c r="S9" s="428" t="s">
        <v>916</v>
      </c>
      <c r="T9" s="428" t="s">
        <v>917</v>
      </c>
      <c r="U9" s="428" t="s">
        <v>918</v>
      </c>
      <c r="V9" s="428" t="s">
        <v>919</v>
      </c>
      <c r="W9" s="428" t="s">
        <v>920</v>
      </c>
      <c r="X9" s="428" t="s">
        <v>921</v>
      </c>
      <c r="Y9" s="428" t="s">
        <v>922</v>
      </c>
      <c r="Z9" s="428" t="s">
        <v>923</v>
      </c>
      <c r="AA9" s="428" t="s">
        <v>924</v>
      </c>
      <c r="AB9" s="428" t="s">
        <v>925</v>
      </c>
      <c r="AC9" s="428" t="s">
        <v>926</v>
      </c>
      <c r="AD9" s="428" t="s">
        <v>927</v>
      </c>
      <c r="AE9" s="428" t="s">
        <v>928</v>
      </c>
      <c r="AF9" s="428" t="s">
        <v>929</v>
      </c>
      <c r="AG9" s="428" t="s">
        <v>930</v>
      </c>
      <c r="AH9" s="428" t="s">
        <v>931</v>
      </c>
      <c r="AI9" s="428" t="s">
        <v>932</v>
      </c>
      <c r="AJ9" s="428" t="s">
        <v>933</v>
      </c>
      <c r="AK9" s="428" t="s">
        <v>934</v>
      </c>
      <c r="AL9" s="428" t="s">
        <v>935</v>
      </c>
      <c r="AM9" s="428" t="s">
        <v>936</v>
      </c>
      <c r="AQ9" s="429" t="s">
        <v>871</v>
      </c>
      <c r="AR9" s="429" t="s">
        <v>872</v>
      </c>
      <c r="AS9" s="429" t="s">
        <v>871</v>
      </c>
      <c r="AT9" s="429" t="s">
        <v>872</v>
      </c>
      <c r="AU9" s="429" t="s">
        <v>871</v>
      </c>
      <c r="AV9" s="429" t="s">
        <v>872</v>
      </c>
      <c r="BA9" s="397" t="s">
        <v>878</v>
      </c>
      <c r="BB9" s="397" t="s">
        <v>879</v>
      </c>
      <c r="BC9" s="397" t="s">
        <v>880</v>
      </c>
      <c r="BD9" s="397" t="s">
        <v>881</v>
      </c>
      <c r="BE9" s="397" t="s">
        <v>882</v>
      </c>
    </row>
    <row r="10" spans="1:57" ht="22.5" customHeight="1" thickBot="1">
      <c r="A10" s="350">
        <v>1</v>
      </c>
      <c r="B10" s="351" t="s">
        <v>10</v>
      </c>
      <c r="C10" s="351" t="s">
        <v>867</v>
      </c>
      <c r="D10" s="352">
        <v>1</v>
      </c>
      <c r="E10" s="353"/>
      <c r="F10" s="22">
        <f>E10*D10</f>
        <v>0</v>
      </c>
      <c r="G10" s="329"/>
      <c r="H10" s="330">
        <f>G10*D10</f>
        <v>0</v>
      </c>
      <c r="I10" s="430"/>
      <c r="J10" s="430"/>
      <c r="K10" s="431"/>
      <c r="L10" s="431"/>
      <c r="M10" s="431"/>
      <c r="N10" s="431"/>
      <c r="O10" s="431"/>
      <c r="P10" s="430"/>
      <c r="Q10" s="431"/>
      <c r="R10" s="431"/>
      <c r="S10" s="431"/>
      <c r="T10" s="431"/>
      <c r="U10" s="431"/>
      <c r="V10" s="431"/>
      <c r="W10" s="430"/>
      <c r="X10" s="431"/>
      <c r="Y10" s="431"/>
      <c r="Z10" s="431"/>
      <c r="AA10" s="431"/>
      <c r="AB10" s="431"/>
      <c r="AC10" s="431"/>
      <c r="AD10" s="430"/>
      <c r="AE10" s="431"/>
      <c r="AF10" s="431"/>
      <c r="AG10" s="431"/>
      <c r="AH10" s="431"/>
      <c r="AI10" s="431"/>
      <c r="AJ10" s="431"/>
      <c r="AK10" s="430"/>
      <c r="AL10" s="431"/>
      <c r="AM10" s="431"/>
      <c r="AN10" s="432"/>
      <c r="AQ10" s="433"/>
      <c r="AR10" s="433"/>
      <c r="AS10" s="433"/>
      <c r="AT10" s="433"/>
      <c r="AU10" s="433"/>
      <c r="AV10" s="433"/>
      <c r="AW10" s="396">
        <f>AR10+AT10+AV10</f>
        <v>0</v>
      </c>
      <c r="AX10" s="434">
        <f>G10-AU10</f>
        <v>0</v>
      </c>
      <c r="BA10" s="435" t="s">
        <v>885</v>
      </c>
      <c r="BB10" s="435" t="s">
        <v>886</v>
      </c>
      <c r="BC10" s="435" t="s">
        <v>891</v>
      </c>
      <c r="BD10" s="435" t="s">
        <v>887</v>
      </c>
      <c r="BE10" s="435"/>
    </row>
    <row r="11" spans="1:57" ht="33" customHeight="1" thickBot="1">
      <c r="A11" s="354" t="s">
        <v>11</v>
      </c>
      <c r="B11" s="8" t="s">
        <v>12</v>
      </c>
      <c r="C11" s="355" t="s">
        <v>13</v>
      </c>
      <c r="D11" s="7">
        <v>7215</v>
      </c>
      <c r="E11" s="353"/>
      <c r="F11" s="22">
        <f t="shared" ref="F11:F74" si="0">E11*D11</f>
        <v>0</v>
      </c>
      <c r="G11" s="329"/>
      <c r="H11" s="330">
        <f t="shared" ref="H11:H74" si="1">G11*D11</f>
        <v>0</v>
      </c>
      <c r="I11" s="430"/>
      <c r="J11" s="430"/>
      <c r="K11" s="431"/>
      <c r="L11" s="431"/>
      <c r="M11" s="431"/>
      <c r="N11" s="431"/>
      <c r="O11" s="431"/>
      <c r="P11" s="430"/>
      <c r="Q11" s="431"/>
      <c r="R11" s="431"/>
      <c r="S11" s="431"/>
      <c r="T11" s="431"/>
      <c r="U11" s="431"/>
      <c r="V11" s="431"/>
      <c r="W11" s="430"/>
      <c r="X11" s="431"/>
      <c r="Y11" s="431"/>
      <c r="Z11" s="431"/>
      <c r="AA11" s="431"/>
      <c r="AB11" s="431"/>
      <c r="AC11" s="431"/>
      <c r="AD11" s="430"/>
      <c r="AE11" s="431"/>
      <c r="AF11" s="431"/>
      <c r="AG11" s="431"/>
      <c r="AH11" s="431"/>
      <c r="AI11" s="431"/>
      <c r="AJ11" s="431"/>
      <c r="AK11" s="430"/>
      <c r="AL11" s="431"/>
      <c r="AM11" s="431"/>
      <c r="AN11" s="432"/>
      <c r="AQ11" s="436"/>
      <c r="AR11" s="436"/>
      <c r="AS11" s="436"/>
      <c r="AT11" s="436"/>
      <c r="AU11" s="436"/>
      <c r="AV11" s="436"/>
      <c r="AW11" s="396">
        <f t="shared" ref="AW11:AW74" si="2">AR11+AT11+AV11</f>
        <v>0</v>
      </c>
      <c r="AX11" s="434">
        <f t="shared" ref="AX11:AX17" si="3">G11-AU11</f>
        <v>0</v>
      </c>
      <c r="BA11" s="437">
        <f>SUM(I11:O11)</f>
        <v>0</v>
      </c>
      <c r="BB11" s="437">
        <f>SUM(Q11:V11)</f>
        <v>0</v>
      </c>
      <c r="BC11" s="437">
        <f>SUM(X11:AD11)</f>
        <v>0</v>
      </c>
      <c r="BD11" s="437">
        <f>SUM(AE11:AJ11)</f>
        <v>0</v>
      </c>
      <c r="BE11" s="437"/>
    </row>
    <row r="12" spans="1:57" ht="33" customHeight="1" thickBot="1">
      <c r="A12" s="354" t="s">
        <v>14</v>
      </c>
      <c r="B12" s="8" t="s">
        <v>15</v>
      </c>
      <c r="C12" s="355" t="s">
        <v>16</v>
      </c>
      <c r="D12" s="7">
        <v>32</v>
      </c>
      <c r="E12" s="353"/>
      <c r="F12" s="22">
        <f t="shared" si="0"/>
        <v>0</v>
      </c>
      <c r="G12" s="329"/>
      <c r="H12" s="330">
        <f t="shared" si="1"/>
        <v>0</v>
      </c>
      <c r="I12" s="430"/>
      <c r="J12" s="430"/>
      <c r="K12" s="431"/>
      <c r="L12" s="431"/>
      <c r="M12" s="431"/>
      <c r="N12" s="431"/>
      <c r="O12" s="431"/>
      <c r="P12" s="430"/>
      <c r="Q12" s="431"/>
      <c r="R12" s="431"/>
      <c r="S12" s="431"/>
      <c r="T12" s="431"/>
      <c r="U12" s="431"/>
      <c r="V12" s="431"/>
      <c r="W12" s="430"/>
      <c r="X12" s="431"/>
      <c r="Y12" s="431"/>
      <c r="Z12" s="431"/>
      <c r="AA12" s="431"/>
      <c r="AB12" s="431"/>
      <c r="AC12" s="431"/>
      <c r="AD12" s="430"/>
      <c r="AE12" s="431"/>
      <c r="AF12" s="431"/>
      <c r="AG12" s="431"/>
      <c r="AH12" s="431"/>
      <c r="AI12" s="431"/>
      <c r="AJ12" s="431"/>
      <c r="AK12" s="430"/>
      <c r="AL12" s="431"/>
      <c r="AM12" s="431"/>
      <c r="AN12" s="432"/>
      <c r="AQ12" s="436"/>
      <c r="AR12" s="436"/>
      <c r="AS12" s="436"/>
      <c r="AT12" s="436"/>
      <c r="AU12" s="436"/>
      <c r="AV12" s="436"/>
      <c r="AW12" s="396">
        <f t="shared" si="2"/>
        <v>0</v>
      </c>
      <c r="AX12" s="434">
        <f t="shared" si="3"/>
        <v>0</v>
      </c>
      <c r="BA12" s="437">
        <f t="shared" ref="BA12:BA75" si="4">SUM(I12:O12)</f>
        <v>0</v>
      </c>
      <c r="BB12" s="437">
        <f t="shared" ref="BB12:BB75" si="5">SUM(Q12:V12)</f>
        <v>0</v>
      </c>
      <c r="BC12" s="437">
        <f t="shared" ref="BC12:BC75" si="6">SUM(X12:AD12)</f>
        <v>0</v>
      </c>
      <c r="BD12" s="437">
        <f t="shared" ref="BD12:BD75" si="7">SUM(AE12:AJ12)</f>
        <v>0</v>
      </c>
      <c r="BE12" s="437"/>
    </row>
    <row r="13" spans="1:57" ht="33" customHeight="1" thickBot="1">
      <c r="A13" s="354" t="s">
        <v>17</v>
      </c>
      <c r="B13" s="8" t="s">
        <v>18</v>
      </c>
      <c r="C13" s="355" t="s">
        <v>16</v>
      </c>
      <c r="D13" s="7">
        <v>32</v>
      </c>
      <c r="E13" s="353"/>
      <c r="F13" s="22">
        <f t="shared" si="0"/>
        <v>0</v>
      </c>
      <c r="G13" s="329"/>
      <c r="H13" s="330">
        <f t="shared" si="1"/>
        <v>0</v>
      </c>
      <c r="I13" s="430"/>
      <c r="J13" s="430"/>
      <c r="K13" s="431"/>
      <c r="L13" s="431"/>
      <c r="M13" s="431"/>
      <c r="N13" s="431"/>
      <c r="O13" s="431"/>
      <c r="P13" s="430"/>
      <c r="Q13" s="431"/>
      <c r="R13" s="431"/>
      <c r="S13" s="431"/>
      <c r="T13" s="431"/>
      <c r="U13" s="431"/>
      <c r="V13" s="431"/>
      <c r="W13" s="430"/>
      <c r="X13" s="431"/>
      <c r="Y13" s="431"/>
      <c r="Z13" s="431"/>
      <c r="AA13" s="431"/>
      <c r="AB13" s="431"/>
      <c r="AC13" s="431"/>
      <c r="AD13" s="430"/>
      <c r="AE13" s="431"/>
      <c r="AF13" s="431"/>
      <c r="AG13" s="431"/>
      <c r="AH13" s="431"/>
      <c r="AI13" s="431"/>
      <c r="AJ13" s="431"/>
      <c r="AK13" s="430"/>
      <c r="AL13" s="431"/>
      <c r="AM13" s="431"/>
      <c r="AN13" s="432"/>
      <c r="AQ13" s="436"/>
      <c r="AR13" s="436"/>
      <c r="AS13" s="436"/>
      <c r="AT13" s="436"/>
      <c r="AU13" s="436"/>
      <c r="AV13" s="436"/>
      <c r="AW13" s="396">
        <f t="shared" si="2"/>
        <v>0</v>
      </c>
      <c r="AX13" s="434">
        <f t="shared" si="3"/>
        <v>0</v>
      </c>
      <c r="BA13" s="437">
        <f t="shared" si="4"/>
        <v>0</v>
      </c>
      <c r="BB13" s="437">
        <f t="shared" si="5"/>
        <v>0</v>
      </c>
      <c r="BC13" s="437">
        <f t="shared" si="6"/>
        <v>0</v>
      </c>
      <c r="BD13" s="437">
        <f t="shared" si="7"/>
        <v>0</v>
      </c>
      <c r="BE13" s="437"/>
    </row>
    <row r="14" spans="1:57" ht="33" customHeight="1" thickBot="1">
      <c r="A14" s="354" t="s">
        <v>19</v>
      </c>
      <c r="B14" s="8" t="s">
        <v>20</v>
      </c>
      <c r="C14" s="355" t="s">
        <v>21</v>
      </c>
      <c r="D14" s="7">
        <v>27</v>
      </c>
      <c r="E14" s="353"/>
      <c r="F14" s="22">
        <f t="shared" si="0"/>
        <v>0</v>
      </c>
      <c r="G14" s="329"/>
      <c r="H14" s="330">
        <f t="shared" si="1"/>
        <v>0</v>
      </c>
      <c r="I14" s="430"/>
      <c r="J14" s="430"/>
      <c r="K14" s="431"/>
      <c r="L14" s="431"/>
      <c r="M14" s="431"/>
      <c r="N14" s="431"/>
      <c r="O14" s="431"/>
      <c r="P14" s="430"/>
      <c r="Q14" s="431"/>
      <c r="R14" s="431"/>
      <c r="S14" s="431"/>
      <c r="T14" s="431"/>
      <c r="U14" s="431"/>
      <c r="V14" s="431"/>
      <c r="W14" s="430"/>
      <c r="X14" s="431"/>
      <c r="Y14" s="431"/>
      <c r="Z14" s="431"/>
      <c r="AA14" s="431"/>
      <c r="AB14" s="431"/>
      <c r="AC14" s="431"/>
      <c r="AD14" s="430"/>
      <c r="AE14" s="431"/>
      <c r="AF14" s="431"/>
      <c r="AG14" s="431"/>
      <c r="AH14" s="431"/>
      <c r="AI14" s="431"/>
      <c r="AJ14" s="431"/>
      <c r="AK14" s="430"/>
      <c r="AL14" s="431"/>
      <c r="AM14" s="431"/>
      <c r="AN14" s="432"/>
      <c r="AQ14" s="436"/>
      <c r="AR14" s="436"/>
      <c r="AS14" s="436"/>
      <c r="AT14" s="436"/>
      <c r="AU14" s="436"/>
      <c r="AV14" s="436"/>
      <c r="AW14" s="396">
        <f t="shared" si="2"/>
        <v>0</v>
      </c>
      <c r="AX14" s="434">
        <f t="shared" si="3"/>
        <v>0</v>
      </c>
      <c r="BA14" s="437">
        <f t="shared" si="4"/>
        <v>0</v>
      </c>
      <c r="BB14" s="437">
        <f t="shared" si="5"/>
        <v>0</v>
      </c>
      <c r="BC14" s="437">
        <f t="shared" si="6"/>
        <v>0</v>
      </c>
      <c r="BD14" s="437">
        <f t="shared" si="7"/>
        <v>0</v>
      </c>
      <c r="BE14" s="437"/>
    </row>
    <row r="15" spans="1:57" ht="33" customHeight="1" thickBot="1">
      <c r="A15" s="354" t="s">
        <v>22</v>
      </c>
      <c r="B15" s="8" t="s">
        <v>23</v>
      </c>
      <c r="C15" s="355" t="s">
        <v>16</v>
      </c>
      <c r="D15" s="7">
        <v>42</v>
      </c>
      <c r="E15" s="353"/>
      <c r="F15" s="22">
        <f t="shared" si="0"/>
        <v>0</v>
      </c>
      <c r="G15" s="329"/>
      <c r="H15" s="330">
        <f t="shared" si="1"/>
        <v>0</v>
      </c>
      <c r="I15" s="430"/>
      <c r="J15" s="430"/>
      <c r="K15" s="431"/>
      <c r="L15" s="431"/>
      <c r="M15" s="431"/>
      <c r="N15" s="431"/>
      <c r="O15" s="431"/>
      <c r="P15" s="430"/>
      <c r="Q15" s="431"/>
      <c r="R15" s="431"/>
      <c r="S15" s="431"/>
      <c r="T15" s="431"/>
      <c r="U15" s="431"/>
      <c r="V15" s="431"/>
      <c r="W15" s="430"/>
      <c r="X15" s="431"/>
      <c r="Y15" s="431"/>
      <c r="Z15" s="431"/>
      <c r="AA15" s="431"/>
      <c r="AB15" s="431"/>
      <c r="AC15" s="431"/>
      <c r="AD15" s="430"/>
      <c r="AE15" s="431"/>
      <c r="AF15" s="431"/>
      <c r="AG15" s="431"/>
      <c r="AH15" s="431"/>
      <c r="AI15" s="431"/>
      <c r="AJ15" s="431"/>
      <c r="AK15" s="430"/>
      <c r="AL15" s="431"/>
      <c r="AM15" s="431"/>
      <c r="AN15" s="432"/>
      <c r="AQ15" s="436"/>
      <c r="AR15" s="436"/>
      <c r="AS15" s="436"/>
      <c r="AT15" s="436"/>
      <c r="AU15" s="436"/>
      <c r="AV15" s="436"/>
      <c r="AW15" s="396">
        <f t="shared" si="2"/>
        <v>0</v>
      </c>
      <c r="AX15" s="434">
        <f t="shared" si="3"/>
        <v>0</v>
      </c>
      <c r="BA15" s="437">
        <f t="shared" si="4"/>
        <v>0</v>
      </c>
      <c r="BB15" s="437">
        <f t="shared" si="5"/>
        <v>0</v>
      </c>
      <c r="BC15" s="437">
        <f t="shared" si="6"/>
        <v>0</v>
      </c>
      <c r="BD15" s="437">
        <f t="shared" si="7"/>
        <v>0</v>
      </c>
      <c r="BE15" s="437"/>
    </row>
    <row r="16" spans="1:57" ht="33" customHeight="1" thickBot="1">
      <c r="A16" s="354" t="s">
        <v>24</v>
      </c>
      <c r="B16" s="8" t="s">
        <v>25</v>
      </c>
      <c r="C16" s="355" t="s">
        <v>13</v>
      </c>
      <c r="D16" s="7">
        <v>299000</v>
      </c>
      <c r="E16" s="353"/>
      <c r="F16" s="22">
        <f t="shared" si="0"/>
        <v>0</v>
      </c>
      <c r="G16" s="329"/>
      <c r="H16" s="330">
        <f t="shared" si="1"/>
        <v>0</v>
      </c>
      <c r="I16" s="430"/>
      <c r="J16" s="430"/>
      <c r="K16" s="431"/>
      <c r="L16" s="431"/>
      <c r="M16" s="431"/>
      <c r="N16" s="431"/>
      <c r="O16" s="431"/>
      <c r="P16" s="430"/>
      <c r="Q16" s="431"/>
      <c r="R16" s="431"/>
      <c r="S16" s="431"/>
      <c r="T16" s="431"/>
      <c r="U16" s="431"/>
      <c r="V16" s="431"/>
      <c r="W16" s="430"/>
      <c r="X16" s="431"/>
      <c r="Y16" s="431"/>
      <c r="Z16" s="431"/>
      <c r="AA16" s="431"/>
      <c r="AB16" s="431"/>
      <c r="AC16" s="431"/>
      <c r="AD16" s="430"/>
      <c r="AE16" s="431"/>
      <c r="AF16" s="431"/>
      <c r="AG16" s="431"/>
      <c r="AH16" s="431"/>
      <c r="AI16" s="431"/>
      <c r="AJ16" s="431"/>
      <c r="AK16" s="430"/>
      <c r="AL16" s="431"/>
      <c r="AM16" s="431"/>
      <c r="AN16" s="432"/>
      <c r="AQ16" s="436"/>
      <c r="AR16" s="436"/>
      <c r="AS16" s="436"/>
      <c r="AT16" s="436"/>
      <c r="AU16" s="436"/>
      <c r="AV16" s="436"/>
      <c r="AW16" s="396">
        <f t="shared" si="2"/>
        <v>0</v>
      </c>
      <c r="AX16" s="434">
        <f t="shared" si="3"/>
        <v>0</v>
      </c>
      <c r="BA16" s="437">
        <f t="shared" si="4"/>
        <v>0</v>
      </c>
      <c r="BB16" s="437">
        <f t="shared" si="5"/>
        <v>0</v>
      </c>
      <c r="BC16" s="437">
        <f t="shared" si="6"/>
        <v>0</v>
      </c>
      <c r="BD16" s="437">
        <f t="shared" si="7"/>
        <v>0</v>
      </c>
      <c r="BE16" s="437"/>
    </row>
    <row r="17" spans="1:57" ht="33" customHeight="1" thickBot="1">
      <c r="A17" s="354" t="s">
        <v>26</v>
      </c>
      <c r="B17" s="8" t="s">
        <v>27</v>
      </c>
      <c r="C17" s="355" t="s">
        <v>13</v>
      </c>
      <c r="D17" s="7">
        <v>1624892.1270000001</v>
      </c>
      <c r="E17" s="353"/>
      <c r="F17" s="22">
        <f t="shared" si="0"/>
        <v>0</v>
      </c>
      <c r="G17" s="329"/>
      <c r="H17" s="330">
        <f t="shared" si="1"/>
        <v>0</v>
      </c>
      <c r="I17" s="430"/>
      <c r="J17" s="430"/>
      <c r="K17" s="431"/>
      <c r="L17" s="431"/>
      <c r="M17" s="431"/>
      <c r="N17" s="431"/>
      <c r="O17" s="431"/>
      <c r="P17" s="430"/>
      <c r="Q17" s="431"/>
      <c r="R17" s="431"/>
      <c r="S17" s="431"/>
      <c r="T17" s="431"/>
      <c r="U17" s="431"/>
      <c r="V17" s="431"/>
      <c r="W17" s="430"/>
      <c r="X17" s="431"/>
      <c r="Y17" s="431"/>
      <c r="Z17" s="431"/>
      <c r="AA17" s="431"/>
      <c r="AB17" s="431"/>
      <c r="AC17" s="431"/>
      <c r="AD17" s="430"/>
      <c r="AE17" s="431"/>
      <c r="AF17" s="431"/>
      <c r="AG17" s="431"/>
      <c r="AH17" s="431"/>
      <c r="AI17" s="431"/>
      <c r="AJ17" s="431"/>
      <c r="AK17" s="430"/>
      <c r="AL17" s="431"/>
      <c r="AM17" s="431"/>
      <c r="AN17" s="432"/>
      <c r="AQ17" s="436"/>
      <c r="AR17" s="436"/>
      <c r="AS17" s="436"/>
      <c r="AT17" s="436"/>
      <c r="AU17" s="436"/>
      <c r="AV17" s="436"/>
      <c r="AW17" s="396">
        <f t="shared" si="2"/>
        <v>0</v>
      </c>
      <c r="AX17" s="434">
        <f t="shared" si="3"/>
        <v>0</v>
      </c>
      <c r="BA17" s="437">
        <f t="shared" si="4"/>
        <v>0</v>
      </c>
      <c r="BB17" s="437">
        <f t="shared" si="5"/>
        <v>0</v>
      </c>
      <c r="BC17" s="437">
        <f t="shared" si="6"/>
        <v>0</v>
      </c>
      <c r="BD17" s="437">
        <f t="shared" si="7"/>
        <v>0</v>
      </c>
      <c r="BE17" s="437"/>
    </row>
    <row r="18" spans="1:57" ht="33" customHeight="1" thickBot="1">
      <c r="A18" s="354" t="s">
        <v>28</v>
      </c>
      <c r="B18" s="8" t="s">
        <v>29</v>
      </c>
      <c r="C18" s="355" t="s">
        <v>30</v>
      </c>
      <c r="D18" s="7">
        <v>138093.25</v>
      </c>
      <c r="E18" s="353"/>
      <c r="F18" s="22">
        <f t="shared" si="0"/>
        <v>0</v>
      </c>
      <c r="G18" s="331"/>
      <c r="H18" s="330">
        <f t="shared" si="1"/>
        <v>0</v>
      </c>
      <c r="I18" s="430"/>
      <c r="J18" s="430"/>
      <c r="K18" s="431"/>
      <c r="L18" s="431"/>
      <c r="M18" s="431"/>
      <c r="N18" s="431"/>
      <c r="O18" s="431"/>
      <c r="P18" s="430"/>
      <c r="Q18" s="431"/>
      <c r="R18" s="431"/>
      <c r="S18" s="431"/>
      <c r="T18" s="431"/>
      <c r="U18" s="431"/>
      <c r="V18" s="431"/>
      <c r="W18" s="430"/>
      <c r="X18" s="431"/>
      <c r="Y18" s="431"/>
      <c r="Z18" s="431"/>
      <c r="AA18" s="431"/>
      <c r="AB18" s="431"/>
      <c r="AC18" s="431"/>
      <c r="AD18" s="430"/>
      <c r="AE18" s="431"/>
      <c r="AF18" s="431"/>
      <c r="AG18" s="431"/>
      <c r="AH18" s="431"/>
      <c r="AI18" s="431"/>
      <c r="AJ18" s="431"/>
      <c r="AK18" s="430"/>
      <c r="AL18" s="431"/>
      <c r="AM18" s="431"/>
      <c r="AN18" s="432"/>
      <c r="AQ18" s="436"/>
      <c r="AR18" s="436"/>
      <c r="AS18" s="436"/>
      <c r="AT18" s="436"/>
      <c r="AU18" s="436"/>
      <c r="AV18" s="436"/>
      <c r="AW18" s="396">
        <f t="shared" si="2"/>
        <v>0</v>
      </c>
      <c r="AX18" s="434">
        <f>G18-AW18</f>
        <v>0</v>
      </c>
      <c r="BA18" s="437">
        <f t="shared" si="4"/>
        <v>0</v>
      </c>
      <c r="BB18" s="437">
        <f t="shared" si="5"/>
        <v>0</v>
      </c>
      <c r="BC18" s="437">
        <f t="shared" si="6"/>
        <v>0</v>
      </c>
      <c r="BD18" s="437">
        <f t="shared" si="7"/>
        <v>0</v>
      </c>
      <c r="BE18" s="437"/>
    </row>
    <row r="19" spans="1:57" ht="33" customHeight="1" thickBot="1">
      <c r="A19" s="356" t="s">
        <v>31</v>
      </c>
      <c r="B19" s="5" t="s">
        <v>32</v>
      </c>
      <c r="C19" s="357" t="s">
        <v>30</v>
      </c>
      <c r="D19" s="7">
        <v>18184</v>
      </c>
      <c r="E19" s="353"/>
      <c r="F19" s="22">
        <f t="shared" si="0"/>
        <v>0</v>
      </c>
      <c r="G19" s="331"/>
      <c r="H19" s="330">
        <f t="shared" si="1"/>
        <v>0</v>
      </c>
      <c r="I19" s="430"/>
      <c r="J19" s="430"/>
      <c r="K19" s="431"/>
      <c r="L19" s="431"/>
      <c r="M19" s="431"/>
      <c r="N19" s="431"/>
      <c r="O19" s="431"/>
      <c r="P19" s="430"/>
      <c r="Q19" s="431"/>
      <c r="R19" s="431"/>
      <c r="S19" s="431"/>
      <c r="T19" s="431"/>
      <c r="U19" s="431"/>
      <c r="V19" s="431"/>
      <c r="W19" s="430"/>
      <c r="X19" s="431"/>
      <c r="Y19" s="431"/>
      <c r="Z19" s="431"/>
      <c r="AA19" s="431"/>
      <c r="AB19" s="431"/>
      <c r="AC19" s="431"/>
      <c r="AD19" s="430"/>
      <c r="AE19" s="431"/>
      <c r="AF19" s="431"/>
      <c r="AG19" s="431"/>
      <c r="AH19" s="431"/>
      <c r="AI19" s="431"/>
      <c r="AJ19" s="431"/>
      <c r="AK19" s="430"/>
      <c r="AL19" s="431"/>
      <c r="AM19" s="431"/>
      <c r="AN19" s="432"/>
      <c r="AQ19" s="436"/>
      <c r="AR19" s="436"/>
      <c r="AS19" s="436"/>
      <c r="AT19" s="436"/>
      <c r="AU19" s="436"/>
      <c r="AV19" s="436"/>
      <c r="AW19" s="396">
        <f t="shared" si="2"/>
        <v>0</v>
      </c>
      <c r="AX19" s="434">
        <f t="shared" ref="AX19:AX82" si="8">G19-AW19</f>
        <v>0</v>
      </c>
      <c r="BA19" s="437">
        <f t="shared" si="4"/>
        <v>0</v>
      </c>
      <c r="BB19" s="437">
        <f t="shared" si="5"/>
        <v>0</v>
      </c>
      <c r="BC19" s="437">
        <f t="shared" si="6"/>
        <v>0</v>
      </c>
      <c r="BD19" s="437">
        <f t="shared" si="7"/>
        <v>0</v>
      </c>
      <c r="BE19" s="437"/>
    </row>
    <row r="20" spans="1:57" ht="33" customHeight="1" thickBot="1">
      <c r="A20" s="356" t="s">
        <v>33</v>
      </c>
      <c r="B20" s="5" t="s">
        <v>34</v>
      </c>
      <c r="C20" s="357" t="s">
        <v>35</v>
      </c>
      <c r="D20" s="7">
        <v>2.4</v>
      </c>
      <c r="E20" s="353"/>
      <c r="F20" s="22">
        <f t="shared" si="0"/>
        <v>0</v>
      </c>
      <c r="G20" s="329"/>
      <c r="H20" s="330">
        <f t="shared" si="1"/>
        <v>0</v>
      </c>
      <c r="I20" s="430"/>
      <c r="J20" s="430"/>
      <c r="K20" s="431"/>
      <c r="L20" s="431"/>
      <c r="M20" s="431"/>
      <c r="N20" s="431"/>
      <c r="O20" s="431"/>
      <c r="P20" s="430"/>
      <c r="Q20" s="431"/>
      <c r="R20" s="431"/>
      <c r="S20" s="431"/>
      <c r="T20" s="431"/>
      <c r="U20" s="431"/>
      <c r="V20" s="431"/>
      <c r="W20" s="430"/>
      <c r="X20" s="431"/>
      <c r="Y20" s="431"/>
      <c r="Z20" s="431"/>
      <c r="AA20" s="431"/>
      <c r="AB20" s="431"/>
      <c r="AC20" s="431"/>
      <c r="AD20" s="430"/>
      <c r="AE20" s="431"/>
      <c r="AF20" s="431"/>
      <c r="AG20" s="431"/>
      <c r="AH20" s="431"/>
      <c r="AI20" s="431"/>
      <c r="AJ20" s="431"/>
      <c r="AK20" s="430"/>
      <c r="AL20" s="431"/>
      <c r="AM20" s="431"/>
      <c r="AN20" s="432"/>
      <c r="AQ20" s="436"/>
      <c r="AR20" s="436"/>
      <c r="AS20" s="436"/>
      <c r="AT20" s="436"/>
      <c r="AU20" s="436"/>
      <c r="AV20" s="436"/>
      <c r="AW20" s="396">
        <f t="shared" si="2"/>
        <v>0</v>
      </c>
      <c r="AX20" s="434">
        <f t="shared" si="8"/>
        <v>0</v>
      </c>
      <c r="BA20" s="437">
        <f t="shared" si="4"/>
        <v>0</v>
      </c>
      <c r="BB20" s="437">
        <f t="shared" si="5"/>
        <v>0</v>
      </c>
      <c r="BC20" s="437">
        <f t="shared" si="6"/>
        <v>0</v>
      </c>
      <c r="BD20" s="437">
        <f t="shared" si="7"/>
        <v>0</v>
      </c>
      <c r="BE20" s="437"/>
    </row>
    <row r="21" spans="1:57" ht="33" customHeight="1" thickBot="1">
      <c r="A21" s="356" t="s">
        <v>36</v>
      </c>
      <c r="B21" s="5" t="s">
        <v>37</v>
      </c>
      <c r="C21" s="357" t="s">
        <v>35</v>
      </c>
      <c r="D21" s="7">
        <v>35.5</v>
      </c>
      <c r="E21" s="353"/>
      <c r="F21" s="22">
        <f t="shared" si="0"/>
        <v>0</v>
      </c>
      <c r="G21" s="329"/>
      <c r="H21" s="330">
        <f t="shared" si="1"/>
        <v>0</v>
      </c>
      <c r="I21" s="430"/>
      <c r="J21" s="430"/>
      <c r="K21" s="431"/>
      <c r="L21" s="431"/>
      <c r="M21" s="431"/>
      <c r="N21" s="431"/>
      <c r="O21" s="431"/>
      <c r="P21" s="430"/>
      <c r="Q21" s="431"/>
      <c r="R21" s="431"/>
      <c r="S21" s="431"/>
      <c r="T21" s="431"/>
      <c r="U21" s="431"/>
      <c r="V21" s="431"/>
      <c r="W21" s="430"/>
      <c r="X21" s="431"/>
      <c r="Y21" s="431"/>
      <c r="Z21" s="431"/>
      <c r="AA21" s="431"/>
      <c r="AB21" s="431"/>
      <c r="AC21" s="431"/>
      <c r="AD21" s="430"/>
      <c r="AE21" s="431"/>
      <c r="AF21" s="431"/>
      <c r="AG21" s="431"/>
      <c r="AH21" s="431"/>
      <c r="AI21" s="431"/>
      <c r="AJ21" s="431"/>
      <c r="AK21" s="430"/>
      <c r="AL21" s="431"/>
      <c r="AM21" s="431"/>
      <c r="AN21" s="432"/>
      <c r="AQ21" s="436"/>
      <c r="AR21" s="436"/>
      <c r="AS21" s="436"/>
      <c r="AT21" s="436"/>
      <c r="AU21" s="436"/>
      <c r="AV21" s="436"/>
      <c r="AW21" s="396">
        <f t="shared" si="2"/>
        <v>0</v>
      </c>
      <c r="AX21" s="434">
        <f t="shared" si="8"/>
        <v>0</v>
      </c>
      <c r="BA21" s="437">
        <f t="shared" si="4"/>
        <v>0</v>
      </c>
      <c r="BB21" s="437">
        <f t="shared" si="5"/>
        <v>0</v>
      </c>
      <c r="BC21" s="437">
        <f t="shared" si="6"/>
        <v>0</v>
      </c>
      <c r="BD21" s="437">
        <f t="shared" si="7"/>
        <v>0</v>
      </c>
      <c r="BE21" s="437"/>
    </row>
    <row r="22" spans="1:57" ht="33" customHeight="1" thickBot="1">
      <c r="A22" s="356" t="s">
        <v>38</v>
      </c>
      <c r="B22" s="5" t="s">
        <v>39</v>
      </c>
      <c r="C22" s="357" t="s">
        <v>40</v>
      </c>
      <c r="D22" s="7">
        <v>0.46</v>
      </c>
      <c r="E22" s="353"/>
      <c r="F22" s="22">
        <f t="shared" si="0"/>
        <v>0</v>
      </c>
      <c r="G22" s="329"/>
      <c r="H22" s="330">
        <f t="shared" si="1"/>
        <v>0</v>
      </c>
      <c r="I22" s="430"/>
      <c r="J22" s="430"/>
      <c r="K22" s="431"/>
      <c r="L22" s="431"/>
      <c r="M22" s="431"/>
      <c r="N22" s="431"/>
      <c r="O22" s="431"/>
      <c r="P22" s="430"/>
      <c r="Q22" s="431"/>
      <c r="R22" s="431"/>
      <c r="S22" s="431"/>
      <c r="T22" s="431"/>
      <c r="U22" s="431"/>
      <c r="V22" s="431"/>
      <c r="W22" s="430"/>
      <c r="X22" s="431"/>
      <c r="Y22" s="431"/>
      <c r="Z22" s="431"/>
      <c r="AA22" s="431"/>
      <c r="AB22" s="431"/>
      <c r="AC22" s="431"/>
      <c r="AD22" s="430"/>
      <c r="AE22" s="431"/>
      <c r="AF22" s="431"/>
      <c r="AG22" s="431"/>
      <c r="AH22" s="431"/>
      <c r="AI22" s="431"/>
      <c r="AJ22" s="431"/>
      <c r="AK22" s="430"/>
      <c r="AL22" s="431"/>
      <c r="AM22" s="431"/>
      <c r="AN22" s="432"/>
      <c r="AQ22" s="436"/>
      <c r="AR22" s="436"/>
      <c r="AS22" s="436"/>
      <c r="AT22" s="436"/>
      <c r="AU22" s="436"/>
      <c r="AV22" s="436"/>
      <c r="AW22" s="396">
        <f t="shared" si="2"/>
        <v>0</v>
      </c>
      <c r="AX22" s="434">
        <f t="shared" si="8"/>
        <v>0</v>
      </c>
      <c r="BA22" s="437">
        <f t="shared" si="4"/>
        <v>0</v>
      </c>
      <c r="BB22" s="437">
        <f t="shared" si="5"/>
        <v>0</v>
      </c>
      <c r="BC22" s="437">
        <f t="shared" si="6"/>
        <v>0</v>
      </c>
      <c r="BD22" s="437">
        <f t="shared" si="7"/>
        <v>0</v>
      </c>
      <c r="BE22" s="437"/>
    </row>
    <row r="23" spans="1:57" ht="33" customHeight="1" thickBot="1">
      <c r="A23" s="356" t="s">
        <v>41</v>
      </c>
      <c r="B23" s="5" t="s">
        <v>42</v>
      </c>
      <c r="C23" s="357" t="s">
        <v>30</v>
      </c>
      <c r="D23" s="7">
        <v>343</v>
      </c>
      <c r="E23" s="353"/>
      <c r="F23" s="22">
        <f t="shared" si="0"/>
        <v>0</v>
      </c>
      <c r="G23" s="331"/>
      <c r="H23" s="330">
        <f t="shared" si="1"/>
        <v>0</v>
      </c>
      <c r="I23" s="430"/>
      <c r="J23" s="430"/>
      <c r="K23" s="431"/>
      <c r="L23" s="431"/>
      <c r="M23" s="431"/>
      <c r="N23" s="431"/>
      <c r="O23" s="431"/>
      <c r="P23" s="430"/>
      <c r="Q23" s="431"/>
      <c r="R23" s="431"/>
      <c r="S23" s="431"/>
      <c r="T23" s="431"/>
      <c r="U23" s="431"/>
      <c r="V23" s="431"/>
      <c r="W23" s="430"/>
      <c r="X23" s="431"/>
      <c r="Y23" s="431"/>
      <c r="Z23" s="431"/>
      <c r="AA23" s="431"/>
      <c r="AB23" s="431"/>
      <c r="AC23" s="431"/>
      <c r="AD23" s="430"/>
      <c r="AE23" s="431"/>
      <c r="AF23" s="431"/>
      <c r="AG23" s="431"/>
      <c r="AH23" s="431"/>
      <c r="AI23" s="431"/>
      <c r="AJ23" s="431"/>
      <c r="AK23" s="430"/>
      <c r="AL23" s="431"/>
      <c r="AM23" s="431"/>
      <c r="AN23" s="432"/>
      <c r="AQ23" s="436"/>
      <c r="AR23" s="436"/>
      <c r="AS23" s="436"/>
      <c r="AT23" s="436"/>
      <c r="AU23" s="436"/>
      <c r="AV23" s="436"/>
      <c r="AW23" s="396">
        <f t="shared" si="2"/>
        <v>0</v>
      </c>
      <c r="AX23" s="434">
        <f t="shared" si="8"/>
        <v>0</v>
      </c>
      <c r="BA23" s="437">
        <f t="shared" si="4"/>
        <v>0</v>
      </c>
      <c r="BB23" s="437">
        <f t="shared" si="5"/>
        <v>0</v>
      </c>
      <c r="BC23" s="437">
        <f t="shared" si="6"/>
        <v>0</v>
      </c>
      <c r="BD23" s="437">
        <f t="shared" si="7"/>
        <v>0</v>
      </c>
      <c r="BE23" s="437"/>
    </row>
    <row r="24" spans="1:57" ht="33" customHeight="1" thickBot="1">
      <c r="A24" s="356" t="s">
        <v>43</v>
      </c>
      <c r="B24" s="5" t="s">
        <v>44</v>
      </c>
      <c r="C24" s="357" t="s">
        <v>30</v>
      </c>
      <c r="D24" s="7">
        <v>290</v>
      </c>
      <c r="E24" s="353"/>
      <c r="F24" s="22">
        <f t="shared" si="0"/>
        <v>0</v>
      </c>
      <c r="G24" s="331"/>
      <c r="H24" s="330">
        <f t="shared" si="1"/>
        <v>0</v>
      </c>
      <c r="I24" s="430"/>
      <c r="J24" s="430"/>
      <c r="K24" s="431"/>
      <c r="L24" s="431"/>
      <c r="M24" s="431"/>
      <c r="N24" s="431"/>
      <c r="O24" s="431"/>
      <c r="P24" s="430"/>
      <c r="Q24" s="431"/>
      <c r="R24" s="431"/>
      <c r="S24" s="431"/>
      <c r="T24" s="431"/>
      <c r="U24" s="431"/>
      <c r="V24" s="431"/>
      <c r="W24" s="430"/>
      <c r="X24" s="431"/>
      <c r="Y24" s="431"/>
      <c r="Z24" s="431"/>
      <c r="AA24" s="431"/>
      <c r="AB24" s="431"/>
      <c r="AC24" s="431"/>
      <c r="AD24" s="430"/>
      <c r="AE24" s="431"/>
      <c r="AF24" s="431"/>
      <c r="AG24" s="431"/>
      <c r="AH24" s="431"/>
      <c r="AI24" s="431"/>
      <c r="AJ24" s="431"/>
      <c r="AK24" s="430"/>
      <c r="AL24" s="431"/>
      <c r="AM24" s="431"/>
      <c r="AN24" s="432"/>
      <c r="AQ24" s="436"/>
      <c r="AR24" s="436"/>
      <c r="AS24" s="436"/>
      <c r="AT24" s="436"/>
      <c r="AU24" s="436"/>
      <c r="AV24" s="436"/>
      <c r="AW24" s="396">
        <f t="shared" si="2"/>
        <v>0</v>
      </c>
      <c r="AX24" s="434">
        <f t="shared" si="8"/>
        <v>0</v>
      </c>
      <c r="BA24" s="437">
        <f t="shared" si="4"/>
        <v>0</v>
      </c>
      <c r="BB24" s="437">
        <f t="shared" si="5"/>
        <v>0</v>
      </c>
      <c r="BC24" s="437">
        <f t="shared" si="6"/>
        <v>0</v>
      </c>
      <c r="BD24" s="437">
        <f t="shared" si="7"/>
        <v>0</v>
      </c>
      <c r="BE24" s="437"/>
    </row>
    <row r="25" spans="1:57" ht="33" customHeight="1" thickBot="1">
      <c r="A25" s="354" t="s">
        <v>45</v>
      </c>
      <c r="B25" s="8" t="s">
        <v>46</v>
      </c>
      <c r="C25" s="355" t="s">
        <v>13</v>
      </c>
      <c r="D25" s="7">
        <v>5550</v>
      </c>
      <c r="E25" s="353"/>
      <c r="F25" s="22">
        <f t="shared" si="0"/>
        <v>0</v>
      </c>
      <c r="G25" s="329"/>
      <c r="H25" s="330">
        <f t="shared" si="1"/>
        <v>0</v>
      </c>
      <c r="I25" s="430"/>
      <c r="J25" s="430"/>
      <c r="K25" s="431"/>
      <c r="L25" s="431"/>
      <c r="M25" s="431"/>
      <c r="N25" s="431"/>
      <c r="O25" s="431"/>
      <c r="P25" s="430"/>
      <c r="Q25" s="431"/>
      <c r="R25" s="431"/>
      <c r="S25" s="431"/>
      <c r="T25" s="431"/>
      <c r="U25" s="431"/>
      <c r="V25" s="431"/>
      <c r="W25" s="430"/>
      <c r="X25" s="431"/>
      <c r="Y25" s="431"/>
      <c r="Z25" s="431"/>
      <c r="AA25" s="431"/>
      <c r="AB25" s="431"/>
      <c r="AC25" s="431"/>
      <c r="AD25" s="430"/>
      <c r="AE25" s="431"/>
      <c r="AF25" s="431"/>
      <c r="AG25" s="431"/>
      <c r="AH25" s="431"/>
      <c r="AI25" s="431"/>
      <c r="AJ25" s="431"/>
      <c r="AK25" s="430"/>
      <c r="AL25" s="431"/>
      <c r="AM25" s="431"/>
      <c r="AN25" s="432"/>
      <c r="AQ25" s="436"/>
      <c r="AR25" s="436"/>
      <c r="AS25" s="436"/>
      <c r="AT25" s="436"/>
      <c r="AU25" s="436"/>
      <c r="AV25" s="436"/>
      <c r="AW25" s="396">
        <f t="shared" si="2"/>
        <v>0</v>
      </c>
      <c r="AX25" s="434">
        <f t="shared" si="8"/>
        <v>0</v>
      </c>
      <c r="BA25" s="437">
        <f t="shared" si="4"/>
        <v>0</v>
      </c>
      <c r="BB25" s="437">
        <f t="shared" si="5"/>
        <v>0</v>
      </c>
      <c r="BC25" s="437">
        <f t="shared" si="6"/>
        <v>0</v>
      </c>
      <c r="BD25" s="437">
        <f t="shared" si="7"/>
        <v>0</v>
      </c>
      <c r="BE25" s="437"/>
    </row>
    <row r="26" spans="1:57" ht="33" customHeight="1" thickBot="1">
      <c r="A26" s="354" t="s">
        <v>47</v>
      </c>
      <c r="B26" s="8" t="s">
        <v>48</v>
      </c>
      <c r="C26" s="355" t="s">
        <v>16</v>
      </c>
      <c r="D26" s="7">
        <v>2220</v>
      </c>
      <c r="E26" s="353"/>
      <c r="F26" s="22">
        <f t="shared" si="0"/>
        <v>0</v>
      </c>
      <c r="G26" s="329"/>
      <c r="H26" s="330">
        <f t="shared" si="1"/>
        <v>0</v>
      </c>
      <c r="I26" s="430"/>
      <c r="J26" s="430"/>
      <c r="K26" s="431"/>
      <c r="L26" s="431"/>
      <c r="M26" s="431"/>
      <c r="N26" s="431"/>
      <c r="O26" s="431"/>
      <c r="P26" s="430"/>
      <c r="Q26" s="431"/>
      <c r="R26" s="431"/>
      <c r="S26" s="431"/>
      <c r="T26" s="431"/>
      <c r="U26" s="431"/>
      <c r="V26" s="431"/>
      <c r="W26" s="430"/>
      <c r="X26" s="431"/>
      <c r="Y26" s="431"/>
      <c r="Z26" s="431"/>
      <c r="AA26" s="431"/>
      <c r="AB26" s="431"/>
      <c r="AC26" s="431"/>
      <c r="AD26" s="430"/>
      <c r="AE26" s="431"/>
      <c r="AF26" s="431"/>
      <c r="AG26" s="431"/>
      <c r="AH26" s="431"/>
      <c r="AI26" s="431"/>
      <c r="AJ26" s="431"/>
      <c r="AK26" s="430"/>
      <c r="AL26" s="431"/>
      <c r="AM26" s="431"/>
      <c r="AN26" s="432"/>
      <c r="AQ26" s="436"/>
      <c r="AR26" s="436"/>
      <c r="AS26" s="436"/>
      <c r="AT26" s="436"/>
      <c r="AU26" s="436"/>
      <c r="AV26" s="436"/>
      <c r="AW26" s="396">
        <f t="shared" si="2"/>
        <v>0</v>
      </c>
      <c r="AX26" s="434">
        <f t="shared" si="8"/>
        <v>0</v>
      </c>
      <c r="BA26" s="437">
        <f t="shared" si="4"/>
        <v>0</v>
      </c>
      <c r="BB26" s="437">
        <f t="shared" si="5"/>
        <v>0</v>
      </c>
      <c r="BC26" s="437">
        <f t="shared" si="6"/>
        <v>0</v>
      </c>
      <c r="BD26" s="437">
        <f t="shared" si="7"/>
        <v>0</v>
      </c>
      <c r="BE26" s="437"/>
    </row>
    <row r="27" spans="1:57" ht="33" customHeight="1" thickBot="1">
      <c r="A27" s="354" t="s">
        <v>49</v>
      </c>
      <c r="B27" s="8" t="s">
        <v>50</v>
      </c>
      <c r="C27" s="355" t="s">
        <v>16</v>
      </c>
      <c r="D27" s="7">
        <v>2775</v>
      </c>
      <c r="E27" s="353"/>
      <c r="F27" s="22">
        <f t="shared" si="0"/>
        <v>0</v>
      </c>
      <c r="G27" s="329"/>
      <c r="H27" s="330">
        <f t="shared" si="1"/>
        <v>0</v>
      </c>
      <c r="I27" s="430"/>
      <c r="J27" s="430"/>
      <c r="K27" s="431"/>
      <c r="L27" s="431"/>
      <c r="M27" s="431"/>
      <c r="N27" s="431"/>
      <c r="O27" s="431"/>
      <c r="P27" s="430"/>
      <c r="Q27" s="431"/>
      <c r="R27" s="431"/>
      <c r="S27" s="431"/>
      <c r="T27" s="431"/>
      <c r="U27" s="431"/>
      <c r="V27" s="431"/>
      <c r="W27" s="430"/>
      <c r="X27" s="431"/>
      <c r="Y27" s="431"/>
      <c r="Z27" s="431"/>
      <c r="AA27" s="431"/>
      <c r="AB27" s="431"/>
      <c r="AC27" s="431"/>
      <c r="AD27" s="430"/>
      <c r="AE27" s="431"/>
      <c r="AF27" s="431"/>
      <c r="AG27" s="431"/>
      <c r="AH27" s="431"/>
      <c r="AI27" s="431"/>
      <c r="AJ27" s="431"/>
      <c r="AK27" s="430"/>
      <c r="AL27" s="431"/>
      <c r="AM27" s="431"/>
      <c r="AN27" s="432"/>
      <c r="AQ27" s="436"/>
      <c r="AR27" s="436"/>
      <c r="AS27" s="436"/>
      <c r="AT27" s="436"/>
      <c r="AU27" s="436"/>
      <c r="AV27" s="436"/>
      <c r="AW27" s="396">
        <f t="shared" si="2"/>
        <v>0</v>
      </c>
      <c r="AX27" s="434">
        <f t="shared" si="8"/>
        <v>0</v>
      </c>
      <c r="BA27" s="437">
        <f t="shared" si="4"/>
        <v>0</v>
      </c>
      <c r="BB27" s="437">
        <f t="shared" si="5"/>
        <v>0</v>
      </c>
      <c r="BC27" s="437">
        <f t="shared" si="6"/>
        <v>0</v>
      </c>
      <c r="BD27" s="437">
        <f t="shared" si="7"/>
        <v>0</v>
      </c>
      <c r="BE27" s="437"/>
    </row>
    <row r="28" spans="1:57" ht="33" customHeight="1" thickBot="1">
      <c r="A28" s="354" t="s">
        <v>51</v>
      </c>
      <c r="B28" s="8" t="s">
        <v>52</v>
      </c>
      <c r="C28" s="355" t="s">
        <v>13</v>
      </c>
      <c r="D28" s="7">
        <v>3885</v>
      </c>
      <c r="E28" s="353"/>
      <c r="F28" s="22">
        <f t="shared" si="0"/>
        <v>0</v>
      </c>
      <c r="G28" s="329"/>
      <c r="H28" s="330">
        <f t="shared" si="1"/>
        <v>0</v>
      </c>
      <c r="I28" s="430"/>
      <c r="J28" s="430"/>
      <c r="K28" s="431"/>
      <c r="L28" s="431"/>
      <c r="M28" s="431"/>
      <c r="N28" s="431"/>
      <c r="O28" s="431"/>
      <c r="P28" s="430"/>
      <c r="Q28" s="431"/>
      <c r="R28" s="431"/>
      <c r="S28" s="431"/>
      <c r="T28" s="431"/>
      <c r="U28" s="431"/>
      <c r="V28" s="431"/>
      <c r="W28" s="430"/>
      <c r="X28" s="431"/>
      <c r="Y28" s="431"/>
      <c r="Z28" s="431"/>
      <c r="AA28" s="431"/>
      <c r="AB28" s="431"/>
      <c r="AC28" s="431"/>
      <c r="AD28" s="430"/>
      <c r="AE28" s="431"/>
      <c r="AF28" s="431"/>
      <c r="AG28" s="431"/>
      <c r="AH28" s="431"/>
      <c r="AI28" s="431"/>
      <c r="AJ28" s="431"/>
      <c r="AK28" s="430"/>
      <c r="AL28" s="431"/>
      <c r="AM28" s="431"/>
      <c r="AN28" s="432"/>
      <c r="AQ28" s="436"/>
      <c r="AR28" s="436"/>
      <c r="AS28" s="436"/>
      <c r="AT28" s="436"/>
      <c r="AU28" s="436"/>
      <c r="AV28" s="436"/>
      <c r="AW28" s="396">
        <f t="shared" si="2"/>
        <v>0</v>
      </c>
      <c r="AX28" s="434">
        <f t="shared" si="8"/>
        <v>0</v>
      </c>
      <c r="BA28" s="437">
        <f t="shared" si="4"/>
        <v>0</v>
      </c>
      <c r="BB28" s="437">
        <f t="shared" si="5"/>
        <v>0</v>
      </c>
      <c r="BC28" s="437">
        <f t="shared" si="6"/>
        <v>0</v>
      </c>
      <c r="BD28" s="437">
        <f t="shared" si="7"/>
        <v>0</v>
      </c>
      <c r="BE28" s="437"/>
    </row>
    <row r="29" spans="1:57" ht="33" customHeight="1" thickBot="1">
      <c r="A29" s="354" t="s">
        <v>53</v>
      </c>
      <c r="B29" s="8" t="s">
        <v>54</v>
      </c>
      <c r="C29" s="355" t="s">
        <v>55</v>
      </c>
      <c r="D29" s="7">
        <v>0.35</v>
      </c>
      <c r="E29" s="353"/>
      <c r="F29" s="22">
        <f t="shared" si="0"/>
        <v>0</v>
      </c>
      <c r="G29" s="329"/>
      <c r="H29" s="330">
        <f t="shared" si="1"/>
        <v>0</v>
      </c>
      <c r="I29" s="430"/>
      <c r="J29" s="430"/>
      <c r="K29" s="431"/>
      <c r="L29" s="431"/>
      <c r="M29" s="431"/>
      <c r="N29" s="431"/>
      <c r="O29" s="431"/>
      <c r="P29" s="430"/>
      <c r="Q29" s="431"/>
      <c r="R29" s="431"/>
      <c r="S29" s="431"/>
      <c r="T29" s="431"/>
      <c r="U29" s="431"/>
      <c r="V29" s="431"/>
      <c r="W29" s="430"/>
      <c r="X29" s="431"/>
      <c r="Y29" s="431"/>
      <c r="Z29" s="431"/>
      <c r="AA29" s="431"/>
      <c r="AB29" s="431"/>
      <c r="AC29" s="431"/>
      <c r="AD29" s="430"/>
      <c r="AE29" s="431"/>
      <c r="AF29" s="431"/>
      <c r="AG29" s="431"/>
      <c r="AH29" s="431"/>
      <c r="AI29" s="431"/>
      <c r="AJ29" s="431"/>
      <c r="AK29" s="430"/>
      <c r="AL29" s="431"/>
      <c r="AM29" s="431"/>
      <c r="AN29" s="432"/>
      <c r="AQ29" s="436"/>
      <c r="AR29" s="436"/>
      <c r="AS29" s="436"/>
      <c r="AT29" s="436"/>
      <c r="AU29" s="436"/>
      <c r="AV29" s="436"/>
      <c r="AW29" s="396">
        <f t="shared" si="2"/>
        <v>0</v>
      </c>
      <c r="AX29" s="434">
        <f t="shared" si="8"/>
        <v>0</v>
      </c>
      <c r="BA29" s="437">
        <f t="shared" si="4"/>
        <v>0</v>
      </c>
      <c r="BB29" s="437">
        <f t="shared" si="5"/>
        <v>0</v>
      </c>
      <c r="BC29" s="437">
        <f t="shared" si="6"/>
        <v>0</v>
      </c>
      <c r="BD29" s="437">
        <f t="shared" si="7"/>
        <v>0</v>
      </c>
      <c r="BE29" s="437"/>
    </row>
    <row r="30" spans="1:57" ht="33" customHeight="1" thickBot="1">
      <c r="A30" s="354" t="s">
        <v>56</v>
      </c>
      <c r="B30" s="8" t="s">
        <v>57</v>
      </c>
      <c r="C30" s="355" t="s">
        <v>16</v>
      </c>
      <c r="D30" s="7">
        <v>230.55</v>
      </c>
      <c r="E30" s="353"/>
      <c r="F30" s="22">
        <f t="shared" si="0"/>
        <v>0</v>
      </c>
      <c r="G30" s="329"/>
      <c r="H30" s="330">
        <f t="shared" si="1"/>
        <v>0</v>
      </c>
      <c r="I30" s="430"/>
      <c r="J30" s="430"/>
      <c r="K30" s="431"/>
      <c r="L30" s="431"/>
      <c r="M30" s="431"/>
      <c r="N30" s="431"/>
      <c r="O30" s="431"/>
      <c r="P30" s="430"/>
      <c r="Q30" s="431"/>
      <c r="R30" s="431"/>
      <c r="S30" s="431"/>
      <c r="T30" s="431"/>
      <c r="U30" s="431"/>
      <c r="V30" s="431"/>
      <c r="W30" s="430"/>
      <c r="X30" s="431"/>
      <c r="Y30" s="431"/>
      <c r="Z30" s="431"/>
      <c r="AA30" s="431"/>
      <c r="AB30" s="431"/>
      <c r="AC30" s="431"/>
      <c r="AD30" s="430"/>
      <c r="AE30" s="431"/>
      <c r="AF30" s="431"/>
      <c r="AG30" s="431"/>
      <c r="AH30" s="431"/>
      <c r="AI30" s="431"/>
      <c r="AJ30" s="431"/>
      <c r="AK30" s="430"/>
      <c r="AL30" s="431"/>
      <c r="AM30" s="431"/>
      <c r="AN30" s="432"/>
      <c r="AQ30" s="436"/>
      <c r="AR30" s="436"/>
      <c r="AS30" s="436"/>
      <c r="AT30" s="436"/>
      <c r="AU30" s="436"/>
      <c r="AV30" s="436"/>
      <c r="AW30" s="396">
        <f t="shared" si="2"/>
        <v>0</v>
      </c>
      <c r="AX30" s="434">
        <f t="shared" si="8"/>
        <v>0</v>
      </c>
      <c r="BA30" s="437">
        <f t="shared" si="4"/>
        <v>0</v>
      </c>
      <c r="BB30" s="437">
        <f t="shared" si="5"/>
        <v>0</v>
      </c>
      <c r="BC30" s="437">
        <f t="shared" si="6"/>
        <v>0</v>
      </c>
      <c r="BD30" s="437">
        <f t="shared" si="7"/>
        <v>0</v>
      </c>
      <c r="BE30" s="437"/>
    </row>
    <row r="31" spans="1:57" ht="33" customHeight="1" thickBot="1">
      <c r="A31" s="354" t="s">
        <v>58</v>
      </c>
      <c r="B31" s="8" t="s">
        <v>59</v>
      </c>
      <c r="C31" s="355" t="s">
        <v>60</v>
      </c>
      <c r="D31" s="7">
        <v>23.67</v>
      </c>
      <c r="E31" s="353"/>
      <c r="F31" s="22">
        <f t="shared" si="0"/>
        <v>0</v>
      </c>
      <c r="G31" s="329"/>
      <c r="H31" s="330">
        <f t="shared" si="1"/>
        <v>0</v>
      </c>
      <c r="I31" s="430"/>
      <c r="J31" s="430"/>
      <c r="K31" s="431"/>
      <c r="L31" s="431"/>
      <c r="M31" s="431"/>
      <c r="N31" s="431"/>
      <c r="O31" s="431"/>
      <c r="P31" s="430"/>
      <c r="Q31" s="431"/>
      <c r="R31" s="431"/>
      <c r="S31" s="431"/>
      <c r="T31" s="431"/>
      <c r="U31" s="431"/>
      <c r="V31" s="431"/>
      <c r="W31" s="430"/>
      <c r="X31" s="431"/>
      <c r="Y31" s="431"/>
      <c r="Z31" s="431"/>
      <c r="AA31" s="431"/>
      <c r="AB31" s="431"/>
      <c r="AC31" s="431"/>
      <c r="AD31" s="430"/>
      <c r="AE31" s="431"/>
      <c r="AF31" s="431"/>
      <c r="AG31" s="431"/>
      <c r="AH31" s="431"/>
      <c r="AI31" s="431"/>
      <c r="AJ31" s="431"/>
      <c r="AK31" s="430"/>
      <c r="AL31" s="431"/>
      <c r="AM31" s="431"/>
      <c r="AN31" s="432"/>
      <c r="AQ31" s="436"/>
      <c r="AR31" s="436"/>
      <c r="AS31" s="436"/>
      <c r="AT31" s="436"/>
      <c r="AU31" s="436"/>
      <c r="AV31" s="436"/>
      <c r="AW31" s="396">
        <f t="shared" si="2"/>
        <v>0</v>
      </c>
      <c r="AX31" s="434">
        <f t="shared" si="8"/>
        <v>0</v>
      </c>
      <c r="BA31" s="437">
        <f t="shared" si="4"/>
        <v>0</v>
      </c>
      <c r="BB31" s="437">
        <f t="shared" si="5"/>
        <v>0</v>
      </c>
      <c r="BC31" s="437">
        <f t="shared" si="6"/>
        <v>0</v>
      </c>
      <c r="BD31" s="437">
        <f t="shared" si="7"/>
        <v>0</v>
      </c>
      <c r="BE31" s="437"/>
    </row>
    <row r="32" spans="1:57" ht="33" customHeight="1" thickBot="1">
      <c r="A32" s="358" t="s">
        <v>61</v>
      </c>
      <c r="B32" s="169" t="s">
        <v>62</v>
      </c>
      <c r="C32" s="359" t="s">
        <v>21</v>
      </c>
      <c r="D32" s="7">
        <v>11.06</v>
      </c>
      <c r="E32" s="353"/>
      <c r="F32" s="22">
        <f t="shared" si="0"/>
        <v>0</v>
      </c>
      <c r="G32" s="329"/>
      <c r="H32" s="330">
        <f t="shared" si="1"/>
        <v>0</v>
      </c>
      <c r="I32" s="430"/>
      <c r="J32" s="430"/>
      <c r="K32" s="431"/>
      <c r="L32" s="431"/>
      <c r="M32" s="431"/>
      <c r="N32" s="431"/>
      <c r="O32" s="431"/>
      <c r="P32" s="430"/>
      <c r="Q32" s="431"/>
      <c r="R32" s="431"/>
      <c r="S32" s="431"/>
      <c r="T32" s="431"/>
      <c r="U32" s="431"/>
      <c r="V32" s="431"/>
      <c r="W32" s="430"/>
      <c r="X32" s="431"/>
      <c r="Y32" s="431"/>
      <c r="Z32" s="431"/>
      <c r="AA32" s="431"/>
      <c r="AB32" s="431"/>
      <c r="AC32" s="431"/>
      <c r="AD32" s="430"/>
      <c r="AE32" s="431"/>
      <c r="AF32" s="431"/>
      <c r="AG32" s="431"/>
      <c r="AH32" s="431"/>
      <c r="AI32" s="431"/>
      <c r="AJ32" s="431"/>
      <c r="AK32" s="430"/>
      <c r="AL32" s="431"/>
      <c r="AM32" s="431"/>
      <c r="AN32" s="432"/>
      <c r="AQ32" s="436"/>
      <c r="AR32" s="436"/>
      <c r="AS32" s="436"/>
      <c r="AT32" s="436"/>
      <c r="AU32" s="436"/>
      <c r="AV32" s="436"/>
      <c r="AW32" s="396">
        <f t="shared" si="2"/>
        <v>0</v>
      </c>
      <c r="AX32" s="434">
        <f t="shared" si="8"/>
        <v>0</v>
      </c>
      <c r="BA32" s="437">
        <f t="shared" si="4"/>
        <v>0</v>
      </c>
      <c r="BB32" s="437">
        <f t="shared" si="5"/>
        <v>0</v>
      </c>
      <c r="BC32" s="437">
        <f t="shared" si="6"/>
        <v>0</v>
      </c>
      <c r="BD32" s="437">
        <f t="shared" si="7"/>
        <v>0</v>
      </c>
      <c r="BE32" s="437"/>
    </row>
    <row r="33" spans="1:57" ht="33" customHeight="1" thickBot="1">
      <c r="A33" s="358" t="s">
        <v>63</v>
      </c>
      <c r="B33" s="332" t="s">
        <v>64</v>
      </c>
      <c r="C33" s="359" t="s">
        <v>55</v>
      </c>
      <c r="D33" s="7">
        <v>8.85</v>
      </c>
      <c r="E33" s="353"/>
      <c r="F33" s="22">
        <f t="shared" si="0"/>
        <v>0</v>
      </c>
      <c r="G33" s="329"/>
      <c r="H33" s="330">
        <f t="shared" si="1"/>
        <v>0</v>
      </c>
      <c r="I33" s="430"/>
      <c r="J33" s="430"/>
      <c r="K33" s="431"/>
      <c r="L33" s="431"/>
      <c r="M33" s="431"/>
      <c r="N33" s="431"/>
      <c r="O33" s="431"/>
      <c r="P33" s="430"/>
      <c r="Q33" s="431"/>
      <c r="R33" s="431"/>
      <c r="S33" s="431"/>
      <c r="T33" s="431"/>
      <c r="U33" s="431"/>
      <c r="V33" s="431"/>
      <c r="W33" s="430"/>
      <c r="X33" s="431"/>
      <c r="Y33" s="431"/>
      <c r="Z33" s="431"/>
      <c r="AA33" s="431"/>
      <c r="AB33" s="431"/>
      <c r="AC33" s="431"/>
      <c r="AD33" s="430"/>
      <c r="AE33" s="431"/>
      <c r="AF33" s="431"/>
      <c r="AG33" s="431"/>
      <c r="AH33" s="431"/>
      <c r="AI33" s="431"/>
      <c r="AJ33" s="431"/>
      <c r="AK33" s="430"/>
      <c r="AL33" s="431"/>
      <c r="AM33" s="431"/>
      <c r="AN33" s="432"/>
      <c r="AQ33" s="436"/>
      <c r="AR33" s="436"/>
      <c r="AS33" s="436"/>
      <c r="AT33" s="436"/>
      <c r="AU33" s="436"/>
      <c r="AV33" s="436"/>
      <c r="AW33" s="396">
        <f t="shared" si="2"/>
        <v>0</v>
      </c>
      <c r="AX33" s="434">
        <f t="shared" si="8"/>
        <v>0</v>
      </c>
      <c r="BA33" s="437">
        <f t="shared" si="4"/>
        <v>0</v>
      </c>
      <c r="BB33" s="437">
        <f t="shared" si="5"/>
        <v>0</v>
      </c>
      <c r="BC33" s="437">
        <f t="shared" si="6"/>
        <v>0</v>
      </c>
      <c r="BD33" s="437">
        <f t="shared" si="7"/>
        <v>0</v>
      </c>
      <c r="BE33" s="437"/>
    </row>
    <row r="34" spans="1:57" ht="33" customHeight="1" thickBot="1">
      <c r="A34" s="358" t="s">
        <v>65</v>
      </c>
      <c r="B34" s="332" t="s">
        <v>66</v>
      </c>
      <c r="C34" s="359" t="s">
        <v>35</v>
      </c>
      <c r="D34" s="7">
        <v>2.92</v>
      </c>
      <c r="E34" s="353"/>
      <c r="F34" s="22">
        <f t="shared" si="0"/>
        <v>0</v>
      </c>
      <c r="G34" s="329"/>
      <c r="H34" s="330">
        <f t="shared" si="1"/>
        <v>0</v>
      </c>
      <c r="I34" s="430"/>
      <c r="J34" s="430"/>
      <c r="K34" s="431"/>
      <c r="L34" s="431"/>
      <c r="M34" s="431"/>
      <c r="N34" s="431"/>
      <c r="O34" s="431"/>
      <c r="P34" s="430"/>
      <c r="Q34" s="431"/>
      <c r="R34" s="431"/>
      <c r="S34" s="431"/>
      <c r="T34" s="431"/>
      <c r="U34" s="431"/>
      <c r="V34" s="431"/>
      <c r="W34" s="430"/>
      <c r="X34" s="431"/>
      <c r="Y34" s="431"/>
      <c r="Z34" s="431"/>
      <c r="AA34" s="431"/>
      <c r="AB34" s="431"/>
      <c r="AC34" s="431"/>
      <c r="AD34" s="430"/>
      <c r="AE34" s="431"/>
      <c r="AF34" s="431"/>
      <c r="AG34" s="431"/>
      <c r="AH34" s="431"/>
      <c r="AI34" s="431"/>
      <c r="AJ34" s="431"/>
      <c r="AK34" s="430"/>
      <c r="AL34" s="431"/>
      <c r="AM34" s="431"/>
      <c r="AN34" s="432"/>
      <c r="AQ34" s="436"/>
      <c r="AR34" s="436"/>
      <c r="AS34" s="436"/>
      <c r="AT34" s="436"/>
      <c r="AU34" s="436"/>
      <c r="AV34" s="436"/>
      <c r="AW34" s="396">
        <f t="shared" si="2"/>
        <v>0</v>
      </c>
      <c r="AX34" s="434">
        <f t="shared" si="8"/>
        <v>0</v>
      </c>
      <c r="BA34" s="437">
        <f t="shared" si="4"/>
        <v>0</v>
      </c>
      <c r="BB34" s="437">
        <f t="shared" si="5"/>
        <v>0</v>
      </c>
      <c r="BC34" s="437">
        <f t="shared" si="6"/>
        <v>0</v>
      </c>
      <c r="BD34" s="437">
        <f t="shared" si="7"/>
        <v>0</v>
      </c>
      <c r="BE34" s="437"/>
    </row>
    <row r="35" spans="1:57" ht="33" customHeight="1" thickBot="1">
      <c r="A35" s="358" t="s">
        <v>67</v>
      </c>
      <c r="B35" s="332" t="s">
        <v>68</v>
      </c>
      <c r="C35" s="360" t="s">
        <v>21</v>
      </c>
      <c r="D35" s="7">
        <v>6.64</v>
      </c>
      <c r="E35" s="353"/>
      <c r="F35" s="22">
        <f t="shared" si="0"/>
        <v>0</v>
      </c>
      <c r="G35" s="329"/>
      <c r="H35" s="330">
        <f t="shared" si="1"/>
        <v>0</v>
      </c>
      <c r="I35" s="430"/>
      <c r="J35" s="430"/>
      <c r="K35" s="431"/>
      <c r="L35" s="431"/>
      <c r="M35" s="431"/>
      <c r="N35" s="431"/>
      <c r="O35" s="431"/>
      <c r="P35" s="430"/>
      <c r="Q35" s="431"/>
      <c r="R35" s="431"/>
      <c r="S35" s="431"/>
      <c r="T35" s="431"/>
      <c r="U35" s="431"/>
      <c r="V35" s="431"/>
      <c r="W35" s="430"/>
      <c r="X35" s="431"/>
      <c r="Y35" s="431"/>
      <c r="Z35" s="431"/>
      <c r="AA35" s="431"/>
      <c r="AB35" s="431"/>
      <c r="AC35" s="431"/>
      <c r="AD35" s="430"/>
      <c r="AE35" s="431"/>
      <c r="AF35" s="431"/>
      <c r="AG35" s="431"/>
      <c r="AH35" s="431"/>
      <c r="AI35" s="431"/>
      <c r="AJ35" s="431"/>
      <c r="AK35" s="430"/>
      <c r="AL35" s="431"/>
      <c r="AM35" s="431"/>
      <c r="AN35" s="432"/>
      <c r="AQ35" s="436"/>
      <c r="AR35" s="436"/>
      <c r="AS35" s="436"/>
      <c r="AT35" s="436"/>
      <c r="AU35" s="436"/>
      <c r="AV35" s="436"/>
      <c r="AW35" s="396">
        <f t="shared" si="2"/>
        <v>0</v>
      </c>
      <c r="AX35" s="434">
        <f t="shared" si="8"/>
        <v>0</v>
      </c>
      <c r="BA35" s="437">
        <f t="shared" si="4"/>
        <v>0</v>
      </c>
      <c r="BB35" s="437">
        <f t="shared" si="5"/>
        <v>0</v>
      </c>
      <c r="BC35" s="437">
        <f t="shared" si="6"/>
        <v>0</v>
      </c>
      <c r="BD35" s="437">
        <f t="shared" si="7"/>
        <v>0</v>
      </c>
      <c r="BE35" s="437"/>
    </row>
    <row r="36" spans="1:57" ht="33" customHeight="1" thickBot="1">
      <c r="A36" s="354" t="s">
        <v>69</v>
      </c>
      <c r="B36" s="8" t="s">
        <v>70</v>
      </c>
      <c r="C36" s="355" t="s">
        <v>16</v>
      </c>
      <c r="D36" s="7">
        <v>110.62</v>
      </c>
      <c r="E36" s="353"/>
      <c r="F36" s="22">
        <f t="shared" si="0"/>
        <v>0</v>
      </c>
      <c r="G36" s="329"/>
      <c r="H36" s="330">
        <f t="shared" si="1"/>
        <v>0</v>
      </c>
      <c r="I36" s="430"/>
      <c r="J36" s="430"/>
      <c r="K36" s="431"/>
      <c r="L36" s="431"/>
      <c r="M36" s="431"/>
      <c r="N36" s="431"/>
      <c r="O36" s="431"/>
      <c r="P36" s="430"/>
      <c r="Q36" s="431"/>
      <c r="R36" s="431"/>
      <c r="S36" s="431"/>
      <c r="T36" s="431"/>
      <c r="U36" s="431"/>
      <c r="V36" s="431"/>
      <c r="W36" s="430"/>
      <c r="X36" s="431"/>
      <c r="Y36" s="431"/>
      <c r="Z36" s="431"/>
      <c r="AA36" s="431"/>
      <c r="AB36" s="431"/>
      <c r="AC36" s="431"/>
      <c r="AD36" s="430"/>
      <c r="AE36" s="431"/>
      <c r="AF36" s="431"/>
      <c r="AG36" s="431"/>
      <c r="AH36" s="431"/>
      <c r="AI36" s="431"/>
      <c r="AJ36" s="431"/>
      <c r="AK36" s="430"/>
      <c r="AL36" s="431"/>
      <c r="AM36" s="431"/>
      <c r="AN36" s="432"/>
      <c r="AQ36" s="436"/>
      <c r="AR36" s="436"/>
      <c r="AS36" s="436"/>
      <c r="AT36" s="436"/>
      <c r="AU36" s="436"/>
      <c r="AV36" s="436"/>
      <c r="AW36" s="396">
        <f t="shared" si="2"/>
        <v>0</v>
      </c>
      <c r="AX36" s="434">
        <f t="shared" si="8"/>
        <v>0</v>
      </c>
      <c r="BA36" s="437">
        <f t="shared" si="4"/>
        <v>0</v>
      </c>
      <c r="BB36" s="437">
        <f t="shared" si="5"/>
        <v>0</v>
      </c>
      <c r="BC36" s="437">
        <f t="shared" si="6"/>
        <v>0</v>
      </c>
      <c r="BD36" s="437">
        <f t="shared" si="7"/>
        <v>0</v>
      </c>
      <c r="BE36" s="437"/>
    </row>
    <row r="37" spans="1:57" ht="33" customHeight="1" thickBot="1">
      <c r="A37" s="358" t="s">
        <v>71</v>
      </c>
      <c r="B37" s="332" t="s">
        <v>72</v>
      </c>
      <c r="C37" s="359" t="s">
        <v>16</v>
      </c>
      <c r="D37" s="7">
        <v>221.24</v>
      </c>
      <c r="E37" s="353"/>
      <c r="F37" s="22">
        <f t="shared" si="0"/>
        <v>0</v>
      </c>
      <c r="G37" s="329"/>
      <c r="H37" s="330">
        <f t="shared" si="1"/>
        <v>0</v>
      </c>
      <c r="I37" s="430"/>
      <c r="J37" s="430"/>
      <c r="K37" s="431"/>
      <c r="L37" s="431"/>
      <c r="M37" s="431"/>
      <c r="N37" s="431"/>
      <c r="O37" s="431"/>
      <c r="P37" s="430"/>
      <c r="Q37" s="431"/>
      <c r="R37" s="431"/>
      <c r="S37" s="431"/>
      <c r="T37" s="431"/>
      <c r="U37" s="431"/>
      <c r="V37" s="431"/>
      <c r="W37" s="430"/>
      <c r="X37" s="431"/>
      <c r="Y37" s="431"/>
      <c r="Z37" s="431"/>
      <c r="AA37" s="431"/>
      <c r="AB37" s="431"/>
      <c r="AC37" s="431"/>
      <c r="AD37" s="430"/>
      <c r="AE37" s="431"/>
      <c r="AF37" s="431"/>
      <c r="AG37" s="431"/>
      <c r="AH37" s="431"/>
      <c r="AI37" s="431"/>
      <c r="AJ37" s="431"/>
      <c r="AK37" s="430"/>
      <c r="AL37" s="431"/>
      <c r="AM37" s="431"/>
      <c r="AN37" s="432"/>
      <c r="AQ37" s="436"/>
      <c r="AR37" s="436"/>
      <c r="AS37" s="436"/>
      <c r="AT37" s="436"/>
      <c r="AU37" s="436"/>
      <c r="AV37" s="436"/>
      <c r="AW37" s="396">
        <f t="shared" si="2"/>
        <v>0</v>
      </c>
      <c r="AX37" s="434">
        <f t="shared" si="8"/>
        <v>0</v>
      </c>
      <c r="BA37" s="437">
        <f t="shared" si="4"/>
        <v>0</v>
      </c>
      <c r="BB37" s="437">
        <f t="shared" si="5"/>
        <v>0</v>
      </c>
      <c r="BC37" s="437">
        <f t="shared" si="6"/>
        <v>0</v>
      </c>
      <c r="BD37" s="437">
        <f t="shared" si="7"/>
        <v>0</v>
      </c>
      <c r="BE37" s="437"/>
    </row>
    <row r="38" spans="1:57" ht="33" customHeight="1" thickBot="1">
      <c r="A38" s="358" t="s">
        <v>73</v>
      </c>
      <c r="B38" s="333" t="s">
        <v>74</v>
      </c>
      <c r="C38" s="359" t="s">
        <v>35</v>
      </c>
      <c r="D38" s="7">
        <v>13.72</v>
      </c>
      <c r="E38" s="353"/>
      <c r="F38" s="22">
        <f t="shared" si="0"/>
        <v>0</v>
      </c>
      <c r="G38" s="329"/>
      <c r="H38" s="330">
        <f t="shared" si="1"/>
        <v>0</v>
      </c>
      <c r="I38" s="430"/>
      <c r="J38" s="430"/>
      <c r="K38" s="431"/>
      <c r="L38" s="431"/>
      <c r="M38" s="431"/>
      <c r="N38" s="431"/>
      <c r="O38" s="431"/>
      <c r="P38" s="430"/>
      <c r="Q38" s="431"/>
      <c r="R38" s="431"/>
      <c r="S38" s="431"/>
      <c r="T38" s="431"/>
      <c r="U38" s="431"/>
      <c r="V38" s="431"/>
      <c r="W38" s="430"/>
      <c r="X38" s="431"/>
      <c r="Y38" s="431"/>
      <c r="Z38" s="431"/>
      <c r="AA38" s="431"/>
      <c r="AB38" s="431"/>
      <c r="AC38" s="431"/>
      <c r="AD38" s="430"/>
      <c r="AE38" s="431"/>
      <c r="AF38" s="431"/>
      <c r="AG38" s="431"/>
      <c r="AH38" s="431"/>
      <c r="AI38" s="431"/>
      <c r="AJ38" s="431"/>
      <c r="AK38" s="430"/>
      <c r="AL38" s="431"/>
      <c r="AM38" s="431"/>
      <c r="AN38" s="432"/>
      <c r="AQ38" s="436"/>
      <c r="AR38" s="436"/>
      <c r="AS38" s="436"/>
      <c r="AT38" s="436"/>
      <c r="AU38" s="436"/>
      <c r="AV38" s="436"/>
      <c r="AW38" s="396">
        <f t="shared" si="2"/>
        <v>0</v>
      </c>
      <c r="AX38" s="434">
        <f t="shared" si="8"/>
        <v>0</v>
      </c>
      <c r="BA38" s="437">
        <f t="shared" si="4"/>
        <v>0</v>
      </c>
      <c r="BB38" s="437">
        <f t="shared" si="5"/>
        <v>0</v>
      </c>
      <c r="BC38" s="437">
        <f t="shared" si="6"/>
        <v>0</v>
      </c>
      <c r="BD38" s="437">
        <f t="shared" si="7"/>
        <v>0</v>
      </c>
      <c r="BE38" s="437"/>
    </row>
    <row r="39" spans="1:57" ht="33" customHeight="1" thickBot="1">
      <c r="A39" s="358" t="s">
        <v>75</v>
      </c>
      <c r="B39" s="332" t="s">
        <v>76</v>
      </c>
      <c r="C39" s="359" t="s">
        <v>16</v>
      </c>
      <c r="D39" s="7">
        <v>165.63</v>
      </c>
      <c r="E39" s="353"/>
      <c r="F39" s="22">
        <f t="shared" si="0"/>
        <v>0</v>
      </c>
      <c r="G39" s="329"/>
      <c r="H39" s="330">
        <f t="shared" si="1"/>
        <v>0</v>
      </c>
      <c r="I39" s="430"/>
      <c r="J39" s="430"/>
      <c r="K39" s="431"/>
      <c r="L39" s="431"/>
      <c r="M39" s="431"/>
      <c r="N39" s="431"/>
      <c r="O39" s="431"/>
      <c r="P39" s="430"/>
      <c r="Q39" s="431"/>
      <c r="R39" s="431"/>
      <c r="S39" s="431"/>
      <c r="T39" s="431"/>
      <c r="U39" s="431"/>
      <c r="V39" s="431"/>
      <c r="W39" s="430"/>
      <c r="X39" s="431"/>
      <c r="Y39" s="431"/>
      <c r="Z39" s="431"/>
      <c r="AA39" s="431"/>
      <c r="AB39" s="431"/>
      <c r="AC39" s="431"/>
      <c r="AD39" s="430"/>
      <c r="AE39" s="431"/>
      <c r="AF39" s="431"/>
      <c r="AG39" s="431"/>
      <c r="AH39" s="431"/>
      <c r="AI39" s="431"/>
      <c r="AJ39" s="431"/>
      <c r="AK39" s="430"/>
      <c r="AL39" s="431"/>
      <c r="AM39" s="431"/>
      <c r="AN39" s="432"/>
      <c r="AQ39" s="436"/>
      <c r="AR39" s="436"/>
      <c r="AS39" s="436"/>
      <c r="AT39" s="436"/>
      <c r="AU39" s="436"/>
      <c r="AV39" s="436"/>
      <c r="AW39" s="396">
        <f t="shared" si="2"/>
        <v>0</v>
      </c>
      <c r="AX39" s="434">
        <f t="shared" si="8"/>
        <v>0</v>
      </c>
      <c r="BA39" s="437">
        <f t="shared" si="4"/>
        <v>0</v>
      </c>
      <c r="BB39" s="437">
        <f t="shared" si="5"/>
        <v>0</v>
      </c>
      <c r="BC39" s="437">
        <f t="shared" si="6"/>
        <v>0</v>
      </c>
      <c r="BD39" s="437">
        <f t="shared" si="7"/>
        <v>0</v>
      </c>
      <c r="BE39" s="437"/>
    </row>
    <row r="40" spans="1:57" ht="33" customHeight="1" thickBot="1">
      <c r="A40" s="361" t="s">
        <v>77</v>
      </c>
      <c r="B40" s="6" t="s">
        <v>78</v>
      </c>
      <c r="C40" s="362" t="s">
        <v>35</v>
      </c>
      <c r="D40" s="7">
        <v>2.41</v>
      </c>
      <c r="E40" s="353"/>
      <c r="F40" s="22">
        <f t="shared" si="0"/>
        <v>0</v>
      </c>
      <c r="G40" s="329"/>
      <c r="H40" s="330">
        <f t="shared" si="1"/>
        <v>0</v>
      </c>
      <c r="I40" s="430"/>
      <c r="J40" s="430"/>
      <c r="K40" s="431"/>
      <c r="L40" s="431"/>
      <c r="M40" s="431"/>
      <c r="N40" s="431"/>
      <c r="O40" s="431"/>
      <c r="P40" s="430"/>
      <c r="Q40" s="431"/>
      <c r="R40" s="431"/>
      <c r="S40" s="431"/>
      <c r="T40" s="431"/>
      <c r="U40" s="431"/>
      <c r="V40" s="431"/>
      <c r="W40" s="430"/>
      <c r="X40" s="431"/>
      <c r="Y40" s="431"/>
      <c r="Z40" s="431"/>
      <c r="AA40" s="431"/>
      <c r="AB40" s="431"/>
      <c r="AC40" s="431"/>
      <c r="AD40" s="430"/>
      <c r="AE40" s="431"/>
      <c r="AF40" s="431"/>
      <c r="AG40" s="431"/>
      <c r="AH40" s="431"/>
      <c r="AI40" s="431"/>
      <c r="AJ40" s="431"/>
      <c r="AK40" s="430"/>
      <c r="AL40" s="431"/>
      <c r="AM40" s="431"/>
      <c r="AN40" s="432"/>
      <c r="AQ40" s="436"/>
      <c r="AR40" s="436"/>
      <c r="AS40" s="436"/>
      <c r="AT40" s="436"/>
      <c r="AU40" s="436"/>
      <c r="AV40" s="436"/>
      <c r="AW40" s="396">
        <f t="shared" si="2"/>
        <v>0</v>
      </c>
      <c r="AX40" s="434">
        <f t="shared" si="8"/>
        <v>0</v>
      </c>
      <c r="BA40" s="437">
        <f t="shared" si="4"/>
        <v>0</v>
      </c>
      <c r="BB40" s="437">
        <f t="shared" si="5"/>
        <v>0</v>
      </c>
      <c r="BC40" s="437">
        <f t="shared" si="6"/>
        <v>0</v>
      </c>
      <c r="BD40" s="437">
        <f t="shared" si="7"/>
        <v>0</v>
      </c>
      <c r="BE40" s="437"/>
    </row>
    <row r="41" spans="1:57" ht="33" customHeight="1" thickBot="1">
      <c r="A41" s="361"/>
      <c r="B41" s="6" t="s">
        <v>78</v>
      </c>
      <c r="C41" s="362" t="s">
        <v>35</v>
      </c>
      <c r="D41" s="7">
        <v>0.87100000000000022</v>
      </c>
      <c r="E41" s="353"/>
      <c r="F41" s="22">
        <f t="shared" si="0"/>
        <v>0</v>
      </c>
      <c r="G41" s="329"/>
      <c r="H41" s="330">
        <f t="shared" si="1"/>
        <v>0</v>
      </c>
      <c r="I41" s="430"/>
      <c r="J41" s="430"/>
      <c r="K41" s="431"/>
      <c r="L41" s="431"/>
      <c r="M41" s="431"/>
      <c r="N41" s="431"/>
      <c r="O41" s="431"/>
      <c r="P41" s="430"/>
      <c r="Q41" s="431"/>
      <c r="R41" s="431"/>
      <c r="S41" s="431"/>
      <c r="T41" s="431"/>
      <c r="U41" s="431"/>
      <c r="V41" s="431"/>
      <c r="W41" s="430"/>
      <c r="X41" s="431"/>
      <c r="Y41" s="431"/>
      <c r="Z41" s="431"/>
      <c r="AA41" s="431"/>
      <c r="AB41" s="431"/>
      <c r="AC41" s="431"/>
      <c r="AD41" s="430"/>
      <c r="AE41" s="431"/>
      <c r="AF41" s="431"/>
      <c r="AG41" s="431"/>
      <c r="AH41" s="431"/>
      <c r="AI41" s="431"/>
      <c r="AJ41" s="431"/>
      <c r="AK41" s="430"/>
      <c r="AL41" s="431"/>
      <c r="AM41" s="431"/>
      <c r="AN41" s="432"/>
      <c r="AQ41" s="436"/>
      <c r="AR41" s="436"/>
      <c r="AS41" s="436"/>
      <c r="AT41" s="436"/>
      <c r="AU41" s="436"/>
      <c r="AV41" s="436"/>
      <c r="AW41" s="396">
        <f t="shared" si="2"/>
        <v>0</v>
      </c>
      <c r="AX41" s="434">
        <f t="shared" si="8"/>
        <v>0</v>
      </c>
      <c r="BA41" s="437">
        <f t="shared" si="4"/>
        <v>0</v>
      </c>
      <c r="BB41" s="437">
        <f t="shared" si="5"/>
        <v>0</v>
      </c>
      <c r="BC41" s="437">
        <f t="shared" si="6"/>
        <v>0</v>
      </c>
      <c r="BD41" s="437">
        <f t="shared" si="7"/>
        <v>0</v>
      </c>
      <c r="BE41" s="437"/>
    </row>
    <row r="42" spans="1:57" ht="33" customHeight="1" thickBot="1">
      <c r="A42" s="361" t="s">
        <v>79</v>
      </c>
      <c r="B42" s="6" t="s">
        <v>80</v>
      </c>
      <c r="C42" s="362" t="s">
        <v>35</v>
      </c>
      <c r="D42" s="7"/>
      <c r="E42" s="353"/>
      <c r="F42" s="22">
        <f t="shared" si="0"/>
        <v>0</v>
      </c>
      <c r="G42" s="329"/>
      <c r="H42" s="330">
        <f t="shared" si="1"/>
        <v>0</v>
      </c>
      <c r="I42" s="430"/>
      <c r="J42" s="430"/>
      <c r="K42" s="431"/>
      <c r="L42" s="431"/>
      <c r="M42" s="431"/>
      <c r="N42" s="431"/>
      <c r="O42" s="431"/>
      <c r="P42" s="430"/>
      <c r="Q42" s="431"/>
      <c r="R42" s="431"/>
      <c r="S42" s="431"/>
      <c r="T42" s="431"/>
      <c r="U42" s="431"/>
      <c r="V42" s="431"/>
      <c r="W42" s="430"/>
      <c r="X42" s="431"/>
      <c r="Y42" s="431"/>
      <c r="Z42" s="431"/>
      <c r="AA42" s="431"/>
      <c r="AB42" s="431"/>
      <c r="AC42" s="431"/>
      <c r="AD42" s="430"/>
      <c r="AE42" s="431"/>
      <c r="AF42" s="431"/>
      <c r="AG42" s="431"/>
      <c r="AH42" s="431"/>
      <c r="AI42" s="431"/>
      <c r="AJ42" s="431"/>
      <c r="AK42" s="430"/>
      <c r="AL42" s="431"/>
      <c r="AM42" s="431"/>
      <c r="AN42" s="432"/>
      <c r="AQ42" s="436"/>
      <c r="AR42" s="436"/>
      <c r="AS42" s="436"/>
      <c r="AT42" s="436"/>
      <c r="AU42" s="436"/>
      <c r="AV42" s="436"/>
      <c r="AW42" s="396">
        <f t="shared" si="2"/>
        <v>0</v>
      </c>
      <c r="AX42" s="434">
        <f t="shared" si="8"/>
        <v>0</v>
      </c>
      <c r="BA42" s="437">
        <f t="shared" si="4"/>
        <v>0</v>
      </c>
      <c r="BB42" s="437">
        <f t="shared" si="5"/>
        <v>0</v>
      </c>
      <c r="BC42" s="437">
        <f t="shared" si="6"/>
        <v>0</v>
      </c>
      <c r="BD42" s="437">
        <f t="shared" si="7"/>
        <v>0</v>
      </c>
      <c r="BE42" s="437"/>
    </row>
    <row r="43" spans="1:57" ht="33" customHeight="1" thickBot="1">
      <c r="A43" s="361" t="s">
        <v>873</v>
      </c>
      <c r="B43" s="6" t="s">
        <v>81</v>
      </c>
      <c r="C43" s="362" t="s">
        <v>35</v>
      </c>
      <c r="D43" s="7">
        <v>0</v>
      </c>
      <c r="E43" s="353"/>
      <c r="F43" s="22">
        <f t="shared" si="0"/>
        <v>0</v>
      </c>
      <c r="G43" s="329"/>
      <c r="H43" s="330">
        <f t="shared" si="1"/>
        <v>0</v>
      </c>
      <c r="I43" s="430"/>
      <c r="J43" s="430"/>
      <c r="K43" s="431"/>
      <c r="L43" s="431"/>
      <c r="M43" s="431"/>
      <c r="N43" s="431"/>
      <c r="O43" s="431"/>
      <c r="P43" s="430"/>
      <c r="Q43" s="431"/>
      <c r="R43" s="431"/>
      <c r="S43" s="431"/>
      <c r="T43" s="431"/>
      <c r="U43" s="431"/>
      <c r="V43" s="431"/>
      <c r="W43" s="430"/>
      <c r="X43" s="431"/>
      <c r="Y43" s="431"/>
      <c r="Z43" s="431"/>
      <c r="AA43" s="431"/>
      <c r="AB43" s="431"/>
      <c r="AC43" s="431"/>
      <c r="AD43" s="430"/>
      <c r="AE43" s="431"/>
      <c r="AF43" s="431"/>
      <c r="AG43" s="431"/>
      <c r="AH43" s="431"/>
      <c r="AI43" s="431"/>
      <c r="AJ43" s="431"/>
      <c r="AK43" s="430"/>
      <c r="AL43" s="431"/>
      <c r="AM43" s="431"/>
      <c r="AN43" s="432"/>
      <c r="AQ43" s="436"/>
      <c r="AR43" s="436"/>
      <c r="AS43" s="436"/>
      <c r="AT43" s="436"/>
      <c r="AU43" s="436"/>
      <c r="AV43" s="436"/>
      <c r="AW43" s="396">
        <f t="shared" si="2"/>
        <v>0</v>
      </c>
      <c r="AX43" s="434">
        <f t="shared" si="8"/>
        <v>0</v>
      </c>
      <c r="BA43" s="437">
        <f t="shared" si="4"/>
        <v>0</v>
      </c>
      <c r="BB43" s="437">
        <f t="shared" si="5"/>
        <v>0</v>
      </c>
      <c r="BC43" s="437">
        <f t="shared" si="6"/>
        <v>0</v>
      </c>
      <c r="BD43" s="437">
        <f t="shared" si="7"/>
        <v>0</v>
      </c>
      <c r="BE43" s="437"/>
    </row>
    <row r="44" spans="1:57" ht="33" customHeight="1" thickBot="1">
      <c r="A44" s="361" t="s">
        <v>82</v>
      </c>
      <c r="B44" s="23" t="s">
        <v>83</v>
      </c>
      <c r="C44" s="362" t="s">
        <v>35</v>
      </c>
      <c r="D44" s="7">
        <v>1.5389999999999999</v>
      </c>
      <c r="E44" s="353"/>
      <c r="F44" s="22">
        <f t="shared" si="0"/>
        <v>0</v>
      </c>
      <c r="G44" s="329"/>
      <c r="H44" s="330">
        <f t="shared" si="1"/>
        <v>0</v>
      </c>
      <c r="I44" s="430"/>
      <c r="J44" s="430"/>
      <c r="K44" s="431"/>
      <c r="L44" s="431"/>
      <c r="M44" s="431"/>
      <c r="N44" s="431"/>
      <c r="O44" s="431"/>
      <c r="P44" s="430"/>
      <c r="Q44" s="431"/>
      <c r="R44" s="431"/>
      <c r="S44" s="431"/>
      <c r="T44" s="431"/>
      <c r="U44" s="431"/>
      <c r="V44" s="431"/>
      <c r="W44" s="430"/>
      <c r="X44" s="431"/>
      <c r="Y44" s="431"/>
      <c r="Z44" s="431"/>
      <c r="AA44" s="431"/>
      <c r="AB44" s="431"/>
      <c r="AC44" s="431"/>
      <c r="AD44" s="430"/>
      <c r="AE44" s="431"/>
      <c r="AF44" s="431"/>
      <c r="AG44" s="431"/>
      <c r="AH44" s="431"/>
      <c r="AI44" s="431"/>
      <c r="AJ44" s="431"/>
      <c r="AK44" s="430"/>
      <c r="AL44" s="431"/>
      <c r="AM44" s="431"/>
      <c r="AN44" s="432"/>
      <c r="AQ44" s="436"/>
      <c r="AR44" s="436"/>
      <c r="AS44" s="436"/>
      <c r="AT44" s="436"/>
      <c r="AU44" s="436"/>
      <c r="AV44" s="436"/>
      <c r="AW44" s="396">
        <f t="shared" si="2"/>
        <v>0</v>
      </c>
      <c r="AX44" s="434">
        <f t="shared" si="8"/>
        <v>0</v>
      </c>
      <c r="BA44" s="437">
        <f t="shared" si="4"/>
        <v>0</v>
      </c>
      <c r="BB44" s="437">
        <f t="shared" si="5"/>
        <v>0</v>
      </c>
      <c r="BC44" s="437">
        <f t="shared" si="6"/>
        <v>0</v>
      </c>
      <c r="BD44" s="437">
        <f t="shared" si="7"/>
        <v>0</v>
      </c>
      <c r="BE44" s="437"/>
    </row>
    <row r="45" spans="1:57" ht="33" customHeight="1" thickBot="1">
      <c r="A45" s="358" t="s">
        <v>84</v>
      </c>
      <c r="B45" s="169" t="s">
        <v>85</v>
      </c>
      <c r="C45" s="360" t="s">
        <v>86</v>
      </c>
      <c r="D45" s="7">
        <v>0.78</v>
      </c>
      <c r="E45" s="353"/>
      <c r="F45" s="22">
        <f t="shared" si="0"/>
        <v>0</v>
      </c>
      <c r="G45" s="329"/>
      <c r="H45" s="330">
        <f t="shared" si="1"/>
        <v>0</v>
      </c>
      <c r="I45" s="430"/>
      <c r="J45" s="430"/>
      <c r="K45" s="431"/>
      <c r="L45" s="431"/>
      <c r="M45" s="431"/>
      <c r="N45" s="431"/>
      <c r="O45" s="431"/>
      <c r="P45" s="430"/>
      <c r="Q45" s="431"/>
      <c r="R45" s="431"/>
      <c r="S45" s="431"/>
      <c r="T45" s="431"/>
      <c r="U45" s="431"/>
      <c r="V45" s="431"/>
      <c r="W45" s="430"/>
      <c r="X45" s="431"/>
      <c r="Y45" s="431"/>
      <c r="Z45" s="431"/>
      <c r="AA45" s="431"/>
      <c r="AB45" s="431"/>
      <c r="AC45" s="431"/>
      <c r="AD45" s="430"/>
      <c r="AE45" s="431"/>
      <c r="AF45" s="431"/>
      <c r="AG45" s="431"/>
      <c r="AH45" s="431"/>
      <c r="AI45" s="431"/>
      <c r="AJ45" s="431"/>
      <c r="AK45" s="430"/>
      <c r="AL45" s="431"/>
      <c r="AM45" s="431"/>
      <c r="AN45" s="432"/>
      <c r="AQ45" s="436"/>
      <c r="AR45" s="436"/>
      <c r="AS45" s="436"/>
      <c r="AT45" s="436"/>
      <c r="AU45" s="436"/>
      <c r="AV45" s="436"/>
      <c r="AW45" s="396">
        <f t="shared" si="2"/>
        <v>0</v>
      </c>
      <c r="AX45" s="434">
        <f t="shared" si="8"/>
        <v>0</v>
      </c>
      <c r="BA45" s="437">
        <f t="shared" si="4"/>
        <v>0</v>
      </c>
      <c r="BB45" s="437">
        <f t="shared" si="5"/>
        <v>0</v>
      </c>
      <c r="BC45" s="437">
        <f t="shared" si="6"/>
        <v>0</v>
      </c>
      <c r="BD45" s="437">
        <f t="shared" si="7"/>
        <v>0</v>
      </c>
      <c r="BE45" s="437"/>
    </row>
    <row r="46" spans="1:57" ht="33" customHeight="1" thickBot="1">
      <c r="A46" s="361" t="s">
        <v>87</v>
      </c>
      <c r="B46" s="23" t="s">
        <v>868</v>
      </c>
      <c r="C46" s="363" t="s">
        <v>35</v>
      </c>
      <c r="D46" s="7">
        <v>2.125</v>
      </c>
      <c r="E46" s="353"/>
      <c r="F46" s="22">
        <f t="shared" si="0"/>
        <v>0</v>
      </c>
      <c r="G46" s="329"/>
      <c r="H46" s="330">
        <f t="shared" si="1"/>
        <v>0</v>
      </c>
      <c r="I46" s="430"/>
      <c r="J46" s="430"/>
      <c r="K46" s="431"/>
      <c r="L46" s="431"/>
      <c r="M46" s="431"/>
      <c r="N46" s="431"/>
      <c r="O46" s="431"/>
      <c r="P46" s="430"/>
      <c r="Q46" s="431"/>
      <c r="R46" s="431"/>
      <c r="S46" s="431"/>
      <c r="T46" s="431"/>
      <c r="U46" s="431"/>
      <c r="V46" s="431"/>
      <c r="W46" s="430"/>
      <c r="X46" s="431"/>
      <c r="Y46" s="431"/>
      <c r="Z46" s="431"/>
      <c r="AA46" s="431"/>
      <c r="AB46" s="431"/>
      <c r="AC46" s="431"/>
      <c r="AD46" s="430"/>
      <c r="AE46" s="431"/>
      <c r="AF46" s="431"/>
      <c r="AG46" s="431"/>
      <c r="AH46" s="431"/>
      <c r="AI46" s="431"/>
      <c r="AJ46" s="431"/>
      <c r="AK46" s="430"/>
      <c r="AL46" s="431"/>
      <c r="AM46" s="431"/>
      <c r="AN46" s="432"/>
      <c r="AQ46" s="436"/>
      <c r="AR46" s="436"/>
      <c r="AS46" s="436"/>
      <c r="AT46" s="436"/>
      <c r="AU46" s="436"/>
      <c r="AV46" s="436"/>
      <c r="AW46" s="396">
        <f t="shared" si="2"/>
        <v>0</v>
      </c>
      <c r="AX46" s="434">
        <f t="shared" si="8"/>
        <v>0</v>
      </c>
      <c r="BA46" s="437">
        <f t="shared" si="4"/>
        <v>0</v>
      </c>
      <c r="BB46" s="437">
        <f t="shared" si="5"/>
        <v>0</v>
      </c>
      <c r="BC46" s="437">
        <f t="shared" si="6"/>
        <v>0</v>
      </c>
      <c r="BD46" s="437">
        <f t="shared" si="7"/>
        <v>0</v>
      </c>
      <c r="BE46" s="437"/>
    </row>
    <row r="47" spans="1:57" ht="33" customHeight="1" thickBot="1">
      <c r="A47" s="361"/>
      <c r="B47" s="23" t="s">
        <v>790</v>
      </c>
      <c r="C47" s="363" t="s">
        <v>35</v>
      </c>
      <c r="D47" s="7">
        <v>2.125</v>
      </c>
      <c r="E47" s="353"/>
      <c r="F47" s="22">
        <f t="shared" si="0"/>
        <v>0</v>
      </c>
      <c r="G47" s="329"/>
      <c r="H47" s="330">
        <f t="shared" si="1"/>
        <v>0</v>
      </c>
      <c r="I47" s="430"/>
      <c r="J47" s="430"/>
      <c r="K47" s="431"/>
      <c r="L47" s="431"/>
      <c r="M47" s="431"/>
      <c r="N47" s="431"/>
      <c r="O47" s="431"/>
      <c r="P47" s="430"/>
      <c r="Q47" s="431"/>
      <c r="R47" s="431"/>
      <c r="S47" s="431"/>
      <c r="T47" s="431"/>
      <c r="U47" s="431"/>
      <c r="V47" s="431"/>
      <c r="W47" s="430"/>
      <c r="X47" s="431"/>
      <c r="Y47" s="431"/>
      <c r="Z47" s="431"/>
      <c r="AA47" s="431"/>
      <c r="AB47" s="431"/>
      <c r="AC47" s="431"/>
      <c r="AD47" s="430"/>
      <c r="AE47" s="431"/>
      <c r="AF47" s="431"/>
      <c r="AG47" s="431"/>
      <c r="AH47" s="431"/>
      <c r="AI47" s="431"/>
      <c r="AJ47" s="431"/>
      <c r="AK47" s="430"/>
      <c r="AL47" s="431"/>
      <c r="AM47" s="431"/>
      <c r="AN47" s="432"/>
      <c r="AQ47" s="436"/>
      <c r="AR47" s="436"/>
      <c r="AS47" s="436"/>
      <c r="AT47" s="436"/>
      <c r="AU47" s="436"/>
      <c r="AV47" s="436"/>
      <c r="AW47" s="396">
        <f t="shared" si="2"/>
        <v>0</v>
      </c>
      <c r="AX47" s="434">
        <f t="shared" si="8"/>
        <v>0</v>
      </c>
      <c r="BA47" s="437">
        <f t="shared" si="4"/>
        <v>0</v>
      </c>
      <c r="BB47" s="437">
        <f t="shared" si="5"/>
        <v>0</v>
      </c>
      <c r="BC47" s="437">
        <f t="shared" si="6"/>
        <v>0</v>
      </c>
      <c r="BD47" s="437">
        <f t="shared" si="7"/>
        <v>0</v>
      </c>
      <c r="BE47" s="437"/>
    </row>
    <row r="48" spans="1:57" ht="33" customHeight="1" thickBot="1">
      <c r="A48" s="358" t="s">
        <v>88</v>
      </c>
      <c r="B48" s="169" t="s">
        <v>89</v>
      </c>
      <c r="C48" s="359" t="s">
        <v>35</v>
      </c>
      <c r="D48" s="7">
        <v>5.63</v>
      </c>
      <c r="E48" s="353"/>
      <c r="F48" s="22">
        <f t="shared" si="0"/>
        <v>0</v>
      </c>
      <c r="G48" s="329"/>
      <c r="H48" s="330">
        <f t="shared" si="1"/>
        <v>0</v>
      </c>
      <c r="I48" s="430"/>
      <c r="J48" s="430"/>
      <c r="K48" s="431"/>
      <c r="L48" s="431"/>
      <c r="M48" s="431"/>
      <c r="N48" s="431"/>
      <c r="O48" s="431"/>
      <c r="P48" s="430"/>
      <c r="Q48" s="431"/>
      <c r="R48" s="431"/>
      <c r="S48" s="431"/>
      <c r="T48" s="431"/>
      <c r="U48" s="431"/>
      <c r="V48" s="431"/>
      <c r="W48" s="430"/>
      <c r="X48" s="431"/>
      <c r="Y48" s="431"/>
      <c r="Z48" s="431"/>
      <c r="AA48" s="431"/>
      <c r="AB48" s="431"/>
      <c r="AC48" s="431"/>
      <c r="AD48" s="430"/>
      <c r="AE48" s="431"/>
      <c r="AF48" s="431"/>
      <c r="AG48" s="431"/>
      <c r="AH48" s="431"/>
      <c r="AI48" s="431"/>
      <c r="AJ48" s="431"/>
      <c r="AK48" s="430"/>
      <c r="AL48" s="431"/>
      <c r="AM48" s="431"/>
      <c r="AN48" s="432"/>
      <c r="AQ48" s="436"/>
      <c r="AR48" s="436"/>
      <c r="AS48" s="436"/>
      <c r="AT48" s="436"/>
      <c r="AU48" s="436"/>
      <c r="AV48" s="436"/>
      <c r="AW48" s="396">
        <f t="shared" si="2"/>
        <v>0</v>
      </c>
      <c r="AX48" s="434">
        <f t="shared" si="8"/>
        <v>0</v>
      </c>
      <c r="BA48" s="437">
        <f t="shared" si="4"/>
        <v>0</v>
      </c>
      <c r="BB48" s="437">
        <f t="shared" si="5"/>
        <v>0</v>
      </c>
      <c r="BC48" s="437">
        <f t="shared" si="6"/>
        <v>0</v>
      </c>
      <c r="BD48" s="437">
        <f t="shared" si="7"/>
        <v>0</v>
      </c>
      <c r="BE48" s="437"/>
    </row>
    <row r="49" spans="1:57" ht="33" customHeight="1" thickBot="1">
      <c r="A49" s="358" t="s">
        <v>90</v>
      </c>
      <c r="B49" s="169" t="s">
        <v>91</v>
      </c>
      <c r="C49" s="360" t="s">
        <v>35</v>
      </c>
      <c r="D49" s="7">
        <v>8.16</v>
      </c>
      <c r="E49" s="353"/>
      <c r="F49" s="22">
        <f t="shared" si="0"/>
        <v>0</v>
      </c>
      <c r="G49" s="329"/>
      <c r="H49" s="330">
        <f t="shared" si="1"/>
        <v>0</v>
      </c>
      <c r="I49" s="430"/>
      <c r="J49" s="430"/>
      <c r="K49" s="431"/>
      <c r="L49" s="431"/>
      <c r="M49" s="431"/>
      <c r="N49" s="431"/>
      <c r="O49" s="431"/>
      <c r="P49" s="430"/>
      <c r="Q49" s="431"/>
      <c r="R49" s="431"/>
      <c r="S49" s="431"/>
      <c r="T49" s="431"/>
      <c r="U49" s="431"/>
      <c r="V49" s="431"/>
      <c r="W49" s="430"/>
      <c r="X49" s="431"/>
      <c r="Y49" s="431"/>
      <c r="Z49" s="431"/>
      <c r="AA49" s="431"/>
      <c r="AB49" s="431"/>
      <c r="AC49" s="431"/>
      <c r="AD49" s="430"/>
      <c r="AE49" s="431"/>
      <c r="AF49" s="431"/>
      <c r="AG49" s="431"/>
      <c r="AH49" s="431"/>
      <c r="AI49" s="431"/>
      <c r="AJ49" s="431"/>
      <c r="AK49" s="430"/>
      <c r="AL49" s="431"/>
      <c r="AM49" s="431"/>
      <c r="AN49" s="432"/>
      <c r="AQ49" s="436"/>
      <c r="AR49" s="436"/>
      <c r="AS49" s="436"/>
      <c r="AT49" s="436"/>
      <c r="AU49" s="436"/>
      <c r="AV49" s="436"/>
      <c r="AW49" s="396">
        <f t="shared" si="2"/>
        <v>0</v>
      </c>
      <c r="AX49" s="434">
        <f t="shared" si="8"/>
        <v>0</v>
      </c>
      <c r="BA49" s="437">
        <f t="shared" si="4"/>
        <v>0</v>
      </c>
      <c r="BB49" s="437">
        <f t="shared" si="5"/>
        <v>0</v>
      </c>
      <c r="BC49" s="437">
        <f t="shared" si="6"/>
        <v>0</v>
      </c>
      <c r="BD49" s="437">
        <f t="shared" si="7"/>
        <v>0</v>
      </c>
      <c r="BE49" s="437"/>
    </row>
    <row r="50" spans="1:57" ht="33" customHeight="1" thickBot="1">
      <c r="A50" s="358" t="s">
        <v>92</v>
      </c>
      <c r="B50" s="169" t="s">
        <v>93</v>
      </c>
      <c r="C50" s="359" t="s">
        <v>35</v>
      </c>
      <c r="D50" s="7">
        <v>8.56</v>
      </c>
      <c r="E50" s="353"/>
      <c r="F50" s="22">
        <f t="shared" si="0"/>
        <v>0</v>
      </c>
      <c r="G50" s="329"/>
      <c r="H50" s="330">
        <f t="shared" si="1"/>
        <v>0</v>
      </c>
      <c r="I50" s="430"/>
      <c r="J50" s="430"/>
      <c r="K50" s="431"/>
      <c r="L50" s="431"/>
      <c r="M50" s="431"/>
      <c r="N50" s="431"/>
      <c r="O50" s="431"/>
      <c r="P50" s="430"/>
      <c r="Q50" s="431"/>
      <c r="R50" s="431"/>
      <c r="S50" s="431"/>
      <c r="T50" s="431"/>
      <c r="U50" s="431"/>
      <c r="V50" s="431"/>
      <c r="W50" s="430"/>
      <c r="X50" s="431"/>
      <c r="Y50" s="431"/>
      <c r="Z50" s="431"/>
      <c r="AA50" s="431"/>
      <c r="AB50" s="431"/>
      <c r="AC50" s="431"/>
      <c r="AD50" s="430"/>
      <c r="AE50" s="431"/>
      <c r="AF50" s="431"/>
      <c r="AG50" s="431"/>
      <c r="AH50" s="431"/>
      <c r="AI50" s="431"/>
      <c r="AJ50" s="431"/>
      <c r="AK50" s="430"/>
      <c r="AL50" s="431"/>
      <c r="AM50" s="431"/>
      <c r="AN50" s="432"/>
      <c r="AQ50" s="436"/>
      <c r="AR50" s="436"/>
      <c r="AS50" s="436"/>
      <c r="AT50" s="436"/>
      <c r="AU50" s="436"/>
      <c r="AV50" s="436"/>
      <c r="AW50" s="396">
        <f t="shared" si="2"/>
        <v>0</v>
      </c>
      <c r="AX50" s="434">
        <f t="shared" si="8"/>
        <v>0</v>
      </c>
      <c r="BA50" s="437">
        <f t="shared" si="4"/>
        <v>0</v>
      </c>
      <c r="BB50" s="437">
        <f t="shared" si="5"/>
        <v>0</v>
      </c>
      <c r="BC50" s="437">
        <f t="shared" si="6"/>
        <v>0</v>
      </c>
      <c r="BD50" s="437">
        <f t="shared" si="7"/>
        <v>0</v>
      </c>
      <c r="BE50" s="437"/>
    </row>
    <row r="51" spans="1:57" ht="33" customHeight="1" thickBot="1">
      <c r="A51" s="358" t="s">
        <v>94</v>
      </c>
      <c r="B51" s="169" t="s">
        <v>95</v>
      </c>
      <c r="C51" s="360" t="s">
        <v>35</v>
      </c>
      <c r="D51" s="7">
        <v>6.55</v>
      </c>
      <c r="E51" s="353"/>
      <c r="F51" s="22">
        <f t="shared" si="0"/>
        <v>0</v>
      </c>
      <c r="G51" s="329"/>
      <c r="H51" s="330">
        <f t="shared" si="1"/>
        <v>0</v>
      </c>
      <c r="I51" s="430"/>
      <c r="J51" s="430"/>
      <c r="K51" s="431"/>
      <c r="L51" s="431"/>
      <c r="M51" s="431"/>
      <c r="N51" s="431"/>
      <c r="O51" s="431"/>
      <c r="P51" s="430"/>
      <c r="Q51" s="431"/>
      <c r="R51" s="431"/>
      <c r="S51" s="431"/>
      <c r="T51" s="431"/>
      <c r="U51" s="431"/>
      <c r="V51" s="431"/>
      <c r="W51" s="430"/>
      <c r="X51" s="431"/>
      <c r="Y51" s="431"/>
      <c r="Z51" s="431"/>
      <c r="AA51" s="431"/>
      <c r="AB51" s="431"/>
      <c r="AC51" s="431"/>
      <c r="AD51" s="430"/>
      <c r="AE51" s="431"/>
      <c r="AF51" s="431"/>
      <c r="AG51" s="431"/>
      <c r="AH51" s="431"/>
      <c r="AI51" s="431"/>
      <c r="AJ51" s="431"/>
      <c r="AK51" s="430"/>
      <c r="AL51" s="431"/>
      <c r="AM51" s="431"/>
      <c r="AN51" s="432"/>
      <c r="AQ51" s="436"/>
      <c r="AR51" s="436"/>
      <c r="AS51" s="436"/>
      <c r="AT51" s="436"/>
      <c r="AU51" s="436"/>
      <c r="AV51" s="436"/>
      <c r="AW51" s="396">
        <f t="shared" si="2"/>
        <v>0</v>
      </c>
      <c r="AX51" s="434">
        <f t="shared" si="8"/>
        <v>0</v>
      </c>
      <c r="BA51" s="437">
        <f t="shared" si="4"/>
        <v>0</v>
      </c>
      <c r="BB51" s="437">
        <f t="shared" si="5"/>
        <v>0</v>
      </c>
      <c r="BC51" s="437">
        <f t="shared" si="6"/>
        <v>0</v>
      </c>
      <c r="BD51" s="437">
        <f t="shared" si="7"/>
        <v>0</v>
      </c>
      <c r="BE51" s="437"/>
    </row>
    <row r="52" spans="1:57" ht="33" customHeight="1" thickBot="1">
      <c r="A52" s="358" t="s">
        <v>96</v>
      </c>
      <c r="B52" s="169" t="s">
        <v>97</v>
      </c>
      <c r="C52" s="359" t="s">
        <v>35</v>
      </c>
      <c r="D52" s="7">
        <v>8.1</v>
      </c>
      <c r="E52" s="353"/>
      <c r="F52" s="22">
        <f t="shared" si="0"/>
        <v>0</v>
      </c>
      <c r="G52" s="329"/>
      <c r="H52" s="330">
        <f t="shared" si="1"/>
        <v>0</v>
      </c>
      <c r="I52" s="430"/>
      <c r="J52" s="430"/>
      <c r="K52" s="431"/>
      <c r="L52" s="431"/>
      <c r="M52" s="431"/>
      <c r="N52" s="431"/>
      <c r="O52" s="431"/>
      <c r="P52" s="430"/>
      <c r="Q52" s="431"/>
      <c r="R52" s="431"/>
      <c r="S52" s="431"/>
      <c r="T52" s="431"/>
      <c r="U52" s="431"/>
      <c r="V52" s="431"/>
      <c r="W52" s="430"/>
      <c r="X52" s="431"/>
      <c r="Y52" s="431"/>
      <c r="Z52" s="431"/>
      <c r="AA52" s="431"/>
      <c r="AB52" s="431"/>
      <c r="AC52" s="431"/>
      <c r="AD52" s="430"/>
      <c r="AE52" s="431"/>
      <c r="AF52" s="431"/>
      <c r="AG52" s="431"/>
      <c r="AH52" s="431"/>
      <c r="AI52" s="431"/>
      <c r="AJ52" s="431"/>
      <c r="AK52" s="430"/>
      <c r="AL52" s="431"/>
      <c r="AM52" s="431"/>
      <c r="AN52" s="432"/>
      <c r="AQ52" s="436"/>
      <c r="AR52" s="436"/>
      <c r="AS52" s="436"/>
      <c r="AT52" s="436"/>
      <c r="AU52" s="436"/>
      <c r="AV52" s="436"/>
      <c r="AW52" s="396">
        <f t="shared" si="2"/>
        <v>0</v>
      </c>
      <c r="AX52" s="434">
        <f t="shared" si="8"/>
        <v>0</v>
      </c>
      <c r="BA52" s="437">
        <f t="shared" si="4"/>
        <v>0</v>
      </c>
      <c r="BB52" s="437">
        <f t="shared" si="5"/>
        <v>0</v>
      </c>
      <c r="BC52" s="437">
        <f t="shared" si="6"/>
        <v>0</v>
      </c>
      <c r="BD52" s="437">
        <f t="shared" si="7"/>
        <v>0</v>
      </c>
      <c r="BE52" s="437"/>
    </row>
    <row r="53" spans="1:57" ht="33" customHeight="1" thickBot="1">
      <c r="A53" s="361" t="s">
        <v>98</v>
      </c>
      <c r="B53" s="6" t="s">
        <v>99</v>
      </c>
      <c r="C53" s="363" t="s">
        <v>35</v>
      </c>
      <c r="D53" s="7"/>
      <c r="E53" s="353"/>
      <c r="F53" s="22">
        <f t="shared" si="0"/>
        <v>0</v>
      </c>
      <c r="G53" s="329"/>
      <c r="H53" s="330">
        <f t="shared" si="1"/>
        <v>0</v>
      </c>
      <c r="I53" s="430"/>
      <c r="J53" s="430"/>
      <c r="K53" s="431"/>
      <c r="L53" s="431"/>
      <c r="M53" s="431"/>
      <c r="N53" s="431"/>
      <c r="O53" s="431"/>
      <c r="P53" s="430"/>
      <c r="Q53" s="431"/>
      <c r="R53" s="431"/>
      <c r="S53" s="431"/>
      <c r="T53" s="431"/>
      <c r="U53" s="431"/>
      <c r="V53" s="431"/>
      <c r="W53" s="430"/>
      <c r="X53" s="431"/>
      <c r="Y53" s="431"/>
      <c r="Z53" s="431"/>
      <c r="AA53" s="431"/>
      <c r="AB53" s="431"/>
      <c r="AC53" s="431"/>
      <c r="AD53" s="430"/>
      <c r="AE53" s="431"/>
      <c r="AF53" s="431"/>
      <c r="AG53" s="431"/>
      <c r="AH53" s="431"/>
      <c r="AI53" s="431"/>
      <c r="AJ53" s="431"/>
      <c r="AK53" s="430"/>
      <c r="AL53" s="431"/>
      <c r="AM53" s="431"/>
      <c r="AN53" s="432"/>
      <c r="AQ53" s="436"/>
      <c r="AR53" s="436"/>
      <c r="AS53" s="436"/>
      <c r="AT53" s="436"/>
      <c r="AU53" s="436"/>
      <c r="AV53" s="436"/>
      <c r="AW53" s="396">
        <f t="shared" si="2"/>
        <v>0</v>
      </c>
      <c r="AX53" s="434">
        <f t="shared" si="8"/>
        <v>0</v>
      </c>
      <c r="BA53" s="437">
        <f t="shared" si="4"/>
        <v>0</v>
      </c>
      <c r="BB53" s="437">
        <f t="shared" si="5"/>
        <v>0</v>
      </c>
      <c r="BC53" s="437">
        <f t="shared" si="6"/>
        <v>0</v>
      </c>
      <c r="BD53" s="437">
        <f t="shared" si="7"/>
        <v>0</v>
      </c>
      <c r="BE53" s="437"/>
    </row>
    <row r="54" spans="1:57" ht="33" customHeight="1" thickBot="1">
      <c r="A54" s="361"/>
      <c r="B54" s="6" t="s">
        <v>100</v>
      </c>
      <c r="C54" s="363" t="s">
        <v>35</v>
      </c>
      <c r="D54" s="7"/>
      <c r="E54" s="353"/>
      <c r="F54" s="22">
        <f t="shared" si="0"/>
        <v>0</v>
      </c>
      <c r="G54" s="329"/>
      <c r="H54" s="330">
        <f t="shared" si="1"/>
        <v>0</v>
      </c>
      <c r="I54" s="430"/>
      <c r="J54" s="430"/>
      <c r="K54" s="431"/>
      <c r="L54" s="431"/>
      <c r="M54" s="431"/>
      <c r="N54" s="431"/>
      <c r="O54" s="431"/>
      <c r="P54" s="430"/>
      <c r="Q54" s="431"/>
      <c r="R54" s="431"/>
      <c r="S54" s="431"/>
      <c r="T54" s="431"/>
      <c r="U54" s="431"/>
      <c r="V54" s="431"/>
      <c r="W54" s="430"/>
      <c r="X54" s="431"/>
      <c r="Y54" s="431"/>
      <c r="Z54" s="431"/>
      <c r="AA54" s="431"/>
      <c r="AB54" s="431"/>
      <c r="AC54" s="431"/>
      <c r="AD54" s="430"/>
      <c r="AE54" s="431"/>
      <c r="AF54" s="431"/>
      <c r="AG54" s="431"/>
      <c r="AH54" s="431"/>
      <c r="AI54" s="431"/>
      <c r="AJ54" s="431"/>
      <c r="AK54" s="430"/>
      <c r="AL54" s="431"/>
      <c r="AM54" s="431"/>
      <c r="AN54" s="432"/>
      <c r="AO54" s="438"/>
      <c r="AQ54" s="436"/>
      <c r="AR54" s="436"/>
      <c r="AS54" s="436"/>
      <c r="AT54" s="436"/>
      <c r="AU54" s="436"/>
      <c r="AV54" s="436"/>
      <c r="AW54" s="396">
        <f t="shared" si="2"/>
        <v>0</v>
      </c>
      <c r="AX54" s="434">
        <f t="shared" si="8"/>
        <v>0</v>
      </c>
      <c r="BA54" s="437">
        <f t="shared" si="4"/>
        <v>0</v>
      </c>
      <c r="BB54" s="437">
        <f t="shared" si="5"/>
        <v>0</v>
      </c>
      <c r="BC54" s="437">
        <f t="shared" si="6"/>
        <v>0</v>
      </c>
      <c r="BD54" s="437">
        <f t="shared" si="7"/>
        <v>0</v>
      </c>
      <c r="BE54" s="437"/>
    </row>
    <row r="55" spans="1:57" ht="33" customHeight="1" thickBot="1">
      <c r="A55" s="361" t="s">
        <v>101</v>
      </c>
      <c r="B55" s="6" t="s">
        <v>102</v>
      </c>
      <c r="C55" s="363" t="s">
        <v>35</v>
      </c>
      <c r="D55" s="7">
        <v>2.3199999999999998</v>
      </c>
      <c r="E55" s="353"/>
      <c r="F55" s="22">
        <f t="shared" si="0"/>
        <v>0</v>
      </c>
      <c r="G55" s="329"/>
      <c r="H55" s="330">
        <f t="shared" si="1"/>
        <v>0</v>
      </c>
      <c r="I55" s="430"/>
      <c r="J55" s="430"/>
      <c r="K55" s="431"/>
      <c r="L55" s="431"/>
      <c r="M55" s="431"/>
      <c r="N55" s="431"/>
      <c r="O55" s="431"/>
      <c r="P55" s="430"/>
      <c r="Q55" s="431"/>
      <c r="R55" s="431"/>
      <c r="S55" s="431"/>
      <c r="T55" s="431"/>
      <c r="U55" s="431"/>
      <c r="V55" s="431"/>
      <c r="W55" s="430"/>
      <c r="X55" s="431"/>
      <c r="Y55" s="431"/>
      <c r="Z55" s="431"/>
      <c r="AA55" s="431"/>
      <c r="AB55" s="431"/>
      <c r="AC55" s="431"/>
      <c r="AD55" s="430"/>
      <c r="AE55" s="431"/>
      <c r="AF55" s="431"/>
      <c r="AG55" s="431"/>
      <c r="AH55" s="431"/>
      <c r="AI55" s="431"/>
      <c r="AJ55" s="431"/>
      <c r="AK55" s="430"/>
      <c r="AL55" s="431"/>
      <c r="AM55" s="431"/>
      <c r="AN55" s="432"/>
      <c r="AQ55" s="436"/>
      <c r="AR55" s="436"/>
      <c r="AS55" s="436"/>
      <c r="AT55" s="436"/>
      <c r="AU55" s="436"/>
      <c r="AV55" s="436"/>
      <c r="AW55" s="396">
        <f t="shared" si="2"/>
        <v>0</v>
      </c>
      <c r="AX55" s="434">
        <f t="shared" si="8"/>
        <v>0</v>
      </c>
      <c r="BA55" s="437">
        <f t="shared" si="4"/>
        <v>0</v>
      </c>
      <c r="BB55" s="437">
        <f t="shared" si="5"/>
        <v>0</v>
      </c>
      <c r="BC55" s="437">
        <f t="shared" si="6"/>
        <v>0</v>
      </c>
      <c r="BD55" s="437">
        <f t="shared" si="7"/>
        <v>0</v>
      </c>
      <c r="BE55" s="437"/>
    </row>
    <row r="56" spans="1:57" ht="33" customHeight="1" thickBot="1">
      <c r="A56" s="361" t="s">
        <v>103</v>
      </c>
      <c r="B56" s="6" t="s">
        <v>104</v>
      </c>
      <c r="C56" s="362" t="s">
        <v>35</v>
      </c>
      <c r="D56" s="7">
        <v>0</v>
      </c>
      <c r="E56" s="353"/>
      <c r="F56" s="22">
        <f t="shared" si="0"/>
        <v>0</v>
      </c>
      <c r="G56" s="329"/>
      <c r="H56" s="330">
        <f t="shared" si="1"/>
        <v>0</v>
      </c>
      <c r="I56" s="430"/>
      <c r="J56" s="430"/>
      <c r="K56" s="431"/>
      <c r="L56" s="431"/>
      <c r="M56" s="431"/>
      <c r="N56" s="431"/>
      <c r="O56" s="431"/>
      <c r="P56" s="430"/>
      <c r="Q56" s="431"/>
      <c r="R56" s="431"/>
      <c r="S56" s="431"/>
      <c r="T56" s="431"/>
      <c r="U56" s="431"/>
      <c r="V56" s="431"/>
      <c r="W56" s="430"/>
      <c r="X56" s="431"/>
      <c r="Y56" s="431"/>
      <c r="Z56" s="431"/>
      <c r="AA56" s="431"/>
      <c r="AB56" s="431"/>
      <c r="AC56" s="431"/>
      <c r="AD56" s="430"/>
      <c r="AE56" s="431"/>
      <c r="AF56" s="431"/>
      <c r="AG56" s="431"/>
      <c r="AH56" s="431"/>
      <c r="AI56" s="431"/>
      <c r="AJ56" s="431"/>
      <c r="AK56" s="430"/>
      <c r="AL56" s="431"/>
      <c r="AM56" s="431"/>
      <c r="AN56" s="432"/>
      <c r="AQ56" s="436"/>
      <c r="AR56" s="436"/>
      <c r="AS56" s="436"/>
      <c r="AT56" s="436"/>
      <c r="AU56" s="436"/>
      <c r="AV56" s="436"/>
      <c r="AW56" s="396">
        <f t="shared" si="2"/>
        <v>0</v>
      </c>
      <c r="AX56" s="434">
        <f t="shared" si="8"/>
        <v>0</v>
      </c>
      <c r="BA56" s="437">
        <f t="shared" si="4"/>
        <v>0</v>
      </c>
      <c r="BB56" s="437">
        <f t="shared" si="5"/>
        <v>0</v>
      </c>
      <c r="BC56" s="437">
        <f t="shared" si="6"/>
        <v>0</v>
      </c>
      <c r="BD56" s="437">
        <f t="shared" si="7"/>
        <v>0</v>
      </c>
      <c r="BE56" s="437"/>
    </row>
    <row r="57" spans="1:57" ht="33" customHeight="1" thickBot="1">
      <c r="A57" s="361" t="s">
        <v>105</v>
      </c>
      <c r="B57" s="6" t="s">
        <v>106</v>
      </c>
      <c r="C57" s="362" t="s">
        <v>35</v>
      </c>
      <c r="D57" s="7">
        <v>0</v>
      </c>
      <c r="E57" s="353"/>
      <c r="F57" s="22">
        <f t="shared" si="0"/>
        <v>0</v>
      </c>
      <c r="G57" s="329"/>
      <c r="H57" s="330">
        <f t="shared" si="1"/>
        <v>0</v>
      </c>
      <c r="I57" s="430"/>
      <c r="J57" s="430"/>
      <c r="K57" s="431"/>
      <c r="L57" s="431"/>
      <c r="M57" s="431"/>
      <c r="N57" s="431"/>
      <c r="O57" s="431"/>
      <c r="P57" s="430"/>
      <c r="Q57" s="431"/>
      <c r="R57" s="431"/>
      <c r="S57" s="431"/>
      <c r="T57" s="431"/>
      <c r="U57" s="431"/>
      <c r="V57" s="431"/>
      <c r="W57" s="430"/>
      <c r="X57" s="431"/>
      <c r="Y57" s="431"/>
      <c r="Z57" s="431"/>
      <c r="AA57" s="431"/>
      <c r="AB57" s="431"/>
      <c r="AC57" s="431"/>
      <c r="AD57" s="430"/>
      <c r="AE57" s="431"/>
      <c r="AF57" s="431"/>
      <c r="AG57" s="431"/>
      <c r="AH57" s="431"/>
      <c r="AI57" s="431"/>
      <c r="AJ57" s="431"/>
      <c r="AK57" s="430"/>
      <c r="AL57" s="431"/>
      <c r="AM57" s="431"/>
      <c r="AN57" s="432"/>
      <c r="AQ57" s="436"/>
      <c r="AR57" s="436"/>
      <c r="AS57" s="436"/>
      <c r="AT57" s="436"/>
      <c r="AU57" s="436"/>
      <c r="AV57" s="436"/>
      <c r="AW57" s="396">
        <f t="shared" si="2"/>
        <v>0</v>
      </c>
      <c r="AX57" s="434">
        <f t="shared" si="8"/>
        <v>0</v>
      </c>
      <c r="BA57" s="437">
        <f t="shared" si="4"/>
        <v>0</v>
      </c>
      <c r="BB57" s="437">
        <f t="shared" si="5"/>
        <v>0</v>
      </c>
      <c r="BC57" s="437">
        <f t="shared" si="6"/>
        <v>0</v>
      </c>
      <c r="BD57" s="437">
        <f t="shared" si="7"/>
        <v>0</v>
      </c>
      <c r="BE57" s="437"/>
    </row>
    <row r="58" spans="1:57" ht="33" customHeight="1" thickBot="1">
      <c r="A58" s="361" t="s">
        <v>107</v>
      </c>
      <c r="B58" s="6" t="s">
        <v>108</v>
      </c>
      <c r="C58" s="362" t="s">
        <v>35</v>
      </c>
      <c r="D58" s="7">
        <v>4.46</v>
      </c>
      <c r="E58" s="353"/>
      <c r="F58" s="22">
        <f t="shared" si="0"/>
        <v>0</v>
      </c>
      <c r="G58" s="329"/>
      <c r="H58" s="330">
        <f t="shared" si="1"/>
        <v>0</v>
      </c>
      <c r="I58" s="430"/>
      <c r="J58" s="430"/>
      <c r="K58" s="431"/>
      <c r="L58" s="431"/>
      <c r="M58" s="431"/>
      <c r="N58" s="431"/>
      <c r="O58" s="431"/>
      <c r="P58" s="430"/>
      <c r="Q58" s="431"/>
      <c r="R58" s="431"/>
      <c r="S58" s="431"/>
      <c r="T58" s="431"/>
      <c r="U58" s="431"/>
      <c r="V58" s="431"/>
      <c r="W58" s="430"/>
      <c r="X58" s="431"/>
      <c r="Y58" s="431"/>
      <c r="Z58" s="431"/>
      <c r="AA58" s="431"/>
      <c r="AB58" s="431"/>
      <c r="AC58" s="431"/>
      <c r="AD58" s="430"/>
      <c r="AE58" s="431"/>
      <c r="AF58" s="431"/>
      <c r="AG58" s="431"/>
      <c r="AH58" s="431"/>
      <c r="AI58" s="431"/>
      <c r="AJ58" s="431"/>
      <c r="AK58" s="430"/>
      <c r="AL58" s="431"/>
      <c r="AM58" s="431"/>
      <c r="AN58" s="432"/>
      <c r="AQ58" s="436"/>
      <c r="AR58" s="436"/>
      <c r="AS58" s="436"/>
      <c r="AT58" s="436"/>
      <c r="AU58" s="436"/>
      <c r="AV58" s="436"/>
      <c r="AW58" s="396">
        <f t="shared" si="2"/>
        <v>0</v>
      </c>
      <c r="AX58" s="434">
        <f t="shared" si="8"/>
        <v>0</v>
      </c>
      <c r="BA58" s="437">
        <f t="shared" si="4"/>
        <v>0</v>
      </c>
      <c r="BB58" s="437">
        <f>SUM(Q58:V58)</f>
        <v>0</v>
      </c>
      <c r="BC58" s="437">
        <f t="shared" si="6"/>
        <v>0</v>
      </c>
      <c r="BD58" s="437">
        <f t="shared" si="7"/>
        <v>0</v>
      </c>
      <c r="BE58" s="437"/>
    </row>
    <row r="59" spans="1:57" ht="33" customHeight="1" thickBot="1">
      <c r="A59" s="361"/>
      <c r="B59" s="6" t="s">
        <v>705</v>
      </c>
      <c r="C59" s="362"/>
      <c r="D59" s="7">
        <v>3.46</v>
      </c>
      <c r="E59" s="353"/>
      <c r="F59" s="22">
        <f t="shared" si="0"/>
        <v>0</v>
      </c>
      <c r="G59" s="329"/>
      <c r="H59" s="330">
        <f t="shared" si="1"/>
        <v>0</v>
      </c>
      <c r="I59" s="430"/>
      <c r="J59" s="430"/>
      <c r="K59" s="431"/>
      <c r="L59" s="431"/>
      <c r="M59" s="431"/>
      <c r="N59" s="431"/>
      <c r="O59" s="431"/>
      <c r="P59" s="430"/>
      <c r="Q59" s="431"/>
      <c r="R59" s="431"/>
      <c r="S59" s="431"/>
      <c r="T59" s="431"/>
      <c r="U59" s="431"/>
      <c r="V59" s="431"/>
      <c r="W59" s="430"/>
      <c r="X59" s="431"/>
      <c r="Y59" s="431"/>
      <c r="Z59" s="431"/>
      <c r="AA59" s="431"/>
      <c r="AB59" s="431"/>
      <c r="AC59" s="431"/>
      <c r="AD59" s="430"/>
      <c r="AE59" s="431"/>
      <c r="AF59" s="431"/>
      <c r="AG59" s="431"/>
      <c r="AH59" s="431"/>
      <c r="AI59" s="431"/>
      <c r="AJ59" s="431"/>
      <c r="AK59" s="430"/>
      <c r="AL59" s="431"/>
      <c r="AM59" s="431"/>
      <c r="AN59" s="432"/>
      <c r="AQ59" s="436"/>
      <c r="AR59" s="436"/>
      <c r="AS59" s="436"/>
      <c r="AT59" s="436"/>
      <c r="AU59" s="436"/>
      <c r="AV59" s="436"/>
      <c r="AW59" s="396">
        <f t="shared" si="2"/>
        <v>0</v>
      </c>
      <c r="AX59" s="434">
        <f t="shared" si="8"/>
        <v>0</v>
      </c>
      <c r="BA59" s="437">
        <f t="shared" si="4"/>
        <v>0</v>
      </c>
      <c r="BB59" s="437">
        <f t="shared" si="5"/>
        <v>0</v>
      </c>
      <c r="BC59" s="437">
        <f t="shared" si="6"/>
        <v>0</v>
      </c>
      <c r="BD59" s="437">
        <f t="shared" si="7"/>
        <v>0</v>
      </c>
      <c r="BE59" s="437"/>
    </row>
    <row r="60" spans="1:57" ht="33" customHeight="1" thickBot="1">
      <c r="A60" s="361"/>
      <c r="B60" s="6" t="s">
        <v>108</v>
      </c>
      <c r="C60" s="362"/>
      <c r="D60" s="7">
        <v>1</v>
      </c>
      <c r="E60" s="353"/>
      <c r="F60" s="22">
        <f t="shared" si="0"/>
        <v>0</v>
      </c>
      <c r="G60" s="329"/>
      <c r="H60" s="330">
        <f t="shared" si="1"/>
        <v>0</v>
      </c>
      <c r="I60" s="430"/>
      <c r="J60" s="430"/>
      <c r="K60" s="431"/>
      <c r="L60" s="431"/>
      <c r="M60" s="431"/>
      <c r="N60" s="431"/>
      <c r="O60" s="431"/>
      <c r="P60" s="430"/>
      <c r="Q60" s="431"/>
      <c r="R60" s="431"/>
      <c r="S60" s="431"/>
      <c r="T60" s="431"/>
      <c r="U60" s="431"/>
      <c r="V60" s="431"/>
      <c r="W60" s="430"/>
      <c r="X60" s="431"/>
      <c r="Y60" s="431"/>
      <c r="Z60" s="431"/>
      <c r="AA60" s="431"/>
      <c r="AB60" s="431"/>
      <c r="AC60" s="431"/>
      <c r="AD60" s="430"/>
      <c r="AE60" s="431"/>
      <c r="AF60" s="431"/>
      <c r="AG60" s="431"/>
      <c r="AH60" s="431"/>
      <c r="AI60" s="431"/>
      <c r="AJ60" s="431"/>
      <c r="AK60" s="430"/>
      <c r="AL60" s="431"/>
      <c r="AM60" s="431"/>
      <c r="AN60" s="432"/>
      <c r="AQ60" s="436"/>
      <c r="AR60" s="436"/>
      <c r="AS60" s="436"/>
      <c r="AT60" s="436"/>
      <c r="AU60" s="436"/>
      <c r="AV60" s="436"/>
      <c r="AW60" s="396">
        <f t="shared" si="2"/>
        <v>0</v>
      </c>
      <c r="AX60" s="434">
        <f t="shared" si="8"/>
        <v>0</v>
      </c>
      <c r="BA60" s="437">
        <f t="shared" si="4"/>
        <v>0</v>
      </c>
      <c r="BB60" s="437">
        <f t="shared" si="5"/>
        <v>0</v>
      </c>
      <c r="BC60" s="437">
        <f t="shared" si="6"/>
        <v>0</v>
      </c>
      <c r="BD60" s="437">
        <f t="shared" si="7"/>
        <v>0</v>
      </c>
      <c r="BE60" s="437"/>
    </row>
    <row r="61" spans="1:57" ht="33" customHeight="1" thickBot="1">
      <c r="A61" s="361" t="s">
        <v>109</v>
      </c>
      <c r="B61" s="6" t="s">
        <v>110</v>
      </c>
      <c r="C61" s="362" t="s">
        <v>40</v>
      </c>
      <c r="D61" s="7">
        <v>0.46</v>
      </c>
      <c r="E61" s="353"/>
      <c r="F61" s="22">
        <f t="shared" si="0"/>
        <v>0</v>
      </c>
      <c r="G61" s="329"/>
      <c r="H61" s="330">
        <f t="shared" si="1"/>
        <v>0</v>
      </c>
      <c r="I61" s="430"/>
      <c r="J61" s="430"/>
      <c r="K61" s="431"/>
      <c r="L61" s="431"/>
      <c r="M61" s="431"/>
      <c r="N61" s="431"/>
      <c r="O61" s="431"/>
      <c r="P61" s="430"/>
      <c r="Q61" s="431"/>
      <c r="R61" s="431"/>
      <c r="S61" s="431"/>
      <c r="T61" s="431"/>
      <c r="U61" s="431"/>
      <c r="V61" s="431"/>
      <c r="W61" s="430"/>
      <c r="X61" s="431"/>
      <c r="Y61" s="431"/>
      <c r="Z61" s="431"/>
      <c r="AA61" s="431"/>
      <c r="AB61" s="431"/>
      <c r="AC61" s="431"/>
      <c r="AD61" s="430"/>
      <c r="AE61" s="431"/>
      <c r="AF61" s="431"/>
      <c r="AG61" s="431"/>
      <c r="AH61" s="431"/>
      <c r="AI61" s="431"/>
      <c r="AJ61" s="431"/>
      <c r="AK61" s="430"/>
      <c r="AL61" s="431"/>
      <c r="AM61" s="431"/>
      <c r="AN61" s="432"/>
      <c r="AQ61" s="436"/>
      <c r="AR61" s="436"/>
      <c r="AS61" s="436"/>
      <c r="AT61" s="436"/>
      <c r="AU61" s="436"/>
      <c r="AV61" s="436"/>
      <c r="AW61" s="396">
        <f t="shared" si="2"/>
        <v>0</v>
      </c>
      <c r="AX61" s="434">
        <f t="shared" si="8"/>
        <v>0</v>
      </c>
      <c r="BA61" s="437">
        <f t="shared" si="4"/>
        <v>0</v>
      </c>
      <c r="BB61" s="437">
        <f t="shared" si="5"/>
        <v>0</v>
      </c>
      <c r="BC61" s="437">
        <f t="shared" si="6"/>
        <v>0</v>
      </c>
      <c r="BD61" s="437">
        <f t="shared" si="7"/>
        <v>0</v>
      </c>
      <c r="BE61" s="437"/>
    </row>
    <row r="62" spans="1:57" ht="33" customHeight="1" thickBot="1">
      <c r="A62" s="361" t="s">
        <v>111</v>
      </c>
      <c r="B62" s="6" t="s">
        <v>112</v>
      </c>
      <c r="C62" s="362" t="s">
        <v>40</v>
      </c>
      <c r="D62" s="7">
        <v>0.36</v>
      </c>
      <c r="E62" s="353"/>
      <c r="F62" s="22">
        <f t="shared" si="0"/>
        <v>0</v>
      </c>
      <c r="G62" s="329"/>
      <c r="H62" s="330">
        <f t="shared" si="1"/>
        <v>0</v>
      </c>
      <c r="I62" s="430"/>
      <c r="J62" s="430"/>
      <c r="K62" s="431"/>
      <c r="L62" s="431"/>
      <c r="M62" s="431"/>
      <c r="N62" s="431"/>
      <c r="O62" s="431"/>
      <c r="P62" s="430"/>
      <c r="Q62" s="431"/>
      <c r="R62" s="431"/>
      <c r="S62" s="431"/>
      <c r="T62" s="431"/>
      <c r="U62" s="431"/>
      <c r="V62" s="431"/>
      <c r="W62" s="430"/>
      <c r="X62" s="431"/>
      <c r="Y62" s="431"/>
      <c r="Z62" s="431"/>
      <c r="AA62" s="431"/>
      <c r="AB62" s="431"/>
      <c r="AC62" s="431"/>
      <c r="AD62" s="430"/>
      <c r="AE62" s="431"/>
      <c r="AF62" s="431"/>
      <c r="AG62" s="431"/>
      <c r="AH62" s="431"/>
      <c r="AI62" s="431"/>
      <c r="AJ62" s="431"/>
      <c r="AK62" s="430"/>
      <c r="AL62" s="431"/>
      <c r="AM62" s="431"/>
      <c r="AN62" s="432"/>
      <c r="AQ62" s="436"/>
      <c r="AR62" s="436"/>
      <c r="AS62" s="436"/>
      <c r="AT62" s="436"/>
      <c r="AU62" s="436"/>
      <c r="AV62" s="436"/>
      <c r="AW62" s="396">
        <f t="shared" si="2"/>
        <v>0</v>
      </c>
      <c r="AX62" s="434">
        <f t="shared" si="8"/>
        <v>0</v>
      </c>
      <c r="BA62" s="437">
        <f t="shared" si="4"/>
        <v>0</v>
      </c>
      <c r="BB62" s="437">
        <f t="shared" si="5"/>
        <v>0</v>
      </c>
      <c r="BC62" s="437">
        <f t="shared" si="6"/>
        <v>0</v>
      </c>
      <c r="BD62" s="437">
        <f t="shared" si="7"/>
        <v>0</v>
      </c>
      <c r="BE62" s="437"/>
    </row>
    <row r="63" spans="1:57" ht="33" customHeight="1" thickBot="1">
      <c r="A63" s="361" t="s">
        <v>113</v>
      </c>
      <c r="B63" s="6" t="s">
        <v>114</v>
      </c>
      <c r="C63" s="362" t="s">
        <v>35</v>
      </c>
      <c r="D63" s="7">
        <v>35.375</v>
      </c>
      <c r="E63" s="353"/>
      <c r="F63" s="22">
        <f t="shared" si="0"/>
        <v>0</v>
      </c>
      <c r="G63" s="329"/>
      <c r="H63" s="330">
        <f t="shared" si="1"/>
        <v>0</v>
      </c>
      <c r="I63" s="430"/>
      <c r="J63" s="430"/>
      <c r="K63" s="431"/>
      <c r="L63" s="431"/>
      <c r="M63" s="431"/>
      <c r="N63" s="431"/>
      <c r="O63" s="431"/>
      <c r="P63" s="430"/>
      <c r="Q63" s="431"/>
      <c r="R63" s="431"/>
      <c r="S63" s="431"/>
      <c r="T63" s="431"/>
      <c r="U63" s="431"/>
      <c r="V63" s="431"/>
      <c r="W63" s="430"/>
      <c r="X63" s="431"/>
      <c r="Y63" s="431"/>
      <c r="Z63" s="431"/>
      <c r="AA63" s="431"/>
      <c r="AB63" s="431"/>
      <c r="AC63" s="431"/>
      <c r="AD63" s="430"/>
      <c r="AE63" s="431"/>
      <c r="AF63" s="431"/>
      <c r="AG63" s="431"/>
      <c r="AH63" s="431"/>
      <c r="AI63" s="431"/>
      <c r="AJ63" s="431"/>
      <c r="AK63" s="430"/>
      <c r="AL63" s="431"/>
      <c r="AM63" s="431"/>
      <c r="AN63" s="432"/>
      <c r="AQ63" s="436"/>
      <c r="AR63" s="436"/>
      <c r="AS63" s="436"/>
      <c r="AT63" s="436"/>
      <c r="AU63" s="436"/>
      <c r="AV63" s="436"/>
      <c r="AW63" s="396">
        <f t="shared" si="2"/>
        <v>0</v>
      </c>
      <c r="AX63" s="434">
        <f t="shared" si="8"/>
        <v>0</v>
      </c>
      <c r="BA63" s="437">
        <f t="shared" si="4"/>
        <v>0</v>
      </c>
      <c r="BB63" s="437">
        <f t="shared" si="5"/>
        <v>0</v>
      </c>
      <c r="BC63" s="437">
        <f t="shared" si="6"/>
        <v>0</v>
      </c>
      <c r="BD63" s="437">
        <f t="shared" si="7"/>
        <v>0</v>
      </c>
      <c r="BE63" s="437"/>
    </row>
    <row r="64" spans="1:57" ht="33" customHeight="1" thickBot="1">
      <c r="A64" s="361" t="s">
        <v>115</v>
      </c>
      <c r="B64" s="6" t="s">
        <v>116</v>
      </c>
      <c r="C64" s="363" t="s">
        <v>35</v>
      </c>
      <c r="D64" s="7">
        <v>38.235999999999997</v>
      </c>
      <c r="E64" s="353"/>
      <c r="F64" s="22">
        <f t="shared" si="0"/>
        <v>0</v>
      </c>
      <c r="G64" s="329"/>
      <c r="H64" s="330">
        <f t="shared" si="1"/>
        <v>0</v>
      </c>
      <c r="I64" s="430"/>
      <c r="J64" s="430"/>
      <c r="K64" s="431"/>
      <c r="L64" s="431"/>
      <c r="M64" s="431"/>
      <c r="N64" s="431"/>
      <c r="O64" s="431"/>
      <c r="P64" s="430"/>
      <c r="Q64" s="431"/>
      <c r="R64" s="431"/>
      <c r="S64" s="431"/>
      <c r="T64" s="431"/>
      <c r="U64" s="431"/>
      <c r="V64" s="431"/>
      <c r="W64" s="430"/>
      <c r="X64" s="431"/>
      <c r="Y64" s="431"/>
      <c r="Z64" s="431"/>
      <c r="AA64" s="431"/>
      <c r="AB64" s="431"/>
      <c r="AC64" s="431"/>
      <c r="AD64" s="430"/>
      <c r="AE64" s="431"/>
      <c r="AF64" s="431"/>
      <c r="AG64" s="431"/>
      <c r="AH64" s="431"/>
      <c r="AI64" s="431"/>
      <c r="AJ64" s="431"/>
      <c r="AK64" s="430"/>
      <c r="AL64" s="431"/>
      <c r="AM64" s="431"/>
      <c r="AN64" s="432"/>
      <c r="AQ64" s="436"/>
      <c r="AR64" s="436"/>
      <c r="AS64" s="436"/>
      <c r="AT64" s="436"/>
      <c r="AU64" s="436"/>
      <c r="AV64" s="436"/>
      <c r="AW64" s="396">
        <f t="shared" si="2"/>
        <v>0</v>
      </c>
      <c r="AX64" s="434">
        <f t="shared" si="8"/>
        <v>0</v>
      </c>
      <c r="BA64" s="437">
        <f t="shared" si="4"/>
        <v>0</v>
      </c>
      <c r="BB64" s="437">
        <f t="shared" si="5"/>
        <v>0</v>
      </c>
      <c r="BC64" s="437">
        <f t="shared" si="6"/>
        <v>0</v>
      </c>
      <c r="BD64" s="437">
        <f t="shared" si="7"/>
        <v>0</v>
      </c>
      <c r="BE64" s="437"/>
    </row>
    <row r="65" spans="1:57" ht="33" customHeight="1" thickBot="1">
      <c r="A65" s="358" t="s">
        <v>117</v>
      </c>
      <c r="B65" s="169" t="s">
        <v>118</v>
      </c>
      <c r="C65" s="359" t="s">
        <v>86</v>
      </c>
      <c r="D65" s="7">
        <v>0.99</v>
      </c>
      <c r="E65" s="353"/>
      <c r="F65" s="22">
        <f t="shared" si="0"/>
        <v>0</v>
      </c>
      <c r="G65" s="329"/>
      <c r="H65" s="330">
        <f t="shared" si="1"/>
        <v>0</v>
      </c>
      <c r="I65" s="430"/>
      <c r="J65" s="430"/>
      <c r="K65" s="431"/>
      <c r="L65" s="431"/>
      <c r="M65" s="431"/>
      <c r="N65" s="431"/>
      <c r="O65" s="431"/>
      <c r="P65" s="430"/>
      <c r="Q65" s="431"/>
      <c r="R65" s="431"/>
      <c r="S65" s="431"/>
      <c r="T65" s="431"/>
      <c r="U65" s="431"/>
      <c r="V65" s="431"/>
      <c r="W65" s="430"/>
      <c r="X65" s="431"/>
      <c r="Y65" s="431"/>
      <c r="Z65" s="431"/>
      <c r="AA65" s="431"/>
      <c r="AB65" s="431"/>
      <c r="AC65" s="431"/>
      <c r="AD65" s="430"/>
      <c r="AE65" s="431"/>
      <c r="AF65" s="431"/>
      <c r="AG65" s="431"/>
      <c r="AH65" s="431"/>
      <c r="AI65" s="431"/>
      <c r="AJ65" s="431"/>
      <c r="AK65" s="430"/>
      <c r="AL65" s="431"/>
      <c r="AM65" s="431"/>
      <c r="AN65" s="432"/>
      <c r="AQ65" s="436"/>
      <c r="AR65" s="436"/>
      <c r="AS65" s="436"/>
      <c r="AT65" s="436"/>
      <c r="AU65" s="436"/>
      <c r="AV65" s="436"/>
      <c r="AW65" s="396">
        <f t="shared" si="2"/>
        <v>0</v>
      </c>
      <c r="AX65" s="434">
        <f t="shared" si="8"/>
        <v>0</v>
      </c>
      <c r="BA65" s="437">
        <f t="shared" si="4"/>
        <v>0</v>
      </c>
      <c r="BB65" s="437">
        <f t="shared" si="5"/>
        <v>0</v>
      </c>
      <c r="BC65" s="437">
        <f t="shared" si="6"/>
        <v>0</v>
      </c>
      <c r="BD65" s="437">
        <f t="shared" si="7"/>
        <v>0</v>
      </c>
      <c r="BE65" s="437"/>
    </row>
    <row r="66" spans="1:57" ht="33" customHeight="1" thickBot="1">
      <c r="A66" s="358" t="s">
        <v>119</v>
      </c>
      <c r="B66" s="169" t="s">
        <v>680</v>
      </c>
      <c r="C66" s="359" t="s">
        <v>86</v>
      </c>
      <c r="D66" s="7">
        <v>11.93</v>
      </c>
      <c r="E66" s="353"/>
      <c r="F66" s="22">
        <f t="shared" si="0"/>
        <v>0</v>
      </c>
      <c r="G66" s="329"/>
      <c r="H66" s="330">
        <f t="shared" si="1"/>
        <v>0</v>
      </c>
      <c r="I66" s="430"/>
      <c r="J66" s="430"/>
      <c r="K66" s="431"/>
      <c r="L66" s="431"/>
      <c r="M66" s="431"/>
      <c r="N66" s="431"/>
      <c r="O66" s="431"/>
      <c r="P66" s="430"/>
      <c r="Q66" s="431"/>
      <c r="R66" s="431"/>
      <c r="S66" s="431"/>
      <c r="T66" s="431"/>
      <c r="U66" s="431"/>
      <c r="V66" s="431"/>
      <c r="W66" s="430"/>
      <c r="X66" s="431"/>
      <c r="Y66" s="431"/>
      <c r="Z66" s="431"/>
      <c r="AA66" s="431"/>
      <c r="AB66" s="431"/>
      <c r="AC66" s="431"/>
      <c r="AD66" s="430"/>
      <c r="AE66" s="431"/>
      <c r="AF66" s="431"/>
      <c r="AG66" s="431"/>
      <c r="AH66" s="431"/>
      <c r="AI66" s="431"/>
      <c r="AJ66" s="431"/>
      <c r="AK66" s="430"/>
      <c r="AL66" s="431"/>
      <c r="AM66" s="431"/>
      <c r="AN66" s="432"/>
      <c r="AQ66" s="436"/>
      <c r="AR66" s="436"/>
      <c r="AS66" s="436"/>
      <c r="AT66" s="436"/>
      <c r="AU66" s="436"/>
      <c r="AV66" s="436"/>
      <c r="AW66" s="396">
        <f t="shared" si="2"/>
        <v>0</v>
      </c>
      <c r="AX66" s="434">
        <f t="shared" si="8"/>
        <v>0</v>
      </c>
      <c r="BA66" s="437">
        <f t="shared" si="4"/>
        <v>0</v>
      </c>
      <c r="BB66" s="437">
        <f t="shared" si="5"/>
        <v>0</v>
      </c>
      <c r="BC66" s="437">
        <f t="shared" si="6"/>
        <v>0</v>
      </c>
      <c r="BD66" s="437">
        <f t="shared" si="7"/>
        <v>0</v>
      </c>
      <c r="BE66" s="437"/>
    </row>
    <row r="67" spans="1:57" ht="33" customHeight="1" thickBot="1">
      <c r="A67" s="358" t="s">
        <v>120</v>
      </c>
      <c r="B67" s="334" t="s">
        <v>121</v>
      </c>
      <c r="C67" s="360" t="s">
        <v>21</v>
      </c>
      <c r="D67" s="7">
        <v>0.18</v>
      </c>
      <c r="E67" s="353"/>
      <c r="F67" s="22">
        <f t="shared" si="0"/>
        <v>0</v>
      </c>
      <c r="G67" s="329"/>
      <c r="H67" s="330">
        <f t="shared" si="1"/>
        <v>0</v>
      </c>
      <c r="I67" s="430"/>
      <c r="J67" s="430"/>
      <c r="K67" s="431"/>
      <c r="L67" s="431"/>
      <c r="M67" s="431"/>
      <c r="N67" s="431"/>
      <c r="O67" s="431"/>
      <c r="P67" s="430"/>
      <c r="Q67" s="431"/>
      <c r="R67" s="431"/>
      <c r="S67" s="431"/>
      <c r="T67" s="431"/>
      <c r="U67" s="431"/>
      <c r="V67" s="431"/>
      <c r="W67" s="430"/>
      <c r="X67" s="431"/>
      <c r="Y67" s="431"/>
      <c r="Z67" s="431"/>
      <c r="AA67" s="431"/>
      <c r="AB67" s="431"/>
      <c r="AC67" s="431"/>
      <c r="AD67" s="430"/>
      <c r="AE67" s="431"/>
      <c r="AF67" s="431"/>
      <c r="AG67" s="431"/>
      <c r="AH67" s="431"/>
      <c r="AI67" s="431"/>
      <c r="AJ67" s="431"/>
      <c r="AK67" s="430"/>
      <c r="AL67" s="431"/>
      <c r="AM67" s="431"/>
      <c r="AN67" s="432"/>
      <c r="AQ67" s="436"/>
      <c r="AR67" s="436"/>
      <c r="AS67" s="436"/>
      <c r="AT67" s="436"/>
      <c r="AU67" s="436"/>
      <c r="AV67" s="436"/>
      <c r="AW67" s="396">
        <f t="shared" si="2"/>
        <v>0</v>
      </c>
      <c r="AX67" s="434">
        <f t="shared" si="8"/>
        <v>0</v>
      </c>
      <c r="BA67" s="437">
        <f t="shared" si="4"/>
        <v>0</v>
      </c>
      <c r="BB67" s="437">
        <f t="shared" si="5"/>
        <v>0</v>
      </c>
      <c r="BC67" s="437">
        <f t="shared" si="6"/>
        <v>0</v>
      </c>
      <c r="BD67" s="437">
        <f t="shared" si="7"/>
        <v>0</v>
      </c>
      <c r="BE67" s="437"/>
    </row>
    <row r="68" spans="1:57" ht="33" customHeight="1" thickBot="1">
      <c r="A68" s="361" t="s">
        <v>122</v>
      </c>
      <c r="B68" s="6" t="s">
        <v>123</v>
      </c>
      <c r="C68" s="362" t="s">
        <v>35</v>
      </c>
      <c r="D68" s="7">
        <v>31.01</v>
      </c>
      <c r="E68" s="353"/>
      <c r="F68" s="22">
        <f t="shared" si="0"/>
        <v>0</v>
      </c>
      <c r="G68" s="329"/>
      <c r="H68" s="330">
        <f t="shared" si="1"/>
        <v>0</v>
      </c>
      <c r="I68" s="430"/>
      <c r="J68" s="430"/>
      <c r="K68" s="431"/>
      <c r="L68" s="431"/>
      <c r="M68" s="431"/>
      <c r="N68" s="431"/>
      <c r="O68" s="431"/>
      <c r="P68" s="430"/>
      <c r="Q68" s="431"/>
      <c r="R68" s="431"/>
      <c r="S68" s="431"/>
      <c r="T68" s="431"/>
      <c r="U68" s="431"/>
      <c r="V68" s="431"/>
      <c r="W68" s="430"/>
      <c r="X68" s="431"/>
      <c r="Y68" s="431"/>
      <c r="Z68" s="431"/>
      <c r="AA68" s="431"/>
      <c r="AB68" s="431"/>
      <c r="AC68" s="431"/>
      <c r="AD68" s="430"/>
      <c r="AE68" s="431"/>
      <c r="AF68" s="431"/>
      <c r="AG68" s="431"/>
      <c r="AH68" s="431"/>
      <c r="AI68" s="431"/>
      <c r="AJ68" s="431"/>
      <c r="AK68" s="430"/>
      <c r="AL68" s="431"/>
      <c r="AM68" s="431"/>
      <c r="AN68" s="432"/>
      <c r="AQ68" s="436"/>
      <c r="AR68" s="436"/>
      <c r="AS68" s="436"/>
      <c r="AT68" s="436"/>
      <c r="AU68" s="436"/>
      <c r="AV68" s="436"/>
      <c r="AW68" s="396">
        <f t="shared" si="2"/>
        <v>0</v>
      </c>
      <c r="AX68" s="434">
        <f t="shared" si="8"/>
        <v>0</v>
      </c>
      <c r="BA68" s="437">
        <f t="shared" si="4"/>
        <v>0</v>
      </c>
      <c r="BB68" s="437">
        <f t="shared" si="5"/>
        <v>0</v>
      </c>
      <c r="BC68" s="437">
        <f t="shared" si="6"/>
        <v>0</v>
      </c>
      <c r="BD68" s="437">
        <f t="shared" si="7"/>
        <v>0</v>
      </c>
      <c r="BE68" s="437"/>
    </row>
    <row r="69" spans="1:57" ht="33" customHeight="1" thickBot="1">
      <c r="A69" s="361" t="s">
        <v>124</v>
      </c>
      <c r="B69" s="6" t="s">
        <v>125</v>
      </c>
      <c r="C69" s="362" t="s">
        <v>35</v>
      </c>
      <c r="D69" s="7">
        <v>45.7</v>
      </c>
      <c r="E69" s="353"/>
      <c r="F69" s="22">
        <f t="shared" si="0"/>
        <v>0</v>
      </c>
      <c r="G69" s="329"/>
      <c r="H69" s="330">
        <f t="shared" si="1"/>
        <v>0</v>
      </c>
      <c r="I69" s="430"/>
      <c r="J69" s="430"/>
      <c r="K69" s="431"/>
      <c r="L69" s="431"/>
      <c r="M69" s="431"/>
      <c r="N69" s="431"/>
      <c r="O69" s="431"/>
      <c r="P69" s="430"/>
      <c r="Q69" s="431"/>
      <c r="R69" s="431"/>
      <c r="S69" s="431"/>
      <c r="T69" s="431"/>
      <c r="U69" s="431"/>
      <c r="V69" s="431"/>
      <c r="W69" s="430"/>
      <c r="X69" s="431"/>
      <c r="Y69" s="431"/>
      <c r="Z69" s="431"/>
      <c r="AA69" s="431"/>
      <c r="AB69" s="431"/>
      <c r="AC69" s="431"/>
      <c r="AD69" s="430"/>
      <c r="AE69" s="431"/>
      <c r="AF69" s="431"/>
      <c r="AG69" s="431"/>
      <c r="AH69" s="431"/>
      <c r="AI69" s="431"/>
      <c r="AJ69" s="431"/>
      <c r="AK69" s="430"/>
      <c r="AL69" s="431"/>
      <c r="AM69" s="431"/>
      <c r="AN69" s="432"/>
      <c r="AQ69" s="436"/>
      <c r="AR69" s="436"/>
      <c r="AS69" s="436"/>
      <c r="AT69" s="436"/>
      <c r="AU69" s="436"/>
      <c r="AV69" s="436"/>
      <c r="AW69" s="396">
        <f t="shared" si="2"/>
        <v>0</v>
      </c>
      <c r="AX69" s="434">
        <f t="shared" si="8"/>
        <v>0</v>
      </c>
      <c r="BA69" s="437">
        <f t="shared" si="4"/>
        <v>0</v>
      </c>
      <c r="BB69" s="437">
        <f t="shared" si="5"/>
        <v>0</v>
      </c>
      <c r="BC69" s="437">
        <f t="shared" si="6"/>
        <v>0</v>
      </c>
      <c r="BD69" s="437">
        <f t="shared" si="7"/>
        <v>0</v>
      </c>
      <c r="BE69" s="437"/>
    </row>
    <row r="70" spans="1:57" ht="33" customHeight="1" thickBot="1">
      <c r="A70" s="358" t="s">
        <v>126</v>
      </c>
      <c r="B70" s="169" t="s">
        <v>127</v>
      </c>
      <c r="C70" s="359" t="s">
        <v>35</v>
      </c>
      <c r="D70" s="7">
        <v>55.69</v>
      </c>
      <c r="E70" s="353"/>
      <c r="F70" s="22">
        <f t="shared" si="0"/>
        <v>0</v>
      </c>
      <c r="G70" s="329"/>
      <c r="H70" s="330">
        <f t="shared" si="1"/>
        <v>0</v>
      </c>
      <c r="I70" s="430"/>
      <c r="J70" s="430"/>
      <c r="K70" s="431"/>
      <c r="L70" s="431"/>
      <c r="M70" s="431"/>
      <c r="N70" s="431"/>
      <c r="O70" s="431"/>
      <c r="P70" s="430"/>
      <c r="Q70" s="431"/>
      <c r="R70" s="431"/>
      <c r="S70" s="431"/>
      <c r="T70" s="431"/>
      <c r="U70" s="431"/>
      <c r="V70" s="431"/>
      <c r="W70" s="430"/>
      <c r="X70" s="431"/>
      <c r="Y70" s="431"/>
      <c r="Z70" s="431"/>
      <c r="AA70" s="431"/>
      <c r="AB70" s="431"/>
      <c r="AC70" s="431"/>
      <c r="AD70" s="430"/>
      <c r="AE70" s="431"/>
      <c r="AF70" s="431"/>
      <c r="AG70" s="431"/>
      <c r="AH70" s="431"/>
      <c r="AI70" s="431"/>
      <c r="AJ70" s="431"/>
      <c r="AK70" s="430"/>
      <c r="AL70" s="431"/>
      <c r="AM70" s="431"/>
      <c r="AN70" s="432"/>
      <c r="AQ70" s="436"/>
      <c r="AR70" s="436"/>
      <c r="AS70" s="436"/>
      <c r="AT70" s="436"/>
      <c r="AU70" s="436"/>
      <c r="AV70" s="436"/>
      <c r="AW70" s="396">
        <f t="shared" si="2"/>
        <v>0</v>
      </c>
      <c r="AX70" s="434">
        <f t="shared" si="8"/>
        <v>0</v>
      </c>
      <c r="BA70" s="437">
        <f t="shared" si="4"/>
        <v>0</v>
      </c>
      <c r="BB70" s="437">
        <f t="shared" si="5"/>
        <v>0</v>
      </c>
      <c r="BC70" s="437">
        <f t="shared" si="6"/>
        <v>0</v>
      </c>
      <c r="BD70" s="437">
        <f t="shared" si="7"/>
        <v>0</v>
      </c>
      <c r="BE70" s="437"/>
    </row>
    <row r="71" spans="1:57" ht="33" customHeight="1" thickBot="1">
      <c r="A71" s="361" t="s">
        <v>128</v>
      </c>
      <c r="B71" s="6" t="s">
        <v>129</v>
      </c>
      <c r="C71" s="362" t="s">
        <v>35</v>
      </c>
      <c r="D71" s="7">
        <v>52.33</v>
      </c>
      <c r="E71" s="353"/>
      <c r="F71" s="22">
        <f t="shared" si="0"/>
        <v>0</v>
      </c>
      <c r="G71" s="329"/>
      <c r="H71" s="330">
        <f t="shared" si="1"/>
        <v>0</v>
      </c>
      <c r="I71" s="430"/>
      <c r="J71" s="430"/>
      <c r="K71" s="431"/>
      <c r="L71" s="431"/>
      <c r="M71" s="431"/>
      <c r="N71" s="431"/>
      <c r="O71" s="431"/>
      <c r="P71" s="430"/>
      <c r="Q71" s="431"/>
      <c r="R71" s="431"/>
      <c r="S71" s="431"/>
      <c r="T71" s="431"/>
      <c r="U71" s="431"/>
      <c r="V71" s="431"/>
      <c r="W71" s="430"/>
      <c r="X71" s="431"/>
      <c r="Y71" s="431"/>
      <c r="Z71" s="431"/>
      <c r="AA71" s="431"/>
      <c r="AB71" s="431"/>
      <c r="AC71" s="431"/>
      <c r="AD71" s="430"/>
      <c r="AE71" s="431"/>
      <c r="AF71" s="431"/>
      <c r="AG71" s="431"/>
      <c r="AH71" s="431"/>
      <c r="AI71" s="431"/>
      <c r="AJ71" s="431"/>
      <c r="AK71" s="430"/>
      <c r="AL71" s="431"/>
      <c r="AM71" s="431"/>
      <c r="AN71" s="432"/>
      <c r="AQ71" s="436"/>
      <c r="AR71" s="436"/>
      <c r="AS71" s="436"/>
      <c r="AT71" s="436"/>
      <c r="AU71" s="436"/>
      <c r="AV71" s="436"/>
      <c r="AW71" s="396">
        <f t="shared" si="2"/>
        <v>0</v>
      </c>
      <c r="AX71" s="434">
        <f t="shared" si="8"/>
        <v>0</v>
      </c>
      <c r="BA71" s="437">
        <f t="shared" si="4"/>
        <v>0</v>
      </c>
      <c r="BB71" s="437">
        <f t="shared" si="5"/>
        <v>0</v>
      </c>
      <c r="BC71" s="437">
        <f t="shared" si="6"/>
        <v>0</v>
      </c>
      <c r="BD71" s="437">
        <f t="shared" si="7"/>
        <v>0</v>
      </c>
      <c r="BE71" s="437"/>
    </row>
    <row r="72" spans="1:57" ht="33" customHeight="1" thickBot="1">
      <c r="A72" s="358" t="s">
        <v>130</v>
      </c>
      <c r="B72" s="332" t="s">
        <v>131</v>
      </c>
      <c r="C72" s="360" t="s">
        <v>35</v>
      </c>
      <c r="D72" s="7">
        <v>63.48</v>
      </c>
      <c r="E72" s="353"/>
      <c r="F72" s="22">
        <f t="shared" si="0"/>
        <v>0</v>
      </c>
      <c r="G72" s="329"/>
      <c r="H72" s="330">
        <f t="shared" si="1"/>
        <v>0</v>
      </c>
      <c r="I72" s="430"/>
      <c r="J72" s="430"/>
      <c r="K72" s="431"/>
      <c r="L72" s="431"/>
      <c r="M72" s="431"/>
      <c r="N72" s="431"/>
      <c r="O72" s="431"/>
      <c r="P72" s="430"/>
      <c r="Q72" s="431"/>
      <c r="R72" s="431"/>
      <c r="S72" s="431"/>
      <c r="T72" s="431"/>
      <c r="U72" s="431"/>
      <c r="V72" s="431"/>
      <c r="W72" s="430"/>
      <c r="X72" s="431"/>
      <c r="Y72" s="431"/>
      <c r="Z72" s="431"/>
      <c r="AA72" s="431"/>
      <c r="AB72" s="431"/>
      <c r="AC72" s="431"/>
      <c r="AD72" s="430"/>
      <c r="AE72" s="431"/>
      <c r="AF72" s="431"/>
      <c r="AG72" s="431"/>
      <c r="AH72" s="431"/>
      <c r="AI72" s="431"/>
      <c r="AJ72" s="431"/>
      <c r="AK72" s="430"/>
      <c r="AL72" s="431"/>
      <c r="AM72" s="431"/>
      <c r="AN72" s="432"/>
      <c r="AQ72" s="436"/>
      <c r="AR72" s="436"/>
      <c r="AS72" s="436"/>
      <c r="AT72" s="436"/>
      <c r="AU72" s="436"/>
      <c r="AV72" s="436"/>
      <c r="AW72" s="396">
        <f t="shared" si="2"/>
        <v>0</v>
      </c>
      <c r="AX72" s="434">
        <f t="shared" si="8"/>
        <v>0</v>
      </c>
      <c r="BA72" s="437">
        <f t="shared" si="4"/>
        <v>0</v>
      </c>
      <c r="BB72" s="437">
        <f t="shared" si="5"/>
        <v>0</v>
      </c>
      <c r="BC72" s="437">
        <f t="shared" si="6"/>
        <v>0</v>
      </c>
      <c r="BD72" s="437">
        <f t="shared" si="7"/>
        <v>0</v>
      </c>
      <c r="BE72" s="437"/>
    </row>
    <row r="73" spans="1:57" ht="33" customHeight="1" thickBot="1">
      <c r="A73" s="358" t="s">
        <v>132</v>
      </c>
      <c r="B73" s="169" t="s">
        <v>133</v>
      </c>
      <c r="C73" s="360" t="s">
        <v>86</v>
      </c>
      <c r="D73" s="7">
        <v>5.34</v>
      </c>
      <c r="E73" s="353"/>
      <c r="F73" s="22">
        <f t="shared" si="0"/>
        <v>0</v>
      </c>
      <c r="G73" s="329"/>
      <c r="H73" s="330">
        <f t="shared" si="1"/>
        <v>0</v>
      </c>
      <c r="I73" s="430"/>
      <c r="J73" s="430"/>
      <c r="K73" s="431"/>
      <c r="L73" s="431"/>
      <c r="M73" s="431"/>
      <c r="N73" s="431"/>
      <c r="O73" s="431"/>
      <c r="P73" s="430"/>
      <c r="Q73" s="431"/>
      <c r="R73" s="431"/>
      <c r="S73" s="431"/>
      <c r="T73" s="431"/>
      <c r="U73" s="431"/>
      <c r="V73" s="431"/>
      <c r="W73" s="430"/>
      <c r="X73" s="431"/>
      <c r="Y73" s="431"/>
      <c r="Z73" s="431"/>
      <c r="AA73" s="431"/>
      <c r="AB73" s="431"/>
      <c r="AC73" s="431"/>
      <c r="AD73" s="430"/>
      <c r="AE73" s="431"/>
      <c r="AF73" s="431"/>
      <c r="AG73" s="431"/>
      <c r="AH73" s="431"/>
      <c r="AI73" s="431"/>
      <c r="AJ73" s="431"/>
      <c r="AK73" s="430"/>
      <c r="AL73" s="431"/>
      <c r="AM73" s="431"/>
      <c r="AN73" s="432"/>
      <c r="AQ73" s="436"/>
      <c r="AR73" s="436"/>
      <c r="AS73" s="436"/>
      <c r="AT73" s="436"/>
      <c r="AU73" s="436"/>
      <c r="AV73" s="436"/>
      <c r="AW73" s="396">
        <f t="shared" si="2"/>
        <v>0</v>
      </c>
      <c r="AX73" s="434">
        <f t="shared" si="8"/>
        <v>0</v>
      </c>
      <c r="BA73" s="437">
        <f t="shared" si="4"/>
        <v>0</v>
      </c>
      <c r="BB73" s="437">
        <f t="shared" si="5"/>
        <v>0</v>
      </c>
      <c r="BC73" s="437">
        <f t="shared" si="6"/>
        <v>0</v>
      </c>
      <c r="BD73" s="437">
        <f t="shared" si="7"/>
        <v>0</v>
      </c>
      <c r="BE73" s="437"/>
    </row>
    <row r="74" spans="1:57" ht="33" customHeight="1" thickBot="1">
      <c r="A74" s="358" t="s">
        <v>134</v>
      </c>
      <c r="B74" s="169" t="s">
        <v>135</v>
      </c>
      <c r="C74" s="360" t="s">
        <v>35</v>
      </c>
      <c r="D74" s="7">
        <v>138.75</v>
      </c>
      <c r="E74" s="353"/>
      <c r="F74" s="22">
        <f t="shared" si="0"/>
        <v>0</v>
      </c>
      <c r="G74" s="329"/>
      <c r="H74" s="330">
        <f t="shared" si="1"/>
        <v>0</v>
      </c>
      <c r="I74" s="430"/>
      <c r="J74" s="430"/>
      <c r="K74" s="431"/>
      <c r="L74" s="431"/>
      <c r="M74" s="431"/>
      <c r="N74" s="431"/>
      <c r="O74" s="431"/>
      <c r="P74" s="430"/>
      <c r="Q74" s="431"/>
      <c r="R74" s="431"/>
      <c r="S74" s="431"/>
      <c r="T74" s="431"/>
      <c r="U74" s="431"/>
      <c r="V74" s="431"/>
      <c r="W74" s="430"/>
      <c r="X74" s="431"/>
      <c r="Y74" s="431"/>
      <c r="Z74" s="431"/>
      <c r="AA74" s="431"/>
      <c r="AB74" s="431"/>
      <c r="AC74" s="431"/>
      <c r="AD74" s="430"/>
      <c r="AE74" s="431"/>
      <c r="AF74" s="431"/>
      <c r="AG74" s="431"/>
      <c r="AH74" s="431"/>
      <c r="AI74" s="431"/>
      <c r="AJ74" s="431"/>
      <c r="AK74" s="430"/>
      <c r="AL74" s="431"/>
      <c r="AM74" s="431"/>
      <c r="AN74" s="432"/>
      <c r="AQ74" s="436"/>
      <c r="AR74" s="436"/>
      <c r="AS74" s="436"/>
      <c r="AT74" s="436"/>
      <c r="AU74" s="436"/>
      <c r="AV74" s="436"/>
      <c r="AW74" s="396">
        <f t="shared" si="2"/>
        <v>0</v>
      </c>
      <c r="AX74" s="434">
        <f t="shared" si="8"/>
        <v>0</v>
      </c>
      <c r="BA74" s="437">
        <f t="shared" si="4"/>
        <v>0</v>
      </c>
      <c r="BB74" s="437">
        <f t="shared" si="5"/>
        <v>0</v>
      </c>
      <c r="BC74" s="437">
        <f t="shared" si="6"/>
        <v>0</v>
      </c>
      <c r="BD74" s="437">
        <f t="shared" si="7"/>
        <v>0</v>
      </c>
      <c r="BE74" s="437"/>
    </row>
    <row r="75" spans="1:57" ht="33" customHeight="1" thickBot="1">
      <c r="A75" s="364" t="s">
        <v>136</v>
      </c>
      <c r="B75" s="169" t="s">
        <v>137</v>
      </c>
      <c r="C75" s="360" t="s">
        <v>13</v>
      </c>
      <c r="D75" s="7">
        <v>27400.82</v>
      </c>
      <c r="E75" s="353"/>
      <c r="F75" s="22">
        <f t="shared" ref="F75:F138" si="9">E75*D75</f>
        <v>0</v>
      </c>
      <c r="G75" s="329"/>
      <c r="H75" s="330">
        <f t="shared" ref="H75:H138" si="10">G75*D75</f>
        <v>0</v>
      </c>
      <c r="I75" s="430"/>
      <c r="J75" s="430"/>
      <c r="K75" s="431"/>
      <c r="L75" s="431"/>
      <c r="M75" s="431"/>
      <c r="N75" s="431"/>
      <c r="O75" s="431"/>
      <c r="P75" s="430"/>
      <c r="Q75" s="431"/>
      <c r="R75" s="431"/>
      <c r="S75" s="431"/>
      <c r="T75" s="431"/>
      <c r="U75" s="431"/>
      <c r="V75" s="431"/>
      <c r="W75" s="430"/>
      <c r="X75" s="431"/>
      <c r="Y75" s="431"/>
      <c r="Z75" s="431"/>
      <c r="AA75" s="431"/>
      <c r="AB75" s="431"/>
      <c r="AC75" s="431"/>
      <c r="AD75" s="430"/>
      <c r="AE75" s="431"/>
      <c r="AF75" s="431"/>
      <c r="AG75" s="431"/>
      <c r="AH75" s="431"/>
      <c r="AI75" s="431"/>
      <c r="AJ75" s="431"/>
      <c r="AK75" s="430"/>
      <c r="AL75" s="431"/>
      <c r="AM75" s="431"/>
      <c r="AN75" s="432"/>
      <c r="AQ75" s="436"/>
      <c r="AR75" s="436"/>
      <c r="AS75" s="436"/>
      <c r="AT75" s="436"/>
      <c r="AU75" s="436"/>
      <c r="AV75" s="436"/>
      <c r="AW75" s="396">
        <f t="shared" ref="AW75:AW138" si="11">AR75+AT75+AV75</f>
        <v>0</v>
      </c>
      <c r="AX75" s="434">
        <f t="shared" si="8"/>
        <v>0</v>
      </c>
      <c r="BA75" s="437">
        <f t="shared" si="4"/>
        <v>0</v>
      </c>
      <c r="BB75" s="437">
        <f t="shared" si="5"/>
        <v>0</v>
      </c>
      <c r="BC75" s="437">
        <f t="shared" si="6"/>
        <v>0</v>
      </c>
      <c r="BD75" s="437">
        <f t="shared" si="7"/>
        <v>0</v>
      </c>
      <c r="BE75" s="437"/>
    </row>
    <row r="76" spans="1:57" ht="33" customHeight="1" thickBot="1">
      <c r="A76" s="358" t="s">
        <v>138</v>
      </c>
      <c r="B76" s="169" t="s">
        <v>139</v>
      </c>
      <c r="C76" s="360" t="s">
        <v>35</v>
      </c>
      <c r="D76" s="7">
        <v>90.41</v>
      </c>
      <c r="E76" s="353"/>
      <c r="F76" s="22">
        <f t="shared" si="9"/>
        <v>0</v>
      </c>
      <c r="G76" s="329"/>
      <c r="H76" s="330">
        <f t="shared" si="10"/>
        <v>0</v>
      </c>
      <c r="I76" s="430"/>
      <c r="J76" s="430"/>
      <c r="K76" s="431"/>
      <c r="L76" s="431"/>
      <c r="M76" s="431"/>
      <c r="N76" s="431"/>
      <c r="O76" s="431"/>
      <c r="P76" s="430"/>
      <c r="Q76" s="431"/>
      <c r="R76" s="431"/>
      <c r="S76" s="431"/>
      <c r="T76" s="431"/>
      <c r="U76" s="431"/>
      <c r="V76" s="431"/>
      <c r="W76" s="430"/>
      <c r="X76" s="431"/>
      <c r="Y76" s="431"/>
      <c r="Z76" s="431"/>
      <c r="AA76" s="431"/>
      <c r="AB76" s="431"/>
      <c r="AC76" s="431"/>
      <c r="AD76" s="430"/>
      <c r="AE76" s="431"/>
      <c r="AF76" s="431"/>
      <c r="AG76" s="431"/>
      <c r="AH76" s="431"/>
      <c r="AI76" s="431"/>
      <c r="AJ76" s="431"/>
      <c r="AK76" s="430"/>
      <c r="AL76" s="431"/>
      <c r="AM76" s="431"/>
      <c r="AN76" s="432"/>
      <c r="AQ76" s="436"/>
      <c r="AR76" s="436"/>
      <c r="AS76" s="436"/>
      <c r="AT76" s="436"/>
      <c r="AU76" s="436"/>
      <c r="AV76" s="436"/>
      <c r="AW76" s="396">
        <f t="shared" si="11"/>
        <v>0</v>
      </c>
      <c r="AX76" s="434">
        <f t="shared" si="8"/>
        <v>0</v>
      </c>
      <c r="BA76" s="437">
        <f t="shared" ref="BA76:BA139" si="12">SUM(I76:O76)</f>
        <v>0</v>
      </c>
      <c r="BB76" s="437">
        <f t="shared" ref="BB76:BB139" si="13">SUM(Q76:V76)</f>
        <v>0</v>
      </c>
      <c r="BC76" s="437">
        <f t="shared" ref="BC76:BC139" si="14">SUM(X76:AD76)</f>
        <v>0</v>
      </c>
      <c r="BD76" s="437">
        <f t="shared" ref="BD76:BD139" si="15">SUM(AE76:AJ76)</f>
        <v>0</v>
      </c>
      <c r="BE76" s="437"/>
    </row>
    <row r="77" spans="1:57" ht="33" customHeight="1" thickBot="1">
      <c r="A77" s="358" t="s">
        <v>140</v>
      </c>
      <c r="B77" s="169" t="s">
        <v>141</v>
      </c>
      <c r="C77" s="360" t="s">
        <v>35</v>
      </c>
      <c r="D77" s="7">
        <v>30</v>
      </c>
      <c r="E77" s="353"/>
      <c r="F77" s="22">
        <f t="shared" si="9"/>
        <v>0</v>
      </c>
      <c r="G77" s="329"/>
      <c r="H77" s="330">
        <f t="shared" si="10"/>
        <v>0</v>
      </c>
      <c r="I77" s="430"/>
      <c r="J77" s="430"/>
      <c r="K77" s="431"/>
      <c r="L77" s="431"/>
      <c r="M77" s="431"/>
      <c r="N77" s="431"/>
      <c r="O77" s="431"/>
      <c r="P77" s="430"/>
      <c r="Q77" s="431"/>
      <c r="R77" s="431"/>
      <c r="S77" s="431"/>
      <c r="T77" s="431"/>
      <c r="U77" s="431"/>
      <c r="V77" s="431"/>
      <c r="W77" s="430"/>
      <c r="X77" s="431"/>
      <c r="Y77" s="431"/>
      <c r="Z77" s="431"/>
      <c r="AA77" s="431"/>
      <c r="AB77" s="431"/>
      <c r="AC77" s="431"/>
      <c r="AD77" s="430"/>
      <c r="AE77" s="431"/>
      <c r="AF77" s="431"/>
      <c r="AG77" s="431"/>
      <c r="AH77" s="431"/>
      <c r="AI77" s="431"/>
      <c r="AJ77" s="431"/>
      <c r="AK77" s="430"/>
      <c r="AL77" s="431"/>
      <c r="AM77" s="431"/>
      <c r="AN77" s="432"/>
      <c r="AQ77" s="436"/>
      <c r="AR77" s="436"/>
      <c r="AS77" s="436"/>
      <c r="AT77" s="436"/>
      <c r="AU77" s="436"/>
      <c r="AV77" s="436"/>
      <c r="AW77" s="396">
        <f t="shared" si="11"/>
        <v>0</v>
      </c>
      <c r="AX77" s="434">
        <f t="shared" si="8"/>
        <v>0</v>
      </c>
      <c r="BA77" s="437">
        <f t="shared" si="12"/>
        <v>0</v>
      </c>
      <c r="BB77" s="437">
        <f t="shared" si="13"/>
        <v>0</v>
      </c>
      <c r="BC77" s="437">
        <f t="shared" si="14"/>
        <v>0</v>
      </c>
      <c r="BD77" s="437">
        <f t="shared" si="15"/>
        <v>0</v>
      </c>
      <c r="BE77" s="437"/>
    </row>
    <row r="78" spans="1:57" ht="33" customHeight="1" thickBot="1">
      <c r="A78" s="358" t="s">
        <v>142</v>
      </c>
      <c r="B78" s="169" t="s">
        <v>143</v>
      </c>
      <c r="C78" s="360" t="s">
        <v>144</v>
      </c>
      <c r="D78" s="7">
        <v>436.01</v>
      </c>
      <c r="E78" s="353"/>
      <c r="F78" s="22">
        <f t="shared" si="9"/>
        <v>0</v>
      </c>
      <c r="G78" s="329"/>
      <c r="H78" s="330">
        <f t="shared" si="10"/>
        <v>0</v>
      </c>
      <c r="I78" s="430"/>
      <c r="J78" s="430"/>
      <c r="K78" s="431"/>
      <c r="L78" s="431"/>
      <c r="M78" s="431"/>
      <c r="N78" s="431"/>
      <c r="O78" s="431"/>
      <c r="P78" s="430"/>
      <c r="Q78" s="431"/>
      <c r="R78" s="431"/>
      <c r="S78" s="431"/>
      <c r="T78" s="431"/>
      <c r="U78" s="431"/>
      <c r="V78" s="431"/>
      <c r="W78" s="430"/>
      <c r="X78" s="431"/>
      <c r="Y78" s="431"/>
      <c r="Z78" s="431"/>
      <c r="AA78" s="431"/>
      <c r="AB78" s="431"/>
      <c r="AC78" s="431"/>
      <c r="AD78" s="430"/>
      <c r="AE78" s="431"/>
      <c r="AF78" s="431"/>
      <c r="AG78" s="431"/>
      <c r="AH78" s="431"/>
      <c r="AI78" s="431"/>
      <c r="AJ78" s="431"/>
      <c r="AK78" s="430"/>
      <c r="AL78" s="431"/>
      <c r="AM78" s="431"/>
      <c r="AN78" s="432"/>
      <c r="AQ78" s="436"/>
      <c r="AR78" s="436"/>
      <c r="AS78" s="436"/>
      <c r="AT78" s="436"/>
      <c r="AU78" s="436"/>
      <c r="AV78" s="436"/>
      <c r="AW78" s="396">
        <f t="shared" si="11"/>
        <v>0</v>
      </c>
      <c r="AX78" s="434">
        <f t="shared" si="8"/>
        <v>0</v>
      </c>
      <c r="BA78" s="437">
        <f t="shared" si="12"/>
        <v>0</v>
      </c>
      <c r="BB78" s="437">
        <f t="shared" si="13"/>
        <v>0</v>
      </c>
      <c r="BC78" s="437">
        <f t="shared" si="14"/>
        <v>0</v>
      </c>
      <c r="BD78" s="437">
        <f t="shared" si="15"/>
        <v>0</v>
      </c>
      <c r="BE78" s="437"/>
    </row>
    <row r="79" spans="1:57" ht="33" customHeight="1" thickBot="1">
      <c r="A79" s="361" t="s">
        <v>145</v>
      </c>
      <c r="B79" s="23" t="s">
        <v>146</v>
      </c>
      <c r="C79" s="362" t="s">
        <v>144</v>
      </c>
      <c r="D79" s="7">
        <v>265.11</v>
      </c>
      <c r="E79" s="353"/>
      <c r="F79" s="22">
        <f t="shared" si="9"/>
        <v>0</v>
      </c>
      <c r="G79" s="329"/>
      <c r="H79" s="330">
        <f t="shared" si="10"/>
        <v>0</v>
      </c>
      <c r="I79" s="430"/>
      <c r="J79" s="430"/>
      <c r="K79" s="431"/>
      <c r="L79" s="431"/>
      <c r="M79" s="431"/>
      <c r="N79" s="431"/>
      <c r="O79" s="431"/>
      <c r="P79" s="430"/>
      <c r="Q79" s="431"/>
      <c r="R79" s="431"/>
      <c r="S79" s="431"/>
      <c r="T79" s="431"/>
      <c r="U79" s="431"/>
      <c r="V79" s="431"/>
      <c r="W79" s="430"/>
      <c r="X79" s="431"/>
      <c r="Y79" s="431"/>
      <c r="Z79" s="431"/>
      <c r="AA79" s="431"/>
      <c r="AB79" s="431"/>
      <c r="AC79" s="431"/>
      <c r="AD79" s="430"/>
      <c r="AE79" s="431"/>
      <c r="AF79" s="431"/>
      <c r="AG79" s="431"/>
      <c r="AH79" s="431"/>
      <c r="AI79" s="431"/>
      <c r="AJ79" s="431"/>
      <c r="AK79" s="430"/>
      <c r="AL79" s="431"/>
      <c r="AM79" s="431"/>
      <c r="AN79" s="432"/>
      <c r="AQ79" s="436"/>
      <c r="AR79" s="436"/>
      <c r="AS79" s="436"/>
      <c r="AT79" s="436"/>
      <c r="AU79" s="436"/>
      <c r="AV79" s="436"/>
      <c r="AW79" s="396">
        <f t="shared" si="11"/>
        <v>0</v>
      </c>
      <c r="AX79" s="434">
        <f t="shared" si="8"/>
        <v>0</v>
      </c>
      <c r="BA79" s="437">
        <f t="shared" si="12"/>
        <v>0</v>
      </c>
      <c r="BB79" s="437">
        <f t="shared" si="13"/>
        <v>0</v>
      </c>
      <c r="BC79" s="437">
        <f t="shared" si="14"/>
        <v>0</v>
      </c>
      <c r="BD79" s="437">
        <f t="shared" si="15"/>
        <v>0</v>
      </c>
      <c r="BE79" s="437"/>
    </row>
    <row r="80" spans="1:57" ht="33" customHeight="1" thickBot="1">
      <c r="A80" s="361" t="s">
        <v>147</v>
      </c>
      <c r="B80" s="6" t="s">
        <v>148</v>
      </c>
      <c r="C80" s="362" t="s">
        <v>144</v>
      </c>
      <c r="D80" s="7">
        <v>98</v>
      </c>
      <c r="E80" s="353"/>
      <c r="F80" s="22">
        <f t="shared" si="9"/>
        <v>0</v>
      </c>
      <c r="G80" s="329"/>
      <c r="H80" s="330">
        <f t="shared" si="10"/>
        <v>0</v>
      </c>
      <c r="I80" s="430"/>
      <c r="J80" s="430"/>
      <c r="K80" s="431"/>
      <c r="L80" s="431"/>
      <c r="M80" s="431"/>
      <c r="N80" s="431"/>
      <c r="O80" s="431"/>
      <c r="P80" s="430"/>
      <c r="Q80" s="431"/>
      <c r="R80" s="431"/>
      <c r="S80" s="431"/>
      <c r="T80" s="431"/>
      <c r="U80" s="431"/>
      <c r="V80" s="431"/>
      <c r="W80" s="430"/>
      <c r="X80" s="431"/>
      <c r="Y80" s="431"/>
      <c r="Z80" s="431"/>
      <c r="AA80" s="431"/>
      <c r="AB80" s="431"/>
      <c r="AC80" s="431"/>
      <c r="AD80" s="430"/>
      <c r="AE80" s="431"/>
      <c r="AF80" s="431"/>
      <c r="AG80" s="431"/>
      <c r="AH80" s="431"/>
      <c r="AI80" s="431"/>
      <c r="AJ80" s="431"/>
      <c r="AK80" s="430"/>
      <c r="AL80" s="431"/>
      <c r="AM80" s="431"/>
      <c r="AN80" s="432"/>
      <c r="AQ80" s="436"/>
      <c r="AR80" s="436"/>
      <c r="AS80" s="436"/>
      <c r="AT80" s="436"/>
      <c r="AU80" s="436"/>
      <c r="AV80" s="436"/>
      <c r="AW80" s="396">
        <f t="shared" si="11"/>
        <v>0</v>
      </c>
      <c r="AX80" s="434">
        <f t="shared" si="8"/>
        <v>0</v>
      </c>
      <c r="BA80" s="437">
        <f t="shared" si="12"/>
        <v>0</v>
      </c>
      <c r="BB80" s="437">
        <f t="shared" si="13"/>
        <v>0</v>
      </c>
      <c r="BC80" s="437">
        <f t="shared" si="14"/>
        <v>0</v>
      </c>
      <c r="BD80" s="437">
        <f t="shared" si="15"/>
        <v>0</v>
      </c>
      <c r="BE80" s="437"/>
    </row>
    <row r="81" spans="1:57" ht="33" customHeight="1" thickBot="1">
      <c r="A81" s="358" t="s">
        <v>149</v>
      </c>
      <c r="B81" s="332" t="s">
        <v>150</v>
      </c>
      <c r="C81" s="359" t="s">
        <v>144</v>
      </c>
      <c r="D81" s="7">
        <v>455.62</v>
      </c>
      <c r="E81" s="353"/>
      <c r="F81" s="22">
        <f t="shared" si="9"/>
        <v>0</v>
      </c>
      <c r="G81" s="329"/>
      <c r="H81" s="330">
        <f t="shared" si="10"/>
        <v>0</v>
      </c>
      <c r="I81" s="430"/>
      <c r="J81" s="430"/>
      <c r="K81" s="431"/>
      <c r="L81" s="431"/>
      <c r="M81" s="431"/>
      <c r="N81" s="431"/>
      <c r="O81" s="431"/>
      <c r="P81" s="430"/>
      <c r="Q81" s="431"/>
      <c r="R81" s="431"/>
      <c r="S81" s="431"/>
      <c r="T81" s="431"/>
      <c r="U81" s="431"/>
      <c r="V81" s="431"/>
      <c r="W81" s="430"/>
      <c r="X81" s="431"/>
      <c r="Y81" s="431"/>
      <c r="Z81" s="431"/>
      <c r="AA81" s="431"/>
      <c r="AB81" s="431"/>
      <c r="AC81" s="431"/>
      <c r="AD81" s="430"/>
      <c r="AE81" s="431"/>
      <c r="AF81" s="431"/>
      <c r="AG81" s="431"/>
      <c r="AH81" s="431"/>
      <c r="AI81" s="431"/>
      <c r="AJ81" s="431"/>
      <c r="AK81" s="430"/>
      <c r="AL81" s="431"/>
      <c r="AM81" s="431"/>
      <c r="AN81" s="432"/>
      <c r="AQ81" s="436"/>
      <c r="AR81" s="436"/>
      <c r="AS81" s="436"/>
      <c r="AT81" s="436"/>
      <c r="AU81" s="436"/>
      <c r="AV81" s="436"/>
      <c r="AW81" s="396">
        <f t="shared" si="11"/>
        <v>0</v>
      </c>
      <c r="AX81" s="434">
        <f t="shared" si="8"/>
        <v>0</v>
      </c>
      <c r="BA81" s="437">
        <f t="shared" si="12"/>
        <v>0</v>
      </c>
      <c r="BB81" s="437">
        <f t="shared" si="13"/>
        <v>0</v>
      </c>
      <c r="BC81" s="437">
        <f t="shared" si="14"/>
        <v>0</v>
      </c>
      <c r="BD81" s="437">
        <f t="shared" si="15"/>
        <v>0</v>
      </c>
      <c r="BE81" s="437"/>
    </row>
    <row r="82" spans="1:57" ht="30.75" customHeight="1" thickBot="1">
      <c r="A82" s="358" t="s">
        <v>151</v>
      </c>
      <c r="B82" s="332" t="s">
        <v>152</v>
      </c>
      <c r="C82" s="359" t="s">
        <v>144</v>
      </c>
      <c r="D82" s="7">
        <v>1368.8</v>
      </c>
      <c r="E82" s="353"/>
      <c r="F82" s="22">
        <f t="shared" si="9"/>
        <v>0</v>
      </c>
      <c r="G82" s="329"/>
      <c r="H82" s="330">
        <f t="shared" si="10"/>
        <v>0</v>
      </c>
      <c r="I82" s="430"/>
      <c r="J82" s="430"/>
      <c r="K82" s="431"/>
      <c r="L82" s="431"/>
      <c r="M82" s="431"/>
      <c r="N82" s="431"/>
      <c r="O82" s="431"/>
      <c r="P82" s="430"/>
      <c r="Q82" s="431"/>
      <c r="R82" s="431"/>
      <c r="S82" s="431"/>
      <c r="T82" s="431"/>
      <c r="U82" s="431"/>
      <c r="V82" s="431"/>
      <c r="W82" s="430"/>
      <c r="X82" s="431"/>
      <c r="Y82" s="431"/>
      <c r="Z82" s="431"/>
      <c r="AA82" s="431"/>
      <c r="AB82" s="431"/>
      <c r="AC82" s="431"/>
      <c r="AD82" s="430"/>
      <c r="AE82" s="431"/>
      <c r="AF82" s="431"/>
      <c r="AG82" s="431"/>
      <c r="AH82" s="431"/>
      <c r="AI82" s="431"/>
      <c r="AJ82" s="431"/>
      <c r="AK82" s="430"/>
      <c r="AL82" s="431"/>
      <c r="AM82" s="431"/>
      <c r="AN82" s="432"/>
      <c r="AQ82" s="436"/>
      <c r="AR82" s="436"/>
      <c r="AS82" s="436"/>
      <c r="AT82" s="436"/>
      <c r="AU82" s="436"/>
      <c r="AV82" s="436"/>
      <c r="AW82" s="396">
        <f t="shared" si="11"/>
        <v>0</v>
      </c>
      <c r="AX82" s="434">
        <f t="shared" si="8"/>
        <v>0</v>
      </c>
      <c r="BA82" s="437">
        <f t="shared" si="12"/>
        <v>0</v>
      </c>
      <c r="BB82" s="437">
        <f t="shared" si="13"/>
        <v>0</v>
      </c>
      <c r="BC82" s="437">
        <f t="shared" si="14"/>
        <v>0</v>
      </c>
      <c r="BD82" s="437">
        <f t="shared" si="15"/>
        <v>0</v>
      </c>
      <c r="BE82" s="437"/>
    </row>
    <row r="83" spans="1:57" ht="33" customHeight="1" thickBot="1">
      <c r="A83" s="358" t="s">
        <v>153</v>
      </c>
      <c r="B83" s="332" t="s">
        <v>154</v>
      </c>
      <c r="C83" s="359" t="s">
        <v>35</v>
      </c>
      <c r="D83" s="7">
        <v>53.48</v>
      </c>
      <c r="E83" s="353"/>
      <c r="F83" s="22">
        <f t="shared" si="9"/>
        <v>0</v>
      </c>
      <c r="G83" s="329"/>
      <c r="H83" s="330">
        <f t="shared" si="10"/>
        <v>0</v>
      </c>
      <c r="I83" s="430"/>
      <c r="J83" s="430"/>
      <c r="K83" s="431"/>
      <c r="L83" s="431"/>
      <c r="M83" s="431"/>
      <c r="N83" s="431"/>
      <c r="O83" s="431"/>
      <c r="P83" s="430"/>
      <c r="Q83" s="431"/>
      <c r="R83" s="431"/>
      <c r="S83" s="431"/>
      <c r="T83" s="431"/>
      <c r="U83" s="431"/>
      <c r="V83" s="431"/>
      <c r="W83" s="430"/>
      <c r="X83" s="431"/>
      <c r="Y83" s="431"/>
      <c r="Z83" s="431"/>
      <c r="AA83" s="431"/>
      <c r="AB83" s="431"/>
      <c r="AC83" s="431"/>
      <c r="AD83" s="430"/>
      <c r="AE83" s="431"/>
      <c r="AF83" s="431"/>
      <c r="AG83" s="431"/>
      <c r="AH83" s="431"/>
      <c r="AI83" s="431"/>
      <c r="AJ83" s="431"/>
      <c r="AK83" s="430"/>
      <c r="AL83" s="431"/>
      <c r="AM83" s="431"/>
      <c r="AN83" s="432"/>
      <c r="AQ83" s="436"/>
      <c r="AR83" s="436"/>
      <c r="AS83" s="436"/>
      <c r="AT83" s="436"/>
      <c r="AU83" s="436"/>
      <c r="AV83" s="436"/>
      <c r="AW83" s="396">
        <f t="shared" si="11"/>
        <v>0</v>
      </c>
      <c r="AX83" s="434">
        <f t="shared" ref="AX83:AX146" si="16">G83-AW83</f>
        <v>0</v>
      </c>
      <c r="BA83" s="437">
        <f t="shared" si="12"/>
        <v>0</v>
      </c>
      <c r="BB83" s="437">
        <f t="shared" si="13"/>
        <v>0</v>
      </c>
      <c r="BC83" s="437">
        <f t="shared" si="14"/>
        <v>0</v>
      </c>
      <c r="BD83" s="437">
        <f t="shared" si="15"/>
        <v>0</v>
      </c>
      <c r="BE83" s="437"/>
    </row>
    <row r="84" spans="1:57" ht="33" customHeight="1" thickBot="1">
      <c r="A84" s="361" t="s">
        <v>155</v>
      </c>
      <c r="B84" s="335" t="s">
        <v>156</v>
      </c>
      <c r="C84" s="362" t="s">
        <v>86</v>
      </c>
      <c r="D84" s="7">
        <v>1.43</v>
      </c>
      <c r="E84" s="353"/>
      <c r="F84" s="22">
        <f t="shared" si="9"/>
        <v>0</v>
      </c>
      <c r="G84" s="329"/>
      <c r="H84" s="330">
        <f t="shared" si="10"/>
        <v>0</v>
      </c>
      <c r="I84" s="430"/>
      <c r="J84" s="430"/>
      <c r="K84" s="431"/>
      <c r="L84" s="431"/>
      <c r="M84" s="431"/>
      <c r="N84" s="431"/>
      <c r="O84" s="431"/>
      <c r="P84" s="430"/>
      <c r="Q84" s="431"/>
      <c r="R84" s="431"/>
      <c r="S84" s="431"/>
      <c r="T84" s="431"/>
      <c r="U84" s="431"/>
      <c r="V84" s="431"/>
      <c r="W84" s="430"/>
      <c r="X84" s="431"/>
      <c r="Y84" s="431"/>
      <c r="Z84" s="431"/>
      <c r="AA84" s="431"/>
      <c r="AB84" s="431"/>
      <c r="AC84" s="431"/>
      <c r="AD84" s="430"/>
      <c r="AE84" s="431"/>
      <c r="AF84" s="431"/>
      <c r="AG84" s="431"/>
      <c r="AH84" s="431"/>
      <c r="AI84" s="431"/>
      <c r="AJ84" s="431"/>
      <c r="AK84" s="430"/>
      <c r="AL84" s="431"/>
      <c r="AM84" s="431"/>
      <c r="AN84" s="432"/>
      <c r="AQ84" s="436"/>
      <c r="AR84" s="436"/>
      <c r="AS84" s="436"/>
      <c r="AT84" s="436"/>
      <c r="AU84" s="436"/>
      <c r="AV84" s="436"/>
      <c r="AW84" s="396">
        <f t="shared" si="11"/>
        <v>0</v>
      </c>
      <c r="AX84" s="434">
        <f t="shared" si="16"/>
        <v>0</v>
      </c>
      <c r="BA84" s="437">
        <f t="shared" si="12"/>
        <v>0</v>
      </c>
      <c r="BB84" s="437">
        <f t="shared" si="13"/>
        <v>0</v>
      </c>
      <c r="BC84" s="437">
        <f t="shared" si="14"/>
        <v>0</v>
      </c>
      <c r="BD84" s="437">
        <f t="shared" si="15"/>
        <v>0</v>
      </c>
      <c r="BE84" s="437"/>
    </row>
    <row r="85" spans="1:57" ht="33" customHeight="1" thickBot="1">
      <c r="A85" s="358" t="s">
        <v>157</v>
      </c>
      <c r="B85" s="336" t="s">
        <v>158</v>
      </c>
      <c r="C85" s="359" t="s">
        <v>86</v>
      </c>
      <c r="D85" s="7">
        <v>12.09</v>
      </c>
      <c r="E85" s="353"/>
      <c r="F85" s="22">
        <f t="shared" si="9"/>
        <v>0</v>
      </c>
      <c r="G85" s="329"/>
      <c r="H85" s="330">
        <f t="shared" si="10"/>
        <v>0</v>
      </c>
      <c r="I85" s="430"/>
      <c r="J85" s="430"/>
      <c r="K85" s="431"/>
      <c r="L85" s="431"/>
      <c r="M85" s="431"/>
      <c r="N85" s="431"/>
      <c r="O85" s="431"/>
      <c r="P85" s="430"/>
      <c r="Q85" s="431"/>
      <c r="R85" s="431"/>
      <c r="S85" s="431"/>
      <c r="T85" s="431"/>
      <c r="U85" s="431"/>
      <c r="V85" s="431"/>
      <c r="W85" s="430"/>
      <c r="X85" s="431"/>
      <c r="Y85" s="431"/>
      <c r="Z85" s="431"/>
      <c r="AA85" s="431"/>
      <c r="AB85" s="431"/>
      <c r="AC85" s="431"/>
      <c r="AD85" s="430"/>
      <c r="AE85" s="431"/>
      <c r="AF85" s="431"/>
      <c r="AG85" s="431"/>
      <c r="AH85" s="431"/>
      <c r="AI85" s="431"/>
      <c r="AJ85" s="431"/>
      <c r="AK85" s="430"/>
      <c r="AL85" s="431"/>
      <c r="AM85" s="431"/>
      <c r="AN85" s="432"/>
      <c r="AQ85" s="436"/>
      <c r="AR85" s="436"/>
      <c r="AS85" s="436"/>
      <c r="AT85" s="436"/>
      <c r="AU85" s="436"/>
      <c r="AV85" s="436"/>
      <c r="AW85" s="396">
        <f t="shared" si="11"/>
        <v>0</v>
      </c>
      <c r="AX85" s="434">
        <f t="shared" si="16"/>
        <v>0</v>
      </c>
      <c r="BA85" s="437">
        <f t="shared" si="12"/>
        <v>0</v>
      </c>
      <c r="BB85" s="437">
        <f t="shared" si="13"/>
        <v>0</v>
      </c>
      <c r="BC85" s="437">
        <f t="shared" si="14"/>
        <v>0</v>
      </c>
      <c r="BD85" s="437">
        <f t="shared" si="15"/>
        <v>0</v>
      </c>
      <c r="BE85" s="437"/>
    </row>
    <row r="86" spans="1:57" ht="33" customHeight="1" thickBot="1">
      <c r="A86" s="358" t="s">
        <v>159</v>
      </c>
      <c r="B86" s="332" t="s">
        <v>160</v>
      </c>
      <c r="C86" s="359" t="s">
        <v>86</v>
      </c>
      <c r="D86" s="7">
        <v>3.9</v>
      </c>
      <c r="E86" s="353"/>
      <c r="F86" s="22">
        <f t="shared" si="9"/>
        <v>0</v>
      </c>
      <c r="G86" s="329"/>
      <c r="H86" s="330">
        <f t="shared" si="10"/>
        <v>0</v>
      </c>
      <c r="I86" s="430"/>
      <c r="J86" s="430"/>
      <c r="K86" s="431"/>
      <c r="L86" s="431"/>
      <c r="M86" s="431"/>
      <c r="N86" s="431"/>
      <c r="O86" s="431"/>
      <c r="P86" s="430"/>
      <c r="Q86" s="431"/>
      <c r="R86" s="431"/>
      <c r="S86" s="431"/>
      <c r="T86" s="431"/>
      <c r="U86" s="431"/>
      <c r="V86" s="431"/>
      <c r="W86" s="430"/>
      <c r="X86" s="431"/>
      <c r="Y86" s="431"/>
      <c r="Z86" s="431"/>
      <c r="AA86" s="431"/>
      <c r="AB86" s="431"/>
      <c r="AC86" s="431"/>
      <c r="AD86" s="430"/>
      <c r="AE86" s="431"/>
      <c r="AF86" s="431"/>
      <c r="AG86" s="431"/>
      <c r="AH86" s="431"/>
      <c r="AI86" s="431"/>
      <c r="AJ86" s="431"/>
      <c r="AK86" s="430"/>
      <c r="AL86" s="431"/>
      <c r="AM86" s="431"/>
      <c r="AN86" s="432"/>
      <c r="AQ86" s="436"/>
      <c r="AR86" s="436"/>
      <c r="AS86" s="436"/>
      <c r="AT86" s="436"/>
      <c r="AU86" s="436"/>
      <c r="AV86" s="436"/>
      <c r="AW86" s="396">
        <f t="shared" si="11"/>
        <v>0</v>
      </c>
      <c r="AX86" s="434">
        <f t="shared" si="16"/>
        <v>0</v>
      </c>
      <c r="BA86" s="437">
        <f t="shared" si="12"/>
        <v>0</v>
      </c>
      <c r="BB86" s="437">
        <f t="shared" si="13"/>
        <v>0</v>
      </c>
      <c r="BC86" s="437">
        <f t="shared" si="14"/>
        <v>0</v>
      </c>
      <c r="BD86" s="437">
        <f t="shared" si="15"/>
        <v>0</v>
      </c>
      <c r="BE86" s="437"/>
    </row>
    <row r="87" spans="1:57" ht="33" customHeight="1" thickBot="1">
      <c r="A87" s="358" t="s">
        <v>161</v>
      </c>
      <c r="B87" s="336" t="s">
        <v>162</v>
      </c>
      <c r="C87" s="359" t="s">
        <v>86</v>
      </c>
      <c r="D87" s="7">
        <v>4</v>
      </c>
      <c r="E87" s="353"/>
      <c r="F87" s="22">
        <f t="shared" si="9"/>
        <v>0</v>
      </c>
      <c r="G87" s="329"/>
      <c r="H87" s="330">
        <f t="shared" si="10"/>
        <v>0</v>
      </c>
      <c r="I87" s="430"/>
      <c r="J87" s="430"/>
      <c r="K87" s="431"/>
      <c r="L87" s="431"/>
      <c r="M87" s="431"/>
      <c r="N87" s="431"/>
      <c r="O87" s="431"/>
      <c r="P87" s="430"/>
      <c r="Q87" s="431"/>
      <c r="R87" s="431"/>
      <c r="S87" s="431"/>
      <c r="T87" s="431"/>
      <c r="U87" s="431"/>
      <c r="V87" s="431"/>
      <c r="W87" s="430"/>
      <c r="X87" s="431"/>
      <c r="Y87" s="431"/>
      <c r="Z87" s="431"/>
      <c r="AA87" s="431"/>
      <c r="AB87" s="431"/>
      <c r="AC87" s="431"/>
      <c r="AD87" s="430"/>
      <c r="AE87" s="431"/>
      <c r="AF87" s="431"/>
      <c r="AG87" s="431"/>
      <c r="AH87" s="431"/>
      <c r="AI87" s="431"/>
      <c r="AJ87" s="431"/>
      <c r="AK87" s="430"/>
      <c r="AL87" s="431"/>
      <c r="AM87" s="431"/>
      <c r="AN87" s="432"/>
      <c r="AQ87" s="436"/>
      <c r="AR87" s="436"/>
      <c r="AS87" s="436"/>
      <c r="AT87" s="436"/>
      <c r="AU87" s="436"/>
      <c r="AV87" s="436"/>
      <c r="AW87" s="396">
        <f t="shared" si="11"/>
        <v>0</v>
      </c>
      <c r="AX87" s="434">
        <f t="shared" si="16"/>
        <v>0</v>
      </c>
      <c r="BA87" s="437">
        <f t="shared" si="12"/>
        <v>0</v>
      </c>
      <c r="BB87" s="437">
        <f t="shared" si="13"/>
        <v>0</v>
      </c>
      <c r="BC87" s="437">
        <f t="shared" si="14"/>
        <v>0</v>
      </c>
      <c r="BD87" s="437">
        <f t="shared" si="15"/>
        <v>0</v>
      </c>
      <c r="BE87" s="437"/>
    </row>
    <row r="88" spans="1:57" ht="33" customHeight="1" thickBot="1">
      <c r="A88" s="358" t="s">
        <v>163</v>
      </c>
      <c r="B88" s="332" t="s">
        <v>164</v>
      </c>
      <c r="C88" s="359" t="s">
        <v>21</v>
      </c>
      <c r="D88" s="7">
        <v>92.07</v>
      </c>
      <c r="E88" s="353"/>
      <c r="F88" s="22">
        <f t="shared" si="9"/>
        <v>0</v>
      </c>
      <c r="G88" s="329"/>
      <c r="H88" s="330">
        <f t="shared" si="10"/>
        <v>0</v>
      </c>
      <c r="I88" s="430"/>
      <c r="J88" s="430"/>
      <c r="K88" s="431"/>
      <c r="L88" s="431"/>
      <c r="M88" s="431"/>
      <c r="N88" s="431"/>
      <c r="O88" s="431"/>
      <c r="P88" s="430"/>
      <c r="Q88" s="431"/>
      <c r="R88" s="431"/>
      <c r="S88" s="431"/>
      <c r="T88" s="431"/>
      <c r="U88" s="431"/>
      <c r="V88" s="431"/>
      <c r="W88" s="430"/>
      <c r="X88" s="431"/>
      <c r="Y88" s="431"/>
      <c r="Z88" s="431"/>
      <c r="AA88" s="431"/>
      <c r="AB88" s="431"/>
      <c r="AC88" s="431"/>
      <c r="AD88" s="430"/>
      <c r="AE88" s="431"/>
      <c r="AF88" s="431"/>
      <c r="AG88" s="431"/>
      <c r="AH88" s="431"/>
      <c r="AI88" s="431"/>
      <c r="AJ88" s="431"/>
      <c r="AK88" s="430"/>
      <c r="AL88" s="431"/>
      <c r="AM88" s="431"/>
      <c r="AN88" s="432"/>
      <c r="AQ88" s="436"/>
      <c r="AR88" s="436"/>
      <c r="AS88" s="436"/>
      <c r="AT88" s="436"/>
      <c r="AU88" s="436"/>
      <c r="AV88" s="436"/>
      <c r="AW88" s="396">
        <f t="shared" si="11"/>
        <v>0</v>
      </c>
      <c r="AX88" s="434">
        <f t="shared" si="16"/>
        <v>0</v>
      </c>
      <c r="BA88" s="437">
        <f t="shared" si="12"/>
        <v>0</v>
      </c>
      <c r="BB88" s="437">
        <f t="shared" si="13"/>
        <v>0</v>
      </c>
      <c r="BC88" s="437">
        <f t="shared" si="14"/>
        <v>0</v>
      </c>
      <c r="BD88" s="437">
        <f t="shared" si="15"/>
        <v>0</v>
      </c>
      <c r="BE88" s="437"/>
    </row>
    <row r="89" spans="1:57" ht="33" customHeight="1" thickBot="1">
      <c r="A89" s="358" t="s">
        <v>165</v>
      </c>
      <c r="B89" s="332" t="s">
        <v>166</v>
      </c>
      <c r="C89" s="359" t="s">
        <v>21</v>
      </c>
      <c r="D89" s="7">
        <v>86.53</v>
      </c>
      <c r="E89" s="353"/>
      <c r="F89" s="22">
        <f t="shared" si="9"/>
        <v>0</v>
      </c>
      <c r="G89" s="329"/>
      <c r="H89" s="330">
        <f t="shared" si="10"/>
        <v>0</v>
      </c>
      <c r="I89" s="430"/>
      <c r="J89" s="430"/>
      <c r="K89" s="431"/>
      <c r="L89" s="431"/>
      <c r="M89" s="431"/>
      <c r="N89" s="431"/>
      <c r="O89" s="431"/>
      <c r="P89" s="430"/>
      <c r="Q89" s="431"/>
      <c r="R89" s="431"/>
      <c r="S89" s="431"/>
      <c r="T89" s="431"/>
      <c r="U89" s="431"/>
      <c r="V89" s="431"/>
      <c r="W89" s="430"/>
      <c r="X89" s="431"/>
      <c r="Y89" s="431"/>
      <c r="Z89" s="431"/>
      <c r="AA89" s="431"/>
      <c r="AB89" s="431"/>
      <c r="AC89" s="431"/>
      <c r="AD89" s="430"/>
      <c r="AE89" s="431"/>
      <c r="AF89" s="431"/>
      <c r="AG89" s="431"/>
      <c r="AH89" s="431"/>
      <c r="AI89" s="431"/>
      <c r="AJ89" s="431"/>
      <c r="AK89" s="430"/>
      <c r="AL89" s="431"/>
      <c r="AM89" s="431"/>
      <c r="AN89" s="432"/>
      <c r="AQ89" s="436"/>
      <c r="AR89" s="436"/>
      <c r="AS89" s="436"/>
      <c r="AT89" s="436"/>
      <c r="AU89" s="436"/>
      <c r="AV89" s="436"/>
      <c r="AW89" s="396">
        <f t="shared" si="11"/>
        <v>0</v>
      </c>
      <c r="AX89" s="434">
        <f t="shared" si="16"/>
        <v>0</v>
      </c>
      <c r="BA89" s="437">
        <f t="shared" si="12"/>
        <v>0</v>
      </c>
      <c r="BB89" s="437">
        <f t="shared" si="13"/>
        <v>0</v>
      </c>
      <c r="BC89" s="437">
        <f t="shared" si="14"/>
        <v>0</v>
      </c>
      <c r="BD89" s="437">
        <f t="shared" si="15"/>
        <v>0</v>
      </c>
      <c r="BE89" s="437"/>
    </row>
    <row r="90" spans="1:57" ht="33" customHeight="1" thickBot="1">
      <c r="A90" s="358" t="s">
        <v>167</v>
      </c>
      <c r="B90" s="332" t="s">
        <v>168</v>
      </c>
      <c r="C90" s="359" t="s">
        <v>21</v>
      </c>
      <c r="D90" s="7">
        <v>42.88</v>
      </c>
      <c r="E90" s="353"/>
      <c r="F90" s="22">
        <f t="shared" si="9"/>
        <v>0</v>
      </c>
      <c r="G90" s="329"/>
      <c r="H90" s="330">
        <f t="shared" si="10"/>
        <v>0</v>
      </c>
      <c r="I90" s="430"/>
      <c r="J90" s="430"/>
      <c r="K90" s="431"/>
      <c r="L90" s="431"/>
      <c r="M90" s="431"/>
      <c r="N90" s="431"/>
      <c r="O90" s="431"/>
      <c r="P90" s="430"/>
      <c r="Q90" s="431"/>
      <c r="R90" s="431"/>
      <c r="S90" s="431"/>
      <c r="T90" s="431"/>
      <c r="U90" s="431"/>
      <c r="V90" s="431"/>
      <c r="W90" s="430"/>
      <c r="X90" s="431"/>
      <c r="Y90" s="431"/>
      <c r="Z90" s="431"/>
      <c r="AA90" s="431"/>
      <c r="AB90" s="431"/>
      <c r="AC90" s="431"/>
      <c r="AD90" s="430"/>
      <c r="AE90" s="431"/>
      <c r="AF90" s="431"/>
      <c r="AG90" s="431"/>
      <c r="AH90" s="431"/>
      <c r="AI90" s="431"/>
      <c r="AJ90" s="431"/>
      <c r="AK90" s="430"/>
      <c r="AL90" s="431"/>
      <c r="AM90" s="431"/>
      <c r="AN90" s="432"/>
      <c r="AQ90" s="436"/>
      <c r="AR90" s="436"/>
      <c r="AS90" s="436"/>
      <c r="AT90" s="436"/>
      <c r="AU90" s="436"/>
      <c r="AV90" s="436"/>
      <c r="AW90" s="396">
        <f t="shared" si="11"/>
        <v>0</v>
      </c>
      <c r="AX90" s="434">
        <f t="shared" si="16"/>
        <v>0</v>
      </c>
      <c r="BA90" s="437">
        <f t="shared" si="12"/>
        <v>0</v>
      </c>
      <c r="BB90" s="437">
        <f t="shared" si="13"/>
        <v>0</v>
      </c>
      <c r="BC90" s="437">
        <f t="shared" si="14"/>
        <v>0</v>
      </c>
      <c r="BD90" s="437">
        <f t="shared" si="15"/>
        <v>0</v>
      </c>
      <c r="BE90" s="437"/>
    </row>
    <row r="91" spans="1:57" ht="33" customHeight="1" thickBot="1">
      <c r="A91" s="358" t="s">
        <v>169</v>
      </c>
      <c r="B91" s="332" t="s">
        <v>170</v>
      </c>
      <c r="C91" s="359" t="s">
        <v>21</v>
      </c>
      <c r="D91" s="7">
        <v>55.11</v>
      </c>
      <c r="E91" s="353"/>
      <c r="F91" s="22">
        <f t="shared" si="9"/>
        <v>0</v>
      </c>
      <c r="G91" s="329"/>
      <c r="H91" s="330">
        <f t="shared" si="10"/>
        <v>0</v>
      </c>
      <c r="I91" s="430"/>
      <c r="J91" s="430"/>
      <c r="K91" s="431"/>
      <c r="L91" s="431"/>
      <c r="M91" s="431"/>
      <c r="N91" s="431"/>
      <c r="O91" s="431"/>
      <c r="P91" s="430"/>
      <c r="Q91" s="431"/>
      <c r="R91" s="431"/>
      <c r="S91" s="431"/>
      <c r="T91" s="431"/>
      <c r="U91" s="431"/>
      <c r="V91" s="431"/>
      <c r="W91" s="430"/>
      <c r="X91" s="431"/>
      <c r="Y91" s="431"/>
      <c r="Z91" s="431"/>
      <c r="AA91" s="431"/>
      <c r="AB91" s="431"/>
      <c r="AC91" s="431"/>
      <c r="AD91" s="430"/>
      <c r="AE91" s="431"/>
      <c r="AF91" s="431"/>
      <c r="AG91" s="431"/>
      <c r="AH91" s="431"/>
      <c r="AI91" s="431"/>
      <c r="AJ91" s="431"/>
      <c r="AK91" s="430"/>
      <c r="AL91" s="431"/>
      <c r="AM91" s="431"/>
      <c r="AN91" s="432"/>
      <c r="AQ91" s="436"/>
      <c r="AR91" s="436"/>
      <c r="AS91" s="436"/>
      <c r="AT91" s="436"/>
      <c r="AU91" s="436"/>
      <c r="AV91" s="436"/>
      <c r="AW91" s="396">
        <f t="shared" si="11"/>
        <v>0</v>
      </c>
      <c r="AX91" s="434">
        <f t="shared" si="16"/>
        <v>0</v>
      </c>
      <c r="BA91" s="437">
        <f t="shared" si="12"/>
        <v>0</v>
      </c>
      <c r="BB91" s="437">
        <f t="shared" si="13"/>
        <v>0</v>
      </c>
      <c r="BC91" s="437">
        <f t="shared" si="14"/>
        <v>0</v>
      </c>
      <c r="BD91" s="437">
        <f t="shared" si="15"/>
        <v>0</v>
      </c>
      <c r="BE91" s="437"/>
    </row>
    <row r="92" spans="1:57" ht="33" customHeight="1" thickBot="1">
      <c r="A92" s="361" t="s">
        <v>171</v>
      </c>
      <c r="B92" s="23" t="s">
        <v>172</v>
      </c>
      <c r="C92" s="362" t="s">
        <v>21</v>
      </c>
      <c r="D92" s="7">
        <v>61.87</v>
      </c>
      <c r="E92" s="353"/>
      <c r="F92" s="22">
        <f t="shared" si="9"/>
        <v>0</v>
      </c>
      <c r="G92" s="329"/>
      <c r="H92" s="330">
        <f t="shared" si="10"/>
        <v>0</v>
      </c>
      <c r="I92" s="430"/>
      <c r="J92" s="430"/>
      <c r="K92" s="431"/>
      <c r="L92" s="431"/>
      <c r="M92" s="431"/>
      <c r="N92" s="431"/>
      <c r="O92" s="431"/>
      <c r="P92" s="430"/>
      <c r="Q92" s="431"/>
      <c r="R92" s="431"/>
      <c r="S92" s="431"/>
      <c r="T92" s="431"/>
      <c r="U92" s="431"/>
      <c r="V92" s="431"/>
      <c r="W92" s="430"/>
      <c r="X92" s="431"/>
      <c r="Y92" s="431"/>
      <c r="Z92" s="431"/>
      <c r="AA92" s="431"/>
      <c r="AB92" s="431"/>
      <c r="AC92" s="431"/>
      <c r="AD92" s="430"/>
      <c r="AE92" s="431"/>
      <c r="AF92" s="431"/>
      <c r="AG92" s="431"/>
      <c r="AH92" s="431"/>
      <c r="AI92" s="431"/>
      <c r="AJ92" s="431"/>
      <c r="AK92" s="430"/>
      <c r="AL92" s="431"/>
      <c r="AM92" s="431"/>
      <c r="AN92" s="432"/>
      <c r="AQ92" s="436"/>
      <c r="AR92" s="436"/>
      <c r="AS92" s="436"/>
      <c r="AT92" s="436"/>
      <c r="AU92" s="436"/>
      <c r="AV92" s="436"/>
      <c r="AW92" s="396">
        <f t="shared" si="11"/>
        <v>0</v>
      </c>
      <c r="AX92" s="434">
        <f t="shared" si="16"/>
        <v>0</v>
      </c>
      <c r="BA92" s="437">
        <f t="shared" si="12"/>
        <v>0</v>
      </c>
      <c r="BB92" s="437">
        <f t="shared" si="13"/>
        <v>0</v>
      </c>
      <c r="BC92" s="437">
        <f t="shared" si="14"/>
        <v>0</v>
      </c>
      <c r="BD92" s="437">
        <f t="shared" si="15"/>
        <v>0</v>
      </c>
      <c r="BE92" s="437"/>
    </row>
    <row r="93" spans="1:57" ht="33" customHeight="1" thickBot="1">
      <c r="A93" s="361" t="s">
        <v>173</v>
      </c>
      <c r="B93" s="335" t="s">
        <v>174</v>
      </c>
      <c r="C93" s="362" t="s">
        <v>21</v>
      </c>
      <c r="D93" s="7">
        <v>82.61</v>
      </c>
      <c r="E93" s="353"/>
      <c r="F93" s="22">
        <f t="shared" si="9"/>
        <v>0</v>
      </c>
      <c r="G93" s="329"/>
      <c r="H93" s="330">
        <f t="shared" si="10"/>
        <v>0</v>
      </c>
      <c r="I93" s="430"/>
      <c r="J93" s="430"/>
      <c r="K93" s="431"/>
      <c r="L93" s="431"/>
      <c r="M93" s="431"/>
      <c r="N93" s="431"/>
      <c r="O93" s="431"/>
      <c r="P93" s="430"/>
      <c r="Q93" s="431"/>
      <c r="R93" s="431"/>
      <c r="S93" s="431"/>
      <c r="T93" s="431"/>
      <c r="U93" s="431"/>
      <c r="V93" s="431"/>
      <c r="W93" s="430"/>
      <c r="X93" s="431"/>
      <c r="Y93" s="431"/>
      <c r="Z93" s="431"/>
      <c r="AA93" s="431"/>
      <c r="AB93" s="431"/>
      <c r="AC93" s="431"/>
      <c r="AD93" s="430"/>
      <c r="AE93" s="431"/>
      <c r="AF93" s="431"/>
      <c r="AG93" s="431"/>
      <c r="AH93" s="431"/>
      <c r="AI93" s="431"/>
      <c r="AJ93" s="431"/>
      <c r="AK93" s="430"/>
      <c r="AL93" s="431"/>
      <c r="AM93" s="431"/>
      <c r="AN93" s="432"/>
      <c r="AQ93" s="436"/>
      <c r="AR93" s="436"/>
      <c r="AS93" s="436"/>
      <c r="AT93" s="436"/>
      <c r="AU93" s="436"/>
      <c r="AV93" s="436"/>
      <c r="AW93" s="396">
        <f t="shared" si="11"/>
        <v>0</v>
      </c>
      <c r="AX93" s="434">
        <f t="shared" si="16"/>
        <v>0</v>
      </c>
      <c r="BA93" s="437">
        <f t="shared" si="12"/>
        <v>0</v>
      </c>
      <c r="BB93" s="437">
        <f t="shared" si="13"/>
        <v>0</v>
      </c>
      <c r="BC93" s="437">
        <f t="shared" si="14"/>
        <v>0</v>
      </c>
      <c r="BD93" s="437">
        <f t="shared" si="15"/>
        <v>0</v>
      </c>
      <c r="BE93" s="437"/>
    </row>
    <row r="94" spans="1:57" ht="33" customHeight="1" thickBot="1">
      <c r="A94" s="358" t="s">
        <v>175</v>
      </c>
      <c r="B94" s="337" t="s">
        <v>176</v>
      </c>
      <c r="C94" s="360" t="s">
        <v>177</v>
      </c>
      <c r="D94" s="7">
        <v>628.54</v>
      </c>
      <c r="E94" s="353"/>
      <c r="F94" s="22">
        <f t="shared" si="9"/>
        <v>0</v>
      </c>
      <c r="G94" s="329"/>
      <c r="H94" s="330">
        <f t="shared" si="10"/>
        <v>0</v>
      </c>
      <c r="I94" s="430"/>
      <c r="J94" s="430"/>
      <c r="K94" s="431"/>
      <c r="L94" s="431"/>
      <c r="M94" s="431"/>
      <c r="N94" s="431"/>
      <c r="O94" s="431"/>
      <c r="P94" s="430"/>
      <c r="Q94" s="431"/>
      <c r="R94" s="431"/>
      <c r="S94" s="431"/>
      <c r="T94" s="431"/>
      <c r="U94" s="431"/>
      <c r="V94" s="431"/>
      <c r="W94" s="430"/>
      <c r="X94" s="431"/>
      <c r="Y94" s="431"/>
      <c r="Z94" s="431"/>
      <c r="AA94" s="431"/>
      <c r="AB94" s="431"/>
      <c r="AC94" s="431"/>
      <c r="AD94" s="430"/>
      <c r="AE94" s="431"/>
      <c r="AF94" s="431"/>
      <c r="AG94" s="431"/>
      <c r="AH94" s="431"/>
      <c r="AI94" s="431"/>
      <c r="AJ94" s="431"/>
      <c r="AK94" s="430"/>
      <c r="AL94" s="431"/>
      <c r="AM94" s="431"/>
      <c r="AN94" s="432"/>
      <c r="AQ94" s="436"/>
      <c r="AR94" s="436"/>
      <c r="AS94" s="436"/>
      <c r="AT94" s="436"/>
      <c r="AU94" s="436"/>
      <c r="AV94" s="436"/>
      <c r="AW94" s="396">
        <f t="shared" si="11"/>
        <v>0</v>
      </c>
      <c r="AX94" s="434">
        <f t="shared" si="16"/>
        <v>0</v>
      </c>
      <c r="BA94" s="437">
        <f t="shared" si="12"/>
        <v>0</v>
      </c>
      <c r="BB94" s="437">
        <f t="shared" si="13"/>
        <v>0</v>
      </c>
      <c r="BC94" s="437">
        <f t="shared" si="14"/>
        <v>0</v>
      </c>
      <c r="BD94" s="437">
        <f t="shared" si="15"/>
        <v>0</v>
      </c>
      <c r="BE94" s="437"/>
    </row>
    <row r="95" spans="1:57" ht="33" customHeight="1" thickBot="1">
      <c r="A95" s="365"/>
      <c r="B95" s="19" t="s">
        <v>786</v>
      </c>
      <c r="C95" s="366" t="s">
        <v>177</v>
      </c>
      <c r="D95" s="20">
        <v>156.51000000000002</v>
      </c>
      <c r="E95" s="353"/>
      <c r="F95" s="22">
        <f t="shared" si="9"/>
        <v>0</v>
      </c>
      <c r="G95" s="329"/>
      <c r="H95" s="330">
        <f t="shared" si="10"/>
        <v>0</v>
      </c>
      <c r="I95" s="430"/>
      <c r="J95" s="430"/>
      <c r="K95" s="431"/>
      <c r="L95" s="431"/>
      <c r="M95" s="431"/>
      <c r="N95" s="431"/>
      <c r="O95" s="431"/>
      <c r="P95" s="430"/>
      <c r="Q95" s="431"/>
      <c r="R95" s="431"/>
      <c r="S95" s="431"/>
      <c r="T95" s="431"/>
      <c r="U95" s="431"/>
      <c r="V95" s="431"/>
      <c r="W95" s="430"/>
      <c r="X95" s="431"/>
      <c r="Y95" s="431"/>
      <c r="Z95" s="431"/>
      <c r="AA95" s="431"/>
      <c r="AB95" s="431"/>
      <c r="AC95" s="431"/>
      <c r="AD95" s="430"/>
      <c r="AE95" s="431"/>
      <c r="AF95" s="431"/>
      <c r="AG95" s="431"/>
      <c r="AH95" s="431"/>
      <c r="AI95" s="431"/>
      <c r="AJ95" s="431"/>
      <c r="AK95" s="430"/>
      <c r="AL95" s="431"/>
      <c r="AM95" s="431"/>
      <c r="AN95" s="432"/>
      <c r="AQ95" s="436"/>
      <c r="AR95" s="436"/>
      <c r="AS95" s="436"/>
      <c r="AT95" s="436"/>
      <c r="AU95" s="436"/>
      <c r="AV95" s="436"/>
      <c r="AW95" s="396">
        <f t="shared" si="11"/>
        <v>0</v>
      </c>
      <c r="AX95" s="434">
        <f t="shared" si="16"/>
        <v>0</v>
      </c>
      <c r="BA95" s="437">
        <f t="shared" si="12"/>
        <v>0</v>
      </c>
      <c r="BB95" s="437">
        <f t="shared" si="13"/>
        <v>0</v>
      </c>
      <c r="BC95" s="437">
        <f t="shared" si="14"/>
        <v>0</v>
      </c>
      <c r="BD95" s="437">
        <f t="shared" si="15"/>
        <v>0</v>
      </c>
      <c r="BE95" s="437"/>
    </row>
    <row r="96" spans="1:57" ht="33" customHeight="1" thickBot="1">
      <c r="A96" s="365" t="s">
        <v>178</v>
      </c>
      <c r="B96" s="19" t="s">
        <v>787</v>
      </c>
      <c r="C96" s="366" t="s">
        <v>177</v>
      </c>
      <c r="D96" s="20">
        <v>104.34000000000003</v>
      </c>
      <c r="E96" s="353"/>
      <c r="F96" s="22">
        <f t="shared" si="9"/>
        <v>0</v>
      </c>
      <c r="G96" s="329"/>
      <c r="H96" s="330">
        <f t="shared" si="10"/>
        <v>0</v>
      </c>
      <c r="I96" s="430"/>
      <c r="J96" s="430"/>
      <c r="K96" s="431"/>
      <c r="L96" s="431"/>
      <c r="M96" s="431"/>
      <c r="N96" s="431"/>
      <c r="O96" s="431"/>
      <c r="P96" s="430"/>
      <c r="Q96" s="431"/>
      <c r="R96" s="431"/>
      <c r="S96" s="431"/>
      <c r="T96" s="431"/>
      <c r="U96" s="431"/>
      <c r="V96" s="431"/>
      <c r="W96" s="430"/>
      <c r="X96" s="431"/>
      <c r="Y96" s="431"/>
      <c r="Z96" s="431"/>
      <c r="AA96" s="431"/>
      <c r="AB96" s="431"/>
      <c r="AC96" s="431"/>
      <c r="AD96" s="430"/>
      <c r="AE96" s="431"/>
      <c r="AF96" s="431"/>
      <c r="AG96" s="431"/>
      <c r="AH96" s="431"/>
      <c r="AI96" s="431"/>
      <c r="AJ96" s="431"/>
      <c r="AK96" s="430"/>
      <c r="AL96" s="431"/>
      <c r="AM96" s="431"/>
      <c r="AN96" s="432"/>
      <c r="AQ96" s="436"/>
      <c r="AR96" s="436"/>
      <c r="AS96" s="436"/>
      <c r="AT96" s="436"/>
      <c r="AU96" s="436"/>
      <c r="AV96" s="436"/>
      <c r="AW96" s="396">
        <f t="shared" si="11"/>
        <v>0</v>
      </c>
      <c r="AX96" s="434">
        <f t="shared" si="16"/>
        <v>0</v>
      </c>
      <c r="BA96" s="437">
        <f t="shared" si="12"/>
        <v>0</v>
      </c>
      <c r="BB96" s="437">
        <f t="shared" si="13"/>
        <v>0</v>
      </c>
      <c r="BC96" s="437">
        <f t="shared" si="14"/>
        <v>0</v>
      </c>
      <c r="BD96" s="437">
        <f t="shared" si="15"/>
        <v>0</v>
      </c>
      <c r="BE96" s="437"/>
    </row>
    <row r="97" spans="1:57" ht="33" customHeight="1" thickBot="1">
      <c r="A97" s="365" t="s">
        <v>874</v>
      </c>
      <c r="B97" s="21" t="s">
        <v>788</v>
      </c>
      <c r="C97" s="366" t="s">
        <v>177</v>
      </c>
      <c r="D97" s="20">
        <v>140.35199999999998</v>
      </c>
      <c r="E97" s="353"/>
      <c r="F97" s="22">
        <f t="shared" si="9"/>
        <v>0</v>
      </c>
      <c r="G97" s="329"/>
      <c r="H97" s="330">
        <f t="shared" si="10"/>
        <v>0</v>
      </c>
      <c r="I97" s="430"/>
      <c r="J97" s="430"/>
      <c r="K97" s="431"/>
      <c r="L97" s="431"/>
      <c r="M97" s="431"/>
      <c r="N97" s="431"/>
      <c r="O97" s="431"/>
      <c r="P97" s="430"/>
      <c r="Q97" s="431"/>
      <c r="R97" s="431"/>
      <c r="S97" s="431"/>
      <c r="T97" s="431"/>
      <c r="U97" s="431"/>
      <c r="V97" s="431"/>
      <c r="W97" s="430"/>
      <c r="X97" s="431"/>
      <c r="Y97" s="431"/>
      <c r="Z97" s="431"/>
      <c r="AA97" s="431"/>
      <c r="AB97" s="431"/>
      <c r="AC97" s="431"/>
      <c r="AD97" s="430"/>
      <c r="AE97" s="431"/>
      <c r="AF97" s="431"/>
      <c r="AG97" s="431"/>
      <c r="AH97" s="431"/>
      <c r="AI97" s="431"/>
      <c r="AJ97" s="431"/>
      <c r="AK97" s="430"/>
      <c r="AL97" s="431"/>
      <c r="AM97" s="431"/>
      <c r="AN97" s="432"/>
      <c r="AQ97" s="436"/>
      <c r="AR97" s="436"/>
      <c r="AS97" s="436"/>
      <c r="AT97" s="436"/>
      <c r="AU97" s="436"/>
      <c r="AV97" s="436"/>
      <c r="AW97" s="396">
        <f t="shared" si="11"/>
        <v>0</v>
      </c>
      <c r="AX97" s="434">
        <f t="shared" si="16"/>
        <v>0</v>
      </c>
      <c r="BA97" s="437">
        <f t="shared" si="12"/>
        <v>0</v>
      </c>
      <c r="BB97" s="437">
        <f t="shared" si="13"/>
        <v>0</v>
      </c>
      <c r="BC97" s="437">
        <f t="shared" si="14"/>
        <v>0</v>
      </c>
      <c r="BD97" s="437">
        <f t="shared" si="15"/>
        <v>0</v>
      </c>
      <c r="BE97" s="437"/>
    </row>
    <row r="98" spans="1:57" ht="33" customHeight="1" thickBot="1">
      <c r="A98" s="365" t="s">
        <v>179</v>
      </c>
      <c r="B98" s="21" t="s">
        <v>789</v>
      </c>
      <c r="C98" s="366" t="s">
        <v>177</v>
      </c>
      <c r="D98" s="20">
        <v>93.567999999999984</v>
      </c>
      <c r="E98" s="353"/>
      <c r="F98" s="22">
        <f t="shared" si="9"/>
        <v>0</v>
      </c>
      <c r="G98" s="329"/>
      <c r="H98" s="330">
        <f t="shared" si="10"/>
        <v>0</v>
      </c>
      <c r="I98" s="430"/>
      <c r="J98" s="430"/>
      <c r="K98" s="431"/>
      <c r="L98" s="431"/>
      <c r="M98" s="431"/>
      <c r="N98" s="431"/>
      <c r="O98" s="431"/>
      <c r="P98" s="430"/>
      <c r="Q98" s="431"/>
      <c r="R98" s="431"/>
      <c r="S98" s="431"/>
      <c r="T98" s="431"/>
      <c r="U98" s="431"/>
      <c r="V98" s="431"/>
      <c r="W98" s="430"/>
      <c r="X98" s="431"/>
      <c r="Y98" s="431"/>
      <c r="Z98" s="431"/>
      <c r="AA98" s="431"/>
      <c r="AB98" s="431"/>
      <c r="AC98" s="431"/>
      <c r="AD98" s="430"/>
      <c r="AE98" s="431"/>
      <c r="AF98" s="431"/>
      <c r="AG98" s="431"/>
      <c r="AH98" s="431"/>
      <c r="AI98" s="431"/>
      <c r="AJ98" s="431"/>
      <c r="AK98" s="430"/>
      <c r="AL98" s="431"/>
      <c r="AM98" s="431"/>
      <c r="AN98" s="432"/>
      <c r="AQ98" s="436"/>
      <c r="AR98" s="436"/>
      <c r="AS98" s="436"/>
      <c r="AT98" s="436"/>
      <c r="AU98" s="436"/>
      <c r="AV98" s="436"/>
      <c r="AW98" s="396">
        <f t="shared" si="11"/>
        <v>0</v>
      </c>
      <c r="AX98" s="434">
        <f t="shared" si="16"/>
        <v>0</v>
      </c>
      <c r="BA98" s="437">
        <f t="shared" si="12"/>
        <v>0</v>
      </c>
      <c r="BB98" s="437">
        <f t="shared" si="13"/>
        <v>0</v>
      </c>
      <c r="BC98" s="437">
        <f t="shared" si="14"/>
        <v>0</v>
      </c>
      <c r="BD98" s="437">
        <f t="shared" si="15"/>
        <v>0</v>
      </c>
      <c r="BE98" s="437"/>
    </row>
    <row r="99" spans="1:57" ht="33" customHeight="1" thickBot="1">
      <c r="A99" s="358" t="s">
        <v>180</v>
      </c>
      <c r="B99" s="332" t="s">
        <v>181</v>
      </c>
      <c r="C99" s="360" t="s">
        <v>177</v>
      </c>
      <c r="D99" s="7">
        <v>227.24</v>
      </c>
      <c r="E99" s="353"/>
      <c r="F99" s="22">
        <f t="shared" si="9"/>
        <v>0</v>
      </c>
      <c r="G99" s="329"/>
      <c r="H99" s="330">
        <f t="shared" si="10"/>
        <v>0</v>
      </c>
      <c r="I99" s="430"/>
      <c r="J99" s="430"/>
      <c r="K99" s="431"/>
      <c r="L99" s="431"/>
      <c r="M99" s="431"/>
      <c r="N99" s="431"/>
      <c r="O99" s="431"/>
      <c r="P99" s="430"/>
      <c r="Q99" s="431"/>
      <c r="R99" s="431"/>
      <c r="S99" s="431"/>
      <c r="T99" s="431"/>
      <c r="U99" s="431"/>
      <c r="V99" s="431"/>
      <c r="W99" s="430"/>
      <c r="X99" s="431"/>
      <c r="Y99" s="431"/>
      <c r="Z99" s="431"/>
      <c r="AA99" s="431"/>
      <c r="AB99" s="431"/>
      <c r="AC99" s="431"/>
      <c r="AD99" s="430"/>
      <c r="AE99" s="431"/>
      <c r="AF99" s="431"/>
      <c r="AG99" s="431"/>
      <c r="AH99" s="431"/>
      <c r="AI99" s="431"/>
      <c r="AJ99" s="431"/>
      <c r="AK99" s="430"/>
      <c r="AL99" s="431"/>
      <c r="AM99" s="431"/>
      <c r="AN99" s="432"/>
      <c r="AQ99" s="436"/>
      <c r="AR99" s="436"/>
      <c r="AS99" s="436"/>
      <c r="AT99" s="436"/>
      <c r="AU99" s="436"/>
      <c r="AV99" s="436"/>
      <c r="AW99" s="396">
        <f t="shared" si="11"/>
        <v>0</v>
      </c>
      <c r="AX99" s="434">
        <f t="shared" si="16"/>
        <v>0</v>
      </c>
      <c r="BA99" s="437">
        <f t="shared" si="12"/>
        <v>0</v>
      </c>
      <c r="BB99" s="437">
        <f t="shared" si="13"/>
        <v>0</v>
      </c>
      <c r="BC99" s="437">
        <f t="shared" si="14"/>
        <v>0</v>
      </c>
      <c r="BD99" s="437">
        <f t="shared" si="15"/>
        <v>0</v>
      </c>
      <c r="BE99" s="437"/>
    </row>
    <row r="100" spans="1:57" ht="33" customHeight="1" thickBot="1">
      <c r="A100" s="358" t="s">
        <v>182</v>
      </c>
      <c r="B100" s="332" t="s">
        <v>183</v>
      </c>
      <c r="C100" s="360" t="s">
        <v>21</v>
      </c>
      <c r="D100" s="7">
        <v>258.68</v>
      </c>
      <c r="E100" s="353"/>
      <c r="F100" s="22">
        <f t="shared" si="9"/>
        <v>0</v>
      </c>
      <c r="G100" s="329"/>
      <c r="H100" s="330">
        <f t="shared" si="10"/>
        <v>0</v>
      </c>
      <c r="I100" s="430"/>
      <c r="J100" s="430"/>
      <c r="K100" s="431"/>
      <c r="L100" s="431"/>
      <c r="M100" s="431"/>
      <c r="N100" s="431"/>
      <c r="O100" s="431"/>
      <c r="P100" s="430"/>
      <c r="Q100" s="431"/>
      <c r="R100" s="431"/>
      <c r="S100" s="431"/>
      <c r="T100" s="431"/>
      <c r="U100" s="431"/>
      <c r="V100" s="431"/>
      <c r="W100" s="430"/>
      <c r="X100" s="431"/>
      <c r="Y100" s="431"/>
      <c r="Z100" s="431"/>
      <c r="AA100" s="431"/>
      <c r="AB100" s="431"/>
      <c r="AC100" s="431"/>
      <c r="AD100" s="430"/>
      <c r="AE100" s="431"/>
      <c r="AF100" s="431"/>
      <c r="AG100" s="431"/>
      <c r="AH100" s="431"/>
      <c r="AI100" s="431"/>
      <c r="AJ100" s="431"/>
      <c r="AK100" s="430"/>
      <c r="AL100" s="431"/>
      <c r="AM100" s="431"/>
      <c r="AN100" s="432"/>
      <c r="AQ100" s="436"/>
      <c r="AR100" s="436"/>
      <c r="AS100" s="436"/>
      <c r="AT100" s="436"/>
      <c r="AU100" s="436"/>
      <c r="AV100" s="436"/>
      <c r="AW100" s="396">
        <f t="shared" si="11"/>
        <v>0</v>
      </c>
      <c r="AX100" s="434">
        <f t="shared" si="16"/>
        <v>0</v>
      </c>
      <c r="BA100" s="437">
        <f t="shared" si="12"/>
        <v>0</v>
      </c>
      <c r="BB100" s="437">
        <f t="shared" si="13"/>
        <v>0</v>
      </c>
      <c r="BC100" s="437">
        <f t="shared" si="14"/>
        <v>0</v>
      </c>
      <c r="BD100" s="437">
        <f t="shared" si="15"/>
        <v>0</v>
      </c>
      <c r="BE100" s="437"/>
    </row>
    <row r="101" spans="1:57" ht="33" customHeight="1" thickBot="1">
      <c r="A101" s="358" t="s">
        <v>184</v>
      </c>
      <c r="B101" s="338" t="s">
        <v>185</v>
      </c>
      <c r="C101" s="360" t="s">
        <v>21</v>
      </c>
      <c r="D101" s="7">
        <v>4.87</v>
      </c>
      <c r="E101" s="353"/>
      <c r="F101" s="22">
        <f t="shared" si="9"/>
        <v>0</v>
      </c>
      <c r="G101" s="329"/>
      <c r="H101" s="330">
        <f t="shared" si="10"/>
        <v>0</v>
      </c>
      <c r="I101" s="430"/>
      <c r="J101" s="430"/>
      <c r="K101" s="431"/>
      <c r="L101" s="431"/>
      <c r="M101" s="431"/>
      <c r="N101" s="431"/>
      <c r="O101" s="431"/>
      <c r="P101" s="430"/>
      <c r="Q101" s="431"/>
      <c r="R101" s="431"/>
      <c r="S101" s="431"/>
      <c r="T101" s="431"/>
      <c r="U101" s="431"/>
      <c r="V101" s="431"/>
      <c r="W101" s="430"/>
      <c r="X101" s="431"/>
      <c r="Y101" s="431"/>
      <c r="Z101" s="431"/>
      <c r="AA101" s="431"/>
      <c r="AB101" s="431"/>
      <c r="AC101" s="431"/>
      <c r="AD101" s="430"/>
      <c r="AE101" s="431"/>
      <c r="AF101" s="431"/>
      <c r="AG101" s="431"/>
      <c r="AH101" s="431"/>
      <c r="AI101" s="431"/>
      <c r="AJ101" s="431"/>
      <c r="AK101" s="430"/>
      <c r="AL101" s="431"/>
      <c r="AM101" s="431"/>
      <c r="AN101" s="432"/>
      <c r="AQ101" s="436"/>
      <c r="AR101" s="436"/>
      <c r="AS101" s="436"/>
      <c r="AT101" s="436"/>
      <c r="AU101" s="436"/>
      <c r="AV101" s="436"/>
      <c r="AW101" s="396">
        <f t="shared" si="11"/>
        <v>0</v>
      </c>
      <c r="AX101" s="434">
        <f t="shared" si="16"/>
        <v>0</v>
      </c>
      <c r="BA101" s="437">
        <f t="shared" si="12"/>
        <v>0</v>
      </c>
      <c r="BB101" s="437">
        <f t="shared" si="13"/>
        <v>0</v>
      </c>
      <c r="BC101" s="437">
        <f t="shared" si="14"/>
        <v>0</v>
      </c>
      <c r="BD101" s="437">
        <f t="shared" si="15"/>
        <v>0</v>
      </c>
      <c r="BE101" s="437"/>
    </row>
    <row r="102" spans="1:57" ht="33" customHeight="1" thickBot="1">
      <c r="A102" s="358" t="s">
        <v>186</v>
      </c>
      <c r="B102" s="338" t="s">
        <v>187</v>
      </c>
      <c r="C102" s="360" t="s">
        <v>21</v>
      </c>
      <c r="D102" s="7">
        <v>8.07</v>
      </c>
      <c r="E102" s="353"/>
      <c r="F102" s="22">
        <f t="shared" si="9"/>
        <v>0</v>
      </c>
      <c r="G102" s="329"/>
      <c r="H102" s="330">
        <f t="shared" si="10"/>
        <v>0</v>
      </c>
      <c r="I102" s="430"/>
      <c r="J102" s="430"/>
      <c r="K102" s="431"/>
      <c r="L102" s="431"/>
      <c r="M102" s="431"/>
      <c r="N102" s="431"/>
      <c r="O102" s="431"/>
      <c r="P102" s="430"/>
      <c r="Q102" s="431"/>
      <c r="R102" s="431"/>
      <c r="S102" s="431"/>
      <c r="T102" s="431"/>
      <c r="U102" s="431"/>
      <c r="V102" s="431"/>
      <c r="W102" s="430"/>
      <c r="X102" s="431"/>
      <c r="Y102" s="431"/>
      <c r="Z102" s="431"/>
      <c r="AA102" s="431"/>
      <c r="AB102" s="431"/>
      <c r="AC102" s="431"/>
      <c r="AD102" s="430"/>
      <c r="AE102" s="431"/>
      <c r="AF102" s="431"/>
      <c r="AG102" s="431"/>
      <c r="AH102" s="431"/>
      <c r="AI102" s="431"/>
      <c r="AJ102" s="431"/>
      <c r="AK102" s="430"/>
      <c r="AL102" s="431"/>
      <c r="AM102" s="431"/>
      <c r="AN102" s="432"/>
      <c r="AQ102" s="436"/>
      <c r="AR102" s="436"/>
      <c r="AS102" s="436"/>
      <c r="AT102" s="436"/>
      <c r="AU102" s="436"/>
      <c r="AV102" s="436"/>
      <c r="AW102" s="396">
        <f t="shared" si="11"/>
        <v>0</v>
      </c>
      <c r="AX102" s="434">
        <f t="shared" si="16"/>
        <v>0</v>
      </c>
      <c r="BA102" s="437">
        <f t="shared" si="12"/>
        <v>0</v>
      </c>
      <c r="BB102" s="437">
        <f t="shared" si="13"/>
        <v>0</v>
      </c>
      <c r="BC102" s="437">
        <f t="shared" si="14"/>
        <v>0</v>
      </c>
      <c r="BD102" s="437">
        <f t="shared" si="15"/>
        <v>0</v>
      </c>
      <c r="BE102" s="437"/>
    </row>
    <row r="103" spans="1:57" ht="33" customHeight="1" thickBot="1">
      <c r="A103" s="358" t="s">
        <v>188</v>
      </c>
      <c r="B103" s="338" t="s">
        <v>189</v>
      </c>
      <c r="C103" s="360" t="s">
        <v>21</v>
      </c>
      <c r="D103" s="7">
        <v>9.24</v>
      </c>
      <c r="E103" s="353"/>
      <c r="F103" s="22">
        <f t="shared" si="9"/>
        <v>0</v>
      </c>
      <c r="G103" s="329"/>
      <c r="H103" s="330">
        <f t="shared" si="10"/>
        <v>0</v>
      </c>
      <c r="I103" s="430"/>
      <c r="J103" s="430"/>
      <c r="K103" s="431"/>
      <c r="L103" s="431"/>
      <c r="M103" s="431"/>
      <c r="N103" s="431"/>
      <c r="O103" s="431"/>
      <c r="P103" s="430"/>
      <c r="Q103" s="431"/>
      <c r="R103" s="431"/>
      <c r="S103" s="431"/>
      <c r="T103" s="431"/>
      <c r="U103" s="431"/>
      <c r="V103" s="431"/>
      <c r="W103" s="430"/>
      <c r="X103" s="431"/>
      <c r="Y103" s="431"/>
      <c r="Z103" s="431"/>
      <c r="AA103" s="431"/>
      <c r="AB103" s="431"/>
      <c r="AC103" s="431"/>
      <c r="AD103" s="430"/>
      <c r="AE103" s="431"/>
      <c r="AF103" s="431"/>
      <c r="AG103" s="431"/>
      <c r="AH103" s="431"/>
      <c r="AI103" s="431"/>
      <c r="AJ103" s="431"/>
      <c r="AK103" s="430"/>
      <c r="AL103" s="431"/>
      <c r="AM103" s="431"/>
      <c r="AN103" s="432"/>
      <c r="AQ103" s="436"/>
      <c r="AR103" s="436"/>
      <c r="AS103" s="436"/>
      <c r="AT103" s="436"/>
      <c r="AU103" s="436"/>
      <c r="AV103" s="436"/>
      <c r="AW103" s="396">
        <f t="shared" si="11"/>
        <v>0</v>
      </c>
      <c r="AX103" s="434">
        <f t="shared" si="16"/>
        <v>0</v>
      </c>
      <c r="BA103" s="437">
        <f t="shared" si="12"/>
        <v>0</v>
      </c>
      <c r="BB103" s="437">
        <f t="shared" si="13"/>
        <v>0</v>
      </c>
      <c r="BC103" s="437">
        <f t="shared" si="14"/>
        <v>0</v>
      </c>
      <c r="BD103" s="437">
        <f t="shared" si="15"/>
        <v>0</v>
      </c>
      <c r="BE103" s="437"/>
    </row>
    <row r="104" spans="1:57" ht="33" customHeight="1" thickBot="1">
      <c r="A104" s="358" t="s">
        <v>190</v>
      </c>
      <c r="B104" s="332" t="s">
        <v>191</v>
      </c>
      <c r="C104" s="360" t="s">
        <v>21</v>
      </c>
      <c r="D104" s="7">
        <v>33.19</v>
      </c>
      <c r="E104" s="353"/>
      <c r="F104" s="22">
        <f t="shared" si="9"/>
        <v>0</v>
      </c>
      <c r="G104" s="329"/>
      <c r="H104" s="330">
        <f t="shared" si="10"/>
        <v>0</v>
      </c>
      <c r="I104" s="430"/>
      <c r="J104" s="430"/>
      <c r="K104" s="431"/>
      <c r="L104" s="431"/>
      <c r="M104" s="431"/>
      <c r="N104" s="431"/>
      <c r="O104" s="431"/>
      <c r="P104" s="430"/>
      <c r="Q104" s="431"/>
      <c r="R104" s="431"/>
      <c r="S104" s="431"/>
      <c r="T104" s="431"/>
      <c r="U104" s="431"/>
      <c r="V104" s="431"/>
      <c r="W104" s="430"/>
      <c r="X104" s="431"/>
      <c r="Y104" s="431"/>
      <c r="Z104" s="431"/>
      <c r="AA104" s="431"/>
      <c r="AB104" s="431"/>
      <c r="AC104" s="431"/>
      <c r="AD104" s="430"/>
      <c r="AE104" s="431"/>
      <c r="AF104" s="431"/>
      <c r="AG104" s="431"/>
      <c r="AH104" s="431"/>
      <c r="AI104" s="431"/>
      <c r="AJ104" s="431"/>
      <c r="AK104" s="430"/>
      <c r="AL104" s="431"/>
      <c r="AM104" s="431"/>
      <c r="AN104" s="432"/>
      <c r="AQ104" s="436"/>
      <c r="AR104" s="436"/>
      <c r="AS104" s="436"/>
      <c r="AT104" s="436"/>
      <c r="AU104" s="436"/>
      <c r="AV104" s="436"/>
      <c r="AW104" s="396">
        <f t="shared" si="11"/>
        <v>0</v>
      </c>
      <c r="AX104" s="434">
        <f t="shared" si="16"/>
        <v>0</v>
      </c>
      <c r="BA104" s="437">
        <f t="shared" si="12"/>
        <v>0</v>
      </c>
      <c r="BB104" s="437">
        <f t="shared" si="13"/>
        <v>0</v>
      </c>
      <c r="BC104" s="437">
        <f t="shared" si="14"/>
        <v>0</v>
      </c>
      <c r="BD104" s="437">
        <f t="shared" si="15"/>
        <v>0</v>
      </c>
      <c r="BE104" s="437"/>
    </row>
    <row r="105" spans="1:57" ht="33" customHeight="1" thickBot="1">
      <c r="A105" s="358" t="s">
        <v>192</v>
      </c>
      <c r="B105" s="332" t="s">
        <v>193</v>
      </c>
      <c r="C105" s="360" t="s">
        <v>177</v>
      </c>
      <c r="D105" s="7">
        <v>33.409999999999997</v>
      </c>
      <c r="E105" s="353"/>
      <c r="F105" s="22">
        <f t="shared" si="9"/>
        <v>0</v>
      </c>
      <c r="G105" s="329"/>
      <c r="H105" s="330">
        <f t="shared" si="10"/>
        <v>0</v>
      </c>
      <c r="I105" s="430"/>
      <c r="J105" s="430"/>
      <c r="K105" s="431"/>
      <c r="L105" s="431"/>
      <c r="M105" s="431"/>
      <c r="N105" s="431"/>
      <c r="O105" s="431"/>
      <c r="P105" s="430"/>
      <c r="Q105" s="431"/>
      <c r="R105" s="431"/>
      <c r="S105" s="431"/>
      <c r="T105" s="431"/>
      <c r="U105" s="431"/>
      <c r="V105" s="431"/>
      <c r="W105" s="430"/>
      <c r="X105" s="431"/>
      <c r="Y105" s="431"/>
      <c r="Z105" s="431"/>
      <c r="AA105" s="431"/>
      <c r="AB105" s="431"/>
      <c r="AC105" s="431"/>
      <c r="AD105" s="430"/>
      <c r="AE105" s="431"/>
      <c r="AF105" s="431"/>
      <c r="AG105" s="431"/>
      <c r="AH105" s="431"/>
      <c r="AI105" s="431"/>
      <c r="AJ105" s="431"/>
      <c r="AK105" s="430"/>
      <c r="AL105" s="431"/>
      <c r="AM105" s="431"/>
      <c r="AN105" s="432"/>
      <c r="AQ105" s="436"/>
      <c r="AR105" s="436"/>
      <c r="AS105" s="436"/>
      <c r="AT105" s="436"/>
      <c r="AU105" s="436"/>
      <c r="AV105" s="436"/>
      <c r="AW105" s="396">
        <f t="shared" si="11"/>
        <v>0</v>
      </c>
      <c r="AX105" s="434">
        <f t="shared" si="16"/>
        <v>0</v>
      </c>
      <c r="BA105" s="437">
        <f t="shared" si="12"/>
        <v>0</v>
      </c>
      <c r="BB105" s="437">
        <f t="shared" si="13"/>
        <v>0</v>
      </c>
      <c r="BC105" s="437">
        <f t="shared" si="14"/>
        <v>0</v>
      </c>
      <c r="BD105" s="437">
        <f t="shared" si="15"/>
        <v>0</v>
      </c>
      <c r="BE105" s="437"/>
    </row>
    <row r="106" spans="1:57" ht="33" customHeight="1" thickBot="1">
      <c r="A106" s="358" t="s">
        <v>194</v>
      </c>
      <c r="B106" s="332" t="s">
        <v>195</v>
      </c>
      <c r="C106" s="360" t="s">
        <v>196</v>
      </c>
      <c r="D106" s="7">
        <v>42.04</v>
      </c>
      <c r="E106" s="353"/>
      <c r="F106" s="22">
        <f t="shared" si="9"/>
        <v>0</v>
      </c>
      <c r="G106" s="329"/>
      <c r="H106" s="330">
        <f t="shared" si="10"/>
        <v>0</v>
      </c>
      <c r="I106" s="430"/>
      <c r="J106" s="430"/>
      <c r="K106" s="431"/>
      <c r="L106" s="431"/>
      <c r="M106" s="431"/>
      <c r="N106" s="431"/>
      <c r="O106" s="431"/>
      <c r="P106" s="430"/>
      <c r="Q106" s="431"/>
      <c r="R106" s="431"/>
      <c r="S106" s="431"/>
      <c r="T106" s="431"/>
      <c r="U106" s="431"/>
      <c r="V106" s="431"/>
      <c r="W106" s="430"/>
      <c r="X106" s="431"/>
      <c r="Y106" s="431"/>
      <c r="Z106" s="431"/>
      <c r="AA106" s="431"/>
      <c r="AB106" s="431"/>
      <c r="AC106" s="431"/>
      <c r="AD106" s="430"/>
      <c r="AE106" s="431"/>
      <c r="AF106" s="431"/>
      <c r="AG106" s="431"/>
      <c r="AH106" s="431"/>
      <c r="AI106" s="431"/>
      <c r="AJ106" s="431"/>
      <c r="AK106" s="430"/>
      <c r="AL106" s="431"/>
      <c r="AM106" s="431"/>
      <c r="AN106" s="432"/>
      <c r="AQ106" s="436"/>
      <c r="AR106" s="436"/>
      <c r="AS106" s="436"/>
      <c r="AT106" s="436"/>
      <c r="AU106" s="436"/>
      <c r="AV106" s="436"/>
      <c r="AW106" s="396">
        <f t="shared" si="11"/>
        <v>0</v>
      </c>
      <c r="AX106" s="434">
        <f t="shared" si="16"/>
        <v>0</v>
      </c>
      <c r="BA106" s="437">
        <f t="shared" si="12"/>
        <v>0</v>
      </c>
      <c r="BB106" s="437">
        <f t="shared" si="13"/>
        <v>0</v>
      </c>
      <c r="BC106" s="437">
        <f t="shared" si="14"/>
        <v>0</v>
      </c>
      <c r="BD106" s="437">
        <f t="shared" si="15"/>
        <v>0</v>
      </c>
      <c r="BE106" s="437"/>
    </row>
    <row r="107" spans="1:57" ht="33" customHeight="1" thickBot="1">
      <c r="A107" s="358" t="s">
        <v>197</v>
      </c>
      <c r="B107" s="337" t="s">
        <v>198</v>
      </c>
      <c r="C107" s="360" t="s">
        <v>21</v>
      </c>
      <c r="D107" s="7">
        <v>201.78</v>
      </c>
      <c r="E107" s="353"/>
      <c r="F107" s="22">
        <f t="shared" si="9"/>
        <v>0</v>
      </c>
      <c r="G107" s="329"/>
      <c r="H107" s="330">
        <f t="shared" si="10"/>
        <v>0</v>
      </c>
      <c r="I107" s="430"/>
      <c r="J107" s="430"/>
      <c r="K107" s="431"/>
      <c r="L107" s="431"/>
      <c r="M107" s="431"/>
      <c r="N107" s="431"/>
      <c r="O107" s="431"/>
      <c r="P107" s="430"/>
      <c r="Q107" s="431"/>
      <c r="R107" s="431"/>
      <c r="S107" s="431"/>
      <c r="T107" s="431"/>
      <c r="U107" s="431"/>
      <c r="V107" s="431"/>
      <c r="W107" s="430"/>
      <c r="X107" s="431"/>
      <c r="Y107" s="431"/>
      <c r="Z107" s="431"/>
      <c r="AA107" s="431"/>
      <c r="AB107" s="431"/>
      <c r="AC107" s="431"/>
      <c r="AD107" s="430"/>
      <c r="AE107" s="431"/>
      <c r="AF107" s="431"/>
      <c r="AG107" s="431"/>
      <c r="AH107" s="431"/>
      <c r="AI107" s="431"/>
      <c r="AJ107" s="431"/>
      <c r="AK107" s="430"/>
      <c r="AL107" s="431"/>
      <c r="AM107" s="431"/>
      <c r="AN107" s="432"/>
      <c r="AQ107" s="436"/>
      <c r="AR107" s="436"/>
      <c r="AS107" s="436"/>
      <c r="AT107" s="436"/>
      <c r="AU107" s="436"/>
      <c r="AV107" s="436"/>
      <c r="AW107" s="396">
        <f t="shared" si="11"/>
        <v>0</v>
      </c>
      <c r="AX107" s="434">
        <f t="shared" si="16"/>
        <v>0</v>
      </c>
      <c r="BA107" s="437">
        <f t="shared" si="12"/>
        <v>0</v>
      </c>
      <c r="BB107" s="437">
        <f t="shared" si="13"/>
        <v>0</v>
      </c>
      <c r="BC107" s="437">
        <f t="shared" si="14"/>
        <v>0</v>
      </c>
      <c r="BD107" s="437">
        <f t="shared" si="15"/>
        <v>0</v>
      </c>
      <c r="BE107" s="437"/>
    </row>
    <row r="108" spans="1:57" ht="33" customHeight="1" thickBot="1">
      <c r="A108" s="358" t="s">
        <v>199</v>
      </c>
      <c r="B108" s="337" t="s">
        <v>200</v>
      </c>
      <c r="C108" s="360" t="s">
        <v>177</v>
      </c>
      <c r="D108" s="7">
        <v>6882.13</v>
      </c>
      <c r="E108" s="353"/>
      <c r="F108" s="22">
        <f t="shared" si="9"/>
        <v>0</v>
      </c>
      <c r="G108" s="329"/>
      <c r="H108" s="330">
        <f t="shared" si="10"/>
        <v>0</v>
      </c>
      <c r="I108" s="430"/>
      <c r="J108" s="430"/>
      <c r="K108" s="431"/>
      <c r="L108" s="431"/>
      <c r="M108" s="431"/>
      <c r="N108" s="431"/>
      <c r="O108" s="431"/>
      <c r="P108" s="430"/>
      <c r="Q108" s="431"/>
      <c r="R108" s="431"/>
      <c r="S108" s="431"/>
      <c r="T108" s="431"/>
      <c r="U108" s="431"/>
      <c r="V108" s="431"/>
      <c r="W108" s="430"/>
      <c r="X108" s="431"/>
      <c r="Y108" s="431"/>
      <c r="Z108" s="431"/>
      <c r="AA108" s="431"/>
      <c r="AB108" s="431"/>
      <c r="AC108" s="431"/>
      <c r="AD108" s="430"/>
      <c r="AE108" s="431"/>
      <c r="AF108" s="431"/>
      <c r="AG108" s="431"/>
      <c r="AH108" s="431"/>
      <c r="AI108" s="431"/>
      <c r="AJ108" s="431"/>
      <c r="AK108" s="430"/>
      <c r="AL108" s="431"/>
      <c r="AM108" s="431"/>
      <c r="AN108" s="432"/>
      <c r="AQ108" s="436"/>
      <c r="AR108" s="436"/>
      <c r="AS108" s="436"/>
      <c r="AT108" s="436"/>
      <c r="AU108" s="436"/>
      <c r="AV108" s="436"/>
      <c r="AW108" s="396">
        <f t="shared" si="11"/>
        <v>0</v>
      </c>
      <c r="AX108" s="434">
        <f t="shared" si="16"/>
        <v>0</v>
      </c>
      <c r="BA108" s="437">
        <f t="shared" si="12"/>
        <v>0</v>
      </c>
      <c r="BB108" s="437">
        <f t="shared" si="13"/>
        <v>0</v>
      </c>
      <c r="BC108" s="437">
        <f t="shared" si="14"/>
        <v>0</v>
      </c>
      <c r="BD108" s="437">
        <f t="shared" si="15"/>
        <v>0</v>
      </c>
      <c r="BE108" s="437"/>
    </row>
    <row r="109" spans="1:57" ht="33" customHeight="1" thickBot="1">
      <c r="A109" s="358" t="s">
        <v>201</v>
      </c>
      <c r="B109" s="337" t="s">
        <v>202</v>
      </c>
      <c r="C109" s="360" t="s">
        <v>177</v>
      </c>
      <c r="D109" s="7">
        <v>6.31</v>
      </c>
      <c r="E109" s="353"/>
      <c r="F109" s="22">
        <f t="shared" si="9"/>
        <v>0</v>
      </c>
      <c r="G109" s="329"/>
      <c r="H109" s="330">
        <f t="shared" si="10"/>
        <v>0</v>
      </c>
      <c r="I109" s="430"/>
      <c r="J109" s="430"/>
      <c r="K109" s="431"/>
      <c r="L109" s="431"/>
      <c r="M109" s="431"/>
      <c r="N109" s="431"/>
      <c r="O109" s="431"/>
      <c r="P109" s="430"/>
      <c r="Q109" s="431"/>
      <c r="R109" s="431"/>
      <c r="S109" s="431"/>
      <c r="T109" s="431"/>
      <c r="U109" s="431"/>
      <c r="V109" s="431"/>
      <c r="W109" s="430"/>
      <c r="X109" s="431"/>
      <c r="Y109" s="431"/>
      <c r="Z109" s="431"/>
      <c r="AA109" s="431"/>
      <c r="AB109" s="431"/>
      <c r="AC109" s="431"/>
      <c r="AD109" s="430"/>
      <c r="AE109" s="431"/>
      <c r="AF109" s="431"/>
      <c r="AG109" s="431"/>
      <c r="AH109" s="431"/>
      <c r="AI109" s="431"/>
      <c r="AJ109" s="431"/>
      <c r="AK109" s="430"/>
      <c r="AL109" s="431"/>
      <c r="AM109" s="431"/>
      <c r="AN109" s="432"/>
      <c r="AQ109" s="436"/>
      <c r="AR109" s="436"/>
      <c r="AS109" s="436"/>
      <c r="AT109" s="436"/>
      <c r="AU109" s="436"/>
      <c r="AV109" s="436"/>
      <c r="AW109" s="396">
        <f t="shared" si="11"/>
        <v>0</v>
      </c>
      <c r="AX109" s="434">
        <f t="shared" si="16"/>
        <v>0</v>
      </c>
      <c r="BA109" s="437">
        <f t="shared" si="12"/>
        <v>0</v>
      </c>
      <c r="BB109" s="437">
        <f t="shared" si="13"/>
        <v>0</v>
      </c>
      <c r="BC109" s="437">
        <f t="shared" si="14"/>
        <v>0</v>
      </c>
      <c r="BD109" s="437">
        <f t="shared" si="15"/>
        <v>0</v>
      </c>
      <c r="BE109" s="437"/>
    </row>
    <row r="110" spans="1:57" ht="33" customHeight="1" thickBot="1">
      <c r="A110" s="358" t="s">
        <v>203</v>
      </c>
      <c r="B110" s="336" t="s">
        <v>204</v>
      </c>
      <c r="C110" s="360" t="s">
        <v>177</v>
      </c>
      <c r="D110" s="7">
        <v>333.04</v>
      </c>
      <c r="E110" s="353"/>
      <c r="F110" s="22">
        <f t="shared" si="9"/>
        <v>0</v>
      </c>
      <c r="G110" s="329"/>
      <c r="H110" s="330">
        <f t="shared" si="10"/>
        <v>0</v>
      </c>
      <c r="I110" s="430"/>
      <c r="J110" s="430"/>
      <c r="K110" s="431"/>
      <c r="L110" s="431"/>
      <c r="M110" s="431"/>
      <c r="N110" s="431"/>
      <c r="O110" s="431"/>
      <c r="P110" s="430"/>
      <c r="Q110" s="431"/>
      <c r="R110" s="431"/>
      <c r="S110" s="431"/>
      <c r="T110" s="431"/>
      <c r="U110" s="431"/>
      <c r="V110" s="431"/>
      <c r="W110" s="430"/>
      <c r="X110" s="431"/>
      <c r="Y110" s="431"/>
      <c r="Z110" s="431"/>
      <c r="AA110" s="431"/>
      <c r="AB110" s="431"/>
      <c r="AC110" s="431"/>
      <c r="AD110" s="430"/>
      <c r="AE110" s="431"/>
      <c r="AF110" s="431"/>
      <c r="AG110" s="431"/>
      <c r="AH110" s="431"/>
      <c r="AI110" s="431"/>
      <c r="AJ110" s="431"/>
      <c r="AK110" s="430"/>
      <c r="AL110" s="431"/>
      <c r="AM110" s="431"/>
      <c r="AN110" s="432"/>
      <c r="AQ110" s="436"/>
      <c r="AR110" s="436"/>
      <c r="AS110" s="436"/>
      <c r="AT110" s="436"/>
      <c r="AU110" s="436"/>
      <c r="AV110" s="436"/>
      <c r="AW110" s="396">
        <f t="shared" si="11"/>
        <v>0</v>
      </c>
      <c r="AX110" s="434">
        <f t="shared" si="16"/>
        <v>0</v>
      </c>
      <c r="BA110" s="437">
        <f t="shared" si="12"/>
        <v>0</v>
      </c>
      <c r="BB110" s="437">
        <f t="shared" si="13"/>
        <v>0</v>
      </c>
      <c r="BC110" s="437">
        <f t="shared" si="14"/>
        <v>0</v>
      </c>
      <c r="BD110" s="437">
        <f t="shared" si="15"/>
        <v>0</v>
      </c>
      <c r="BE110" s="437"/>
    </row>
    <row r="111" spans="1:57" ht="33" customHeight="1" thickBot="1">
      <c r="A111" s="358" t="s">
        <v>205</v>
      </c>
      <c r="B111" s="336" t="s">
        <v>206</v>
      </c>
      <c r="C111" s="360" t="s">
        <v>21</v>
      </c>
      <c r="D111" s="7">
        <v>324.89999999999998</v>
      </c>
      <c r="E111" s="353"/>
      <c r="F111" s="22">
        <f t="shared" si="9"/>
        <v>0</v>
      </c>
      <c r="G111" s="329"/>
      <c r="H111" s="330">
        <f t="shared" si="10"/>
        <v>0</v>
      </c>
      <c r="I111" s="430"/>
      <c r="J111" s="430"/>
      <c r="K111" s="431"/>
      <c r="L111" s="431"/>
      <c r="M111" s="431"/>
      <c r="N111" s="431"/>
      <c r="O111" s="431"/>
      <c r="P111" s="430"/>
      <c r="Q111" s="431"/>
      <c r="R111" s="431"/>
      <c r="S111" s="431"/>
      <c r="T111" s="431"/>
      <c r="U111" s="431"/>
      <c r="V111" s="431"/>
      <c r="W111" s="430"/>
      <c r="X111" s="431"/>
      <c r="Y111" s="431"/>
      <c r="Z111" s="431"/>
      <c r="AA111" s="431"/>
      <c r="AB111" s="431"/>
      <c r="AC111" s="431"/>
      <c r="AD111" s="430"/>
      <c r="AE111" s="431"/>
      <c r="AF111" s="431"/>
      <c r="AG111" s="431"/>
      <c r="AH111" s="431"/>
      <c r="AI111" s="431"/>
      <c r="AJ111" s="431"/>
      <c r="AK111" s="430"/>
      <c r="AL111" s="431"/>
      <c r="AM111" s="431"/>
      <c r="AN111" s="432"/>
      <c r="AQ111" s="436"/>
      <c r="AR111" s="436"/>
      <c r="AS111" s="436"/>
      <c r="AT111" s="436"/>
      <c r="AU111" s="436"/>
      <c r="AV111" s="436"/>
      <c r="AW111" s="396">
        <f t="shared" si="11"/>
        <v>0</v>
      </c>
      <c r="AX111" s="434">
        <f t="shared" si="16"/>
        <v>0</v>
      </c>
      <c r="BA111" s="437">
        <f t="shared" si="12"/>
        <v>0</v>
      </c>
      <c r="BB111" s="437">
        <f t="shared" si="13"/>
        <v>0</v>
      </c>
      <c r="BC111" s="437">
        <f t="shared" si="14"/>
        <v>0</v>
      </c>
      <c r="BD111" s="437">
        <f t="shared" si="15"/>
        <v>0</v>
      </c>
      <c r="BE111" s="437"/>
    </row>
    <row r="112" spans="1:57" ht="33" customHeight="1" thickBot="1">
      <c r="A112" s="358" t="s">
        <v>207</v>
      </c>
      <c r="B112" s="332" t="s">
        <v>208</v>
      </c>
      <c r="C112" s="360" t="s">
        <v>21</v>
      </c>
      <c r="D112" s="7">
        <v>72.52</v>
      </c>
      <c r="E112" s="353"/>
      <c r="F112" s="22">
        <f t="shared" si="9"/>
        <v>0</v>
      </c>
      <c r="G112" s="329"/>
      <c r="H112" s="330">
        <f t="shared" si="10"/>
        <v>0</v>
      </c>
      <c r="I112" s="430"/>
      <c r="J112" s="430"/>
      <c r="K112" s="431"/>
      <c r="L112" s="431"/>
      <c r="M112" s="431"/>
      <c r="N112" s="431"/>
      <c r="O112" s="431"/>
      <c r="P112" s="430"/>
      <c r="Q112" s="431"/>
      <c r="R112" s="431"/>
      <c r="S112" s="431"/>
      <c r="T112" s="431"/>
      <c r="U112" s="431"/>
      <c r="V112" s="431"/>
      <c r="W112" s="430"/>
      <c r="X112" s="431"/>
      <c r="Y112" s="431"/>
      <c r="Z112" s="431"/>
      <c r="AA112" s="431"/>
      <c r="AB112" s="431"/>
      <c r="AC112" s="431"/>
      <c r="AD112" s="430"/>
      <c r="AE112" s="431"/>
      <c r="AF112" s="431"/>
      <c r="AG112" s="431"/>
      <c r="AH112" s="431"/>
      <c r="AI112" s="431"/>
      <c r="AJ112" s="431"/>
      <c r="AK112" s="430"/>
      <c r="AL112" s="431"/>
      <c r="AM112" s="431"/>
      <c r="AN112" s="432"/>
      <c r="AQ112" s="436"/>
      <c r="AR112" s="436"/>
      <c r="AS112" s="436"/>
      <c r="AT112" s="436"/>
      <c r="AU112" s="436"/>
      <c r="AV112" s="436"/>
      <c r="AW112" s="396">
        <f t="shared" si="11"/>
        <v>0</v>
      </c>
      <c r="AX112" s="434">
        <f t="shared" si="16"/>
        <v>0</v>
      </c>
      <c r="BA112" s="437">
        <f t="shared" si="12"/>
        <v>0</v>
      </c>
      <c r="BB112" s="437">
        <f t="shared" si="13"/>
        <v>0</v>
      </c>
      <c r="BC112" s="437">
        <f t="shared" si="14"/>
        <v>0</v>
      </c>
      <c r="BD112" s="437">
        <f t="shared" si="15"/>
        <v>0</v>
      </c>
      <c r="BE112" s="437"/>
    </row>
    <row r="113" spans="1:57" ht="33" customHeight="1" thickBot="1">
      <c r="A113" s="358" t="s">
        <v>209</v>
      </c>
      <c r="B113" s="169" t="s">
        <v>210</v>
      </c>
      <c r="C113" s="360" t="s">
        <v>21</v>
      </c>
      <c r="D113" s="7">
        <v>63.33</v>
      </c>
      <c r="E113" s="353"/>
      <c r="F113" s="22">
        <f t="shared" si="9"/>
        <v>0</v>
      </c>
      <c r="G113" s="329"/>
      <c r="H113" s="330">
        <f t="shared" si="10"/>
        <v>0</v>
      </c>
      <c r="I113" s="430"/>
      <c r="J113" s="430"/>
      <c r="K113" s="431"/>
      <c r="L113" s="431"/>
      <c r="M113" s="431"/>
      <c r="N113" s="431"/>
      <c r="O113" s="431"/>
      <c r="P113" s="430"/>
      <c r="Q113" s="431"/>
      <c r="R113" s="431"/>
      <c r="S113" s="431"/>
      <c r="T113" s="431"/>
      <c r="U113" s="431"/>
      <c r="V113" s="431"/>
      <c r="W113" s="430"/>
      <c r="X113" s="431"/>
      <c r="Y113" s="431"/>
      <c r="Z113" s="431"/>
      <c r="AA113" s="431"/>
      <c r="AB113" s="431"/>
      <c r="AC113" s="431"/>
      <c r="AD113" s="430"/>
      <c r="AE113" s="431"/>
      <c r="AF113" s="431"/>
      <c r="AG113" s="431"/>
      <c r="AH113" s="431"/>
      <c r="AI113" s="431"/>
      <c r="AJ113" s="431"/>
      <c r="AK113" s="430"/>
      <c r="AL113" s="431"/>
      <c r="AM113" s="431"/>
      <c r="AN113" s="432"/>
      <c r="AQ113" s="436"/>
      <c r="AR113" s="436"/>
      <c r="AS113" s="436"/>
      <c r="AT113" s="436"/>
      <c r="AU113" s="436"/>
      <c r="AV113" s="436"/>
      <c r="AW113" s="396">
        <f t="shared" si="11"/>
        <v>0</v>
      </c>
      <c r="AX113" s="434">
        <f t="shared" si="16"/>
        <v>0</v>
      </c>
      <c r="BA113" s="437">
        <f t="shared" si="12"/>
        <v>0</v>
      </c>
      <c r="BB113" s="437">
        <f t="shared" si="13"/>
        <v>0</v>
      </c>
      <c r="BC113" s="437">
        <f t="shared" si="14"/>
        <v>0</v>
      </c>
      <c r="BD113" s="437">
        <f t="shared" si="15"/>
        <v>0</v>
      </c>
      <c r="BE113" s="437"/>
    </row>
    <row r="114" spans="1:57" ht="33" customHeight="1" thickBot="1">
      <c r="A114" s="358" t="s">
        <v>211</v>
      </c>
      <c r="B114" s="169" t="s">
        <v>681</v>
      </c>
      <c r="C114" s="360" t="s">
        <v>212</v>
      </c>
      <c r="D114" s="7">
        <v>79.09</v>
      </c>
      <c r="E114" s="353"/>
      <c r="F114" s="22">
        <f t="shared" si="9"/>
        <v>0</v>
      </c>
      <c r="G114" s="329"/>
      <c r="H114" s="330">
        <f t="shared" si="10"/>
        <v>0</v>
      </c>
      <c r="I114" s="430"/>
      <c r="J114" s="430"/>
      <c r="K114" s="431"/>
      <c r="L114" s="431"/>
      <c r="M114" s="431"/>
      <c r="N114" s="431"/>
      <c r="O114" s="431"/>
      <c r="P114" s="430"/>
      <c r="Q114" s="431"/>
      <c r="R114" s="431"/>
      <c r="S114" s="431"/>
      <c r="T114" s="431"/>
      <c r="U114" s="431"/>
      <c r="V114" s="431"/>
      <c r="W114" s="430"/>
      <c r="X114" s="431"/>
      <c r="Y114" s="431"/>
      <c r="Z114" s="431"/>
      <c r="AA114" s="431"/>
      <c r="AB114" s="431"/>
      <c r="AC114" s="431"/>
      <c r="AD114" s="430"/>
      <c r="AE114" s="431"/>
      <c r="AF114" s="431"/>
      <c r="AG114" s="431"/>
      <c r="AH114" s="431"/>
      <c r="AI114" s="431"/>
      <c r="AJ114" s="431"/>
      <c r="AK114" s="430"/>
      <c r="AL114" s="431"/>
      <c r="AM114" s="431"/>
      <c r="AN114" s="432"/>
      <c r="AQ114" s="436"/>
      <c r="AR114" s="436"/>
      <c r="AS114" s="436"/>
      <c r="AT114" s="436"/>
      <c r="AU114" s="436"/>
      <c r="AV114" s="436"/>
      <c r="AW114" s="396">
        <f t="shared" si="11"/>
        <v>0</v>
      </c>
      <c r="AX114" s="434">
        <f t="shared" si="16"/>
        <v>0</v>
      </c>
      <c r="BA114" s="437">
        <f t="shared" si="12"/>
        <v>0</v>
      </c>
      <c r="BB114" s="437">
        <f t="shared" si="13"/>
        <v>0</v>
      </c>
      <c r="BC114" s="437">
        <f t="shared" si="14"/>
        <v>0</v>
      </c>
      <c r="BD114" s="437">
        <f t="shared" si="15"/>
        <v>0</v>
      </c>
      <c r="BE114" s="437"/>
    </row>
    <row r="115" spans="1:57" ht="33" customHeight="1" thickBot="1">
      <c r="A115" s="358" t="s">
        <v>213</v>
      </c>
      <c r="B115" s="332" t="s">
        <v>214</v>
      </c>
      <c r="C115" s="360" t="s">
        <v>212</v>
      </c>
      <c r="D115" s="7">
        <v>105.36</v>
      </c>
      <c r="E115" s="353"/>
      <c r="F115" s="22">
        <f t="shared" si="9"/>
        <v>0</v>
      </c>
      <c r="G115" s="329"/>
      <c r="H115" s="330">
        <f t="shared" si="10"/>
        <v>0</v>
      </c>
      <c r="I115" s="430"/>
      <c r="J115" s="430"/>
      <c r="K115" s="431"/>
      <c r="L115" s="431"/>
      <c r="M115" s="431"/>
      <c r="N115" s="431"/>
      <c r="O115" s="431"/>
      <c r="P115" s="430"/>
      <c r="Q115" s="431"/>
      <c r="R115" s="431"/>
      <c r="S115" s="431"/>
      <c r="T115" s="431"/>
      <c r="U115" s="431"/>
      <c r="V115" s="431"/>
      <c r="W115" s="430"/>
      <c r="X115" s="431"/>
      <c r="Y115" s="431"/>
      <c r="Z115" s="431"/>
      <c r="AA115" s="431"/>
      <c r="AB115" s="431"/>
      <c r="AC115" s="431"/>
      <c r="AD115" s="430"/>
      <c r="AE115" s="431"/>
      <c r="AF115" s="431"/>
      <c r="AG115" s="431"/>
      <c r="AH115" s="431"/>
      <c r="AI115" s="431"/>
      <c r="AJ115" s="431"/>
      <c r="AK115" s="430"/>
      <c r="AL115" s="431"/>
      <c r="AM115" s="431"/>
      <c r="AN115" s="432"/>
      <c r="AQ115" s="436"/>
      <c r="AR115" s="436"/>
      <c r="AS115" s="436"/>
      <c r="AT115" s="436"/>
      <c r="AU115" s="436"/>
      <c r="AV115" s="436"/>
      <c r="AW115" s="396">
        <f t="shared" si="11"/>
        <v>0</v>
      </c>
      <c r="AX115" s="434">
        <f t="shared" si="16"/>
        <v>0</v>
      </c>
      <c r="BA115" s="437">
        <f t="shared" si="12"/>
        <v>0</v>
      </c>
      <c r="BB115" s="437">
        <f t="shared" si="13"/>
        <v>0</v>
      </c>
      <c r="BC115" s="437">
        <f t="shared" si="14"/>
        <v>0</v>
      </c>
      <c r="BD115" s="437">
        <f t="shared" si="15"/>
        <v>0</v>
      </c>
      <c r="BE115" s="437"/>
    </row>
    <row r="116" spans="1:57" ht="33" customHeight="1" thickBot="1">
      <c r="A116" s="358" t="s">
        <v>215</v>
      </c>
      <c r="B116" s="332" t="s">
        <v>216</v>
      </c>
      <c r="C116" s="360" t="s">
        <v>212</v>
      </c>
      <c r="D116" s="7">
        <v>236.72</v>
      </c>
      <c r="E116" s="353"/>
      <c r="F116" s="22">
        <f t="shared" si="9"/>
        <v>0</v>
      </c>
      <c r="G116" s="329"/>
      <c r="H116" s="330">
        <f t="shared" si="10"/>
        <v>0</v>
      </c>
      <c r="I116" s="430"/>
      <c r="J116" s="430"/>
      <c r="K116" s="431"/>
      <c r="L116" s="431"/>
      <c r="M116" s="431"/>
      <c r="N116" s="431"/>
      <c r="O116" s="431"/>
      <c r="P116" s="430"/>
      <c r="Q116" s="431"/>
      <c r="R116" s="431"/>
      <c r="S116" s="431"/>
      <c r="T116" s="431"/>
      <c r="U116" s="431"/>
      <c r="V116" s="431"/>
      <c r="W116" s="430"/>
      <c r="X116" s="431"/>
      <c r="Y116" s="431"/>
      <c r="Z116" s="431"/>
      <c r="AA116" s="431"/>
      <c r="AB116" s="431"/>
      <c r="AC116" s="431"/>
      <c r="AD116" s="430"/>
      <c r="AE116" s="431"/>
      <c r="AF116" s="431"/>
      <c r="AG116" s="431"/>
      <c r="AH116" s="431"/>
      <c r="AI116" s="431"/>
      <c r="AJ116" s="431"/>
      <c r="AK116" s="430"/>
      <c r="AL116" s="431"/>
      <c r="AM116" s="431"/>
      <c r="AN116" s="432"/>
      <c r="AQ116" s="436"/>
      <c r="AR116" s="436"/>
      <c r="AS116" s="436"/>
      <c r="AT116" s="436"/>
      <c r="AU116" s="436"/>
      <c r="AV116" s="436"/>
      <c r="AW116" s="396">
        <f t="shared" si="11"/>
        <v>0</v>
      </c>
      <c r="AX116" s="434">
        <f t="shared" si="16"/>
        <v>0</v>
      </c>
      <c r="BA116" s="437">
        <f t="shared" si="12"/>
        <v>0</v>
      </c>
      <c r="BB116" s="437">
        <f t="shared" si="13"/>
        <v>0</v>
      </c>
      <c r="BC116" s="437">
        <f t="shared" si="14"/>
        <v>0</v>
      </c>
      <c r="BD116" s="437">
        <f t="shared" si="15"/>
        <v>0</v>
      </c>
      <c r="BE116" s="437"/>
    </row>
    <row r="117" spans="1:57" ht="33" customHeight="1" thickBot="1">
      <c r="A117" s="358" t="s">
        <v>217</v>
      </c>
      <c r="B117" s="332" t="s">
        <v>218</v>
      </c>
      <c r="C117" s="360" t="s">
        <v>219</v>
      </c>
      <c r="D117" s="7">
        <v>99.83</v>
      </c>
      <c r="E117" s="353"/>
      <c r="F117" s="22">
        <f t="shared" si="9"/>
        <v>0</v>
      </c>
      <c r="G117" s="329"/>
      <c r="H117" s="330">
        <f t="shared" si="10"/>
        <v>0</v>
      </c>
      <c r="I117" s="430"/>
      <c r="J117" s="430"/>
      <c r="K117" s="431"/>
      <c r="L117" s="431"/>
      <c r="M117" s="431"/>
      <c r="N117" s="431"/>
      <c r="O117" s="431"/>
      <c r="P117" s="430"/>
      <c r="Q117" s="431"/>
      <c r="R117" s="431"/>
      <c r="S117" s="431"/>
      <c r="T117" s="431"/>
      <c r="U117" s="431"/>
      <c r="V117" s="431"/>
      <c r="W117" s="430"/>
      <c r="X117" s="431"/>
      <c r="Y117" s="431"/>
      <c r="Z117" s="431"/>
      <c r="AA117" s="431"/>
      <c r="AB117" s="431"/>
      <c r="AC117" s="431"/>
      <c r="AD117" s="430"/>
      <c r="AE117" s="431"/>
      <c r="AF117" s="431"/>
      <c r="AG117" s="431"/>
      <c r="AH117" s="431"/>
      <c r="AI117" s="431"/>
      <c r="AJ117" s="431"/>
      <c r="AK117" s="430"/>
      <c r="AL117" s="431"/>
      <c r="AM117" s="431"/>
      <c r="AN117" s="432"/>
      <c r="AQ117" s="436"/>
      <c r="AR117" s="436"/>
      <c r="AS117" s="436"/>
      <c r="AT117" s="436"/>
      <c r="AU117" s="436"/>
      <c r="AV117" s="436"/>
      <c r="AW117" s="396">
        <f t="shared" si="11"/>
        <v>0</v>
      </c>
      <c r="AX117" s="434">
        <f t="shared" si="16"/>
        <v>0</v>
      </c>
      <c r="BA117" s="437">
        <f t="shared" si="12"/>
        <v>0</v>
      </c>
      <c r="BB117" s="437">
        <f t="shared" si="13"/>
        <v>0</v>
      </c>
      <c r="BC117" s="437">
        <f t="shared" si="14"/>
        <v>0</v>
      </c>
      <c r="BD117" s="437">
        <f t="shared" si="15"/>
        <v>0</v>
      </c>
      <c r="BE117" s="437"/>
    </row>
    <row r="118" spans="1:57" ht="33" customHeight="1" thickBot="1">
      <c r="A118" s="358" t="s">
        <v>220</v>
      </c>
      <c r="B118" s="332" t="s">
        <v>221</v>
      </c>
      <c r="C118" s="360" t="s">
        <v>219</v>
      </c>
      <c r="D118" s="7">
        <v>99.83</v>
      </c>
      <c r="E118" s="353"/>
      <c r="F118" s="22">
        <f t="shared" si="9"/>
        <v>0</v>
      </c>
      <c r="G118" s="329"/>
      <c r="H118" s="330">
        <f t="shared" si="10"/>
        <v>0</v>
      </c>
      <c r="I118" s="430"/>
      <c r="J118" s="430"/>
      <c r="K118" s="431"/>
      <c r="L118" s="431"/>
      <c r="M118" s="431"/>
      <c r="N118" s="431"/>
      <c r="O118" s="431"/>
      <c r="P118" s="430"/>
      <c r="Q118" s="431"/>
      <c r="R118" s="431"/>
      <c r="S118" s="431"/>
      <c r="T118" s="431"/>
      <c r="U118" s="431"/>
      <c r="V118" s="431"/>
      <c r="W118" s="430"/>
      <c r="X118" s="431"/>
      <c r="Y118" s="431"/>
      <c r="Z118" s="431"/>
      <c r="AA118" s="431"/>
      <c r="AB118" s="431"/>
      <c r="AC118" s="431"/>
      <c r="AD118" s="430"/>
      <c r="AE118" s="431"/>
      <c r="AF118" s="431"/>
      <c r="AG118" s="431"/>
      <c r="AH118" s="431"/>
      <c r="AI118" s="431"/>
      <c r="AJ118" s="431"/>
      <c r="AK118" s="430"/>
      <c r="AL118" s="431"/>
      <c r="AM118" s="431"/>
      <c r="AN118" s="432"/>
      <c r="AQ118" s="436"/>
      <c r="AR118" s="436"/>
      <c r="AS118" s="436"/>
      <c r="AT118" s="436"/>
      <c r="AU118" s="436"/>
      <c r="AV118" s="436"/>
      <c r="AW118" s="396">
        <f t="shared" si="11"/>
        <v>0</v>
      </c>
      <c r="AX118" s="434">
        <f t="shared" si="16"/>
        <v>0</v>
      </c>
      <c r="BA118" s="437">
        <f t="shared" si="12"/>
        <v>0</v>
      </c>
      <c r="BB118" s="437">
        <f t="shared" si="13"/>
        <v>0</v>
      </c>
      <c r="BC118" s="437">
        <f t="shared" si="14"/>
        <v>0</v>
      </c>
      <c r="BD118" s="437">
        <f t="shared" si="15"/>
        <v>0</v>
      </c>
      <c r="BE118" s="437"/>
    </row>
    <row r="119" spans="1:57" ht="33" customHeight="1" thickBot="1">
      <c r="A119" s="358" t="s">
        <v>222</v>
      </c>
      <c r="B119" s="332" t="s">
        <v>223</v>
      </c>
      <c r="C119" s="360" t="s">
        <v>219</v>
      </c>
      <c r="D119" s="7">
        <v>115.6</v>
      </c>
      <c r="E119" s="353"/>
      <c r="F119" s="22">
        <f t="shared" si="9"/>
        <v>0</v>
      </c>
      <c r="G119" s="329"/>
      <c r="H119" s="330">
        <f t="shared" si="10"/>
        <v>0</v>
      </c>
      <c r="I119" s="430"/>
      <c r="J119" s="430"/>
      <c r="K119" s="431"/>
      <c r="L119" s="431"/>
      <c r="M119" s="431"/>
      <c r="N119" s="431"/>
      <c r="O119" s="431"/>
      <c r="P119" s="430"/>
      <c r="Q119" s="431"/>
      <c r="R119" s="431"/>
      <c r="S119" s="431"/>
      <c r="T119" s="431"/>
      <c r="U119" s="431"/>
      <c r="V119" s="431"/>
      <c r="W119" s="430"/>
      <c r="X119" s="431"/>
      <c r="Y119" s="431"/>
      <c r="Z119" s="431"/>
      <c r="AA119" s="431"/>
      <c r="AB119" s="431"/>
      <c r="AC119" s="431"/>
      <c r="AD119" s="430"/>
      <c r="AE119" s="431"/>
      <c r="AF119" s="431"/>
      <c r="AG119" s="431"/>
      <c r="AH119" s="431"/>
      <c r="AI119" s="431"/>
      <c r="AJ119" s="431"/>
      <c r="AK119" s="430"/>
      <c r="AL119" s="431"/>
      <c r="AM119" s="431"/>
      <c r="AN119" s="432"/>
      <c r="AQ119" s="436"/>
      <c r="AR119" s="436"/>
      <c r="AS119" s="436"/>
      <c r="AT119" s="436"/>
      <c r="AU119" s="436"/>
      <c r="AV119" s="436"/>
      <c r="AW119" s="396">
        <f t="shared" si="11"/>
        <v>0</v>
      </c>
      <c r="AX119" s="434">
        <f t="shared" si="16"/>
        <v>0</v>
      </c>
      <c r="BA119" s="437">
        <f t="shared" si="12"/>
        <v>0</v>
      </c>
      <c r="BB119" s="437">
        <f t="shared" si="13"/>
        <v>0</v>
      </c>
      <c r="BC119" s="437">
        <f t="shared" si="14"/>
        <v>0</v>
      </c>
      <c r="BD119" s="437">
        <f t="shared" si="15"/>
        <v>0</v>
      </c>
      <c r="BE119" s="437"/>
    </row>
    <row r="120" spans="1:57" ht="33" customHeight="1" thickBot="1">
      <c r="A120" s="358" t="s">
        <v>224</v>
      </c>
      <c r="B120" s="332" t="s">
        <v>225</v>
      </c>
      <c r="C120" s="360" t="s">
        <v>35</v>
      </c>
      <c r="D120" s="7">
        <v>11.8</v>
      </c>
      <c r="E120" s="353"/>
      <c r="F120" s="22">
        <f t="shared" si="9"/>
        <v>0</v>
      </c>
      <c r="G120" s="329"/>
      <c r="H120" s="330">
        <f t="shared" si="10"/>
        <v>0</v>
      </c>
      <c r="I120" s="430"/>
      <c r="J120" s="430"/>
      <c r="K120" s="431"/>
      <c r="L120" s="431"/>
      <c r="M120" s="431"/>
      <c r="N120" s="431"/>
      <c r="O120" s="431"/>
      <c r="P120" s="430"/>
      <c r="Q120" s="431"/>
      <c r="R120" s="431"/>
      <c r="S120" s="431"/>
      <c r="T120" s="431"/>
      <c r="U120" s="431"/>
      <c r="V120" s="431"/>
      <c r="W120" s="430"/>
      <c r="X120" s="431"/>
      <c r="Y120" s="431"/>
      <c r="Z120" s="431"/>
      <c r="AA120" s="431"/>
      <c r="AB120" s="431"/>
      <c r="AC120" s="431"/>
      <c r="AD120" s="430"/>
      <c r="AE120" s="431"/>
      <c r="AF120" s="431"/>
      <c r="AG120" s="431"/>
      <c r="AH120" s="431"/>
      <c r="AI120" s="431"/>
      <c r="AJ120" s="431"/>
      <c r="AK120" s="430"/>
      <c r="AL120" s="431"/>
      <c r="AM120" s="431"/>
      <c r="AN120" s="432"/>
      <c r="AQ120" s="436"/>
      <c r="AR120" s="436"/>
      <c r="AS120" s="436"/>
      <c r="AT120" s="436"/>
      <c r="AU120" s="436"/>
      <c r="AV120" s="436"/>
      <c r="AW120" s="396">
        <f t="shared" si="11"/>
        <v>0</v>
      </c>
      <c r="AX120" s="434">
        <f t="shared" si="16"/>
        <v>0</v>
      </c>
      <c r="BA120" s="437">
        <f t="shared" si="12"/>
        <v>0</v>
      </c>
      <c r="BB120" s="437">
        <f t="shared" si="13"/>
        <v>0</v>
      </c>
      <c r="BC120" s="437">
        <f t="shared" si="14"/>
        <v>0</v>
      </c>
      <c r="BD120" s="437">
        <f t="shared" si="15"/>
        <v>0</v>
      </c>
      <c r="BE120" s="437"/>
    </row>
    <row r="121" spans="1:57" ht="33" customHeight="1" thickBot="1">
      <c r="A121" s="358" t="s">
        <v>226</v>
      </c>
      <c r="B121" s="367" t="s">
        <v>227</v>
      </c>
      <c r="C121" s="360" t="s">
        <v>35</v>
      </c>
      <c r="D121" s="7">
        <v>31.23</v>
      </c>
      <c r="E121" s="353"/>
      <c r="F121" s="22">
        <f t="shared" si="9"/>
        <v>0</v>
      </c>
      <c r="G121" s="329"/>
      <c r="H121" s="330">
        <f t="shared" si="10"/>
        <v>0</v>
      </c>
      <c r="I121" s="430"/>
      <c r="J121" s="430"/>
      <c r="K121" s="431"/>
      <c r="L121" s="431"/>
      <c r="M121" s="431"/>
      <c r="N121" s="431"/>
      <c r="O121" s="431"/>
      <c r="P121" s="430"/>
      <c r="Q121" s="431"/>
      <c r="R121" s="431"/>
      <c r="S121" s="431"/>
      <c r="T121" s="431"/>
      <c r="U121" s="431"/>
      <c r="V121" s="431"/>
      <c r="W121" s="430"/>
      <c r="X121" s="431"/>
      <c r="Y121" s="431"/>
      <c r="Z121" s="431"/>
      <c r="AA121" s="431"/>
      <c r="AB121" s="431"/>
      <c r="AC121" s="431"/>
      <c r="AD121" s="430"/>
      <c r="AE121" s="431"/>
      <c r="AF121" s="431"/>
      <c r="AG121" s="431"/>
      <c r="AH121" s="431"/>
      <c r="AI121" s="431"/>
      <c r="AJ121" s="431"/>
      <c r="AK121" s="430"/>
      <c r="AL121" s="431"/>
      <c r="AM121" s="431"/>
      <c r="AN121" s="432"/>
      <c r="AQ121" s="436"/>
      <c r="AR121" s="436"/>
      <c r="AS121" s="436"/>
      <c r="AT121" s="436"/>
      <c r="AU121" s="436"/>
      <c r="AV121" s="436"/>
      <c r="AW121" s="396">
        <f t="shared" si="11"/>
        <v>0</v>
      </c>
      <c r="AX121" s="434">
        <f t="shared" si="16"/>
        <v>0</v>
      </c>
      <c r="BA121" s="437">
        <f t="shared" si="12"/>
        <v>0</v>
      </c>
      <c r="BB121" s="437">
        <f t="shared" si="13"/>
        <v>0</v>
      </c>
      <c r="BC121" s="437">
        <f t="shared" si="14"/>
        <v>0</v>
      </c>
      <c r="BD121" s="437">
        <f t="shared" si="15"/>
        <v>0</v>
      </c>
      <c r="BE121" s="437"/>
    </row>
    <row r="122" spans="1:57" ht="33" customHeight="1" thickBot="1">
      <c r="A122" s="358" t="s">
        <v>228</v>
      </c>
      <c r="B122" s="332" t="s">
        <v>229</v>
      </c>
      <c r="C122" s="360" t="s">
        <v>35</v>
      </c>
      <c r="D122" s="7">
        <v>19.18</v>
      </c>
      <c r="E122" s="353"/>
      <c r="F122" s="22">
        <f t="shared" si="9"/>
        <v>0</v>
      </c>
      <c r="G122" s="329"/>
      <c r="H122" s="330">
        <f t="shared" si="10"/>
        <v>0</v>
      </c>
      <c r="I122" s="430"/>
      <c r="J122" s="430"/>
      <c r="K122" s="431"/>
      <c r="L122" s="431"/>
      <c r="M122" s="431"/>
      <c r="N122" s="431"/>
      <c r="O122" s="431"/>
      <c r="P122" s="430"/>
      <c r="Q122" s="431"/>
      <c r="R122" s="431"/>
      <c r="S122" s="431"/>
      <c r="T122" s="431"/>
      <c r="U122" s="431"/>
      <c r="V122" s="431"/>
      <c r="W122" s="430"/>
      <c r="X122" s="431"/>
      <c r="Y122" s="431"/>
      <c r="Z122" s="431"/>
      <c r="AA122" s="431"/>
      <c r="AB122" s="431"/>
      <c r="AC122" s="431"/>
      <c r="AD122" s="430"/>
      <c r="AE122" s="431"/>
      <c r="AF122" s="431"/>
      <c r="AG122" s="431"/>
      <c r="AH122" s="431"/>
      <c r="AI122" s="431"/>
      <c r="AJ122" s="431"/>
      <c r="AK122" s="430"/>
      <c r="AL122" s="431"/>
      <c r="AM122" s="431"/>
      <c r="AN122" s="432"/>
      <c r="AQ122" s="436"/>
      <c r="AR122" s="436"/>
      <c r="AS122" s="436"/>
      <c r="AT122" s="436"/>
      <c r="AU122" s="436"/>
      <c r="AV122" s="436"/>
      <c r="AW122" s="396">
        <f t="shared" si="11"/>
        <v>0</v>
      </c>
      <c r="AX122" s="434">
        <f t="shared" si="16"/>
        <v>0</v>
      </c>
      <c r="BA122" s="437">
        <f t="shared" si="12"/>
        <v>0</v>
      </c>
      <c r="BB122" s="437">
        <f t="shared" si="13"/>
        <v>0</v>
      </c>
      <c r="BC122" s="437">
        <f t="shared" si="14"/>
        <v>0</v>
      </c>
      <c r="BD122" s="437">
        <f t="shared" si="15"/>
        <v>0</v>
      </c>
      <c r="BE122" s="437"/>
    </row>
    <row r="123" spans="1:57" ht="33" customHeight="1" thickBot="1">
      <c r="A123" s="358" t="s">
        <v>230</v>
      </c>
      <c r="B123" s="332" t="s">
        <v>231</v>
      </c>
      <c r="C123" s="360" t="s">
        <v>86</v>
      </c>
      <c r="D123" s="7">
        <v>0.91</v>
      </c>
      <c r="E123" s="353"/>
      <c r="F123" s="22">
        <f t="shared" si="9"/>
        <v>0</v>
      </c>
      <c r="G123" s="329"/>
      <c r="H123" s="330">
        <f t="shared" si="10"/>
        <v>0</v>
      </c>
      <c r="I123" s="430"/>
      <c r="J123" s="430"/>
      <c r="K123" s="431"/>
      <c r="L123" s="431"/>
      <c r="M123" s="431"/>
      <c r="N123" s="431"/>
      <c r="O123" s="431"/>
      <c r="P123" s="430"/>
      <c r="Q123" s="431"/>
      <c r="R123" s="431"/>
      <c r="S123" s="431"/>
      <c r="T123" s="431"/>
      <c r="U123" s="431"/>
      <c r="V123" s="431"/>
      <c r="W123" s="430"/>
      <c r="X123" s="431"/>
      <c r="Y123" s="431"/>
      <c r="Z123" s="431"/>
      <c r="AA123" s="431"/>
      <c r="AB123" s="431"/>
      <c r="AC123" s="431"/>
      <c r="AD123" s="430"/>
      <c r="AE123" s="431"/>
      <c r="AF123" s="431"/>
      <c r="AG123" s="431"/>
      <c r="AH123" s="431"/>
      <c r="AI123" s="431"/>
      <c r="AJ123" s="431"/>
      <c r="AK123" s="430"/>
      <c r="AL123" s="431"/>
      <c r="AM123" s="431"/>
      <c r="AN123" s="432"/>
      <c r="AQ123" s="436"/>
      <c r="AR123" s="436"/>
      <c r="AS123" s="436"/>
      <c r="AT123" s="436"/>
      <c r="AU123" s="436"/>
      <c r="AV123" s="436"/>
      <c r="AW123" s="396">
        <f t="shared" si="11"/>
        <v>0</v>
      </c>
      <c r="AX123" s="434">
        <f t="shared" si="16"/>
        <v>0</v>
      </c>
      <c r="BA123" s="437">
        <f t="shared" si="12"/>
        <v>0</v>
      </c>
      <c r="BB123" s="437">
        <f t="shared" si="13"/>
        <v>0</v>
      </c>
      <c r="BC123" s="437">
        <f t="shared" si="14"/>
        <v>0</v>
      </c>
      <c r="BD123" s="437">
        <f t="shared" si="15"/>
        <v>0</v>
      </c>
      <c r="BE123" s="437"/>
    </row>
    <row r="124" spans="1:57" ht="33" customHeight="1" thickBot="1">
      <c r="A124" s="358" t="s">
        <v>232</v>
      </c>
      <c r="B124" s="332" t="s">
        <v>233</v>
      </c>
      <c r="C124" s="360" t="s">
        <v>234</v>
      </c>
      <c r="D124" s="7">
        <v>50.28</v>
      </c>
      <c r="E124" s="353"/>
      <c r="F124" s="22">
        <f t="shared" si="9"/>
        <v>0</v>
      </c>
      <c r="G124" s="329"/>
      <c r="H124" s="330">
        <f t="shared" si="10"/>
        <v>0</v>
      </c>
      <c r="I124" s="430"/>
      <c r="J124" s="430"/>
      <c r="K124" s="431"/>
      <c r="L124" s="431"/>
      <c r="M124" s="431"/>
      <c r="N124" s="431"/>
      <c r="O124" s="431"/>
      <c r="P124" s="430"/>
      <c r="Q124" s="431"/>
      <c r="R124" s="431"/>
      <c r="S124" s="431"/>
      <c r="T124" s="431"/>
      <c r="U124" s="431"/>
      <c r="V124" s="431"/>
      <c r="W124" s="430"/>
      <c r="X124" s="431"/>
      <c r="Y124" s="431"/>
      <c r="Z124" s="431"/>
      <c r="AA124" s="431"/>
      <c r="AB124" s="431"/>
      <c r="AC124" s="431"/>
      <c r="AD124" s="430"/>
      <c r="AE124" s="431"/>
      <c r="AF124" s="431"/>
      <c r="AG124" s="431"/>
      <c r="AH124" s="431"/>
      <c r="AI124" s="431"/>
      <c r="AJ124" s="431"/>
      <c r="AK124" s="430"/>
      <c r="AL124" s="431"/>
      <c r="AM124" s="431"/>
      <c r="AN124" s="432"/>
      <c r="AQ124" s="436"/>
      <c r="AR124" s="436"/>
      <c r="AS124" s="436"/>
      <c r="AT124" s="436"/>
      <c r="AU124" s="436"/>
      <c r="AV124" s="436"/>
      <c r="AW124" s="396">
        <f t="shared" si="11"/>
        <v>0</v>
      </c>
      <c r="AX124" s="434">
        <f t="shared" si="16"/>
        <v>0</v>
      </c>
      <c r="BA124" s="437">
        <f t="shared" si="12"/>
        <v>0</v>
      </c>
      <c r="BB124" s="437">
        <f t="shared" si="13"/>
        <v>0</v>
      </c>
      <c r="BC124" s="437">
        <f t="shared" si="14"/>
        <v>0</v>
      </c>
      <c r="BD124" s="437">
        <f t="shared" si="15"/>
        <v>0</v>
      </c>
      <c r="BE124" s="437"/>
    </row>
    <row r="125" spans="1:57" ht="33" customHeight="1" thickBot="1">
      <c r="A125" s="358" t="s">
        <v>235</v>
      </c>
      <c r="B125" s="368" t="s">
        <v>236</v>
      </c>
      <c r="C125" s="359" t="s">
        <v>219</v>
      </c>
      <c r="D125" s="7">
        <v>12.31</v>
      </c>
      <c r="E125" s="353"/>
      <c r="F125" s="22">
        <f t="shared" si="9"/>
        <v>0</v>
      </c>
      <c r="G125" s="329"/>
      <c r="H125" s="330">
        <f t="shared" si="10"/>
        <v>0</v>
      </c>
      <c r="I125" s="430"/>
      <c r="J125" s="430"/>
      <c r="K125" s="431"/>
      <c r="L125" s="431"/>
      <c r="M125" s="431"/>
      <c r="N125" s="431"/>
      <c r="O125" s="431"/>
      <c r="P125" s="430"/>
      <c r="Q125" s="431"/>
      <c r="R125" s="431"/>
      <c r="S125" s="431"/>
      <c r="T125" s="431"/>
      <c r="U125" s="431"/>
      <c r="V125" s="431"/>
      <c r="W125" s="430"/>
      <c r="X125" s="431"/>
      <c r="Y125" s="431"/>
      <c r="Z125" s="431"/>
      <c r="AA125" s="431"/>
      <c r="AB125" s="431"/>
      <c r="AC125" s="431"/>
      <c r="AD125" s="430"/>
      <c r="AE125" s="431"/>
      <c r="AF125" s="431"/>
      <c r="AG125" s="431"/>
      <c r="AH125" s="431"/>
      <c r="AI125" s="431"/>
      <c r="AJ125" s="431"/>
      <c r="AK125" s="430"/>
      <c r="AL125" s="431"/>
      <c r="AM125" s="431"/>
      <c r="AN125" s="432"/>
      <c r="AQ125" s="436"/>
      <c r="AR125" s="436"/>
      <c r="AS125" s="436"/>
      <c r="AT125" s="436"/>
      <c r="AU125" s="436"/>
      <c r="AV125" s="436"/>
      <c r="AW125" s="396">
        <f t="shared" si="11"/>
        <v>0</v>
      </c>
      <c r="AX125" s="434">
        <f t="shared" si="16"/>
        <v>0</v>
      </c>
      <c r="BA125" s="437">
        <f t="shared" si="12"/>
        <v>0</v>
      </c>
      <c r="BB125" s="437">
        <f t="shared" si="13"/>
        <v>0</v>
      </c>
      <c r="BC125" s="437">
        <f t="shared" si="14"/>
        <v>0</v>
      </c>
      <c r="BD125" s="437">
        <f t="shared" si="15"/>
        <v>0</v>
      </c>
      <c r="BE125" s="437"/>
    </row>
    <row r="126" spans="1:57" ht="33" customHeight="1" thickBot="1">
      <c r="A126" s="358" t="s">
        <v>237</v>
      </c>
      <c r="B126" s="368" t="s">
        <v>238</v>
      </c>
      <c r="C126" s="359" t="s">
        <v>219</v>
      </c>
      <c r="D126" s="7">
        <v>13.0305</v>
      </c>
      <c r="E126" s="353"/>
      <c r="F126" s="22">
        <f t="shared" si="9"/>
        <v>0</v>
      </c>
      <c r="G126" s="329"/>
      <c r="H126" s="330">
        <f t="shared" si="10"/>
        <v>0</v>
      </c>
      <c r="I126" s="430"/>
      <c r="J126" s="430"/>
      <c r="K126" s="431"/>
      <c r="L126" s="431"/>
      <c r="M126" s="431"/>
      <c r="N126" s="431"/>
      <c r="O126" s="431"/>
      <c r="P126" s="430"/>
      <c r="Q126" s="431"/>
      <c r="R126" s="431"/>
      <c r="S126" s="431"/>
      <c r="T126" s="431"/>
      <c r="U126" s="431"/>
      <c r="V126" s="431"/>
      <c r="W126" s="430"/>
      <c r="X126" s="431"/>
      <c r="Y126" s="431"/>
      <c r="Z126" s="431"/>
      <c r="AA126" s="431"/>
      <c r="AB126" s="431"/>
      <c r="AC126" s="431"/>
      <c r="AD126" s="430"/>
      <c r="AE126" s="431"/>
      <c r="AF126" s="431"/>
      <c r="AG126" s="431"/>
      <c r="AH126" s="431"/>
      <c r="AI126" s="431"/>
      <c r="AJ126" s="431"/>
      <c r="AK126" s="430"/>
      <c r="AL126" s="431"/>
      <c r="AM126" s="431"/>
      <c r="AN126" s="432"/>
      <c r="AQ126" s="436"/>
      <c r="AR126" s="436"/>
      <c r="AS126" s="436"/>
      <c r="AT126" s="436"/>
      <c r="AU126" s="436"/>
      <c r="AV126" s="436"/>
      <c r="AW126" s="396">
        <f t="shared" si="11"/>
        <v>0</v>
      </c>
      <c r="AX126" s="434">
        <f t="shared" si="16"/>
        <v>0</v>
      </c>
      <c r="BA126" s="437">
        <f t="shared" si="12"/>
        <v>0</v>
      </c>
      <c r="BB126" s="437">
        <f t="shared" si="13"/>
        <v>0</v>
      </c>
      <c r="BC126" s="437">
        <f t="shared" si="14"/>
        <v>0</v>
      </c>
      <c r="BD126" s="437">
        <f t="shared" si="15"/>
        <v>0</v>
      </c>
      <c r="BE126" s="437"/>
    </row>
    <row r="127" spans="1:57" ht="33" customHeight="1" thickBot="1">
      <c r="A127" s="358" t="s">
        <v>239</v>
      </c>
      <c r="B127" s="368" t="s">
        <v>240</v>
      </c>
      <c r="C127" s="359" t="s">
        <v>212</v>
      </c>
      <c r="D127" s="7">
        <v>114.845</v>
      </c>
      <c r="E127" s="353"/>
      <c r="F127" s="22">
        <f t="shared" si="9"/>
        <v>0</v>
      </c>
      <c r="G127" s="329"/>
      <c r="H127" s="330">
        <f t="shared" si="10"/>
        <v>0</v>
      </c>
      <c r="I127" s="430"/>
      <c r="J127" s="430"/>
      <c r="K127" s="431"/>
      <c r="L127" s="431"/>
      <c r="M127" s="431"/>
      <c r="N127" s="431"/>
      <c r="O127" s="431"/>
      <c r="P127" s="430"/>
      <c r="Q127" s="431"/>
      <c r="R127" s="431"/>
      <c r="S127" s="431"/>
      <c r="T127" s="431"/>
      <c r="U127" s="431"/>
      <c r="V127" s="431"/>
      <c r="W127" s="430"/>
      <c r="X127" s="431"/>
      <c r="Y127" s="431"/>
      <c r="Z127" s="431"/>
      <c r="AA127" s="431"/>
      <c r="AB127" s="431"/>
      <c r="AC127" s="431"/>
      <c r="AD127" s="430"/>
      <c r="AE127" s="431"/>
      <c r="AF127" s="431"/>
      <c r="AG127" s="431"/>
      <c r="AH127" s="431"/>
      <c r="AI127" s="431"/>
      <c r="AJ127" s="431"/>
      <c r="AK127" s="430"/>
      <c r="AL127" s="431"/>
      <c r="AM127" s="431"/>
      <c r="AN127" s="432"/>
      <c r="AQ127" s="436"/>
      <c r="AR127" s="436"/>
      <c r="AS127" s="436"/>
      <c r="AT127" s="436"/>
      <c r="AU127" s="436"/>
      <c r="AV127" s="436"/>
      <c r="AW127" s="396">
        <f t="shared" si="11"/>
        <v>0</v>
      </c>
      <c r="AX127" s="434">
        <f t="shared" si="16"/>
        <v>0</v>
      </c>
      <c r="BA127" s="437">
        <f t="shared" si="12"/>
        <v>0</v>
      </c>
      <c r="BB127" s="437">
        <f t="shared" si="13"/>
        <v>0</v>
      </c>
      <c r="BC127" s="437">
        <f t="shared" si="14"/>
        <v>0</v>
      </c>
      <c r="BD127" s="437">
        <f t="shared" si="15"/>
        <v>0</v>
      </c>
      <c r="BE127" s="437"/>
    </row>
    <row r="128" spans="1:57" ht="33" customHeight="1" thickBot="1">
      <c r="A128" s="364" t="s">
        <v>241</v>
      </c>
      <c r="B128" s="169" t="s">
        <v>242</v>
      </c>
      <c r="C128" s="359" t="s">
        <v>219</v>
      </c>
      <c r="D128" s="7">
        <v>1.27</v>
      </c>
      <c r="E128" s="353"/>
      <c r="F128" s="22">
        <f t="shared" si="9"/>
        <v>0</v>
      </c>
      <c r="G128" s="329"/>
      <c r="H128" s="330">
        <f t="shared" si="10"/>
        <v>0</v>
      </c>
      <c r="I128" s="430"/>
      <c r="J128" s="430"/>
      <c r="K128" s="431"/>
      <c r="L128" s="431"/>
      <c r="M128" s="431"/>
      <c r="N128" s="431"/>
      <c r="O128" s="431"/>
      <c r="P128" s="430"/>
      <c r="Q128" s="431"/>
      <c r="R128" s="431"/>
      <c r="S128" s="431"/>
      <c r="T128" s="431"/>
      <c r="U128" s="431"/>
      <c r="V128" s="431"/>
      <c r="W128" s="430"/>
      <c r="X128" s="431"/>
      <c r="Y128" s="431"/>
      <c r="Z128" s="431"/>
      <c r="AA128" s="431"/>
      <c r="AB128" s="431"/>
      <c r="AC128" s="431"/>
      <c r="AD128" s="430"/>
      <c r="AE128" s="431"/>
      <c r="AF128" s="431"/>
      <c r="AG128" s="431"/>
      <c r="AH128" s="431"/>
      <c r="AI128" s="431"/>
      <c r="AJ128" s="431"/>
      <c r="AK128" s="430"/>
      <c r="AL128" s="431"/>
      <c r="AM128" s="431"/>
      <c r="AN128" s="432"/>
      <c r="AQ128" s="436"/>
      <c r="AR128" s="436"/>
      <c r="AS128" s="436"/>
      <c r="AT128" s="436"/>
      <c r="AU128" s="436"/>
      <c r="AV128" s="436"/>
      <c r="AW128" s="396">
        <f t="shared" si="11"/>
        <v>0</v>
      </c>
      <c r="AX128" s="434">
        <f t="shared" si="16"/>
        <v>0</v>
      </c>
      <c r="BA128" s="437">
        <f t="shared" si="12"/>
        <v>0</v>
      </c>
      <c r="BB128" s="437">
        <f t="shared" si="13"/>
        <v>0</v>
      </c>
      <c r="BC128" s="437">
        <f t="shared" si="14"/>
        <v>0</v>
      </c>
      <c r="BD128" s="437">
        <f t="shared" si="15"/>
        <v>0</v>
      </c>
      <c r="BE128" s="437"/>
    </row>
    <row r="129" spans="1:57" ht="33" customHeight="1" thickBot="1">
      <c r="A129" s="364" t="s">
        <v>243</v>
      </c>
      <c r="B129" s="169" t="s">
        <v>244</v>
      </c>
      <c r="C129" s="359" t="s">
        <v>86</v>
      </c>
      <c r="D129" s="7">
        <v>27.510000000000005</v>
      </c>
      <c r="E129" s="353"/>
      <c r="F129" s="22">
        <f t="shared" si="9"/>
        <v>0</v>
      </c>
      <c r="G129" s="329"/>
      <c r="H129" s="330">
        <f t="shared" si="10"/>
        <v>0</v>
      </c>
      <c r="I129" s="430"/>
      <c r="J129" s="430"/>
      <c r="K129" s="431"/>
      <c r="L129" s="431"/>
      <c r="M129" s="431"/>
      <c r="N129" s="431"/>
      <c r="O129" s="431"/>
      <c r="P129" s="430"/>
      <c r="Q129" s="431"/>
      <c r="R129" s="431"/>
      <c r="S129" s="431"/>
      <c r="T129" s="431"/>
      <c r="U129" s="431"/>
      <c r="V129" s="431"/>
      <c r="W129" s="430"/>
      <c r="X129" s="431"/>
      <c r="Y129" s="431"/>
      <c r="Z129" s="431"/>
      <c r="AA129" s="431"/>
      <c r="AB129" s="431"/>
      <c r="AC129" s="431"/>
      <c r="AD129" s="430"/>
      <c r="AE129" s="431"/>
      <c r="AF129" s="431"/>
      <c r="AG129" s="431"/>
      <c r="AH129" s="431"/>
      <c r="AI129" s="431"/>
      <c r="AJ129" s="431"/>
      <c r="AK129" s="430"/>
      <c r="AL129" s="431"/>
      <c r="AM129" s="431"/>
      <c r="AN129" s="432"/>
      <c r="AQ129" s="436"/>
      <c r="AR129" s="436"/>
      <c r="AS129" s="436"/>
      <c r="AT129" s="436"/>
      <c r="AU129" s="436"/>
      <c r="AV129" s="436"/>
      <c r="AW129" s="396">
        <f t="shared" si="11"/>
        <v>0</v>
      </c>
      <c r="AX129" s="434">
        <f t="shared" si="16"/>
        <v>0</v>
      </c>
      <c r="BA129" s="437">
        <f t="shared" si="12"/>
        <v>0</v>
      </c>
      <c r="BB129" s="437">
        <f t="shared" si="13"/>
        <v>0</v>
      </c>
      <c r="BC129" s="437">
        <f t="shared" si="14"/>
        <v>0</v>
      </c>
      <c r="BD129" s="437">
        <f t="shared" si="15"/>
        <v>0</v>
      </c>
      <c r="BE129" s="437"/>
    </row>
    <row r="130" spans="1:57" ht="33" customHeight="1" thickBot="1">
      <c r="A130" s="364" t="s">
        <v>245</v>
      </c>
      <c r="B130" s="169" t="s">
        <v>246</v>
      </c>
      <c r="C130" s="359" t="s">
        <v>86</v>
      </c>
      <c r="D130" s="7">
        <v>45</v>
      </c>
      <c r="E130" s="353"/>
      <c r="F130" s="22">
        <f t="shared" si="9"/>
        <v>0</v>
      </c>
      <c r="G130" s="329"/>
      <c r="H130" s="330">
        <f t="shared" si="10"/>
        <v>0</v>
      </c>
      <c r="I130" s="430"/>
      <c r="J130" s="430"/>
      <c r="K130" s="431"/>
      <c r="L130" s="431"/>
      <c r="M130" s="431"/>
      <c r="N130" s="431"/>
      <c r="O130" s="431"/>
      <c r="P130" s="430"/>
      <c r="Q130" s="431"/>
      <c r="R130" s="431"/>
      <c r="S130" s="431"/>
      <c r="T130" s="431"/>
      <c r="U130" s="431"/>
      <c r="V130" s="431"/>
      <c r="W130" s="430"/>
      <c r="X130" s="431"/>
      <c r="Y130" s="431"/>
      <c r="Z130" s="431"/>
      <c r="AA130" s="431"/>
      <c r="AB130" s="431"/>
      <c r="AC130" s="431"/>
      <c r="AD130" s="430"/>
      <c r="AE130" s="431"/>
      <c r="AF130" s="431"/>
      <c r="AG130" s="431"/>
      <c r="AH130" s="431"/>
      <c r="AI130" s="431"/>
      <c r="AJ130" s="431"/>
      <c r="AK130" s="430"/>
      <c r="AL130" s="431"/>
      <c r="AM130" s="431"/>
      <c r="AN130" s="432"/>
      <c r="AQ130" s="436"/>
      <c r="AR130" s="436"/>
      <c r="AS130" s="436"/>
      <c r="AT130" s="436"/>
      <c r="AU130" s="436"/>
      <c r="AV130" s="436"/>
      <c r="AW130" s="396">
        <f t="shared" si="11"/>
        <v>0</v>
      </c>
      <c r="AX130" s="434">
        <f t="shared" si="16"/>
        <v>0</v>
      </c>
      <c r="BA130" s="437">
        <f t="shared" si="12"/>
        <v>0</v>
      </c>
      <c r="BB130" s="437">
        <f t="shared" si="13"/>
        <v>0</v>
      </c>
      <c r="BC130" s="437">
        <f t="shared" si="14"/>
        <v>0</v>
      </c>
      <c r="BD130" s="437">
        <f t="shared" si="15"/>
        <v>0</v>
      </c>
      <c r="BE130" s="437"/>
    </row>
    <row r="131" spans="1:57" ht="33" customHeight="1" thickBot="1">
      <c r="A131" s="358" t="s">
        <v>247</v>
      </c>
      <c r="B131" s="332" t="s">
        <v>248</v>
      </c>
      <c r="C131" s="359" t="s">
        <v>21</v>
      </c>
      <c r="D131" s="7">
        <v>148.65</v>
      </c>
      <c r="E131" s="353"/>
      <c r="F131" s="22">
        <f t="shared" si="9"/>
        <v>0</v>
      </c>
      <c r="G131" s="329"/>
      <c r="H131" s="330">
        <f t="shared" si="10"/>
        <v>0</v>
      </c>
      <c r="I131" s="430"/>
      <c r="J131" s="430"/>
      <c r="K131" s="431"/>
      <c r="L131" s="431"/>
      <c r="M131" s="431"/>
      <c r="N131" s="431"/>
      <c r="O131" s="431"/>
      <c r="P131" s="430"/>
      <c r="Q131" s="431"/>
      <c r="R131" s="431"/>
      <c r="S131" s="431"/>
      <c r="T131" s="431"/>
      <c r="U131" s="431"/>
      <c r="V131" s="431"/>
      <c r="W131" s="430"/>
      <c r="X131" s="431"/>
      <c r="Y131" s="431"/>
      <c r="Z131" s="431"/>
      <c r="AA131" s="431"/>
      <c r="AB131" s="431"/>
      <c r="AC131" s="431"/>
      <c r="AD131" s="430"/>
      <c r="AE131" s="431"/>
      <c r="AF131" s="431"/>
      <c r="AG131" s="431"/>
      <c r="AH131" s="431"/>
      <c r="AI131" s="431"/>
      <c r="AJ131" s="431"/>
      <c r="AK131" s="430"/>
      <c r="AL131" s="431"/>
      <c r="AM131" s="431"/>
      <c r="AN131" s="432"/>
      <c r="AQ131" s="436"/>
      <c r="AR131" s="436"/>
      <c r="AS131" s="436"/>
      <c r="AT131" s="436"/>
      <c r="AU131" s="436"/>
      <c r="AV131" s="436"/>
      <c r="AW131" s="396">
        <f t="shared" si="11"/>
        <v>0</v>
      </c>
      <c r="AX131" s="434">
        <f t="shared" si="16"/>
        <v>0</v>
      </c>
      <c r="BA131" s="437">
        <f t="shared" si="12"/>
        <v>0</v>
      </c>
      <c r="BB131" s="437">
        <f t="shared" si="13"/>
        <v>0</v>
      </c>
      <c r="BC131" s="437">
        <f t="shared" si="14"/>
        <v>0</v>
      </c>
      <c r="BD131" s="437">
        <f t="shared" si="15"/>
        <v>0</v>
      </c>
      <c r="BE131" s="437"/>
    </row>
    <row r="132" spans="1:57" ht="33" customHeight="1" thickBot="1">
      <c r="A132" s="339" t="s">
        <v>249</v>
      </c>
      <c r="B132" s="332" t="s">
        <v>250</v>
      </c>
      <c r="C132" s="340" t="s">
        <v>86</v>
      </c>
      <c r="D132" s="7">
        <v>5.45</v>
      </c>
      <c r="E132" s="353"/>
      <c r="F132" s="22">
        <f t="shared" si="9"/>
        <v>0</v>
      </c>
      <c r="G132" s="329"/>
      <c r="H132" s="330">
        <f t="shared" si="10"/>
        <v>0</v>
      </c>
      <c r="I132" s="430"/>
      <c r="J132" s="430"/>
      <c r="K132" s="431"/>
      <c r="L132" s="431"/>
      <c r="M132" s="431"/>
      <c r="N132" s="431"/>
      <c r="O132" s="431"/>
      <c r="P132" s="430"/>
      <c r="Q132" s="431"/>
      <c r="R132" s="431"/>
      <c r="S132" s="431"/>
      <c r="T132" s="431"/>
      <c r="U132" s="431"/>
      <c r="V132" s="431"/>
      <c r="W132" s="430"/>
      <c r="X132" s="431"/>
      <c r="Y132" s="431"/>
      <c r="Z132" s="431"/>
      <c r="AA132" s="431"/>
      <c r="AB132" s="431"/>
      <c r="AC132" s="431"/>
      <c r="AD132" s="430"/>
      <c r="AE132" s="431"/>
      <c r="AF132" s="431"/>
      <c r="AG132" s="431"/>
      <c r="AH132" s="431"/>
      <c r="AI132" s="431"/>
      <c r="AJ132" s="431"/>
      <c r="AK132" s="430"/>
      <c r="AL132" s="431"/>
      <c r="AM132" s="431"/>
      <c r="AN132" s="432"/>
      <c r="AQ132" s="436"/>
      <c r="AR132" s="436"/>
      <c r="AS132" s="436"/>
      <c r="AT132" s="436"/>
      <c r="AU132" s="436"/>
      <c r="AV132" s="436"/>
      <c r="AW132" s="396">
        <f t="shared" si="11"/>
        <v>0</v>
      </c>
      <c r="AX132" s="434">
        <f t="shared" si="16"/>
        <v>0</v>
      </c>
      <c r="BA132" s="437">
        <f t="shared" si="12"/>
        <v>0</v>
      </c>
      <c r="BB132" s="437">
        <f t="shared" si="13"/>
        <v>0</v>
      </c>
      <c r="BC132" s="437">
        <f t="shared" si="14"/>
        <v>0</v>
      </c>
      <c r="BD132" s="437">
        <f t="shared" si="15"/>
        <v>0</v>
      </c>
      <c r="BE132" s="437"/>
    </row>
    <row r="133" spans="1:57" ht="33" customHeight="1" thickBot="1">
      <c r="A133" s="358" t="s">
        <v>251</v>
      </c>
      <c r="B133" s="332" t="s">
        <v>252</v>
      </c>
      <c r="C133" s="360" t="s">
        <v>86</v>
      </c>
      <c r="D133" s="7">
        <v>5.95</v>
      </c>
      <c r="E133" s="353"/>
      <c r="F133" s="22">
        <f t="shared" si="9"/>
        <v>0</v>
      </c>
      <c r="G133" s="329"/>
      <c r="H133" s="330">
        <f t="shared" si="10"/>
        <v>0</v>
      </c>
      <c r="I133" s="430"/>
      <c r="J133" s="430"/>
      <c r="K133" s="431"/>
      <c r="L133" s="431"/>
      <c r="M133" s="431"/>
      <c r="N133" s="431"/>
      <c r="O133" s="431"/>
      <c r="P133" s="430"/>
      <c r="Q133" s="431"/>
      <c r="R133" s="431"/>
      <c r="S133" s="431"/>
      <c r="T133" s="431"/>
      <c r="U133" s="431"/>
      <c r="V133" s="431"/>
      <c r="W133" s="430"/>
      <c r="X133" s="431"/>
      <c r="Y133" s="431"/>
      <c r="Z133" s="431"/>
      <c r="AA133" s="431"/>
      <c r="AB133" s="431"/>
      <c r="AC133" s="431"/>
      <c r="AD133" s="430"/>
      <c r="AE133" s="431"/>
      <c r="AF133" s="431"/>
      <c r="AG133" s="431"/>
      <c r="AH133" s="431"/>
      <c r="AI133" s="431"/>
      <c r="AJ133" s="431"/>
      <c r="AK133" s="430"/>
      <c r="AL133" s="431"/>
      <c r="AM133" s="431"/>
      <c r="AN133" s="432"/>
      <c r="AQ133" s="436"/>
      <c r="AR133" s="436"/>
      <c r="AS133" s="436"/>
      <c r="AT133" s="436"/>
      <c r="AU133" s="436"/>
      <c r="AV133" s="436"/>
      <c r="AW133" s="396">
        <f t="shared" si="11"/>
        <v>0</v>
      </c>
      <c r="AX133" s="434">
        <f t="shared" si="16"/>
        <v>0</v>
      </c>
      <c r="BA133" s="437">
        <f t="shared" si="12"/>
        <v>0</v>
      </c>
      <c r="BB133" s="437">
        <f t="shared" si="13"/>
        <v>0</v>
      </c>
      <c r="BC133" s="437">
        <f t="shared" si="14"/>
        <v>0</v>
      </c>
      <c r="BD133" s="437">
        <f t="shared" si="15"/>
        <v>0</v>
      </c>
      <c r="BE133" s="437"/>
    </row>
    <row r="134" spans="1:57" ht="33" customHeight="1" thickBot="1">
      <c r="A134" s="358" t="s">
        <v>253</v>
      </c>
      <c r="B134" s="332" t="s">
        <v>254</v>
      </c>
      <c r="C134" s="360" t="s">
        <v>219</v>
      </c>
      <c r="D134" s="7">
        <v>54.2</v>
      </c>
      <c r="E134" s="353"/>
      <c r="F134" s="22">
        <f t="shared" si="9"/>
        <v>0</v>
      </c>
      <c r="G134" s="329"/>
      <c r="H134" s="330">
        <f t="shared" si="10"/>
        <v>0</v>
      </c>
      <c r="I134" s="430"/>
      <c r="J134" s="430"/>
      <c r="K134" s="431"/>
      <c r="L134" s="431"/>
      <c r="M134" s="431"/>
      <c r="N134" s="431"/>
      <c r="O134" s="431"/>
      <c r="P134" s="430"/>
      <c r="Q134" s="431"/>
      <c r="R134" s="431"/>
      <c r="S134" s="431"/>
      <c r="T134" s="431"/>
      <c r="U134" s="431"/>
      <c r="V134" s="431"/>
      <c r="W134" s="430"/>
      <c r="X134" s="431"/>
      <c r="Y134" s="431"/>
      <c r="Z134" s="431"/>
      <c r="AA134" s="431"/>
      <c r="AB134" s="431"/>
      <c r="AC134" s="431"/>
      <c r="AD134" s="430"/>
      <c r="AE134" s="431"/>
      <c r="AF134" s="431"/>
      <c r="AG134" s="431"/>
      <c r="AH134" s="431"/>
      <c r="AI134" s="431"/>
      <c r="AJ134" s="431"/>
      <c r="AK134" s="430"/>
      <c r="AL134" s="431"/>
      <c r="AM134" s="431"/>
      <c r="AN134" s="432"/>
      <c r="AQ134" s="436"/>
      <c r="AR134" s="436"/>
      <c r="AS134" s="436"/>
      <c r="AT134" s="436"/>
      <c r="AU134" s="436"/>
      <c r="AV134" s="436"/>
      <c r="AW134" s="396">
        <f t="shared" si="11"/>
        <v>0</v>
      </c>
      <c r="AX134" s="434">
        <f t="shared" si="16"/>
        <v>0</v>
      </c>
      <c r="BA134" s="437">
        <f t="shared" si="12"/>
        <v>0</v>
      </c>
      <c r="BB134" s="437">
        <f t="shared" si="13"/>
        <v>0</v>
      </c>
      <c r="BC134" s="437">
        <f t="shared" si="14"/>
        <v>0</v>
      </c>
      <c r="BD134" s="437">
        <f t="shared" si="15"/>
        <v>0</v>
      </c>
      <c r="BE134" s="437"/>
    </row>
    <row r="135" spans="1:57" ht="33" customHeight="1" thickBot="1">
      <c r="A135" s="358" t="s">
        <v>255</v>
      </c>
      <c r="B135" s="369" t="s">
        <v>256</v>
      </c>
      <c r="C135" s="370" t="s">
        <v>219</v>
      </c>
      <c r="D135" s="7">
        <v>54.2</v>
      </c>
      <c r="E135" s="353"/>
      <c r="F135" s="22">
        <f t="shared" si="9"/>
        <v>0</v>
      </c>
      <c r="G135" s="329"/>
      <c r="H135" s="330">
        <f t="shared" si="10"/>
        <v>0</v>
      </c>
      <c r="I135" s="430"/>
      <c r="J135" s="430"/>
      <c r="K135" s="431"/>
      <c r="L135" s="431"/>
      <c r="M135" s="431"/>
      <c r="N135" s="431"/>
      <c r="O135" s="431"/>
      <c r="P135" s="430"/>
      <c r="Q135" s="431"/>
      <c r="R135" s="431"/>
      <c r="S135" s="431"/>
      <c r="T135" s="431"/>
      <c r="U135" s="431"/>
      <c r="V135" s="431"/>
      <c r="W135" s="430"/>
      <c r="X135" s="431"/>
      <c r="Y135" s="431"/>
      <c r="Z135" s="431"/>
      <c r="AA135" s="431"/>
      <c r="AB135" s="431"/>
      <c r="AC135" s="431"/>
      <c r="AD135" s="430"/>
      <c r="AE135" s="431"/>
      <c r="AF135" s="431"/>
      <c r="AG135" s="431"/>
      <c r="AH135" s="431"/>
      <c r="AI135" s="431"/>
      <c r="AJ135" s="431"/>
      <c r="AK135" s="430"/>
      <c r="AL135" s="431"/>
      <c r="AM135" s="431"/>
      <c r="AN135" s="432"/>
      <c r="AQ135" s="436"/>
      <c r="AR135" s="436"/>
      <c r="AS135" s="436"/>
      <c r="AT135" s="436"/>
      <c r="AU135" s="436"/>
      <c r="AV135" s="436"/>
      <c r="AW135" s="396">
        <f t="shared" si="11"/>
        <v>0</v>
      </c>
      <c r="AX135" s="434">
        <f t="shared" si="16"/>
        <v>0</v>
      </c>
      <c r="BA135" s="437">
        <f t="shared" si="12"/>
        <v>0</v>
      </c>
      <c r="BB135" s="437">
        <f t="shared" si="13"/>
        <v>0</v>
      </c>
      <c r="BC135" s="437">
        <f t="shared" si="14"/>
        <v>0</v>
      </c>
      <c r="BD135" s="437">
        <f t="shared" si="15"/>
        <v>0</v>
      </c>
      <c r="BE135" s="437"/>
    </row>
    <row r="136" spans="1:57" ht="38.25" customHeight="1" thickBot="1">
      <c r="A136" s="358" t="s">
        <v>257</v>
      </c>
      <c r="B136" s="369" t="s">
        <v>258</v>
      </c>
      <c r="C136" s="370" t="s">
        <v>21</v>
      </c>
      <c r="D136" s="7">
        <v>6.26</v>
      </c>
      <c r="E136" s="353"/>
      <c r="F136" s="22">
        <f t="shared" si="9"/>
        <v>0</v>
      </c>
      <c r="G136" s="329"/>
      <c r="H136" s="330">
        <f t="shared" si="10"/>
        <v>0</v>
      </c>
      <c r="I136" s="430"/>
      <c r="J136" s="430"/>
      <c r="K136" s="431"/>
      <c r="L136" s="431"/>
      <c r="M136" s="431"/>
      <c r="N136" s="431"/>
      <c r="O136" s="431"/>
      <c r="P136" s="430"/>
      <c r="Q136" s="431"/>
      <c r="R136" s="431"/>
      <c r="S136" s="431"/>
      <c r="T136" s="431"/>
      <c r="U136" s="431"/>
      <c r="V136" s="431"/>
      <c r="W136" s="430"/>
      <c r="X136" s="431"/>
      <c r="Y136" s="431"/>
      <c r="Z136" s="431"/>
      <c r="AA136" s="431"/>
      <c r="AB136" s="431"/>
      <c r="AC136" s="431"/>
      <c r="AD136" s="430"/>
      <c r="AE136" s="431"/>
      <c r="AF136" s="431"/>
      <c r="AG136" s="431"/>
      <c r="AH136" s="431"/>
      <c r="AI136" s="431"/>
      <c r="AJ136" s="431"/>
      <c r="AK136" s="430"/>
      <c r="AL136" s="431"/>
      <c r="AM136" s="431"/>
      <c r="AN136" s="432"/>
      <c r="AQ136" s="436"/>
      <c r="AR136" s="436"/>
      <c r="AS136" s="436"/>
      <c r="AT136" s="436"/>
      <c r="AU136" s="436"/>
      <c r="AV136" s="436"/>
      <c r="AW136" s="396">
        <f t="shared" si="11"/>
        <v>0</v>
      </c>
      <c r="AX136" s="434">
        <f t="shared" si="16"/>
        <v>0</v>
      </c>
      <c r="BA136" s="437">
        <f t="shared" si="12"/>
        <v>0</v>
      </c>
      <c r="BB136" s="437">
        <f t="shared" si="13"/>
        <v>0</v>
      </c>
      <c r="BC136" s="437">
        <f t="shared" si="14"/>
        <v>0</v>
      </c>
      <c r="BD136" s="437">
        <f t="shared" si="15"/>
        <v>0</v>
      </c>
      <c r="BE136" s="437"/>
    </row>
    <row r="137" spans="1:57" ht="38.25" customHeight="1" thickBot="1">
      <c r="A137" s="358" t="s">
        <v>259</v>
      </c>
      <c r="B137" s="332" t="s">
        <v>260</v>
      </c>
      <c r="C137" s="370" t="s">
        <v>21</v>
      </c>
      <c r="D137" s="7">
        <v>6.26</v>
      </c>
      <c r="E137" s="353"/>
      <c r="F137" s="22">
        <f t="shared" si="9"/>
        <v>0</v>
      </c>
      <c r="G137" s="329"/>
      <c r="H137" s="330">
        <f t="shared" si="10"/>
        <v>0</v>
      </c>
      <c r="I137" s="430"/>
      <c r="J137" s="430"/>
      <c r="K137" s="431"/>
      <c r="L137" s="431"/>
      <c r="M137" s="431"/>
      <c r="N137" s="431"/>
      <c r="O137" s="431"/>
      <c r="P137" s="430"/>
      <c r="Q137" s="431"/>
      <c r="R137" s="431"/>
      <c r="S137" s="431"/>
      <c r="T137" s="431"/>
      <c r="U137" s="431"/>
      <c r="V137" s="431"/>
      <c r="W137" s="430"/>
      <c r="X137" s="431"/>
      <c r="Y137" s="431"/>
      <c r="Z137" s="431"/>
      <c r="AA137" s="431"/>
      <c r="AB137" s="431"/>
      <c r="AC137" s="431"/>
      <c r="AD137" s="430"/>
      <c r="AE137" s="431"/>
      <c r="AF137" s="431"/>
      <c r="AG137" s="431"/>
      <c r="AH137" s="431"/>
      <c r="AI137" s="431"/>
      <c r="AJ137" s="431"/>
      <c r="AK137" s="430"/>
      <c r="AL137" s="431"/>
      <c r="AM137" s="431"/>
      <c r="AN137" s="432"/>
      <c r="AQ137" s="436"/>
      <c r="AR137" s="436"/>
      <c r="AS137" s="436"/>
      <c r="AT137" s="436"/>
      <c r="AU137" s="436"/>
      <c r="AV137" s="436"/>
      <c r="AW137" s="396">
        <f t="shared" si="11"/>
        <v>0</v>
      </c>
      <c r="AX137" s="434">
        <f t="shared" si="16"/>
        <v>0</v>
      </c>
      <c r="BA137" s="437">
        <f t="shared" si="12"/>
        <v>0</v>
      </c>
      <c r="BB137" s="437">
        <f t="shared" si="13"/>
        <v>0</v>
      </c>
      <c r="BC137" s="437">
        <f t="shared" si="14"/>
        <v>0</v>
      </c>
      <c r="BD137" s="437">
        <f t="shared" si="15"/>
        <v>0</v>
      </c>
      <c r="BE137" s="437"/>
    </row>
    <row r="138" spans="1:57" ht="38.25" customHeight="1" thickBot="1">
      <c r="A138" s="358" t="s">
        <v>261</v>
      </c>
      <c r="B138" s="332" t="s">
        <v>262</v>
      </c>
      <c r="C138" s="370" t="s">
        <v>21</v>
      </c>
      <c r="D138" s="7">
        <v>5.92</v>
      </c>
      <c r="E138" s="353"/>
      <c r="F138" s="22">
        <f t="shared" si="9"/>
        <v>0</v>
      </c>
      <c r="G138" s="329"/>
      <c r="H138" s="330">
        <f t="shared" si="10"/>
        <v>0</v>
      </c>
      <c r="I138" s="430"/>
      <c r="J138" s="430"/>
      <c r="K138" s="431"/>
      <c r="L138" s="431"/>
      <c r="M138" s="431"/>
      <c r="N138" s="431"/>
      <c r="O138" s="431"/>
      <c r="P138" s="430"/>
      <c r="Q138" s="431"/>
      <c r="R138" s="431"/>
      <c r="S138" s="431"/>
      <c r="T138" s="431"/>
      <c r="U138" s="431"/>
      <c r="V138" s="431"/>
      <c r="W138" s="430"/>
      <c r="X138" s="431"/>
      <c r="Y138" s="431"/>
      <c r="Z138" s="431"/>
      <c r="AA138" s="431"/>
      <c r="AB138" s="431"/>
      <c r="AC138" s="431"/>
      <c r="AD138" s="430"/>
      <c r="AE138" s="431"/>
      <c r="AF138" s="431"/>
      <c r="AG138" s="431"/>
      <c r="AH138" s="431"/>
      <c r="AI138" s="431"/>
      <c r="AJ138" s="431"/>
      <c r="AK138" s="430"/>
      <c r="AL138" s="431"/>
      <c r="AM138" s="431"/>
      <c r="AN138" s="432"/>
      <c r="AQ138" s="436"/>
      <c r="AR138" s="436"/>
      <c r="AS138" s="436"/>
      <c r="AT138" s="436"/>
      <c r="AU138" s="436"/>
      <c r="AV138" s="436"/>
      <c r="AW138" s="396">
        <f t="shared" si="11"/>
        <v>0</v>
      </c>
      <c r="AX138" s="434">
        <f t="shared" si="16"/>
        <v>0</v>
      </c>
      <c r="BA138" s="437">
        <f t="shared" si="12"/>
        <v>0</v>
      </c>
      <c r="BB138" s="437">
        <f t="shared" si="13"/>
        <v>0</v>
      </c>
      <c r="BC138" s="437">
        <f t="shared" si="14"/>
        <v>0</v>
      </c>
      <c r="BD138" s="437">
        <f t="shared" si="15"/>
        <v>0</v>
      </c>
      <c r="BE138" s="437"/>
    </row>
    <row r="139" spans="1:57" ht="33" customHeight="1" thickBot="1">
      <c r="A139" s="358" t="s">
        <v>263</v>
      </c>
      <c r="B139" s="332" t="s">
        <v>264</v>
      </c>
      <c r="C139" s="370" t="s">
        <v>21</v>
      </c>
      <c r="D139" s="7">
        <v>7.03</v>
      </c>
      <c r="E139" s="353"/>
      <c r="F139" s="22">
        <f t="shared" ref="F139:F202" si="17">E139*D139</f>
        <v>0</v>
      </c>
      <c r="G139" s="329"/>
      <c r="H139" s="330">
        <f t="shared" ref="H139:H202" si="18">G139*D139</f>
        <v>0</v>
      </c>
      <c r="I139" s="430"/>
      <c r="J139" s="430"/>
      <c r="K139" s="431"/>
      <c r="L139" s="431"/>
      <c r="M139" s="431"/>
      <c r="N139" s="431"/>
      <c r="O139" s="431"/>
      <c r="P139" s="430"/>
      <c r="Q139" s="431"/>
      <c r="R139" s="431"/>
      <c r="S139" s="431"/>
      <c r="T139" s="431"/>
      <c r="U139" s="431"/>
      <c r="V139" s="431"/>
      <c r="W139" s="430"/>
      <c r="X139" s="431"/>
      <c r="Y139" s="431"/>
      <c r="Z139" s="431"/>
      <c r="AA139" s="431"/>
      <c r="AB139" s="431"/>
      <c r="AC139" s="431"/>
      <c r="AD139" s="430"/>
      <c r="AE139" s="431"/>
      <c r="AF139" s="431"/>
      <c r="AG139" s="431"/>
      <c r="AH139" s="431"/>
      <c r="AI139" s="431"/>
      <c r="AJ139" s="431"/>
      <c r="AK139" s="430"/>
      <c r="AL139" s="431"/>
      <c r="AM139" s="431"/>
      <c r="AN139" s="432"/>
      <c r="AQ139" s="436"/>
      <c r="AR139" s="436"/>
      <c r="AS139" s="436"/>
      <c r="AT139" s="436"/>
      <c r="AU139" s="436"/>
      <c r="AV139" s="436"/>
      <c r="AW139" s="396">
        <f t="shared" ref="AW139:AW202" si="19">AR139+AT139+AV139</f>
        <v>0</v>
      </c>
      <c r="AX139" s="434">
        <f t="shared" si="16"/>
        <v>0</v>
      </c>
      <c r="BA139" s="437">
        <f t="shared" si="12"/>
        <v>0</v>
      </c>
      <c r="BB139" s="437">
        <f t="shared" si="13"/>
        <v>0</v>
      </c>
      <c r="BC139" s="437">
        <f t="shared" si="14"/>
        <v>0</v>
      </c>
      <c r="BD139" s="437">
        <f t="shared" si="15"/>
        <v>0</v>
      </c>
      <c r="BE139" s="437"/>
    </row>
    <row r="140" spans="1:57" ht="33" customHeight="1" thickBot="1">
      <c r="A140" s="358" t="s">
        <v>265</v>
      </c>
      <c r="B140" s="332" t="s">
        <v>266</v>
      </c>
      <c r="C140" s="370" t="s">
        <v>21</v>
      </c>
      <c r="D140" s="7">
        <v>17.29</v>
      </c>
      <c r="E140" s="353"/>
      <c r="F140" s="22">
        <f t="shared" si="17"/>
        <v>0</v>
      </c>
      <c r="G140" s="329"/>
      <c r="H140" s="330">
        <f t="shared" si="18"/>
        <v>0</v>
      </c>
      <c r="I140" s="430"/>
      <c r="J140" s="430"/>
      <c r="K140" s="431"/>
      <c r="L140" s="431"/>
      <c r="M140" s="431"/>
      <c r="N140" s="431"/>
      <c r="O140" s="431"/>
      <c r="P140" s="430"/>
      <c r="Q140" s="431"/>
      <c r="R140" s="431"/>
      <c r="S140" s="431"/>
      <c r="T140" s="431"/>
      <c r="U140" s="431"/>
      <c r="V140" s="431"/>
      <c r="W140" s="430"/>
      <c r="X140" s="431"/>
      <c r="Y140" s="431"/>
      <c r="Z140" s="431"/>
      <c r="AA140" s="431"/>
      <c r="AB140" s="431"/>
      <c r="AC140" s="431"/>
      <c r="AD140" s="430"/>
      <c r="AE140" s="431"/>
      <c r="AF140" s="431"/>
      <c r="AG140" s="431"/>
      <c r="AH140" s="431"/>
      <c r="AI140" s="431"/>
      <c r="AJ140" s="431"/>
      <c r="AK140" s="430"/>
      <c r="AL140" s="431"/>
      <c r="AM140" s="431"/>
      <c r="AN140" s="432"/>
      <c r="AQ140" s="436"/>
      <c r="AR140" s="436"/>
      <c r="AS140" s="436"/>
      <c r="AT140" s="436"/>
      <c r="AU140" s="436"/>
      <c r="AV140" s="436"/>
      <c r="AW140" s="396">
        <f t="shared" si="19"/>
        <v>0</v>
      </c>
      <c r="AX140" s="434">
        <f t="shared" si="16"/>
        <v>0</v>
      </c>
      <c r="BA140" s="437">
        <f t="shared" ref="BA140:BA203" si="20">SUM(I140:O140)</f>
        <v>0</v>
      </c>
      <c r="BB140" s="437">
        <f t="shared" ref="BB140:BB203" si="21">SUM(Q140:V140)</f>
        <v>0</v>
      </c>
      <c r="BC140" s="437">
        <f t="shared" ref="BC140:BC203" si="22">SUM(X140:AD140)</f>
        <v>0</v>
      </c>
      <c r="BD140" s="437">
        <f t="shared" ref="BD140:BD203" si="23">SUM(AE140:AJ140)</f>
        <v>0</v>
      </c>
      <c r="BE140" s="437"/>
    </row>
    <row r="141" spans="1:57" ht="33" customHeight="1" thickBot="1">
      <c r="A141" s="358" t="s">
        <v>267</v>
      </c>
      <c r="B141" s="169" t="s">
        <v>268</v>
      </c>
      <c r="C141" s="370" t="s">
        <v>212</v>
      </c>
      <c r="D141" s="7">
        <v>19.559999999999999</v>
      </c>
      <c r="E141" s="353"/>
      <c r="F141" s="22">
        <f t="shared" si="17"/>
        <v>0</v>
      </c>
      <c r="G141" s="329"/>
      <c r="H141" s="330">
        <f t="shared" si="18"/>
        <v>0</v>
      </c>
      <c r="I141" s="430"/>
      <c r="J141" s="430"/>
      <c r="K141" s="431"/>
      <c r="L141" s="431"/>
      <c r="M141" s="431"/>
      <c r="N141" s="431"/>
      <c r="O141" s="431"/>
      <c r="P141" s="430"/>
      <c r="Q141" s="431"/>
      <c r="R141" s="431"/>
      <c r="S141" s="431"/>
      <c r="T141" s="431"/>
      <c r="U141" s="431"/>
      <c r="V141" s="431"/>
      <c r="W141" s="430"/>
      <c r="X141" s="431"/>
      <c r="Y141" s="431"/>
      <c r="Z141" s="431"/>
      <c r="AA141" s="431"/>
      <c r="AB141" s="431"/>
      <c r="AC141" s="431"/>
      <c r="AD141" s="430"/>
      <c r="AE141" s="431"/>
      <c r="AF141" s="431"/>
      <c r="AG141" s="431"/>
      <c r="AH141" s="431"/>
      <c r="AI141" s="431"/>
      <c r="AJ141" s="431"/>
      <c r="AK141" s="430"/>
      <c r="AL141" s="431"/>
      <c r="AM141" s="431"/>
      <c r="AN141" s="432"/>
      <c r="AQ141" s="436"/>
      <c r="AR141" s="436"/>
      <c r="AS141" s="436"/>
      <c r="AT141" s="436"/>
      <c r="AU141" s="436"/>
      <c r="AV141" s="436"/>
      <c r="AW141" s="396">
        <f t="shared" si="19"/>
        <v>0</v>
      </c>
      <c r="AX141" s="434">
        <f t="shared" si="16"/>
        <v>0</v>
      </c>
      <c r="BA141" s="437">
        <f t="shared" si="20"/>
        <v>0</v>
      </c>
      <c r="BB141" s="437">
        <f t="shared" si="21"/>
        <v>0</v>
      </c>
      <c r="BC141" s="437">
        <f t="shared" si="22"/>
        <v>0</v>
      </c>
      <c r="BD141" s="437">
        <f t="shared" si="23"/>
        <v>0</v>
      </c>
      <c r="BE141" s="437"/>
    </row>
    <row r="142" spans="1:57" ht="33" customHeight="1" thickBot="1">
      <c r="A142" s="358" t="s">
        <v>269</v>
      </c>
      <c r="B142" s="334" t="s">
        <v>270</v>
      </c>
      <c r="C142" s="370" t="s">
        <v>196</v>
      </c>
      <c r="D142" s="7">
        <v>106.25</v>
      </c>
      <c r="E142" s="353"/>
      <c r="F142" s="22">
        <f t="shared" si="17"/>
        <v>0</v>
      </c>
      <c r="G142" s="329"/>
      <c r="H142" s="330">
        <f t="shared" si="18"/>
        <v>0</v>
      </c>
      <c r="I142" s="430"/>
      <c r="J142" s="430"/>
      <c r="K142" s="431"/>
      <c r="L142" s="431"/>
      <c r="M142" s="431"/>
      <c r="N142" s="431"/>
      <c r="O142" s="431"/>
      <c r="P142" s="430"/>
      <c r="Q142" s="431"/>
      <c r="R142" s="431"/>
      <c r="S142" s="431"/>
      <c r="T142" s="431"/>
      <c r="U142" s="431"/>
      <c r="V142" s="431"/>
      <c r="W142" s="430"/>
      <c r="X142" s="431"/>
      <c r="Y142" s="431"/>
      <c r="Z142" s="431"/>
      <c r="AA142" s="431"/>
      <c r="AB142" s="431"/>
      <c r="AC142" s="431"/>
      <c r="AD142" s="430"/>
      <c r="AE142" s="431"/>
      <c r="AF142" s="431"/>
      <c r="AG142" s="431"/>
      <c r="AH142" s="431"/>
      <c r="AI142" s="431"/>
      <c r="AJ142" s="431"/>
      <c r="AK142" s="430"/>
      <c r="AL142" s="431"/>
      <c r="AM142" s="431"/>
      <c r="AN142" s="432"/>
      <c r="AQ142" s="436"/>
      <c r="AR142" s="436"/>
      <c r="AS142" s="436"/>
      <c r="AT142" s="436"/>
      <c r="AU142" s="436"/>
      <c r="AV142" s="436"/>
      <c r="AW142" s="396">
        <f t="shared" si="19"/>
        <v>0</v>
      </c>
      <c r="AX142" s="434">
        <f t="shared" si="16"/>
        <v>0</v>
      </c>
      <c r="BA142" s="437">
        <f t="shared" si="20"/>
        <v>0</v>
      </c>
      <c r="BB142" s="437">
        <f t="shared" si="21"/>
        <v>0</v>
      </c>
      <c r="BC142" s="437">
        <f t="shared" si="22"/>
        <v>0</v>
      </c>
      <c r="BD142" s="437">
        <f t="shared" si="23"/>
        <v>0</v>
      </c>
      <c r="BE142" s="437"/>
    </row>
    <row r="143" spans="1:57" ht="33" customHeight="1" thickBot="1">
      <c r="A143" s="358" t="s">
        <v>271</v>
      </c>
      <c r="B143" s="332" t="s">
        <v>272</v>
      </c>
      <c r="C143" s="359" t="s">
        <v>196</v>
      </c>
      <c r="D143" s="7">
        <v>157.28</v>
      </c>
      <c r="E143" s="353"/>
      <c r="F143" s="22">
        <f t="shared" si="17"/>
        <v>0</v>
      </c>
      <c r="G143" s="329"/>
      <c r="H143" s="330">
        <f t="shared" si="18"/>
        <v>0</v>
      </c>
      <c r="I143" s="430"/>
      <c r="J143" s="430"/>
      <c r="K143" s="431"/>
      <c r="L143" s="431"/>
      <c r="M143" s="431"/>
      <c r="N143" s="431"/>
      <c r="O143" s="431"/>
      <c r="P143" s="430"/>
      <c r="Q143" s="431"/>
      <c r="R143" s="431"/>
      <c r="S143" s="431"/>
      <c r="T143" s="431"/>
      <c r="U143" s="431"/>
      <c r="V143" s="431"/>
      <c r="W143" s="430"/>
      <c r="X143" s="431"/>
      <c r="Y143" s="431"/>
      <c r="Z143" s="431"/>
      <c r="AA143" s="431"/>
      <c r="AB143" s="431"/>
      <c r="AC143" s="431"/>
      <c r="AD143" s="430"/>
      <c r="AE143" s="431"/>
      <c r="AF143" s="431"/>
      <c r="AG143" s="431"/>
      <c r="AH143" s="431"/>
      <c r="AI143" s="431"/>
      <c r="AJ143" s="431"/>
      <c r="AK143" s="430"/>
      <c r="AL143" s="431"/>
      <c r="AM143" s="431"/>
      <c r="AN143" s="432"/>
      <c r="AQ143" s="436"/>
      <c r="AR143" s="436"/>
      <c r="AS143" s="436"/>
      <c r="AT143" s="436"/>
      <c r="AU143" s="436"/>
      <c r="AV143" s="436"/>
      <c r="AW143" s="396">
        <f t="shared" si="19"/>
        <v>0</v>
      </c>
      <c r="AX143" s="434">
        <f t="shared" si="16"/>
        <v>0</v>
      </c>
      <c r="BA143" s="437">
        <f t="shared" si="20"/>
        <v>0</v>
      </c>
      <c r="BB143" s="437">
        <f t="shared" si="21"/>
        <v>0</v>
      </c>
      <c r="BC143" s="437">
        <f t="shared" si="22"/>
        <v>0</v>
      </c>
      <c r="BD143" s="437">
        <f t="shared" si="23"/>
        <v>0</v>
      </c>
      <c r="BE143" s="437"/>
    </row>
    <row r="144" spans="1:57" ht="33" customHeight="1" thickBot="1">
      <c r="A144" s="358" t="s">
        <v>273</v>
      </c>
      <c r="B144" s="332" t="s">
        <v>274</v>
      </c>
      <c r="C144" s="359" t="s">
        <v>212</v>
      </c>
      <c r="D144" s="7">
        <v>22.18</v>
      </c>
      <c r="E144" s="353"/>
      <c r="F144" s="22">
        <f t="shared" si="17"/>
        <v>0</v>
      </c>
      <c r="G144" s="329"/>
      <c r="H144" s="330">
        <f t="shared" si="18"/>
        <v>0</v>
      </c>
      <c r="I144" s="430"/>
      <c r="J144" s="430"/>
      <c r="K144" s="431"/>
      <c r="L144" s="431"/>
      <c r="M144" s="431"/>
      <c r="N144" s="431"/>
      <c r="O144" s="431"/>
      <c r="P144" s="430"/>
      <c r="Q144" s="431"/>
      <c r="R144" s="431"/>
      <c r="S144" s="431"/>
      <c r="T144" s="431"/>
      <c r="U144" s="431"/>
      <c r="V144" s="431"/>
      <c r="W144" s="430"/>
      <c r="X144" s="431"/>
      <c r="Y144" s="431"/>
      <c r="Z144" s="431"/>
      <c r="AA144" s="431"/>
      <c r="AB144" s="431"/>
      <c r="AC144" s="431"/>
      <c r="AD144" s="430"/>
      <c r="AE144" s="431"/>
      <c r="AF144" s="431"/>
      <c r="AG144" s="431"/>
      <c r="AH144" s="431"/>
      <c r="AI144" s="431"/>
      <c r="AJ144" s="431"/>
      <c r="AK144" s="430"/>
      <c r="AL144" s="431"/>
      <c r="AM144" s="431"/>
      <c r="AN144" s="432"/>
      <c r="AQ144" s="436"/>
      <c r="AR144" s="436"/>
      <c r="AS144" s="436"/>
      <c r="AT144" s="436"/>
      <c r="AU144" s="436"/>
      <c r="AV144" s="436"/>
      <c r="AW144" s="396">
        <f t="shared" si="19"/>
        <v>0</v>
      </c>
      <c r="AX144" s="434">
        <f t="shared" si="16"/>
        <v>0</v>
      </c>
      <c r="BA144" s="437">
        <f t="shared" si="20"/>
        <v>0</v>
      </c>
      <c r="BB144" s="437">
        <f t="shared" si="21"/>
        <v>0</v>
      </c>
      <c r="BC144" s="437">
        <f t="shared" si="22"/>
        <v>0</v>
      </c>
      <c r="BD144" s="437">
        <f t="shared" si="23"/>
        <v>0</v>
      </c>
      <c r="BE144" s="437"/>
    </row>
    <row r="145" spans="1:57" ht="33" customHeight="1" thickBot="1">
      <c r="A145" s="358" t="s">
        <v>275</v>
      </c>
      <c r="B145" s="332" t="s">
        <v>276</v>
      </c>
      <c r="C145" s="359" t="s">
        <v>212</v>
      </c>
      <c r="D145" s="7">
        <v>24.65</v>
      </c>
      <c r="E145" s="353"/>
      <c r="F145" s="22">
        <f t="shared" si="17"/>
        <v>0</v>
      </c>
      <c r="G145" s="329"/>
      <c r="H145" s="330">
        <f t="shared" si="18"/>
        <v>0</v>
      </c>
      <c r="I145" s="430"/>
      <c r="J145" s="430"/>
      <c r="K145" s="431"/>
      <c r="L145" s="431"/>
      <c r="M145" s="431"/>
      <c r="N145" s="431"/>
      <c r="O145" s="431"/>
      <c r="P145" s="430"/>
      <c r="Q145" s="431"/>
      <c r="R145" s="431"/>
      <c r="S145" s="431"/>
      <c r="T145" s="431"/>
      <c r="U145" s="431"/>
      <c r="V145" s="431"/>
      <c r="W145" s="430"/>
      <c r="X145" s="431"/>
      <c r="Y145" s="431"/>
      <c r="Z145" s="431"/>
      <c r="AA145" s="431"/>
      <c r="AB145" s="431"/>
      <c r="AC145" s="431"/>
      <c r="AD145" s="430"/>
      <c r="AE145" s="431"/>
      <c r="AF145" s="431"/>
      <c r="AG145" s="431"/>
      <c r="AH145" s="431"/>
      <c r="AI145" s="431"/>
      <c r="AJ145" s="431"/>
      <c r="AK145" s="430"/>
      <c r="AL145" s="431"/>
      <c r="AM145" s="431"/>
      <c r="AN145" s="432"/>
      <c r="AQ145" s="436"/>
      <c r="AR145" s="436"/>
      <c r="AS145" s="436"/>
      <c r="AT145" s="436"/>
      <c r="AU145" s="436"/>
      <c r="AV145" s="436"/>
      <c r="AW145" s="396">
        <f t="shared" si="19"/>
        <v>0</v>
      </c>
      <c r="AX145" s="434">
        <f t="shared" si="16"/>
        <v>0</v>
      </c>
      <c r="BA145" s="437">
        <f t="shared" si="20"/>
        <v>0</v>
      </c>
      <c r="BB145" s="437">
        <f t="shared" si="21"/>
        <v>0</v>
      </c>
      <c r="BC145" s="437">
        <f t="shared" si="22"/>
        <v>0</v>
      </c>
      <c r="BD145" s="437">
        <f t="shared" si="23"/>
        <v>0</v>
      </c>
      <c r="BE145" s="437"/>
    </row>
    <row r="146" spans="1:57" ht="33" customHeight="1" thickBot="1">
      <c r="A146" s="358" t="s">
        <v>277</v>
      </c>
      <c r="B146" s="332" t="s">
        <v>278</v>
      </c>
      <c r="C146" s="359" t="s">
        <v>196</v>
      </c>
      <c r="D146" s="7">
        <v>152.02000000000001</v>
      </c>
      <c r="E146" s="353"/>
      <c r="F146" s="22">
        <f t="shared" si="17"/>
        <v>0</v>
      </c>
      <c r="G146" s="329"/>
      <c r="H146" s="330">
        <f t="shared" si="18"/>
        <v>0</v>
      </c>
      <c r="I146" s="430"/>
      <c r="J146" s="430"/>
      <c r="K146" s="431"/>
      <c r="L146" s="431"/>
      <c r="M146" s="431"/>
      <c r="N146" s="431"/>
      <c r="O146" s="431"/>
      <c r="P146" s="430"/>
      <c r="Q146" s="431"/>
      <c r="R146" s="431"/>
      <c r="S146" s="431"/>
      <c r="T146" s="431"/>
      <c r="U146" s="431"/>
      <c r="V146" s="431"/>
      <c r="W146" s="430"/>
      <c r="X146" s="431"/>
      <c r="Y146" s="431"/>
      <c r="Z146" s="431"/>
      <c r="AA146" s="431"/>
      <c r="AB146" s="431"/>
      <c r="AC146" s="431"/>
      <c r="AD146" s="430"/>
      <c r="AE146" s="431"/>
      <c r="AF146" s="431"/>
      <c r="AG146" s="431"/>
      <c r="AH146" s="431"/>
      <c r="AI146" s="431"/>
      <c r="AJ146" s="431"/>
      <c r="AK146" s="430"/>
      <c r="AL146" s="431"/>
      <c r="AM146" s="431"/>
      <c r="AN146" s="432"/>
      <c r="AQ146" s="436"/>
      <c r="AR146" s="436"/>
      <c r="AS146" s="436"/>
      <c r="AT146" s="436"/>
      <c r="AU146" s="436"/>
      <c r="AV146" s="436"/>
      <c r="AW146" s="396">
        <f t="shared" si="19"/>
        <v>0</v>
      </c>
      <c r="AX146" s="434">
        <f t="shared" si="16"/>
        <v>0</v>
      </c>
      <c r="BA146" s="437">
        <f t="shared" si="20"/>
        <v>0</v>
      </c>
      <c r="BB146" s="437">
        <f t="shared" si="21"/>
        <v>0</v>
      </c>
      <c r="BC146" s="437">
        <f t="shared" si="22"/>
        <v>0</v>
      </c>
      <c r="BD146" s="437">
        <f t="shared" si="23"/>
        <v>0</v>
      </c>
      <c r="BE146" s="437"/>
    </row>
    <row r="147" spans="1:57" ht="33" customHeight="1" thickBot="1">
      <c r="A147" s="358" t="s">
        <v>279</v>
      </c>
      <c r="B147" s="332" t="s">
        <v>280</v>
      </c>
      <c r="C147" s="359" t="s">
        <v>196</v>
      </c>
      <c r="D147" s="7">
        <v>193.14</v>
      </c>
      <c r="E147" s="353"/>
      <c r="F147" s="22">
        <f t="shared" si="17"/>
        <v>0</v>
      </c>
      <c r="G147" s="329"/>
      <c r="H147" s="330">
        <f t="shared" si="18"/>
        <v>0</v>
      </c>
      <c r="I147" s="430"/>
      <c r="J147" s="430"/>
      <c r="K147" s="431"/>
      <c r="L147" s="431"/>
      <c r="M147" s="431"/>
      <c r="N147" s="431"/>
      <c r="O147" s="431"/>
      <c r="P147" s="430"/>
      <c r="Q147" s="431"/>
      <c r="R147" s="431"/>
      <c r="S147" s="431"/>
      <c r="T147" s="431"/>
      <c r="U147" s="431"/>
      <c r="V147" s="431"/>
      <c r="W147" s="430"/>
      <c r="X147" s="431"/>
      <c r="Y147" s="431"/>
      <c r="Z147" s="431"/>
      <c r="AA147" s="431"/>
      <c r="AB147" s="431"/>
      <c r="AC147" s="431"/>
      <c r="AD147" s="430"/>
      <c r="AE147" s="431"/>
      <c r="AF147" s="431"/>
      <c r="AG147" s="431"/>
      <c r="AH147" s="431"/>
      <c r="AI147" s="431"/>
      <c r="AJ147" s="431"/>
      <c r="AK147" s="430"/>
      <c r="AL147" s="431"/>
      <c r="AM147" s="431"/>
      <c r="AN147" s="432"/>
      <c r="AQ147" s="436"/>
      <c r="AR147" s="436"/>
      <c r="AS147" s="436"/>
      <c r="AT147" s="436"/>
      <c r="AU147" s="436"/>
      <c r="AV147" s="436"/>
      <c r="AW147" s="396">
        <f t="shared" si="19"/>
        <v>0</v>
      </c>
      <c r="AX147" s="434">
        <f t="shared" ref="AX147:AX210" si="24">G147-AW147</f>
        <v>0</v>
      </c>
      <c r="BA147" s="437">
        <f t="shared" si="20"/>
        <v>0</v>
      </c>
      <c r="BB147" s="437">
        <f t="shared" si="21"/>
        <v>0</v>
      </c>
      <c r="BC147" s="437">
        <f t="shared" si="22"/>
        <v>0</v>
      </c>
      <c r="BD147" s="437">
        <f t="shared" si="23"/>
        <v>0</v>
      </c>
      <c r="BE147" s="437"/>
    </row>
    <row r="148" spans="1:57" ht="33" customHeight="1" thickBot="1">
      <c r="A148" s="358" t="s">
        <v>281</v>
      </c>
      <c r="B148" s="332" t="s">
        <v>282</v>
      </c>
      <c r="C148" s="359" t="s">
        <v>21</v>
      </c>
      <c r="D148" s="7">
        <v>51.66</v>
      </c>
      <c r="E148" s="353"/>
      <c r="F148" s="22">
        <f t="shared" si="17"/>
        <v>0</v>
      </c>
      <c r="G148" s="329"/>
      <c r="H148" s="330">
        <f t="shared" si="18"/>
        <v>0</v>
      </c>
      <c r="I148" s="430"/>
      <c r="J148" s="430"/>
      <c r="K148" s="431"/>
      <c r="L148" s="431"/>
      <c r="M148" s="431"/>
      <c r="N148" s="431"/>
      <c r="O148" s="431"/>
      <c r="P148" s="430"/>
      <c r="Q148" s="431"/>
      <c r="R148" s="431"/>
      <c r="S148" s="431"/>
      <c r="T148" s="431"/>
      <c r="U148" s="431"/>
      <c r="V148" s="431"/>
      <c r="W148" s="430"/>
      <c r="X148" s="431"/>
      <c r="Y148" s="431"/>
      <c r="Z148" s="431"/>
      <c r="AA148" s="431"/>
      <c r="AB148" s="431"/>
      <c r="AC148" s="431"/>
      <c r="AD148" s="430"/>
      <c r="AE148" s="431"/>
      <c r="AF148" s="431"/>
      <c r="AG148" s="431"/>
      <c r="AH148" s="431"/>
      <c r="AI148" s="431"/>
      <c r="AJ148" s="431"/>
      <c r="AK148" s="430"/>
      <c r="AL148" s="431"/>
      <c r="AM148" s="431"/>
      <c r="AN148" s="432"/>
      <c r="AQ148" s="436"/>
      <c r="AR148" s="436"/>
      <c r="AS148" s="436"/>
      <c r="AT148" s="436"/>
      <c r="AU148" s="436"/>
      <c r="AV148" s="436"/>
      <c r="AW148" s="396">
        <f t="shared" si="19"/>
        <v>0</v>
      </c>
      <c r="AX148" s="434">
        <f t="shared" si="24"/>
        <v>0</v>
      </c>
      <c r="BA148" s="437">
        <f t="shared" si="20"/>
        <v>0</v>
      </c>
      <c r="BB148" s="437">
        <f t="shared" si="21"/>
        <v>0</v>
      </c>
      <c r="BC148" s="437">
        <f t="shared" si="22"/>
        <v>0</v>
      </c>
      <c r="BD148" s="437">
        <f t="shared" si="23"/>
        <v>0</v>
      </c>
      <c r="BE148" s="437"/>
    </row>
    <row r="149" spans="1:57" ht="33" customHeight="1" thickBot="1">
      <c r="A149" s="358" t="s">
        <v>283</v>
      </c>
      <c r="B149" s="332" t="s">
        <v>284</v>
      </c>
      <c r="C149" s="360" t="s">
        <v>21</v>
      </c>
      <c r="D149" s="7">
        <v>11</v>
      </c>
      <c r="E149" s="353"/>
      <c r="F149" s="22">
        <f t="shared" si="17"/>
        <v>0</v>
      </c>
      <c r="G149" s="329"/>
      <c r="H149" s="330">
        <f t="shared" si="18"/>
        <v>0</v>
      </c>
      <c r="I149" s="430"/>
      <c r="J149" s="430"/>
      <c r="K149" s="431"/>
      <c r="L149" s="431"/>
      <c r="M149" s="431"/>
      <c r="N149" s="431"/>
      <c r="O149" s="431"/>
      <c r="P149" s="430"/>
      <c r="Q149" s="431"/>
      <c r="R149" s="431"/>
      <c r="S149" s="431"/>
      <c r="T149" s="431"/>
      <c r="U149" s="431"/>
      <c r="V149" s="431"/>
      <c r="W149" s="430"/>
      <c r="X149" s="431"/>
      <c r="Y149" s="431"/>
      <c r="Z149" s="431"/>
      <c r="AA149" s="431"/>
      <c r="AB149" s="431"/>
      <c r="AC149" s="431"/>
      <c r="AD149" s="430"/>
      <c r="AE149" s="431"/>
      <c r="AF149" s="431"/>
      <c r="AG149" s="431"/>
      <c r="AH149" s="431"/>
      <c r="AI149" s="431"/>
      <c r="AJ149" s="431"/>
      <c r="AK149" s="430"/>
      <c r="AL149" s="431"/>
      <c r="AM149" s="431"/>
      <c r="AN149" s="432"/>
      <c r="AQ149" s="436"/>
      <c r="AR149" s="436"/>
      <c r="AS149" s="436"/>
      <c r="AT149" s="436"/>
      <c r="AU149" s="436"/>
      <c r="AV149" s="436"/>
      <c r="AW149" s="396">
        <f t="shared" si="19"/>
        <v>0</v>
      </c>
      <c r="AX149" s="434">
        <f t="shared" si="24"/>
        <v>0</v>
      </c>
      <c r="BA149" s="437">
        <f t="shared" si="20"/>
        <v>0</v>
      </c>
      <c r="BB149" s="437">
        <f t="shared" si="21"/>
        <v>0</v>
      </c>
      <c r="BC149" s="437">
        <f t="shared" si="22"/>
        <v>0</v>
      </c>
      <c r="BD149" s="437">
        <f t="shared" si="23"/>
        <v>0</v>
      </c>
      <c r="BE149" s="437"/>
    </row>
    <row r="150" spans="1:57" ht="33" customHeight="1" thickBot="1">
      <c r="A150" s="358" t="s">
        <v>285</v>
      </c>
      <c r="B150" s="332" t="s">
        <v>286</v>
      </c>
      <c r="C150" s="360" t="s">
        <v>21</v>
      </c>
      <c r="D150" s="7">
        <v>179.1</v>
      </c>
      <c r="E150" s="353"/>
      <c r="F150" s="22">
        <f t="shared" si="17"/>
        <v>0</v>
      </c>
      <c r="G150" s="329"/>
      <c r="H150" s="330">
        <f t="shared" si="18"/>
        <v>0</v>
      </c>
      <c r="I150" s="430"/>
      <c r="J150" s="430"/>
      <c r="K150" s="431"/>
      <c r="L150" s="431"/>
      <c r="M150" s="431"/>
      <c r="N150" s="431"/>
      <c r="O150" s="431"/>
      <c r="P150" s="430"/>
      <c r="Q150" s="431"/>
      <c r="R150" s="431"/>
      <c r="S150" s="431"/>
      <c r="T150" s="431"/>
      <c r="U150" s="431"/>
      <c r="V150" s="431"/>
      <c r="W150" s="430"/>
      <c r="X150" s="431"/>
      <c r="Y150" s="431"/>
      <c r="Z150" s="431"/>
      <c r="AA150" s="431"/>
      <c r="AB150" s="431"/>
      <c r="AC150" s="431"/>
      <c r="AD150" s="430"/>
      <c r="AE150" s="431"/>
      <c r="AF150" s="431"/>
      <c r="AG150" s="431"/>
      <c r="AH150" s="431"/>
      <c r="AI150" s="431"/>
      <c r="AJ150" s="431"/>
      <c r="AK150" s="430"/>
      <c r="AL150" s="431"/>
      <c r="AM150" s="431"/>
      <c r="AN150" s="432"/>
      <c r="AQ150" s="436"/>
      <c r="AR150" s="436"/>
      <c r="AS150" s="436"/>
      <c r="AT150" s="436"/>
      <c r="AU150" s="436"/>
      <c r="AV150" s="436"/>
      <c r="AW150" s="396">
        <f t="shared" si="19"/>
        <v>0</v>
      </c>
      <c r="AX150" s="434">
        <f t="shared" si="24"/>
        <v>0</v>
      </c>
      <c r="BA150" s="437">
        <f t="shared" si="20"/>
        <v>0</v>
      </c>
      <c r="BB150" s="437">
        <f t="shared" si="21"/>
        <v>0</v>
      </c>
      <c r="BC150" s="437">
        <f t="shared" si="22"/>
        <v>0</v>
      </c>
      <c r="BD150" s="437">
        <f t="shared" si="23"/>
        <v>0</v>
      </c>
      <c r="BE150" s="437"/>
    </row>
    <row r="151" spans="1:57" ht="33" customHeight="1" thickBot="1">
      <c r="A151" s="358" t="s">
        <v>287</v>
      </c>
      <c r="B151" s="332" t="s">
        <v>288</v>
      </c>
      <c r="C151" s="360" t="s">
        <v>177</v>
      </c>
      <c r="D151" s="7">
        <v>27.14</v>
      </c>
      <c r="E151" s="353"/>
      <c r="F151" s="22">
        <f t="shared" si="17"/>
        <v>0</v>
      </c>
      <c r="G151" s="329"/>
      <c r="H151" s="330">
        <f t="shared" si="18"/>
        <v>0</v>
      </c>
      <c r="I151" s="430"/>
      <c r="J151" s="430"/>
      <c r="K151" s="431"/>
      <c r="L151" s="431"/>
      <c r="M151" s="431"/>
      <c r="N151" s="431"/>
      <c r="O151" s="431"/>
      <c r="P151" s="430"/>
      <c r="Q151" s="431"/>
      <c r="R151" s="431"/>
      <c r="S151" s="431"/>
      <c r="T151" s="431"/>
      <c r="U151" s="431"/>
      <c r="V151" s="431"/>
      <c r="W151" s="430"/>
      <c r="X151" s="431"/>
      <c r="Y151" s="431"/>
      <c r="Z151" s="431"/>
      <c r="AA151" s="431"/>
      <c r="AB151" s="431"/>
      <c r="AC151" s="431"/>
      <c r="AD151" s="430"/>
      <c r="AE151" s="431"/>
      <c r="AF151" s="431"/>
      <c r="AG151" s="431"/>
      <c r="AH151" s="431"/>
      <c r="AI151" s="431"/>
      <c r="AJ151" s="431"/>
      <c r="AK151" s="430"/>
      <c r="AL151" s="431"/>
      <c r="AM151" s="431"/>
      <c r="AN151" s="432"/>
      <c r="AQ151" s="436"/>
      <c r="AR151" s="436"/>
      <c r="AS151" s="436"/>
      <c r="AT151" s="436"/>
      <c r="AU151" s="436"/>
      <c r="AV151" s="436"/>
      <c r="AW151" s="396">
        <f t="shared" si="19"/>
        <v>0</v>
      </c>
      <c r="AX151" s="434">
        <f t="shared" si="24"/>
        <v>0</v>
      </c>
      <c r="BA151" s="437">
        <f t="shared" si="20"/>
        <v>0</v>
      </c>
      <c r="BB151" s="437">
        <f t="shared" si="21"/>
        <v>0</v>
      </c>
      <c r="BC151" s="437">
        <f t="shared" si="22"/>
        <v>0</v>
      </c>
      <c r="BD151" s="437">
        <f t="shared" si="23"/>
        <v>0</v>
      </c>
      <c r="BE151" s="437"/>
    </row>
    <row r="152" spans="1:57" ht="33" customHeight="1" thickBot="1">
      <c r="A152" s="358" t="s">
        <v>289</v>
      </c>
      <c r="B152" s="332" t="s">
        <v>290</v>
      </c>
      <c r="C152" s="359" t="s">
        <v>177</v>
      </c>
      <c r="D152" s="7">
        <v>29.45</v>
      </c>
      <c r="E152" s="353"/>
      <c r="F152" s="22">
        <f t="shared" si="17"/>
        <v>0</v>
      </c>
      <c r="G152" s="329"/>
      <c r="H152" s="330">
        <f t="shared" si="18"/>
        <v>0</v>
      </c>
      <c r="I152" s="430"/>
      <c r="J152" s="430"/>
      <c r="K152" s="431"/>
      <c r="L152" s="431"/>
      <c r="M152" s="431"/>
      <c r="N152" s="431"/>
      <c r="O152" s="431"/>
      <c r="P152" s="430"/>
      <c r="Q152" s="431"/>
      <c r="R152" s="431"/>
      <c r="S152" s="431"/>
      <c r="T152" s="431"/>
      <c r="U152" s="431"/>
      <c r="V152" s="431"/>
      <c r="W152" s="430"/>
      <c r="X152" s="431"/>
      <c r="Y152" s="431"/>
      <c r="Z152" s="431"/>
      <c r="AA152" s="431"/>
      <c r="AB152" s="431"/>
      <c r="AC152" s="431"/>
      <c r="AD152" s="430"/>
      <c r="AE152" s="431"/>
      <c r="AF152" s="431"/>
      <c r="AG152" s="431"/>
      <c r="AH152" s="431"/>
      <c r="AI152" s="431"/>
      <c r="AJ152" s="431"/>
      <c r="AK152" s="430"/>
      <c r="AL152" s="431"/>
      <c r="AM152" s="431"/>
      <c r="AN152" s="432"/>
      <c r="AQ152" s="436"/>
      <c r="AR152" s="436"/>
      <c r="AS152" s="436"/>
      <c r="AT152" s="436"/>
      <c r="AU152" s="436"/>
      <c r="AV152" s="436"/>
      <c r="AW152" s="396">
        <f t="shared" si="19"/>
        <v>0</v>
      </c>
      <c r="AX152" s="434">
        <f t="shared" si="24"/>
        <v>0</v>
      </c>
      <c r="BA152" s="437">
        <f t="shared" si="20"/>
        <v>0</v>
      </c>
      <c r="BB152" s="437">
        <f t="shared" si="21"/>
        <v>0</v>
      </c>
      <c r="BC152" s="437">
        <f t="shared" si="22"/>
        <v>0</v>
      </c>
      <c r="BD152" s="437">
        <f t="shared" si="23"/>
        <v>0</v>
      </c>
      <c r="BE152" s="437"/>
    </row>
    <row r="153" spans="1:57" ht="33" customHeight="1" thickBot="1">
      <c r="A153" s="358" t="s">
        <v>291</v>
      </c>
      <c r="B153" s="332" t="s">
        <v>292</v>
      </c>
      <c r="C153" s="359" t="s">
        <v>177</v>
      </c>
      <c r="D153" s="7">
        <v>39.22</v>
      </c>
      <c r="E153" s="353"/>
      <c r="F153" s="22">
        <f t="shared" si="17"/>
        <v>0</v>
      </c>
      <c r="G153" s="329"/>
      <c r="H153" s="330">
        <f t="shared" si="18"/>
        <v>0</v>
      </c>
      <c r="I153" s="430"/>
      <c r="J153" s="430"/>
      <c r="K153" s="431"/>
      <c r="L153" s="431"/>
      <c r="M153" s="431"/>
      <c r="N153" s="431"/>
      <c r="O153" s="431"/>
      <c r="P153" s="430"/>
      <c r="Q153" s="431"/>
      <c r="R153" s="431"/>
      <c r="S153" s="431"/>
      <c r="T153" s="431"/>
      <c r="U153" s="431"/>
      <c r="V153" s="431"/>
      <c r="W153" s="430"/>
      <c r="X153" s="431"/>
      <c r="Y153" s="431"/>
      <c r="Z153" s="431"/>
      <c r="AA153" s="431"/>
      <c r="AB153" s="431"/>
      <c r="AC153" s="431"/>
      <c r="AD153" s="430"/>
      <c r="AE153" s="431"/>
      <c r="AF153" s="431"/>
      <c r="AG153" s="431"/>
      <c r="AH153" s="431"/>
      <c r="AI153" s="431"/>
      <c r="AJ153" s="431"/>
      <c r="AK153" s="430"/>
      <c r="AL153" s="431"/>
      <c r="AM153" s="431"/>
      <c r="AN153" s="432"/>
      <c r="AQ153" s="436"/>
      <c r="AR153" s="436"/>
      <c r="AS153" s="436"/>
      <c r="AT153" s="436"/>
      <c r="AU153" s="436"/>
      <c r="AV153" s="436"/>
      <c r="AW153" s="396">
        <f t="shared" si="19"/>
        <v>0</v>
      </c>
      <c r="AX153" s="434">
        <f t="shared" si="24"/>
        <v>0</v>
      </c>
      <c r="BA153" s="437">
        <f t="shared" si="20"/>
        <v>0</v>
      </c>
      <c r="BB153" s="437">
        <f t="shared" si="21"/>
        <v>0</v>
      </c>
      <c r="BC153" s="437">
        <f t="shared" si="22"/>
        <v>0</v>
      </c>
      <c r="BD153" s="437">
        <f t="shared" si="23"/>
        <v>0</v>
      </c>
      <c r="BE153" s="437"/>
    </row>
    <row r="154" spans="1:57" ht="33" customHeight="1" thickBot="1">
      <c r="A154" s="358" t="s">
        <v>293</v>
      </c>
      <c r="B154" s="332" t="s">
        <v>294</v>
      </c>
      <c r="C154" s="359" t="s">
        <v>177</v>
      </c>
      <c r="D154" s="7">
        <v>47.63</v>
      </c>
      <c r="E154" s="353"/>
      <c r="F154" s="22">
        <f t="shared" si="17"/>
        <v>0</v>
      </c>
      <c r="G154" s="329"/>
      <c r="H154" s="330">
        <f t="shared" si="18"/>
        <v>0</v>
      </c>
      <c r="I154" s="430"/>
      <c r="J154" s="430"/>
      <c r="K154" s="431"/>
      <c r="L154" s="431"/>
      <c r="M154" s="431"/>
      <c r="N154" s="431"/>
      <c r="O154" s="431"/>
      <c r="P154" s="430"/>
      <c r="Q154" s="431"/>
      <c r="R154" s="431"/>
      <c r="S154" s="431"/>
      <c r="T154" s="431"/>
      <c r="U154" s="431"/>
      <c r="V154" s="431"/>
      <c r="W154" s="430"/>
      <c r="X154" s="431"/>
      <c r="Y154" s="431"/>
      <c r="Z154" s="431"/>
      <c r="AA154" s="431"/>
      <c r="AB154" s="431"/>
      <c r="AC154" s="431"/>
      <c r="AD154" s="430"/>
      <c r="AE154" s="431"/>
      <c r="AF154" s="431"/>
      <c r="AG154" s="431"/>
      <c r="AH154" s="431"/>
      <c r="AI154" s="431"/>
      <c r="AJ154" s="431"/>
      <c r="AK154" s="430"/>
      <c r="AL154" s="431"/>
      <c r="AM154" s="431"/>
      <c r="AN154" s="432"/>
      <c r="AQ154" s="436"/>
      <c r="AR154" s="436"/>
      <c r="AS154" s="436"/>
      <c r="AT154" s="436"/>
      <c r="AU154" s="436"/>
      <c r="AV154" s="436"/>
      <c r="AW154" s="396">
        <f t="shared" si="19"/>
        <v>0</v>
      </c>
      <c r="AX154" s="434">
        <f t="shared" si="24"/>
        <v>0</v>
      </c>
      <c r="BA154" s="437">
        <f t="shared" si="20"/>
        <v>0</v>
      </c>
      <c r="BB154" s="437">
        <f t="shared" si="21"/>
        <v>0</v>
      </c>
      <c r="BC154" s="437">
        <f t="shared" si="22"/>
        <v>0</v>
      </c>
      <c r="BD154" s="437">
        <f t="shared" si="23"/>
        <v>0</v>
      </c>
      <c r="BE154" s="437"/>
    </row>
    <row r="155" spans="1:57" ht="33" customHeight="1" thickBot="1">
      <c r="A155" s="358" t="s">
        <v>295</v>
      </c>
      <c r="B155" s="332" t="s">
        <v>296</v>
      </c>
      <c r="C155" s="359" t="s">
        <v>86</v>
      </c>
      <c r="D155" s="7">
        <v>59.53</v>
      </c>
      <c r="E155" s="353"/>
      <c r="F155" s="22">
        <f t="shared" si="17"/>
        <v>0</v>
      </c>
      <c r="G155" s="329"/>
      <c r="H155" s="330">
        <f t="shared" si="18"/>
        <v>0</v>
      </c>
      <c r="I155" s="430"/>
      <c r="J155" s="430"/>
      <c r="K155" s="431"/>
      <c r="L155" s="431"/>
      <c r="M155" s="431"/>
      <c r="N155" s="431"/>
      <c r="O155" s="431"/>
      <c r="P155" s="430"/>
      <c r="Q155" s="431"/>
      <c r="R155" s="431"/>
      <c r="S155" s="431"/>
      <c r="T155" s="431"/>
      <c r="U155" s="431"/>
      <c r="V155" s="431"/>
      <c r="W155" s="430"/>
      <c r="X155" s="431"/>
      <c r="Y155" s="431"/>
      <c r="Z155" s="431"/>
      <c r="AA155" s="431"/>
      <c r="AB155" s="431"/>
      <c r="AC155" s="431"/>
      <c r="AD155" s="430"/>
      <c r="AE155" s="431"/>
      <c r="AF155" s="431"/>
      <c r="AG155" s="431"/>
      <c r="AH155" s="431"/>
      <c r="AI155" s="431"/>
      <c r="AJ155" s="431"/>
      <c r="AK155" s="430"/>
      <c r="AL155" s="431"/>
      <c r="AM155" s="431"/>
      <c r="AN155" s="432"/>
      <c r="AQ155" s="436"/>
      <c r="AR155" s="436"/>
      <c r="AS155" s="436"/>
      <c r="AT155" s="436"/>
      <c r="AU155" s="436"/>
      <c r="AV155" s="436"/>
      <c r="AW155" s="396">
        <f t="shared" si="19"/>
        <v>0</v>
      </c>
      <c r="AX155" s="434">
        <f t="shared" si="24"/>
        <v>0</v>
      </c>
      <c r="BA155" s="437">
        <f t="shared" si="20"/>
        <v>0</v>
      </c>
      <c r="BB155" s="437">
        <f t="shared" si="21"/>
        <v>0</v>
      </c>
      <c r="BC155" s="437">
        <f t="shared" si="22"/>
        <v>0</v>
      </c>
      <c r="BD155" s="437">
        <f t="shared" si="23"/>
        <v>0</v>
      </c>
      <c r="BE155" s="437"/>
    </row>
    <row r="156" spans="1:57" ht="33" customHeight="1" thickBot="1">
      <c r="A156" s="358" t="s">
        <v>297</v>
      </c>
      <c r="B156" s="332" t="s">
        <v>298</v>
      </c>
      <c r="C156" s="359" t="s">
        <v>177</v>
      </c>
      <c r="D156" s="7">
        <v>47.63</v>
      </c>
      <c r="E156" s="353"/>
      <c r="F156" s="22">
        <f t="shared" si="17"/>
        <v>0</v>
      </c>
      <c r="G156" s="329"/>
      <c r="H156" s="330">
        <f t="shared" si="18"/>
        <v>0</v>
      </c>
      <c r="I156" s="430"/>
      <c r="J156" s="430"/>
      <c r="K156" s="431"/>
      <c r="L156" s="431"/>
      <c r="M156" s="431"/>
      <c r="N156" s="431"/>
      <c r="O156" s="431"/>
      <c r="P156" s="430"/>
      <c r="Q156" s="431"/>
      <c r="R156" s="431"/>
      <c r="S156" s="431"/>
      <c r="T156" s="431"/>
      <c r="U156" s="431"/>
      <c r="V156" s="431"/>
      <c r="W156" s="430"/>
      <c r="X156" s="431"/>
      <c r="Y156" s="431"/>
      <c r="Z156" s="431"/>
      <c r="AA156" s="431"/>
      <c r="AB156" s="431"/>
      <c r="AC156" s="431"/>
      <c r="AD156" s="430"/>
      <c r="AE156" s="431"/>
      <c r="AF156" s="431"/>
      <c r="AG156" s="431"/>
      <c r="AH156" s="431"/>
      <c r="AI156" s="431"/>
      <c r="AJ156" s="431"/>
      <c r="AK156" s="430"/>
      <c r="AL156" s="431"/>
      <c r="AM156" s="431"/>
      <c r="AN156" s="432"/>
      <c r="AQ156" s="436"/>
      <c r="AR156" s="436"/>
      <c r="AS156" s="436"/>
      <c r="AT156" s="436"/>
      <c r="AU156" s="436"/>
      <c r="AV156" s="436"/>
      <c r="AW156" s="396">
        <f t="shared" si="19"/>
        <v>0</v>
      </c>
      <c r="AX156" s="434">
        <f t="shared" si="24"/>
        <v>0</v>
      </c>
      <c r="BA156" s="437">
        <f t="shared" si="20"/>
        <v>0</v>
      </c>
      <c r="BB156" s="437">
        <f t="shared" si="21"/>
        <v>0</v>
      </c>
      <c r="BC156" s="437">
        <f t="shared" si="22"/>
        <v>0</v>
      </c>
      <c r="BD156" s="437">
        <f t="shared" si="23"/>
        <v>0</v>
      </c>
      <c r="BE156" s="437"/>
    </row>
    <row r="157" spans="1:57" ht="33" customHeight="1" thickBot="1">
      <c r="A157" s="358" t="s">
        <v>299</v>
      </c>
      <c r="B157" s="169" t="s">
        <v>851</v>
      </c>
      <c r="C157" s="359" t="s">
        <v>196</v>
      </c>
      <c r="D157" s="7">
        <v>40.006</v>
      </c>
      <c r="E157" s="353"/>
      <c r="F157" s="22">
        <f t="shared" si="17"/>
        <v>0</v>
      </c>
      <c r="G157" s="329"/>
      <c r="H157" s="330">
        <f t="shared" si="18"/>
        <v>0</v>
      </c>
      <c r="I157" s="430"/>
      <c r="J157" s="430"/>
      <c r="K157" s="431"/>
      <c r="L157" s="431"/>
      <c r="M157" s="431"/>
      <c r="N157" s="431"/>
      <c r="O157" s="431"/>
      <c r="P157" s="430"/>
      <c r="Q157" s="431"/>
      <c r="R157" s="431"/>
      <c r="S157" s="431"/>
      <c r="T157" s="431"/>
      <c r="U157" s="431"/>
      <c r="V157" s="431"/>
      <c r="W157" s="430"/>
      <c r="X157" s="431"/>
      <c r="Y157" s="431"/>
      <c r="Z157" s="431"/>
      <c r="AA157" s="431"/>
      <c r="AB157" s="431"/>
      <c r="AC157" s="431"/>
      <c r="AD157" s="430"/>
      <c r="AE157" s="431"/>
      <c r="AF157" s="431"/>
      <c r="AG157" s="431"/>
      <c r="AH157" s="431"/>
      <c r="AI157" s="431"/>
      <c r="AJ157" s="431"/>
      <c r="AK157" s="430"/>
      <c r="AL157" s="431"/>
      <c r="AM157" s="431"/>
      <c r="AN157" s="432"/>
      <c r="AQ157" s="436"/>
      <c r="AR157" s="436"/>
      <c r="AS157" s="436"/>
      <c r="AT157" s="436"/>
      <c r="AU157" s="436"/>
      <c r="AV157" s="436"/>
      <c r="AW157" s="396">
        <f t="shared" si="19"/>
        <v>0</v>
      </c>
      <c r="AX157" s="434">
        <f t="shared" si="24"/>
        <v>0</v>
      </c>
      <c r="BA157" s="437">
        <f t="shared" si="20"/>
        <v>0</v>
      </c>
      <c r="BB157" s="437">
        <f t="shared" si="21"/>
        <v>0</v>
      </c>
      <c r="BC157" s="437">
        <f t="shared" si="22"/>
        <v>0</v>
      </c>
      <c r="BD157" s="437">
        <f t="shared" si="23"/>
        <v>0</v>
      </c>
      <c r="BE157" s="437"/>
    </row>
    <row r="158" spans="1:57" ht="33" customHeight="1" thickBot="1">
      <c r="A158" s="358"/>
      <c r="B158" s="169" t="s">
        <v>852</v>
      </c>
      <c r="C158" s="359" t="s">
        <v>805</v>
      </c>
      <c r="D158" s="7">
        <v>72.463999999999999</v>
      </c>
      <c r="E158" s="353"/>
      <c r="F158" s="22">
        <f t="shared" si="17"/>
        <v>0</v>
      </c>
      <c r="G158" s="329"/>
      <c r="H158" s="330">
        <f t="shared" si="18"/>
        <v>0</v>
      </c>
      <c r="I158" s="430"/>
      <c r="J158" s="430"/>
      <c r="K158" s="431"/>
      <c r="L158" s="431"/>
      <c r="M158" s="431"/>
      <c r="N158" s="431"/>
      <c r="O158" s="431"/>
      <c r="P158" s="430"/>
      <c r="Q158" s="431"/>
      <c r="R158" s="431"/>
      <c r="S158" s="431"/>
      <c r="T158" s="431"/>
      <c r="U158" s="431"/>
      <c r="V158" s="431"/>
      <c r="W158" s="430"/>
      <c r="X158" s="431"/>
      <c r="Y158" s="431"/>
      <c r="Z158" s="431"/>
      <c r="AA158" s="431"/>
      <c r="AB158" s="431"/>
      <c r="AC158" s="431"/>
      <c r="AD158" s="430"/>
      <c r="AE158" s="431"/>
      <c r="AF158" s="431"/>
      <c r="AG158" s="431"/>
      <c r="AH158" s="431"/>
      <c r="AI158" s="431"/>
      <c r="AJ158" s="431"/>
      <c r="AK158" s="430"/>
      <c r="AL158" s="431"/>
      <c r="AM158" s="431"/>
      <c r="AN158" s="432"/>
      <c r="AQ158" s="436"/>
      <c r="AR158" s="436"/>
      <c r="AS158" s="436"/>
      <c r="AT158" s="436"/>
      <c r="AU158" s="436"/>
      <c r="AV158" s="436"/>
      <c r="AW158" s="396">
        <f t="shared" si="19"/>
        <v>0</v>
      </c>
      <c r="AX158" s="434">
        <f t="shared" si="24"/>
        <v>0</v>
      </c>
      <c r="BA158" s="437">
        <f t="shared" si="20"/>
        <v>0</v>
      </c>
      <c r="BB158" s="437">
        <f t="shared" si="21"/>
        <v>0</v>
      </c>
      <c r="BC158" s="437">
        <f t="shared" si="22"/>
        <v>0</v>
      </c>
      <c r="BD158" s="437">
        <f t="shared" si="23"/>
        <v>0</v>
      </c>
      <c r="BE158" s="437"/>
    </row>
    <row r="159" spans="1:57" ht="33" customHeight="1" thickBot="1">
      <c r="A159" s="358" t="s">
        <v>301</v>
      </c>
      <c r="B159" s="169" t="s">
        <v>302</v>
      </c>
      <c r="C159" s="360" t="s">
        <v>196</v>
      </c>
      <c r="D159" s="7">
        <v>244.64</v>
      </c>
      <c r="E159" s="353"/>
      <c r="F159" s="22">
        <f t="shared" si="17"/>
        <v>0</v>
      </c>
      <c r="G159" s="329"/>
      <c r="H159" s="330">
        <f t="shared" si="18"/>
        <v>0</v>
      </c>
      <c r="I159" s="430"/>
      <c r="J159" s="430"/>
      <c r="K159" s="431"/>
      <c r="L159" s="431"/>
      <c r="M159" s="431"/>
      <c r="N159" s="431"/>
      <c r="O159" s="431"/>
      <c r="P159" s="430"/>
      <c r="Q159" s="431"/>
      <c r="R159" s="431"/>
      <c r="S159" s="431"/>
      <c r="T159" s="431"/>
      <c r="U159" s="431"/>
      <c r="V159" s="431"/>
      <c r="W159" s="430"/>
      <c r="X159" s="431"/>
      <c r="Y159" s="431"/>
      <c r="Z159" s="431"/>
      <c r="AA159" s="431"/>
      <c r="AB159" s="431"/>
      <c r="AC159" s="431"/>
      <c r="AD159" s="430"/>
      <c r="AE159" s="431"/>
      <c r="AF159" s="431"/>
      <c r="AG159" s="431"/>
      <c r="AH159" s="431"/>
      <c r="AI159" s="431"/>
      <c r="AJ159" s="431"/>
      <c r="AK159" s="430"/>
      <c r="AL159" s="431"/>
      <c r="AM159" s="431"/>
      <c r="AN159" s="432"/>
      <c r="AQ159" s="436"/>
      <c r="AR159" s="436"/>
      <c r="AS159" s="436"/>
      <c r="AT159" s="436"/>
      <c r="AU159" s="436"/>
      <c r="AV159" s="436"/>
      <c r="AW159" s="396">
        <f t="shared" si="19"/>
        <v>0</v>
      </c>
      <c r="AX159" s="434">
        <f t="shared" si="24"/>
        <v>0</v>
      </c>
      <c r="BA159" s="437">
        <f t="shared" si="20"/>
        <v>0</v>
      </c>
      <c r="BB159" s="437">
        <f t="shared" si="21"/>
        <v>0</v>
      </c>
      <c r="BC159" s="437">
        <f t="shared" si="22"/>
        <v>0</v>
      </c>
      <c r="BD159" s="437">
        <f t="shared" si="23"/>
        <v>0</v>
      </c>
      <c r="BE159" s="437"/>
    </row>
    <row r="160" spans="1:57" ht="33" customHeight="1" thickBot="1">
      <c r="A160" s="358" t="s">
        <v>303</v>
      </c>
      <c r="B160" s="332" t="s">
        <v>304</v>
      </c>
      <c r="C160" s="360" t="s">
        <v>196</v>
      </c>
      <c r="D160" s="7">
        <v>1240.96</v>
      </c>
      <c r="E160" s="353"/>
      <c r="F160" s="22">
        <f t="shared" si="17"/>
        <v>0</v>
      </c>
      <c r="G160" s="329"/>
      <c r="H160" s="330">
        <f t="shared" si="18"/>
        <v>0</v>
      </c>
      <c r="I160" s="430"/>
      <c r="J160" s="430"/>
      <c r="K160" s="431"/>
      <c r="L160" s="431"/>
      <c r="M160" s="431"/>
      <c r="N160" s="431"/>
      <c r="O160" s="431"/>
      <c r="P160" s="430"/>
      <c r="Q160" s="431"/>
      <c r="R160" s="431"/>
      <c r="S160" s="431"/>
      <c r="T160" s="431"/>
      <c r="U160" s="431"/>
      <c r="V160" s="431"/>
      <c r="W160" s="430"/>
      <c r="X160" s="431"/>
      <c r="Y160" s="431"/>
      <c r="Z160" s="431"/>
      <c r="AA160" s="431"/>
      <c r="AB160" s="431"/>
      <c r="AC160" s="431"/>
      <c r="AD160" s="430"/>
      <c r="AE160" s="431"/>
      <c r="AF160" s="431"/>
      <c r="AG160" s="431"/>
      <c r="AH160" s="431"/>
      <c r="AI160" s="431"/>
      <c r="AJ160" s="431"/>
      <c r="AK160" s="430"/>
      <c r="AL160" s="431"/>
      <c r="AM160" s="431"/>
      <c r="AN160" s="432"/>
      <c r="AQ160" s="436"/>
      <c r="AR160" s="436"/>
      <c r="AS160" s="436"/>
      <c r="AT160" s="436"/>
      <c r="AU160" s="436"/>
      <c r="AV160" s="436"/>
      <c r="AW160" s="396">
        <f t="shared" si="19"/>
        <v>0</v>
      </c>
      <c r="AX160" s="434">
        <f t="shared" si="24"/>
        <v>0</v>
      </c>
      <c r="BA160" s="437">
        <f t="shared" si="20"/>
        <v>0</v>
      </c>
      <c r="BB160" s="437">
        <f t="shared" si="21"/>
        <v>0</v>
      </c>
      <c r="BC160" s="437">
        <f t="shared" si="22"/>
        <v>0</v>
      </c>
      <c r="BD160" s="437">
        <f t="shared" si="23"/>
        <v>0</v>
      </c>
      <c r="BE160" s="437"/>
    </row>
    <row r="161" spans="1:57" ht="33" customHeight="1" thickBot="1">
      <c r="A161" s="358" t="s">
        <v>305</v>
      </c>
      <c r="B161" s="332" t="s">
        <v>306</v>
      </c>
      <c r="C161" s="360" t="s">
        <v>196</v>
      </c>
      <c r="D161" s="7">
        <v>46.84</v>
      </c>
      <c r="E161" s="353"/>
      <c r="F161" s="22">
        <f t="shared" si="17"/>
        <v>0</v>
      </c>
      <c r="G161" s="329"/>
      <c r="H161" s="330">
        <f t="shared" si="18"/>
        <v>0</v>
      </c>
      <c r="I161" s="430"/>
      <c r="J161" s="430"/>
      <c r="K161" s="431"/>
      <c r="L161" s="431"/>
      <c r="M161" s="431"/>
      <c r="N161" s="431"/>
      <c r="O161" s="431"/>
      <c r="P161" s="430"/>
      <c r="Q161" s="431"/>
      <c r="R161" s="431"/>
      <c r="S161" s="431"/>
      <c r="T161" s="431"/>
      <c r="U161" s="431"/>
      <c r="V161" s="431"/>
      <c r="W161" s="430"/>
      <c r="X161" s="431"/>
      <c r="Y161" s="431"/>
      <c r="Z161" s="431"/>
      <c r="AA161" s="431"/>
      <c r="AB161" s="431"/>
      <c r="AC161" s="431"/>
      <c r="AD161" s="430"/>
      <c r="AE161" s="431"/>
      <c r="AF161" s="431"/>
      <c r="AG161" s="431"/>
      <c r="AH161" s="431"/>
      <c r="AI161" s="431"/>
      <c r="AJ161" s="431"/>
      <c r="AK161" s="430"/>
      <c r="AL161" s="431"/>
      <c r="AM161" s="431"/>
      <c r="AN161" s="432"/>
      <c r="AQ161" s="436"/>
      <c r="AR161" s="436"/>
      <c r="AS161" s="436"/>
      <c r="AT161" s="436"/>
      <c r="AU161" s="436"/>
      <c r="AV161" s="436"/>
      <c r="AW161" s="396">
        <f t="shared" si="19"/>
        <v>0</v>
      </c>
      <c r="AX161" s="434">
        <f t="shared" si="24"/>
        <v>0</v>
      </c>
      <c r="BA161" s="437">
        <f t="shared" si="20"/>
        <v>0</v>
      </c>
      <c r="BB161" s="437">
        <f t="shared" si="21"/>
        <v>0</v>
      </c>
      <c r="BC161" s="437">
        <f t="shared" si="22"/>
        <v>0</v>
      </c>
      <c r="BD161" s="437">
        <f t="shared" si="23"/>
        <v>0</v>
      </c>
      <c r="BE161" s="437"/>
    </row>
    <row r="162" spans="1:57" ht="33" customHeight="1" thickBot="1">
      <c r="A162" s="358" t="s">
        <v>307</v>
      </c>
      <c r="B162" s="332" t="s">
        <v>308</v>
      </c>
      <c r="C162" s="360" t="s">
        <v>196</v>
      </c>
      <c r="D162" s="7">
        <v>259.24</v>
      </c>
      <c r="E162" s="353"/>
      <c r="F162" s="22">
        <f t="shared" si="17"/>
        <v>0</v>
      </c>
      <c r="G162" s="329"/>
      <c r="H162" s="330">
        <f t="shared" si="18"/>
        <v>0</v>
      </c>
      <c r="I162" s="430"/>
      <c r="J162" s="430"/>
      <c r="K162" s="431"/>
      <c r="L162" s="431"/>
      <c r="M162" s="431"/>
      <c r="N162" s="431"/>
      <c r="O162" s="431"/>
      <c r="P162" s="430"/>
      <c r="Q162" s="431"/>
      <c r="R162" s="431"/>
      <c r="S162" s="431"/>
      <c r="T162" s="431"/>
      <c r="U162" s="431"/>
      <c r="V162" s="431"/>
      <c r="W162" s="430"/>
      <c r="X162" s="431"/>
      <c r="Y162" s="431"/>
      <c r="Z162" s="431"/>
      <c r="AA162" s="431"/>
      <c r="AB162" s="431"/>
      <c r="AC162" s="431"/>
      <c r="AD162" s="430"/>
      <c r="AE162" s="431"/>
      <c r="AF162" s="431"/>
      <c r="AG162" s="431"/>
      <c r="AH162" s="431"/>
      <c r="AI162" s="431"/>
      <c r="AJ162" s="431"/>
      <c r="AK162" s="430"/>
      <c r="AL162" s="431"/>
      <c r="AM162" s="431"/>
      <c r="AN162" s="432"/>
      <c r="AQ162" s="436"/>
      <c r="AR162" s="436"/>
      <c r="AS162" s="436"/>
      <c r="AT162" s="436"/>
      <c r="AU162" s="436"/>
      <c r="AV162" s="436"/>
      <c r="AW162" s="396">
        <f t="shared" si="19"/>
        <v>0</v>
      </c>
      <c r="AX162" s="434">
        <f t="shared" si="24"/>
        <v>0</v>
      </c>
      <c r="BA162" s="437">
        <f t="shared" si="20"/>
        <v>0</v>
      </c>
      <c r="BB162" s="437">
        <f t="shared" si="21"/>
        <v>0</v>
      </c>
      <c r="BC162" s="437">
        <f t="shared" si="22"/>
        <v>0</v>
      </c>
      <c r="BD162" s="437">
        <f t="shared" si="23"/>
        <v>0</v>
      </c>
      <c r="BE162" s="437"/>
    </row>
    <row r="163" spans="1:57" ht="33" customHeight="1" thickBot="1">
      <c r="A163" s="358" t="s">
        <v>309</v>
      </c>
      <c r="B163" s="332" t="s">
        <v>310</v>
      </c>
      <c r="C163" s="360" t="s">
        <v>196</v>
      </c>
      <c r="D163" s="7">
        <v>78.099999999999994</v>
      </c>
      <c r="E163" s="353"/>
      <c r="F163" s="22">
        <f t="shared" si="17"/>
        <v>0</v>
      </c>
      <c r="G163" s="329"/>
      <c r="H163" s="330">
        <f t="shared" si="18"/>
        <v>0</v>
      </c>
      <c r="I163" s="430"/>
      <c r="J163" s="430"/>
      <c r="K163" s="431"/>
      <c r="L163" s="431"/>
      <c r="M163" s="431"/>
      <c r="N163" s="431"/>
      <c r="O163" s="431"/>
      <c r="P163" s="430"/>
      <c r="Q163" s="431"/>
      <c r="R163" s="431"/>
      <c r="S163" s="431"/>
      <c r="T163" s="431"/>
      <c r="U163" s="431"/>
      <c r="V163" s="431"/>
      <c r="W163" s="430"/>
      <c r="X163" s="431"/>
      <c r="Y163" s="431"/>
      <c r="Z163" s="431"/>
      <c r="AA163" s="431"/>
      <c r="AB163" s="431"/>
      <c r="AC163" s="431"/>
      <c r="AD163" s="430"/>
      <c r="AE163" s="431"/>
      <c r="AF163" s="431"/>
      <c r="AG163" s="431"/>
      <c r="AH163" s="431"/>
      <c r="AI163" s="431"/>
      <c r="AJ163" s="431"/>
      <c r="AK163" s="430"/>
      <c r="AL163" s="431"/>
      <c r="AM163" s="431"/>
      <c r="AN163" s="432"/>
      <c r="AQ163" s="436"/>
      <c r="AR163" s="436"/>
      <c r="AS163" s="436"/>
      <c r="AT163" s="436"/>
      <c r="AU163" s="436"/>
      <c r="AV163" s="436"/>
      <c r="AW163" s="396">
        <f t="shared" si="19"/>
        <v>0</v>
      </c>
      <c r="AX163" s="434">
        <f t="shared" si="24"/>
        <v>0</v>
      </c>
      <c r="BA163" s="437">
        <f t="shared" si="20"/>
        <v>0</v>
      </c>
      <c r="BB163" s="437">
        <f t="shared" si="21"/>
        <v>0</v>
      </c>
      <c r="BC163" s="437">
        <f t="shared" si="22"/>
        <v>0</v>
      </c>
      <c r="BD163" s="437">
        <f t="shared" si="23"/>
        <v>0</v>
      </c>
      <c r="BE163" s="437"/>
    </row>
    <row r="164" spans="1:57" ht="33" customHeight="1" thickBot="1">
      <c r="A164" s="361" t="s">
        <v>311</v>
      </c>
      <c r="B164" s="23" t="s">
        <v>312</v>
      </c>
      <c r="C164" s="362" t="s">
        <v>219</v>
      </c>
      <c r="D164" s="7">
        <v>2.71</v>
      </c>
      <c r="E164" s="353"/>
      <c r="F164" s="22">
        <f t="shared" si="17"/>
        <v>0</v>
      </c>
      <c r="G164" s="329"/>
      <c r="H164" s="330">
        <f t="shared" si="18"/>
        <v>0</v>
      </c>
      <c r="I164" s="430"/>
      <c r="J164" s="430"/>
      <c r="K164" s="431"/>
      <c r="L164" s="431"/>
      <c r="M164" s="431"/>
      <c r="N164" s="431"/>
      <c r="O164" s="431"/>
      <c r="P164" s="430"/>
      <c r="Q164" s="431"/>
      <c r="R164" s="431"/>
      <c r="S164" s="431"/>
      <c r="T164" s="431"/>
      <c r="U164" s="431"/>
      <c r="V164" s="431"/>
      <c r="W164" s="430"/>
      <c r="X164" s="431"/>
      <c r="Y164" s="431"/>
      <c r="Z164" s="431"/>
      <c r="AA164" s="431"/>
      <c r="AB164" s="431"/>
      <c r="AC164" s="431"/>
      <c r="AD164" s="430"/>
      <c r="AE164" s="431"/>
      <c r="AF164" s="431"/>
      <c r="AG164" s="431"/>
      <c r="AH164" s="431"/>
      <c r="AI164" s="431"/>
      <c r="AJ164" s="431"/>
      <c r="AK164" s="430"/>
      <c r="AL164" s="431"/>
      <c r="AM164" s="431"/>
      <c r="AN164" s="432"/>
      <c r="AQ164" s="436"/>
      <c r="AR164" s="436"/>
      <c r="AS164" s="436"/>
      <c r="AT164" s="436"/>
      <c r="AU164" s="436"/>
      <c r="AV164" s="436"/>
      <c r="AW164" s="396">
        <f t="shared" si="19"/>
        <v>0</v>
      </c>
      <c r="AX164" s="434">
        <f t="shared" si="24"/>
        <v>0</v>
      </c>
      <c r="BA164" s="437">
        <f t="shared" si="20"/>
        <v>0</v>
      </c>
      <c r="BB164" s="437">
        <f t="shared" si="21"/>
        <v>0</v>
      </c>
      <c r="BC164" s="437">
        <f t="shared" si="22"/>
        <v>0</v>
      </c>
      <c r="BD164" s="437">
        <f t="shared" si="23"/>
        <v>0</v>
      </c>
      <c r="BE164" s="437"/>
    </row>
    <row r="165" spans="1:57" ht="33" customHeight="1" thickBot="1">
      <c r="A165" s="358" t="s">
        <v>313</v>
      </c>
      <c r="B165" s="332" t="s">
        <v>314</v>
      </c>
      <c r="C165" s="359" t="s">
        <v>219</v>
      </c>
      <c r="D165" s="7">
        <v>6.5</v>
      </c>
      <c r="E165" s="353"/>
      <c r="F165" s="22">
        <f t="shared" si="17"/>
        <v>0</v>
      </c>
      <c r="G165" s="329"/>
      <c r="H165" s="330">
        <f t="shared" si="18"/>
        <v>0</v>
      </c>
      <c r="I165" s="430"/>
      <c r="J165" s="430"/>
      <c r="K165" s="431"/>
      <c r="L165" s="431"/>
      <c r="M165" s="431"/>
      <c r="N165" s="431"/>
      <c r="O165" s="431"/>
      <c r="P165" s="430"/>
      <c r="Q165" s="431"/>
      <c r="R165" s="431"/>
      <c r="S165" s="431"/>
      <c r="T165" s="431"/>
      <c r="U165" s="431"/>
      <c r="V165" s="431"/>
      <c r="W165" s="430"/>
      <c r="X165" s="431"/>
      <c r="Y165" s="431"/>
      <c r="Z165" s="431"/>
      <c r="AA165" s="431"/>
      <c r="AB165" s="431"/>
      <c r="AC165" s="431"/>
      <c r="AD165" s="430"/>
      <c r="AE165" s="431"/>
      <c r="AF165" s="431"/>
      <c r="AG165" s="431"/>
      <c r="AH165" s="431"/>
      <c r="AI165" s="431"/>
      <c r="AJ165" s="431"/>
      <c r="AK165" s="430"/>
      <c r="AL165" s="431"/>
      <c r="AM165" s="431"/>
      <c r="AN165" s="432"/>
      <c r="AQ165" s="436"/>
      <c r="AR165" s="436"/>
      <c r="AS165" s="436"/>
      <c r="AT165" s="436"/>
      <c r="AU165" s="436"/>
      <c r="AV165" s="436"/>
      <c r="AW165" s="396">
        <f t="shared" si="19"/>
        <v>0</v>
      </c>
      <c r="AX165" s="434">
        <f t="shared" si="24"/>
        <v>0</v>
      </c>
      <c r="BA165" s="437">
        <f t="shared" si="20"/>
        <v>0</v>
      </c>
      <c r="BB165" s="437">
        <f t="shared" si="21"/>
        <v>0</v>
      </c>
      <c r="BC165" s="437">
        <f t="shared" si="22"/>
        <v>0</v>
      </c>
      <c r="BD165" s="437">
        <f t="shared" si="23"/>
        <v>0</v>
      </c>
      <c r="BE165" s="437"/>
    </row>
    <row r="166" spans="1:57" ht="33" customHeight="1" thickBot="1">
      <c r="A166" s="358" t="s">
        <v>315</v>
      </c>
      <c r="B166" s="332" t="s">
        <v>316</v>
      </c>
      <c r="C166" s="359" t="s">
        <v>219</v>
      </c>
      <c r="D166" s="7">
        <v>1.5</v>
      </c>
      <c r="E166" s="353"/>
      <c r="F166" s="22">
        <f t="shared" si="17"/>
        <v>0</v>
      </c>
      <c r="G166" s="329"/>
      <c r="H166" s="330">
        <f t="shared" si="18"/>
        <v>0</v>
      </c>
      <c r="I166" s="430"/>
      <c r="J166" s="430"/>
      <c r="K166" s="431"/>
      <c r="L166" s="431"/>
      <c r="M166" s="431"/>
      <c r="N166" s="431"/>
      <c r="O166" s="431"/>
      <c r="P166" s="430"/>
      <c r="Q166" s="431"/>
      <c r="R166" s="431"/>
      <c r="S166" s="431"/>
      <c r="T166" s="431"/>
      <c r="U166" s="431"/>
      <c r="V166" s="431"/>
      <c r="W166" s="430"/>
      <c r="X166" s="431"/>
      <c r="Y166" s="431"/>
      <c r="Z166" s="431"/>
      <c r="AA166" s="431"/>
      <c r="AB166" s="431"/>
      <c r="AC166" s="431"/>
      <c r="AD166" s="430"/>
      <c r="AE166" s="431"/>
      <c r="AF166" s="431"/>
      <c r="AG166" s="431"/>
      <c r="AH166" s="431"/>
      <c r="AI166" s="431"/>
      <c r="AJ166" s="431"/>
      <c r="AK166" s="430"/>
      <c r="AL166" s="431"/>
      <c r="AM166" s="431"/>
      <c r="AN166" s="432"/>
      <c r="AQ166" s="436"/>
      <c r="AR166" s="436"/>
      <c r="AS166" s="436"/>
      <c r="AT166" s="436"/>
      <c r="AU166" s="436"/>
      <c r="AV166" s="436"/>
      <c r="AW166" s="396">
        <f t="shared" si="19"/>
        <v>0</v>
      </c>
      <c r="AX166" s="434">
        <f t="shared" si="24"/>
        <v>0</v>
      </c>
      <c r="BA166" s="437">
        <f t="shared" si="20"/>
        <v>0</v>
      </c>
      <c r="BB166" s="437">
        <f t="shared" si="21"/>
        <v>0</v>
      </c>
      <c r="BC166" s="437">
        <f t="shared" si="22"/>
        <v>0</v>
      </c>
      <c r="BD166" s="437">
        <f t="shared" si="23"/>
        <v>0</v>
      </c>
      <c r="BE166" s="437"/>
    </row>
    <row r="167" spans="1:57" ht="33" customHeight="1" thickBot="1">
      <c r="A167" s="358" t="s">
        <v>317</v>
      </c>
      <c r="B167" s="332" t="s">
        <v>318</v>
      </c>
      <c r="C167" s="359" t="s">
        <v>219</v>
      </c>
      <c r="D167" s="7">
        <v>9.76</v>
      </c>
      <c r="E167" s="353"/>
      <c r="F167" s="22">
        <f t="shared" si="17"/>
        <v>0</v>
      </c>
      <c r="G167" s="329"/>
      <c r="H167" s="330">
        <f t="shared" si="18"/>
        <v>0</v>
      </c>
      <c r="I167" s="430"/>
      <c r="J167" s="430"/>
      <c r="K167" s="431"/>
      <c r="L167" s="431"/>
      <c r="M167" s="431"/>
      <c r="N167" s="431"/>
      <c r="O167" s="431"/>
      <c r="P167" s="430"/>
      <c r="Q167" s="431"/>
      <c r="R167" s="431"/>
      <c r="S167" s="431"/>
      <c r="T167" s="431"/>
      <c r="U167" s="431"/>
      <c r="V167" s="431"/>
      <c r="W167" s="430"/>
      <c r="X167" s="431"/>
      <c r="Y167" s="431"/>
      <c r="Z167" s="431"/>
      <c r="AA167" s="431"/>
      <c r="AB167" s="431"/>
      <c r="AC167" s="431"/>
      <c r="AD167" s="430"/>
      <c r="AE167" s="431"/>
      <c r="AF167" s="431"/>
      <c r="AG167" s="431"/>
      <c r="AH167" s="431"/>
      <c r="AI167" s="431"/>
      <c r="AJ167" s="431"/>
      <c r="AK167" s="430"/>
      <c r="AL167" s="431"/>
      <c r="AM167" s="431"/>
      <c r="AN167" s="432"/>
      <c r="AQ167" s="436"/>
      <c r="AR167" s="436"/>
      <c r="AS167" s="436"/>
      <c r="AT167" s="436"/>
      <c r="AU167" s="436"/>
      <c r="AV167" s="436"/>
      <c r="AW167" s="396">
        <f t="shared" si="19"/>
        <v>0</v>
      </c>
      <c r="AX167" s="434">
        <f t="shared" si="24"/>
        <v>0</v>
      </c>
      <c r="BA167" s="437">
        <f t="shared" si="20"/>
        <v>0</v>
      </c>
      <c r="BB167" s="437">
        <f t="shared" si="21"/>
        <v>0</v>
      </c>
      <c r="BC167" s="437">
        <f t="shared" si="22"/>
        <v>0</v>
      </c>
      <c r="BD167" s="437">
        <f t="shared" si="23"/>
        <v>0</v>
      </c>
      <c r="BE167" s="437"/>
    </row>
    <row r="168" spans="1:57" ht="33" customHeight="1" thickBot="1">
      <c r="A168" s="358" t="s">
        <v>319</v>
      </c>
      <c r="B168" s="332" t="s">
        <v>320</v>
      </c>
      <c r="C168" s="359" t="s">
        <v>196</v>
      </c>
      <c r="D168" s="7">
        <v>4.17</v>
      </c>
      <c r="E168" s="353"/>
      <c r="F168" s="22">
        <f t="shared" si="17"/>
        <v>0</v>
      </c>
      <c r="G168" s="329"/>
      <c r="H168" s="330">
        <f t="shared" si="18"/>
        <v>0</v>
      </c>
      <c r="I168" s="430"/>
      <c r="J168" s="430"/>
      <c r="K168" s="431"/>
      <c r="L168" s="431"/>
      <c r="M168" s="431"/>
      <c r="N168" s="431"/>
      <c r="O168" s="431"/>
      <c r="P168" s="430"/>
      <c r="Q168" s="431"/>
      <c r="R168" s="431"/>
      <c r="S168" s="431"/>
      <c r="T168" s="431"/>
      <c r="U168" s="431"/>
      <c r="V168" s="431"/>
      <c r="W168" s="430"/>
      <c r="X168" s="431"/>
      <c r="Y168" s="431"/>
      <c r="Z168" s="431"/>
      <c r="AA168" s="431"/>
      <c r="AB168" s="431"/>
      <c r="AC168" s="431"/>
      <c r="AD168" s="430"/>
      <c r="AE168" s="431"/>
      <c r="AF168" s="431"/>
      <c r="AG168" s="431"/>
      <c r="AH168" s="431"/>
      <c r="AI168" s="431"/>
      <c r="AJ168" s="431"/>
      <c r="AK168" s="430"/>
      <c r="AL168" s="431"/>
      <c r="AM168" s="431"/>
      <c r="AN168" s="432"/>
      <c r="AQ168" s="436"/>
      <c r="AR168" s="436"/>
      <c r="AS168" s="436"/>
      <c r="AT168" s="436"/>
      <c r="AU168" s="436"/>
      <c r="AV168" s="436"/>
      <c r="AW168" s="396">
        <f t="shared" si="19"/>
        <v>0</v>
      </c>
      <c r="AX168" s="434">
        <f t="shared" si="24"/>
        <v>0</v>
      </c>
      <c r="BA168" s="437">
        <f t="shared" si="20"/>
        <v>0</v>
      </c>
      <c r="BB168" s="437">
        <f t="shared" si="21"/>
        <v>0</v>
      </c>
      <c r="BC168" s="437">
        <f t="shared" si="22"/>
        <v>0</v>
      </c>
      <c r="BD168" s="437">
        <f t="shared" si="23"/>
        <v>0</v>
      </c>
      <c r="BE168" s="437"/>
    </row>
    <row r="169" spans="1:57" ht="33" customHeight="1" thickBot="1">
      <c r="A169" s="358" t="s">
        <v>321</v>
      </c>
      <c r="B169" s="332" t="s">
        <v>322</v>
      </c>
      <c r="C169" s="359" t="s">
        <v>196</v>
      </c>
      <c r="D169" s="7">
        <v>4.75</v>
      </c>
      <c r="E169" s="353"/>
      <c r="F169" s="22">
        <f t="shared" si="17"/>
        <v>0</v>
      </c>
      <c r="G169" s="329"/>
      <c r="H169" s="330">
        <f t="shared" si="18"/>
        <v>0</v>
      </c>
      <c r="I169" s="430"/>
      <c r="J169" s="430"/>
      <c r="K169" s="431"/>
      <c r="L169" s="431"/>
      <c r="M169" s="431"/>
      <c r="N169" s="431"/>
      <c r="O169" s="431"/>
      <c r="P169" s="430"/>
      <c r="Q169" s="431"/>
      <c r="R169" s="431"/>
      <c r="S169" s="431"/>
      <c r="T169" s="431"/>
      <c r="U169" s="431"/>
      <c r="V169" s="431"/>
      <c r="W169" s="430"/>
      <c r="X169" s="431"/>
      <c r="Y169" s="431"/>
      <c r="Z169" s="431"/>
      <c r="AA169" s="431"/>
      <c r="AB169" s="431"/>
      <c r="AC169" s="431"/>
      <c r="AD169" s="430"/>
      <c r="AE169" s="431"/>
      <c r="AF169" s="431"/>
      <c r="AG169" s="431"/>
      <c r="AH169" s="431"/>
      <c r="AI169" s="431"/>
      <c r="AJ169" s="431"/>
      <c r="AK169" s="430"/>
      <c r="AL169" s="431"/>
      <c r="AM169" s="431"/>
      <c r="AN169" s="432"/>
      <c r="AQ169" s="436"/>
      <c r="AR169" s="436"/>
      <c r="AS169" s="436"/>
      <c r="AT169" s="436"/>
      <c r="AU169" s="436"/>
      <c r="AV169" s="436"/>
      <c r="AW169" s="396">
        <f t="shared" si="19"/>
        <v>0</v>
      </c>
      <c r="AX169" s="434">
        <f t="shared" si="24"/>
        <v>0</v>
      </c>
      <c r="BA169" s="437">
        <f t="shared" si="20"/>
        <v>0</v>
      </c>
      <c r="BB169" s="437">
        <f t="shared" si="21"/>
        <v>0</v>
      </c>
      <c r="BC169" s="437">
        <f t="shared" si="22"/>
        <v>0</v>
      </c>
      <c r="BD169" s="437">
        <f t="shared" si="23"/>
        <v>0</v>
      </c>
      <c r="BE169" s="437"/>
    </row>
    <row r="170" spans="1:57" ht="33" customHeight="1" thickBot="1">
      <c r="A170" s="358" t="s">
        <v>323</v>
      </c>
      <c r="B170" s="336" t="s">
        <v>324</v>
      </c>
      <c r="C170" s="359" t="s">
        <v>196</v>
      </c>
      <c r="D170" s="7">
        <v>4.75</v>
      </c>
      <c r="E170" s="353"/>
      <c r="F170" s="22">
        <f t="shared" si="17"/>
        <v>0</v>
      </c>
      <c r="G170" s="329"/>
      <c r="H170" s="330">
        <f t="shared" si="18"/>
        <v>0</v>
      </c>
      <c r="I170" s="430"/>
      <c r="J170" s="430"/>
      <c r="K170" s="431"/>
      <c r="L170" s="431"/>
      <c r="M170" s="431"/>
      <c r="N170" s="431"/>
      <c r="O170" s="431"/>
      <c r="P170" s="430"/>
      <c r="Q170" s="431"/>
      <c r="R170" s="431"/>
      <c r="S170" s="431"/>
      <c r="T170" s="431"/>
      <c r="U170" s="431"/>
      <c r="V170" s="431"/>
      <c r="W170" s="430"/>
      <c r="X170" s="431"/>
      <c r="Y170" s="431"/>
      <c r="Z170" s="431"/>
      <c r="AA170" s="431"/>
      <c r="AB170" s="431"/>
      <c r="AC170" s="431"/>
      <c r="AD170" s="430"/>
      <c r="AE170" s="431"/>
      <c r="AF170" s="431"/>
      <c r="AG170" s="431"/>
      <c r="AH170" s="431"/>
      <c r="AI170" s="431"/>
      <c r="AJ170" s="431"/>
      <c r="AK170" s="430"/>
      <c r="AL170" s="431"/>
      <c r="AM170" s="431"/>
      <c r="AN170" s="432"/>
      <c r="AQ170" s="436"/>
      <c r="AR170" s="436"/>
      <c r="AS170" s="436"/>
      <c r="AT170" s="436"/>
      <c r="AU170" s="436"/>
      <c r="AV170" s="436"/>
      <c r="AW170" s="396">
        <f t="shared" si="19"/>
        <v>0</v>
      </c>
      <c r="AX170" s="434">
        <f t="shared" si="24"/>
        <v>0</v>
      </c>
      <c r="BA170" s="437">
        <f t="shared" si="20"/>
        <v>0</v>
      </c>
      <c r="BB170" s="437">
        <f t="shared" si="21"/>
        <v>0</v>
      </c>
      <c r="BC170" s="437">
        <f t="shared" si="22"/>
        <v>0</v>
      </c>
      <c r="BD170" s="437">
        <f t="shared" si="23"/>
        <v>0</v>
      </c>
      <c r="BE170" s="437"/>
    </row>
    <row r="171" spans="1:57" ht="33" customHeight="1" thickBot="1">
      <c r="A171" s="358" t="s">
        <v>325</v>
      </c>
      <c r="B171" s="367" t="s">
        <v>326</v>
      </c>
      <c r="C171" s="359" t="s">
        <v>196</v>
      </c>
      <c r="D171" s="7">
        <v>293.12</v>
      </c>
      <c r="E171" s="353"/>
      <c r="F171" s="22">
        <f t="shared" si="17"/>
        <v>0</v>
      </c>
      <c r="G171" s="329"/>
      <c r="H171" s="330">
        <f t="shared" si="18"/>
        <v>0</v>
      </c>
      <c r="I171" s="430"/>
      <c r="J171" s="430"/>
      <c r="K171" s="431"/>
      <c r="L171" s="431"/>
      <c r="M171" s="431"/>
      <c r="N171" s="431"/>
      <c r="O171" s="431"/>
      <c r="P171" s="430"/>
      <c r="Q171" s="431"/>
      <c r="R171" s="431"/>
      <c r="S171" s="431"/>
      <c r="T171" s="431"/>
      <c r="U171" s="431"/>
      <c r="V171" s="431"/>
      <c r="W171" s="430"/>
      <c r="X171" s="431"/>
      <c r="Y171" s="431"/>
      <c r="Z171" s="431"/>
      <c r="AA171" s="431"/>
      <c r="AB171" s="431"/>
      <c r="AC171" s="431"/>
      <c r="AD171" s="430"/>
      <c r="AE171" s="431"/>
      <c r="AF171" s="431"/>
      <c r="AG171" s="431"/>
      <c r="AH171" s="431"/>
      <c r="AI171" s="431"/>
      <c r="AJ171" s="431"/>
      <c r="AK171" s="430"/>
      <c r="AL171" s="431"/>
      <c r="AM171" s="431"/>
      <c r="AN171" s="432"/>
      <c r="AQ171" s="436"/>
      <c r="AR171" s="436"/>
      <c r="AS171" s="436"/>
      <c r="AT171" s="436"/>
      <c r="AU171" s="436"/>
      <c r="AV171" s="436"/>
      <c r="AW171" s="396">
        <f t="shared" si="19"/>
        <v>0</v>
      </c>
      <c r="AX171" s="434">
        <f t="shared" si="24"/>
        <v>0</v>
      </c>
      <c r="BA171" s="437">
        <f t="shared" si="20"/>
        <v>0</v>
      </c>
      <c r="BB171" s="437">
        <f t="shared" si="21"/>
        <v>0</v>
      </c>
      <c r="BC171" s="437">
        <f t="shared" si="22"/>
        <v>0</v>
      </c>
      <c r="BD171" s="437">
        <f t="shared" si="23"/>
        <v>0</v>
      </c>
      <c r="BE171" s="437"/>
    </row>
    <row r="172" spans="1:57" ht="33" customHeight="1" thickBot="1">
      <c r="A172" s="358" t="s">
        <v>327</v>
      </c>
      <c r="B172" s="332" t="s">
        <v>328</v>
      </c>
      <c r="C172" s="359" t="s">
        <v>196</v>
      </c>
      <c r="D172" s="7">
        <v>3493.23</v>
      </c>
      <c r="E172" s="353"/>
      <c r="F172" s="22">
        <f t="shared" si="17"/>
        <v>0</v>
      </c>
      <c r="G172" s="329"/>
      <c r="H172" s="330">
        <f t="shared" si="18"/>
        <v>0</v>
      </c>
      <c r="I172" s="430"/>
      <c r="J172" s="430"/>
      <c r="K172" s="431"/>
      <c r="L172" s="431"/>
      <c r="M172" s="431"/>
      <c r="N172" s="431"/>
      <c r="O172" s="431"/>
      <c r="P172" s="430"/>
      <c r="Q172" s="431"/>
      <c r="R172" s="431"/>
      <c r="S172" s="431"/>
      <c r="T172" s="431"/>
      <c r="U172" s="431"/>
      <c r="V172" s="431"/>
      <c r="W172" s="430"/>
      <c r="X172" s="431"/>
      <c r="Y172" s="431"/>
      <c r="Z172" s="431"/>
      <c r="AA172" s="431"/>
      <c r="AB172" s="431"/>
      <c r="AC172" s="431"/>
      <c r="AD172" s="430"/>
      <c r="AE172" s="431"/>
      <c r="AF172" s="431"/>
      <c r="AG172" s="431"/>
      <c r="AH172" s="431"/>
      <c r="AI172" s="431"/>
      <c r="AJ172" s="431"/>
      <c r="AK172" s="430"/>
      <c r="AL172" s="431"/>
      <c r="AM172" s="431"/>
      <c r="AN172" s="432"/>
      <c r="AQ172" s="436"/>
      <c r="AR172" s="436"/>
      <c r="AS172" s="436"/>
      <c r="AT172" s="436"/>
      <c r="AU172" s="436"/>
      <c r="AV172" s="436"/>
      <c r="AW172" s="396">
        <f t="shared" si="19"/>
        <v>0</v>
      </c>
      <c r="AX172" s="434">
        <f t="shared" si="24"/>
        <v>0</v>
      </c>
      <c r="BA172" s="437">
        <f t="shared" si="20"/>
        <v>0</v>
      </c>
      <c r="BB172" s="437">
        <f t="shared" si="21"/>
        <v>0</v>
      </c>
      <c r="BC172" s="437">
        <f t="shared" si="22"/>
        <v>0</v>
      </c>
      <c r="BD172" s="437">
        <f t="shared" si="23"/>
        <v>0</v>
      </c>
      <c r="BE172" s="437"/>
    </row>
    <row r="173" spans="1:57" ht="33" customHeight="1" thickBot="1">
      <c r="A173" s="358" t="s">
        <v>329</v>
      </c>
      <c r="B173" s="332" t="s">
        <v>330</v>
      </c>
      <c r="C173" s="360" t="s">
        <v>196</v>
      </c>
      <c r="D173" s="7">
        <v>704.99</v>
      </c>
      <c r="E173" s="353"/>
      <c r="F173" s="22">
        <f t="shared" si="17"/>
        <v>0</v>
      </c>
      <c r="G173" s="329"/>
      <c r="H173" s="330">
        <f t="shared" si="18"/>
        <v>0</v>
      </c>
      <c r="I173" s="430"/>
      <c r="J173" s="430"/>
      <c r="K173" s="431"/>
      <c r="L173" s="431"/>
      <c r="M173" s="431"/>
      <c r="N173" s="431"/>
      <c r="O173" s="431"/>
      <c r="P173" s="430"/>
      <c r="Q173" s="431"/>
      <c r="R173" s="431"/>
      <c r="S173" s="431"/>
      <c r="T173" s="431"/>
      <c r="U173" s="431"/>
      <c r="V173" s="431"/>
      <c r="W173" s="430"/>
      <c r="X173" s="431"/>
      <c r="Y173" s="431"/>
      <c r="Z173" s="431"/>
      <c r="AA173" s="431"/>
      <c r="AB173" s="431"/>
      <c r="AC173" s="431"/>
      <c r="AD173" s="430"/>
      <c r="AE173" s="431"/>
      <c r="AF173" s="431"/>
      <c r="AG173" s="431"/>
      <c r="AH173" s="431"/>
      <c r="AI173" s="431"/>
      <c r="AJ173" s="431"/>
      <c r="AK173" s="430"/>
      <c r="AL173" s="431"/>
      <c r="AM173" s="431"/>
      <c r="AN173" s="432"/>
      <c r="AQ173" s="436"/>
      <c r="AR173" s="436"/>
      <c r="AS173" s="436"/>
      <c r="AT173" s="436"/>
      <c r="AU173" s="436"/>
      <c r="AV173" s="436"/>
      <c r="AW173" s="396">
        <f t="shared" si="19"/>
        <v>0</v>
      </c>
      <c r="AX173" s="434">
        <f t="shared" si="24"/>
        <v>0</v>
      </c>
      <c r="BA173" s="437">
        <f t="shared" si="20"/>
        <v>0</v>
      </c>
      <c r="BB173" s="437">
        <f t="shared" si="21"/>
        <v>0</v>
      </c>
      <c r="BC173" s="437">
        <f t="shared" si="22"/>
        <v>0</v>
      </c>
      <c r="BD173" s="437">
        <f t="shared" si="23"/>
        <v>0</v>
      </c>
      <c r="BE173" s="437"/>
    </row>
    <row r="174" spans="1:57" ht="33" customHeight="1" thickBot="1">
      <c r="A174" s="358" t="s">
        <v>331</v>
      </c>
      <c r="B174" s="169" t="s">
        <v>332</v>
      </c>
      <c r="C174" s="360" t="s">
        <v>196</v>
      </c>
      <c r="D174" s="7">
        <v>822.4</v>
      </c>
      <c r="E174" s="353"/>
      <c r="F174" s="22">
        <f t="shared" si="17"/>
        <v>0</v>
      </c>
      <c r="G174" s="329"/>
      <c r="H174" s="330">
        <f t="shared" si="18"/>
        <v>0</v>
      </c>
      <c r="I174" s="430"/>
      <c r="J174" s="430"/>
      <c r="K174" s="431"/>
      <c r="L174" s="431"/>
      <c r="M174" s="431"/>
      <c r="N174" s="431"/>
      <c r="O174" s="431"/>
      <c r="P174" s="430"/>
      <c r="Q174" s="431"/>
      <c r="R174" s="431"/>
      <c r="S174" s="431"/>
      <c r="T174" s="431"/>
      <c r="U174" s="431"/>
      <c r="V174" s="431"/>
      <c r="W174" s="430"/>
      <c r="X174" s="431"/>
      <c r="Y174" s="431"/>
      <c r="Z174" s="431"/>
      <c r="AA174" s="431"/>
      <c r="AB174" s="431"/>
      <c r="AC174" s="431"/>
      <c r="AD174" s="430"/>
      <c r="AE174" s="431"/>
      <c r="AF174" s="431"/>
      <c r="AG174" s="431"/>
      <c r="AH174" s="431"/>
      <c r="AI174" s="431"/>
      <c r="AJ174" s="431"/>
      <c r="AK174" s="430"/>
      <c r="AL174" s="431"/>
      <c r="AM174" s="431"/>
      <c r="AN174" s="432"/>
      <c r="AQ174" s="436"/>
      <c r="AR174" s="436"/>
      <c r="AS174" s="436"/>
      <c r="AT174" s="436"/>
      <c r="AU174" s="436"/>
      <c r="AV174" s="436"/>
      <c r="AW174" s="396">
        <f t="shared" si="19"/>
        <v>0</v>
      </c>
      <c r="AX174" s="434">
        <f t="shared" si="24"/>
        <v>0</v>
      </c>
      <c r="BA174" s="437">
        <f t="shared" si="20"/>
        <v>0</v>
      </c>
      <c r="BB174" s="437">
        <f t="shared" si="21"/>
        <v>0</v>
      </c>
      <c r="BC174" s="437">
        <f t="shared" si="22"/>
        <v>0</v>
      </c>
      <c r="BD174" s="437">
        <f t="shared" si="23"/>
        <v>0</v>
      </c>
      <c r="BE174" s="437"/>
    </row>
    <row r="175" spans="1:57" ht="33" customHeight="1" thickBot="1">
      <c r="A175" s="358" t="s">
        <v>333</v>
      </c>
      <c r="B175" s="169" t="s">
        <v>334</v>
      </c>
      <c r="C175" s="359" t="s">
        <v>212</v>
      </c>
      <c r="D175" s="7">
        <v>7.7</v>
      </c>
      <c r="E175" s="353"/>
      <c r="F175" s="22">
        <f t="shared" si="17"/>
        <v>0</v>
      </c>
      <c r="G175" s="329"/>
      <c r="H175" s="330">
        <f t="shared" si="18"/>
        <v>0</v>
      </c>
      <c r="I175" s="430"/>
      <c r="J175" s="430"/>
      <c r="K175" s="431"/>
      <c r="L175" s="431"/>
      <c r="M175" s="431"/>
      <c r="N175" s="431"/>
      <c r="O175" s="431"/>
      <c r="P175" s="430"/>
      <c r="Q175" s="431"/>
      <c r="R175" s="431"/>
      <c r="S175" s="431"/>
      <c r="T175" s="431"/>
      <c r="U175" s="431"/>
      <c r="V175" s="431"/>
      <c r="W175" s="430"/>
      <c r="X175" s="431"/>
      <c r="Y175" s="431"/>
      <c r="Z175" s="431"/>
      <c r="AA175" s="431"/>
      <c r="AB175" s="431"/>
      <c r="AC175" s="431"/>
      <c r="AD175" s="430"/>
      <c r="AE175" s="431"/>
      <c r="AF175" s="431"/>
      <c r="AG175" s="431"/>
      <c r="AH175" s="431"/>
      <c r="AI175" s="431"/>
      <c r="AJ175" s="431"/>
      <c r="AK175" s="430"/>
      <c r="AL175" s="431"/>
      <c r="AM175" s="431"/>
      <c r="AN175" s="432"/>
      <c r="AQ175" s="436"/>
      <c r="AR175" s="436"/>
      <c r="AS175" s="436"/>
      <c r="AT175" s="436"/>
      <c r="AU175" s="436"/>
      <c r="AV175" s="436"/>
      <c r="AW175" s="396">
        <f t="shared" si="19"/>
        <v>0</v>
      </c>
      <c r="AX175" s="434">
        <f t="shared" si="24"/>
        <v>0</v>
      </c>
      <c r="BA175" s="437">
        <f t="shared" si="20"/>
        <v>0</v>
      </c>
      <c r="BB175" s="437">
        <f t="shared" si="21"/>
        <v>0</v>
      </c>
      <c r="BC175" s="437">
        <f t="shared" si="22"/>
        <v>0</v>
      </c>
      <c r="BD175" s="437">
        <f t="shared" si="23"/>
        <v>0</v>
      </c>
      <c r="BE175" s="437"/>
    </row>
    <row r="176" spans="1:57" ht="33" customHeight="1" thickBot="1">
      <c r="A176" s="371" t="s">
        <v>335</v>
      </c>
      <c r="B176" s="169" t="s">
        <v>336</v>
      </c>
      <c r="C176" s="359" t="s">
        <v>212</v>
      </c>
      <c r="D176" s="7">
        <v>5.72</v>
      </c>
      <c r="E176" s="353"/>
      <c r="F176" s="22">
        <f t="shared" si="17"/>
        <v>0</v>
      </c>
      <c r="G176" s="329"/>
      <c r="H176" s="330">
        <f t="shared" si="18"/>
        <v>0</v>
      </c>
      <c r="I176" s="430"/>
      <c r="J176" s="430"/>
      <c r="K176" s="431"/>
      <c r="L176" s="431"/>
      <c r="M176" s="431"/>
      <c r="N176" s="431"/>
      <c r="O176" s="431"/>
      <c r="P176" s="430"/>
      <c r="Q176" s="431"/>
      <c r="R176" s="431"/>
      <c r="S176" s="431"/>
      <c r="T176" s="431"/>
      <c r="U176" s="431"/>
      <c r="V176" s="431"/>
      <c r="W176" s="430"/>
      <c r="X176" s="431"/>
      <c r="Y176" s="431"/>
      <c r="Z176" s="431"/>
      <c r="AA176" s="431"/>
      <c r="AB176" s="431"/>
      <c r="AC176" s="431"/>
      <c r="AD176" s="430"/>
      <c r="AE176" s="431"/>
      <c r="AF176" s="431"/>
      <c r="AG176" s="431"/>
      <c r="AH176" s="431"/>
      <c r="AI176" s="431"/>
      <c r="AJ176" s="431"/>
      <c r="AK176" s="430"/>
      <c r="AL176" s="431"/>
      <c r="AM176" s="431"/>
      <c r="AN176" s="432"/>
      <c r="AQ176" s="436"/>
      <c r="AR176" s="436"/>
      <c r="AS176" s="436"/>
      <c r="AT176" s="436"/>
      <c r="AU176" s="436"/>
      <c r="AV176" s="436"/>
      <c r="AW176" s="396">
        <f t="shared" si="19"/>
        <v>0</v>
      </c>
      <c r="AX176" s="434">
        <f t="shared" si="24"/>
        <v>0</v>
      </c>
      <c r="BA176" s="437">
        <f t="shared" si="20"/>
        <v>0</v>
      </c>
      <c r="BB176" s="437">
        <f t="shared" si="21"/>
        <v>0</v>
      </c>
      <c r="BC176" s="437">
        <f t="shared" si="22"/>
        <v>0</v>
      </c>
      <c r="BD176" s="437">
        <f t="shared" si="23"/>
        <v>0</v>
      </c>
      <c r="BE176" s="437"/>
    </row>
    <row r="177" spans="1:57" ht="33" customHeight="1" thickBot="1">
      <c r="A177" s="371" t="s">
        <v>337</v>
      </c>
      <c r="B177" s="169" t="s">
        <v>338</v>
      </c>
      <c r="C177" s="372" t="s">
        <v>212</v>
      </c>
      <c r="D177" s="7">
        <v>4.37</v>
      </c>
      <c r="E177" s="353"/>
      <c r="F177" s="22">
        <f t="shared" si="17"/>
        <v>0</v>
      </c>
      <c r="G177" s="329"/>
      <c r="H177" s="330">
        <f t="shared" si="18"/>
        <v>0</v>
      </c>
      <c r="I177" s="430"/>
      <c r="J177" s="430"/>
      <c r="K177" s="431"/>
      <c r="L177" s="431"/>
      <c r="M177" s="431"/>
      <c r="N177" s="431"/>
      <c r="O177" s="431"/>
      <c r="P177" s="430"/>
      <c r="Q177" s="431"/>
      <c r="R177" s="431"/>
      <c r="S177" s="431"/>
      <c r="T177" s="431"/>
      <c r="U177" s="431"/>
      <c r="V177" s="431"/>
      <c r="W177" s="430"/>
      <c r="X177" s="431"/>
      <c r="Y177" s="431"/>
      <c r="Z177" s="431"/>
      <c r="AA177" s="431"/>
      <c r="AB177" s="431"/>
      <c r="AC177" s="431"/>
      <c r="AD177" s="430"/>
      <c r="AE177" s="431"/>
      <c r="AF177" s="431"/>
      <c r="AG177" s="431"/>
      <c r="AH177" s="431"/>
      <c r="AI177" s="431"/>
      <c r="AJ177" s="431"/>
      <c r="AK177" s="430"/>
      <c r="AL177" s="431"/>
      <c r="AM177" s="431"/>
      <c r="AN177" s="432"/>
      <c r="AQ177" s="436"/>
      <c r="AR177" s="436"/>
      <c r="AS177" s="436"/>
      <c r="AT177" s="436"/>
      <c r="AU177" s="436"/>
      <c r="AV177" s="436"/>
      <c r="AW177" s="396">
        <f t="shared" si="19"/>
        <v>0</v>
      </c>
      <c r="AX177" s="434">
        <f t="shared" si="24"/>
        <v>0</v>
      </c>
      <c r="BA177" s="437">
        <f t="shared" si="20"/>
        <v>0</v>
      </c>
      <c r="BB177" s="437">
        <f t="shared" si="21"/>
        <v>0</v>
      </c>
      <c r="BC177" s="437">
        <f t="shared" si="22"/>
        <v>0</v>
      </c>
      <c r="BD177" s="437">
        <f t="shared" si="23"/>
        <v>0</v>
      </c>
      <c r="BE177" s="437"/>
    </row>
    <row r="178" spans="1:57" ht="33" customHeight="1" thickBot="1">
      <c r="A178" s="371" t="s">
        <v>339</v>
      </c>
      <c r="B178" s="169" t="s">
        <v>340</v>
      </c>
      <c r="C178" s="360" t="s">
        <v>212</v>
      </c>
      <c r="D178" s="7">
        <v>3.86</v>
      </c>
      <c r="E178" s="353"/>
      <c r="F178" s="22">
        <f t="shared" si="17"/>
        <v>0</v>
      </c>
      <c r="G178" s="329"/>
      <c r="H178" s="330">
        <f t="shared" si="18"/>
        <v>0</v>
      </c>
      <c r="I178" s="430"/>
      <c r="J178" s="430"/>
      <c r="K178" s="431"/>
      <c r="L178" s="431"/>
      <c r="M178" s="431"/>
      <c r="N178" s="431"/>
      <c r="O178" s="431"/>
      <c r="P178" s="430"/>
      <c r="Q178" s="431"/>
      <c r="R178" s="431"/>
      <c r="S178" s="431"/>
      <c r="T178" s="431"/>
      <c r="U178" s="431"/>
      <c r="V178" s="431"/>
      <c r="W178" s="430"/>
      <c r="X178" s="431"/>
      <c r="Y178" s="431"/>
      <c r="Z178" s="431"/>
      <c r="AA178" s="431"/>
      <c r="AB178" s="431"/>
      <c r="AC178" s="431"/>
      <c r="AD178" s="430"/>
      <c r="AE178" s="431"/>
      <c r="AF178" s="431"/>
      <c r="AG178" s="431"/>
      <c r="AH178" s="431"/>
      <c r="AI178" s="431"/>
      <c r="AJ178" s="431"/>
      <c r="AK178" s="430"/>
      <c r="AL178" s="431"/>
      <c r="AM178" s="431"/>
      <c r="AN178" s="432"/>
      <c r="AQ178" s="436"/>
      <c r="AR178" s="436"/>
      <c r="AS178" s="436"/>
      <c r="AT178" s="436"/>
      <c r="AU178" s="436"/>
      <c r="AV178" s="436"/>
      <c r="AW178" s="396">
        <f t="shared" si="19"/>
        <v>0</v>
      </c>
      <c r="AX178" s="434">
        <f t="shared" si="24"/>
        <v>0</v>
      </c>
      <c r="BA178" s="437">
        <f t="shared" si="20"/>
        <v>0</v>
      </c>
      <c r="BB178" s="437">
        <f t="shared" si="21"/>
        <v>0</v>
      </c>
      <c r="BC178" s="437">
        <f t="shared" si="22"/>
        <v>0</v>
      </c>
      <c r="BD178" s="437">
        <f t="shared" si="23"/>
        <v>0</v>
      </c>
      <c r="BE178" s="437"/>
    </row>
    <row r="179" spans="1:57" ht="33" customHeight="1" thickBot="1">
      <c r="A179" s="358" t="s">
        <v>341</v>
      </c>
      <c r="B179" s="169" t="s">
        <v>342</v>
      </c>
      <c r="C179" s="360" t="s">
        <v>212</v>
      </c>
      <c r="D179" s="7">
        <v>0.79</v>
      </c>
      <c r="E179" s="353"/>
      <c r="F179" s="22">
        <f t="shared" si="17"/>
        <v>0</v>
      </c>
      <c r="G179" s="329"/>
      <c r="H179" s="330">
        <f t="shared" si="18"/>
        <v>0</v>
      </c>
      <c r="I179" s="430"/>
      <c r="J179" s="430"/>
      <c r="K179" s="431"/>
      <c r="L179" s="431"/>
      <c r="M179" s="431"/>
      <c r="N179" s="431"/>
      <c r="O179" s="431"/>
      <c r="P179" s="430"/>
      <c r="Q179" s="431"/>
      <c r="R179" s="431"/>
      <c r="S179" s="431"/>
      <c r="T179" s="431"/>
      <c r="U179" s="431"/>
      <c r="V179" s="431"/>
      <c r="W179" s="430"/>
      <c r="X179" s="431"/>
      <c r="Y179" s="431"/>
      <c r="Z179" s="431"/>
      <c r="AA179" s="431"/>
      <c r="AB179" s="431"/>
      <c r="AC179" s="431"/>
      <c r="AD179" s="430"/>
      <c r="AE179" s="431"/>
      <c r="AF179" s="431"/>
      <c r="AG179" s="431"/>
      <c r="AH179" s="431"/>
      <c r="AI179" s="431"/>
      <c r="AJ179" s="431"/>
      <c r="AK179" s="430"/>
      <c r="AL179" s="431"/>
      <c r="AM179" s="431"/>
      <c r="AN179" s="432"/>
      <c r="AQ179" s="436"/>
      <c r="AR179" s="436"/>
      <c r="AS179" s="436"/>
      <c r="AT179" s="436"/>
      <c r="AU179" s="436"/>
      <c r="AV179" s="436"/>
      <c r="AW179" s="396">
        <f t="shared" si="19"/>
        <v>0</v>
      </c>
      <c r="AX179" s="434">
        <f t="shared" si="24"/>
        <v>0</v>
      </c>
      <c r="BA179" s="437">
        <f t="shared" si="20"/>
        <v>0</v>
      </c>
      <c r="BB179" s="437">
        <f t="shared" si="21"/>
        <v>0</v>
      </c>
      <c r="BC179" s="437">
        <f t="shared" si="22"/>
        <v>0</v>
      </c>
      <c r="BD179" s="437">
        <f t="shared" si="23"/>
        <v>0</v>
      </c>
      <c r="BE179" s="437"/>
    </row>
    <row r="180" spans="1:57" ht="39" customHeight="1" thickBot="1">
      <c r="A180" s="358" t="s">
        <v>343</v>
      </c>
      <c r="B180" s="169" t="s">
        <v>344</v>
      </c>
      <c r="C180" s="360" t="s">
        <v>196</v>
      </c>
      <c r="D180" s="7">
        <v>316.91000000000003</v>
      </c>
      <c r="E180" s="353"/>
      <c r="F180" s="22">
        <f t="shared" si="17"/>
        <v>0</v>
      </c>
      <c r="G180" s="329"/>
      <c r="H180" s="330">
        <f t="shared" si="18"/>
        <v>0</v>
      </c>
      <c r="I180" s="430"/>
      <c r="J180" s="430"/>
      <c r="K180" s="431"/>
      <c r="L180" s="431"/>
      <c r="M180" s="431"/>
      <c r="N180" s="431"/>
      <c r="O180" s="431"/>
      <c r="P180" s="430"/>
      <c r="Q180" s="431"/>
      <c r="R180" s="431"/>
      <c r="S180" s="431"/>
      <c r="T180" s="431"/>
      <c r="U180" s="431"/>
      <c r="V180" s="431"/>
      <c r="W180" s="430"/>
      <c r="X180" s="431"/>
      <c r="Y180" s="431"/>
      <c r="Z180" s="431"/>
      <c r="AA180" s="431"/>
      <c r="AB180" s="431"/>
      <c r="AC180" s="431"/>
      <c r="AD180" s="430"/>
      <c r="AE180" s="431"/>
      <c r="AF180" s="431"/>
      <c r="AG180" s="431"/>
      <c r="AH180" s="431"/>
      <c r="AI180" s="431"/>
      <c r="AJ180" s="431"/>
      <c r="AK180" s="430"/>
      <c r="AL180" s="431"/>
      <c r="AM180" s="431"/>
      <c r="AN180" s="432"/>
      <c r="AQ180" s="436"/>
      <c r="AR180" s="436"/>
      <c r="AS180" s="436"/>
      <c r="AT180" s="436"/>
      <c r="AU180" s="436"/>
      <c r="AV180" s="436"/>
      <c r="AW180" s="396">
        <f t="shared" si="19"/>
        <v>0</v>
      </c>
      <c r="AX180" s="434">
        <f t="shared" si="24"/>
        <v>0</v>
      </c>
      <c r="BA180" s="437">
        <f t="shared" si="20"/>
        <v>0</v>
      </c>
      <c r="BB180" s="437">
        <f t="shared" si="21"/>
        <v>0</v>
      </c>
      <c r="BC180" s="437">
        <f t="shared" si="22"/>
        <v>0</v>
      </c>
      <c r="BD180" s="437">
        <f t="shared" si="23"/>
        <v>0</v>
      </c>
      <c r="BE180" s="437"/>
    </row>
    <row r="181" spans="1:57" ht="33" customHeight="1" thickBot="1">
      <c r="A181" s="358" t="s">
        <v>345</v>
      </c>
      <c r="B181" s="169" t="s">
        <v>346</v>
      </c>
      <c r="C181" s="360" t="s">
        <v>196</v>
      </c>
      <c r="D181" s="7">
        <v>400.89</v>
      </c>
      <c r="E181" s="353"/>
      <c r="F181" s="22">
        <f t="shared" si="17"/>
        <v>0</v>
      </c>
      <c r="G181" s="329"/>
      <c r="H181" s="330">
        <f t="shared" si="18"/>
        <v>0</v>
      </c>
      <c r="I181" s="430"/>
      <c r="J181" s="430"/>
      <c r="K181" s="431"/>
      <c r="L181" s="431"/>
      <c r="M181" s="431"/>
      <c r="N181" s="431"/>
      <c r="O181" s="431"/>
      <c r="P181" s="430"/>
      <c r="Q181" s="431"/>
      <c r="R181" s="431"/>
      <c r="S181" s="431"/>
      <c r="T181" s="431"/>
      <c r="U181" s="431"/>
      <c r="V181" s="431"/>
      <c r="W181" s="430"/>
      <c r="X181" s="431"/>
      <c r="Y181" s="431"/>
      <c r="Z181" s="431"/>
      <c r="AA181" s="431"/>
      <c r="AB181" s="431"/>
      <c r="AC181" s="431"/>
      <c r="AD181" s="430"/>
      <c r="AE181" s="431"/>
      <c r="AF181" s="431"/>
      <c r="AG181" s="431"/>
      <c r="AH181" s="431"/>
      <c r="AI181" s="431"/>
      <c r="AJ181" s="431"/>
      <c r="AK181" s="430"/>
      <c r="AL181" s="431"/>
      <c r="AM181" s="431"/>
      <c r="AN181" s="432"/>
      <c r="AQ181" s="436"/>
      <c r="AR181" s="436"/>
      <c r="AS181" s="436"/>
      <c r="AT181" s="436"/>
      <c r="AU181" s="436"/>
      <c r="AV181" s="436"/>
      <c r="AW181" s="396">
        <f t="shared" si="19"/>
        <v>0</v>
      </c>
      <c r="AX181" s="434">
        <f t="shared" si="24"/>
        <v>0</v>
      </c>
      <c r="BA181" s="437">
        <f t="shared" si="20"/>
        <v>0</v>
      </c>
      <c r="BB181" s="437">
        <f t="shared" si="21"/>
        <v>0</v>
      </c>
      <c r="BC181" s="437">
        <f t="shared" si="22"/>
        <v>0</v>
      </c>
      <c r="BD181" s="437">
        <f t="shared" si="23"/>
        <v>0</v>
      </c>
      <c r="BE181" s="437"/>
    </row>
    <row r="182" spans="1:57" ht="33" customHeight="1" thickBot="1">
      <c r="A182" s="358" t="s">
        <v>347</v>
      </c>
      <c r="B182" s="169" t="s">
        <v>348</v>
      </c>
      <c r="C182" s="360" t="s">
        <v>196</v>
      </c>
      <c r="D182" s="7">
        <v>1459.93</v>
      </c>
      <c r="E182" s="353"/>
      <c r="F182" s="22">
        <f t="shared" si="17"/>
        <v>0</v>
      </c>
      <c r="G182" s="329"/>
      <c r="H182" s="330">
        <f t="shared" si="18"/>
        <v>0</v>
      </c>
      <c r="I182" s="430"/>
      <c r="J182" s="430"/>
      <c r="K182" s="431"/>
      <c r="L182" s="431"/>
      <c r="M182" s="431"/>
      <c r="N182" s="431"/>
      <c r="O182" s="431"/>
      <c r="P182" s="430"/>
      <c r="Q182" s="431"/>
      <c r="R182" s="431"/>
      <c r="S182" s="431"/>
      <c r="T182" s="431"/>
      <c r="U182" s="431"/>
      <c r="V182" s="431"/>
      <c r="W182" s="430"/>
      <c r="X182" s="431"/>
      <c r="Y182" s="431"/>
      <c r="Z182" s="431"/>
      <c r="AA182" s="431"/>
      <c r="AB182" s="431"/>
      <c r="AC182" s="431"/>
      <c r="AD182" s="430"/>
      <c r="AE182" s="431"/>
      <c r="AF182" s="431"/>
      <c r="AG182" s="431"/>
      <c r="AH182" s="431"/>
      <c r="AI182" s="431"/>
      <c r="AJ182" s="431"/>
      <c r="AK182" s="430"/>
      <c r="AL182" s="431"/>
      <c r="AM182" s="431"/>
      <c r="AN182" s="432"/>
      <c r="AQ182" s="436"/>
      <c r="AR182" s="436"/>
      <c r="AS182" s="436"/>
      <c r="AT182" s="436"/>
      <c r="AU182" s="436"/>
      <c r="AV182" s="436"/>
      <c r="AW182" s="396">
        <f t="shared" si="19"/>
        <v>0</v>
      </c>
      <c r="AX182" s="434">
        <f t="shared" si="24"/>
        <v>0</v>
      </c>
      <c r="BA182" s="437">
        <f t="shared" si="20"/>
        <v>0</v>
      </c>
      <c r="BB182" s="437">
        <f t="shared" si="21"/>
        <v>0</v>
      </c>
      <c r="BC182" s="437">
        <f t="shared" si="22"/>
        <v>0</v>
      </c>
      <c r="BD182" s="437">
        <f t="shared" si="23"/>
        <v>0</v>
      </c>
      <c r="BE182" s="437"/>
    </row>
    <row r="183" spans="1:57" ht="33" customHeight="1" thickBot="1">
      <c r="A183" s="358" t="s">
        <v>349</v>
      </c>
      <c r="B183" s="169" t="s">
        <v>682</v>
      </c>
      <c r="C183" s="360" t="s">
        <v>196</v>
      </c>
      <c r="D183" s="7">
        <v>448.63</v>
      </c>
      <c r="E183" s="353"/>
      <c r="F183" s="22">
        <f t="shared" si="17"/>
        <v>0</v>
      </c>
      <c r="G183" s="329"/>
      <c r="H183" s="330">
        <f t="shared" si="18"/>
        <v>0</v>
      </c>
      <c r="I183" s="430"/>
      <c r="J183" s="430"/>
      <c r="K183" s="431"/>
      <c r="L183" s="431"/>
      <c r="M183" s="431"/>
      <c r="N183" s="431"/>
      <c r="O183" s="431"/>
      <c r="P183" s="430"/>
      <c r="Q183" s="431"/>
      <c r="R183" s="431"/>
      <c r="S183" s="431"/>
      <c r="T183" s="431"/>
      <c r="U183" s="431"/>
      <c r="V183" s="431"/>
      <c r="W183" s="430"/>
      <c r="X183" s="431"/>
      <c r="Y183" s="431"/>
      <c r="Z183" s="431"/>
      <c r="AA183" s="431"/>
      <c r="AB183" s="431"/>
      <c r="AC183" s="431"/>
      <c r="AD183" s="430"/>
      <c r="AE183" s="431"/>
      <c r="AF183" s="431"/>
      <c r="AG183" s="431"/>
      <c r="AH183" s="431"/>
      <c r="AI183" s="431"/>
      <c r="AJ183" s="431"/>
      <c r="AK183" s="430"/>
      <c r="AL183" s="431"/>
      <c r="AM183" s="431"/>
      <c r="AN183" s="432"/>
      <c r="AQ183" s="436"/>
      <c r="AR183" s="436"/>
      <c r="AS183" s="436"/>
      <c r="AT183" s="436"/>
      <c r="AU183" s="436"/>
      <c r="AV183" s="436"/>
      <c r="AW183" s="396">
        <f t="shared" si="19"/>
        <v>0</v>
      </c>
      <c r="AX183" s="434">
        <f t="shared" si="24"/>
        <v>0</v>
      </c>
      <c r="BA183" s="437">
        <f t="shared" si="20"/>
        <v>0</v>
      </c>
      <c r="BB183" s="437">
        <f t="shared" si="21"/>
        <v>0</v>
      </c>
      <c r="BC183" s="437">
        <f t="shared" si="22"/>
        <v>0</v>
      </c>
      <c r="BD183" s="437">
        <f t="shared" si="23"/>
        <v>0</v>
      </c>
      <c r="BE183" s="437"/>
    </row>
    <row r="184" spans="1:57" ht="33" customHeight="1" thickBot="1">
      <c r="A184" s="358" t="s">
        <v>350</v>
      </c>
      <c r="B184" s="169" t="s">
        <v>683</v>
      </c>
      <c r="C184" s="360" t="s">
        <v>196</v>
      </c>
      <c r="D184" s="7">
        <v>103.87</v>
      </c>
      <c r="E184" s="353"/>
      <c r="F184" s="22">
        <f t="shared" si="17"/>
        <v>0</v>
      </c>
      <c r="G184" s="329"/>
      <c r="H184" s="330">
        <f t="shared" si="18"/>
        <v>0</v>
      </c>
      <c r="I184" s="430"/>
      <c r="J184" s="430"/>
      <c r="K184" s="431"/>
      <c r="L184" s="431"/>
      <c r="M184" s="431"/>
      <c r="N184" s="431"/>
      <c r="O184" s="431"/>
      <c r="P184" s="430"/>
      <c r="Q184" s="431"/>
      <c r="R184" s="431"/>
      <c r="S184" s="431"/>
      <c r="T184" s="431"/>
      <c r="U184" s="431"/>
      <c r="V184" s="431"/>
      <c r="W184" s="430"/>
      <c r="X184" s="431"/>
      <c r="Y184" s="431"/>
      <c r="Z184" s="431"/>
      <c r="AA184" s="431"/>
      <c r="AB184" s="431"/>
      <c r="AC184" s="431"/>
      <c r="AD184" s="430"/>
      <c r="AE184" s="431"/>
      <c r="AF184" s="431"/>
      <c r="AG184" s="431"/>
      <c r="AH184" s="431"/>
      <c r="AI184" s="431"/>
      <c r="AJ184" s="431"/>
      <c r="AK184" s="430"/>
      <c r="AL184" s="431"/>
      <c r="AM184" s="431"/>
      <c r="AN184" s="432"/>
      <c r="AQ184" s="436"/>
      <c r="AR184" s="436"/>
      <c r="AS184" s="436"/>
      <c r="AT184" s="436"/>
      <c r="AU184" s="436"/>
      <c r="AV184" s="436"/>
      <c r="AW184" s="396">
        <f t="shared" si="19"/>
        <v>0</v>
      </c>
      <c r="AX184" s="434">
        <f t="shared" si="24"/>
        <v>0</v>
      </c>
      <c r="BA184" s="437">
        <f t="shared" si="20"/>
        <v>0</v>
      </c>
      <c r="BB184" s="437">
        <f t="shared" si="21"/>
        <v>0</v>
      </c>
      <c r="BC184" s="437">
        <f t="shared" si="22"/>
        <v>0</v>
      </c>
      <c r="BD184" s="437">
        <f t="shared" si="23"/>
        <v>0</v>
      </c>
      <c r="BE184" s="437"/>
    </row>
    <row r="185" spans="1:57" ht="33" customHeight="1" thickBot="1">
      <c r="A185" s="358" t="s">
        <v>351</v>
      </c>
      <c r="B185" s="169" t="s">
        <v>684</v>
      </c>
      <c r="C185" s="360" t="s">
        <v>196</v>
      </c>
      <c r="D185" s="7">
        <v>110.06</v>
      </c>
      <c r="E185" s="353"/>
      <c r="F185" s="22">
        <f t="shared" si="17"/>
        <v>0</v>
      </c>
      <c r="G185" s="329"/>
      <c r="H185" s="330">
        <f t="shared" si="18"/>
        <v>0</v>
      </c>
      <c r="I185" s="430"/>
      <c r="J185" s="430"/>
      <c r="K185" s="431"/>
      <c r="L185" s="431"/>
      <c r="M185" s="431"/>
      <c r="N185" s="431"/>
      <c r="O185" s="431"/>
      <c r="P185" s="430"/>
      <c r="Q185" s="431"/>
      <c r="R185" s="431"/>
      <c r="S185" s="431"/>
      <c r="T185" s="431"/>
      <c r="U185" s="431"/>
      <c r="V185" s="431"/>
      <c r="W185" s="430"/>
      <c r="X185" s="431"/>
      <c r="Y185" s="431"/>
      <c r="Z185" s="431"/>
      <c r="AA185" s="431"/>
      <c r="AB185" s="431"/>
      <c r="AC185" s="431"/>
      <c r="AD185" s="430"/>
      <c r="AE185" s="431"/>
      <c r="AF185" s="431"/>
      <c r="AG185" s="431"/>
      <c r="AH185" s="431"/>
      <c r="AI185" s="431"/>
      <c r="AJ185" s="431"/>
      <c r="AK185" s="430"/>
      <c r="AL185" s="431"/>
      <c r="AM185" s="431"/>
      <c r="AN185" s="432"/>
      <c r="AQ185" s="436"/>
      <c r="AR185" s="436"/>
      <c r="AS185" s="436"/>
      <c r="AT185" s="436"/>
      <c r="AU185" s="436"/>
      <c r="AV185" s="436"/>
      <c r="AW185" s="396">
        <f t="shared" si="19"/>
        <v>0</v>
      </c>
      <c r="AX185" s="434">
        <f t="shared" si="24"/>
        <v>0</v>
      </c>
      <c r="BA185" s="437">
        <f t="shared" si="20"/>
        <v>0</v>
      </c>
      <c r="BB185" s="437">
        <f t="shared" si="21"/>
        <v>0</v>
      </c>
      <c r="BC185" s="437">
        <f t="shared" si="22"/>
        <v>0</v>
      </c>
      <c r="BD185" s="437">
        <f t="shared" si="23"/>
        <v>0</v>
      </c>
      <c r="BE185" s="437"/>
    </row>
    <row r="186" spans="1:57" ht="33" customHeight="1" thickBot="1">
      <c r="A186" s="358" t="s">
        <v>352</v>
      </c>
      <c r="B186" s="169" t="s">
        <v>353</v>
      </c>
      <c r="C186" s="360" t="s">
        <v>196</v>
      </c>
      <c r="D186" s="7">
        <v>359.42</v>
      </c>
      <c r="E186" s="353"/>
      <c r="F186" s="22">
        <f t="shared" si="17"/>
        <v>0</v>
      </c>
      <c r="G186" s="329"/>
      <c r="H186" s="330">
        <f t="shared" si="18"/>
        <v>0</v>
      </c>
      <c r="I186" s="430"/>
      <c r="J186" s="430"/>
      <c r="K186" s="431"/>
      <c r="L186" s="431"/>
      <c r="M186" s="431"/>
      <c r="N186" s="431"/>
      <c r="O186" s="431"/>
      <c r="P186" s="430"/>
      <c r="Q186" s="431"/>
      <c r="R186" s="431"/>
      <c r="S186" s="431"/>
      <c r="T186" s="431"/>
      <c r="U186" s="431"/>
      <c r="V186" s="431"/>
      <c r="W186" s="430"/>
      <c r="X186" s="431"/>
      <c r="Y186" s="431"/>
      <c r="Z186" s="431"/>
      <c r="AA186" s="431"/>
      <c r="AB186" s="431"/>
      <c r="AC186" s="431"/>
      <c r="AD186" s="430"/>
      <c r="AE186" s="431"/>
      <c r="AF186" s="431"/>
      <c r="AG186" s="431"/>
      <c r="AH186" s="431"/>
      <c r="AI186" s="431"/>
      <c r="AJ186" s="431"/>
      <c r="AK186" s="430"/>
      <c r="AL186" s="431"/>
      <c r="AM186" s="431"/>
      <c r="AN186" s="432"/>
      <c r="AQ186" s="436"/>
      <c r="AR186" s="436"/>
      <c r="AS186" s="436"/>
      <c r="AT186" s="436"/>
      <c r="AU186" s="436"/>
      <c r="AV186" s="436"/>
      <c r="AW186" s="396">
        <f t="shared" si="19"/>
        <v>0</v>
      </c>
      <c r="AX186" s="434">
        <f t="shared" si="24"/>
        <v>0</v>
      </c>
      <c r="BA186" s="437">
        <f t="shared" si="20"/>
        <v>0</v>
      </c>
      <c r="BB186" s="437">
        <f t="shared" si="21"/>
        <v>0</v>
      </c>
      <c r="BC186" s="437">
        <f t="shared" si="22"/>
        <v>0</v>
      </c>
      <c r="BD186" s="437">
        <f t="shared" si="23"/>
        <v>0</v>
      </c>
      <c r="BE186" s="437"/>
    </row>
    <row r="187" spans="1:57" ht="33" customHeight="1" thickBot="1">
      <c r="A187" s="358" t="s">
        <v>354</v>
      </c>
      <c r="B187" s="169" t="s">
        <v>355</v>
      </c>
      <c r="C187" s="360" t="s">
        <v>196</v>
      </c>
      <c r="D187" s="7">
        <v>232.23</v>
      </c>
      <c r="E187" s="353"/>
      <c r="F187" s="22">
        <f t="shared" si="17"/>
        <v>0</v>
      </c>
      <c r="G187" s="329"/>
      <c r="H187" s="330">
        <f t="shared" si="18"/>
        <v>0</v>
      </c>
      <c r="I187" s="430"/>
      <c r="J187" s="430"/>
      <c r="K187" s="431"/>
      <c r="L187" s="431"/>
      <c r="M187" s="431"/>
      <c r="N187" s="431"/>
      <c r="O187" s="431"/>
      <c r="P187" s="430"/>
      <c r="Q187" s="431"/>
      <c r="R187" s="431"/>
      <c r="S187" s="431"/>
      <c r="T187" s="431"/>
      <c r="U187" s="431"/>
      <c r="V187" s="431"/>
      <c r="W187" s="430"/>
      <c r="X187" s="431"/>
      <c r="Y187" s="431"/>
      <c r="Z187" s="431"/>
      <c r="AA187" s="431"/>
      <c r="AB187" s="431"/>
      <c r="AC187" s="431"/>
      <c r="AD187" s="430"/>
      <c r="AE187" s="431"/>
      <c r="AF187" s="431"/>
      <c r="AG187" s="431"/>
      <c r="AH187" s="431"/>
      <c r="AI187" s="431"/>
      <c r="AJ187" s="431"/>
      <c r="AK187" s="430"/>
      <c r="AL187" s="431"/>
      <c r="AM187" s="431"/>
      <c r="AN187" s="432"/>
      <c r="AQ187" s="436"/>
      <c r="AR187" s="436"/>
      <c r="AS187" s="436"/>
      <c r="AT187" s="436"/>
      <c r="AU187" s="436"/>
      <c r="AV187" s="436"/>
      <c r="AW187" s="396">
        <f t="shared" si="19"/>
        <v>0</v>
      </c>
      <c r="AX187" s="434">
        <f t="shared" si="24"/>
        <v>0</v>
      </c>
      <c r="BA187" s="437">
        <f t="shared" si="20"/>
        <v>0</v>
      </c>
      <c r="BB187" s="437">
        <f t="shared" si="21"/>
        <v>0</v>
      </c>
      <c r="BC187" s="437">
        <f t="shared" si="22"/>
        <v>0</v>
      </c>
      <c r="BD187" s="437">
        <f t="shared" si="23"/>
        <v>0</v>
      </c>
      <c r="BE187" s="437"/>
    </row>
    <row r="188" spans="1:57" ht="33" customHeight="1" thickBot="1">
      <c r="A188" s="358" t="s">
        <v>356</v>
      </c>
      <c r="B188" s="169" t="s">
        <v>357</v>
      </c>
      <c r="C188" s="360" t="s">
        <v>196</v>
      </c>
      <c r="D188" s="7">
        <v>331.86</v>
      </c>
      <c r="E188" s="353"/>
      <c r="F188" s="22">
        <f t="shared" si="17"/>
        <v>0</v>
      </c>
      <c r="G188" s="329"/>
      <c r="H188" s="330">
        <f t="shared" si="18"/>
        <v>0</v>
      </c>
      <c r="I188" s="430"/>
      <c r="J188" s="430"/>
      <c r="K188" s="431"/>
      <c r="L188" s="431"/>
      <c r="M188" s="431"/>
      <c r="N188" s="431"/>
      <c r="O188" s="431"/>
      <c r="P188" s="430"/>
      <c r="Q188" s="431"/>
      <c r="R188" s="431"/>
      <c r="S188" s="431"/>
      <c r="T188" s="431"/>
      <c r="U188" s="431"/>
      <c r="V188" s="431"/>
      <c r="W188" s="430"/>
      <c r="X188" s="431"/>
      <c r="Y188" s="431"/>
      <c r="Z188" s="431"/>
      <c r="AA188" s="431"/>
      <c r="AB188" s="431"/>
      <c r="AC188" s="431"/>
      <c r="AD188" s="430"/>
      <c r="AE188" s="431"/>
      <c r="AF188" s="431"/>
      <c r="AG188" s="431"/>
      <c r="AH188" s="431"/>
      <c r="AI188" s="431"/>
      <c r="AJ188" s="431"/>
      <c r="AK188" s="430"/>
      <c r="AL188" s="431"/>
      <c r="AM188" s="431"/>
      <c r="AN188" s="432"/>
      <c r="AQ188" s="436"/>
      <c r="AR188" s="436"/>
      <c r="AS188" s="436"/>
      <c r="AT188" s="436"/>
      <c r="AU188" s="436"/>
      <c r="AV188" s="436"/>
      <c r="AW188" s="396">
        <f t="shared" si="19"/>
        <v>0</v>
      </c>
      <c r="AX188" s="434">
        <f t="shared" si="24"/>
        <v>0</v>
      </c>
      <c r="BA188" s="437">
        <f t="shared" si="20"/>
        <v>0</v>
      </c>
      <c r="BB188" s="437">
        <f t="shared" si="21"/>
        <v>0</v>
      </c>
      <c r="BC188" s="437">
        <f t="shared" si="22"/>
        <v>0</v>
      </c>
      <c r="BD188" s="437">
        <f t="shared" si="23"/>
        <v>0</v>
      </c>
      <c r="BE188" s="437"/>
    </row>
    <row r="189" spans="1:57" ht="33" customHeight="1" thickBot="1">
      <c r="A189" s="358" t="s">
        <v>358</v>
      </c>
      <c r="B189" s="169" t="s">
        <v>359</v>
      </c>
      <c r="C189" s="360" t="s">
        <v>196</v>
      </c>
      <c r="D189" s="7">
        <v>276.55</v>
      </c>
      <c r="E189" s="353"/>
      <c r="F189" s="22">
        <f t="shared" si="17"/>
        <v>0</v>
      </c>
      <c r="G189" s="329"/>
      <c r="H189" s="330">
        <f t="shared" si="18"/>
        <v>0</v>
      </c>
      <c r="I189" s="430"/>
      <c r="J189" s="430"/>
      <c r="K189" s="431"/>
      <c r="L189" s="431"/>
      <c r="M189" s="431"/>
      <c r="N189" s="431"/>
      <c r="O189" s="431"/>
      <c r="P189" s="430"/>
      <c r="Q189" s="431"/>
      <c r="R189" s="431"/>
      <c r="S189" s="431"/>
      <c r="T189" s="431"/>
      <c r="U189" s="431"/>
      <c r="V189" s="431"/>
      <c r="W189" s="430"/>
      <c r="X189" s="431"/>
      <c r="Y189" s="431"/>
      <c r="Z189" s="431"/>
      <c r="AA189" s="431"/>
      <c r="AB189" s="431"/>
      <c r="AC189" s="431"/>
      <c r="AD189" s="430"/>
      <c r="AE189" s="431"/>
      <c r="AF189" s="431"/>
      <c r="AG189" s="431"/>
      <c r="AH189" s="431"/>
      <c r="AI189" s="431"/>
      <c r="AJ189" s="431"/>
      <c r="AK189" s="430"/>
      <c r="AL189" s="431"/>
      <c r="AM189" s="431"/>
      <c r="AN189" s="432"/>
      <c r="AQ189" s="436"/>
      <c r="AR189" s="436"/>
      <c r="AS189" s="436"/>
      <c r="AT189" s="436"/>
      <c r="AU189" s="436"/>
      <c r="AV189" s="436"/>
      <c r="AW189" s="396">
        <f t="shared" si="19"/>
        <v>0</v>
      </c>
      <c r="AX189" s="434">
        <f t="shared" si="24"/>
        <v>0</v>
      </c>
      <c r="BA189" s="437">
        <f t="shared" si="20"/>
        <v>0</v>
      </c>
      <c r="BB189" s="437">
        <f t="shared" si="21"/>
        <v>0</v>
      </c>
      <c r="BC189" s="437">
        <f t="shared" si="22"/>
        <v>0</v>
      </c>
      <c r="BD189" s="437">
        <f t="shared" si="23"/>
        <v>0</v>
      </c>
      <c r="BE189" s="437"/>
    </row>
    <row r="190" spans="1:57" ht="33" customHeight="1" thickBot="1">
      <c r="A190" s="358" t="s">
        <v>360</v>
      </c>
      <c r="B190" s="169" t="s">
        <v>361</v>
      </c>
      <c r="C190" s="360" t="s">
        <v>212</v>
      </c>
      <c r="D190" s="7">
        <v>3.2</v>
      </c>
      <c r="E190" s="353"/>
      <c r="F190" s="22">
        <f t="shared" si="17"/>
        <v>0</v>
      </c>
      <c r="G190" s="329"/>
      <c r="H190" s="330">
        <f t="shared" si="18"/>
        <v>0</v>
      </c>
      <c r="I190" s="430"/>
      <c r="J190" s="430"/>
      <c r="K190" s="431"/>
      <c r="L190" s="431"/>
      <c r="M190" s="431"/>
      <c r="N190" s="431"/>
      <c r="O190" s="431"/>
      <c r="P190" s="430"/>
      <c r="Q190" s="431"/>
      <c r="R190" s="431"/>
      <c r="S190" s="431"/>
      <c r="T190" s="431"/>
      <c r="U190" s="431"/>
      <c r="V190" s="431"/>
      <c r="W190" s="430"/>
      <c r="X190" s="431"/>
      <c r="Y190" s="431"/>
      <c r="Z190" s="431"/>
      <c r="AA190" s="431"/>
      <c r="AB190" s="431"/>
      <c r="AC190" s="431"/>
      <c r="AD190" s="430"/>
      <c r="AE190" s="431"/>
      <c r="AF190" s="431"/>
      <c r="AG190" s="431"/>
      <c r="AH190" s="431"/>
      <c r="AI190" s="431"/>
      <c r="AJ190" s="431"/>
      <c r="AK190" s="430"/>
      <c r="AL190" s="431"/>
      <c r="AM190" s="431"/>
      <c r="AN190" s="432"/>
      <c r="AQ190" s="436"/>
      <c r="AR190" s="436"/>
      <c r="AS190" s="436"/>
      <c r="AT190" s="436"/>
      <c r="AU190" s="436"/>
      <c r="AV190" s="436"/>
      <c r="AW190" s="396">
        <f t="shared" si="19"/>
        <v>0</v>
      </c>
      <c r="AX190" s="434">
        <f t="shared" si="24"/>
        <v>0</v>
      </c>
      <c r="BA190" s="437">
        <f t="shared" si="20"/>
        <v>0</v>
      </c>
      <c r="BB190" s="437">
        <f t="shared" si="21"/>
        <v>0</v>
      </c>
      <c r="BC190" s="437">
        <f t="shared" si="22"/>
        <v>0</v>
      </c>
      <c r="BD190" s="437">
        <f t="shared" si="23"/>
        <v>0</v>
      </c>
      <c r="BE190" s="437"/>
    </row>
    <row r="191" spans="1:57" ht="33" customHeight="1" thickBot="1">
      <c r="A191" s="358" t="s">
        <v>362</v>
      </c>
      <c r="B191" s="169" t="s">
        <v>363</v>
      </c>
      <c r="C191" s="360" t="s">
        <v>212</v>
      </c>
      <c r="D191" s="7">
        <v>5.5</v>
      </c>
      <c r="E191" s="353"/>
      <c r="F191" s="22">
        <f t="shared" si="17"/>
        <v>0</v>
      </c>
      <c r="G191" s="329"/>
      <c r="H191" s="330">
        <f t="shared" si="18"/>
        <v>0</v>
      </c>
      <c r="I191" s="430"/>
      <c r="J191" s="430"/>
      <c r="K191" s="431"/>
      <c r="L191" s="431"/>
      <c r="M191" s="431"/>
      <c r="N191" s="431"/>
      <c r="O191" s="431"/>
      <c r="P191" s="430"/>
      <c r="Q191" s="431"/>
      <c r="R191" s="431"/>
      <c r="S191" s="431"/>
      <c r="T191" s="431"/>
      <c r="U191" s="431"/>
      <c r="V191" s="431"/>
      <c r="W191" s="430"/>
      <c r="X191" s="431"/>
      <c r="Y191" s="431"/>
      <c r="Z191" s="431"/>
      <c r="AA191" s="431"/>
      <c r="AB191" s="431"/>
      <c r="AC191" s="431"/>
      <c r="AD191" s="430"/>
      <c r="AE191" s="431"/>
      <c r="AF191" s="431"/>
      <c r="AG191" s="431"/>
      <c r="AH191" s="431"/>
      <c r="AI191" s="431"/>
      <c r="AJ191" s="431"/>
      <c r="AK191" s="430"/>
      <c r="AL191" s="431"/>
      <c r="AM191" s="431"/>
      <c r="AN191" s="432"/>
      <c r="AQ191" s="436"/>
      <c r="AR191" s="436"/>
      <c r="AS191" s="436"/>
      <c r="AT191" s="436"/>
      <c r="AU191" s="436"/>
      <c r="AV191" s="436"/>
      <c r="AW191" s="396">
        <f t="shared" si="19"/>
        <v>0</v>
      </c>
      <c r="AX191" s="434">
        <f t="shared" si="24"/>
        <v>0</v>
      </c>
      <c r="BA191" s="437">
        <f t="shared" si="20"/>
        <v>0</v>
      </c>
      <c r="BB191" s="437">
        <f t="shared" si="21"/>
        <v>0</v>
      </c>
      <c r="BC191" s="437">
        <f t="shared" si="22"/>
        <v>0</v>
      </c>
      <c r="BD191" s="437">
        <f t="shared" si="23"/>
        <v>0</v>
      </c>
      <c r="BE191" s="437"/>
    </row>
    <row r="192" spans="1:57" ht="33" customHeight="1" thickBot="1">
      <c r="A192" s="358" t="s">
        <v>364</v>
      </c>
      <c r="B192" s="169" t="s">
        <v>365</v>
      </c>
      <c r="C192" s="360" t="s">
        <v>212</v>
      </c>
      <c r="D192" s="7">
        <v>9.73</v>
      </c>
      <c r="E192" s="353"/>
      <c r="F192" s="22">
        <f t="shared" si="17"/>
        <v>0</v>
      </c>
      <c r="G192" s="329"/>
      <c r="H192" s="330">
        <f t="shared" si="18"/>
        <v>0</v>
      </c>
      <c r="I192" s="430"/>
      <c r="J192" s="430"/>
      <c r="K192" s="431"/>
      <c r="L192" s="431"/>
      <c r="M192" s="431"/>
      <c r="N192" s="431"/>
      <c r="O192" s="431"/>
      <c r="P192" s="430"/>
      <c r="Q192" s="431"/>
      <c r="R192" s="431"/>
      <c r="S192" s="431"/>
      <c r="T192" s="431"/>
      <c r="U192" s="431"/>
      <c r="V192" s="431"/>
      <c r="W192" s="430"/>
      <c r="X192" s="431"/>
      <c r="Y192" s="431"/>
      <c r="Z192" s="431"/>
      <c r="AA192" s="431"/>
      <c r="AB192" s="431"/>
      <c r="AC192" s="431"/>
      <c r="AD192" s="430"/>
      <c r="AE192" s="431"/>
      <c r="AF192" s="431"/>
      <c r="AG192" s="431"/>
      <c r="AH192" s="431"/>
      <c r="AI192" s="431"/>
      <c r="AJ192" s="431"/>
      <c r="AK192" s="430"/>
      <c r="AL192" s="431"/>
      <c r="AM192" s="431"/>
      <c r="AN192" s="432"/>
      <c r="AQ192" s="436"/>
      <c r="AR192" s="436"/>
      <c r="AS192" s="436"/>
      <c r="AT192" s="436"/>
      <c r="AU192" s="436"/>
      <c r="AV192" s="436"/>
      <c r="AW192" s="396">
        <f t="shared" si="19"/>
        <v>0</v>
      </c>
      <c r="AX192" s="434">
        <f t="shared" si="24"/>
        <v>0</v>
      </c>
      <c r="BA192" s="437">
        <f t="shared" si="20"/>
        <v>0</v>
      </c>
      <c r="BB192" s="437">
        <f t="shared" si="21"/>
        <v>0</v>
      </c>
      <c r="BC192" s="437">
        <f t="shared" si="22"/>
        <v>0</v>
      </c>
      <c r="BD192" s="437">
        <f t="shared" si="23"/>
        <v>0</v>
      </c>
      <c r="BE192" s="437"/>
    </row>
    <row r="193" spans="1:57" ht="33" customHeight="1" thickBot="1">
      <c r="A193" s="358" t="s">
        <v>366</v>
      </c>
      <c r="B193" s="169" t="s">
        <v>367</v>
      </c>
      <c r="C193" s="360" t="s">
        <v>196</v>
      </c>
      <c r="D193" s="7">
        <v>83.56</v>
      </c>
      <c r="E193" s="353"/>
      <c r="F193" s="22">
        <f t="shared" si="17"/>
        <v>0</v>
      </c>
      <c r="G193" s="329"/>
      <c r="H193" s="330">
        <f t="shared" si="18"/>
        <v>0</v>
      </c>
      <c r="I193" s="430"/>
      <c r="J193" s="430"/>
      <c r="K193" s="431"/>
      <c r="L193" s="431"/>
      <c r="M193" s="431"/>
      <c r="N193" s="431"/>
      <c r="O193" s="431"/>
      <c r="P193" s="430"/>
      <c r="Q193" s="431"/>
      <c r="R193" s="431"/>
      <c r="S193" s="431"/>
      <c r="T193" s="431"/>
      <c r="U193" s="431"/>
      <c r="V193" s="431"/>
      <c r="W193" s="430"/>
      <c r="X193" s="431"/>
      <c r="Y193" s="431"/>
      <c r="Z193" s="431"/>
      <c r="AA193" s="431"/>
      <c r="AB193" s="431"/>
      <c r="AC193" s="431"/>
      <c r="AD193" s="430"/>
      <c r="AE193" s="431"/>
      <c r="AF193" s="431"/>
      <c r="AG193" s="431"/>
      <c r="AH193" s="431"/>
      <c r="AI193" s="431"/>
      <c r="AJ193" s="431"/>
      <c r="AK193" s="430"/>
      <c r="AL193" s="431"/>
      <c r="AM193" s="431"/>
      <c r="AN193" s="432"/>
      <c r="AQ193" s="436"/>
      <c r="AR193" s="436"/>
      <c r="AS193" s="436"/>
      <c r="AT193" s="436"/>
      <c r="AU193" s="436"/>
      <c r="AV193" s="436"/>
      <c r="AW193" s="396">
        <f t="shared" si="19"/>
        <v>0</v>
      </c>
      <c r="AX193" s="434">
        <f t="shared" si="24"/>
        <v>0</v>
      </c>
      <c r="BA193" s="437">
        <f t="shared" si="20"/>
        <v>0</v>
      </c>
      <c r="BB193" s="437">
        <f t="shared" si="21"/>
        <v>0</v>
      </c>
      <c r="BC193" s="437">
        <f t="shared" si="22"/>
        <v>0</v>
      </c>
      <c r="BD193" s="437">
        <f t="shared" si="23"/>
        <v>0</v>
      </c>
      <c r="BE193" s="437"/>
    </row>
    <row r="194" spans="1:57" ht="33" customHeight="1" thickBot="1">
      <c r="A194" s="358" t="s">
        <v>368</v>
      </c>
      <c r="B194" s="169" t="s">
        <v>369</v>
      </c>
      <c r="C194" s="360" t="s">
        <v>196</v>
      </c>
      <c r="D194" s="7">
        <v>105.67</v>
      </c>
      <c r="E194" s="353"/>
      <c r="F194" s="22">
        <f t="shared" si="17"/>
        <v>0</v>
      </c>
      <c r="G194" s="329"/>
      <c r="H194" s="330">
        <f t="shared" si="18"/>
        <v>0</v>
      </c>
      <c r="I194" s="430"/>
      <c r="J194" s="430"/>
      <c r="K194" s="431"/>
      <c r="L194" s="431"/>
      <c r="M194" s="431"/>
      <c r="N194" s="431"/>
      <c r="O194" s="431"/>
      <c r="P194" s="430"/>
      <c r="Q194" s="431"/>
      <c r="R194" s="431"/>
      <c r="S194" s="431"/>
      <c r="T194" s="431"/>
      <c r="U194" s="431"/>
      <c r="V194" s="431"/>
      <c r="W194" s="430"/>
      <c r="X194" s="431"/>
      <c r="Y194" s="431"/>
      <c r="Z194" s="431"/>
      <c r="AA194" s="431"/>
      <c r="AB194" s="431"/>
      <c r="AC194" s="431"/>
      <c r="AD194" s="430"/>
      <c r="AE194" s="431"/>
      <c r="AF194" s="431"/>
      <c r="AG194" s="431"/>
      <c r="AH194" s="431"/>
      <c r="AI194" s="431"/>
      <c r="AJ194" s="431"/>
      <c r="AK194" s="430"/>
      <c r="AL194" s="431"/>
      <c r="AM194" s="431"/>
      <c r="AN194" s="432"/>
      <c r="AQ194" s="436"/>
      <c r="AR194" s="436"/>
      <c r="AS194" s="436"/>
      <c r="AT194" s="436"/>
      <c r="AU194" s="436"/>
      <c r="AV194" s="436"/>
      <c r="AW194" s="396">
        <f t="shared" si="19"/>
        <v>0</v>
      </c>
      <c r="AX194" s="434">
        <f t="shared" si="24"/>
        <v>0</v>
      </c>
      <c r="BA194" s="437">
        <f t="shared" si="20"/>
        <v>0</v>
      </c>
      <c r="BB194" s="437">
        <f t="shared" si="21"/>
        <v>0</v>
      </c>
      <c r="BC194" s="437">
        <f t="shared" si="22"/>
        <v>0</v>
      </c>
      <c r="BD194" s="437">
        <f t="shared" si="23"/>
        <v>0</v>
      </c>
      <c r="BE194" s="437"/>
    </row>
    <row r="195" spans="1:57" ht="33" customHeight="1" thickBot="1">
      <c r="A195" s="358" t="s">
        <v>370</v>
      </c>
      <c r="B195" s="169" t="s">
        <v>371</v>
      </c>
      <c r="C195" s="360" t="s">
        <v>196</v>
      </c>
      <c r="D195" s="7">
        <v>397.68</v>
      </c>
      <c r="E195" s="353"/>
      <c r="F195" s="22">
        <f t="shared" si="17"/>
        <v>0</v>
      </c>
      <c r="G195" s="329"/>
      <c r="H195" s="330">
        <f t="shared" si="18"/>
        <v>0</v>
      </c>
      <c r="I195" s="430"/>
      <c r="J195" s="430"/>
      <c r="K195" s="431"/>
      <c r="L195" s="431"/>
      <c r="M195" s="431"/>
      <c r="N195" s="431"/>
      <c r="O195" s="431"/>
      <c r="P195" s="430"/>
      <c r="Q195" s="431"/>
      <c r="R195" s="431"/>
      <c r="S195" s="431"/>
      <c r="T195" s="431"/>
      <c r="U195" s="431"/>
      <c r="V195" s="431"/>
      <c r="W195" s="430"/>
      <c r="X195" s="431"/>
      <c r="Y195" s="431"/>
      <c r="Z195" s="431"/>
      <c r="AA195" s="431"/>
      <c r="AB195" s="431"/>
      <c r="AC195" s="431"/>
      <c r="AD195" s="430"/>
      <c r="AE195" s="431"/>
      <c r="AF195" s="431"/>
      <c r="AG195" s="431"/>
      <c r="AH195" s="431"/>
      <c r="AI195" s="431"/>
      <c r="AJ195" s="431"/>
      <c r="AK195" s="430"/>
      <c r="AL195" s="431"/>
      <c r="AM195" s="431"/>
      <c r="AN195" s="432"/>
      <c r="AQ195" s="436"/>
      <c r="AR195" s="436"/>
      <c r="AS195" s="436"/>
      <c r="AT195" s="436"/>
      <c r="AU195" s="436"/>
      <c r="AV195" s="436"/>
      <c r="AW195" s="396">
        <f t="shared" si="19"/>
        <v>0</v>
      </c>
      <c r="AX195" s="434">
        <f t="shared" si="24"/>
        <v>0</v>
      </c>
      <c r="BA195" s="437">
        <f t="shared" si="20"/>
        <v>0</v>
      </c>
      <c r="BB195" s="437">
        <f t="shared" si="21"/>
        <v>0</v>
      </c>
      <c r="BC195" s="437">
        <f t="shared" si="22"/>
        <v>0</v>
      </c>
      <c r="BD195" s="437">
        <f t="shared" si="23"/>
        <v>0</v>
      </c>
      <c r="BE195" s="437"/>
    </row>
    <row r="196" spans="1:57" ht="33" customHeight="1" thickBot="1">
      <c r="A196" s="358" t="s">
        <v>372</v>
      </c>
      <c r="B196" s="169" t="s">
        <v>373</v>
      </c>
      <c r="C196" s="360" t="s">
        <v>196</v>
      </c>
      <c r="D196" s="7">
        <v>290.14</v>
      </c>
      <c r="E196" s="353"/>
      <c r="F196" s="22">
        <f t="shared" si="17"/>
        <v>0</v>
      </c>
      <c r="G196" s="329"/>
      <c r="H196" s="330">
        <f t="shared" si="18"/>
        <v>0</v>
      </c>
      <c r="I196" s="430"/>
      <c r="J196" s="430"/>
      <c r="K196" s="431"/>
      <c r="L196" s="431"/>
      <c r="M196" s="431"/>
      <c r="N196" s="431"/>
      <c r="O196" s="431"/>
      <c r="P196" s="430"/>
      <c r="Q196" s="431"/>
      <c r="R196" s="431"/>
      <c r="S196" s="431"/>
      <c r="T196" s="431"/>
      <c r="U196" s="431"/>
      <c r="V196" s="431"/>
      <c r="W196" s="430"/>
      <c r="X196" s="431"/>
      <c r="Y196" s="431"/>
      <c r="Z196" s="431"/>
      <c r="AA196" s="431"/>
      <c r="AB196" s="431"/>
      <c r="AC196" s="431"/>
      <c r="AD196" s="430"/>
      <c r="AE196" s="431"/>
      <c r="AF196" s="431"/>
      <c r="AG196" s="431"/>
      <c r="AH196" s="431"/>
      <c r="AI196" s="431"/>
      <c r="AJ196" s="431"/>
      <c r="AK196" s="430"/>
      <c r="AL196" s="431"/>
      <c r="AM196" s="431"/>
      <c r="AN196" s="432"/>
      <c r="AQ196" s="436"/>
      <c r="AR196" s="436"/>
      <c r="AS196" s="436"/>
      <c r="AT196" s="436"/>
      <c r="AU196" s="436"/>
      <c r="AV196" s="436"/>
      <c r="AW196" s="396">
        <f t="shared" si="19"/>
        <v>0</v>
      </c>
      <c r="AX196" s="434">
        <f t="shared" si="24"/>
        <v>0</v>
      </c>
      <c r="BA196" s="437">
        <f t="shared" si="20"/>
        <v>0</v>
      </c>
      <c r="BB196" s="437">
        <f t="shared" si="21"/>
        <v>0</v>
      </c>
      <c r="BC196" s="437">
        <f t="shared" si="22"/>
        <v>0</v>
      </c>
      <c r="BD196" s="437">
        <f t="shared" si="23"/>
        <v>0</v>
      </c>
      <c r="BE196" s="437"/>
    </row>
    <row r="197" spans="1:57" ht="33" customHeight="1" thickBot="1">
      <c r="A197" s="358" t="s">
        <v>374</v>
      </c>
      <c r="B197" s="169" t="s">
        <v>375</v>
      </c>
      <c r="C197" s="360" t="s">
        <v>212</v>
      </c>
      <c r="D197" s="7">
        <v>13.13</v>
      </c>
      <c r="E197" s="353"/>
      <c r="F197" s="22">
        <f t="shared" si="17"/>
        <v>0</v>
      </c>
      <c r="G197" s="329"/>
      <c r="H197" s="330">
        <f t="shared" si="18"/>
        <v>0</v>
      </c>
      <c r="I197" s="430"/>
      <c r="J197" s="430"/>
      <c r="K197" s="431"/>
      <c r="L197" s="431"/>
      <c r="M197" s="431"/>
      <c r="N197" s="431"/>
      <c r="O197" s="431"/>
      <c r="P197" s="430"/>
      <c r="Q197" s="431"/>
      <c r="R197" s="431"/>
      <c r="S197" s="431"/>
      <c r="T197" s="431"/>
      <c r="U197" s="431"/>
      <c r="V197" s="431"/>
      <c r="W197" s="430"/>
      <c r="X197" s="431"/>
      <c r="Y197" s="431"/>
      <c r="Z197" s="431"/>
      <c r="AA197" s="431"/>
      <c r="AB197" s="431"/>
      <c r="AC197" s="431"/>
      <c r="AD197" s="430"/>
      <c r="AE197" s="431"/>
      <c r="AF197" s="431"/>
      <c r="AG197" s="431"/>
      <c r="AH197" s="431"/>
      <c r="AI197" s="431"/>
      <c r="AJ197" s="431"/>
      <c r="AK197" s="430"/>
      <c r="AL197" s="431"/>
      <c r="AM197" s="431"/>
      <c r="AN197" s="432"/>
      <c r="AQ197" s="436"/>
      <c r="AR197" s="436"/>
      <c r="AS197" s="436"/>
      <c r="AT197" s="436"/>
      <c r="AU197" s="436"/>
      <c r="AV197" s="436"/>
      <c r="AW197" s="396">
        <f t="shared" si="19"/>
        <v>0</v>
      </c>
      <c r="AX197" s="434">
        <f t="shared" si="24"/>
        <v>0</v>
      </c>
      <c r="BA197" s="437">
        <f t="shared" si="20"/>
        <v>0</v>
      </c>
      <c r="BB197" s="437">
        <f t="shared" si="21"/>
        <v>0</v>
      </c>
      <c r="BC197" s="437">
        <f t="shared" si="22"/>
        <v>0</v>
      </c>
      <c r="BD197" s="437">
        <f t="shared" si="23"/>
        <v>0</v>
      </c>
      <c r="BE197" s="437"/>
    </row>
    <row r="198" spans="1:57" ht="33" customHeight="1" thickBot="1">
      <c r="A198" s="361" t="s">
        <v>376</v>
      </c>
      <c r="B198" s="6" t="s">
        <v>377</v>
      </c>
      <c r="C198" s="373" t="s">
        <v>212</v>
      </c>
      <c r="D198" s="7">
        <v>1.84</v>
      </c>
      <c r="E198" s="353"/>
      <c r="F198" s="22">
        <f t="shared" si="17"/>
        <v>0</v>
      </c>
      <c r="G198" s="329"/>
      <c r="H198" s="330">
        <f t="shared" si="18"/>
        <v>0</v>
      </c>
      <c r="I198" s="430"/>
      <c r="J198" s="430"/>
      <c r="K198" s="431"/>
      <c r="L198" s="431"/>
      <c r="M198" s="431"/>
      <c r="N198" s="431"/>
      <c r="O198" s="431"/>
      <c r="P198" s="430"/>
      <c r="Q198" s="431"/>
      <c r="R198" s="431"/>
      <c r="S198" s="431"/>
      <c r="T198" s="431"/>
      <c r="U198" s="431"/>
      <c r="V198" s="431"/>
      <c r="W198" s="430"/>
      <c r="X198" s="431"/>
      <c r="Y198" s="431"/>
      <c r="Z198" s="431"/>
      <c r="AA198" s="431"/>
      <c r="AB198" s="431"/>
      <c r="AC198" s="431"/>
      <c r="AD198" s="430"/>
      <c r="AE198" s="431"/>
      <c r="AF198" s="431"/>
      <c r="AG198" s="431"/>
      <c r="AH198" s="431"/>
      <c r="AI198" s="431"/>
      <c r="AJ198" s="431"/>
      <c r="AK198" s="430"/>
      <c r="AL198" s="431"/>
      <c r="AM198" s="431"/>
      <c r="AN198" s="432"/>
      <c r="AQ198" s="436"/>
      <c r="AR198" s="436"/>
      <c r="AS198" s="436"/>
      <c r="AT198" s="436"/>
      <c r="AU198" s="436"/>
      <c r="AV198" s="436"/>
      <c r="AW198" s="396">
        <f t="shared" si="19"/>
        <v>0</v>
      </c>
      <c r="AX198" s="434">
        <f t="shared" si="24"/>
        <v>0</v>
      </c>
      <c r="BA198" s="437">
        <f t="shared" si="20"/>
        <v>0</v>
      </c>
      <c r="BB198" s="437">
        <f t="shared" si="21"/>
        <v>0</v>
      </c>
      <c r="BC198" s="437">
        <f t="shared" si="22"/>
        <v>0</v>
      </c>
      <c r="BD198" s="437">
        <f t="shared" si="23"/>
        <v>0</v>
      </c>
      <c r="BE198" s="437"/>
    </row>
    <row r="199" spans="1:57" ht="33" customHeight="1" thickBot="1">
      <c r="A199" s="358" t="s">
        <v>378</v>
      </c>
      <c r="B199" s="169" t="s">
        <v>379</v>
      </c>
      <c r="C199" s="370" t="s">
        <v>212</v>
      </c>
      <c r="D199" s="7">
        <v>22.12</v>
      </c>
      <c r="E199" s="353"/>
      <c r="F199" s="22">
        <f t="shared" si="17"/>
        <v>0</v>
      </c>
      <c r="G199" s="329"/>
      <c r="H199" s="330">
        <f t="shared" si="18"/>
        <v>0</v>
      </c>
      <c r="I199" s="430"/>
      <c r="J199" s="430"/>
      <c r="K199" s="431"/>
      <c r="L199" s="431"/>
      <c r="M199" s="431"/>
      <c r="N199" s="431"/>
      <c r="O199" s="431"/>
      <c r="P199" s="430"/>
      <c r="Q199" s="431"/>
      <c r="R199" s="431"/>
      <c r="S199" s="431"/>
      <c r="T199" s="431"/>
      <c r="U199" s="431"/>
      <c r="V199" s="431"/>
      <c r="W199" s="430"/>
      <c r="X199" s="431"/>
      <c r="Y199" s="431"/>
      <c r="Z199" s="431"/>
      <c r="AA199" s="431"/>
      <c r="AB199" s="431"/>
      <c r="AC199" s="431"/>
      <c r="AD199" s="430"/>
      <c r="AE199" s="431"/>
      <c r="AF199" s="431"/>
      <c r="AG199" s="431"/>
      <c r="AH199" s="431"/>
      <c r="AI199" s="431"/>
      <c r="AJ199" s="431"/>
      <c r="AK199" s="430"/>
      <c r="AL199" s="431"/>
      <c r="AM199" s="431"/>
      <c r="AN199" s="432"/>
      <c r="AQ199" s="436"/>
      <c r="AR199" s="436"/>
      <c r="AS199" s="436"/>
      <c r="AT199" s="436"/>
      <c r="AU199" s="436"/>
      <c r="AV199" s="436"/>
      <c r="AW199" s="396">
        <f t="shared" si="19"/>
        <v>0</v>
      </c>
      <c r="AX199" s="434">
        <f t="shared" si="24"/>
        <v>0</v>
      </c>
      <c r="BA199" s="437">
        <f t="shared" si="20"/>
        <v>0</v>
      </c>
      <c r="BB199" s="437">
        <f t="shared" si="21"/>
        <v>0</v>
      </c>
      <c r="BC199" s="437">
        <f t="shared" si="22"/>
        <v>0</v>
      </c>
      <c r="BD199" s="437">
        <f t="shared" si="23"/>
        <v>0</v>
      </c>
      <c r="BE199" s="437"/>
    </row>
    <row r="200" spans="1:57" ht="33" customHeight="1" thickBot="1">
      <c r="A200" s="358" t="s">
        <v>380</v>
      </c>
      <c r="B200" s="169" t="s">
        <v>381</v>
      </c>
      <c r="C200" s="360" t="s">
        <v>196</v>
      </c>
      <c r="D200" s="7">
        <v>255.34</v>
      </c>
      <c r="E200" s="353"/>
      <c r="F200" s="22">
        <f t="shared" si="17"/>
        <v>0</v>
      </c>
      <c r="G200" s="329"/>
      <c r="H200" s="330">
        <f t="shared" si="18"/>
        <v>0</v>
      </c>
      <c r="I200" s="430"/>
      <c r="J200" s="430"/>
      <c r="K200" s="431"/>
      <c r="L200" s="431"/>
      <c r="M200" s="431"/>
      <c r="N200" s="431"/>
      <c r="O200" s="431"/>
      <c r="P200" s="430"/>
      <c r="Q200" s="431"/>
      <c r="R200" s="431"/>
      <c r="S200" s="431"/>
      <c r="T200" s="431"/>
      <c r="U200" s="431"/>
      <c r="V200" s="431"/>
      <c r="W200" s="430"/>
      <c r="X200" s="431"/>
      <c r="Y200" s="431"/>
      <c r="Z200" s="431"/>
      <c r="AA200" s="431"/>
      <c r="AB200" s="431"/>
      <c r="AC200" s="431"/>
      <c r="AD200" s="430"/>
      <c r="AE200" s="431"/>
      <c r="AF200" s="431"/>
      <c r="AG200" s="431"/>
      <c r="AH200" s="431"/>
      <c r="AI200" s="431"/>
      <c r="AJ200" s="431"/>
      <c r="AK200" s="430"/>
      <c r="AL200" s="431"/>
      <c r="AM200" s="431"/>
      <c r="AN200" s="432"/>
      <c r="AQ200" s="436"/>
      <c r="AR200" s="436"/>
      <c r="AS200" s="436"/>
      <c r="AT200" s="436"/>
      <c r="AU200" s="436"/>
      <c r="AV200" s="436"/>
      <c r="AW200" s="396">
        <f t="shared" si="19"/>
        <v>0</v>
      </c>
      <c r="AX200" s="434">
        <f t="shared" si="24"/>
        <v>0</v>
      </c>
      <c r="BA200" s="437">
        <f t="shared" si="20"/>
        <v>0</v>
      </c>
      <c r="BB200" s="437">
        <f t="shared" si="21"/>
        <v>0</v>
      </c>
      <c r="BC200" s="437">
        <f t="shared" si="22"/>
        <v>0</v>
      </c>
      <c r="BD200" s="437">
        <f t="shared" si="23"/>
        <v>0</v>
      </c>
      <c r="BE200" s="437"/>
    </row>
    <row r="201" spans="1:57" ht="33" customHeight="1" thickBot="1">
      <c r="A201" s="358" t="s">
        <v>382</v>
      </c>
      <c r="B201" s="169" t="s">
        <v>685</v>
      </c>
      <c r="C201" s="360" t="s">
        <v>196</v>
      </c>
      <c r="D201" s="7">
        <v>44592.2</v>
      </c>
      <c r="E201" s="353"/>
      <c r="F201" s="22">
        <f t="shared" si="17"/>
        <v>0</v>
      </c>
      <c r="G201" s="329"/>
      <c r="H201" s="330">
        <f t="shared" si="18"/>
        <v>0</v>
      </c>
      <c r="I201" s="430"/>
      <c r="J201" s="430"/>
      <c r="K201" s="431"/>
      <c r="L201" s="431"/>
      <c r="M201" s="431"/>
      <c r="N201" s="431"/>
      <c r="O201" s="431"/>
      <c r="P201" s="430"/>
      <c r="Q201" s="431"/>
      <c r="R201" s="431"/>
      <c r="S201" s="431"/>
      <c r="T201" s="431"/>
      <c r="U201" s="431"/>
      <c r="V201" s="431"/>
      <c r="W201" s="430"/>
      <c r="X201" s="431"/>
      <c r="Y201" s="431"/>
      <c r="Z201" s="431"/>
      <c r="AA201" s="431"/>
      <c r="AB201" s="431"/>
      <c r="AC201" s="431"/>
      <c r="AD201" s="430"/>
      <c r="AE201" s="431"/>
      <c r="AF201" s="431"/>
      <c r="AG201" s="431"/>
      <c r="AH201" s="431"/>
      <c r="AI201" s="431"/>
      <c r="AJ201" s="431"/>
      <c r="AK201" s="430"/>
      <c r="AL201" s="431"/>
      <c r="AM201" s="431"/>
      <c r="AN201" s="432"/>
      <c r="AQ201" s="436"/>
      <c r="AR201" s="436"/>
      <c r="AS201" s="436"/>
      <c r="AT201" s="436"/>
      <c r="AU201" s="436"/>
      <c r="AV201" s="436"/>
      <c r="AW201" s="396">
        <f t="shared" si="19"/>
        <v>0</v>
      </c>
      <c r="AX201" s="434">
        <f t="shared" si="24"/>
        <v>0</v>
      </c>
      <c r="BA201" s="437">
        <f t="shared" si="20"/>
        <v>0</v>
      </c>
      <c r="BB201" s="437">
        <f t="shared" si="21"/>
        <v>0</v>
      </c>
      <c r="BC201" s="437">
        <f t="shared" si="22"/>
        <v>0</v>
      </c>
      <c r="BD201" s="437">
        <f t="shared" si="23"/>
        <v>0</v>
      </c>
      <c r="BE201" s="437"/>
    </row>
    <row r="202" spans="1:57" ht="33" customHeight="1" thickBot="1">
      <c r="A202" s="358" t="s">
        <v>383</v>
      </c>
      <c r="B202" s="169" t="s">
        <v>384</v>
      </c>
      <c r="C202" s="360" t="s">
        <v>196</v>
      </c>
      <c r="D202" s="7">
        <v>16276.41</v>
      </c>
      <c r="E202" s="353"/>
      <c r="F202" s="22">
        <f t="shared" si="17"/>
        <v>0</v>
      </c>
      <c r="G202" s="329"/>
      <c r="H202" s="330">
        <f t="shared" si="18"/>
        <v>0</v>
      </c>
      <c r="I202" s="430"/>
      <c r="J202" s="430"/>
      <c r="K202" s="431"/>
      <c r="L202" s="431"/>
      <c r="M202" s="431"/>
      <c r="N202" s="431"/>
      <c r="O202" s="431"/>
      <c r="P202" s="430"/>
      <c r="Q202" s="431"/>
      <c r="R202" s="431"/>
      <c r="S202" s="431"/>
      <c r="T202" s="431"/>
      <c r="U202" s="431"/>
      <c r="V202" s="431"/>
      <c r="W202" s="430"/>
      <c r="X202" s="431"/>
      <c r="Y202" s="431"/>
      <c r="Z202" s="431"/>
      <c r="AA202" s="431"/>
      <c r="AB202" s="431"/>
      <c r="AC202" s="431"/>
      <c r="AD202" s="430"/>
      <c r="AE202" s="431"/>
      <c r="AF202" s="431"/>
      <c r="AG202" s="431"/>
      <c r="AH202" s="431"/>
      <c r="AI202" s="431"/>
      <c r="AJ202" s="431"/>
      <c r="AK202" s="430"/>
      <c r="AL202" s="431"/>
      <c r="AM202" s="431"/>
      <c r="AN202" s="432"/>
      <c r="AQ202" s="436"/>
      <c r="AR202" s="436"/>
      <c r="AS202" s="436"/>
      <c r="AT202" s="436"/>
      <c r="AU202" s="436"/>
      <c r="AV202" s="436"/>
      <c r="AW202" s="396">
        <f t="shared" si="19"/>
        <v>0</v>
      </c>
      <c r="AX202" s="434">
        <f t="shared" si="24"/>
        <v>0</v>
      </c>
      <c r="BA202" s="437">
        <f t="shared" si="20"/>
        <v>0</v>
      </c>
      <c r="BB202" s="437">
        <f t="shared" si="21"/>
        <v>0</v>
      </c>
      <c r="BC202" s="437">
        <f t="shared" si="22"/>
        <v>0</v>
      </c>
      <c r="BD202" s="437">
        <f t="shared" si="23"/>
        <v>0</v>
      </c>
      <c r="BE202" s="437"/>
    </row>
    <row r="203" spans="1:57" ht="33" customHeight="1" thickBot="1">
      <c r="A203" s="358" t="s">
        <v>385</v>
      </c>
      <c r="B203" s="169" t="s">
        <v>386</v>
      </c>
      <c r="C203" s="360" t="s">
        <v>212</v>
      </c>
      <c r="D203" s="7">
        <v>23.01</v>
      </c>
      <c r="E203" s="353"/>
      <c r="F203" s="22">
        <f t="shared" ref="F203:F266" si="25">E203*D203</f>
        <v>0</v>
      </c>
      <c r="G203" s="329"/>
      <c r="H203" s="330">
        <f t="shared" ref="H203:H266" si="26">G203*D203</f>
        <v>0</v>
      </c>
      <c r="I203" s="430"/>
      <c r="J203" s="430"/>
      <c r="K203" s="431"/>
      <c r="L203" s="431"/>
      <c r="M203" s="431"/>
      <c r="N203" s="431"/>
      <c r="O203" s="431"/>
      <c r="P203" s="430"/>
      <c r="Q203" s="431"/>
      <c r="R203" s="431"/>
      <c r="S203" s="431"/>
      <c r="T203" s="431"/>
      <c r="U203" s="431"/>
      <c r="V203" s="431"/>
      <c r="W203" s="430"/>
      <c r="X203" s="431"/>
      <c r="Y203" s="431"/>
      <c r="Z203" s="431"/>
      <c r="AA203" s="431"/>
      <c r="AB203" s="431"/>
      <c r="AC203" s="431"/>
      <c r="AD203" s="430"/>
      <c r="AE203" s="431"/>
      <c r="AF203" s="431"/>
      <c r="AG203" s="431"/>
      <c r="AH203" s="431"/>
      <c r="AI203" s="431"/>
      <c r="AJ203" s="431"/>
      <c r="AK203" s="430"/>
      <c r="AL203" s="431"/>
      <c r="AM203" s="431"/>
      <c r="AN203" s="432"/>
      <c r="AQ203" s="436"/>
      <c r="AR203" s="436"/>
      <c r="AS203" s="436"/>
      <c r="AT203" s="436"/>
      <c r="AU203" s="436"/>
      <c r="AV203" s="436"/>
      <c r="AW203" s="396">
        <f t="shared" ref="AW203:AW266" si="27">AR203+AT203+AV203</f>
        <v>0</v>
      </c>
      <c r="AX203" s="434">
        <f t="shared" si="24"/>
        <v>0</v>
      </c>
      <c r="BA203" s="437">
        <f t="shared" si="20"/>
        <v>0</v>
      </c>
      <c r="BB203" s="437">
        <f t="shared" si="21"/>
        <v>0</v>
      </c>
      <c r="BC203" s="437">
        <f t="shared" si="22"/>
        <v>0</v>
      </c>
      <c r="BD203" s="437">
        <f t="shared" si="23"/>
        <v>0</v>
      </c>
      <c r="BE203" s="437"/>
    </row>
    <row r="204" spans="1:57" ht="33" customHeight="1" thickBot="1">
      <c r="A204" s="358" t="s">
        <v>387</v>
      </c>
      <c r="B204" s="169" t="s">
        <v>388</v>
      </c>
      <c r="C204" s="360" t="s">
        <v>212</v>
      </c>
      <c r="D204" s="7">
        <v>20.059999999999999</v>
      </c>
      <c r="E204" s="353"/>
      <c r="F204" s="22">
        <f t="shared" si="25"/>
        <v>0</v>
      </c>
      <c r="G204" s="329"/>
      <c r="H204" s="330">
        <f t="shared" si="26"/>
        <v>0</v>
      </c>
      <c r="I204" s="430"/>
      <c r="J204" s="430"/>
      <c r="K204" s="431"/>
      <c r="L204" s="431"/>
      <c r="M204" s="431"/>
      <c r="N204" s="431"/>
      <c r="O204" s="431"/>
      <c r="P204" s="430"/>
      <c r="Q204" s="431"/>
      <c r="R204" s="431"/>
      <c r="S204" s="431"/>
      <c r="T204" s="431"/>
      <c r="U204" s="431"/>
      <c r="V204" s="431"/>
      <c r="W204" s="430"/>
      <c r="X204" s="431"/>
      <c r="Y204" s="431"/>
      <c r="Z204" s="431"/>
      <c r="AA204" s="431"/>
      <c r="AB204" s="431"/>
      <c r="AC204" s="431"/>
      <c r="AD204" s="430"/>
      <c r="AE204" s="431"/>
      <c r="AF204" s="431"/>
      <c r="AG204" s="431"/>
      <c r="AH204" s="431"/>
      <c r="AI204" s="431"/>
      <c r="AJ204" s="431"/>
      <c r="AK204" s="430"/>
      <c r="AL204" s="431"/>
      <c r="AM204" s="431"/>
      <c r="AN204" s="432"/>
      <c r="AQ204" s="436"/>
      <c r="AR204" s="436"/>
      <c r="AS204" s="436"/>
      <c r="AT204" s="436"/>
      <c r="AU204" s="436"/>
      <c r="AV204" s="436"/>
      <c r="AW204" s="396">
        <f t="shared" si="27"/>
        <v>0</v>
      </c>
      <c r="AX204" s="434">
        <f t="shared" si="24"/>
        <v>0</v>
      </c>
      <c r="BA204" s="437">
        <f t="shared" ref="BA204:BA267" si="28">SUM(I204:O204)</f>
        <v>0</v>
      </c>
      <c r="BB204" s="437">
        <f t="shared" ref="BB204:BB267" si="29">SUM(Q204:V204)</f>
        <v>0</v>
      </c>
      <c r="BC204" s="437">
        <f t="shared" ref="BC204:BC267" si="30">SUM(X204:AD204)</f>
        <v>0</v>
      </c>
      <c r="BD204" s="437">
        <f t="shared" ref="BD204:BD267" si="31">SUM(AE204:AJ204)</f>
        <v>0</v>
      </c>
      <c r="BE204" s="437"/>
    </row>
    <row r="205" spans="1:57" ht="33" customHeight="1" thickBot="1">
      <c r="A205" s="358" t="s">
        <v>389</v>
      </c>
      <c r="B205" s="169" t="s">
        <v>390</v>
      </c>
      <c r="C205" s="360" t="s">
        <v>212</v>
      </c>
      <c r="D205" s="7">
        <v>17.34</v>
      </c>
      <c r="E205" s="353"/>
      <c r="F205" s="22">
        <f t="shared" si="25"/>
        <v>0</v>
      </c>
      <c r="G205" s="329"/>
      <c r="H205" s="330">
        <f t="shared" si="26"/>
        <v>0</v>
      </c>
      <c r="I205" s="430"/>
      <c r="J205" s="430"/>
      <c r="K205" s="431"/>
      <c r="L205" s="431"/>
      <c r="M205" s="431"/>
      <c r="N205" s="431"/>
      <c r="O205" s="431"/>
      <c r="P205" s="430"/>
      <c r="Q205" s="431"/>
      <c r="R205" s="431"/>
      <c r="S205" s="431"/>
      <c r="T205" s="431"/>
      <c r="U205" s="431"/>
      <c r="V205" s="431"/>
      <c r="W205" s="430"/>
      <c r="X205" s="431"/>
      <c r="Y205" s="431"/>
      <c r="Z205" s="431"/>
      <c r="AA205" s="431"/>
      <c r="AB205" s="431"/>
      <c r="AC205" s="431"/>
      <c r="AD205" s="430"/>
      <c r="AE205" s="431"/>
      <c r="AF205" s="431"/>
      <c r="AG205" s="431"/>
      <c r="AH205" s="431"/>
      <c r="AI205" s="431"/>
      <c r="AJ205" s="431"/>
      <c r="AK205" s="430"/>
      <c r="AL205" s="431"/>
      <c r="AM205" s="431"/>
      <c r="AN205" s="432"/>
      <c r="AQ205" s="436"/>
      <c r="AR205" s="436"/>
      <c r="AS205" s="436"/>
      <c r="AT205" s="436"/>
      <c r="AU205" s="436"/>
      <c r="AV205" s="436"/>
      <c r="AW205" s="396">
        <f t="shared" si="27"/>
        <v>0</v>
      </c>
      <c r="AX205" s="434">
        <f t="shared" si="24"/>
        <v>0</v>
      </c>
      <c r="BA205" s="437">
        <f t="shared" si="28"/>
        <v>0</v>
      </c>
      <c r="BB205" s="437">
        <f t="shared" si="29"/>
        <v>0</v>
      </c>
      <c r="BC205" s="437">
        <f t="shared" si="30"/>
        <v>0</v>
      </c>
      <c r="BD205" s="437">
        <f t="shared" si="31"/>
        <v>0</v>
      </c>
      <c r="BE205" s="437"/>
    </row>
    <row r="206" spans="1:57" ht="33" customHeight="1" thickBot="1">
      <c r="A206" s="358" t="s">
        <v>391</v>
      </c>
      <c r="B206" s="169" t="s">
        <v>392</v>
      </c>
      <c r="C206" s="360" t="s">
        <v>212</v>
      </c>
      <c r="D206" s="7">
        <v>55.65</v>
      </c>
      <c r="E206" s="353"/>
      <c r="F206" s="22">
        <f t="shared" si="25"/>
        <v>0</v>
      </c>
      <c r="G206" s="329"/>
      <c r="H206" s="330">
        <f t="shared" si="26"/>
        <v>0</v>
      </c>
      <c r="I206" s="430"/>
      <c r="J206" s="430"/>
      <c r="K206" s="431"/>
      <c r="L206" s="431"/>
      <c r="M206" s="431"/>
      <c r="N206" s="431"/>
      <c r="O206" s="431"/>
      <c r="P206" s="430"/>
      <c r="Q206" s="431"/>
      <c r="R206" s="431"/>
      <c r="S206" s="431"/>
      <c r="T206" s="431"/>
      <c r="U206" s="431"/>
      <c r="V206" s="431"/>
      <c r="W206" s="430"/>
      <c r="X206" s="431"/>
      <c r="Y206" s="431"/>
      <c r="Z206" s="431"/>
      <c r="AA206" s="431"/>
      <c r="AB206" s="431"/>
      <c r="AC206" s="431"/>
      <c r="AD206" s="430"/>
      <c r="AE206" s="431"/>
      <c r="AF206" s="431"/>
      <c r="AG206" s="431"/>
      <c r="AH206" s="431"/>
      <c r="AI206" s="431"/>
      <c r="AJ206" s="431"/>
      <c r="AK206" s="430"/>
      <c r="AL206" s="431"/>
      <c r="AM206" s="431"/>
      <c r="AN206" s="432"/>
      <c r="AQ206" s="436"/>
      <c r="AR206" s="436"/>
      <c r="AS206" s="436"/>
      <c r="AT206" s="436"/>
      <c r="AU206" s="436"/>
      <c r="AV206" s="436"/>
      <c r="AW206" s="396">
        <f t="shared" si="27"/>
        <v>0</v>
      </c>
      <c r="AX206" s="434">
        <f t="shared" si="24"/>
        <v>0</v>
      </c>
      <c r="BA206" s="437">
        <f t="shared" si="28"/>
        <v>0</v>
      </c>
      <c r="BB206" s="437">
        <f t="shared" si="29"/>
        <v>0</v>
      </c>
      <c r="BC206" s="437">
        <f t="shared" si="30"/>
        <v>0</v>
      </c>
      <c r="BD206" s="437">
        <f t="shared" si="31"/>
        <v>0</v>
      </c>
      <c r="BE206" s="437"/>
    </row>
    <row r="207" spans="1:57" ht="33" customHeight="1" thickBot="1">
      <c r="A207" s="358" t="s">
        <v>393</v>
      </c>
      <c r="B207" s="169" t="s">
        <v>394</v>
      </c>
      <c r="C207" s="360" t="s">
        <v>212</v>
      </c>
      <c r="D207" s="7">
        <v>55.65</v>
      </c>
      <c r="E207" s="353"/>
      <c r="F207" s="22">
        <f t="shared" si="25"/>
        <v>0</v>
      </c>
      <c r="G207" s="329"/>
      <c r="H207" s="330">
        <f t="shared" si="26"/>
        <v>0</v>
      </c>
      <c r="I207" s="430"/>
      <c r="J207" s="430"/>
      <c r="K207" s="431"/>
      <c r="L207" s="431"/>
      <c r="M207" s="431"/>
      <c r="N207" s="431"/>
      <c r="O207" s="431"/>
      <c r="P207" s="430"/>
      <c r="Q207" s="431"/>
      <c r="R207" s="431"/>
      <c r="S207" s="431"/>
      <c r="T207" s="431"/>
      <c r="U207" s="431"/>
      <c r="V207" s="431"/>
      <c r="W207" s="430"/>
      <c r="X207" s="431"/>
      <c r="Y207" s="431"/>
      <c r="Z207" s="431"/>
      <c r="AA207" s="431"/>
      <c r="AB207" s="431"/>
      <c r="AC207" s="431"/>
      <c r="AD207" s="430"/>
      <c r="AE207" s="431"/>
      <c r="AF207" s="431"/>
      <c r="AG207" s="431"/>
      <c r="AH207" s="431"/>
      <c r="AI207" s="431"/>
      <c r="AJ207" s="431"/>
      <c r="AK207" s="430"/>
      <c r="AL207" s="431"/>
      <c r="AM207" s="431"/>
      <c r="AN207" s="432"/>
      <c r="AQ207" s="436"/>
      <c r="AR207" s="436"/>
      <c r="AS207" s="436"/>
      <c r="AT207" s="436"/>
      <c r="AU207" s="436"/>
      <c r="AV207" s="436"/>
      <c r="AW207" s="396">
        <f t="shared" si="27"/>
        <v>0</v>
      </c>
      <c r="AX207" s="434">
        <f t="shared" si="24"/>
        <v>0</v>
      </c>
      <c r="BA207" s="437">
        <f t="shared" si="28"/>
        <v>0</v>
      </c>
      <c r="BB207" s="437">
        <f t="shared" si="29"/>
        <v>0</v>
      </c>
      <c r="BC207" s="437">
        <f t="shared" si="30"/>
        <v>0</v>
      </c>
      <c r="BD207" s="437">
        <f t="shared" si="31"/>
        <v>0</v>
      </c>
      <c r="BE207" s="437"/>
    </row>
    <row r="208" spans="1:57" ht="33" customHeight="1" thickBot="1">
      <c r="A208" s="358" t="s">
        <v>395</v>
      </c>
      <c r="B208" s="374" t="s">
        <v>396</v>
      </c>
      <c r="C208" s="360" t="s">
        <v>212</v>
      </c>
      <c r="D208" s="7">
        <v>22.26</v>
      </c>
      <c r="E208" s="353"/>
      <c r="F208" s="22">
        <f t="shared" si="25"/>
        <v>0</v>
      </c>
      <c r="G208" s="329"/>
      <c r="H208" s="330">
        <f t="shared" si="26"/>
        <v>0</v>
      </c>
      <c r="I208" s="430"/>
      <c r="J208" s="430"/>
      <c r="K208" s="431"/>
      <c r="L208" s="431"/>
      <c r="M208" s="431"/>
      <c r="N208" s="431"/>
      <c r="O208" s="431"/>
      <c r="P208" s="430"/>
      <c r="Q208" s="431"/>
      <c r="R208" s="431"/>
      <c r="S208" s="431"/>
      <c r="T208" s="431"/>
      <c r="U208" s="431"/>
      <c r="V208" s="431"/>
      <c r="W208" s="430"/>
      <c r="X208" s="431"/>
      <c r="Y208" s="431"/>
      <c r="Z208" s="431"/>
      <c r="AA208" s="431"/>
      <c r="AB208" s="431"/>
      <c r="AC208" s="431"/>
      <c r="AD208" s="430"/>
      <c r="AE208" s="431"/>
      <c r="AF208" s="431"/>
      <c r="AG208" s="431"/>
      <c r="AH208" s="431"/>
      <c r="AI208" s="431"/>
      <c r="AJ208" s="431"/>
      <c r="AK208" s="430"/>
      <c r="AL208" s="431"/>
      <c r="AM208" s="431"/>
      <c r="AN208" s="432"/>
      <c r="AQ208" s="436"/>
      <c r="AR208" s="436"/>
      <c r="AS208" s="436"/>
      <c r="AT208" s="436"/>
      <c r="AU208" s="436"/>
      <c r="AV208" s="436"/>
      <c r="AW208" s="396">
        <f t="shared" si="27"/>
        <v>0</v>
      </c>
      <c r="AX208" s="434">
        <f t="shared" si="24"/>
        <v>0</v>
      </c>
      <c r="BA208" s="437">
        <f t="shared" si="28"/>
        <v>0</v>
      </c>
      <c r="BB208" s="437">
        <f t="shared" si="29"/>
        <v>0</v>
      </c>
      <c r="BC208" s="437">
        <f t="shared" si="30"/>
        <v>0</v>
      </c>
      <c r="BD208" s="437">
        <f t="shared" si="31"/>
        <v>0</v>
      </c>
      <c r="BE208" s="437"/>
    </row>
    <row r="209" spans="1:57" ht="33" customHeight="1" thickBot="1">
      <c r="A209" s="358" t="s">
        <v>875</v>
      </c>
      <c r="B209" s="375" t="s">
        <v>706</v>
      </c>
      <c r="C209" s="360" t="s">
        <v>212</v>
      </c>
      <c r="D209" s="7">
        <v>33.39</v>
      </c>
      <c r="E209" s="353"/>
      <c r="F209" s="22">
        <f t="shared" si="25"/>
        <v>0</v>
      </c>
      <c r="G209" s="329"/>
      <c r="H209" s="330">
        <f t="shared" si="26"/>
        <v>0</v>
      </c>
      <c r="I209" s="430"/>
      <c r="J209" s="430"/>
      <c r="K209" s="431"/>
      <c r="L209" s="431"/>
      <c r="M209" s="431"/>
      <c r="N209" s="431"/>
      <c r="O209" s="431"/>
      <c r="P209" s="430"/>
      <c r="Q209" s="431"/>
      <c r="R209" s="431"/>
      <c r="S209" s="431"/>
      <c r="T209" s="431"/>
      <c r="U209" s="431"/>
      <c r="V209" s="431"/>
      <c r="W209" s="430"/>
      <c r="X209" s="431"/>
      <c r="Y209" s="431"/>
      <c r="Z209" s="431"/>
      <c r="AA209" s="431"/>
      <c r="AB209" s="431"/>
      <c r="AC209" s="431"/>
      <c r="AD209" s="430"/>
      <c r="AE209" s="431"/>
      <c r="AF209" s="431"/>
      <c r="AG209" s="431"/>
      <c r="AH209" s="431"/>
      <c r="AI209" s="431"/>
      <c r="AJ209" s="431"/>
      <c r="AK209" s="430"/>
      <c r="AL209" s="431"/>
      <c r="AM209" s="431"/>
      <c r="AN209" s="432"/>
      <c r="AQ209" s="436"/>
      <c r="AR209" s="436"/>
      <c r="AS209" s="436"/>
      <c r="AT209" s="436"/>
      <c r="AU209" s="436"/>
      <c r="AV209" s="436"/>
      <c r="AW209" s="396">
        <f t="shared" si="27"/>
        <v>0</v>
      </c>
      <c r="AX209" s="434">
        <f t="shared" si="24"/>
        <v>0</v>
      </c>
      <c r="BA209" s="437">
        <f t="shared" si="28"/>
        <v>0</v>
      </c>
      <c r="BB209" s="437">
        <f t="shared" si="29"/>
        <v>0</v>
      </c>
      <c r="BC209" s="437">
        <f t="shared" si="30"/>
        <v>0</v>
      </c>
      <c r="BD209" s="437">
        <f t="shared" si="31"/>
        <v>0</v>
      </c>
      <c r="BE209" s="437"/>
    </row>
    <row r="210" spans="1:57" ht="33" customHeight="1" thickBot="1">
      <c r="A210" s="361" t="s">
        <v>397</v>
      </c>
      <c r="B210" s="376" t="s">
        <v>686</v>
      </c>
      <c r="C210" s="363" t="s">
        <v>212</v>
      </c>
      <c r="D210" s="7">
        <v>57.9</v>
      </c>
      <c r="E210" s="353"/>
      <c r="F210" s="22">
        <f t="shared" si="25"/>
        <v>0</v>
      </c>
      <c r="G210" s="329"/>
      <c r="H210" s="330">
        <f t="shared" si="26"/>
        <v>0</v>
      </c>
      <c r="I210" s="430"/>
      <c r="J210" s="430"/>
      <c r="K210" s="431"/>
      <c r="L210" s="431"/>
      <c r="M210" s="431"/>
      <c r="N210" s="431"/>
      <c r="O210" s="431"/>
      <c r="P210" s="430"/>
      <c r="Q210" s="431"/>
      <c r="R210" s="431"/>
      <c r="S210" s="431"/>
      <c r="T210" s="431"/>
      <c r="U210" s="431"/>
      <c r="V210" s="431"/>
      <c r="W210" s="430"/>
      <c r="X210" s="431"/>
      <c r="Y210" s="431"/>
      <c r="Z210" s="431"/>
      <c r="AA210" s="431"/>
      <c r="AB210" s="431"/>
      <c r="AC210" s="431"/>
      <c r="AD210" s="430"/>
      <c r="AE210" s="431"/>
      <c r="AF210" s="431"/>
      <c r="AG210" s="431"/>
      <c r="AH210" s="431"/>
      <c r="AI210" s="431"/>
      <c r="AJ210" s="431"/>
      <c r="AK210" s="430"/>
      <c r="AL210" s="431"/>
      <c r="AM210" s="431"/>
      <c r="AN210" s="432"/>
      <c r="AQ210" s="436"/>
      <c r="AR210" s="436"/>
      <c r="AS210" s="436"/>
      <c r="AT210" s="436"/>
      <c r="AU210" s="436"/>
      <c r="AV210" s="436"/>
      <c r="AW210" s="396">
        <f t="shared" si="27"/>
        <v>0</v>
      </c>
      <c r="AX210" s="434">
        <f t="shared" si="24"/>
        <v>0</v>
      </c>
      <c r="BA210" s="437">
        <f t="shared" si="28"/>
        <v>0</v>
      </c>
      <c r="BB210" s="437">
        <f t="shared" si="29"/>
        <v>0</v>
      </c>
      <c r="BC210" s="437">
        <f t="shared" si="30"/>
        <v>0</v>
      </c>
      <c r="BD210" s="437">
        <f t="shared" si="31"/>
        <v>0</v>
      </c>
      <c r="BE210" s="437"/>
    </row>
    <row r="211" spans="1:57" ht="33" customHeight="1" thickBot="1">
      <c r="A211" s="358" t="s">
        <v>398</v>
      </c>
      <c r="B211" s="374" t="s">
        <v>687</v>
      </c>
      <c r="C211" s="360" t="s">
        <v>212</v>
      </c>
      <c r="D211" s="7">
        <v>43.55</v>
      </c>
      <c r="E211" s="353"/>
      <c r="F211" s="22">
        <f t="shared" si="25"/>
        <v>0</v>
      </c>
      <c r="G211" s="329"/>
      <c r="H211" s="330">
        <f t="shared" si="26"/>
        <v>0</v>
      </c>
      <c r="I211" s="430"/>
      <c r="J211" s="430"/>
      <c r="K211" s="431"/>
      <c r="L211" s="431"/>
      <c r="M211" s="431"/>
      <c r="N211" s="431"/>
      <c r="O211" s="431"/>
      <c r="P211" s="430"/>
      <c r="Q211" s="431"/>
      <c r="R211" s="431"/>
      <c r="S211" s="431"/>
      <c r="T211" s="431"/>
      <c r="U211" s="431"/>
      <c r="V211" s="431"/>
      <c r="W211" s="430"/>
      <c r="X211" s="431"/>
      <c r="Y211" s="431"/>
      <c r="Z211" s="431"/>
      <c r="AA211" s="431"/>
      <c r="AB211" s="431"/>
      <c r="AC211" s="431"/>
      <c r="AD211" s="430"/>
      <c r="AE211" s="431"/>
      <c r="AF211" s="431"/>
      <c r="AG211" s="431"/>
      <c r="AH211" s="431"/>
      <c r="AI211" s="431"/>
      <c r="AJ211" s="431"/>
      <c r="AK211" s="430"/>
      <c r="AL211" s="431"/>
      <c r="AM211" s="431"/>
      <c r="AN211" s="432"/>
      <c r="AQ211" s="436"/>
      <c r="AR211" s="436"/>
      <c r="AS211" s="436"/>
      <c r="AT211" s="436"/>
      <c r="AU211" s="436"/>
      <c r="AV211" s="436"/>
      <c r="AW211" s="396">
        <f t="shared" si="27"/>
        <v>0</v>
      </c>
      <c r="AX211" s="434">
        <f t="shared" ref="AX211:AX274" si="32">G211-AW211</f>
        <v>0</v>
      </c>
      <c r="BA211" s="437">
        <f t="shared" si="28"/>
        <v>0</v>
      </c>
      <c r="BB211" s="437">
        <f t="shared" si="29"/>
        <v>0</v>
      </c>
      <c r="BC211" s="437">
        <f t="shared" si="30"/>
        <v>0</v>
      </c>
      <c r="BD211" s="437">
        <f t="shared" si="31"/>
        <v>0</v>
      </c>
      <c r="BE211" s="437"/>
    </row>
    <row r="212" spans="1:57" ht="33" customHeight="1" thickBot="1">
      <c r="A212" s="361" t="s">
        <v>399</v>
      </c>
      <c r="B212" s="376" t="s">
        <v>688</v>
      </c>
      <c r="C212" s="362" t="s">
        <v>212</v>
      </c>
      <c r="D212" s="7">
        <v>21.43</v>
      </c>
      <c r="E212" s="353"/>
      <c r="F212" s="22">
        <f t="shared" si="25"/>
        <v>0</v>
      </c>
      <c r="G212" s="329"/>
      <c r="H212" s="330">
        <f t="shared" si="26"/>
        <v>0</v>
      </c>
      <c r="I212" s="430"/>
      <c r="J212" s="430"/>
      <c r="K212" s="431"/>
      <c r="L212" s="431"/>
      <c r="M212" s="431"/>
      <c r="N212" s="431"/>
      <c r="O212" s="431"/>
      <c r="P212" s="430"/>
      <c r="Q212" s="431"/>
      <c r="R212" s="431"/>
      <c r="S212" s="431"/>
      <c r="T212" s="431"/>
      <c r="U212" s="431"/>
      <c r="V212" s="431"/>
      <c r="W212" s="430"/>
      <c r="X212" s="431"/>
      <c r="Y212" s="431"/>
      <c r="Z212" s="431"/>
      <c r="AA212" s="431"/>
      <c r="AB212" s="431"/>
      <c r="AC212" s="431"/>
      <c r="AD212" s="430"/>
      <c r="AE212" s="431"/>
      <c r="AF212" s="431"/>
      <c r="AG212" s="431"/>
      <c r="AH212" s="431"/>
      <c r="AI212" s="431"/>
      <c r="AJ212" s="431"/>
      <c r="AK212" s="430"/>
      <c r="AL212" s="431"/>
      <c r="AM212" s="431"/>
      <c r="AN212" s="432"/>
      <c r="AQ212" s="436"/>
      <c r="AR212" s="436"/>
      <c r="AS212" s="436"/>
      <c r="AT212" s="436"/>
      <c r="AU212" s="436"/>
      <c r="AV212" s="436"/>
      <c r="AW212" s="396">
        <f t="shared" si="27"/>
        <v>0</v>
      </c>
      <c r="AX212" s="434">
        <f t="shared" si="32"/>
        <v>0</v>
      </c>
      <c r="BA212" s="437">
        <f t="shared" si="28"/>
        <v>0</v>
      </c>
      <c r="BB212" s="437">
        <f t="shared" si="29"/>
        <v>0</v>
      </c>
      <c r="BC212" s="437">
        <f t="shared" si="30"/>
        <v>0</v>
      </c>
      <c r="BD212" s="437">
        <f t="shared" si="31"/>
        <v>0</v>
      </c>
      <c r="BE212" s="437"/>
    </row>
    <row r="213" spans="1:57" ht="33" customHeight="1" thickBot="1">
      <c r="A213" s="358" t="s">
        <v>400</v>
      </c>
      <c r="B213" s="332" t="s">
        <v>689</v>
      </c>
      <c r="C213" s="360" t="s">
        <v>212</v>
      </c>
      <c r="D213" s="7">
        <v>206.73</v>
      </c>
      <c r="E213" s="353"/>
      <c r="F213" s="22">
        <f t="shared" si="25"/>
        <v>0</v>
      </c>
      <c r="G213" s="329"/>
      <c r="H213" s="330">
        <f t="shared" si="26"/>
        <v>0</v>
      </c>
      <c r="I213" s="430"/>
      <c r="J213" s="430"/>
      <c r="K213" s="431"/>
      <c r="L213" s="431"/>
      <c r="M213" s="431"/>
      <c r="N213" s="431"/>
      <c r="O213" s="431"/>
      <c r="P213" s="430"/>
      <c r="Q213" s="431"/>
      <c r="R213" s="431"/>
      <c r="S213" s="431"/>
      <c r="T213" s="431"/>
      <c r="U213" s="431"/>
      <c r="V213" s="431"/>
      <c r="W213" s="430"/>
      <c r="X213" s="431"/>
      <c r="Y213" s="431"/>
      <c r="Z213" s="431"/>
      <c r="AA213" s="431"/>
      <c r="AB213" s="431"/>
      <c r="AC213" s="431"/>
      <c r="AD213" s="430"/>
      <c r="AE213" s="431"/>
      <c r="AF213" s="431"/>
      <c r="AG213" s="431"/>
      <c r="AH213" s="431"/>
      <c r="AI213" s="431"/>
      <c r="AJ213" s="431"/>
      <c r="AK213" s="430"/>
      <c r="AL213" s="431"/>
      <c r="AM213" s="431"/>
      <c r="AN213" s="432"/>
      <c r="AQ213" s="436"/>
      <c r="AR213" s="436"/>
      <c r="AS213" s="436"/>
      <c r="AT213" s="436"/>
      <c r="AU213" s="436"/>
      <c r="AV213" s="436"/>
      <c r="AW213" s="396">
        <f t="shared" si="27"/>
        <v>0</v>
      </c>
      <c r="AX213" s="434">
        <f t="shared" si="32"/>
        <v>0</v>
      </c>
      <c r="BA213" s="437">
        <f t="shared" si="28"/>
        <v>0</v>
      </c>
      <c r="BB213" s="437">
        <f t="shared" si="29"/>
        <v>0</v>
      </c>
      <c r="BC213" s="437">
        <f t="shared" si="30"/>
        <v>0</v>
      </c>
      <c r="BD213" s="437">
        <f t="shared" si="31"/>
        <v>0</v>
      </c>
      <c r="BE213" s="437"/>
    </row>
    <row r="214" spans="1:57" ht="33" customHeight="1" thickBot="1">
      <c r="A214" s="358" t="s">
        <v>401</v>
      </c>
      <c r="B214" s="374" t="s">
        <v>690</v>
      </c>
      <c r="C214" s="360" t="s">
        <v>212</v>
      </c>
      <c r="D214" s="7">
        <v>175.09</v>
      </c>
      <c r="E214" s="353"/>
      <c r="F214" s="22">
        <f t="shared" si="25"/>
        <v>0</v>
      </c>
      <c r="G214" s="329"/>
      <c r="H214" s="330">
        <f t="shared" si="26"/>
        <v>0</v>
      </c>
      <c r="I214" s="430"/>
      <c r="J214" s="430"/>
      <c r="K214" s="431"/>
      <c r="L214" s="431"/>
      <c r="M214" s="431"/>
      <c r="N214" s="431"/>
      <c r="O214" s="431"/>
      <c r="P214" s="430"/>
      <c r="Q214" s="431"/>
      <c r="R214" s="431"/>
      <c r="S214" s="431"/>
      <c r="T214" s="431"/>
      <c r="U214" s="431"/>
      <c r="V214" s="431"/>
      <c r="W214" s="430"/>
      <c r="X214" s="431"/>
      <c r="Y214" s="431"/>
      <c r="Z214" s="431"/>
      <c r="AA214" s="431"/>
      <c r="AB214" s="431"/>
      <c r="AC214" s="431"/>
      <c r="AD214" s="430"/>
      <c r="AE214" s="431"/>
      <c r="AF214" s="431"/>
      <c r="AG214" s="431"/>
      <c r="AH214" s="431"/>
      <c r="AI214" s="431"/>
      <c r="AJ214" s="431"/>
      <c r="AK214" s="430"/>
      <c r="AL214" s="431"/>
      <c r="AM214" s="431"/>
      <c r="AN214" s="432"/>
      <c r="AQ214" s="436"/>
      <c r="AR214" s="436"/>
      <c r="AS214" s="436"/>
      <c r="AT214" s="436"/>
      <c r="AU214" s="436"/>
      <c r="AV214" s="436"/>
      <c r="AW214" s="396">
        <f t="shared" si="27"/>
        <v>0</v>
      </c>
      <c r="AX214" s="434">
        <f t="shared" si="32"/>
        <v>0</v>
      </c>
      <c r="BA214" s="437">
        <f t="shared" si="28"/>
        <v>0</v>
      </c>
      <c r="BB214" s="437">
        <f t="shared" si="29"/>
        <v>0</v>
      </c>
      <c r="BC214" s="437">
        <f t="shared" si="30"/>
        <v>0</v>
      </c>
      <c r="BD214" s="437">
        <f t="shared" si="31"/>
        <v>0</v>
      </c>
      <c r="BE214" s="437"/>
    </row>
    <row r="215" spans="1:57" ht="33" customHeight="1" thickBot="1">
      <c r="A215" s="358" t="s">
        <v>402</v>
      </c>
      <c r="B215" s="169" t="s">
        <v>691</v>
      </c>
      <c r="C215" s="360" t="s">
        <v>212</v>
      </c>
      <c r="D215" s="7">
        <v>189.74</v>
      </c>
      <c r="E215" s="353"/>
      <c r="F215" s="22">
        <f t="shared" si="25"/>
        <v>0</v>
      </c>
      <c r="G215" s="329"/>
      <c r="H215" s="330">
        <f t="shared" si="26"/>
        <v>0</v>
      </c>
      <c r="I215" s="430"/>
      <c r="J215" s="430"/>
      <c r="K215" s="431"/>
      <c r="L215" s="431"/>
      <c r="M215" s="431"/>
      <c r="N215" s="431"/>
      <c r="O215" s="431"/>
      <c r="P215" s="430"/>
      <c r="Q215" s="431"/>
      <c r="R215" s="431"/>
      <c r="S215" s="431"/>
      <c r="T215" s="431"/>
      <c r="U215" s="431"/>
      <c r="V215" s="431"/>
      <c r="W215" s="430"/>
      <c r="X215" s="431"/>
      <c r="Y215" s="431"/>
      <c r="Z215" s="431"/>
      <c r="AA215" s="431"/>
      <c r="AB215" s="431"/>
      <c r="AC215" s="431"/>
      <c r="AD215" s="430"/>
      <c r="AE215" s="431"/>
      <c r="AF215" s="431"/>
      <c r="AG215" s="431"/>
      <c r="AH215" s="431"/>
      <c r="AI215" s="431"/>
      <c r="AJ215" s="431"/>
      <c r="AK215" s="430"/>
      <c r="AL215" s="431"/>
      <c r="AM215" s="431"/>
      <c r="AN215" s="432"/>
      <c r="AQ215" s="436"/>
      <c r="AR215" s="436"/>
      <c r="AS215" s="436"/>
      <c r="AT215" s="436"/>
      <c r="AU215" s="436"/>
      <c r="AV215" s="436"/>
      <c r="AW215" s="396">
        <f t="shared" si="27"/>
        <v>0</v>
      </c>
      <c r="AX215" s="434">
        <f t="shared" si="32"/>
        <v>0</v>
      </c>
      <c r="BA215" s="437">
        <f t="shared" si="28"/>
        <v>0</v>
      </c>
      <c r="BB215" s="437">
        <f t="shared" si="29"/>
        <v>0</v>
      </c>
      <c r="BC215" s="437">
        <f t="shared" si="30"/>
        <v>0</v>
      </c>
      <c r="BD215" s="437">
        <f t="shared" si="31"/>
        <v>0</v>
      </c>
      <c r="BE215" s="437"/>
    </row>
    <row r="216" spans="1:57" ht="33" customHeight="1" thickBot="1">
      <c r="A216" s="377" t="s">
        <v>403</v>
      </c>
      <c r="B216" s="6" t="s">
        <v>404</v>
      </c>
      <c r="C216" s="378" t="s">
        <v>212</v>
      </c>
      <c r="D216" s="7">
        <v>20.79</v>
      </c>
      <c r="E216" s="353"/>
      <c r="F216" s="22">
        <f t="shared" si="25"/>
        <v>0</v>
      </c>
      <c r="G216" s="329"/>
      <c r="H216" s="330">
        <f t="shared" si="26"/>
        <v>0</v>
      </c>
      <c r="I216" s="430"/>
      <c r="J216" s="430"/>
      <c r="K216" s="431"/>
      <c r="L216" s="431"/>
      <c r="M216" s="431"/>
      <c r="N216" s="431"/>
      <c r="O216" s="431"/>
      <c r="P216" s="430"/>
      <c r="Q216" s="431"/>
      <c r="R216" s="431"/>
      <c r="S216" s="431"/>
      <c r="T216" s="431"/>
      <c r="U216" s="431"/>
      <c r="V216" s="431"/>
      <c r="W216" s="430"/>
      <c r="X216" s="431"/>
      <c r="Y216" s="431"/>
      <c r="Z216" s="431"/>
      <c r="AA216" s="431"/>
      <c r="AB216" s="431"/>
      <c r="AC216" s="431"/>
      <c r="AD216" s="430"/>
      <c r="AE216" s="431"/>
      <c r="AF216" s="431"/>
      <c r="AG216" s="431"/>
      <c r="AH216" s="431"/>
      <c r="AI216" s="431"/>
      <c r="AJ216" s="431"/>
      <c r="AK216" s="430"/>
      <c r="AL216" s="431"/>
      <c r="AM216" s="431"/>
      <c r="AN216" s="432"/>
      <c r="AQ216" s="436"/>
      <c r="AR216" s="436"/>
      <c r="AS216" s="436"/>
      <c r="AT216" s="436"/>
      <c r="AU216" s="436"/>
      <c r="AV216" s="436"/>
      <c r="AW216" s="396">
        <f t="shared" si="27"/>
        <v>0</v>
      </c>
      <c r="AX216" s="434">
        <f t="shared" si="32"/>
        <v>0</v>
      </c>
      <c r="BA216" s="437">
        <f t="shared" si="28"/>
        <v>0</v>
      </c>
      <c r="BB216" s="437">
        <f t="shared" si="29"/>
        <v>0</v>
      </c>
      <c r="BC216" s="437">
        <f t="shared" si="30"/>
        <v>0</v>
      </c>
      <c r="BD216" s="437">
        <f t="shared" si="31"/>
        <v>0</v>
      </c>
      <c r="BE216" s="437"/>
    </row>
    <row r="217" spans="1:57" ht="33" customHeight="1" thickBot="1">
      <c r="A217" s="377" t="s">
        <v>405</v>
      </c>
      <c r="B217" s="6" t="s">
        <v>406</v>
      </c>
      <c r="C217" s="378" t="s">
        <v>212</v>
      </c>
      <c r="D217" s="7">
        <v>22.25</v>
      </c>
      <c r="E217" s="353"/>
      <c r="F217" s="22">
        <f t="shared" si="25"/>
        <v>0</v>
      </c>
      <c r="G217" s="329"/>
      <c r="H217" s="330">
        <f t="shared" si="26"/>
        <v>0</v>
      </c>
      <c r="I217" s="430"/>
      <c r="J217" s="430"/>
      <c r="K217" s="431"/>
      <c r="L217" s="431"/>
      <c r="M217" s="431"/>
      <c r="N217" s="431"/>
      <c r="O217" s="431"/>
      <c r="P217" s="430"/>
      <c r="Q217" s="431"/>
      <c r="R217" s="431"/>
      <c r="S217" s="431"/>
      <c r="T217" s="431"/>
      <c r="U217" s="431"/>
      <c r="V217" s="431"/>
      <c r="W217" s="430"/>
      <c r="X217" s="431"/>
      <c r="Y217" s="431"/>
      <c r="Z217" s="431"/>
      <c r="AA217" s="431"/>
      <c r="AB217" s="431"/>
      <c r="AC217" s="431"/>
      <c r="AD217" s="430"/>
      <c r="AE217" s="431"/>
      <c r="AF217" s="431"/>
      <c r="AG217" s="431"/>
      <c r="AH217" s="431"/>
      <c r="AI217" s="431"/>
      <c r="AJ217" s="431"/>
      <c r="AK217" s="430"/>
      <c r="AL217" s="431"/>
      <c r="AM217" s="431"/>
      <c r="AN217" s="432"/>
      <c r="AQ217" s="436"/>
      <c r="AR217" s="436"/>
      <c r="AS217" s="436"/>
      <c r="AT217" s="436"/>
      <c r="AU217" s="436"/>
      <c r="AV217" s="436"/>
      <c r="AW217" s="396">
        <f t="shared" si="27"/>
        <v>0</v>
      </c>
      <c r="AX217" s="434">
        <f t="shared" si="32"/>
        <v>0</v>
      </c>
      <c r="BA217" s="437">
        <f t="shared" si="28"/>
        <v>0</v>
      </c>
      <c r="BB217" s="437">
        <f t="shared" si="29"/>
        <v>0</v>
      </c>
      <c r="BC217" s="437">
        <f t="shared" si="30"/>
        <v>0</v>
      </c>
      <c r="BD217" s="437">
        <f t="shared" si="31"/>
        <v>0</v>
      </c>
      <c r="BE217" s="437"/>
    </row>
    <row r="218" spans="1:57" ht="33" customHeight="1" thickBot="1">
      <c r="A218" s="358" t="s">
        <v>407</v>
      </c>
      <c r="B218" s="369" t="s">
        <v>408</v>
      </c>
      <c r="C218" s="359" t="s">
        <v>212</v>
      </c>
      <c r="D218" s="7">
        <v>25.55</v>
      </c>
      <c r="E218" s="353"/>
      <c r="F218" s="22">
        <f t="shared" si="25"/>
        <v>0</v>
      </c>
      <c r="G218" s="329"/>
      <c r="H218" s="330">
        <f t="shared" si="26"/>
        <v>0</v>
      </c>
      <c r="I218" s="430"/>
      <c r="J218" s="430"/>
      <c r="K218" s="431"/>
      <c r="L218" s="431"/>
      <c r="M218" s="431"/>
      <c r="N218" s="431"/>
      <c r="O218" s="431"/>
      <c r="P218" s="430"/>
      <c r="Q218" s="431"/>
      <c r="R218" s="431"/>
      <c r="S218" s="431"/>
      <c r="T218" s="431"/>
      <c r="U218" s="431"/>
      <c r="V218" s="431"/>
      <c r="W218" s="430"/>
      <c r="X218" s="431"/>
      <c r="Y218" s="431"/>
      <c r="Z218" s="431"/>
      <c r="AA218" s="431"/>
      <c r="AB218" s="431"/>
      <c r="AC218" s="431"/>
      <c r="AD218" s="430"/>
      <c r="AE218" s="431"/>
      <c r="AF218" s="431"/>
      <c r="AG218" s="431"/>
      <c r="AH218" s="431"/>
      <c r="AI218" s="431"/>
      <c r="AJ218" s="431"/>
      <c r="AK218" s="430"/>
      <c r="AL218" s="431"/>
      <c r="AM218" s="431"/>
      <c r="AN218" s="432"/>
      <c r="AQ218" s="436"/>
      <c r="AR218" s="436"/>
      <c r="AS218" s="436"/>
      <c r="AT218" s="436"/>
      <c r="AU218" s="436"/>
      <c r="AV218" s="436"/>
      <c r="AW218" s="396">
        <f t="shared" si="27"/>
        <v>0</v>
      </c>
      <c r="AX218" s="434">
        <f t="shared" si="32"/>
        <v>0</v>
      </c>
      <c r="BA218" s="437">
        <f t="shared" si="28"/>
        <v>0</v>
      </c>
      <c r="BB218" s="437">
        <f t="shared" si="29"/>
        <v>0</v>
      </c>
      <c r="BC218" s="437">
        <f t="shared" si="30"/>
        <v>0</v>
      </c>
      <c r="BD218" s="437">
        <f t="shared" si="31"/>
        <v>0</v>
      </c>
      <c r="BE218" s="437"/>
    </row>
    <row r="219" spans="1:57" ht="33" customHeight="1" thickBot="1">
      <c r="A219" s="358" t="s">
        <v>409</v>
      </c>
      <c r="B219" s="374" t="s">
        <v>410</v>
      </c>
      <c r="C219" s="359" t="s">
        <v>212</v>
      </c>
      <c r="D219" s="7">
        <v>30.36</v>
      </c>
      <c r="E219" s="353"/>
      <c r="F219" s="22">
        <f t="shared" si="25"/>
        <v>0</v>
      </c>
      <c r="G219" s="329"/>
      <c r="H219" s="330">
        <f t="shared" si="26"/>
        <v>0</v>
      </c>
      <c r="I219" s="430"/>
      <c r="J219" s="430"/>
      <c r="K219" s="431"/>
      <c r="L219" s="431"/>
      <c r="M219" s="431"/>
      <c r="N219" s="431"/>
      <c r="O219" s="431"/>
      <c r="P219" s="430"/>
      <c r="Q219" s="431"/>
      <c r="R219" s="431"/>
      <c r="S219" s="431"/>
      <c r="T219" s="431"/>
      <c r="U219" s="431"/>
      <c r="V219" s="431"/>
      <c r="W219" s="430"/>
      <c r="X219" s="431"/>
      <c r="Y219" s="431"/>
      <c r="Z219" s="431"/>
      <c r="AA219" s="431"/>
      <c r="AB219" s="431"/>
      <c r="AC219" s="431"/>
      <c r="AD219" s="430"/>
      <c r="AE219" s="431"/>
      <c r="AF219" s="431"/>
      <c r="AG219" s="431"/>
      <c r="AH219" s="431"/>
      <c r="AI219" s="431"/>
      <c r="AJ219" s="431"/>
      <c r="AK219" s="430"/>
      <c r="AL219" s="431"/>
      <c r="AM219" s="431"/>
      <c r="AN219" s="432"/>
      <c r="AQ219" s="436"/>
      <c r="AR219" s="436"/>
      <c r="AS219" s="436"/>
      <c r="AT219" s="436"/>
      <c r="AU219" s="436"/>
      <c r="AV219" s="436"/>
      <c r="AW219" s="396">
        <f t="shared" si="27"/>
        <v>0</v>
      </c>
      <c r="AX219" s="434">
        <f t="shared" si="32"/>
        <v>0</v>
      </c>
      <c r="BA219" s="437">
        <f t="shared" si="28"/>
        <v>0</v>
      </c>
      <c r="BB219" s="437">
        <f t="shared" si="29"/>
        <v>0</v>
      </c>
      <c r="BC219" s="437">
        <f t="shared" si="30"/>
        <v>0</v>
      </c>
      <c r="BD219" s="437">
        <f t="shared" si="31"/>
        <v>0</v>
      </c>
      <c r="BE219" s="437"/>
    </row>
    <row r="220" spans="1:57" ht="33" customHeight="1" thickBot="1">
      <c r="A220" s="365" t="s">
        <v>791</v>
      </c>
      <c r="B220" s="375" t="s">
        <v>797</v>
      </c>
      <c r="C220" s="379" t="s">
        <v>212</v>
      </c>
      <c r="D220" s="380">
        <v>0</v>
      </c>
      <c r="E220" s="353"/>
      <c r="F220" s="22">
        <f t="shared" si="25"/>
        <v>0</v>
      </c>
      <c r="G220" s="329"/>
      <c r="H220" s="330">
        <f t="shared" si="26"/>
        <v>0</v>
      </c>
      <c r="I220" s="430"/>
      <c r="J220" s="430"/>
      <c r="K220" s="431"/>
      <c r="L220" s="431"/>
      <c r="M220" s="431"/>
      <c r="N220" s="431"/>
      <c r="O220" s="431"/>
      <c r="P220" s="430"/>
      <c r="Q220" s="431"/>
      <c r="R220" s="431"/>
      <c r="S220" s="431"/>
      <c r="T220" s="431"/>
      <c r="U220" s="431"/>
      <c r="V220" s="431"/>
      <c r="W220" s="430"/>
      <c r="X220" s="431"/>
      <c r="Y220" s="431"/>
      <c r="Z220" s="431"/>
      <c r="AA220" s="431"/>
      <c r="AB220" s="431"/>
      <c r="AC220" s="431"/>
      <c r="AD220" s="430"/>
      <c r="AE220" s="431"/>
      <c r="AF220" s="431"/>
      <c r="AG220" s="431"/>
      <c r="AH220" s="431"/>
      <c r="AI220" s="431"/>
      <c r="AJ220" s="431"/>
      <c r="AK220" s="430"/>
      <c r="AL220" s="431"/>
      <c r="AM220" s="431"/>
      <c r="AN220" s="432"/>
      <c r="AQ220" s="436"/>
      <c r="AR220" s="436"/>
      <c r="AS220" s="436"/>
      <c r="AT220" s="436"/>
      <c r="AU220" s="436"/>
      <c r="AV220" s="436"/>
      <c r="AW220" s="396">
        <f t="shared" si="27"/>
        <v>0</v>
      </c>
      <c r="AX220" s="434">
        <f t="shared" si="32"/>
        <v>0</v>
      </c>
      <c r="BA220" s="437">
        <f t="shared" si="28"/>
        <v>0</v>
      </c>
      <c r="BB220" s="437">
        <f t="shared" si="29"/>
        <v>0</v>
      </c>
      <c r="BC220" s="437">
        <f t="shared" si="30"/>
        <v>0</v>
      </c>
      <c r="BD220" s="437">
        <f t="shared" si="31"/>
        <v>0</v>
      </c>
      <c r="BE220" s="437"/>
    </row>
    <row r="221" spans="1:57" ht="33" customHeight="1" thickBot="1">
      <c r="A221" s="358"/>
      <c r="B221" s="381" t="s">
        <v>411</v>
      </c>
      <c r="C221" s="359"/>
      <c r="D221" s="7">
        <v>0</v>
      </c>
      <c r="E221" s="353"/>
      <c r="F221" s="22">
        <f t="shared" si="25"/>
        <v>0</v>
      </c>
      <c r="G221" s="329"/>
      <c r="H221" s="330">
        <f t="shared" si="26"/>
        <v>0</v>
      </c>
      <c r="I221" s="430"/>
      <c r="J221" s="430"/>
      <c r="K221" s="431"/>
      <c r="L221" s="431"/>
      <c r="M221" s="431"/>
      <c r="N221" s="431"/>
      <c r="O221" s="431"/>
      <c r="P221" s="430"/>
      <c r="Q221" s="431"/>
      <c r="R221" s="431"/>
      <c r="S221" s="431"/>
      <c r="T221" s="431"/>
      <c r="U221" s="431"/>
      <c r="V221" s="431"/>
      <c r="W221" s="430"/>
      <c r="X221" s="431"/>
      <c r="Y221" s="431"/>
      <c r="Z221" s="431"/>
      <c r="AA221" s="431"/>
      <c r="AB221" s="431"/>
      <c r="AC221" s="431"/>
      <c r="AD221" s="430"/>
      <c r="AE221" s="431"/>
      <c r="AF221" s="431"/>
      <c r="AG221" s="431"/>
      <c r="AH221" s="431"/>
      <c r="AI221" s="431"/>
      <c r="AJ221" s="431"/>
      <c r="AK221" s="430"/>
      <c r="AL221" s="431"/>
      <c r="AM221" s="431"/>
      <c r="AN221" s="432"/>
      <c r="AQ221" s="436"/>
      <c r="AR221" s="436"/>
      <c r="AS221" s="436"/>
      <c r="AT221" s="436"/>
      <c r="AU221" s="436"/>
      <c r="AV221" s="436"/>
      <c r="AW221" s="396">
        <f t="shared" si="27"/>
        <v>0</v>
      </c>
      <c r="AX221" s="434">
        <f t="shared" si="32"/>
        <v>0</v>
      </c>
      <c r="BA221" s="437">
        <f t="shared" si="28"/>
        <v>0</v>
      </c>
      <c r="BB221" s="437">
        <f t="shared" si="29"/>
        <v>0</v>
      </c>
      <c r="BC221" s="437">
        <f t="shared" si="30"/>
        <v>0</v>
      </c>
      <c r="BD221" s="437">
        <f t="shared" si="31"/>
        <v>0</v>
      </c>
      <c r="BE221" s="437"/>
    </row>
    <row r="222" spans="1:57" ht="33" customHeight="1" thickBot="1">
      <c r="A222" s="358" t="s">
        <v>412</v>
      </c>
      <c r="B222" s="169" t="s">
        <v>54</v>
      </c>
      <c r="C222" s="359" t="s">
        <v>55</v>
      </c>
      <c r="D222" s="7">
        <v>0.27</v>
      </c>
      <c r="E222" s="353"/>
      <c r="F222" s="22">
        <f t="shared" si="25"/>
        <v>0</v>
      </c>
      <c r="G222" s="329"/>
      <c r="H222" s="330">
        <f t="shared" si="26"/>
        <v>0</v>
      </c>
      <c r="I222" s="430"/>
      <c r="J222" s="430"/>
      <c r="K222" s="431"/>
      <c r="L222" s="431"/>
      <c r="M222" s="431"/>
      <c r="N222" s="431"/>
      <c r="O222" s="431"/>
      <c r="P222" s="430"/>
      <c r="Q222" s="431"/>
      <c r="R222" s="431"/>
      <c r="S222" s="431"/>
      <c r="T222" s="431"/>
      <c r="U222" s="431"/>
      <c r="V222" s="431"/>
      <c r="W222" s="430"/>
      <c r="X222" s="431"/>
      <c r="Y222" s="431"/>
      <c r="Z222" s="431"/>
      <c r="AA222" s="431"/>
      <c r="AB222" s="431"/>
      <c r="AC222" s="431"/>
      <c r="AD222" s="430"/>
      <c r="AE222" s="431"/>
      <c r="AF222" s="431"/>
      <c r="AG222" s="431"/>
      <c r="AH222" s="431"/>
      <c r="AI222" s="431"/>
      <c r="AJ222" s="431"/>
      <c r="AK222" s="430"/>
      <c r="AL222" s="431"/>
      <c r="AM222" s="431"/>
      <c r="AN222" s="432"/>
      <c r="AQ222" s="436"/>
      <c r="AR222" s="436"/>
      <c r="AS222" s="436"/>
      <c r="AT222" s="436"/>
      <c r="AU222" s="436"/>
      <c r="AV222" s="436"/>
      <c r="AW222" s="396">
        <f t="shared" si="27"/>
        <v>0</v>
      </c>
      <c r="AX222" s="434">
        <f t="shared" si="32"/>
        <v>0</v>
      </c>
      <c r="BA222" s="437">
        <f t="shared" si="28"/>
        <v>0</v>
      </c>
      <c r="BB222" s="437">
        <f t="shared" si="29"/>
        <v>0</v>
      </c>
      <c r="BC222" s="437">
        <f t="shared" si="30"/>
        <v>0</v>
      </c>
      <c r="BD222" s="437">
        <f t="shared" si="31"/>
        <v>0</v>
      </c>
      <c r="BE222" s="437"/>
    </row>
    <row r="223" spans="1:57" ht="33" customHeight="1" thickBot="1">
      <c r="A223" s="358" t="s">
        <v>413</v>
      </c>
      <c r="B223" s="169" t="s">
        <v>414</v>
      </c>
      <c r="C223" s="359" t="s">
        <v>234</v>
      </c>
      <c r="D223" s="7">
        <v>23.82</v>
      </c>
      <c r="E223" s="353"/>
      <c r="F223" s="22">
        <f t="shared" si="25"/>
        <v>0</v>
      </c>
      <c r="G223" s="329"/>
      <c r="H223" s="330">
        <f t="shared" si="26"/>
        <v>0</v>
      </c>
      <c r="I223" s="430"/>
      <c r="J223" s="430"/>
      <c r="K223" s="431"/>
      <c r="L223" s="431"/>
      <c r="M223" s="431"/>
      <c r="N223" s="431"/>
      <c r="O223" s="431"/>
      <c r="P223" s="430"/>
      <c r="Q223" s="431"/>
      <c r="R223" s="431"/>
      <c r="S223" s="431"/>
      <c r="T223" s="431"/>
      <c r="U223" s="431"/>
      <c r="V223" s="431"/>
      <c r="W223" s="430"/>
      <c r="X223" s="431"/>
      <c r="Y223" s="431"/>
      <c r="Z223" s="431"/>
      <c r="AA223" s="431"/>
      <c r="AB223" s="431"/>
      <c r="AC223" s="431"/>
      <c r="AD223" s="430"/>
      <c r="AE223" s="431"/>
      <c r="AF223" s="431"/>
      <c r="AG223" s="431"/>
      <c r="AH223" s="431"/>
      <c r="AI223" s="431"/>
      <c r="AJ223" s="431"/>
      <c r="AK223" s="430"/>
      <c r="AL223" s="431"/>
      <c r="AM223" s="431"/>
      <c r="AN223" s="432"/>
      <c r="AQ223" s="436"/>
      <c r="AR223" s="436"/>
      <c r="AS223" s="436"/>
      <c r="AT223" s="436"/>
      <c r="AU223" s="436"/>
      <c r="AV223" s="436"/>
      <c r="AW223" s="396">
        <f t="shared" si="27"/>
        <v>0</v>
      </c>
      <c r="AX223" s="434">
        <f t="shared" si="32"/>
        <v>0</v>
      </c>
      <c r="BA223" s="437">
        <f t="shared" si="28"/>
        <v>0</v>
      </c>
      <c r="BB223" s="437">
        <f t="shared" si="29"/>
        <v>0</v>
      </c>
      <c r="BC223" s="437">
        <f t="shared" si="30"/>
        <v>0</v>
      </c>
      <c r="BD223" s="437">
        <f t="shared" si="31"/>
        <v>0</v>
      </c>
      <c r="BE223" s="437"/>
    </row>
    <row r="224" spans="1:57" ht="33" customHeight="1" thickBot="1">
      <c r="A224" s="358" t="s">
        <v>415</v>
      </c>
      <c r="B224" s="169" t="s">
        <v>416</v>
      </c>
      <c r="C224" s="359" t="s">
        <v>234</v>
      </c>
      <c r="D224" s="7">
        <v>2.94</v>
      </c>
      <c r="E224" s="353"/>
      <c r="F224" s="22">
        <f t="shared" si="25"/>
        <v>0</v>
      </c>
      <c r="G224" s="329"/>
      <c r="H224" s="330">
        <f t="shared" si="26"/>
        <v>0</v>
      </c>
      <c r="I224" s="430"/>
      <c r="J224" s="430"/>
      <c r="K224" s="431"/>
      <c r="L224" s="431"/>
      <c r="M224" s="431"/>
      <c r="N224" s="431"/>
      <c r="O224" s="431"/>
      <c r="P224" s="430"/>
      <c r="Q224" s="431"/>
      <c r="R224" s="431"/>
      <c r="S224" s="431"/>
      <c r="T224" s="431"/>
      <c r="U224" s="431"/>
      <c r="V224" s="431"/>
      <c r="W224" s="430"/>
      <c r="X224" s="431"/>
      <c r="Y224" s="431"/>
      <c r="Z224" s="431"/>
      <c r="AA224" s="431"/>
      <c r="AB224" s="431"/>
      <c r="AC224" s="431"/>
      <c r="AD224" s="430"/>
      <c r="AE224" s="431"/>
      <c r="AF224" s="431"/>
      <c r="AG224" s="431"/>
      <c r="AH224" s="431"/>
      <c r="AI224" s="431"/>
      <c r="AJ224" s="431"/>
      <c r="AK224" s="430"/>
      <c r="AL224" s="431"/>
      <c r="AM224" s="431"/>
      <c r="AN224" s="432"/>
      <c r="AQ224" s="436"/>
      <c r="AR224" s="436"/>
      <c r="AS224" s="436"/>
      <c r="AT224" s="436"/>
      <c r="AU224" s="436"/>
      <c r="AV224" s="436"/>
      <c r="AW224" s="396">
        <f t="shared" si="27"/>
        <v>0</v>
      </c>
      <c r="AX224" s="434">
        <f t="shared" si="32"/>
        <v>0</v>
      </c>
      <c r="BA224" s="437">
        <f t="shared" si="28"/>
        <v>0</v>
      </c>
      <c r="BB224" s="437">
        <f t="shared" si="29"/>
        <v>0</v>
      </c>
      <c r="BC224" s="437">
        <f t="shared" si="30"/>
        <v>0</v>
      </c>
      <c r="BD224" s="437">
        <f t="shared" si="31"/>
        <v>0</v>
      </c>
      <c r="BE224" s="437"/>
    </row>
    <row r="225" spans="1:57" ht="33" customHeight="1" thickBot="1">
      <c r="A225" s="358" t="s">
        <v>417</v>
      </c>
      <c r="B225" s="169" t="s">
        <v>78</v>
      </c>
      <c r="C225" s="359" t="s">
        <v>35</v>
      </c>
      <c r="D225" s="7">
        <v>1.35</v>
      </c>
      <c r="E225" s="353"/>
      <c r="F225" s="22">
        <f t="shared" si="25"/>
        <v>0</v>
      </c>
      <c r="G225" s="329"/>
      <c r="H225" s="330">
        <f t="shared" si="26"/>
        <v>0</v>
      </c>
      <c r="I225" s="430"/>
      <c r="J225" s="430"/>
      <c r="K225" s="431"/>
      <c r="L225" s="431"/>
      <c r="M225" s="431"/>
      <c r="N225" s="431"/>
      <c r="O225" s="431"/>
      <c r="P225" s="430"/>
      <c r="Q225" s="431"/>
      <c r="R225" s="431"/>
      <c r="S225" s="431"/>
      <c r="T225" s="431"/>
      <c r="U225" s="431"/>
      <c r="V225" s="431"/>
      <c r="W225" s="430"/>
      <c r="X225" s="431"/>
      <c r="Y225" s="431"/>
      <c r="Z225" s="431"/>
      <c r="AA225" s="431"/>
      <c r="AB225" s="431"/>
      <c r="AC225" s="431"/>
      <c r="AD225" s="430"/>
      <c r="AE225" s="431"/>
      <c r="AF225" s="431"/>
      <c r="AG225" s="431"/>
      <c r="AH225" s="431"/>
      <c r="AI225" s="431"/>
      <c r="AJ225" s="431"/>
      <c r="AK225" s="430"/>
      <c r="AL225" s="431"/>
      <c r="AM225" s="431"/>
      <c r="AN225" s="432"/>
      <c r="AQ225" s="436"/>
      <c r="AR225" s="436"/>
      <c r="AS225" s="436"/>
      <c r="AT225" s="436"/>
      <c r="AU225" s="436"/>
      <c r="AV225" s="436"/>
      <c r="AW225" s="396">
        <f t="shared" si="27"/>
        <v>0</v>
      </c>
      <c r="AX225" s="434">
        <f t="shared" si="32"/>
        <v>0</v>
      </c>
      <c r="BA225" s="437">
        <f t="shared" si="28"/>
        <v>0</v>
      </c>
      <c r="BB225" s="437">
        <f t="shared" si="29"/>
        <v>0</v>
      </c>
      <c r="BC225" s="437">
        <f t="shared" si="30"/>
        <v>0</v>
      </c>
      <c r="BD225" s="437">
        <f t="shared" si="31"/>
        <v>0</v>
      </c>
      <c r="BE225" s="437"/>
    </row>
    <row r="226" spans="1:57" ht="33" customHeight="1" thickBot="1">
      <c r="A226" s="358" t="s">
        <v>418</v>
      </c>
      <c r="B226" s="169" t="s">
        <v>80</v>
      </c>
      <c r="C226" s="359" t="s">
        <v>35</v>
      </c>
      <c r="D226" s="7">
        <v>0</v>
      </c>
      <c r="E226" s="353"/>
      <c r="F226" s="22">
        <f t="shared" si="25"/>
        <v>0</v>
      </c>
      <c r="G226" s="329"/>
      <c r="H226" s="330">
        <f t="shared" si="26"/>
        <v>0</v>
      </c>
      <c r="I226" s="430"/>
      <c r="J226" s="430"/>
      <c r="K226" s="431"/>
      <c r="L226" s="431"/>
      <c r="M226" s="431"/>
      <c r="N226" s="431"/>
      <c r="O226" s="431"/>
      <c r="P226" s="430"/>
      <c r="Q226" s="431"/>
      <c r="R226" s="431"/>
      <c r="S226" s="431"/>
      <c r="T226" s="431"/>
      <c r="U226" s="431"/>
      <c r="V226" s="431"/>
      <c r="W226" s="430"/>
      <c r="X226" s="431"/>
      <c r="Y226" s="431"/>
      <c r="Z226" s="431"/>
      <c r="AA226" s="431"/>
      <c r="AB226" s="431"/>
      <c r="AC226" s="431"/>
      <c r="AD226" s="430"/>
      <c r="AE226" s="431"/>
      <c r="AF226" s="431"/>
      <c r="AG226" s="431"/>
      <c r="AH226" s="431"/>
      <c r="AI226" s="431"/>
      <c r="AJ226" s="431"/>
      <c r="AK226" s="430"/>
      <c r="AL226" s="431"/>
      <c r="AM226" s="431"/>
      <c r="AN226" s="432"/>
      <c r="AQ226" s="436"/>
      <c r="AR226" s="436"/>
      <c r="AS226" s="436"/>
      <c r="AT226" s="436"/>
      <c r="AU226" s="436"/>
      <c r="AV226" s="436"/>
      <c r="AW226" s="396">
        <f t="shared" si="27"/>
        <v>0</v>
      </c>
      <c r="AX226" s="434">
        <f t="shared" si="32"/>
        <v>0</v>
      </c>
      <c r="BA226" s="437">
        <f t="shared" si="28"/>
        <v>0</v>
      </c>
      <c r="BB226" s="437">
        <f t="shared" si="29"/>
        <v>0</v>
      </c>
      <c r="BC226" s="437">
        <f t="shared" si="30"/>
        <v>0</v>
      </c>
      <c r="BD226" s="437">
        <f t="shared" si="31"/>
        <v>0</v>
      </c>
      <c r="BE226" s="437"/>
    </row>
    <row r="227" spans="1:57" ht="33" customHeight="1" thickBot="1">
      <c r="A227" s="358" t="s">
        <v>419</v>
      </c>
      <c r="B227" s="169" t="s">
        <v>83</v>
      </c>
      <c r="C227" s="359" t="s">
        <v>35</v>
      </c>
      <c r="D227" s="7">
        <v>2.21</v>
      </c>
      <c r="E227" s="353"/>
      <c r="F227" s="22">
        <f t="shared" si="25"/>
        <v>0</v>
      </c>
      <c r="G227" s="329"/>
      <c r="H227" s="330">
        <f t="shared" si="26"/>
        <v>0</v>
      </c>
      <c r="I227" s="430"/>
      <c r="J227" s="430"/>
      <c r="K227" s="431"/>
      <c r="L227" s="431"/>
      <c r="M227" s="431"/>
      <c r="N227" s="431"/>
      <c r="O227" s="431"/>
      <c r="P227" s="430"/>
      <c r="Q227" s="431"/>
      <c r="R227" s="431"/>
      <c r="S227" s="431"/>
      <c r="T227" s="431"/>
      <c r="U227" s="431"/>
      <c r="V227" s="431"/>
      <c r="W227" s="430"/>
      <c r="X227" s="431"/>
      <c r="Y227" s="431"/>
      <c r="Z227" s="431"/>
      <c r="AA227" s="431"/>
      <c r="AB227" s="431"/>
      <c r="AC227" s="431"/>
      <c r="AD227" s="430"/>
      <c r="AE227" s="431"/>
      <c r="AF227" s="431"/>
      <c r="AG227" s="431"/>
      <c r="AH227" s="431"/>
      <c r="AI227" s="431"/>
      <c r="AJ227" s="431"/>
      <c r="AK227" s="430"/>
      <c r="AL227" s="431"/>
      <c r="AM227" s="431"/>
      <c r="AN227" s="432"/>
      <c r="AQ227" s="436"/>
      <c r="AR227" s="436"/>
      <c r="AS227" s="436"/>
      <c r="AT227" s="436"/>
      <c r="AU227" s="436"/>
      <c r="AV227" s="436"/>
      <c r="AW227" s="396">
        <f t="shared" si="27"/>
        <v>0</v>
      </c>
      <c r="AX227" s="434">
        <f t="shared" si="32"/>
        <v>0</v>
      </c>
      <c r="BA227" s="437">
        <f t="shared" si="28"/>
        <v>0</v>
      </c>
      <c r="BB227" s="437">
        <f t="shared" si="29"/>
        <v>0</v>
      </c>
      <c r="BC227" s="437">
        <f t="shared" si="30"/>
        <v>0</v>
      </c>
      <c r="BD227" s="437">
        <f t="shared" si="31"/>
        <v>0</v>
      </c>
      <c r="BE227" s="437"/>
    </row>
    <row r="228" spans="1:57" ht="33" customHeight="1" thickBot="1">
      <c r="A228" s="358" t="s">
        <v>420</v>
      </c>
      <c r="B228" s="169" t="s">
        <v>85</v>
      </c>
      <c r="C228" s="359" t="s">
        <v>86</v>
      </c>
      <c r="D228" s="7">
        <v>0.9</v>
      </c>
      <c r="E228" s="353"/>
      <c r="F228" s="22">
        <f t="shared" si="25"/>
        <v>0</v>
      </c>
      <c r="G228" s="329"/>
      <c r="H228" s="330">
        <f t="shared" si="26"/>
        <v>0</v>
      </c>
      <c r="I228" s="430"/>
      <c r="J228" s="430"/>
      <c r="K228" s="431"/>
      <c r="L228" s="431"/>
      <c r="M228" s="431"/>
      <c r="N228" s="431"/>
      <c r="O228" s="431"/>
      <c r="P228" s="430"/>
      <c r="Q228" s="431"/>
      <c r="R228" s="431"/>
      <c r="S228" s="431"/>
      <c r="T228" s="431"/>
      <c r="U228" s="431"/>
      <c r="V228" s="431"/>
      <c r="W228" s="430"/>
      <c r="X228" s="431"/>
      <c r="Y228" s="431"/>
      <c r="Z228" s="431"/>
      <c r="AA228" s="431"/>
      <c r="AB228" s="431"/>
      <c r="AC228" s="431"/>
      <c r="AD228" s="430"/>
      <c r="AE228" s="431"/>
      <c r="AF228" s="431"/>
      <c r="AG228" s="431"/>
      <c r="AH228" s="431"/>
      <c r="AI228" s="431"/>
      <c r="AJ228" s="431"/>
      <c r="AK228" s="430"/>
      <c r="AL228" s="431"/>
      <c r="AM228" s="431"/>
      <c r="AN228" s="432"/>
      <c r="AQ228" s="436"/>
      <c r="AR228" s="436"/>
      <c r="AS228" s="436"/>
      <c r="AT228" s="436"/>
      <c r="AU228" s="436"/>
      <c r="AV228" s="436"/>
      <c r="AW228" s="396">
        <f t="shared" si="27"/>
        <v>0</v>
      </c>
      <c r="AX228" s="434">
        <f t="shared" si="32"/>
        <v>0</v>
      </c>
      <c r="BA228" s="437">
        <f t="shared" si="28"/>
        <v>0</v>
      </c>
      <c r="BB228" s="437">
        <f t="shared" si="29"/>
        <v>0</v>
      </c>
      <c r="BC228" s="437">
        <f t="shared" si="30"/>
        <v>0</v>
      </c>
      <c r="BD228" s="437">
        <f t="shared" si="31"/>
        <v>0</v>
      </c>
      <c r="BE228" s="437"/>
    </row>
    <row r="229" spans="1:57" ht="33" customHeight="1" thickBot="1">
      <c r="A229" s="358" t="s">
        <v>421</v>
      </c>
      <c r="B229" s="374" t="s">
        <v>868</v>
      </c>
      <c r="C229" s="359" t="s">
        <v>35</v>
      </c>
      <c r="D229" s="7">
        <v>2.1349999999999998</v>
      </c>
      <c r="E229" s="353"/>
      <c r="F229" s="22">
        <f t="shared" si="25"/>
        <v>0</v>
      </c>
      <c r="G229" s="329"/>
      <c r="H229" s="330">
        <f t="shared" si="26"/>
        <v>0</v>
      </c>
      <c r="I229" s="430"/>
      <c r="J229" s="430"/>
      <c r="K229" s="431"/>
      <c r="L229" s="431"/>
      <c r="M229" s="431"/>
      <c r="N229" s="431"/>
      <c r="O229" s="431"/>
      <c r="P229" s="430"/>
      <c r="Q229" s="431"/>
      <c r="R229" s="431"/>
      <c r="S229" s="431"/>
      <c r="T229" s="431"/>
      <c r="U229" s="431"/>
      <c r="V229" s="431"/>
      <c r="W229" s="430"/>
      <c r="X229" s="431"/>
      <c r="Y229" s="431"/>
      <c r="Z229" s="431"/>
      <c r="AA229" s="431"/>
      <c r="AB229" s="431"/>
      <c r="AC229" s="431"/>
      <c r="AD229" s="430"/>
      <c r="AE229" s="431"/>
      <c r="AF229" s="431"/>
      <c r="AG229" s="431"/>
      <c r="AH229" s="431"/>
      <c r="AI229" s="431"/>
      <c r="AJ229" s="431"/>
      <c r="AK229" s="430"/>
      <c r="AL229" s="431"/>
      <c r="AM229" s="431"/>
      <c r="AN229" s="432"/>
      <c r="AQ229" s="436"/>
      <c r="AR229" s="436"/>
      <c r="AS229" s="436"/>
      <c r="AT229" s="436"/>
      <c r="AU229" s="436"/>
      <c r="AV229" s="436"/>
      <c r="AW229" s="396">
        <f t="shared" si="27"/>
        <v>0</v>
      </c>
      <c r="AX229" s="434">
        <f t="shared" si="32"/>
        <v>0</v>
      </c>
      <c r="BA229" s="437">
        <f t="shared" si="28"/>
        <v>0</v>
      </c>
      <c r="BB229" s="437">
        <f t="shared" si="29"/>
        <v>0</v>
      </c>
      <c r="BC229" s="437">
        <f t="shared" si="30"/>
        <v>0</v>
      </c>
      <c r="BD229" s="437">
        <f t="shared" si="31"/>
        <v>0</v>
      </c>
      <c r="BE229" s="437"/>
    </row>
    <row r="230" spans="1:57" ht="33" customHeight="1" thickBot="1">
      <c r="A230" s="358"/>
      <c r="B230" s="374" t="s">
        <v>869</v>
      </c>
      <c r="C230" s="359" t="s">
        <v>35</v>
      </c>
      <c r="D230" s="7">
        <v>2.1349999999999998</v>
      </c>
      <c r="E230" s="353"/>
      <c r="F230" s="22">
        <f t="shared" si="25"/>
        <v>0</v>
      </c>
      <c r="G230" s="329"/>
      <c r="H230" s="330">
        <f t="shared" si="26"/>
        <v>0</v>
      </c>
      <c r="I230" s="430"/>
      <c r="J230" s="430"/>
      <c r="K230" s="431"/>
      <c r="L230" s="431"/>
      <c r="M230" s="431"/>
      <c r="N230" s="431"/>
      <c r="O230" s="431"/>
      <c r="P230" s="430"/>
      <c r="Q230" s="431"/>
      <c r="R230" s="431"/>
      <c r="S230" s="431"/>
      <c r="T230" s="431"/>
      <c r="U230" s="431"/>
      <c r="V230" s="431"/>
      <c r="W230" s="430"/>
      <c r="X230" s="431"/>
      <c r="Y230" s="431"/>
      <c r="Z230" s="431"/>
      <c r="AA230" s="431"/>
      <c r="AB230" s="431"/>
      <c r="AC230" s="431"/>
      <c r="AD230" s="430"/>
      <c r="AE230" s="431"/>
      <c r="AF230" s="431"/>
      <c r="AG230" s="431"/>
      <c r="AH230" s="431"/>
      <c r="AI230" s="431"/>
      <c r="AJ230" s="431"/>
      <c r="AK230" s="430"/>
      <c r="AL230" s="431"/>
      <c r="AM230" s="431"/>
      <c r="AN230" s="432"/>
      <c r="AQ230" s="436"/>
      <c r="AR230" s="436"/>
      <c r="AS230" s="436"/>
      <c r="AT230" s="436"/>
      <c r="AU230" s="436"/>
      <c r="AV230" s="436"/>
      <c r="AW230" s="396">
        <f t="shared" si="27"/>
        <v>0</v>
      </c>
      <c r="AX230" s="434">
        <f t="shared" si="32"/>
        <v>0</v>
      </c>
      <c r="BA230" s="437">
        <f t="shared" si="28"/>
        <v>0</v>
      </c>
      <c r="BB230" s="437">
        <f t="shared" si="29"/>
        <v>0</v>
      </c>
      <c r="BC230" s="437">
        <f t="shared" si="30"/>
        <v>0</v>
      </c>
      <c r="BD230" s="437">
        <f t="shared" si="31"/>
        <v>0</v>
      </c>
      <c r="BE230" s="437"/>
    </row>
    <row r="231" spans="1:57" ht="33" customHeight="1" thickBot="1">
      <c r="A231" s="358" t="s">
        <v>422</v>
      </c>
      <c r="B231" s="374" t="s">
        <v>89</v>
      </c>
      <c r="C231" s="359" t="s">
        <v>35</v>
      </c>
      <c r="D231" s="7">
        <v>5.66</v>
      </c>
      <c r="E231" s="353"/>
      <c r="F231" s="22">
        <f t="shared" si="25"/>
        <v>0</v>
      </c>
      <c r="G231" s="329"/>
      <c r="H231" s="330">
        <f t="shared" si="26"/>
        <v>0</v>
      </c>
      <c r="I231" s="430"/>
      <c r="J231" s="430"/>
      <c r="K231" s="431"/>
      <c r="L231" s="431"/>
      <c r="M231" s="431"/>
      <c r="N231" s="431"/>
      <c r="O231" s="431"/>
      <c r="P231" s="430"/>
      <c r="Q231" s="431"/>
      <c r="R231" s="431"/>
      <c r="S231" s="431"/>
      <c r="T231" s="431"/>
      <c r="U231" s="431"/>
      <c r="V231" s="431"/>
      <c r="W231" s="430"/>
      <c r="X231" s="431"/>
      <c r="Y231" s="431"/>
      <c r="Z231" s="431"/>
      <c r="AA231" s="431"/>
      <c r="AB231" s="431"/>
      <c r="AC231" s="431"/>
      <c r="AD231" s="430"/>
      <c r="AE231" s="431"/>
      <c r="AF231" s="431"/>
      <c r="AG231" s="431"/>
      <c r="AH231" s="431"/>
      <c r="AI231" s="431"/>
      <c r="AJ231" s="431"/>
      <c r="AK231" s="430"/>
      <c r="AL231" s="431"/>
      <c r="AM231" s="431"/>
      <c r="AN231" s="432"/>
      <c r="AQ231" s="436"/>
      <c r="AR231" s="436"/>
      <c r="AS231" s="436"/>
      <c r="AT231" s="436"/>
      <c r="AU231" s="436"/>
      <c r="AV231" s="436"/>
      <c r="AW231" s="396">
        <f t="shared" si="27"/>
        <v>0</v>
      </c>
      <c r="AX231" s="434">
        <f t="shared" si="32"/>
        <v>0</v>
      </c>
      <c r="BA231" s="437">
        <f t="shared" si="28"/>
        <v>0</v>
      </c>
      <c r="BB231" s="437">
        <f t="shared" si="29"/>
        <v>0</v>
      </c>
      <c r="BC231" s="437">
        <f t="shared" si="30"/>
        <v>0</v>
      </c>
      <c r="BD231" s="437">
        <f t="shared" si="31"/>
        <v>0</v>
      </c>
      <c r="BE231" s="437"/>
    </row>
    <row r="232" spans="1:57" ht="33" customHeight="1" thickBot="1">
      <c r="A232" s="358" t="s">
        <v>423</v>
      </c>
      <c r="B232" s="374" t="s">
        <v>91</v>
      </c>
      <c r="C232" s="359" t="s">
        <v>35</v>
      </c>
      <c r="D232" s="7">
        <v>8.2100000000000009</v>
      </c>
      <c r="E232" s="353"/>
      <c r="F232" s="22">
        <f t="shared" si="25"/>
        <v>0</v>
      </c>
      <c r="G232" s="329"/>
      <c r="H232" s="330">
        <f t="shared" si="26"/>
        <v>0</v>
      </c>
      <c r="I232" s="430"/>
      <c r="J232" s="430"/>
      <c r="K232" s="431"/>
      <c r="L232" s="431"/>
      <c r="M232" s="431"/>
      <c r="N232" s="431"/>
      <c r="O232" s="431"/>
      <c r="P232" s="430"/>
      <c r="Q232" s="431"/>
      <c r="R232" s="431"/>
      <c r="S232" s="431"/>
      <c r="T232" s="431"/>
      <c r="U232" s="431"/>
      <c r="V232" s="431"/>
      <c r="W232" s="430"/>
      <c r="X232" s="431"/>
      <c r="Y232" s="431"/>
      <c r="Z232" s="431"/>
      <c r="AA232" s="431"/>
      <c r="AB232" s="431"/>
      <c r="AC232" s="431"/>
      <c r="AD232" s="430"/>
      <c r="AE232" s="431"/>
      <c r="AF232" s="431"/>
      <c r="AG232" s="431"/>
      <c r="AH232" s="431"/>
      <c r="AI232" s="431"/>
      <c r="AJ232" s="431"/>
      <c r="AK232" s="430"/>
      <c r="AL232" s="431"/>
      <c r="AM232" s="431"/>
      <c r="AN232" s="432"/>
      <c r="AQ232" s="436"/>
      <c r="AR232" s="436"/>
      <c r="AS232" s="436"/>
      <c r="AT232" s="436"/>
      <c r="AU232" s="436"/>
      <c r="AV232" s="436"/>
      <c r="AW232" s="396">
        <f t="shared" si="27"/>
        <v>0</v>
      </c>
      <c r="AX232" s="434">
        <f t="shared" si="32"/>
        <v>0</v>
      </c>
      <c r="BA232" s="437">
        <f t="shared" si="28"/>
        <v>0</v>
      </c>
      <c r="BB232" s="437">
        <f t="shared" si="29"/>
        <v>0</v>
      </c>
      <c r="BC232" s="437">
        <f t="shared" si="30"/>
        <v>0</v>
      </c>
      <c r="BD232" s="437">
        <f t="shared" si="31"/>
        <v>0</v>
      </c>
      <c r="BE232" s="437"/>
    </row>
    <row r="233" spans="1:57" ht="33" customHeight="1" thickBot="1">
      <c r="A233" s="358" t="s">
        <v>424</v>
      </c>
      <c r="B233" s="374" t="s">
        <v>93</v>
      </c>
      <c r="C233" s="359" t="s">
        <v>35</v>
      </c>
      <c r="D233" s="7">
        <v>8.61</v>
      </c>
      <c r="E233" s="353"/>
      <c r="F233" s="22">
        <f t="shared" si="25"/>
        <v>0</v>
      </c>
      <c r="G233" s="329"/>
      <c r="H233" s="330">
        <f t="shared" si="26"/>
        <v>0</v>
      </c>
      <c r="I233" s="430"/>
      <c r="J233" s="430"/>
      <c r="K233" s="431"/>
      <c r="L233" s="431"/>
      <c r="M233" s="431"/>
      <c r="N233" s="431"/>
      <c r="O233" s="431"/>
      <c r="P233" s="430"/>
      <c r="Q233" s="431"/>
      <c r="R233" s="431"/>
      <c r="S233" s="431"/>
      <c r="T233" s="431"/>
      <c r="U233" s="431"/>
      <c r="V233" s="431"/>
      <c r="W233" s="430"/>
      <c r="X233" s="431"/>
      <c r="Y233" s="431"/>
      <c r="Z233" s="431"/>
      <c r="AA233" s="431"/>
      <c r="AB233" s="431"/>
      <c r="AC233" s="431"/>
      <c r="AD233" s="430"/>
      <c r="AE233" s="431"/>
      <c r="AF233" s="431"/>
      <c r="AG233" s="431"/>
      <c r="AH233" s="431"/>
      <c r="AI233" s="431"/>
      <c r="AJ233" s="431"/>
      <c r="AK233" s="430"/>
      <c r="AL233" s="431"/>
      <c r="AM233" s="431"/>
      <c r="AN233" s="432"/>
      <c r="AQ233" s="436"/>
      <c r="AR233" s="436"/>
      <c r="AS233" s="436"/>
      <c r="AT233" s="436"/>
      <c r="AU233" s="436"/>
      <c r="AV233" s="436"/>
      <c r="AW233" s="396">
        <f t="shared" si="27"/>
        <v>0</v>
      </c>
      <c r="AX233" s="434">
        <f t="shared" si="32"/>
        <v>0</v>
      </c>
      <c r="BA233" s="437">
        <f t="shared" si="28"/>
        <v>0</v>
      </c>
      <c r="BB233" s="437">
        <f t="shared" si="29"/>
        <v>0</v>
      </c>
      <c r="BC233" s="437">
        <f t="shared" si="30"/>
        <v>0</v>
      </c>
      <c r="BD233" s="437">
        <f t="shared" si="31"/>
        <v>0</v>
      </c>
      <c r="BE233" s="437"/>
    </row>
    <row r="234" spans="1:57" ht="33" customHeight="1" thickBot="1">
      <c r="A234" s="358" t="s">
        <v>425</v>
      </c>
      <c r="B234" s="374" t="s">
        <v>95</v>
      </c>
      <c r="C234" s="359" t="s">
        <v>35</v>
      </c>
      <c r="D234" s="7">
        <v>6.59</v>
      </c>
      <c r="E234" s="353"/>
      <c r="F234" s="22">
        <f t="shared" si="25"/>
        <v>0</v>
      </c>
      <c r="G234" s="329"/>
      <c r="H234" s="330">
        <f t="shared" si="26"/>
        <v>0</v>
      </c>
      <c r="I234" s="430"/>
      <c r="J234" s="430"/>
      <c r="K234" s="431"/>
      <c r="L234" s="431"/>
      <c r="M234" s="431"/>
      <c r="N234" s="431"/>
      <c r="O234" s="431"/>
      <c r="P234" s="430"/>
      <c r="Q234" s="431"/>
      <c r="R234" s="431"/>
      <c r="S234" s="431"/>
      <c r="T234" s="431"/>
      <c r="U234" s="431"/>
      <c r="V234" s="431"/>
      <c r="W234" s="430"/>
      <c r="X234" s="431"/>
      <c r="Y234" s="431"/>
      <c r="Z234" s="431"/>
      <c r="AA234" s="431"/>
      <c r="AB234" s="431"/>
      <c r="AC234" s="431"/>
      <c r="AD234" s="430"/>
      <c r="AE234" s="431"/>
      <c r="AF234" s="431"/>
      <c r="AG234" s="431"/>
      <c r="AH234" s="431"/>
      <c r="AI234" s="431"/>
      <c r="AJ234" s="431"/>
      <c r="AK234" s="430"/>
      <c r="AL234" s="431"/>
      <c r="AM234" s="431"/>
      <c r="AN234" s="432"/>
      <c r="AQ234" s="436"/>
      <c r="AR234" s="436"/>
      <c r="AS234" s="436"/>
      <c r="AT234" s="436"/>
      <c r="AU234" s="436"/>
      <c r="AV234" s="436"/>
      <c r="AW234" s="396">
        <f t="shared" si="27"/>
        <v>0</v>
      </c>
      <c r="AX234" s="434">
        <f t="shared" si="32"/>
        <v>0</v>
      </c>
      <c r="BA234" s="437">
        <f t="shared" si="28"/>
        <v>0</v>
      </c>
      <c r="BB234" s="437">
        <f t="shared" si="29"/>
        <v>0</v>
      </c>
      <c r="BC234" s="437">
        <f t="shared" si="30"/>
        <v>0</v>
      </c>
      <c r="BD234" s="437">
        <f t="shared" si="31"/>
        <v>0</v>
      </c>
      <c r="BE234" s="437"/>
    </row>
    <row r="235" spans="1:57" ht="33" customHeight="1" thickBot="1">
      <c r="A235" s="358" t="s">
        <v>426</v>
      </c>
      <c r="B235" s="374" t="s">
        <v>97</v>
      </c>
      <c r="C235" s="359" t="s">
        <v>35</v>
      </c>
      <c r="D235" s="7">
        <v>8.18</v>
      </c>
      <c r="E235" s="353"/>
      <c r="F235" s="22">
        <f t="shared" si="25"/>
        <v>0</v>
      </c>
      <c r="G235" s="329"/>
      <c r="H235" s="330">
        <f t="shared" si="26"/>
        <v>0</v>
      </c>
      <c r="I235" s="430"/>
      <c r="J235" s="430"/>
      <c r="K235" s="431"/>
      <c r="L235" s="431"/>
      <c r="M235" s="431"/>
      <c r="N235" s="431"/>
      <c r="O235" s="431"/>
      <c r="P235" s="430"/>
      <c r="Q235" s="431"/>
      <c r="R235" s="431"/>
      <c r="S235" s="431"/>
      <c r="T235" s="431"/>
      <c r="U235" s="431"/>
      <c r="V235" s="431"/>
      <c r="W235" s="430"/>
      <c r="X235" s="431"/>
      <c r="Y235" s="431"/>
      <c r="Z235" s="431"/>
      <c r="AA235" s="431"/>
      <c r="AB235" s="431"/>
      <c r="AC235" s="431"/>
      <c r="AD235" s="430"/>
      <c r="AE235" s="431"/>
      <c r="AF235" s="431"/>
      <c r="AG235" s="431"/>
      <c r="AH235" s="431"/>
      <c r="AI235" s="431"/>
      <c r="AJ235" s="431"/>
      <c r="AK235" s="430"/>
      <c r="AL235" s="431"/>
      <c r="AM235" s="431"/>
      <c r="AN235" s="432"/>
      <c r="AQ235" s="436"/>
      <c r="AR235" s="436"/>
      <c r="AS235" s="436"/>
      <c r="AT235" s="436"/>
      <c r="AU235" s="436"/>
      <c r="AV235" s="436"/>
      <c r="AW235" s="396">
        <f t="shared" si="27"/>
        <v>0</v>
      </c>
      <c r="AX235" s="434">
        <f t="shared" si="32"/>
        <v>0</v>
      </c>
      <c r="BA235" s="437">
        <f t="shared" si="28"/>
        <v>0</v>
      </c>
      <c r="BB235" s="437">
        <f t="shared" si="29"/>
        <v>0</v>
      </c>
      <c r="BC235" s="437">
        <f t="shared" si="30"/>
        <v>0</v>
      </c>
      <c r="BD235" s="437">
        <f t="shared" si="31"/>
        <v>0</v>
      </c>
      <c r="BE235" s="437"/>
    </row>
    <row r="236" spans="1:57" ht="33" customHeight="1" thickBot="1">
      <c r="A236" s="358" t="s">
        <v>427</v>
      </c>
      <c r="B236" s="374" t="s">
        <v>99</v>
      </c>
      <c r="C236" s="359" t="s">
        <v>35</v>
      </c>
      <c r="D236" s="7">
        <v>0</v>
      </c>
      <c r="E236" s="353"/>
      <c r="F236" s="22">
        <f t="shared" si="25"/>
        <v>0</v>
      </c>
      <c r="G236" s="329"/>
      <c r="H236" s="330">
        <f t="shared" si="26"/>
        <v>0</v>
      </c>
      <c r="I236" s="430"/>
      <c r="J236" s="430"/>
      <c r="K236" s="431"/>
      <c r="L236" s="431"/>
      <c r="M236" s="431"/>
      <c r="N236" s="431"/>
      <c r="O236" s="431"/>
      <c r="P236" s="430"/>
      <c r="Q236" s="431"/>
      <c r="R236" s="431"/>
      <c r="S236" s="431"/>
      <c r="T236" s="431"/>
      <c r="U236" s="431"/>
      <c r="V236" s="431"/>
      <c r="W236" s="430"/>
      <c r="X236" s="431"/>
      <c r="Y236" s="431"/>
      <c r="Z236" s="431"/>
      <c r="AA236" s="431"/>
      <c r="AB236" s="431"/>
      <c r="AC236" s="431"/>
      <c r="AD236" s="430"/>
      <c r="AE236" s="431"/>
      <c r="AF236" s="431"/>
      <c r="AG236" s="431"/>
      <c r="AH236" s="431"/>
      <c r="AI236" s="431"/>
      <c r="AJ236" s="431"/>
      <c r="AK236" s="430"/>
      <c r="AL236" s="431"/>
      <c r="AM236" s="431"/>
      <c r="AN236" s="432"/>
      <c r="AQ236" s="436"/>
      <c r="AR236" s="436"/>
      <c r="AS236" s="436"/>
      <c r="AT236" s="436"/>
      <c r="AU236" s="436"/>
      <c r="AV236" s="436"/>
      <c r="AW236" s="396">
        <f t="shared" si="27"/>
        <v>0</v>
      </c>
      <c r="AX236" s="434">
        <f t="shared" si="32"/>
        <v>0</v>
      </c>
      <c r="BA236" s="437">
        <f t="shared" si="28"/>
        <v>0</v>
      </c>
      <c r="BB236" s="437">
        <f t="shared" si="29"/>
        <v>0</v>
      </c>
      <c r="BC236" s="437">
        <f t="shared" si="30"/>
        <v>0</v>
      </c>
      <c r="BD236" s="437">
        <f t="shared" si="31"/>
        <v>0</v>
      </c>
      <c r="BE236" s="437"/>
    </row>
    <row r="237" spans="1:57" ht="33" customHeight="1" thickBot="1">
      <c r="A237" s="358" t="s">
        <v>428</v>
      </c>
      <c r="B237" s="374" t="s">
        <v>102</v>
      </c>
      <c r="C237" s="359" t="s">
        <v>35</v>
      </c>
      <c r="D237" s="7">
        <v>3.03</v>
      </c>
      <c r="E237" s="353"/>
      <c r="F237" s="22">
        <f t="shared" si="25"/>
        <v>0</v>
      </c>
      <c r="G237" s="329"/>
      <c r="H237" s="330">
        <f t="shared" si="26"/>
        <v>0</v>
      </c>
      <c r="I237" s="430"/>
      <c r="J237" s="430"/>
      <c r="K237" s="431"/>
      <c r="L237" s="431"/>
      <c r="M237" s="431"/>
      <c r="N237" s="431"/>
      <c r="O237" s="431"/>
      <c r="P237" s="430"/>
      <c r="Q237" s="431"/>
      <c r="R237" s="431"/>
      <c r="S237" s="431"/>
      <c r="T237" s="431"/>
      <c r="U237" s="431"/>
      <c r="V237" s="431"/>
      <c r="W237" s="430"/>
      <c r="X237" s="431"/>
      <c r="Y237" s="431"/>
      <c r="Z237" s="431"/>
      <c r="AA237" s="431"/>
      <c r="AB237" s="431"/>
      <c r="AC237" s="431"/>
      <c r="AD237" s="430"/>
      <c r="AE237" s="431"/>
      <c r="AF237" s="431"/>
      <c r="AG237" s="431"/>
      <c r="AH237" s="431"/>
      <c r="AI237" s="431"/>
      <c r="AJ237" s="431"/>
      <c r="AK237" s="430"/>
      <c r="AL237" s="431"/>
      <c r="AM237" s="431"/>
      <c r="AN237" s="432"/>
      <c r="AQ237" s="436"/>
      <c r="AR237" s="436"/>
      <c r="AS237" s="436"/>
      <c r="AT237" s="436"/>
      <c r="AU237" s="436"/>
      <c r="AV237" s="436"/>
      <c r="AW237" s="396">
        <f t="shared" si="27"/>
        <v>0</v>
      </c>
      <c r="AX237" s="434">
        <f t="shared" si="32"/>
        <v>0</v>
      </c>
      <c r="BA237" s="437">
        <f t="shared" si="28"/>
        <v>0</v>
      </c>
      <c r="BB237" s="437">
        <f t="shared" si="29"/>
        <v>0</v>
      </c>
      <c r="BC237" s="437">
        <f t="shared" si="30"/>
        <v>0</v>
      </c>
      <c r="BD237" s="437">
        <f t="shared" si="31"/>
        <v>0</v>
      </c>
      <c r="BE237" s="437"/>
    </row>
    <row r="238" spans="1:57" ht="33" customHeight="1" thickBot="1">
      <c r="A238" s="358" t="s">
        <v>429</v>
      </c>
      <c r="B238" s="374" t="s">
        <v>104</v>
      </c>
      <c r="C238" s="359" t="s">
        <v>35</v>
      </c>
      <c r="D238" s="7">
        <v>0</v>
      </c>
      <c r="E238" s="353"/>
      <c r="F238" s="22">
        <f t="shared" si="25"/>
        <v>0</v>
      </c>
      <c r="G238" s="329"/>
      <c r="H238" s="330">
        <f t="shared" si="26"/>
        <v>0</v>
      </c>
      <c r="I238" s="430"/>
      <c r="J238" s="430"/>
      <c r="K238" s="431"/>
      <c r="L238" s="431"/>
      <c r="M238" s="431"/>
      <c r="N238" s="431"/>
      <c r="O238" s="431"/>
      <c r="P238" s="430"/>
      <c r="Q238" s="431"/>
      <c r="R238" s="431"/>
      <c r="S238" s="431"/>
      <c r="T238" s="431"/>
      <c r="U238" s="431"/>
      <c r="V238" s="431"/>
      <c r="W238" s="430"/>
      <c r="X238" s="431"/>
      <c r="Y238" s="431"/>
      <c r="Z238" s="431"/>
      <c r="AA238" s="431"/>
      <c r="AB238" s="431"/>
      <c r="AC238" s="431"/>
      <c r="AD238" s="430"/>
      <c r="AE238" s="431"/>
      <c r="AF238" s="431"/>
      <c r="AG238" s="431"/>
      <c r="AH238" s="431"/>
      <c r="AI238" s="431"/>
      <c r="AJ238" s="431"/>
      <c r="AK238" s="430"/>
      <c r="AL238" s="431"/>
      <c r="AM238" s="431"/>
      <c r="AN238" s="432"/>
      <c r="AQ238" s="436"/>
      <c r="AR238" s="436"/>
      <c r="AS238" s="436"/>
      <c r="AT238" s="436"/>
      <c r="AU238" s="436"/>
      <c r="AV238" s="436"/>
      <c r="AW238" s="396">
        <f t="shared" si="27"/>
        <v>0</v>
      </c>
      <c r="AX238" s="434">
        <f t="shared" si="32"/>
        <v>0</v>
      </c>
      <c r="BA238" s="437">
        <f t="shared" si="28"/>
        <v>0</v>
      </c>
      <c r="BB238" s="437">
        <f t="shared" si="29"/>
        <v>0</v>
      </c>
      <c r="BC238" s="437">
        <f t="shared" si="30"/>
        <v>0</v>
      </c>
      <c r="BD238" s="437">
        <f t="shared" si="31"/>
        <v>0</v>
      </c>
      <c r="BE238" s="437"/>
    </row>
    <row r="239" spans="1:57" ht="33" customHeight="1" thickBot="1">
      <c r="A239" s="358" t="s">
        <v>430</v>
      </c>
      <c r="B239" s="374" t="s">
        <v>106</v>
      </c>
      <c r="C239" s="359" t="s">
        <v>35</v>
      </c>
      <c r="D239" s="7">
        <v>0</v>
      </c>
      <c r="E239" s="353"/>
      <c r="F239" s="22">
        <f t="shared" si="25"/>
        <v>0</v>
      </c>
      <c r="G239" s="329"/>
      <c r="H239" s="330">
        <f t="shared" si="26"/>
        <v>0</v>
      </c>
      <c r="I239" s="430"/>
      <c r="J239" s="430"/>
      <c r="K239" s="431"/>
      <c r="L239" s="431"/>
      <c r="M239" s="431"/>
      <c r="N239" s="431"/>
      <c r="O239" s="431"/>
      <c r="P239" s="430"/>
      <c r="Q239" s="431"/>
      <c r="R239" s="431"/>
      <c r="S239" s="431"/>
      <c r="T239" s="431"/>
      <c r="U239" s="431"/>
      <c r="V239" s="431"/>
      <c r="W239" s="430"/>
      <c r="X239" s="431"/>
      <c r="Y239" s="431"/>
      <c r="Z239" s="431"/>
      <c r="AA239" s="431"/>
      <c r="AB239" s="431"/>
      <c r="AC239" s="431"/>
      <c r="AD239" s="430"/>
      <c r="AE239" s="431"/>
      <c r="AF239" s="431"/>
      <c r="AG239" s="431"/>
      <c r="AH239" s="431"/>
      <c r="AI239" s="431"/>
      <c r="AJ239" s="431"/>
      <c r="AK239" s="430"/>
      <c r="AL239" s="431"/>
      <c r="AM239" s="431"/>
      <c r="AN239" s="432"/>
      <c r="AQ239" s="436"/>
      <c r="AR239" s="436"/>
      <c r="AS239" s="436"/>
      <c r="AT239" s="436"/>
      <c r="AU239" s="436"/>
      <c r="AV239" s="436"/>
      <c r="AW239" s="396">
        <f t="shared" si="27"/>
        <v>0</v>
      </c>
      <c r="AX239" s="434">
        <f t="shared" si="32"/>
        <v>0</v>
      </c>
      <c r="BA239" s="437">
        <f t="shared" si="28"/>
        <v>0</v>
      </c>
      <c r="BB239" s="437">
        <f t="shared" si="29"/>
        <v>0</v>
      </c>
      <c r="BC239" s="437">
        <f t="shared" si="30"/>
        <v>0</v>
      </c>
      <c r="BD239" s="437">
        <f t="shared" si="31"/>
        <v>0</v>
      </c>
      <c r="BE239" s="437"/>
    </row>
    <row r="240" spans="1:57" ht="33" customHeight="1" thickBot="1">
      <c r="A240" s="358" t="s">
        <v>431</v>
      </c>
      <c r="B240" s="374" t="s">
        <v>108</v>
      </c>
      <c r="C240" s="359" t="s">
        <v>35</v>
      </c>
      <c r="D240" s="7">
        <v>5.3</v>
      </c>
      <c r="E240" s="353"/>
      <c r="F240" s="22">
        <f t="shared" si="25"/>
        <v>0</v>
      </c>
      <c r="G240" s="329"/>
      <c r="H240" s="330">
        <f t="shared" si="26"/>
        <v>0</v>
      </c>
      <c r="I240" s="430"/>
      <c r="J240" s="430"/>
      <c r="K240" s="431"/>
      <c r="L240" s="431"/>
      <c r="M240" s="431"/>
      <c r="N240" s="431"/>
      <c r="O240" s="431"/>
      <c r="P240" s="430"/>
      <c r="Q240" s="431"/>
      <c r="R240" s="431"/>
      <c r="S240" s="431"/>
      <c r="T240" s="431"/>
      <c r="U240" s="431"/>
      <c r="V240" s="431"/>
      <c r="W240" s="430"/>
      <c r="X240" s="431"/>
      <c r="Y240" s="431"/>
      <c r="Z240" s="431"/>
      <c r="AA240" s="431"/>
      <c r="AB240" s="431"/>
      <c r="AC240" s="431"/>
      <c r="AD240" s="430"/>
      <c r="AE240" s="431"/>
      <c r="AF240" s="431"/>
      <c r="AG240" s="431"/>
      <c r="AH240" s="431"/>
      <c r="AI240" s="431"/>
      <c r="AJ240" s="431"/>
      <c r="AK240" s="430"/>
      <c r="AL240" s="431"/>
      <c r="AM240" s="431"/>
      <c r="AN240" s="432"/>
      <c r="AQ240" s="436"/>
      <c r="AR240" s="436"/>
      <c r="AS240" s="436"/>
      <c r="AT240" s="436"/>
      <c r="AU240" s="436"/>
      <c r="AV240" s="436"/>
      <c r="AW240" s="396">
        <f t="shared" si="27"/>
        <v>0</v>
      </c>
      <c r="AX240" s="434">
        <f t="shared" si="32"/>
        <v>0</v>
      </c>
      <c r="BA240" s="437">
        <f t="shared" si="28"/>
        <v>0</v>
      </c>
      <c r="BB240" s="437">
        <f t="shared" si="29"/>
        <v>0</v>
      </c>
      <c r="BC240" s="437">
        <f t="shared" si="30"/>
        <v>0</v>
      </c>
      <c r="BD240" s="437">
        <f t="shared" si="31"/>
        <v>0</v>
      </c>
      <c r="BE240" s="437"/>
    </row>
    <row r="241" spans="1:57" ht="33" customHeight="1" thickBot="1">
      <c r="A241" s="358" t="s">
        <v>432</v>
      </c>
      <c r="B241" s="374" t="s">
        <v>110</v>
      </c>
      <c r="C241" s="359" t="s">
        <v>40</v>
      </c>
      <c r="D241" s="7">
        <v>0.46</v>
      </c>
      <c r="E241" s="353"/>
      <c r="F241" s="22">
        <f t="shared" si="25"/>
        <v>0</v>
      </c>
      <c r="G241" s="329"/>
      <c r="H241" s="330">
        <f t="shared" si="26"/>
        <v>0</v>
      </c>
      <c r="I241" s="430"/>
      <c r="J241" s="430"/>
      <c r="K241" s="431"/>
      <c r="L241" s="431"/>
      <c r="M241" s="431"/>
      <c r="N241" s="431"/>
      <c r="O241" s="431"/>
      <c r="P241" s="430"/>
      <c r="Q241" s="431"/>
      <c r="R241" s="431"/>
      <c r="S241" s="431"/>
      <c r="T241" s="431"/>
      <c r="U241" s="431"/>
      <c r="V241" s="431"/>
      <c r="W241" s="430"/>
      <c r="X241" s="431"/>
      <c r="Y241" s="431"/>
      <c r="Z241" s="431"/>
      <c r="AA241" s="431"/>
      <c r="AB241" s="431"/>
      <c r="AC241" s="431"/>
      <c r="AD241" s="430"/>
      <c r="AE241" s="431"/>
      <c r="AF241" s="431"/>
      <c r="AG241" s="431"/>
      <c r="AH241" s="431"/>
      <c r="AI241" s="431"/>
      <c r="AJ241" s="431"/>
      <c r="AK241" s="430"/>
      <c r="AL241" s="431"/>
      <c r="AM241" s="431"/>
      <c r="AN241" s="432"/>
      <c r="AQ241" s="436"/>
      <c r="AR241" s="436"/>
      <c r="AS241" s="436"/>
      <c r="AT241" s="436"/>
      <c r="AU241" s="436"/>
      <c r="AV241" s="436"/>
      <c r="AW241" s="396">
        <f t="shared" si="27"/>
        <v>0</v>
      </c>
      <c r="AX241" s="434">
        <f t="shared" si="32"/>
        <v>0</v>
      </c>
      <c r="BA241" s="437">
        <f t="shared" si="28"/>
        <v>0</v>
      </c>
      <c r="BB241" s="437">
        <f t="shared" si="29"/>
        <v>0</v>
      </c>
      <c r="BC241" s="437">
        <f t="shared" si="30"/>
        <v>0</v>
      </c>
      <c r="BD241" s="437">
        <f t="shared" si="31"/>
        <v>0</v>
      </c>
      <c r="BE241" s="437"/>
    </row>
    <row r="242" spans="1:57" ht="33" customHeight="1" thickBot="1">
      <c r="A242" s="358" t="s">
        <v>433</v>
      </c>
      <c r="B242" s="374" t="s">
        <v>112</v>
      </c>
      <c r="C242" s="359" t="s">
        <v>40</v>
      </c>
      <c r="D242" s="7">
        <v>0.36</v>
      </c>
      <c r="E242" s="353"/>
      <c r="F242" s="22">
        <f t="shared" si="25"/>
        <v>0</v>
      </c>
      <c r="G242" s="329"/>
      <c r="H242" s="330">
        <f t="shared" si="26"/>
        <v>0</v>
      </c>
      <c r="I242" s="430"/>
      <c r="J242" s="430"/>
      <c r="K242" s="431"/>
      <c r="L242" s="431"/>
      <c r="M242" s="431"/>
      <c r="N242" s="431"/>
      <c r="O242" s="431"/>
      <c r="P242" s="430"/>
      <c r="Q242" s="431"/>
      <c r="R242" s="431"/>
      <c r="S242" s="431"/>
      <c r="T242" s="431"/>
      <c r="U242" s="431"/>
      <c r="V242" s="431"/>
      <c r="W242" s="430"/>
      <c r="X242" s="431"/>
      <c r="Y242" s="431"/>
      <c r="Z242" s="431"/>
      <c r="AA242" s="431"/>
      <c r="AB242" s="431"/>
      <c r="AC242" s="431"/>
      <c r="AD242" s="430"/>
      <c r="AE242" s="431"/>
      <c r="AF242" s="431"/>
      <c r="AG242" s="431"/>
      <c r="AH242" s="431"/>
      <c r="AI242" s="431"/>
      <c r="AJ242" s="431"/>
      <c r="AK242" s="430"/>
      <c r="AL242" s="431"/>
      <c r="AM242" s="431"/>
      <c r="AN242" s="432"/>
      <c r="AQ242" s="436"/>
      <c r="AR242" s="436"/>
      <c r="AS242" s="436"/>
      <c r="AT242" s="436"/>
      <c r="AU242" s="436"/>
      <c r="AV242" s="436"/>
      <c r="AW242" s="396">
        <f t="shared" si="27"/>
        <v>0</v>
      </c>
      <c r="AX242" s="434">
        <f t="shared" si="32"/>
        <v>0</v>
      </c>
      <c r="BA242" s="437">
        <f t="shared" si="28"/>
        <v>0</v>
      </c>
      <c r="BB242" s="437">
        <f t="shared" si="29"/>
        <v>0</v>
      </c>
      <c r="BC242" s="437">
        <f t="shared" si="30"/>
        <v>0</v>
      </c>
      <c r="BD242" s="437">
        <f t="shared" si="31"/>
        <v>0</v>
      </c>
      <c r="BE242" s="437"/>
    </row>
    <row r="243" spans="1:57" ht="33" customHeight="1" thickBot="1">
      <c r="A243" s="358" t="s">
        <v>434</v>
      </c>
      <c r="B243" s="368" t="s">
        <v>114</v>
      </c>
      <c r="C243" s="359" t="s">
        <v>35</v>
      </c>
      <c r="D243" s="7">
        <v>35.590000000000003</v>
      </c>
      <c r="E243" s="353"/>
      <c r="F243" s="22">
        <f t="shared" si="25"/>
        <v>0</v>
      </c>
      <c r="G243" s="329"/>
      <c r="H243" s="330">
        <f t="shared" si="26"/>
        <v>0</v>
      </c>
      <c r="I243" s="430"/>
      <c r="J243" s="430"/>
      <c r="K243" s="431"/>
      <c r="L243" s="431"/>
      <c r="M243" s="431"/>
      <c r="N243" s="431"/>
      <c r="O243" s="431"/>
      <c r="P243" s="430"/>
      <c r="Q243" s="431"/>
      <c r="R243" s="431"/>
      <c r="S243" s="431"/>
      <c r="T243" s="431"/>
      <c r="U243" s="431"/>
      <c r="V243" s="431"/>
      <c r="W243" s="430"/>
      <c r="X243" s="431"/>
      <c r="Y243" s="431"/>
      <c r="Z243" s="431"/>
      <c r="AA243" s="431"/>
      <c r="AB243" s="431"/>
      <c r="AC243" s="431"/>
      <c r="AD243" s="430"/>
      <c r="AE243" s="431"/>
      <c r="AF243" s="431"/>
      <c r="AG243" s="431"/>
      <c r="AH243" s="431"/>
      <c r="AI243" s="431"/>
      <c r="AJ243" s="431"/>
      <c r="AK243" s="430"/>
      <c r="AL243" s="431"/>
      <c r="AM243" s="431"/>
      <c r="AN243" s="432"/>
      <c r="AQ243" s="436"/>
      <c r="AR243" s="436"/>
      <c r="AS243" s="436"/>
      <c r="AT243" s="436"/>
      <c r="AU243" s="436"/>
      <c r="AV243" s="436"/>
      <c r="AW243" s="396">
        <f t="shared" si="27"/>
        <v>0</v>
      </c>
      <c r="AX243" s="434">
        <f t="shared" si="32"/>
        <v>0</v>
      </c>
      <c r="BA243" s="437">
        <f t="shared" si="28"/>
        <v>0</v>
      </c>
      <c r="BB243" s="437">
        <f t="shared" si="29"/>
        <v>0</v>
      </c>
      <c r="BC243" s="437">
        <f t="shared" si="30"/>
        <v>0</v>
      </c>
      <c r="BD243" s="437">
        <f t="shared" si="31"/>
        <v>0</v>
      </c>
      <c r="BE243" s="437"/>
    </row>
    <row r="244" spans="1:57" ht="33" customHeight="1" thickBot="1">
      <c r="A244" s="358" t="s">
        <v>435</v>
      </c>
      <c r="B244" s="374" t="s">
        <v>116</v>
      </c>
      <c r="C244" s="359" t="s">
        <v>35</v>
      </c>
      <c r="D244" s="7">
        <v>38.47</v>
      </c>
      <c r="E244" s="353"/>
      <c r="F244" s="22">
        <f t="shared" si="25"/>
        <v>0</v>
      </c>
      <c r="G244" s="329"/>
      <c r="H244" s="330">
        <f t="shared" si="26"/>
        <v>0</v>
      </c>
      <c r="I244" s="430"/>
      <c r="J244" s="430"/>
      <c r="K244" s="431"/>
      <c r="L244" s="431"/>
      <c r="M244" s="431"/>
      <c r="N244" s="431"/>
      <c r="O244" s="431"/>
      <c r="P244" s="430"/>
      <c r="Q244" s="431"/>
      <c r="R244" s="431"/>
      <c r="S244" s="431"/>
      <c r="T244" s="431"/>
      <c r="U244" s="431"/>
      <c r="V244" s="431"/>
      <c r="W244" s="430"/>
      <c r="X244" s="431"/>
      <c r="Y244" s="431"/>
      <c r="Z244" s="431"/>
      <c r="AA244" s="431"/>
      <c r="AB244" s="431"/>
      <c r="AC244" s="431"/>
      <c r="AD244" s="430"/>
      <c r="AE244" s="431"/>
      <c r="AF244" s="431"/>
      <c r="AG244" s="431"/>
      <c r="AH244" s="431"/>
      <c r="AI244" s="431"/>
      <c r="AJ244" s="431"/>
      <c r="AK244" s="430"/>
      <c r="AL244" s="431"/>
      <c r="AM244" s="431"/>
      <c r="AN244" s="432"/>
      <c r="AQ244" s="436"/>
      <c r="AR244" s="436"/>
      <c r="AS244" s="436"/>
      <c r="AT244" s="436"/>
      <c r="AU244" s="436"/>
      <c r="AV244" s="436"/>
      <c r="AW244" s="396">
        <f t="shared" si="27"/>
        <v>0</v>
      </c>
      <c r="AX244" s="434">
        <f t="shared" si="32"/>
        <v>0</v>
      </c>
      <c r="BA244" s="437">
        <f t="shared" si="28"/>
        <v>0</v>
      </c>
      <c r="BB244" s="437">
        <f t="shared" si="29"/>
        <v>0</v>
      </c>
      <c r="BC244" s="437">
        <f t="shared" si="30"/>
        <v>0</v>
      </c>
      <c r="BD244" s="437">
        <f t="shared" si="31"/>
        <v>0</v>
      </c>
      <c r="BE244" s="437"/>
    </row>
    <row r="245" spans="1:57" ht="33" customHeight="1" thickBot="1">
      <c r="A245" s="358" t="s">
        <v>436</v>
      </c>
      <c r="B245" s="341" t="s">
        <v>121</v>
      </c>
      <c r="C245" s="359" t="s">
        <v>21</v>
      </c>
      <c r="D245" s="7">
        <v>0.19</v>
      </c>
      <c r="E245" s="353"/>
      <c r="F245" s="22">
        <f t="shared" si="25"/>
        <v>0</v>
      </c>
      <c r="G245" s="329"/>
      <c r="H245" s="330">
        <f t="shared" si="26"/>
        <v>0</v>
      </c>
      <c r="I245" s="430"/>
      <c r="J245" s="430"/>
      <c r="K245" s="431"/>
      <c r="L245" s="431"/>
      <c r="M245" s="431"/>
      <c r="N245" s="431"/>
      <c r="O245" s="431"/>
      <c r="P245" s="430"/>
      <c r="Q245" s="431"/>
      <c r="R245" s="431"/>
      <c r="S245" s="431"/>
      <c r="T245" s="431"/>
      <c r="U245" s="431"/>
      <c r="V245" s="431"/>
      <c r="W245" s="430"/>
      <c r="X245" s="431"/>
      <c r="Y245" s="431"/>
      <c r="Z245" s="431"/>
      <c r="AA245" s="431"/>
      <c r="AB245" s="431"/>
      <c r="AC245" s="431"/>
      <c r="AD245" s="430"/>
      <c r="AE245" s="431"/>
      <c r="AF245" s="431"/>
      <c r="AG245" s="431"/>
      <c r="AH245" s="431"/>
      <c r="AI245" s="431"/>
      <c r="AJ245" s="431"/>
      <c r="AK245" s="430"/>
      <c r="AL245" s="431"/>
      <c r="AM245" s="431"/>
      <c r="AN245" s="432"/>
      <c r="AQ245" s="436"/>
      <c r="AR245" s="436"/>
      <c r="AS245" s="436"/>
      <c r="AT245" s="436"/>
      <c r="AU245" s="436"/>
      <c r="AV245" s="436"/>
      <c r="AW245" s="396">
        <f t="shared" si="27"/>
        <v>0</v>
      </c>
      <c r="AX245" s="434">
        <f t="shared" si="32"/>
        <v>0</v>
      </c>
      <c r="BA245" s="437">
        <f t="shared" si="28"/>
        <v>0</v>
      </c>
      <c r="BB245" s="437">
        <f t="shared" si="29"/>
        <v>0</v>
      </c>
      <c r="BC245" s="437">
        <f t="shared" si="30"/>
        <v>0</v>
      </c>
      <c r="BD245" s="437">
        <f t="shared" si="31"/>
        <v>0</v>
      </c>
      <c r="BE245" s="437"/>
    </row>
    <row r="246" spans="1:57" ht="33" customHeight="1" thickBot="1">
      <c r="A246" s="361" t="s">
        <v>437</v>
      </c>
      <c r="B246" s="23" t="s">
        <v>438</v>
      </c>
      <c r="C246" s="362" t="s">
        <v>35</v>
      </c>
      <c r="D246" s="7">
        <v>31.2</v>
      </c>
      <c r="E246" s="353"/>
      <c r="F246" s="22">
        <f t="shared" si="25"/>
        <v>0</v>
      </c>
      <c r="G246" s="329"/>
      <c r="H246" s="330">
        <f t="shared" si="26"/>
        <v>0</v>
      </c>
      <c r="I246" s="430"/>
      <c r="J246" s="430"/>
      <c r="K246" s="431"/>
      <c r="L246" s="431"/>
      <c r="M246" s="431"/>
      <c r="N246" s="431"/>
      <c r="O246" s="431"/>
      <c r="P246" s="430"/>
      <c r="Q246" s="431"/>
      <c r="R246" s="431"/>
      <c r="S246" s="431"/>
      <c r="T246" s="431"/>
      <c r="U246" s="431"/>
      <c r="V246" s="431"/>
      <c r="W246" s="430"/>
      <c r="X246" s="431"/>
      <c r="Y246" s="431"/>
      <c r="Z246" s="431"/>
      <c r="AA246" s="431"/>
      <c r="AB246" s="431"/>
      <c r="AC246" s="431"/>
      <c r="AD246" s="430"/>
      <c r="AE246" s="431"/>
      <c r="AF246" s="431"/>
      <c r="AG246" s="431"/>
      <c r="AH246" s="431"/>
      <c r="AI246" s="431"/>
      <c r="AJ246" s="431"/>
      <c r="AK246" s="430"/>
      <c r="AL246" s="431"/>
      <c r="AM246" s="431"/>
      <c r="AN246" s="432"/>
      <c r="AQ246" s="436"/>
      <c r="AR246" s="436"/>
      <c r="AS246" s="436"/>
      <c r="AT246" s="436"/>
      <c r="AU246" s="436"/>
      <c r="AV246" s="436"/>
      <c r="AW246" s="396">
        <f t="shared" si="27"/>
        <v>0</v>
      </c>
      <c r="AX246" s="434">
        <f t="shared" si="32"/>
        <v>0</v>
      </c>
      <c r="BA246" s="437">
        <f t="shared" si="28"/>
        <v>0</v>
      </c>
      <c r="BB246" s="437">
        <f t="shared" si="29"/>
        <v>0</v>
      </c>
      <c r="BC246" s="437">
        <f t="shared" si="30"/>
        <v>0</v>
      </c>
      <c r="BD246" s="437">
        <f t="shared" si="31"/>
        <v>0</v>
      </c>
      <c r="BE246" s="437"/>
    </row>
    <row r="247" spans="1:57" ht="33" customHeight="1" thickBot="1">
      <c r="A247" s="358" t="s">
        <v>439</v>
      </c>
      <c r="B247" s="341" t="s">
        <v>125</v>
      </c>
      <c r="C247" s="359" t="s">
        <v>35</v>
      </c>
      <c r="D247" s="7">
        <v>45.99</v>
      </c>
      <c r="E247" s="353"/>
      <c r="F247" s="22">
        <f t="shared" si="25"/>
        <v>0</v>
      </c>
      <c r="G247" s="329"/>
      <c r="H247" s="330">
        <f t="shared" si="26"/>
        <v>0</v>
      </c>
      <c r="I247" s="430"/>
      <c r="J247" s="430"/>
      <c r="K247" s="431"/>
      <c r="L247" s="431"/>
      <c r="M247" s="431"/>
      <c r="N247" s="431"/>
      <c r="O247" s="431"/>
      <c r="P247" s="430"/>
      <c r="Q247" s="431"/>
      <c r="R247" s="431"/>
      <c r="S247" s="431"/>
      <c r="T247" s="431"/>
      <c r="U247" s="431"/>
      <c r="V247" s="431"/>
      <c r="W247" s="430"/>
      <c r="X247" s="431"/>
      <c r="Y247" s="431"/>
      <c r="Z247" s="431"/>
      <c r="AA247" s="431"/>
      <c r="AB247" s="431"/>
      <c r="AC247" s="431"/>
      <c r="AD247" s="430"/>
      <c r="AE247" s="431"/>
      <c r="AF247" s="431"/>
      <c r="AG247" s="431"/>
      <c r="AH247" s="431"/>
      <c r="AI247" s="431"/>
      <c r="AJ247" s="431"/>
      <c r="AK247" s="430"/>
      <c r="AL247" s="431"/>
      <c r="AM247" s="431"/>
      <c r="AN247" s="432"/>
      <c r="AQ247" s="436"/>
      <c r="AR247" s="436"/>
      <c r="AS247" s="436"/>
      <c r="AT247" s="436"/>
      <c r="AU247" s="436"/>
      <c r="AV247" s="436"/>
      <c r="AW247" s="396">
        <f t="shared" si="27"/>
        <v>0</v>
      </c>
      <c r="AX247" s="434">
        <f t="shared" si="32"/>
        <v>0</v>
      </c>
      <c r="BA247" s="437">
        <f t="shared" si="28"/>
        <v>0</v>
      </c>
      <c r="BB247" s="437">
        <f t="shared" si="29"/>
        <v>0</v>
      </c>
      <c r="BC247" s="437">
        <f t="shared" si="30"/>
        <v>0</v>
      </c>
      <c r="BD247" s="437">
        <f t="shared" si="31"/>
        <v>0</v>
      </c>
      <c r="BE247" s="437"/>
    </row>
    <row r="248" spans="1:57" ht="38.25" customHeight="1" thickBot="1">
      <c r="A248" s="358" t="s">
        <v>440</v>
      </c>
      <c r="B248" s="341" t="s">
        <v>441</v>
      </c>
      <c r="C248" s="359" t="s">
        <v>35</v>
      </c>
      <c r="D248" s="7">
        <v>56.03</v>
      </c>
      <c r="E248" s="353"/>
      <c r="F248" s="22">
        <f t="shared" si="25"/>
        <v>0</v>
      </c>
      <c r="G248" s="329"/>
      <c r="H248" s="330">
        <f t="shared" si="26"/>
        <v>0</v>
      </c>
      <c r="I248" s="430"/>
      <c r="J248" s="430"/>
      <c r="K248" s="431"/>
      <c r="L248" s="431"/>
      <c r="M248" s="431"/>
      <c r="N248" s="431"/>
      <c r="O248" s="431"/>
      <c r="P248" s="430"/>
      <c r="Q248" s="431"/>
      <c r="R248" s="431"/>
      <c r="S248" s="431"/>
      <c r="T248" s="431"/>
      <c r="U248" s="431"/>
      <c r="V248" s="431"/>
      <c r="W248" s="430"/>
      <c r="X248" s="431"/>
      <c r="Y248" s="431"/>
      <c r="Z248" s="431"/>
      <c r="AA248" s="431"/>
      <c r="AB248" s="431"/>
      <c r="AC248" s="431"/>
      <c r="AD248" s="430"/>
      <c r="AE248" s="431"/>
      <c r="AF248" s="431"/>
      <c r="AG248" s="431"/>
      <c r="AH248" s="431"/>
      <c r="AI248" s="431"/>
      <c r="AJ248" s="431"/>
      <c r="AK248" s="430"/>
      <c r="AL248" s="431"/>
      <c r="AM248" s="431"/>
      <c r="AN248" s="432"/>
      <c r="AQ248" s="436"/>
      <c r="AR248" s="436"/>
      <c r="AS248" s="436"/>
      <c r="AT248" s="436"/>
      <c r="AU248" s="436"/>
      <c r="AV248" s="436"/>
      <c r="AW248" s="396">
        <f t="shared" si="27"/>
        <v>0</v>
      </c>
      <c r="AX248" s="434">
        <f t="shared" si="32"/>
        <v>0</v>
      </c>
      <c r="BA248" s="437">
        <f t="shared" si="28"/>
        <v>0</v>
      </c>
      <c r="BB248" s="437">
        <f t="shared" si="29"/>
        <v>0</v>
      </c>
      <c r="BC248" s="437">
        <f t="shared" si="30"/>
        <v>0</v>
      </c>
      <c r="BD248" s="437">
        <f t="shared" si="31"/>
        <v>0</v>
      </c>
      <c r="BE248" s="437"/>
    </row>
    <row r="249" spans="1:57" ht="33" customHeight="1" thickBot="1">
      <c r="A249" s="361" t="s">
        <v>442</v>
      </c>
      <c r="B249" s="23" t="s">
        <v>443</v>
      </c>
      <c r="C249" s="362" t="s">
        <v>234</v>
      </c>
      <c r="D249" s="7">
        <v>65.33</v>
      </c>
      <c r="E249" s="353"/>
      <c r="F249" s="22">
        <f t="shared" si="25"/>
        <v>0</v>
      </c>
      <c r="G249" s="329"/>
      <c r="H249" s="330">
        <f t="shared" si="26"/>
        <v>0</v>
      </c>
      <c r="I249" s="430"/>
      <c r="J249" s="430"/>
      <c r="K249" s="431"/>
      <c r="L249" s="431"/>
      <c r="M249" s="431"/>
      <c r="N249" s="431"/>
      <c r="O249" s="431"/>
      <c r="P249" s="430"/>
      <c r="Q249" s="431"/>
      <c r="R249" s="431"/>
      <c r="S249" s="431"/>
      <c r="T249" s="431"/>
      <c r="U249" s="431"/>
      <c r="V249" s="431"/>
      <c r="W249" s="430"/>
      <c r="X249" s="431"/>
      <c r="Y249" s="431"/>
      <c r="Z249" s="431"/>
      <c r="AA249" s="431"/>
      <c r="AB249" s="431"/>
      <c r="AC249" s="431"/>
      <c r="AD249" s="430"/>
      <c r="AE249" s="431"/>
      <c r="AF249" s="431"/>
      <c r="AG249" s="431"/>
      <c r="AH249" s="431"/>
      <c r="AI249" s="431"/>
      <c r="AJ249" s="431"/>
      <c r="AK249" s="430"/>
      <c r="AL249" s="431"/>
      <c r="AM249" s="431"/>
      <c r="AN249" s="432"/>
      <c r="AQ249" s="436"/>
      <c r="AR249" s="436"/>
      <c r="AS249" s="436"/>
      <c r="AT249" s="436"/>
      <c r="AU249" s="436"/>
      <c r="AV249" s="436"/>
      <c r="AW249" s="396">
        <f t="shared" si="27"/>
        <v>0</v>
      </c>
      <c r="AX249" s="434">
        <f t="shared" si="32"/>
        <v>0</v>
      </c>
      <c r="BA249" s="437">
        <f t="shared" si="28"/>
        <v>0</v>
      </c>
      <c r="BB249" s="437">
        <f t="shared" si="29"/>
        <v>0</v>
      </c>
      <c r="BC249" s="437">
        <f t="shared" si="30"/>
        <v>0</v>
      </c>
      <c r="BD249" s="437">
        <f t="shared" si="31"/>
        <v>0</v>
      </c>
      <c r="BE249" s="437"/>
    </row>
    <row r="250" spans="1:57" ht="33" customHeight="1" thickBot="1">
      <c r="A250" s="358" t="s">
        <v>444</v>
      </c>
      <c r="B250" s="332" t="s">
        <v>445</v>
      </c>
      <c r="C250" s="359" t="s">
        <v>234</v>
      </c>
      <c r="D250" s="7">
        <v>130.69</v>
      </c>
      <c r="E250" s="353"/>
      <c r="F250" s="22">
        <f t="shared" si="25"/>
        <v>0</v>
      </c>
      <c r="G250" s="329"/>
      <c r="H250" s="330">
        <f t="shared" si="26"/>
        <v>0</v>
      </c>
      <c r="I250" s="430"/>
      <c r="J250" s="430"/>
      <c r="K250" s="431"/>
      <c r="L250" s="431"/>
      <c r="M250" s="431"/>
      <c r="N250" s="431"/>
      <c r="O250" s="431"/>
      <c r="P250" s="430"/>
      <c r="Q250" s="431"/>
      <c r="R250" s="431"/>
      <c r="S250" s="431"/>
      <c r="T250" s="431"/>
      <c r="U250" s="431"/>
      <c r="V250" s="431"/>
      <c r="W250" s="430"/>
      <c r="X250" s="431"/>
      <c r="Y250" s="431"/>
      <c r="Z250" s="431"/>
      <c r="AA250" s="431"/>
      <c r="AB250" s="431"/>
      <c r="AC250" s="431"/>
      <c r="AD250" s="430"/>
      <c r="AE250" s="431"/>
      <c r="AF250" s="431"/>
      <c r="AG250" s="431"/>
      <c r="AH250" s="431"/>
      <c r="AI250" s="431"/>
      <c r="AJ250" s="431"/>
      <c r="AK250" s="430"/>
      <c r="AL250" s="431"/>
      <c r="AM250" s="431"/>
      <c r="AN250" s="432"/>
      <c r="AQ250" s="436"/>
      <c r="AR250" s="436"/>
      <c r="AS250" s="436"/>
      <c r="AT250" s="436"/>
      <c r="AU250" s="436"/>
      <c r="AV250" s="436"/>
      <c r="AW250" s="396">
        <f t="shared" si="27"/>
        <v>0</v>
      </c>
      <c r="AX250" s="434">
        <f t="shared" si="32"/>
        <v>0</v>
      </c>
      <c r="BA250" s="437">
        <f t="shared" si="28"/>
        <v>0</v>
      </c>
      <c r="BB250" s="437">
        <f t="shared" si="29"/>
        <v>0</v>
      </c>
      <c r="BC250" s="437">
        <f t="shared" si="30"/>
        <v>0</v>
      </c>
      <c r="BD250" s="437">
        <f t="shared" si="31"/>
        <v>0</v>
      </c>
      <c r="BE250" s="437"/>
    </row>
    <row r="251" spans="1:57" ht="33" customHeight="1" thickBot="1">
      <c r="A251" s="358" t="s">
        <v>446</v>
      </c>
      <c r="B251" s="332" t="s">
        <v>447</v>
      </c>
      <c r="C251" s="359" t="s">
        <v>234</v>
      </c>
      <c r="D251" s="7">
        <v>111.78</v>
      </c>
      <c r="E251" s="353"/>
      <c r="F251" s="22">
        <f t="shared" si="25"/>
        <v>0</v>
      </c>
      <c r="G251" s="329"/>
      <c r="H251" s="330">
        <f t="shared" si="26"/>
        <v>0</v>
      </c>
      <c r="I251" s="430"/>
      <c r="J251" s="430"/>
      <c r="K251" s="431"/>
      <c r="L251" s="431"/>
      <c r="M251" s="431"/>
      <c r="N251" s="431"/>
      <c r="O251" s="431"/>
      <c r="P251" s="430"/>
      <c r="Q251" s="431"/>
      <c r="R251" s="431"/>
      <c r="S251" s="431"/>
      <c r="T251" s="431"/>
      <c r="U251" s="431"/>
      <c r="V251" s="431"/>
      <c r="W251" s="430"/>
      <c r="X251" s="431"/>
      <c r="Y251" s="431"/>
      <c r="Z251" s="431"/>
      <c r="AA251" s="431"/>
      <c r="AB251" s="431"/>
      <c r="AC251" s="431"/>
      <c r="AD251" s="430"/>
      <c r="AE251" s="431"/>
      <c r="AF251" s="431"/>
      <c r="AG251" s="431"/>
      <c r="AH251" s="431"/>
      <c r="AI251" s="431"/>
      <c r="AJ251" s="431"/>
      <c r="AK251" s="430"/>
      <c r="AL251" s="431"/>
      <c r="AM251" s="431"/>
      <c r="AN251" s="432"/>
      <c r="AQ251" s="436"/>
      <c r="AR251" s="436"/>
      <c r="AS251" s="436"/>
      <c r="AT251" s="436"/>
      <c r="AU251" s="436"/>
      <c r="AV251" s="436"/>
      <c r="AW251" s="396">
        <f t="shared" si="27"/>
        <v>0</v>
      </c>
      <c r="AX251" s="434">
        <f t="shared" si="32"/>
        <v>0</v>
      </c>
      <c r="BA251" s="437">
        <f t="shared" si="28"/>
        <v>0</v>
      </c>
      <c r="BB251" s="437">
        <f t="shared" si="29"/>
        <v>0</v>
      </c>
      <c r="BC251" s="437">
        <f t="shared" si="30"/>
        <v>0</v>
      </c>
      <c r="BD251" s="437">
        <f t="shared" si="31"/>
        <v>0</v>
      </c>
      <c r="BE251" s="437"/>
    </row>
    <row r="252" spans="1:57" ht="33" customHeight="1" thickBot="1">
      <c r="A252" s="358" t="s">
        <v>448</v>
      </c>
      <c r="B252" s="332" t="s">
        <v>449</v>
      </c>
      <c r="C252" s="360" t="s">
        <v>212</v>
      </c>
      <c r="D252" s="7">
        <v>58.41</v>
      </c>
      <c r="E252" s="353"/>
      <c r="F252" s="22">
        <f t="shared" si="25"/>
        <v>0</v>
      </c>
      <c r="G252" s="329"/>
      <c r="H252" s="330">
        <f t="shared" si="26"/>
        <v>0</v>
      </c>
      <c r="I252" s="430"/>
      <c r="J252" s="430"/>
      <c r="K252" s="431"/>
      <c r="L252" s="431"/>
      <c r="M252" s="431"/>
      <c r="N252" s="431"/>
      <c r="O252" s="431"/>
      <c r="P252" s="430"/>
      <c r="Q252" s="431"/>
      <c r="R252" s="431"/>
      <c r="S252" s="431"/>
      <c r="T252" s="431"/>
      <c r="U252" s="431"/>
      <c r="V252" s="431"/>
      <c r="W252" s="430"/>
      <c r="X252" s="431"/>
      <c r="Y252" s="431"/>
      <c r="Z252" s="431"/>
      <c r="AA252" s="431"/>
      <c r="AB252" s="431"/>
      <c r="AC252" s="431"/>
      <c r="AD252" s="430"/>
      <c r="AE252" s="431"/>
      <c r="AF252" s="431"/>
      <c r="AG252" s="431"/>
      <c r="AH252" s="431"/>
      <c r="AI252" s="431"/>
      <c r="AJ252" s="431"/>
      <c r="AK252" s="430"/>
      <c r="AL252" s="431"/>
      <c r="AM252" s="431"/>
      <c r="AN252" s="432"/>
      <c r="AQ252" s="436"/>
      <c r="AR252" s="436"/>
      <c r="AS252" s="436"/>
      <c r="AT252" s="436"/>
      <c r="AU252" s="436"/>
      <c r="AV252" s="436"/>
      <c r="AW252" s="396">
        <f t="shared" si="27"/>
        <v>0</v>
      </c>
      <c r="AX252" s="434">
        <f t="shared" si="32"/>
        <v>0</v>
      </c>
      <c r="BA252" s="437">
        <f t="shared" si="28"/>
        <v>0</v>
      </c>
      <c r="BB252" s="437">
        <f t="shared" si="29"/>
        <v>0</v>
      </c>
      <c r="BC252" s="437">
        <f t="shared" si="30"/>
        <v>0</v>
      </c>
      <c r="BD252" s="437">
        <f t="shared" si="31"/>
        <v>0</v>
      </c>
      <c r="BE252" s="437"/>
    </row>
    <row r="253" spans="1:57" ht="33" customHeight="1" thickBot="1">
      <c r="A253" s="358" t="s">
        <v>450</v>
      </c>
      <c r="B253" s="332" t="s">
        <v>143</v>
      </c>
      <c r="C253" s="360" t="s">
        <v>144</v>
      </c>
      <c r="D253" s="7">
        <v>438.72</v>
      </c>
      <c r="E253" s="353"/>
      <c r="F253" s="22">
        <f t="shared" si="25"/>
        <v>0</v>
      </c>
      <c r="G253" s="329"/>
      <c r="H253" s="330">
        <f t="shared" si="26"/>
        <v>0</v>
      </c>
      <c r="I253" s="430"/>
      <c r="J253" s="430"/>
      <c r="K253" s="431"/>
      <c r="L253" s="431"/>
      <c r="M253" s="431"/>
      <c r="N253" s="431"/>
      <c r="O253" s="431"/>
      <c r="P253" s="430"/>
      <c r="Q253" s="431"/>
      <c r="R253" s="431"/>
      <c r="S253" s="431"/>
      <c r="T253" s="431"/>
      <c r="U253" s="431"/>
      <c r="V253" s="431"/>
      <c r="W253" s="430"/>
      <c r="X253" s="431"/>
      <c r="Y253" s="431"/>
      <c r="Z253" s="431"/>
      <c r="AA253" s="431"/>
      <c r="AB253" s="431"/>
      <c r="AC253" s="431"/>
      <c r="AD253" s="430"/>
      <c r="AE253" s="431"/>
      <c r="AF253" s="431"/>
      <c r="AG253" s="431"/>
      <c r="AH253" s="431"/>
      <c r="AI253" s="431"/>
      <c r="AJ253" s="431"/>
      <c r="AK253" s="430"/>
      <c r="AL253" s="431"/>
      <c r="AM253" s="431"/>
      <c r="AN253" s="432"/>
      <c r="AQ253" s="436"/>
      <c r="AR253" s="436"/>
      <c r="AS253" s="436"/>
      <c r="AT253" s="436"/>
      <c r="AU253" s="436"/>
      <c r="AV253" s="436"/>
      <c r="AW253" s="396">
        <f t="shared" si="27"/>
        <v>0</v>
      </c>
      <c r="AX253" s="434">
        <f t="shared" si="32"/>
        <v>0</v>
      </c>
      <c r="BA253" s="437">
        <f t="shared" si="28"/>
        <v>0</v>
      </c>
      <c r="BB253" s="437">
        <f t="shared" si="29"/>
        <v>0</v>
      </c>
      <c r="BC253" s="437">
        <f t="shared" si="30"/>
        <v>0</v>
      </c>
      <c r="BD253" s="437">
        <f t="shared" si="31"/>
        <v>0</v>
      </c>
      <c r="BE253" s="437"/>
    </row>
    <row r="254" spans="1:57" ht="33" customHeight="1" thickBot="1">
      <c r="A254" s="361" t="s">
        <v>451</v>
      </c>
      <c r="B254" s="342" t="s">
        <v>146</v>
      </c>
      <c r="C254" s="362" t="s">
        <v>144</v>
      </c>
      <c r="D254" s="7">
        <v>265.37</v>
      </c>
      <c r="E254" s="353"/>
      <c r="F254" s="22">
        <f t="shared" si="25"/>
        <v>0</v>
      </c>
      <c r="G254" s="329"/>
      <c r="H254" s="330">
        <f t="shared" si="26"/>
        <v>0</v>
      </c>
      <c r="I254" s="430"/>
      <c r="J254" s="430"/>
      <c r="K254" s="431"/>
      <c r="L254" s="431"/>
      <c r="M254" s="431"/>
      <c r="N254" s="431"/>
      <c r="O254" s="431"/>
      <c r="P254" s="430"/>
      <c r="Q254" s="431"/>
      <c r="R254" s="431"/>
      <c r="S254" s="431"/>
      <c r="T254" s="431"/>
      <c r="U254" s="431"/>
      <c r="V254" s="431"/>
      <c r="W254" s="430"/>
      <c r="X254" s="431"/>
      <c r="Y254" s="431"/>
      <c r="Z254" s="431"/>
      <c r="AA254" s="431"/>
      <c r="AB254" s="431"/>
      <c r="AC254" s="431"/>
      <c r="AD254" s="430"/>
      <c r="AE254" s="431"/>
      <c r="AF254" s="431"/>
      <c r="AG254" s="431"/>
      <c r="AH254" s="431"/>
      <c r="AI254" s="431"/>
      <c r="AJ254" s="431"/>
      <c r="AK254" s="430"/>
      <c r="AL254" s="431"/>
      <c r="AM254" s="431"/>
      <c r="AN254" s="432"/>
      <c r="AQ254" s="436"/>
      <c r="AR254" s="436"/>
      <c r="AS254" s="436"/>
      <c r="AT254" s="436"/>
      <c r="AU254" s="436"/>
      <c r="AV254" s="436"/>
      <c r="AW254" s="396">
        <f t="shared" si="27"/>
        <v>0</v>
      </c>
      <c r="AX254" s="434">
        <f t="shared" si="32"/>
        <v>0</v>
      </c>
      <c r="BA254" s="437">
        <f t="shared" si="28"/>
        <v>0</v>
      </c>
      <c r="BB254" s="437">
        <f t="shared" si="29"/>
        <v>0</v>
      </c>
      <c r="BC254" s="437">
        <f t="shared" si="30"/>
        <v>0</v>
      </c>
      <c r="BD254" s="437">
        <f t="shared" si="31"/>
        <v>0</v>
      </c>
      <c r="BE254" s="437"/>
    </row>
    <row r="255" spans="1:57" ht="33" customHeight="1" thickBot="1">
      <c r="A255" s="361" t="s">
        <v>452</v>
      </c>
      <c r="B255" s="23" t="s">
        <v>148</v>
      </c>
      <c r="C255" s="363" t="s">
        <v>144</v>
      </c>
      <c r="D255" s="7">
        <v>100</v>
      </c>
      <c r="E255" s="353"/>
      <c r="F255" s="22">
        <f t="shared" si="25"/>
        <v>0</v>
      </c>
      <c r="G255" s="329"/>
      <c r="H255" s="330">
        <f t="shared" si="26"/>
        <v>0</v>
      </c>
      <c r="I255" s="430"/>
      <c r="J255" s="430"/>
      <c r="K255" s="431"/>
      <c r="L255" s="431"/>
      <c r="M255" s="431"/>
      <c r="N255" s="431"/>
      <c r="O255" s="431"/>
      <c r="P255" s="430"/>
      <c r="Q255" s="431"/>
      <c r="R255" s="431"/>
      <c r="S255" s="431"/>
      <c r="T255" s="431"/>
      <c r="U255" s="431"/>
      <c r="V255" s="431"/>
      <c r="W255" s="430"/>
      <c r="X255" s="431"/>
      <c r="Y255" s="431"/>
      <c r="Z255" s="431"/>
      <c r="AA255" s="431"/>
      <c r="AB255" s="431"/>
      <c r="AC255" s="431"/>
      <c r="AD255" s="430"/>
      <c r="AE255" s="431"/>
      <c r="AF255" s="431"/>
      <c r="AG255" s="431"/>
      <c r="AH255" s="431"/>
      <c r="AI255" s="431"/>
      <c r="AJ255" s="431"/>
      <c r="AK255" s="430"/>
      <c r="AL255" s="431"/>
      <c r="AM255" s="431"/>
      <c r="AN255" s="432"/>
      <c r="AQ255" s="436"/>
      <c r="AR255" s="436"/>
      <c r="AS255" s="436"/>
      <c r="AT255" s="436"/>
      <c r="AU255" s="436"/>
      <c r="AV255" s="436"/>
      <c r="AW255" s="396">
        <f t="shared" si="27"/>
        <v>0</v>
      </c>
      <c r="AX255" s="434">
        <f t="shared" si="32"/>
        <v>0</v>
      </c>
      <c r="BA255" s="437">
        <f t="shared" si="28"/>
        <v>0</v>
      </c>
      <c r="BB255" s="437">
        <f t="shared" si="29"/>
        <v>0</v>
      </c>
      <c r="BC255" s="437">
        <f t="shared" si="30"/>
        <v>0</v>
      </c>
      <c r="BD255" s="437">
        <f t="shared" si="31"/>
        <v>0</v>
      </c>
      <c r="BE255" s="437"/>
    </row>
    <row r="256" spans="1:57" ht="33" customHeight="1" thickBot="1">
      <c r="A256" s="358" t="s">
        <v>453</v>
      </c>
      <c r="B256" s="332" t="s">
        <v>150</v>
      </c>
      <c r="C256" s="360" t="s">
        <v>144</v>
      </c>
      <c r="D256" s="7">
        <v>458.59</v>
      </c>
      <c r="E256" s="353"/>
      <c r="F256" s="22">
        <f t="shared" si="25"/>
        <v>0</v>
      </c>
      <c r="G256" s="329"/>
      <c r="H256" s="330">
        <f t="shared" si="26"/>
        <v>0</v>
      </c>
      <c r="I256" s="430"/>
      <c r="J256" s="430"/>
      <c r="K256" s="431"/>
      <c r="L256" s="431"/>
      <c r="M256" s="431"/>
      <c r="N256" s="431"/>
      <c r="O256" s="431"/>
      <c r="P256" s="430"/>
      <c r="Q256" s="431"/>
      <c r="R256" s="431"/>
      <c r="S256" s="431"/>
      <c r="T256" s="431"/>
      <c r="U256" s="431"/>
      <c r="V256" s="431"/>
      <c r="W256" s="430"/>
      <c r="X256" s="431"/>
      <c r="Y256" s="431"/>
      <c r="Z256" s="431"/>
      <c r="AA256" s="431"/>
      <c r="AB256" s="431"/>
      <c r="AC256" s="431"/>
      <c r="AD256" s="430"/>
      <c r="AE256" s="431"/>
      <c r="AF256" s="431"/>
      <c r="AG256" s="431"/>
      <c r="AH256" s="431"/>
      <c r="AI256" s="431"/>
      <c r="AJ256" s="431"/>
      <c r="AK256" s="430"/>
      <c r="AL256" s="431"/>
      <c r="AM256" s="431"/>
      <c r="AN256" s="432"/>
      <c r="AQ256" s="436"/>
      <c r="AR256" s="436"/>
      <c r="AS256" s="436"/>
      <c r="AT256" s="436"/>
      <c r="AU256" s="436"/>
      <c r="AV256" s="436"/>
      <c r="AW256" s="396">
        <f t="shared" si="27"/>
        <v>0</v>
      </c>
      <c r="AX256" s="434">
        <f t="shared" si="32"/>
        <v>0</v>
      </c>
      <c r="BA256" s="437">
        <f t="shared" si="28"/>
        <v>0</v>
      </c>
      <c r="BB256" s="437">
        <f t="shared" si="29"/>
        <v>0</v>
      </c>
      <c r="BC256" s="437">
        <f t="shared" si="30"/>
        <v>0</v>
      </c>
      <c r="BD256" s="437">
        <f t="shared" si="31"/>
        <v>0</v>
      </c>
      <c r="BE256" s="437"/>
    </row>
    <row r="257" spans="1:57" ht="33" customHeight="1" thickBot="1">
      <c r="A257" s="358" t="s">
        <v>454</v>
      </c>
      <c r="B257" s="332" t="s">
        <v>455</v>
      </c>
      <c r="C257" s="360" t="s">
        <v>456</v>
      </c>
      <c r="D257" s="7">
        <v>1377.3</v>
      </c>
      <c r="E257" s="353"/>
      <c r="F257" s="22">
        <f t="shared" si="25"/>
        <v>0</v>
      </c>
      <c r="G257" s="329"/>
      <c r="H257" s="330">
        <f t="shared" si="26"/>
        <v>0</v>
      </c>
      <c r="I257" s="430"/>
      <c r="J257" s="430"/>
      <c r="K257" s="431"/>
      <c r="L257" s="431"/>
      <c r="M257" s="431"/>
      <c r="N257" s="431"/>
      <c r="O257" s="431"/>
      <c r="P257" s="430"/>
      <c r="Q257" s="431"/>
      <c r="R257" s="431"/>
      <c r="S257" s="431"/>
      <c r="T257" s="431"/>
      <c r="U257" s="431"/>
      <c r="V257" s="431"/>
      <c r="W257" s="430"/>
      <c r="X257" s="431"/>
      <c r="Y257" s="431"/>
      <c r="Z257" s="431"/>
      <c r="AA257" s="431"/>
      <c r="AB257" s="431"/>
      <c r="AC257" s="431"/>
      <c r="AD257" s="430"/>
      <c r="AE257" s="431"/>
      <c r="AF257" s="431"/>
      <c r="AG257" s="431"/>
      <c r="AH257" s="431"/>
      <c r="AI257" s="431"/>
      <c r="AJ257" s="431"/>
      <c r="AK257" s="430"/>
      <c r="AL257" s="431"/>
      <c r="AM257" s="431"/>
      <c r="AN257" s="432"/>
      <c r="AQ257" s="436"/>
      <c r="AR257" s="436"/>
      <c r="AS257" s="436"/>
      <c r="AT257" s="436"/>
      <c r="AU257" s="436"/>
      <c r="AV257" s="436"/>
      <c r="AW257" s="396">
        <f t="shared" si="27"/>
        <v>0</v>
      </c>
      <c r="AX257" s="434">
        <f t="shared" si="32"/>
        <v>0</v>
      </c>
      <c r="BA257" s="437">
        <f t="shared" si="28"/>
        <v>0</v>
      </c>
      <c r="BB257" s="437">
        <f t="shared" si="29"/>
        <v>0</v>
      </c>
      <c r="BC257" s="437">
        <f t="shared" si="30"/>
        <v>0</v>
      </c>
      <c r="BD257" s="437">
        <f t="shared" si="31"/>
        <v>0</v>
      </c>
      <c r="BE257" s="437"/>
    </row>
    <row r="258" spans="1:57" ht="33" customHeight="1" thickBot="1">
      <c r="A258" s="358" t="s">
        <v>457</v>
      </c>
      <c r="B258" s="332" t="s">
        <v>156</v>
      </c>
      <c r="C258" s="360" t="s">
        <v>219</v>
      </c>
      <c r="D258" s="7">
        <v>1.44</v>
      </c>
      <c r="E258" s="353"/>
      <c r="F258" s="22">
        <f t="shared" si="25"/>
        <v>0</v>
      </c>
      <c r="G258" s="329"/>
      <c r="H258" s="330">
        <f t="shared" si="26"/>
        <v>0</v>
      </c>
      <c r="I258" s="430"/>
      <c r="J258" s="430"/>
      <c r="K258" s="431"/>
      <c r="L258" s="431"/>
      <c r="M258" s="431"/>
      <c r="N258" s="431"/>
      <c r="O258" s="431"/>
      <c r="P258" s="430"/>
      <c r="Q258" s="431"/>
      <c r="R258" s="431"/>
      <c r="S258" s="431"/>
      <c r="T258" s="431"/>
      <c r="U258" s="431"/>
      <c r="V258" s="431"/>
      <c r="W258" s="430"/>
      <c r="X258" s="431"/>
      <c r="Y258" s="431"/>
      <c r="Z258" s="431"/>
      <c r="AA258" s="431"/>
      <c r="AB258" s="431"/>
      <c r="AC258" s="431"/>
      <c r="AD258" s="430"/>
      <c r="AE258" s="431"/>
      <c r="AF258" s="431"/>
      <c r="AG258" s="431"/>
      <c r="AH258" s="431"/>
      <c r="AI258" s="431"/>
      <c r="AJ258" s="431"/>
      <c r="AK258" s="430"/>
      <c r="AL258" s="431"/>
      <c r="AM258" s="431"/>
      <c r="AN258" s="432"/>
      <c r="AQ258" s="436"/>
      <c r="AR258" s="436"/>
      <c r="AS258" s="436"/>
      <c r="AT258" s="436"/>
      <c r="AU258" s="436"/>
      <c r="AV258" s="436"/>
      <c r="AW258" s="396">
        <f t="shared" si="27"/>
        <v>0</v>
      </c>
      <c r="AX258" s="434">
        <f t="shared" si="32"/>
        <v>0</v>
      </c>
      <c r="BA258" s="437">
        <f t="shared" si="28"/>
        <v>0</v>
      </c>
      <c r="BB258" s="437">
        <f t="shared" si="29"/>
        <v>0</v>
      </c>
      <c r="BC258" s="437">
        <f t="shared" si="30"/>
        <v>0</v>
      </c>
      <c r="BD258" s="437">
        <f t="shared" si="31"/>
        <v>0</v>
      </c>
      <c r="BE258" s="437"/>
    </row>
    <row r="259" spans="1:57" ht="33" customHeight="1" thickBot="1">
      <c r="A259" s="364" t="s">
        <v>458</v>
      </c>
      <c r="B259" s="368" t="s">
        <v>459</v>
      </c>
      <c r="C259" s="360" t="s">
        <v>219</v>
      </c>
      <c r="D259" s="7">
        <v>12.16</v>
      </c>
      <c r="E259" s="353"/>
      <c r="F259" s="22">
        <f t="shared" si="25"/>
        <v>0</v>
      </c>
      <c r="G259" s="329"/>
      <c r="H259" s="330">
        <f t="shared" si="26"/>
        <v>0</v>
      </c>
      <c r="I259" s="430"/>
      <c r="J259" s="430"/>
      <c r="K259" s="431"/>
      <c r="L259" s="431"/>
      <c r="M259" s="431"/>
      <c r="N259" s="431"/>
      <c r="O259" s="431"/>
      <c r="P259" s="430"/>
      <c r="Q259" s="431"/>
      <c r="R259" s="431"/>
      <c r="S259" s="431"/>
      <c r="T259" s="431"/>
      <c r="U259" s="431"/>
      <c r="V259" s="431"/>
      <c r="W259" s="430"/>
      <c r="X259" s="431"/>
      <c r="Y259" s="431"/>
      <c r="Z259" s="431"/>
      <c r="AA259" s="431"/>
      <c r="AB259" s="431"/>
      <c r="AC259" s="431"/>
      <c r="AD259" s="430"/>
      <c r="AE259" s="431"/>
      <c r="AF259" s="431"/>
      <c r="AG259" s="431"/>
      <c r="AH259" s="431"/>
      <c r="AI259" s="431"/>
      <c r="AJ259" s="431"/>
      <c r="AK259" s="430"/>
      <c r="AL259" s="431"/>
      <c r="AM259" s="431"/>
      <c r="AN259" s="432"/>
      <c r="AQ259" s="436"/>
      <c r="AR259" s="436"/>
      <c r="AS259" s="436"/>
      <c r="AT259" s="436"/>
      <c r="AU259" s="436"/>
      <c r="AV259" s="436"/>
      <c r="AW259" s="396">
        <f t="shared" si="27"/>
        <v>0</v>
      </c>
      <c r="AX259" s="434">
        <f t="shared" si="32"/>
        <v>0</v>
      </c>
      <c r="BA259" s="437">
        <f t="shared" si="28"/>
        <v>0</v>
      </c>
      <c r="BB259" s="437">
        <f t="shared" si="29"/>
        <v>0</v>
      </c>
      <c r="BC259" s="437">
        <f t="shared" si="30"/>
        <v>0</v>
      </c>
      <c r="BD259" s="437">
        <f t="shared" si="31"/>
        <v>0</v>
      </c>
      <c r="BE259" s="437"/>
    </row>
    <row r="260" spans="1:57" ht="33" customHeight="1" thickBot="1">
      <c r="A260" s="364" t="s">
        <v>460</v>
      </c>
      <c r="B260" s="368" t="s">
        <v>461</v>
      </c>
      <c r="C260" s="360" t="s">
        <v>219</v>
      </c>
      <c r="D260" s="7">
        <v>7.08</v>
      </c>
      <c r="E260" s="353"/>
      <c r="F260" s="22">
        <f t="shared" si="25"/>
        <v>0</v>
      </c>
      <c r="G260" s="329"/>
      <c r="H260" s="330">
        <f t="shared" si="26"/>
        <v>0</v>
      </c>
      <c r="I260" s="430"/>
      <c r="J260" s="430"/>
      <c r="K260" s="431"/>
      <c r="L260" s="431"/>
      <c r="M260" s="431"/>
      <c r="N260" s="431"/>
      <c r="O260" s="431"/>
      <c r="P260" s="430"/>
      <c r="Q260" s="431"/>
      <c r="R260" s="431"/>
      <c r="S260" s="431"/>
      <c r="T260" s="431"/>
      <c r="U260" s="431"/>
      <c r="V260" s="431"/>
      <c r="W260" s="430"/>
      <c r="X260" s="431"/>
      <c r="Y260" s="431"/>
      <c r="Z260" s="431"/>
      <c r="AA260" s="431"/>
      <c r="AB260" s="431"/>
      <c r="AC260" s="431"/>
      <c r="AD260" s="430"/>
      <c r="AE260" s="431"/>
      <c r="AF260" s="431"/>
      <c r="AG260" s="431"/>
      <c r="AH260" s="431"/>
      <c r="AI260" s="431"/>
      <c r="AJ260" s="431"/>
      <c r="AK260" s="430"/>
      <c r="AL260" s="431"/>
      <c r="AM260" s="431"/>
      <c r="AN260" s="432"/>
      <c r="AQ260" s="436"/>
      <c r="AR260" s="436"/>
      <c r="AS260" s="436"/>
      <c r="AT260" s="436"/>
      <c r="AU260" s="436"/>
      <c r="AV260" s="436"/>
      <c r="AW260" s="396">
        <f t="shared" si="27"/>
        <v>0</v>
      </c>
      <c r="AX260" s="434">
        <f t="shared" si="32"/>
        <v>0</v>
      </c>
      <c r="BA260" s="437">
        <f t="shared" si="28"/>
        <v>0</v>
      </c>
      <c r="BB260" s="437">
        <f t="shared" si="29"/>
        <v>0</v>
      </c>
      <c r="BC260" s="437">
        <f t="shared" si="30"/>
        <v>0</v>
      </c>
      <c r="BD260" s="437">
        <f t="shared" si="31"/>
        <v>0</v>
      </c>
      <c r="BE260" s="437"/>
    </row>
    <row r="261" spans="1:57" ht="33" customHeight="1" thickBot="1">
      <c r="A261" s="358" t="s">
        <v>462</v>
      </c>
      <c r="B261" s="343" t="s">
        <v>463</v>
      </c>
      <c r="C261" s="360" t="s">
        <v>86</v>
      </c>
      <c r="D261" s="7">
        <v>4.03</v>
      </c>
      <c r="E261" s="353"/>
      <c r="F261" s="22">
        <f t="shared" si="25"/>
        <v>0</v>
      </c>
      <c r="G261" s="329"/>
      <c r="H261" s="330">
        <f t="shared" si="26"/>
        <v>0</v>
      </c>
      <c r="I261" s="430"/>
      <c r="J261" s="430"/>
      <c r="K261" s="431"/>
      <c r="L261" s="431"/>
      <c r="M261" s="431"/>
      <c r="N261" s="431"/>
      <c r="O261" s="431"/>
      <c r="P261" s="430"/>
      <c r="Q261" s="431"/>
      <c r="R261" s="431"/>
      <c r="S261" s="431"/>
      <c r="T261" s="431"/>
      <c r="U261" s="431"/>
      <c r="V261" s="431"/>
      <c r="W261" s="430"/>
      <c r="X261" s="431"/>
      <c r="Y261" s="431"/>
      <c r="Z261" s="431"/>
      <c r="AA261" s="431"/>
      <c r="AB261" s="431"/>
      <c r="AC261" s="431"/>
      <c r="AD261" s="430"/>
      <c r="AE261" s="431"/>
      <c r="AF261" s="431"/>
      <c r="AG261" s="431"/>
      <c r="AH261" s="431"/>
      <c r="AI261" s="431"/>
      <c r="AJ261" s="431"/>
      <c r="AK261" s="430"/>
      <c r="AL261" s="431"/>
      <c r="AM261" s="431"/>
      <c r="AN261" s="432"/>
      <c r="AQ261" s="436"/>
      <c r="AR261" s="436"/>
      <c r="AS261" s="436"/>
      <c r="AT261" s="436"/>
      <c r="AU261" s="436"/>
      <c r="AV261" s="436"/>
      <c r="AW261" s="396">
        <f t="shared" si="27"/>
        <v>0</v>
      </c>
      <c r="AX261" s="434">
        <f t="shared" si="32"/>
        <v>0</v>
      </c>
      <c r="BA261" s="437">
        <f t="shared" si="28"/>
        <v>0</v>
      </c>
      <c r="BB261" s="437">
        <f t="shared" si="29"/>
        <v>0</v>
      </c>
      <c r="BC261" s="437">
        <f t="shared" si="30"/>
        <v>0</v>
      </c>
      <c r="BD261" s="437">
        <f t="shared" si="31"/>
        <v>0</v>
      </c>
      <c r="BE261" s="437"/>
    </row>
    <row r="262" spans="1:57" ht="33" customHeight="1" thickBot="1">
      <c r="A262" s="358" t="s">
        <v>464</v>
      </c>
      <c r="B262" s="343" t="s">
        <v>465</v>
      </c>
      <c r="C262" s="360" t="s">
        <v>86</v>
      </c>
      <c r="D262" s="7">
        <v>4.03</v>
      </c>
      <c r="E262" s="353"/>
      <c r="F262" s="22">
        <f t="shared" si="25"/>
        <v>0</v>
      </c>
      <c r="G262" s="329"/>
      <c r="H262" s="330">
        <f t="shared" si="26"/>
        <v>0</v>
      </c>
      <c r="I262" s="430"/>
      <c r="J262" s="430"/>
      <c r="K262" s="431"/>
      <c r="L262" s="431"/>
      <c r="M262" s="431"/>
      <c r="N262" s="431"/>
      <c r="O262" s="431"/>
      <c r="P262" s="430"/>
      <c r="Q262" s="431"/>
      <c r="R262" s="431"/>
      <c r="S262" s="431"/>
      <c r="T262" s="431"/>
      <c r="U262" s="431"/>
      <c r="V262" s="431"/>
      <c r="W262" s="430"/>
      <c r="X262" s="431"/>
      <c r="Y262" s="431"/>
      <c r="Z262" s="431"/>
      <c r="AA262" s="431"/>
      <c r="AB262" s="431"/>
      <c r="AC262" s="431"/>
      <c r="AD262" s="430"/>
      <c r="AE262" s="431"/>
      <c r="AF262" s="431"/>
      <c r="AG262" s="431"/>
      <c r="AH262" s="431"/>
      <c r="AI262" s="431"/>
      <c r="AJ262" s="431"/>
      <c r="AK262" s="430"/>
      <c r="AL262" s="431"/>
      <c r="AM262" s="431"/>
      <c r="AN262" s="432"/>
      <c r="AQ262" s="436"/>
      <c r="AR262" s="436"/>
      <c r="AS262" s="436"/>
      <c r="AT262" s="436"/>
      <c r="AU262" s="436"/>
      <c r="AV262" s="436"/>
      <c r="AW262" s="396">
        <f t="shared" si="27"/>
        <v>0</v>
      </c>
      <c r="AX262" s="434">
        <f t="shared" si="32"/>
        <v>0</v>
      </c>
      <c r="BA262" s="437">
        <f t="shared" si="28"/>
        <v>0</v>
      </c>
      <c r="BB262" s="437">
        <f t="shared" si="29"/>
        <v>0</v>
      </c>
      <c r="BC262" s="437">
        <f t="shared" si="30"/>
        <v>0</v>
      </c>
      <c r="BD262" s="437">
        <f t="shared" si="31"/>
        <v>0</v>
      </c>
      <c r="BE262" s="437"/>
    </row>
    <row r="263" spans="1:57" ht="33" customHeight="1" thickBot="1">
      <c r="A263" s="358" t="s">
        <v>466</v>
      </c>
      <c r="B263" s="343" t="s">
        <v>467</v>
      </c>
      <c r="C263" s="360" t="s">
        <v>212</v>
      </c>
      <c r="D263" s="7">
        <v>8.11</v>
      </c>
      <c r="E263" s="353"/>
      <c r="F263" s="22">
        <f t="shared" si="25"/>
        <v>0</v>
      </c>
      <c r="G263" s="329"/>
      <c r="H263" s="330">
        <f t="shared" si="26"/>
        <v>0</v>
      </c>
      <c r="I263" s="430"/>
      <c r="J263" s="430"/>
      <c r="K263" s="431"/>
      <c r="L263" s="431"/>
      <c r="M263" s="431"/>
      <c r="N263" s="431"/>
      <c r="O263" s="431"/>
      <c r="P263" s="430"/>
      <c r="Q263" s="431"/>
      <c r="R263" s="431"/>
      <c r="S263" s="431"/>
      <c r="T263" s="431"/>
      <c r="U263" s="431"/>
      <c r="V263" s="431"/>
      <c r="W263" s="430"/>
      <c r="X263" s="431"/>
      <c r="Y263" s="431"/>
      <c r="Z263" s="431"/>
      <c r="AA263" s="431"/>
      <c r="AB263" s="431"/>
      <c r="AC263" s="431"/>
      <c r="AD263" s="430"/>
      <c r="AE263" s="431"/>
      <c r="AF263" s="431"/>
      <c r="AG263" s="431"/>
      <c r="AH263" s="431"/>
      <c r="AI263" s="431"/>
      <c r="AJ263" s="431"/>
      <c r="AK263" s="430"/>
      <c r="AL263" s="431"/>
      <c r="AM263" s="431"/>
      <c r="AN263" s="432"/>
      <c r="AQ263" s="436"/>
      <c r="AR263" s="436"/>
      <c r="AS263" s="436"/>
      <c r="AT263" s="436"/>
      <c r="AU263" s="436"/>
      <c r="AV263" s="436"/>
      <c r="AW263" s="396">
        <f t="shared" si="27"/>
        <v>0</v>
      </c>
      <c r="AX263" s="434">
        <f t="shared" si="32"/>
        <v>0</v>
      </c>
      <c r="BA263" s="437">
        <f t="shared" si="28"/>
        <v>0</v>
      </c>
      <c r="BB263" s="437">
        <f t="shared" si="29"/>
        <v>0</v>
      </c>
      <c r="BC263" s="437">
        <f t="shared" si="30"/>
        <v>0</v>
      </c>
      <c r="BD263" s="437">
        <f t="shared" si="31"/>
        <v>0</v>
      </c>
      <c r="BE263" s="437"/>
    </row>
    <row r="264" spans="1:57" ht="33" customHeight="1" thickBot="1">
      <c r="A264" s="358" t="s">
        <v>468</v>
      </c>
      <c r="B264" s="343" t="s">
        <v>469</v>
      </c>
      <c r="C264" s="360" t="s">
        <v>196</v>
      </c>
      <c r="D264" s="7">
        <v>660.37</v>
      </c>
      <c r="E264" s="353"/>
      <c r="F264" s="22">
        <f t="shared" si="25"/>
        <v>0</v>
      </c>
      <c r="G264" s="329"/>
      <c r="H264" s="330">
        <f t="shared" si="26"/>
        <v>0</v>
      </c>
      <c r="I264" s="430"/>
      <c r="J264" s="430"/>
      <c r="K264" s="431"/>
      <c r="L264" s="431"/>
      <c r="M264" s="431"/>
      <c r="N264" s="431"/>
      <c r="O264" s="431"/>
      <c r="P264" s="430"/>
      <c r="Q264" s="431"/>
      <c r="R264" s="431"/>
      <c r="S264" s="431"/>
      <c r="T264" s="431"/>
      <c r="U264" s="431"/>
      <c r="V264" s="431"/>
      <c r="W264" s="430"/>
      <c r="X264" s="431"/>
      <c r="Y264" s="431"/>
      <c r="Z264" s="431"/>
      <c r="AA264" s="431"/>
      <c r="AB264" s="431"/>
      <c r="AC264" s="431"/>
      <c r="AD264" s="430"/>
      <c r="AE264" s="431"/>
      <c r="AF264" s="431"/>
      <c r="AG264" s="431"/>
      <c r="AH264" s="431"/>
      <c r="AI264" s="431"/>
      <c r="AJ264" s="431"/>
      <c r="AK264" s="430"/>
      <c r="AL264" s="431"/>
      <c r="AM264" s="431"/>
      <c r="AN264" s="432"/>
      <c r="AQ264" s="436"/>
      <c r="AR264" s="436"/>
      <c r="AS264" s="436"/>
      <c r="AT264" s="436"/>
      <c r="AU264" s="436"/>
      <c r="AV264" s="436"/>
      <c r="AW264" s="396">
        <f t="shared" si="27"/>
        <v>0</v>
      </c>
      <c r="AX264" s="434">
        <f t="shared" si="32"/>
        <v>0</v>
      </c>
      <c r="BA264" s="437">
        <f t="shared" si="28"/>
        <v>0</v>
      </c>
      <c r="BB264" s="437">
        <f t="shared" si="29"/>
        <v>0</v>
      </c>
      <c r="BC264" s="437">
        <f t="shared" si="30"/>
        <v>0</v>
      </c>
      <c r="BD264" s="437">
        <f t="shared" si="31"/>
        <v>0</v>
      </c>
      <c r="BE264" s="437"/>
    </row>
    <row r="265" spans="1:57" ht="33" customHeight="1" thickBot="1">
      <c r="A265" s="358" t="s">
        <v>470</v>
      </c>
      <c r="B265" s="332" t="s">
        <v>471</v>
      </c>
      <c r="C265" s="359" t="s">
        <v>212</v>
      </c>
      <c r="D265" s="7">
        <v>4.8899999999999997</v>
      </c>
      <c r="E265" s="353"/>
      <c r="F265" s="22">
        <f t="shared" si="25"/>
        <v>0</v>
      </c>
      <c r="G265" s="329"/>
      <c r="H265" s="330">
        <f t="shared" si="26"/>
        <v>0</v>
      </c>
      <c r="I265" s="430"/>
      <c r="J265" s="430"/>
      <c r="K265" s="431"/>
      <c r="L265" s="431"/>
      <c r="M265" s="431"/>
      <c r="N265" s="431"/>
      <c r="O265" s="431"/>
      <c r="P265" s="430"/>
      <c r="Q265" s="431"/>
      <c r="R265" s="431"/>
      <c r="S265" s="431"/>
      <c r="T265" s="431"/>
      <c r="U265" s="431"/>
      <c r="V265" s="431"/>
      <c r="W265" s="430"/>
      <c r="X265" s="431"/>
      <c r="Y265" s="431"/>
      <c r="Z265" s="431"/>
      <c r="AA265" s="431"/>
      <c r="AB265" s="431"/>
      <c r="AC265" s="431"/>
      <c r="AD265" s="430"/>
      <c r="AE265" s="431"/>
      <c r="AF265" s="431"/>
      <c r="AG265" s="431"/>
      <c r="AH265" s="431"/>
      <c r="AI265" s="431"/>
      <c r="AJ265" s="431"/>
      <c r="AK265" s="430"/>
      <c r="AL265" s="431"/>
      <c r="AM265" s="431"/>
      <c r="AN265" s="432"/>
      <c r="AQ265" s="436"/>
      <c r="AR265" s="436"/>
      <c r="AS265" s="436"/>
      <c r="AT265" s="436"/>
      <c r="AU265" s="436"/>
      <c r="AV265" s="436"/>
      <c r="AW265" s="396">
        <f t="shared" si="27"/>
        <v>0</v>
      </c>
      <c r="AX265" s="434">
        <f t="shared" si="32"/>
        <v>0</v>
      </c>
      <c r="BA265" s="437">
        <f t="shared" si="28"/>
        <v>0</v>
      </c>
      <c r="BB265" s="437">
        <f t="shared" si="29"/>
        <v>0</v>
      </c>
      <c r="BC265" s="437">
        <f t="shared" si="30"/>
        <v>0</v>
      </c>
      <c r="BD265" s="437">
        <f t="shared" si="31"/>
        <v>0</v>
      </c>
      <c r="BE265" s="437"/>
    </row>
    <row r="266" spans="1:57" ht="33" customHeight="1" thickBot="1">
      <c r="A266" s="358" t="s">
        <v>472</v>
      </c>
      <c r="B266" s="332" t="s">
        <v>473</v>
      </c>
      <c r="C266" s="359" t="s">
        <v>212</v>
      </c>
      <c r="D266" s="7">
        <v>33.39</v>
      </c>
      <c r="E266" s="353"/>
      <c r="F266" s="22">
        <f t="shared" si="25"/>
        <v>0</v>
      </c>
      <c r="G266" s="329"/>
      <c r="H266" s="330">
        <f t="shared" si="26"/>
        <v>0</v>
      </c>
      <c r="I266" s="430"/>
      <c r="J266" s="430"/>
      <c r="K266" s="431"/>
      <c r="L266" s="431"/>
      <c r="M266" s="431"/>
      <c r="N266" s="431"/>
      <c r="O266" s="431"/>
      <c r="P266" s="430"/>
      <c r="Q266" s="431"/>
      <c r="R266" s="431"/>
      <c r="S266" s="431"/>
      <c r="T266" s="431"/>
      <c r="U266" s="431"/>
      <c r="V266" s="431"/>
      <c r="W266" s="430"/>
      <c r="X266" s="431"/>
      <c r="Y266" s="431"/>
      <c r="Z266" s="431"/>
      <c r="AA266" s="431"/>
      <c r="AB266" s="431"/>
      <c r="AC266" s="431"/>
      <c r="AD266" s="430"/>
      <c r="AE266" s="431"/>
      <c r="AF266" s="431"/>
      <c r="AG266" s="431"/>
      <c r="AH266" s="431"/>
      <c r="AI266" s="431"/>
      <c r="AJ266" s="431"/>
      <c r="AK266" s="430"/>
      <c r="AL266" s="431"/>
      <c r="AM266" s="431"/>
      <c r="AN266" s="432"/>
      <c r="AQ266" s="436"/>
      <c r="AR266" s="436"/>
      <c r="AS266" s="436"/>
      <c r="AT266" s="436"/>
      <c r="AU266" s="436"/>
      <c r="AV266" s="436"/>
      <c r="AW266" s="396">
        <f t="shared" si="27"/>
        <v>0</v>
      </c>
      <c r="AX266" s="434">
        <f t="shared" si="32"/>
        <v>0</v>
      </c>
      <c r="BA266" s="437">
        <f t="shared" si="28"/>
        <v>0</v>
      </c>
      <c r="BB266" s="437">
        <f t="shared" si="29"/>
        <v>0</v>
      </c>
      <c r="BC266" s="437">
        <f t="shared" si="30"/>
        <v>0</v>
      </c>
      <c r="BD266" s="437">
        <f t="shared" si="31"/>
        <v>0</v>
      </c>
      <c r="BE266" s="437"/>
    </row>
    <row r="267" spans="1:57" ht="33" customHeight="1" thickBot="1">
      <c r="A267" s="358" t="s">
        <v>474</v>
      </c>
      <c r="B267" s="332" t="s">
        <v>475</v>
      </c>
      <c r="C267" s="359" t="s">
        <v>196</v>
      </c>
      <c r="D267" s="7">
        <v>42.3</v>
      </c>
      <c r="E267" s="353"/>
      <c r="F267" s="22">
        <f t="shared" ref="F267:F330" si="33">E267*D267</f>
        <v>0</v>
      </c>
      <c r="G267" s="329"/>
      <c r="H267" s="330">
        <f t="shared" ref="H267:H330" si="34">G267*D267</f>
        <v>0</v>
      </c>
      <c r="I267" s="430"/>
      <c r="J267" s="430"/>
      <c r="K267" s="431"/>
      <c r="L267" s="431"/>
      <c r="M267" s="431"/>
      <c r="N267" s="431"/>
      <c r="O267" s="431"/>
      <c r="P267" s="430"/>
      <c r="Q267" s="431"/>
      <c r="R267" s="431"/>
      <c r="S267" s="431"/>
      <c r="T267" s="431"/>
      <c r="U267" s="431"/>
      <c r="V267" s="431"/>
      <c r="W267" s="430"/>
      <c r="X267" s="431"/>
      <c r="Y267" s="431"/>
      <c r="Z267" s="431"/>
      <c r="AA267" s="431"/>
      <c r="AB267" s="431"/>
      <c r="AC267" s="431"/>
      <c r="AD267" s="430"/>
      <c r="AE267" s="431"/>
      <c r="AF267" s="431"/>
      <c r="AG267" s="431"/>
      <c r="AH267" s="431"/>
      <c r="AI267" s="431"/>
      <c r="AJ267" s="431"/>
      <c r="AK267" s="430"/>
      <c r="AL267" s="431"/>
      <c r="AM267" s="431"/>
      <c r="AN267" s="432"/>
      <c r="AQ267" s="436"/>
      <c r="AR267" s="436"/>
      <c r="AS267" s="436"/>
      <c r="AT267" s="436"/>
      <c r="AU267" s="436"/>
      <c r="AV267" s="436"/>
      <c r="AW267" s="396">
        <f t="shared" ref="AW267:AW330" si="35">AR267+AT267+AV267</f>
        <v>0</v>
      </c>
      <c r="AX267" s="434">
        <f t="shared" si="32"/>
        <v>0</v>
      </c>
      <c r="BA267" s="437">
        <f t="shared" si="28"/>
        <v>0</v>
      </c>
      <c r="BB267" s="437">
        <f t="shared" si="29"/>
        <v>0</v>
      </c>
      <c r="BC267" s="437">
        <f t="shared" si="30"/>
        <v>0</v>
      </c>
      <c r="BD267" s="437">
        <f t="shared" si="31"/>
        <v>0</v>
      </c>
      <c r="BE267" s="437"/>
    </row>
    <row r="268" spans="1:57" ht="33" customHeight="1" thickBot="1">
      <c r="A268" s="358" t="s">
        <v>476</v>
      </c>
      <c r="B268" s="343" t="s">
        <v>477</v>
      </c>
      <c r="C268" s="359" t="s">
        <v>212</v>
      </c>
      <c r="D268" s="7">
        <v>187.6</v>
      </c>
      <c r="E268" s="353"/>
      <c r="F268" s="22">
        <f t="shared" si="33"/>
        <v>0</v>
      </c>
      <c r="G268" s="329"/>
      <c r="H268" s="330">
        <f t="shared" si="34"/>
        <v>0</v>
      </c>
      <c r="I268" s="430"/>
      <c r="J268" s="430"/>
      <c r="K268" s="431"/>
      <c r="L268" s="431"/>
      <c r="M268" s="431"/>
      <c r="N268" s="431"/>
      <c r="O268" s="431"/>
      <c r="P268" s="430"/>
      <c r="Q268" s="431"/>
      <c r="R268" s="431"/>
      <c r="S268" s="431"/>
      <c r="T268" s="431"/>
      <c r="U268" s="431"/>
      <c r="V268" s="431"/>
      <c r="W268" s="430"/>
      <c r="X268" s="431"/>
      <c r="Y268" s="431"/>
      <c r="Z268" s="431"/>
      <c r="AA268" s="431"/>
      <c r="AB268" s="431"/>
      <c r="AC268" s="431"/>
      <c r="AD268" s="430"/>
      <c r="AE268" s="431"/>
      <c r="AF268" s="431"/>
      <c r="AG268" s="431"/>
      <c r="AH268" s="431"/>
      <c r="AI268" s="431"/>
      <c r="AJ268" s="431"/>
      <c r="AK268" s="430"/>
      <c r="AL268" s="431"/>
      <c r="AM268" s="431"/>
      <c r="AN268" s="432"/>
      <c r="AQ268" s="436"/>
      <c r="AR268" s="436"/>
      <c r="AS268" s="436"/>
      <c r="AT268" s="436"/>
      <c r="AU268" s="436"/>
      <c r="AV268" s="436"/>
      <c r="AW268" s="396">
        <f t="shared" si="35"/>
        <v>0</v>
      </c>
      <c r="AX268" s="434">
        <f t="shared" si="32"/>
        <v>0</v>
      </c>
      <c r="BA268" s="437">
        <f t="shared" ref="BA268:BA331" si="36">SUM(I268:O268)</f>
        <v>0</v>
      </c>
      <c r="BB268" s="437">
        <f t="shared" ref="BB268:BB331" si="37">SUM(Q268:V268)</f>
        <v>0</v>
      </c>
      <c r="BC268" s="437">
        <f t="shared" ref="BC268:BC331" si="38">SUM(X268:AD268)</f>
        <v>0</v>
      </c>
      <c r="BD268" s="437">
        <f t="shared" ref="BD268:BD331" si="39">SUM(AE268:AJ268)</f>
        <v>0</v>
      </c>
      <c r="BE268" s="437"/>
    </row>
    <row r="269" spans="1:57" ht="33" customHeight="1" thickBot="1">
      <c r="A269" s="358" t="s">
        <v>478</v>
      </c>
      <c r="B269" s="343" t="s">
        <v>479</v>
      </c>
      <c r="C269" s="359" t="s">
        <v>196</v>
      </c>
      <c r="D269" s="7">
        <v>6554.75</v>
      </c>
      <c r="E269" s="353"/>
      <c r="F269" s="22">
        <f t="shared" si="33"/>
        <v>0</v>
      </c>
      <c r="G269" s="329"/>
      <c r="H269" s="330">
        <f t="shared" si="34"/>
        <v>0</v>
      </c>
      <c r="I269" s="430"/>
      <c r="J269" s="430"/>
      <c r="K269" s="431"/>
      <c r="L269" s="431"/>
      <c r="M269" s="431"/>
      <c r="N269" s="431"/>
      <c r="O269" s="431"/>
      <c r="P269" s="430"/>
      <c r="Q269" s="431"/>
      <c r="R269" s="431"/>
      <c r="S269" s="431"/>
      <c r="T269" s="431"/>
      <c r="U269" s="431"/>
      <c r="V269" s="431"/>
      <c r="W269" s="430"/>
      <c r="X269" s="431"/>
      <c r="Y269" s="431"/>
      <c r="Z269" s="431"/>
      <c r="AA269" s="431"/>
      <c r="AB269" s="431"/>
      <c r="AC269" s="431"/>
      <c r="AD269" s="430"/>
      <c r="AE269" s="431"/>
      <c r="AF269" s="431"/>
      <c r="AG269" s="431"/>
      <c r="AH269" s="431"/>
      <c r="AI269" s="431"/>
      <c r="AJ269" s="431"/>
      <c r="AK269" s="430"/>
      <c r="AL269" s="431"/>
      <c r="AM269" s="431"/>
      <c r="AN269" s="432"/>
      <c r="AQ269" s="436"/>
      <c r="AR269" s="436"/>
      <c r="AS269" s="436"/>
      <c r="AT269" s="436"/>
      <c r="AU269" s="436"/>
      <c r="AV269" s="436"/>
      <c r="AW269" s="396">
        <f t="shared" si="35"/>
        <v>0</v>
      </c>
      <c r="AX269" s="434">
        <f t="shared" si="32"/>
        <v>0</v>
      </c>
      <c r="BA269" s="437">
        <f t="shared" si="36"/>
        <v>0</v>
      </c>
      <c r="BB269" s="437">
        <f t="shared" si="37"/>
        <v>0</v>
      </c>
      <c r="BC269" s="437">
        <f t="shared" si="38"/>
        <v>0</v>
      </c>
      <c r="BD269" s="437">
        <f t="shared" si="39"/>
        <v>0</v>
      </c>
      <c r="BE269" s="437"/>
    </row>
    <row r="270" spans="1:57" ht="33" customHeight="1" thickBot="1">
      <c r="A270" s="358" t="s">
        <v>480</v>
      </c>
      <c r="B270" s="343" t="s">
        <v>481</v>
      </c>
      <c r="C270" s="359" t="s">
        <v>196</v>
      </c>
      <c r="D270" s="7">
        <v>12137.82</v>
      </c>
      <c r="E270" s="353"/>
      <c r="F270" s="22">
        <f t="shared" si="33"/>
        <v>0</v>
      </c>
      <c r="G270" s="329"/>
      <c r="H270" s="330">
        <f t="shared" si="34"/>
        <v>0</v>
      </c>
      <c r="I270" s="430"/>
      <c r="J270" s="430"/>
      <c r="K270" s="431"/>
      <c r="L270" s="431"/>
      <c r="M270" s="431"/>
      <c r="N270" s="431"/>
      <c r="O270" s="431"/>
      <c r="P270" s="430"/>
      <c r="Q270" s="431"/>
      <c r="R270" s="431"/>
      <c r="S270" s="431"/>
      <c r="T270" s="431"/>
      <c r="U270" s="431"/>
      <c r="V270" s="431"/>
      <c r="W270" s="430"/>
      <c r="X270" s="431"/>
      <c r="Y270" s="431"/>
      <c r="Z270" s="431"/>
      <c r="AA270" s="431"/>
      <c r="AB270" s="431"/>
      <c r="AC270" s="431"/>
      <c r="AD270" s="430"/>
      <c r="AE270" s="431"/>
      <c r="AF270" s="431"/>
      <c r="AG270" s="431"/>
      <c r="AH270" s="431"/>
      <c r="AI270" s="431"/>
      <c r="AJ270" s="431"/>
      <c r="AK270" s="430"/>
      <c r="AL270" s="431"/>
      <c r="AM270" s="431"/>
      <c r="AN270" s="432"/>
      <c r="AQ270" s="436"/>
      <c r="AR270" s="436"/>
      <c r="AS270" s="436"/>
      <c r="AT270" s="436"/>
      <c r="AU270" s="436"/>
      <c r="AV270" s="436"/>
      <c r="AW270" s="396">
        <f t="shared" si="35"/>
        <v>0</v>
      </c>
      <c r="AX270" s="434">
        <f t="shared" si="32"/>
        <v>0</v>
      </c>
      <c r="BA270" s="437">
        <f t="shared" si="36"/>
        <v>0</v>
      </c>
      <c r="BB270" s="437">
        <f t="shared" si="37"/>
        <v>0</v>
      </c>
      <c r="BC270" s="437">
        <f t="shared" si="38"/>
        <v>0</v>
      </c>
      <c r="BD270" s="437">
        <f t="shared" si="39"/>
        <v>0</v>
      </c>
      <c r="BE270" s="437"/>
    </row>
    <row r="271" spans="1:57" ht="33" customHeight="1" thickBot="1">
      <c r="A271" s="358" t="s">
        <v>482</v>
      </c>
      <c r="B271" s="341" t="s">
        <v>483</v>
      </c>
      <c r="C271" s="359" t="s">
        <v>196</v>
      </c>
      <c r="D271" s="7">
        <v>6.34</v>
      </c>
      <c r="E271" s="353"/>
      <c r="F271" s="22">
        <f t="shared" si="33"/>
        <v>0</v>
      </c>
      <c r="G271" s="329"/>
      <c r="H271" s="330">
        <f t="shared" si="34"/>
        <v>0</v>
      </c>
      <c r="I271" s="430"/>
      <c r="J271" s="430"/>
      <c r="K271" s="431"/>
      <c r="L271" s="431"/>
      <c r="M271" s="431"/>
      <c r="N271" s="431"/>
      <c r="O271" s="431"/>
      <c r="P271" s="430"/>
      <c r="Q271" s="431"/>
      <c r="R271" s="431"/>
      <c r="S271" s="431"/>
      <c r="T271" s="431"/>
      <c r="U271" s="431"/>
      <c r="V271" s="431"/>
      <c r="W271" s="430"/>
      <c r="X271" s="431"/>
      <c r="Y271" s="431"/>
      <c r="Z271" s="431"/>
      <c r="AA271" s="431"/>
      <c r="AB271" s="431"/>
      <c r="AC271" s="431"/>
      <c r="AD271" s="430"/>
      <c r="AE271" s="431"/>
      <c r="AF271" s="431"/>
      <c r="AG271" s="431"/>
      <c r="AH271" s="431"/>
      <c r="AI271" s="431"/>
      <c r="AJ271" s="431"/>
      <c r="AK271" s="430"/>
      <c r="AL271" s="431"/>
      <c r="AM271" s="431"/>
      <c r="AN271" s="432"/>
      <c r="AQ271" s="436"/>
      <c r="AR271" s="436"/>
      <c r="AS271" s="436"/>
      <c r="AT271" s="436"/>
      <c r="AU271" s="436"/>
      <c r="AV271" s="436"/>
      <c r="AW271" s="396">
        <f t="shared" si="35"/>
        <v>0</v>
      </c>
      <c r="AX271" s="434">
        <f t="shared" si="32"/>
        <v>0</v>
      </c>
      <c r="BA271" s="437">
        <f t="shared" si="36"/>
        <v>0</v>
      </c>
      <c r="BB271" s="437">
        <f t="shared" si="37"/>
        <v>0</v>
      </c>
      <c r="BC271" s="437">
        <f t="shared" si="38"/>
        <v>0</v>
      </c>
      <c r="BD271" s="437">
        <f t="shared" si="39"/>
        <v>0</v>
      </c>
      <c r="BE271" s="437"/>
    </row>
    <row r="272" spans="1:57" ht="33" customHeight="1" thickBot="1">
      <c r="A272" s="358" t="s">
        <v>484</v>
      </c>
      <c r="B272" s="341" t="s">
        <v>485</v>
      </c>
      <c r="C272" s="359" t="s">
        <v>13</v>
      </c>
      <c r="D272" s="7">
        <v>9807.42</v>
      </c>
      <c r="E272" s="353"/>
      <c r="F272" s="22">
        <f t="shared" si="33"/>
        <v>0</v>
      </c>
      <c r="G272" s="329"/>
      <c r="H272" s="330">
        <f t="shared" si="34"/>
        <v>0</v>
      </c>
      <c r="I272" s="430"/>
      <c r="J272" s="430"/>
      <c r="K272" s="431"/>
      <c r="L272" s="431"/>
      <c r="M272" s="431"/>
      <c r="N272" s="431"/>
      <c r="O272" s="431"/>
      <c r="P272" s="430"/>
      <c r="Q272" s="431"/>
      <c r="R272" s="431"/>
      <c r="S272" s="431"/>
      <c r="T272" s="431"/>
      <c r="U272" s="431"/>
      <c r="V272" s="431"/>
      <c r="W272" s="430"/>
      <c r="X272" s="431"/>
      <c r="Y272" s="431"/>
      <c r="Z272" s="431"/>
      <c r="AA272" s="431"/>
      <c r="AB272" s="431"/>
      <c r="AC272" s="431"/>
      <c r="AD272" s="430"/>
      <c r="AE272" s="431"/>
      <c r="AF272" s="431"/>
      <c r="AG272" s="431"/>
      <c r="AH272" s="431"/>
      <c r="AI272" s="431"/>
      <c r="AJ272" s="431"/>
      <c r="AK272" s="430"/>
      <c r="AL272" s="431"/>
      <c r="AM272" s="431"/>
      <c r="AN272" s="432"/>
      <c r="AQ272" s="436"/>
      <c r="AR272" s="436"/>
      <c r="AS272" s="436"/>
      <c r="AT272" s="436"/>
      <c r="AU272" s="436"/>
      <c r="AV272" s="436"/>
      <c r="AW272" s="396">
        <f t="shared" si="35"/>
        <v>0</v>
      </c>
      <c r="AX272" s="434">
        <f t="shared" si="32"/>
        <v>0</v>
      </c>
      <c r="BA272" s="437">
        <f t="shared" si="36"/>
        <v>0</v>
      </c>
      <c r="BB272" s="437">
        <f t="shared" si="37"/>
        <v>0</v>
      </c>
      <c r="BC272" s="437">
        <f t="shared" si="38"/>
        <v>0</v>
      </c>
      <c r="BD272" s="437">
        <f t="shared" si="39"/>
        <v>0</v>
      </c>
      <c r="BE272" s="437"/>
    </row>
    <row r="273" spans="1:57" ht="33" customHeight="1" thickBot="1">
      <c r="A273" s="358" t="s">
        <v>486</v>
      </c>
      <c r="B273" s="341" t="s">
        <v>487</v>
      </c>
      <c r="C273" s="359" t="s">
        <v>212</v>
      </c>
      <c r="D273" s="7">
        <v>87.22</v>
      </c>
      <c r="E273" s="353"/>
      <c r="F273" s="22">
        <f t="shared" si="33"/>
        <v>0</v>
      </c>
      <c r="G273" s="329"/>
      <c r="H273" s="330">
        <f t="shared" si="34"/>
        <v>0</v>
      </c>
      <c r="I273" s="430"/>
      <c r="J273" s="430"/>
      <c r="K273" s="431"/>
      <c r="L273" s="431"/>
      <c r="M273" s="431"/>
      <c r="N273" s="431"/>
      <c r="O273" s="431"/>
      <c r="P273" s="430"/>
      <c r="Q273" s="431"/>
      <c r="R273" s="431"/>
      <c r="S273" s="431"/>
      <c r="T273" s="431"/>
      <c r="U273" s="431"/>
      <c r="V273" s="431"/>
      <c r="W273" s="430"/>
      <c r="X273" s="431"/>
      <c r="Y273" s="431"/>
      <c r="Z273" s="431"/>
      <c r="AA273" s="431"/>
      <c r="AB273" s="431"/>
      <c r="AC273" s="431"/>
      <c r="AD273" s="430"/>
      <c r="AE273" s="431"/>
      <c r="AF273" s="431"/>
      <c r="AG273" s="431"/>
      <c r="AH273" s="431"/>
      <c r="AI273" s="431"/>
      <c r="AJ273" s="431"/>
      <c r="AK273" s="430"/>
      <c r="AL273" s="431"/>
      <c r="AM273" s="431"/>
      <c r="AN273" s="432"/>
      <c r="AQ273" s="436"/>
      <c r="AR273" s="436"/>
      <c r="AS273" s="436"/>
      <c r="AT273" s="436"/>
      <c r="AU273" s="436"/>
      <c r="AV273" s="436"/>
      <c r="AW273" s="396">
        <f t="shared" si="35"/>
        <v>0</v>
      </c>
      <c r="AX273" s="434">
        <f t="shared" si="32"/>
        <v>0</v>
      </c>
      <c r="BA273" s="437">
        <f t="shared" si="36"/>
        <v>0</v>
      </c>
      <c r="BB273" s="437">
        <f t="shared" si="37"/>
        <v>0</v>
      </c>
      <c r="BC273" s="437">
        <f t="shared" si="38"/>
        <v>0</v>
      </c>
      <c r="BD273" s="437">
        <f t="shared" si="39"/>
        <v>0</v>
      </c>
      <c r="BE273" s="437"/>
    </row>
    <row r="274" spans="1:57" ht="33" customHeight="1" thickBot="1">
      <c r="A274" s="358" t="s">
        <v>488</v>
      </c>
      <c r="B274" s="343" t="s">
        <v>489</v>
      </c>
      <c r="C274" s="360" t="s">
        <v>212</v>
      </c>
      <c r="D274" s="7">
        <v>121.88</v>
      </c>
      <c r="E274" s="353"/>
      <c r="F274" s="22">
        <f t="shared" si="33"/>
        <v>0</v>
      </c>
      <c r="G274" s="329"/>
      <c r="H274" s="330">
        <f t="shared" si="34"/>
        <v>0</v>
      </c>
      <c r="I274" s="430"/>
      <c r="J274" s="430"/>
      <c r="K274" s="431"/>
      <c r="L274" s="431"/>
      <c r="M274" s="431"/>
      <c r="N274" s="431"/>
      <c r="O274" s="431"/>
      <c r="P274" s="430"/>
      <c r="Q274" s="431"/>
      <c r="R274" s="431"/>
      <c r="S274" s="431"/>
      <c r="T274" s="431"/>
      <c r="U274" s="431"/>
      <c r="V274" s="431"/>
      <c r="W274" s="430"/>
      <c r="X274" s="431"/>
      <c r="Y274" s="431"/>
      <c r="Z274" s="431"/>
      <c r="AA274" s="431"/>
      <c r="AB274" s="431"/>
      <c r="AC274" s="431"/>
      <c r="AD274" s="430"/>
      <c r="AE274" s="431"/>
      <c r="AF274" s="431"/>
      <c r="AG274" s="431"/>
      <c r="AH274" s="431"/>
      <c r="AI274" s="431"/>
      <c r="AJ274" s="431"/>
      <c r="AK274" s="430"/>
      <c r="AL274" s="431"/>
      <c r="AM274" s="431"/>
      <c r="AN274" s="432"/>
      <c r="AQ274" s="436"/>
      <c r="AR274" s="436"/>
      <c r="AS274" s="436"/>
      <c r="AT274" s="436"/>
      <c r="AU274" s="436"/>
      <c r="AV274" s="436"/>
      <c r="AW274" s="396">
        <f t="shared" si="35"/>
        <v>0</v>
      </c>
      <c r="AX274" s="434">
        <f t="shared" si="32"/>
        <v>0</v>
      </c>
      <c r="BA274" s="437">
        <f t="shared" si="36"/>
        <v>0</v>
      </c>
      <c r="BB274" s="437">
        <f t="shared" si="37"/>
        <v>0</v>
      </c>
      <c r="BC274" s="437">
        <f t="shared" si="38"/>
        <v>0</v>
      </c>
      <c r="BD274" s="437">
        <f t="shared" si="39"/>
        <v>0</v>
      </c>
      <c r="BE274" s="437"/>
    </row>
    <row r="275" spans="1:57" ht="33" customHeight="1" thickBot="1">
      <c r="A275" s="358" t="s">
        <v>490</v>
      </c>
      <c r="B275" s="343" t="s">
        <v>491</v>
      </c>
      <c r="C275" s="360" t="s">
        <v>234</v>
      </c>
      <c r="D275" s="7">
        <v>31.79</v>
      </c>
      <c r="E275" s="353"/>
      <c r="F275" s="22">
        <f t="shared" si="33"/>
        <v>0</v>
      </c>
      <c r="G275" s="329"/>
      <c r="H275" s="330">
        <f t="shared" si="34"/>
        <v>0</v>
      </c>
      <c r="I275" s="430"/>
      <c r="J275" s="430"/>
      <c r="K275" s="431"/>
      <c r="L275" s="431"/>
      <c r="M275" s="431"/>
      <c r="N275" s="431"/>
      <c r="O275" s="431"/>
      <c r="P275" s="430"/>
      <c r="Q275" s="431"/>
      <c r="R275" s="431"/>
      <c r="S275" s="431"/>
      <c r="T275" s="431"/>
      <c r="U275" s="431"/>
      <c r="V275" s="431"/>
      <c r="W275" s="430"/>
      <c r="X275" s="431"/>
      <c r="Y275" s="431"/>
      <c r="Z275" s="431"/>
      <c r="AA275" s="431"/>
      <c r="AB275" s="431"/>
      <c r="AC275" s="431"/>
      <c r="AD275" s="430"/>
      <c r="AE275" s="431"/>
      <c r="AF275" s="431"/>
      <c r="AG275" s="431"/>
      <c r="AH275" s="431"/>
      <c r="AI275" s="431"/>
      <c r="AJ275" s="431"/>
      <c r="AK275" s="430"/>
      <c r="AL275" s="431"/>
      <c r="AM275" s="431"/>
      <c r="AN275" s="432"/>
      <c r="AQ275" s="436"/>
      <c r="AR275" s="436"/>
      <c r="AS275" s="436"/>
      <c r="AT275" s="436"/>
      <c r="AU275" s="436"/>
      <c r="AV275" s="436"/>
      <c r="AW275" s="396">
        <f t="shared" si="35"/>
        <v>0</v>
      </c>
      <c r="AX275" s="434">
        <f t="shared" ref="AX275:AX338" si="40">G275-AW275</f>
        <v>0</v>
      </c>
      <c r="BA275" s="437">
        <f t="shared" si="36"/>
        <v>0</v>
      </c>
      <c r="BB275" s="437">
        <f t="shared" si="37"/>
        <v>0</v>
      </c>
      <c r="BC275" s="437">
        <f t="shared" si="38"/>
        <v>0</v>
      </c>
      <c r="BD275" s="437">
        <f t="shared" si="39"/>
        <v>0</v>
      </c>
      <c r="BE275" s="437"/>
    </row>
    <row r="276" spans="1:57" ht="33" customHeight="1" thickBot="1">
      <c r="A276" s="358" t="s">
        <v>492</v>
      </c>
      <c r="B276" s="337" t="s">
        <v>493</v>
      </c>
      <c r="C276" s="360" t="s">
        <v>234</v>
      </c>
      <c r="D276" s="7">
        <v>21.98</v>
      </c>
      <c r="E276" s="353"/>
      <c r="F276" s="22">
        <f t="shared" si="33"/>
        <v>0</v>
      </c>
      <c r="G276" s="329"/>
      <c r="H276" s="330">
        <f t="shared" si="34"/>
        <v>0</v>
      </c>
      <c r="I276" s="430"/>
      <c r="J276" s="430"/>
      <c r="K276" s="431"/>
      <c r="L276" s="431"/>
      <c r="M276" s="431"/>
      <c r="N276" s="431"/>
      <c r="O276" s="431"/>
      <c r="P276" s="430"/>
      <c r="Q276" s="431"/>
      <c r="R276" s="431"/>
      <c r="S276" s="431"/>
      <c r="T276" s="431"/>
      <c r="U276" s="431"/>
      <c r="V276" s="431"/>
      <c r="W276" s="430"/>
      <c r="X276" s="431"/>
      <c r="Y276" s="431"/>
      <c r="Z276" s="431"/>
      <c r="AA276" s="431"/>
      <c r="AB276" s="431"/>
      <c r="AC276" s="431"/>
      <c r="AD276" s="430"/>
      <c r="AE276" s="431"/>
      <c r="AF276" s="431"/>
      <c r="AG276" s="431"/>
      <c r="AH276" s="431"/>
      <c r="AI276" s="431"/>
      <c r="AJ276" s="431"/>
      <c r="AK276" s="430"/>
      <c r="AL276" s="431"/>
      <c r="AM276" s="431"/>
      <c r="AN276" s="432"/>
      <c r="AQ276" s="436"/>
      <c r="AR276" s="436"/>
      <c r="AS276" s="436"/>
      <c r="AT276" s="436"/>
      <c r="AU276" s="436"/>
      <c r="AV276" s="436"/>
      <c r="AW276" s="396">
        <f t="shared" si="35"/>
        <v>0</v>
      </c>
      <c r="AX276" s="434">
        <f t="shared" si="40"/>
        <v>0</v>
      </c>
      <c r="BA276" s="437">
        <f t="shared" si="36"/>
        <v>0</v>
      </c>
      <c r="BB276" s="437">
        <f t="shared" si="37"/>
        <v>0</v>
      </c>
      <c r="BC276" s="437">
        <f t="shared" si="38"/>
        <v>0</v>
      </c>
      <c r="BD276" s="437">
        <f t="shared" si="39"/>
        <v>0</v>
      </c>
      <c r="BE276" s="437"/>
    </row>
    <row r="277" spans="1:57" ht="33" customHeight="1" thickBot="1">
      <c r="A277" s="382" t="s">
        <v>494</v>
      </c>
      <c r="B277" s="344" t="s">
        <v>495</v>
      </c>
      <c r="C277" s="383" t="s">
        <v>234</v>
      </c>
      <c r="D277" s="7">
        <v>17.77</v>
      </c>
      <c r="E277" s="353"/>
      <c r="F277" s="22">
        <f t="shared" si="33"/>
        <v>0</v>
      </c>
      <c r="G277" s="329"/>
      <c r="H277" s="330">
        <f t="shared" si="34"/>
        <v>0</v>
      </c>
      <c r="I277" s="430"/>
      <c r="J277" s="430"/>
      <c r="K277" s="431"/>
      <c r="L277" s="431"/>
      <c r="M277" s="431"/>
      <c r="N277" s="431"/>
      <c r="O277" s="431"/>
      <c r="P277" s="430"/>
      <c r="Q277" s="431"/>
      <c r="R277" s="431"/>
      <c r="S277" s="431"/>
      <c r="T277" s="431"/>
      <c r="U277" s="431"/>
      <c r="V277" s="431"/>
      <c r="W277" s="430"/>
      <c r="X277" s="431"/>
      <c r="Y277" s="431"/>
      <c r="Z277" s="431"/>
      <c r="AA277" s="431"/>
      <c r="AB277" s="431"/>
      <c r="AC277" s="431"/>
      <c r="AD277" s="430"/>
      <c r="AE277" s="431"/>
      <c r="AF277" s="431"/>
      <c r="AG277" s="431"/>
      <c r="AH277" s="431"/>
      <c r="AI277" s="431"/>
      <c r="AJ277" s="431"/>
      <c r="AK277" s="430"/>
      <c r="AL277" s="431"/>
      <c r="AM277" s="431"/>
      <c r="AN277" s="432"/>
      <c r="AQ277" s="436"/>
      <c r="AR277" s="436"/>
      <c r="AS277" s="436"/>
      <c r="AT277" s="436"/>
      <c r="AU277" s="436"/>
      <c r="AV277" s="436"/>
      <c r="AW277" s="396">
        <f t="shared" si="35"/>
        <v>0</v>
      </c>
      <c r="AX277" s="434">
        <f t="shared" si="40"/>
        <v>0</v>
      </c>
      <c r="BA277" s="437">
        <f t="shared" si="36"/>
        <v>0</v>
      </c>
      <c r="BB277" s="437">
        <f t="shared" si="37"/>
        <v>0</v>
      </c>
      <c r="BC277" s="437">
        <f t="shared" si="38"/>
        <v>0</v>
      </c>
      <c r="BD277" s="437">
        <f t="shared" si="39"/>
        <v>0</v>
      </c>
      <c r="BE277" s="437"/>
    </row>
    <row r="278" spans="1:57" ht="51.75" customHeight="1" thickBot="1">
      <c r="A278" s="382" t="s">
        <v>496</v>
      </c>
      <c r="B278" s="344" t="s">
        <v>497</v>
      </c>
      <c r="C278" s="383" t="s">
        <v>219</v>
      </c>
      <c r="D278" s="7">
        <v>0.92</v>
      </c>
      <c r="E278" s="353"/>
      <c r="F278" s="22">
        <f t="shared" si="33"/>
        <v>0</v>
      </c>
      <c r="G278" s="329"/>
      <c r="H278" s="330">
        <f t="shared" si="34"/>
        <v>0</v>
      </c>
      <c r="I278" s="430"/>
      <c r="J278" s="430"/>
      <c r="K278" s="431"/>
      <c r="L278" s="431"/>
      <c r="M278" s="431"/>
      <c r="N278" s="431"/>
      <c r="O278" s="431"/>
      <c r="P278" s="430"/>
      <c r="Q278" s="431"/>
      <c r="R278" s="431"/>
      <c r="S278" s="431"/>
      <c r="T278" s="431"/>
      <c r="U278" s="431"/>
      <c r="V278" s="431"/>
      <c r="W278" s="430"/>
      <c r="X278" s="431"/>
      <c r="Y278" s="431"/>
      <c r="Z278" s="431"/>
      <c r="AA278" s="431"/>
      <c r="AB278" s="431"/>
      <c r="AC278" s="431"/>
      <c r="AD278" s="430"/>
      <c r="AE278" s="431"/>
      <c r="AF278" s="431"/>
      <c r="AG278" s="431"/>
      <c r="AH278" s="431"/>
      <c r="AI278" s="431"/>
      <c r="AJ278" s="431"/>
      <c r="AK278" s="430"/>
      <c r="AL278" s="431"/>
      <c r="AM278" s="431"/>
      <c r="AN278" s="432"/>
      <c r="AQ278" s="436"/>
      <c r="AR278" s="436"/>
      <c r="AS278" s="436"/>
      <c r="AT278" s="436"/>
      <c r="AU278" s="436"/>
      <c r="AV278" s="436"/>
      <c r="AW278" s="396">
        <f t="shared" si="35"/>
        <v>0</v>
      </c>
      <c r="AX278" s="434">
        <f t="shared" si="40"/>
        <v>0</v>
      </c>
      <c r="BA278" s="437">
        <f t="shared" si="36"/>
        <v>0</v>
      </c>
      <c r="BB278" s="437">
        <f t="shared" si="37"/>
        <v>0</v>
      </c>
      <c r="BC278" s="437">
        <f t="shared" si="38"/>
        <v>0</v>
      </c>
      <c r="BD278" s="437">
        <f t="shared" si="39"/>
        <v>0</v>
      </c>
      <c r="BE278" s="437"/>
    </row>
    <row r="279" spans="1:57" ht="51.75" customHeight="1" thickBot="1">
      <c r="A279" s="382" t="s">
        <v>498</v>
      </c>
      <c r="B279" s="344" t="s">
        <v>499</v>
      </c>
      <c r="C279" s="383" t="s">
        <v>219</v>
      </c>
      <c r="D279" s="7">
        <v>13.19</v>
      </c>
      <c r="E279" s="353"/>
      <c r="F279" s="22">
        <f t="shared" si="33"/>
        <v>0</v>
      </c>
      <c r="G279" s="329"/>
      <c r="H279" s="330">
        <f t="shared" si="34"/>
        <v>0</v>
      </c>
      <c r="I279" s="430"/>
      <c r="J279" s="430"/>
      <c r="K279" s="431"/>
      <c r="L279" s="431"/>
      <c r="M279" s="431"/>
      <c r="N279" s="431"/>
      <c r="O279" s="431"/>
      <c r="P279" s="430"/>
      <c r="Q279" s="431"/>
      <c r="R279" s="431"/>
      <c r="S279" s="431"/>
      <c r="T279" s="431"/>
      <c r="U279" s="431"/>
      <c r="V279" s="431"/>
      <c r="W279" s="430"/>
      <c r="X279" s="431"/>
      <c r="Y279" s="431"/>
      <c r="Z279" s="431"/>
      <c r="AA279" s="431"/>
      <c r="AB279" s="431"/>
      <c r="AC279" s="431"/>
      <c r="AD279" s="430"/>
      <c r="AE279" s="431"/>
      <c r="AF279" s="431"/>
      <c r="AG279" s="431"/>
      <c r="AH279" s="431"/>
      <c r="AI279" s="431"/>
      <c r="AJ279" s="431"/>
      <c r="AK279" s="430"/>
      <c r="AL279" s="431"/>
      <c r="AM279" s="431"/>
      <c r="AN279" s="432"/>
      <c r="AQ279" s="436"/>
      <c r="AR279" s="436"/>
      <c r="AS279" s="436"/>
      <c r="AT279" s="436"/>
      <c r="AU279" s="436"/>
      <c r="AV279" s="436"/>
      <c r="AW279" s="396">
        <f t="shared" si="35"/>
        <v>0</v>
      </c>
      <c r="AX279" s="434">
        <f t="shared" si="40"/>
        <v>0</v>
      </c>
      <c r="BA279" s="437">
        <f t="shared" si="36"/>
        <v>0</v>
      </c>
      <c r="BB279" s="437">
        <f t="shared" si="37"/>
        <v>0</v>
      </c>
      <c r="BC279" s="437">
        <f t="shared" si="38"/>
        <v>0</v>
      </c>
      <c r="BD279" s="437">
        <f t="shared" si="39"/>
        <v>0</v>
      </c>
      <c r="BE279" s="437"/>
    </row>
    <row r="280" spans="1:57" ht="51.75" customHeight="1" thickBot="1">
      <c r="A280" s="382" t="s">
        <v>500</v>
      </c>
      <c r="B280" s="344" t="s">
        <v>244</v>
      </c>
      <c r="C280" s="383" t="s">
        <v>219</v>
      </c>
      <c r="D280" s="7">
        <v>27.285999999999994</v>
      </c>
      <c r="E280" s="353"/>
      <c r="F280" s="22">
        <f t="shared" si="33"/>
        <v>0</v>
      </c>
      <c r="G280" s="329"/>
      <c r="H280" s="330">
        <f t="shared" si="34"/>
        <v>0</v>
      </c>
      <c r="I280" s="430"/>
      <c r="J280" s="430"/>
      <c r="K280" s="431"/>
      <c r="L280" s="431"/>
      <c r="M280" s="431"/>
      <c r="N280" s="431"/>
      <c r="O280" s="431"/>
      <c r="P280" s="430"/>
      <c r="Q280" s="431"/>
      <c r="R280" s="431"/>
      <c r="S280" s="431"/>
      <c r="T280" s="431"/>
      <c r="U280" s="431"/>
      <c r="V280" s="431"/>
      <c r="W280" s="430"/>
      <c r="X280" s="431"/>
      <c r="Y280" s="431"/>
      <c r="Z280" s="431"/>
      <c r="AA280" s="431"/>
      <c r="AB280" s="431"/>
      <c r="AC280" s="431"/>
      <c r="AD280" s="430"/>
      <c r="AE280" s="431"/>
      <c r="AF280" s="431"/>
      <c r="AG280" s="431"/>
      <c r="AH280" s="431"/>
      <c r="AI280" s="431"/>
      <c r="AJ280" s="431"/>
      <c r="AK280" s="430"/>
      <c r="AL280" s="431"/>
      <c r="AM280" s="431"/>
      <c r="AN280" s="432"/>
      <c r="AQ280" s="436"/>
      <c r="AR280" s="436"/>
      <c r="AS280" s="436"/>
      <c r="AT280" s="436"/>
      <c r="AU280" s="436"/>
      <c r="AV280" s="436"/>
      <c r="AW280" s="396">
        <f t="shared" si="35"/>
        <v>0</v>
      </c>
      <c r="AX280" s="434">
        <f t="shared" si="40"/>
        <v>0</v>
      </c>
      <c r="BA280" s="437">
        <f t="shared" si="36"/>
        <v>0</v>
      </c>
      <c r="BB280" s="437">
        <f t="shared" si="37"/>
        <v>0</v>
      </c>
      <c r="BC280" s="437">
        <f t="shared" si="38"/>
        <v>0</v>
      </c>
      <c r="BD280" s="437">
        <f t="shared" si="39"/>
        <v>0</v>
      </c>
      <c r="BE280" s="437"/>
    </row>
    <row r="281" spans="1:57" ht="51.75" customHeight="1" thickBot="1">
      <c r="A281" s="358" t="s">
        <v>501</v>
      </c>
      <c r="B281" s="345" t="s">
        <v>246</v>
      </c>
      <c r="C281" s="360" t="s">
        <v>219</v>
      </c>
      <c r="D281" s="7">
        <v>50.673999999999999</v>
      </c>
      <c r="E281" s="353"/>
      <c r="F281" s="22">
        <f t="shared" si="33"/>
        <v>0</v>
      </c>
      <c r="G281" s="329"/>
      <c r="H281" s="330">
        <f t="shared" si="34"/>
        <v>0</v>
      </c>
      <c r="I281" s="430"/>
      <c r="J281" s="430"/>
      <c r="K281" s="431"/>
      <c r="L281" s="431"/>
      <c r="M281" s="431"/>
      <c r="N281" s="431"/>
      <c r="O281" s="431"/>
      <c r="P281" s="430"/>
      <c r="Q281" s="431"/>
      <c r="R281" s="431"/>
      <c r="S281" s="431"/>
      <c r="T281" s="431"/>
      <c r="U281" s="431"/>
      <c r="V281" s="431"/>
      <c r="W281" s="430"/>
      <c r="X281" s="431"/>
      <c r="Y281" s="431"/>
      <c r="Z281" s="431"/>
      <c r="AA281" s="431"/>
      <c r="AB281" s="431"/>
      <c r="AC281" s="431"/>
      <c r="AD281" s="430"/>
      <c r="AE281" s="431"/>
      <c r="AF281" s="431"/>
      <c r="AG281" s="431"/>
      <c r="AH281" s="431"/>
      <c r="AI281" s="431"/>
      <c r="AJ281" s="431"/>
      <c r="AK281" s="430"/>
      <c r="AL281" s="431"/>
      <c r="AM281" s="431"/>
      <c r="AN281" s="432"/>
      <c r="AQ281" s="436"/>
      <c r="AR281" s="436"/>
      <c r="AS281" s="436"/>
      <c r="AT281" s="436"/>
      <c r="AU281" s="436"/>
      <c r="AV281" s="436"/>
      <c r="AW281" s="396">
        <f t="shared" si="35"/>
        <v>0</v>
      </c>
      <c r="AX281" s="434">
        <f t="shared" si="40"/>
        <v>0</v>
      </c>
      <c r="BA281" s="437">
        <f t="shared" si="36"/>
        <v>0</v>
      </c>
      <c r="BB281" s="437">
        <f t="shared" si="37"/>
        <v>0</v>
      </c>
      <c r="BC281" s="437">
        <f t="shared" si="38"/>
        <v>0</v>
      </c>
      <c r="BD281" s="437">
        <f t="shared" si="39"/>
        <v>0</v>
      </c>
      <c r="BE281" s="437"/>
    </row>
    <row r="282" spans="1:57" ht="51.75" customHeight="1" thickBot="1">
      <c r="A282" s="358" t="s">
        <v>502</v>
      </c>
      <c r="B282" s="345" t="s">
        <v>503</v>
      </c>
      <c r="C282" s="360" t="s">
        <v>212</v>
      </c>
      <c r="D282" s="7">
        <v>149.58000000000001</v>
      </c>
      <c r="E282" s="353"/>
      <c r="F282" s="22">
        <f t="shared" si="33"/>
        <v>0</v>
      </c>
      <c r="G282" s="329"/>
      <c r="H282" s="330">
        <f t="shared" si="34"/>
        <v>0</v>
      </c>
      <c r="I282" s="430"/>
      <c r="J282" s="430"/>
      <c r="K282" s="431"/>
      <c r="L282" s="431"/>
      <c r="M282" s="431"/>
      <c r="N282" s="431"/>
      <c r="O282" s="431"/>
      <c r="P282" s="430"/>
      <c r="Q282" s="431"/>
      <c r="R282" s="431"/>
      <c r="S282" s="431"/>
      <c r="T282" s="431"/>
      <c r="U282" s="431"/>
      <c r="V282" s="431"/>
      <c r="W282" s="430"/>
      <c r="X282" s="431"/>
      <c r="Y282" s="431"/>
      <c r="Z282" s="431"/>
      <c r="AA282" s="431"/>
      <c r="AB282" s="431"/>
      <c r="AC282" s="431"/>
      <c r="AD282" s="430"/>
      <c r="AE282" s="431"/>
      <c r="AF282" s="431"/>
      <c r="AG282" s="431"/>
      <c r="AH282" s="431"/>
      <c r="AI282" s="431"/>
      <c r="AJ282" s="431"/>
      <c r="AK282" s="430"/>
      <c r="AL282" s="431"/>
      <c r="AM282" s="431"/>
      <c r="AN282" s="432"/>
      <c r="AQ282" s="436"/>
      <c r="AR282" s="436"/>
      <c r="AS282" s="436"/>
      <c r="AT282" s="436"/>
      <c r="AU282" s="436"/>
      <c r="AV282" s="436"/>
      <c r="AW282" s="396">
        <f t="shared" si="35"/>
        <v>0</v>
      </c>
      <c r="AX282" s="434">
        <f t="shared" si="40"/>
        <v>0</v>
      </c>
      <c r="BA282" s="437">
        <f t="shared" si="36"/>
        <v>0</v>
      </c>
      <c r="BB282" s="437">
        <f t="shared" si="37"/>
        <v>0</v>
      </c>
      <c r="BC282" s="437">
        <f t="shared" si="38"/>
        <v>0</v>
      </c>
      <c r="BD282" s="437">
        <f t="shared" si="39"/>
        <v>0</v>
      </c>
      <c r="BE282" s="437"/>
    </row>
    <row r="283" spans="1:57" ht="51.75" customHeight="1" thickBot="1">
      <c r="A283" s="358" t="s">
        <v>504</v>
      </c>
      <c r="B283" s="345" t="s">
        <v>505</v>
      </c>
      <c r="C283" s="360" t="s">
        <v>219</v>
      </c>
      <c r="D283" s="7">
        <v>5.49</v>
      </c>
      <c r="E283" s="353"/>
      <c r="F283" s="22">
        <f t="shared" si="33"/>
        <v>0</v>
      </c>
      <c r="G283" s="329"/>
      <c r="H283" s="330">
        <f t="shared" si="34"/>
        <v>0</v>
      </c>
      <c r="I283" s="430"/>
      <c r="J283" s="430"/>
      <c r="K283" s="431"/>
      <c r="L283" s="431"/>
      <c r="M283" s="431"/>
      <c r="N283" s="431"/>
      <c r="O283" s="431"/>
      <c r="P283" s="430"/>
      <c r="Q283" s="431"/>
      <c r="R283" s="431"/>
      <c r="S283" s="431"/>
      <c r="T283" s="431"/>
      <c r="U283" s="431"/>
      <c r="V283" s="431"/>
      <c r="W283" s="430"/>
      <c r="X283" s="431"/>
      <c r="Y283" s="431"/>
      <c r="Z283" s="431"/>
      <c r="AA283" s="431"/>
      <c r="AB283" s="431"/>
      <c r="AC283" s="431"/>
      <c r="AD283" s="430"/>
      <c r="AE283" s="431"/>
      <c r="AF283" s="431"/>
      <c r="AG283" s="431"/>
      <c r="AH283" s="431"/>
      <c r="AI283" s="431"/>
      <c r="AJ283" s="431"/>
      <c r="AK283" s="430"/>
      <c r="AL283" s="431"/>
      <c r="AM283" s="431"/>
      <c r="AN283" s="432"/>
      <c r="AQ283" s="436"/>
      <c r="AR283" s="436"/>
      <c r="AS283" s="436"/>
      <c r="AT283" s="436"/>
      <c r="AU283" s="436"/>
      <c r="AV283" s="436"/>
      <c r="AW283" s="396">
        <f t="shared" si="35"/>
        <v>0</v>
      </c>
      <c r="AX283" s="434">
        <f t="shared" si="40"/>
        <v>0</v>
      </c>
      <c r="BA283" s="437">
        <f t="shared" si="36"/>
        <v>0</v>
      </c>
      <c r="BB283" s="437">
        <f t="shared" si="37"/>
        <v>0</v>
      </c>
      <c r="BC283" s="437">
        <f t="shared" si="38"/>
        <v>0</v>
      </c>
      <c r="BD283" s="437">
        <f t="shared" si="39"/>
        <v>0</v>
      </c>
      <c r="BE283" s="437"/>
    </row>
    <row r="284" spans="1:57" ht="51.75" customHeight="1" thickBot="1">
      <c r="A284" s="358" t="s">
        <v>506</v>
      </c>
      <c r="B284" s="346" t="s">
        <v>507</v>
      </c>
      <c r="C284" s="383" t="s">
        <v>212</v>
      </c>
      <c r="D284" s="7">
        <v>6.04</v>
      </c>
      <c r="E284" s="353"/>
      <c r="F284" s="22">
        <f t="shared" si="33"/>
        <v>0</v>
      </c>
      <c r="G284" s="329"/>
      <c r="H284" s="330">
        <f t="shared" si="34"/>
        <v>0</v>
      </c>
      <c r="I284" s="430"/>
      <c r="J284" s="430"/>
      <c r="K284" s="431"/>
      <c r="L284" s="431"/>
      <c r="M284" s="431"/>
      <c r="N284" s="431"/>
      <c r="O284" s="431"/>
      <c r="P284" s="430"/>
      <c r="Q284" s="431"/>
      <c r="R284" s="431"/>
      <c r="S284" s="431"/>
      <c r="T284" s="431"/>
      <c r="U284" s="431"/>
      <c r="V284" s="431"/>
      <c r="W284" s="430"/>
      <c r="X284" s="431"/>
      <c r="Y284" s="431"/>
      <c r="Z284" s="431"/>
      <c r="AA284" s="431"/>
      <c r="AB284" s="431"/>
      <c r="AC284" s="431"/>
      <c r="AD284" s="430"/>
      <c r="AE284" s="431"/>
      <c r="AF284" s="431"/>
      <c r="AG284" s="431"/>
      <c r="AH284" s="431"/>
      <c r="AI284" s="431"/>
      <c r="AJ284" s="431"/>
      <c r="AK284" s="430"/>
      <c r="AL284" s="431"/>
      <c r="AM284" s="431"/>
      <c r="AN284" s="432"/>
      <c r="AQ284" s="436"/>
      <c r="AR284" s="436"/>
      <c r="AS284" s="436"/>
      <c r="AT284" s="436"/>
      <c r="AU284" s="436"/>
      <c r="AV284" s="436"/>
      <c r="AW284" s="396">
        <f t="shared" si="35"/>
        <v>0</v>
      </c>
      <c r="AX284" s="434">
        <f t="shared" si="40"/>
        <v>0</v>
      </c>
      <c r="BA284" s="437">
        <f t="shared" si="36"/>
        <v>0</v>
      </c>
      <c r="BB284" s="437">
        <f t="shared" si="37"/>
        <v>0</v>
      </c>
      <c r="BC284" s="437">
        <f t="shared" si="38"/>
        <v>0</v>
      </c>
      <c r="BD284" s="437">
        <f t="shared" si="39"/>
        <v>0</v>
      </c>
      <c r="BE284" s="437"/>
    </row>
    <row r="285" spans="1:57" ht="51.75" customHeight="1" thickBot="1">
      <c r="A285" s="358" t="s">
        <v>508</v>
      </c>
      <c r="B285" s="346" t="s">
        <v>509</v>
      </c>
      <c r="C285" s="383" t="s">
        <v>212</v>
      </c>
      <c r="D285" s="7">
        <v>6.3</v>
      </c>
      <c r="E285" s="353"/>
      <c r="F285" s="22">
        <f t="shared" si="33"/>
        <v>0</v>
      </c>
      <c r="G285" s="329"/>
      <c r="H285" s="330">
        <f t="shared" si="34"/>
        <v>0</v>
      </c>
      <c r="I285" s="430"/>
      <c r="J285" s="430"/>
      <c r="K285" s="431"/>
      <c r="L285" s="431"/>
      <c r="M285" s="431"/>
      <c r="N285" s="431"/>
      <c r="O285" s="431"/>
      <c r="P285" s="430"/>
      <c r="Q285" s="431"/>
      <c r="R285" s="431"/>
      <c r="S285" s="431"/>
      <c r="T285" s="431"/>
      <c r="U285" s="431"/>
      <c r="V285" s="431"/>
      <c r="W285" s="430"/>
      <c r="X285" s="431"/>
      <c r="Y285" s="431"/>
      <c r="Z285" s="431"/>
      <c r="AA285" s="431"/>
      <c r="AB285" s="431"/>
      <c r="AC285" s="431"/>
      <c r="AD285" s="430"/>
      <c r="AE285" s="431"/>
      <c r="AF285" s="431"/>
      <c r="AG285" s="431"/>
      <c r="AH285" s="431"/>
      <c r="AI285" s="431"/>
      <c r="AJ285" s="431"/>
      <c r="AK285" s="430"/>
      <c r="AL285" s="431"/>
      <c r="AM285" s="431"/>
      <c r="AN285" s="432"/>
      <c r="AQ285" s="436"/>
      <c r="AR285" s="436"/>
      <c r="AS285" s="436"/>
      <c r="AT285" s="436"/>
      <c r="AU285" s="436"/>
      <c r="AV285" s="436"/>
      <c r="AW285" s="396">
        <f t="shared" si="35"/>
        <v>0</v>
      </c>
      <c r="AX285" s="434">
        <f t="shared" si="40"/>
        <v>0</v>
      </c>
      <c r="BA285" s="437">
        <f t="shared" si="36"/>
        <v>0</v>
      </c>
      <c r="BB285" s="437">
        <f t="shared" si="37"/>
        <v>0</v>
      </c>
      <c r="BC285" s="437">
        <f t="shared" si="38"/>
        <v>0</v>
      </c>
      <c r="BD285" s="437">
        <f t="shared" si="39"/>
        <v>0</v>
      </c>
      <c r="BE285" s="437"/>
    </row>
    <row r="286" spans="1:57" ht="51.75" customHeight="1" thickBot="1">
      <c r="A286" s="358" t="s">
        <v>510</v>
      </c>
      <c r="B286" s="346" t="s">
        <v>511</v>
      </c>
      <c r="C286" s="383" t="s">
        <v>212</v>
      </c>
      <c r="D286" s="7">
        <v>5.96</v>
      </c>
      <c r="E286" s="353"/>
      <c r="F286" s="22">
        <f t="shared" si="33"/>
        <v>0</v>
      </c>
      <c r="G286" s="329"/>
      <c r="H286" s="330">
        <f t="shared" si="34"/>
        <v>0</v>
      </c>
      <c r="I286" s="430"/>
      <c r="J286" s="430"/>
      <c r="K286" s="431"/>
      <c r="L286" s="431"/>
      <c r="M286" s="431"/>
      <c r="N286" s="431"/>
      <c r="O286" s="431"/>
      <c r="P286" s="430"/>
      <c r="Q286" s="431"/>
      <c r="R286" s="431"/>
      <c r="S286" s="431"/>
      <c r="T286" s="431"/>
      <c r="U286" s="431"/>
      <c r="V286" s="431"/>
      <c r="W286" s="430"/>
      <c r="X286" s="431"/>
      <c r="Y286" s="431"/>
      <c r="Z286" s="431"/>
      <c r="AA286" s="431"/>
      <c r="AB286" s="431"/>
      <c r="AC286" s="431"/>
      <c r="AD286" s="430"/>
      <c r="AE286" s="431"/>
      <c r="AF286" s="431"/>
      <c r="AG286" s="431"/>
      <c r="AH286" s="431"/>
      <c r="AI286" s="431"/>
      <c r="AJ286" s="431"/>
      <c r="AK286" s="430"/>
      <c r="AL286" s="431"/>
      <c r="AM286" s="431"/>
      <c r="AN286" s="432"/>
      <c r="AQ286" s="436"/>
      <c r="AR286" s="436"/>
      <c r="AS286" s="436"/>
      <c r="AT286" s="436"/>
      <c r="AU286" s="436"/>
      <c r="AV286" s="436"/>
      <c r="AW286" s="396">
        <f t="shared" si="35"/>
        <v>0</v>
      </c>
      <c r="AX286" s="434">
        <f t="shared" si="40"/>
        <v>0</v>
      </c>
      <c r="BA286" s="437">
        <f t="shared" si="36"/>
        <v>0</v>
      </c>
      <c r="BB286" s="437">
        <f t="shared" si="37"/>
        <v>0</v>
      </c>
      <c r="BC286" s="437">
        <f t="shared" si="38"/>
        <v>0</v>
      </c>
      <c r="BD286" s="437">
        <f t="shared" si="39"/>
        <v>0</v>
      </c>
      <c r="BE286" s="437"/>
    </row>
    <row r="287" spans="1:57" ht="51.75" customHeight="1" thickBot="1">
      <c r="A287" s="358" t="s">
        <v>512</v>
      </c>
      <c r="B287" s="346" t="s">
        <v>513</v>
      </c>
      <c r="C287" s="383" t="s">
        <v>212</v>
      </c>
      <c r="D287" s="7">
        <v>7.07</v>
      </c>
      <c r="E287" s="353"/>
      <c r="F287" s="22">
        <f t="shared" si="33"/>
        <v>0</v>
      </c>
      <c r="G287" s="329"/>
      <c r="H287" s="330">
        <f t="shared" si="34"/>
        <v>0</v>
      </c>
      <c r="I287" s="430"/>
      <c r="J287" s="430"/>
      <c r="K287" s="431"/>
      <c r="L287" s="431"/>
      <c r="M287" s="431"/>
      <c r="N287" s="431"/>
      <c r="O287" s="431"/>
      <c r="P287" s="430"/>
      <c r="Q287" s="431"/>
      <c r="R287" s="431"/>
      <c r="S287" s="431"/>
      <c r="T287" s="431"/>
      <c r="U287" s="431"/>
      <c r="V287" s="431"/>
      <c r="W287" s="430"/>
      <c r="X287" s="431"/>
      <c r="Y287" s="431"/>
      <c r="Z287" s="431"/>
      <c r="AA287" s="431"/>
      <c r="AB287" s="431"/>
      <c r="AC287" s="431"/>
      <c r="AD287" s="430"/>
      <c r="AE287" s="431"/>
      <c r="AF287" s="431"/>
      <c r="AG287" s="431"/>
      <c r="AH287" s="431"/>
      <c r="AI287" s="431"/>
      <c r="AJ287" s="431"/>
      <c r="AK287" s="430"/>
      <c r="AL287" s="431"/>
      <c r="AM287" s="431"/>
      <c r="AN287" s="432"/>
      <c r="AQ287" s="436"/>
      <c r="AR287" s="436"/>
      <c r="AS287" s="436"/>
      <c r="AT287" s="436"/>
      <c r="AU287" s="436"/>
      <c r="AV287" s="436"/>
      <c r="AW287" s="396">
        <f t="shared" si="35"/>
        <v>0</v>
      </c>
      <c r="AX287" s="434">
        <f t="shared" si="40"/>
        <v>0</v>
      </c>
      <c r="BA287" s="437">
        <f t="shared" si="36"/>
        <v>0</v>
      </c>
      <c r="BB287" s="437">
        <f t="shared" si="37"/>
        <v>0</v>
      </c>
      <c r="BC287" s="437">
        <f t="shared" si="38"/>
        <v>0</v>
      </c>
      <c r="BD287" s="437">
        <f t="shared" si="39"/>
        <v>0</v>
      </c>
      <c r="BE287" s="437"/>
    </row>
    <row r="288" spans="1:57" ht="51.75" customHeight="1" thickBot="1">
      <c r="A288" s="358" t="s">
        <v>514</v>
      </c>
      <c r="B288" s="346" t="s">
        <v>515</v>
      </c>
      <c r="C288" s="383" t="s">
        <v>212</v>
      </c>
      <c r="D288" s="7">
        <v>17.399999999999999</v>
      </c>
      <c r="E288" s="353"/>
      <c r="F288" s="22">
        <f t="shared" si="33"/>
        <v>0</v>
      </c>
      <c r="G288" s="329"/>
      <c r="H288" s="330">
        <f t="shared" si="34"/>
        <v>0</v>
      </c>
      <c r="I288" s="430"/>
      <c r="J288" s="430"/>
      <c r="K288" s="431"/>
      <c r="L288" s="431"/>
      <c r="M288" s="431"/>
      <c r="N288" s="431"/>
      <c r="O288" s="431"/>
      <c r="P288" s="430"/>
      <c r="Q288" s="431"/>
      <c r="R288" s="431"/>
      <c r="S288" s="431"/>
      <c r="T288" s="431"/>
      <c r="U288" s="431"/>
      <c r="V288" s="431"/>
      <c r="W288" s="430"/>
      <c r="X288" s="431"/>
      <c r="Y288" s="431"/>
      <c r="Z288" s="431"/>
      <c r="AA288" s="431"/>
      <c r="AB288" s="431"/>
      <c r="AC288" s="431"/>
      <c r="AD288" s="430"/>
      <c r="AE288" s="431"/>
      <c r="AF288" s="431"/>
      <c r="AG288" s="431"/>
      <c r="AH288" s="431"/>
      <c r="AI288" s="431"/>
      <c r="AJ288" s="431"/>
      <c r="AK288" s="430"/>
      <c r="AL288" s="431"/>
      <c r="AM288" s="431"/>
      <c r="AN288" s="432"/>
      <c r="AQ288" s="436"/>
      <c r="AR288" s="436"/>
      <c r="AS288" s="436"/>
      <c r="AT288" s="436"/>
      <c r="AU288" s="436"/>
      <c r="AV288" s="436"/>
      <c r="AW288" s="396">
        <f t="shared" si="35"/>
        <v>0</v>
      </c>
      <c r="AX288" s="434">
        <f t="shared" si="40"/>
        <v>0</v>
      </c>
      <c r="BA288" s="437">
        <f t="shared" si="36"/>
        <v>0</v>
      </c>
      <c r="BB288" s="437">
        <f t="shared" si="37"/>
        <v>0</v>
      </c>
      <c r="BC288" s="437">
        <f t="shared" si="38"/>
        <v>0</v>
      </c>
      <c r="BD288" s="437">
        <f t="shared" si="39"/>
        <v>0</v>
      </c>
      <c r="BE288" s="437"/>
    </row>
    <row r="289" spans="1:57" ht="51.75" customHeight="1" thickBot="1">
      <c r="A289" s="358" t="s">
        <v>516</v>
      </c>
      <c r="B289" s="346" t="s">
        <v>517</v>
      </c>
      <c r="C289" s="383" t="s">
        <v>212</v>
      </c>
      <c r="D289" s="7">
        <v>20.27</v>
      </c>
      <c r="E289" s="353"/>
      <c r="F289" s="22">
        <f t="shared" si="33"/>
        <v>0</v>
      </c>
      <c r="G289" s="329"/>
      <c r="H289" s="330">
        <f t="shared" si="34"/>
        <v>0</v>
      </c>
      <c r="I289" s="430"/>
      <c r="J289" s="430"/>
      <c r="K289" s="431"/>
      <c r="L289" s="431"/>
      <c r="M289" s="431"/>
      <c r="N289" s="431"/>
      <c r="O289" s="431"/>
      <c r="P289" s="430"/>
      <c r="Q289" s="431"/>
      <c r="R289" s="431"/>
      <c r="S289" s="431"/>
      <c r="T289" s="431"/>
      <c r="U289" s="431"/>
      <c r="V289" s="431"/>
      <c r="W289" s="430"/>
      <c r="X289" s="431"/>
      <c r="Y289" s="431"/>
      <c r="Z289" s="431"/>
      <c r="AA289" s="431"/>
      <c r="AB289" s="431"/>
      <c r="AC289" s="431"/>
      <c r="AD289" s="430"/>
      <c r="AE289" s="431"/>
      <c r="AF289" s="431"/>
      <c r="AG289" s="431"/>
      <c r="AH289" s="431"/>
      <c r="AI289" s="431"/>
      <c r="AJ289" s="431"/>
      <c r="AK289" s="430"/>
      <c r="AL289" s="431"/>
      <c r="AM289" s="431"/>
      <c r="AN289" s="432"/>
      <c r="AQ289" s="436"/>
      <c r="AR289" s="436"/>
      <c r="AS289" s="436"/>
      <c r="AT289" s="436"/>
      <c r="AU289" s="436"/>
      <c r="AV289" s="436"/>
      <c r="AW289" s="396">
        <f t="shared" si="35"/>
        <v>0</v>
      </c>
      <c r="AX289" s="434">
        <f t="shared" si="40"/>
        <v>0</v>
      </c>
      <c r="BA289" s="437">
        <f t="shared" si="36"/>
        <v>0</v>
      </c>
      <c r="BB289" s="437">
        <f t="shared" si="37"/>
        <v>0</v>
      </c>
      <c r="BC289" s="437">
        <f t="shared" si="38"/>
        <v>0</v>
      </c>
      <c r="BD289" s="437">
        <f t="shared" si="39"/>
        <v>0</v>
      </c>
      <c r="BE289" s="437"/>
    </row>
    <row r="290" spans="1:57" ht="51.75" customHeight="1" thickBot="1">
      <c r="A290" s="358" t="s">
        <v>518</v>
      </c>
      <c r="B290" s="346" t="s">
        <v>519</v>
      </c>
      <c r="C290" s="383" t="s">
        <v>196</v>
      </c>
      <c r="D290" s="7">
        <v>106.91</v>
      </c>
      <c r="E290" s="353"/>
      <c r="F290" s="22">
        <f t="shared" si="33"/>
        <v>0</v>
      </c>
      <c r="G290" s="329"/>
      <c r="H290" s="330">
        <f t="shared" si="34"/>
        <v>0</v>
      </c>
      <c r="I290" s="430"/>
      <c r="J290" s="430"/>
      <c r="K290" s="431"/>
      <c r="L290" s="431"/>
      <c r="M290" s="431"/>
      <c r="N290" s="431"/>
      <c r="O290" s="431"/>
      <c r="P290" s="430"/>
      <c r="Q290" s="431"/>
      <c r="R290" s="431"/>
      <c r="S290" s="431"/>
      <c r="T290" s="431"/>
      <c r="U290" s="431"/>
      <c r="V290" s="431"/>
      <c r="W290" s="430"/>
      <c r="X290" s="431"/>
      <c r="Y290" s="431"/>
      <c r="Z290" s="431"/>
      <c r="AA290" s="431"/>
      <c r="AB290" s="431"/>
      <c r="AC290" s="431"/>
      <c r="AD290" s="430"/>
      <c r="AE290" s="431"/>
      <c r="AF290" s="431"/>
      <c r="AG290" s="431"/>
      <c r="AH290" s="431"/>
      <c r="AI290" s="431"/>
      <c r="AJ290" s="431"/>
      <c r="AK290" s="430"/>
      <c r="AL290" s="431"/>
      <c r="AM290" s="431"/>
      <c r="AN290" s="432"/>
      <c r="AQ290" s="436"/>
      <c r="AR290" s="436"/>
      <c r="AS290" s="436"/>
      <c r="AT290" s="436"/>
      <c r="AU290" s="436"/>
      <c r="AV290" s="436"/>
      <c r="AW290" s="396">
        <f t="shared" si="35"/>
        <v>0</v>
      </c>
      <c r="AX290" s="434">
        <f t="shared" si="40"/>
        <v>0</v>
      </c>
      <c r="BA290" s="437">
        <f t="shared" si="36"/>
        <v>0</v>
      </c>
      <c r="BB290" s="437">
        <f t="shared" si="37"/>
        <v>0</v>
      </c>
      <c r="BC290" s="437">
        <f t="shared" si="38"/>
        <v>0</v>
      </c>
      <c r="BD290" s="437">
        <f t="shared" si="39"/>
        <v>0</v>
      </c>
      <c r="BE290" s="437"/>
    </row>
    <row r="291" spans="1:57" ht="51.75" customHeight="1" thickBot="1">
      <c r="A291" s="358" t="s">
        <v>520</v>
      </c>
      <c r="B291" s="346" t="s">
        <v>521</v>
      </c>
      <c r="C291" s="383" t="s">
        <v>196</v>
      </c>
      <c r="D291" s="7">
        <v>158.25</v>
      </c>
      <c r="E291" s="353"/>
      <c r="F291" s="22">
        <f t="shared" si="33"/>
        <v>0</v>
      </c>
      <c r="G291" s="329"/>
      <c r="H291" s="330">
        <f t="shared" si="34"/>
        <v>0</v>
      </c>
      <c r="I291" s="430"/>
      <c r="J291" s="430"/>
      <c r="K291" s="431"/>
      <c r="L291" s="431"/>
      <c r="M291" s="431"/>
      <c r="N291" s="431"/>
      <c r="O291" s="431"/>
      <c r="P291" s="430"/>
      <c r="Q291" s="431"/>
      <c r="R291" s="431"/>
      <c r="S291" s="431"/>
      <c r="T291" s="431"/>
      <c r="U291" s="431"/>
      <c r="V291" s="431"/>
      <c r="W291" s="430"/>
      <c r="X291" s="431"/>
      <c r="Y291" s="431"/>
      <c r="Z291" s="431"/>
      <c r="AA291" s="431"/>
      <c r="AB291" s="431"/>
      <c r="AC291" s="431"/>
      <c r="AD291" s="430"/>
      <c r="AE291" s="431"/>
      <c r="AF291" s="431"/>
      <c r="AG291" s="431"/>
      <c r="AH291" s="431"/>
      <c r="AI291" s="431"/>
      <c r="AJ291" s="431"/>
      <c r="AK291" s="430"/>
      <c r="AL291" s="431"/>
      <c r="AM291" s="431"/>
      <c r="AN291" s="432"/>
      <c r="AQ291" s="436"/>
      <c r="AR291" s="436"/>
      <c r="AS291" s="436"/>
      <c r="AT291" s="436"/>
      <c r="AU291" s="436"/>
      <c r="AV291" s="436"/>
      <c r="AW291" s="396">
        <f t="shared" si="35"/>
        <v>0</v>
      </c>
      <c r="AX291" s="434">
        <f t="shared" si="40"/>
        <v>0</v>
      </c>
      <c r="BA291" s="437">
        <f t="shared" si="36"/>
        <v>0</v>
      </c>
      <c r="BB291" s="437">
        <f t="shared" si="37"/>
        <v>0</v>
      </c>
      <c r="BC291" s="437">
        <f t="shared" si="38"/>
        <v>0</v>
      </c>
      <c r="BD291" s="437">
        <f t="shared" si="39"/>
        <v>0</v>
      </c>
      <c r="BE291" s="437"/>
    </row>
    <row r="292" spans="1:57" ht="51.75" customHeight="1" thickBot="1">
      <c r="A292" s="358" t="s">
        <v>522</v>
      </c>
      <c r="B292" s="346" t="s">
        <v>282</v>
      </c>
      <c r="C292" s="383" t="s">
        <v>21</v>
      </c>
      <c r="D292" s="7">
        <v>51.52</v>
      </c>
      <c r="E292" s="353"/>
      <c r="F292" s="22">
        <f t="shared" si="33"/>
        <v>0</v>
      </c>
      <c r="G292" s="329"/>
      <c r="H292" s="330">
        <f t="shared" si="34"/>
        <v>0</v>
      </c>
      <c r="I292" s="430"/>
      <c r="J292" s="430"/>
      <c r="K292" s="431"/>
      <c r="L292" s="431"/>
      <c r="M292" s="431"/>
      <c r="N292" s="431"/>
      <c r="O292" s="431"/>
      <c r="P292" s="430"/>
      <c r="Q292" s="431"/>
      <c r="R292" s="431"/>
      <c r="S292" s="431"/>
      <c r="T292" s="431"/>
      <c r="U292" s="431"/>
      <c r="V292" s="431"/>
      <c r="W292" s="430"/>
      <c r="X292" s="431"/>
      <c r="Y292" s="431"/>
      <c r="Z292" s="431"/>
      <c r="AA292" s="431"/>
      <c r="AB292" s="431"/>
      <c r="AC292" s="431"/>
      <c r="AD292" s="430"/>
      <c r="AE292" s="431"/>
      <c r="AF292" s="431"/>
      <c r="AG292" s="431"/>
      <c r="AH292" s="431"/>
      <c r="AI292" s="431"/>
      <c r="AJ292" s="431"/>
      <c r="AK292" s="430"/>
      <c r="AL292" s="431"/>
      <c r="AM292" s="431"/>
      <c r="AN292" s="432"/>
      <c r="AQ292" s="436"/>
      <c r="AR292" s="436"/>
      <c r="AS292" s="436"/>
      <c r="AT292" s="436"/>
      <c r="AU292" s="436"/>
      <c r="AV292" s="436"/>
      <c r="AW292" s="396">
        <f t="shared" si="35"/>
        <v>0</v>
      </c>
      <c r="AX292" s="434">
        <f t="shared" si="40"/>
        <v>0</v>
      </c>
      <c r="BA292" s="437">
        <f t="shared" si="36"/>
        <v>0</v>
      </c>
      <c r="BB292" s="437">
        <f t="shared" si="37"/>
        <v>0</v>
      </c>
      <c r="BC292" s="437">
        <f t="shared" si="38"/>
        <v>0</v>
      </c>
      <c r="BD292" s="437">
        <f t="shared" si="39"/>
        <v>0</v>
      </c>
      <c r="BE292" s="437"/>
    </row>
    <row r="293" spans="1:57" ht="51.75" customHeight="1" thickBot="1">
      <c r="A293" s="358" t="s">
        <v>523</v>
      </c>
      <c r="B293" s="346" t="s">
        <v>284</v>
      </c>
      <c r="C293" s="383" t="s">
        <v>21</v>
      </c>
      <c r="D293" s="7">
        <v>11</v>
      </c>
      <c r="E293" s="353"/>
      <c r="F293" s="22">
        <f t="shared" si="33"/>
        <v>0</v>
      </c>
      <c r="G293" s="329"/>
      <c r="H293" s="330">
        <f t="shared" si="34"/>
        <v>0</v>
      </c>
      <c r="I293" s="430"/>
      <c r="J293" s="430"/>
      <c r="K293" s="431"/>
      <c r="L293" s="431"/>
      <c r="M293" s="431"/>
      <c r="N293" s="431"/>
      <c r="O293" s="431"/>
      <c r="P293" s="430"/>
      <c r="Q293" s="431"/>
      <c r="R293" s="431"/>
      <c r="S293" s="431"/>
      <c r="T293" s="431"/>
      <c r="U293" s="431"/>
      <c r="V293" s="431"/>
      <c r="W293" s="430"/>
      <c r="X293" s="431"/>
      <c r="Y293" s="431"/>
      <c r="Z293" s="431"/>
      <c r="AA293" s="431"/>
      <c r="AB293" s="431"/>
      <c r="AC293" s="431"/>
      <c r="AD293" s="430"/>
      <c r="AE293" s="431"/>
      <c r="AF293" s="431"/>
      <c r="AG293" s="431"/>
      <c r="AH293" s="431"/>
      <c r="AI293" s="431"/>
      <c r="AJ293" s="431"/>
      <c r="AK293" s="430"/>
      <c r="AL293" s="431"/>
      <c r="AM293" s="431"/>
      <c r="AN293" s="432"/>
      <c r="AQ293" s="436"/>
      <c r="AR293" s="436"/>
      <c r="AS293" s="436"/>
      <c r="AT293" s="436"/>
      <c r="AU293" s="436"/>
      <c r="AV293" s="436"/>
      <c r="AW293" s="396">
        <f t="shared" si="35"/>
        <v>0</v>
      </c>
      <c r="AX293" s="434">
        <f t="shared" si="40"/>
        <v>0</v>
      </c>
      <c r="BA293" s="437">
        <f t="shared" si="36"/>
        <v>0</v>
      </c>
      <c r="BB293" s="437">
        <f t="shared" si="37"/>
        <v>0</v>
      </c>
      <c r="BC293" s="437">
        <f t="shared" si="38"/>
        <v>0</v>
      </c>
      <c r="BD293" s="437">
        <f t="shared" si="39"/>
        <v>0</v>
      </c>
      <c r="BE293" s="437"/>
    </row>
    <row r="294" spans="1:57" ht="51.75" customHeight="1" thickBot="1">
      <c r="A294" s="358" t="s">
        <v>524</v>
      </c>
      <c r="B294" s="346" t="s">
        <v>525</v>
      </c>
      <c r="C294" s="383" t="s">
        <v>212</v>
      </c>
      <c r="D294" s="7">
        <v>180.22</v>
      </c>
      <c r="E294" s="353"/>
      <c r="F294" s="22">
        <f t="shared" si="33"/>
        <v>0</v>
      </c>
      <c r="G294" s="329"/>
      <c r="H294" s="330">
        <f t="shared" si="34"/>
        <v>0</v>
      </c>
      <c r="I294" s="430"/>
      <c r="J294" s="430"/>
      <c r="K294" s="431"/>
      <c r="L294" s="431"/>
      <c r="M294" s="431"/>
      <c r="N294" s="431"/>
      <c r="O294" s="431"/>
      <c r="P294" s="430"/>
      <c r="Q294" s="431"/>
      <c r="R294" s="431"/>
      <c r="S294" s="431"/>
      <c r="T294" s="431"/>
      <c r="U294" s="431"/>
      <c r="V294" s="431"/>
      <c r="W294" s="430"/>
      <c r="X294" s="431"/>
      <c r="Y294" s="431"/>
      <c r="Z294" s="431"/>
      <c r="AA294" s="431"/>
      <c r="AB294" s="431"/>
      <c r="AC294" s="431"/>
      <c r="AD294" s="430"/>
      <c r="AE294" s="431"/>
      <c r="AF294" s="431"/>
      <c r="AG294" s="431"/>
      <c r="AH294" s="431"/>
      <c r="AI294" s="431"/>
      <c r="AJ294" s="431"/>
      <c r="AK294" s="430"/>
      <c r="AL294" s="431"/>
      <c r="AM294" s="431"/>
      <c r="AN294" s="432"/>
      <c r="AQ294" s="436"/>
      <c r="AR294" s="436"/>
      <c r="AS294" s="436"/>
      <c r="AT294" s="436"/>
      <c r="AU294" s="436"/>
      <c r="AV294" s="436"/>
      <c r="AW294" s="396">
        <f t="shared" si="35"/>
        <v>0</v>
      </c>
      <c r="AX294" s="434">
        <f t="shared" si="40"/>
        <v>0</v>
      </c>
      <c r="BA294" s="437">
        <f t="shared" si="36"/>
        <v>0</v>
      </c>
      <c r="BB294" s="437">
        <f t="shared" si="37"/>
        <v>0</v>
      </c>
      <c r="BC294" s="437">
        <f t="shared" si="38"/>
        <v>0</v>
      </c>
      <c r="BD294" s="437">
        <f t="shared" si="39"/>
        <v>0</v>
      </c>
      <c r="BE294" s="437"/>
    </row>
    <row r="295" spans="1:57" ht="51.75" customHeight="1" thickBot="1">
      <c r="A295" s="358" t="s">
        <v>526</v>
      </c>
      <c r="B295" s="346" t="s">
        <v>288</v>
      </c>
      <c r="C295" s="383" t="s">
        <v>177</v>
      </c>
      <c r="D295" s="7">
        <v>27.3</v>
      </c>
      <c r="E295" s="353"/>
      <c r="F295" s="22">
        <f t="shared" si="33"/>
        <v>0</v>
      </c>
      <c r="G295" s="329"/>
      <c r="H295" s="330">
        <f t="shared" si="34"/>
        <v>0</v>
      </c>
      <c r="I295" s="430"/>
      <c r="J295" s="430"/>
      <c r="K295" s="431"/>
      <c r="L295" s="431"/>
      <c r="M295" s="431"/>
      <c r="N295" s="431"/>
      <c r="O295" s="431"/>
      <c r="P295" s="430"/>
      <c r="Q295" s="431"/>
      <c r="R295" s="431"/>
      <c r="S295" s="431"/>
      <c r="T295" s="431"/>
      <c r="U295" s="431"/>
      <c r="V295" s="431"/>
      <c r="W295" s="430"/>
      <c r="X295" s="431"/>
      <c r="Y295" s="431"/>
      <c r="Z295" s="431"/>
      <c r="AA295" s="431"/>
      <c r="AB295" s="431"/>
      <c r="AC295" s="431"/>
      <c r="AD295" s="430"/>
      <c r="AE295" s="431"/>
      <c r="AF295" s="431"/>
      <c r="AG295" s="431"/>
      <c r="AH295" s="431"/>
      <c r="AI295" s="431"/>
      <c r="AJ295" s="431"/>
      <c r="AK295" s="430"/>
      <c r="AL295" s="431"/>
      <c r="AM295" s="431"/>
      <c r="AN295" s="432"/>
      <c r="AQ295" s="436"/>
      <c r="AR295" s="436"/>
      <c r="AS295" s="436"/>
      <c r="AT295" s="436"/>
      <c r="AU295" s="436"/>
      <c r="AV295" s="436"/>
      <c r="AW295" s="396">
        <f t="shared" si="35"/>
        <v>0</v>
      </c>
      <c r="AX295" s="434">
        <f t="shared" si="40"/>
        <v>0</v>
      </c>
      <c r="BA295" s="437">
        <f t="shared" si="36"/>
        <v>0</v>
      </c>
      <c r="BB295" s="437">
        <f t="shared" si="37"/>
        <v>0</v>
      </c>
      <c r="BC295" s="437">
        <f t="shared" si="38"/>
        <v>0</v>
      </c>
      <c r="BD295" s="437">
        <f t="shared" si="39"/>
        <v>0</v>
      </c>
      <c r="BE295" s="437"/>
    </row>
    <row r="296" spans="1:57" ht="51.75" customHeight="1" thickBot="1">
      <c r="A296" s="358" t="s">
        <v>527</v>
      </c>
      <c r="B296" s="346" t="s">
        <v>290</v>
      </c>
      <c r="C296" s="383" t="s">
        <v>177</v>
      </c>
      <c r="D296" s="7">
        <v>29.63</v>
      </c>
      <c r="E296" s="353"/>
      <c r="F296" s="22">
        <f t="shared" si="33"/>
        <v>0</v>
      </c>
      <c r="G296" s="329"/>
      <c r="H296" s="330">
        <f t="shared" si="34"/>
        <v>0</v>
      </c>
      <c r="I296" s="430"/>
      <c r="J296" s="430"/>
      <c r="K296" s="431"/>
      <c r="L296" s="431"/>
      <c r="M296" s="431"/>
      <c r="N296" s="431"/>
      <c r="O296" s="431"/>
      <c r="P296" s="430"/>
      <c r="Q296" s="431"/>
      <c r="R296" s="431"/>
      <c r="S296" s="431"/>
      <c r="T296" s="431"/>
      <c r="U296" s="431"/>
      <c r="V296" s="431"/>
      <c r="W296" s="430"/>
      <c r="X296" s="431"/>
      <c r="Y296" s="431"/>
      <c r="Z296" s="431"/>
      <c r="AA296" s="431"/>
      <c r="AB296" s="431"/>
      <c r="AC296" s="431"/>
      <c r="AD296" s="430"/>
      <c r="AE296" s="431"/>
      <c r="AF296" s="431"/>
      <c r="AG296" s="431"/>
      <c r="AH296" s="431"/>
      <c r="AI296" s="431"/>
      <c r="AJ296" s="431"/>
      <c r="AK296" s="430"/>
      <c r="AL296" s="431"/>
      <c r="AM296" s="431"/>
      <c r="AN296" s="432"/>
      <c r="AQ296" s="436"/>
      <c r="AR296" s="436"/>
      <c r="AS296" s="436"/>
      <c r="AT296" s="436"/>
      <c r="AU296" s="436"/>
      <c r="AV296" s="436"/>
      <c r="AW296" s="396">
        <f t="shared" si="35"/>
        <v>0</v>
      </c>
      <c r="AX296" s="434">
        <f t="shared" si="40"/>
        <v>0</v>
      </c>
      <c r="BA296" s="437">
        <f t="shared" si="36"/>
        <v>0</v>
      </c>
      <c r="BB296" s="437">
        <f t="shared" si="37"/>
        <v>0</v>
      </c>
      <c r="BC296" s="437">
        <f t="shared" si="38"/>
        <v>0</v>
      </c>
      <c r="BD296" s="437">
        <f t="shared" si="39"/>
        <v>0</v>
      </c>
      <c r="BE296" s="437"/>
    </row>
    <row r="297" spans="1:57" ht="51.75" customHeight="1" thickBot="1">
      <c r="A297" s="358" t="s">
        <v>528</v>
      </c>
      <c r="B297" s="346" t="s">
        <v>292</v>
      </c>
      <c r="C297" s="383" t="s">
        <v>177</v>
      </c>
      <c r="D297" s="7">
        <v>39.46</v>
      </c>
      <c r="E297" s="353"/>
      <c r="F297" s="22">
        <f t="shared" si="33"/>
        <v>0</v>
      </c>
      <c r="G297" s="329"/>
      <c r="H297" s="330">
        <f t="shared" si="34"/>
        <v>0</v>
      </c>
      <c r="I297" s="430"/>
      <c r="J297" s="430"/>
      <c r="K297" s="431"/>
      <c r="L297" s="431"/>
      <c r="M297" s="431"/>
      <c r="N297" s="431"/>
      <c r="O297" s="431"/>
      <c r="P297" s="430"/>
      <c r="Q297" s="431"/>
      <c r="R297" s="431"/>
      <c r="S297" s="431"/>
      <c r="T297" s="431"/>
      <c r="U297" s="431"/>
      <c r="V297" s="431"/>
      <c r="W297" s="430"/>
      <c r="X297" s="431"/>
      <c r="Y297" s="431"/>
      <c r="Z297" s="431"/>
      <c r="AA297" s="431"/>
      <c r="AB297" s="431"/>
      <c r="AC297" s="431"/>
      <c r="AD297" s="430"/>
      <c r="AE297" s="431"/>
      <c r="AF297" s="431"/>
      <c r="AG297" s="431"/>
      <c r="AH297" s="431"/>
      <c r="AI297" s="431"/>
      <c r="AJ297" s="431"/>
      <c r="AK297" s="430"/>
      <c r="AL297" s="431"/>
      <c r="AM297" s="431"/>
      <c r="AN297" s="432"/>
      <c r="AQ297" s="436"/>
      <c r="AR297" s="436"/>
      <c r="AS297" s="436"/>
      <c r="AT297" s="436"/>
      <c r="AU297" s="436"/>
      <c r="AV297" s="436"/>
      <c r="AW297" s="396">
        <f t="shared" si="35"/>
        <v>0</v>
      </c>
      <c r="AX297" s="434">
        <f t="shared" si="40"/>
        <v>0</v>
      </c>
      <c r="BA297" s="437">
        <f t="shared" si="36"/>
        <v>0</v>
      </c>
      <c r="BB297" s="437">
        <f t="shared" si="37"/>
        <v>0</v>
      </c>
      <c r="BC297" s="437">
        <f t="shared" si="38"/>
        <v>0</v>
      </c>
      <c r="BD297" s="437">
        <f t="shared" si="39"/>
        <v>0</v>
      </c>
      <c r="BE297" s="437"/>
    </row>
    <row r="298" spans="1:57" ht="51.75" customHeight="1" thickBot="1">
      <c r="A298" s="358" t="s">
        <v>529</v>
      </c>
      <c r="B298" s="346" t="s">
        <v>294</v>
      </c>
      <c r="C298" s="383" t="s">
        <v>177</v>
      </c>
      <c r="D298" s="7">
        <v>47.92</v>
      </c>
      <c r="E298" s="353"/>
      <c r="F298" s="22">
        <f t="shared" si="33"/>
        <v>0</v>
      </c>
      <c r="G298" s="329"/>
      <c r="H298" s="330">
        <f t="shared" si="34"/>
        <v>0</v>
      </c>
      <c r="I298" s="430"/>
      <c r="J298" s="430"/>
      <c r="K298" s="431"/>
      <c r="L298" s="431"/>
      <c r="M298" s="431"/>
      <c r="N298" s="431"/>
      <c r="O298" s="431"/>
      <c r="P298" s="430"/>
      <c r="Q298" s="431"/>
      <c r="R298" s="431"/>
      <c r="S298" s="431"/>
      <c r="T298" s="431"/>
      <c r="U298" s="431"/>
      <c r="V298" s="431"/>
      <c r="W298" s="430"/>
      <c r="X298" s="431"/>
      <c r="Y298" s="431"/>
      <c r="Z298" s="431"/>
      <c r="AA298" s="431"/>
      <c r="AB298" s="431"/>
      <c r="AC298" s="431"/>
      <c r="AD298" s="430"/>
      <c r="AE298" s="431"/>
      <c r="AF298" s="431"/>
      <c r="AG298" s="431"/>
      <c r="AH298" s="431"/>
      <c r="AI298" s="431"/>
      <c r="AJ298" s="431"/>
      <c r="AK298" s="430"/>
      <c r="AL298" s="431"/>
      <c r="AM298" s="431"/>
      <c r="AN298" s="432"/>
      <c r="AQ298" s="436"/>
      <c r="AR298" s="436"/>
      <c r="AS298" s="436"/>
      <c r="AT298" s="436"/>
      <c r="AU298" s="436"/>
      <c r="AV298" s="436"/>
      <c r="AW298" s="396">
        <f t="shared" si="35"/>
        <v>0</v>
      </c>
      <c r="AX298" s="434">
        <f t="shared" si="40"/>
        <v>0</v>
      </c>
      <c r="BA298" s="437">
        <f t="shared" si="36"/>
        <v>0</v>
      </c>
      <c r="BB298" s="437">
        <f t="shared" si="37"/>
        <v>0</v>
      </c>
      <c r="BC298" s="437">
        <f t="shared" si="38"/>
        <v>0</v>
      </c>
      <c r="BD298" s="437">
        <f t="shared" si="39"/>
        <v>0</v>
      </c>
      <c r="BE298" s="437"/>
    </row>
    <row r="299" spans="1:57" ht="51.75" customHeight="1" thickBot="1">
      <c r="A299" s="358" t="s">
        <v>530</v>
      </c>
      <c r="B299" s="346" t="s">
        <v>296</v>
      </c>
      <c r="C299" s="383" t="s">
        <v>86</v>
      </c>
      <c r="D299" s="7">
        <v>59.9</v>
      </c>
      <c r="E299" s="353"/>
      <c r="F299" s="22">
        <f t="shared" si="33"/>
        <v>0</v>
      </c>
      <c r="G299" s="329"/>
      <c r="H299" s="330">
        <f t="shared" si="34"/>
        <v>0</v>
      </c>
      <c r="I299" s="430"/>
      <c r="J299" s="430"/>
      <c r="K299" s="431"/>
      <c r="L299" s="431"/>
      <c r="M299" s="431"/>
      <c r="N299" s="431"/>
      <c r="O299" s="431"/>
      <c r="P299" s="430"/>
      <c r="Q299" s="431"/>
      <c r="R299" s="431"/>
      <c r="S299" s="431"/>
      <c r="T299" s="431"/>
      <c r="U299" s="431"/>
      <c r="V299" s="431"/>
      <c r="W299" s="430"/>
      <c r="X299" s="431"/>
      <c r="Y299" s="431"/>
      <c r="Z299" s="431"/>
      <c r="AA299" s="431"/>
      <c r="AB299" s="431"/>
      <c r="AC299" s="431"/>
      <c r="AD299" s="430"/>
      <c r="AE299" s="431"/>
      <c r="AF299" s="431"/>
      <c r="AG299" s="431"/>
      <c r="AH299" s="431"/>
      <c r="AI299" s="431"/>
      <c r="AJ299" s="431"/>
      <c r="AK299" s="430"/>
      <c r="AL299" s="431"/>
      <c r="AM299" s="431"/>
      <c r="AN299" s="432"/>
      <c r="AQ299" s="436"/>
      <c r="AR299" s="436"/>
      <c r="AS299" s="436"/>
      <c r="AT299" s="436"/>
      <c r="AU299" s="436"/>
      <c r="AV299" s="436"/>
      <c r="AW299" s="396">
        <f t="shared" si="35"/>
        <v>0</v>
      </c>
      <c r="AX299" s="434">
        <f t="shared" si="40"/>
        <v>0</v>
      </c>
      <c r="BA299" s="437">
        <f t="shared" si="36"/>
        <v>0</v>
      </c>
      <c r="BB299" s="437">
        <f t="shared" si="37"/>
        <v>0</v>
      </c>
      <c r="BC299" s="437">
        <f t="shared" si="38"/>
        <v>0</v>
      </c>
      <c r="BD299" s="437">
        <f t="shared" si="39"/>
        <v>0</v>
      </c>
      <c r="BE299" s="437"/>
    </row>
    <row r="300" spans="1:57" ht="51.75" customHeight="1" thickBot="1">
      <c r="A300" s="358" t="s">
        <v>531</v>
      </c>
      <c r="B300" s="346" t="s">
        <v>298</v>
      </c>
      <c r="C300" s="383" t="s">
        <v>177</v>
      </c>
      <c r="D300" s="7">
        <v>47.92</v>
      </c>
      <c r="E300" s="353"/>
      <c r="F300" s="22">
        <f t="shared" si="33"/>
        <v>0</v>
      </c>
      <c r="G300" s="329"/>
      <c r="H300" s="330">
        <f t="shared" si="34"/>
        <v>0</v>
      </c>
      <c r="I300" s="430"/>
      <c r="J300" s="430"/>
      <c r="K300" s="431"/>
      <c r="L300" s="431"/>
      <c r="M300" s="431"/>
      <c r="N300" s="431"/>
      <c r="O300" s="431"/>
      <c r="P300" s="430"/>
      <c r="Q300" s="431"/>
      <c r="R300" s="431"/>
      <c r="S300" s="431"/>
      <c r="T300" s="431"/>
      <c r="U300" s="431"/>
      <c r="V300" s="431"/>
      <c r="W300" s="430"/>
      <c r="X300" s="431"/>
      <c r="Y300" s="431"/>
      <c r="Z300" s="431"/>
      <c r="AA300" s="431"/>
      <c r="AB300" s="431"/>
      <c r="AC300" s="431"/>
      <c r="AD300" s="430"/>
      <c r="AE300" s="431"/>
      <c r="AF300" s="431"/>
      <c r="AG300" s="431"/>
      <c r="AH300" s="431"/>
      <c r="AI300" s="431"/>
      <c r="AJ300" s="431"/>
      <c r="AK300" s="430"/>
      <c r="AL300" s="431"/>
      <c r="AM300" s="431"/>
      <c r="AN300" s="432"/>
      <c r="AQ300" s="436"/>
      <c r="AR300" s="436"/>
      <c r="AS300" s="436"/>
      <c r="AT300" s="436"/>
      <c r="AU300" s="436"/>
      <c r="AV300" s="436"/>
      <c r="AW300" s="396">
        <f t="shared" si="35"/>
        <v>0</v>
      </c>
      <c r="AX300" s="434">
        <f t="shared" si="40"/>
        <v>0</v>
      </c>
      <c r="BA300" s="437">
        <f t="shared" si="36"/>
        <v>0</v>
      </c>
      <c r="BB300" s="437">
        <f t="shared" si="37"/>
        <v>0</v>
      </c>
      <c r="BC300" s="437">
        <f t="shared" si="38"/>
        <v>0</v>
      </c>
      <c r="BD300" s="437">
        <f t="shared" si="39"/>
        <v>0</v>
      </c>
      <c r="BE300" s="437"/>
    </row>
    <row r="301" spans="1:57" ht="51.75" customHeight="1" thickBot="1">
      <c r="A301" s="358" t="s">
        <v>532</v>
      </c>
      <c r="B301" s="346" t="s">
        <v>300</v>
      </c>
      <c r="C301" s="383" t="s">
        <v>196</v>
      </c>
      <c r="D301" s="7">
        <v>113.16</v>
      </c>
      <c r="E301" s="353"/>
      <c r="F301" s="22">
        <f t="shared" si="33"/>
        <v>0</v>
      </c>
      <c r="G301" s="329"/>
      <c r="H301" s="330">
        <f t="shared" si="34"/>
        <v>0</v>
      </c>
      <c r="I301" s="430"/>
      <c r="J301" s="430"/>
      <c r="K301" s="431"/>
      <c r="L301" s="431"/>
      <c r="M301" s="431"/>
      <c r="N301" s="431"/>
      <c r="O301" s="431"/>
      <c r="P301" s="430"/>
      <c r="Q301" s="431"/>
      <c r="R301" s="431"/>
      <c r="S301" s="431"/>
      <c r="T301" s="431"/>
      <c r="U301" s="431"/>
      <c r="V301" s="431"/>
      <c r="W301" s="430"/>
      <c r="X301" s="431"/>
      <c r="Y301" s="431"/>
      <c r="Z301" s="431"/>
      <c r="AA301" s="431"/>
      <c r="AB301" s="431"/>
      <c r="AC301" s="431"/>
      <c r="AD301" s="430"/>
      <c r="AE301" s="431"/>
      <c r="AF301" s="431"/>
      <c r="AG301" s="431"/>
      <c r="AH301" s="431"/>
      <c r="AI301" s="431"/>
      <c r="AJ301" s="431"/>
      <c r="AK301" s="430"/>
      <c r="AL301" s="431"/>
      <c r="AM301" s="431"/>
      <c r="AN301" s="432"/>
      <c r="AQ301" s="436"/>
      <c r="AR301" s="436"/>
      <c r="AS301" s="436"/>
      <c r="AT301" s="436"/>
      <c r="AU301" s="436"/>
      <c r="AV301" s="436"/>
      <c r="AW301" s="396">
        <f t="shared" si="35"/>
        <v>0</v>
      </c>
      <c r="AX301" s="434">
        <f t="shared" si="40"/>
        <v>0</v>
      </c>
      <c r="BA301" s="437">
        <f t="shared" si="36"/>
        <v>0</v>
      </c>
      <c r="BB301" s="437">
        <f t="shared" si="37"/>
        <v>0</v>
      </c>
      <c r="BC301" s="437">
        <f t="shared" si="38"/>
        <v>0</v>
      </c>
      <c r="BD301" s="437">
        <f t="shared" si="39"/>
        <v>0</v>
      </c>
      <c r="BE301" s="437"/>
    </row>
    <row r="302" spans="1:57" ht="51.75" customHeight="1" thickBot="1">
      <c r="A302" s="358" t="s">
        <v>533</v>
      </c>
      <c r="B302" s="346" t="s">
        <v>302</v>
      </c>
      <c r="C302" s="383" t="s">
        <v>196</v>
      </c>
      <c r="D302" s="7">
        <f>246.16*0.35</f>
        <v>86.155999999999992</v>
      </c>
      <c r="E302" s="353"/>
      <c r="F302" s="22">
        <f t="shared" si="33"/>
        <v>0</v>
      </c>
      <c r="G302" s="329"/>
      <c r="H302" s="330">
        <f t="shared" si="34"/>
        <v>0</v>
      </c>
      <c r="I302" s="430"/>
      <c r="J302" s="430"/>
      <c r="K302" s="431"/>
      <c r="L302" s="431"/>
      <c r="M302" s="431"/>
      <c r="N302" s="431"/>
      <c r="O302" s="431"/>
      <c r="P302" s="430"/>
      <c r="Q302" s="431"/>
      <c r="R302" s="431"/>
      <c r="S302" s="431"/>
      <c r="T302" s="431"/>
      <c r="U302" s="431"/>
      <c r="V302" s="431"/>
      <c r="W302" s="430"/>
      <c r="X302" s="431"/>
      <c r="Y302" s="431"/>
      <c r="Z302" s="431"/>
      <c r="AA302" s="431"/>
      <c r="AB302" s="431"/>
      <c r="AC302" s="431"/>
      <c r="AD302" s="430"/>
      <c r="AE302" s="431"/>
      <c r="AF302" s="431"/>
      <c r="AG302" s="431"/>
      <c r="AH302" s="431"/>
      <c r="AI302" s="431"/>
      <c r="AJ302" s="431"/>
      <c r="AK302" s="430"/>
      <c r="AL302" s="431"/>
      <c r="AM302" s="431"/>
      <c r="AN302" s="432"/>
      <c r="AQ302" s="436"/>
      <c r="AR302" s="436"/>
      <c r="AS302" s="436"/>
      <c r="AT302" s="436"/>
      <c r="AU302" s="436"/>
      <c r="AV302" s="436"/>
      <c r="AW302" s="396">
        <f t="shared" si="35"/>
        <v>0</v>
      </c>
      <c r="AX302" s="434">
        <f t="shared" si="40"/>
        <v>0</v>
      </c>
      <c r="BA302" s="437">
        <f t="shared" si="36"/>
        <v>0</v>
      </c>
      <c r="BB302" s="437">
        <f t="shared" si="37"/>
        <v>0</v>
      </c>
      <c r="BC302" s="437">
        <f t="shared" si="38"/>
        <v>0</v>
      </c>
      <c r="BD302" s="437">
        <f t="shared" si="39"/>
        <v>0</v>
      </c>
      <c r="BE302" s="437"/>
    </row>
    <row r="303" spans="1:57" ht="51.75" customHeight="1" thickBot="1">
      <c r="A303" s="358" t="s">
        <v>534</v>
      </c>
      <c r="B303" s="346" t="s">
        <v>304</v>
      </c>
      <c r="C303" s="383" t="s">
        <v>196</v>
      </c>
      <c r="D303" s="7">
        <v>1248.6600000000001</v>
      </c>
      <c r="E303" s="353"/>
      <c r="F303" s="22">
        <f t="shared" si="33"/>
        <v>0</v>
      </c>
      <c r="G303" s="329"/>
      <c r="H303" s="330">
        <f t="shared" si="34"/>
        <v>0</v>
      </c>
      <c r="I303" s="430"/>
      <c r="J303" s="430"/>
      <c r="K303" s="431"/>
      <c r="L303" s="431"/>
      <c r="M303" s="431"/>
      <c r="N303" s="431"/>
      <c r="O303" s="431"/>
      <c r="P303" s="430"/>
      <c r="Q303" s="431"/>
      <c r="R303" s="431"/>
      <c r="S303" s="431"/>
      <c r="T303" s="431"/>
      <c r="U303" s="431"/>
      <c r="V303" s="431"/>
      <c r="W303" s="430"/>
      <c r="X303" s="431"/>
      <c r="Y303" s="431"/>
      <c r="Z303" s="431"/>
      <c r="AA303" s="431"/>
      <c r="AB303" s="431"/>
      <c r="AC303" s="431"/>
      <c r="AD303" s="430"/>
      <c r="AE303" s="431"/>
      <c r="AF303" s="431"/>
      <c r="AG303" s="431"/>
      <c r="AH303" s="431"/>
      <c r="AI303" s="431"/>
      <c r="AJ303" s="431"/>
      <c r="AK303" s="430"/>
      <c r="AL303" s="431"/>
      <c r="AM303" s="431"/>
      <c r="AN303" s="432"/>
      <c r="AQ303" s="436"/>
      <c r="AR303" s="436"/>
      <c r="AS303" s="436"/>
      <c r="AT303" s="436"/>
      <c r="AU303" s="436"/>
      <c r="AV303" s="436"/>
      <c r="AW303" s="396">
        <f t="shared" si="35"/>
        <v>0</v>
      </c>
      <c r="AX303" s="434">
        <f t="shared" si="40"/>
        <v>0</v>
      </c>
      <c r="BA303" s="437">
        <f t="shared" si="36"/>
        <v>0</v>
      </c>
      <c r="BB303" s="437">
        <f t="shared" si="37"/>
        <v>0</v>
      </c>
      <c r="BC303" s="437">
        <f t="shared" si="38"/>
        <v>0</v>
      </c>
      <c r="BD303" s="437">
        <f t="shared" si="39"/>
        <v>0</v>
      </c>
      <c r="BE303" s="437"/>
    </row>
    <row r="304" spans="1:57" ht="51.75" customHeight="1" thickBot="1">
      <c r="A304" s="358" t="s">
        <v>535</v>
      </c>
      <c r="B304" s="346" t="s">
        <v>312</v>
      </c>
      <c r="C304" s="383" t="s">
        <v>219</v>
      </c>
      <c r="D304" s="7">
        <v>2.73</v>
      </c>
      <c r="E304" s="353"/>
      <c r="F304" s="22">
        <f t="shared" si="33"/>
        <v>0</v>
      </c>
      <c r="G304" s="329"/>
      <c r="H304" s="330">
        <f t="shared" si="34"/>
        <v>0</v>
      </c>
      <c r="I304" s="430"/>
      <c r="J304" s="430"/>
      <c r="K304" s="431"/>
      <c r="L304" s="431"/>
      <c r="M304" s="431"/>
      <c r="N304" s="431"/>
      <c r="O304" s="431"/>
      <c r="P304" s="430"/>
      <c r="Q304" s="431"/>
      <c r="R304" s="431"/>
      <c r="S304" s="431"/>
      <c r="T304" s="431"/>
      <c r="U304" s="431"/>
      <c r="V304" s="431"/>
      <c r="W304" s="430"/>
      <c r="X304" s="431"/>
      <c r="Y304" s="431"/>
      <c r="Z304" s="431"/>
      <c r="AA304" s="431"/>
      <c r="AB304" s="431"/>
      <c r="AC304" s="431"/>
      <c r="AD304" s="430"/>
      <c r="AE304" s="431"/>
      <c r="AF304" s="431"/>
      <c r="AG304" s="431"/>
      <c r="AH304" s="431"/>
      <c r="AI304" s="431"/>
      <c r="AJ304" s="431"/>
      <c r="AK304" s="430"/>
      <c r="AL304" s="431"/>
      <c r="AM304" s="431"/>
      <c r="AN304" s="432"/>
      <c r="AQ304" s="436"/>
      <c r="AR304" s="436"/>
      <c r="AS304" s="436"/>
      <c r="AT304" s="436"/>
      <c r="AU304" s="436"/>
      <c r="AV304" s="436"/>
      <c r="AW304" s="396">
        <f t="shared" si="35"/>
        <v>0</v>
      </c>
      <c r="AX304" s="434">
        <f t="shared" si="40"/>
        <v>0</v>
      </c>
      <c r="BA304" s="437">
        <f t="shared" si="36"/>
        <v>0</v>
      </c>
      <c r="BB304" s="437">
        <f t="shared" si="37"/>
        <v>0</v>
      </c>
      <c r="BC304" s="437">
        <f t="shared" si="38"/>
        <v>0</v>
      </c>
      <c r="BD304" s="437">
        <f t="shared" si="39"/>
        <v>0</v>
      </c>
      <c r="BE304" s="437"/>
    </row>
    <row r="305" spans="1:57" ht="51.75" customHeight="1" thickBot="1">
      <c r="A305" s="358" t="s">
        <v>536</v>
      </c>
      <c r="B305" s="346" t="s">
        <v>314</v>
      </c>
      <c r="C305" s="383" t="s">
        <v>219</v>
      </c>
      <c r="D305" s="7">
        <v>6.54</v>
      </c>
      <c r="E305" s="353"/>
      <c r="F305" s="22">
        <f t="shared" si="33"/>
        <v>0</v>
      </c>
      <c r="G305" s="329"/>
      <c r="H305" s="330">
        <f t="shared" si="34"/>
        <v>0</v>
      </c>
      <c r="I305" s="430"/>
      <c r="J305" s="430"/>
      <c r="K305" s="431"/>
      <c r="L305" s="431"/>
      <c r="M305" s="431"/>
      <c r="N305" s="431"/>
      <c r="O305" s="431"/>
      <c r="P305" s="430"/>
      <c r="Q305" s="431"/>
      <c r="R305" s="431"/>
      <c r="S305" s="431"/>
      <c r="T305" s="431"/>
      <c r="U305" s="431"/>
      <c r="V305" s="431"/>
      <c r="W305" s="430"/>
      <c r="X305" s="431"/>
      <c r="Y305" s="431"/>
      <c r="Z305" s="431"/>
      <c r="AA305" s="431"/>
      <c r="AB305" s="431"/>
      <c r="AC305" s="431"/>
      <c r="AD305" s="430"/>
      <c r="AE305" s="431"/>
      <c r="AF305" s="431"/>
      <c r="AG305" s="431"/>
      <c r="AH305" s="431"/>
      <c r="AI305" s="431"/>
      <c r="AJ305" s="431"/>
      <c r="AK305" s="430"/>
      <c r="AL305" s="431"/>
      <c r="AM305" s="431"/>
      <c r="AN305" s="432"/>
      <c r="AQ305" s="436"/>
      <c r="AR305" s="436"/>
      <c r="AS305" s="436"/>
      <c r="AT305" s="436"/>
      <c r="AU305" s="436"/>
      <c r="AV305" s="436"/>
      <c r="AW305" s="396">
        <f t="shared" si="35"/>
        <v>0</v>
      </c>
      <c r="AX305" s="434">
        <f t="shared" si="40"/>
        <v>0</v>
      </c>
      <c r="BA305" s="437">
        <f t="shared" si="36"/>
        <v>0</v>
      </c>
      <c r="BB305" s="437">
        <f t="shared" si="37"/>
        <v>0</v>
      </c>
      <c r="BC305" s="437">
        <f t="shared" si="38"/>
        <v>0</v>
      </c>
      <c r="BD305" s="437">
        <f t="shared" si="39"/>
        <v>0</v>
      </c>
      <c r="BE305" s="437"/>
    </row>
    <row r="306" spans="1:57" ht="51.75" customHeight="1" thickBot="1">
      <c r="A306" s="358" t="s">
        <v>537</v>
      </c>
      <c r="B306" s="346" t="s">
        <v>316</v>
      </c>
      <c r="C306" s="383" t="s">
        <v>219</v>
      </c>
      <c r="D306" s="7">
        <v>1.51</v>
      </c>
      <c r="E306" s="353"/>
      <c r="F306" s="22">
        <f t="shared" si="33"/>
        <v>0</v>
      </c>
      <c r="G306" s="329"/>
      <c r="H306" s="330">
        <f t="shared" si="34"/>
        <v>0</v>
      </c>
      <c r="I306" s="430"/>
      <c r="J306" s="430"/>
      <c r="K306" s="431"/>
      <c r="L306" s="431"/>
      <c r="M306" s="431"/>
      <c r="N306" s="431"/>
      <c r="O306" s="431"/>
      <c r="P306" s="430"/>
      <c r="Q306" s="431"/>
      <c r="R306" s="431"/>
      <c r="S306" s="431"/>
      <c r="T306" s="431"/>
      <c r="U306" s="431"/>
      <c r="V306" s="431"/>
      <c r="W306" s="430"/>
      <c r="X306" s="431"/>
      <c r="Y306" s="431"/>
      <c r="Z306" s="431"/>
      <c r="AA306" s="431"/>
      <c r="AB306" s="431"/>
      <c r="AC306" s="431"/>
      <c r="AD306" s="430"/>
      <c r="AE306" s="431"/>
      <c r="AF306" s="431"/>
      <c r="AG306" s="431"/>
      <c r="AH306" s="431"/>
      <c r="AI306" s="431"/>
      <c r="AJ306" s="431"/>
      <c r="AK306" s="430"/>
      <c r="AL306" s="431"/>
      <c r="AM306" s="431"/>
      <c r="AN306" s="432"/>
      <c r="AQ306" s="436"/>
      <c r="AR306" s="436"/>
      <c r="AS306" s="436"/>
      <c r="AT306" s="436"/>
      <c r="AU306" s="436"/>
      <c r="AV306" s="436"/>
      <c r="AW306" s="396">
        <f t="shared" si="35"/>
        <v>0</v>
      </c>
      <c r="AX306" s="434">
        <f t="shared" si="40"/>
        <v>0</v>
      </c>
      <c r="BA306" s="437">
        <f t="shared" si="36"/>
        <v>0</v>
      </c>
      <c r="BB306" s="437">
        <f t="shared" si="37"/>
        <v>0</v>
      </c>
      <c r="BC306" s="437">
        <f t="shared" si="38"/>
        <v>0</v>
      </c>
      <c r="BD306" s="437">
        <f t="shared" si="39"/>
        <v>0</v>
      </c>
      <c r="BE306" s="437"/>
    </row>
    <row r="307" spans="1:57" ht="51.75" customHeight="1" thickBot="1">
      <c r="A307" s="358" t="s">
        <v>538</v>
      </c>
      <c r="B307" s="346" t="s">
        <v>320</v>
      </c>
      <c r="C307" s="383" t="s">
        <v>196</v>
      </c>
      <c r="D307" s="7">
        <v>4.2</v>
      </c>
      <c r="E307" s="353"/>
      <c r="F307" s="22">
        <f t="shared" si="33"/>
        <v>0</v>
      </c>
      <c r="G307" s="329"/>
      <c r="H307" s="330">
        <f t="shared" si="34"/>
        <v>0</v>
      </c>
      <c r="I307" s="430"/>
      <c r="J307" s="430"/>
      <c r="K307" s="431"/>
      <c r="L307" s="431"/>
      <c r="M307" s="431"/>
      <c r="N307" s="431"/>
      <c r="O307" s="431"/>
      <c r="P307" s="430"/>
      <c r="Q307" s="431"/>
      <c r="R307" s="431"/>
      <c r="S307" s="431"/>
      <c r="T307" s="431"/>
      <c r="U307" s="431"/>
      <c r="V307" s="431"/>
      <c r="W307" s="430"/>
      <c r="X307" s="431"/>
      <c r="Y307" s="431"/>
      <c r="Z307" s="431"/>
      <c r="AA307" s="431"/>
      <c r="AB307" s="431"/>
      <c r="AC307" s="431"/>
      <c r="AD307" s="430"/>
      <c r="AE307" s="431"/>
      <c r="AF307" s="431"/>
      <c r="AG307" s="431"/>
      <c r="AH307" s="431"/>
      <c r="AI307" s="431"/>
      <c r="AJ307" s="431"/>
      <c r="AK307" s="430"/>
      <c r="AL307" s="431"/>
      <c r="AM307" s="431"/>
      <c r="AN307" s="432"/>
      <c r="AQ307" s="436"/>
      <c r="AR307" s="436"/>
      <c r="AS307" s="436"/>
      <c r="AT307" s="436"/>
      <c r="AU307" s="436"/>
      <c r="AV307" s="436"/>
      <c r="AW307" s="396">
        <f t="shared" si="35"/>
        <v>0</v>
      </c>
      <c r="AX307" s="434">
        <f t="shared" si="40"/>
        <v>0</v>
      </c>
      <c r="BA307" s="437">
        <f t="shared" si="36"/>
        <v>0</v>
      </c>
      <c r="BB307" s="437">
        <f t="shared" si="37"/>
        <v>0</v>
      </c>
      <c r="BC307" s="437">
        <f t="shared" si="38"/>
        <v>0</v>
      </c>
      <c r="BD307" s="437">
        <f t="shared" si="39"/>
        <v>0</v>
      </c>
      <c r="BE307" s="437"/>
    </row>
    <row r="308" spans="1:57" ht="51.75" customHeight="1" thickBot="1">
      <c r="A308" s="358" t="s">
        <v>539</v>
      </c>
      <c r="B308" s="346" t="s">
        <v>322</v>
      </c>
      <c r="C308" s="383" t="s">
        <v>196</v>
      </c>
      <c r="D308" s="7">
        <v>4.78</v>
      </c>
      <c r="E308" s="353"/>
      <c r="F308" s="22">
        <f t="shared" si="33"/>
        <v>0</v>
      </c>
      <c r="G308" s="329"/>
      <c r="H308" s="330">
        <f t="shared" si="34"/>
        <v>0</v>
      </c>
      <c r="I308" s="430"/>
      <c r="J308" s="430"/>
      <c r="K308" s="431"/>
      <c r="L308" s="431"/>
      <c r="M308" s="431"/>
      <c r="N308" s="431"/>
      <c r="O308" s="431"/>
      <c r="P308" s="430"/>
      <c r="Q308" s="431"/>
      <c r="R308" s="431"/>
      <c r="S308" s="431"/>
      <c r="T308" s="431"/>
      <c r="U308" s="431"/>
      <c r="V308" s="431"/>
      <c r="W308" s="430"/>
      <c r="X308" s="431"/>
      <c r="Y308" s="431"/>
      <c r="Z308" s="431"/>
      <c r="AA308" s="431"/>
      <c r="AB308" s="431"/>
      <c r="AC308" s="431"/>
      <c r="AD308" s="430"/>
      <c r="AE308" s="431"/>
      <c r="AF308" s="431"/>
      <c r="AG308" s="431"/>
      <c r="AH308" s="431"/>
      <c r="AI308" s="431"/>
      <c r="AJ308" s="431"/>
      <c r="AK308" s="430"/>
      <c r="AL308" s="431"/>
      <c r="AM308" s="431"/>
      <c r="AN308" s="432"/>
      <c r="AQ308" s="436"/>
      <c r="AR308" s="436"/>
      <c r="AS308" s="436"/>
      <c r="AT308" s="436"/>
      <c r="AU308" s="436"/>
      <c r="AV308" s="436"/>
      <c r="AW308" s="396">
        <f t="shared" si="35"/>
        <v>0</v>
      </c>
      <c r="AX308" s="434">
        <f t="shared" si="40"/>
        <v>0</v>
      </c>
      <c r="BA308" s="437">
        <f t="shared" si="36"/>
        <v>0</v>
      </c>
      <c r="BB308" s="437">
        <f t="shared" si="37"/>
        <v>0</v>
      </c>
      <c r="BC308" s="437">
        <f t="shared" si="38"/>
        <v>0</v>
      </c>
      <c r="BD308" s="437">
        <f t="shared" si="39"/>
        <v>0</v>
      </c>
      <c r="BE308" s="437"/>
    </row>
    <row r="309" spans="1:57" ht="51.75" customHeight="1" thickBot="1">
      <c r="A309" s="358" t="s">
        <v>540</v>
      </c>
      <c r="B309" s="346" t="s">
        <v>326</v>
      </c>
      <c r="C309" s="383" t="s">
        <v>196</v>
      </c>
      <c r="D309" s="7">
        <v>294.87</v>
      </c>
      <c r="E309" s="353"/>
      <c r="F309" s="22">
        <f t="shared" si="33"/>
        <v>0</v>
      </c>
      <c r="G309" s="329"/>
      <c r="H309" s="330">
        <f t="shared" si="34"/>
        <v>0</v>
      </c>
      <c r="I309" s="430"/>
      <c r="J309" s="430"/>
      <c r="K309" s="431"/>
      <c r="L309" s="431"/>
      <c r="M309" s="431"/>
      <c r="N309" s="431"/>
      <c r="O309" s="431"/>
      <c r="P309" s="430"/>
      <c r="Q309" s="431"/>
      <c r="R309" s="431"/>
      <c r="S309" s="431"/>
      <c r="T309" s="431"/>
      <c r="U309" s="431"/>
      <c r="V309" s="431"/>
      <c r="W309" s="430"/>
      <c r="X309" s="431"/>
      <c r="Y309" s="431"/>
      <c r="Z309" s="431"/>
      <c r="AA309" s="431"/>
      <c r="AB309" s="431"/>
      <c r="AC309" s="431"/>
      <c r="AD309" s="430"/>
      <c r="AE309" s="431"/>
      <c r="AF309" s="431"/>
      <c r="AG309" s="431"/>
      <c r="AH309" s="431"/>
      <c r="AI309" s="431"/>
      <c r="AJ309" s="431"/>
      <c r="AK309" s="430"/>
      <c r="AL309" s="431"/>
      <c r="AM309" s="431"/>
      <c r="AN309" s="432"/>
      <c r="AQ309" s="436"/>
      <c r="AR309" s="436"/>
      <c r="AS309" s="436"/>
      <c r="AT309" s="436"/>
      <c r="AU309" s="436"/>
      <c r="AV309" s="436"/>
      <c r="AW309" s="396">
        <f t="shared" si="35"/>
        <v>0</v>
      </c>
      <c r="AX309" s="434">
        <f t="shared" si="40"/>
        <v>0</v>
      </c>
      <c r="BA309" s="437">
        <f t="shared" si="36"/>
        <v>0</v>
      </c>
      <c r="BB309" s="437">
        <f t="shared" si="37"/>
        <v>0</v>
      </c>
      <c r="BC309" s="437">
        <f t="shared" si="38"/>
        <v>0</v>
      </c>
      <c r="BD309" s="437">
        <f t="shared" si="39"/>
        <v>0</v>
      </c>
      <c r="BE309" s="437"/>
    </row>
    <row r="310" spans="1:57" ht="51.75" customHeight="1" thickBot="1">
      <c r="A310" s="358" t="s">
        <v>541</v>
      </c>
      <c r="B310" s="346" t="s">
        <v>328</v>
      </c>
      <c r="C310" s="383" t="s">
        <v>196</v>
      </c>
      <c r="D310" s="7">
        <v>3500.81</v>
      </c>
      <c r="E310" s="353"/>
      <c r="F310" s="22">
        <f t="shared" si="33"/>
        <v>0</v>
      </c>
      <c r="G310" s="329"/>
      <c r="H310" s="330">
        <f t="shared" si="34"/>
        <v>0</v>
      </c>
      <c r="I310" s="430"/>
      <c r="J310" s="430"/>
      <c r="K310" s="431"/>
      <c r="L310" s="431"/>
      <c r="M310" s="431"/>
      <c r="N310" s="431"/>
      <c r="O310" s="431"/>
      <c r="P310" s="430"/>
      <c r="Q310" s="431"/>
      <c r="R310" s="431"/>
      <c r="S310" s="431"/>
      <c r="T310" s="431"/>
      <c r="U310" s="431"/>
      <c r="V310" s="431"/>
      <c r="W310" s="430"/>
      <c r="X310" s="431"/>
      <c r="Y310" s="431"/>
      <c r="Z310" s="431"/>
      <c r="AA310" s="431"/>
      <c r="AB310" s="431"/>
      <c r="AC310" s="431"/>
      <c r="AD310" s="430"/>
      <c r="AE310" s="431"/>
      <c r="AF310" s="431"/>
      <c r="AG310" s="431"/>
      <c r="AH310" s="431"/>
      <c r="AI310" s="431"/>
      <c r="AJ310" s="431"/>
      <c r="AK310" s="430"/>
      <c r="AL310" s="431"/>
      <c r="AM310" s="431"/>
      <c r="AN310" s="432"/>
      <c r="AQ310" s="436"/>
      <c r="AR310" s="436"/>
      <c r="AS310" s="436"/>
      <c r="AT310" s="436"/>
      <c r="AU310" s="436"/>
      <c r="AV310" s="436"/>
      <c r="AW310" s="396">
        <f t="shared" si="35"/>
        <v>0</v>
      </c>
      <c r="AX310" s="434">
        <f t="shared" si="40"/>
        <v>0</v>
      </c>
      <c r="BA310" s="437">
        <f t="shared" si="36"/>
        <v>0</v>
      </c>
      <c r="BB310" s="437">
        <f t="shared" si="37"/>
        <v>0</v>
      </c>
      <c r="BC310" s="437">
        <f t="shared" si="38"/>
        <v>0</v>
      </c>
      <c r="BD310" s="437">
        <f t="shared" si="39"/>
        <v>0</v>
      </c>
      <c r="BE310" s="437"/>
    </row>
    <row r="311" spans="1:57" ht="51.75" customHeight="1" thickBot="1">
      <c r="A311" s="358" t="s">
        <v>542</v>
      </c>
      <c r="B311" s="346" t="s">
        <v>543</v>
      </c>
      <c r="C311" s="383" t="s">
        <v>196</v>
      </c>
      <c r="D311" s="7">
        <v>626.51</v>
      </c>
      <c r="E311" s="353"/>
      <c r="F311" s="22">
        <f t="shared" si="33"/>
        <v>0</v>
      </c>
      <c r="G311" s="329"/>
      <c r="H311" s="330">
        <f t="shared" si="34"/>
        <v>0</v>
      </c>
      <c r="I311" s="430"/>
      <c r="J311" s="430"/>
      <c r="K311" s="431"/>
      <c r="L311" s="431"/>
      <c r="M311" s="431"/>
      <c r="N311" s="431"/>
      <c r="O311" s="431"/>
      <c r="P311" s="430"/>
      <c r="Q311" s="431"/>
      <c r="R311" s="431"/>
      <c r="S311" s="431"/>
      <c r="T311" s="431"/>
      <c r="U311" s="431"/>
      <c r="V311" s="431"/>
      <c r="W311" s="430"/>
      <c r="X311" s="431"/>
      <c r="Y311" s="431"/>
      <c r="Z311" s="431"/>
      <c r="AA311" s="431"/>
      <c r="AB311" s="431"/>
      <c r="AC311" s="431"/>
      <c r="AD311" s="430"/>
      <c r="AE311" s="431"/>
      <c r="AF311" s="431"/>
      <c r="AG311" s="431"/>
      <c r="AH311" s="431"/>
      <c r="AI311" s="431"/>
      <c r="AJ311" s="431"/>
      <c r="AK311" s="430"/>
      <c r="AL311" s="431"/>
      <c r="AM311" s="431"/>
      <c r="AN311" s="432"/>
      <c r="AQ311" s="436"/>
      <c r="AR311" s="436"/>
      <c r="AS311" s="436"/>
      <c r="AT311" s="436"/>
      <c r="AU311" s="436"/>
      <c r="AV311" s="436"/>
      <c r="AW311" s="396">
        <f t="shared" si="35"/>
        <v>0</v>
      </c>
      <c r="AX311" s="434">
        <f t="shared" si="40"/>
        <v>0</v>
      </c>
      <c r="BA311" s="437">
        <f t="shared" si="36"/>
        <v>0</v>
      </c>
      <c r="BB311" s="437">
        <f t="shared" si="37"/>
        <v>0</v>
      </c>
      <c r="BC311" s="437">
        <f t="shared" si="38"/>
        <v>0</v>
      </c>
      <c r="BD311" s="437">
        <f t="shared" si="39"/>
        <v>0</v>
      </c>
      <c r="BE311" s="437"/>
    </row>
    <row r="312" spans="1:57" ht="51.75" customHeight="1" thickBot="1">
      <c r="A312" s="358" t="s">
        <v>544</v>
      </c>
      <c r="B312" s="346" t="s">
        <v>545</v>
      </c>
      <c r="C312" s="383" t="s">
        <v>212</v>
      </c>
      <c r="D312" s="7">
        <v>18.66</v>
      </c>
      <c r="E312" s="353"/>
      <c r="F312" s="22">
        <f t="shared" si="33"/>
        <v>0</v>
      </c>
      <c r="G312" s="329"/>
      <c r="H312" s="330">
        <f t="shared" si="34"/>
        <v>0</v>
      </c>
      <c r="I312" s="430"/>
      <c r="J312" s="430"/>
      <c r="K312" s="431"/>
      <c r="L312" s="431"/>
      <c r="M312" s="431"/>
      <c r="N312" s="431"/>
      <c r="O312" s="431"/>
      <c r="P312" s="430"/>
      <c r="Q312" s="431"/>
      <c r="R312" s="431"/>
      <c r="S312" s="431"/>
      <c r="T312" s="431"/>
      <c r="U312" s="431"/>
      <c r="V312" s="431"/>
      <c r="W312" s="430"/>
      <c r="X312" s="431"/>
      <c r="Y312" s="431"/>
      <c r="Z312" s="431"/>
      <c r="AA312" s="431"/>
      <c r="AB312" s="431"/>
      <c r="AC312" s="431"/>
      <c r="AD312" s="430"/>
      <c r="AE312" s="431"/>
      <c r="AF312" s="431"/>
      <c r="AG312" s="431"/>
      <c r="AH312" s="431"/>
      <c r="AI312" s="431"/>
      <c r="AJ312" s="431"/>
      <c r="AK312" s="430"/>
      <c r="AL312" s="431"/>
      <c r="AM312" s="431"/>
      <c r="AN312" s="432"/>
      <c r="AQ312" s="436"/>
      <c r="AR312" s="436"/>
      <c r="AS312" s="436"/>
      <c r="AT312" s="436"/>
      <c r="AU312" s="436"/>
      <c r="AV312" s="436"/>
      <c r="AW312" s="396">
        <f t="shared" si="35"/>
        <v>0</v>
      </c>
      <c r="AX312" s="434">
        <f t="shared" si="40"/>
        <v>0</v>
      </c>
      <c r="BA312" s="437">
        <f t="shared" si="36"/>
        <v>0</v>
      </c>
      <c r="BB312" s="437">
        <f t="shared" si="37"/>
        <v>0</v>
      </c>
      <c r="BC312" s="437">
        <f t="shared" si="38"/>
        <v>0</v>
      </c>
      <c r="BD312" s="437">
        <f t="shared" si="39"/>
        <v>0</v>
      </c>
      <c r="BE312" s="437"/>
    </row>
    <row r="313" spans="1:57" ht="51.75" customHeight="1" thickBot="1">
      <c r="A313" s="358" t="s">
        <v>546</v>
      </c>
      <c r="B313" s="346" t="s">
        <v>547</v>
      </c>
      <c r="C313" s="383" t="s">
        <v>212</v>
      </c>
      <c r="D313" s="7">
        <v>4.41</v>
      </c>
      <c r="E313" s="353"/>
      <c r="F313" s="22">
        <f t="shared" si="33"/>
        <v>0</v>
      </c>
      <c r="G313" s="329"/>
      <c r="H313" s="330">
        <f t="shared" si="34"/>
        <v>0</v>
      </c>
      <c r="I313" s="430"/>
      <c r="J313" s="430"/>
      <c r="K313" s="431"/>
      <c r="L313" s="431"/>
      <c r="M313" s="431"/>
      <c r="N313" s="431"/>
      <c r="O313" s="431"/>
      <c r="P313" s="430"/>
      <c r="Q313" s="431"/>
      <c r="R313" s="431"/>
      <c r="S313" s="431"/>
      <c r="T313" s="431"/>
      <c r="U313" s="431"/>
      <c r="V313" s="431"/>
      <c r="W313" s="430"/>
      <c r="X313" s="431"/>
      <c r="Y313" s="431"/>
      <c r="Z313" s="431"/>
      <c r="AA313" s="431"/>
      <c r="AB313" s="431"/>
      <c r="AC313" s="431"/>
      <c r="AD313" s="430"/>
      <c r="AE313" s="431"/>
      <c r="AF313" s="431"/>
      <c r="AG313" s="431"/>
      <c r="AH313" s="431"/>
      <c r="AI313" s="431"/>
      <c r="AJ313" s="431"/>
      <c r="AK313" s="430"/>
      <c r="AL313" s="431"/>
      <c r="AM313" s="431"/>
      <c r="AN313" s="432"/>
      <c r="AQ313" s="436"/>
      <c r="AR313" s="436"/>
      <c r="AS313" s="436"/>
      <c r="AT313" s="436"/>
      <c r="AU313" s="436"/>
      <c r="AV313" s="436"/>
      <c r="AW313" s="396">
        <f t="shared" si="35"/>
        <v>0</v>
      </c>
      <c r="AX313" s="434">
        <f t="shared" si="40"/>
        <v>0</v>
      </c>
      <c r="BA313" s="437">
        <f t="shared" si="36"/>
        <v>0</v>
      </c>
      <c r="BB313" s="437">
        <f t="shared" si="37"/>
        <v>0</v>
      </c>
      <c r="BC313" s="437">
        <f t="shared" si="38"/>
        <v>0</v>
      </c>
      <c r="BD313" s="437">
        <f t="shared" si="39"/>
        <v>0</v>
      </c>
      <c r="BE313" s="437"/>
    </row>
    <row r="314" spans="1:57" ht="51.75" customHeight="1" thickBot="1">
      <c r="A314" s="358" t="s">
        <v>548</v>
      </c>
      <c r="B314" s="346" t="s">
        <v>549</v>
      </c>
      <c r="C314" s="383" t="s">
        <v>212</v>
      </c>
      <c r="D314" s="7">
        <v>3.89</v>
      </c>
      <c r="E314" s="353"/>
      <c r="F314" s="22">
        <f t="shared" si="33"/>
        <v>0</v>
      </c>
      <c r="G314" s="329"/>
      <c r="H314" s="330">
        <f t="shared" si="34"/>
        <v>0</v>
      </c>
      <c r="I314" s="430"/>
      <c r="J314" s="430"/>
      <c r="K314" s="431"/>
      <c r="L314" s="431"/>
      <c r="M314" s="431"/>
      <c r="N314" s="431"/>
      <c r="O314" s="431"/>
      <c r="P314" s="430"/>
      <c r="Q314" s="431"/>
      <c r="R314" s="431"/>
      <c r="S314" s="431"/>
      <c r="T314" s="431"/>
      <c r="U314" s="431"/>
      <c r="V314" s="431"/>
      <c r="W314" s="430"/>
      <c r="X314" s="431"/>
      <c r="Y314" s="431"/>
      <c r="Z314" s="431"/>
      <c r="AA314" s="431"/>
      <c r="AB314" s="431"/>
      <c r="AC314" s="431"/>
      <c r="AD314" s="430"/>
      <c r="AE314" s="431"/>
      <c r="AF314" s="431"/>
      <c r="AG314" s="431"/>
      <c r="AH314" s="431"/>
      <c r="AI314" s="431"/>
      <c r="AJ314" s="431"/>
      <c r="AK314" s="430"/>
      <c r="AL314" s="431"/>
      <c r="AM314" s="431"/>
      <c r="AN314" s="432"/>
      <c r="AQ314" s="436"/>
      <c r="AR314" s="436"/>
      <c r="AS314" s="436"/>
      <c r="AT314" s="436"/>
      <c r="AU314" s="436"/>
      <c r="AV314" s="436"/>
      <c r="AW314" s="396">
        <f t="shared" si="35"/>
        <v>0</v>
      </c>
      <c r="AX314" s="434">
        <f t="shared" si="40"/>
        <v>0</v>
      </c>
      <c r="BA314" s="437">
        <f t="shared" si="36"/>
        <v>0</v>
      </c>
      <c r="BB314" s="437">
        <f t="shared" si="37"/>
        <v>0</v>
      </c>
      <c r="BC314" s="437">
        <f t="shared" si="38"/>
        <v>0</v>
      </c>
      <c r="BD314" s="437">
        <f t="shared" si="39"/>
        <v>0</v>
      </c>
      <c r="BE314" s="437"/>
    </row>
    <row r="315" spans="1:57" ht="51.75" customHeight="1" thickBot="1">
      <c r="A315" s="358" t="s">
        <v>550</v>
      </c>
      <c r="B315" s="346" t="s">
        <v>551</v>
      </c>
      <c r="C315" s="383" t="s">
        <v>212</v>
      </c>
      <c r="D315" s="7">
        <v>0.8</v>
      </c>
      <c r="E315" s="353"/>
      <c r="F315" s="22">
        <f t="shared" si="33"/>
        <v>0</v>
      </c>
      <c r="G315" s="329"/>
      <c r="H315" s="330">
        <f t="shared" si="34"/>
        <v>0</v>
      </c>
      <c r="I315" s="430"/>
      <c r="J315" s="430"/>
      <c r="K315" s="431"/>
      <c r="L315" s="431"/>
      <c r="M315" s="431"/>
      <c r="N315" s="431"/>
      <c r="O315" s="431"/>
      <c r="P315" s="430"/>
      <c r="Q315" s="431"/>
      <c r="R315" s="431"/>
      <c r="S315" s="431"/>
      <c r="T315" s="431"/>
      <c r="U315" s="431"/>
      <c r="V315" s="431"/>
      <c r="W315" s="430"/>
      <c r="X315" s="431"/>
      <c r="Y315" s="431"/>
      <c r="Z315" s="431"/>
      <c r="AA315" s="431"/>
      <c r="AB315" s="431"/>
      <c r="AC315" s="431"/>
      <c r="AD315" s="430"/>
      <c r="AE315" s="431"/>
      <c r="AF315" s="431"/>
      <c r="AG315" s="431"/>
      <c r="AH315" s="431"/>
      <c r="AI315" s="431"/>
      <c r="AJ315" s="431"/>
      <c r="AK315" s="430"/>
      <c r="AL315" s="431"/>
      <c r="AM315" s="431"/>
      <c r="AN315" s="432"/>
      <c r="AQ315" s="436"/>
      <c r="AR315" s="436"/>
      <c r="AS315" s="436"/>
      <c r="AT315" s="436"/>
      <c r="AU315" s="436"/>
      <c r="AV315" s="436"/>
      <c r="AW315" s="396">
        <f t="shared" si="35"/>
        <v>0</v>
      </c>
      <c r="AX315" s="434">
        <f t="shared" si="40"/>
        <v>0</v>
      </c>
      <c r="BA315" s="437">
        <f t="shared" si="36"/>
        <v>0</v>
      </c>
      <c r="BB315" s="437">
        <f t="shared" si="37"/>
        <v>0</v>
      </c>
      <c r="BC315" s="437">
        <f t="shared" si="38"/>
        <v>0</v>
      </c>
      <c r="BD315" s="437">
        <f t="shared" si="39"/>
        <v>0</v>
      </c>
      <c r="BE315" s="437"/>
    </row>
    <row r="316" spans="1:57" ht="51.75" customHeight="1" thickBot="1">
      <c r="A316" s="358" t="s">
        <v>552</v>
      </c>
      <c r="B316" s="346" t="s">
        <v>553</v>
      </c>
      <c r="C316" s="383" t="s">
        <v>196</v>
      </c>
      <c r="D316" s="7">
        <v>262.68</v>
      </c>
      <c r="E316" s="353"/>
      <c r="F316" s="22">
        <f t="shared" si="33"/>
        <v>0</v>
      </c>
      <c r="G316" s="329"/>
      <c r="H316" s="330">
        <f t="shared" si="34"/>
        <v>0</v>
      </c>
      <c r="I316" s="430"/>
      <c r="J316" s="430"/>
      <c r="K316" s="431"/>
      <c r="L316" s="431"/>
      <c r="M316" s="431"/>
      <c r="N316" s="431"/>
      <c r="O316" s="431"/>
      <c r="P316" s="430"/>
      <c r="Q316" s="431"/>
      <c r="R316" s="431"/>
      <c r="S316" s="431"/>
      <c r="T316" s="431"/>
      <c r="U316" s="431"/>
      <c r="V316" s="431"/>
      <c r="W316" s="430"/>
      <c r="X316" s="431"/>
      <c r="Y316" s="431"/>
      <c r="Z316" s="431"/>
      <c r="AA316" s="431"/>
      <c r="AB316" s="431"/>
      <c r="AC316" s="431"/>
      <c r="AD316" s="430"/>
      <c r="AE316" s="431"/>
      <c r="AF316" s="431"/>
      <c r="AG316" s="431"/>
      <c r="AH316" s="431"/>
      <c r="AI316" s="431"/>
      <c r="AJ316" s="431"/>
      <c r="AK316" s="430"/>
      <c r="AL316" s="431"/>
      <c r="AM316" s="431"/>
      <c r="AN316" s="432"/>
      <c r="AQ316" s="436"/>
      <c r="AR316" s="436"/>
      <c r="AS316" s="436"/>
      <c r="AT316" s="436"/>
      <c r="AU316" s="436"/>
      <c r="AV316" s="436"/>
      <c r="AW316" s="396">
        <f t="shared" si="35"/>
        <v>0</v>
      </c>
      <c r="AX316" s="434">
        <f t="shared" si="40"/>
        <v>0</v>
      </c>
      <c r="BA316" s="437">
        <f t="shared" si="36"/>
        <v>0</v>
      </c>
      <c r="BB316" s="437">
        <f t="shared" si="37"/>
        <v>0</v>
      </c>
      <c r="BC316" s="437">
        <f t="shared" si="38"/>
        <v>0</v>
      </c>
      <c r="BD316" s="437">
        <f t="shared" si="39"/>
        <v>0</v>
      </c>
      <c r="BE316" s="437"/>
    </row>
    <row r="317" spans="1:57" ht="51.75" customHeight="1" thickBot="1">
      <c r="A317" s="358" t="s">
        <v>554</v>
      </c>
      <c r="B317" s="346" t="s">
        <v>555</v>
      </c>
      <c r="C317" s="383" t="s">
        <v>196</v>
      </c>
      <c r="D317" s="7">
        <v>346.84</v>
      </c>
      <c r="E317" s="353"/>
      <c r="F317" s="22">
        <f t="shared" si="33"/>
        <v>0</v>
      </c>
      <c r="G317" s="329"/>
      <c r="H317" s="330">
        <f t="shared" si="34"/>
        <v>0</v>
      </c>
      <c r="I317" s="430"/>
      <c r="J317" s="430"/>
      <c r="K317" s="431"/>
      <c r="L317" s="431"/>
      <c r="M317" s="431"/>
      <c r="N317" s="431"/>
      <c r="O317" s="431"/>
      <c r="P317" s="430"/>
      <c r="Q317" s="431"/>
      <c r="R317" s="431"/>
      <c r="S317" s="431"/>
      <c r="T317" s="431"/>
      <c r="U317" s="431"/>
      <c r="V317" s="431"/>
      <c r="W317" s="430"/>
      <c r="X317" s="431"/>
      <c r="Y317" s="431"/>
      <c r="Z317" s="431"/>
      <c r="AA317" s="431"/>
      <c r="AB317" s="431"/>
      <c r="AC317" s="431"/>
      <c r="AD317" s="430"/>
      <c r="AE317" s="431"/>
      <c r="AF317" s="431"/>
      <c r="AG317" s="431"/>
      <c r="AH317" s="431"/>
      <c r="AI317" s="431"/>
      <c r="AJ317" s="431"/>
      <c r="AK317" s="430"/>
      <c r="AL317" s="431"/>
      <c r="AM317" s="431"/>
      <c r="AN317" s="432"/>
      <c r="AQ317" s="436"/>
      <c r="AR317" s="436"/>
      <c r="AS317" s="436"/>
      <c r="AT317" s="436"/>
      <c r="AU317" s="436"/>
      <c r="AV317" s="436"/>
      <c r="AW317" s="396">
        <f t="shared" si="35"/>
        <v>0</v>
      </c>
      <c r="AX317" s="434">
        <f t="shared" si="40"/>
        <v>0</v>
      </c>
      <c r="BA317" s="437">
        <f t="shared" si="36"/>
        <v>0</v>
      </c>
      <c r="BB317" s="437">
        <f t="shared" si="37"/>
        <v>0</v>
      </c>
      <c r="BC317" s="437">
        <f t="shared" si="38"/>
        <v>0</v>
      </c>
      <c r="BD317" s="437">
        <f t="shared" si="39"/>
        <v>0</v>
      </c>
      <c r="BE317" s="437"/>
    </row>
    <row r="318" spans="1:57" ht="51.75" customHeight="1" thickBot="1">
      <c r="A318" s="358" t="s">
        <v>556</v>
      </c>
      <c r="B318" s="346" t="s">
        <v>557</v>
      </c>
      <c r="C318" s="383" t="s">
        <v>13</v>
      </c>
      <c r="D318" s="7">
        <v>0</v>
      </c>
      <c r="E318" s="353"/>
      <c r="F318" s="22">
        <f t="shared" si="33"/>
        <v>0</v>
      </c>
      <c r="G318" s="329"/>
      <c r="H318" s="330">
        <f t="shared" si="34"/>
        <v>0</v>
      </c>
      <c r="I318" s="430"/>
      <c r="J318" s="430"/>
      <c r="K318" s="431"/>
      <c r="L318" s="431"/>
      <c r="M318" s="431"/>
      <c r="N318" s="431"/>
      <c r="O318" s="431"/>
      <c r="P318" s="430"/>
      <c r="Q318" s="431"/>
      <c r="R318" s="431"/>
      <c r="S318" s="431"/>
      <c r="T318" s="431"/>
      <c r="U318" s="431"/>
      <c r="V318" s="431"/>
      <c r="W318" s="430"/>
      <c r="X318" s="431"/>
      <c r="Y318" s="431"/>
      <c r="Z318" s="431"/>
      <c r="AA318" s="431"/>
      <c r="AB318" s="431"/>
      <c r="AC318" s="431"/>
      <c r="AD318" s="430"/>
      <c r="AE318" s="431"/>
      <c r="AF318" s="431"/>
      <c r="AG318" s="431"/>
      <c r="AH318" s="431"/>
      <c r="AI318" s="431"/>
      <c r="AJ318" s="431"/>
      <c r="AK318" s="430"/>
      <c r="AL318" s="431"/>
      <c r="AM318" s="431"/>
      <c r="AN318" s="432"/>
      <c r="AQ318" s="436"/>
      <c r="AR318" s="436"/>
      <c r="AS318" s="436"/>
      <c r="AT318" s="436"/>
      <c r="AU318" s="436"/>
      <c r="AV318" s="436"/>
      <c r="AW318" s="396">
        <f t="shared" si="35"/>
        <v>0</v>
      </c>
      <c r="AX318" s="434">
        <f t="shared" si="40"/>
        <v>0</v>
      </c>
      <c r="BA318" s="437">
        <f t="shared" si="36"/>
        <v>0</v>
      </c>
      <c r="BB318" s="437">
        <f t="shared" si="37"/>
        <v>0</v>
      </c>
      <c r="BC318" s="437">
        <f t="shared" si="38"/>
        <v>0</v>
      </c>
      <c r="BD318" s="437">
        <f t="shared" si="39"/>
        <v>0</v>
      </c>
      <c r="BE318" s="437"/>
    </row>
    <row r="319" spans="1:57" ht="51.75" customHeight="1" thickBot="1">
      <c r="A319" s="358" t="s">
        <v>558</v>
      </c>
      <c r="B319" s="346" t="s">
        <v>559</v>
      </c>
      <c r="C319" s="383" t="s">
        <v>196</v>
      </c>
      <c r="D319" s="7">
        <v>158.58000000000001</v>
      </c>
      <c r="E319" s="353"/>
      <c r="F319" s="22">
        <f t="shared" si="33"/>
        <v>0</v>
      </c>
      <c r="G319" s="329"/>
      <c r="H319" s="330">
        <f t="shared" si="34"/>
        <v>0</v>
      </c>
      <c r="I319" s="430"/>
      <c r="J319" s="430"/>
      <c r="K319" s="431"/>
      <c r="L319" s="431"/>
      <c r="M319" s="431"/>
      <c r="N319" s="431"/>
      <c r="O319" s="431"/>
      <c r="P319" s="430"/>
      <c r="Q319" s="431"/>
      <c r="R319" s="431"/>
      <c r="S319" s="431"/>
      <c r="T319" s="431"/>
      <c r="U319" s="431"/>
      <c r="V319" s="431"/>
      <c r="W319" s="430"/>
      <c r="X319" s="431"/>
      <c r="Y319" s="431"/>
      <c r="Z319" s="431"/>
      <c r="AA319" s="431"/>
      <c r="AB319" s="431"/>
      <c r="AC319" s="431"/>
      <c r="AD319" s="430"/>
      <c r="AE319" s="431"/>
      <c r="AF319" s="431"/>
      <c r="AG319" s="431"/>
      <c r="AH319" s="431"/>
      <c r="AI319" s="431"/>
      <c r="AJ319" s="431"/>
      <c r="AK319" s="430"/>
      <c r="AL319" s="431"/>
      <c r="AM319" s="431"/>
      <c r="AN319" s="432"/>
      <c r="AQ319" s="436"/>
      <c r="AR319" s="436"/>
      <c r="AS319" s="436"/>
      <c r="AT319" s="436"/>
      <c r="AU319" s="436"/>
      <c r="AV319" s="436"/>
      <c r="AW319" s="396">
        <f t="shared" si="35"/>
        <v>0</v>
      </c>
      <c r="AX319" s="434">
        <f t="shared" si="40"/>
        <v>0</v>
      </c>
      <c r="BA319" s="437">
        <f t="shared" si="36"/>
        <v>0</v>
      </c>
      <c r="BB319" s="437">
        <f t="shared" si="37"/>
        <v>0</v>
      </c>
      <c r="BC319" s="437">
        <f t="shared" si="38"/>
        <v>0</v>
      </c>
      <c r="BD319" s="437">
        <f t="shared" si="39"/>
        <v>0</v>
      </c>
      <c r="BE319" s="437"/>
    </row>
    <row r="320" spans="1:57" ht="51.75" customHeight="1" thickBot="1">
      <c r="A320" s="358" t="s">
        <v>560</v>
      </c>
      <c r="B320" s="346" t="s">
        <v>353</v>
      </c>
      <c r="C320" s="383" t="s">
        <v>196</v>
      </c>
      <c r="D320" s="7">
        <v>361.32</v>
      </c>
      <c r="E320" s="353"/>
      <c r="F320" s="22">
        <f t="shared" si="33"/>
        <v>0</v>
      </c>
      <c r="G320" s="329"/>
      <c r="H320" s="330">
        <f t="shared" si="34"/>
        <v>0</v>
      </c>
      <c r="I320" s="430"/>
      <c r="J320" s="430"/>
      <c r="K320" s="431"/>
      <c r="L320" s="431"/>
      <c r="M320" s="431"/>
      <c r="N320" s="431"/>
      <c r="O320" s="431"/>
      <c r="P320" s="430"/>
      <c r="Q320" s="431"/>
      <c r="R320" s="431"/>
      <c r="S320" s="431"/>
      <c r="T320" s="431"/>
      <c r="U320" s="431"/>
      <c r="V320" s="431"/>
      <c r="W320" s="430"/>
      <c r="X320" s="431"/>
      <c r="Y320" s="431"/>
      <c r="Z320" s="431"/>
      <c r="AA320" s="431"/>
      <c r="AB320" s="431"/>
      <c r="AC320" s="431"/>
      <c r="AD320" s="430"/>
      <c r="AE320" s="431"/>
      <c r="AF320" s="431"/>
      <c r="AG320" s="431"/>
      <c r="AH320" s="431"/>
      <c r="AI320" s="431"/>
      <c r="AJ320" s="431"/>
      <c r="AK320" s="430"/>
      <c r="AL320" s="431"/>
      <c r="AM320" s="431"/>
      <c r="AN320" s="432"/>
      <c r="AQ320" s="436"/>
      <c r="AR320" s="436"/>
      <c r="AS320" s="436"/>
      <c r="AT320" s="436"/>
      <c r="AU320" s="436"/>
      <c r="AV320" s="436"/>
      <c r="AW320" s="396">
        <f t="shared" si="35"/>
        <v>0</v>
      </c>
      <c r="AX320" s="434">
        <f t="shared" si="40"/>
        <v>0</v>
      </c>
      <c r="BA320" s="437">
        <f t="shared" si="36"/>
        <v>0</v>
      </c>
      <c r="BB320" s="437">
        <f t="shared" si="37"/>
        <v>0</v>
      </c>
      <c r="BC320" s="437">
        <f t="shared" si="38"/>
        <v>0</v>
      </c>
      <c r="BD320" s="437">
        <f t="shared" si="39"/>
        <v>0</v>
      </c>
      <c r="BE320" s="437"/>
    </row>
    <row r="321" spans="1:57" ht="51.75" customHeight="1" thickBot="1">
      <c r="A321" s="358" t="s">
        <v>561</v>
      </c>
      <c r="B321" s="346" t="s">
        <v>355</v>
      </c>
      <c r="C321" s="383" t="s">
        <v>196</v>
      </c>
      <c r="D321" s="7">
        <v>233.4</v>
      </c>
      <c r="E321" s="353"/>
      <c r="F321" s="22">
        <f t="shared" si="33"/>
        <v>0</v>
      </c>
      <c r="G321" s="329"/>
      <c r="H321" s="330">
        <f t="shared" si="34"/>
        <v>0</v>
      </c>
      <c r="I321" s="430"/>
      <c r="J321" s="430"/>
      <c r="K321" s="431"/>
      <c r="L321" s="431"/>
      <c r="M321" s="431"/>
      <c r="N321" s="431"/>
      <c r="O321" s="431"/>
      <c r="P321" s="430"/>
      <c r="Q321" s="431"/>
      <c r="R321" s="431"/>
      <c r="S321" s="431"/>
      <c r="T321" s="431"/>
      <c r="U321" s="431"/>
      <c r="V321" s="431"/>
      <c r="W321" s="430"/>
      <c r="X321" s="431"/>
      <c r="Y321" s="431"/>
      <c r="Z321" s="431"/>
      <c r="AA321" s="431"/>
      <c r="AB321" s="431"/>
      <c r="AC321" s="431"/>
      <c r="AD321" s="430"/>
      <c r="AE321" s="431"/>
      <c r="AF321" s="431"/>
      <c r="AG321" s="431"/>
      <c r="AH321" s="431"/>
      <c r="AI321" s="431"/>
      <c r="AJ321" s="431"/>
      <c r="AK321" s="430"/>
      <c r="AL321" s="431"/>
      <c r="AM321" s="431"/>
      <c r="AN321" s="432"/>
      <c r="AQ321" s="436"/>
      <c r="AR321" s="436"/>
      <c r="AS321" s="436"/>
      <c r="AT321" s="436"/>
      <c r="AU321" s="436"/>
      <c r="AV321" s="436"/>
      <c r="AW321" s="396">
        <f t="shared" si="35"/>
        <v>0</v>
      </c>
      <c r="AX321" s="434">
        <f t="shared" si="40"/>
        <v>0</v>
      </c>
      <c r="BA321" s="437">
        <f t="shared" si="36"/>
        <v>0</v>
      </c>
      <c r="BB321" s="437">
        <f t="shared" si="37"/>
        <v>0</v>
      </c>
      <c r="BC321" s="437">
        <f t="shared" si="38"/>
        <v>0</v>
      </c>
      <c r="BD321" s="437">
        <f t="shared" si="39"/>
        <v>0</v>
      </c>
      <c r="BE321" s="437"/>
    </row>
    <row r="322" spans="1:57" ht="51.75" customHeight="1" thickBot="1">
      <c r="A322" s="358" t="s">
        <v>562</v>
      </c>
      <c r="B322" s="346" t="s">
        <v>357</v>
      </c>
      <c r="C322" s="383" t="s">
        <v>196</v>
      </c>
      <c r="D322" s="7">
        <v>333.92</v>
      </c>
      <c r="E322" s="353"/>
      <c r="F322" s="22">
        <f t="shared" si="33"/>
        <v>0</v>
      </c>
      <c r="G322" s="329"/>
      <c r="H322" s="330">
        <f t="shared" si="34"/>
        <v>0</v>
      </c>
      <c r="I322" s="430"/>
      <c r="J322" s="430"/>
      <c r="K322" s="431"/>
      <c r="L322" s="431"/>
      <c r="M322" s="431"/>
      <c r="N322" s="431"/>
      <c r="O322" s="431"/>
      <c r="P322" s="430"/>
      <c r="Q322" s="431"/>
      <c r="R322" s="431"/>
      <c r="S322" s="431"/>
      <c r="T322" s="431"/>
      <c r="U322" s="431"/>
      <c r="V322" s="431"/>
      <c r="W322" s="430"/>
      <c r="X322" s="431"/>
      <c r="Y322" s="431"/>
      <c r="Z322" s="431"/>
      <c r="AA322" s="431"/>
      <c r="AB322" s="431"/>
      <c r="AC322" s="431"/>
      <c r="AD322" s="430"/>
      <c r="AE322" s="431"/>
      <c r="AF322" s="431"/>
      <c r="AG322" s="431"/>
      <c r="AH322" s="431"/>
      <c r="AI322" s="431"/>
      <c r="AJ322" s="431"/>
      <c r="AK322" s="430"/>
      <c r="AL322" s="431"/>
      <c r="AM322" s="431"/>
      <c r="AN322" s="432"/>
      <c r="AQ322" s="436"/>
      <c r="AR322" s="436"/>
      <c r="AS322" s="436"/>
      <c r="AT322" s="436"/>
      <c r="AU322" s="436"/>
      <c r="AV322" s="436"/>
      <c r="AW322" s="396">
        <f t="shared" si="35"/>
        <v>0</v>
      </c>
      <c r="AX322" s="434">
        <f t="shared" si="40"/>
        <v>0</v>
      </c>
      <c r="BA322" s="437">
        <f t="shared" si="36"/>
        <v>0</v>
      </c>
      <c r="BB322" s="437">
        <f t="shared" si="37"/>
        <v>0</v>
      </c>
      <c r="BC322" s="437">
        <f t="shared" si="38"/>
        <v>0</v>
      </c>
      <c r="BD322" s="437">
        <f t="shared" si="39"/>
        <v>0</v>
      </c>
      <c r="BE322" s="437"/>
    </row>
    <row r="323" spans="1:57" ht="51.75" customHeight="1" thickBot="1">
      <c r="A323" s="358" t="s">
        <v>563</v>
      </c>
      <c r="B323" s="346" t="s">
        <v>359</v>
      </c>
      <c r="C323" s="383" t="s">
        <v>196</v>
      </c>
      <c r="D323" s="7">
        <v>278.26</v>
      </c>
      <c r="E323" s="353"/>
      <c r="F323" s="22">
        <f t="shared" si="33"/>
        <v>0</v>
      </c>
      <c r="G323" s="329"/>
      <c r="H323" s="330">
        <f t="shared" si="34"/>
        <v>0</v>
      </c>
      <c r="I323" s="430"/>
      <c r="J323" s="430"/>
      <c r="K323" s="431"/>
      <c r="L323" s="431"/>
      <c r="M323" s="431"/>
      <c r="N323" s="431"/>
      <c r="O323" s="431"/>
      <c r="P323" s="430"/>
      <c r="Q323" s="431"/>
      <c r="R323" s="431"/>
      <c r="S323" s="431"/>
      <c r="T323" s="431"/>
      <c r="U323" s="431"/>
      <c r="V323" s="431"/>
      <c r="W323" s="430"/>
      <c r="X323" s="431"/>
      <c r="Y323" s="431"/>
      <c r="Z323" s="431"/>
      <c r="AA323" s="431"/>
      <c r="AB323" s="431"/>
      <c r="AC323" s="431"/>
      <c r="AD323" s="430"/>
      <c r="AE323" s="431"/>
      <c r="AF323" s="431"/>
      <c r="AG323" s="431"/>
      <c r="AH323" s="431"/>
      <c r="AI323" s="431"/>
      <c r="AJ323" s="431"/>
      <c r="AK323" s="430"/>
      <c r="AL323" s="431"/>
      <c r="AM323" s="431"/>
      <c r="AN323" s="432"/>
      <c r="AQ323" s="436"/>
      <c r="AR323" s="436"/>
      <c r="AS323" s="436"/>
      <c r="AT323" s="436"/>
      <c r="AU323" s="436"/>
      <c r="AV323" s="436"/>
      <c r="AW323" s="396">
        <f t="shared" si="35"/>
        <v>0</v>
      </c>
      <c r="AX323" s="434">
        <f t="shared" si="40"/>
        <v>0</v>
      </c>
      <c r="BA323" s="437">
        <f t="shared" si="36"/>
        <v>0</v>
      </c>
      <c r="BB323" s="437">
        <f t="shared" si="37"/>
        <v>0</v>
      </c>
      <c r="BC323" s="437">
        <f t="shared" si="38"/>
        <v>0</v>
      </c>
      <c r="BD323" s="437">
        <f t="shared" si="39"/>
        <v>0</v>
      </c>
      <c r="BE323" s="437"/>
    </row>
    <row r="324" spans="1:57" ht="51.75" customHeight="1" thickBot="1">
      <c r="A324" s="358" t="s">
        <v>564</v>
      </c>
      <c r="B324" s="346" t="s">
        <v>361</v>
      </c>
      <c r="C324" s="383" t="s">
        <v>212</v>
      </c>
      <c r="D324" s="7">
        <v>3.22</v>
      </c>
      <c r="E324" s="353"/>
      <c r="F324" s="22">
        <f t="shared" si="33"/>
        <v>0</v>
      </c>
      <c r="G324" s="329"/>
      <c r="H324" s="330">
        <f t="shared" si="34"/>
        <v>0</v>
      </c>
      <c r="I324" s="430"/>
      <c r="J324" s="430"/>
      <c r="K324" s="431"/>
      <c r="L324" s="431"/>
      <c r="M324" s="431"/>
      <c r="N324" s="431"/>
      <c r="O324" s="431"/>
      <c r="P324" s="430"/>
      <c r="Q324" s="431"/>
      <c r="R324" s="431"/>
      <c r="S324" s="431"/>
      <c r="T324" s="431"/>
      <c r="U324" s="431"/>
      <c r="V324" s="431"/>
      <c r="W324" s="430"/>
      <c r="X324" s="431"/>
      <c r="Y324" s="431"/>
      <c r="Z324" s="431"/>
      <c r="AA324" s="431"/>
      <c r="AB324" s="431"/>
      <c r="AC324" s="431"/>
      <c r="AD324" s="430"/>
      <c r="AE324" s="431"/>
      <c r="AF324" s="431"/>
      <c r="AG324" s="431"/>
      <c r="AH324" s="431"/>
      <c r="AI324" s="431"/>
      <c r="AJ324" s="431"/>
      <c r="AK324" s="430"/>
      <c r="AL324" s="431"/>
      <c r="AM324" s="431"/>
      <c r="AN324" s="432"/>
      <c r="AQ324" s="436"/>
      <c r="AR324" s="436"/>
      <c r="AS324" s="436"/>
      <c r="AT324" s="436"/>
      <c r="AU324" s="436"/>
      <c r="AV324" s="436"/>
      <c r="AW324" s="396">
        <f t="shared" si="35"/>
        <v>0</v>
      </c>
      <c r="AX324" s="434">
        <f t="shared" si="40"/>
        <v>0</v>
      </c>
      <c r="BA324" s="437">
        <f t="shared" si="36"/>
        <v>0</v>
      </c>
      <c r="BB324" s="437">
        <f t="shared" si="37"/>
        <v>0</v>
      </c>
      <c r="BC324" s="437">
        <f t="shared" si="38"/>
        <v>0</v>
      </c>
      <c r="BD324" s="437">
        <f t="shared" si="39"/>
        <v>0</v>
      </c>
      <c r="BE324" s="437"/>
    </row>
    <row r="325" spans="1:57" ht="51.75" customHeight="1" thickBot="1">
      <c r="A325" s="358" t="s">
        <v>565</v>
      </c>
      <c r="B325" s="346" t="s">
        <v>363</v>
      </c>
      <c r="C325" s="383" t="s">
        <v>212</v>
      </c>
      <c r="D325" s="7">
        <v>5.53</v>
      </c>
      <c r="E325" s="353"/>
      <c r="F325" s="22">
        <f t="shared" si="33"/>
        <v>0</v>
      </c>
      <c r="G325" s="329"/>
      <c r="H325" s="330">
        <f t="shared" si="34"/>
        <v>0</v>
      </c>
      <c r="I325" s="430"/>
      <c r="J325" s="430"/>
      <c r="K325" s="431"/>
      <c r="L325" s="431"/>
      <c r="M325" s="431"/>
      <c r="N325" s="431"/>
      <c r="O325" s="431"/>
      <c r="P325" s="430"/>
      <c r="Q325" s="431"/>
      <c r="R325" s="431"/>
      <c r="S325" s="431"/>
      <c r="T325" s="431"/>
      <c r="U325" s="431"/>
      <c r="V325" s="431"/>
      <c r="W325" s="430"/>
      <c r="X325" s="431"/>
      <c r="Y325" s="431"/>
      <c r="Z325" s="431"/>
      <c r="AA325" s="431"/>
      <c r="AB325" s="431"/>
      <c r="AC325" s="431"/>
      <c r="AD325" s="430"/>
      <c r="AE325" s="431"/>
      <c r="AF325" s="431"/>
      <c r="AG325" s="431"/>
      <c r="AH325" s="431"/>
      <c r="AI325" s="431"/>
      <c r="AJ325" s="431"/>
      <c r="AK325" s="430"/>
      <c r="AL325" s="431"/>
      <c r="AM325" s="431"/>
      <c r="AN325" s="432"/>
      <c r="AQ325" s="436"/>
      <c r="AR325" s="436"/>
      <c r="AS325" s="436"/>
      <c r="AT325" s="436"/>
      <c r="AU325" s="436"/>
      <c r="AV325" s="436"/>
      <c r="AW325" s="396">
        <f t="shared" si="35"/>
        <v>0</v>
      </c>
      <c r="AX325" s="434">
        <f t="shared" si="40"/>
        <v>0</v>
      </c>
      <c r="BA325" s="437">
        <f t="shared" si="36"/>
        <v>0</v>
      </c>
      <c r="BB325" s="437">
        <f t="shared" si="37"/>
        <v>0</v>
      </c>
      <c r="BC325" s="437">
        <f t="shared" si="38"/>
        <v>0</v>
      </c>
      <c r="BD325" s="437">
        <f t="shared" si="39"/>
        <v>0</v>
      </c>
      <c r="BE325" s="437"/>
    </row>
    <row r="326" spans="1:57" ht="51.75" customHeight="1" thickBot="1">
      <c r="A326" s="358" t="s">
        <v>566</v>
      </c>
      <c r="B326" s="346" t="s">
        <v>365</v>
      </c>
      <c r="C326" s="383" t="s">
        <v>212</v>
      </c>
      <c r="D326" s="7">
        <v>9.7899999999999991</v>
      </c>
      <c r="E326" s="353"/>
      <c r="F326" s="22">
        <f t="shared" si="33"/>
        <v>0</v>
      </c>
      <c r="G326" s="329"/>
      <c r="H326" s="330">
        <f t="shared" si="34"/>
        <v>0</v>
      </c>
      <c r="I326" s="430"/>
      <c r="J326" s="430"/>
      <c r="K326" s="431"/>
      <c r="L326" s="431"/>
      <c r="M326" s="431"/>
      <c r="N326" s="431"/>
      <c r="O326" s="431"/>
      <c r="P326" s="430"/>
      <c r="Q326" s="431"/>
      <c r="R326" s="431"/>
      <c r="S326" s="431"/>
      <c r="T326" s="431"/>
      <c r="U326" s="431"/>
      <c r="V326" s="431"/>
      <c r="W326" s="430"/>
      <c r="X326" s="431"/>
      <c r="Y326" s="431"/>
      <c r="Z326" s="431"/>
      <c r="AA326" s="431"/>
      <c r="AB326" s="431"/>
      <c r="AC326" s="431"/>
      <c r="AD326" s="430"/>
      <c r="AE326" s="431"/>
      <c r="AF326" s="431"/>
      <c r="AG326" s="431"/>
      <c r="AH326" s="431"/>
      <c r="AI326" s="431"/>
      <c r="AJ326" s="431"/>
      <c r="AK326" s="430"/>
      <c r="AL326" s="431"/>
      <c r="AM326" s="431"/>
      <c r="AN326" s="432"/>
      <c r="AQ326" s="436"/>
      <c r="AR326" s="436"/>
      <c r="AS326" s="436"/>
      <c r="AT326" s="436"/>
      <c r="AU326" s="436"/>
      <c r="AV326" s="436"/>
      <c r="AW326" s="396">
        <f t="shared" si="35"/>
        <v>0</v>
      </c>
      <c r="AX326" s="434">
        <f t="shared" si="40"/>
        <v>0</v>
      </c>
      <c r="BA326" s="437">
        <f t="shared" si="36"/>
        <v>0</v>
      </c>
      <c r="BB326" s="437">
        <f t="shared" si="37"/>
        <v>0</v>
      </c>
      <c r="BC326" s="437">
        <f t="shared" si="38"/>
        <v>0</v>
      </c>
      <c r="BD326" s="437">
        <f t="shared" si="39"/>
        <v>0</v>
      </c>
      <c r="BE326" s="437"/>
    </row>
    <row r="327" spans="1:57" ht="51.75" customHeight="1" thickBot="1">
      <c r="A327" s="358" t="s">
        <v>567</v>
      </c>
      <c r="B327" s="346" t="s">
        <v>367</v>
      </c>
      <c r="C327" s="383" t="s">
        <v>196</v>
      </c>
      <c r="D327" s="7">
        <v>84.07</v>
      </c>
      <c r="E327" s="353"/>
      <c r="F327" s="22">
        <f t="shared" si="33"/>
        <v>0</v>
      </c>
      <c r="G327" s="329"/>
      <c r="H327" s="330">
        <f t="shared" si="34"/>
        <v>0</v>
      </c>
      <c r="I327" s="430"/>
      <c r="J327" s="430"/>
      <c r="K327" s="431"/>
      <c r="L327" s="431"/>
      <c r="M327" s="431"/>
      <c r="N327" s="431"/>
      <c r="O327" s="431"/>
      <c r="P327" s="430"/>
      <c r="Q327" s="431"/>
      <c r="R327" s="431"/>
      <c r="S327" s="431"/>
      <c r="T327" s="431"/>
      <c r="U327" s="431"/>
      <c r="V327" s="431"/>
      <c r="W327" s="430"/>
      <c r="X327" s="431"/>
      <c r="Y327" s="431"/>
      <c r="Z327" s="431"/>
      <c r="AA327" s="431"/>
      <c r="AB327" s="431"/>
      <c r="AC327" s="431"/>
      <c r="AD327" s="430"/>
      <c r="AE327" s="431"/>
      <c r="AF327" s="431"/>
      <c r="AG327" s="431"/>
      <c r="AH327" s="431"/>
      <c r="AI327" s="431"/>
      <c r="AJ327" s="431"/>
      <c r="AK327" s="430"/>
      <c r="AL327" s="431"/>
      <c r="AM327" s="431"/>
      <c r="AN327" s="432"/>
      <c r="AQ327" s="436"/>
      <c r="AR327" s="436"/>
      <c r="AS327" s="436"/>
      <c r="AT327" s="436"/>
      <c r="AU327" s="436"/>
      <c r="AV327" s="436"/>
      <c r="AW327" s="396">
        <f t="shared" si="35"/>
        <v>0</v>
      </c>
      <c r="AX327" s="434">
        <f t="shared" si="40"/>
        <v>0</v>
      </c>
      <c r="BA327" s="437">
        <f t="shared" si="36"/>
        <v>0</v>
      </c>
      <c r="BB327" s="437">
        <f t="shared" si="37"/>
        <v>0</v>
      </c>
      <c r="BC327" s="437">
        <f t="shared" si="38"/>
        <v>0</v>
      </c>
      <c r="BD327" s="437">
        <f t="shared" si="39"/>
        <v>0</v>
      </c>
      <c r="BE327" s="437"/>
    </row>
    <row r="328" spans="1:57" ht="51.75" customHeight="1" thickBot="1">
      <c r="A328" s="358" t="s">
        <v>568</v>
      </c>
      <c r="B328" s="346" t="s">
        <v>369</v>
      </c>
      <c r="C328" s="383" t="s">
        <v>196</v>
      </c>
      <c r="D328" s="7">
        <v>106.32</v>
      </c>
      <c r="E328" s="353"/>
      <c r="F328" s="22">
        <f t="shared" si="33"/>
        <v>0</v>
      </c>
      <c r="G328" s="329"/>
      <c r="H328" s="330">
        <f t="shared" si="34"/>
        <v>0</v>
      </c>
      <c r="I328" s="430"/>
      <c r="J328" s="430"/>
      <c r="K328" s="431"/>
      <c r="L328" s="431"/>
      <c r="M328" s="431"/>
      <c r="N328" s="431"/>
      <c r="O328" s="431"/>
      <c r="P328" s="430"/>
      <c r="Q328" s="431"/>
      <c r="R328" s="431"/>
      <c r="S328" s="431"/>
      <c r="T328" s="431"/>
      <c r="U328" s="431"/>
      <c r="V328" s="431"/>
      <c r="W328" s="430"/>
      <c r="X328" s="431"/>
      <c r="Y328" s="431"/>
      <c r="Z328" s="431"/>
      <c r="AA328" s="431"/>
      <c r="AB328" s="431"/>
      <c r="AC328" s="431"/>
      <c r="AD328" s="430"/>
      <c r="AE328" s="431"/>
      <c r="AF328" s="431"/>
      <c r="AG328" s="431"/>
      <c r="AH328" s="431"/>
      <c r="AI328" s="431"/>
      <c r="AJ328" s="431"/>
      <c r="AK328" s="430"/>
      <c r="AL328" s="431"/>
      <c r="AM328" s="431"/>
      <c r="AN328" s="432"/>
      <c r="AQ328" s="436"/>
      <c r="AR328" s="436"/>
      <c r="AS328" s="436"/>
      <c r="AT328" s="436"/>
      <c r="AU328" s="436"/>
      <c r="AV328" s="436"/>
      <c r="AW328" s="396">
        <f t="shared" si="35"/>
        <v>0</v>
      </c>
      <c r="AX328" s="434">
        <f t="shared" si="40"/>
        <v>0</v>
      </c>
      <c r="BA328" s="437">
        <f t="shared" si="36"/>
        <v>0</v>
      </c>
      <c r="BB328" s="437">
        <f t="shared" si="37"/>
        <v>0</v>
      </c>
      <c r="BC328" s="437">
        <f t="shared" si="38"/>
        <v>0</v>
      </c>
      <c r="BD328" s="437">
        <f t="shared" si="39"/>
        <v>0</v>
      </c>
      <c r="BE328" s="437"/>
    </row>
    <row r="329" spans="1:57" ht="51.75" customHeight="1" thickBot="1">
      <c r="A329" s="358" t="s">
        <v>569</v>
      </c>
      <c r="B329" s="346" t="s">
        <v>570</v>
      </c>
      <c r="C329" s="383" t="s">
        <v>212</v>
      </c>
      <c r="D329" s="7">
        <v>13.22</v>
      </c>
      <c r="E329" s="353"/>
      <c r="F329" s="22">
        <f t="shared" si="33"/>
        <v>0</v>
      </c>
      <c r="G329" s="329"/>
      <c r="H329" s="330">
        <f t="shared" si="34"/>
        <v>0</v>
      </c>
      <c r="I329" s="430"/>
      <c r="J329" s="430"/>
      <c r="K329" s="431"/>
      <c r="L329" s="431"/>
      <c r="M329" s="431"/>
      <c r="N329" s="431"/>
      <c r="O329" s="431"/>
      <c r="P329" s="430"/>
      <c r="Q329" s="431"/>
      <c r="R329" s="431"/>
      <c r="S329" s="431"/>
      <c r="T329" s="431"/>
      <c r="U329" s="431"/>
      <c r="V329" s="431"/>
      <c r="W329" s="430"/>
      <c r="X329" s="431"/>
      <c r="Y329" s="431"/>
      <c r="Z329" s="431"/>
      <c r="AA329" s="431"/>
      <c r="AB329" s="431"/>
      <c r="AC329" s="431"/>
      <c r="AD329" s="430"/>
      <c r="AE329" s="431"/>
      <c r="AF329" s="431"/>
      <c r="AG329" s="431"/>
      <c r="AH329" s="431"/>
      <c r="AI329" s="431"/>
      <c r="AJ329" s="431"/>
      <c r="AK329" s="430"/>
      <c r="AL329" s="431"/>
      <c r="AM329" s="431"/>
      <c r="AN329" s="432"/>
      <c r="AQ329" s="436"/>
      <c r="AR329" s="436"/>
      <c r="AS329" s="436"/>
      <c r="AT329" s="436"/>
      <c r="AU329" s="436"/>
      <c r="AV329" s="436"/>
      <c r="AW329" s="396">
        <f t="shared" si="35"/>
        <v>0</v>
      </c>
      <c r="AX329" s="434">
        <f t="shared" si="40"/>
        <v>0</v>
      </c>
      <c r="BA329" s="437">
        <f t="shared" si="36"/>
        <v>0</v>
      </c>
      <c r="BB329" s="437">
        <f t="shared" si="37"/>
        <v>0</v>
      </c>
      <c r="BC329" s="437">
        <f t="shared" si="38"/>
        <v>0</v>
      </c>
      <c r="BD329" s="437">
        <f t="shared" si="39"/>
        <v>0</v>
      </c>
      <c r="BE329" s="437"/>
    </row>
    <row r="330" spans="1:57" ht="51.75" customHeight="1" thickBot="1">
      <c r="A330" s="358" t="s">
        <v>571</v>
      </c>
      <c r="B330" s="346" t="s">
        <v>572</v>
      </c>
      <c r="C330" s="383" t="s">
        <v>196</v>
      </c>
      <c r="D330" s="7">
        <v>22.26</v>
      </c>
      <c r="E330" s="353"/>
      <c r="F330" s="22">
        <f t="shared" si="33"/>
        <v>0</v>
      </c>
      <c r="G330" s="329"/>
      <c r="H330" s="330">
        <f t="shared" si="34"/>
        <v>0</v>
      </c>
      <c r="I330" s="430"/>
      <c r="J330" s="430"/>
      <c r="K330" s="431"/>
      <c r="L330" s="431"/>
      <c r="M330" s="431"/>
      <c r="N330" s="431"/>
      <c r="O330" s="431"/>
      <c r="P330" s="430"/>
      <c r="Q330" s="431"/>
      <c r="R330" s="431"/>
      <c r="S330" s="431"/>
      <c r="T330" s="431"/>
      <c r="U330" s="431"/>
      <c r="V330" s="431"/>
      <c r="W330" s="430"/>
      <c r="X330" s="431"/>
      <c r="Y330" s="431"/>
      <c r="Z330" s="431"/>
      <c r="AA330" s="431"/>
      <c r="AB330" s="431"/>
      <c r="AC330" s="431"/>
      <c r="AD330" s="430"/>
      <c r="AE330" s="431"/>
      <c r="AF330" s="431"/>
      <c r="AG330" s="431"/>
      <c r="AH330" s="431"/>
      <c r="AI330" s="431"/>
      <c r="AJ330" s="431"/>
      <c r="AK330" s="430"/>
      <c r="AL330" s="431"/>
      <c r="AM330" s="431"/>
      <c r="AN330" s="432"/>
      <c r="AQ330" s="436"/>
      <c r="AR330" s="436"/>
      <c r="AS330" s="436"/>
      <c r="AT330" s="436"/>
      <c r="AU330" s="436"/>
      <c r="AV330" s="436"/>
      <c r="AW330" s="396">
        <f t="shared" si="35"/>
        <v>0</v>
      </c>
      <c r="AX330" s="434">
        <f t="shared" si="40"/>
        <v>0</v>
      </c>
      <c r="BA330" s="437">
        <f t="shared" si="36"/>
        <v>0</v>
      </c>
      <c r="BB330" s="437">
        <f t="shared" si="37"/>
        <v>0</v>
      </c>
      <c r="BC330" s="437">
        <f t="shared" si="38"/>
        <v>0</v>
      </c>
      <c r="BD330" s="437">
        <f t="shared" si="39"/>
        <v>0</v>
      </c>
      <c r="BE330" s="437"/>
    </row>
    <row r="331" spans="1:57" ht="51.75" customHeight="1" thickBot="1">
      <c r="A331" s="358" t="s">
        <v>573</v>
      </c>
      <c r="B331" s="346" t="s">
        <v>574</v>
      </c>
      <c r="C331" s="383" t="s">
        <v>212</v>
      </c>
      <c r="D331" s="7">
        <v>23.16</v>
      </c>
      <c r="E331" s="353"/>
      <c r="F331" s="22">
        <f t="shared" ref="F331:F339" si="41">E331*D331</f>
        <v>0</v>
      </c>
      <c r="G331" s="329"/>
      <c r="H331" s="330">
        <f t="shared" ref="H331:H339" si="42">G331*D331</f>
        <v>0</v>
      </c>
      <c r="I331" s="430"/>
      <c r="J331" s="430"/>
      <c r="K331" s="431"/>
      <c r="L331" s="431"/>
      <c r="M331" s="431"/>
      <c r="N331" s="431"/>
      <c r="O331" s="431"/>
      <c r="P331" s="430"/>
      <c r="Q331" s="431"/>
      <c r="R331" s="431"/>
      <c r="S331" s="431"/>
      <c r="T331" s="431"/>
      <c r="U331" s="431"/>
      <c r="V331" s="431"/>
      <c r="W331" s="430"/>
      <c r="X331" s="431"/>
      <c r="Y331" s="431"/>
      <c r="Z331" s="431"/>
      <c r="AA331" s="431"/>
      <c r="AB331" s="431"/>
      <c r="AC331" s="431"/>
      <c r="AD331" s="430"/>
      <c r="AE331" s="431"/>
      <c r="AF331" s="431"/>
      <c r="AG331" s="431"/>
      <c r="AH331" s="431"/>
      <c r="AI331" s="431"/>
      <c r="AJ331" s="431"/>
      <c r="AK331" s="430"/>
      <c r="AL331" s="431"/>
      <c r="AM331" s="431"/>
      <c r="AN331" s="432"/>
      <c r="AQ331" s="436"/>
      <c r="AR331" s="436"/>
      <c r="AS331" s="436"/>
      <c r="AT331" s="436"/>
      <c r="AU331" s="436"/>
      <c r="AV331" s="436"/>
      <c r="AW331" s="396">
        <f t="shared" ref="AW331:AW339" si="43">AR331+AT331+AV331</f>
        <v>0</v>
      </c>
      <c r="AX331" s="434">
        <f t="shared" si="40"/>
        <v>0</v>
      </c>
      <c r="BA331" s="437">
        <f t="shared" si="36"/>
        <v>0</v>
      </c>
      <c r="BB331" s="437">
        <f t="shared" si="37"/>
        <v>0</v>
      </c>
      <c r="BC331" s="437">
        <f t="shared" si="38"/>
        <v>0</v>
      </c>
      <c r="BD331" s="437">
        <f t="shared" si="39"/>
        <v>0</v>
      </c>
      <c r="BE331" s="437"/>
    </row>
    <row r="332" spans="1:57" ht="51.75" customHeight="1" thickBot="1">
      <c r="A332" s="358" t="s">
        <v>575</v>
      </c>
      <c r="B332" s="346" t="s">
        <v>576</v>
      </c>
      <c r="C332" s="383" t="s">
        <v>212</v>
      </c>
      <c r="D332" s="7">
        <v>20.18</v>
      </c>
      <c r="E332" s="353"/>
      <c r="F332" s="22">
        <f t="shared" si="41"/>
        <v>0</v>
      </c>
      <c r="G332" s="329"/>
      <c r="H332" s="330">
        <f t="shared" si="42"/>
        <v>0</v>
      </c>
      <c r="I332" s="430"/>
      <c r="J332" s="430"/>
      <c r="K332" s="431"/>
      <c r="L332" s="431"/>
      <c r="M332" s="431"/>
      <c r="N332" s="431"/>
      <c r="O332" s="431"/>
      <c r="P332" s="430"/>
      <c r="Q332" s="431"/>
      <c r="R332" s="431"/>
      <c r="S332" s="431"/>
      <c r="T332" s="431"/>
      <c r="U332" s="431"/>
      <c r="V332" s="431"/>
      <c r="W332" s="430"/>
      <c r="X332" s="431"/>
      <c r="Y332" s="431"/>
      <c r="Z332" s="431"/>
      <c r="AA332" s="431"/>
      <c r="AB332" s="431"/>
      <c r="AC332" s="431"/>
      <c r="AD332" s="430"/>
      <c r="AE332" s="431"/>
      <c r="AF332" s="431"/>
      <c r="AG332" s="431"/>
      <c r="AH332" s="431"/>
      <c r="AI332" s="431"/>
      <c r="AJ332" s="431"/>
      <c r="AK332" s="430"/>
      <c r="AL332" s="431"/>
      <c r="AM332" s="431"/>
      <c r="AN332" s="432"/>
      <c r="AQ332" s="436"/>
      <c r="AR332" s="436"/>
      <c r="AS332" s="436"/>
      <c r="AT332" s="436"/>
      <c r="AU332" s="436"/>
      <c r="AV332" s="436"/>
      <c r="AW332" s="396">
        <f t="shared" si="43"/>
        <v>0</v>
      </c>
      <c r="AX332" s="434">
        <f t="shared" si="40"/>
        <v>0</v>
      </c>
      <c r="BA332" s="437">
        <f t="shared" ref="BA332:BA339" si="44">SUM(I332:O332)</f>
        <v>0</v>
      </c>
      <c r="BB332" s="437">
        <f t="shared" ref="BB332:BB339" si="45">SUM(Q332:V332)</f>
        <v>0</v>
      </c>
      <c r="BC332" s="437">
        <f t="shared" ref="BC332:BC339" si="46">SUM(X332:AD332)</f>
        <v>0</v>
      </c>
      <c r="BD332" s="437">
        <f t="shared" ref="BD332:BD339" si="47">SUM(AE332:AJ332)</f>
        <v>0</v>
      </c>
      <c r="BE332" s="437"/>
    </row>
    <row r="333" spans="1:57" ht="51.75" customHeight="1" thickBot="1">
      <c r="A333" s="358" t="s">
        <v>577</v>
      </c>
      <c r="B333" s="346" t="s">
        <v>578</v>
      </c>
      <c r="C333" s="383" t="s">
        <v>212</v>
      </c>
      <c r="D333" s="7">
        <v>17.45</v>
      </c>
      <c r="E333" s="353"/>
      <c r="F333" s="22">
        <f t="shared" si="41"/>
        <v>0</v>
      </c>
      <c r="G333" s="329"/>
      <c r="H333" s="330">
        <f t="shared" si="42"/>
        <v>0</v>
      </c>
      <c r="I333" s="430"/>
      <c r="J333" s="430"/>
      <c r="K333" s="431"/>
      <c r="L333" s="431"/>
      <c r="M333" s="431"/>
      <c r="N333" s="431"/>
      <c r="O333" s="431"/>
      <c r="P333" s="430"/>
      <c r="Q333" s="431"/>
      <c r="R333" s="431"/>
      <c r="S333" s="431"/>
      <c r="T333" s="431"/>
      <c r="U333" s="431"/>
      <c r="V333" s="431"/>
      <c r="W333" s="430"/>
      <c r="X333" s="431"/>
      <c r="Y333" s="431"/>
      <c r="Z333" s="431"/>
      <c r="AA333" s="431"/>
      <c r="AB333" s="431"/>
      <c r="AC333" s="431"/>
      <c r="AD333" s="430"/>
      <c r="AE333" s="431"/>
      <c r="AF333" s="431"/>
      <c r="AG333" s="431"/>
      <c r="AH333" s="431"/>
      <c r="AI333" s="431"/>
      <c r="AJ333" s="431"/>
      <c r="AK333" s="430"/>
      <c r="AL333" s="431"/>
      <c r="AM333" s="431"/>
      <c r="AN333" s="432"/>
      <c r="AQ333" s="436"/>
      <c r="AR333" s="436"/>
      <c r="AS333" s="436"/>
      <c r="AT333" s="436"/>
      <c r="AU333" s="436"/>
      <c r="AV333" s="436"/>
      <c r="AW333" s="396">
        <f t="shared" si="43"/>
        <v>0</v>
      </c>
      <c r="AX333" s="434">
        <f t="shared" si="40"/>
        <v>0</v>
      </c>
      <c r="BA333" s="437">
        <f t="shared" si="44"/>
        <v>0</v>
      </c>
      <c r="BB333" s="437">
        <f t="shared" si="45"/>
        <v>0</v>
      </c>
      <c r="BC333" s="437">
        <f t="shared" si="46"/>
        <v>0</v>
      </c>
      <c r="BD333" s="437">
        <f t="shared" si="47"/>
        <v>0</v>
      </c>
      <c r="BE333" s="437"/>
    </row>
    <row r="334" spans="1:57" ht="51.75" customHeight="1" thickBot="1">
      <c r="A334" s="358" t="s">
        <v>579</v>
      </c>
      <c r="B334" s="346" t="s">
        <v>580</v>
      </c>
      <c r="C334" s="383" t="s">
        <v>212</v>
      </c>
      <c r="D334" s="7">
        <v>55.99</v>
      </c>
      <c r="E334" s="353"/>
      <c r="F334" s="22">
        <f t="shared" si="41"/>
        <v>0</v>
      </c>
      <c r="G334" s="329"/>
      <c r="H334" s="330">
        <f t="shared" si="42"/>
        <v>0</v>
      </c>
      <c r="I334" s="430"/>
      <c r="J334" s="430"/>
      <c r="K334" s="431"/>
      <c r="L334" s="431"/>
      <c r="M334" s="431"/>
      <c r="N334" s="431"/>
      <c r="O334" s="431"/>
      <c r="P334" s="430"/>
      <c r="Q334" s="431"/>
      <c r="R334" s="431"/>
      <c r="S334" s="431"/>
      <c r="T334" s="431"/>
      <c r="U334" s="431"/>
      <c r="V334" s="431"/>
      <c r="W334" s="430"/>
      <c r="X334" s="431"/>
      <c r="Y334" s="431"/>
      <c r="Z334" s="431"/>
      <c r="AA334" s="431"/>
      <c r="AB334" s="431"/>
      <c r="AC334" s="431"/>
      <c r="AD334" s="430"/>
      <c r="AE334" s="431"/>
      <c r="AF334" s="431"/>
      <c r="AG334" s="431"/>
      <c r="AH334" s="431"/>
      <c r="AI334" s="431"/>
      <c r="AJ334" s="431"/>
      <c r="AK334" s="430"/>
      <c r="AL334" s="431"/>
      <c r="AM334" s="431"/>
      <c r="AN334" s="432"/>
      <c r="AQ334" s="436"/>
      <c r="AR334" s="436"/>
      <c r="AS334" s="436"/>
      <c r="AT334" s="436"/>
      <c r="AU334" s="436"/>
      <c r="AV334" s="436"/>
      <c r="AW334" s="396">
        <f t="shared" si="43"/>
        <v>0</v>
      </c>
      <c r="AX334" s="434">
        <f t="shared" si="40"/>
        <v>0</v>
      </c>
      <c r="BA334" s="437">
        <f t="shared" si="44"/>
        <v>0</v>
      </c>
      <c r="BB334" s="437">
        <f t="shared" si="45"/>
        <v>0</v>
      </c>
      <c r="BC334" s="437">
        <f t="shared" si="46"/>
        <v>0</v>
      </c>
      <c r="BD334" s="437">
        <f t="shared" si="47"/>
        <v>0</v>
      </c>
      <c r="BE334" s="437"/>
    </row>
    <row r="335" spans="1:57" ht="51.75" customHeight="1" thickBot="1">
      <c r="A335" s="358" t="s">
        <v>581</v>
      </c>
      <c r="B335" s="346" t="s">
        <v>582</v>
      </c>
      <c r="C335" s="383" t="s">
        <v>212</v>
      </c>
      <c r="D335" s="7">
        <v>20.92</v>
      </c>
      <c r="E335" s="353"/>
      <c r="F335" s="22">
        <f t="shared" si="41"/>
        <v>0</v>
      </c>
      <c r="G335" s="329"/>
      <c r="H335" s="330">
        <f t="shared" si="42"/>
        <v>0</v>
      </c>
      <c r="I335" s="430"/>
      <c r="J335" s="430"/>
      <c r="K335" s="431"/>
      <c r="L335" s="431"/>
      <c r="M335" s="431"/>
      <c r="N335" s="431"/>
      <c r="O335" s="431"/>
      <c r="P335" s="430"/>
      <c r="Q335" s="431"/>
      <c r="R335" s="431"/>
      <c r="S335" s="431"/>
      <c r="T335" s="431"/>
      <c r="U335" s="431"/>
      <c r="V335" s="431"/>
      <c r="W335" s="430"/>
      <c r="X335" s="431"/>
      <c r="Y335" s="431"/>
      <c r="Z335" s="431"/>
      <c r="AA335" s="431"/>
      <c r="AB335" s="431"/>
      <c r="AC335" s="431"/>
      <c r="AD335" s="430"/>
      <c r="AE335" s="431"/>
      <c r="AF335" s="431"/>
      <c r="AG335" s="431"/>
      <c r="AH335" s="431"/>
      <c r="AI335" s="431"/>
      <c r="AJ335" s="431"/>
      <c r="AK335" s="430"/>
      <c r="AL335" s="431"/>
      <c r="AM335" s="431"/>
      <c r="AN335" s="432"/>
      <c r="AQ335" s="436"/>
      <c r="AR335" s="436"/>
      <c r="AS335" s="436"/>
      <c r="AT335" s="436"/>
      <c r="AU335" s="436"/>
      <c r="AV335" s="436"/>
      <c r="AW335" s="396">
        <f t="shared" si="43"/>
        <v>0</v>
      </c>
      <c r="AX335" s="434">
        <f t="shared" si="40"/>
        <v>0</v>
      </c>
      <c r="BA335" s="437">
        <f t="shared" si="44"/>
        <v>0</v>
      </c>
      <c r="BB335" s="437">
        <f t="shared" si="45"/>
        <v>0</v>
      </c>
      <c r="BC335" s="437">
        <f t="shared" si="46"/>
        <v>0</v>
      </c>
      <c r="BD335" s="437">
        <f t="shared" si="47"/>
        <v>0</v>
      </c>
      <c r="BE335" s="437"/>
    </row>
    <row r="336" spans="1:57" ht="51.75" customHeight="1" thickBot="1">
      <c r="A336" s="358" t="s">
        <v>583</v>
      </c>
      <c r="B336" s="346" t="s">
        <v>584</v>
      </c>
      <c r="C336" s="383" t="s">
        <v>212</v>
      </c>
      <c r="D336" s="7">
        <v>22.39</v>
      </c>
      <c r="E336" s="353"/>
      <c r="F336" s="22">
        <f t="shared" si="41"/>
        <v>0</v>
      </c>
      <c r="G336" s="329"/>
      <c r="H336" s="330">
        <f t="shared" si="42"/>
        <v>0</v>
      </c>
      <c r="I336" s="430"/>
      <c r="J336" s="430"/>
      <c r="K336" s="431"/>
      <c r="L336" s="431"/>
      <c r="M336" s="431"/>
      <c r="N336" s="431"/>
      <c r="O336" s="431"/>
      <c r="P336" s="430"/>
      <c r="Q336" s="431"/>
      <c r="R336" s="431"/>
      <c r="S336" s="431"/>
      <c r="T336" s="431"/>
      <c r="U336" s="431"/>
      <c r="V336" s="431"/>
      <c r="W336" s="430"/>
      <c r="X336" s="431"/>
      <c r="Y336" s="431"/>
      <c r="Z336" s="431"/>
      <c r="AA336" s="431"/>
      <c r="AB336" s="431"/>
      <c r="AC336" s="431"/>
      <c r="AD336" s="430"/>
      <c r="AE336" s="431"/>
      <c r="AF336" s="431"/>
      <c r="AG336" s="431"/>
      <c r="AH336" s="431"/>
      <c r="AI336" s="431"/>
      <c r="AJ336" s="431"/>
      <c r="AK336" s="430"/>
      <c r="AL336" s="431"/>
      <c r="AM336" s="431"/>
      <c r="AN336" s="432"/>
      <c r="AQ336" s="436"/>
      <c r="AR336" s="436"/>
      <c r="AS336" s="436"/>
      <c r="AT336" s="436"/>
      <c r="AU336" s="436"/>
      <c r="AV336" s="436"/>
      <c r="AW336" s="396">
        <f t="shared" si="43"/>
        <v>0</v>
      </c>
      <c r="AX336" s="434">
        <f t="shared" si="40"/>
        <v>0</v>
      </c>
      <c r="BA336" s="437">
        <f t="shared" si="44"/>
        <v>0</v>
      </c>
      <c r="BB336" s="437">
        <f t="shared" si="45"/>
        <v>0</v>
      </c>
      <c r="BC336" s="437">
        <f t="shared" si="46"/>
        <v>0</v>
      </c>
      <c r="BD336" s="437">
        <f t="shared" si="47"/>
        <v>0</v>
      </c>
      <c r="BE336" s="437"/>
    </row>
    <row r="337" spans="1:57" ht="51.75" customHeight="1" thickBot="1">
      <c r="A337" s="358" t="s">
        <v>585</v>
      </c>
      <c r="B337" s="346" t="s">
        <v>586</v>
      </c>
      <c r="C337" s="383" t="s">
        <v>212</v>
      </c>
      <c r="D337" s="7">
        <v>25.71</v>
      </c>
      <c r="E337" s="353"/>
      <c r="F337" s="22">
        <f t="shared" si="41"/>
        <v>0</v>
      </c>
      <c r="G337" s="329"/>
      <c r="H337" s="330">
        <f t="shared" si="42"/>
        <v>0</v>
      </c>
      <c r="I337" s="430"/>
      <c r="J337" s="430"/>
      <c r="K337" s="431"/>
      <c r="L337" s="431"/>
      <c r="M337" s="431"/>
      <c r="N337" s="431"/>
      <c r="O337" s="431"/>
      <c r="P337" s="430"/>
      <c r="Q337" s="431"/>
      <c r="R337" s="431"/>
      <c r="S337" s="431"/>
      <c r="T337" s="431"/>
      <c r="U337" s="431"/>
      <c r="V337" s="431"/>
      <c r="W337" s="430"/>
      <c r="X337" s="431"/>
      <c r="Y337" s="431"/>
      <c r="Z337" s="431"/>
      <c r="AA337" s="431"/>
      <c r="AB337" s="431"/>
      <c r="AC337" s="431"/>
      <c r="AD337" s="430"/>
      <c r="AE337" s="431"/>
      <c r="AF337" s="431"/>
      <c r="AG337" s="431"/>
      <c r="AH337" s="431"/>
      <c r="AI337" s="431"/>
      <c r="AJ337" s="431"/>
      <c r="AK337" s="430"/>
      <c r="AL337" s="431"/>
      <c r="AM337" s="431"/>
      <c r="AN337" s="432"/>
      <c r="AQ337" s="436"/>
      <c r="AR337" s="436"/>
      <c r="AS337" s="436"/>
      <c r="AT337" s="436"/>
      <c r="AU337" s="436"/>
      <c r="AV337" s="436"/>
      <c r="AW337" s="396">
        <f t="shared" si="43"/>
        <v>0</v>
      </c>
      <c r="AX337" s="434">
        <f t="shared" si="40"/>
        <v>0</v>
      </c>
      <c r="BA337" s="437">
        <f t="shared" si="44"/>
        <v>0</v>
      </c>
      <c r="BB337" s="437">
        <f t="shared" si="45"/>
        <v>0</v>
      </c>
      <c r="BC337" s="437">
        <f t="shared" si="46"/>
        <v>0</v>
      </c>
      <c r="BD337" s="437">
        <f t="shared" si="47"/>
        <v>0</v>
      </c>
      <c r="BE337" s="437"/>
    </row>
    <row r="338" spans="1:57" ht="51.75" customHeight="1" thickBot="1">
      <c r="A338" s="358" t="s">
        <v>587</v>
      </c>
      <c r="B338" s="346" t="s">
        <v>588</v>
      </c>
      <c r="C338" s="383" t="s">
        <v>212</v>
      </c>
      <c r="D338" s="7">
        <v>30.55</v>
      </c>
      <c r="E338" s="353"/>
      <c r="F338" s="22">
        <f t="shared" si="41"/>
        <v>0</v>
      </c>
      <c r="G338" s="329"/>
      <c r="H338" s="330">
        <f t="shared" si="42"/>
        <v>0</v>
      </c>
      <c r="I338" s="430"/>
      <c r="J338" s="430"/>
      <c r="K338" s="431"/>
      <c r="L338" s="431"/>
      <c r="M338" s="431"/>
      <c r="N338" s="431"/>
      <c r="O338" s="431"/>
      <c r="P338" s="430"/>
      <c r="Q338" s="431"/>
      <c r="R338" s="431"/>
      <c r="S338" s="431"/>
      <c r="T338" s="431"/>
      <c r="U338" s="431"/>
      <c r="V338" s="431"/>
      <c r="W338" s="430"/>
      <c r="X338" s="431"/>
      <c r="Y338" s="431"/>
      <c r="Z338" s="431"/>
      <c r="AA338" s="431"/>
      <c r="AB338" s="431"/>
      <c r="AC338" s="431"/>
      <c r="AD338" s="430"/>
      <c r="AE338" s="431"/>
      <c r="AF338" s="431"/>
      <c r="AG338" s="431"/>
      <c r="AH338" s="431"/>
      <c r="AI338" s="431"/>
      <c r="AJ338" s="431"/>
      <c r="AK338" s="430"/>
      <c r="AL338" s="431"/>
      <c r="AM338" s="431"/>
      <c r="AN338" s="432"/>
      <c r="AQ338" s="436"/>
      <c r="AR338" s="436"/>
      <c r="AS338" s="436"/>
      <c r="AT338" s="436"/>
      <c r="AU338" s="436"/>
      <c r="AV338" s="436"/>
      <c r="AW338" s="396">
        <f t="shared" si="43"/>
        <v>0</v>
      </c>
      <c r="AX338" s="434">
        <f t="shared" si="40"/>
        <v>0</v>
      </c>
      <c r="BA338" s="437">
        <f t="shared" si="44"/>
        <v>0</v>
      </c>
      <c r="BB338" s="437">
        <f t="shared" si="45"/>
        <v>0</v>
      </c>
      <c r="BC338" s="437">
        <f t="shared" si="46"/>
        <v>0</v>
      </c>
      <c r="BD338" s="437">
        <f t="shared" si="47"/>
        <v>0</v>
      </c>
      <c r="BE338" s="437"/>
    </row>
    <row r="339" spans="1:57" ht="51.75" customHeight="1" thickBot="1">
      <c r="A339" s="384" t="s">
        <v>791</v>
      </c>
      <c r="B339" s="24" t="s">
        <v>876</v>
      </c>
      <c r="C339" s="385" t="s">
        <v>212</v>
      </c>
      <c r="D339" s="20">
        <v>64</v>
      </c>
      <c r="E339" s="353"/>
      <c r="F339" s="22">
        <f t="shared" si="41"/>
        <v>0</v>
      </c>
      <c r="G339" s="329"/>
      <c r="H339" s="330">
        <f t="shared" si="42"/>
        <v>0</v>
      </c>
      <c r="I339" s="430"/>
      <c r="J339" s="430"/>
      <c r="K339" s="431"/>
      <c r="L339" s="431"/>
      <c r="M339" s="431"/>
      <c r="N339" s="431"/>
      <c r="O339" s="431"/>
      <c r="P339" s="430"/>
      <c r="Q339" s="431"/>
      <c r="R339" s="431"/>
      <c r="S339" s="431"/>
      <c r="T339" s="431"/>
      <c r="U339" s="431"/>
      <c r="V339" s="431"/>
      <c r="W339" s="430"/>
      <c r="X339" s="431"/>
      <c r="Y339" s="431"/>
      <c r="Z339" s="431"/>
      <c r="AA339" s="431"/>
      <c r="AB339" s="431"/>
      <c r="AC339" s="431"/>
      <c r="AD339" s="430"/>
      <c r="AE339" s="431"/>
      <c r="AF339" s="431"/>
      <c r="AG339" s="431"/>
      <c r="AH339" s="431"/>
      <c r="AI339" s="431"/>
      <c r="AJ339" s="431"/>
      <c r="AK339" s="430"/>
      <c r="AL339" s="431"/>
      <c r="AM339" s="431"/>
      <c r="AN339" s="432"/>
      <c r="AQ339" s="436"/>
      <c r="AR339" s="436"/>
      <c r="AS339" s="436"/>
      <c r="AT339" s="436"/>
      <c r="AU339" s="436"/>
      <c r="AV339" s="436"/>
      <c r="AW339" s="396">
        <f t="shared" si="43"/>
        <v>0</v>
      </c>
      <c r="AX339" s="434">
        <f t="shared" ref="AX339" si="48">G339-AW339</f>
        <v>0</v>
      </c>
      <c r="BA339" s="437">
        <f t="shared" si="44"/>
        <v>0</v>
      </c>
      <c r="BB339" s="437">
        <f t="shared" si="45"/>
        <v>0</v>
      </c>
      <c r="BC339" s="437">
        <f t="shared" si="46"/>
        <v>0</v>
      </c>
      <c r="BD339" s="437">
        <f t="shared" si="47"/>
        <v>0</v>
      </c>
      <c r="BE339" s="437"/>
    </row>
    <row r="340" spans="1:57" ht="51.75" customHeight="1">
      <c r="A340" s="386"/>
      <c r="B340" s="387"/>
      <c r="C340" s="388"/>
      <c r="D340" s="389"/>
      <c r="E340" s="390"/>
      <c r="F340" s="391">
        <f>SUM(F11:F339)+F10</f>
        <v>0</v>
      </c>
      <c r="G340" s="392"/>
      <c r="H340" s="391">
        <f>SUM(H11:H339)+H10</f>
        <v>0</v>
      </c>
      <c r="I340" s="347">
        <f>SUMPRODUCT(I10:I339,$D$10:$D$339)</f>
        <v>0</v>
      </c>
      <c r="J340" s="347">
        <f t="shared" ref="J340:AM340" si="49">SUMPRODUCT(J10:J339,$D$10:$D$339)</f>
        <v>0</v>
      </c>
      <c r="K340" s="348">
        <f t="shared" si="49"/>
        <v>0</v>
      </c>
      <c r="L340" s="348">
        <f t="shared" si="49"/>
        <v>0</v>
      </c>
      <c r="M340" s="348">
        <f t="shared" si="49"/>
        <v>0</v>
      </c>
      <c r="N340" s="348">
        <f t="shared" si="49"/>
        <v>0</v>
      </c>
      <c r="O340" s="348">
        <f t="shared" si="49"/>
        <v>0</v>
      </c>
      <c r="P340" s="347">
        <f t="shared" si="49"/>
        <v>0</v>
      </c>
      <c r="Q340" s="348">
        <f t="shared" si="49"/>
        <v>0</v>
      </c>
      <c r="R340" s="348">
        <f t="shared" si="49"/>
        <v>0</v>
      </c>
      <c r="S340" s="348">
        <f t="shared" si="49"/>
        <v>0</v>
      </c>
      <c r="T340" s="348">
        <f t="shared" si="49"/>
        <v>0</v>
      </c>
      <c r="U340" s="348">
        <f t="shared" si="49"/>
        <v>0</v>
      </c>
      <c r="V340" s="348">
        <f t="shared" si="49"/>
        <v>0</v>
      </c>
      <c r="W340" s="347">
        <f t="shared" si="49"/>
        <v>0</v>
      </c>
      <c r="X340" s="348">
        <f t="shared" si="49"/>
        <v>0</v>
      </c>
      <c r="Y340" s="348">
        <f t="shared" si="49"/>
        <v>0</v>
      </c>
      <c r="Z340" s="348">
        <f t="shared" si="49"/>
        <v>0</v>
      </c>
      <c r="AA340" s="348">
        <f t="shared" si="49"/>
        <v>0</v>
      </c>
      <c r="AB340" s="348">
        <f t="shared" si="49"/>
        <v>0</v>
      </c>
      <c r="AC340" s="348">
        <f t="shared" si="49"/>
        <v>0</v>
      </c>
      <c r="AD340" s="347">
        <f t="shared" si="49"/>
        <v>0</v>
      </c>
      <c r="AE340" s="348">
        <f t="shared" si="49"/>
        <v>0</v>
      </c>
      <c r="AF340" s="348">
        <f t="shared" si="49"/>
        <v>0</v>
      </c>
      <c r="AG340" s="348">
        <f t="shared" si="49"/>
        <v>0</v>
      </c>
      <c r="AH340" s="348">
        <f t="shared" si="49"/>
        <v>0</v>
      </c>
      <c r="AI340" s="348">
        <f t="shared" si="49"/>
        <v>0</v>
      </c>
      <c r="AJ340" s="348">
        <f t="shared" si="49"/>
        <v>0</v>
      </c>
      <c r="AK340" s="347">
        <f t="shared" si="49"/>
        <v>0</v>
      </c>
      <c r="AL340" s="348">
        <f t="shared" si="49"/>
        <v>0</v>
      </c>
      <c r="AM340" s="348">
        <f t="shared" si="49"/>
        <v>0</v>
      </c>
      <c r="AO340" s="439"/>
      <c r="AQ340" s="440">
        <f>SUMPRODUCT($AQ$10:$AQ$339,$D$10:$D$339)</f>
        <v>0</v>
      </c>
      <c r="AR340" s="440">
        <f>SUMPRODUCT($AR$10:$AR$339,$D$10:$D$339)</f>
        <v>0</v>
      </c>
      <c r="AS340" s="440">
        <f>SUMPRODUCT($AS$10:$AS$339,$D$10:$D$339)</f>
        <v>0</v>
      </c>
      <c r="AT340" s="440">
        <f>SUMPRODUCT($AT$10:$AT$339,$D$10:$D$339)</f>
        <v>0</v>
      </c>
      <c r="AU340" s="440">
        <f>SUMPRODUCT($AU$10:$AU$339,$D$10:$D$339)</f>
        <v>0</v>
      </c>
      <c r="AV340" s="440">
        <f>SUMPRODUCT($AV$10:$AV$339,$D$10:$D$339)</f>
        <v>0</v>
      </c>
      <c r="AW340" s="441">
        <f>H18</f>
        <v>0</v>
      </c>
      <c r="AX340" s="442">
        <f>AR340+AT340+AV340+AW340</f>
        <v>0</v>
      </c>
    </row>
    <row r="341" spans="1:57" ht="51.75" customHeight="1">
      <c r="A341" s="443"/>
      <c r="B341" s="444"/>
      <c r="C341" s="445"/>
      <c r="D341" s="446"/>
      <c r="E341" s="447"/>
      <c r="F341" s="447"/>
      <c r="G341" s="446"/>
      <c r="H341" s="446"/>
      <c r="I341" s="448"/>
      <c r="J341" s="449"/>
      <c r="K341" s="450"/>
      <c r="L341" s="450"/>
      <c r="M341" s="450"/>
      <c r="N341" s="450"/>
      <c r="O341" s="450"/>
      <c r="P341" s="448"/>
      <c r="Q341" s="450"/>
      <c r="R341" s="450"/>
      <c r="S341" s="450"/>
      <c r="T341" s="450"/>
      <c r="U341" s="450"/>
      <c r="V341" s="450"/>
      <c r="W341" s="448"/>
      <c r="X341" s="450"/>
      <c r="Y341" s="450"/>
      <c r="Z341" s="450"/>
      <c r="AA341" s="450"/>
      <c r="AB341" s="450"/>
      <c r="AC341" s="450"/>
      <c r="AD341" s="448"/>
      <c r="AE341" s="450"/>
      <c r="AF341" s="450"/>
      <c r="AG341" s="450"/>
      <c r="AH341" s="450"/>
      <c r="AI341" s="450"/>
      <c r="AJ341" s="450"/>
      <c r="AK341" s="448"/>
      <c r="AL341" s="450"/>
      <c r="AM341" s="450"/>
      <c r="AV341" s="451">
        <f>F18/31</f>
        <v>0</v>
      </c>
      <c r="AW341" s="451"/>
      <c r="AX341" s="452">
        <f>H340-AX340</f>
        <v>0</v>
      </c>
    </row>
    <row r="343" spans="1:57" ht="15.6">
      <c r="E343" s="462" t="s">
        <v>877</v>
      </c>
      <c r="F343" s="463"/>
      <c r="G343" s="349">
        <f>IFERROR(H340/F340,0)</f>
        <v>0</v>
      </c>
    </row>
    <row r="344" spans="1:57" ht="15.6">
      <c r="E344" s="453"/>
      <c r="F344" s="453"/>
      <c r="G344" s="454"/>
      <c r="H344" s="432"/>
    </row>
    <row r="345" spans="1:57">
      <c r="E345" s="458" t="s">
        <v>589</v>
      </c>
      <c r="F345" s="458"/>
      <c r="G345" s="455">
        <v>0</v>
      </c>
      <c r="H345" s="456"/>
      <c r="AU345" s="457"/>
    </row>
    <row r="346" spans="1:57">
      <c r="H346" s="432"/>
    </row>
  </sheetData>
  <autoFilter ref="A9:WWV341" xr:uid="{00000000-0009-0000-0000-000000000000}"/>
  <mergeCells count="7">
    <mergeCell ref="AU8:AV8"/>
    <mergeCell ref="E343:F343"/>
    <mergeCell ref="E345:F345"/>
    <mergeCell ref="E8:F8"/>
    <mergeCell ref="G8:H8"/>
    <mergeCell ref="AQ8:AR8"/>
    <mergeCell ref="AS8:AT8"/>
  </mergeCells>
  <phoneticPr fontId="202" type="noConversion"/>
  <conditionalFormatting sqref="D95:D98">
    <cfRule type="cellIs" dxfId="7" priority="8" stopIfTrue="1" operator="equal">
      <formula>#REF!</formula>
    </cfRule>
  </conditionalFormatting>
  <conditionalFormatting sqref="D220">
    <cfRule type="cellIs" dxfId="6" priority="4" stopIfTrue="1" operator="equal">
      <formula>#REF!</formula>
    </cfRule>
  </conditionalFormatting>
  <conditionalFormatting sqref="D339:E339">
    <cfRule type="cellIs" dxfId="5" priority="6" stopIfTrue="1" operator="equal">
      <formula>#REF!</formula>
    </cfRule>
  </conditionalFormatting>
  <conditionalFormatting sqref="D10:H341">
    <cfRule type="cellIs" dxfId="4" priority="9" stopIfTrue="1" operator="equal">
      <formula>#REF!</formula>
    </cfRule>
  </conditionalFormatting>
  <conditionalFormatting sqref="E10:F339">
    <cfRule type="cellIs" dxfId="3" priority="7" stopIfTrue="1" operator="equal">
      <formula>#REF!</formula>
    </cfRule>
  </conditionalFormatting>
  <conditionalFormatting sqref="F340">
    <cfRule type="cellIs" dxfId="2" priority="3" stopIfTrue="1" operator="equal">
      <formula>#REF!</formula>
    </cfRule>
  </conditionalFormatting>
  <conditionalFormatting sqref="G339:H339">
    <cfRule type="cellIs" dxfId="1" priority="5" stopIfTrue="1" operator="equal">
      <formula>#REF!</formula>
    </cfRule>
  </conditionalFormatting>
  <conditionalFormatting sqref="H340">
    <cfRule type="cellIs" dxfId="0" priority="2" stopIfTrue="1" operator="equal">
      <formula>#REF!</formula>
    </cfRule>
  </conditionalFormatting>
  <pageMargins left="0.75" right="0.75" top="1" bottom="1" header="0.5" footer="0.5"/>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Plant utilization</vt:lpstr>
      <vt:lpstr>Manpower utilization</vt:lpstr>
      <vt:lpstr>SUMMARY</vt:lpstr>
      <vt:lpstr>Daily Deployment</vt:lpstr>
      <vt:lpstr>DPR</vt:lpstr>
      <vt:lpstr>'Manpower utilization'!Print_Area</vt:lpstr>
      <vt:lpstr>'Plant utilization'!Print_Area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2026-04-21T15:13:12Z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W_App_Wid" linkTarget="Prop_CW_App_Wid">
    <vt:r8>6.15056393720018E-318</vt:r8>
  </property>
  <property fmtid="{D5CDD505-2E9C-101B-9397-08002B2CF9AE}" pid="3" name="CW_Wid" linkTarget="Prop_CW_Wid">
    <vt:r8>0</vt:r8>
  </property>
  <property fmtid="{D5CDD505-2E9C-101B-9397-08002B2CF9AE}" pid="4" name="Matl_Rate" linkTarget="Prop_Matl_Rate">
    <vt:r8>0</vt:r8>
  </property>
  <property fmtid="{D5CDD505-2E9C-101B-9397-08002B2CF9AE}" pid="5" name="MD_Rate" linkTarget="Prop_MD_Rate">
    <vt:r8>0</vt:r8>
  </property>
  <property fmtid="{D5CDD505-2E9C-101B-9397-08002B2CF9AE}" pid="6" name="Total_Matl" linkTarget="Prop_Total_Matl">
    <vt:r8>0</vt:r8>
  </property>
  <property fmtid="{D5CDD505-2E9C-101B-9397-08002B2CF9AE}" pid="7" name="Total_MD" linkTarget="Prop_Total_MD">
    <vt:r8>0</vt:r8>
  </property>
</Properties>
</file>