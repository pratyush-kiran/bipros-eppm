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rooj\AIC\Formats\Concrete\"/>
    </mc:Choice>
  </mc:AlternateContent>
  <xr:revisionPtr revIDLastSave="0" documentId="13_ncr:1_{5A0F6967-E18C-43CF-8E43-8B1AE4354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Lima" sheetId="1" r:id="rId2"/>
  </sheets>
  <calcPr calcId="191029"/>
  <pivotCaches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ulUNc9lDZnqiuQhr+8KUdcxggeRIZus4+GIWFeTlFo="/>
    </ext>
  </extLst>
</workbook>
</file>

<file path=xl/calcChain.xml><?xml version="1.0" encoding="utf-8"?>
<calcChain xmlns="http://schemas.openxmlformats.org/spreadsheetml/2006/main">
  <c r="B6" i="1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5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N613" i="1"/>
  <c r="O608" i="1"/>
</calcChain>
</file>

<file path=xl/sharedStrings.xml><?xml version="1.0" encoding="utf-8"?>
<sst xmlns="http://schemas.openxmlformats.org/spreadsheetml/2006/main" count="1183" uniqueCount="182">
  <si>
    <t>Sl. No.</t>
  </si>
  <si>
    <t>Date</t>
  </si>
  <si>
    <t>Location / Chainage</t>
  </si>
  <si>
    <t>Structure</t>
  </si>
  <si>
    <t>Element</t>
  </si>
  <si>
    <t>Grade</t>
  </si>
  <si>
    <r>
      <rPr>
        <sz val="10"/>
        <color theme="1"/>
        <rFont val="Calibri"/>
        <family val="2"/>
      </rPr>
      <t>Quantity (m</t>
    </r>
    <r>
      <rPr>
        <vertAlign val="superscript"/>
        <sz val="10"/>
        <color theme="1"/>
        <rFont val="Calibri"/>
        <family val="2"/>
      </rPr>
      <t>3</t>
    </r>
    <r>
      <rPr>
        <sz val="10"/>
        <color theme="1"/>
        <rFont val="Calibri"/>
        <family val="2"/>
      </rPr>
      <t>)</t>
    </r>
  </si>
  <si>
    <t>Slump</t>
  </si>
  <si>
    <t>Temperature</t>
  </si>
  <si>
    <t>Plant</t>
  </si>
  <si>
    <t>Section</t>
  </si>
  <si>
    <t>Month</t>
  </si>
  <si>
    <t>Box Culvert</t>
  </si>
  <si>
    <t>Blinding</t>
  </si>
  <si>
    <t>C15</t>
  </si>
  <si>
    <t>SCC KM47</t>
  </si>
  <si>
    <t>Utility Duct</t>
  </si>
  <si>
    <t>C25</t>
  </si>
  <si>
    <t>C35</t>
  </si>
  <si>
    <t>-</t>
  </si>
  <si>
    <t>Retaining Wall</t>
  </si>
  <si>
    <t>Concrete Barrier</t>
  </si>
  <si>
    <t>Wing Wall</t>
  </si>
  <si>
    <t>Wall &amp; Top Slab</t>
  </si>
  <si>
    <t>OBB Duct</t>
  </si>
  <si>
    <t>C30</t>
  </si>
  <si>
    <t>Wall,Top slab &amp; Headwall</t>
  </si>
  <si>
    <t>Unit-02</t>
  </si>
  <si>
    <t>Unit - 04</t>
  </si>
  <si>
    <t>Base Slab</t>
  </si>
  <si>
    <t>Unit-01</t>
  </si>
  <si>
    <t>Wall,Top slab</t>
  </si>
  <si>
    <t>Apron Slab including Cutoff Wall</t>
  </si>
  <si>
    <t>Apron Slab</t>
  </si>
  <si>
    <t>Unit - 06</t>
  </si>
  <si>
    <t>Unit-03</t>
  </si>
  <si>
    <t>SCC  Lima</t>
  </si>
  <si>
    <t xml:space="preserve">Base Slab </t>
  </si>
  <si>
    <t>inlet side</t>
  </si>
  <si>
    <t>outlet side</t>
  </si>
  <si>
    <t>Row Labels</t>
  </si>
  <si>
    <t>Sum of Quantity (m3)</t>
  </si>
  <si>
    <t>Grand Total</t>
  </si>
  <si>
    <t xml:space="preserve">Apron Slab </t>
  </si>
  <si>
    <t>Wingwall</t>
  </si>
  <si>
    <t>Type E (in situ)</t>
  </si>
  <si>
    <t>Blinding (Apron Slab)</t>
  </si>
  <si>
    <t>Wall &amp; Top slab</t>
  </si>
  <si>
    <t>RW Wall (Segment-32 &amp; 34)</t>
  </si>
  <si>
    <t>wingwall</t>
  </si>
  <si>
    <t>RW Wall (Segment-27 &amp; 29)</t>
  </si>
  <si>
    <t>Concrete Encasement (Future Duct)</t>
  </si>
  <si>
    <t>Concrete Encasement (OBB Road Cross)</t>
  </si>
  <si>
    <t>Concrete Encasement (Existing Electric Cable)</t>
  </si>
  <si>
    <t>Unit-05</t>
  </si>
  <si>
    <t>inlet &amp; outlet side</t>
  </si>
  <si>
    <t>unit-04</t>
  </si>
  <si>
    <t>unit-02</t>
  </si>
  <si>
    <t>RW Wall (Segment-31)</t>
  </si>
  <si>
    <t>RW Wall (Segment-33)</t>
  </si>
  <si>
    <t>Blinding (Shear Key Bottom)</t>
  </si>
  <si>
    <t>43+275 to 43+292</t>
  </si>
  <si>
    <t>Cast in situ</t>
  </si>
  <si>
    <t>20+700 to 20+790</t>
  </si>
  <si>
    <t>including shear key wall</t>
  </si>
  <si>
    <t>Blinding concrete (Shear Key Wall)</t>
  </si>
  <si>
    <t>Base Slab(Segmennt 1&amp;3)</t>
  </si>
  <si>
    <t>29+765 to 29+775.2&amp;29+785.39 to 29+795.59</t>
  </si>
  <si>
    <t>Blinding concrete (including catchpit portion)</t>
  </si>
  <si>
    <t>Base Slab (inculding Shear Key</t>
  </si>
  <si>
    <t xml:space="preserve">Blinding concrete </t>
  </si>
  <si>
    <t>Apron Slab Blinding(Inlet &amp; outlet)</t>
  </si>
  <si>
    <t>43+275 to 43+293 LHS</t>
  </si>
  <si>
    <t>Wall</t>
  </si>
  <si>
    <t>29+805.78 to 29+815.94 RHS</t>
  </si>
  <si>
    <t>Base Slab &amp; wall (Segment 5,6,2,35 &amp; 1)</t>
  </si>
  <si>
    <t>Blinding Concrete</t>
  </si>
  <si>
    <t>inletside</t>
  </si>
  <si>
    <t>20+700 to 20+790 LHS</t>
  </si>
  <si>
    <t>Wall &amp; Base Slab (Seg 3&amp;4 )</t>
  </si>
  <si>
    <t>Base Slab ( Seg 8 &amp; 10 )</t>
  </si>
  <si>
    <t>Top slab &amp; Headwall</t>
  </si>
  <si>
    <t>inletside, outletside</t>
  </si>
  <si>
    <t xml:space="preserve">Top slab &amp; OBB Champer </t>
  </si>
  <si>
    <t xml:space="preserve"> OBB Champer </t>
  </si>
  <si>
    <t xml:space="preserve">29+775.2 to 29+785.39 </t>
  </si>
  <si>
    <t>seg 2&amp; 5</t>
  </si>
  <si>
    <t>unit 2 outletside</t>
  </si>
  <si>
    <t>inculuding cut off wall</t>
  </si>
  <si>
    <t>outletside</t>
  </si>
  <si>
    <t>Blinding Concrete Apron Slab</t>
  </si>
  <si>
    <t>Wall,Base slab</t>
  </si>
  <si>
    <t>29+847.80 to 29+858.45</t>
  </si>
  <si>
    <t xml:space="preserve">Catchpit Base Slab </t>
  </si>
  <si>
    <t>Apron Slab Blinding Concrete</t>
  </si>
  <si>
    <t xml:space="preserve">29+826.27&amp; 29+795.59 to 29+805.78 </t>
  </si>
  <si>
    <t>seg 4&amp;6</t>
  </si>
  <si>
    <t>Catchpit wall</t>
  </si>
  <si>
    <t>Wing Wall &amp; Apron Slab</t>
  </si>
  <si>
    <t xml:space="preserve">20+770 TO 20+780 RHS </t>
  </si>
  <si>
    <t xml:space="preserve">Wall,Top slab </t>
  </si>
  <si>
    <t>Permeable Backfilling</t>
  </si>
  <si>
    <t>Outletside</t>
  </si>
  <si>
    <t>20+720 to 20+730</t>
  </si>
  <si>
    <t>20+750 to 20+760 RHS</t>
  </si>
  <si>
    <t>Apron Slab &amp; Wing Wall</t>
  </si>
  <si>
    <t>29+858.45 to 29+869.55</t>
  </si>
  <si>
    <t>seg 10</t>
  </si>
  <si>
    <t>43+272 to 291</t>
  </si>
  <si>
    <t>43+495 to 43+610</t>
  </si>
  <si>
    <t>29+826.27 to 29+836.80</t>
  </si>
  <si>
    <t>29+869.55 to 29+880.65</t>
  </si>
  <si>
    <t>seg 7&amp;11</t>
  </si>
  <si>
    <t>43+515 to 43+525 LHS</t>
  </si>
  <si>
    <t>43+515 TO 43+525</t>
  </si>
  <si>
    <t xml:space="preserve">20+730 to 20+740 RHS </t>
  </si>
  <si>
    <t xml:space="preserve">20+700 to 20+710 </t>
  </si>
  <si>
    <t>Including apron Slan and Cutoff Wall (inletside)</t>
  </si>
  <si>
    <t>43+535 to 43+545</t>
  </si>
  <si>
    <t>43+555 to 43+565</t>
  </si>
  <si>
    <t>43+495 to 505</t>
  </si>
  <si>
    <t>29+880 to15 to 29+891.84</t>
  </si>
  <si>
    <t>43+505 to 515, 43+525 to 535</t>
  </si>
  <si>
    <t>43+545 to 555, 43+565 to 575</t>
  </si>
  <si>
    <t>Drainage Catchpit Base Slab</t>
  </si>
  <si>
    <t>43+600 to 610 and 43+505 to 515</t>
  </si>
  <si>
    <t>seg 17 to 35</t>
  </si>
  <si>
    <t>43+850 to 43+600 43+850 to 43+860</t>
  </si>
  <si>
    <t>43+515 to 43+525</t>
  </si>
  <si>
    <t>43+870 to 43+880 43+890 to 900</t>
  </si>
  <si>
    <t>Seg 9&amp;11</t>
  </si>
  <si>
    <t xml:space="preserve">Apron Slab Inculuding Cutoff Wall </t>
  </si>
  <si>
    <t>Base Slab &amp; Top Slap</t>
  </si>
  <si>
    <t>28+860</t>
  </si>
  <si>
    <t>43+930 to 940</t>
  </si>
  <si>
    <t>43+555 to 565</t>
  </si>
  <si>
    <t>43+575 to 43+585</t>
  </si>
  <si>
    <t>Apron Slab Inculuding Catchpit Wall</t>
  </si>
  <si>
    <t>Blinding Concrete Inculuding Catchpit Wall</t>
  </si>
  <si>
    <t>wing Wall</t>
  </si>
  <si>
    <t xml:space="preserve">Wall &amp; Top slab Including Head Wall </t>
  </si>
  <si>
    <t>Unit 1</t>
  </si>
  <si>
    <t>48+790 to 895 Lhs</t>
  </si>
  <si>
    <t>48+790 to 895 RHS</t>
  </si>
  <si>
    <t>48+790 TO 800</t>
  </si>
  <si>
    <t>48+810 TO 820 RHS</t>
  </si>
  <si>
    <t>Catchpit wall and Apro slab outletside</t>
  </si>
  <si>
    <t>34+183</t>
  </si>
  <si>
    <t>unit 1&amp;2</t>
  </si>
  <si>
    <t>48+800 to 810, 48+820 to 830</t>
  </si>
  <si>
    <t>48+840 to 850</t>
  </si>
  <si>
    <t xml:space="preserve">Blinding concrete Inculuding Catchpit &amp; Drainage </t>
  </si>
  <si>
    <t>48+850 to 860 , 48+865 to 875 RHS</t>
  </si>
  <si>
    <t>unit 3&amp;4</t>
  </si>
  <si>
    <t>Blinding concrete</t>
  </si>
  <si>
    <t>Apron slab</t>
  </si>
  <si>
    <t>Wing Wall &amp; inlet Side</t>
  </si>
  <si>
    <t xml:space="preserve">Base Slab including Catchpit </t>
  </si>
  <si>
    <t>Top Slab and Head wall</t>
  </si>
  <si>
    <t>Blinding concrete including Catchpit Wall</t>
  </si>
  <si>
    <t>inlet &amp; outletside</t>
  </si>
  <si>
    <t>42+780 to 790,42+870 to 880 ,42+910to920</t>
  </si>
  <si>
    <t>43+355 to 405 Lhs</t>
  </si>
  <si>
    <t xml:space="preserve">42840 to 850, 42+880 to 890 </t>
  </si>
  <si>
    <t>20+710 to 720 ,RHS &amp;LHS</t>
  </si>
  <si>
    <t xml:space="preserve">Wing Wall </t>
  </si>
  <si>
    <t>outlet</t>
  </si>
  <si>
    <t>Future Duct</t>
  </si>
  <si>
    <t>inlet &amp;outletside</t>
  </si>
  <si>
    <t>Drainage</t>
  </si>
  <si>
    <t xml:space="preserve">Ditch Lining </t>
  </si>
  <si>
    <t>Top Slab &amp; Head Wall</t>
  </si>
  <si>
    <t>CatchPit wall</t>
  </si>
  <si>
    <t>Inletside</t>
  </si>
  <si>
    <t xml:space="preserve">34+277 </t>
  </si>
  <si>
    <t>45+760 to 770, 780,790 lhs</t>
  </si>
  <si>
    <t>Apr  26</t>
  </si>
  <si>
    <t>Dec  25</t>
  </si>
  <si>
    <t>Feb  26</t>
  </si>
  <si>
    <t>Jan  26</t>
  </si>
  <si>
    <t>Mar  26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</si>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</sst>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"/>
    <numFmt numFmtId="165" formatCode="00\+0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im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Chandra" refreshedDate="46147.403568981485" createdVersion="8" refreshedVersion="8" minRefreshableVersion="3" recordCount="795" xr:uid="{DB95D5FC-F000-4EC7-9A4D-C0785410768A}">
  <cacheSource type="worksheet">
    <worksheetSource name="Table_1"/>
  </cacheSource>
  <cacheFields count="12">
    <cacheField name="Sl. No." numFmtId="0">
      <sharedItems containsString="0" containsBlank="1" containsNumber="1" containsInteger="1" minValue="1" maxValue="254"/>
    </cacheField>
    <cacheField name="Date" numFmtId="0">
      <sharedItems containsNonDate="0" containsDate="1" containsString="0" containsBlank="1" minDate="2025-12-01T00:00:00" maxDate="2026-04-30T00:00:00"/>
    </cacheField>
    <cacheField name="Location / Chainage" numFmtId="0">
      <sharedItems containsString="0" containsBlank="1" containsNumber="1" minValue="20700" maxValue="49395"/>
    </cacheField>
    <cacheField name="Structure" numFmtId="0">
      <sharedItems containsBlank="1"/>
    </cacheField>
    <cacheField name="Element" numFmtId="0">
      <sharedItems containsBlank="1"/>
    </cacheField>
    <cacheField name="Grade" numFmtId="0">
      <sharedItems containsBlank="1"/>
    </cacheField>
    <cacheField name="Quantity (m3)" numFmtId="0">
      <sharedItems containsBlank="1" containsMixedTypes="1" containsNumber="1" minValue="1.5" maxValue="270"/>
    </cacheField>
    <cacheField name="Slump" numFmtId="0">
      <sharedItems containsBlank="1" containsMixedTypes="1" containsNumber="1" containsInteger="1" minValue="1" maxValue="25"/>
    </cacheField>
    <cacheField name="Temperature" numFmtId="0">
      <sharedItems containsBlank="1" containsMixedTypes="1" containsNumber="1" containsInteger="1" minValue="1" maxValue="25"/>
    </cacheField>
    <cacheField name="Plant" numFmtId="0">
      <sharedItems containsBlank="1"/>
    </cacheField>
    <cacheField name="Section" numFmtId="0">
      <sharedItems containsBlank="1"/>
    </cacheField>
    <cacheField name="Month" numFmtId="0">
      <sharedItems containsBlank="1" count="17">
        <s v="Dec  25"/>
        <s v="Jan  26"/>
        <s v="Feb  26"/>
        <s v="Mar  26"/>
        <s v="Apr  26"/>
        <s v=""/>
        <m/>
        <s v="Feb  25" u="1"/>
        <s v="Mar  25" u="1"/>
        <s v="Apr  25" u="1"/>
        <s v="May  25" u="1"/>
        <s v="Jun  25" u="1"/>
        <s v="Jul  25" u="1"/>
        <s v="Aug  25" u="1"/>
        <s v="Sep  25" u="1"/>
        <s v="Oct  25" u="1"/>
        <s v="Nov  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5">
  <r>
    <n v="1"/>
    <d v="2025-12-01T00:00:00"/>
    <n v="47147"/>
    <s v="Box Culvert"/>
    <s v="Wall &amp; Top slab"/>
    <s v="C35"/>
    <n v="124"/>
    <n v="12"/>
    <n v="12"/>
    <s v="SCC KM47"/>
    <s v="Lima"/>
    <x v="0"/>
  </r>
  <r>
    <n v="2"/>
    <d v="2025-12-02T00:00:00"/>
    <n v="29035.572"/>
    <s v="Retaining Wall"/>
    <s v="RW Wall (Segment-32 &amp; 34)"/>
    <s v="C30"/>
    <n v="60"/>
    <n v="6"/>
    <n v="6"/>
    <s v="SCC  Lima"/>
    <s v="Lima"/>
    <x v="0"/>
  </r>
  <r>
    <n v="3"/>
    <d v="2025-12-02T00:00:00"/>
    <n v="35913"/>
    <s v="Box Culvert"/>
    <s v="Blinding (Apron Slab)"/>
    <s v="C15"/>
    <n v="12.5"/>
    <n v="2"/>
    <n v="2"/>
    <s v="SCC  Lima"/>
    <s v="Lima"/>
    <x v="0"/>
  </r>
  <r>
    <n v="4"/>
    <d v="2025-12-02T00:00:00"/>
    <n v="38936"/>
    <s v="Box Culvert"/>
    <s v="Blinding (Apron Slab)"/>
    <s v="C15"/>
    <s v="-"/>
    <s v="-"/>
    <s v="-"/>
    <s v="SCC  Lima"/>
    <s v="Lima"/>
    <x v="0"/>
  </r>
  <r>
    <n v="5"/>
    <d v="2025-12-02T00:00:00"/>
    <n v="46421"/>
    <s v="Box Culvert"/>
    <s v="Apron Slab"/>
    <s v="C35"/>
    <n v="44.5"/>
    <n v="5"/>
    <n v="5"/>
    <s v="SCC  Lima"/>
    <s v="Lima"/>
    <x v="0"/>
  </r>
  <r>
    <n v="6"/>
    <d v="2025-12-03T00:00:00"/>
    <n v="47786"/>
    <s v="Box Culvert"/>
    <s v="Wall,Top slab &amp; Headwall"/>
    <s v="C35"/>
    <n v="121"/>
    <n v="12"/>
    <n v="12"/>
    <s v="SCC KM47"/>
    <s v="Lima"/>
    <x v="0"/>
  </r>
  <r>
    <n v="7"/>
    <d v="2025-12-03T00:00:00"/>
    <n v="47786"/>
    <s v="Box Culvert"/>
    <s v="wingwall"/>
    <s v="C35"/>
    <s v="-"/>
    <s v="-"/>
    <s v="-"/>
    <s v="SCC KM47"/>
    <s v="Lima"/>
    <x v="0"/>
  </r>
  <r>
    <n v="8"/>
    <d v="2025-12-06T00:00:00"/>
    <n v="35913"/>
    <s v="Box Culvert"/>
    <s v="Apron Slab"/>
    <s v="C35"/>
    <n v="26"/>
    <n v="3"/>
    <n v="3"/>
    <s v="SCC  Lima"/>
    <s v="Lima"/>
    <x v="0"/>
  </r>
  <r>
    <n v="9"/>
    <d v="2025-12-06T00:00:00"/>
    <n v="36103"/>
    <s v="Box Culvert"/>
    <s v="Apron Slab"/>
    <s v="C35"/>
    <s v="-"/>
    <s v="-"/>
    <s v="-"/>
    <s v="SCC  Lima"/>
    <s v="Lima"/>
    <x v="0"/>
  </r>
  <r>
    <n v="10"/>
    <d v="2025-12-06T00:00:00"/>
    <n v="44590"/>
    <s v="Box Culvert"/>
    <s v="Wall,Top slab &amp; Headwall"/>
    <s v="C35"/>
    <n v="26.75"/>
    <n v="3"/>
    <n v="3"/>
    <s v="SCC  Lima"/>
    <s v="Lima"/>
    <x v="0"/>
  </r>
  <r>
    <n v="11"/>
    <d v="2025-12-06T00:00:00"/>
    <n v="48853"/>
    <s v="Box Culvert"/>
    <s v="Blinding (Apron Slab)"/>
    <s v="C15"/>
    <n v="18"/>
    <n v="2"/>
    <n v="2"/>
    <s v="SCC KM47"/>
    <s v="Lima"/>
    <x v="0"/>
  </r>
  <r>
    <n v="12"/>
    <d v="2025-12-06T00:00:00"/>
    <n v="47147"/>
    <s v="Box Culvert"/>
    <s v="Base Slab"/>
    <s v="C35"/>
    <n v="110.5"/>
    <n v="11"/>
    <n v="11"/>
    <s v="SCC KM47"/>
    <s v="Lima"/>
    <x v="0"/>
  </r>
  <r>
    <n v="13"/>
    <d v="2025-12-07T00:00:00"/>
    <n v="28980"/>
    <s v="Retaining Wall"/>
    <s v="RW Wall (Segment-27 &amp; 29)"/>
    <s v="C30"/>
    <n v="62"/>
    <n v="6"/>
    <n v="6"/>
    <s v="SCC  Lima"/>
    <s v="Lima"/>
    <x v="0"/>
  </r>
  <r>
    <n v="14"/>
    <d v="2025-12-08T00:00:00"/>
    <n v="36103"/>
    <s v="Box Culvert"/>
    <s v="wingwall"/>
    <s v="C35"/>
    <n v="7"/>
    <n v="1"/>
    <n v="1"/>
    <s v="SCC  Lima"/>
    <s v="Lima"/>
    <x v="0"/>
  </r>
  <r>
    <n v="15"/>
    <d v="2025-12-08T00:00:00"/>
    <n v="35913"/>
    <s v="Box Culvert"/>
    <s v="wingwall"/>
    <s v="C35"/>
    <s v="-"/>
    <s v="-"/>
    <s v="-"/>
    <s v="SCC  Lima"/>
    <s v="Lima"/>
    <x v="0"/>
  </r>
  <r>
    <n v="16"/>
    <d v="2025-12-08T00:00:00"/>
    <n v="36103"/>
    <s v="Box Culvert"/>
    <s v="Blinding (Apron Slab)"/>
    <s v="C15"/>
    <n v="5"/>
    <n v="1"/>
    <n v="1"/>
    <s v="SCC  Lima"/>
    <s v="Lima"/>
    <x v="0"/>
  </r>
  <r>
    <n v="17"/>
    <d v="2025-12-08T00:00:00"/>
    <n v="22100"/>
    <s v="Utility Duct"/>
    <s v="Concrete Encasement (Future Duct)"/>
    <s v="C25"/>
    <n v="10"/>
    <n v="1"/>
    <n v="1"/>
    <s v="SCC  Lima"/>
    <s v="Lima"/>
    <x v="0"/>
  </r>
  <r>
    <n v="18"/>
    <d v="2025-12-08T00:00:00"/>
    <n v="21800"/>
    <s v="Utility Duct"/>
    <s v="Concrete Encasement (Future Duct)"/>
    <s v="C25"/>
    <s v="-"/>
    <s v="-"/>
    <s v="-"/>
    <s v="SCC  Lima"/>
    <s v="Lima"/>
    <x v="0"/>
  </r>
  <r>
    <n v="19"/>
    <d v="2025-12-08T00:00:00"/>
    <n v="21110"/>
    <s v="OBB Duct"/>
    <s v="Concrete Encasement (OBB Road Cross)"/>
    <s v="C25"/>
    <n v="10"/>
    <n v="1"/>
    <n v="1"/>
    <s v="SCC  Lima"/>
    <s v="Lima"/>
    <x v="0"/>
  </r>
  <r>
    <n v="20"/>
    <d v="2025-12-08T00:00:00"/>
    <n v="22110"/>
    <s v="OBB Duct"/>
    <s v="Concrete Encasement (OBB Road Cross)"/>
    <s v="C25"/>
    <s v="-"/>
    <s v="-"/>
    <s v="-"/>
    <s v="SCC  Lima"/>
    <s v="Lima"/>
    <x v="0"/>
  </r>
  <r>
    <n v="21"/>
    <d v="2025-12-08T00:00:00"/>
    <n v="47786"/>
    <s v="Box Culvert"/>
    <s v="Apron Slab"/>
    <s v="C35"/>
    <n v="37"/>
    <n v="5"/>
    <n v="5"/>
    <s v="SCC KM47"/>
    <s v="Lima"/>
    <x v="0"/>
  </r>
  <r>
    <n v="22"/>
    <d v="2025-12-09T00:00:00"/>
    <n v="44590"/>
    <s v="Box Culvert"/>
    <s v="Apron Slab"/>
    <s v="C35"/>
    <n v="7"/>
    <n v="1"/>
    <n v="1"/>
    <s v="SCC  Lima"/>
    <s v="Lima"/>
    <x v="0"/>
  </r>
  <r>
    <n v="23"/>
    <d v="2025-12-09T00:00:00"/>
    <n v="48853"/>
    <s v="Box Culvert"/>
    <s v="Apron Slab"/>
    <s v="C35"/>
    <n v="39"/>
    <n v="5"/>
    <n v="5"/>
    <m/>
    <s v="Lima"/>
    <x v="0"/>
  </r>
  <r>
    <n v="24"/>
    <d v="2025-12-10T00:00:00"/>
    <n v="38452"/>
    <s v="Box Culvert"/>
    <s v="Blinding"/>
    <s v="C15"/>
    <n v="13"/>
    <n v="2"/>
    <n v="2"/>
    <s v="SCC  Lima"/>
    <s v="Lima"/>
    <x v="0"/>
  </r>
  <r>
    <n v="25"/>
    <d v="2025-12-10T00:00:00"/>
    <n v="36103"/>
    <s v="Box Culvert"/>
    <s v="Apron Slab"/>
    <s v="C35"/>
    <n v="13"/>
    <n v="2"/>
    <n v="2"/>
    <s v="SCC  Lima"/>
    <s v="Lima"/>
    <x v="0"/>
  </r>
  <r>
    <n v="26"/>
    <d v="2025-12-10T00:00:00"/>
    <n v="28300"/>
    <s v="Box Culvert"/>
    <s v="Concrete Encasement (Existing Electric Cable)"/>
    <s v="C25"/>
    <n v="20"/>
    <n v="2"/>
    <n v="2"/>
    <s v="SCC  Lima"/>
    <s v="Lima"/>
    <x v="0"/>
  </r>
  <r>
    <n v="27"/>
    <d v="2025-12-11T00:00:00"/>
    <n v="44590"/>
    <s v="Box Culvert"/>
    <s v="wingwall"/>
    <s v="C35"/>
    <n v="7"/>
    <n v="1"/>
    <n v="1"/>
    <s v="SCC  Lima"/>
    <s v="Lima"/>
    <x v="0"/>
  </r>
  <r>
    <n v="28"/>
    <d v="2025-12-11T00:00:00"/>
    <n v="44590"/>
    <s v="Box Culvert"/>
    <s v="Blinding (Apron Slab)"/>
    <s v="C35"/>
    <s v="-"/>
    <s v="-"/>
    <s v="-"/>
    <s v="SCC  Lima"/>
    <s v="Lima"/>
    <x v="0"/>
  </r>
  <r>
    <n v="29"/>
    <d v="2025-12-11T00:00:00"/>
    <n v="21700"/>
    <s v="Box Culvert"/>
    <s v="Wall,Top slab &amp; Headwall"/>
    <s v="C35"/>
    <n v="255"/>
    <n v="24"/>
    <n v="24"/>
    <s v="SCC  Lima"/>
    <s v="Lima"/>
    <x v="0"/>
  </r>
  <r>
    <n v="30"/>
    <d v="2025-12-11T00:00:00"/>
    <n v="47786"/>
    <s v="Box Culvert"/>
    <s v="Wall,Top slab &amp; Headwall"/>
    <s v="C35"/>
    <n v="115"/>
    <n v="10"/>
    <n v="10"/>
    <s v="SCC KM47"/>
    <s v="Lima"/>
    <x v="0"/>
  </r>
  <r>
    <n v="31"/>
    <d v="2025-12-13T00:00:00"/>
    <n v="36103"/>
    <s v="Box Culvert"/>
    <s v="wingwall"/>
    <s v="C35"/>
    <n v="4"/>
    <n v="1"/>
    <n v="1"/>
    <s v="SCC  Lima"/>
    <s v="Lima"/>
    <x v="0"/>
  </r>
  <r>
    <n v="32"/>
    <d v="2025-12-13T00:00:00"/>
    <n v="44590"/>
    <s v="Box Culvert"/>
    <s v="Apron Slab"/>
    <s v="C35"/>
    <n v="13"/>
    <n v="2"/>
    <n v="2"/>
    <s v="SCC KM47"/>
    <s v="Lima"/>
    <x v="0"/>
  </r>
  <r>
    <n v="33"/>
    <d v="2025-12-13T00:00:00"/>
    <n v="46421"/>
    <s v="Box Culvert"/>
    <s v="wingwall"/>
    <s v="C35"/>
    <s v="-"/>
    <s v="-"/>
    <s v="-"/>
    <s v="SCC KM47"/>
    <s v="Lima"/>
    <x v="0"/>
  </r>
  <r>
    <n v="34"/>
    <d v="2025-12-14T00:00:00"/>
    <n v="44590"/>
    <s v="Box Culvert"/>
    <s v="wingwall"/>
    <s v="C35"/>
    <n v="13"/>
    <n v="2"/>
    <n v="2"/>
    <s v="SCC  Lima"/>
    <s v="Lima"/>
    <x v="0"/>
  </r>
  <r>
    <n v="35"/>
    <d v="2025-12-14T00:00:00"/>
    <n v="48853"/>
    <s v="Box Culvert"/>
    <s v="wingwall"/>
    <s v="C35"/>
    <s v="-"/>
    <s v="-"/>
    <s v="-"/>
    <s v="SCC  Lima"/>
    <s v="Lima"/>
    <x v="0"/>
  </r>
  <r>
    <n v="36"/>
    <d v="2025-12-14T00:00:00"/>
    <n v="47786"/>
    <s v="Box Culvert"/>
    <s v="wingwall"/>
    <s v="C35"/>
    <s v="-"/>
    <s v="-"/>
    <s v="-"/>
    <s v="SCC  Lima"/>
    <s v="Lima"/>
    <x v="0"/>
  </r>
  <r>
    <n v="37"/>
    <d v="2025-12-14T00:00:00"/>
    <n v="47147"/>
    <s v="Box Culvert"/>
    <s v="Base Slab"/>
    <s v="C35"/>
    <n v="113.5"/>
    <n v="12"/>
    <n v="12"/>
    <s v="SCC KM47"/>
    <s v="Lima"/>
    <x v="0"/>
  </r>
  <r>
    <n v="38"/>
    <d v="2025-12-15T00:00:00"/>
    <n v="40135"/>
    <s v="Box Culvert"/>
    <s v="Blinding (Apron Slab)"/>
    <s v="C15"/>
    <n v="19"/>
    <n v="2"/>
    <n v="2"/>
    <s v="SCC  Lima"/>
    <s v="Lima"/>
    <x v="0"/>
  </r>
  <r>
    <n v="39"/>
    <d v="2025-12-15T00:00:00"/>
    <n v="47147"/>
    <s v="Box Culvert"/>
    <s v="Wall,Top slab &amp; Headwall"/>
    <s v="C35"/>
    <n v="124"/>
    <n v="14"/>
    <n v="14"/>
    <s v="SCC KM47"/>
    <s v="Lima"/>
    <x v="0"/>
  </r>
  <r>
    <n v="40"/>
    <d v="2025-12-29T00:00:00"/>
    <n v="46421"/>
    <s v="Box Culvert"/>
    <s v="wingwall"/>
    <s v="C35"/>
    <n v="4"/>
    <n v="1"/>
    <n v="1"/>
    <s v="SCC KM47"/>
    <s v="Lima"/>
    <x v="0"/>
  </r>
  <r>
    <n v="41"/>
    <d v="2025-12-30T00:00:00"/>
    <n v="44121"/>
    <s v="Box Culvert"/>
    <s v="Blinding"/>
    <s v="C15"/>
    <n v="22.5"/>
    <n v="3"/>
    <n v="1"/>
    <s v="SCC  Lima"/>
    <s v="Lima"/>
    <x v="0"/>
  </r>
  <r>
    <n v="42"/>
    <d v="2025-12-31T00:00:00"/>
    <n v="29024.472000000002"/>
    <s v="Retaining Wall"/>
    <s v="RW Wall (Segment-31)"/>
    <s v="C30"/>
    <n v="29"/>
    <n v="3"/>
    <n v="3"/>
    <s v="SCC  Lima"/>
    <s v="Lima"/>
    <x v="0"/>
  </r>
  <r>
    <n v="43"/>
    <d v="2026-01-03T00:00:00"/>
    <n v="29046.671999999999"/>
    <s v="Retaining Wall"/>
    <s v="RW Wall (Segment-33)"/>
    <s v="C30"/>
    <n v="32"/>
    <n v="4"/>
    <n v="4"/>
    <s v="SCC  Lima"/>
    <s v="Lima"/>
    <x v="1"/>
  </r>
  <r>
    <n v="44"/>
    <d v="2026-01-03T00:00:00"/>
    <n v="21700"/>
    <s v="Box Culvert"/>
    <s v="Wall,Top slab &amp; Headwall"/>
    <s v="C35"/>
    <n v="196"/>
    <n v="19"/>
    <n v="19"/>
    <s v="SCC  Lima"/>
    <s v="Lima"/>
    <x v="1"/>
  </r>
  <r>
    <n v="45"/>
    <d v="2026-01-04T00:00:00"/>
    <n v="43275"/>
    <s v="Retaining Wall"/>
    <s v="Blinding (Shear Key Bottom)"/>
    <s v="C15"/>
    <n v="6"/>
    <n v="1"/>
    <n v="1"/>
    <s v="SCC  Lima"/>
    <s v="Lima"/>
    <x v="1"/>
  </r>
  <r>
    <n v="46"/>
    <d v="2026-01-05T00:00:00"/>
    <n v="47147"/>
    <s v="Box Culvert"/>
    <s v="Base Slab"/>
    <s v="C35"/>
    <n v="114"/>
    <n v="13"/>
    <n v="13"/>
    <s v="SCC  Lima"/>
    <s v="Lima"/>
    <x v="1"/>
  </r>
  <r>
    <n v="47"/>
    <d v="2026-01-05T00:00:00"/>
    <n v="20700"/>
    <s v="Concrete Barrier"/>
    <s v="Blinding"/>
    <s v="C15"/>
    <n v="12"/>
    <n v="2"/>
    <n v="2"/>
    <s v="SCC  Lima"/>
    <s v="Lima"/>
    <x v="1"/>
  </r>
  <r>
    <n v="48"/>
    <d v="2026-01-05T00:00:00"/>
    <n v="43275"/>
    <s v="Retaining Wall"/>
    <s v="Blinding concrete (Shear Key Wall)"/>
    <s v="C15"/>
    <n v="26"/>
    <n v="3"/>
    <n v="3"/>
    <s v="SCC  Lima"/>
    <s v="Lima"/>
    <x v="1"/>
  </r>
  <r>
    <n v="49"/>
    <d v="2026-01-06T00:00:00"/>
    <n v="30190"/>
    <s v="Box Culvert"/>
    <s v="Apron Slab"/>
    <s v="C35"/>
    <n v="16"/>
    <n v="2"/>
    <n v="2"/>
    <s v="SCC  Lima"/>
    <s v="Lima"/>
    <x v="1"/>
  </r>
  <r>
    <n v="50"/>
    <d v="2026-01-06T00:00:00"/>
    <n v="29765"/>
    <s v="Retaining Wall"/>
    <s v="Base Slab(Segmennt 1&amp;3)"/>
    <s v="C30"/>
    <n v="50"/>
    <n v="6"/>
    <n v="6"/>
    <s v="SCC  Lima"/>
    <s v="Lima"/>
    <x v="1"/>
  </r>
  <r>
    <n v="51"/>
    <d v="2026-01-06T00:00:00"/>
    <n v="43712"/>
    <s v="Box Culvert"/>
    <s v="Blinding concrete (including catchpit portion)"/>
    <s v="C15"/>
    <n v="10"/>
    <n v="1"/>
    <n v="1"/>
    <s v="SCC  Lima"/>
    <s v="Lima"/>
    <x v="1"/>
  </r>
  <r>
    <n v="52"/>
    <d v="2026-01-08T00:00:00"/>
    <n v="44121"/>
    <s v="Box Culvert"/>
    <s v="Base Slab"/>
    <s v="C35"/>
    <n v="66"/>
    <n v="7"/>
    <n v="7"/>
    <s v="SCC  Lima"/>
    <s v="Lima"/>
    <x v="1"/>
  </r>
  <r>
    <n v="53"/>
    <d v="2026-01-08T00:00:00"/>
    <n v="43275"/>
    <s v="Retaining Wall"/>
    <s v="Base Slab (inculding Shear Key"/>
    <s v="C30"/>
    <n v="37"/>
    <n v="5"/>
    <n v="5"/>
    <s v="SCC  Lima"/>
    <s v="Lima"/>
    <x v="1"/>
  </r>
  <r>
    <n v="54"/>
    <d v="2026-01-11T00:00:00"/>
    <n v="47147"/>
    <s v="Box Culvert"/>
    <s v="Wall,Top slab"/>
    <s v="C35"/>
    <n v="123"/>
    <n v="13"/>
    <n v="13"/>
    <s v="SCC  Lima"/>
    <s v="Lima"/>
    <x v="1"/>
  </r>
  <r>
    <n v="55"/>
    <d v="2026-01-12T00:00:00"/>
    <n v="38242"/>
    <s v="Box Culvert"/>
    <s v="Blinding concrete "/>
    <s v="C15"/>
    <n v="12"/>
    <n v="2"/>
    <n v="2"/>
    <s v="SCC  Lima"/>
    <s v="Lima"/>
    <x v="1"/>
  </r>
  <r>
    <n v="56"/>
    <d v="2026-01-12T00:00:00"/>
    <n v="21985"/>
    <s v="Box Culvert"/>
    <s v="Apron Slab Blinding(Inlet &amp; outlet)"/>
    <s v="C15"/>
    <n v="65"/>
    <n v="7"/>
    <n v="7"/>
    <s v="SCC  Lima"/>
    <s v="Lima"/>
    <x v="1"/>
  </r>
  <r>
    <n v="57"/>
    <d v="2026-01-12T00:00:00"/>
    <n v="47147"/>
    <s v="Box Culvert"/>
    <s v="Wall,Top slab &amp; Headwall"/>
    <s v="C35"/>
    <n v="127"/>
    <n v="13"/>
    <n v="13"/>
    <s v="SCC  Lima"/>
    <s v="Lima"/>
    <x v="1"/>
  </r>
  <r>
    <n v="58"/>
    <d v="2026-01-13T00:00:00"/>
    <n v="43275"/>
    <s v="Retaining Wall"/>
    <s v="Wall"/>
    <s v="C30"/>
    <n v="23.5"/>
    <n v="3"/>
    <n v="3"/>
    <s v="SCC  Lima"/>
    <s v="Lima"/>
    <x v="1"/>
  </r>
  <r>
    <n v="59"/>
    <d v="2026-01-14T00:00:00"/>
    <n v="43712"/>
    <s v="Box Culvert"/>
    <s v="Base Slab"/>
    <s v="C35"/>
    <n v="29.5"/>
    <n v="4"/>
    <n v="4"/>
    <s v="SCC  Lima"/>
    <s v="Lima"/>
    <x v="1"/>
  </r>
  <r>
    <n v="60"/>
    <d v="2026-01-15T00:00:00"/>
    <n v="47147"/>
    <s v="Box Culvert"/>
    <s v="wingwall"/>
    <s v="C35"/>
    <n v="6"/>
    <n v="1"/>
    <n v="1"/>
    <s v="SCC  Lima"/>
    <s v="Lima"/>
    <x v="1"/>
  </r>
  <r>
    <n v="61"/>
    <d v="2026-01-17T00:00:00"/>
    <n v="29805"/>
    <s v="Retaining Wall"/>
    <s v="Base Slab &amp; wall (Segment 5,6,2,35 &amp; 1)"/>
    <s v="C30"/>
    <n v="140"/>
    <n v="14"/>
    <n v="14"/>
    <s v="SCC  Lima"/>
    <s v="Lima"/>
    <x v="1"/>
  </r>
  <r>
    <n v="62"/>
    <d v="2026-01-18T00:00:00"/>
    <n v="47147"/>
    <s v="Box Culvert"/>
    <s v="Blinding Concrete"/>
    <s v="C15"/>
    <n v="12"/>
    <n v="1"/>
    <n v="2"/>
    <s v="SCC  Lima"/>
    <s v="Lima"/>
    <x v="1"/>
  </r>
  <r>
    <n v="63"/>
    <d v="2026-01-19T00:00:00"/>
    <n v="35450"/>
    <s v="OBB Duct"/>
    <s v="Concrete Encasement (OBB Road Cross)"/>
    <s v="C15"/>
    <n v="15.5"/>
    <n v="2"/>
    <n v="2"/>
    <s v="SCC  Lima"/>
    <s v="Lima"/>
    <x v="1"/>
  </r>
  <r>
    <n v="64"/>
    <d v="2026-01-19T00:00:00"/>
    <n v="28217"/>
    <s v="Box Culvert"/>
    <s v="Wall,Top slab"/>
    <s v="C35"/>
    <n v="234"/>
    <n v="22"/>
    <n v="22"/>
    <s v="SCC  Lima"/>
    <s v="Lima"/>
    <x v="1"/>
  </r>
  <r>
    <n v="65"/>
    <d v="2026-01-20T00:00:00"/>
    <n v="44121"/>
    <s v="Box Culvert"/>
    <s v="Wall,Top slab &amp; Headwall"/>
    <s v="C35"/>
    <n v="81"/>
    <n v="9"/>
    <n v="9"/>
    <s v="SCC  Lima"/>
    <s v="Lima"/>
    <x v="1"/>
  </r>
  <r>
    <n v="66"/>
    <d v="2026-01-21T00:00:00"/>
    <n v="41074"/>
    <s v="Box Culvert"/>
    <s v="Blinding Concrete"/>
    <s v="C15"/>
    <n v="6.5"/>
    <n v="1"/>
    <n v="1"/>
    <s v="SCC  Lima"/>
    <s v="Lima"/>
    <x v="1"/>
  </r>
  <r>
    <n v="67"/>
    <d v="2026-01-21T00:00:00"/>
    <n v="21985"/>
    <s v="Box Culvert"/>
    <s v="Apron Slab "/>
    <s v="C35"/>
    <n v="40"/>
    <n v="4"/>
    <n v="4"/>
    <s v="SCC  Lima"/>
    <s v="Lima"/>
    <x v="1"/>
  </r>
  <r>
    <n v="68"/>
    <d v="2026-01-22T00:00:00"/>
    <n v="20700"/>
    <s v="Concrete Barrier"/>
    <s v="Blinding"/>
    <s v="C15"/>
    <n v="14"/>
    <n v="2"/>
    <n v="2"/>
    <s v="SCC  Lima"/>
    <s v="Lima"/>
    <x v="1"/>
  </r>
  <r>
    <n v="69"/>
    <d v="2026-01-24T00:00:00"/>
    <n v="34597"/>
    <s v="Box Culvert"/>
    <s v="Wall,Top slab &amp; Headwall"/>
    <s v="C35"/>
    <n v="25"/>
    <n v="3"/>
    <n v="3"/>
    <s v="SCC  Lima"/>
    <s v="Lima"/>
    <x v="1"/>
  </r>
  <r>
    <n v="70"/>
    <d v="2026-01-24T00:00:00"/>
    <n v="29785"/>
    <s v="Retaining Wall"/>
    <s v="Wall &amp; Base Slab (Seg 3&amp;4 )"/>
    <s v="C30"/>
    <n v="70"/>
    <n v="7"/>
    <n v="7"/>
    <s v="SCC  Lima"/>
    <s v="Lima"/>
    <x v="1"/>
  </r>
  <r>
    <n v="71"/>
    <d v="2026-01-24T00:00:00"/>
    <n v="29858"/>
    <s v="Retaining Wall"/>
    <s v="Base Slab ( Seg 8 &amp; 10 )"/>
    <s v="C30"/>
    <n v="80"/>
    <n v="9"/>
    <n v="9"/>
    <s v="SCC  Lima"/>
    <s v="Lima"/>
    <x v="1"/>
  </r>
  <r>
    <n v="72"/>
    <d v="2026-01-25T00:00:00"/>
    <n v="47147"/>
    <s v="Box Culvert"/>
    <s v="Top slab &amp; Headwall"/>
    <s v="C35"/>
    <n v="123.5"/>
    <n v="13"/>
    <n v="13"/>
    <s v="SCC  Lima"/>
    <s v="Lima"/>
    <x v="1"/>
  </r>
  <r>
    <n v="73"/>
    <d v="2026-01-26T00:00:00"/>
    <n v="21985"/>
    <s v="Box Culvert"/>
    <s v="Apron Slab "/>
    <s v="C35"/>
    <n v="72"/>
    <n v="8"/>
    <n v="8"/>
    <s v="SCC  Lima"/>
    <s v="Lima"/>
    <x v="1"/>
  </r>
  <r>
    <n v="74"/>
    <d v="2026-01-27T00:00:00"/>
    <n v="41074"/>
    <s v="Box Culvert"/>
    <s v="Base Slab"/>
    <s v="C35"/>
    <n v="14.5"/>
    <n v="2"/>
    <n v="2"/>
    <s v="SCC  Lima"/>
    <s v="Lima"/>
    <x v="1"/>
  </r>
  <r>
    <n v="75"/>
    <d v="2026-01-28T00:00:00"/>
    <n v="43712"/>
    <s v="Box Culvert"/>
    <s v="Top slab &amp; OBB Champer "/>
    <s v="C35"/>
    <n v="46"/>
    <n v="5"/>
    <n v="5"/>
    <s v="SCC  Lima"/>
    <s v="Lima"/>
    <x v="1"/>
  </r>
  <r>
    <n v="76"/>
    <d v="2026-01-28T00:00:00"/>
    <n v="43598"/>
    <s v="Utility Duct"/>
    <s v=" OBB Champer "/>
    <s v="C15"/>
    <n v="13"/>
    <n v="2"/>
    <n v="2"/>
    <s v="SCC  Lima"/>
    <s v="Lima"/>
    <x v="1"/>
  </r>
  <r>
    <n v="77"/>
    <d v="2026-01-29T00:00:00"/>
    <n v="29775"/>
    <s v="Retaining Wall"/>
    <s v="Wall"/>
    <s v="C30"/>
    <n v="60"/>
    <n v="6"/>
    <n v="6"/>
    <s v="SCC  Lima"/>
    <s v="Lima"/>
    <x v="1"/>
  </r>
  <r>
    <n v="78"/>
    <d v="2026-01-29T00:00:00"/>
    <n v="21985"/>
    <s v="Box Culvert"/>
    <s v="Apron Slab"/>
    <s v="C35"/>
    <n v="30"/>
    <n v="3"/>
    <n v="3"/>
    <s v="SCC  Lima"/>
    <s v="Lima"/>
    <x v="1"/>
  </r>
  <r>
    <n v="79"/>
    <d v="2026-01-29T00:00:00"/>
    <n v="44333"/>
    <s v="Box Culvert"/>
    <s v="Blinding Concrete"/>
    <s v="C15"/>
    <n v="11.5"/>
    <n v="2"/>
    <n v="2"/>
    <s v="SCC  Lima"/>
    <s v="Lima"/>
    <x v="1"/>
  </r>
  <r>
    <n v="80"/>
    <d v="2026-01-29T00:00:00"/>
    <n v="47147"/>
    <s v="Box Culvert"/>
    <s v="Apron Slab"/>
    <s v="C35"/>
    <n v="36.25"/>
    <n v="4"/>
    <n v="4"/>
    <s v="SCC  Lima"/>
    <s v="Lima"/>
    <x v="1"/>
  </r>
  <r>
    <n v="81"/>
    <d v="2026-01-31T00:00:00"/>
    <n v="21700"/>
    <s v="Box Culvert"/>
    <s v="Blinding Concrete Apron Slab"/>
    <s v="C15"/>
    <n v="43"/>
    <n v="4"/>
    <n v="4"/>
    <s v="SCC  Lima"/>
    <s v="Lima"/>
    <x v="1"/>
  </r>
  <r>
    <n v="82"/>
    <d v="2026-01-31T00:00:00"/>
    <n v="21985"/>
    <s v="Box Culvert"/>
    <s v="Wing Wall"/>
    <s v="C35"/>
    <n v="8"/>
    <n v="1"/>
    <n v="1"/>
    <s v="SCC  Lima"/>
    <s v="Lima"/>
    <x v="1"/>
  </r>
  <r>
    <n v="83"/>
    <d v="2026-01-31T00:00:00"/>
    <n v="44333"/>
    <s v="Box Culvert"/>
    <s v="Base Slab"/>
    <s v="C35"/>
    <n v="24"/>
    <n v="3"/>
    <n v="3"/>
    <s v="SCC  Lima"/>
    <s v="Lima"/>
    <x v="1"/>
  </r>
  <r>
    <n v="84"/>
    <d v="2026-01-31T00:00:00"/>
    <n v="41074"/>
    <s v="Box Culvert"/>
    <s v="Top slab &amp; Headwall"/>
    <s v="C35"/>
    <n v="23"/>
    <n v="4"/>
    <n v="4"/>
    <s v="SCC  Lima"/>
    <s v="Lima"/>
    <x v="1"/>
  </r>
  <r>
    <n v="85"/>
    <d v="2026-02-01T00:00:00"/>
    <n v="29847"/>
    <s v="Retaining Wall"/>
    <s v="Wall,Base slab"/>
    <s v="C30"/>
    <n v="80"/>
    <n v="8"/>
    <n v="8"/>
    <s v="SCC  Lima"/>
    <s v="Lima"/>
    <x v="2"/>
  </r>
  <r>
    <n v="86"/>
    <d v="2026-02-01T00:00:00"/>
    <n v="38936"/>
    <s v="Box Culvert"/>
    <s v="Apron Slab"/>
    <s v="C35"/>
    <n v="60"/>
    <n v="7"/>
    <n v="7"/>
    <s v="SCC  Lima"/>
    <s v="Lima"/>
    <x v="2"/>
  </r>
  <r>
    <n v="87"/>
    <d v="2026-02-02T00:00:00"/>
    <n v="20770"/>
    <s v="Concrete Barrier"/>
    <s v="Type E (in situ)"/>
    <s v="C25"/>
    <n v="19"/>
    <n v="2"/>
    <n v="2"/>
    <s v="SCC  Lima"/>
    <s v="Lima"/>
    <x v="2"/>
  </r>
  <r>
    <n v="88"/>
    <d v="2026-02-02T00:00:00"/>
    <n v="43383"/>
    <s v="Box Culvert"/>
    <s v="Blinding Concrete"/>
    <s v="C15"/>
    <n v="16"/>
    <n v="2"/>
    <n v="2"/>
    <s v="SCC  Lima"/>
    <s v="Lima"/>
    <x v="2"/>
  </r>
  <r>
    <n v="89"/>
    <d v="2026-02-02T00:00:00"/>
    <n v="41074"/>
    <s v="Box Culvert"/>
    <s v="Catchpit Base Slab "/>
    <s v="C35"/>
    <n v="6"/>
    <n v="1"/>
    <n v="1"/>
    <s v="SCC  Lima"/>
    <s v="Lima"/>
    <x v="2"/>
  </r>
  <r>
    <n v="90"/>
    <d v="2026-02-03T00:00:00"/>
    <n v="28860"/>
    <s v="Box Culvert"/>
    <s v="Blinding Concrete"/>
    <s v="C15"/>
    <n v="8"/>
    <n v="1"/>
    <n v="1"/>
    <s v="SCC  Lima"/>
    <s v="Lima"/>
    <x v="2"/>
  </r>
  <r>
    <n v="91"/>
    <d v="2026-02-03T00:00:00"/>
    <n v="47147"/>
    <s v="Box Culvert"/>
    <s v="Wing Wall"/>
    <s v="C35"/>
    <n v="5.75"/>
    <n v="1"/>
    <n v="1"/>
    <s v="SCC  Lima"/>
    <s v="Lima"/>
    <x v="2"/>
  </r>
  <r>
    <n v="92"/>
    <d v="2026-02-03T00:00:00"/>
    <n v="44121"/>
    <s v="Box Culvert"/>
    <s v="Apron Slab Blinding Concrete"/>
    <s v="C15"/>
    <n v="9"/>
    <n v="1"/>
    <n v="1"/>
    <s v="SCC  Lima"/>
    <s v="Lima"/>
    <x v="2"/>
  </r>
  <r>
    <n v="93"/>
    <d v="2026-02-04T00:00:00"/>
    <n v="29826"/>
    <s v="Retaining Wall"/>
    <s v="Wall"/>
    <s v="C30"/>
    <n v="73"/>
    <n v="8"/>
    <n v="8"/>
    <s v="SCC  Lima"/>
    <s v="Lima"/>
    <x v="2"/>
  </r>
  <r>
    <n v="94"/>
    <d v="2026-02-04T00:00:00"/>
    <n v="43712"/>
    <s v="Box Culvert"/>
    <s v="Apron Slab Blinding Concrete"/>
    <s v="C15"/>
    <n v="4"/>
    <n v="1"/>
    <n v="1"/>
    <s v="SCC  Lima"/>
    <s v="Lima"/>
    <x v="2"/>
  </r>
  <r>
    <n v="95"/>
    <d v="2026-02-05T00:00:00"/>
    <n v="43712"/>
    <s v="Box Culvert"/>
    <s v="Catchpit wall"/>
    <s v="C35"/>
    <n v="7.5"/>
    <n v="1"/>
    <n v="1"/>
    <s v="SCC  Lima"/>
    <s v="Lima"/>
    <x v="2"/>
  </r>
  <r>
    <n v="96"/>
    <d v="2026-02-05T00:00:00"/>
    <n v="21700"/>
    <s v="Box Culvert"/>
    <s v="Wing Wall &amp; Apron Slab"/>
    <s v="C35"/>
    <n v="107"/>
    <n v="10"/>
    <n v="10"/>
    <s v="SCC  Lima"/>
    <s v="Lima"/>
    <x v="2"/>
  </r>
  <r>
    <n v="97"/>
    <d v="2026-02-05T00:00:00"/>
    <n v="20740"/>
    <s v="Concrete Barrier"/>
    <s v="Type E (in situ)"/>
    <s v="C25"/>
    <n v="18"/>
    <n v="2"/>
    <n v="2"/>
    <s v="SCC  Lima"/>
    <s v="Lima"/>
    <x v="2"/>
  </r>
  <r>
    <n v="98"/>
    <d v="2026-02-07T00:00:00"/>
    <n v="44333"/>
    <s v="Box Culvert"/>
    <s v="Wall,Top slab &amp; Headwall"/>
    <s v="C35"/>
    <n v="39"/>
    <n v="5"/>
    <n v="5"/>
    <s v="SCC  Lima"/>
    <s v="Lima"/>
    <x v="2"/>
  </r>
  <r>
    <n v="99"/>
    <d v="2026-02-07T00:00:00"/>
    <n v="28217"/>
    <s v="Box Culvert"/>
    <s v="Wall,Top slab "/>
    <s v="C35"/>
    <n v="143"/>
    <n v="13"/>
    <n v="13"/>
    <s v="SCC  Lima"/>
    <s v="Lima"/>
    <x v="2"/>
  </r>
  <r>
    <n v="100"/>
    <d v="2026-02-08T00:00:00"/>
    <n v="28740"/>
    <s v="Retaining Wall"/>
    <s v="Permeable Backfilling"/>
    <s v="C15"/>
    <n v="11"/>
    <n v="1"/>
    <n v="1"/>
    <s v="SCC  Lima"/>
    <s v="Lima"/>
    <x v="2"/>
  </r>
  <r>
    <n v="101"/>
    <d v="2026-02-08T00:00:00"/>
    <n v="28860"/>
    <s v="Box Culvert"/>
    <s v="Base Slab"/>
    <s v="C35"/>
    <n v="16"/>
    <n v="2"/>
    <n v="2"/>
    <s v="SCC  Lima"/>
    <s v="Lima"/>
    <x v="2"/>
  </r>
  <r>
    <n v="102"/>
    <d v="2026-02-09T00:00:00"/>
    <n v="43381"/>
    <s v="Box Culvert"/>
    <s v="Base Slab"/>
    <s v="C35"/>
    <n v="47"/>
    <n v="6"/>
    <n v="6"/>
    <s v="SCC  Lima"/>
    <s v="Lima"/>
    <x v="2"/>
  </r>
  <r>
    <n v="103"/>
    <d v="2026-02-09T00:00:00"/>
    <n v="44333"/>
    <s v="Box Culvert"/>
    <s v="Apron Slab"/>
    <s v="C35"/>
    <n v="9.5"/>
    <n v="1"/>
    <n v="1"/>
    <s v="SCC  Lima"/>
    <s v="Lima"/>
    <x v="2"/>
  </r>
  <r>
    <n v="104"/>
    <d v="2026-02-09T00:00:00"/>
    <n v="44333"/>
    <s v="Box Culvert"/>
    <s v="Apron Slab Blinding Concrete"/>
    <s v="C15"/>
    <n v="4"/>
    <n v="1"/>
    <n v="1"/>
    <s v="SCC  Lima"/>
    <s v="Lima"/>
    <x v="2"/>
  </r>
  <r>
    <n v="105"/>
    <d v="2026-02-09T00:00:00"/>
    <n v="29836"/>
    <s v="Retaining Wall"/>
    <s v="Wall"/>
    <s v="C30"/>
    <n v="92"/>
    <n v="9"/>
    <n v="9"/>
    <s v="SCC  Lima"/>
    <s v="Lima"/>
    <x v="2"/>
  </r>
  <r>
    <n v="106"/>
    <d v="2026-02-10T00:00:00"/>
    <n v="21700"/>
    <s v="Retaining Wall"/>
    <s v="Apron Slab"/>
    <s v="C35"/>
    <n v="107"/>
    <n v="10"/>
    <n v="10"/>
    <s v="SCC  Lima"/>
    <s v="Lima"/>
    <x v="2"/>
  </r>
  <r>
    <n v="107"/>
    <d v="2026-02-10T00:00:00"/>
    <n v="20720"/>
    <s v="Concrete Barrier"/>
    <s v="Type E (in situ)"/>
    <s v="C25"/>
    <n v="18"/>
    <n v="2"/>
    <n v="2"/>
    <s v="SCC  Lima"/>
    <s v="Lima"/>
    <x v="2"/>
  </r>
  <r>
    <n v="108"/>
    <d v="2026-02-10T00:00:00"/>
    <n v="43712"/>
    <s v="Box Culvert"/>
    <s v="Apron Slab"/>
    <s v="C35"/>
    <n v="9.5"/>
    <n v="1"/>
    <n v="1"/>
    <s v="SCC  Lima"/>
    <s v="Lima"/>
    <x v="2"/>
  </r>
  <r>
    <n v="109"/>
    <d v="2026-02-11T00:00:00"/>
    <n v="40135"/>
    <s v="Box Culvert"/>
    <s v="Apron Slab"/>
    <s v="C35"/>
    <n v="66.5"/>
    <n v="7"/>
    <n v="7"/>
    <s v="SCC  Lima"/>
    <s v="Lima"/>
    <x v="2"/>
  </r>
  <r>
    <n v="110"/>
    <d v="2026-02-11T00:00:00"/>
    <n v="44121"/>
    <s v="Box Culvert"/>
    <s v="Apron Slab"/>
    <s v="C35"/>
    <n v="26"/>
    <n v="3"/>
    <n v="3"/>
    <s v="SCC  Lima"/>
    <s v="Lima"/>
    <x v="2"/>
  </r>
  <r>
    <n v="111"/>
    <d v="2026-02-11T00:00:00"/>
    <n v="44333"/>
    <s v="Box Culvert"/>
    <s v="Apron Slab &amp; Wing Wall"/>
    <s v="C35"/>
    <n v="9"/>
    <n v="1"/>
    <n v="1"/>
    <s v="SCC  Lima"/>
    <s v="Lima"/>
    <x v="2"/>
  </r>
  <r>
    <n v="112"/>
    <d v="2026-02-12T00:00:00"/>
    <n v="29845"/>
    <s v="Retaining Wall"/>
    <s v="Wall"/>
    <s v="C30"/>
    <n v="47"/>
    <n v="5"/>
    <n v="5"/>
    <s v="SCC  Lima"/>
    <s v="Lima"/>
    <x v="2"/>
  </r>
  <r>
    <n v="113"/>
    <d v="2026-02-12T00:00:00"/>
    <n v="21700"/>
    <s v="Box Culvert"/>
    <s v="Wing Wall"/>
    <s v="C35"/>
    <n v="13"/>
    <n v="2"/>
    <n v="2"/>
    <s v="SCC  Lima"/>
    <s v="Lima"/>
    <x v="2"/>
  </r>
  <r>
    <n v="114"/>
    <d v="2026-02-12T00:00:00"/>
    <n v="43712"/>
    <s v="Box Culvert"/>
    <s v="Wing Wall"/>
    <s v="C35"/>
    <n v="8"/>
    <n v="1"/>
    <n v="1"/>
    <s v="SCC  Lima"/>
    <s v="Lima"/>
    <x v="2"/>
  </r>
  <r>
    <n v="115"/>
    <d v="2026-02-14T00:00:00"/>
    <n v="43272"/>
    <s v="Retaining Wall"/>
    <s v="Permeable Backfilling"/>
    <s v="C15"/>
    <n v="1.5"/>
    <n v="1"/>
    <n v="1"/>
    <s v="SCC  Lima"/>
    <s v="Lima"/>
    <x v="2"/>
  </r>
  <r>
    <n v="116"/>
    <d v="2026-02-15T00:00:00"/>
    <n v="43610"/>
    <s v="Concrete Barrier"/>
    <s v="Type E (in situ)"/>
    <s v="C15"/>
    <n v="17"/>
    <n v="2"/>
    <n v="2"/>
    <s v="SCC  Lima"/>
    <s v="Lima"/>
    <x v="2"/>
  </r>
  <r>
    <n v="117"/>
    <d v="2026-02-15T00:00:00"/>
    <n v="44121"/>
    <s v="Box Culvert"/>
    <s v="Wing Wall"/>
    <s v="C35"/>
    <n v="7"/>
    <n v="1"/>
    <n v="1"/>
    <s v="SCC  Lima"/>
    <s v="Lima"/>
    <x v="2"/>
  </r>
  <r>
    <n v="118"/>
    <d v="2026-02-16T00:00:00"/>
    <n v="21700"/>
    <s v="Box Culvert"/>
    <s v="Wing Wall"/>
    <s v="C35"/>
    <n v="14"/>
    <n v="3"/>
    <n v="3"/>
    <s v="SCC  Lima"/>
    <s v="Lima"/>
    <x v="2"/>
  </r>
  <r>
    <n v="119"/>
    <d v="2026-02-16T00:00:00"/>
    <n v="29826"/>
    <s v="Retaining Wall"/>
    <s v="Wall"/>
    <s v="C30"/>
    <n v="85"/>
    <n v="8"/>
    <n v="8"/>
    <s v="SCC  Lima"/>
    <s v="Lima"/>
    <x v="2"/>
  </r>
  <r>
    <n v="120"/>
    <d v="2026-02-16T00:00:00"/>
    <n v="43381"/>
    <s v="Box Culvert"/>
    <s v="Wall,Top slab"/>
    <s v="C35"/>
    <n v="63"/>
    <n v="7"/>
    <n v="7"/>
    <s v="SCC  Lima"/>
    <s v="Lima"/>
    <x v="2"/>
  </r>
  <r>
    <n v="121"/>
    <d v="2026-02-17T00:00:00"/>
    <n v="43495"/>
    <s v="Concrete Barrier"/>
    <s v="Type E (in situ)"/>
    <s v="C25"/>
    <n v="11"/>
    <n v="1"/>
    <n v="1"/>
    <s v="SCC  Lima"/>
    <s v="Lima"/>
    <x v="2"/>
  </r>
  <r>
    <n v="122"/>
    <d v="2026-02-17T00:00:00"/>
    <n v="20700"/>
    <s v="Concrete Barrier"/>
    <s v="Type E (in situ)"/>
    <s v="C25"/>
    <n v="18"/>
    <n v="2"/>
    <n v="2"/>
    <s v="SCC  Lima"/>
    <s v="Lima"/>
    <x v="2"/>
  </r>
  <r>
    <n v="123"/>
    <d v="2026-02-17T00:00:00"/>
    <n v="41074"/>
    <s v="Box Culvert"/>
    <s v="Apron Slab Inculuding Catchpit Wall"/>
    <s v="C35"/>
    <n v="7.5"/>
    <n v="1"/>
    <n v="1"/>
    <s v="SCC  Lima"/>
    <s v="Lima"/>
    <x v="2"/>
  </r>
  <r>
    <n v="124"/>
    <d v="2026-02-18T00:00:00"/>
    <n v="34183"/>
    <s v="Box Culvert"/>
    <s v="Blinding Concrete"/>
    <s v="C15"/>
    <n v="8"/>
    <n v="1"/>
    <n v="1"/>
    <s v="SCC  Lima"/>
    <s v="Lima"/>
    <x v="2"/>
  </r>
  <r>
    <n v="125"/>
    <d v="2026-02-18T00:00:00"/>
    <n v="43535"/>
    <s v="Concrete Barrier"/>
    <s v="Type E (in situ)"/>
    <s v="C25"/>
    <n v="16.5"/>
    <n v="2"/>
    <n v="2"/>
    <s v="SCC  Lima"/>
    <s v="Lima"/>
    <x v="2"/>
  </r>
  <r>
    <n v="126"/>
    <d v="2026-02-19T00:00:00"/>
    <n v="29880"/>
    <s v="Retaining Wall"/>
    <s v="Wall"/>
    <s v="C30"/>
    <n v="54"/>
    <n v="5"/>
    <n v="5"/>
    <s v="SCC  Lima"/>
    <s v="Lima"/>
    <x v="2"/>
  </r>
  <r>
    <n v="127"/>
    <d v="2026-02-19T00:00:00"/>
    <n v="43880"/>
    <s v="Concrete Barrier"/>
    <s v="Type E (in situ)"/>
    <s v="C25"/>
    <n v="17"/>
    <n v="2"/>
    <n v="2"/>
    <s v="SCC  Lima"/>
    <s v="Lima"/>
    <x v="2"/>
  </r>
  <r>
    <n v="128"/>
    <d v="2026-02-19T00:00:00"/>
    <n v="43525"/>
    <s v="Concrete Barrier"/>
    <s v="Type E (in situ)"/>
    <s v="C25"/>
    <n v="22"/>
    <n v="3"/>
    <n v="3"/>
    <s v="SCC  Lima"/>
    <s v="Lima"/>
    <x v="2"/>
  </r>
  <r>
    <n v="129"/>
    <d v="2026-02-21T00:00:00"/>
    <n v="43381"/>
    <s v="Box Culvert"/>
    <s v="Drainage Catchpit Base Slab"/>
    <s v="C35"/>
    <n v="12"/>
    <n v="2"/>
    <n v="2"/>
    <s v="SCC  Lima"/>
    <s v="Lima"/>
    <x v="2"/>
  </r>
  <r>
    <n v="130"/>
    <d v="2026-02-21T00:00:00"/>
    <n v="41074"/>
    <s v="Box Culvert"/>
    <s v="Wing Wall"/>
    <s v="C35"/>
    <n v="4"/>
    <m/>
    <m/>
    <s v="SCC  Lima"/>
    <s v="Lima"/>
    <x v="2"/>
  </r>
  <r>
    <n v="131"/>
    <d v="2026-02-22T00:00:00"/>
    <n v="43600"/>
    <s v="Concrete Barrier"/>
    <s v="Type E (in situ)"/>
    <s v="C25"/>
    <n v="16"/>
    <n v="2"/>
    <n v="2"/>
    <s v="SCC  Lima"/>
    <s v="Lima"/>
    <x v="2"/>
  </r>
  <r>
    <n v="132"/>
    <d v="2026-02-22T00:00:00"/>
    <n v="28880"/>
    <s v="Retaining Wall"/>
    <s v="Permeable Backfilling"/>
    <s v="C15"/>
    <n v="8"/>
    <n v="1"/>
    <n v="1"/>
    <s v="SCC  Lima"/>
    <s v="Lima"/>
    <x v="2"/>
  </r>
  <r>
    <n v="133"/>
    <d v="2026-02-22T00:00:00"/>
    <n v="43585"/>
    <s v="Concrete Barrier"/>
    <s v="Type E (in situ)"/>
    <s v="C25"/>
    <n v="20"/>
    <n v="3"/>
    <n v="3"/>
    <s v="SCC  Lima"/>
    <s v="Lima"/>
    <x v="2"/>
  </r>
  <r>
    <n v="134"/>
    <d v="2026-02-23T00:00:00"/>
    <n v="43870"/>
    <s v="Concrete Barrier"/>
    <s v="Type E (in situ)"/>
    <s v="C25"/>
    <n v="25"/>
    <n v="4"/>
    <n v="4"/>
    <s v="SCC  Lima"/>
    <s v="Lima"/>
    <x v="2"/>
  </r>
  <r>
    <n v="135"/>
    <d v="2026-02-24T00:00:00"/>
    <n v="34183"/>
    <s v="Box Culvert"/>
    <s v="Base Slab"/>
    <s v="C35"/>
    <n v="14"/>
    <n v="2"/>
    <n v="2"/>
    <s v="SCC  Lima"/>
    <s v="Lima"/>
    <x v="2"/>
  </r>
  <r>
    <n v="136"/>
    <d v="2026-02-24T00:00:00"/>
    <n v="43860"/>
    <s v="Concrete Barrier"/>
    <s v="Type E (in situ)"/>
    <s v="C25"/>
    <n v="19"/>
    <n v="2"/>
    <n v="2"/>
    <s v="SCC  Lima"/>
    <s v="Lima"/>
    <x v="2"/>
  </r>
  <r>
    <n v="137"/>
    <d v="2026-02-25T00:00:00"/>
    <n v="43900"/>
    <s v="Concrete Barrier"/>
    <s v="Type E (in situ)"/>
    <s v="C25"/>
    <n v="20"/>
    <n v="2"/>
    <n v="2"/>
    <s v="SCC  Lima"/>
    <s v="Lima"/>
    <x v="2"/>
  </r>
  <r>
    <n v="138"/>
    <d v="2026-02-25T00:00:00"/>
    <n v="29847"/>
    <s v="Retaining Wall"/>
    <s v="Wall"/>
    <s v="C30"/>
    <n v="89"/>
    <n v="8"/>
    <n v="8"/>
    <s v="SCC  Lima"/>
    <s v="Lima"/>
    <x v="2"/>
  </r>
  <r>
    <n v="139"/>
    <d v="2026-02-26T00:00:00"/>
    <n v="43930"/>
    <s v="Concrete Barrier"/>
    <s v="Type E (in situ)"/>
    <s v="C25"/>
    <n v="18.5"/>
    <n v="2"/>
    <n v="2"/>
    <s v="SCC  Lima"/>
    <s v="Lima"/>
    <x v="2"/>
  </r>
  <r>
    <n v="140"/>
    <d v="2026-02-26T00:00:00"/>
    <n v="43381"/>
    <s v="Box Culvert"/>
    <s v="Apron Slab Inculuding Cutoff Wall "/>
    <s v="C35"/>
    <n v="24"/>
    <n v="3"/>
    <n v="3"/>
    <s v="SCC  Lima"/>
    <s v="Lima"/>
    <x v="2"/>
  </r>
  <r>
    <n v="141"/>
    <d v="2026-02-26T00:00:00"/>
    <n v="28217"/>
    <s v="Box Culvert"/>
    <s v="Base Slab &amp; Top Slap"/>
    <s v="C35"/>
    <n v="157"/>
    <n v="15"/>
    <n v="15"/>
    <s v="SCC  Lima"/>
    <s v="Lima"/>
    <x v="2"/>
  </r>
  <r>
    <n v="142"/>
    <d v="2026-02-28T00:00:00"/>
    <n v="33720"/>
    <s v="Box Culvert"/>
    <s v="Blinding Concrete Inculuding Catchpit Wall"/>
    <s v="C15"/>
    <n v="7.5"/>
    <n v="1"/>
    <n v="1"/>
    <s v="SCC  Lima"/>
    <s v="Lima"/>
    <x v="2"/>
  </r>
  <r>
    <n v="143"/>
    <d v="2026-02-28T00:00:00"/>
    <n v="43565"/>
    <s v="Concrete Barrier"/>
    <s v="Type E (in situ)"/>
    <s v="C25"/>
    <n v="16"/>
    <n v="2"/>
    <n v="2"/>
    <s v="SCC  Lima"/>
    <s v="Lima"/>
    <x v="2"/>
  </r>
  <r>
    <n v="144"/>
    <d v="2026-03-01T00:00:00"/>
    <n v="43860"/>
    <s v="Concrete Barrier"/>
    <s v="Type E (in situ)"/>
    <s v="C25"/>
    <n v="11"/>
    <n v="2"/>
    <n v="2"/>
    <s v="SCC  Lima"/>
    <s v="Lima"/>
    <x v="3"/>
  </r>
  <r>
    <n v="145"/>
    <d v="2026-03-01T00:00:00"/>
    <n v="43381"/>
    <s v="Box Culvert"/>
    <s v="wing Wall"/>
    <s v="C35"/>
    <n v="4.5"/>
    <n v="1"/>
    <n v="1"/>
    <s v="SCC  Lima"/>
    <s v="Lima"/>
    <x v="3"/>
  </r>
  <r>
    <n v="146"/>
    <d v="2026-03-01T00:00:00"/>
    <n v="34183"/>
    <s v="Box Culvert"/>
    <s v="Apron Slab Inculuding Cutoff Wall "/>
    <s v="C35"/>
    <n v="7.75"/>
    <n v="1"/>
    <n v="1"/>
    <s v="SCC  Lima"/>
    <s v="Lima"/>
    <x v="3"/>
  </r>
  <r>
    <n v="147"/>
    <d v="2026-03-02T00:00:00"/>
    <n v="47766"/>
    <s v="Concrete Barrier"/>
    <s v="Blinding Concrete"/>
    <s v="C15"/>
    <n v="20"/>
    <n v="2"/>
    <n v="2"/>
    <s v="SCC  Lima"/>
    <s v="Lima"/>
    <x v="3"/>
  </r>
  <r>
    <n v="148"/>
    <d v="2026-03-02T00:00:00"/>
    <n v="43870"/>
    <s v="Concrete Barrier"/>
    <s v="Type E (in situ)"/>
    <s v="C25"/>
    <n v="10"/>
    <n v="2"/>
    <n v="2"/>
    <s v="SCC  Lima"/>
    <s v="Lima"/>
    <x v="3"/>
  </r>
  <r>
    <n v="149"/>
    <d v="2026-03-02T00:00:00"/>
    <n v="28217"/>
    <s v="Box Culvert"/>
    <s v="Wall,Top slab"/>
    <s v="C35"/>
    <n v="146"/>
    <n v="14"/>
    <n v="14"/>
    <s v="SCC  Lima"/>
    <s v="Lima"/>
    <x v="3"/>
  </r>
  <r>
    <n v="150"/>
    <d v="2026-03-03T00:00:00"/>
    <n v="34597"/>
    <s v="Box Culvert"/>
    <s v="Catchpit wall"/>
    <s v="C35"/>
    <n v="13"/>
    <n v="2"/>
    <n v="2"/>
    <s v="SCC  Lima"/>
    <s v="Lima"/>
    <x v="3"/>
  </r>
  <r>
    <n v="151"/>
    <d v="2026-03-03T00:00:00"/>
    <n v="47788"/>
    <s v="Concrete Barrier"/>
    <s v="Type E (in situ)"/>
    <s v="C25"/>
    <n v="20"/>
    <n v="2"/>
    <n v="2"/>
    <s v="SCC  Lima"/>
    <s v="Lima"/>
    <x v="3"/>
  </r>
  <r>
    <n v="152"/>
    <d v="2026-03-03T00:00:00"/>
    <n v="20760"/>
    <s v="Concrete Barrier"/>
    <s v="Type E (in situ)"/>
    <s v="C25"/>
    <n v="19"/>
    <n v="3"/>
    <n v="3"/>
    <s v="SCC  Lima"/>
    <s v="Lima"/>
    <x v="3"/>
  </r>
  <r>
    <n v="153"/>
    <d v="2026-03-04T00:00:00"/>
    <n v="47777"/>
    <s v="Concrete Barrier"/>
    <s v="Type E (in situ)"/>
    <s v="C25"/>
    <n v="14.5"/>
    <n v="2"/>
    <n v="2"/>
    <s v="SCC  Lima"/>
    <s v="Lima"/>
    <x v="3"/>
  </r>
  <r>
    <n v="154"/>
    <d v="2026-03-04T00:00:00"/>
    <n v="34183"/>
    <s v="Box Culvert"/>
    <s v="Wall &amp; Top slab"/>
    <s v="C35"/>
    <n v="21"/>
    <n v="3"/>
    <n v="3"/>
    <s v="SCC  Lima"/>
    <s v="Lima"/>
    <x v="3"/>
  </r>
  <r>
    <n v="155"/>
    <d v="2026-03-05T00:00:00"/>
    <n v="47798"/>
    <s v="Concrete Barrier"/>
    <s v="Type E (in situ)"/>
    <s v="C25"/>
    <n v="20"/>
    <n v="3"/>
    <n v="3"/>
    <s v="SCC  Lima"/>
    <s v="Lima"/>
    <x v="3"/>
  </r>
  <r>
    <n v="156"/>
    <d v="2026-03-05T00:00:00"/>
    <n v="33720"/>
    <s v="Box Culvert"/>
    <s v="Base Slab"/>
    <s v="C35"/>
    <n v="15"/>
    <n v="2"/>
    <n v="2"/>
    <s v="SCC  Lima"/>
    <s v="Lima"/>
    <x v="3"/>
  </r>
  <r>
    <n v="157"/>
    <d v="2026-03-07T00:00:00"/>
    <n v="47758"/>
    <s v="Concrete Barrier"/>
    <s v="Type E (in situ)"/>
    <s v="C25"/>
    <n v="17.5"/>
    <n v="2"/>
    <n v="2"/>
    <s v="SCC  Lima"/>
    <s v="Lima"/>
    <x v="3"/>
  </r>
  <r>
    <n v="158"/>
    <d v="2026-03-07T00:00:00"/>
    <n v="47768"/>
    <s v="Concrete Barrier"/>
    <s v="Type E (in situ)"/>
    <s v="C25"/>
    <n v="22"/>
    <n v="3"/>
    <n v="3"/>
    <s v="SCC  Lima"/>
    <s v="Lima"/>
    <x v="3"/>
  </r>
  <r>
    <n v="159"/>
    <d v="2026-03-09T00:00:00"/>
    <n v="47758"/>
    <s v="Concrete Barrier"/>
    <s v="Type E (in situ)"/>
    <s v="C25"/>
    <n v="10"/>
    <n v="2"/>
    <n v="2"/>
    <s v="SCC  Lima"/>
    <s v="Lima"/>
    <x v="3"/>
  </r>
  <r>
    <n v="160"/>
    <d v="2026-03-09T00:00:00"/>
    <n v="33720"/>
    <s v="Box Culvert"/>
    <s v="Catchpit Base Slab "/>
    <s v="C35"/>
    <n v="10"/>
    <n v="1"/>
    <n v="1"/>
    <s v="SCC  Lima"/>
    <s v="Lima"/>
    <x v="3"/>
  </r>
  <r>
    <n v="161"/>
    <d v="2026-03-10T00:00:00"/>
    <n v="34597"/>
    <s v="Box Culvert"/>
    <s v="Apron Slab including Cutoff Wall"/>
    <s v="C35"/>
    <n v="9"/>
    <n v="1"/>
    <n v="1"/>
    <s v="SCC  Lima"/>
    <s v="Lima"/>
    <x v="3"/>
  </r>
  <r>
    <n v="162"/>
    <d v="2026-03-10T00:00:00"/>
    <n v="46458"/>
    <s v="Concrete Barrier"/>
    <s v="Type E (in situ)"/>
    <s v="C15"/>
    <n v="11"/>
    <n v="2"/>
    <n v="2"/>
    <s v="SCC  Lima"/>
    <s v="Lima"/>
    <x v="3"/>
  </r>
  <r>
    <n v="163"/>
    <d v="2026-03-10T00:00:00"/>
    <n v="47768"/>
    <s v="Concrete Barrier"/>
    <s v="Type E (in situ)"/>
    <s v="C25"/>
    <n v="12"/>
    <n v="2"/>
    <n v="2"/>
    <s v="SCC  Lima"/>
    <s v="Lima"/>
    <x v="3"/>
  </r>
  <r>
    <n v="164"/>
    <d v="2026-03-11T00:00:00"/>
    <n v="47778"/>
    <s v="Concrete Barrier"/>
    <s v="Type E (in situ)"/>
    <s v="C25"/>
    <n v="5.75"/>
    <n v="1"/>
    <n v="1"/>
    <s v="SCC  Lima"/>
    <s v="Lima"/>
    <x v="3"/>
  </r>
  <r>
    <n v="165"/>
    <d v="2026-03-11T00:00:00"/>
    <n v="46477"/>
    <s v="Concrete Barrier"/>
    <s v="Type E (in situ)"/>
    <s v="C15"/>
    <n v="6"/>
    <n v="1"/>
    <n v="1"/>
    <s v="SCC  Lima"/>
    <s v="Lima"/>
    <x v="3"/>
  </r>
  <r>
    <n v="166"/>
    <d v="2026-03-12T00:00:00"/>
    <n v="49395"/>
    <s v="Box Culvert"/>
    <s v="Blinding Concrete"/>
    <s v="C15"/>
    <n v="10"/>
    <n v="2"/>
    <n v="2"/>
    <s v="SCC  Lima"/>
    <s v="Lima"/>
    <x v="3"/>
  </r>
  <r>
    <n v="167"/>
    <d v="2026-03-12T00:00:00"/>
    <n v="34597"/>
    <s v="Box Culvert"/>
    <s v="Wing Wall"/>
    <s v="C35"/>
    <n v="6"/>
    <n v="1"/>
    <n v="1"/>
    <s v="SCC  Lima"/>
    <s v="Lima"/>
    <x v="3"/>
  </r>
  <r>
    <n v="168"/>
    <d v="2026-03-12T00:00:00"/>
    <n v="33720"/>
    <s v="Box Culvert"/>
    <s v="Top slab &amp; Headwall"/>
    <s v="C35"/>
    <n v="21.5"/>
    <n v="3"/>
    <n v="3"/>
    <s v="SCC  Lima"/>
    <s v="Lima"/>
    <x v="3"/>
  </r>
  <r>
    <n v="169"/>
    <d v="2026-03-12T00:00:00"/>
    <n v="20740"/>
    <s v="Concrete Barrier"/>
    <s v="Type E (in situ)"/>
    <s v="C25"/>
    <n v="18"/>
    <n v="2"/>
    <n v="2"/>
    <s v="SCC  Lima"/>
    <s v="Lima"/>
    <x v="3"/>
  </r>
  <r>
    <n v="170"/>
    <d v="2026-03-16T00:00:00"/>
    <n v="48790"/>
    <s v="Concrete Barrier"/>
    <s v="Type E (in situ)"/>
    <s v="C15"/>
    <n v="11"/>
    <n v="2"/>
    <n v="2"/>
    <s v="SCC  Lima"/>
    <s v="Lima"/>
    <x v="3"/>
  </r>
  <r>
    <n v="171"/>
    <d v="2026-03-16T00:00:00"/>
    <n v="28217"/>
    <s v="Box Culvert"/>
    <s v="Wall &amp; Top slab Including Head Wall "/>
    <s v="C35"/>
    <n v="176"/>
    <n v="18"/>
    <n v="18"/>
    <s v="SCC  Lima"/>
    <s v="Lima"/>
    <x v="3"/>
  </r>
  <r>
    <n v="172"/>
    <d v="2026-03-17T00:00:00"/>
    <n v="48790"/>
    <s v="Concrete Barrier"/>
    <s v="Type E (in situ)"/>
    <s v="C15"/>
    <n v="9.5"/>
    <n v="1"/>
    <n v="1"/>
    <s v="SCC  Lima"/>
    <s v="Lima"/>
    <x v="3"/>
  </r>
  <r>
    <n v="173"/>
    <d v="2026-03-17T00:00:00"/>
    <n v="48790"/>
    <s v="Concrete Barrier"/>
    <s v="Type E (in situ)"/>
    <s v="C25"/>
    <n v="10"/>
    <n v="1"/>
    <n v="1"/>
    <s v="SCC  Lima"/>
    <s v="Lima"/>
    <x v="3"/>
  </r>
  <r>
    <n v="174"/>
    <d v="2026-03-17T00:00:00"/>
    <n v="33720"/>
    <s v="Box Culvert"/>
    <s v="Catchpit wall and Apro slab outletside"/>
    <s v="C35"/>
    <n v="14"/>
    <n v="2"/>
    <n v="2"/>
    <s v="SCC  Lima"/>
    <s v="Lima"/>
    <x v="3"/>
  </r>
  <r>
    <n v="175"/>
    <d v="2026-03-17T00:00:00"/>
    <n v="36385"/>
    <s v="Box Culvert"/>
    <s v="Blinding Concrete"/>
    <s v="C15"/>
    <n v="72"/>
    <n v="8"/>
    <n v="8"/>
    <s v="SCC  Lima"/>
    <s v="Lima"/>
    <x v="3"/>
  </r>
  <r>
    <n v="176"/>
    <d v="2026-03-18T00:00:00"/>
    <n v="48800"/>
    <s v="Concrete Barrier"/>
    <s v="Type E (in situ)"/>
    <s v="C25"/>
    <n v="23"/>
    <n v="3"/>
    <n v="3"/>
    <s v="SCC  Lima"/>
    <s v="Lima"/>
    <x v="3"/>
  </r>
  <r>
    <n v="177"/>
    <d v="2026-03-18T00:00:00"/>
    <n v="33880"/>
    <s v="Box Culvert"/>
    <s v="Blinding concrete Inculuding Catchpit &amp; Drainage "/>
    <s v="C15"/>
    <n v="9"/>
    <n v="1"/>
    <n v="1"/>
    <s v="SCC  Lima"/>
    <s v="Lima"/>
    <x v="3"/>
  </r>
  <r>
    <n v="178"/>
    <d v="2026-03-18T00:00:00"/>
    <n v="49395"/>
    <s v="Box Culvert"/>
    <s v="Base Slab"/>
    <s v="C35"/>
    <n v="18.5"/>
    <n v="2"/>
    <n v="2"/>
    <s v="SCC  Lima"/>
    <s v="Lima"/>
    <x v="3"/>
  </r>
  <r>
    <n v="179"/>
    <d v="2026-03-18T00:00:00"/>
    <n v="36385"/>
    <s v="Box Culvert"/>
    <s v="Blinding Concrete"/>
    <s v="C15"/>
    <n v="45"/>
    <n v="5"/>
    <n v="5"/>
    <s v="SCC  Lima"/>
    <s v="Lima"/>
    <x v="3"/>
  </r>
  <r>
    <n v="180"/>
    <d v="2026-03-19T00:00:00"/>
    <n v="48800"/>
    <s v="Concrete Barrier"/>
    <s v="Type E (in situ)"/>
    <s v="C25"/>
    <n v="23.5"/>
    <n v="3"/>
    <n v="3"/>
    <s v="SCC  Lima"/>
    <s v="Lima"/>
    <x v="3"/>
  </r>
  <r>
    <n v="181"/>
    <d v="2026-03-22T00:00:00"/>
    <n v="48810"/>
    <s v="Concrete Barrier"/>
    <s v="Type E (in situ)"/>
    <s v="C25"/>
    <n v="29.5"/>
    <n v="4"/>
    <n v="4"/>
    <s v="SCC  Lima"/>
    <s v="Lima"/>
    <x v="3"/>
  </r>
  <r>
    <n v="182"/>
    <d v="2026-03-29T00:00:00"/>
    <n v="48800"/>
    <s v="Concrete Barrier"/>
    <s v="Type E (in situ)"/>
    <s v="C25"/>
    <n v="30"/>
    <n v="4"/>
    <n v="4"/>
    <s v="SCC  Lima"/>
    <s v="Lima"/>
    <x v="3"/>
  </r>
  <r>
    <n v="183"/>
    <d v="2026-03-30T00:00:00"/>
    <n v="20750"/>
    <s v="Concrete Barrier"/>
    <s v="Type E (in situ)"/>
    <s v="C25"/>
    <n v="18"/>
    <n v="2"/>
    <n v="2"/>
    <s v="SCC  Lima"/>
    <s v="Lima"/>
    <x v="3"/>
  </r>
  <r>
    <n v="184"/>
    <d v="2026-03-30T00:00:00"/>
    <n v="48885"/>
    <s v="Concrete Barrier"/>
    <s v="Type E (in situ)"/>
    <s v="C25"/>
    <n v="24"/>
    <n v="4"/>
    <n v="4"/>
    <s v="SCC  Lima"/>
    <s v="Lima"/>
    <x v="3"/>
  </r>
  <r>
    <n v="185"/>
    <d v="2026-03-31T00:00:00"/>
    <n v="43265"/>
    <s v="Concrete Barrier"/>
    <s v="Blinding concrete"/>
    <s v="C15"/>
    <n v="5.5"/>
    <n v="1"/>
    <n v="1"/>
    <s v="SCC  Lima"/>
    <s v="Lima"/>
    <x v="3"/>
  </r>
  <r>
    <n v="186"/>
    <d v="2026-03-31T00:00:00"/>
    <n v="48800"/>
    <s v="Concrete Barrier"/>
    <s v="Blinding concrete"/>
    <s v="C25"/>
    <n v="14.5"/>
    <n v="2"/>
    <n v="2"/>
    <s v="SCC  Lima"/>
    <s v="Lima"/>
    <x v="3"/>
  </r>
  <r>
    <n v="187"/>
    <d v="2026-04-01T00:00:00"/>
    <n v="27280"/>
    <s v="Box Culvert"/>
    <s v="Base Slab "/>
    <s v="C35"/>
    <n v="265"/>
    <n v="25"/>
    <n v="25"/>
    <s v="SCC  Lima"/>
    <s v="Lima"/>
    <x v="4"/>
  </r>
  <r>
    <n v="188"/>
    <d v="2026-04-01T00:00:00"/>
    <n v="48880"/>
    <s v="Concrete Barrier"/>
    <s v="Type E (in situ)"/>
    <s v="C25"/>
    <n v="15"/>
    <n v="2"/>
    <n v="2"/>
    <s v="SCC  Lima"/>
    <s v="Lima"/>
    <x v="4"/>
  </r>
  <r>
    <n v="189"/>
    <d v="2026-04-01T00:00:00"/>
    <n v="43291"/>
    <s v="Concrete Barrier"/>
    <s v="Type E (in situ)"/>
    <s v="C25"/>
    <n v="11.5"/>
    <n v="2"/>
    <n v="2"/>
    <s v="SCC  Lima"/>
    <s v="Lima"/>
    <x v="4"/>
  </r>
  <r>
    <n v="190"/>
    <d v="2026-04-02T00:00:00"/>
    <n v="48830"/>
    <s v="Concrete Barrier"/>
    <s v="Type E (in situ)"/>
    <s v="C25"/>
    <n v="9.5"/>
    <n v="2"/>
    <n v="2"/>
    <s v="SCC  Lima"/>
    <s v="Lima"/>
    <x v="4"/>
  </r>
  <r>
    <n v="191"/>
    <d v="2026-04-02T00:00:00"/>
    <n v="43265"/>
    <s v="Concrete Barrier"/>
    <s v="Type E (in situ)"/>
    <s v="C25"/>
    <n v="8"/>
    <n v="1"/>
    <n v="1"/>
    <s v="SCC  Lima"/>
    <s v="Lima"/>
    <x v="4"/>
  </r>
  <r>
    <n v="192"/>
    <d v="2026-04-02T00:00:00"/>
    <n v="42940"/>
    <s v="Concrete Barrier"/>
    <s v="Type E (in situ)"/>
    <s v="C15"/>
    <n v="8.5"/>
    <n v="2"/>
    <n v="2"/>
    <s v="SCC  Lima"/>
    <s v="Lima"/>
    <x v="4"/>
  </r>
  <r>
    <n v="193"/>
    <d v="2026-04-02T00:00:00"/>
    <n v="49395"/>
    <s v="Box Culvert"/>
    <s v="Top slab &amp; Headwall"/>
    <s v="C35"/>
    <n v="30.5"/>
    <n v="5"/>
    <n v="5"/>
    <s v="SCC  Lima"/>
    <s v="Lima"/>
    <x v="4"/>
  </r>
  <r>
    <n v="194"/>
    <d v="2026-04-04T00:00:00"/>
    <n v="48840"/>
    <s v="Concrete Barrier"/>
    <s v="Type E (in situ)"/>
    <s v="C25"/>
    <n v="14.5"/>
    <n v="3"/>
    <n v="3"/>
    <s v="SCC  Lima"/>
    <s v="Lima"/>
    <x v="4"/>
  </r>
  <r>
    <n v="195"/>
    <d v="2026-04-04T00:00:00"/>
    <n v="42950"/>
    <s v="Concrete Barrier"/>
    <s v="Type E (in situ)"/>
    <s v="C25"/>
    <n v="20"/>
    <n v="3"/>
    <n v="3"/>
    <s v="SCC  Lima"/>
    <s v="Lima"/>
    <x v="4"/>
  </r>
  <r>
    <n v="196"/>
    <d v="2026-04-05T00:00:00"/>
    <n v="42760"/>
    <s v="Concrete Barrier"/>
    <s v="Blinding concrete"/>
    <s v="C15"/>
    <n v="7"/>
    <n v="1"/>
    <n v="1"/>
    <s v="SCC  Lima"/>
    <s v="Lima"/>
    <x v="4"/>
  </r>
  <r>
    <n v="197"/>
    <d v="2026-04-05T00:00:00"/>
    <n v="48850"/>
    <s v="Concrete Barrier"/>
    <s v="Type E (in situ)"/>
    <s v="C25"/>
    <n v="16"/>
    <n v="2"/>
    <n v="2"/>
    <s v="SCC  Lima"/>
    <s v="Lima"/>
    <x v="4"/>
  </r>
  <r>
    <n v="198"/>
    <d v="2026-04-05T00:00:00"/>
    <n v="42820"/>
    <s v="Concrete Barrier"/>
    <s v="Type E (in situ)"/>
    <s v="C25"/>
    <n v="19"/>
    <n v="3"/>
    <n v="3"/>
    <s v="SCC  Lima"/>
    <s v="Lima"/>
    <x v="4"/>
  </r>
  <r>
    <n v="199"/>
    <d v="2026-04-05T00:00:00"/>
    <n v="20700"/>
    <s v="Concrete Barrier"/>
    <s v="Type E (in situ)"/>
    <s v="C25"/>
    <n v="18"/>
    <n v="2"/>
    <n v="2"/>
    <s v="SCC  Lima"/>
    <s v="Lima"/>
    <x v="4"/>
  </r>
  <r>
    <n v="200"/>
    <d v="2026-04-05T00:00:00"/>
    <n v="33880"/>
    <s v="Box Culvert"/>
    <s v="Base Slab "/>
    <s v="C35"/>
    <n v="23.5"/>
    <n v="3"/>
    <n v="3"/>
    <s v="SCC  Lima"/>
    <s v="Lima"/>
    <x v="4"/>
  </r>
  <r>
    <n v="201"/>
    <d v="2026-04-06T00:00:00"/>
    <n v="34183"/>
    <s v="Box Culvert"/>
    <s v="Wing Wall"/>
    <s v="C35"/>
    <n v="3.5"/>
    <n v="1"/>
    <n v="1"/>
    <s v="SCC  Lima"/>
    <s v="Lima"/>
    <x v="4"/>
  </r>
  <r>
    <n v="202"/>
    <d v="2026-04-06T00:00:00"/>
    <n v="38242"/>
    <s v="Box Culvert"/>
    <s v="Base Slab"/>
    <s v="C35"/>
    <n v="29"/>
    <n v="4"/>
    <n v="4"/>
    <s v="SCC  Lima"/>
    <s v="Lima"/>
    <x v="4"/>
  </r>
  <r>
    <n v="203"/>
    <d v="2026-04-06T00:00:00"/>
    <n v="43300"/>
    <s v="Concrete Barrier"/>
    <s v="Type E (in situ)"/>
    <s v="C25"/>
    <n v="33"/>
    <n v="4"/>
    <n v="4"/>
    <s v="SCC  Lima"/>
    <s v="Lima"/>
    <x v="4"/>
  </r>
  <r>
    <n v="204"/>
    <d v="2026-04-07T00:00:00"/>
    <n v="49395"/>
    <s v="Box Culvert"/>
    <s v="Blinding concrete"/>
    <s v="C15"/>
    <n v="3.5"/>
    <n v="1"/>
    <n v="1"/>
    <s v="SCC  Lima"/>
    <s v="Lima"/>
    <x v="4"/>
  </r>
  <r>
    <n v="205"/>
    <d v="2026-04-07T00:00:00"/>
    <n v="42930"/>
    <s v="Concrete Barrier"/>
    <s v="Type E (in situ)"/>
    <s v="C25"/>
    <n v="32.5"/>
    <n v="4"/>
    <n v="4"/>
    <s v="SCC  Lima"/>
    <s v="Lima"/>
    <x v="4"/>
  </r>
  <r>
    <n v="206"/>
    <d v="2026-04-08T00:00:00"/>
    <n v="49395"/>
    <s v="Box Culvert"/>
    <s v="Apron Slab including Cutoff Wall"/>
    <s v="C35"/>
    <n v="7.5"/>
    <n v="2"/>
    <n v="2"/>
    <s v="SCC  Lima"/>
    <s v="Lima"/>
    <x v="4"/>
  </r>
  <r>
    <n v="207"/>
    <d v="2026-04-08T00:00:00"/>
    <n v="38396"/>
    <s v="Box Culvert"/>
    <s v="Wing Wall &amp; inlet Side"/>
    <s v="C35"/>
    <n v="20"/>
    <n v="3"/>
    <n v="3"/>
    <s v="SCC  Lima"/>
    <s v="Lima"/>
    <x v="4"/>
  </r>
  <r>
    <n v="208"/>
    <d v="2026-04-08T00:00:00"/>
    <n v="32890"/>
    <s v="Concrete Barrier"/>
    <s v="Type E (in situ)"/>
    <s v="C25"/>
    <n v="36.5"/>
    <n v="5"/>
    <n v="5"/>
    <s v="SCC  Lima"/>
    <s v="Lima"/>
    <x v="4"/>
  </r>
  <r>
    <n v="209"/>
    <d v="2026-04-08T00:00:00"/>
    <n v="33880"/>
    <s v="Box Culvert"/>
    <s v="Base Slab including Catchpit "/>
    <s v="C35"/>
    <n v="8"/>
    <n v="1"/>
    <n v="1"/>
    <s v="SCC  Lima"/>
    <s v="Lima"/>
    <x v="4"/>
  </r>
  <r>
    <n v="210"/>
    <d v="2026-04-09T00:00:00"/>
    <n v="20710"/>
    <s v="Concrete Barrier"/>
    <s v="Type E (in situ)"/>
    <s v="C25"/>
    <n v="18"/>
    <n v="2"/>
    <n v="2"/>
    <s v="SCC  Lima"/>
    <s v="Lima"/>
    <x v="4"/>
  </r>
  <r>
    <n v="211"/>
    <d v="2026-04-09T00:00:00"/>
    <n v="42840"/>
    <s v="Concrete Barrier"/>
    <s v="Type E (in situ)"/>
    <s v="C25"/>
    <n v="28"/>
    <n v="4"/>
    <n v="4"/>
    <s v="SCC  Lima"/>
    <s v="Lima"/>
    <x v="4"/>
  </r>
  <r>
    <n v="212"/>
    <d v="2026-04-09T00:00:00"/>
    <n v="49395"/>
    <s v="Box Culvert"/>
    <s v="Apron Slab Inculuding Catchpit Wall"/>
    <s v="C35"/>
    <n v="7.5"/>
    <n v="1"/>
    <n v="1"/>
    <s v="SCC  Lima"/>
    <s v="Lima"/>
    <x v="4"/>
  </r>
  <r>
    <n v="213"/>
    <d v="2026-04-11T00:00:00"/>
    <n v="43355"/>
    <s v="Concrete Barrier"/>
    <s v="Blinding concrete"/>
    <s v="C15"/>
    <n v="6.5"/>
    <n v="1"/>
    <n v="1"/>
    <s v="SCC  Lima"/>
    <s v="Lima"/>
    <x v="4"/>
  </r>
  <r>
    <n v="214"/>
    <d v="2026-04-11T00:00:00"/>
    <n v="33880"/>
    <s v="Box Culvert"/>
    <s v="Top Slab and Head wall"/>
    <s v="C35"/>
    <n v="35.6"/>
    <n v="5"/>
    <n v="5"/>
    <s v="SCC  Lima"/>
    <s v="Lima"/>
    <x v="4"/>
  </r>
  <r>
    <n v="215"/>
    <d v="2026-04-11T00:00:00"/>
    <n v="34277"/>
    <s v="Box Culvert"/>
    <s v="Blinding concrete including Catchpit Wall"/>
    <s v="C15"/>
    <n v="6"/>
    <n v="1"/>
    <n v="1"/>
    <s v="SCC  Lima"/>
    <s v="Lima"/>
    <x v="4"/>
  </r>
  <r>
    <n v="216"/>
    <d v="2026-04-11T00:00:00"/>
    <n v="42780"/>
    <s v="Concrete Barrier"/>
    <s v="Type E (in situ)"/>
    <s v="C25"/>
    <n v="20"/>
    <n v="3"/>
    <n v="3"/>
    <s v="SCC  Lima"/>
    <s v="Lima"/>
    <x v="4"/>
  </r>
  <r>
    <n v="217"/>
    <d v="2026-04-11T00:00:00"/>
    <n v="30190"/>
    <s v="Box Culvert"/>
    <s v="Wing Wall"/>
    <s v="C35"/>
    <n v="7"/>
    <n v="2"/>
    <n v="2"/>
    <s v="SCC  Lima"/>
    <s v="Lima"/>
    <x v="4"/>
  </r>
  <r>
    <n v="218"/>
    <d v="2026-04-12T00:00:00"/>
    <n v="42790"/>
    <s v="Concrete Barrier"/>
    <s v="Type E (in situ)"/>
    <s v="C25"/>
    <n v="33.5"/>
    <n v="5"/>
    <n v="5"/>
    <s v="SCC  Lima"/>
    <s v="Lima"/>
    <x v="4"/>
  </r>
  <r>
    <n v="219"/>
    <d v="2026-04-13T00:00:00"/>
    <n v="49395"/>
    <s v="Box Culvert"/>
    <s v="Wing Wall "/>
    <s v="C35"/>
    <n v="5"/>
    <n v="1"/>
    <n v="1"/>
    <s v="SCC  Lima"/>
    <s v="Lima"/>
    <x v="4"/>
  </r>
  <r>
    <n v="220"/>
    <d v="2026-04-13T00:00:00"/>
    <n v="43020"/>
    <s v="Concrete Barrier"/>
    <s v="Type E (in situ)"/>
    <s v="C25"/>
    <n v="28"/>
    <n v="4"/>
    <n v="4"/>
    <s v="SCC  Lima"/>
    <s v="Lima"/>
    <x v="4"/>
  </r>
  <r>
    <n v="221"/>
    <d v="2026-04-13T00:00:00"/>
    <n v="27280"/>
    <s v="Box Culvert"/>
    <s v="Base Slab"/>
    <s v="C35"/>
    <n v="270"/>
    <n v="25"/>
    <n v="25"/>
    <s v="SCC  Lima"/>
    <s v="Lima"/>
    <x v="4"/>
  </r>
  <r>
    <n v="222"/>
    <d v="2026-04-14T00:00:00"/>
    <n v="43030"/>
    <s v="Concrete Barrier"/>
    <s v="Type E (in situ)"/>
    <s v="C25"/>
    <n v="17.5"/>
    <n v="3"/>
    <n v="3"/>
    <s v="SCC  Lima"/>
    <s v="Lima"/>
    <x v="4"/>
  </r>
  <r>
    <n v="223"/>
    <d v="2026-04-14T00:00:00"/>
    <n v="43685"/>
    <s v="Concrete Barrier"/>
    <s v="Blinding Concrete"/>
    <s v="C15"/>
    <n v="4"/>
    <n v="1"/>
    <n v="1"/>
    <s v="SCC  Lima"/>
    <s v="Lima"/>
    <x v="4"/>
  </r>
  <r>
    <n v="224"/>
    <d v="2026-04-15T00:00:00"/>
    <n v="34277"/>
    <s v="Box Culvert"/>
    <s v="Base Slab"/>
    <s v="C35"/>
    <n v="19"/>
    <n v="3"/>
    <n v="3"/>
    <s v="SCC  Lima"/>
    <s v="Lima"/>
    <x v="4"/>
  </r>
  <r>
    <n v="225"/>
    <d v="2026-04-15T00:00:00"/>
    <n v="43395"/>
    <s v="Concrete Barrier"/>
    <s v="Type E (in situ)"/>
    <s v="C25"/>
    <n v="16"/>
    <n v="2"/>
    <n v="2"/>
    <s v="SCC  Lima"/>
    <s v="Lima"/>
    <x v="4"/>
  </r>
  <r>
    <n v="226"/>
    <d v="2026-04-15T00:00:00"/>
    <n v="43271"/>
    <s v="Concrete Barrier"/>
    <s v="Type E (in situ)"/>
    <s v="C30"/>
    <n v="12"/>
    <n v="2"/>
    <n v="2"/>
    <s v="SCC  Lima"/>
    <s v="Lima"/>
    <x v="4"/>
  </r>
  <r>
    <n v="227"/>
    <d v="2026-04-16T00:00:00"/>
    <n v="22876"/>
    <s v="OBB Duct"/>
    <s v="Future Duct"/>
    <s v="C25"/>
    <n v="7.5"/>
    <n v="1"/>
    <n v="1"/>
    <s v="SCC  Lima"/>
    <s v="Lima"/>
    <x v="4"/>
  </r>
  <r>
    <n v="228"/>
    <d v="2026-04-16T00:00:00"/>
    <n v="38242"/>
    <s v="Box Culvert"/>
    <s v="Wall &amp; Top Slab"/>
    <s v="C35"/>
    <n v="42"/>
    <n v="5"/>
    <n v="5"/>
    <s v="SCC  Lima"/>
    <s v="Lima"/>
    <x v="4"/>
  </r>
  <r>
    <n v="229"/>
    <d v="2026-04-16T00:00:00"/>
    <n v="39901"/>
    <s v="Box Culvert"/>
    <s v="Wing Wall "/>
    <s v="C35"/>
    <n v="18.5"/>
    <n v="3"/>
    <n v="3"/>
    <s v="SCC  Lima"/>
    <s v="Lima"/>
    <x v="4"/>
  </r>
  <r>
    <n v="230"/>
    <d v="2026-04-16T00:00:00"/>
    <n v="46130"/>
    <s v="Drainage"/>
    <s v="Ditch Lining "/>
    <s v="C25"/>
    <n v="6"/>
    <n v="1"/>
    <n v="1"/>
    <s v="SCC  Lima"/>
    <s v="Lima"/>
    <x v="4"/>
  </r>
  <r>
    <n v="231"/>
    <d v="2026-04-16T00:00:00"/>
    <n v="43375"/>
    <s v="Concrete Barrier"/>
    <s v="Type E (in situ)"/>
    <s v="C25"/>
    <n v="15"/>
    <n v="3"/>
    <n v="3"/>
    <s v="SCC  Lima"/>
    <s v="Lima"/>
    <x v="4"/>
  </r>
  <r>
    <n v="232"/>
    <d v="2026-04-16T00:00:00"/>
    <n v="37177"/>
    <s v="Box Culvert"/>
    <s v="Blinding Concrete"/>
    <s v="C15"/>
    <n v="6.5"/>
    <n v="1"/>
    <n v="1"/>
    <s v="SCC  Lima"/>
    <s v="Lima"/>
    <x v="4"/>
  </r>
  <r>
    <n v="233"/>
    <d v="2026-04-18T00:00:00"/>
    <n v="43385"/>
    <s v="Concrete Barrier"/>
    <s v="Type E (in situ)"/>
    <s v="C25"/>
    <n v="9.5"/>
    <n v="2"/>
    <n v="2"/>
    <s v="SCC  Lima"/>
    <s v="Lima"/>
    <x v="4"/>
  </r>
  <r>
    <n v="234"/>
    <d v="2026-04-18T00:00:00"/>
    <n v="46150"/>
    <s v="Drainage"/>
    <s v="Ditch Lining "/>
    <s v="C25"/>
    <n v="12.5"/>
    <n v="2"/>
    <n v="2"/>
    <s v="SCC  Lima"/>
    <s v="Lima"/>
    <x v="4"/>
  </r>
  <r>
    <n v="235"/>
    <d v="2026-04-19T00:00:00"/>
    <n v="43705"/>
    <s v="Concrete Barrier"/>
    <s v="Type E (in situ)"/>
    <s v="C25"/>
    <n v="6"/>
    <n v="1"/>
    <n v="1"/>
    <s v="SCC  Lima"/>
    <s v="Lima"/>
    <x v="4"/>
  </r>
  <r>
    <n v="236"/>
    <d v="2026-04-19T00:00:00"/>
    <n v="46120"/>
    <s v="Drainage"/>
    <s v="Ditch Lining "/>
    <s v="C25"/>
    <n v="19"/>
    <n v="3"/>
    <n v="3"/>
    <s v="SCC  Lima"/>
    <s v="Lima"/>
    <x v="4"/>
  </r>
  <r>
    <n v="237"/>
    <d v="2026-04-20T00:00:00"/>
    <n v="46115"/>
    <s v="Drainage"/>
    <s v="Ditch Lining "/>
    <s v="C25"/>
    <n v="18.5"/>
    <n v="3"/>
    <n v="3"/>
    <s v="SCC  Lima"/>
    <s v="Lima"/>
    <x v="4"/>
  </r>
  <r>
    <n v="238"/>
    <d v="2026-04-20T00:00:00"/>
    <n v="22412"/>
    <s v="OBB Duct"/>
    <s v="Future Duct"/>
    <s v="C25"/>
    <n v="8"/>
    <n v="1"/>
    <n v="1"/>
    <s v="SCC  Lima"/>
    <s v="Lima"/>
    <x v="4"/>
  </r>
  <r>
    <n v="239"/>
    <d v="2026-04-21T00:00:00"/>
    <n v="34277"/>
    <s v="Box Culvert"/>
    <s v="Top Slab &amp; Head Wall"/>
    <s v="C35"/>
    <n v="26"/>
    <n v="3"/>
    <n v="3"/>
    <s v="SCC  Lima"/>
    <s v="Lima"/>
    <x v="4"/>
  </r>
  <r>
    <n v="240"/>
    <d v="2026-04-21T00:00:00"/>
    <n v="46180"/>
    <s v="Drainage"/>
    <s v="Ditch Lining "/>
    <s v="C25"/>
    <n v="18"/>
    <n v="3"/>
    <n v="3"/>
    <s v="SCC  Lima"/>
    <s v="Lima"/>
    <x v="4"/>
  </r>
  <r>
    <n v="241"/>
    <d v="2026-04-21T00:00:00"/>
    <n v="25435"/>
    <s v="Box Culvert"/>
    <s v="Blinding Concrete"/>
    <s v="C15"/>
    <n v="26"/>
    <n v="3"/>
    <n v="3"/>
    <s v="SCC  Lima"/>
    <s v="Lima"/>
    <x v="4"/>
  </r>
  <r>
    <n v="242"/>
    <d v="2026-04-22T00:00:00"/>
    <n v="46190"/>
    <s v="Drainage"/>
    <s v="Ditch Lining "/>
    <s v="C25"/>
    <n v="18"/>
    <n v="3"/>
    <n v="3"/>
    <s v="SCC  Lima"/>
    <s v="Lima"/>
    <x v="4"/>
  </r>
  <r>
    <n v="243"/>
    <d v="2026-04-22T00:00:00"/>
    <n v="37177"/>
    <s v="Box Culvert"/>
    <s v="Base Slab "/>
    <s v="C35"/>
    <n v="19"/>
    <n v="3"/>
    <n v="3"/>
    <s v="SCC  Lima"/>
    <s v="Lima"/>
    <x v="4"/>
  </r>
  <r>
    <n v="244"/>
    <d v="2026-04-23T00:00:00"/>
    <n v="46240"/>
    <s v="Drainage"/>
    <s v="Ditch Lining "/>
    <s v="C25"/>
    <n v="22"/>
    <n v="3"/>
    <n v="3"/>
    <s v="SCC  Lima"/>
    <s v="Lima"/>
    <x v="4"/>
  </r>
  <r>
    <n v="245"/>
    <d v="2026-04-25T00:00:00"/>
    <n v="46260"/>
    <s v="Drainage"/>
    <s v="Ditch Lining "/>
    <s v="C25"/>
    <n v="26.5"/>
    <n v="3"/>
    <n v="3"/>
    <s v="SCC  Lima"/>
    <s v="Lima"/>
    <x v="4"/>
  </r>
  <r>
    <n v="246"/>
    <d v="2026-04-26T00:00:00"/>
    <n v="45690"/>
    <s v="Drainage"/>
    <s v="Ditch Lining "/>
    <s v="C25"/>
    <n v="28"/>
    <n v="5"/>
    <n v="5"/>
    <s v="SCC  Lima"/>
    <s v="Lima"/>
    <x v="4"/>
  </r>
  <r>
    <n v="247"/>
    <d v="2026-04-26T00:00:00"/>
    <n v="37177"/>
    <s v="Box Culvert"/>
    <s v="Top Slab &amp; Head Wall"/>
    <s v="C35"/>
    <n v="24"/>
    <n v="3"/>
    <n v="3"/>
    <s v="SCC  Lima"/>
    <s v="Lima"/>
    <x v="4"/>
  </r>
  <r>
    <n v="248"/>
    <d v="2026-04-27T00:00:00"/>
    <n v="45730"/>
    <s v="Drainage"/>
    <s v="Ditch Lining "/>
    <s v="C25"/>
    <n v="25"/>
    <m/>
    <m/>
    <s v="SCC  Lima"/>
    <s v="Lima"/>
    <x v="4"/>
  </r>
  <r>
    <n v="249"/>
    <d v="2026-04-28T00:00:00"/>
    <n v="45700"/>
    <s v="Drainage"/>
    <s v="Ditch Lining "/>
    <s v="C25"/>
    <n v="25.5"/>
    <m/>
    <m/>
    <s v="SCC  Lima"/>
    <s v="Lima"/>
    <x v="4"/>
  </r>
  <r>
    <n v="250"/>
    <d v="2026-04-28T00:00:00"/>
    <n v="34277"/>
    <s v="Box Culvert"/>
    <s v="CatchPit wall"/>
    <s v="C35"/>
    <n v="7"/>
    <m/>
    <m/>
    <s v="SCC  Lima"/>
    <s v="Lima"/>
    <x v="4"/>
  </r>
  <r>
    <n v="251"/>
    <d v="2026-04-28T00:00:00"/>
    <n v="33880"/>
    <s v="Box Culvert"/>
    <s v="Apron Slab"/>
    <s v="C35"/>
    <n v="8"/>
    <m/>
    <m/>
    <s v="SCC  Lima"/>
    <s v="Lima"/>
    <x v="4"/>
  </r>
  <r>
    <n v="252"/>
    <d v="2026-04-29T00:00:00"/>
    <n v="45760"/>
    <s v="Drainage"/>
    <s v="Ditch Lining "/>
    <s v="C25"/>
    <m/>
    <m/>
    <m/>
    <s v="SCC  Lima"/>
    <s v="Lima"/>
    <x v="4"/>
  </r>
  <r>
    <n v="253"/>
    <d v="2026-04-29T00:00:00"/>
    <n v="38242"/>
    <s v="Box Culvert"/>
    <s v="Blinding Concrete"/>
    <s v="C15"/>
    <m/>
    <m/>
    <m/>
    <s v="SCC  Lima"/>
    <s v="Lima"/>
    <x v="4"/>
  </r>
  <r>
    <n v="254"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m/>
    <x v="6"/>
  </r>
  <r>
    <m/>
    <m/>
    <m/>
    <m/>
    <m/>
    <m/>
    <m/>
    <m/>
    <m/>
    <m/>
    <m/>
    <x v="6"/>
  </r>
  <r>
    <m/>
    <m/>
    <m/>
    <m/>
    <m/>
    <m/>
    <m/>
    <m/>
    <m/>
    <m/>
    <m/>
    <x v="6"/>
  </r>
  <r>
    <m/>
    <m/>
    <m/>
    <m/>
    <m/>
    <m/>
    <m/>
    <m/>
    <m/>
    <m/>
    <m/>
    <x v="6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m/>
    <x v="6"/>
  </r>
  <r>
    <m/>
    <m/>
    <m/>
    <m/>
    <m/>
    <m/>
    <m/>
    <m/>
    <m/>
    <m/>
    <m/>
    <x v="6"/>
  </r>
  <r>
    <m/>
    <m/>
    <m/>
    <m/>
    <m/>
    <m/>
    <m/>
    <m/>
    <m/>
    <m/>
    <m/>
    <x v="6"/>
  </r>
  <r>
    <m/>
    <m/>
    <m/>
    <m/>
    <m/>
    <m/>
    <m/>
    <m/>
    <m/>
    <m/>
    <m/>
    <x v="6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  <r>
    <m/>
    <m/>
    <m/>
    <m/>
    <m/>
    <m/>
    <m/>
    <m/>
    <m/>
    <m/>
    <s v="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14A90-C7CC-4B6F-83F7-A7C00E7BA7EB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8">
        <item x="5"/>
        <item m="1" x="9"/>
        <item x="4"/>
        <item m="1" x="13"/>
        <item x="0"/>
        <item m="1" x="7"/>
        <item x="2"/>
        <item x="1"/>
        <item m="1" x="12"/>
        <item m="1" x="11"/>
        <item m="1" x="8"/>
        <item x="3"/>
        <item m="1" x="10"/>
        <item m="1" x="16"/>
        <item m="1" x="15"/>
        <item m="1" x="14"/>
        <item x="6"/>
        <item t="default"/>
      </items>
    </pivotField>
  </pivotFields>
  <rowFields count="1">
    <field x="11"/>
  </rowFields>
  <rowItems count="8">
    <i>
      <x/>
    </i>
    <i>
      <x v="2"/>
    </i>
    <i>
      <x v="4"/>
    </i>
    <i>
      <x v="6"/>
    </i>
    <i>
      <x v="7"/>
    </i>
    <i>
      <x v="11"/>
    </i>
    <i>
      <x v="16"/>
    </i>
    <i t="grand">
      <x/>
    </i>
  </rowItems>
  <colItems count="1">
    <i/>
  </colItems>
  <dataFields count="1">
    <dataField name="Sum of Quantity (m3)" fld="6" baseField="1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M798">
  <tableColumns count="12">
    <tableColumn id="1" xr3:uid="{00000000-0010-0000-0000-000001000000}" name="Sl. No."/>
    <tableColumn id="2" xr3:uid="{00000000-0010-0000-0000-000002000000}" name="Date"/>
    <tableColumn id="3" xr3:uid="{00000000-0010-0000-0000-000003000000}" name="Location / Chainage"/>
    <tableColumn id="4" xr3:uid="{00000000-0010-0000-0000-000004000000}" name="Structure"/>
    <tableColumn id="5" xr3:uid="{00000000-0010-0000-0000-000005000000}" name="Element"/>
    <tableColumn id="6" xr3:uid="{00000000-0010-0000-0000-000006000000}" name="Grade"/>
    <tableColumn id="7" xr3:uid="{00000000-0010-0000-0000-000007000000}" name="Quantity (m3)"/>
    <tableColumn id="8" xr3:uid="{00000000-0010-0000-0000-000008000000}" name="Slump"/>
    <tableColumn id="9" xr3:uid="{00000000-0010-0000-0000-000009000000}" name="Temperature"/>
    <tableColumn id="10" xr3:uid="{00000000-0010-0000-0000-00000A000000}" name="Plant"/>
    <tableColumn id="11" xr3:uid="{00000000-0010-0000-0000-00000B000000}" name="Section"/>
    <tableColumn id="12" xr3:uid="{00000000-0010-0000-0000-00000C000000}" name="Month"/>
  </tableColumns>
  <tableStyleInfo name="Li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28FE-5A3B-4933-B8CC-1D752C7EE84B}">
  <dimension ref="A3:B11"/>
  <sheetViews>
    <sheetView tabSelected="1" workbookViewId="0">
      <selection activeCell="G6" sqref="G6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6" t="s">
        <v>40</v>
      </c>
      <c r="B3" s="7" t="s">
        <v>41</v>
      </c>
    </row>
    <row r="4" spans="1:2" x14ac:dyDescent="0.3">
      <c r="A4" s="8"/>
      <c r="B4" s="7"/>
    </row>
    <row r="5" spans="1:2" x14ac:dyDescent="0.3">
      <c r="A5" s="9" t="s">
        <v>176</v>
      </c>
      <c r="B5" s="10">
        <v>1615.1</v>
      </c>
    </row>
    <row r="6" spans="1:2" x14ac:dyDescent="0.3">
      <c r="A6" s="9" t="s">
        <v>177</v>
      </c>
      <c r="B6" s="10">
        <v>1485.25</v>
      </c>
    </row>
    <row r="7" spans="1:2" x14ac:dyDescent="0.3">
      <c r="A7" s="9" t="s">
        <v>178</v>
      </c>
      <c r="B7" s="10">
        <v>1870.25</v>
      </c>
    </row>
    <row r="8" spans="1:2" x14ac:dyDescent="0.3">
      <c r="A8" s="9" t="s">
        <v>179</v>
      </c>
      <c r="B8" s="10">
        <v>2173.75</v>
      </c>
    </row>
    <row r="9" spans="1:2" x14ac:dyDescent="0.3">
      <c r="A9" s="9" t="s">
        <v>180</v>
      </c>
      <c r="B9" s="10">
        <v>1013.5</v>
      </c>
    </row>
    <row r="10" spans="1:2" x14ac:dyDescent="0.3">
      <c r="A10" s="9" t="s">
        <v>181</v>
      </c>
      <c r="B10" s="10"/>
    </row>
    <row r="11" spans="1:2" x14ac:dyDescent="0.3">
      <c r="A11" s="11" t="s">
        <v>42</v>
      </c>
      <c r="B11" s="12">
        <v>8157.85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8"/>
  <sheetViews>
    <sheetView zoomScale="90" zoomScaleNormal="90" workbookViewId="0">
      <selection activeCell="Q17" sqref="Q17"/>
    </sheetView>
  </sheetViews>
  <sheetFormatPr defaultColWidth="14.44140625" defaultRowHeight="15" customHeight="1" x14ac:dyDescent="0.3"/>
  <cols>
    <col min="1" max="1" width="4.21875" customWidth="1"/>
    <col min="2" max="2" width="9.5546875" customWidth="1"/>
    <col min="3" max="3" width="10.5546875" customWidth="1"/>
    <col min="4" max="4" width="16.5546875" customWidth="1"/>
    <col min="5" max="5" width="18.5546875" customWidth="1"/>
    <col min="6" max="6" width="35.5546875" customWidth="1"/>
    <col min="7" max="7" width="10.5546875" customWidth="1"/>
    <col min="8" max="8" width="12.5546875" customWidth="1"/>
    <col min="9" max="10" width="12.5546875" hidden="1" customWidth="1"/>
    <col min="11" max="11" width="15.5546875" customWidth="1"/>
    <col min="12" max="12" width="9.5546875" customWidth="1"/>
    <col min="13" max="13" width="10.5546875" customWidth="1"/>
    <col min="14" max="14" width="16.5546875" customWidth="1"/>
    <col min="15" max="15" width="10.21875" customWidth="1"/>
    <col min="16" max="25" width="8.5546875" customWidth="1"/>
  </cols>
  <sheetData>
    <row r="1" spans="1:25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3">
      <c r="A4" s="1"/>
      <c r="B4" s="1">
        <v>1</v>
      </c>
      <c r="C4" s="2">
        <v>45992</v>
      </c>
      <c r="D4" s="4">
        <v>47147</v>
      </c>
      <c r="E4" s="1" t="s">
        <v>12</v>
      </c>
      <c r="F4" s="3" t="s">
        <v>47</v>
      </c>
      <c r="G4" s="1" t="s">
        <v>18</v>
      </c>
      <c r="H4" s="1">
        <v>124</v>
      </c>
      <c r="I4" s="1">
        <v>12</v>
      </c>
      <c r="J4" s="1">
        <v>12</v>
      </c>
      <c r="K4" s="1" t="s">
        <v>15</v>
      </c>
      <c r="L4" s="1" t="str">
        <f>IF(Lima!$D4="Precast",#REF!,IF(Lima!$D4="","",IF(Lima!$D4&lt;20000,"Khasab",IF(Lima!$D4&lt;50000, "Lima",IF(Lima!$D4&lt;72000,"Daba")))))</f>
        <v>Lima</v>
      </c>
      <c r="M4" s="1" t="str">
        <f>IF(Lima!$C4="","",TEXT(Lima!$C4,"mmm  yy"))</f>
        <v>Dec  25</v>
      </c>
      <c r="N4" s="1" t="s">
        <v>35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3">
      <c r="A5" s="1"/>
      <c r="B5" s="1">
        <f>+B4+1</f>
        <v>2</v>
      </c>
      <c r="C5" s="2">
        <v>45993</v>
      </c>
      <c r="D5" s="4">
        <v>29035.572</v>
      </c>
      <c r="E5" s="1" t="s">
        <v>20</v>
      </c>
      <c r="F5" s="3" t="s">
        <v>48</v>
      </c>
      <c r="G5" s="1" t="s">
        <v>25</v>
      </c>
      <c r="H5" s="1">
        <v>60</v>
      </c>
      <c r="I5" s="1">
        <v>6</v>
      </c>
      <c r="J5" s="1">
        <v>6</v>
      </c>
      <c r="K5" s="1" t="s">
        <v>36</v>
      </c>
      <c r="L5" s="1" t="str">
        <f>IF(Lima!$D5="Precast",#REF!,IF(Lima!$D5="","",IF(Lima!$D5&lt;20000,"Khasab",IF(Lima!$D5&lt;50000, "Lima",IF(Lima!$D5&lt;72000,"Daba")))))</f>
        <v>Lima</v>
      </c>
      <c r="M5" s="1" t="str">
        <f>IF(Lima!$C5="","",TEXT(Lima!$C5,"mmm  yy"))</f>
        <v>Dec  25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3">
      <c r="A6" s="1"/>
      <c r="B6" s="1">
        <f t="shared" ref="B6:B69" si="0">+B5+1</f>
        <v>3</v>
      </c>
      <c r="C6" s="2">
        <v>45993</v>
      </c>
      <c r="D6" s="4">
        <v>35913</v>
      </c>
      <c r="E6" s="1" t="s">
        <v>12</v>
      </c>
      <c r="F6" s="3" t="s">
        <v>46</v>
      </c>
      <c r="G6" s="1" t="s">
        <v>14</v>
      </c>
      <c r="H6" s="1">
        <v>12.5</v>
      </c>
      <c r="I6" s="1">
        <v>2</v>
      </c>
      <c r="J6" s="1">
        <v>2</v>
      </c>
      <c r="K6" s="1" t="s">
        <v>36</v>
      </c>
      <c r="L6" s="1" t="str">
        <f>IF(Lima!$D6="Precast",#REF!,IF(Lima!$D6="","",IF(Lima!$D6&lt;20000,"Khasab",IF(Lima!$D6&lt;50000, "Lima",IF(Lima!$D6&lt;72000,"Daba")))))</f>
        <v>Lima</v>
      </c>
      <c r="M6" s="1" t="str">
        <f>IF(Lima!$C6="","",TEXT(Lima!$C6,"mmm  yy"))</f>
        <v>Dec  25</v>
      </c>
      <c r="N6" s="1" t="s">
        <v>39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3">
      <c r="A7" s="1"/>
      <c r="B7" s="1">
        <f t="shared" si="0"/>
        <v>4</v>
      </c>
      <c r="C7" s="2">
        <v>45993</v>
      </c>
      <c r="D7" s="4">
        <v>38936</v>
      </c>
      <c r="E7" s="1" t="s">
        <v>12</v>
      </c>
      <c r="F7" s="3" t="s">
        <v>46</v>
      </c>
      <c r="G7" s="1" t="s">
        <v>14</v>
      </c>
      <c r="H7" s="1" t="s">
        <v>19</v>
      </c>
      <c r="I7" s="1" t="s">
        <v>19</v>
      </c>
      <c r="J7" s="1" t="s">
        <v>19</v>
      </c>
      <c r="K7" s="1" t="s">
        <v>36</v>
      </c>
      <c r="L7" s="1" t="str">
        <f>IF(Lima!$D7="Precast",#REF!,IF(Lima!$D7="","",IF(Lima!$D7&lt;20000,"Khasab",IF(Lima!$D7&lt;50000, "Lima",IF(Lima!$D7&lt;72000,"Daba")))))</f>
        <v>Lima</v>
      </c>
      <c r="M7" s="1" t="str">
        <f>IF(Lima!$C7="","",TEXT(Lima!$C7,"mmm  yy"))</f>
        <v>Dec  25</v>
      </c>
      <c r="N7" s="1" t="s">
        <v>55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3">
      <c r="A8" s="1"/>
      <c r="B8" s="1">
        <f t="shared" si="0"/>
        <v>5</v>
      </c>
      <c r="C8" s="2">
        <v>45993</v>
      </c>
      <c r="D8" s="4">
        <v>46421</v>
      </c>
      <c r="E8" s="1" t="s">
        <v>12</v>
      </c>
      <c r="F8" s="3" t="s">
        <v>33</v>
      </c>
      <c r="G8" s="1" t="s">
        <v>18</v>
      </c>
      <c r="H8" s="1">
        <v>44.5</v>
      </c>
      <c r="I8" s="1">
        <v>5</v>
      </c>
      <c r="J8" s="1">
        <v>5</v>
      </c>
      <c r="K8" s="1" t="s">
        <v>36</v>
      </c>
      <c r="L8" s="1" t="str">
        <f>IF(Lima!$D8="Precast",#REF!,IF(Lima!$D8="","",IF(Lima!$D8&lt;20000,"Khasab",IF(Lima!$D8&lt;50000, "Lima",IF(Lima!$D8&lt;72000,"Daba")))))</f>
        <v>Lima</v>
      </c>
      <c r="M8" s="1" t="str">
        <f>IF(Lima!$C8="","",TEXT(Lima!$C8,"mmm  yy"))</f>
        <v>Dec  25</v>
      </c>
      <c r="N8" s="1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3">
      <c r="A9" s="1"/>
      <c r="B9" s="1">
        <f t="shared" si="0"/>
        <v>6</v>
      </c>
      <c r="C9" s="2">
        <v>45994</v>
      </c>
      <c r="D9" s="4">
        <v>47786</v>
      </c>
      <c r="E9" s="1" t="s">
        <v>12</v>
      </c>
      <c r="F9" s="3" t="s">
        <v>26</v>
      </c>
      <c r="G9" s="1" t="s">
        <v>18</v>
      </c>
      <c r="H9" s="1">
        <v>121</v>
      </c>
      <c r="I9" s="1">
        <v>12</v>
      </c>
      <c r="J9" s="1">
        <v>12</v>
      </c>
      <c r="K9" s="1" t="s">
        <v>15</v>
      </c>
      <c r="L9" s="1" t="str">
        <f>IF(Lima!$D9="Precast",#REF!,IF(Lima!$D9="","",IF(Lima!$D9&lt;20000,"Khasab",IF(Lima!$D9&lt;50000, "Lima",IF(Lima!$D9&lt;72000,"Daba")))))</f>
        <v>Lima</v>
      </c>
      <c r="M9" s="1" t="str">
        <f>IF(Lima!$C9="","",TEXT(Lima!$C9,"mmm  yy"))</f>
        <v>Dec  25</v>
      </c>
      <c r="N9" s="1" t="s">
        <v>30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3">
      <c r="A10" s="1"/>
      <c r="B10" s="1">
        <f t="shared" si="0"/>
        <v>7</v>
      </c>
      <c r="C10" s="2">
        <v>45994</v>
      </c>
      <c r="D10" s="4">
        <v>47786</v>
      </c>
      <c r="E10" s="1" t="s">
        <v>12</v>
      </c>
      <c r="F10" s="3" t="s">
        <v>49</v>
      </c>
      <c r="G10" s="1" t="s">
        <v>18</v>
      </c>
      <c r="H10" s="1" t="s">
        <v>19</v>
      </c>
      <c r="I10" s="1" t="s">
        <v>19</v>
      </c>
      <c r="J10" s="1" t="s">
        <v>19</v>
      </c>
      <c r="K10" s="1" t="s">
        <v>15</v>
      </c>
      <c r="L10" s="1" t="str">
        <f>IF(Lima!$D10="Precast",#REF!,IF(Lima!$D10="","",IF(Lima!$D10&lt;20000,"Khasab",IF(Lima!$D10&lt;50000, "Lima",IF(Lima!$D10&lt;72000,"Daba")))))</f>
        <v>Lima</v>
      </c>
      <c r="M10" s="1" t="str">
        <f>IF(Lima!$C10="","",TEXT(Lima!$C10,"mmm  yy"))</f>
        <v>Dec  25</v>
      </c>
      <c r="N10" s="1" t="s">
        <v>39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3">
      <c r="A11" s="1"/>
      <c r="B11" s="1">
        <f t="shared" si="0"/>
        <v>8</v>
      </c>
      <c r="C11" s="2">
        <v>45997</v>
      </c>
      <c r="D11" s="4">
        <v>35913</v>
      </c>
      <c r="E11" s="1" t="s">
        <v>12</v>
      </c>
      <c r="F11" s="3" t="s">
        <v>33</v>
      </c>
      <c r="G11" s="1" t="s">
        <v>18</v>
      </c>
      <c r="H11" s="1">
        <v>26</v>
      </c>
      <c r="I11" s="1">
        <v>3</v>
      </c>
      <c r="J11" s="1">
        <v>3</v>
      </c>
      <c r="K11" s="1" t="s">
        <v>36</v>
      </c>
      <c r="L11" s="1" t="str">
        <f>IF(Lima!$D11="Precast",#REF!,IF(Lima!$D11="","",IF(Lima!$D11&lt;20000,"Khasab",IF(Lima!$D11&lt;50000, "Lima",IF(Lima!$D11&lt;72000,"Daba")))))</f>
        <v>Lima</v>
      </c>
      <c r="M11" s="1" t="str">
        <f>IF(Lima!$C11="","",TEXT(Lima!$C11,"mmm  yy"))</f>
        <v>Dec  25</v>
      </c>
      <c r="N11" s="1" t="s">
        <v>39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3">
      <c r="A12" s="1"/>
      <c r="B12" s="1">
        <f t="shared" si="0"/>
        <v>9</v>
      </c>
      <c r="C12" s="2">
        <v>45997</v>
      </c>
      <c r="D12" s="4">
        <v>36103</v>
      </c>
      <c r="E12" s="1" t="s">
        <v>12</v>
      </c>
      <c r="F12" s="3" t="s">
        <v>33</v>
      </c>
      <c r="G12" s="1" t="s">
        <v>18</v>
      </c>
      <c r="H12" s="1" t="s">
        <v>19</v>
      </c>
      <c r="I12" s="1" t="s">
        <v>19</v>
      </c>
      <c r="J12" s="1" t="s">
        <v>19</v>
      </c>
      <c r="K12" s="1" t="s">
        <v>36</v>
      </c>
      <c r="L12" s="1" t="str">
        <f>IF(Lima!$D12="Precast",#REF!,IF(Lima!$D12="","",IF(Lima!$D12&lt;20000,"Khasab",IF(Lima!$D12&lt;50000, "Lima",IF(Lima!$D12&lt;72000,"Daba")))))</f>
        <v>Lima</v>
      </c>
      <c r="M12" s="1" t="str">
        <f>IF(Lima!$C12="","",TEXT(Lima!$C12,"mmm  yy"))</f>
        <v>Dec  25</v>
      </c>
      <c r="N12" s="1" t="s">
        <v>38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 x14ac:dyDescent="0.3">
      <c r="A13" s="1"/>
      <c r="B13" s="1">
        <f t="shared" si="0"/>
        <v>10</v>
      </c>
      <c r="C13" s="2">
        <v>45997</v>
      </c>
      <c r="D13" s="4">
        <v>44590</v>
      </c>
      <c r="E13" s="1" t="s">
        <v>12</v>
      </c>
      <c r="F13" s="3" t="s">
        <v>26</v>
      </c>
      <c r="G13" s="1" t="s">
        <v>18</v>
      </c>
      <c r="H13" s="1">
        <v>26.75</v>
      </c>
      <c r="I13" s="1">
        <v>3</v>
      </c>
      <c r="J13" s="1">
        <v>3</v>
      </c>
      <c r="K13" s="1" t="s">
        <v>36</v>
      </c>
      <c r="L13" s="1" t="str">
        <f>IF(Lima!$D13="Precast",#REF!,IF(Lima!$D13="","",IF(Lima!$D13&lt;20000,"Khasab",IF(Lima!$D13&lt;50000, "Lima",IF(Lima!$D13&lt;72000,"Daba")))))</f>
        <v>Lima</v>
      </c>
      <c r="M13" s="1" t="str">
        <f>IF(Lima!$C13="","",TEXT(Lima!$C13,"mmm  yy"))</f>
        <v>Dec  25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 x14ac:dyDescent="0.3">
      <c r="A14" s="1"/>
      <c r="B14" s="1">
        <f t="shared" si="0"/>
        <v>11</v>
      </c>
      <c r="C14" s="2">
        <v>45997</v>
      </c>
      <c r="D14" s="4">
        <v>48853</v>
      </c>
      <c r="E14" s="1" t="s">
        <v>12</v>
      </c>
      <c r="F14" s="3" t="s">
        <v>46</v>
      </c>
      <c r="G14" s="1" t="s">
        <v>14</v>
      </c>
      <c r="H14" s="1">
        <v>18</v>
      </c>
      <c r="I14" s="1">
        <v>2</v>
      </c>
      <c r="J14" s="1">
        <v>2</v>
      </c>
      <c r="K14" s="1" t="s">
        <v>15</v>
      </c>
      <c r="L14" s="1" t="str">
        <f>IF(Lima!$D14="Precast",#REF!,IF(Lima!$D14="","",IF(Lima!$D14&lt;20000,"Khasab",IF(Lima!$D14&lt;50000, "Lima",IF(Lima!$D14&lt;72000,"Daba")))))</f>
        <v>Lima</v>
      </c>
      <c r="M14" s="1" t="str">
        <f>IF(Lima!$C14="","",TEXT(Lima!$C14,"mmm  yy"))</f>
        <v>Dec  25</v>
      </c>
      <c r="N14" s="1" t="s">
        <v>39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 x14ac:dyDescent="0.3">
      <c r="A15" s="1"/>
      <c r="B15" s="1">
        <f t="shared" si="0"/>
        <v>12</v>
      </c>
      <c r="C15" s="2">
        <v>45997</v>
      </c>
      <c r="D15" s="4">
        <v>47147</v>
      </c>
      <c r="E15" s="1" t="s">
        <v>12</v>
      </c>
      <c r="F15" s="3" t="s">
        <v>29</v>
      </c>
      <c r="G15" s="1" t="s">
        <v>18</v>
      </c>
      <c r="H15" s="1">
        <v>110.5</v>
      </c>
      <c r="I15" s="1">
        <v>11</v>
      </c>
      <c r="J15" s="1">
        <v>11</v>
      </c>
      <c r="K15" s="1" t="s">
        <v>15</v>
      </c>
      <c r="L15" s="1" t="str">
        <f>IF(Lima!$D15="Precast",#REF!,IF(Lima!$D15="","",IF(Lima!$D15&lt;20000,"Khasab",IF(Lima!$D15&lt;50000, "Lima",IF(Lima!$D15&lt;72000,"Daba")))))</f>
        <v>Lima</v>
      </c>
      <c r="M15" s="1" t="str">
        <f>IF(Lima!$C15="","",TEXT(Lima!$C15,"mmm  yy"))</f>
        <v>Dec  25</v>
      </c>
      <c r="N15" s="1" t="s">
        <v>56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 x14ac:dyDescent="0.3">
      <c r="A16" s="1"/>
      <c r="B16" s="1">
        <f t="shared" si="0"/>
        <v>13</v>
      </c>
      <c r="C16" s="2">
        <v>45998</v>
      </c>
      <c r="D16" s="4">
        <v>28980</v>
      </c>
      <c r="E16" s="1" t="s">
        <v>20</v>
      </c>
      <c r="F16" s="3" t="s">
        <v>50</v>
      </c>
      <c r="G16" s="1" t="s">
        <v>25</v>
      </c>
      <c r="H16" s="1">
        <v>62</v>
      </c>
      <c r="I16" s="1">
        <v>6</v>
      </c>
      <c r="J16" s="1">
        <v>6</v>
      </c>
      <c r="K16" s="1" t="s">
        <v>36</v>
      </c>
      <c r="L16" s="1" t="str">
        <f>IF(Lima!$D16="Precast",#REF!,IF(Lima!$D16="","",IF(Lima!$D16&lt;20000,"Khasab",IF(Lima!$D16&lt;50000, "Lima",IF(Lima!$D16&lt;72000,"Daba")))))</f>
        <v>Lima</v>
      </c>
      <c r="M16" s="1" t="str">
        <f>IF(Lima!$C16="","",TEXT(Lima!$C16,"mmm  yy"))</f>
        <v>Dec  25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3">
      <c r="A17" s="1"/>
      <c r="B17" s="1">
        <f t="shared" si="0"/>
        <v>14</v>
      </c>
      <c r="C17" s="2">
        <v>45999</v>
      </c>
      <c r="D17" s="4">
        <v>36103</v>
      </c>
      <c r="E17" s="1" t="s">
        <v>12</v>
      </c>
      <c r="F17" s="3" t="s">
        <v>44</v>
      </c>
      <c r="G17" s="1" t="s">
        <v>18</v>
      </c>
      <c r="H17" s="1">
        <v>7</v>
      </c>
      <c r="I17" s="1">
        <v>1</v>
      </c>
      <c r="J17" s="1">
        <v>1</v>
      </c>
      <c r="K17" s="1" t="s">
        <v>36</v>
      </c>
      <c r="L17" s="1" t="str">
        <f>IF(Lima!$D17="Precast",#REF!,IF(Lima!$D17="","",IF(Lima!$D17&lt;20000,"Khasab",IF(Lima!$D17&lt;50000, "Lima",IF(Lima!$D17&lt;72000,"Daba")))))</f>
        <v>Lima</v>
      </c>
      <c r="M17" s="1" t="str">
        <f>IF(Lima!$C17="","",TEXT(Lima!$C17,"mmm  yy"))</f>
        <v>Dec  25</v>
      </c>
      <c r="N17" s="1" t="s">
        <v>38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3">
      <c r="A18" s="1"/>
      <c r="B18" s="1">
        <f t="shared" si="0"/>
        <v>15</v>
      </c>
      <c r="C18" s="2">
        <v>45999</v>
      </c>
      <c r="D18" s="4">
        <v>35913</v>
      </c>
      <c r="E18" s="1" t="s">
        <v>12</v>
      </c>
      <c r="F18" s="3" t="s">
        <v>44</v>
      </c>
      <c r="G18" s="1" t="s">
        <v>18</v>
      </c>
      <c r="H18" s="1" t="s">
        <v>19</v>
      </c>
      <c r="I18" s="1" t="s">
        <v>19</v>
      </c>
      <c r="J18" s="1" t="s">
        <v>19</v>
      </c>
      <c r="K18" s="1" t="s">
        <v>36</v>
      </c>
      <c r="L18" s="1" t="str">
        <f>IF(Lima!$D18="Precast",#REF!,IF(Lima!$D18="","",IF(Lima!$D18&lt;20000,"Khasab",IF(Lima!$D18&lt;50000, "Lima",IF(Lima!$D18&lt;72000,"Daba")))))</f>
        <v>Lima</v>
      </c>
      <c r="M18" s="1" t="str">
        <f>IF(Lima!$C18="","",TEXT(Lima!$C18,"mmm  yy"))</f>
        <v>Dec  25</v>
      </c>
      <c r="N18" s="1" t="s">
        <v>39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3">
      <c r="A19" s="1"/>
      <c r="B19" s="1">
        <f t="shared" si="0"/>
        <v>16</v>
      </c>
      <c r="C19" s="2">
        <v>45999</v>
      </c>
      <c r="D19" s="4">
        <v>36103</v>
      </c>
      <c r="E19" s="1" t="s">
        <v>12</v>
      </c>
      <c r="F19" s="3" t="s">
        <v>46</v>
      </c>
      <c r="G19" s="1" t="s">
        <v>14</v>
      </c>
      <c r="H19" s="1">
        <v>5</v>
      </c>
      <c r="I19" s="1">
        <v>1</v>
      </c>
      <c r="J19" s="1">
        <v>1</v>
      </c>
      <c r="K19" s="1" t="s">
        <v>36</v>
      </c>
      <c r="L19" s="1" t="str">
        <f>IF(Lima!$D19="Precast",#REF!,IF(Lima!$D19="","",IF(Lima!$D19&lt;20000,"Khasab",IF(Lima!$D19&lt;50000, "Lima",IF(Lima!$D19&lt;72000,"Daba")))))</f>
        <v>Lima</v>
      </c>
      <c r="M19" s="1" t="str">
        <f>IF(Lima!$C19="","",TEXT(Lima!$C19,"mmm  yy"))</f>
        <v>Dec  25</v>
      </c>
      <c r="N19" s="1" t="s">
        <v>39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3">
      <c r="A20" s="1"/>
      <c r="B20" s="1">
        <f t="shared" si="0"/>
        <v>17</v>
      </c>
      <c r="C20" s="2">
        <v>45999</v>
      </c>
      <c r="D20" s="4">
        <v>22100</v>
      </c>
      <c r="E20" s="1" t="s">
        <v>16</v>
      </c>
      <c r="F20" s="3" t="s">
        <v>51</v>
      </c>
      <c r="G20" s="1" t="s">
        <v>17</v>
      </c>
      <c r="H20" s="1">
        <v>10</v>
      </c>
      <c r="I20" s="1">
        <v>1</v>
      </c>
      <c r="J20" s="1">
        <v>1</v>
      </c>
      <c r="K20" s="1" t="s">
        <v>36</v>
      </c>
      <c r="L20" s="1" t="str">
        <f>IF(Lima!$D20="Precast",#REF!,IF(Lima!$D20="","",IF(Lima!$D20&lt;20000,"Khasab",IF(Lima!$D20&lt;50000, "Lima",IF(Lima!$D20&lt;72000,"Daba")))))</f>
        <v>Lima</v>
      </c>
      <c r="M20" s="1" t="str">
        <f>IF(Lima!$C20="","",TEXT(Lima!$C20,"mmm  yy"))</f>
        <v>Dec  25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3">
      <c r="A21" s="1"/>
      <c r="B21" s="1">
        <f t="shared" si="0"/>
        <v>18</v>
      </c>
      <c r="C21" s="2">
        <v>45999</v>
      </c>
      <c r="D21" s="4">
        <v>21800</v>
      </c>
      <c r="E21" s="1" t="s">
        <v>16</v>
      </c>
      <c r="F21" s="3" t="s">
        <v>51</v>
      </c>
      <c r="G21" s="1" t="s">
        <v>17</v>
      </c>
      <c r="H21" s="1" t="s">
        <v>19</v>
      </c>
      <c r="I21" s="1" t="s">
        <v>19</v>
      </c>
      <c r="J21" s="1" t="s">
        <v>19</v>
      </c>
      <c r="K21" s="1" t="s">
        <v>36</v>
      </c>
      <c r="L21" s="1" t="str">
        <f>IF(Lima!$D21="Precast",#REF!,IF(Lima!$D21="","",IF(Lima!$D21&lt;20000,"Khasab",IF(Lima!$D21&lt;50000, "Lima",IF(Lima!$D21&lt;72000,"Daba")))))</f>
        <v>Lima</v>
      </c>
      <c r="M21" s="1" t="str">
        <f>IF(Lima!$C21="","",TEXT(Lima!$C21,"mmm  yy"))</f>
        <v>Dec  25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3">
      <c r="A22" s="1"/>
      <c r="B22" s="1">
        <f t="shared" si="0"/>
        <v>19</v>
      </c>
      <c r="C22" s="2">
        <v>45999</v>
      </c>
      <c r="D22" s="4">
        <v>21110</v>
      </c>
      <c r="E22" s="1" t="s">
        <v>24</v>
      </c>
      <c r="F22" s="3" t="s">
        <v>52</v>
      </c>
      <c r="G22" s="1" t="s">
        <v>17</v>
      </c>
      <c r="H22" s="1">
        <v>10</v>
      </c>
      <c r="I22" s="1">
        <v>1</v>
      </c>
      <c r="J22" s="1">
        <v>1</v>
      </c>
      <c r="K22" s="1" t="s">
        <v>36</v>
      </c>
      <c r="L22" s="1" t="str">
        <f>IF(Lima!$D22="Precast",#REF!,IF(Lima!$D22="","",IF(Lima!$D22&lt;20000,"Khasab",IF(Lima!$D22&lt;50000, "Lima",IF(Lima!$D22&lt;72000,"Daba")))))</f>
        <v>Lima</v>
      </c>
      <c r="M22" s="1" t="str">
        <f>IF(Lima!$C22="","",TEXT(Lima!$C22,"mmm  yy"))</f>
        <v>Dec  25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3">
      <c r="A23" s="1"/>
      <c r="B23" s="1">
        <f t="shared" si="0"/>
        <v>20</v>
      </c>
      <c r="C23" s="2">
        <v>45999</v>
      </c>
      <c r="D23" s="4">
        <v>22110</v>
      </c>
      <c r="E23" s="1" t="s">
        <v>24</v>
      </c>
      <c r="F23" s="3" t="s">
        <v>52</v>
      </c>
      <c r="G23" s="1" t="s">
        <v>17</v>
      </c>
      <c r="H23" s="1" t="s">
        <v>19</v>
      </c>
      <c r="I23" s="1" t="s">
        <v>19</v>
      </c>
      <c r="J23" s="1" t="s">
        <v>19</v>
      </c>
      <c r="K23" s="1" t="s">
        <v>36</v>
      </c>
      <c r="L23" s="1" t="str">
        <f>IF(Lima!$D23="Precast",#REF!,IF(Lima!$D23="","",IF(Lima!$D23&lt;20000,"Khasab",IF(Lima!$D23&lt;50000, "Lima",IF(Lima!$D23&lt;72000,"Daba")))))</f>
        <v>Lima</v>
      </c>
      <c r="M23" s="1" t="str">
        <f>IF(Lima!$C23="","",TEXT(Lima!$C23,"mmm  yy"))</f>
        <v>Dec  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3">
      <c r="A24" s="1"/>
      <c r="B24" s="1">
        <f t="shared" si="0"/>
        <v>21</v>
      </c>
      <c r="C24" s="2">
        <v>45999</v>
      </c>
      <c r="D24" s="4">
        <v>47786</v>
      </c>
      <c r="E24" s="1" t="s">
        <v>12</v>
      </c>
      <c r="F24" s="3" t="s">
        <v>33</v>
      </c>
      <c r="G24" s="1" t="s">
        <v>18</v>
      </c>
      <c r="H24" s="1">
        <v>37</v>
      </c>
      <c r="I24" s="1">
        <v>5</v>
      </c>
      <c r="J24" s="1">
        <v>5</v>
      </c>
      <c r="K24" s="1" t="s">
        <v>15</v>
      </c>
      <c r="L24" s="1" t="str">
        <f>IF(Lima!$D24="Precast",#REF!,IF(Lima!$D24="","",IF(Lima!$D24&lt;20000,"Khasab",IF(Lima!$D24&lt;50000, "Lima",IF(Lima!$D24&lt;72000,"Daba")))))</f>
        <v>Lima</v>
      </c>
      <c r="M24" s="1" t="str">
        <f>IF(Lima!$C24="","",TEXT(Lima!$C24,"mmm  yy"))</f>
        <v>Dec  25</v>
      </c>
      <c r="N24" s="1" t="s">
        <v>38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3">
      <c r="A25" s="1"/>
      <c r="B25" s="1">
        <f t="shared" si="0"/>
        <v>22</v>
      </c>
      <c r="C25" s="2">
        <v>46000</v>
      </c>
      <c r="D25" s="4">
        <v>44590</v>
      </c>
      <c r="E25" s="1" t="s">
        <v>12</v>
      </c>
      <c r="F25" s="3" t="s">
        <v>33</v>
      </c>
      <c r="G25" s="1" t="s">
        <v>18</v>
      </c>
      <c r="H25" s="1">
        <v>7</v>
      </c>
      <c r="I25" s="1">
        <v>1</v>
      </c>
      <c r="J25" s="1">
        <v>1</v>
      </c>
      <c r="K25" s="1" t="s">
        <v>36</v>
      </c>
      <c r="L25" s="1" t="str">
        <f>IF(Lima!$D25="Precast",#REF!,IF(Lima!$D25="","",IF(Lima!$D25&lt;20000,"Khasab",IF(Lima!$D25&lt;50000, "Lima",IF(Lima!$D25&lt;72000,"Daba")))))</f>
        <v>Lima</v>
      </c>
      <c r="M25" s="1" t="str">
        <f>IF(Lima!$C25="","",TEXT(Lima!$C25,"mmm  yy"))</f>
        <v>Dec  25</v>
      </c>
      <c r="N25" s="1" t="s">
        <v>38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3">
      <c r="A26" s="1"/>
      <c r="B26" s="1">
        <f t="shared" si="0"/>
        <v>23</v>
      </c>
      <c r="C26" s="2">
        <v>46000</v>
      </c>
      <c r="D26" s="4">
        <v>48853</v>
      </c>
      <c r="E26" s="1" t="s">
        <v>12</v>
      </c>
      <c r="F26" s="3" t="s">
        <v>33</v>
      </c>
      <c r="G26" s="1" t="s">
        <v>18</v>
      </c>
      <c r="H26" s="1">
        <v>39</v>
      </c>
      <c r="I26" s="1">
        <v>5</v>
      </c>
      <c r="J26" s="1">
        <v>5</v>
      </c>
      <c r="L26" s="1" t="str">
        <f>IF(Lima!$D26="Precast",#REF!,IF(Lima!$D26="","",IF(Lima!$D26&lt;20000,"Khasab",IF(Lima!$D26&lt;50000, "Lima",IF(Lima!$D26&lt;72000,"Daba")))))</f>
        <v>Lima</v>
      </c>
      <c r="M26" s="1" t="str">
        <f>IF(Lima!$C26="","",TEXT(Lima!$C26,"mmm  yy"))</f>
        <v>Dec  25</v>
      </c>
      <c r="N26" s="1" t="s">
        <v>39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3">
      <c r="A27" s="1"/>
      <c r="B27" s="1">
        <f t="shared" si="0"/>
        <v>24</v>
      </c>
      <c r="C27" s="2">
        <v>46001</v>
      </c>
      <c r="D27" s="4">
        <v>38452</v>
      </c>
      <c r="E27" s="1" t="s">
        <v>12</v>
      </c>
      <c r="F27" s="3" t="s">
        <v>13</v>
      </c>
      <c r="G27" s="1" t="s">
        <v>14</v>
      </c>
      <c r="H27" s="1">
        <v>13</v>
      </c>
      <c r="I27" s="1">
        <v>2</v>
      </c>
      <c r="J27" s="1">
        <v>2</v>
      </c>
      <c r="K27" s="1" t="s">
        <v>36</v>
      </c>
      <c r="L27" s="1" t="str">
        <f>IF(Lima!$D27="Precast",#REF!,IF(Lima!$D27="","",IF(Lima!$D27&lt;20000,"Khasab",IF(Lima!$D27&lt;50000, "Lima",IF(Lima!$D27&lt;72000,"Daba")))))</f>
        <v>Lima</v>
      </c>
      <c r="M27" s="1" t="str">
        <f>IF(Lima!$C27="","",TEXT(Lima!$C27,"mmm  yy"))</f>
        <v>Dec  25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3">
      <c r="A28" s="1"/>
      <c r="B28" s="1">
        <f t="shared" si="0"/>
        <v>25</v>
      </c>
      <c r="C28" s="2">
        <v>46001</v>
      </c>
      <c r="D28" s="4">
        <v>36103</v>
      </c>
      <c r="E28" s="1" t="s">
        <v>12</v>
      </c>
      <c r="F28" s="3" t="s">
        <v>33</v>
      </c>
      <c r="G28" s="1" t="s">
        <v>18</v>
      </c>
      <c r="H28" s="1">
        <v>13</v>
      </c>
      <c r="I28" s="1">
        <v>2</v>
      </c>
      <c r="J28" s="1">
        <v>2</v>
      </c>
      <c r="K28" s="1" t="s">
        <v>36</v>
      </c>
      <c r="L28" s="1" t="str">
        <f>IF(Lima!$D28="Precast",#REF!,IF(Lima!$D28="","",IF(Lima!$D28&lt;20000,"Khasab",IF(Lima!$D28&lt;50000, "Lima",IF(Lima!$D28&lt;72000,"Daba")))))</f>
        <v>Lima</v>
      </c>
      <c r="M28" s="1" t="str">
        <f>IF(Lima!$C28="","",TEXT(Lima!$C28,"mmm  yy"))</f>
        <v>Dec  25</v>
      </c>
      <c r="N28" s="1" t="s">
        <v>39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3">
      <c r="A29" s="1"/>
      <c r="B29" s="1">
        <f t="shared" si="0"/>
        <v>26</v>
      </c>
      <c r="C29" s="2">
        <v>46001</v>
      </c>
      <c r="D29" s="4">
        <v>28300</v>
      </c>
      <c r="E29" s="1" t="s">
        <v>12</v>
      </c>
      <c r="F29" s="3" t="s">
        <v>53</v>
      </c>
      <c r="G29" s="1" t="s">
        <v>17</v>
      </c>
      <c r="H29" s="1">
        <v>20</v>
      </c>
      <c r="I29" s="1">
        <v>2</v>
      </c>
      <c r="J29" s="1">
        <v>2</v>
      </c>
      <c r="K29" s="1" t="s">
        <v>36</v>
      </c>
      <c r="L29" s="1" t="str">
        <f>IF(Lima!$D29="Precast",#REF!,IF(Lima!$D29="","",IF(Lima!$D29&lt;20000,"Khasab",IF(Lima!$D29&lt;50000, "Lima",IF(Lima!$D29&lt;72000,"Daba")))))</f>
        <v>Lima</v>
      </c>
      <c r="M29" s="1" t="str">
        <f>IF(Lima!$C29="","",TEXT(Lima!$C29,"mmm  yy"))</f>
        <v>Dec  25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3">
      <c r="A30" s="1"/>
      <c r="B30" s="1">
        <f t="shared" si="0"/>
        <v>27</v>
      </c>
      <c r="C30" s="2">
        <v>46002</v>
      </c>
      <c r="D30" s="4">
        <v>44590</v>
      </c>
      <c r="E30" s="1" t="s">
        <v>12</v>
      </c>
      <c r="F30" s="3" t="s">
        <v>44</v>
      </c>
      <c r="G30" s="1" t="s">
        <v>18</v>
      </c>
      <c r="H30" s="1">
        <v>7</v>
      </c>
      <c r="I30" s="1">
        <v>1</v>
      </c>
      <c r="J30" s="1">
        <v>1</v>
      </c>
      <c r="K30" s="1" t="s">
        <v>36</v>
      </c>
      <c r="L30" s="1" t="str">
        <f>IF(Lima!$D30="Precast",#REF!,IF(Lima!$D30="","",IF(Lima!$D30&lt;20000,"Khasab",IF(Lima!$D30&lt;50000, "Lima",IF(Lima!$D30&lt;72000,"Daba")))))</f>
        <v>Lima</v>
      </c>
      <c r="M30" s="1" t="str">
        <f>IF(Lima!$C30="","",TEXT(Lima!$C30,"mmm  yy"))</f>
        <v>Dec  25</v>
      </c>
      <c r="N30" s="1" t="s">
        <v>38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 x14ac:dyDescent="0.3">
      <c r="A31" s="1"/>
      <c r="B31" s="1">
        <f t="shared" si="0"/>
        <v>28</v>
      </c>
      <c r="C31" s="2">
        <v>46002</v>
      </c>
      <c r="D31" s="4">
        <v>44590</v>
      </c>
      <c r="E31" s="1" t="s">
        <v>12</v>
      </c>
      <c r="F31" s="3" t="s">
        <v>46</v>
      </c>
      <c r="G31" s="1" t="s">
        <v>18</v>
      </c>
      <c r="H31" s="1" t="s">
        <v>19</v>
      </c>
      <c r="I31" s="1" t="s">
        <v>19</v>
      </c>
      <c r="J31" s="1" t="s">
        <v>19</v>
      </c>
      <c r="K31" s="1" t="s">
        <v>36</v>
      </c>
      <c r="L31" s="1" t="str">
        <f>IF(Lima!$D31="Precast",#REF!,IF(Lima!$D31="","",IF(Lima!$D31&lt;20000,"Khasab",IF(Lima!$D31&lt;50000, "Lima",IF(Lima!$D31&lt;72000,"Daba")))))</f>
        <v>Lima</v>
      </c>
      <c r="M31" s="1" t="str">
        <f>IF(Lima!$C31="","",TEXT(Lima!$C31,"mmm  yy"))</f>
        <v>Dec  25</v>
      </c>
      <c r="N31" s="1" t="s">
        <v>39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 x14ac:dyDescent="0.3">
      <c r="A32" s="1"/>
      <c r="B32" s="1">
        <f t="shared" si="0"/>
        <v>29</v>
      </c>
      <c r="C32" s="2">
        <v>46002</v>
      </c>
      <c r="D32" s="4">
        <v>21700</v>
      </c>
      <c r="E32" s="1" t="s">
        <v>12</v>
      </c>
      <c r="F32" s="3" t="s">
        <v>26</v>
      </c>
      <c r="G32" s="1" t="s">
        <v>18</v>
      </c>
      <c r="H32" s="1">
        <v>255</v>
      </c>
      <c r="I32" s="1">
        <v>24</v>
      </c>
      <c r="J32" s="1">
        <v>24</v>
      </c>
      <c r="K32" s="1" t="s">
        <v>36</v>
      </c>
      <c r="L32" s="1" t="str">
        <f>IF(Lima!$D32="Precast",L4,IF(Lima!$D32="","",IF(Lima!$D32&lt;20000,"Khasab",IF(Lima!$D32&lt;50000, "Lima",IF(Lima!$D32&lt;72000,"Daba")))))</f>
        <v>Lima</v>
      </c>
      <c r="M32" s="1" t="str">
        <f>IF(Lima!$C32="","",TEXT(Lima!$C32,"mmm  yy"))</f>
        <v>Dec  25</v>
      </c>
      <c r="N32" s="1" t="s">
        <v>30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3">
      <c r="A33" s="1"/>
      <c r="B33" s="1">
        <f t="shared" si="0"/>
        <v>30</v>
      </c>
      <c r="C33" s="2">
        <v>46002</v>
      </c>
      <c r="D33" s="4">
        <v>47786</v>
      </c>
      <c r="E33" s="1" t="s">
        <v>12</v>
      </c>
      <c r="F33" s="3" t="s">
        <v>26</v>
      </c>
      <c r="G33" s="1" t="s">
        <v>18</v>
      </c>
      <c r="H33" s="1">
        <v>115</v>
      </c>
      <c r="I33" s="1">
        <v>10</v>
      </c>
      <c r="J33" s="1">
        <v>10</v>
      </c>
      <c r="K33" s="1" t="s">
        <v>15</v>
      </c>
      <c r="L33" s="1" t="str">
        <f>IF(Lima!$D33="Precast",L5,IF(Lima!$D33="","",IF(Lima!$D33&lt;20000,"Khasab",IF(Lima!$D33&lt;50000, "Lima",IF(Lima!$D33&lt;72000,"Daba")))))</f>
        <v>Lima</v>
      </c>
      <c r="M33" s="1" t="str">
        <f>IF(Lima!$C33="","",TEXT(Lima!$C33,"mmm  yy"))</f>
        <v>Dec  25</v>
      </c>
      <c r="N33" s="1" t="s">
        <v>57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3">
      <c r="A34" s="1"/>
      <c r="B34" s="1">
        <f t="shared" si="0"/>
        <v>31</v>
      </c>
      <c r="C34" s="2">
        <v>46004</v>
      </c>
      <c r="D34" s="4">
        <v>36103</v>
      </c>
      <c r="E34" s="1" t="s">
        <v>12</v>
      </c>
      <c r="F34" s="3" t="s">
        <v>44</v>
      </c>
      <c r="G34" s="1" t="s">
        <v>18</v>
      </c>
      <c r="H34" s="1">
        <v>4</v>
      </c>
      <c r="I34" s="1">
        <v>1</v>
      </c>
      <c r="J34" s="1">
        <v>1</v>
      </c>
      <c r="K34" s="1" t="s">
        <v>36</v>
      </c>
      <c r="L34" s="1" t="str">
        <f>IF(Lima!$D34="Precast",L6,IF(Lima!$D34="","",IF(Lima!$D34&lt;20000,"Khasab",IF(Lima!$D34&lt;50000, "Lima",IF(Lima!$D34&lt;72000,"Daba")))))</f>
        <v>Lima</v>
      </c>
      <c r="M34" s="1" t="str">
        <f>IF(Lima!$C34="","",TEXT(Lima!$C34,"mmm  yy"))</f>
        <v>Dec  25</v>
      </c>
      <c r="N34" s="1" t="s">
        <v>39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3">
      <c r="A35" s="1"/>
      <c r="B35" s="1">
        <f t="shared" si="0"/>
        <v>32</v>
      </c>
      <c r="C35" s="2">
        <v>46004</v>
      </c>
      <c r="D35" s="4">
        <v>44590</v>
      </c>
      <c r="E35" s="1" t="s">
        <v>12</v>
      </c>
      <c r="F35" s="3" t="s">
        <v>33</v>
      </c>
      <c r="G35" s="1" t="s">
        <v>18</v>
      </c>
      <c r="H35" s="1">
        <v>13</v>
      </c>
      <c r="I35" s="1">
        <v>2</v>
      </c>
      <c r="J35" s="1">
        <v>2</v>
      </c>
      <c r="K35" s="1" t="s">
        <v>15</v>
      </c>
      <c r="L35" s="1" t="str">
        <f>IF(Lima!$D35="Precast",L7,IF(Lima!$D35="","",IF(Lima!$D35&lt;20000,"Khasab",IF(Lima!$D35&lt;50000, "Lima",IF(Lima!$D35&lt;72000,"Daba")))))</f>
        <v>Lima</v>
      </c>
      <c r="M35" s="1" t="str">
        <f>IF(Lima!$C35="","",TEXT(Lima!$C35,"mmm  yy"))</f>
        <v>Dec  25</v>
      </c>
      <c r="N35" s="1" t="s">
        <v>39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3">
      <c r="A36" s="1"/>
      <c r="B36" s="1">
        <f t="shared" si="0"/>
        <v>33</v>
      </c>
      <c r="C36" s="2">
        <v>46004</v>
      </c>
      <c r="D36" s="4">
        <v>46421</v>
      </c>
      <c r="E36" s="1" t="s">
        <v>12</v>
      </c>
      <c r="F36" s="3" t="s">
        <v>44</v>
      </c>
      <c r="G36" s="1" t="s">
        <v>18</v>
      </c>
      <c r="H36" s="1" t="s">
        <v>19</v>
      </c>
      <c r="I36" s="1" t="s">
        <v>19</v>
      </c>
      <c r="J36" s="1" t="s">
        <v>19</v>
      </c>
      <c r="K36" s="1" t="s">
        <v>15</v>
      </c>
      <c r="L36" s="1" t="str">
        <f>IF(Lima!$D36="Precast",L8,IF(Lima!$D36="","",IF(Lima!$D36&lt;20000,"Khasab",IF(Lima!$D36&lt;50000, "Lima",IF(Lima!$D36&lt;72000,"Daba")))))</f>
        <v>Lima</v>
      </c>
      <c r="M36" s="1" t="str">
        <f>IF(Lima!$C36="","",TEXT(Lima!$C36,"mmm  yy"))</f>
        <v>Dec  25</v>
      </c>
      <c r="N36" s="1" t="s">
        <v>38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3">
      <c r="A37" s="1"/>
      <c r="B37" s="1">
        <f t="shared" si="0"/>
        <v>34</v>
      </c>
      <c r="C37" s="2">
        <v>46005</v>
      </c>
      <c r="D37" s="4">
        <v>44590</v>
      </c>
      <c r="E37" s="1" t="s">
        <v>12</v>
      </c>
      <c r="F37" s="3" t="s">
        <v>44</v>
      </c>
      <c r="G37" s="1" t="s">
        <v>18</v>
      </c>
      <c r="H37" s="1">
        <v>13</v>
      </c>
      <c r="I37" s="1">
        <v>2</v>
      </c>
      <c r="J37" s="1">
        <v>2</v>
      </c>
      <c r="K37" s="1" t="s">
        <v>36</v>
      </c>
      <c r="L37" s="1" t="str">
        <f>IF(Lima!$D37="Precast",L9,IF(Lima!$D37="","",IF(Lima!$D37&lt;20000,"Khasab",IF(Lima!$D37&lt;50000, "Lima",IF(Lima!$D37&lt;72000,"Daba")))))</f>
        <v>Lima</v>
      </c>
      <c r="M37" s="1" t="str">
        <f>IF(Lima!$C37="","",TEXT(Lima!$C37,"mmm  yy"))</f>
        <v>Dec  25</v>
      </c>
      <c r="N37" s="1" t="s">
        <v>39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3">
      <c r="A38" s="1"/>
      <c r="B38" s="1">
        <f t="shared" si="0"/>
        <v>35</v>
      </c>
      <c r="C38" s="2">
        <v>46005</v>
      </c>
      <c r="D38" s="4">
        <v>48853</v>
      </c>
      <c r="E38" s="1" t="s">
        <v>12</v>
      </c>
      <c r="F38" s="3" t="s">
        <v>44</v>
      </c>
      <c r="G38" s="1" t="s">
        <v>18</v>
      </c>
      <c r="H38" s="1" t="s">
        <v>19</v>
      </c>
      <c r="I38" s="1" t="s">
        <v>19</v>
      </c>
      <c r="J38" s="1" t="s">
        <v>19</v>
      </c>
      <c r="K38" s="1" t="s">
        <v>36</v>
      </c>
      <c r="L38" s="1" t="str">
        <f>IF(Lima!$D38="Precast",L10,IF(Lima!$D38="","",IF(Lima!$D38&lt;20000,"Khasab",IF(Lima!$D38&lt;50000, "Lima",IF(Lima!$D38&lt;72000,"Daba")))))</f>
        <v>Lima</v>
      </c>
      <c r="M38" s="1" t="str">
        <f>IF(Lima!$C38="","",TEXT(Lima!$C38,"mmm  yy"))</f>
        <v>Dec  25</v>
      </c>
      <c r="N38" s="1" t="s">
        <v>39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3">
      <c r="A39" s="1"/>
      <c r="B39" s="1">
        <f t="shared" si="0"/>
        <v>36</v>
      </c>
      <c r="C39" s="2">
        <v>46005</v>
      </c>
      <c r="D39" s="4">
        <v>47786</v>
      </c>
      <c r="E39" s="1" t="s">
        <v>12</v>
      </c>
      <c r="F39" s="3" t="s">
        <v>44</v>
      </c>
      <c r="G39" s="1" t="s">
        <v>18</v>
      </c>
      <c r="H39" s="1" t="s">
        <v>19</v>
      </c>
      <c r="I39" s="1" t="s">
        <v>19</v>
      </c>
      <c r="J39" s="1" t="s">
        <v>19</v>
      </c>
      <c r="K39" s="1" t="s">
        <v>36</v>
      </c>
      <c r="L39" s="1" t="str">
        <f>IF(Lima!$D39="Precast",L11,IF(Lima!$D39="","",IF(Lima!$D39&lt;20000,"Khasab",IF(Lima!$D39&lt;50000, "Lima",IF(Lima!$D39&lt;72000,"Daba")))))</f>
        <v>Lima</v>
      </c>
      <c r="M39" s="1" t="str">
        <f>IF(Lima!$C39="","",TEXT(Lima!$C39,"mmm  yy"))</f>
        <v>Dec  25</v>
      </c>
      <c r="N39" s="1" t="s">
        <v>38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3">
      <c r="A40" s="1"/>
      <c r="B40" s="1">
        <f t="shared" si="0"/>
        <v>37</v>
      </c>
      <c r="C40" s="2">
        <v>46005</v>
      </c>
      <c r="D40" s="4">
        <v>47147</v>
      </c>
      <c r="E40" s="1" t="s">
        <v>12</v>
      </c>
      <c r="F40" s="3" t="s">
        <v>29</v>
      </c>
      <c r="G40" s="1" t="s">
        <v>18</v>
      </c>
      <c r="H40" s="1">
        <v>113.5</v>
      </c>
      <c r="I40" s="1">
        <v>12</v>
      </c>
      <c r="J40" s="1">
        <v>12</v>
      </c>
      <c r="K40" s="1" t="s">
        <v>15</v>
      </c>
      <c r="L40" s="1" t="str">
        <f>IF(Lima!$D40="Precast",L12,IF(Lima!$D40="","",IF(Lima!$D40&lt;20000,"Khasab",IF(Lima!$D40&lt;50000, "Lima",IF(Lima!$D40&lt;72000,"Daba")))))</f>
        <v>Lima</v>
      </c>
      <c r="M40" s="1" t="str">
        <f>IF(Lima!$C40="","",TEXT(Lima!$C40,"mmm  yy"))</f>
        <v>Dec  25</v>
      </c>
      <c r="N40" s="1" t="s">
        <v>54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3">
      <c r="A41" s="1"/>
      <c r="B41" s="1">
        <f t="shared" si="0"/>
        <v>38</v>
      </c>
      <c r="C41" s="2">
        <v>46006</v>
      </c>
      <c r="D41" s="4">
        <v>40135</v>
      </c>
      <c r="E41" s="1" t="s">
        <v>12</v>
      </c>
      <c r="F41" s="3" t="s">
        <v>46</v>
      </c>
      <c r="G41" s="1" t="s">
        <v>14</v>
      </c>
      <c r="H41" s="1">
        <v>19</v>
      </c>
      <c r="I41" s="1">
        <v>2</v>
      </c>
      <c r="J41" s="1">
        <v>2</v>
      </c>
      <c r="K41" s="1" t="s">
        <v>36</v>
      </c>
      <c r="L41" s="1" t="str">
        <f>IF(Lima!$D41="Precast",L13,IF(Lima!$D41="","",IF(Lima!$D41&lt;20000,"Khasab",IF(Lima!$D41&lt;50000, "Lima",IF(Lima!$D41&lt;72000,"Daba")))))</f>
        <v>Lima</v>
      </c>
      <c r="M41" s="1" t="str">
        <f>IF(Lima!$C41="","",TEXT(Lima!$C41,"mmm  yy"))</f>
        <v>Dec  25</v>
      </c>
      <c r="N41" s="1" t="s">
        <v>55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3">
      <c r="A42" s="1"/>
      <c r="B42" s="1">
        <f t="shared" si="0"/>
        <v>39</v>
      </c>
      <c r="C42" s="2">
        <v>46006</v>
      </c>
      <c r="D42" s="4">
        <v>47147</v>
      </c>
      <c r="E42" s="1" t="s">
        <v>12</v>
      </c>
      <c r="F42" s="3" t="s">
        <v>26</v>
      </c>
      <c r="G42" s="1" t="s">
        <v>18</v>
      </c>
      <c r="H42" s="1">
        <v>124</v>
      </c>
      <c r="I42" s="1">
        <v>14</v>
      </c>
      <c r="J42" s="1">
        <v>14</v>
      </c>
      <c r="K42" s="1" t="s">
        <v>15</v>
      </c>
      <c r="L42" s="1" t="str">
        <f>IF(Lima!$D42="Precast",L14,IF(Lima!$D42="","",IF(Lima!$D42&lt;20000,"Khasab",IF(Lima!$D42&lt;50000, "Lima",IF(Lima!$D42&lt;72000,"Daba")))))</f>
        <v>Lima</v>
      </c>
      <c r="M42" s="1" t="str">
        <f>IF(Lima!$C42="","",TEXT(Lima!$C42,"mmm  yy"))</f>
        <v>Dec  25</v>
      </c>
      <c r="N42" s="1" t="s">
        <v>27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3">
      <c r="A43" s="1"/>
      <c r="B43" s="1">
        <f t="shared" si="0"/>
        <v>40</v>
      </c>
      <c r="C43" s="2">
        <v>46020</v>
      </c>
      <c r="D43" s="4">
        <v>46421</v>
      </c>
      <c r="E43" s="1" t="s">
        <v>12</v>
      </c>
      <c r="F43" s="3" t="s">
        <v>44</v>
      </c>
      <c r="G43" s="1" t="s">
        <v>18</v>
      </c>
      <c r="H43" s="1">
        <v>4</v>
      </c>
      <c r="I43" s="1">
        <v>1</v>
      </c>
      <c r="J43" s="1">
        <v>1</v>
      </c>
      <c r="K43" s="1" t="s">
        <v>15</v>
      </c>
      <c r="L43" s="1" t="str">
        <f>IF(Lima!$D43="Precast",L15,IF(Lima!$D43="","",IF(Lima!$D43&lt;20000,"Khasab",IF(Lima!$D43&lt;50000, "Lima",IF(Lima!$D43&lt;72000,"Daba")))))</f>
        <v>Lima</v>
      </c>
      <c r="M43" s="1" t="str">
        <f>IF(Lima!$C43="","",TEXT(Lima!$C43,"mmm  yy"))</f>
        <v>Dec  25</v>
      </c>
      <c r="N43" s="1" t="s">
        <v>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3">
      <c r="A44" s="1"/>
      <c r="B44" s="1">
        <f t="shared" si="0"/>
        <v>41</v>
      </c>
      <c r="C44" s="2">
        <v>46021</v>
      </c>
      <c r="D44" s="4">
        <v>44121</v>
      </c>
      <c r="E44" s="1" t="s">
        <v>12</v>
      </c>
      <c r="F44" s="3" t="s">
        <v>13</v>
      </c>
      <c r="G44" s="1" t="s">
        <v>14</v>
      </c>
      <c r="H44" s="1">
        <v>22.5</v>
      </c>
      <c r="I44" s="1">
        <v>3</v>
      </c>
      <c r="J44" s="1">
        <v>1</v>
      </c>
      <c r="K44" s="1" t="s">
        <v>36</v>
      </c>
      <c r="L44" s="1" t="str">
        <f>IF(Lima!$D44="Precast",L16,IF(Lima!$D44="","",IF(Lima!$D44&lt;20000,"Khasab",IF(Lima!$D44&lt;50000, "Lima",IF(Lima!$D44&lt;72000,"Daba")))))</f>
        <v>Lima</v>
      </c>
      <c r="M44" s="1" t="str">
        <f>IF(Lima!$C44="","",TEXT(Lima!$C44,"mmm  yy"))</f>
        <v>Dec  25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3">
      <c r="A45" s="1"/>
      <c r="B45" s="1">
        <f t="shared" si="0"/>
        <v>42</v>
      </c>
      <c r="C45" s="2">
        <v>46022</v>
      </c>
      <c r="D45" s="4">
        <v>29024.472000000002</v>
      </c>
      <c r="E45" s="1" t="s">
        <v>20</v>
      </c>
      <c r="F45" s="3" t="s">
        <v>58</v>
      </c>
      <c r="G45" s="1" t="s">
        <v>25</v>
      </c>
      <c r="H45" s="1">
        <v>29</v>
      </c>
      <c r="I45" s="1">
        <v>3</v>
      </c>
      <c r="J45" s="1">
        <v>3</v>
      </c>
      <c r="K45" s="1" t="s">
        <v>36</v>
      </c>
      <c r="L45" s="1" t="str">
        <f>IF(Lima!$D45="Precast",L17,IF(Lima!$D45="","",IF(Lima!$D45&lt;20000,"Khasab",IF(Lima!$D45&lt;50000, "Lima",IF(Lima!$D45&lt;72000,"Daba")))))</f>
        <v>Lima</v>
      </c>
      <c r="M45" s="1" t="str">
        <f>IF(Lima!$C45="","",TEXT(Lima!$C45,"mmm  yy"))</f>
        <v>Dec  25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3">
      <c r="A46" s="1"/>
      <c r="B46" s="1">
        <f t="shared" si="0"/>
        <v>43</v>
      </c>
      <c r="C46" s="2">
        <v>46025</v>
      </c>
      <c r="D46" s="4">
        <v>29046.671999999999</v>
      </c>
      <c r="E46" s="1" t="s">
        <v>20</v>
      </c>
      <c r="F46" s="3" t="s">
        <v>59</v>
      </c>
      <c r="G46" s="1" t="s">
        <v>25</v>
      </c>
      <c r="H46" s="1">
        <v>32</v>
      </c>
      <c r="I46" s="1">
        <v>4</v>
      </c>
      <c r="J46" s="1">
        <v>4</v>
      </c>
      <c r="K46" s="1" t="s">
        <v>36</v>
      </c>
      <c r="L46" s="1" t="str">
        <f>IF(Lima!$D46="Precast",L18,IF(Lima!$D46="","",IF(Lima!$D46&lt;20000,"Khasab",IF(Lima!$D46&lt;50000, "Lima",IF(Lima!$D46&lt;72000,"Daba")))))</f>
        <v>Lima</v>
      </c>
      <c r="M46" s="1" t="str">
        <f>IF(Lima!$C46="","",TEXT(Lima!$C46,"mmm  yy"))</f>
        <v>Jan  26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3">
      <c r="A47" s="1"/>
      <c r="B47" s="1">
        <f t="shared" si="0"/>
        <v>44</v>
      </c>
      <c r="C47" s="2">
        <v>46025</v>
      </c>
      <c r="D47" s="4">
        <v>21700</v>
      </c>
      <c r="E47" s="1" t="s">
        <v>12</v>
      </c>
      <c r="F47" s="3" t="s">
        <v>26</v>
      </c>
      <c r="G47" s="1" t="s">
        <v>18</v>
      </c>
      <c r="H47" s="1">
        <v>196</v>
      </c>
      <c r="I47" s="1">
        <v>19</v>
      </c>
      <c r="J47" s="1">
        <v>19</v>
      </c>
      <c r="K47" s="1" t="s">
        <v>36</v>
      </c>
      <c r="L47" s="1" t="str">
        <f>IF(Lima!$D47="Precast",L19,IF(Lima!$D47="","",IF(Lima!$D47&lt;20000,"Khasab",IF(Lima!$D47&lt;50000, "Lima",IF(Lima!$D47&lt;72000,"Daba")))))</f>
        <v>Lima</v>
      </c>
      <c r="M47" s="1" t="str">
        <f>IF(Lima!$C47="","",TEXT(Lima!$C47,"mmm  yy"))</f>
        <v>Jan  26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3">
      <c r="A48" s="1"/>
      <c r="B48" s="1">
        <f t="shared" si="0"/>
        <v>45</v>
      </c>
      <c r="C48" s="2">
        <v>46026</v>
      </c>
      <c r="D48" s="4">
        <v>43275</v>
      </c>
      <c r="E48" s="1" t="s">
        <v>20</v>
      </c>
      <c r="F48" s="3" t="s">
        <v>60</v>
      </c>
      <c r="G48" s="1" t="s">
        <v>14</v>
      </c>
      <c r="H48" s="1">
        <v>6</v>
      </c>
      <c r="I48" s="1">
        <v>1</v>
      </c>
      <c r="J48" s="1">
        <v>1</v>
      </c>
      <c r="K48" s="1" t="s">
        <v>36</v>
      </c>
      <c r="L48" s="1" t="str">
        <f>IF(Lima!$D48="Precast",L20,IF(Lima!$D48="","",IF(Lima!$D48&lt;20000,"Khasab",IF(Lima!$D48&lt;50000, "Lima",IF(Lima!$D48&lt;72000,"Daba")))))</f>
        <v>Lima</v>
      </c>
      <c r="M48" s="1" t="str">
        <f>IF(Lima!$C48="","",TEXT(Lima!$C48,"mmm  yy"))</f>
        <v>Jan  26</v>
      </c>
      <c r="N48" s="1" t="s">
        <v>61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3">
      <c r="A49" s="1"/>
      <c r="B49" s="1">
        <f t="shared" si="0"/>
        <v>46</v>
      </c>
      <c r="C49" s="2">
        <v>46027</v>
      </c>
      <c r="D49" s="4">
        <v>47147</v>
      </c>
      <c r="E49" s="1" t="s">
        <v>12</v>
      </c>
      <c r="F49" s="3" t="s">
        <v>29</v>
      </c>
      <c r="G49" s="1" t="s">
        <v>18</v>
      </c>
      <c r="H49" s="1">
        <v>114</v>
      </c>
      <c r="I49" s="1">
        <v>13</v>
      </c>
      <c r="J49" s="1">
        <v>13</v>
      </c>
      <c r="K49" s="1" t="s">
        <v>36</v>
      </c>
      <c r="L49" s="1" t="str">
        <f>IF(Lima!$D49="Precast",L21,IF(Lima!$D49="","",IF(Lima!$D49&lt;20000,"Khasab",IF(Lima!$D49&lt;50000, "Lima",IF(Lima!$D49&lt;72000,"Daba")))))</f>
        <v>Lima</v>
      </c>
      <c r="M49" s="1" t="str">
        <f>IF(Lima!$C49="","",TEXT(Lima!$C49,"mmm  yy"))</f>
        <v>Jan  26</v>
      </c>
      <c r="N49" s="1" t="s">
        <v>34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3">
      <c r="A50" s="1"/>
      <c r="B50" s="1">
        <f t="shared" si="0"/>
        <v>47</v>
      </c>
      <c r="C50" s="2">
        <v>46027</v>
      </c>
      <c r="D50" s="4">
        <v>20700</v>
      </c>
      <c r="E50" s="1" t="s">
        <v>21</v>
      </c>
      <c r="F50" s="3" t="s">
        <v>13</v>
      </c>
      <c r="G50" s="1" t="s">
        <v>14</v>
      </c>
      <c r="H50" s="1">
        <v>12</v>
      </c>
      <c r="I50" s="1">
        <v>2</v>
      </c>
      <c r="J50" s="1">
        <v>2</v>
      </c>
      <c r="K50" s="1" t="s">
        <v>36</v>
      </c>
      <c r="L50" s="1" t="str">
        <f>IF(Lima!$D50="Precast",L22,IF(Lima!$D50="","",IF(Lima!$D50&lt;20000,"Khasab",IF(Lima!$D50&lt;50000, "Lima",IF(Lima!$D50&lt;72000,"Daba")))))</f>
        <v>Lima</v>
      </c>
      <c r="M50" s="1" t="str">
        <f>IF(Lima!$C50="","",TEXT(Lima!$C50,"mmm  yy"))</f>
        <v>Jan  26</v>
      </c>
      <c r="N50" s="1" t="s">
        <v>63</v>
      </c>
      <c r="O50" s="1" t="s">
        <v>62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3">
      <c r="A51" s="1"/>
      <c r="B51" s="1">
        <f t="shared" si="0"/>
        <v>48</v>
      </c>
      <c r="C51" s="2">
        <v>46027</v>
      </c>
      <c r="D51" s="4">
        <v>43275</v>
      </c>
      <c r="E51" s="1" t="s">
        <v>20</v>
      </c>
      <c r="F51" s="3" t="s">
        <v>65</v>
      </c>
      <c r="G51" s="1" t="s">
        <v>14</v>
      </c>
      <c r="H51" s="1">
        <v>26</v>
      </c>
      <c r="I51" s="1">
        <v>3</v>
      </c>
      <c r="J51" s="1">
        <v>3</v>
      </c>
      <c r="K51" s="1" t="s">
        <v>36</v>
      </c>
      <c r="L51" s="1" t="str">
        <f>IF(Lima!$D51="Precast",L23,IF(Lima!$D51="","",IF(Lima!$D51&lt;20000,"Khasab",IF(Lima!$D51&lt;50000, "Lima",IF(Lima!$D51&lt;72000,"Daba")))))</f>
        <v>Lima</v>
      </c>
      <c r="M51" s="1" t="str">
        <f>IF(Lima!$C51="","",TEXT(Lima!$C51,"mmm  yy"))</f>
        <v>Jan  26</v>
      </c>
      <c r="N51" s="1" t="s">
        <v>61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3">
      <c r="A52" s="1"/>
      <c r="B52" s="1">
        <f t="shared" si="0"/>
        <v>49</v>
      </c>
      <c r="C52" s="2">
        <v>46028</v>
      </c>
      <c r="D52" s="4">
        <v>30190</v>
      </c>
      <c r="E52" s="1" t="s">
        <v>12</v>
      </c>
      <c r="F52" s="3" t="s">
        <v>33</v>
      </c>
      <c r="G52" s="1" t="s">
        <v>18</v>
      </c>
      <c r="H52" s="1">
        <v>16</v>
      </c>
      <c r="I52" s="1">
        <v>2</v>
      </c>
      <c r="J52" s="1">
        <v>2</v>
      </c>
      <c r="K52" s="1" t="s">
        <v>36</v>
      </c>
      <c r="L52" s="1" t="str">
        <f>IF(Lima!$D52="Precast",L24,IF(Lima!$D52="","",IF(Lima!$D52&lt;20000,"Khasab",IF(Lima!$D52&lt;50000, "Lima",IF(Lima!$D52&lt;72000,"Daba")))))</f>
        <v>Lima</v>
      </c>
      <c r="M52" s="1" t="str">
        <f>IF(Lima!$C52="","",TEXT(Lima!$C52,"mmm  yy"))</f>
        <v>Jan  26</v>
      </c>
      <c r="N52" s="1" t="s">
        <v>64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3">
      <c r="A53" s="1"/>
      <c r="B53" s="1">
        <f t="shared" si="0"/>
        <v>50</v>
      </c>
      <c r="C53" s="2">
        <v>46028</v>
      </c>
      <c r="D53" s="4">
        <v>29765</v>
      </c>
      <c r="E53" s="1" t="s">
        <v>20</v>
      </c>
      <c r="F53" s="5" t="s">
        <v>66</v>
      </c>
      <c r="G53" s="1" t="s">
        <v>25</v>
      </c>
      <c r="H53" s="1">
        <v>50</v>
      </c>
      <c r="I53" s="1">
        <v>6</v>
      </c>
      <c r="J53" s="1">
        <v>6</v>
      </c>
      <c r="K53" s="1" t="s">
        <v>36</v>
      </c>
      <c r="L53" s="1" t="str">
        <f>IF(Lima!$D53="Precast",L25,IF(Lima!$D53="","",IF(Lima!$D53&lt;20000,"Khasab",IF(Lima!$D53&lt;50000, "Lima",IF(Lima!$D53&lt;72000,"Daba")))))</f>
        <v>Lima</v>
      </c>
      <c r="M53" s="1" t="str">
        <f>IF(Lima!$C53="","",TEXT(Lima!$C53,"mmm  yy"))</f>
        <v>Jan  26</v>
      </c>
      <c r="N53" s="1" t="s">
        <v>67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3">
      <c r="A54" s="1"/>
      <c r="B54" s="1">
        <f t="shared" si="0"/>
        <v>51</v>
      </c>
      <c r="C54" s="2">
        <v>46028</v>
      </c>
      <c r="D54" s="4">
        <v>43712</v>
      </c>
      <c r="E54" s="1" t="s">
        <v>12</v>
      </c>
      <c r="F54" s="3" t="s">
        <v>68</v>
      </c>
      <c r="G54" s="1" t="s">
        <v>14</v>
      </c>
      <c r="H54" s="1">
        <v>10</v>
      </c>
      <c r="I54" s="1">
        <v>1</v>
      </c>
      <c r="J54" s="1">
        <v>1</v>
      </c>
      <c r="K54" s="1" t="s">
        <v>36</v>
      </c>
      <c r="L54" s="1" t="str">
        <f>IF(Lima!$D54="Precast",L26,IF(Lima!$D54="","",IF(Lima!$D54&lt;20000,"Khasab",IF(Lima!$D54&lt;50000, "Lima",IF(Lima!$D54&lt;72000,"Daba")))))</f>
        <v>Lima</v>
      </c>
      <c r="M54" s="1" t="str">
        <f>IF(Lima!$C54="","",TEXT(Lima!$C54,"mmm  yy"))</f>
        <v>Jan  26</v>
      </c>
      <c r="N54" s="1" t="s">
        <v>38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3">
      <c r="A55" s="1"/>
      <c r="B55" s="1">
        <f t="shared" si="0"/>
        <v>52</v>
      </c>
      <c r="C55" s="2">
        <v>46030</v>
      </c>
      <c r="D55" s="4">
        <v>44121</v>
      </c>
      <c r="E55" s="1" t="s">
        <v>12</v>
      </c>
      <c r="F55" s="3" t="s">
        <v>29</v>
      </c>
      <c r="G55" s="1" t="s">
        <v>18</v>
      </c>
      <c r="H55" s="1">
        <v>66</v>
      </c>
      <c r="I55" s="1">
        <v>7</v>
      </c>
      <c r="J55" s="1">
        <v>7</v>
      </c>
      <c r="K55" s="1" t="s">
        <v>36</v>
      </c>
      <c r="L55" s="1" t="str">
        <f>IF(Lima!$D55="Precast",L27,IF(Lima!$D55="","",IF(Lima!$D55&lt;20000,"Khasab",IF(Lima!$D55&lt;50000, "Lima",IF(Lima!$D55&lt;72000,"Daba")))))</f>
        <v>Lima</v>
      </c>
      <c r="M55" s="1" t="str">
        <f>IF(Lima!$C55="","",TEXT(Lima!$C55,"mmm  yy"))</f>
        <v>Jan  26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3">
      <c r="A56" s="1"/>
      <c r="B56" s="1">
        <f t="shared" si="0"/>
        <v>53</v>
      </c>
      <c r="C56" s="2">
        <v>46030</v>
      </c>
      <c r="D56" s="4">
        <v>43275</v>
      </c>
      <c r="E56" s="1" t="s">
        <v>20</v>
      </c>
      <c r="F56" s="3" t="s">
        <v>69</v>
      </c>
      <c r="G56" s="1" t="s">
        <v>25</v>
      </c>
      <c r="H56" s="1">
        <v>37</v>
      </c>
      <c r="I56" s="1">
        <v>5</v>
      </c>
      <c r="J56" s="1">
        <v>5</v>
      </c>
      <c r="K56" s="1" t="s">
        <v>36</v>
      </c>
      <c r="L56" s="1" t="str">
        <f>IF(Lima!$D56="Precast",L28,IF(Lima!$D56="","",IF(Lima!$D56&lt;20000,"Khasab",IF(Lima!$D56&lt;50000, "Lima",IF(Lima!$D56&lt;72000,"Daba")))))</f>
        <v>Lima</v>
      </c>
      <c r="M56" s="1" t="str">
        <f>IF(Lima!$C56="","",TEXT(Lima!$C56,"mmm  yy"))</f>
        <v>Jan  26</v>
      </c>
      <c r="N56" s="1" t="s">
        <v>72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3">
      <c r="A57" s="1"/>
      <c r="B57" s="1">
        <f t="shared" si="0"/>
        <v>54</v>
      </c>
      <c r="C57" s="2">
        <v>46033</v>
      </c>
      <c r="D57" s="4">
        <v>47147</v>
      </c>
      <c r="E57" s="1" t="s">
        <v>12</v>
      </c>
      <c r="F57" s="3" t="s">
        <v>31</v>
      </c>
      <c r="G57" s="1" t="s">
        <v>18</v>
      </c>
      <c r="H57" s="1">
        <v>123</v>
      </c>
      <c r="I57" s="1">
        <v>13</v>
      </c>
      <c r="J57" s="1">
        <v>13</v>
      </c>
      <c r="K57" s="1" t="s">
        <v>36</v>
      </c>
      <c r="L57" s="1" t="str">
        <f>IF(Lima!$D57="Precast",L29,IF(Lima!$D57="","",IF(Lima!$D57&lt;20000,"Khasab",IF(Lima!$D57&lt;50000, "Lima",IF(Lima!$D57&lt;72000,"Daba")))))</f>
        <v>Lima</v>
      </c>
      <c r="M57" s="1" t="str">
        <f>IF(Lima!$C57="","",TEXT(Lima!$C57,"mmm  yy"))</f>
        <v>Jan  26</v>
      </c>
      <c r="N57" s="1" t="s">
        <v>28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3">
      <c r="A58" s="1"/>
      <c r="B58" s="1">
        <f t="shared" si="0"/>
        <v>55</v>
      </c>
      <c r="C58" s="2">
        <v>46034</v>
      </c>
      <c r="D58" s="4">
        <v>38242</v>
      </c>
      <c r="E58" s="1" t="s">
        <v>12</v>
      </c>
      <c r="F58" s="3" t="s">
        <v>70</v>
      </c>
      <c r="G58" s="1" t="s">
        <v>14</v>
      </c>
      <c r="H58" s="1">
        <v>12</v>
      </c>
      <c r="I58" s="1">
        <v>2</v>
      </c>
      <c r="J58" s="1">
        <v>2</v>
      </c>
      <c r="K58" s="1" t="s">
        <v>36</v>
      </c>
      <c r="L58" s="1" t="str">
        <f>IF(Lima!$D58="Precast",L30,IF(Lima!$D58="","",IF(Lima!$D58&lt;20000,"Khasab",IF(Lima!$D58&lt;50000, "Lima",IF(Lima!$D58&lt;72000,"Daba")))))</f>
        <v>Lima</v>
      </c>
      <c r="M58" s="1" t="str">
        <f>IF(Lima!$C58="","",TEXT(Lima!$C58,"mmm  yy"))</f>
        <v>Jan  26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3">
      <c r="A59" s="1"/>
      <c r="B59" s="1">
        <f t="shared" si="0"/>
        <v>56</v>
      </c>
      <c r="C59" s="2">
        <v>46034</v>
      </c>
      <c r="D59" s="4">
        <v>21985</v>
      </c>
      <c r="E59" s="1" t="s">
        <v>12</v>
      </c>
      <c r="F59" s="3" t="s">
        <v>71</v>
      </c>
      <c r="G59" s="1" t="s">
        <v>14</v>
      </c>
      <c r="H59" s="1">
        <v>65</v>
      </c>
      <c r="I59" s="1">
        <v>7</v>
      </c>
      <c r="J59" s="1">
        <v>7</v>
      </c>
      <c r="K59" s="1" t="s">
        <v>36</v>
      </c>
      <c r="L59" s="1" t="str">
        <f>IF(Lima!$D59="Precast",L31,IF(Lima!$D59="","",IF(Lima!$D59&lt;20000,"Khasab",IF(Lima!$D59&lt;50000, "Lima",IF(Lima!$D59&lt;72000,"Daba")))))</f>
        <v>Lima</v>
      </c>
      <c r="M59" s="1" t="str">
        <f>IF(Lima!$C59="","",TEXT(Lima!$C59,"mmm  yy"))</f>
        <v>Jan  26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3">
      <c r="A60" s="1"/>
      <c r="B60" s="1">
        <f t="shared" si="0"/>
        <v>57</v>
      </c>
      <c r="C60" s="2">
        <v>46034</v>
      </c>
      <c r="D60" s="4">
        <v>47147</v>
      </c>
      <c r="E60" s="1" t="s">
        <v>12</v>
      </c>
      <c r="F60" s="3" t="s">
        <v>26</v>
      </c>
      <c r="G60" s="1" t="s">
        <v>18</v>
      </c>
      <c r="H60" s="1">
        <v>127</v>
      </c>
      <c r="I60" s="1">
        <v>13</v>
      </c>
      <c r="J60" s="1">
        <v>13</v>
      </c>
      <c r="K60" s="1" t="s">
        <v>36</v>
      </c>
      <c r="L60" s="1" t="str">
        <f>IF(Lima!$D60="Precast",L32,IF(Lima!$D60="","",IF(Lima!$D60&lt;20000,"Khasab",IF(Lima!$D60&lt;50000, "Lima",IF(Lima!$D60&lt;72000,"Daba")))))</f>
        <v>Lima</v>
      </c>
      <c r="M60" s="1" t="str">
        <f>IF(Lima!$C60="","",TEXT(Lima!$C60,"mmm  yy"))</f>
        <v>Jan  26</v>
      </c>
      <c r="N60" s="1" t="s">
        <v>34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3">
      <c r="A61" s="1"/>
      <c r="B61" s="1">
        <f t="shared" si="0"/>
        <v>58</v>
      </c>
      <c r="C61" s="2">
        <v>46035</v>
      </c>
      <c r="D61" s="4">
        <v>43275</v>
      </c>
      <c r="E61" s="1" t="s">
        <v>20</v>
      </c>
      <c r="F61" s="3" t="s">
        <v>73</v>
      </c>
      <c r="G61" s="1" t="s">
        <v>25</v>
      </c>
      <c r="H61" s="1">
        <v>23.5</v>
      </c>
      <c r="I61" s="1">
        <v>3</v>
      </c>
      <c r="J61" s="1">
        <v>3</v>
      </c>
      <c r="K61" s="1" t="s">
        <v>36</v>
      </c>
      <c r="L61" s="1" t="str">
        <f>IF(Lima!$D61="Precast",L33,IF(Lima!$D61="","",IF(Lima!$D61&lt;20000,"Khasab",IF(Lima!$D61&lt;50000, "Lima",IF(Lima!$D61&lt;72000,"Daba")))))</f>
        <v>Lima</v>
      </c>
      <c r="M61" s="1" t="str">
        <f>IF(Lima!$C61="","",TEXT(Lima!$C61,"mmm  yy"))</f>
        <v>Jan  26</v>
      </c>
      <c r="N61" s="1" t="s">
        <v>61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3">
      <c r="A62" s="1"/>
      <c r="B62" s="1">
        <f t="shared" si="0"/>
        <v>59</v>
      </c>
      <c r="C62" s="2">
        <v>46036</v>
      </c>
      <c r="D62" s="4">
        <v>43712</v>
      </c>
      <c r="E62" s="1" t="s">
        <v>12</v>
      </c>
      <c r="F62" s="3" t="s">
        <v>29</v>
      </c>
      <c r="G62" s="1" t="s">
        <v>18</v>
      </c>
      <c r="H62" s="1">
        <v>29.5</v>
      </c>
      <c r="I62" s="1">
        <v>4</v>
      </c>
      <c r="J62" s="1">
        <v>4</v>
      </c>
      <c r="K62" s="1" t="s">
        <v>36</v>
      </c>
      <c r="L62" s="1" t="str">
        <f>IF(Lima!$D62="Precast",L34,IF(Lima!$D62="","",IF(Lima!$D62&lt;20000,"Khasab",IF(Lima!$D62&lt;50000, "Lima",IF(Lima!$D62&lt;72000,"Daba")))))</f>
        <v>Lima</v>
      </c>
      <c r="M62" s="1" t="str">
        <f>IF(Lima!$C62="","",TEXT(Lima!$C62,"mmm  yy"))</f>
        <v>Jan  26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3">
      <c r="A63" s="1"/>
      <c r="B63" s="1">
        <f t="shared" si="0"/>
        <v>60</v>
      </c>
      <c r="C63" s="2">
        <v>46037</v>
      </c>
      <c r="D63" s="4">
        <v>47147</v>
      </c>
      <c r="E63" s="1" t="s">
        <v>12</v>
      </c>
      <c r="F63" s="3" t="s">
        <v>44</v>
      </c>
      <c r="G63" s="1" t="s">
        <v>18</v>
      </c>
      <c r="H63" s="1">
        <v>6</v>
      </c>
      <c r="I63" s="1">
        <v>1</v>
      </c>
      <c r="J63" s="1">
        <v>1</v>
      </c>
      <c r="K63" s="1" t="s">
        <v>36</v>
      </c>
      <c r="L63" s="1" t="str">
        <f>IF(Lima!$D63="Precast",L35,IF(Lima!$D63="","",IF(Lima!$D63&lt;20000,"Khasab",IF(Lima!$D63&lt;50000, "Lima",IF(Lima!$D63&lt;72000,"Daba")))))</f>
        <v>Lima</v>
      </c>
      <c r="M63" s="1" t="str">
        <f>IF(Lima!$C63="","",TEXT(Lima!$C63,"mmm  yy"))</f>
        <v>Jan  26</v>
      </c>
      <c r="N63" s="1" t="s">
        <v>38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3">
      <c r="A64" s="1"/>
      <c r="B64" s="1">
        <f t="shared" si="0"/>
        <v>61</v>
      </c>
      <c r="C64" s="2">
        <v>46039</v>
      </c>
      <c r="D64" s="4">
        <v>29805</v>
      </c>
      <c r="E64" s="1" t="s">
        <v>20</v>
      </c>
      <c r="F64" s="3" t="s">
        <v>75</v>
      </c>
      <c r="G64" s="1" t="s">
        <v>25</v>
      </c>
      <c r="H64" s="1">
        <v>140</v>
      </c>
      <c r="I64" s="1">
        <v>14</v>
      </c>
      <c r="J64" s="1">
        <v>14</v>
      </c>
      <c r="K64" s="1" t="s">
        <v>36</v>
      </c>
      <c r="L64" s="1" t="str">
        <f>IF(Lima!$D64="Precast",L36,IF(Lima!$D64="","",IF(Lima!$D64&lt;20000,"Khasab",IF(Lima!$D64&lt;50000, "Lima",IF(Lima!$D64&lt;72000,"Daba")))))</f>
        <v>Lima</v>
      </c>
      <c r="M64" s="1" t="str">
        <f>IF(Lima!$C64="","",TEXT(Lima!$C64,"mmm  yy"))</f>
        <v>Jan  26</v>
      </c>
      <c r="N64" s="1" t="s">
        <v>74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3">
      <c r="A65" s="1"/>
      <c r="B65" s="1">
        <f t="shared" si="0"/>
        <v>62</v>
      </c>
      <c r="C65" s="2">
        <v>46040</v>
      </c>
      <c r="D65" s="4">
        <v>47147</v>
      </c>
      <c r="E65" s="1" t="s">
        <v>12</v>
      </c>
      <c r="F65" s="3" t="s">
        <v>76</v>
      </c>
      <c r="G65" s="1" t="s">
        <v>14</v>
      </c>
      <c r="H65" s="1">
        <v>12</v>
      </c>
      <c r="I65" s="1">
        <v>1</v>
      </c>
      <c r="J65" s="1">
        <v>2</v>
      </c>
      <c r="K65" s="1" t="s">
        <v>36</v>
      </c>
      <c r="L65" s="1" t="str">
        <f>IF(Lima!$D65="Precast",L37,IF(Lima!$D65="","",IF(Lima!$D65&lt;20000,"Khasab",IF(Lima!$D65&lt;50000, "Lima",IF(Lima!$D65&lt;72000,"Daba")))))</f>
        <v>Lima</v>
      </c>
      <c r="M65" s="1" t="str">
        <f>IF(Lima!$C65="","",TEXT(Lima!$C65,"mmm  yy"))</f>
        <v>Jan  26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3">
      <c r="A66" s="1"/>
      <c r="B66" s="1">
        <f t="shared" si="0"/>
        <v>63</v>
      </c>
      <c r="C66" s="2">
        <v>46041</v>
      </c>
      <c r="D66" s="4">
        <v>35450</v>
      </c>
      <c r="E66" s="1" t="s">
        <v>24</v>
      </c>
      <c r="F66" s="3" t="s">
        <v>52</v>
      </c>
      <c r="G66" s="1" t="s">
        <v>14</v>
      </c>
      <c r="H66" s="1">
        <v>15.5</v>
      </c>
      <c r="I66" s="1">
        <v>2</v>
      </c>
      <c r="J66" s="1">
        <v>2</v>
      </c>
      <c r="K66" s="1" t="s">
        <v>36</v>
      </c>
      <c r="L66" s="1" t="str">
        <f>IF(Lima!$D66="Precast",L38,IF(Lima!$D66="","",IF(Lima!$D66&lt;20000,"Khasab",IF(Lima!$D66&lt;50000, "Lima",IF(Lima!$D66&lt;72000,"Daba")))))</f>
        <v>Lima</v>
      </c>
      <c r="M66" s="1" t="str">
        <f>IF(Lima!$C66="","",TEXT(Lima!$C66,"mmm  yy"))</f>
        <v>Jan  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3">
      <c r="A67" s="1"/>
      <c r="B67" s="1">
        <f t="shared" si="0"/>
        <v>64</v>
      </c>
      <c r="C67" s="2">
        <v>46041</v>
      </c>
      <c r="D67" s="4">
        <v>28217</v>
      </c>
      <c r="E67" s="1" t="s">
        <v>12</v>
      </c>
      <c r="F67" s="3" t="s">
        <v>31</v>
      </c>
      <c r="G67" s="1" t="s">
        <v>18</v>
      </c>
      <c r="H67" s="1">
        <v>234</v>
      </c>
      <c r="I67" s="1">
        <v>22</v>
      </c>
      <c r="J67" s="1">
        <v>22</v>
      </c>
      <c r="K67" s="1" t="s">
        <v>36</v>
      </c>
      <c r="L67" s="1" t="str">
        <f>IF(Lima!$D67="Precast",L39,IF(Lima!$D67="","",IF(Lima!$D67&lt;20000,"Khasab",IF(Lima!$D67&lt;50000, "Lima",IF(Lima!$D67&lt;72000,"Daba")))))</f>
        <v>Lima</v>
      </c>
      <c r="M67" s="1" t="str">
        <f>IF(Lima!$C67="","",TEXT(Lima!$C67,"mmm  yy"))</f>
        <v>Jan  26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3">
      <c r="A68" s="1"/>
      <c r="B68" s="1">
        <f t="shared" si="0"/>
        <v>65</v>
      </c>
      <c r="C68" s="2">
        <v>46042</v>
      </c>
      <c r="D68" s="4">
        <v>44121</v>
      </c>
      <c r="E68" s="1" t="s">
        <v>12</v>
      </c>
      <c r="F68" s="3" t="s">
        <v>26</v>
      </c>
      <c r="G68" s="1" t="s">
        <v>18</v>
      </c>
      <c r="H68" s="1">
        <v>81</v>
      </c>
      <c r="I68" s="1">
        <v>9</v>
      </c>
      <c r="J68" s="1">
        <v>9</v>
      </c>
      <c r="K68" s="1" t="s">
        <v>36</v>
      </c>
      <c r="L68" s="1" t="str">
        <f>IF(Lima!$D68="Precast",L40,IF(Lima!$D68="","",IF(Lima!$D68&lt;20000,"Khasab",IF(Lima!$D68&lt;50000, "Lima",IF(Lima!$D68&lt;72000,"Daba")))))</f>
        <v>Lima</v>
      </c>
      <c r="M68" s="1" t="str">
        <f>IF(Lima!$C68="","",TEXT(Lima!$C68,"mmm  yy"))</f>
        <v>Jan  26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3">
      <c r="A69" s="1"/>
      <c r="B69" s="1">
        <f t="shared" si="0"/>
        <v>66</v>
      </c>
      <c r="C69" s="2">
        <v>46043</v>
      </c>
      <c r="D69" s="4">
        <v>41074</v>
      </c>
      <c r="E69" s="1" t="s">
        <v>12</v>
      </c>
      <c r="F69" s="3" t="s">
        <v>76</v>
      </c>
      <c r="G69" s="1" t="s">
        <v>14</v>
      </c>
      <c r="H69" s="1">
        <v>6.5</v>
      </c>
      <c r="I69" s="1">
        <v>1</v>
      </c>
      <c r="J69" s="1">
        <v>1</v>
      </c>
      <c r="K69" s="1" t="s">
        <v>36</v>
      </c>
      <c r="L69" s="1" t="str">
        <f>IF(Lima!$D69="Precast",L41,IF(Lima!$D69="","",IF(Lima!$D69&lt;20000,"Khasab",IF(Lima!$D69&lt;50000, "Lima",IF(Lima!$D69&lt;72000,"Daba")))))</f>
        <v>Lima</v>
      </c>
      <c r="M69" s="1" t="str">
        <f>IF(Lima!$C69="","",TEXT(Lima!$C69,"mmm  yy"))</f>
        <v>Jan  26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3">
      <c r="A70" s="1"/>
      <c r="B70" s="1">
        <f t="shared" ref="B70:B133" si="1">+B69+1</f>
        <v>67</v>
      </c>
      <c r="C70" s="2">
        <v>46043</v>
      </c>
      <c r="D70" s="4">
        <v>21985</v>
      </c>
      <c r="E70" s="1" t="s">
        <v>12</v>
      </c>
      <c r="F70" s="3" t="s">
        <v>43</v>
      </c>
      <c r="G70" s="1" t="s">
        <v>18</v>
      </c>
      <c r="H70" s="1">
        <v>40</v>
      </c>
      <c r="I70" s="1">
        <v>4</v>
      </c>
      <c r="J70" s="1">
        <v>4</v>
      </c>
      <c r="K70" s="1" t="s">
        <v>36</v>
      </c>
      <c r="L70" s="1" t="str">
        <f>IF(Lima!$D70="Precast",L42,IF(Lima!$D70="","",IF(Lima!$D70&lt;20000,"Khasab",IF(Lima!$D70&lt;50000, "Lima",IF(Lima!$D70&lt;72000,"Daba")))))</f>
        <v>Lima</v>
      </c>
      <c r="M70" s="1" t="str">
        <f>IF(Lima!$C70="","",TEXT(Lima!$C70,"mmm  yy"))</f>
        <v>Jan  26</v>
      </c>
      <c r="N70" s="1" t="s">
        <v>77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3">
      <c r="A71" s="1"/>
      <c r="B71" s="1">
        <f t="shared" si="1"/>
        <v>68</v>
      </c>
      <c r="C71" s="2">
        <v>46044</v>
      </c>
      <c r="D71" s="4">
        <v>20700</v>
      </c>
      <c r="E71" s="1" t="s">
        <v>21</v>
      </c>
      <c r="F71" s="3" t="s">
        <v>13</v>
      </c>
      <c r="G71" s="1" t="s">
        <v>14</v>
      </c>
      <c r="H71" s="1">
        <v>14</v>
      </c>
      <c r="I71" s="1">
        <v>2</v>
      </c>
      <c r="J71" s="1">
        <v>2</v>
      </c>
      <c r="K71" s="1" t="s">
        <v>36</v>
      </c>
      <c r="L71" s="1" t="str">
        <f>IF(Lima!$D71="Precast",L43,IF(Lima!$D71="","",IF(Lima!$D71&lt;20000,"Khasab",IF(Lima!$D71&lt;50000, "Lima",IF(Lima!$D71&lt;72000,"Daba")))))</f>
        <v>Lima</v>
      </c>
      <c r="M71" s="1" t="str">
        <f>IF(Lima!$C71="","",TEXT(Lima!$C71,"mmm  yy"))</f>
        <v>Jan  26</v>
      </c>
      <c r="N71" s="1" t="s">
        <v>78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3">
      <c r="A72" s="1"/>
      <c r="B72" s="1">
        <f t="shared" si="1"/>
        <v>69</v>
      </c>
      <c r="C72" s="2">
        <v>46046</v>
      </c>
      <c r="D72" s="4">
        <v>34597</v>
      </c>
      <c r="E72" s="1" t="s">
        <v>12</v>
      </c>
      <c r="F72" s="3" t="s">
        <v>26</v>
      </c>
      <c r="G72" s="1" t="s">
        <v>18</v>
      </c>
      <c r="H72" s="1">
        <v>25</v>
      </c>
      <c r="I72" s="1">
        <v>3</v>
      </c>
      <c r="J72" s="1">
        <v>3</v>
      </c>
      <c r="K72" s="1" t="s">
        <v>36</v>
      </c>
      <c r="L72" s="1" t="str">
        <f>IF(Lima!$D72="Precast",L44,IF(Lima!$D72="","",IF(Lima!$D72&lt;20000,"Khasab",IF(Lima!$D72&lt;50000, "Lima",IF(Lima!$D72&lt;72000,"Daba")))))</f>
        <v>Lima</v>
      </c>
      <c r="M72" s="1" t="str">
        <f>IF(Lima!$C72="","",TEXT(Lima!$C72,"mmm  yy"))</f>
        <v>Jan  26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3">
      <c r="A73" s="1"/>
      <c r="B73" s="1">
        <f t="shared" si="1"/>
        <v>70</v>
      </c>
      <c r="C73" s="2">
        <v>46046</v>
      </c>
      <c r="D73" s="4">
        <v>29785</v>
      </c>
      <c r="E73" s="1" t="s">
        <v>20</v>
      </c>
      <c r="F73" s="3" t="s">
        <v>79</v>
      </c>
      <c r="G73" s="1" t="s">
        <v>25</v>
      </c>
      <c r="H73" s="1">
        <v>70</v>
      </c>
      <c r="I73" s="1">
        <v>7</v>
      </c>
      <c r="J73" s="1">
        <v>7</v>
      </c>
      <c r="K73" s="1" t="s">
        <v>36</v>
      </c>
      <c r="L73" s="1" t="str">
        <f>IF(Lima!$D73="Precast",L45,IF(Lima!$D73="","",IF(Lima!$D73&lt;20000,"Khasab",IF(Lima!$D73&lt;50000, "Lima",IF(Lima!$D73&lt;72000,"Daba")))))</f>
        <v>Lima</v>
      </c>
      <c r="M73" s="1" t="str">
        <f>IF(Lima!$C73="","",TEXT(Lima!$C73,"mmm  yy"))</f>
        <v>Jan  26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3">
      <c r="A74" s="1"/>
      <c r="B74" s="1">
        <f t="shared" si="1"/>
        <v>71</v>
      </c>
      <c r="C74" s="2">
        <v>46046</v>
      </c>
      <c r="D74" s="4">
        <v>29858</v>
      </c>
      <c r="E74" s="1" t="s">
        <v>20</v>
      </c>
      <c r="F74" s="3" t="s">
        <v>80</v>
      </c>
      <c r="G74" s="1" t="s">
        <v>25</v>
      </c>
      <c r="H74" s="1">
        <v>80</v>
      </c>
      <c r="I74" s="1">
        <v>9</v>
      </c>
      <c r="J74" s="1">
        <v>9</v>
      </c>
      <c r="K74" s="1" t="s">
        <v>36</v>
      </c>
      <c r="L74" s="1" t="str">
        <f>IF(Lima!$D74="Precast",L46,IF(Lima!$D74="","",IF(Lima!$D74&lt;20000,"Khasab",IF(Lima!$D74&lt;50000, "Lima",IF(Lima!$D74&lt;72000,"Daba")))))</f>
        <v>Lima</v>
      </c>
      <c r="M74" s="1" t="str">
        <f>IF(Lima!$C74="","",TEXT(Lima!$C74,"mmm  yy"))</f>
        <v>Jan  26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3">
      <c r="A75" s="1"/>
      <c r="B75" s="1">
        <f t="shared" si="1"/>
        <v>72</v>
      </c>
      <c r="C75" s="2">
        <v>46047</v>
      </c>
      <c r="D75" s="4">
        <v>47147</v>
      </c>
      <c r="E75" s="1" t="s">
        <v>12</v>
      </c>
      <c r="F75" s="3" t="s">
        <v>81</v>
      </c>
      <c r="G75" s="1" t="s">
        <v>18</v>
      </c>
      <c r="H75" s="1">
        <v>123.5</v>
      </c>
      <c r="I75" s="1">
        <v>13</v>
      </c>
      <c r="J75" s="1">
        <v>13</v>
      </c>
      <c r="K75" s="1" t="s">
        <v>36</v>
      </c>
      <c r="L75" s="1" t="str">
        <f>IF(Lima!$D75="Precast",L47,IF(Lima!$D75="","",IF(Lima!$D75&lt;20000,"Khasab",IF(Lima!$D75&lt;50000, "Lima",IF(Lima!$D75&lt;72000,"Daba")))))</f>
        <v>Lima</v>
      </c>
      <c r="M75" s="1" t="str">
        <f>IF(Lima!$C75="","",TEXT(Lima!$C75,"mmm  yy"))</f>
        <v>Jan  26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3">
      <c r="A76" s="1"/>
      <c r="B76" s="1">
        <f t="shared" si="1"/>
        <v>73</v>
      </c>
      <c r="C76" s="2">
        <v>46048</v>
      </c>
      <c r="D76" s="4">
        <v>21985</v>
      </c>
      <c r="E76" s="1" t="s">
        <v>12</v>
      </c>
      <c r="F76" s="3" t="s">
        <v>43</v>
      </c>
      <c r="G76" s="1" t="s">
        <v>18</v>
      </c>
      <c r="H76" s="1">
        <v>72</v>
      </c>
      <c r="I76" s="1">
        <v>8</v>
      </c>
      <c r="J76" s="1">
        <v>8</v>
      </c>
      <c r="K76" s="1" t="s">
        <v>36</v>
      </c>
      <c r="L76" s="1" t="str">
        <f>IF(Lima!$D76="Precast",L48,IF(Lima!$D76="","",IF(Lima!$D76&lt;20000,"Khasab",IF(Lima!$D76&lt;50000, "Lima",IF(Lima!$D76&lt;72000,"Daba")))))</f>
        <v>Lima</v>
      </c>
      <c r="M76" s="1" t="str">
        <f>IF(Lima!$C76="","",TEXT(Lima!$C76,"mmm  yy"))</f>
        <v>Jan  26</v>
      </c>
      <c r="N76" s="1" t="s">
        <v>82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3">
      <c r="A77" s="1"/>
      <c r="B77" s="1">
        <f t="shared" si="1"/>
        <v>74</v>
      </c>
      <c r="C77" s="2">
        <v>46049</v>
      </c>
      <c r="D77" s="4">
        <v>41074</v>
      </c>
      <c r="E77" s="1" t="s">
        <v>12</v>
      </c>
      <c r="F77" s="3" t="s">
        <v>29</v>
      </c>
      <c r="G77" s="1" t="s">
        <v>18</v>
      </c>
      <c r="H77" s="1">
        <v>14.5</v>
      </c>
      <c r="I77" s="1">
        <v>2</v>
      </c>
      <c r="J77" s="1">
        <v>2</v>
      </c>
      <c r="K77" s="1" t="s">
        <v>36</v>
      </c>
      <c r="L77" s="1" t="str">
        <f>IF(Lima!$D77="Precast",L49,IF(Lima!$D77="","",IF(Lima!$D77&lt;20000,"Khasab",IF(Lima!$D77&lt;50000, "Lima",IF(Lima!$D77&lt;72000,"Daba")))))</f>
        <v>Lima</v>
      </c>
      <c r="M77" s="1" t="str">
        <f>IF(Lima!$C77="","",TEXT(Lima!$C77,"mmm  yy"))</f>
        <v>Jan  26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3">
      <c r="A78" s="1"/>
      <c r="B78" s="1">
        <f t="shared" si="1"/>
        <v>75</v>
      </c>
      <c r="C78" s="2">
        <v>46050</v>
      </c>
      <c r="D78" s="4">
        <v>43712</v>
      </c>
      <c r="E78" s="1" t="s">
        <v>12</v>
      </c>
      <c r="F78" s="3" t="s">
        <v>83</v>
      </c>
      <c r="G78" s="1" t="s">
        <v>18</v>
      </c>
      <c r="H78" s="1">
        <v>46</v>
      </c>
      <c r="I78" s="1">
        <v>5</v>
      </c>
      <c r="J78" s="1">
        <v>5</v>
      </c>
      <c r="K78" s="1" t="s">
        <v>36</v>
      </c>
      <c r="L78" s="1" t="str">
        <f>IF(Lima!$D78="Precast",L50,IF(Lima!$D78="","",IF(Lima!$D78&lt;20000,"Khasab",IF(Lima!$D78&lt;50000, "Lima",IF(Lima!$D78&lt;72000,"Daba")))))</f>
        <v>Lima</v>
      </c>
      <c r="M78" s="1" t="str">
        <f>IF(Lima!$C78="","",TEXT(Lima!$C78,"mmm  yy"))</f>
        <v>Jan  26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3">
      <c r="A79" s="1"/>
      <c r="B79" s="1">
        <f t="shared" si="1"/>
        <v>76</v>
      </c>
      <c r="C79" s="2">
        <v>46050</v>
      </c>
      <c r="D79" s="4">
        <v>43598</v>
      </c>
      <c r="E79" s="1" t="s">
        <v>16</v>
      </c>
      <c r="F79" s="3" t="s">
        <v>84</v>
      </c>
      <c r="G79" s="1" t="s">
        <v>14</v>
      </c>
      <c r="H79" s="1">
        <v>13</v>
      </c>
      <c r="I79" s="1">
        <v>2</v>
      </c>
      <c r="J79" s="1">
        <v>2</v>
      </c>
      <c r="K79" s="1" t="s">
        <v>36</v>
      </c>
      <c r="L79" s="1" t="str">
        <f>IF(Lima!$D79="Precast",L51,IF(Lima!$D79="","",IF(Lima!$D79&lt;20000,"Khasab",IF(Lima!$D79&lt;50000, "Lima",IF(Lima!$D79&lt;72000,"Daba")))))</f>
        <v>Lima</v>
      </c>
      <c r="M79" s="1" t="str">
        <f>IF(Lima!$C79="","",TEXT(Lima!$C79,"mmm  yy"))</f>
        <v>Jan  26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3">
      <c r="A80" s="1"/>
      <c r="B80" s="1">
        <f t="shared" si="1"/>
        <v>77</v>
      </c>
      <c r="C80" s="2">
        <v>46051</v>
      </c>
      <c r="D80" s="4">
        <v>29775</v>
      </c>
      <c r="E80" s="1" t="s">
        <v>20</v>
      </c>
      <c r="F80" s="3" t="s">
        <v>73</v>
      </c>
      <c r="G80" s="1" t="s">
        <v>25</v>
      </c>
      <c r="H80" s="1">
        <v>60</v>
      </c>
      <c r="I80" s="1">
        <v>6</v>
      </c>
      <c r="J80" s="1">
        <v>6</v>
      </c>
      <c r="K80" s="1" t="s">
        <v>36</v>
      </c>
      <c r="L80" s="1" t="str">
        <f>IF(Lima!$D80="Precast",L52,IF(Lima!$D80="","",IF(Lima!$D80&lt;20000,"Khasab",IF(Lima!$D80&lt;50000, "Lima",IF(Lima!$D80&lt;72000,"Daba")))))</f>
        <v>Lima</v>
      </c>
      <c r="M80" s="1" t="str">
        <f>IF(Lima!$C80="","",TEXT(Lima!$C80,"mmm  yy"))</f>
        <v>Jan  26</v>
      </c>
      <c r="N80" s="1" t="s">
        <v>85</v>
      </c>
      <c r="O80" s="1" t="s">
        <v>86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3">
      <c r="A81" s="1"/>
      <c r="B81" s="1">
        <f t="shared" si="1"/>
        <v>78</v>
      </c>
      <c r="C81" s="2">
        <v>46051</v>
      </c>
      <c r="D81" s="4">
        <v>21985</v>
      </c>
      <c r="E81" s="1" t="s">
        <v>12</v>
      </c>
      <c r="F81" s="3" t="s">
        <v>33</v>
      </c>
      <c r="G81" s="1" t="s">
        <v>18</v>
      </c>
      <c r="H81" s="1">
        <v>30</v>
      </c>
      <c r="I81" s="1">
        <v>3</v>
      </c>
      <c r="J81" s="1">
        <v>3</v>
      </c>
      <c r="K81" s="1" t="s">
        <v>36</v>
      </c>
      <c r="L81" s="1" t="str">
        <f>IF(Lima!$D81="Precast",L53,IF(Lima!$D81="","",IF(Lima!$D81&lt;20000,"Khasab",IF(Lima!$D81&lt;50000, "Lima",IF(Lima!$D81&lt;72000,"Daba")))))</f>
        <v>Lima</v>
      </c>
      <c r="M81" s="1" t="str">
        <f>IF(Lima!$C81="","",TEXT(Lima!$C81,"mmm  yy"))</f>
        <v>Jan  26</v>
      </c>
      <c r="N81" s="1" t="s">
        <v>87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3">
      <c r="A82" s="1"/>
      <c r="B82" s="1">
        <f t="shared" si="1"/>
        <v>79</v>
      </c>
      <c r="C82" s="2">
        <v>46051</v>
      </c>
      <c r="D82" s="4">
        <v>44333</v>
      </c>
      <c r="E82" s="1" t="s">
        <v>12</v>
      </c>
      <c r="F82" s="3" t="s">
        <v>76</v>
      </c>
      <c r="G82" s="1" t="s">
        <v>14</v>
      </c>
      <c r="H82" s="1">
        <v>11.5</v>
      </c>
      <c r="I82" s="1">
        <v>2</v>
      </c>
      <c r="J82" s="1">
        <v>2</v>
      </c>
      <c r="K82" s="1" t="s">
        <v>36</v>
      </c>
      <c r="L82" s="1" t="str">
        <f>IF(Lima!$D82="Precast",L54,IF(Lima!$D82="","",IF(Lima!$D82&lt;20000,"Khasab",IF(Lima!$D82&lt;50000, "Lima",IF(Lima!$D82&lt;72000,"Daba")))))</f>
        <v>Lima</v>
      </c>
      <c r="M82" s="1" t="str">
        <f>IF(Lima!$C82="","",TEXT(Lima!$C82,"mmm  yy"))</f>
        <v>Jan  26</v>
      </c>
      <c r="N82" s="1" t="s">
        <v>88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3">
      <c r="A83" s="1"/>
      <c r="B83" s="1">
        <f t="shared" si="1"/>
        <v>80</v>
      </c>
      <c r="C83" s="2">
        <v>46051</v>
      </c>
      <c r="D83" s="4">
        <v>47147</v>
      </c>
      <c r="E83" s="1" t="s">
        <v>12</v>
      </c>
      <c r="F83" s="3" t="s">
        <v>33</v>
      </c>
      <c r="G83" s="1" t="s">
        <v>18</v>
      </c>
      <c r="H83" s="1">
        <v>36.25</v>
      </c>
      <c r="I83" s="1">
        <v>4</v>
      </c>
      <c r="J83" s="1">
        <v>4</v>
      </c>
      <c r="K83" s="1" t="s">
        <v>36</v>
      </c>
      <c r="L83" s="1" t="str">
        <f>IF(Lima!$D83="Precast",L55,IF(Lima!$D83="","",IF(Lima!$D83&lt;20000,"Khasab",IF(Lima!$D83&lt;50000, "Lima",IF(Lima!$D83&lt;72000,"Daba")))))</f>
        <v>Lima</v>
      </c>
      <c r="M83" s="1" t="str">
        <f>IF(Lima!$C83="","",TEXT(Lima!$C83,"mmm  yy"))</f>
        <v>Jan  26</v>
      </c>
      <c r="N83" s="1" t="s">
        <v>89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3">
      <c r="A84" s="1"/>
      <c r="B84" s="1">
        <f t="shared" si="1"/>
        <v>81</v>
      </c>
      <c r="C84" s="2">
        <v>46053</v>
      </c>
      <c r="D84" s="4">
        <v>21700</v>
      </c>
      <c r="E84" s="1" t="s">
        <v>12</v>
      </c>
      <c r="F84" s="3" t="s">
        <v>90</v>
      </c>
      <c r="G84" s="1" t="s">
        <v>14</v>
      </c>
      <c r="H84" s="1">
        <v>43</v>
      </c>
      <c r="I84" s="1">
        <v>4</v>
      </c>
      <c r="J84" s="1">
        <v>4</v>
      </c>
      <c r="K84" s="1" t="s">
        <v>36</v>
      </c>
      <c r="L84" s="1" t="str">
        <f>IF(Lima!$D84="Precast",L56,IF(Lima!$D84="","",IF(Lima!$D84&lt;20000,"Khasab",IF(Lima!$D84&lt;50000, "Lima",IF(Lima!$D84&lt;72000,"Daba")))))</f>
        <v>Lima</v>
      </c>
      <c r="M84" s="1" t="str">
        <f>IF(Lima!$C84="","",TEXT(Lima!$C84,"mmm  yy"))</f>
        <v>Jan  26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3">
      <c r="A85" s="1"/>
      <c r="B85" s="1">
        <f t="shared" si="1"/>
        <v>82</v>
      </c>
      <c r="C85" s="2">
        <v>46053</v>
      </c>
      <c r="D85" s="4">
        <v>21985</v>
      </c>
      <c r="E85" s="1" t="s">
        <v>12</v>
      </c>
      <c r="F85" s="3" t="s">
        <v>22</v>
      </c>
      <c r="G85" s="1" t="s">
        <v>18</v>
      </c>
      <c r="H85" s="1">
        <v>8</v>
      </c>
      <c r="I85" s="1">
        <v>1</v>
      </c>
      <c r="J85" s="1">
        <v>1</v>
      </c>
      <c r="K85" s="1" t="s">
        <v>36</v>
      </c>
      <c r="L85" s="1" t="str">
        <f>IF(Lima!$D85="Precast",L57,IF(Lima!$D85="","",IF(Lima!$D85&lt;20000,"Khasab",IF(Lima!$D85&lt;50000, "Lima",IF(Lima!$D85&lt;72000,"Daba")))))</f>
        <v>Lima</v>
      </c>
      <c r="M85" s="1" t="str">
        <f>IF(Lima!$C85="","",TEXT(Lima!$C85,"mmm  yy"))</f>
        <v>Jan  26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3">
      <c r="A86" s="1"/>
      <c r="B86" s="1">
        <f t="shared" si="1"/>
        <v>83</v>
      </c>
      <c r="C86" s="2">
        <v>46053</v>
      </c>
      <c r="D86" s="4">
        <v>44333</v>
      </c>
      <c r="E86" s="1" t="s">
        <v>12</v>
      </c>
      <c r="F86" s="3" t="s">
        <v>29</v>
      </c>
      <c r="G86" s="1" t="s">
        <v>18</v>
      </c>
      <c r="H86" s="1">
        <v>24</v>
      </c>
      <c r="I86" s="1">
        <v>3</v>
      </c>
      <c r="J86" s="1">
        <v>3</v>
      </c>
      <c r="K86" s="1" t="s">
        <v>36</v>
      </c>
      <c r="L86" s="1" t="str">
        <f>IF(Lima!$D86="Precast",L58,IF(Lima!$D86="","",IF(Lima!$D86&lt;20000,"Khasab",IF(Lima!$D86&lt;50000, "Lima",IF(Lima!$D86&lt;72000,"Daba")))))</f>
        <v>Lima</v>
      </c>
      <c r="M86" s="1" t="str">
        <f>IF(Lima!$C86="","",TEXT(Lima!$C86,"mmm  yy"))</f>
        <v>Jan  26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3">
      <c r="A87" s="1"/>
      <c r="B87" s="1">
        <f t="shared" si="1"/>
        <v>84</v>
      </c>
      <c r="C87" s="2">
        <v>46053</v>
      </c>
      <c r="D87" s="4">
        <v>41074</v>
      </c>
      <c r="E87" s="1" t="s">
        <v>12</v>
      </c>
      <c r="F87" s="3" t="s">
        <v>81</v>
      </c>
      <c r="G87" s="1" t="s">
        <v>18</v>
      </c>
      <c r="H87" s="1">
        <v>23</v>
      </c>
      <c r="I87" s="1">
        <v>4</v>
      </c>
      <c r="J87" s="1">
        <v>4</v>
      </c>
      <c r="K87" s="1" t="s">
        <v>36</v>
      </c>
      <c r="L87" s="1" t="str">
        <f>IF(Lima!$D87="Precast",L59,IF(Lima!$D87="","",IF(Lima!$D87&lt;20000,"Khasab",IF(Lima!$D87&lt;50000, "Lima",IF(Lima!$D87&lt;72000,"Daba")))))</f>
        <v>Lima</v>
      </c>
      <c r="M87" s="1" t="str">
        <f>IF(Lima!$C87="","",TEXT(Lima!$C87,"mmm  yy"))</f>
        <v>Jan  26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3">
      <c r="A88" s="1"/>
      <c r="B88" s="1">
        <f t="shared" si="1"/>
        <v>85</v>
      </c>
      <c r="C88" s="2">
        <v>46054</v>
      </c>
      <c r="D88" s="4">
        <v>29847</v>
      </c>
      <c r="E88" s="1" t="s">
        <v>20</v>
      </c>
      <c r="F88" s="3" t="s">
        <v>91</v>
      </c>
      <c r="G88" s="1" t="s">
        <v>25</v>
      </c>
      <c r="H88" s="1">
        <v>80</v>
      </c>
      <c r="I88" s="1">
        <v>8</v>
      </c>
      <c r="J88" s="1">
        <v>8</v>
      </c>
      <c r="K88" s="1" t="s">
        <v>36</v>
      </c>
      <c r="L88" s="1" t="str">
        <f>IF(Lima!$D88="Precast",L60,IF(Lima!$D88="","",IF(Lima!$D88&lt;20000,"Khasab",IF(Lima!$D88&lt;50000, "Lima",IF(Lima!$D88&lt;72000,"Daba")))))</f>
        <v>Lima</v>
      </c>
      <c r="M88" s="1" t="str">
        <f>IF(Lima!$C88="","",TEXT(Lima!$C88,"mmm  yy"))</f>
        <v>Feb  26</v>
      </c>
      <c r="N88" s="1" t="s">
        <v>92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3">
      <c r="A89" s="1"/>
      <c r="B89" s="1">
        <f t="shared" si="1"/>
        <v>86</v>
      </c>
      <c r="C89" s="2">
        <v>46054</v>
      </c>
      <c r="D89" s="4">
        <v>38936</v>
      </c>
      <c r="E89" s="1" t="s">
        <v>12</v>
      </c>
      <c r="F89" s="3" t="s">
        <v>33</v>
      </c>
      <c r="G89" s="1" t="s">
        <v>18</v>
      </c>
      <c r="H89" s="1">
        <v>60</v>
      </c>
      <c r="I89" s="1">
        <v>7</v>
      </c>
      <c r="J89" s="1">
        <v>7</v>
      </c>
      <c r="K89" s="1" t="s">
        <v>36</v>
      </c>
      <c r="L89" s="1" t="str">
        <f>IF(Lima!$D89="Precast",L61,IF(Lima!$D89="","",IF(Lima!$D89&lt;20000,"Khasab",IF(Lima!$D89&lt;50000, "Lima",IF(Lima!$D89&lt;72000,"Daba")))))</f>
        <v>Lima</v>
      </c>
      <c r="M89" s="1" t="str">
        <f>IF(Lima!$C89="","",TEXT(Lima!$C89,"mmm  yy"))</f>
        <v>Feb  26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3">
      <c r="A90" s="1"/>
      <c r="B90" s="1">
        <f t="shared" si="1"/>
        <v>87</v>
      </c>
      <c r="C90" s="2">
        <v>46055</v>
      </c>
      <c r="D90" s="4">
        <v>20770</v>
      </c>
      <c r="E90" s="1" t="s">
        <v>21</v>
      </c>
      <c r="F90" s="3" t="s">
        <v>45</v>
      </c>
      <c r="G90" s="1" t="s">
        <v>17</v>
      </c>
      <c r="H90" s="1">
        <v>19</v>
      </c>
      <c r="I90" s="1">
        <v>2</v>
      </c>
      <c r="J90" s="1">
        <v>2</v>
      </c>
      <c r="K90" s="1" t="s">
        <v>36</v>
      </c>
      <c r="L90" s="1" t="str">
        <f>IF(Lima!$D90="Precast",L62,IF(Lima!$D90="","",IF(Lima!$D90&lt;20000,"Khasab",IF(Lima!$D90&lt;50000, "Lima",IF(Lima!$D90&lt;72000,"Daba")))))</f>
        <v>Lima</v>
      </c>
      <c r="M90" s="1" t="str">
        <f>IF(Lima!$C90="","",TEXT(Lima!$C90,"mmm  yy"))</f>
        <v>Feb  26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3">
      <c r="A91" s="1"/>
      <c r="B91" s="1">
        <f t="shared" si="1"/>
        <v>88</v>
      </c>
      <c r="C91" s="2">
        <v>46055</v>
      </c>
      <c r="D91" s="4">
        <v>43383</v>
      </c>
      <c r="E91" s="1" t="s">
        <v>12</v>
      </c>
      <c r="F91" s="3" t="s">
        <v>76</v>
      </c>
      <c r="G91" s="1" t="s">
        <v>14</v>
      </c>
      <c r="H91" s="1">
        <v>16</v>
      </c>
      <c r="I91" s="1">
        <v>2</v>
      </c>
      <c r="J91" s="1">
        <v>2</v>
      </c>
      <c r="K91" s="1" t="s">
        <v>36</v>
      </c>
      <c r="L91" s="1" t="str">
        <f>IF(Lima!$D91="Precast",L63,IF(Lima!$D91="","",IF(Lima!$D91&lt;20000,"Khasab",IF(Lima!$D91&lt;50000, "Lima",IF(Lima!$D91&lt;72000,"Daba")))))</f>
        <v>Lima</v>
      </c>
      <c r="M91" s="1" t="str">
        <f>IF(Lima!$C91="","",TEXT(Lima!$C91,"mmm  yy"))</f>
        <v>Feb  26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3">
      <c r="A92" s="1"/>
      <c r="B92" s="1">
        <f t="shared" si="1"/>
        <v>89</v>
      </c>
      <c r="C92" s="2">
        <v>46055</v>
      </c>
      <c r="D92" s="4">
        <v>41074</v>
      </c>
      <c r="E92" s="1" t="s">
        <v>12</v>
      </c>
      <c r="F92" s="3" t="s">
        <v>93</v>
      </c>
      <c r="G92" s="1" t="s">
        <v>18</v>
      </c>
      <c r="H92" s="1">
        <v>6</v>
      </c>
      <c r="I92" s="1">
        <v>1</v>
      </c>
      <c r="J92" s="1">
        <v>1</v>
      </c>
      <c r="K92" s="1" t="s">
        <v>36</v>
      </c>
      <c r="L92" s="1" t="str">
        <f>IF(Lima!$D92="Precast",L64,IF(Lima!$D92="","",IF(Lima!$D92&lt;20000,"Khasab",IF(Lima!$D92&lt;50000, "Lima",IF(Lima!$D92&lt;72000,"Daba")))))</f>
        <v>Lima</v>
      </c>
      <c r="M92" s="1" t="str">
        <f>IF(Lima!$C92="","",TEXT(Lima!$C92,"mmm  yy"))</f>
        <v>Feb  26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3">
      <c r="A93" s="1"/>
      <c r="B93" s="1">
        <f t="shared" si="1"/>
        <v>90</v>
      </c>
      <c r="C93" s="2">
        <v>46056</v>
      </c>
      <c r="D93" s="4">
        <v>28860</v>
      </c>
      <c r="E93" s="1" t="s">
        <v>12</v>
      </c>
      <c r="F93" s="3" t="s">
        <v>76</v>
      </c>
      <c r="G93" s="1" t="s">
        <v>14</v>
      </c>
      <c r="H93" s="1">
        <v>8</v>
      </c>
      <c r="I93" s="1">
        <v>1</v>
      </c>
      <c r="J93" s="1">
        <v>1</v>
      </c>
      <c r="K93" s="1" t="s">
        <v>36</v>
      </c>
      <c r="L93" s="1" t="str">
        <f>IF(Lima!$D93="Precast",L65,IF(Lima!$D93="","",IF(Lima!$D93&lt;20000,"Khasab",IF(Lima!$D93&lt;50000, "Lima",IF(Lima!$D93&lt;72000,"Daba")))))</f>
        <v>Lima</v>
      </c>
      <c r="M93" s="1" t="str">
        <f>IF(Lima!$C93="","",TEXT(Lima!$C93,"mmm  yy"))</f>
        <v>Feb  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3">
      <c r="A94" s="1"/>
      <c r="B94" s="1">
        <f t="shared" si="1"/>
        <v>91</v>
      </c>
      <c r="C94" s="2">
        <v>46056</v>
      </c>
      <c r="D94" s="4">
        <v>47147</v>
      </c>
      <c r="E94" s="1" t="s">
        <v>12</v>
      </c>
      <c r="F94" s="3" t="s">
        <v>22</v>
      </c>
      <c r="G94" s="1" t="s">
        <v>18</v>
      </c>
      <c r="H94" s="1">
        <v>5.75</v>
      </c>
      <c r="I94" s="1">
        <v>1</v>
      </c>
      <c r="J94" s="1">
        <v>1</v>
      </c>
      <c r="K94" s="1" t="s">
        <v>36</v>
      </c>
      <c r="L94" s="1" t="str">
        <f>IF(Lima!$D94="Precast",L66,IF(Lima!$D94="","",IF(Lima!$D94&lt;20000,"Khasab",IF(Lima!$D94&lt;50000, "Lima",IF(Lima!$D94&lt;72000,"Daba")))))</f>
        <v>Lima</v>
      </c>
      <c r="M94" s="1" t="str">
        <f>IF(Lima!$C94="","",TEXT(Lima!$C94,"mmm  yy"))</f>
        <v>Feb  26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3">
      <c r="A95" s="1"/>
      <c r="B95" s="1">
        <f t="shared" si="1"/>
        <v>92</v>
      </c>
      <c r="C95" s="2">
        <v>46056</v>
      </c>
      <c r="D95" s="4">
        <v>44121</v>
      </c>
      <c r="E95" s="1" t="s">
        <v>12</v>
      </c>
      <c r="F95" s="3" t="s">
        <v>94</v>
      </c>
      <c r="G95" s="1" t="s">
        <v>14</v>
      </c>
      <c r="H95" s="1">
        <v>9</v>
      </c>
      <c r="I95" s="1">
        <v>1</v>
      </c>
      <c r="J95" s="1">
        <v>1</v>
      </c>
      <c r="K95" s="1" t="s">
        <v>36</v>
      </c>
      <c r="L95" s="1" t="str">
        <f>IF(Lima!$D95="Precast",L67,IF(Lima!$D95="","",IF(Lima!$D95&lt;20000,"Khasab",IF(Lima!$D95&lt;50000, "Lima",IF(Lima!$D95&lt;72000,"Daba")))))</f>
        <v>Lima</v>
      </c>
      <c r="M95" s="1" t="str">
        <f>IF(Lima!$C95="","",TEXT(Lima!$C95,"mmm  yy"))</f>
        <v>Feb  26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3">
      <c r="A96" s="1"/>
      <c r="B96" s="1">
        <f t="shared" si="1"/>
        <v>93</v>
      </c>
      <c r="C96" s="2">
        <v>46057</v>
      </c>
      <c r="D96" s="4">
        <v>29826</v>
      </c>
      <c r="E96" s="1" t="s">
        <v>20</v>
      </c>
      <c r="F96" s="3" t="s">
        <v>73</v>
      </c>
      <c r="G96" s="1" t="s">
        <v>25</v>
      </c>
      <c r="H96" s="1">
        <v>73</v>
      </c>
      <c r="I96" s="1">
        <v>8</v>
      </c>
      <c r="J96" s="1">
        <v>8</v>
      </c>
      <c r="K96" s="1" t="s">
        <v>36</v>
      </c>
      <c r="L96" s="1" t="str">
        <f>IF(Lima!$D96="Precast",L68,IF(Lima!$D96="","",IF(Lima!$D96&lt;20000,"Khasab",IF(Lima!$D96&lt;50000, "Lima",IF(Lima!$D96&lt;72000,"Daba")))))</f>
        <v>Lima</v>
      </c>
      <c r="M96" s="1" t="str">
        <f>IF(Lima!$C96="","",TEXT(Lima!$C96,"mmm  yy"))</f>
        <v>Feb  26</v>
      </c>
      <c r="N96" s="1" t="s">
        <v>95</v>
      </c>
      <c r="O96" s="1" t="s">
        <v>96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3">
      <c r="A97" s="1"/>
      <c r="B97" s="1">
        <f t="shared" si="1"/>
        <v>94</v>
      </c>
      <c r="C97" s="2">
        <v>46057</v>
      </c>
      <c r="D97" s="4">
        <v>43712</v>
      </c>
      <c r="E97" s="1" t="s">
        <v>12</v>
      </c>
      <c r="F97" s="3" t="s">
        <v>94</v>
      </c>
      <c r="G97" s="1" t="s">
        <v>14</v>
      </c>
      <c r="H97" s="1">
        <v>4</v>
      </c>
      <c r="I97" s="1">
        <v>1</v>
      </c>
      <c r="J97" s="1">
        <v>1</v>
      </c>
      <c r="K97" s="1" t="s">
        <v>36</v>
      </c>
      <c r="L97" s="1" t="str">
        <f>IF(Lima!$D97="Precast",L69,IF(Lima!$D97="","",IF(Lima!$D97&lt;20000,"Khasab",IF(Lima!$D97&lt;50000, "Lima",IF(Lima!$D97&lt;72000,"Daba")))))</f>
        <v>Lima</v>
      </c>
      <c r="M97" s="1" t="str">
        <f>IF(Lima!$C97="","",TEXT(Lima!$C97,"mmm  yy"))</f>
        <v>Feb  26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3">
      <c r="A98" s="1"/>
      <c r="B98" s="1">
        <f t="shared" si="1"/>
        <v>95</v>
      </c>
      <c r="C98" s="2">
        <v>46058</v>
      </c>
      <c r="D98" s="4">
        <v>43712</v>
      </c>
      <c r="E98" s="1" t="s">
        <v>12</v>
      </c>
      <c r="F98" s="3" t="s">
        <v>97</v>
      </c>
      <c r="G98" s="1" t="s">
        <v>18</v>
      </c>
      <c r="H98" s="1">
        <v>7.5</v>
      </c>
      <c r="I98" s="1">
        <v>1</v>
      </c>
      <c r="J98" s="1">
        <v>1</v>
      </c>
      <c r="K98" s="1" t="s">
        <v>36</v>
      </c>
      <c r="L98" s="1" t="str">
        <f>IF(Lima!$D98="Precast",L70,IF(Lima!$D98="","",IF(Lima!$D98&lt;20000,"Khasab",IF(Lima!$D98&lt;50000, "Lima",IF(Lima!$D98&lt;72000,"Daba")))))</f>
        <v>Lima</v>
      </c>
      <c r="M98" s="1" t="str">
        <f>IF(Lima!$C98="","",TEXT(Lima!$C98,"mmm  yy"))</f>
        <v>Feb  26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3">
      <c r="A99" s="1"/>
      <c r="B99" s="1">
        <f t="shared" si="1"/>
        <v>96</v>
      </c>
      <c r="C99" s="2">
        <v>46058</v>
      </c>
      <c r="D99" s="4">
        <v>21700</v>
      </c>
      <c r="E99" s="1" t="s">
        <v>12</v>
      </c>
      <c r="F99" s="3" t="s">
        <v>98</v>
      </c>
      <c r="G99" s="1" t="s">
        <v>18</v>
      </c>
      <c r="H99" s="1">
        <v>107</v>
      </c>
      <c r="I99" s="1">
        <v>10</v>
      </c>
      <c r="J99" s="1">
        <v>10</v>
      </c>
      <c r="K99" s="1" t="s">
        <v>36</v>
      </c>
      <c r="L99" s="1" t="str">
        <f>IF(Lima!$D99="Precast",L71,IF(Lima!$D99="","",IF(Lima!$D99&lt;20000,"Khasab",IF(Lima!$D99&lt;50000, "Lima",IF(Lima!$D99&lt;72000,"Daba")))))</f>
        <v>Lima</v>
      </c>
      <c r="M99" s="1" t="str">
        <f>IF(Lima!$C99="","",TEXT(Lima!$C99,"mmm  yy"))</f>
        <v>Feb  26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3">
      <c r="A100" s="1"/>
      <c r="B100" s="1">
        <f t="shared" si="1"/>
        <v>97</v>
      </c>
      <c r="C100" s="2">
        <v>46058</v>
      </c>
      <c r="D100" s="4">
        <v>20740</v>
      </c>
      <c r="E100" s="1" t="s">
        <v>21</v>
      </c>
      <c r="F100" s="3" t="s">
        <v>45</v>
      </c>
      <c r="G100" s="1" t="s">
        <v>17</v>
      </c>
      <c r="H100" s="1">
        <v>18</v>
      </c>
      <c r="I100" s="1">
        <v>2</v>
      </c>
      <c r="J100" s="1">
        <v>2</v>
      </c>
      <c r="K100" s="1" t="s">
        <v>36</v>
      </c>
      <c r="L100" s="1" t="str">
        <f>IF(Lima!$D100="Precast",L72,IF(Lima!$D100="","",IF(Lima!$D100&lt;20000,"Khasab",IF(Lima!$D100&lt;50000, "Lima",IF(Lima!$D100&lt;72000,"Daba")))))</f>
        <v>Lima</v>
      </c>
      <c r="M100" s="1" t="str">
        <f>IF(Lima!$C100="","",TEXT(Lima!$C100,"mmm  yy"))</f>
        <v>Feb  26</v>
      </c>
      <c r="N100" s="1" t="s">
        <v>99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3">
      <c r="A101" s="1"/>
      <c r="B101" s="1">
        <f t="shared" si="1"/>
        <v>98</v>
      </c>
      <c r="C101" s="2">
        <v>46060</v>
      </c>
      <c r="D101" s="4">
        <v>44333</v>
      </c>
      <c r="E101" s="1" t="s">
        <v>12</v>
      </c>
      <c r="F101" s="3" t="s">
        <v>26</v>
      </c>
      <c r="G101" s="1" t="s">
        <v>18</v>
      </c>
      <c r="H101" s="1">
        <v>39</v>
      </c>
      <c r="I101" s="1">
        <v>5</v>
      </c>
      <c r="J101" s="1">
        <v>5</v>
      </c>
      <c r="K101" s="1" t="s">
        <v>36</v>
      </c>
      <c r="L101" s="1" t="str">
        <f>IF(Lima!$D101="Precast",L73,IF(Lima!$D101="","",IF(Lima!$D101&lt;20000,"Khasab",IF(Lima!$D101&lt;50000, "Lima",IF(Lima!$D101&lt;72000,"Daba")))))</f>
        <v>Lima</v>
      </c>
      <c r="M101" s="1" t="str">
        <f>IF(Lima!$C101="","",TEXT(Lima!$C101,"mmm  yy"))</f>
        <v>Feb  26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3">
      <c r="A102" s="1"/>
      <c r="B102" s="1">
        <f t="shared" si="1"/>
        <v>99</v>
      </c>
      <c r="C102" s="2">
        <v>46060</v>
      </c>
      <c r="D102" s="4">
        <v>28217</v>
      </c>
      <c r="E102" s="1" t="s">
        <v>12</v>
      </c>
      <c r="F102" s="3" t="s">
        <v>100</v>
      </c>
      <c r="G102" s="1" t="s">
        <v>18</v>
      </c>
      <c r="H102" s="1">
        <v>143</v>
      </c>
      <c r="I102" s="1">
        <v>13</v>
      </c>
      <c r="J102" s="1">
        <v>13</v>
      </c>
      <c r="K102" s="1" t="s">
        <v>36</v>
      </c>
      <c r="L102" s="1" t="str">
        <f>IF(Lima!$D102="Precast",L74,IF(Lima!$D102="","",IF(Lima!$D102&lt;20000,"Khasab",IF(Lima!$D102&lt;50000, "Lima",IF(Lima!$D102&lt;72000,"Daba")))))</f>
        <v>Lima</v>
      </c>
      <c r="M102" s="1" t="str">
        <f>IF(Lima!$C102="","",TEXT(Lima!$C102,"mmm  yy"))</f>
        <v>Feb  26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3">
      <c r="A103" s="1"/>
      <c r="B103" s="1">
        <f t="shared" si="1"/>
        <v>100</v>
      </c>
      <c r="C103" s="2">
        <v>46061</v>
      </c>
      <c r="D103" s="4">
        <v>28740</v>
      </c>
      <c r="E103" s="1" t="s">
        <v>20</v>
      </c>
      <c r="F103" s="3" t="s">
        <v>101</v>
      </c>
      <c r="G103" s="1" t="s">
        <v>14</v>
      </c>
      <c r="H103" s="1">
        <v>11</v>
      </c>
      <c r="I103" s="1">
        <v>1</v>
      </c>
      <c r="J103" s="1">
        <v>1</v>
      </c>
      <c r="K103" s="1" t="s">
        <v>36</v>
      </c>
      <c r="L103" s="1" t="str">
        <f>IF(Lima!$D103="Precast",L75,IF(Lima!$D103="","",IF(Lima!$D103&lt;20000,"Khasab",IF(Lima!$D103&lt;50000, "Lima",IF(Lima!$D103&lt;72000,"Daba")))))</f>
        <v>Lima</v>
      </c>
      <c r="M103" s="1" t="str">
        <f>IF(Lima!$C103="","",TEXT(Lima!$C103,"mmm  yy"))</f>
        <v>Feb  26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3">
      <c r="A104" s="1"/>
      <c r="B104" s="1">
        <f t="shared" si="1"/>
        <v>101</v>
      </c>
      <c r="C104" s="2">
        <v>46061</v>
      </c>
      <c r="D104" s="4">
        <v>28860</v>
      </c>
      <c r="E104" s="1" t="s">
        <v>12</v>
      </c>
      <c r="F104" s="3" t="s">
        <v>29</v>
      </c>
      <c r="G104" s="1" t="s">
        <v>18</v>
      </c>
      <c r="H104" s="1">
        <v>16</v>
      </c>
      <c r="I104" s="1">
        <v>2</v>
      </c>
      <c r="J104" s="1">
        <v>2</v>
      </c>
      <c r="K104" s="1" t="s">
        <v>36</v>
      </c>
      <c r="L104" s="1" t="str">
        <f>IF(Lima!$D104="Precast",L76,IF(Lima!$D104="","",IF(Lima!$D104&lt;20000,"Khasab",IF(Lima!$D104&lt;50000, "Lima",IF(Lima!$D104&lt;72000,"Daba")))))</f>
        <v>Lima</v>
      </c>
      <c r="M104" s="1" t="str">
        <f>IF(Lima!$C104="","",TEXT(Lima!$C104,"mmm  yy"))</f>
        <v>Feb  26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3">
      <c r="A105" s="1"/>
      <c r="B105" s="1">
        <f t="shared" si="1"/>
        <v>102</v>
      </c>
      <c r="C105" s="2">
        <v>46062</v>
      </c>
      <c r="D105" s="4">
        <v>43381</v>
      </c>
      <c r="E105" s="1" t="s">
        <v>12</v>
      </c>
      <c r="F105" s="3" t="s">
        <v>29</v>
      </c>
      <c r="G105" s="1" t="s">
        <v>18</v>
      </c>
      <c r="H105" s="1">
        <v>47</v>
      </c>
      <c r="I105" s="1">
        <v>6</v>
      </c>
      <c r="J105" s="1">
        <v>6</v>
      </c>
      <c r="K105" s="1" t="s">
        <v>36</v>
      </c>
      <c r="L105" s="1" t="str">
        <f>IF(Lima!$D105="Precast",L77,IF(Lima!$D105="","",IF(Lima!$D105&lt;20000,"Khasab",IF(Lima!$D105&lt;50000, "Lima",IF(Lima!$D105&lt;72000,"Daba")))))</f>
        <v>Lima</v>
      </c>
      <c r="M105" s="1" t="str">
        <f>IF(Lima!$C105="","",TEXT(Lima!$C105,"mmm  yy"))</f>
        <v>Feb  26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3">
      <c r="A106" s="1"/>
      <c r="B106" s="1">
        <f t="shared" si="1"/>
        <v>103</v>
      </c>
      <c r="C106" s="2">
        <v>46062</v>
      </c>
      <c r="D106" s="4">
        <v>44333</v>
      </c>
      <c r="E106" s="1" t="s">
        <v>12</v>
      </c>
      <c r="F106" s="3" t="s">
        <v>33</v>
      </c>
      <c r="G106" s="1" t="s">
        <v>18</v>
      </c>
      <c r="H106" s="1">
        <v>9.5</v>
      </c>
      <c r="I106" s="1">
        <v>1</v>
      </c>
      <c r="J106" s="1">
        <v>1</v>
      </c>
      <c r="K106" s="1" t="s">
        <v>36</v>
      </c>
      <c r="L106" s="1" t="str">
        <f>IF(Lima!$D106="Precast",L78,IF(Lima!$D106="","",IF(Lima!$D106&lt;20000,"Khasab",IF(Lima!$D106&lt;50000, "Lima",IF(Lima!$D106&lt;72000,"Daba")))))</f>
        <v>Lima</v>
      </c>
      <c r="M106" s="1" t="str">
        <f>IF(Lima!$C106="","",TEXT(Lima!$C106,"mmm  yy"))</f>
        <v>Feb  26</v>
      </c>
      <c r="N106" s="1" t="s">
        <v>77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3">
      <c r="A107" s="1"/>
      <c r="B107" s="1">
        <f t="shared" si="1"/>
        <v>104</v>
      </c>
      <c r="C107" s="2">
        <v>46062</v>
      </c>
      <c r="D107" s="4">
        <v>44333</v>
      </c>
      <c r="E107" s="1" t="s">
        <v>12</v>
      </c>
      <c r="F107" s="3" t="s">
        <v>94</v>
      </c>
      <c r="G107" s="1" t="s">
        <v>14</v>
      </c>
      <c r="H107" s="1">
        <v>4</v>
      </c>
      <c r="I107" s="1">
        <v>1</v>
      </c>
      <c r="J107" s="1">
        <v>1</v>
      </c>
      <c r="K107" s="1" t="s">
        <v>36</v>
      </c>
      <c r="L107" s="1" t="str">
        <f>IF(Lima!$D107="Precast",L79,IF(Lima!$D107="","",IF(Lima!$D107&lt;20000,"Khasab",IF(Lima!$D107&lt;50000, "Lima",IF(Lima!$D107&lt;72000,"Daba")))))</f>
        <v>Lima</v>
      </c>
      <c r="M107" s="1" t="str">
        <f>IF(Lima!$C107="","",TEXT(Lima!$C107,"mmm  yy"))</f>
        <v>Feb  26</v>
      </c>
      <c r="N107" s="1" t="s">
        <v>102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3">
      <c r="A108" s="1"/>
      <c r="B108" s="1">
        <f t="shared" si="1"/>
        <v>105</v>
      </c>
      <c r="C108" s="2">
        <v>46062</v>
      </c>
      <c r="D108" s="4">
        <v>29836</v>
      </c>
      <c r="E108" s="1" t="s">
        <v>20</v>
      </c>
      <c r="F108" s="3" t="s">
        <v>73</v>
      </c>
      <c r="G108" s="1" t="s">
        <v>25</v>
      </c>
      <c r="H108" s="1">
        <v>92</v>
      </c>
      <c r="I108" s="1">
        <v>9</v>
      </c>
      <c r="J108" s="1">
        <v>9</v>
      </c>
      <c r="K108" s="1" t="s">
        <v>36</v>
      </c>
      <c r="L108" s="1" t="str">
        <f>IF(Lima!$D108="Precast",L80,IF(Lima!$D108="","",IF(Lima!$D108&lt;20000,"Khasab",IF(Lima!$D108&lt;50000, "Lima",IF(Lima!$D108&lt;72000,"Daba")))))</f>
        <v>Lima</v>
      </c>
      <c r="M108" s="1" t="str">
        <f>IF(Lima!$C108="","",TEXT(Lima!$C108,"mmm  yy"))</f>
        <v>Feb  26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3">
      <c r="A109" s="1"/>
      <c r="B109" s="1">
        <f t="shared" si="1"/>
        <v>106</v>
      </c>
      <c r="C109" s="2">
        <v>46063</v>
      </c>
      <c r="D109" s="4">
        <v>21700</v>
      </c>
      <c r="E109" s="1" t="s">
        <v>20</v>
      </c>
      <c r="F109" s="3" t="s">
        <v>33</v>
      </c>
      <c r="G109" s="1" t="s">
        <v>18</v>
      </c>
      <c r="H109" s="1">
        <v>107</v>
      </c>
      <c r="I109" s="1">
        <v>10</v>
      </c>
      <c r="J109" s="1">
        <v>10</v>
      </c>
      <c r="K109" s="1" t="s">
        <v>36</v>
      </c>
      <c r="L109" s="1" t="str">
        <f>IF(Lima!$D109="Precast",L81,IF(Lima!$D109="","",IF(Lima!$D109&lt;20000,"Khasab",IF(Lima!$D109&lt;50000, "Lima",IF(Lima!$D109&lt;72000,"Daba")))))</f>
        <v>Lima</v>
      </c>
      <c r="M109" s="1" t="str">
        <f>IF(Lima!$C109="","",TEXT(Lima!$C109,"mmm  yy"))</f>
        <v>Feb  26</v>
      </c>
      <c r="N109" s="1" t="s">
        <v>102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3">
      <c r="A110" s="1"/>
      <c r="B110" s="1">
        <f t="shared" si="1"/>
        <v>107</v>
      </c>
      <c r="C110" s="2">
        <v>46063</v>
      </c>
      <c r="D110" s="4">
        <v>20720</v>
      </c>
      <c r="E110" s="1" t="s">
        <v>21</v>
      </c>
      <c r="F110" s="3" t="s">
        <v>45</v>
      </c>
      <c r="G110" s="1" t="s">
        <v>17</v>
      </c>
      <c r="H110" s="1">
        <v>18</v>
      </c>
      <c r="I110" s="1">
        <v>2</v>
      </c>
      <c r="J110" s="1">
        <v>2</v>
      </c>
      <c r="K110" s="1" t="s">
        <v>36</v>
      </c>
      <c r="L110" s="1" t="str">
        <f>IF(Lima!$D110="Precast",L82,IF(Lima!$D110="","",IF(Lima!$D110&lt;20000,"Khasab",IF(Lima!$D110&lt;50000, "Lima",IF(Lima!$D110&lt;72000,"Daba")))))</f>
        <v>Lima</v>
      </c>
      <c r="M110" s="1" t="str">
        <f>IF(Lima!$C110="","",TEXT(Lima!$C110,"mmm  yy"))</f>
        <v>Feb  26</v>
      </c>
      <c r="N110" s="1" t="s">
        <v>103</v>
      </c>
      <c r="O110" s="1" t="s">
        <v>104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3">
      <c r="A111" s="1"/>
      <c r="B111" s="1">
        <f t="shared" si="1"/>
        <v>108</v>
      </c>
      <c r="C111" s="2">
        <v>46063</v>
      </c>
      <c r="D111" s="4">
        <v>43712</v>
      </c>
      <c r="E111" s="1" t="s">
        <v>12</v>
      </c>
      <c r="F111" s="3" t="s">
        <v>33</v>
      </c>
      <c r="G111" s="1" t="s">
        <v>18</v>
      </c>
      <c r="H111" s="1">
        <v>9.5</v>
      </c>
      <c r="I111" s="1">
        <v>1</v>
      </c>
      <c r="J111" s="1">
        <v>1</v>
      </c>
      <c r="K111" s="1" t="s">
        <v>36</v>
      </c>
      <c r="L111" s="1" t="str">
        <f>IF(Lima!$D111="Precast",L83,IF(Lima!$D111="","",IF(Lima!$D111&lt;20000,"Khasab",IF(Lima!$D111&lt;50000, "Lima",IF(Lima!$D111&lt;72000,"Daba")))))</f>
        <v>Lima</v>
      </c>
      <c r="M111" s="1" t="str">
        <f>IF(Lima!$C111="","",TEXT(Lima!$C111,"mmm  yy"))</f>
        <v>Feb  26</v>
      </c>
      <c r="N111" s="1" t="s">
        <v>102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3">
      <c r="A112" s="1"/>
      <c r="B112" s="1">
        <f t="shared" si="1"/>
        <v>109</v>
      </c>
      <c r="C112" s="2">
        <v>46064</v>
      </c>
      <c r="D112" s="4">
        <v>40135</v>
      </c>
      <c r="E112" s="1" t="s">
        <v>12</v>
      </c>
      <c r="F112" s="3" t="s">
        <v>33</v>
      </c>
      <c r="G112" s="1" t="s">
        <v>18</v>
      </c>
      <c r="H112" s="1">
        <v>66.5</v>
      </c>
      <c r="I112" s="1">
        <v>7</v>
      </c>
      <c r="J112" s="1">
        <v>7</v>
      </c>
      <c r="K112" s="1" t="s">
        <v>36</v>
      </c>
      <c r="L112" s="1" t="str">
        <f>IF(Lima!$D112="Precast",L84,IF(Lima!$D112="","",IF(Lima!$D112&lt;20000,"Khasab",IF(Lima!$D112&lt;50000, "Lima",IF(Lima!$D112&lt;72000,"Daba")))))</f>
        <v>Lima</v>
      </c>
      <c r="M112" s="1" t="str">
        <f>IF(Lima!$C112="","",TEXT(Lima!$C112,"mmm  yy"))</f>
        <v>Feb  26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3">
      <c r="A113" s="1"/>
      <c r="B113" s="1">
        <f t="shared" si="1"/>
        <v>110</v>
      </c>
      <c r="C113" s="2">
        <v>46064</v>
      </c>
      <c r="D113" s="4">
        <v>44121</v>
      </c>
      <c r="E113" s="1" t="s">
        <v>12</v>
      </c>
      <c r="F113" s="3" t="s">
        <v>33</v>
      </c>
      <c r="G113" s="1" t="s">
        <v>18</v>
      </c>
      <c r="H113" s="1">
        <v>26</v>
      </c>
      <c r="I113" s="1">
        <v>3</v>
      </c>
      <c r="J113" s="1">
        <v>3</v>
      </c>
      <c r="K113" s="1" t="s">
        <v>36</v>
      </c>
      <c r="L113" s="1" t="str">
        <f>IF(Lima!$D113="Precast",L85,IF(Lima!$D113="","",IF(Lima!$D113&lt;20000,"Khasab",IF(Lima!$D113&lt;50000, "Lima",IF(Lima!$D113&lt;72000,"Daba")))))</f>
        <v>Lima</v>
      </c>
      <c r="M113" s="1" t="str">
        <f>IF(Lima!$C113="","",TEXT(Lima!$C113,"mmm  yy"))</f>
        <v>Feb  26</v>
      </c>
      <c r="N113" s="1" t="s">
        <v>82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3">
      <c r="A114" s="1"/>
      <c r="B114" s="1">
        <f t="shared" si="1"/>
        <v>111</v>
      </c>
      <c r="C114" s="2">
        <v>46064</v>
      </c>
      <c r="D114" s="4">
        <v>44333</v>
      </c>
      <c r="E114" s="1" t="s">
        <v>12</v>
      </c>
      <c r="F114" s="3" t="s">
        <v>105</v>
      </c>
      <c r="G114" s="1" t="s">
        <v>18</v>
      </c>
      <c r="H114" s="1">
        <v>9</v>
      </c>
      <c r="I114" s="1">
        <v>1</v>
      </c>
      <c r="J114" s="1">
        <v>1</v>
      </c>
      <c r="K114" s="1" t="s">
        <v>36</v>
      </c>
      <c r="L114" s="1" t="str">
        <f>IF(Lima!$D114="Precast",L86,IF(Lima!$D114="","",IF(Lima!$D114&lt;20000,"Khasab",IF(Lima!$D114&lt;50000, "Lima",IF(Lima!$D114&lt;72000,"Daba")))))</f>
        <v>Lima</v>
      </c>
      <c r="M114" s="1" t="str">
        <f>IF(Lima!$C114="","",TEXT(Lima!$C114,"mmm  yy"))</f>
        <v>Feb  26</v>
      </c>
      <c r="N114" s="1" t="s">
        <v>82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3">
      <c r="A115" s="1"/>
      <c r="B115" s="1">
        <f t="shared" si="1"/>
        <v>112</v>
      </c>
      <c r="C115" s="2">
        <v>46065</v>
      </c>
      <c r="D115" s="4">
        <v>29845</v>
      </c>
      <c r="E115" s="1" t="s">
        <v>20</v>
      </c>
      <c r="F115" s="3" t="s">
        <v>73</v>
      </c>
      <c r="G115" s="1" t="s">
        <v>25</v>
      </c>
      <c r="H115" s="1">
        <v>47</v>
      </c>
      <c r="I115" s="1">
        <v>5</v>
      </c>
      <c r="J115" s="1">
        <v>5</v>
      </c>
      <c r="K115" s="1" t="s">
        <v>36</v>
      </c>
      <c r="L115" s="1" t="str">
        <f>IF(Lima!$D115="Precast",L87,IF(Lima!$D115="","",IF(Lima!$D115&lt;20000,"Khasab",IF(Lima!$D115&lt;50000, "Lima",IF(Lima!$D115&lt;72000,"Daba")))))</f>
        <v>Lima</v>
      </c>
      <c r="M115" s="1" t="str">
        <f>IF(Lima!$C115="","",TEXT(Lima!$C115,"mmm  yy"))</f>
        <v>Feb  26</v>
      </c>
      <c r="N115" s="1" t="s">
        <v>106</v>
      </c>
      <c r="O115" s="1" t="s">
        <v>107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3">
      <c r="A116" s="1"/>
      <c r="B116" s="1">
        <f t="shared" si="1"/>
        <v>113</v>
      </c>
      <c r="C116" s="2">
        <v>46065</v>
      </c>
      <c r="D116" s="4">
        <v>21700</v>
      </c>
      <c r="E116" s="1" t="s">
        <v>12</v>
      </c>
      <c r="F116" s="3" t="s">
        <v>22</v>
      </c>
      <c r="G116" s="1" t="s">
        <v>18</v>
      </c>
      <c r="H116" s="1">
        <v>13</v>
      </c>
      <c r="I116" s="1">
        <v>2</v>
      </c>
      <c r="J116" s="1">
        <v>2</v>
      </c>
      <c r="K116" s="1" t="s">
        <v>36</v>
      </c>
      <c r="L116" s="1" t="str">
        <f>IF(Lima!$D116="Precast",L88,IF(Lima!$D116="","",IF(Lima!$D116&lt;20000,"Khasab",IF(Lima!$D116&lt;50000, "Lima",IF(Lima!$D116&lt;72000,"Daba")))))</f>
        <v>Lima</v>
      </c>
      <c r="M116" s="1" t="str">
        <f>IF(Lima!$C116="","",TEXT(Lima!$C116,"mmm  yy"))</f>
        <v>Feb  26</v>
      </c>
      <c r="N116" s="1" t="s">
        <v>77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3">
      <c r="A117" s="1"/>
      <c r="B117" s="1">
        <f t="shared" si="1"/>
        <v>114</v>
      </c>
      <c r="C117" s="2">
        <v>46065</v>
      </c>
      <c r="D117" s="4">
        <v>43712</v>
      </c>
      <c r="E117" s="1" t="s">
        <v>12</v>
      </c>
      <c r="F117" s="3" t="s">
        <v>22</v>
      </c>
      <c r="G117" s="1" t="s">
        <v>18</v>
      </c>
      <c r="H117" s="1">
        <v>8</v>
      </c>
      <c r="I117" s="1">
        <v>1</v>
      </c>
      <c r="J117" s="1">
        <v>1</v>
      </c>
      <c r="K117" s="1" t="s">
        <v>36</v>
      </c>
      <c r="L117" s="1" t="str">
        <f>IF(Lima!$D117="Precast",L89,IF(Lima!$D117="","",IF(Lima!$D117&lt;20000,"Khasab",IF(Lima!$D117&lt;50000, "Lima",IF(Lima!$D117&lt;72000,"Daba")))))</f>
        <v>Lima</v>
      </c>
      <c r="M117" s="1" t="str">
        <f>IF(Lima!$C117="","",TEXT(Lima!$C117,"mmm  yy"))</f>
        <v>Feb  26</v>
      </c>
      <c r="N117" s="1" t="s">
        <v>89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3">
      <c r="A118" s="1"/>
      <c r="B118" s="1">
        <f t="shared" si="1"/>
        <v>115</v>
      </c>
      <c r="C118" s="2">
        <v>46067</v>
      </c>
      <c r="D118" s="4">
        <v>43272</v>
      </c>
      <c r="E118" s="1" t="s">
        <v>20</v>
      </c>
      <c r="F118" s="3" t="s">
        <v>101</v>
      </c>
      <c r="G118" s="1" t="s">
        <v>14</v>
      </c>
      <c r="H118" s="1">
        <v>1.5</v>
      </c>
      <c r="I118" s="1">
        <v>1</v>
      </c>
      <c r="J118" s="1">
        <v>1</v>
      </c>
      <c r="K118" s="1" t="s">
        <v>36</v>
      </c>
      <c r="L118" s="1" t="str">
        <f>IF(Lima!$D118="Precast",L90,IF(Lima!$D118="","",IF(Lima!$D118&lt;20000,"Khasab",IF(Lima!$D118&lt;50000, "Lima",IF(Lima!$D118&lt;72000,"Daba")))))</f>
        <v>Lima</v>
      </c>
      <c r="M118" s="1" t="str">
        <f>IF(Lima!$C118="","",TEXT(Lima!$C118,"mmm  yy"))</f>
        <v>Feb  26</v>
      </c>
      <c r="N118" s="1" t="s">
        <v>108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3">
      <c r="A119" s="1"/>
      <c r="B119" s="1">
        <f t="shared" si="1"/>
        <v>116</v>
      </c>
      <c r="C119" s="2">
        <v>46068</v>
      </c>
      <c r="D119" s="4">
        <v>43610</v>
      </c>
      <c r="E119" s="1" t="s">
        <v>21</v>
      </c>
      <c r="F119" s="3" t="s">
        <v>45</v>
      </c>
      <c r="G119" s="1" t="s">
        <v>14</v>
      </c>
      <c r="H119" s="1">
        <v>17</v>
      </c>
      <c r="I119" s="1">
        <v>2</v>
      </c>
      <c r="J119" s="1">
        <v>2</v>
      </c>
      <c r="K119" s="1" t="s">
        <v>36</v>
      </c>
      <c r="L119" s="1" t="str">
        <f>IF(Lima!$D119="Precast",L91,IF(Lima!$D119="","",IF(Lima!$D119&lt;20000,"Khasab",IF(Lima!$D119&lt;50000, "Lima",IF(Lima!$D119&lt;72000,"Daba")))))</f>
        <v>Lima</v>
      </c>
      <c r="M119" s="1" t="str">
        <f>IF(Lima!$C119="","",TEXT(Lima!$C119,"mmm  yy"))</f>
        <v>Feb  26</v>
      </c>
      <c r="N119" s="1" t="s">
        <v>109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3">
      <c r="A120" s="1"/>
      <c r="B120" s="1">
        <f t="shared" si="1"/>
        <v>117</v>
      </c>
      <c r="C120" s="2">
        <v>46068</v>
      </c>
      <c r="D120" s="4">
        <v>44121</v>
      </c>
      <c r="E120" s="1" t="s">
        <v>12</v>
      </c>
      <c r="F120" s="3" t="s">
        <v>22</v>
      </c>
      <c r="G120" s="1" t="s">
        <v>18</v>
      </c>
      <c r="H120" s="1">
        <v>7</v>
      </c>
      <c r="I120" s="1">
        <v>1</v>
      </c>
      <c r="J120" s="1">
        <v>1</v>
      </c>
      <c r="K120" s="1" t="s">
        <v>36</v>
      </c>
      <c r="L120" s="1" t="str">
        <f>IF(Lima!$D120="Precast",L92,IF(Lima!$D120="","",IF(Lima!$D120&lt;20000,"Khasab",IF(Lima!$D120&lt;50000, "Lima",IF(Lima!$D120&lt;72000,"Daba")))))</f>
        <v>Lima</v>
      </c>
      <c r="M120" s="1" t="str">
        <f>IF(Lima!$C120="","",TEXT(Lima!$C120,"mmm  yy"))</f>
        <v>Feb  26</v>
      </c>
      <c r="N120" s="1" t="s">
        <v>82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3">
      <c r="A121" s="1"/>
      <c r="B121" s="1">
        <f t="shared" si="1"/>
        <v>118</v>
      </c>
      <c r="C121" s="2">
        <v>46069</v>
      </c>
      <c r="D121" s="4">
        <v>21700</v>
      </c>
      <c r="E121" s="1" t="s">
        <v>12</v>
      </c>
      <c r="F121" s="3" t="s">
        <v>22</v>
      </c>
      <c r="G121" s="1" t="s">
        <v>18</v>
      </c>
      <c r="H121" s="1">
        <v>14</v>
      </c>
      <c r="I121" s="1">
        <v>3</v>
      </c>
      <c r="J121" s="1">
        <v>3</v>
      </c>
      <c r="K121" s="1" t="s">
        <v>36</v>
      </c>
      <c r="L121" s="1" t="str">
        <f>IF(Lima!$D121="Precast",L93,IF(Lima!$D121="","",IF(Lima!$D121&lt;20000,"Khasab",IF(Lima!$D121&lt;50000, "Lima",IF(Lima!$D121&lt;72000,"Daba")))))</f>
        <v>Lima</v>
      </c>
      <c r="M121" s="1" t="str">
        <f>IF(Lima!$C121="","",TEXT(Lima!$C121,"mmm  yy"))</f>
        <v>Feb  26</v>
      </c>
      <c r="N121" s="1" t="s">
        <v>102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3">
      <c r="A122" s="1"/>
      <c r="B122" s="1">
        <f t="shared" si="1"/>
        <v>119</v>
      </c>
      <c r="C122" s="2">
        <v>46069</v>
      </c>
      <c r="D122" s="4">
        <v>29826</v>
      </c>
      <c r="E122" s="1" t="s">
        <v>20</v>
      </c>
      <c r="F122" s="3" t="s">
        <v>73</v>
      </c>
      <c r="G122" s="1" t="s">
        <v>25</v>
      </c>
      <c r="H122" s="1">
        <v>85</v>
      </c>
      <c r="I122" s="1">
        <v>8</v>
      </c>
      <c r="J122" s="1">
        <v>8</v>
      </c>
      <c r="K122" s="1" t="s">
        <v>36</v>
      </c>
      <c r="L122" s="1" t="str">
        <f>IF(Lima!$D122="Precast",L94,IF(Lima!$D122="","",IF(Lima!$D122&lt;20000,"Khasab",IF(Lima!$D122&lt;50000, "Lima",IF(Lima!$D122&lt;72000,"Daba")))))</f>
        <v>Lima</v>
      </c>
      <c r="M122" s="1" t="str">
        <f>IF(Lima!$C122="","",TEXT(Lima!$C122,"mmm  yy"))</f>
        <v>Feb  26</v>
      </c>
      <c r="N122" s="1" t="s">
        <v>110</v>
      </c>
      <c r="O122" s="1" t="s">
        <v>111</v>
      </c>
      <c r="P122" s="1" t="s">
        <v>112</v>
      </c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3">
      <c r="A123" s="1"/>
      <c r="B123" s="1">
        <f t="shared" si="1"/>
        <v>120</v>
      </c>
      <c r="C123" s="2">
        <v>46069</v>
      </c>
      <c r="D123" s="4">
        <v>43381</v>
      </c>
      <c r="E123" s="1" t="s">
        <v>12</v>
      </c>
      <c r="F123" s="3" t="s">
        <v>31</v>
      </c>
      <c r="G123" s="1" t="s">
        <v>18</v>
      </c>
      <c r="H123" s="1">
        <v>63</v>
      </c>
      <c r="I123" s="1">
        <v>7</v>
      </c>
      <c r="J123" s="1">
        <v>7</v>
      </c>
      <c r="K123" s="1" t="s">
        <v>36</v>
      </c>
      <c r="L123" s="1" t="str">
        <f>IF(Lima!$D123="Precast",L95,IF(Lima!$D123="","",IF(Lima!$D123&lt;20000,"Khasab",IF(Lima!$D123&lt;50000, "Lima",IF(Lima!$D123&lt;72000,"Daba")))))</f>
        <v>Lima</v>
      </c>
      <c r="M123" s="1" t="str">
        <f>IF(Lima!$C123="","",TEXT(Lima!$C123,"mmm  yy"))</f>
        <v>Feb  26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3">
      <c r="A124" s="1"/>
      <c r="B124" s="1">
        <f t="shared" si="1"/>
        <v>121</v>
      </c>
      <c r="C124" s="2">
        <v>46070</v>
      </c>
      <c r="D124" s="4">
        <v>43495</v>
      </c>
      <c r="E124" s="1" t="s">
        <v>21</v>
      </c>
      <c r="F124" s="3" t="s">
        <v>45</v>
      </c>
      <c r="G124" s="1" t="s">
        <v>17</v>
      </c>
      <c r="H124" s="1">
        <v>11</v>
      </c>
      <c r="I124" s="1">
        <v>1</v>
      </c>
      <c r="J124" s="1">
        <v>1</v>
      </c>
      <c r="K124" s="1" t="s">
        <v>36</v>
      </c>
      <c r="L124" s="1" t="str">
        <f>IF(Lima!$D124="Precast",L96,IF(Lima!$D124="","",IF(Lima!$D124&lt;20000,"Khasab",IF(Lima!$D124&lt;50000, "Lima",IF(Lima!$D124&lt;72000,"Daba")))))</f>
        <v>Lima</v>
      </c>
      <c r="M124" s="1" t="str">
        <f>IF(Lima!$C124="","",TEXT(Lima!$C124,"mmm  yy"))</f>
        <v>Feb  26</v>
      </c>
      <c r="N124" s="1" t="s">
        <v>113</v>
      </c>
      <c r="O124" s="1" t="s">
        <v>114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3">
      <c r="A125" s="1"/>
      <c r="B125" s="1">
        <f t="shared" si="1"/>
        <v>122</v>
      </c>
      <c r="C125" s="2">
        <v>46070</v>
      </c>
      <c r="D125" s="4">
        <v>20700</v>
      </c>
      <c r="E125" s="1" t="s">
        <v>21</v>
      </c>
      <c r="F125" s="3" t="s">
        <v>45</v>
      </c>
      <c r="G125" s="1" t="s">
        <v>17</v>
      </c>
      <c r="H125" s="1">
        <v>18</v>
      </c>
      <c r="I125" s="1">
        <v>2</v>
      </c>
      <c r="J125" s="1">
        <v>2</v>
      </c>
      <c r="K125" s="1" t="s">
        <v>36</v>
      </c>
      <c r="L125" s="1" t="str">
        <f>IF(Lima!$D125="Precast",L97,IF(Lima!$D125="","",IF(Lima!$D125&lt;20000,"Khasab",IF(Lima!$D125&lt;50000, "Lima",IF(Lima!$D125&lt;72000,"Daba")))))</f>
        <v>Lima</v>
      </c>
      <c r="M125" s="1" t="str">
        <f>IF(Lima!$C125="","",TEXT(Lima!$C125,"mmm  yy"))</f>
        <v>Feb  26</v>
      </c>
      <c r="N125" s="1" t="s">
        <v>115</v>
      </c>
      <c r="O125" s="1" t="s">
        <v>116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3">
      <c r="A126" s="1"/>
      <c r="B126" s="1">
        <f t="shared" si="1"/>
        <v>123</v>
      </c>
      <c r="C126" s="2">
        <v>46070</v>
      </c>
      <c r="D126" s="4">
        <v>41074</v>
      </c>
      <c r="E126" s="1" t="s">
        <v>12</v>
      </c>
      <c r="F126" s="3" t="s">
        <v>137</v>
      </c>
      <c r="G126" s="1" t="s">
        <v>18</v>
      </c>
      <c r="H126" s="1">
        <v>7.5</v>
      </c>
      <c r="I126" s="1">
        <v>1</v>
      </c>
      <c r="J126" s="1">
        <v>1</v>
      </c>
      <c r="K126" s="1" t="s">
        <v>36</v>
      </c>
      <c r="L126" s="1" t="str">
        <f>IF(Lima!$D126="Precast",L98,IF(Lima!$D126="","",IF(Lima!$D126&lt;20000,"Khasab",IF(Lima!$D126&lt;50000, "Lima",IF(Lima!$D126&lt;72000,"Daba")))))</f>
        <v>Lima</v>
      </c>
      <c r="M126" s="1" t="str">
        <f>IF(Lima!$C126="","",TEXT(Lima!$C126,"mmm  yy"))</f>
        <v>Feb  26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3">
      <c r="A127" s="1"/>
      <c r="B127" s="1">
        <f t="shared" si="1"/>
        <v>124</v>
      </c>
      <c r="C127" s="2">
        <v>46071</v>
      </c>
      <c r="D127" s="4">
        <v>34183</v>
      </c>
      <c r="E127" s="1" t="s">
        <v>12</v>
      </c>
      <c r="F127" s="3" t="s">
        <v>76</v>
      </c>
      <c r="G127" s="1" t="s">
        <v>14</v>
      </c>
      <c r="H127" s="1">
        <v>8</v>
      </c>
      <c r="I127" s="1">
        <v>1</v>
      </c>
      <c r="J127" s="1">
        <v>1</v>
      </c>
      <c r="K127" s="1" t="s">
        <v>36</v>
      </c>
      <c r="L127" s="1" t="str">
        <f>IF(Lima!$D127="Precast",L99,IF(Lima!$D127="","",IF(Lima!$D127&lt;20000,"Khasab",IF(Lima!$D127&lt;50000, "Lima",IF(Lima!$D127&lt;72000,"Daba")))))</f>
        <v>Lima</v>
      </c>
      <c r="M127" s="1" t="str">
        <f>IF(Lima!$C127="","",TEXT(Lima!$C127,"mmm  yy"))</f>
        <v>Feb  26</v>
      </c>
      <c r="N127" s="1" t="s">
        <v>117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3">
      <c r="A128" s="1"/>
      <c r="B128" s="1">
        <f t="shared" si="1"/>
        <v>125</v>
      </c>
      <c r="C128" s="2">
        <v>46071</v>
      </c>
      <c r="D128" s="4">
        <v>43535</v>
      </c>
      <c r="E128" s="1" t="s">
        <v>21</v>
      </c>
      <c r="F128" s="3" t="s">
        <v>45</v>
      </c>
      <c r="G128" s="1" t="s">
        <v>17</v>
      </c>
      <c r="H128" s="1">
        <v>16.5</v>
      </c>
      <c r="I128" s="1">
        <v>2</v>
      </c>
      <c r="J128" s="1">
        <v>2</v>
      </c>
      <c r="K128" s="1" t="s">
        <v>36</v>
      </c>
      <c r="L128" s="1" t="str">
        <f>IF(Lima!$D128="Precast",L100,IF(Lima!$D128="","",IF(Lima!$D128&lt;20000,"Khasab",IF(Lima!$D128&lt;50000, "Lima",IF(Lima!$D128&lt;72000,"Daba")))))</f>
        <v>Lima</v>
      </c>
      <c r="M128" s="1" t="str">
        <f>IF(Lima!$C128="","",TEXT(Lima!$C128,"mmm  yy"))</f>
        <v>Feb  26</v>
      </c>
      <c r="N128" s="1" t="s">
        <v>118</v>
      </c>
      <c r="O128" s="1" t="s">
        <v>119</v>
      </c>
      <c r="P128" s="1" t="s">
        <v>120</v>
      </c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3">
      <c r="A129" s="1"/>
      <c r="B129" s="1">
        <f t="shared" si="1"/>
        <v>126</v>
      </c>
      <c r="C129" s="2">
        <v>46072</v>
      </c>
      <c r="D129" s="4">
        <v>29880</v>
      </c>
      <c r="E129" s="1" t="s">
        <v>20</v>
      </c>
      <c r="F129" s="3" t="s">
        <v>73</v>
      </c>
      <c r="G129" s="1" t="s">
        <v>25</v>
      </c>
      <c r="H129" s="1">
        <v>54</v>
      </c>
      <c r="I129" s="1">
        <v>5</v>
      </c>
      <c r="J129" s="1">
        <v>5</v>
      </c>
      <c r="K129" s="1" t="s">
        <v>36</v>
      </c>
      <c r="L129" s="1" t="str">
        <f>IF(Lima!$D129="Precast",L101,IF(Lima!$D129="","",IF(Lima!$D129&lt;20000,"Khasab",IF(Lima!$D129&lt;50000, "Lima",IF(Lima!$D129&lt;72000,"Daba")))))</f>
        <v>Lima</v>
      </c>
      <c r="M129" s="1" t="str">
        <f>IF(Lima!$C129="","",TEXT(Lima!$C129,"mmm  yy"))</f>
        <v>Feb  26</v>
      </c>
      <c r="N129" s="1" t="s">
        <v>121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3">
      <c r="A130" s="1"/>
      <c r="B130" s="1">
        <f t="shared" si="1"/>
        <v>127</v>
      </c>
      <c r="C130" s="2">
        <v>46072</v>
      </c>
      <c r="D130" s="4">
        <v>43880</v>
      </c>
      <c r="E130" s="1" t="s">
        <v>21</v>
      </c>
      <c r="F130" s="3" t="s">
        <v>45</v>
      </c>
      <c r="G130" s="1" t="s">
        <v>17</v>
      </c>
      <c r="H130" s="1">
        <v>17</v>
      </c>
      <c r="I130" s="1">
        <v>2</v>
      </c>
      <c r="J130" s="1">
        <v>2</v>
      </c>
      <c r="K130" s="1" t="s">
        <v>36</v>
      </c>
      <c r="L130" s="1" t="str">
        <f>IF(Lima!$D130="Precast",L102,IF(Lima!$D130="","",IF(Lima!$D130&lt;20000,"Khasab",IF(Lima!$D130&lt;50000, "Lima",IF(Lima!$D130&lt;72000,"Daba")))))</f>
        <v>Lima</v>
      </c>
      <c r="M130" s="1" t="str">
        <f>IF(Lima!$C130="","",TEXT(Lima!$C130,"mmm  yy"))</f>
        <v>Feb  26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3">
      <c r="A131" s="1"/>
      <c r="B131" s="1">
        <f t="shared" si="1"/>
        <v>128</v>
      </c>
      <c r="C131" s="2">
        <v>46072</v>
      </c>
      <c r="D131" s="4">
        <v>43525</v>
      </c>
      <c r="E131" s="1" t="s">
        <v>21</v>
      </c>
      <c r="F131" s="3" t="s">
        <v>45</v>
      </c>
      <c r="G131" s="1" t="s">
        <v>17</v>
      </c>
      <c r="H131" s="1">
        <v>22</v>
      </c>
      <c r="I131" s="1">
        <v>3</v>
      </c>
      <c r="J131" s="1">
        <v>3</v>
      </c>
      <c r="K131" s="1" t="s">
        <v>36</v>
      </c>
      <c r="L131" s="1" t="str">
        <f>IF(Lima!$D131="Precast",L103,IF(Lima!$D131="","",IF(Lima!$D131&lt;20000,"Khasab",IF(Lima!$D131&lt;50000, "Lima",IF(Lima!$D131&lt;72000,"Daba")))))</f>
        <v>Lima</v>
      </c>
      <c r="M131" s="1" t="str">
        <f>IF(Lima!$C131="","",TEXT(Lima!$C131,"mmm  yy"))</f>
        <v>Feb  26</v>
      </c>
      <c r="N131" s="1" t="s">
        <v>122</v>
      </c>
      <c r="O131" s="1" t="s">
        <v>123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3">
      <c r="A132" s="1"/>
      <c r="B132" s="1">
        <f t="shared" si="1"/>
        <v>129</v>
      </c>
      <c r="C132" s="2">
        <v>46074</v>
      </c>
      <c r="D132" s="4">
        <v>43381</v>
      </c>
      <c r="E132" s="1" t="s">
        <v>12</v>
      </c>
      <c r="F132" s="3" t="s">
        <v>124</v>
      </c>
      <c r="G132" s="1" t="s">
        <v>18</v>
      </c>
      <c r="H132" s="1">
        <v>12</v>
      </c>
      <c r="I132" s="1">
        <v>2</v>
      </c>
      <c r="J132" s="1">
        <v>2</v>
      </c>
      <c r="K132" s="1" t="s">
        <v>36</v>
      </c>
      <c r="L132" s="1" t="str">
        <f>IF(Lima!$D132="Precast",L104,IF(Lima!$D132="","",IF(Lima!$D132&lt;20000,"Khasab",IF(Lima!$D132&lt;50000, "Lima",IF(Lima!$D132&lt;72000,"Daba")))))</f>
        <v>Lima</v>
      </c>
      <c r="M132" s="1" t="str">
        <f>IF(Lima!$C132="","",TEXT(Lima!$C132,"mmm  yy"))</f>
        <v>Feb  26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3">
      <c r="A133" s="1"/>
      <c r="B133" s="1">
        <f t="shared" si="1"/>
        <v>130</v>
      </c>
      <c r="C133" s="2">
        <v>46074</v>
      </c>
      <c r="D133" s="4">
        <v>41074</v>
      </c>
      <c r="E133" s="1" t="s">
        <v>12</v>
      </c>
      <c r="F133" s="3" t="s">
        <v>22</v>
      </c>
      <c r="G133" s="1" t="s">
        <v>18</v>
      </c>
      <c r="H133" s="1">
        <v>4</v>
      </c>
      <c r="I133" s="1"/>
      <c r="J133" s="1"/>
      <c r="K133" s="1" t="s">
        <v>36</v>
      </c>
      <c r="L133" s="1" t="str">
        <f>IF(Lima!$D133="Precast",L105,IF(Lima!$D133="","",IF(Lima!$D133&lt;20000,"Khasab",IF(Lima!$D133&lt;50000, "Lima",IF(Lima!$D133&lt;72000,"Daba")))))</f>
        <v>Lima</v>
      </c>
      <c r="M133" s="1" t="str">
        <f>IF(Lima!$C133="","",TEXT(Lima!$C133,"mmm  yy"))</f>
        <v>Feb  26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3">
      <c r="A134" s="1"/>
      <c r="B134" s="1">
        <f t="shared" ref="B134:B197" si="2">+B133+1</f>
        <v>131</v>
      </c>
      <c r="C134" s="2">
        <v>46075</v>
      </c>
      <c r="D134" s="4">
        <v>43600</v>
      </c>
      <c r="E134" s="1" t="s">
        <v>21</v>
      </c>
      <c r="F134" s="3" t="s">
        <v>45</v>
      </c>
      <c r="G134" s="1" t="s">
        <v>17</v>
      </c>
      <c r="H134" s="1">
        <v>16</v>
      </c>
      <c r="I134" s="1">
        <v>2</v>
      </c>
      <c r="J134" s="1">
        <v>2</v>
      </c>
      <c r="K134" s="1" t="s">
        <v>36</v>
      </c>
      <c r="L134" s="1" t="str">
        <f>IF(Lima!$D134="Precast",L106,IF(Lima!$D134="","",IF(Lima!$D134&lt;20000,"Khasab",IF(Lima!$D134&lt;50000, "Lima",IF(Lima!$D134&lt;72000,"Daba")))))</f>
        <v>Lima</v>
      </c>
      <c r="M134" s="1" t="str">
        <f>IF(Lima!$C134="","",TEXT(Lima!$C134,"mmm  yy"))</f>
        <v>Feb  26</v>
      </c>
      <c r="N134" s="1" t="s">
        <v>125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3">
      <c r="A135" s="1"/>
      <c r="B135" s="1">
        <f t="shared" si="2"/>
        <v>132</v>
      </c>
      <c r="C135" s="2">
        <v>46075</v>
      </c>
      <c r="D135" s="4">
        <v>28880</v>
      </c>
      <c r="E135" s="1" t="s">
        <v>20</v>
      </c>
      <c r="F135" s="3" t="s">
        <v>101</v>
      </c>
      <c r="G135" s="1" t="s">
        <v>14</v>
      </c>
      <c r="H135" s="1">
        <v>8</v>
      </c>
      <c r="I135" s="1">
        <v>1</v>
      </c>
      <c r="J135" s="1">
        <v>1</v>
      </c>
      <c r="K135" s="1" t="s">
        <v>36</v>
      </c>
      <c r="L135" s="1" t="str">
        <f>IF(Lima!$D135="Precast",L107,IF(Lima!$D135="","",IF(Lima!$D135&lt;20000,"Khasab",IF(Lima!$D135&lt;50000, "Lima",IF(Lima!$D135&lt;72000,"Daba")))))</f>
        <v>Lima</v>
      </c>
      <c r="M135" s="1" t="str">
        <f>IF(Lima!$C135="","",TEXT(Lima!$C135,"mmm  yy"))</f>
        <v>Feb  26</v>
      </c>
      <c r="N135" s="1" t="s">
        <v>126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3">
      <c r="A136" s="1"/>
      <c r="B136" s="1">
        <f t="shared" si="2"/>
        <v>133</v>
      </c>
      <c r="C136" s="2">
        <v>46075</v>
      </c>
      <c r="D136" s="4">
        <v>43585</v>
      </c>
      <c r="E136" s="1" t="s">
        <v>21</v>
      </c>
      <c r="F136" s="3" t="s">
        <v>45</v>
      </c>
      <c r="G136" s="1" t="s">
        <v>17</v>
      </c>
      <c r="H136" s="1">
        <v>20</v>
      </c>
      <c r="I136" s="1">
        <v>3</v>
      </c>
      <c r="J136" s="1">
        <v>3</v>
      </c>
      <c r="K136" s="1" t="s">
        <v>36</v>
      </c>
      <c r="L136" s="1" t="str">
        <f>IF(Lima!$D136="Precast",L108,IF(Lima!$D136="","",IF(Lima!$D136&lt;20000,"Khasab",IF(Lima!$D136&lt;50000, "Lima",IF(Lima!$D136&lt;72000,"Daba")))))</f>
        <v>Lima</v>
      </c>
      <c r="M136" s="1" t="str">
        <f>IF(Lima!$C136="","",TEXT(Lima!$C136,"mmm  yy"))</f>
        <v>Feb  26</v>
      </c>
      <c r="N136" s="1" t="s">
        <v>127</v>
      </c>
      <c r="O136" s="1" t="s">
        <v>128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3">
      <c r="A137" s="1"/>
      <c r="B137" s="1">
        <f t="shared" si="2"/>
        <v>134</v>
      </c>
      <c r="C137" s="2">
        <v>46076</v>
      </c>
      <c r="D137" s="4">
        <v>43870</v>
      </c>
      <c r="E137" s="1" t="s">
        <v>21</v>
      </c>
      <c r="F137" s="3" t="s">
        <v>45</v>
      </c>
      <c r="G137" s="1" t="s">
        <v>17</v>
      </c>
      <c r="H137" s="1">
        <v>25</v>
      </c>
      <c r="I137" s="1">
        <v>4</v>
      </c>
      <c r="J137" s="1">
        <v>4</v>
      </c>
      <c r="K137" s="1" t="s">
        <v>36</v>
      </c>
      <c r="L137" s="1" t="str">
        <f>IF(Lima!$D137="Precast",L109,IF(Lima!$D137="","",IF(Lima!$D137&lt;20000,"Khasab",IF(Lima!$D137&lt;50000, "Lima",IF(Lima!$D137&lt;72000,"Daba")))))</f>
        <v>Lima</v>
      </c>
      <c r="M137" s="1" t="str">
        <f>IF(Lima!$C137="","",TEXT(Lima!$C137,"mmm  yy"))</f>
        <v>Feb  26</v>
      </c>
      <c r="N137" s="1" t="s">
        <v>129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3">
      <c r="A138" s="1"/>
      <c r="B138" s="1">
        <f t="shared" si="2"/>
        <v>135</v>
      </c>
      <c r="C138" s="2">
        <v>46077</v>
      </c>
      <c r="D138" s="4">
        <v>34183</v>
      </c>
      <c r="E138" s="1" t="s">
        <v>12</v>
      </c>
      <c r="F138" s="3" t="s">
        <v>29</v>
      </c>
      <c r="G138" s="1" t="s">
        <v>18</v>
      </c>
      <c r="H138" s="1">
        <v>14</v>
      </c>
      <c r="I138" s="1">
        <v>2</v>
      </c>
      <c r="J138" s="1">
        <v>2</v>
      </c>
      <c r="K138" s="1" t="s">
        <v>36</v>
      </c>
      <c r="L138" s="1" t="str">
        <f>IF(Lima!$D138="Precast",L110,IF(Lima!$D138="","",IF(Lima!$D138&lt;20000,"Khasab",IF(Lima!$D138&lt;50000, "Lima",IF(Lima!$D138&lt;72000,"Daba")))))</f>
        <v>Lima</v>
      </c>
      <c r="M138" s="1" t="str">
        <f>IF(Lima!$C138="","",TEXT(Lima!$C138,"mmm  yy"))</f>
        <v>Feb  26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3">
      <c r="A139" s="1"/>
      <c r="B139" s="1">
        <f t="shared" si="2"/>
        <v>136</v>
      </c>
      <c r="C139" s="2">
        <v>46077</v>
      </c>
      <c r="D139" s="4">
        <v>43860</v>
      </c>
      <c r="E139" s="1" t="s">
        <v>21</v>
      </c>
      <c r="F139" s="3" t="s">
        <v>45</v>
      </c>
      <c r="G139" s="1" t="s">
        <v>17</v>
      </c>
      <c r="H139" s="1">
        <v>19</v>
      </c>
      <c r="I139" s="1">
        <v>2</v>
      </c>
      <c r="J139" s="1">
        <v>2</v>
      </c>
      <c r="K139" s="1" t="s">
        <v>36</v>
      </c>
      <c r="L139" s="1" t="str">
        <f>IF(Lima!$D139="Precast",L111,IF(Lima!$D139="","",IF(Lima!$D139&lt;20000,"Khasab",IF(Lima!$D139&lt;50000, "Lima",IF(Lima!$D139&lt;72000,"Daba")))))</f>
        <v>Lima</v>
      </c>
      <c r="M139" s="1" t="str">
        <f>IF(Lima!$C139="","",TEXT(Lima!$C139,"mmm  yy"))</f>
        <v>Feb  26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3">
      <c r="A140" s="1"/>
      <c r="B140" s="1">
        <f t="shared" si="2"/>
        <v>137</v>
      </c>
      <c r="C140" s="2">
        <v>46078</v>
      </c>
      <c r="D140" s="4">
        <v>43900</v>
      </c>
      <c r="E140" s="1" t="s">
        <v>21</v>
      </c>
      <c r="F140" s="3" t="s">
        <v>45</v>
      </c>
      <c r="G140" s="1" t="s">
        <v>17</v>
      </c>
      <c r="H140" s="1">
        <v>20</v>
      </c>
      <c r="I140" s="1">
        <v>2</v>
      </c>
      <c r="J140" s="1">
        <v>2</v>
      </c>
      <c r="K140" s="1" t="s">
        <v>36</v>
      </c>
      <c r="L140" s="1" t="str">
        <f>IF(Lima!$D140="Precast",L112,IF(Lima!$D140="","",IF(Lima!$D140&lt;20000,"Khasab",IF(Lima!$D140&lt;50000, "Lima",IF(Lima!$D140&lt;72000,"Daba")))))</f>
        <v>Lima</v>
      </c>
      <c r="M140" s="1" t="str">
        <f>IF(Lima!$C140="","",TEXT(Lima!$C140,"mmm  yy"))</f>
        <v>Feb  26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3">
      <c r="A141" s="1"/>
      <c r="B141" s="1">
        <f t="shared" si="2"/>
        <v>138</v>
      </c>
      <c r="C141" s="2">
        <v>46078</v>
      </c>
      <c r="D141" s="4">
        <v>29847</v>
      </c>
      <c r="E141" s="1" t="s">
        <v>20</v>
      </c>
      <c r="F141" s="3" t="s">
        <v>73</v>
      </c>
      <c r="G141" s="1" t="s">
        <v>25</v>
      </c>
      <c r="H141" s="1">
        <v>89</v>
      </c>
      <c r="I141" s="1">
        <v>8</v>
      </c>
      <c r="J141" s="1">
        <v>8</v>
      </c>
      <c r="K141" s="1" t="s">
        <v>36</v>
      </c>
      <c r="L141" s="1" t="str">
        <f>IF(Lima!$D141="Precast",L113,IF(Lima!$D141="","",IF(Lima!$D141&lt;20000,"Khasab",IF(Lima!$D141&lt;50000, "Lima",IF(Lima!$D141&lt;72000,"Daba")))))</f>
        <v>Lima</v>
      </c>
      <c r="M141" s="1" t="str">
        <f>IF(Lima!$C141="","",TEXT(Lima!$C141,"mmm  yy"))</f>
        <v>Feb  26</v>
      </c>
      <c r="N141" s="1" t="s">
        <v>130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3">
      <c r="A142" s="1"/>
      <c r="B142" s="1">
        <f t="shared" si="2"/>
        <v>139</v>
      </c>
      <c r="C142" s="2">
        <v>46079</v>
      </c>
      <c r="D142" s="4">
        <v>43930</v>
      </c>
      <c r="E142" s="1" t="s">
        <v>21</v>
      </c>
      <c r="F142" s="3" t="s">
        <v>45</v>
      </c>
      <c r="G142" s="1" t="s">
        <v>17</v>
      </c>
      <c r="H142" s="1">
        <v>18.5</v>
      </c>
      <c r="I142" s="1">
        <v>2</v>
      </c>
      <c r="J142" s="1">
        <v>2</v>
      </c>
      <c r="K142" s="1" t="s">
        <v>36</v>
      </c>
      <c r="L142" s="1" t="str">
        <f>IF(Lima!$D142="Precast",L114,IF(Lima!$D142="","",IF(Lima!$D142&lt;20000,"Khasab",IF(Lima!$D142&lt;50000, "Lima",IF(Lima!$D142&lt;72000,"Daba")))))</f>
        <v>Lima</v>
      </c>
      <c r="M142" s="1" t="str">
        <f>IF(Lima!$C142="","",TEXT(Lima!$C142,"mmm  yy"))</f>
        <v>Feb  26</v>
      </c>
      <c r="N142" s="1" t="s">
        <v>134</v>
      </c>
      <c r="O142" s="1" t="s">
        <v>135</v>
      </c>
      <c r="P142" s="1" t="s">
        <v>136</v>
      </c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3">
      <c r="A143" s="1"/>
      <c r="B143" s="1">
        <f t="shared" si="2"/>
        <v>140</v>
      </c>
      <c r="C143" s="2">
        <v>46079</v>
      </c>
      <c r="D143" s="4">
        <v>43381</v>
      </c>
      <c r="E143" s="1" t="s">
        <v>12</v>
      </c>
      <c r="F143" s="3" t="s">
        <v>131</v>
      </c>
      <c r="G143" s="1" t="s">
        <v>18</v>
      </c>
      <c r="H143" s="1">
        <v>24</v>
      </c>
      <c r="I143" s="1">
        <v>3</v>
      </c>
      <c r="J143" s="1">
        <v>3</v>
      </c>
      <c r="K143" s="1" t="s">
        <v>36</v>
      </c>
      <c r="L143" s="1" t="str">
        <f>IF(Lima!$D143="Precast",L115,IF(Lima!$D143="","",IF(Lima!$D143&lt;20000,"Khasab",IF(Lima!$D143&lt;50000, "Lima",IF(Lima!$D143&lt;72000,"Daba")))))</f>
        <v>Lima</v>
      </c>
      <c r="M143" s="1" t="str">
        <f>IF(Lima!$C143="","",TEXT(Lima!$C143,"mmm  yy"))</f>
        <v>Feb  26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3">
      <c r="A144" s="1"/>
      <c r="B144" s="1">
        <f t="shared" si="2"/>
        <v>141</v>
      </c>
      <c r="C144" s="2">
        <v>46079</v>
      </c>
      <c r="D144" s="4">
        <v>28217</v>
      </c>
      <c r="E144" s="1" t="s">
        <v>12</v>
      </c>
      <c r="F144" s="3" t="s">
        <v>132</v>
      </c>
      <c r="G144" s="1" t="s">
        <v>18</v>
      </c>
      <c r="H144" s="1">
        <v>157</v>
      </c>
      <c r="I144" s="1">
        <v>15</v>
      </c>
      <c r="J144" s="1">
        <v>15</v>
      </c>
      <c r="K144" s="1" t="s">
        <v>36</v>
      </c>
      <c r="L144" s="1" t="str">
        <f>IF(Lima!$D144="Precast",L116,IF(Lima!$D144="","",IF(Lima!$D144&lt;20000,"Khasab",IF(Lima!$D144&lt;50000, "Lima",IF(Lima!$D144&lt;72000,"Daba")))))</f>
        <v>Lima</v>
      </c>
      <c r="M144" s="1" t="str">
        <f>IF(Lima!$C144="","",TEXT(Lima!$C144,"mmm  yy"))</f>
        <v>Feb  26</v>
      </c>
      <c r="N144" s="1" t="s">
        <v>133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3">
      <c r="A145" s="1"/>
      <c r="B145" s="1">
        <f t="shared" si="2"/>
        <v>142</v>
      </c>
      <c r="C145" s="2">
        <v>46081</v>
      </c>
      <c r="D145" s="4">
        <v>33720</v>
      </c>
      <c r="E145" s="1" t="s">
        <v>12</v>
      </c>
      <c r="F145" s="3" t="s">
        <v>138</v>
      </c>
      <c r="G145" s="1" t="s">
        <v>14</v>
      </c>
      <c r="H145" s="1">
        <v>7.5</v>
      </c>
      <c r="I145" s="1">
        <v>1</v>
      </c>
      <c r="J145" s="1">
        <v>1</v>
      </c>
      <c r="K145" s="1" t="s">
        <v>36</v>
      </c>
      <c r="L145" s="1" t="str">
        <f>IF(Lima!$D145="Precast",L117,IF(Lima!$D145="","",IF(Lima!$D145&lt;20000,"Khasab",IF(Lima!$D145&lt;50000, "Lima",IF(Lima!$D145&lt;72000,"Daba")))))</f>
        <v>Lima</v>
      </c>
      <c r="M145" s="1" t="str">
        <f>IF(Lima!$C145="","",TEXT(Lima!$C145,"mmm  yy"))</f>
        <v>Feb  26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3">
      <c r="A146" s="1"/>
      <c r="B146" s="1">
        <f t="shared" si="2"/>
        <v>143</v>
      </c>
      <c r="C146" s="2">
        <v>46081</v>
      </c>
      <c r="D146" s="4">
        <v>43565</v>
      </c>
      <c r="E146" s="1" t="s">
        <v>21</v>
      </c>
      <c r="F146" s="3" t="s">
        <v>45</v>
      </c>
      <c r="G146" s="1" t="s">
        <v>17</v>
      </c>
      <c r="H146" s="1">
        <v>16</v>
      </c>
      <c r="I146" s="1">
        <v>2</v>
      </c>
      <c r="J146" s="1">
        <v>2</v>
      </c>
      <c r="K146" s="1" t="s">
        <v>36</v>
      </c>
      <c r="L146" s="1" t="str">
        <f>IF(Lima!$D146="Precast",L118,IF(Lima!$D146="","",IF(Lima!$D146&lt;20000,"Khasab",IF(Lima!$D146&lt;50000, "Lima",IF(Lima!$D146&lt;72000,"Daba")))))</f>
        <v>Lima</v>
      </c>
      <c r="M146" s="1" t="str">
        <f>IF(Lima!$C146="","",TEXT(Lima!$C146,"mmm  yy"))</f>
        <v>Feb  26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3">
      <c r="A147" s="1"/>
      <c r="B147" s="1">
        <f t="shared" si="2"/>
        <v>144</v>
      </c>
      <c r="C147" s="2">
        <v>46082</v>
      </c>
      <c r="D147" s="4">
        <v>43860</v>
      </c>
      <c r="E147" s="1" t="s">
        <v>21</v>
      </c>
      <c r="F147" s="3" t="s">
        <v>45</v>
      </c>
      <c r="G147" s="1" t="s">
        <v>17</v>
      </c>
      <c r="H147" s="1">
        <v>11</v>
      </c>
      <c r="I147" s="1">
        <v>2</v>
      </c>
      <c r="J147" s="1">
        <v>2</v>
      </c>
      <c r="K147" s="1" t="s">
        <v>36</v>
      </c>
      <c r="L147" s="1" t="str">
        <f>IF(Lima!$D147="Precast",L119,IF(Lima!$D147="","",IF(Lima!$D147&lt;20000,"Khasab",IF(Lima!$D147&lt;50000, "Lima",IF(Lima!$D147&lt;72000,"Daba")))))</f>
        <v>Lima</v>
      </c>
      <c r="M147" s="1" t="str">
        <f>IF(Lima!$C147="","",TEXT(Lima!$C147,"mmm  yy"))</f>
        <v>Mar  26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3">
      <c r="A148" s="1"/>
      <c r="B148" s="1">
        <f t="shared" si="2"/>
        <v>145</v>
      </c>
      <c r="C148" s="2">
        <v>46082</v>
      </c>
      <c r="D148" s="4">
        <v>43381</v>
      </c>
      <c r="E148" s="1" t="s">
        <v>12</v>
      </c>
      <c r="F148" s="3" t="s">
        <v>139</v>
      </c>
      <c r="G148" s="1" t="s">
        <v>18</v>
      </c>
      <c r="H148" s="1">
        <v>4.5</v>
      </c>
      <c r="I148" s="1">
        <v>1</v>
      </c>
      <c r="J148" s="1">
        <v>1</v>
      </c>
      <c r="K148" s="1" t="s">
        <v>36</v>
      </c>
      <c r="L148" s="1" t="str">
        <f>IF(Lima!$D148="Precast",L120,IF(Lima!$D148="","",IF(Lima!$D148&lt;20000,"Khasab",IF(Lima!$D148&lt;50000, "Lima",IF(Lima!$D148&lt;72000,"Daba")))))</f>
        <v>Lima</v>
      </c>
      <c r="M148" s="1" t="str">
        <f>IF(Lima!$C148="","",TEXT(Lima!$C148,"mmm  yy"))</f>
        <v>Mar  26</v>
      </c>
      <c r="N148" s="1" t="s">
        <v>39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3">
      <c r="A149" s="1"/>
      <c r="B149" s="1">
        <f t="shared" si="2"/>
        <v>146</v>
      </c>
      <c r="C149" s="2">
        <v>46082</v>
      </c>
      <c r="D149" s="4">
        <v>34183</v>
      </c>
      <c r="E149" s="1" t="s">
        <v>12</v>
      </c>
      <c r="F149" s="3" t="s">
        <v>131</v>
      </c>
      <c r="G149" s="1" t="s">
        <v>18</v>
      </c>
      <c r="H149" s="1">
        <v>7.75</v>
      </c>
      <c r="I149" s="1">
        <v>1</v>
      </c>
      <c r="J149" s="1">
        <v>1</v>
      </c>
      <c r="K149" s="1" t="s">
        <v>36</v>
      </c>
      <c r="L149" s="1" t="str">
        <f>IF(Lima!$D149="Precast",L121,IF(Lima!$D149="","",IF(Lima!$D149&lt;20000,"Khasab",IF(Lima!$D149&lt;50000, "Lima",IF(Lima!$D149&lt;72000,"Daba")))))</f>
        <v>Lima</v>
      </c>
      <c r="M149" s="1" t="str">
        <f>IF(Lima!$C149="","",TEXT(Lima!$C149,"mmm  yy"))</f>
        <v>Mar  26</v>
      </c>
      <c r="N149" s="1" t="s">
        <v>77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3">
      <c r="A150" s="1"/>
      <c r="B150" s="1">
        <f t="shared" si="2"/>
        <v>147</v>
      </c>
      <c r="C150" s="2">
        <v>46083</v>
      </c>
      <c r="D150" s="4">
        <v>47766</v>
      </c>
      <c r="E150" s="1" t="s">
        <v>21</v>
      </c>
      <c r="F150" s="3" t="s">
        <v>76</v>
      </c>
      <c r="G150" s="1" t="s">
        <v>14</v>
      </c>
      <c r="H150" s="1">
        <v>20</v>
      </c>
      <c r="I150" s="1">
        <v>2</v>
      </c>
      <c r="J150" s="1">
        <v>2</v>
      </c>
      <c r="K150" s="1" t="s">
        <v>36</v>
      </c>
      <c r="L150" s="1" t="str">
        <f>IF(Lima!$D150="Precast",L122,IF(Lima!$D150="","",IF(Lima!$D150&lt;20000,"Khasab",IF(Lima!$D150&lt;50000, "Lima",IF(Lima!$D150&lt;72000,"Daba")))))</f>
        <v>Lima</v>
      </c>
      <c r="M150" s="1" t="str">
        <f>IF(Lima!$C150="","",TEXT(Lima!$C150,"mmm  yy"))</f>
        <v>Mar  26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3">
      <c r="A151" s="1"/>
      <c r="B151" s="1">
        <f t="shared" si="2"/>
        <v>148</v>
      </c>
      <c r="C151" s="2">
        <v>46083</v>
      </c>
      <c r="D151" s="4">
        <v>43870</v>
      </c>
      <c r="E151" s="1" t="s">
        <v>21</v>
      </c>
      <c r="F151" s="3" t="s">
        <v>45</v>
      </c>
      <c r="G151" s="1" t="s">
        <v>17</v>
      </c>
      <c r="H151" s="1">
        <v>10</v>
      </c>
      <c r="I151" s="1">
        <v>2</v>
      </c>
      <c r="J151" s="1">
        <v>2</v>
      </c>
      <c r="K151" s="1" t="s">
        <v>36</v>
      </c>
      <c r="L151" s="1" t="str">
        <f>IF(Lima!$D151="Precast",L123,IF(Lima!$D151="","",IF(Lima!$D151&lt;20000,"Khasab",IF(Lima!$D151&lt;50000, "Lima",IF(Lima!$D151&lt;72000,"Daba")))))</f>
        <v>Lima</v>
      </c>
      <c r="M151" s="1" t="str">
        <f>IF(Lima!$C151="","",TEXT(Lima!$C151,"mmm  yy"))</f>
        <v>Mar  26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3">
      <c r="A152" s="1"/>
      <c r="B152" s="1">
        <f t="shared" si="2"/>
        <v>149</v>
      </c>
      <c r="C152" s="2">
        <v>46083</v>
      </c>
      <c r="D152" s="4">
        <v>28217</v>
      </c>
      <c r="E152" s="1" t="s">
        <v>12</v>
      </c>
      <c r="F152" s="3" t="s">
        <v>31</v>
      </c>
      <c r="G152" s="1" t="s">
        <v>18</v>
      </c>
      <c r="H152" s="1">
        <v>146</v>
      </c>
      <c r="I152" s="1">
        <v>14</v>
      </c>
      <c r="J152" s="1">
        <v>14</v>
      </c>
      <c r="K152" s="1" t="s">
        <v>36</v>
      </c>
      <c r="L152" s="1" t="str">
        <f>IF(Lima!$D152="Precast",L124,IF(Lima!$D152="","",IF(Lima!$D152&lt;20000,"Khasab",IF(Lima!$D152&lt;50000, "Lima",IF(Lima!$D152&lt;72000,"Daba")))))</f>
        <v>Lima</v>
      </c>
      <c r="M152" s="1" t="str">
        <f>IF(Lima!$C152="","",TEXT(Lima!$C152,"mmm  yy"))</f>
        <v>Mar  26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3">
      <c r="A153" s="1"/>
      <c r="B153" s="1">
        <f t="shared" si="2"/>
        <v>150</v>
      </c>
      <c r="C153" s="2">
        <v>46084</v>
      </c>
      <c r="D153" s="4">
        <v>34597</v>
      </c>
      <c r="E153" s="1" t="s">
        <v>12</v>
      </c>
      <c r="F153" s="3" t="s">
        <v>97</v>
      </c>
      <c r="G153" s="1" t="s">
        <v>18</v>
      </c>
      <c r="H153" s="1">
        <v>13</v>
      </c>
      <c r="I153" s="1">
        <v>2</v>
      </c>
      <c r="J153" s="1">
        <v>2</v>
      </c>
      <c r="K153" s="1" t="s">
        <v>36</v>
      </c>
      <c r="L153" s="1" t="str">
        <f>IF(Lima!$D153="Precast",L125,IF(Lima!$D153="","",IF(Lima!$D153&lt;20000,"Khasab",IF(Lima!$D153&lt;50000, "Lima",IF(Lima!$D153&lt;72000,"Daba")))))</f>
        <v>Lima</v>
      </c>
      <c r="M153" s="1" t="str">
        <f>IF(Lima!$C153="","",TEXT(Lima!$C153,"mmm  yy"))</f>
        <v>Mar  26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3">
      <c r="A154" s="1"/>
      <c r="B154" s="1">
        <f t="shared" si="2"/>
        <v>151</v>
      </c>
      <c r="C154" s="2">
        <v>46084</v>
      </c>
      <c r="D154" s="4">
        <v>47788</v>
      </c>
      <c r="E154" s="1" t="s">
        <v>21</v>
      </c>
      <c r="F154" s="3" t="s">
        <v>45</v>
      </c>
      <c r="G154" s="1" t="s">
        <v>17</v>
      </c>
      <c r="H154" s="1">
        <v>20</v>
      </c>
      <c r="I154" s="1">
        <v>2</v>
      </c>
      <c r="J154" s="1">
        <v>2</v>
      </c>
      <c r="K154" s="1" t="s">
        <v>36</v>
      </c>
      <c r="L154" s="1" t="str">
        <f>IF(Lima!$D154="Precast",L126,IF(Lima!$D154="","",IF(Lima!$D154&lt;20000,"Khasab",IF(Lima!$D154&lt;50000, "Lima",IF(Lima!$D154&lt;72000,"Daba")))))</f>
        <v>Lima</v>
      </c>
      <c r="M154" s="1" t="str">
        <f>IF(Lima!$C154="","",TEXT(Lima!$C154,"mmm  yy"))</f>
        <v>Mar  26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3">
      <c r="A155" s="1"/>
      <c r="B155" s="1">
        <f t="shared" si="2"/>
        <v>152</v>
      </c>
      <c r="C155" s="2">
        <v>46084</v>
      </c>
      <c r="D155" s="4">
        <v>20760</v>
      </c>
      <c r="E155" s="1" t="s">
        <v>21</v>
      </c>
      <c r="F155" s="3" t="s">
        <v>45</v>
      </c>
      <c r="G155" s="1" t="s">
        <v>17</v>
      </c>
      <c r="H155" s="1">
        <v>19</v>
      </c>
      <c r="I155" s="1">
        <v>3</v>
      </c>
      <c r="J155" s="1">
        <v>3</v>
      </c>
      <c r="K155" s="1" t="s">
        <v>36</v>
      </c>
      <c r="L155" s="1" t="str">
        <f>IF(Lima!$D155="Precast",L127,IF(Lima!$D155="","",IF(Lima!$D155&lt;20000,"Khasab",IF(Lima!$D155&lt;50000, "Lima",IF(Lima!$D155&lt;72000,"Daba")))))</f>
        <v>Lima</v>
      </c>
      <c r="M155" s="1" t="str">
        <f>IF(Lima!$C155="","",TEXT(Lima!$C155,"mmm  yy"))</f>
        <v>Mar  26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3">
      <c r="A156" s="1"/>
      <c r="B156" s="1">
        <f t="shared" si="2"/>
        <v>153</v>
      </c>
      <c r="C156" s="2">
        <v>46085</v>
      </c>
      <c r="D156" s="4">
        <v>47777</v>
      </c>
      <c r="E156" s="1" t="s">
        <v>21</v>
      </c>
      <c r="F156" s="3" t="s">
        <v>45</v>
      </c>
      <c r="G156" s="1" t="s">
        <v>17</v>
      </c>
      <c r="H156" s="1">
        <v>14.5</v>
      </c>
      <c r="I156" s="1">
        <v>2</v>
      </c>
      <c r="J156" s="1">
        <v>2</v>
      </c>
      <c r="K156" s="1" t="s">
        <v>36</v>
      </c>
      <c r="L156" s="1" t="str">
        <f>IF(Lima!$D156="Precast",L128,IF(Lima!$D156="","",IF(Lima!$D156&lt;20000,"Khasab",IF(Lima!$D156&lt;50000, "Lima",IF(Lima!$D156&lt;72000,"Daba")))))</f>
        <v>Lima</v>
      </c>
      <c r="M156" s="1" t="str">
        <f>IF(Lima!$C156="","",TEXT(Lima!$C156,"mmm  yy"))</f>
        <v>Mar  26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3">
      <c r="A157" s="1"/>
      <c r="B157" s="1">
        <f t="shared" si="2"/>
        <v>154</v>
      </c>
      <c r="C157" s="2">
        <v>46085</v>
      </c>
      <c r="D157" s="4">
        <v>34183</v>
      </c>
      <c r="E157" s="1" t="s">
        <v>12</v>
      </c>
      <c r="F157" s="3" t="s">
        <v>47</v>
      </c>
      <c r="G157" s="1" t="s">
        <v>18</v>
      </c>
      <c r="H157" s="1">
        <v>21</v>
      </c>
      <c r="I157" s="1">
        <v>3</v>
      </c>
      <c r="J157" s="1">
        <v>3</v>
      </c>
      <c r="K157" s="1" t="s">
        <v>36</v>
      </c>
      <c r="L157" s="1" t="str">
        <f>IF(Lima!$D157="Precast",L129,IF(Lima!$D157="","",IF(Lima!$D157&lt;20000,"Khasab",IF(Lima!$D157&lt;50000, "Lima",IF(Lima!$D157&lt;72000,"Daba")))))</f>
        <v>Lima</v>
      </c>
      <c r="M157" s="1" t="str">
        <f>IF(Lima!$C157="","",TEXT(Lima!$C157,"mmm  yy"))</f>
        <v>Mar  26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3">
      <c r="A158" s="1"/>
      <c r="B158" s="1">
        <f t="shared" si="2"/>
        <v>155</v>
      </c>
      <c r="C158" s="2">
        <v>46086</v>
      </c>
      <c r="D158" s="4">
        <v>47798</v>
      </c>
      <c r="E158" s="1" t="s">
        <v>21</v>
      </c>
      <c r="F158" s="3" t="s">
        <v>45</v>
      </c>
      <c r="G158" s="1" t="s">
        <v>17</v>
      </c>
      <c r="H158" s="1">
        <v>20</v>
      </c>
      <c r="I158" s="1">
        <v>3</v>
      </c>
      <c r="J158" s="1">
        <v>3</v>
      </c>
      <c r="K158" s="1" t="s">
        <v>36</v>
      </c>
      <c r="L158" s="1" t="str">
        <f>IF(Lima!$D158="Precast",L130,IF(Lima!$D158="","",IF(Lima!$D158&lt;20000,"Khasab",IF(Lima!$D158&lt;50000, "Lima",IF(Lima!$D158&lt;72000,"Daba")))))</f>
        <v>Lima</v>
      </c>
      <c r="M158" s="1" t="str">
        <f>IF(Lima!$C158="","",TEXT(Lima!$C158,"mmm  yy"))</f>
        <v>Mar  26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3">
      <c r="A159" s="1"/>
      <c r="B159" s="1">
        <f t="shared" si="2"/>
        <v>156</v>
      </c>
      <c r="C159" s="2">
        <v>46086</v>
      </c>
      <c r="D159" s="4">
        <v>33720</v>
      </c>
      <c r="E159" s="1" t="s">
        <v>12</v>
      </c>
      <c r="F159" s="3" t="s">
        <v>29</v>
      </c>
      <c r="G159" s="1" t="s">
        <v>18</v>
      </c>
      <c r="H159" s="1">
        <v>15</v>
      </c>
      <c r="I159" s="1">
        <v>2</v>
      </c>
      <c r="J159" s="1">
        <v>2</v>
      </c>
      <c r="K159" s="1" t="s">
        <v>36</v>
      </c>
      <c r="L159" s="1" t="str">
        <f>IF(Lima!$D159="Precast",L131,IF(Lima!$D159="","",IF(Lima!$D159&lt;20000,"Khasab",IF(Lima!$D159&lt;50000, "Lima",IF(Lima!$D159&lt;72000,"Daba")))))</f>
        <v>Lima</v>
      </c>
      <c r="M159" s="1" t="str">
        <f>IF(Lima!$C159="","",TEXT(Lima!$C159,"mmm  yy"))</f>
        <v>Mar  26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3">
      <c r="A160" s="1"/>
      <c r="B160" s="1">
        <f t="shared" si="2"/>
        <v>157</v>
      </c>
      <c r="C160" s="2">
        <v>46088</v>
      </c>
      <c r="D160" s="4">
        <v>47758</v>
      </c>
      <c r="E160" s="1" t="s">
        <v>21</v>
      </c>
      <c r="F160" s="3" t="s">
        <v>45</v>
      </c>
      <c r="G160" s="1" t="s">
        <v>17</v>
      </c>
      <c r="H160" s="1">
        <v>17.5</v>
      </c>
      <c r="I160" s="1">
        <v>2</v>
      </c>
      <c r="J160" s="1">
        <v>2</v>
      </c>
      <c r="K160" s="1" t="s">
        <v>36</v>
      </c>
      <c r="L160" s="1" t="str">
        <f>IF(Lima!$D160="Precast",L132,IF(Lima!$D160="","",IF(Lima!$D160&lt;20000,"Khasab",IF(Lima!$D160&lt;50000, "Lima",IF(Lima!$D160&lt;72000,"Daba")))))</f>
        <v>Lima</v>
      </c>
      <c r="M160" s="1" t="str">
        <f>IF(Lima!$C160="","",TEXT(Lima!$C160,"mmm  yy"))</f>
        <v>Mar  26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3">
      <c r="A161" s="1"/>
      <c r="B161" s="1">
        <f t="shared" si="2"/>
        <v>158</v>
      </c>
      <c r="C161" s="2">
        <v>46088</v>
      </c>
      <c r="D161" s="4">
        <v>47768</v>
      </c>
      <c r="E161" s="1" t="s">
        <v>21</v>
      </c>
      <c r="F161" s="3" t="s">
        <v>45</v>
      </c>
      <c r="G161" s="1" t="s">
        <v>17</v>
      </c>
      <c r="H161" s="1">
        <v>22</v>
      </c>
      <c r="I161" s="1">
        <v>3</v>
      </c>
      <c r="J161" s="1">
        <v>3</v>
      </c>
      <c r="K161" s="1" t="s">
        <v>36</v>
      </c>
      <c r="L161" s="1" t="str">
        <f>IF(Lima!$D161="Precast",L133,IF(Lima!$D161="","",IF(Lima!$D161&lt;20000,"Khasab",IF(Lima!$D161&lt;50000, "Lima",IF(Lima!$D161&lt;72000,"Daba")))))</f>
        <v>Lima</v>
      </c>
      <c r="M161" s="1" t="str">
        <f>IF(Lima!$C161="","",TEXT(Lima!$C161,"mmm  yy"))</f>
        <v>Mar  26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3">
      <c r="A162" s="1"/>
      <c r="B162" s="1">
        <f t="shared" si="2"/>
        <v>159</v>
      </c>
      <c r="C162" s="2">
        <v>46090</v>
      </c>
      <c r="D162" s="4">
        <v>47758</v>
      </c>
      <c r="E162" s="1" t="s">
        <v>21</v>
      </c>
      <c r="F162" s="3" t="s">
        <v>45</v>
      </c>
      <c r="G162" s="1" t="s">
        <v>17</v>
      </c>
      <c r="H162" s="1">
        <v>10</v>
      </c>
      <c r="I162" s="1">
        <v>2</v>
      </c>
      <c r="J162" s="1">
        <v>2</v>
      </c>
      <c r="K162" s="1" t="s">
        <v>36</v>
      </c>
      <c r="L162" s="1" t="str">
        <f>IF(Lima!$D162="Precast",L134,IF(Lima!$D162="","",IF(Lima!$D162&lt;20000,"Khasab",IF(Lima!$D162&lt;50000, "Lima",IF(Lima!$D162&lt;72000,"Daba")))))</f>
        <v>Lima</v>
      </c>
      <c r="M162" s="1" t="str">
        <f>IF(Lima!$C162="","",TEXT(Lima!$C162,"mmm  yy"))</f>
        <v>Mar  26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3">
      <c r="A163" s="1"/>
      <c r="B163" s="1">
        <f t="shared" si="2"/>
        <v>160</v>
      </c>
      <c r="C163" s="2">
        <v>46090</v>
      </c>
      <c r="D163" s="4">
        <v>33720</v>
      </c>
      <c r="E163" s="1" t="s">
        <v>12</v>
      </c>
      <c r="F163" s="3" t="s">
        <v>93</v>
      </c>
      <c r="G163" s="1" t="s">
        <v>18</v>
      </c>
      <c r="H163" s="1">
        <v>10</v>
      </c>
      <c r="I163" s="1">
        <v>1</v>
      </c>
      <c r="J163" s="1">
        <v>1</v>
      </c>
      <c r="K163" s="1" t="s">
        <v>36</v>
      </c>
      <c r="L163" s="1" t="str">
        <f>IF(Lima!$D163="Precast",L135,IF(Lima!$D163="","",IF(Lima!$D163&lt;20000,"Khasab",IF(Lima!$D163&lt;50000, "Lima",IF(Lima!$D163&lt;72000,"Daba")))))</f>
        <v>Lima</v>
      </c>
      <c r="M163" s="1" t="str">
        <f>IF(Lima!$C163="","",TEXT(Lima!$C163,"mmm  yy"))</f>
        <v>Mar  26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3">
      <c r="A164" s="1"/>
      <c r="B164" s="1">
        <f t="shared" si="2"/>
        <v>161</v>
      </c>
      <c r="C164" s="2">
        <v>46091</v>
      </c>
      <c r="D164" s="4">
        <v>34597</v>
      </c>
      <c r="E164" s="1" t="s">
        <v>12</v>
      </c>
      <c r="F164" s="3" t="s">
        <v>32</v>
      </c>
      <c r="G164" s="1" t="s">
        <v>18</v>
      </c>
      <c r="H164" s="1">
        <v>9</v>
      </c>
      <c r="I164" s="1">
        <v>1</v>
      </c>
      <c r="J164" s="1">
        <v>1</v>
      </c>
      <c r="K164" s="1" t="s">
        <v>36</v>
      </c>
      <c r="L164" s="1" t="str">
        <f>IF(Lima!$D164="Precast",L136,IF(Lima!$D164="","",IF(Lima!$D164&lt;20000,"Khasab",IF(Lima!$D164&lt;50000, "Lima",IF(Lima!$D164&lt;72000,"Daba")))))</f>
        <v>Lima</v>
      </c>
      <c r="M164" s="1" t="str">
        <f>IF(Lima!$C164="","",TEXT(Lima!$C164,"mmm  yy"))</f>
        <v>Mar  26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3">
      <c r="A165" s="1"/>
      <c r="B165" s="1">
        <f t="shared" si="2"/>
        <v>162</v>
      </c>
      <c r="C165" s="2">
        <v>46091</v>
      </c>
      <c r="D165" s="4">
        <v>46458</v>
      </c>
      <c r="E165" s="1" t="s">
        <v>21</v>
      </c>
      <c r="F165" s="3" t="s">
        <v>45</v>
      </c>
      <c r="G165" s="1" t="s">
        <v>14</v>
      </c>
      <c r="H165" s="1">
        <v>11</v>
      </c>
      <c r="I165" s="1">
        <v>2</v>
      </c>
      <c r="J165" s="1">
        <v>2</v>
      </c>
      <c r="K165" s="1" t="s">
        <v>36</v>
      </c>
      <c r="L165" s="1" t="str">
        <f>IF(Lima!$D165="Precast",L137,IF(Lima!$D165="","",IF(Lima!$D165&lt;20000,"Khasab",IF(Lima!$D165&lt;50000, "Lima",IF(Lima!$D165&lt;72000,"Daba")))))</f>
        <v>Lima</v>
      </c>
      <c r="M165" s="1" t="str">
        <f>IF(Lima!$C165="","",TEXT(Lima!$C165,"mmm  yy"))</f>
        <v>Mar  26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3">
      <c r="A166" s="1"/>
      <c r="B166" s="1">
        <f t="shared" si="2"/>
        <v>163</v>
      </c>
      <c r="C166" s="2">
        <v>46091</v>
      </c>
      <c r="D166" s="4">
        <v>47768</v>
      </c>
      <c r="E166" s="1" t="s">
        <v>21</v>
      </c>
      <c r="F166" s="3" t="s">
        <v>45</v>
      </c>
      <c r="G166" s="1" t="s">
        <v>17</v>
      </c>
      <c r="H166" s="1">
        <v>12</v>
      </c>
      <c r="I166" s="1">
        <v>2</v>
      </c>
      <c r="J166" s="1">
        <v>2</v>
      </c>
      <c r="K166" s="1" t="s">
        <v>36</v>
      </c>
      <c r="L166" s="1" t="str">
        <f>IF(Lima!$D166="Precast",L138,IF(Lima!$D166="","",IF(Lima!$D166&lt;20000,"Khasab",IF(Lima!$D166&lt;50000, "Lima",IF(Lima!$D166&lt;72000,"Daba")))))</f>
        <v>Lima</v>
      </c>
      <c r="M166" s="1" t="str">
        <f>IF(Lima!$C166="","",TEXT(Lima!$C166,"mmm  yy"))</f>
        <v>Mar  26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3">
      <c r="A167" s="1"/>
      <c r="B167" s="1">
        <f t="shared" si="2"/>
        <v>164</v>
      </c>
      <c r="C167" s="2">
        <v>46092</v>
      </c>
      <c r="D167" s="4">
        <v>47778</v>
      </c>
      <c r="E167" s="1" t="s">
        <v>21</v>
      </c>
      <c r="F167" s="3" t="s">
        <v>45</v>
      </c>
      <c r="G167" s="1" t="s">
        <v>17</v>
      </c>
      <c r="H167" s="1">
        <v>5.75</v>
      </c>
      <c r="I167" s="1">
        <v>1</v>
      </c>
      <c r="J167" s="1">
        <v>1</v>
      </c>
      <c r="K167" s="1" t="s">
        <v>36</v>
      </c>
      <c r="L167" s="1" t="str">
        <f>IF(Lima!$D167="Precast",L139,IF(Lima!$D167="","",IF(Lima!$D167&lt;20000,"Khasab",IF(Lima!$D167&lt;50000, "Lima",IF(Lima!$D167&lt;72000,"Daba")))))</f>
        <v>Lima</v>
      </c>
      <c r="M167" s="1" t="str">
        <f>IF(Lima!$C167="","",TEXT(Lima!$C167,"mmm  yy"))</f>
        <v>Mar  26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3">
      <c r="A168" s="1"/>
      <c r="B168" s="1">
        <f t="shared" si="2"/>
        <v>165</v>
      </c>
      <c r="C168" s="2">
        <v>46092</v>
      </c>
      <c r="D168" s="4">
        <v>46477</v>
      </c>
      <c r="E168" s="1" t="s">
        <v>21</v>
      </c>
      <c r="F168" s="3" t="s">
        <v>45</v>
      </c>
      <c r="G168" s="1" t="s">
        <v>14</v>
      </c>
      <c r="H168" s="1">
        <v>6</v>
      </c>
      <c r="I168" s="1">
        <v>1</v>
      </c>
      <c r="J168" s="1">
        <v>1</v>
      </c>
      <c r="K168" s="1" t="s">
        <v>36</v>
      </c>
      <c r="L168" s="1" t="str">
        <f>IF(Lima!$D168="Precast",L140,IF(Lima!$D168="","",IF(Lima!$D168&lt;20000,"Khasab",IF(Lima!$D168&lt;50000, "Lima",IF(Lima!$D168&lt;72000,"Daba")))))</f>
        <v>Lima</v>
      </c>
      <c r="M168" s="1" t="str">
        <f>IF(Lima!$C168="","",TEXT(Lima!$C168,"mmm  yy"))</f>
        <v>Mar  26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3">
      <c r="A169" s="1"/>
      <c r="B169" s="1">
        <f t="shared" si="2"/>
        <v>166</v>
      </c>
      <c r="C169" s="2">
        <v>46093</v>
      </c>
      <c r="D169" s="4">
        <v>49395</v>
      </c>
      <c r="E169" s="1" t="s">
        <v>12</v>
      </c>
      <c r="F169" s="3" t="s">
        <v>76</v>
      </c>
      <c r="G169" s="1" t="s">
        <v>14</v>
      </c>
      <c r="H169" s="1">
        <v>10</v>
      </c>
      <c r="I169" s="1">
        <v>2</v>
      </c>
      <c r="J169" s="1">
        <v>2</v>
      </c>
      <c r="K169" s="1" t="s">
        <v>36</v>
      </c>
      <c r="L169" s="1" t="str">
        <f>IF(Lima!$D169="Precast",L141,IF(Lima!$D169="","",IF(Lima!$D169&lt;20000,"Khasab",IF(Lima!$D169&lt;50000, "Lima",IF(Lima!$D169&lt;72000,"Daba")))))</f>
        <v>Lima</v>
      </c>
      <c r="M169" s="1" t="str">
        <f>IF(Lima!$C169="","",TEXT(Lima!$C169,"mmm  yy"))</f>
        <v>Mar  26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3">
      <c r="A170" s="1"/>
      <c r="B170" s="1">
        <f t="shared" si="2"/>
        <v>167</v>
      </c>
      <c r="C170" s="2">
        <v>46093</v>
      </c>
      <c r="D170" s="4">
        <v>34597</v>
      </c>
      <c r="E170" s="1" t="s">
        <v>12</v>
      </c>
      <c r="F170" s="3" t="s">
        <v>22</v>
      </c>
      <c r="G170" s="1" t="s">
        <v>18</v>
      </c>
      <c r="H170" s="1">
        <v>6</v>
      </c>
      <c r="I170" s="1">
        <v>1</v>
      </c>
      <c r="J170" s="1">
        <v>1</v>
      </c>
      <c r="K170" s="1" t="s">
        <v>36</v>
      </c>
      <c r="L170" s="1" t="str">
        <f>IF(Lima!$D170="Precast",L142,IF(Lima!$D170="","",IF(Lima!$D170&lt;20000,"Khasab",IF(Lima!$D170&lt;50000, "Lima",IF(Lima!$D170&lt;72000,"Daba")))))</f>
        <v>Lima</v>
      </c>
      <c r="M170" s="1" t="str">
        <f>IF(Lima!$C170="","",TEXT(Lima!$C170,"mmm  yy"))</f>
        <v>Mar  26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3">
      <c r="A171" s="1"/>
      <c r="B171" s="1">
        <f t="shared" si="2"/>
        <v>168</v>
      </c>
      <c r="C171" s="2">
        <v>46093</v>
      </c>
      <c r="D171" s="4">
        <v>33720</v>
      </c>
      <c r="E171" s="1" t="s">
        <v>12</v>
      </c>
      <c r="F171" s="3" t="s">
        <v>81</v>
      </c>
      <c r="G171" s="1" t="s">
        <v>18</v>
      </c>
      <c r="H171" s="1">
        <v>21.5</v>
      </c>
      <c r="I171" s="1">
        <v>3</v>
      </c>
      <c r="J171" s="1">
        <v>3</v>
      </c>
      <c r="K171" s="1" t="s">
        <v>36</v>
      </c>
      <c r="L171" s="1" t="str">
        <f>IF(Lima!$D171="Precast",L143,IF(Lima!$D171="","",IF(Lima!$D171&lt;20000,"Khasab",IF(Lima!$D171&lt;50000, "Lima",IF(Lima!$D171&lt;72000,"Daba")))))</f>
        <v>Lima</v>
      </c>
      <c r="M171" s="1" t="str">
        <f>IF(Lima!$C171="","",TEXT(Lima!$C171,"mmm  yy"))</f>
        <v>Mar  26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3">
      <c r="A172" s="1"/>
      <c r="B172" s="1">
        <f t="shared" si="2"/>
        <v>169</v>
      </c>
      <c r="C172" s="2">
        <v>46093</v>
      </c>
      <c r="D172" s="4">
        <v>20740</v>
      </c>
      <c r="E172" s="1" t="s">
        <v>21</v>
      </c>
      <c r="F172" s="3" t="s">
        <v>45</v>
      </c>
      <c r="G172" s="1" t="s">
        <v>17</v>
      </c>
      <c r="H172" s="1">
        <v>18</v>
      </c>
      <c r="I172" s="1">
        <v>2</v>
      </c>
      <c r="J172" s="1">
        <v>2</v>
      </c>
      <c r="K172" s="1" t="s">
        <v>36</v>
      </c>
      <c r="L172" s="1" t="str">
        <f>IF(Lima!$D172="Precast",L144,IF(Lima!$D172="","",IF(Lima!$D172&lt;20000,"Khasab",IF(Lima!$D172&lt;50000, "Lima",IF(Lima!$D172&lt;72000,"Daba")))))</f>
        <v>Lima</v>
      </c>
      <c r="M172" s="1" t="str">
        <f>IF(Lima!$C172="","",TEXT(Lima!$C172,"mmm  yy"))</f>
        <v>Mar  26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3">
      <c r="A173" s="1"/>
      <c r="B173" s="1">
        <f t="shared" si="2"/>
        <v>170</v>
      </c>
      <c r="C173" s="2">
        <v>46097</v>
      </c>
      <c r="D173" s="4">
        <v>48790</v>
      </c>
      <c r="E173" s="1" t="s">
        <v>21</v>
      </c>
      <c r="F173" s="3" t="s">
        <v>45</v>
      </c>
      <c r="G173" s="1" t="s">
        <v>14</v>
      </c>
      <c r="H173" s="1">
        <v>11</v>
      </c>
      <c r="I173" s="1">
        <v>2</v>
      </c>
      <c r="J173" s="1">
        <v>2</v>
      </c>
      <c r="K173" s="1" t="s">
        <v>36</v>
      </c>
      <c r="L173" s="1" t="str">
        <f>IF(Lima!$D173="Precast",L145,IF(Lima!$D173="","",IF(Lima!$D173&lt;20000,"Khasab",IF(Lima!$D173&lt;50000, "Lima",IF(Lima!$D173&lt;72000,"Daba")))))</f>
        <v>Lima</v>
      </c>
      <c r="M173" s="1" t="str">
        <f>IF(Lima!$C173="","",TEXT(Lima!$C173,"mmm  yy"))</f>
        <v>Mar  26</v>
      </c>
      <c r="N173" s="1" t="s">
        <v>142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3">
      <c r="A174" s="1"/>
      <c r="B174" s="1">
        <f t="shared" si="2"/>
        <v>171</v>
      </c>
      <c r="C174" s="2">
        <v>46097</v>
      </c>
      <c r="D174" s="4">
        <v>28217</v>
      </c>
      <c r="E174" s="1" t="s">
        <v>12</v>
      </c>
      <c r="F174" s="3" t="s">
        <v>140</v>
      </c>
      <c r="G174" s="1" t="s">
        <v>18</v>
      </c>
      <c r="H174" s="1">
        <v>176</v>
      </c>
      <c r="I174" s="1">
        <v>18</v>
      </c>
      <c r="J174" s="1">
        <v>18</v>
      </c>
      <c r="K174" s="1" t="s">
        <v>36</v>
      </c>
      <c r="L174" s="1" t="str">
        <f>IF(Lima!$D174="Precast",L146,IF(Lima!$D174="","",IF(Lima!$D174&lt;20000,"Khasab",IF(Lima!$D174&lt;50000, "Lima",IF(Lima!$D174&lt;72000,"Daba")))))</f>
        <v>Lima</v>
      </c>
      <c r="M174" s="1" t="str">
        <f>IF(Lima!$C174="","",TEXT(Lima!$C174,"mmm  yy"))</f>
        <v>Mar  26</v>
      </c>
      <c r="N174" s="1" t="s">
        <v>141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3">
      <c r="A175" s="1"/>
      <c r="B175" s="1">
        <f t="shared" si="2"/>
        <v>172</v>
      </c>
      <c r="C175" s="2">
        <v>46098</v>
      </c>
      <c r="D175" s="4">
        <v>48790</v>
      </c>
      <c r="E175" s="1" t="s">
        <v>21</v>
      </c>
      <c r="F175" s="3" t="s">
        <v>45</v>
      </c>
      <c r="G175" s="1" t="s">
        <v>14</v>
      </c>
      <c r="H175" s="1">
        <v>9.5</v>
      </c>
      <c r="I175" s="1">
        <v>1</v>
      </c>
      <c r="J175" s="1">
        <v>1</v>
      </c>
      <c r="K175" s="1" t="s">
        <v>36</v>
      </c>
      <c r="L175" s="1" t="str">
        <f>IF(Lima!$D175="Precast",L147,IF(Lima!$D175="","",IF(Lima!$D175&lt;20000,"Khasab",IF(Lima!$D175&lt;50000, "Lima",IF(Lima!$D175&lt;72000,"Daba")))))</f>
        <v>Lima</v>
      </c>
      <c r="M175" s="1" t="str">
        <f>IF(Lima!$C175="","",TEXT(Lima!$C175,"mmm  yy"))</f>
        <v>Mar  26</v>
      </c>
      <c r="N175" s="1" t="s">
        <v>143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3">
      <c r="A176" s="1"/>
      <c r="B176" s="1">
        <f t="shared" si="2"/>
        <v>173</v>
      </c>
      <c r="C176" s="2">
        <v>46098</v>
      </c>
      <c r="D176" s="4">
        <v>48790</v>
      </c>
      <c r="E176" s="1" t="s">
        <v>21</v>
      </c>
      <c r="F176" s="3" t="s">
        <v>45</v>
      </c>
      <c r="G176" s="1" t="s">
        <v>17</v>
      </c>
      <c r="H176" s="1">
        <v>10</v>
      </c>
      <c r="I176" s="1">
        <v>1</v>
      </c>
      <c r="J176" s="1">
        <v>1</v>
      </c>
      <c r="K176" s="1" t="s">
        <v>36</v>
      </c>
      <c r="L176" s="1" t="str">
        <f>IF(Lima!$D176="Precast",L148,IF(Lima!$D176="","",IF(Lima!$D176&lt;20000,"Khasab",IF(Lima!$D176&lt;50000, "Lima",IF(Lima!$D176&lt;72000,"Daba")))))</f>
        <v>Lima</v>
      </c>
      <c r="M176" s="1" t="str">
        <f>IF(Lima!$C176="","",TEXT(Lima!$C176,"mmm  yy"))</f>
        <v>Mar  26</v>
      </c>
      <c r="N176" s="1" t="s">
        <v>144</v>
      </c>
      <c r="O176" s="1" t="s">
        <v>145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3">
      <c r="A177" s="1"/>
      <c r="B177" s="1">
        <f t="shared" si="2"/>
        <v>174</v>
      </c>
      <c r="C177" s="2">
        <v>46098</v>
      </c>
      <c r="D177" s="4">
        <v>33720</v>
      </c>
      <c r="E177" s="1" t="s">
        <v>12</v>
      </c>
      <c r="F177" s="3" t="s">
        <v>146</v>
      </c>
      <c r="G177" s="1" t="s">
        <v>18</v>
      </c>
      <c r="H177" s="1">
        <v>14</v>
      </c>
      <c r="I177" s="1">
        <v>2</v>
      </c>
      <c r="J177" s="1">
        <v>2</v>
      </c>
      <c r="K177" s="1" t="s">
        <v>36</v>
      </c>
      <c r="L177" s="1" t="str">
        <f>IF(Lima!$D177="Precast",L149,IF(Lima!$D177="","",IF(Lima!$D177&lt;20000,"Khasab",IF(Lima!$D177&lt;50000, "Lima",IF(Lima!$D177&lt;72000,"Daba")))))</f>
        <v>Lima</v>
      </c>
      <c r="M177" s="1" t="str">
        <f>IF(Lima!$C177="","",TEXT(Lima!$C177,"mmm  yy"))</f>
        <v>Mar  26</v>
      </c>
      <c r="N177" s="1" t="s">
        <v>147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3">
      <c r="A178" s="1"/>
      <c r="B178" s="1">
        <f t="shared" si="2"/>
        <v>175</v>
      </c>
      <c r="C178" s="2">
        <v>46098</v>
      </c>
      <c r="D178" s="4">
        <v>36385</v>
      </c>
      <c r="E178" s="1" t="s">
        <v>12</v>
      </c>
      <c r="F178" s="3" t="s">
        <v>76</v>
      </c>
      <c r="G178" s="1" t="s">
        <v>14</v>
      </c>
      <c r="H178" s="1">
        <v>72</v>
      </c>
      <c r="I178" s="1">
        <v>8</v>
      </c>
      <c r="J178" s="1">
        <v>8</v>
      </c>
      <c r="K178" s="1" t="s">
        <v>36</v>
      </c>
      <c r="L178" s="1" t="str">
        <f>IF(Lima!$D178="Precast",L150,IF(Lima!$D178="","",IF(Lima!$D178&lt;20000,"Khasab",IF(Lima!$D178&lt;50000, "Lima",IF(Lima!$D178&lt;72000,"Daba")))))</f>
        <v>Lima</v>
      </c>
      <c r="M178" s="1" t="str">
        <f>IF(Lima!$C178="","",TEXT(Lima!$C178,"mmm  yy"))</f>
        <v>Mar  26</v>
      </c>
      <c r="N178" s="1" t="s">
        <v>148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3">
      <c r="A179" s="1"/>
      <c r="B179" s="1">
        <f t="shared" si="2"/>
        <v>176</v>
      </c>
      <c r="C179" s="2">
        <v>46099</v>
      </c>
      <c r="D179" s="4">
        <v>48800</v>
      </c>
      <c r="E179" s="1" t="s">
        <v>21</v>
      </c>
      <c r="F179" s="3" t="s">
        <v>45</v>
      </c>
      <c r="G179" s="1" t="s">
        <v>17</v>
      </c>
      <c r="H179" s="1">
        <v>23</v>
      </c>
      <c r="I179" s="1">
        <v>3</v>
      </c>
      <c r="J179" s="1">
        <v>3</v>
      </c>
      <c r="K179" s="1" t="s">
        <v>36</v>
      </c>
      <c r="L179" s="1" t="str">
        <f>IF(Lima!$D179="Precast",L151,IF(Lima!$D179="","",IF(Lima!$D179&lt;20000,"Khasab",IF(Lima!$D179&lt;50000, "Lima",IF(Lima!$D179&lt;72000,"Daba")))))</f>
        <v>Lima</v>
      </c>
      <c r="M179" s="1" t="str">
        <f>IF(Lima!$C179="","",TEXT(Lima!$C179,"mmm  yy"))</f>
        <v>Mar  26</v>
      </c>
      <c r="N179" s="1" t="s">
        <v>149</v>
      </c>
      <c r="O179" s="1" t="s">
        <v>150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3">
      <c r="A180" s="1"/>
      <c r="B180" s="1">
        <f t="shared" si="2"/>
        <v>177</v>
      </c>
      <c r="C180" s="2">
        <v>46099</v>
      </c>
      <c r="D180" s="4">
        <v>33880</v>
      </c>
      <c r="E180" s="1" t="s">
        <v>12</v>
      </c>
      <c r="F180" s="3" t="s">
        <v>151</v>
      </c>
      <c r="G180" s="1" t="s">
        <v>14</v>
      </c>
      <c r="H180" s="1">
        <v>9</v>
      </c>
      <c r="I180" s="1">
        <v>1</v>
      </c>
      <c r="J180" s="1">
        <v>1</v>
      </c>
      <c r="K180" s="1" t="s">
        <v>36</v>
      </c>
      <c r="L180" s="1" t="str">
        <f>IF(Lima!$D180="Precast",L152,IF(Lima!$D180="","",IF(Lima!$D180&lt;20000,"Khasab",IF(Lima!$D180&lt;50000, "Lima",IF(Lima!$D180&lt;72000,"Daba")))))</f>
        <v>Lima</v>
      </c>
      <c r="M180" s="1" t="str">
        <f>IF(Lima!$C180="","",TEXT(Lima!$C180,"mmm  yy"))</f>
        <v>Mar  26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3">
      <c r="A181" s="1"/>
      <c r="B181" s="1">
        <f t="shared" si="2"/>
        <v>178</v>
      </c>
      <c r="C181" s="2">
        <v>46099</v>
      </c>
      <c r="D181" s="4">
        <v>49395</v>
      </c>
      <c r="E181" s="1" t="s">
        <v>12</v>
      </c>
      <c r="F181" s="3" t="s">
        <v>29</v>
      </c>
      <c r="G181" s="1" t="s">
        <v>18</v>
      </c>
      <c r="H181" s="1">
        <v>18.5</v>
      </c>
      <c r="I181" s="1">
        <v>2</v>
      </c>
      <c r="J181" s="1">
        <v>2</v>
      </c>
      <c r="K181" s="1" t="s">
        <v>36</v>
      </c>
      <c r="L181" s="1" t="str">
        <f>IF(Lima!$D181="Precast",L153,IF(Lima!$D181="","",IF(Lima!$D181&lt;20000,"Khasab",IF(Lima!$D181&lt;50000, "Lima",IF(Lima!$D181&lt;72000,"Daba")))))</f>
        <v>Lima</v>
      </c>
      <c r="M181" s="1" t="str">
        <f>IF(Lima!$C181="","",TEXT(Lima!$C181,"mmm  yy"))</f>
        <v>Mar  26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3">
      <c r="A182" s="1"/>
      <c r="B182" s="1">
        <f t="shared" si="2"/>
        <v>179</v>
      </c>
      <c r="C182" s="2">
        <v>46099</v>
      </c>
      <c r="D182" s="4">
        <v>36385</v>
      </c>
      <c r="E182" s="1" t="s">
        <v>12</v>
      </c>
      <c r="F182" s="3" t="s">
        <v>76</v>
      </c>
      <c r="G182" s="1" t="s">
        <v>14</v>
      </c>
      <c r="H182" s="1">
        <v>45</v>
      </c>
      <c r="I182" s="1">
        <v>5</v>
      </c>
      <c r="J182" s="1">
        <v>5</v>
      </c>
      <c r="K182" s="1" t="s">
        <v>36</v>
      </c>
      <c r="L182" s="1" t="str">
        <f>IF(Lima!$D182="Precast",L154,IF(Lima!$D182="","",IF(Lima!$D182&lt;20000,"Khasab",IF(Lima!$D182&lt;50000, "Lima",IF(Lima!$D182&lt;72000,"Daba")))))</f>
        <v>Lima</v>
      </c>
      <c r="M182" s="1" t="str">
        <f>IF(Lima!$C182="","",TEXT(Lima!$C182,"mmm  yy"))</f>
        <v>Mar  26</v>
      </c>
      <c r="N182" s="1" t="s">
        <v>153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3">
      <c r="A183" s="1"/>
      <c r="B183" s="1">
        <f t="shared" si="2"/>
        <v>180</v>
      </c>
      <c r="C183" s="2">
        <v>46100</v>
      </c>
      <c r="D183" s="4">
        <v>48800</v>
      </c>
      <c r="E183" s="1" t="s">
        <v>21</v>
      </c>
      <c r="F183" s="3" t="s">
        <v>45</v>
      </c>
      <c r="G183" s="1" t="s">
        <v>17</v>
      </c>
      <c r="H183" s="1">
        <v>23.5</v>
      </c>
      <c r="I183" s="1">
        <v>3</v>
      </c>
      <c r="J183" s="1">
        <v>3</v>
      </c>
      <c r="K183" s="1" t="s">
        <v>36</v>
      </c>
      <c r="L183" s="1" t="str">
        <f>IF(Lima!$D183="Precast",L155,IF(Lima!$D183="","",IF(Lima!$D183&lt;20000,"Khasab",IF(Lima!$D183&lt;50000, "Lima",IF(Lima!$D183&lt;72000,"Daba")))))</f>
        <v>Lima</v>
      </c>
      <c r="M183" s="1" t="str">
        <f>IF(Lima!$C183="","",TEXT(Lima!$C183,"mmm  yy"))</f>
        <v>Mar  26</v>
      </c>
      <c r="N183" s="1" t="s">
        <v>152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3">
      <c r="A184" s="1"/>
      <c r="B184" s="1">
        <f t="shared" si="2"/>
        <v>181</v>
      </c>
      <c r="C184" s="2">
        <v>46103</v>
      </c>
      <c r="D184" s="4">
        <v>48810</v>
      </c>
      <c r="E184" s="1" t="s">
        <v>21</v>
      </c>
      <c r="F184" s="3" t="s">
        <v>45</v>
      </c>
      <c r="G184" s="1" t="s">
        <v>17</v>
      </c>
      <c r="H184" s="1">
        <v>29.5</v>
      </c>
      <c r="I184" s="1">
        <v>4</v>
      </c>
      <c r="J184" s="1">
        <v>4</v>
      </c>
      <c r="K184" s="1" t="s">
        <v>36</v>
      </c>
      <c r="L184" s="1" t="str">
        <f>IF(Lima!$D184="Precast",L156,IF(Lima!$D184="","",IF(Lima!$D184&lt;20000,"Khasab",IF(Lima!$D184&lt;50000, "Lima",IF(Lima!$D184&lt;72000,"Daba")))))</f>
        <v>Lima</v>
      </c>
      <c r="M184" s="1" t="str">
        <f>IF(Lima!$C184="","",TEXT(Lima!$C184,"mmm  yy"))</f>
        <v>Mar  26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3">
      <c r="A185" s="1"/>
      <c r="B185" s="1">
        <f t="shared" si="2"/>
        <v>182</v>
      </c>
      <c r="C185" s="2">
        <v>46110</v>
      </c>
      <c r="D185" s="4">
        <v>48800</v>
      </c>
      <c r="E185" s="1" t="s">
        <v>21</v>
      </c>
      <c r="F185" s="3" t="s">
        <v>45</v>
      </c>
      <c r="G185" s="1" t="s">
        <v>17</v>
      </c>
      <c r="H185" s="1">
        <v>30</v>
      </c>
      <c r="I185" s="1">
        <v>4</v>
      </c>
      <c r="J185" s="1">
        <v>4</v>
      </c>
      <c r="K185" s="1" t="s">
        <v>36</v>
      </c>
      <c r="L185" s="1" t="str">
        <f>IF(Lima!$D185="Precast",L157,IF(Lima!$D185="","",IF(Lima!$D185&lt;20000,"Khasab",IF(Lima!$D185&lt;50000, "Lima",IF(Lima!$D185&lt;72000,"Daba")))))</f>
        <v>Lima</v>
      </c>
      <c r="M185" s="1" t="str">
        <f>IF(Lima!$C185="","",TEXT(Lima!$C185,"mmm  yy"))</f>
        <v>Mar  26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3">
      <c r="A186" s="1"/>
      <c r="B186" s="1">
        <f t="shared" si="2"/>
        <v>183</v>
      </c>
      <c r="C186" s="2">
        <v>46111</v>
      </c>
      <c r="D186" s="4">
        <v>20750</v>
      </c>
      <c r="E186" s="1" t="s">
        <v>21</v>
      </c>
      <c r="F186" s="3" t="s">
        <v>45</v>
      </c>
      <c r="G186" s="1" t="s">
        <v>17</v>
      </c>
      <c r="H186" s="1">
        <v>18</v>
      </c>
      <c r="I186" s="1">
        <v>2</v>
      </c>
      <c r="J186" s="1">
        <v>2</v>
      </c>
      <c r="K186" s="1" t="s">
        <v>36</v>
      </c>
      <c r="L186" s="1" t="str">
        <f>IF(Lima!$D186="Precast",L158,IF(Lima!$D186="","",IF(Lima!$D186&lt;20000,"Khasab",IF(Lima!$D186&lt;50000, "Lima",IF(Lima!$D186&lt;72000,"Daba")))))</f>
        <v>Lima</v>
      </c>
      <c r="M186" s="1" t="str">
        <f>IF(Lima!$C186="","",TEXT(Lima!$C186,"mmm  yy"))</f>
        <v>Mar  26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3">
      <c r="A187" s="1"/>
      <c r="B187" s="1">
        <f t="shared" si="2"/>
        <v>184</v>
      </c>
      <c r="C187" s="2">
        <v>46111</v>
      </c>
      <c r="D187" s="4">
        <v>48885</v>
      </c>
      <c r="E187" s="1" t="s">
        <v>21</v>
      </c>
      <c r="F187" s="3" t="s">
        <v>45</v>
      </c>
      <c r="G187" s="1" t="s">
        <v>17</v>
      </c>
      <c r="H187" s="1">
        <v>24</v>
      </c>
      <c r="I187" s="1">
        <v>4</v>
      </c>
      <c r="J187" s="1">
        <v>4</v>
      </c>
      <c r="K187" s="1" t="s">
        <v>36</v>
      </c>
      <c r="L187" s="1" t="str">
        <f>IF(Lima!$D187="Precast",L159,IF(Lima!$D187="","",IF(Lima!$D187&lt;20000,"Khasab",IF(Lima!$D187&lt;50000, "Lima",IF(Lima!$D187&lt;72000,"Daba")))))</f>
        <v>Lima</v>
      </c>
      <c r="M187" s="1" t="str">
        <f>IF(Lima!$C187="","",TEXT(Lima!$C187,"mmm  yy"))</f>
        <v>Mar  26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3">
      <c r="A188" s="1"/>
      <c r="B188" s="1">
        <f t="shared" si="2"/>
        <v>185</v>
      </c>
      <c r="C188" s="2">
        <v>46112</v>
      </c>
      <c r="D188" s="4">
        <v>43265</v>
      </c>
      <c r="E188" s="1" t="s">
        <v>21</v>
      </c>
      <c r="F188" s="3" t="s">
        <v>154</v>
      </c>
      <c r="G188" s="1" t="s">
        <v>14</v>
      </c>
      <c r="H188" s="1">
        <v>5.5</v>
      </c>
      <c r="I188" s="1">
        <v>1</v>
      </c>
      <c r="J188" s="1">
        <v>1</v>
      </c>
      <c r="K188" s="1" t="s">
        <v>36</v>
      </c>
      <c r="L188" s="1" t="str">
        <f>IF(Lima!$D188="Precast",L160,IF(Lima!$D188="","",IF(Lima!$D188&lt;20000,"Khasab",IF(Lima!$D188&lt;50000, "Lima",IF(Lima!$D188&lt;72000,"Daba")))))</f>
        <v>Lima</v>
      </c>
      <c r="M188" s="1" t="str">
        <f>IF(Lima!$C188="","",TEXT(Lima!$C188,"mmm  yy"))</f>
        <v>Mar  26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3">
      <c r="A189" s="1"/>
      <c r="B189" s="1">
        <f t="shared" si="2"/>
        <v>186</v>
      </c>
      <c r="C189" s="2">
        <v>46112</v>
      </c>
      <c r="D189" s="4">
        <v>48800</v>
      </c>
      <c r="E189" s="1" t="s">
        <v>21</v>
      </c>
      <c r="F189" s="3" t="s">
        <v>154</v>
      </c>
      <c r="G189" s="1" t="s">
        <v>17</v>
      </c>
      <c r="H189" s="1">
        <v>14.5</v>
      </c>
      <c r="I189" s="1">
        <v>2</v>
      </c>
      <c r="J189" s="1">
        <v>2</v>
      </c>
      <c r="K189" s="1" t="s">
        <v>36</v>
      </c>
      <c r="L189" s="1" t="str">
        <f>IF(Lima!$D189="Precast",L161,IF(Lima!$D189="","",IF(Lima!$D189&lt;20000,"Khasab",IF(Lima!$D189&lt;50000, "Lima",IF(Lima!$D189&lt;72000,"Daba")))))</f>
        <v>Lima</v>
      </c>
      <c r="M189" s="1" t="str">
        <f>IF(Lima!$C189="","",TEXT(Lima!$C189,"mmm  yy"))</f>
        <v>Mar  26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3">
      <c r="A190" s="1"/>
      <c r="B190" s="1">
        <f t="shared" si="2"/>
        <v>187</v>
      </c>
      <c r="C190" s="2">
        <v>46113</v>
      </c>
      <c r="D190" s="4">
        <v>27280</v>
      </c>
      <c r="E190" s="1" t="s">
        <v>12</v>
      </c>
      <c r="F190" s="3" t="s">
        <v>37</v>
      </c>
      <c r="G190" s="1" t="s">
        <v>18</v>
      </c>
      <c r="H190" s="1">
        <v>265</v>
      </c>
      <c r="I190" s="1">
        <v>25</v>
      </c>
      <c r="J190" s="1">
        <v>25</v>
      </c>
      <c r="K190" s="1" t="s">
        <v>36</v>
      </c>
      <c r="L190" s="1" t="str">
        <f>IF(Lima!$D190="Precast",L162,IF(Lima!$D190="","",IF(Lima!$D190&lt;20000,"Khasab",IF(Lima!$D190&lt;50000, "Lima",IF(Lima!$D190&lt;72000,"Daba")))))</f>
        <v>Lima</v>
      </c>
      <c r="M190" s="1" t="str">
        <f>IF(Lima!$C190="","",TEXT(Lima!$C190,"mmm  yy"))</f>
        <v>Apr  26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3">
      <c r="A191" s="1"/>
      <c r="B191" s="1">
        <f t="shared" si="2"/>
        <v>188</v>
      </c>
      <c r="C191" s="2">
        <v>46113</v>
      </c>
      <c r="D191" s="4">
        <v>48880</v>
      </c>
      <c r="E191" s="1" t="s">
        <v>21</v>
      </c>
      <c r="F191" s="3" t="s">
        <v>45</v>
      </c>
      <c r="G191" s="1" t="s">
        <v>17</v>
      </c>
      <c r="H191" s="1">
        <v>15</v>
      </c>
      <c r="I191" s="1">
        <v>2</v>
      </c>
      <c r="J191" s="1">
        <v>2</v>
      </c>
      <c r="K191" s="1" t="s">
        <v>36</v>
      </c>
      <c r="L191" s="1" t="str">
        <f>IF(Lima!$D191="Precast",L163,IF(Lima!$D191="","",IF(Lima!$D191&lt;20000,"Khasab",IF(Lima!$D191&lt;50000, "Lima",IF(Lima!$D191&lt;72000,"Daba")))))</f>
        <v>Lima</v>
      </c>
      <c r="M191" s="1" t="str">
        <f>IF(Lima!$C191="","",TEXT(Lima!$C191,"mmm  yy"))</f>
        <v>Apr  26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3">
      <c r="A192" s="1"/>
      <c r="B192" s="1">
        <f t="shared" si="2"/>
        <v>189</v>
      </c>
      <c r="C192" s="2">
        <v>46113</v>
      </c>
      <c r="D192" s="4">
        <v>43291</v>
      </c>
      <c r="E192" s="1" t="s">
        <v>21</v>
      </c>
      <c r="F192" s="3" t="s">
        <v>45</v>
      </c>
      <c r="G192" s="1" t="s">
        <v>17</v>
      </c>
      <c r="H192" s="1">
        <v>11.5</v>
      </c>
      <c r="I192" s="1">
        <v>2</v>
      </c>
      <c r="J192" s="1">
        <v>2</v>
      </c>
      <c r="K192" s="1" t="s">
        <v>36</v>
      </c>
      <c r="L192" s="1" t="str">
        <f>IF(Lima!$D192="Precast",L164,IF(Lima!$D192="","",IF(Lima!$D192&lt;20000,"Khasab",IF(Lima!$D192&lt;50000, "Lima",IF(Lima!$D192&lt;72000,"Daba")))))</f>
        <v>Lima</v>
      </c>
      <c r="M192" s="1" t="str">
        <f>IF(Lima!$C192="","",TEXT(Lima!$C192,"mmm  yy"))</f>
        <v>Apr  26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3">
      <c r="A193" s="1"/>
      <c r="B193" s="1">
        <f t="shared" si="2"/>
        <v>190</v>
      </c>
      <c r="C193" s="2">
        <v>46114</v>
      </c>
      <c r="D193" s="4">
        <v>48830</v>
      </c>
      <c r="E193" s="1" t="s">
        <v>21</v>
      </c>
      <c r="F193" s="3" t="s">
        <v>45</v>
      </c>
      <c r="G193" s="1" t="s">
        <v>17</v>
      </c>
      <c r="H193" s="1">
        <v>9.5</v>
      </c>
      <c r="I193" s="1">
        <v>2</v>
      </c>
      <c r="J193" s="1">
        <v>2</v>
      </c>
      <c r="K193" s="1" t="s">
        <v>36</v>
      </c>
      <c r="L193" s="1" t="str">
        <f>IF(Lima!$D193="Precast",L165,IF(Lima!$D193="","",IF(Lima!$D193&lt;20000,"Khasab",IF(Lima!$D193&lt;50000, "Lima",IF(Lima!$D193&lt;72000,"Daba")))))</f>
        <v>Lima</v>
      </c>
      <c r="M193" s="1" t="str">
        <f>IF(Lima!$C193="","",TEXT(Lima!$C193,"mmm  yy"))</f>
        <v>Apr  26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3">
      <c r="A194" s="1"/>
      <c r="B194" s="1">
        <f t="shared" si="2"/>
        <v>191</v>
      </c>
      <c r="C194" s="2">
        <v>46114</v>
      </c>
      <c r="D194" s="4">
        <v>43265</v>
      </c>
      <c r="E194" s="1" t="s">
        <v>21</v>
      </c>
      <c r="F194" s="3" t="s">
        <v>45</v>
      </c>
      <c r="G194" s="1" t="s">
        <v>17</v>
      </c>
      <c r="H194" s="1">
        <v>8</v>
      </c>
      <c r="I194" s="1">
        <v>1</v>
      </c>
      <c r="J194" s="1">
        <v>1</v>
      </c>
      <c r="K194" s="1" t="s">
        <v>36</v>
      </c>
      <c r="L194" s="1" t="str">
        <f>IF(Lima!$D194="Precast",L166,IF(Lima!$D194="","",IF(Lima!$D194&lt;20000,"Khasab",IF(Lima!$D194&lt;50000, "Lima",IF(Lima!$D194&lt;72000,"Daba")))))</f>
        <v>Lima</v>
      </c>
      <c r="M194" s="1" t="str">
        <f>IF(Lima!$C194="","",TEXT(Lima!$C194,"mmm  yy"))</f>
        <v>Apr  26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3">
      <c r="A195" s="1"/>
      <c r="B195" s="1">
        <f t="shared" si="2"/>
        <v>192</v>
      </c>
      <c r="C195" s="2">
        <v>46114</v>
      </c>
      <c r="D195" s="4">
        <v>42940</v>
      </c>
      <c r="E195" s="1" t="s">
        <v>21</v>
      </c>
      <c r="F195" s="3" t="s">
        <v>45</v>
      </c>
      <c r="G195" s="1" t="s">
        <v>14</v>
      </c>
      <c r="H195" s="1">
        <v>8.5</v>
      </c>
      <c r="I195" s="1">
        <v>2</v>
      </c>
      <c r="J195" s="1">
        <v>2</v>
      </c>
      <c r="K195" s="1" t="s">
        <v>36</v>
      </c>
      <c r="L195" s="1" t="str">
        <f>IF(Lima!$D195="Precast",L167,IF(Lima!$D195="","",IF(Lima!$D195&lt;20000,"Khasab",IF(Lima!$D195&lt;50000, "Lima",IF(Lima!$D195&lt;72000,"Daba")))))</f>
        <v>Lima</v>
      </c>
      <c r="M195" s="1" t="str">
        <f>IF(Lima!$C195="","",TEXT(Lima!$C195,"mmm  yy"))</f>
        <v>Apr  26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3">
      <c r="A196" s="1"/>
      <c r="B196" s="1">
        <f t="shared" si="2"/>
        <v>193</v>
      </c>
      <c r="C196" s="2">
        <v>46114</v>
      </c>
      <c r="D196" s="4">
        <v>49395</v>
      </c>
      <c r="E196" s="1" t="s">
        <v>12</v>
      </c>
      <c r="F196" s="3" t="s">
        <v>81</v>
      </c>
      <c r="G196" s="1" t="s">
        <v>18</v>
      </c>
      <c r="H196" s="1">
        <v>30.5</v>
      </c>
      <c r="I196" s="1">
        <v>5</v>
      </c>
      <c r="J196" s="1">
        <v>5</v>
      </c>
      <c r="K196" s="1" t="s">
        <v>36</v>
      </c>
      <c r="L196" s="1" t="str">
        <f>IF(Lima!$D196="Precast",L168,IF(Lima!$D196="","",IF(Lima!$D196&lt;20000,"Khasab",IF(Lima!$D196&lt;50000, "Lima",IF(Lima!$D196&lt;72000,"Daba")))))</f>
        <v>Lima</v>
      </c>
      <c r="M196" s="1" t="str">
        <f>IF(Lima!$C196="","",TEXT(Lima!$C196,"mmm  yy"))</f>
        <v>Apr  26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3">
      <c r="A197" s="1"/>
      <c r="B197" s="1">
        <f t="shared" si="2"/>
        <v>194</v>
      </c>
      <c r="C197" s="2">
        <v>46116</v>
      </c>
      <c r="D197" s="4">
        <v>48840</v>
      </c>
      <c r="E197" s="1" t="s">
        <v>21</v>
      </c>
      <c r="F197" s="3" t="s">
        <v>45</v>
      </c>
      <c r="G197" s="1" t="s">
        <v>17</v>
      </c>
      <c r="H197" s="1">
        <v>14.5</v>
      </c>
      <c r="I197" s="1">
        <v>3</v>
      </c>
      <c r="J197" s="1">
        <v>3</v>
      </c>
      <c r="K197" s="1" t="s">
        <v>36</v>
      </c>
      <c r="L197" s="1" t="str">
        <f>IF(Lima!$D197="Precast",L169,IF(Lima!$D197="","",IF(Lima!$D197&lt;20000,"Khasab",IF(Lima!$D197&lt;50000, "Lima",IF(Lima!$D197&lt;72000,"Daba")))))</f>
        <v>Lima</v>
      </c>
      <c r="M197" s="1" t="str">
        <f>IF(Lima!$C197="","",TEXT(Lima!$C197,"mmm  yy"))</f>
        <v>Apr  26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3">
      <c r="A198" s="1"/>
      <c r="B198" s="1">
        <f t="shared" ref="B198:B257" si="3">+B197+1</f>
        <v>195</v>
      </c>
      <c r="C198" s="2">
        <v>46116</v>
      </c>
      <c r="D198" s="4">
        <v>42950</v>
      </c>
      <c r="E198" s="1" t="s">
        <v>21</v>
      </c>
      <c r="F198" s="3" t="s">
        <v>45</v>
      </c>
      <c r="G198" s="1" t="s">
        <v>17</v>
      </c>
      <c r="H198" s="1">
        <v>20</v>
      </c>
      <c r="I198" s="1">
        <v>3</v>
      </c>
      <c r="J198" s="1">
        <v>3</v>
      </c>
      <c r="K198" s="1" t="s">
        <v>36</v>
      </c>
      <c r="L198" s="1" t="str">
        <f>IF(Lima!$D198="Precast",L170,IF(Lima!$D198="","",IF(Lima!$D198&lt;20000,"Khasab",IF(Lima!$D198&lt;50000, "Lima",IF(Lima!$D198&lt;72000,"Daba")))))</f>
        <v>Lima</v>
      </c>
      <c r="M198" s="1" t="str">
        <f>IF(Lima!$C198="","",TEXT(Lima!$C198,"mmm  yy"))</f>
        <v>Apr  26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3">
      <c r="A199" s="1"/>
      <c r="B199" s="1">
        <f t="shared" si="3"/>
        <v>196</v>
      </c>
      <c r="C199" s="2">
        <v>46117</v>
      </c>
      <c r="D199" s="4">
        <v>42760</v>
      </c>
      <c r="E199" s="1" t="s">
        <v>21</v>
      </c>
      <c r="F199" s="3" t="s">
        <v>154</v>
      </c>
      <c r="G199" s="1" t="s">
        <v>14</v>
      </c>
      <c r="H199" s="1">
        <v>7</v>
      </c>
      <c r="I199" s="1">
        <v>1</v>
      </c>
      <c r="J199" s="1">
        <v>1</v>
      </c>
      <c r="K199" s="1" t="s">
        <v>36</v>
      </c>
      <c r="L199" s="1" t="str">
        <f>IF(Lima!$D199="Precast",L171,IF(Lima!$D199="","",IF(Lima!$D199&lt;20000,"Khasab",IF(Lima!$D199&lt;50000, "Lima",IF(Lima!$D199&lt;72000,"Daba")))))</f>
        <v>Lima</v>
      </c>
      <c r="M199" s="1" t="str">
        <f>IF(Lima!$C199="","",TEXT(Lima!$C199,"mmm  yy"))</f>
        <v>Apr  26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3">
      <c r="A200" s="1"/>
      <c r="B200" s="1">
        <f t="shared" si="3"/>
        <v>197</v>
      </c>
      <c r="C200" s="2">
        <v>46117</v>
      </c>
      <c r="D200" s="4">
        <v>48850</v>
      </c>
      <c r="E200" s="1" t="s">
        <v>21</v>
      </c>
      <c r="F200" s="3" t="s">
        <v>45</v>
      </c>
      <c r="G200" s="1" t="s">
        <v>17</v>
      </c>
      <c r="H200" s="1">
        <v>16</v>
      </c>
      <c r="I200" s="1">
        <v>2</v>
      </c>
      <c r="J200" s="1">
        <v>2</v>
      </c>
      <c r="K200" s="1" t="s">
        <v>36</v>
      </c>
      <c r="L200" s="1" t="str">
        <f>IF(Lima!$D200="Precast",L172,IF(Lima!$D200="","",IF(Lima!$D200&lt;20000,"Khasab",IF(Lima!$D200&lt;50000, "Lima",IF(Lima!$D200&lt;72000,"Daba")))))</f>
        <v>Lima</v>
      </c>
      <c r="M200" s="1" t="str">
        <f>IF(Lima!$C200="","",TEXT(Lima!$C200,"mmm  yy"))</f>
        <v>Apr  26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3">
      <c r="A201" s="1"/>
      <c r="B201" s="1">
        <f t="shared" si="3"/>
        <v>198</v>
      </c>
      <c r="C201" s="2">
        <v>46117</v>
      </c>
      <c r="D201" s="4">
        <v>42820</v>
      </c>
      <c r="E201" s="1" t="s">
        <v>21</v>
      </c>
      <c r="F201" s="3" t="s">
        <v>45</v>
      </c>
      <c r="G201" s="1" t="s">
        <v>17</v>
      </c>
      <c r="H201" s="1">
        <v>19</v>
      </c>
      <c r="I201" s="1">
        <v>3</v>
      </c>
      <c r="J201" s="1">
        <v>3</v>
      </c>
      <c r="K201" s="1" t="s">
        <v>36</v>
      </c>
      <c r="L201" s="1" t="str">
        <f>IF(Lima!$D201="Precast",L173,IF(Lima!$D201="","",IF(Lima!$D201&lt;20000,"Khasab",IF(Lima!$D201&lt;50000, "Lima",IF(Lima!$D201&lt;72000,"Daba")))))</f>
        <v>Lima</v>
      </c>
      <c r="M201" s="1" t="str">
        <f>IF(Lima!$C201="","",TEXT(Lima!$C201,"mmm  yy"))</f>
        <v>Apr  26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3">
      <c r="A202" s="1"/>
      <c r="B202" s="1">
        <f t="shared" si="3"/>
        <v>199</v>
      </c>
      <c r="C202" s="2">
        <v>46117</v>
      </c>
      <c r="D202" s="4">
        <v>20700</v>
      </c>
      <c r="E202" s="1" t="s">
        <v>21</v>
      </c>
      <c r="F202" s="3" t="s">
        <v>45</v>
      </c>
      <c r="G202" s="1" t="s">
        <v>17</v>
      </c>
      <c r="H202" s="1">
        <v>18</v>
      </c>
      <c r="I202" s="1">
        <v>2</v>
      </c>
      <c r="J202" s="1">
        <v>2</v>
      </c>
      <c r="K202" s="1" t="s">
        <v>36</v>
      </c>
      <c r="L202" s="1" t="str">
        <f>IF(Lima!$D202="Precast",L174,IF(Lima!$D202="","",IF(Lima!$D202&lt;20000,"Khasab",IF(Lima!$D202&lt;50000, "Lima",IF(Lima!$D202&lt;72000,"Daba")))))</f>
        <v>Lima</v>
      </c>
      <c r="M202" s="1" t="str">
        <f>IF(Lima!$C202="","",TEXT(Lima!$C202,"mmm  yy"))</f>
        <v>Apr  26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3">
      <c r="A203" s="1"/>
      <c r="B203" s="1">
        <f t="shared" si="3"/>
        <v>200</v>
      </c>
      <c r="C203" s="2">
        <v>46117</v>
      </c>
      <c r="D203" s="4">
        <v>33880</v>
      </c>
      <c r="E203" s="1" t="s">
        <v>12</v>
      </c>
      <c r="F203" s="3" t="s">
        <v>37</v>
      </c>
      <c r="G203" s="1" t="s">
        <v>18</v>
      </c>
      <c r="H203" s="1">
        <v>23.5</v>
      </c>
      <c r="I203" s="1">
        <v>3</v>
      </c>
      <c r="J203" s="1">
        <v>3</v>
      </c>
      <c r="K203" s="1" t="s">
        <v>36</v>
      </c>
      <c r="L203" s="1" t="str">
        <f>IF(Lima!$D203="Precast",L175,IF(Lima!$D203="","",IF(Lima!$D203&lt;20000,"Khasab",IF(Lima!$D203&lt;50000, "Lima",IF(Lima!$D203&lt;72000,"Daba")))))</f>
        <v>Lima</v>
      </c>
      <c r="M203" s="1" t="str">
        <f>IF(Lima!$C203="","",TEXT(Lima!$C203,"mmm  yy"))</f>
        <v>Apr  26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3">
      <c r="A204" s="1"/>
      <c r="B204" s="1">
        <f t="shared" si="3"/>
        <v>201</v>
      </c>
      <c r="C204" s="2">
        <v>46118</v>
      </c>
      <c r="D204" s="4">
        <v>34183</v>
      </c>
      <c r="E204" s="1" t="s">
        <v>12</v>
      </c>
      <c r="F204" s="3" t="s">
        <v>22</v>
      </c>
      <c r="G204" s="1" t="s">
        <v>18</v>
      </c>
      <c r="H204" s="1">
        <v>3.5</v>
      </c>
      <c r="I204" s="1">
        <v>1</v>
      </c>
      <c r="J204" s="1">
        <v>1</v>
      </c>
      <c r="K204" s="1" t="s">
        <v>36</v>
      </c>
      <c r="L204" s="1" t="str">
        <f>IF(Lima!$D204="Precast",L176,IF(Lima!$D204="","",IF(Lima!$D204&lt;20000,"Khasab",IF(Lima!$D204&lt;50000, "Lima",IF(Lima!$D204&lt;72000,"Daba")))))</f>
        <v>Lima</v>
      </c>
      <c r="M204" s="1" t="str">
        <f>IF(Lima!$C204="","",TEXT(Lima!$C204,"mmm  yy"))</f>
        <v>Apr  26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3">
      <c r="A205" s="1"/>
      <c r="B205" s="1">
        <f t="shared" si="3"/>
        <v>202</v>
      </c>
      <c r="C205" s="2">
        <v>46118</v>
      </c>
      <c r="D205" s="4">
        <v>38242</v>
      </c>
      <c r="E205" s="1" t="s">
        <v>12</v>
      </c>
      <c r="F205" s="3" t="s">
        <v>29</v>
      </c>
      <c r="G205" s="1" t="s">
        <v>18</v>
      </c>
      <c r="H205" s="1">
        <v>29</v>
      </c>
      <c r="I205" s="1">
        <v>4</v>
      </c>
      <c r="J205" s="1">
        <v>4</v>
      </c>
      <c r="K205" s="1" t="s">
        <v>36</v>
      </c>
      <c r="L205" s="1" t="str">
        <f>IF(Lima!$D205="Precast",L177,IF(Lima!$D205="","",IF(Lima!$D205&lt;20000,"Khasab",IF(Lima!$D205&lt;50000, "Lima",IF(Lima!$D205&lt;72000,"Daba")))))</f>
        <v>Lima</v>
      </c>
      <c r="M205" s="1" t="str">
        <f>IF(Lima!$C205="","",TEXT(Lima!$C205,"mmm  yy"))</f>
        <v>Apr  26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3">
      <c r="A206" s="1"/>
      <c r="B206" s="1">
        <f t="shared" si="3"/>
        <v>203</v>
      </c>
      <c r="C206" s="2">
        <v>46118</v>
      </c>
      <c r="D206" s="4">
        <v>43300</v>
      </c>
      <c r="E206" s="1" t="s">
        <v>21</v>
      </c>
      <c r="F206" s="3" t="s">
        <v>45</v>
      </c>
      <c r="G206" s="1" t="s">
        <v>17</v>
      </c>
      <c r="H206" s="1">
        <v>33</v>
      </c>
      <c r="I206" s="1">
        <v>4</v>
      </c>
      <c r="J206" s="1">
        <v>4</v>
      </c>
      <c r="K206" s="1" t="s">
        <v>36</v>
      </c>
      <c r="L206" s="1" t="str">
        <f>IF(Lima!$D206="Precast",L178,IF(Lima!$D206="","",IF(Lima!$D206&lt;20000,"Khasab",IF(Lima!$D206&lt;50000, "Lima",IF(Lima!$D206&lt;72000,"Daba")))))</f>
        <v>Lima</v>
      </c>
      <c r="M206" s="1" t="str">
        <f>IF(Lima!$C206="","",TEXT(Lima!$C206,"mmm  yy"))</f>
        <v>Apr  26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3">
      <c r="A207" s="1"/>
      <c r="B207" s="1">
        <f t="shared" si="3"/>
        <v>204</v>
      </c>
      <c r="C207" s="2">
        <v>46119</v>
      </c>
      <c r="D207" s="4">
        <v>49395</v>
      </c>
      <c r="E207" s="1" t="s">
        <v>12</v>
      </c>
      <c r="F207" s="3" t="s">
        <v>154</v>
      </c>
      <c r="G207" s="1" t="s">
        <v>14</v>
      </c>
      <c r="H207" s="1">
        <v>3.5</v>
      </c>
      <c r="I207" s="1">
        <v>1</v>
      </c>
      <c r="J207" s="1">
        <v>1</v>
      </c>
      <c r="K207" s="1" t="s">
        <v>36</v>
      </c>
      <c r="L207" s="1" t="str">
        <f>IF(Lima!$D207="Precast",L179,IF(Lima!$D207="","",IF(Lima!$D207&lt;20000,"Khasab",IF(Lima!$D207&lt;50000, "Lima",IF(Lima!$D207&lt;72000,"Daba")))))</f>
        <v>Lima</v>
      </c>
      <c r="M207" s="1" t="str">
        <f>IF(Lima!$C207="","",TEXT(Lima!$C207,"mmm  yy"))</f>
        <v>Apr  26</v>
      </c>
      <c r="N207" s="1" t="s">
        <v>155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3">
      <c r="A208" s="1"/>
      <c r="B208" s="1">
        <f t="shared" si="3"/>
        <v>205</v>
      </c>
      <c r="C208" s="2">
        <v>46119</v>
      </c>
      <c r="D208" s="4">
        <v>42930</v>
      </c>
      <c r="E208" s="1" t="s">
        <v>21</v>
      </c>
      <c r="F208" s="3" t="s">
        <v>45</v>
      </c>
      <c r="G208" s="1" t="s">
        <v>17</v>
      </c>
      <c r="H208" s="1">
        <v>32.5</v>
      </c>
      <c r="I208" s="1">
        <v>4</v>
      </c>
      <c r="J208" s="1">
        <v>4</v>
      </c>
      <c r="K208" s="1" t="s">
        <v>36</v>
      </c>
      <c r="L208" s="1" t="str">
        <f>IF(Lima!$D208="Precast",L180,IF(Lima!$D208="","",IF(Lima!$D208&lt;20000,"Khasab",IF(Lima!$D208&lt;50000, "Lima",IF(Lima!$D208&lt;72000,"Daba")))))</f>
        <v>Lima</v>
      </c>
      <c r="M208" s="1" t="str">
        <f>IF(Lima!$C208="","",TEXT(Lima!$C208,"mmm  yy"))</f>
        <v>Apr  26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3">
      <c r="A209" s="1"/>
      <c r="B209" s="1">
        <f t="shared" si="3"/>
        <v>206</v>
      </c>
      <c r="C209" s="2">
        <v>46120</v>
      </c>
      <c r="D209" s="4">
        <v>49395</v>
      </c>
      <c r="E209" s="1" t="s">
        <v>12</v>
      </c>
      <c r="F209" s="3" t="s">
        <v>32</v>
      </c>
      <c r="G209" s="1" t="s">
        <v>18</v>
      </c>
      <c r="H209" s="1">
        <v>7.5</v>
      </c>
      <c r="I209" s="1">
        <v>2</v>
      </c>
      <c r="J209" s="1">
        <v>2</v>
      </c>
      <c r="K209" s="1" t="s">
        <v>36</v>
      </c>
      <c r="L209" s="1" t="str">
        <f>IF(Lima!$D209="Precast",L181,IF(Lima!$D209="","",IF(Lima!$D209&lt;20000,"Khasab",IF(Lima!$D209&lt;50000, "Lima",IF(Lima!$D209&lt;72000,"Daba")))))</f>
        <v>Lima</v>
      </c>
      <c r="M209" s="1" t="str">
        <f>IF(Lima!$C209="","",TEXT(Lima!$C209,"mmm  yy"))</f>
        <v>Apr  26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3">
      <c r="A210" s="1"/>
      <c r="B210" s="1">
        <f t="shared" si="3"/>
        <v>207</v>
      </c>
      <c r="C210" s="2">
        <v>46120</v>
      </c>
      <c r="D210" s="4">
        <v>38396</v>
      </c>
      <c r="E210" s="1" t="s">
        <v>12</v>
      </c>
      <c r="F210" s="3" t="s">
        <v>156</v>
      </c>
      <c r="G210" s="1" t="s">
        <v>18</v>
      </c>
      <c r="H210" s="1">
        <v>20</v>
      </c>
      <c r="I210" s="1">
        <v>3</v>
      </c>
      <c r="J210" s="1">
        <v>3</v>
      </c>
      <c r="K210" s="1" t="s">
        <v>36</v>
      </c>
      <c r="L210" s="1" t="str">
        <f>IF(Lima!$D210="Precast",L182,IF(Lima!$D210="","",IF(Lima!$D210&lt;20000,"Khasab",IF(Lima!$D210&lt;50000, "Lima",IF(Lima!$D210&lt;72000,"Daba")))))</f>
        <v>Lima</v>
      </c>
      <c r="M210" s="1" t="str">
        <f>IF(Lima!$C210="","",TEXT(Lima!$C210,"mmm  yy"))</f>
        <v>Apr  26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3">
      <c r="A211" s="1"/>
      <c r="B211" s="1">
        <f t="shared" si="3"/>
        <v>208</v>
      </c>
      <c r="C211" s="2">
        <v>46120</v>
      </c>
      <c r="D211" s="4">
        <v>32890</v>
      </c>
      <c r="E211" s="1" t="s">
        <v>21</v>
      </c>
      <c r="F211" s="3" t="s">
        <v>45</v>
      </c>
      <c r="G211" s="1" t="s">
        <v>17</v>
      </c>
      <c r="H211" s="1">
        <v>36.5</v>
      </c>
      <c r="I211" s="1">
        <v>5</v>
      </c>
      <c r="J211" s="1">
        <v>5</v>
      </c>
      <c r="K211" s="1" t="s">
        <v>36</v>
      </c>
      <c r="L211" s="1" t="str">
        <f>IF(Lima!$D211="Precast",L183,IF(Lima!$D211="","",IF(Lima!$D211&lt;20000,"Khasab",IF(Lima!$D211&lt;50000, "Lima",IF(Lima!$D211&lt;72000,"Daba")))))</f>
        <v>Lima</v>
      </c>
      <c r="M211" s="1" t="str">
        <f>IF(Lima!$C211="","",TEXT(Lima!$C211,"mmm  yy"))</f>
        <v>Apr  26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3">
      <c r="A212" s="1"/>
      <c r="B212" s="1">
        <f t="shared" si="3"/>
        <v>209</v>
      </c>
      <c r="C212" s="2">
        <v>46120</v>
      </c>
      <c r="D212" s="4">
        <v>33880</v>
      </c>
      <c r="E212" s="1" t="s">
        <v>12</v>
      </c>
      <c r="F212" s="3" t="s">
        <v>157</v>
      </c>
      <c r="G212" s="1" t="s">
        <v>18</v>
      </c>
      <c r="H212" s="1">
        <v>8</v>
      </c>
      <c r="I212" s="1">
        <v>1</v>
      </c>
      <c r="J212" s="1">
        <v>1</v>
      </c>
      <c r="K212" s="1" t="s">
        <v>36</v>
      </c>
      <c r="L212" s="1" t="str">
        <f>IF(Lima!$D212="Precast",L184,IF(Lima!$D212="","",IF(Lima!$D212&lt;20000,"Khasab",IF(Lima!$D212&lt;50000, "Lima",IF(Lima!$D212&lt;72000,"Daba")))))</f>
        <v>Lima</v>
      </c>
      <c r="M212" s="1" t="str">
        <f>IF(Lima!$C212="","",TEXT(Lima!$C212,"mmm  yy"))</f>
        <v>Apr  26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3">
      <c r="A213" s="1"/>
      <c r="B213" s="1">
        <f t="shared" si="3"/>
        <v>210</v>
      </c>
      <c r="C213" s="2">
        <v>46121</v>
      </c>
      <c r="D213" s="4">
        <v>20710</v>
      </c>
      <c r="E213" s="1" t="s">
        <v>21</v>
      </c>
      <c r="F213" s="3" t="s">
        <v>45</v>
      </c>
      <c r="G213" s="1" t="s">
        <v>17</v>
      </c>
      <c r="H213" s="1">
        <v>18</v>
      </c>
      <c r="I213" s="1">
        <v>2</v>
      </c>
      <c r="J213" s="1">
        <v>2</v>
      </c>
      <c r="K213" s="1" t="s">
        <v>36</v>
      </c>
      <c r="L213" s="1" t="str">
        <f>IF(Lima!$D213="Precast",L185,IF(Lima!$D213="","",IF(Lima!$D213&lt;20000,"Khasab",IF(Lima!$D213&lt;50000, "Lima",IF(Lima!$D213&lt;72000,"Daba")))))</f>
        <v>Lima</v>
      </c>
      <c r="M213" s="1" t="str">
        <f>IF(Lima!$C213="","",TEXT(Lima!$C213,"mmm  yy"))</f>
        <v>Apr  26</v>
      </c>
      <c r="N213" s="1" t="s">
        <v>164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3">
      <c r="A214" s="1"/>
      <c r="B214" s="1">
        <f t="shared" si="3"/>
        <v>211</v>
      </c>
      <c r="C214" s="2">
        <v>46121</v>
      </c>
      <c r="D214" s="4">
        <v>42840</v>
      </c>
      <c r="E214" s="1" t="s">
        <v>21</v>
      </c>
      <c r="F214" s="3" t="s">
        <v>45</v>
      </c>
      <c r="G214" s="1" t="s">
        <v>17</v>
      </c>
      <c r="H214" s="1">
        <v>28</v>
      </c>
      <c r="I214" s="1">
        <v>4</v>
      </c>
      <c r="J214" s="1">
        <v>4</v>
      </c>
      <c r="K214" s="1" t="s">
        <v>36</v>
      </c>
      <c r="L214" s="1" t="str">
        <f>IF(Lima!$D214="Precast",L186,IF(Lima!$D214="","",IF(Lima!$D214&lt;20000,"Khasab",IF(Lima!$D214&lt;50000, "Lima",IF(Lima!$D214&lt;72000,"Daba")))))</f>
        <v>Lima</v>
      </c>
      <c r="M214" s="1" t="str">
        <f>IF(Lima!$C214="","",TEXT(Lima!$C214,"mmm  yy"))</f>
        <v>Apr  26</v>
      </c>
      <c r="N214" s="1" t="s">
        <v>163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3">
      <c r="A215" s="1"/>
      <c r="B215" s="1">
        <f t="shared" si="3"/>
        <v>212</v>
      </c>
      <c r="C215" s="2">
        <v>46121</v>
      </c>
      <c r="D215" s="4">
        <v>49395</v>
      </c>
      <c r="E215" s="1" t="s">
        <v>12</v>
      </c>
      <c r="F215" s="3" t="s">
        <v>137</v>
      </c>
      <c r="G215" s="1" t="s">
        <v>18</v>
      </c>
      <c r="H215" s="1">
        <v>7.5</v>
      </c>
      <c r="I215" s="1">
        <v>1</v>
      </c>
      <c r="J215" s="1">
        <v>1</v>
      </c>
      <c r="K215" s="1" t="s">
        <v>36</v>
      </c>
      <c r="L215" s="1" t="str">
        <f>IF(Lima!$D215="Precast",L187,IF(Lima!$D215="","",IF(Lima!$D215&lt;20000,"Khasab",IF(Lima!$D215&lt;50000, "Lima",IF(Lima!$D215&lt;72000,"Daba")))))</f>
        <v>Lima</v>
      </c>
      <c r="M215" s="1" t="str">
        <f>IF(Lima!$C215="","",TEXT(Lima!$C215,"mmm  yy"))</f>
        <v>Apr  26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3">
      <c r="A216" s="1"/>
      <c r="B216" s="1">
        <f t="shared" si="3"/>
        <v>213</v>
      </c>
      <c r="C216" s="2">
        <v>46123</v>
      </c>
      <c r="D216" s="4">
        <v>43355</v>
      </c>
      <c r="E216" s="1" t="s">
        <v>21</v>
      </c>
      <c r="F216" s="3" t="s">
        <v>154</v>
      </c>
      <c r="G216" s="1" t="s">
        <v>14</v>
      </c>
      <c r="H216" s="1">
        <v>6.5</v>
      </c>
      <c r="I216" s="1">
        <v>1</v>
      </c>
      <c r="J216" s="1">
        <v>1</v>
      </c>
      <c r="K216" s="1" t="s">
        <v>36</v>
      </c>
      <c r="L216" s="1" t="str">
        <f>IF(Lima!$D216="Precast",L188,IF(Lima!$D216="","",IF(Lima!$D216&lt;20000,"Khasab",IF(Lima!$D216&lt;50000, "Lima",IF(Lima!$D216&lt;72000,"Daba")))))</f>
        <v>Lima</v>
      </c>
      <c r="M216" s="1" t="str">
        <f>IF(Lima!$C216="","",TEXT(Lima!$C216,"mmm  yy"))</f>
        <v>Apr  26</v>
      </c>
      <c r="N216" s="1" t="s">
        <v>162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3">
      <c r="A217" s="1"/>
      <c r="B217" s="1">
        <f t="shared" si="3"/>
        <v>214</v>
      </c>
      <c r="C217" s="2">
        <v>46123</v>
      </c>
      <c r="D217" s="4">
        <v>33880</v>
      </c>
      <c r="E217" s="1" t="s">
        <v>12</v>
      </c>
      <c r="F217" s="3" t="s">
        <v>158</v>
      </c>
      <c r="G217" s="1" t="s">
        <v>18</v>
      </c>
      <c r="H217" s="1">
        <v>35.6</v>
      </c>
      <c r="I217" s="1">
        <v>5</v>
      </c>
      <c r="J217" s="1">
        <v>5</v>
      </c>
      <c r="K217" s="1" t="s">
        <v>36</v>
      </c>
      <c r="L217" s="1" t="str">
        <f>IF(Lima!$D217="Precast",L189,IF(Lima!$D217="","",IF(Lima!$D217&lt;20000,"Khasab",IF(Lima!$D217&lt;50000, "Lima",IF(Lima!$D217&lt;72000,"Daba")))))</f>
        <v>Lima</v>
      </c>
      <c r="M217" s="1" t="str">
        <f>IF(Lima!$C217="","",TEXT(Lima!$C217,"mmm  yy"))</f>
        <v>Apr  26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3">
      <c r="A218" s="1"/>
      <c r="B218" s="1">
        <f t="shared" si="3"/>
        <v>215</v>
      </c>
      <c r="C218" s="2">
        <v>46123</v>
      </c>
      <c r="D218" s="4">
        <v>34277</v>
      </c>
      <c r="E218" s="1" t="s">
        <v>12</v>
      </c>
      <c r="F218" s="3" t="s">
        <v>159</v>
      </c>
      <c r="G218" s="1" t="s">
        <v>14</v>
      </c>
      <c r="H218" s="1">
        <v>6</v>
      </c>
      <c r="I218" s="1">
        <v>1</v>
      </c>
      <c r="J218" s="1">
        <v>1</v>
      </c>
      <c r="K218" s="1" t="s">
        <v>36</v>
      </c>
      <c r="L218" s="1" t="str">
        <f>IF(Lima!$D218="Precast",L190,IF(Lima!$D218="","",IF(Lima!$D218&lt;20000,"Khasab",IF(Lima!$D218&lt;50000, "Lima",IF(Lima!$D218&lt;72000,"Daba")))))</f>
        <v>Lima</v>
      </c>
      <c r="M218" s="1" t="str">
        <f>IF(Lima!$C218="","",TEXT(Lima!$C218,"mmm  yy"))</f>
        <v>Apr  26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3">
      <c r="A219" s="1"/>
      <c r="B219" s="1">
        <f t="shared" si="3"/>
        <v>216</v>
      </c>
      <c r="C219" s="2">
        <v>46123</v>
      </c>
      <c r="D219" s="4">
        <v>42780</v>
      </c>
      <c r="E219" s="1" t="s">
        <v>21</v>
      </c>
      <c r="F219" s="3" t="s">
        <v>45</v>
      </c>
      <c r="G219" s="1" t="s">
        <v>17</v>
      </c>
      <c r="H219" s="1">
        <v>20</v>
      </c>
      <c r="I219" s="1">
        <v>3</v>
      </c>
      <c r="J219" s="1">
        <v>3</v>
      </c>
      <c r="K219" s="1" t="s">
        <v>36</v>
      </c>
      <c r="L219" s="1" t="str">
        <f>IF(Lima!$D219="Precast",L191,IF(Lima!$D219="","",IF(Lima!$D219&lt;20000,"Khasab",IF(Lima!$D219&lt;50000, "Lima",IF(Lima!$D219&lt;72000,"Daba")))))</f>
        <v>Lima</v>
      </c>
      <c r="M219" s="1" t="str">
        <f>IF(Lima!$C219="","",TEXT(Lima!$C219,"mmm  yy"))</f>
        <v>Apr  26</v>
      </c>
      <c r="N219" s="1" t="s">
        <v>161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3">
      <c r="A220" s="1"/>
      <c r="B220" s="1">
        <f t="shared" si="3"/>
        <v>217</v>
      </c>
      <c r="C220" s="2">
        <v>46123</v>
      </c>
      <c r="D220" s="4">
        <v>30190</v>
      </c>
      <c r="E220" s="1" t="s">
        <v>12</v>
      </c>
      <c r="F220" s="3" t="s">
        <v>22</v>
      </c>
      <c r="G220" s="1" t="s">
        <v>18</v>
      </c>
      <c r="H220" s="1">
        <v>7</v>
      </c>
      <c r="I220" s="1">
        <v>2</v>
      </c>
      <c r="J220" s="1">
        <v>2</v>
      </c>
      <c r="K220" s="1" t="s">
        <v>36</v>
      </c>
      <c r="L220" s="1" t="str">
        <f>IF(Lima!$D220="Precast",L192,IF(Lima!$D220="","",IF(Lima!$D220&lt;20000,"Khasab",IF(Lima!$D220&lt;50000, "Lima",IF(Lima!$D220&lt;72000,"Daba")))))</f>
        <v>Lima</v>
      </c>
      <c r="M220" s="1" t="str">
        <f>IF(Lima!$C220="","",TEXT(Lima!$C220,"mmm  yy"))</f>
        <v>Apr  26</v>
      </c>
      <c r="N220" s="1" t="s">
        <v>160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3">
      <c r="A221" s="1"/>
      <c r="B221" s="1">
        <f t="shared" si="3"/>
        <v>218</v>
      </c>
      <c r="C221" s="2">
        <v>46124</v>
      </c>
      <c r="D221" s="4">
        <v>42790</v>
      </c>
      <c r="E221" s="1" t="s">
        <v>21</v>
      </c>
      <c r="F221" s="3" t="s">
        <v>45</v>
      </c>
      <c r="G221" s="1" t="s">
        <v>17</v>
      </c>
      <c r="H221" s="1">
        <v>33.5</v>
      </c>
      <c r="I221" s="1">
        <v>5</v>
      </c>
      <c r="J221" s="1">
        <v>5</v>
      </c>
      <c r="K221" s="1" t="s">
        <v>36</v>
      </c>
      <c r="L221" s="1" t="str">
        <f>IF(Lima!$D221="Precast",L193,IF(Lima!$D221="","",IF(Lima!$D221&lt;20000,"Khasab",IF(Lima!$D221&lt;50000, "Lima",IF(Lima!$D221&lt;72000,"Daba")))))</f>
        <v>Lima</v>
      </c>
      <c r="M221" s="1" t="str">
        <f>IF(Lima!$C221="","",TEXT(Lima!$C221,"mmm  yy"))</f>
        <v>Apr  26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3">
      <c r="A222" s="1"/>
      <c r="B222" s="1">
        <f t="shared" si="3"/>
        <v>219</v>
      </c>
      <c r="C222" s="2">
        <v>46125</v>
      </c>
      <c r="D222" s="4">
        <v>49395</v>
      </c>
      <c r="E222" s="1" t="s">
        <v>12</v>
      </c>
      <c r="F222" s="3" t="s">
        <v>165</v>
      </c>
      <c r="G222" s="1" t="s">
        <v>18</v>
      </c>
      <c r="H222" s="1">
        <v>5</v>
      </c>
      <c r="I222" s="1">
        <v>1</v>
      </c>
      <c r="J222" s="1">
        <v>1</v>
      </c>
      <c r="K222" s="1" t="s">
        <v>36</v>
      </c>
      <c r="L222" s="1" t="str">
        <f>IF(Lima!$D222="Precast",L194,IF(Lima!$D222="","",IF(Lima!$D222&lt;20000,"Khasab",IF(Lima!$D222&lt;50000, "Lima",IF(Lima!$D222&lt;72000,"Daba")))))</f>
        <v>Lima</v>
      </c>
      <c r="M222" s="1" t="str">
        <f>IF(Lima!$C222="","",TEXT(Lima!$C222,"mmm  yy"))</f>
        <v>Apr  26</v>
      </c>
      <c r="N222" s="1" t="s">
        <v>166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3">
      <c r="A223" s="1"/>
      <c r="B223" s="1">
        <f t="shared" si="3"/>
        <v>220</v>
      </c>
      <c r="C223" s="2">
        <v>46125</v>
      </c>
      <c r="D223" s="4">
        <v>43020</v>
      </c>
      <c r="E223" s="1" t="s">
        <v>21</v>
      </c>
      <c r="F223" s="3" t="s">
        <v>45</v>
      </c>
      <c r="G223" s="1" t="s">
        <v>17</v>
      </c>
      <c r="H223" s="1">
        <v>28</v>
      </c>
      <c r="I223" s="1">
        <v>4</v>
      </c>
      <c r="J223" s="1">
        <v>4</v>
      </c>
      <c r="K223" s="1" t="s">
        <v>36</v>
      </c>
      <c r="L223" s="1" t="str">
        <f>IF(Lima!$D223="Precast",L195,IF(Lima!$D223="","",IF(Lima!$D223&lt;20000,"Khasab",IF(Lima!$D223&lt;50000, "Lima",IF(Lima!$D223&lt;72000,"Daba")))))</f>
        <v>Lima</v>
      </c>
      <c r="M223" s="1" t="str">
        <f>IF(Lima!$C223="","",TEXT(Lima!$C223,"mmm  yy"))</f>
        <v>Apr  26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3">
      <c r="A224" s="1"/>
      <c r="B224" s="1">
        <f t="shared" si="3"/>
        <v>221</v>
      </c>
      <c r="C224" s="2">
        <v>46125</v>
      </c>
      <c r="D224" s="4">
        <v>27280</v>
      </c>
      <c r="E224" s="1" t="s">
        <v>12</v>
      </c>
      <c r="F224" s="3" t="s">
        <v>29</v>
      </c>
      <c r="G224" s="1" t="s">
        <v>18</v>
      </c>
      <c r="H224" s="1">
        <v>270</v>
      </c>
      <c r="I224" s="1">
        <v>25</v>
      </c>
      <c r="J224" s="1">
        <v>25</v>
      </c>
      <c r="K224" s="1" t="s">
        <v>36</v>
      </c>
      <c r="L224" s="1" t="str">
        <f>IF(Lima!$D224="Precast",L196,IF(Lima!$D224="","",IF(Lima!$D224&lt;20000,"Khasab",IF(Lima!$D224&lt;50000, "Lima",IF(Lima!$D224&lt;72000,"Daba")))))</f>
        <v>Lima</v>
      </c>
      <c r="M224" s="1" t="str">
        <f>IF(Lima!$C224="","",TEXT(Lima!$C224,"mmm  yy"))</f>
        <v>Apr  26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3">
      <c r="A225" s="1"/>
      <c r="B225" s="1">
        <f t="shared" si="3"/>
        <v>222</v>
      </c>
      <c r="C225" s="2">
        <v>46126</v>
      </c>
      <c r="D225" s="4">
        <v>43030</v>
      </c>
      <c r="E225" s="1" t="s">
        <v>21</v>
      </c>
      <c r="F225" s="3" t="s">
        <v>45</v>
      </c>
      <c r="G225" s="1" t="s">
        <v>17</v>
      </c>
      <c r="H225" s="1">
        <v>17.5</v>
      </c>
      <c r="I225" s="1">
        <v>3</v>
      </c>
      <c r="J225" s="1">
        <v>3</v>
      </c>
      <c r="K225" s="1" t="s">
        <v>36</v>
      </c>
      <c r="L225" s="1" t="str">
        <f>IF(Lima!$D225="Precast",L197,IF(Lima!$D225="","",IF(Lima!$D225&lt;20000,"Khasab",IF(Lima!$D225&lt;50000, "Lima",IF(Lima!$D225&lt;72000,"Daba")))))</f>
        <v>Lima</v>
      </c>
      <c r="M225" s="1" t="str">
        <f>IF(Lima!$C225="","",TEXT(Lima!$C225,"mmm  yy"))</f>
        <v>Apr  26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3">
      <c r="A226" s="1"/>
      <c r="B226" s="1">
        <f t="shared" si="3"/>
        <v>223</v>
      </c>
      <c r="C226" s="2">
        <v>46126</v>
      </c>
      <c r="D226" s="4">
        <v>43685</v>
      </c>
      <c r="E226" s="1" t="s">
        <v>21</v>
      </c>
      <c r="F226" s="3" t="s">
        <v>76</v>
      </c>
      <c r="G226" s="1" t="s">
        <v>14</v>
      </c>
      <c r="H226" s="1">
        <v>4</v>
      </c>
      <c r="I226" s="1">
        <v>1</v>
      </c>
      <c r="J226" s="1">
        <v>1</v>
      </c>
      <c r="K226" s="1" t="s">
        <v>36</v>
      </c>
      <c r="L226" s="1" t="str">
        <f>IF(Lima!$D226="Precast",L198,IF(Lima!$D226="","",IF(Lima!$D226&lt;20000,"Khasab",IF(Lima!$D226&lt;50000, "Lima",IF(Lima!$D226&lt;72000,"Daba")))))</f>
        <v>Lima</v>
      </c>
      <c r="M226" s="1" t="str">
        <f>IF(Lima!$C226="","",TEXT(Lima!$C226,"mmm  yy"))</f>
        <v>Apr  26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3">
      <c r="A227" s="1"/>
      <c r="B227" s="1">
        <f t="shared" si="3"/>
        <v>224</v>
      </c>
      <c r="C227" s="2">
        <v>46127</v>
      </c>
      <c r="D227" s="4">
        <v>34277</v>
      </c>
      <c r="E227" s="1" t="s">
        <v>12</v>
      </c>
      <c r="F227" s="3" t="s">
        <v>29</v>
      </c>
      <c r="G227" s="1" t="s">
        <v>18</v>
      </c>
      <c r="H227" s="1">
        <v>19</v>
      </c>
      <c r="I227" s="1">
        <v>3</v>
      </c>
      <c r="J227" s="1">
        <v>3</v>
      </c>
      <c r="K227" s="1" t="s">
        <v>36</v>
      </c>
      <c r="L227" s="1" t="str">
        <f>IF(Lima!$D227="Precast",L199,IF(Lima!$D227="","",IF(Lima!$D227&lt;20000,"Khasab",IF(Lima!$D227&lt;50000, "Lima",IF(Lima!$D227&lt;72000,"Daba")))))</f>
        <v>Lima</v>
      </c>
      <c r="M227" s="1" t="str">
        <f>IF(Lima!$C227="","",TEXT(Lima!$C227,"mmm  yy"))</f>
        <v>Apr  26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3">
      <c r="A228" s="1"/>
      <c r="B228" s="1">
        <f t="shared" si="3"/>
        <v>225</v>
      </c>
      <c r="C228" s="2">
        <v>46127</v>
      </c>
      <c r="D228" s="4">
        <v>43395</v>
      </c>
      <c r="E228" s="1" t="s">
        <v>21</v>
      </c>
      <c r="F228" s="3" t="s">
        <v>45</v>
      </c>
      <c r="G228" s="1" t="s">
        <v>17</v>
      </c>
      <c r="H228" s="1">
        <v>16</v>
      </c>
      <c r="I228" s="1">
        <v>2</v>
      </c>
      <c r="J228" s="1">
        <v>2</v>
      </c>
      <c r="K228" s="1" t="s">
        <v>36</v>
      </c>
      <c r="L228" s="1" t="str">
        <f>IF(Lima!$D228="Precast",L200,IF(Lima!$D228="","",IF(Lima!$D228&lt;20000,"Khasab",IF(Lima!$D228&lt;50000, "Lima",IF(Lima!$D228&lt;72000,"Daba")))))</f>
        <v>Lima</v>
      </c>
      <c r="M228" s="1" t="str">
        <f>IF(Lima!$C228="","",TEXT(Lima!$C228,"mmm  yy"))</f>
        <v>Apr  26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3">
      <c r="A229" s="1"/>
      <c r="B229" s="1">
        <f t="shared" si="3"/>
        <v>226</v>
      </c>
      <c r="C229" s="2">
        <v>46127</v>
      </c>
      <c r="D229" s="4">
        <v>43271</v>
      </c>
      <c r="E229" s="1" t="s">
        <v>21</v>
      </c>
      <c r="F229" s="3" t="s">
        <v>45</v>
      </c>
      <c r="G229" s="1" t="s">
        <v>25</v>
      </c>
      <c r="H229" s="1">
        <v>12</v>
      </c>
      <c r="I229" s="1">
        <v>2</v>
      </c>
      <c r="J229" s="1">
        <v>2</v>
      </c>
      <c r="K229" s="1" t="s">
        <v>36</v>
      </c>
      <c r="L229" s="1" t="str">
        <f>IF(Lima!$D229="Precast",L201,IF(Lima!$D229="","",IF(Lima!$D229&lt;20000,"Khasab",IF(Lima!$D229&lt;50000, "Lima",IF(Lima!$D229&lt;72000,"Daba")))))</f>
        <v>Lima</v>
      </c>
      <c r="M229" s="1" t="str">
        <f>IF(Lima!$C229="","",TEXT(Lima!$C229,"mmm  yy"))</f>
        <v>Apr  26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3">
      <c r="A230" s="1"/>
      <c r="B230" s="1">
        <f t="shared" si="3"/>
        <v>227</v>
      </c>
      <c r="C230" s="2">
        <v>46128</v>
      </c>
      <c r="D230" s="4">
        <v>22876</v>
      </c>
      <c r="E230" s="1" t="s">
        <v>24</v>
      </c>
      <c r="F230" s="3" t="s">
        <v>167</v>
      </c>
      <c r="G230" s="1" t="s">
        <v>17</v>
      </c>
      <c r="H230" s="1">
        <v>7.5</v>
      </c>
      <c r="I230" s="1">
        <v>1</v>
      </c>
      <c r="J230" s="1">
        <v>1</v>
      </c>
      <c r="K230" s="1" t="s">
        <v>36</v>
      </c>
      <c r="L230" s="1" t="str">
        <f>IF(Lima!$D230="Precast",L202,IF(Lima!$D230="","",IF(Lima!$D230&lt;20000,"Khasab",IF(Lima!$D230&lt;50000, "Lima",IF(Lima!$D230&lt;72000,"Daba")))))</f>
        <v>Lima</v>
      </c>
      <c r="M230" s="1" t="str">
        <f>IF(Lima!$C230="","",TEXT(Lima!$C230,"mmm  yy"))</f>
        <v>Apr  26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3">
      <c r="A231" s="1"/>
      <c r="B231" s="1">
        <f t="shared" si="3"/>
        <v>228</v>
      </c>
      <c r="C231" s="2">
        <v>46128</v>
      </c>
      <c r="D231" s="4">
        <v>38242</v>
      </c>
      <c r="E231" s="1" t="s">
        <v>12</v>
      </c>
      <c r="F231" s="3" t="s">
        <v>23</v>
      </c>
      <c r="G231" s="1" t="s">
        <v>18</v>
      </c>
      <c r="H231" s="1">
        <v>42</v>
      </c>
      <c r="I231" s="1">
        <v>5</v>
      </c>
      <c r="J231" s="1">
        <v>5</v>
      </c>
      <c r="K231" s="1" t="s">
        <v>36</v>
      </c>
      <c r="L231" s="1" t="str">
        <f>IF(Lima!$D231="Precast",L203,IF(Lima!$D231="","",IF(Lima!$D231&lt;20000,"Khasab",IF(Lima!$D231&lt;50000, "Lima",IF(Lima!$D231&lt;72000,"Daba")))))</f>
        <v>Lima</v>
      </c>
      <c r="M231" s="1" t="str">
        <f>IF(Lima!$C231="","",TEXT(Lima!$C231,"mmm  yy"))</f>
        <v>Apr  26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3">
      <c r="A232" s="1"/>
      <c r="B232" s="1">
        <f t="shared" si="3"/>
        <v>229</v>
      </c>
      <c r="C232" s="2">
        <v>46128</v>
      </c>
      <c r="D232" s="4">
        <v>39901</v>
      </c>
      <c r="E232" s="1" t="s">
        <v>12</v>
      </c>
      <c r="F232" s="3" t="s">
        <v>165</v>
      </c>
      <c r="G232" s="1" t="s">
        <v>18</v>
      </c>
      <c r="H232" s="1">
        <v>18.5</v>
      </c>
      <c r="I232" s="1">
        <v>3</v>
      </c>
      <c r="J232" s="1">
        <v>3</v>
      </c>
      <c r="K232" s="1" t="s">
        <v>36</v>
      </c>
      <c r="L232" s="1" t="str">
        <f>IF(Lima!$D232="Precast",L204,IF(Lima!$D232="","",IF(Lima!$D232&lt;20000,"Khasab",IF(Lima!$D232&lt;50000, "Lima",IF(Lima!$D232&lt;72000,"Daba")))))</f>
        <v>Lima</v>
      </c>
      <c r="M232" s="1" t="str">
        <f>IF(Lima!$C232="","",TEXT(Lima!$C232,"mmm  yy"))</f>
        <v>Apr  26</v>
      </c>
      <c r="N232" s="1" t="s">
        <v>168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3">
      <c r="A233" s="1"/>
      <c r="B233" s="1">
        <f t="shared" si="3"/>
        <v>230</v>
      </c>
      <c r="C233" s="2">
        <v>46128</v>
      </c>
      <c r="D233" s="4">
        <v>46130</v>
      </c>
      <c r="E233" s="1" t="s">
        <v>169</v>
      </c>
      <c r="F233" s="3" t="s">
        <v>170</v>
      </c>
      <c r="G233" s="1" t="s">
        <v>17</v>
      </c>
      <c r="H233" s="1">
        <v>6</v>
      </c>
      <c r="I233" s="1">
        <v>1</v>
      </c>
      <c r="J233" s="1">
        <v>1</v>
      </c>
      <c r="K233" s="1" t="s">
        <v>36</v>
      </c>
      <c r="L233" s="1" t="str">
        <f>IF(Lima!$D233="Precast",L205,IF(Lima!$D233="","",IF(Lima!$D233&lt;20000,"Khasab",IF(Lima!$D233&lt;50000, "Lima",IF(Lima!$D233&lt;72000,"Daba")))))</f>
        <v>Lima</v>
      </c>
      <c r="M233" s="1" t="str">
        <f>IF(Lima!$C233="","",TEXT(Lima!$C233,"mmm  yy"))</f>
        <v>Apr  26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3">
      <c r="A234" s="1"/>
      <c r="B234" s="1">
        <f t="shared" si="3"/>
        <v>231</v>
      </c>
      <c r="C234" s="2">
        <v>46128</v>
      </c>
      <c r="D234" s="4">
        <v>43375</v>
      </c>
      <c r="E234" s="1" t="s">
        <v>21</v>
      </c>
      <c r="F234" s="3" t="s">
        <v>45</v>
      </c>
      <c r="G234" s="1" t="s">
        <v>17</v>
      </c>
      <c r="H234" s="1">
        <v>15</v>
      </c>
      <c r="I234" s="1">
        <v>3</v>
      </c>
      <c r="J234" s="1">
        <v>3</v>
      </c>
      <c r="K234" s="1" t="s">
        <v>36</v>
      </c>
      <c r="L234" s="1" t="str">
        <f>IF(Lima!$D234="Precast",L206,IF(Lima!$D234="","",IF(Lima!$D234&lt;20000,"Khasab",IF(Lima!$D234&lt;50000, "Lima",IF(Lima!$D234&lt;72000,"Daba")))))</f>
        <v>Lima</v>
      </c>
      <c r="M234" s="1" t="str">
        <f>IF(Lima!$C234="","",TEXT(Lima!$C234,"mmm  yy"))</f>
        <v>Apr  26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3">
      <c r="A235" s="1"/>
      <c r="B235" s="1">
        <f t="shared" si="3"/>
        <v>232</v>
      </c>
      <c r="C235" s="2">
        <v>46128</v>
      </c>
      <c r="D235" s="4">
        <v>37177</v>
      </c>
      <c r="E235" s="1" t="s">
        <v>12</v>
      </c>
      <c r="F235" s="3" t="s">
        <v>76</v>
      </c>
      <c r="G235" s="1" t="s">
        <v>14</v>
      </c>
      <c r="H235" s="1">
        <v>6.5</v>
      </c>
      <c r="I235" s="1">
        <v>1</v>
      </c>
      <c r="J235" s="1">
        <v>1</v>
      </c>
      <c r="K235" s="1" t="s">
        <v>36</v>
      </c>
      <c r="L235" s="1" t="str">
        <f>IF(Lima!$D235="Precast",L207,IF(Lima!$D235="","",IF(Lima!$D235&lt;20000,"Khasab",IF(Lima!$D235&lt;50000, "Lima",IF(Lima!$D235&lt;72000,"Daba")))))</f>
        <v>Lima</v>
      </c>
      <c r="M235" s="1" t="str">
        <f>IF(Lima!$C235="","",TEXT(Lima!$C235,"mmm  yy"))</f>
        <v>Apr  26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3">
      <c r="A236" s="1"/>
      <c r="B236" s="1">
        <f t="shared" si="3"/>
        <v>233</v>
      </c>
      <c r="C236" s="2">
        <v>46130</v>
      </c>
      <c r="D236" s="4">
        <v>43385</v>
      </c>
      <c r="E236" s="1" t="s">
        <v>21</v>
      </c>
      <c r="F236" s="3" t="s">
        <v>45</v>
      </c>
      <c r="G236" s="1" t="s">
        <v>17</v>
      </c>
      <c r="H236" s="1">
        <v>9.5</v>
      </c>
      <c r="I236" s="1">
        <v>2</v>
      </c>
      <c r="J236" s="1">
        <v>2</v>
      </c>
      <c r="K236" s="1" t="s">
        <v>36</v>
      </c>
      <c r="L236" s="1" t="str">
        <f>IF(Lima!$D236="Precast",L208,IF(Lima!$D236="","",IF(Lima!$D236&lt;20000,"Khasab",IF(Lima!$D236&lt;50000, "Lima",IF(Lima!$D236&lt;72000,"Daba")))))</f>
        <v>Lima</v>
      </c>
      <c r="M236" s="1" t="str">
        <f>IF(Lima!$C236="","",TEXT(Lima!$C236,"mmm  yy"))</f>
        <v>Apr  26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3">
      <c r="A237" s="1"/>
      <c r="B237" s="1">
        <f t="shared" si="3"/>
        <v>234</v>
      </c>
      <c r="C237" s="2">
        <v>46130</v>
      </c>
      <c r="D237" s="4">
        <v>46150</v>
      </c>
      <c r="E237" s="1" t="s">
        <v>169</v>
      </c>
      <c r="F237" s="3" t="s">
        <v>170</v>
      </c>
      <c r="G237" s="1" t="s">
        <v>17</v>
      </c>
      <c r="H237" s="1">
        <v>12.5</v>
      </c>
      <c r="I237" s="1">
        <v>2</v>
      </c>
      <c r="J237" s="1">
        <v>2</v>
      </c>
      <c r="K237" s="1" t="s">
        <v>36</v>
      </c>
      <c r="L237" s="1" t="str">
        <f>IF(Lima!$D237="Precast",L209,IF(Lima!$D237="","",IF(Lima!$D237&lt;20000,"Khasab",IF(Lima!$D237&lt;50000, "Lima",IF(Lima!$D237&lt;72000,"Daba")))))</f>
        <v>Lima</v>
      </c>
      <c r="M237" s="1" t="str">
        <f>IF(Lima!$C237="","",TEXT(Lima!$C237,"mmm  yy"))</f>
        <v>Apr  26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3">
      <c r="A238" s="1"/>
      <c r="B238" s="1">
        <f t="shared" si="3"/>
        <v>235</v>
      </c>
      <c r="C238" s="2">
        <v>46131</v>
      </c>
      <c r="D238" s="4">
        <v>43705</v>
      </c>
      <c r="E238" s="1" t="s">
        <v>21</v>
      </c>
      <c r="F238" s="3" t="s">
        <v>45</v>
      </c>
      <c r="G238" s="1" t="s">
        <v>17</v>
      </c>
      <c r="H238" s="1">
        <v>6</v>
      </c>
      <c r="I238" s="1">
        <v>1</v>
      </c>
      <c r="J238" s="1">
        <v>1</v>
      </c>
      <c r="K238" s="1" t="s">
        <v>36</v>
      </c>
      <c r="L238" s="1" t="str">
        <f>IF(Lima!$D238="Precast",L210,IF(Lima!$D238="","",IF(Lima!$D238&lt;20000,"Khasab",IF(Lima!$D238&lt;50000, "Lima",IF(Lima!$D238&lt;72000,"Daba")))))</f>
        <v>Lima</v>
      </c>
      <c r="M238" s="1" t="str">
        <f>IF(Lima!$C238="","",TEXT(Lima!$C238,"mmm  yy"))</f>
        <v>Apr  26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3">
      <c r="A239" s="1"/>
      <c r="B239" s="1">
        <f t="shared" si="3"/>
        <v>236</v>
      </c>
      <c r="C239" s="2">
        <v>46131</v>
      </c>
      <c r="D239" s="4">
        <v>46120</v>
      </c>
      <c r="E239" s="1" t="s">
        <v>169</v>
      </c>
      <c r="F239" s="3" t="s">
        <v>170</v>
      </c>
      <c r="G239" s="1" t="s">
        <v>17</v>
      </c>
      <c r="H239" s="1">
        <v>19</v>
      </c>
      <c r="I239" s="1">
        <v>3</v>
      </c>
      <c r="J239" s="1">
        <v>3</v>
      </c>
      <c r="K239" s="1" t="s">
        <v>36</v>
      </c>
      <c r="L239" s="1" t="str">
        <f>IF(Lima!$D239="Precast",L211,IF(Lima!$D239="","",IF(Lima!$D239&lt;20000,"Khasab",IF(Lima!$D239&lt;50000, "Lima",IF(Lima!$D239&lt;72000,"Daba")))))</f>
        <v>Lima</v>
      </c>
      <c r="M239" s="1" t="str">
        <f>IF(Lima!$C239="","",TEXT(Lima!$C239,"mmm  yy"))</f>
        <v>Apr  26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3">
      <c r="A240" s="1"/>
      <c r="B240" s="1">
        <f t="shared" si="3"/>
        <v>237</v>
      </c>
      <c r="C240" s="2">
        <v>46132</v>
      </c>
      <c r="D240" s="4">
        <v>46115</v>
      </c>
      <c r="E240" s="1" t="s">
        <v>169</v>
      </c>
      <c r="F240" s="3" t="s">
        <v>170</v>
      </c>
      <c r="G240" s="1" t="s">
        <v>17</v>
      </c>
      <c r="H240" s="1">
        <v>18.5</v>
      </c>
      <c r="I240" s="1">
        <v>3</v>
      </c>
      <c r="J240" s="1">
        <v>3</v>
      </c>
      <c r="K240" s="1" t="s">
        <v>36</v>
      </c>
      <c r="L240" s="1" t="str">
        <f>IF(Lima!$D240="Precast",L212,IF(Lima!$D240="","",IF(Lima!$D240&lt;20000,"Khasab",IF(Lima!$D240&lt;50000, "Lima",IF(Lima!$D240&lt;72000,"Daba")))))</f>
        <v>Lima</v>
      </c>
      <c r="M240" s="1" t="str">
        <f>IF(Lima!$C240="","",TEXT(Lima!$C240,"mmm  yy"))</f>
        <v>Apr  26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3">
      <c r="A241" s="1"/>
      <c r="B241" s="1">
        <f t="shared" si="3"/>
        <v>238</v>
      </c>
      <c r="C241" s="2">
        <v>46132</v>
      </c>
      <c r="D241" s="4">
        <v>22412</v>
      </c>
      <c r="E241" s="1" t="s">
        <v>24</v>
      </c>
      <c r="F241" s="3" t="s">
        <v>167</v>
      </c>
      <c r="G241" s="1" t="s">
        <v>17</v>
      </c>
      <c r="H241" s="1">
        <v>8</v>
      </c>
      <c r="I241" s="1">
        <v>1</v>
      </c>
      <c r="J241" s="1">
        <v>1</v>
      </c>
      <c r="K241" s="1" t="s">
        <v>36</v>
      </c>
      <c r="L241" s="1" t="str">
        <f>IF(Lima!$D241="Precast",L213,IF(Lima!$D241="","",IF(Lima!$D241&lt;20000,"Khasab",IF(Lima!$D241&lt;50000, "Lima",IF(Lima!$D241&lt;72000,"Daba")))))</f>
        <v>Lima</v>
      </c>
      <c r="M241" s="1" t="str">
        <f>IF(Lima!$C241="","",TEXT(Lima!$C241,"mmm  yy"))</f>
        <v>Apr  26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3">
      <c r="A242" s="1"/>
      <c r="B242" s="1">
        <f t="shared" si="3"/>
        <v>239</v>
      </c>
      <c r="C242" s="2">
        <v>46133</v>
      </c>
      <c r="D242" s="4">
        <v>34277</v>
      </c>
      <c r="E242" s="1" t="s">
        <v>12</v>
      </c>
      <c r="F242" s="3" t="s">
        <v>171</v>
      </c>
      <c r="G242" s="1" t="s">
        <v>18</v>
      </c>
      <c r="H242" s="1">
        <v>26</v>
      </c>
      <c r="I242" s="1">
        <v>3</v>
      </c>
      <c r="J242" s="1">
        <v>3</v>
      </c>
      <c r="K242" s="1" t="s">
        <v>36</v>
      </c>
      <c r="L242" s="1" t="str">
        <f>IF(Lima!$D242="Precast",L214,IF(Lima!$D242="","",IF(Lima!$D242&lt;20000,"Khasab",IF(Lima!$D242&lt;50000, "Lima",IF(Lima!$D242&lt;72000,"Daba")))))</f>
        <v>Lima</v>
      </c>
      <c r="M242" s="1" t="str">
        <f>IF(Lima!$C242="","",TEXT(Lima!$C242,"mmm  yy"))</f>
        <v>Apr  26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3">
      <c r="A243" s="1"/>
      <c r="B243" s="1">
        <f t="shared" si="3"/>
        <v>240</v>
      </c>
      <c r="C243" s="2">
        <v>46133</v>
      </c>
      <c r="D243" s="4">
        <v>46180</v>
      </c>
      <c r="E243" s="1" t="s">
        <v>169</v>
      </c>
      <c r="F243" s="3" t="s">
        <v>170</v>
      </c>
      <c r="G243" s="1" t="s">
        <v>17</v>
      </c>
      <c r="H243" s="1">
        <v>18</v>
      </c>
      <c r="I243" s="1">
        <v>3</v>
      </c>
      <c r="J243" s="1">
        <v>3</v>
      </c>
      <c r="K243" s="1" t="s">
        <v>36</v>
      </c>
      <c r="L243" s="1" t="str">
        <f>IF(Lima!$D243="Precast",L215,IF(Lima!$D243="","",IF(Lima!$D243&lt;20000,"Khasab",IF(Lima!$D243&lt;50000, "Lima",IF(Lima!$D243&lt;72000,"Daba")))))</f>
        <v>Lima</v>
      </c>
      <c r="M243" s="1" t="str">
        <f>IF(Lima!$C243="","",TEXT(Lima!$C243,"mmm  yy"))</f>
        <v>Apr  26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3">
      <c r="A244" s="1"/>
      <c r="B244" s="1">
        <f t="shared" si="3"/>
        <v>241</v>
      </c>
      <c r="C244" s="2">
        <v>46133</v>
      </c>
      <c r="D244" s="4">
        <v>25435</v>
      </c>
      <c r="E244" s="1" t="s">
        <v>12</v>
      </c>
      <c r="F244" s="3" t="s">
        <v>76</v>
      </c>
      <c r="G244" s="1" t="s">
        <v>14</v>
      </c>
      <c r="H244" s="1">
        <v>26</v>
      </c>
      <c r="I244" s="1">
        <v>3</v>
      </c>
      <c r="J244" s="1">
        <v>3</v>
      </c>
      <c r="K244" s="1" t="s">
        <v>36</v>
      </c>
      <c r="L244" s="1" t="str">
        <f>IF(Lima!$D244="Precast",L216,IF(Lima!$D244="","",IF(Lima!$D244&lt;20000,"Khasab",IF(Lima!$D244&lt;50000, "Lima",IF(Lima!$D244&lt;72000,"Daba")))))</f>
        <v>Lima</v>
      </c>
      <c r="M244" s="1" t="str">
        <f>IF(Lima!$C244="","",TEXT(Lima!$C244,"mmm  yy"))</f>
        <v>Apr  26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3">
      <c r="A245" s="1"/>
      <c r="B245" s="1">
        <f t="shared" si="3"/>
        <v>242</v>
      </c>
      <c r="C245" s="2">
        <v>46134</v>
      </c>
      <c r="D245" s="4">
        <v>46190</v>
      </c>
      <c r="E245" s="1" t="s">
        <v>169</v>
      </c>
      <c r="F245" s="3" t="s">
        <v>170</v>
      </c>
      <c r="G245" s="1" t="s">
        <v>17</v>
      </c>
      <c r="H245" s="1">
        <v>18</v>
      </c>
      <c r="I245" s="1">
        <v>3</v>
      </c>
      <c r="J245" s="1">
        <v>3</v>
      </c>
      <c r="K245" s="1" t="s">
        <v>36</v>
      </c>
      <c r="L245" s="1" t="str">
        <f>IF(Lima!$D245="Precast",L217,IF(Lima!$D245="","",IF(Lima!$D245&lt;20000,"Khasab",IF(Lima!$D245&lt;50000, "Lima",IF(Lima!$D245&lt;72000,"Daba")))))</f>
        <v>Lima</v>
      </c>
      <c r="M245" s="1" t="str">
        <f>IF(Lima!$C245="","",TEXT(Lima!$C245,"mmm  yy"))</f>
        <v>Apr  26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3">
      <c r="A246" s="1"/>
      <c r="B246" s="1">
        <f t="shared" si="3"/>
        <v>243</v>
      </c>
      <c r="C246" s="2">
        <v>46134</v>
      </c>
      <c r="D246" s="4">
        <v>37177</v>
      </c>
      <c r="E246" s="1" t="s">
        <v>12</v>
      </c>
      <c r="F246" s="3" t="s">
        <v>37</v>
      </c>
      <c r="G246" s="1" t="s">
        <v>18</v>
      </c>
      <c r="H246" s="1">
        <v>19</v>
      </c>
      <c r="I246" s="1">
        <v>3</v>
      </c>
      <c r="J246" s="1">
        <v>3</v>
      </c>
      <c r="K246" s="1" t="s">
        <v>36</v>
      </c>
      <c r="L246" s="1" t="str">
        <f>IF(Lima!$D246="Precast",L218,IF(Lima!$D246="","",IF(Lima!$D246&lt;20000,"Khasab",IF(Lima!$D246&lt;50000, "Lima",IF(Lima!$D246&lt;72000,"Daba")))))</f>
        <v>Lima</v>
      </c>
      <c r="M246" s="1" t="str">
        <f>IF(Lima!$C246="","",TEXT(Lima!$C246,"mmm  yy"))</f>
        <v>Apr  26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3">
      <c r="A247" s="1"/>
      <c r="B247" s="1">
        <f t="shared" si="3"/>
        <v>244</v>
      </c>
      <c r="C247" s="2">
        <v>46135</v>
      </c>
      <c r="D247" s="4">
        <v>46240</v>
      </c>
      <c r="E247" s="1" t="s">
        <v>169</v>
      </c>
      <c r="F247" s="3" t="s">
        <v>170</v>
      </c>
      <c r="G247" s="1" t="s">
        <v>17</v>
      </c>
      <c r="H247" s="1">
        <v>22</v>
      </c>
      <c r="I247" s="1">
        <v>3</v>
      </c>
      <c r="J247" s="1">
        <v>3</v>
      </c>
      <c r="K247" s="1" t="s">
        <v>36</v>
      </c>
      <c r="L247" s="1" t="str">
        <f>IF(Lima!$D247="Precast",L219,IF(Lima!$D247="","",IF(Lima!$D247&lt;20000,"Khasab",IF(Lima!$D247&lt;50000, "Lima",IF(Lima!$D247&lt;72000,"Daba")))))</f>
        <v>Lima</v>
      </c>
      <c r="M247" s="1" t="str">
        <f>IF(Lima!$C247="","",TEXT(Lima!$C247,"mmm  yy"))</f>
        <v>Apr  26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3">
      <c r="A248" s="1"/>
      <c r="B248" s="1">
        <f t="shared" si="3"/>
        <v>245</v>
      </c>
      <c r="C248" s="2">
        <v>46137</v>
      </c>
      <c r="D248" s="4">
        <v>46260</v>
      </c>
      <c r="E248" s="1" t="s">
        <v>169</v>
      </c>
      <c r="F248" s="3" t="s">
        <v>170</v>
      </c>
      <c r="G248" s="1" t="s">
        <v>17</v>
      </c>
      <c r="H248" s="1">
        <v>26.5</v>
      </c>
      <c r="I248" s="1">
        <v>3</v>
      </c>
      <c r="J248" s="1">
        <v>3</v>
      </c>
      <c r="K248" s="1" t="s">
        <v>36</v>
      </c>
      <c r="L248" s="1" t="str">
        <f>IF(Lima!$D248="Precast",L220,IF(Lima!$D248="","",IF(Lima!$D248&lt;20000,"Khasab",IF(Lima!$D248&lt;50000, "Lima",IF(Lima!$D248&lt;72000,"Daba")))))</f>
        <v>Lima</v>
      </c>
      <c r="M248" s="1" t="str">
        <f>IF(Lima!$C248="","",TEXT(Lima!$C248,"mmm  yy"))</f>
        <v>Apr  26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3">
      <c r="A249" s="1"/>
      <c r="B249" s="1">
        <f t="shared" si="3"/>
        <v>246</v>
      </c>
      <c r="C249" s="2">
        <v>46138</v>
      </c>
      <c r="D249" s="4">
        <v>45690</v>
      </c>
      <c r="E249" s="1" t="s">
        <v>169</v>
      </c>
      <c r="F249" s="3" t="s">
        <v>170</v>
      </c>
      <c r="G249" s="1" t="s">
        <v>17</v>
      </c>
      <c r="H249" s="1">
        <v>28</v>
      </c>
      <c r="I249" s="1">
        <v>5</v>
      </c>
      <c r="J249" s="1">
        <v>5</v>
      </c>
      <c r="K249" s="1" t="s">
        <v>36</v>
      </c>
      <c r="L249" s="1" t="str">
        <f>IF(Lima!$D249="Precast",L221,IF(Lima!$D249="","",IF(Lima!$D249&lt;20000,"Khasab",IF(Lima!$D249&lt;50000, "Lima",IF(Lima!$D249&lt;72000,"Daba")))))</f>
        <v>Lima</v>
      </c>
      <c r="M249" s="1" t="str">
        <f>IF(Lima!$C249="","",TEXT(Lima!$C249,"mmm  yy"))</f>
        <v>Apr  26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3">
      <c r="A250" s="1"/>
      <c r="B250" s="1">
        <f t="shared" si="3"/>
        <v>247</v>
      </c>
      <c r="C250" s="2">
        <v>46138</v>
      </c>
      <c r="D250" s="4">
        <v>37177</v>
      </c>
      <c r="E250" s="1" t="s">
        <v>12</v>
      </c>
      <c r="F250" s="3" t="s">
        <v>171</v>
      </c>
      <c r="G250" s="1" t="s">
        <v>18</v>
      </c>
      <c r="H250" s="1">
        <v>24</v>
      </c>
      <c r="I250" s="1">
        <v>3</v>
      </c>
      <c r="J250" s="1">
        <v>3</v>
      </c>
      <c r="K250" s="1" t="s">
        <v>36</v>
      </c>
      <c r="L250" s="1" t="str">
        <f>IF(Lima!$D250="Precast",L222,IF(Lima!$D250="","",IF(Lima!$D250&lt;20000,"Khasab",IF(Lima!$D250&lt;50000, "Lima",IF(Lima!$D250&lt;72000,"Daba")))))</f>
        <v>Lima</v>
      </c>
      <c r="M250" s="1" t="str">
        <f>IF(Lima!$C250="","",TEXT(Lima!$C250,"mmm  yy"))</f>
        <v>Apr  26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3">
      <c r="A251" s="1"/>
      <c r="B251" s="1">
        <f t="shared" si="3"/>
        <v>248</v>
      </c>
      <c r="C251" s="2">
        <v>46139</v>
      </c>
      <c r="D251" s="4">
        <v>45730</v>
      </c>
      <c r="E251" s="1" t="s">
        <v>169</v>
      </c>
      <c r="F251" s="3" t="s">
        <v>170</v>
      </c>
      <c r="G251" s="1" t="s">
        <v>17</v>
      </c>
      <c r="H251" s="1">
        <v>25</v>
      </c>
      <c r="I251" s="1"/>
      <c r="J251" s="1"/>
      <c r="K251" s="1" t="s">
        <v>36</v>
      </c>
      <c r="L251" s="1" t="str">
        <f>IF(Lima!$D251="Precast",L223,IF(Lima!$D251="","",IF(Lima!$D251&lt;20000,"Khasab",IF(Lima!$D251&lt;50000, "Lima",IF(Lima!$D251&lt;72000,"Daba")))))</f>
        <v>Lima</v>
      </c>
      <c r="M251" s="1" t="str">
        <f>IF(Lima!$C251="","",TEXT(Lima!$C251,"mmm  yy"))</f>
        <v>Apr  26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3">
      <c r="A252" s="1"/>
      <c r="B252" s="1">
        <f t="shared" si="3"/>
        <v>249</v>
      </c>
      <c r="C252" s="2">
        <v>46140</v>
      </c>
      <c r="D252" s="4">
        <v>45700</v>
      </c>
      <c r="E252" s="1" t="s">
        <v>169</v>
      </c>
      <c r="F252" s="3" t="s">
        <v>170</v>
      </c>
      <c r="G252" s="1" t="s">
        <v>17</v>
      </c>
      <c r="H252" s="1">
        <v>25.5</v>
      </c>
      <c r="I252" s="1"/>
      <c r="J252" s="1"/>
      <c r="K252" s="1" t="s">
        <v>36</v>
      </c>
      <c r="L252" s="1" t="str">
        <f>IF(Lima!$D252="Precast",L224,IF(Lima!$D252="","",IF(Lima!$D252&lt;20000,"Khasab",IF(Lima!$D252&lt;50000, "Lima",IF(Lima!$D252&lt;72000,"Daba")))))</f>
        <v>Lima</v>
      </c>
      <c r="M252" s="1" t="str">
        <f>IF(Lima!$C252="","",TEXT(Lima!$C252,"mmm  yy"))</f>
        <v>Apr  26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3">
      <c r="A253" s="1"/>
      <c r="B253" s="1">
        <f t="shared" si="3"/>
        <v>250</v>
      </c>
      <c r="C253" s="2">
        <v>46140</v>
      </c>
      <c r="D253" s="4">
        <v>34277</v>
      </c>
      <c r="E253" s="1" t="s">
        <v>12</v>
      </c>
      <c r="F253" s="3" t="s">
        <v>172</v>
      </c>
      <c r="G253" s="1" t="s">
        <v>18</v>
      </c>
      <c r="H253" s="1">
        <v>7</v>
      </c>
      <c r="I253" s="1"/>
      <c r="J253" s="1"/>
      <c r="K253" s="1" t="s">
        <v>36</v>
      </c>
      <c r="L253" s="1" t="str">
        <f>IF(Lima!$D253="Precast",L225,IF(Lima!$D253="","",IF(Lima!$D253&lt;20000,"Khasab",IF(Lima!$D253&lt;50000, "Lima",IF(Lima!$D253&lt;72000,"Daba")))))</f>
        <v>Lima</v>
      </c>
      <c r="M253" s="1" t="str">
        <f>IF(Lima!$C253="","",TEXT(Lima!$C253,"mmm  yy"))</f>
        <v>Apr  26</v>
      </c>
      <c r="N253" s="1" t="s">
        <v>173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3">
      <c r="A254" s="1"/>
      <c r="B254" s="1">
        <f t="shared" si="3"/>
        <v>251</v>
      </c>
      <c r="C254" s="2">
        <v>46140</v>
      </c>
      <c r="D254" s="4">
        <v>33880</v>
      </c>
      <c r="E254" s="1" t="s">
        <v>12</v>
      </c>
      <c r="F254" s="3" t="s">
        <v>33</v>
      </c>
      <c r="G254" s="1" t="s">
        <v>18</v>
      </c>
      <c r="H254" s="1">
        <v>8</v>
      </c>
      <c r="I254" s="1"/>
      <c r="J254" s="1"/>
      <c r="K254" s="1" t="s">
        <v>36</v>
      </c>
      <c r="L254" s="1" t="str">
        <f>IF(Lima!$D254="Precast",L226,IF(Lima!$D254="","",IF(Lima!$D254&lt;20000,"Khasab",IF(Lima!$D254&lt;50000, "Lima",IF(Lima!$D254&lt;72000,"Daba")))))</f>
        <v>Lima</v>
      </c>
      <c r="M254" s="1" t="str">
        <f>IF(Lima!$C254="","",TEXT(Lima!$C254,"mmm  yy"))</f>
        <v>Apr  26</v>
      </c>
      <c r="N254" s="1" t="s">
        <v>174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3">
      <c r="A255" s="1"/>
      <c r="B255" s="1">
        <f t="shared" si="3"/>
        <v>252</v>
      </c>
      <c r="C255" s="2">
        <v>46141</v>
      </c>
      <c r="D255" s="4">
        <v>45760</v>
      </c>
      <c r="E255" s="1" t="s">
        <v>169</v>
      </c>
      <c r="F255" s="3" t="s">
        <v>170</v>
      </c>
      <c r="G255" s="1" t="s">
        <v>17</v>
      </c>
      <c r="H255" s="1"/>
      <c r="I255" s="1"/>
      <c r="J255" s="1"/>
      <c r="K255" s="1" t="s">
        <v>36</v>
      </c>
      <c r="L255" s="1" t="str">
        <f>IF(Lima!$D255="Precast",L227,IF(Lima!$D255="","",IF(Lima!$D255&lt;20000,"Khasab",IF(Lima!$D255&lt;50000, "Lima",IF(Lima!$D255&lt;72000,"Daba")))))</f>
        <v>Lima</v>
      </c>
      <c r="M255" s="1" t="str">
        <f>IF(Lima!$C255="","",TEXT(Lima!$C255,"mmm  yy"))</f>
        <v>Apr  26</v>
      </c>
      <c r="N255" s="1" t="s">
        <v>175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3">
      <c r="A256" s="1"/>
      <c r="B256" s="1">
        <f t="shared" si="3"/>
        <v>253</v>
      </c>
      <c r="C256" s="2">
        <v>46141</v>
      </c>
      <c r="D256" s="4">
        <v>38242</v>
      </c>
      <c r="E256" s="1" t="s">
        <v>12</v>
      </c>
      <c r="F256" s="3" t="s">
        <v>76</v>
      </c>
      <c r="G256" s="1" t="s">
        <v>14</v>
      </c>
      <c r="H256" s="1"/>
      <c r="I256" s="1"/>
      <c r="J256" s="1"/>
      <c r="K256" s="1" t="s">
        <v>36</v>
      </c>
      <c r="L256" s="1" t="str">
        <f>IF(Lima!$D256="Precast",L228,IF(Lima!$D256="","",IF(Lima!$D256&lt;20000,"Khasab",IF(Lima!$D256&lt;50000, "Lima",IF(Lima!$D256&lt;72000,"Daba")))))</f>
        <v>Lima</v>
      </c>
      <c r="M256" s="1" t="str">
        <f>IF(Lima!$C256="","",TEXT(Lima!$C256,"mmm  yy"))</f>
        <v>Apr  26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3">
      <c r="A257" s="1"/>
      <c r="B257" s="1">
        <f t="shared" si="3"/>
        <v>254</v>
      </c>
      <c r="C257" s="2"/>
      <c r="D257" s="4"/>
      <c r="E257" s="1"/>
      <c r="F257" s="3"/>
      <c r="G257" s="1"/>
      <c r="H257" s="1"/>
      <c r="I257" s="1"/>
      <c r="J257" s="1"/>
      <c r="K257" s="1"/>
      <c r="L257" s="1" t="str">
        <f>IF(Lima!$D257="Precast",L229,IF(Lima!$D257="","",IF(Lima!$D257&lt;20000,"Khasab",IF(Lima!$D257&lt;50000, "Lima",IF(Lima!$D257&lt;72000,"Daba")))))</f>
        <v/>
      </c>
      <c r="M257" s="1" t="str">
        <f>IF(Lima!$C257="","",TEXT(Lima!$C257,"mmm  yy"))</f>
        <v/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3">
      <c r="A258" s="1"/>
      <c r="B258" s="1"/>
      <c r="C258" s="2"/>
      <c r="D258" s="4"/>
      <c r="E258" s="1"/>
      <c r="F258" s="3"/>
      <c r="G258" s="1"/>
      <c r="H258" s="1"/>
      <c r="I258" s="1"/>
      <c r="J258" s="1"/>
      <c r="K258" s="1"/>
      <c r="L258" s="1" t="str">
        <f>IF(Lima!$D258="Precast",L230,IF(Lima!$D258="","",IF(Lima!$D258&lt;20000,"Khasab",IF(Lima!$D258&lt;50000, "Lima",IF(Lima!$D258&lt;72000,"Daba")))))</f>
        <v/>
      </c>
      <c r="M258" s="1" t="str">
        <f>IF(Lima!$C258="","",TEXT(Lima!$C258,"mmm  yy"))</f>
        <v/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3">
      <c r="A259" s="1"/>
      <c r="B259" s="1"/>
      <c r="C259" s="2"/>
      <c r="D259" s="4"/>
      <c r="E259" s="1"/>
      <c r="F259" s="3"/>
      <c r="G259" s="1"/>
      <c r="H259" s="1"/>
      <c r="I259" s="1"/>
      <c r="J259" s="1"/>
      <c r="K259" s="1"/>
      <c r="L259" s="1" t="str">
        <f>IF(Lima!$D259="Precast",L231,IF(Lima!$D259="","",IF(Lima!$D259&lt;20000,"Khasab",IF(Lima!$D259&lt;50000, "Lima",IF(Lima!$D259&lt;72000,"Daba")))))</f>
        <v/>
      </c>
      <c r="M259" s="1" t="str">
        <f>IF(Lima!$C259="","",TEXT(Lima!$C259,"mmm  yy"))</f>
        <v/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3">
      <c r="A260" s="1"/>
      <c r="B260" s="1"/>
      <c r="C260" s="2"/>
      <c r="D260" s="4"/>
      <c r="E260" s="1"/>
      <c r="F260" s="3"/>
      <c r="G260" s="1"/>
      <c r="H260" s="1"/>
      <c r="I260" s="1"/>
      <c r="J260" s="1"/>
      <c r="K260" s="1"/>
      <c r="L260" s="1" t="str">
        <f>IF(Lima!$D260="Precast",L232,IF(Lima!$D260="","",IF(Lima!$D260&lt;20000,"Khasab",IF(Lima!$D260&lt;50000, "Lima",IF(Lima!$D260&lt;72000,"Daba")))))</f>
        <v/>
      </c>
      <c r="M260" s="1" t="str">
        <f>IF(Lima!$C260="","",TEXT(Lima!$C260,"mmm  yy"))</f>
        <v/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3">
      <c r="A261" s="1"/>
      <c r="B261" s="1"/>
      <c r="C261" s="2"/>
      <c r="D261" s="4"/>
      <c r="E261" s="1"/>
      <c r="F261" s="3"/>
      <c r="G261" s="1"/>
      <c r="H261" s="1"/>
      <c r="I261" s="1"/>
      <c r="J261" s="1"/>
      <c r="K261" s="1"/>
      <c r="L261" s="1" t="str">
        <f>IF(Lima!$D261="Precast",L233,IF(Lima!$D261="","",IF(Lima!$D261&lt;20000,"Khasab",IF(Lima!$D261&lt;50000, "Lima",IF(Lima!$D261&lt;72000,"Daba")))))</f>
        <v/>
      </c>
      <c r="M261" s="1" t="str">
        <f>IF(Lima!$C261="","",TEXT(Lima!$C261,"mmm  yy"))</f>
        <v/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3">
      <c r="A262" s="1"/>
      <c r="B262" s="1"/>
      <c r="C262" s="2"/>
      <c r="D262" s="4"/>
      <c r="E262" s="1"/>
      <c r="F262" s="3"/>
      <c r="G262" s="1"/>
      <c r="H262" s="1"/>
      <c r="I262" s="1"/>
      <c r="J262" s="1"/>
      <c r="K262" s="1"/>
      <c r="L262" s="1" t="str">
        <f>IF(Lima!$D262="Precast",L234,IF(Lima!$D262="","",IF(Lima!$D262&lt;20000,"Khasab",IF(Lima!$D262&lt;50000, "Lima",IF(Lima!$D262&lt;72000,"Daba")))))</f>
        <v/>
      </c>
      <c r="M262" s="1" t="str">
        <f>IF(Lima!$C262="","",TEXT(Lima!$C262,"mmm  yy"))</f>
        <v/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3">
      <c r="A263" s="1"/>
      <c r="B263" s="1"/>
      <c r="C263" s="2"/>
      <c r="D263" s="4"/>
      <c r="E263" s="1"/>
      <c r="F263" s="3"/>
      <c r="G263" s="1"/>
      <c r="H263" s="1"/>
      <c r="I263" s="1"/>
      <c r="J263" s="1"/>
      <c r="K263" s="1"/>
      <c r="L263" s="1" t="str">
        <f>IF(Lima!$D263="Precast",L235,IF(Lima!$D263="","",IF(Lima!$D263&lt;20000,"Khasab",IF(Lima!$D263&lt;50000, "Lima",IF(Lima!$D263&lt;72000,"Daba")))))</f>
        <v/>
      </c>
      <c r="M263" s="1" t="str">
        <f>IF(Lima!$C263="","",TEXT(Lima!$C263,"mmm  yy"))</f>
        <v/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3">
      <c r="A264" s="1"/>
      <c r="B264" s="1"/>
      <c r="C264" s="2"/>
      <c r="D264" s="4"/>
      <c r="E264" s="1"/>
      <c r="F264" s="3"/>
      <c r="G264" s="1"/>
      <c r="H264" s="1"/>
      <c r="I264" s="1"/>
      <c r="J264" s="1"/>
      <c r="K264" s="1"/>
      <c r="L264" s="1" t="str">
        <f>IF(Lima!$D264="Precast",L236,IF(Lima!$D264="","",IF(Lima!$D264&lt;20000,"Khasab",IF(Lima!$D264&lt;50000, "Lima",IF(Lima!$D264&lt;72000,"Daba")))))</f>
        <v/>
      </c>
      <c r="M264" s="1" t="str">
        <f>IF(Lima!$C264="","",TEXT(Lima!$C264,"mmm  yy"))</f>
        <v/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3">
      <c r="A265" s="1"/>
      <c r="B265" s="1"/>
      <c r="C265" s="2"/>
      <c r="D265" s="4"/>
      <c r="E265" s="1"/>
      <c r="F265" s="3"/>
      <c r="G265" s="1"/>
      <c r="H265" s="1"/>
      <c r="I265" s="1"/>
      <c r="J265" s="1"/>
      <c r="K265" s="1"/>
      <c r="L265" s="1" t="str">
        <f>IF(Lima!$D265="Precast",L237,IF(Lima!$D265="","",IF(Lima!$D265&lt;20000,"Khasab",IF(Lima!$D265&lt;50000, "Lima",IF(Lima!$D265&lt;72000,"Daba")))))</f>
        <v/>
      </c>
      <c r="M265" s="1" t="str">
        <f>IF(Lima!$C265="","",TEXT(Lima!$C265,"mmm  yy"))</f>
        <v/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3">
      <c r="A266" s="1"/>
      <c r="B266" s="1"/>
      <c r="C266" s="2"/>
      <c r="D266" s="4"/>
      <c r="E266" s="1"/>
      <c r="F266" s="3"/>
      <c r="G266" s="1"/>
      <c r="H266" s="1"/>
      <c r="I266" s="1"/>
      <c r="J266" s="1"/>
      <c r="K266" s="1"/>
      <c r="L266" s="1" t="str">
        <f>IF(Lima!$D266="Precast",L238,IF(Lima!$D266="","",IF(Lima!$D266&lt;20000,"Khasab",IF(Lima!$D266&lt;50000, "Lima",IF(Lima!$D266&lt;72000,"Daba")))))</f>
        <v/>
      </c>
      <c r="M266" s="1" t="str">
        <f>IF(Lima!$C266="","",TEXT(Lima!$C266,"mmm  yy"))</f>
        <v/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3">
      <c r="A267" s="1"/>
      <c r="B267" s="1"/>
      <c r="C267" s="2"/>
      <c r="D267" s="4"/>
      <c r="E267" s="1"/>
      <c r="F267" s="3"/>
      <c r="G267" s="1"/>
      <c r="H267" s="1"/>
      <c r="I267" s="1"/>
      <c r="J267" s="1"/>
      <c r="K267" s="1"/>
      <c r="L267" s="1" t="str">
        <f>IF(Lima!$D267="Precast",L239,IF(Lima!$D267="","",IF(Lima!$D267&lt;20000,"Khasab",IF(Lima!$D267&lt;50000, "Lima",IF(Lima!$D267&lt;72000,"Daba")))))</f>
        <v/>
      </c>
      <c r="M267" s="1" t="str">
        <f>IF(Lima!$C267="","",TEXT(Lima!$C267,"mmm  yy"))</f>
        <v/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3">
      <c r="A268" s="1"/>
      <c r="B268" s="1"/>
      <c r="C268" s="2"/>
      <c r="D268" s="4"/>
      <c r="E268" s="1"/>
      <c r="F268" s="3"/>
      <c r="G268" s="1"/>
      <c r="H268" s="1"/>
      <c r="I268" s="1"/>
      <c r="J268" s="1"/>
      <c r="K268" s="1"/>
      <c r="L268" s="1" t="str">
        <f>IF(Lima!$D268="Precast",L240,IF(Lima!$D268="","",IF(Lima!$D268&lt;20000,"Khasab",IF(Lima!$D268&lt;50000, "Lima",IF(Lima!$D268&lt;72000,"Daba")))))</f>
        <v/>
      </c>
      <c r="M268" s="1" t="str">
        <f>IF(Lima!$C268="","",TEXT(Lima!$C268,"mmm  yy"))</f>
        <v/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3">
      <c r="A269" s="1"/>
      <c r="B269" s="1"/>
      <c r="C269" s="2"/>
      <c r="D269" s="4"/>
      <c r="E269" s="1"/>
      <c r="F269" s="3"/>
      <c r="G269" s="1"/>
      <c r="H269" s="1"/>
      <c r="I269" s="1"/>
      <c r="J269" s="1"/>
      <c r="K269" s="1"/>
      <c r="L269" s="1" t="str">
        <f>IF(Lima!$D269="Precast",L241,IF(Lima!$D269="","",IF(Lima!$D269&lt;20000,"Khasab",IF(Lima!$D269&lt;50000, "Lima",IF(Lima!$D269&lt;72000,"Daba")))))</f>
        <v/>
      </c>
      <c r="M269" s="1" t="str">
        <f>IF(Lima!$C269="","",TEXT(Lima!$C269,"mmm  yy"))</f>
        <v/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3">
      <c r="A270" s="1"/>
      <c r="B270" s="1"/>
      <c r="C270" s="2"/>
      <c r="D270" s="4"/>
      <c r="E270" s="1"/>
      <c r="F270" s="3"/>
      <c r="G270" s="1"/>
      <c r="H270" s="1"/>
      <c r="I270" s="1"/>
      <c r="J270" s="1"/>
      <c r="K270" s="1"/>
      <c r="L270" s="1" t="str">
        <f>IF(Lima!$D270="Precast",L242,IF(Lima!$D270="","",IF(Lima!$D270&lt;20000,"Khasab",IF(Lima!$D270&lt;50000, "Lima",IF(Lima!$D270&lt;72000,"Daba")))))</f>
        <v/>
      </c>
      <c r="M270" s="1" t="str">
        <f>IF(Lima!$C270="","",TEXT(Lima!$C270,"mmm  yy"))</f>
        <v/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3">
      <c r="A271" s="1"/>
      <c r="B271" s="1"/>
      <c r="C271" s="2"/>
      <c r="D271" s="4"/>
      <c r="E271" s="1"/>
      <c r="F271" s="3"/>
      <c r="G271" s="1"/>
      <c r="H271" s="1"/>
      <c r="I271" s="1"/>
      <c r="J271" s="1"/>
      <c r="K271" s="1"/>
      <c r="L271" s="1" t="str">
        <f>IF(Lima!$D271="Precast",L243,IF(Lima!$D271="","",IF(Lima!$D271&lt;20000,"Khasab",IF(Lima!$D271&lt;50000, "Lima",IF(Lima!$D271&lt;72000,"Daba")))))</f>
        <v/>
      </c>
      <c r="M271" s="1" t="str">
        <f>IF(Lima!$C271="","",TEXT(Lima!$C271,"mmm  yy"))</f>
        <v/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3">
      <c r="A272" s="1"/>
      <c r="B272" s="1"/>
      <c r="C272" s="2"/>
      <c r="D272" s="4"/>
      <c r="E272" s="1"/>
      <c r="F272" s="3"/>
      <c r="G272" s="1"/>
      <c r="H272" s="1"/>
      <c r="I272" s="1"/>
      <c r="J272" s="1"/>
      <c r="K272" s="1"/>
      <c r="L272" s="1" t="str">
        <f>IF(Lima!$D272="Precast",L244,IF(Lima!$D272="","",IF(Lima!$D272&lt;20000,"Khasab",IF(Lima!$D272&lt;50000, "Lima",IF(Lima!$D272&lt;72000,"Daba")))))</f>
        <v/>
      </c>
      <c r="M272" s="1" t="str">
        <f>IF(Lima!$C272="","",TEXT(Lima!$C272,"mmm  yy"))</f>
        <v/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3">
      <c r="A273" s="1"/>
      <c r="B273" s="1"/>
      <c r="C273" s="2"/>
      <c r="D273" s="4"/>
      <c r="E273" s="1"/>
      <c r="F273" s="3"/>
      <c r="G273" s="1"/>
      <c r="H273" s="1"/>
      <c r="I273" s="1"/>
      <c r="J273" s="1"/>
      <c r="K273" s="1"/>
      <c r="L273" s="1" t="str">
        <f>IF(Lima!$D273="Precast",L245,IF(Lima!$D273="","",IF(Lima!$D273&lt;20000,"Khasab",IF(Lima!$D273&lt;50000, "Lima",IF(Lima!$D273&lt;72000,"Daba")))))</f>
        <v/>
      </c>
      <c r="M273" s="1" t="str">
        <f>IF(Lima!$C273="","",TEXT(Lima!$C273,"mmm  yy"))</f>
        <v/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3">
      <c r="A274" s="1"/>
      <c r="B274" s="1"/>
      <c r="C274" s="2"/>
      <c r="D274" s="4"/>
      <c r="E274" s="1"/>
      <c r="F274" s="3"/>
      <c r="G274" s="1"/>
      <c r="H274" s="1"/>
      <c r="I274" s="1"/>
      <c r="J274" s="1"/>
      <c r="K274" s="1"/>
      <c r="L274" s="1" t="str">
        <f>IF(Lima!$D274="Precast",L246,IF(Lima!$D274="","",IF(Lima!$D274&lt;20000,"Khasab",IF(Lima!$D274&lt;50000, "Lima",IF(Lima!$D274&lt;72000,"Daba")))))</f>
        <v/>
      </c>
      <c r="M274" s="1" t="str">
        <f>IF(Lima!$C274="","",TEXT(Lima!$C274,"mmm  yy"))</f>
        <v/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3">
      <c r="A275" s="1"/>
      <c r="B275" s="1"/>
      <c r="C275" s="2"/>
      <c r="D275" s="4"/>
      <c r="E275" s="1"/>
      <c r="F275" s="3"/>
      <c r="G275" s="1"/>
      <c r="H275" s="1"/>
      <c r="I275" s="1"/>
      <c r="J275" s="1"/>
      <c r="K275" s="1"/>
      <c r="L275" s="1" t="str">
        <f>IF(Lima!$D275="Precast",L247,IF(Lima!$D275="","",IF(Lima!$D275&lt;20000,"Khasab",IF(Lima!$D275&lt;50000, "Lima",IF(Lima!$D275&lt;72000,"Daba")))))</f>
        <v/>
      </c>
      <c r="M275" s="1" t="str">
        <f>IF(Lima!$C275="","",TEXT(Lima!$C275,"mmm  yy"))</f>
        <v/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3">
      <c r="A276" s="1"/>
      <c r="B276" s="1"/>
      <c r="C276" s="2"/>
      <c r="D276" s="4"/>
      <c r="E276" s="1"/>
      <c r="F276" s="3"/>
      <c r="G276" s="1"/>
      <c r="H276" s="1"/>
      <c r="I276" s="1"/>
      <c r="J276" s="1"/>
      <c r="K276" s="1"/>
      <c r="L276" s="1" t="str">
        <f>IF(Lima!$D276="Precast",L248,IF(Lima!$D276="","",IF(Lima!$D276&lt;20000,"Khasab",IF(Lima!$D276&lt;50000, "Lima",IF(Lima!$D276&lt;72000,"Daba")))))</f>
        <v/>
      </c>
      <c r="M276" s="1" t="str">
        <f>IF(Lima!$C276="","",TEXT(Lima!$C276,"mmm  yy"))</f>
        <v/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3">
      <c r="A277" s="1"/>
      <c r="B277" s="1"/>
      <c r="C277" s="2"/>
      <c r="D277" s="4"/>
      <c r="E277" s="1"/>
      <c r="F277" s="3"/>
      <c r="G277" s="1"/>
      <c r="H277" s="1"/>
      <c r="I277" s="1"/>
      <c r="J277" s="1"/>
      <c r="K277" s="1"/>
      <c r="L277" s="1" t="str">
        <f>IF(Lima!$D277="Precast",L249,IF(Lima!$D277="","",IF(Lima!$D277&lt;20000,"Khasab",IF(Lima!$D277&lt;50000, "Lima",IF(Lima!$D277&lt;72000,"Daba")))))</f>
        <v/>
      </c>
      <c r="M277" s="1" t="str">
        <f>IF(Lima!$C277="","",TEXT(Lima!$C277,"mmm  yy"))</f>
        <v/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3">
      <c r="A278" s="1"/>
      <c r="B278" s="1"/>
      <c r="C278" s="2"/>
      <c r="D278" s="4"/>
      <c r="E278" s="1"/>
      <c r="F278" s="3"/>
      <c r="G278" s="1"/>
      <c r="H278" s="1"/>
      <c r="I278" s="1"/>
      <c r="J278" s="1"/>
      <c r="K278" s="1"/>
      <c r="L278" s="1" t="str">
        <f>IF(Lima!$D278="Precast",L250,IF(Lima!$D278="","",IF(Lima!$D278&lt;20000,"Khasab",IF(Lima!$D278&lt;50000, "Lima",IF(Lima!$D278&lt;72000,"Daba")))))</f>
        <v/>
      </c>
      <c r="M278" s="1" t="str">
        <f>IF(Lima!$C278="","",TEXT(Lima!$C278,"mmm  yy"))</f>
        <v/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3">
      <c r="A279" s="1"/>
      <c r="B279" s="1"/>
      <c r="C279" s="2"/>
      <c r="D279" s="4"/>
      <c r="E279" s="1"/>
      <c r="F279" s="3"/>
      <c r="G279" s="1"/>
      <c r="H279" s="1"/>
      <c r="I279" s="1"/>
      <c r="J279" s="1"/>
      <c r="K279" s="1"/>
      <c r="L279" s="1" t="str">
        <f>IF(Lima!$D279="Precast",L251,IF(Lima!$D279="","",IF(Lima!$D279&lt;20000,"Khasab",IF(Lima!$D279&lt;50000, "Lima",IF(Lima!$D279&lt;72000,"Daba")))))</f>
        <v/>
      </c>
      <c r="M279" s="1" t="str">
        <f>IF(Lima!$C279="","",TEXT(Lima!$C279,"mmm  yy"))</f>
        <v/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3">
      <c r="A280" s="1"/>
      <c r="B280" s="1"/>
      <c r="C280" s="2"/>
      <c r="D280" s="4"/>
      <c r="E280" s="1"/>
      <c r="F280" s="3"/>
      <c r="G280" s="1"/>
      <c r="H280" s="1"/>
      <c r="I280" s="1"/>
      <c r="J280" s="1"/>
      <c r="K280" s="1"/>
      <c r="L280" s="1" t="str">
        <f>IF(Lima!$D280="Precast",L252,IF(Lima!$D280="","",IF(Lima!$D280&lt;20000,"Khasab",IF(Lima!$D280&lt;50000, "Lima",IF(Lima!$D280&lt;72000,"Daba")))))</f>
        <v/>
      </c>
      <c r="M280" s="1" t="str">
        <f>IF(Lima!$C280="","",TEXT(Lima!$C280,"mmm  yy"))</f>
        <v/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3">
      <c r="A281" s="1"/>
      <c r="B281" s="1"/>
      <c r="C281" s="2"/>
      <c r="D281" s="4"/>
      <c r="E281" s="1"/>
      <c r="F281" s="3"/>
      <c r="G281" s="1"/>
      <c r="H281" s="1"/>
      <c r="I281" s="1"/>
      <c r="J281" s="1"/>
      <c r="K281" s="1"/>
      <c r="L281" s="1" t="str">
        <f>IF(Lima!$D281="Precast",L253,IF(Lima!$D281="","",IF(Lima!$D281&lt;20000,"Khasab",IF(Lima!$D281&lt;50000, "Lima",IF(Lima!$D281&lt;72000,"Daba")))))</f>
        <v/>
      </c>
      <c r="M281" s="1" t="str">
        <f>IF(Lima!$C281="","",TEXT(Lima!$C281,"mmm  yy"))</f>
        <v/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3">
      <c r="A282" s="1"/>
      <c r="B282" s="1"/>
      <c r="C282" s="2"/>
      <c r="D282" s="4"/>
      <c r="E282" s="1"/>
      <c r="F282" s="3"/>
      <c r="G282" s="1"/>
      <c r="H282" s="1"/>
      <c r="I282" s="1"/>
      <c r="J282" s="1"/>
      <c r="K282" s="1"/>
      <c r="L282" s="1" t="str">
        <f>IF(Lima!$D282="Precast",L254,IF(Lima!$D282="","",IF(Lima!$D282&lt;20000,"Khasab",IF(Lima!$D282&lt;50000, "Lima",IF(Lima!$D282&lt;72000,"Daba")))))</f>
        <v/>
      </c>
      <c r="M282" s="1" t="str">
        <f>IF(Lima!$C282="","",TEXT(Lima!$C282,"mmm  yy"))</f>
        <v/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3">
      <c r="A283" s="1"/>
      <c r="B283" s="1"/>
      <c r="C283" s="2"/>
      <c r="D283" s="4"/>
      <c r="E283" s="1"/>
      <c r="F283" s="3"/>
      <c r="G283" s="1"/>
      <c r="H283" s="1"/>
      <c r="I283" s="1"/>
      <c r="J283" s="1"/>
      <c r="K283" s="1"/>
      <c r="L283" s="1" t="str">
        <f>IF(Lima!$D283="Precast",L255,IF(Lima!$D283="","",IF(Lima!$D283&lt;20000,"Khasab",IF(Lima!$D283&lt;50000, "Lima",IF(Lima!$D283&lt;72000,"Daba")))))</f>
        <v/>
      </c>
      <c r="M283" s="1" t="str">
        <f>IF(Lima!$C283="","",TEXT(Lima!$C283,"mmm  yy"))</f>
        <v/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3">
      <c r="A284" s="1"/>
      <c r="B284" s="1"/>
      <c r="C284" s="2"/>
      <c r="D284" s="4"/>
      <c r="E284" s="1"/>
      <c r="F284" s="3"/>
      <c r="G284" s="1"/>
      <c r="H284" s="1"/>
      <c r="I284" s="1"/>
      <c r="J284" s="1"/>
      <c r="K284" s="1"/>
      <c r="L284" s="1" t="str">
        <f>IF(Lima!$D284="Precast",L256,IF(Lima!$D284="","",IF(Lima!$D284&lt;20000,"Khasab",IF(Lima!$D284&lt;50000, "Lima",IF(Lima!$D284&lt;72000,"Daba")))))</f>
        <v/>
      </c>
      <c r="M284" s="1" t="str">
        <f>IF(Lima!$C284="","",TEXT(Lima!$C284,"mmm  yy"))</f>
        <v/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3">
      <c r="A285" s="1"/>
      <c r="B285" s="1"/>
      <c r="C285" s="2"/>
      <c r="D285" s="4"/>
      <c r="E285" s="1"/>
      <c r="F285" s="3"/>
      <c r="G285" s="1"/>
      <c r="H285" s="1"/>
      <c r="I285" s="1"/>
      <c r="J285" s="1"/>
      <c r="K285" s="1"/>
      <c r="L285" s="1" t="str">
        <f>IF(Lima!$D285="Precast",L257,IF(Lima!$D285="","",IF(Lima!$D285&lt;20000,"Khasab",IF(Lima!$D285&lt;50000, "Lima",IF(Lima!$D285&lt;72000,"Daba")))))</f>
        <v/>
      </c>
      <c r="M285" s="1" t="str">
        <f>IF(Lima!$C285="","",TEXT(Lima!$C285,"mmm  yy"))</f>
        <v/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3">
      <c r="A286" s="1"/>
      <c r="B286" s="1"/>
      <c r="C286" s="2"/>
      <c r="D286" s="4"/>
      <c r="E286" s="1"/>
      <c r="F286" s="3"/>
      <c r="G286" s="1"/>
      <c r="H286" s="1"/>
      <c r="I286" s="1"/>
      <c r="J286" s="1"/>
      <c r="K286" s="1"/>
      <c r="L286" s="1" t="str">
        <f>IF(Lima!$D286="Precast",L258,IF(Lima!$D286="","",IF(Lima!$D286&lt;20000,"Khasab",IF(Lima!$D286&lt;50000, "Lima",IF(Lima!$D286&lt;72000,"Daba")))))</f>
        <v/>
      </c>
      <c r="M286" s="1" t="str">
        <f>IF(Lima!$C286="","",TEXT(Lima!$C286,"mmm  yy"))</f>
        <v/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3">
      <c r="A287" s="1"/>
      <c r="B287" s="1"/>
      <c r="C287" s="2"/>
      <c r="D287" s="4"/>
      <c r="E287" s="1"/>
      <c r="F287" s="3"/>
      <c r="G287" s="1"/>
      <c r="H287" s="1"/>
      <c r="I287" s="1"/>
      <c r="J287" s="1"/>
      <c r="K287" s="1"/>
      <c r="L287" s="1" t="str">
        <f>IF(Lima!$D287="Precast",L259,IF(Lima!$D287="","",IF(Lima!$D287&lt;20000,"Khasab",IF(Lima!$D287&lt;50000, "Lima",IF(Lima!$D287&lt;72000,"Daba")))))</f>
        <v/>
      </c>
      <c r="M287" s="1" t="str">
        <f>IF(Lima!$C287="","",TEXT(Lima!$C287,"mmm  yy"))</f>
        <v/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3">
      <c r="A288" s="1"/>
      <c r="B288" s="1"/>
      <c r="C288" s="2"/>
      <c r="D288" s="4"/>
      <c r="E288" s="1"/>
      <c r="F288" s="3"/>
      <c r="G288" s="1"/>
      <c r="H288" s="1"/>
      <c r="I288" s="1"/>
      <c r="J288" s="1"/>
      <c r="K288" s="1"/>
      <c r="L288" s="1" t="str">
        <f>IF(Lima!$D288="Precast",L260,IF(Lima!$D288="","",IF(Lima!$D288&lt;20000,"Khasab",IF(Lima!$D288&lt;50000, "Lima",IF(Lima!$D288&lt;72000,"Daba")))))</f>
        <v/>
      </c>
      <c r="M288" s="1" t="str">
        <f>IF(Lima!$C288="","",TEXT(Lima!$C288,"mmm  yy"))</f>
        <v/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3">
      <c r="A289" s="1"/>
      <c r="B289" s="1"/>
      <c r="C289" s="2"/>
      <c r="D289" s="4"/>
      <c r="E289" s="1"/>
      <c r="F289" s="3"/>
      <c r="G289" s="1"/>
      <c r="H289" s="1"/>
      <c r="I289" s="1"/>
      <c r="J289" s="1"/>
      <c r="K289" s="1"/>
      <c r="L289" s="1" t="str">
        <f>IF(Lima!$D289="Precast",L261,IF(Lima!$D289="","",IF(Lima!$D289&lt;20000,"Khasab",IF(Lima!$D289&lt;50000, "Lima",IF(Lima!$D289&lt;72000,"Daba")))))</f>
        <v/>
      </c>
      <c r="M289" s="1" t="str">
        <f>IF(Lima!$C289="","",TEXT(Lima!$C289,"mmm  yy"))</f>
        <v/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3">
      <c r="A290" s="1"/>
      <c r="B290" s="1"/>
      <c r="C290" s="2"/>
      <c r="D290" s="4"/>
      <c r="E290" s="1"/>
      <c r="F290" s="3"/>
      <c r="G290" s="1"/>
      <c r="H290" s="1"/>
      <c r="I290" s="1"/>
      <c r="J290" s="1"/>
      <c r="K290" s="1"/>
      <c r="L290" s="1" t="str">
        <f>IF(Lima!$D290="Precast",L262,IF(Lima!$D290="","",IF(Lima!$D290&lt;20000,"Khasab",IF(Lima!$D290&lt;50000, "Lima",IF(Lima!$D290&lt;72000,"Daba")))))</f>
        <v/>
      </c>
      <c r="M290" s="1" t="str">
        <f>IF(Lima!$C290="","",TEXT(Lima!$C290,"mmm  yy"))</f>
        <v/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3">
      <c r="A291" s="1"/>
      <c r="B291" s="1"/>
      <c r="C291" s="2"/>
      <c r="D291" s="4"/>
      <c r="E291" s="1"/>
      <c r="F291" s="3"/>
      <c r="G291" s="1"/>
      <c r="H291" s="1"/>
      <c r="I291" s="1"/>
      <c r="J291" s="1"/>
      <c r="K291" s="1"/>
      <c r="L291" s="1" t="str">
        <f>IF(Lima!$D291="Precast",L263,IF(Lima!$D291="","",IF(Lima!$D291&lt;20000,"Khasab",IF(Lima!$D291&lt;50000, "Lima",IF(Lima!$D291&lt;72000,"Daba")))))</f>
        <v/>
      </c>
      <c r="M291" s="1" t="str">
        <f>IF(Lima!$C291="","",TEXT(Lima!$C291,"mmm  yy"))</f>
        <v/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3">
      <c r="A292" s="1"/>
      <c r="B292" s="1"/>
      <c r="C292" s="2"/>
      <c r="D292" s="4"/>
      <c r="E292" s="1"/>
      <c r="F292" s="3"/>
      <c r="G292" s="1"/>
      <c r="H292" s="1"/>
      <c r="I292" s="1"/>
      <c r="J292" s="1"/>
      <c r="K292" s="1"/>
      <c r="L292" s="1" t="str">
        <f>IF(Lima!$D292="Precast",L264,IF(Lima!$D292="","",IF(Lima!$D292&lt;20000,"Khasab",IF(Lima!$D292&lt;50000, "Lima",IF(Lima!$D292&lt;72000,"Daba")))))</f>
        <v/>
      </c>
      <c r="M292" s="1" t="str">
        <f>IF(Lima!$C292="","",TEXT(Lima!$C292,"mmm  yy"))</f>
        <v/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3">
      <c r="A293" s="1"/>
      <c r="B293" s="1"/>
      <c r="C293" s="2"/>
      <c r="D293" s="4"/>
      <c r="E293" s="1"/>
      <c r="F293" s="3"/>
      <c r="G293" s="1"/>
      <c r="H293" s="1"/>
      <c r="I293" s="1"/>
      <c r="J293" s="1"/>
      <c r="K293" s="1"/>
      <c r="L293" s="1" t="str">
        <f>IF(Lima!$D293="Precast",L265,IF(Lima!$D293="","",IF(Lima!$D293&lt;20000,"Khasab",IF(Lima!$D293&lt;50000, "Lima",IF(Lima!$D293&lt;72000,"Daba")))))</f>
        <v/>
      </c>
      <c r="M293" s="1" t="str">
        <f>IF(Lima!$C293="","",TEXT(Lima!$C293,"mmm  yy"))</f>
        <v/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3">
      <c r="A294" s="1"/>
      <c r="B294" s="1"/>
      <c r="C294" s="2"/>
      <c r="D294" s="4"/>
      <c r="E294" s="1"/>
      <c r="F294" s="3"/>
      <c r="G294" s="1"/>
      <c r="H294" s="1"/>
      <c r="I294" s="1"/>
      <c r="J294" s="1"/>
      <c r="K294" s="1"/>
      <c r="L294" s="1" t="str">
        <f>IF(Lima!$D294="Precast",L266,IF(Lima!$D294="","",IF(Lima!$D294&lt;20000,"Khasab",IF(Lima!$D294&lt;50000, "Lima",IF(Lima!$D294&lt;72000,"Daba")))))</f>
        <v/>
      </c>
      <c r="M294" s="1" t="str">
        <f>IF(Lima!$C294="","",TEXT(Lima!$C294,"mmm  yy"))</f>
        <v/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3">
      <c r="A295" s="1"/>
      <c r="B295" s="1"/>
      <c r="C295" s="2"/>
      <c r="D295" s="4"/>
      <c r="E295" s="1"/>
      <c r="F295" s="3"/>
      <c r="G295" s="1"/>
      <c r="H295" s="1"/>
      <c r="I295" s="1"/>
      <c r="J295" s="1"/>
      <c r="K295" s="1"/>
      <c r="L295" s="1" t="str">
        <f>IF(Lima!$D295="Precast",L267,IF(Lima!$D295="","",IF(Lima!$D295&lt;20000,"Khasab",IF(Lima!$D295&lt;50000, "Lima",IF(Lima!$D295&lt;72000,"Daba")))))</f>
        <v/>
      </c>
      <c r="M295" s="1" t="str">
        <f>IF(Lima!$C295="","",TEXT(Lima!$C295,"mmm  yy"))</f>
        <v/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3">
      <c r="A296" s="1"/>
      <c r="B296" s="1"/>
      <c r="C296" s="2"/>
      <c r="D296" s="4"/>
      <c r="E296" s="1"/>
      <c r="F296" s="3"/>
      <c r="G296" s="1"/>
      <c r="H296" s="1"/>
      <c r="I296" s="1"/>
      <c r="J296" s="1"/>
      <c r="K296" s="1"/>
      <c r="L296" s="1" t="str">
        <f>IF(Lima!$D296="Precast",L268,IF(Lima!$D296="","",IF(Lima!$D296&lt;20000,"Khasab",IF(Lima!$D296&lt;50000, "Lima",IF(Lima!$D296&lt;72000,"Daba")))))</f>
        <v/>
      </c>
      <c r="M296" s="1" t="str">
        <f>IF(Lima!$C296="","",TEXT(Lima!$C296,"mmm  yy"))</f>
        <v/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3">
      <c r="A297" s="1"/>
      <c r="B297" s="1"/>
      <c r="C297" s="2"/>
      <c r="D297" s="4"/>
      <c r="E297" s="1"/>
      <c r="F297" s="3"/>
      <c r="G297" s="1"/>
      <c r="H297" s="1"/>
      <c r="I297" s="1"/>
      <c r="J297" s="1"/>
      <c r="K297" s="1"/>
      <c r="L297" s="1" t="str">
        <f>IF(Lima!$D297="Precast",L269,IF(Lima!$D297="","",IF(Lima!$D297&lt;20000,"Khasab",IF(Lima!$D297&lt;50000, "Lima",IF(Lima!$D297&lt;72000,"Daba")))))</f>
        <v/>
      </c>
      <c r="M297" s="1" t="str">
        <f>IF(Lima!$C297="","",TEXT(Lima!$C297,"mmm  yy"))</f>
        <v/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3">
      <c r="A298" s="1"/>
      <c r="B298" s="1"/>
      <c r="C298" s="2"/>
      <c r="D298" s="1"/>
      <c r="E298" s="1"/>
      <c r="F298" s="3"/>
      <c r="G298" s="1"/>
      <c r="H298" s="1"/>
      <c r="I298" s="1"/>
      <c r="J298" s="1"/>
      <c r="K298" s="1"/>
      <c r="L298" s="1" t="str">
        <f>IF(Lima!$D298="Precast",L270,IF(Lima!$D298="","",IF(Lima!$D298&lt;20000,"Khasab",IF(Lima!$D298&lt;50000, "Lima",IF(Lima!$D298&lt;72000,"Daba")))))</f>
        <v/>
      </c>
      <c r="M298" s="1" t="str">
        <f>IF(Lima!$C298="","",TEXT(Lima!$C298,"mmm  yy"))</f>
        <v/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3">
      <c r="A299" s="1"/>
      <c r="B299" s="1"/>
      <c r="C299" s="2"/>
      <c r="D299" s="1"/>
      <c r="E299" s="1"/>
      <c r="F299" s="3"/>
      <c r="G299" s="1"/>
      <c r="H299" s="1"/>
      <c r="I299" s="1"/>
      <c r="J299" s="1"/>
      <c r="K299" s="1"/>
      <c r="L299" s="1" t="str">
        <f>IF(Lima!$D299="Precast",L271,IF(Lima!$D299="","",IF(Lima!$D299&lt;20000,"Khasab",IF(Lima!$D299&lt;50000, "Lima",IF(Lima!$D299&lt;72000,"Daba")))))</f>
        <v/>
      </c>
      <c r="M299" s="1" t="str">
        <f>IF(Lima!$C299="","",TEXT(Lima!$C299,"mmm  yy"))</f>
        <v/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3">
      <c r="A300" s="1"/>
      <c r="B300" s="1"/>
      <c r="C300" s="2"/>
      <c r="D300" s="1"/>
      <c r="E300" s="1"/>
      <c r="F300" s="3"/>
      <c r="G300" s="1"/>
      <c r="H300" s="1"/>
      <c r="I300" s="1"/>
      <c r="J300" s="1"/>
      <c r="K300" s="1"/>
      <c r="L300" s="1" t="str">
        <f>IF(Lima!$D300="Precast",L272,IF(Lima!$D300="","",IF(Lima!$D300&lt;20000,"Khasab",IF(Lima!$D300&lt;50000, "Lima",IF(Lima!$D300&lt;72000,"Daba")))))</f>
        <v/>
      </c>
      <c r="M300" s="1" t="str">
        <f>IF(Lima!$C300="","",TEXT(Lima!$C300,"mmm  yy"))</f>
        <v/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3">
      <c r="A301" s="1"/>
      <c r="B301" s="1"/>
      <c r="C301" s="2"/>
      <c r="D301" s="1"/>
      <c r="E301" s="1"/>
      <c r="F301" s="3"/>
      <c r="G301" s="1"/>
      <c r="H301" s="1"/>
      <c r="I301" s="1"/>
      <c r="J301" s="1"/>
      <c r="K301" s="1"/>
      <c r="L301" s="1" t="str">
        <f>IF(Lima!$D301="Precast",L273,IF(Lima!$D301="","",IF(Lima!$D301&lt;20000,"Khasab",IF(Lima!$D301&lt;50000, "Lima",IF(Lima!$D301&lt;72000,"Daba")))))</f>
        <v/>
      </c>
      <c r="M301" s="1" t="str">
        <f>IF(Lima!$C301="","",TEXT(Lima!$C301,"mmm  yy"))</f>
        <v/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3">
      <c r="A302" s="1"/>
      <c r="B302" s="1"/>
      <c r="C302" s="2"/>
      <c r="D302" s="1"/>
      <c r="E302" s="1"/>
      <c r="F302" s="3"/>
      <c r="G302" s="1"/>
      <c r="H302" s="1"/>
      <c r="I302" s="1"/>
      <c r="J302" s="1"/>
      <c r="K302" s="1"/>
      <c r="L302" s="1" t="str">
        <f>IF(Lima!$D302="Precast",L274,IF(Lima!$D302="","",IF(Lima!$D302&lt;20000,"Khasab",IF(Lima!$D302&lt;50000, "Lima",IF(Lima!$D302&lt;72000,"Daba")))))</f>
        <v/>
      </c>
      <c r="M302" s="1" t="str">
        <f>IF(Lima!$C302="","",TEXT(Lima!$C302,"mmm  yy"))</f>
        <v/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3">
      <c r="A303" s="1"/>
      <c r="B303" s="1"/>
      <c r="C303" s="2"/>
      <c r="D303" s="1"/>
      <c r="E303" s="1"/>
      <c r="F303" s="3"/>
      <c r="G303" s="1"/>
      <c r="H303" s="1"/>
      <c r="I303" s="1"/>
      <c r="J303" s="1"/>
      <c r="K303" s="1"/>
      <c r="L303" s="1" t="str">
        <f>IF(Lima!$D303="Precast",L275,IF(Lima!$D303="","",IF(Lima!$D303&lt;20000,"Khasab",IF(Lima!$D303&lt;50000, "Lima",IF(Lima!$D303&lt;72000,"Daba")))))</f>
        <v/>
      </c>
      <c r="M303" s="1" t="str">
        <f>IF(Lima!$C303="","",TEXT(Lima!$C303,"mmm  yy"))</f>
        <v/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3">
      <c r="A304" s="1"/>
      <c r="B304" s="1"/>
      <c r="C304" s="2"/>
      <c r="D304" s="1"/>
      <c r="E304" s="1"/>
      <c r="F304" s="3"/>
      <c r="G304" s="1"/>
      <c r="H304" s="1"/>
      <c r="I304" s="1"/>
      <c r="J304" s="1"/>
      <c r="K304" s="1"/>
      <c r="L304" s="1" t="str">
        <f>IF(Lima!$D304="Precast",L276,IF(Lima!$D304="","",IF(Lima!$D304&lt;20000,"Khasab",IF(Lima!$D304&lt;50000, "Lima",IF(Lima!$D304&lt;72000,"Daba")))))</f>
        <v/>
      </c>
      <c r="M304" s="1" t="str">
        <f>IF(Lima!$C304="","",TEXT(Lima!$C304,"mmm  yy"))</f>
        <v/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3">
      <c r="A305" s="1"/>
      <c r="B305" s="1"/>
      <c r="C305" s="2"/>
      <c r="D305" s="1"/>
      <c r="E305" s="1"/>
      <c r="F305" s="3"/>
      <c r="G305" s="1"/>
      <c r="H305" s="1"/>
      <c r="I305" s="1"/>
      <c r="J305" s="1"/>
      <c r="K305" s="1"/>
      <c r="L305" s="1" t="str">
        <f>IF(Lima!$D305="Precast",L277,IF(Lima!$D305="","",IF(Lima!$D305&lt;20000,"Khasab",IF(Lima!$D305&lt;50000, "Lima",IF(Lima!$D305&lt;72000,"Daba")))))</f>
        <v/>
      </c>
      <c r="M305" s="1" t="str">
        <f>IF(Lima!$C305="","",TEXT(Lima!$C305,"mmm  yy"))</f>
        <v/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3">
      <c r="A306" s="1"/>
      <c r="B306" s="1"/>
      <c r="C306" s="2"/>
      <c r="D306" s="1"/>
      <c r="E306" s="1"/>
      <c r="F306" s="3"/>
      <c r="G306" s="1"/>
      <c r="H306" s="1"/>
      <c r="I306" s="1"/>
      <c r="J306" s="1"/>
      <c r="K306" s="1"/>
      <c r="L306" s="1" t="str">
        <f>IF(Lima!$D306="Precast",L278,IF(Lima!$D306="","",IF(Lima!$D306&lt;20000,"Khasab",IF(Lima!$D306&lt;50000, "Lima",IF(Lima!$D306&lt;72000,"Daba")))))</f>
        <v/>
      </c>
      <c r="M306" s="1" t="str">
        <f>IF(Lima!$C306="","",TEXT(Lima!$C306,"mmm  yy"))</f>
        <v/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3">
      <c r="A307" s="1"/>
      <c r="B307" s="1"/>
      <c r="C307" s="2"/>
      <c r="D307" s="1"/>
      <c r="E307" s="1"/>
      <c r="F307" s="3"/>
      <c r="G307" s="1"/>
      <c r="H307" s="1"/>
      <c r="I307" s="1"/>
      <c r="J307" s="1"/>
      <c r="K307" s="1"/>
      <c r="L307" s="1" t="str">
        <f>IF(Lima!$D307="Precast",L279,IF(Lima!$D307="","",IF(Lima!$D307&lt;20000,"Khasab",IF(Lima!$D307&lt;50000, "Lima",IF(Lima!$D307&lt;72000,"Daba")))))</f>
        <v/>
      </c>
      <c r="M307" s="1" t="str">
        <f>IF(Lima!$C307="","",TEXT(Lima!$C307,"mmm  yy"))</f>
        <v/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3">
      <c r="A308" s="1"/>
      <c r="B308" s="1"/>
      <c r="C308" s="2"/>
      <c r="D308" s="1"/>
      <c r="E308" s="1"/>
      <c r="F308" s="3"/>
      <c r="G308" s="1"/>
      <c r="H308" s="1"/>
      <c r="I308" s="1"/>
      <c r="J308" s="1"/>
      <c r="K308" s="1"/>
      <c r="L308" s="1" t="str">
        <f>IF(Lima!$D308="Precast",L280,IF(Lima!$D308="","",IF(Lima!$D308&lt;20000,"Khasab",IF(Lima!$D308&lt;50000, "Lima",IF(Lima!$D308&lt;72000,"Daba")))))</f>
        <v/>
      </c>
      <c r="M308" s="1" t="str">
        <f>IF(Lima!$C308="","",TEXT(Lima!$C308,"mmm  yy"))</f>
        <v/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3">
      <c r="A309" s="1"/>
      <c r="B309" s="1"/>
      <c r="C309" s="2"/>
      <c r="D309" s="1"/>
      <c r="E309" s="1"/>
      <c r="F309" s="3"/>
      <c r="G309" s="1"/>
      <c r="H309" s="1"/>
      <c r="I309" s="1"/>
      <c r="J309" s="1"/>
      <c r="K309" s="1"/>
      <c r="L309" s="1" t="str">
        <f>IF(Lima!$D309="Precast",L281,IF(Lima!$D309="","",IF(Lima!$D309&lt;20000,"Khasab",IF(Lima!$D309&lt;50000, "Lima",IF(Lima!$D309&lt;72000,"Daba")))))</f>
        <v/>
      </c>
      <c r="M309" s="1" t="str">
        <f>IF(Lima!$C309="","",TEXT(Lima!$C309,"mmm  yy"))</f>
        <v/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3">
      <c r="A310" s="1"/>
      <c r="B310" s="1"/>
      <c r="C310" s="2"/>
      <c r="D310" s="1"/>
      <c r="E310" s="1"/>
      <c r="F310" s="3"/>
      <c r="G310" s="1"/>
      <c r="H310" s="1"/>
      <c r="I310" s="1"/>
      <c r="J310" s="1"/>
      <c r="K310" s="1"/>
      <c r="L310" s="1" t="str">
        <f>IF(Lima!$D310="Precast",L282,IF(Lima!$D310="","",IF(Lima!$D310&lt;20000,"Khasab",IF(Lima!$D310&lt;50000, "Lima",IF(Lima!$D310&lt;72000,"Daba")))))</f>
        <v/>
      </c>
      <c r="M310" s="1" t="str">
        <f>IF(Lima!$C310="","",TEXT(Lima!$C310,"mmm  yy"))</f>
        <v/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3">
      <c r="A311" s="1"/>
      <c r="B311" s="1"/>
      <c r="C311" s="2"/>
      <c r="D311" s="1"/>
      <c r="E311" s="1"/>
      <c r="F311" s="3"/>
      <c r="G311" s="1"/>
      <c r="H311" s="1"/>
      <c r="I311" s="1"/>
      <c r="J311" s="1"/>
      <c r="K311" s="1"/>
      <c r="L311" s="1" t="str">
        <f>IF(Lima!$D311="Precast",L283,IF(Lima!$D311="","",IF(Lima!$D311&lt;20000,"Khasab",IF(Lima!$D311&lt;50000, "Lima",IF(Lima!$D311&lt;72000,"Daba")))))</f>
        <v/>
      </c>
      <c r="M311" s="1" t="str">
        <f>IF(Lima!$C311="","",TEXT(Lima!$C311,"mmm  yy"))</f>
        <v/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3">
      <c r="A312" s="1"/>
      <c r="B312" s="1"/>
      <c r="C312" s="2"/>
      <c r="D312" s="1"/>
      <c r="E312" s="1"/>
      <c r="F312" s="3"/>
      <c r="G312" s="1"/>
      <c r="H312" s="1"/>
      <c r="I312" s="1"/>
      <c r="J312" s="1"/>
      <c r="K312" s="1"/>
      <c r="L312" s="1" t="str">
        <f>IF(Lima!$D312="Precast",L284,IF(Lima!$D312="","",IF(Lima!$D312&lt;20000,"Khasab",IF(Lima!$D312&lt;50000, "Lima",IF(Lima!$D312&lt;72000,"Daba")))))</f>
        <v/>
      </c>
      <c r="M312" s="1" t="str">
        <f>IF(Lima!$C312="","",TEXT(Lima!$C312,"mmm  yy"))</f>
        <v/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3">
      <c r="A313" s="1"/>
      <c r="B313" s="1"/>
      <c r="C313" s="2"/>
      <c r="D313" s="1"/>
      <c r="E313" s="1"/>
      <c r="F313" s="3"/>
      <c r="G313" s="1"/>
      <c r="H313" s="1"/>
      <c r="I313" s="1"/>
      <c r="J313" s="1"/>
      <c r="K313" s="1"/>
      <c r="L313" s="1" t="str">
        <f>IF(Lima!$D313="Precast",L285,IF(Lima!$D313="","",IF(Lima!$D313&lt;20000,"Khasab",IF(Lima!$D313&lt;50000, "Lima",IF(Lima!$D313&lt;72000,"Daba")))))</f>
        <v/>
      </c>
      <c r="M313" s="1" t="str">
        <f>IF(Lima!$C313="","",TEXT(Lima!$C313,"mmm  yy"))</f>
        <v/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3">
      <c r="A314" s="1"/>
      <c r="B314" s="1"/>
      <c r="C314" s="2"/>
      <c r="D314" s="1"/>
      <c r="E314" s="1"/>
      <c r="F314" s="3"/>
      <c r="G314" s="1"/>
      <c r="H314" s="1"/>
      <c r="I314" s="1"/>
      <c r="J314" s="1"/>
      <c r="K314" s="1"/>
      <c r="L314" s="1" t="str">
        <f>IF(Lima!$D314="Precast",L286,IF(Lima!$D314="","",IF(Lima!$D314&lt;20000,"Khasab",IF(Lima!$D314&lt;50000, "Lima",IF(Lima!$D314&lt;72000,"Daba")))))</f>
        <v/>
      </c>
      <c r="M314" s="1" t="str">
        <f>IF(Lima!$C314="","",TEXT(Lima!$C314,"mmm  yy"))</f>
        <v/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3">
      <c r="A315" s="1"/>
      <c r="B315" s="1"/>
      <c r="C315" s="2"/>
      <c r="D315" s="1"/>
      <c r="E315" s="1"/>
      <c r="F315" s="3"/>
      <c r="G315" s="1"/>
      <c r="H315" s="1"/>
      <c r="I315" s="1"/>
      <c r="J315" s="1"/>
      <c r="K315" s="1"/>
      <c r="L315" s="1" t="str">
        <f>IF(Lima!$D315="Precast",L287,IF(Lima!$D315="","",IF(Lima!$D315&lt;20000,"Khasab",IF(Lima!$D315&lt;50000, "Lima",IF(Lima!$D315&lt;72000,"Daba")))))</f>
        <v/>
      </c>
      <c r="M315" s="1" t="str">
        <f>IF(Lima!$C315="","",TEXT(Lima!$C315,"mmm  yy"))</f>
        <v/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3">
      <c r="A316" s="1"/>
      <c r="B316" s="1"/>
      <c r="C316" s="2"/>
      <c r="D316" s="1"/>
      <c r="E316" s="1"/>
      <c r="F316" s="3"/>
      <c r="G316" s="1"/>
      <c r="H316" s="1"/>
      <c r="I316" s="1"/>
      <c r="J316" s="1"/>
      <c r="K316" s="1"/>
      <c r="L316" s="1" t="str">
        <f>IF(Lima!$D316="Precast",L288,IF(Lima!$D316="","",IF(Lima!$D316&lt;20000,"Khasab",IF(Lima!$D316&lt;50000, "Lima",IF(Lima!$D316&lt;72000,"Daba")))))</f>
        <v/>
      </c>
      <c r="M316" s="1" t="str">
        <f>IF(Lima!$C316="","",TEXT(Lima!$C316,"mmm  yy"))</f>
        <v/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3">
      <c r="A317" s="1"/>
      <c r="B317" s="1"/>
      <c r="C317" s="2"/>
      <c r="D317" s="1"/>
      <c r="E317" s="1"/>
      <c r="F317" s="3"/>
      <c r="G317" s="1"/>
      <c r="H317" s="1"/>
      <c r="I317" s="1"/>
      <c r="J317" s="1"/>
      <c r="K317" s="1"/>
      <c r="L317" s="1" t="str">
        <f>IF(Lima!$D317="Precast",L289,IF(Lima!$D317="","",IF(Lima!$D317&lt;20000,"Khasab",IF(Lima!$D317&lt;50000, "Lima",IF(Lima!$D317&lt;72000,"Daba")))))</f>
        <v/>
      </c>
      <c r="M317" s="1" t="str">
        <f>IF(Lima!$C317="","",TEXT(Lima!$C317,"mmm  yy"))</f>
        <v/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3">
      <c r="A318" s="1"/>
      <c r="B318" s="1"/>
      <c r="C318" s="2"/>
      <c r="D318" s="1"/>
      <c r="E318" s="1"/>
      <c r="F318" s="3"/>
      <c r="G318" s="1"/>
      <c r="H318" s="1"/>
      <c r="I318" s="1"/>
      <c r="J318" s="1"/>
      <c r="K318" s="1"/>
      <c r="L318" s="1" t="str">
        <f>IF(Lima!$D318="Precast",L290,IF(Lima!$D318="","",IF(Lima!$D318&lt;20000,"Khasab",IF(Lima!$D318&lt;50000, "Lima",IF(Lima!$D318&lt;72000,"Daba")))))</f>
        <v/>
      </c>
      <c r="M318" s="1" t="str">
        <f>IF(Lima!$C318="","",TEXT(Lima!$C318,"mmm  yy"))</f>
        <v/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3">
      <c r="A319" s="1"/>
      <c r="B319" s="1"/>
      <c r="C319" s="2"/>
      <c r="D319" s="1"/>
      <c r="E319" s="1"/>
      <c r="F319" s="3"/>
      <c r="G319" s="1"/>
      <c r="H319" s="1"/>
      <c r="I319" s="1"/>
      <c r="J319" s="1"/>
      <c r="K319" s="1"/>
      <c r="L319" s="1" t="str">
        <f>IF(Lima!$D319="Precast",L291,IF(Lima!$D319="","",IF(Lima!$D319&lt;20000,"Khasab",IF(Lima!$D319&lt;50000, "Lima",IF(Lima!$D319&lt;72000,"Daba")))))</f>
        <v/>
      </c>
      <c r="M319" s="1" t="str">
        <f>IF(Lima!$C319="","",TEXT(Lima!$C319,"mmm  yy"))</f>
        <v/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3">
      <c r="A320" s="1"/>
      <c r="B320" s="1"/>
      <c r="C320" s="2"/>
      <c r="D320" s="1"/>
      <c r="E320" s="1"/>
      <c r="F320" s="3"/>
      <c r="G320" s="1"/>
      <c r="H320" s="1"/>
      <c r="I320" s="1"/>
      <c r="J320" s="1"/>
      <c r="K320" s="1"/>
      <c r="L320" s="1" t="str">
        <f>IF(Lima!$D320="Precast",L292,IF(Lima!$D320="","",IF(Lima!$D320&lt;20000,"Khasab",IF(Lima!$D320&lt;50000, "Lima",IF(Lima!$D320&lt;72000,"Daba")))))</f>
        <v/>
      </c>
      <c r="M320" s="1" t="str">
        <f>IF(Lima!$C320="","",TEXT(Lima!$C320,"mmm  yy"))</f>
        <v/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3">
      <c r="A321" s="1"/>
      <c r="B321" s="1"/>
      <c r="C321" s="2"/>
      <c r="D321" s="1"/>
      <c r="E321" s="1"/>
      <c r="F321" s="3"/>
      <c r="G321" s="1"/>
      <c r="H321" s="1"/>
      <c r="I321" s="1"/>
      <c r="J321" s="1"/>
      <c r="K321" s="1"/>
      <c r="L321" s="1" t="str">
        <f>IF(Lima!$D321="Precast",L293,IF(Lima!$D321="","",IF(Lima!$D321&lt;20000,"Khasab",IF(Lima!$D321&lt;50000, "Lima",IF(Lima!$D321&lt;72000,"Daba")))))</f>
        <v/>
      </c>
      <c r="M321" s="1" t="str">
        <f>IF(Lima!$C321="","",TEXT(Lima!$C321,"mmm  yy"))</f>
        <v/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3">
      <c r="A322" s="1"/>
      <c r="B322" s="1"/>
      <c r="C322" s="2"/>
      <c r="D322" s="1"/>
      <c r="E322" s="1"/>
      <c r="F322" s="3"/>
      <c r="G322" s="1"/>
      <c r="H322" s="1"/>
      <c r="I322" s="1"/>
      <c r="J322" s="1"/>
      <c r="K322" s="1"/>
      <c r="L322" s="1" t="str">
        <f>IF(Lima!$D322="Precast",L294,IF(Lima!$D322="","",IF(Lima!$D322&lt;20000,"Khasab",IF(Lima!$D322&lt;50000, "Lima",IF(Lima!$D322&lt;72000,"Daba")))))</f>
        <v/>
      </c>
      <c r="M322" s="1" t="str">
        <f>IF(Lima!$C322="","",TEXT(Lima!$C322,"mmm  yy"))</f>
        <v/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3">
      <c r="A323" s="1"/>
      <c r="B323" s="1"/>
      <c r="C323" s="2"/>
      <c r="D323" s="1"/>
      <c r="E323" s="1"/>
      <c r="F323" s="3"/>
      <c r="G323" s="1"/>
      <c r="H323" s="1"/>
      <c r="I323" s="1"/>
      <c r="J323" s="1"/>
      <c r="K323" s="1"/>
      <c r="L323" s="1" t="str">
        <f>IF(Lima!$D323="Precast",L295,IF(Lima!$D323="","",IF(Lima!$D323&lt;20000,"Khasab",IF(Lima!$D323&lt;50000, "Lima",IF(Lima!$D323&lt;72000,"Daba")))))</f>
        <v/>
      </c>
      <c r="M323" s="1" t="str">
        <f>IF(Lima!$C323="","",TEXT(Lima!$C323,"mmm  yy"))</f>
        <v/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3">
      <c r="A324" s="1"/>
      <c r="B324" s="1"/>
      <c r="C324" s="2"/>
      <c r="D324" s="1"/>
      <c r="E324" s="1"/>
      <c r="F324" s="3"/>
      <c r="G324" s="1"/>
      <c r="H324" s="1"/>
      <c r="I324" s="1"/>
      <c r="J324" s="1"/>
      <c r="K324" s="1"/>
      <c r="L324" s="1" t="str">
        <f>IF(Lima!$D324="Precast",L296,IF(Lima!$D324="","",IF(Lima!$D324&lt;20000,"Khasab",IF(Lima!$D324&lt;50000, "Lima",IF(Lima!$D324&lt;72000,"Daba")))))</f>
        <v/>
      </c>
      <c r="M324" s="1" t="str">
        <f>IF(Lima!$C324="","",TEXT(Lima!$C324,"mmm  yy"))</f>
        <v/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3">
      <c r="A325" s="1"/>
      <c r="B325" s="1"/>
      <c r="C325" s="2"/>
      <c r="D325" s="1"/>
      <c r="E325" s="1"/>
      <c r="F325" s="3"/>
      <c r="G325" s="1"/>
      <c r="H325" s="1"/>
      <c r="I325" s="1"/>
      <c r="J325" s="1"/>
      <c r="K325" s="1"/>
      <c r="L325" s="1" t="str">
        <f>IF(Lima!$D325="Precast",L297,IF(Lima!$D325="","",IF(Lima!$D325&lt;20000,"Khasab",IF(Lima!$D325&lt;50000, "Lima",IF(Lima!$D325&lt;72000,"Daba")))))</f>
        <v/>
      </c>
      <c r="M325" s="1" t="str">
        <f>IF(Lima!$C325="","",TEXT(Lima!$C325,"mmm  yy"))</f>
        <v/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3">
      <c r="A326" s="1"/>
      <c r="B326" s="1"/>
      <c r="C326" s="2"/>
      <c r="D326" s="1"/>
      <c r="E326" s="1"/>
      <c r="F326" s="3"/>
      <c r="G326" s="1"/>
      <c r="H326" s="1"/>
      <c r="I326" s="1"/>
      <c r="J326" s="1"/>
      <c r="K326" s="1"/>
      <c r="L326" s="1" t="str">
        <f>IF(Lima!$D326="Precast",L298,IF(Lima!$D326="","",IF(Lima!$D326&lt;20000,"Khasab",IF(Lima!$D326&lt;50000, "Lima",IF(Lima!$D326&lt;72000,"Daba")))))</f>
        <v/>
      </c>
      <c r="M326" s="1" t="str">
        <f>IF(Lima!$C326="","",TEXT(Lima!$C326,"mmm  yy"))</f>
        <v/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3">
      <c r="A327" s="1"/>
      <c r="B327" s="1"/>
      <c r="C327" s="2"/>
      <c r="D327" s="1"/>
      <c r="E327" s="1"/>
      <c r="F327" s="3"/>
      <c r="G327" s="1"/>
      <c r="H327" s="1"/>
      <c r="I327" s="1"/>
      <c r="J327" s="1"/>
      <c r="K327" s="1"/>
      <c r="L327" s="1" t="str">
        <f>IF(Lima!$D327="Precast",L299,IF(Lima!$D327="","",IF(Lima!$D327&lt;20000,"Khasab",IF(Lima!$D327&lt;50000, "Lima",IF(Lima!$D327&lt;72000,"Daba")))))</f>
        <v/>
      </c>
      <c r="M327" s="1" t="str">
        <f>IF(Lima!$C327="","",TEXT(Lima!$C327,"mmm  yy"))</f>
        <v/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3">
      <c r="A328" s="1"/>
      <c r="B328" s="1"/>
      <c r="C328" s="2"/>
      <c r="D328" s="1"/>
      <c r="E328" s="1"/>
      <c r="F328" s="3"/>
      <c r="G328" s="1"/>
      <c r="H328" s="1"/>
      <c r="I328" s="1"/>
      <c r="J328" s="1"/>
      <c r="K328" s="1"/>
      <c r="L328" s="1" t="str">
        <f>IF(Lima!$D328="Precast",L300,IF(Lima!$D328="","",IF(Lima!$D328&lt;20000,"Khasab",IF(Lima!$D328&lt;50000, "Lima",IF(Lima!$D328&lt;72000,"Daba")))))</f>
        <v/>
      </c>
      <c r="M328" s="1" t="str">
        <f>IF(Lima!$C328="","",TEXT(Lima!$C328,"mmm  yy"))</f>
        <v/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3">
      <c r="A329" s="1"/>
      <c r="B329" s="1"/>
      <c r="C329" s="2"/>
      <c r="D329" s="1"/>
      <c r="E329" s="1"/>
      <c r="F329" s="3"/>
      <c r="G329" s="1"/>
      <c r="H329" s="1"/>
      <c r="I329" s="1"/>
      <c r="J329" s="1"/>
      <c r="K329" s="1"/>
      <c r="L329" s="1" t="str">
        <f>IF(Lima!$D329="Precast",L301,IF(Lima!$D329="","",IF(Lima!$D329&lt;20000,"Khasab",IF(Lima!$D329&lt;50000, "Lima",IF(Lima!$D329&lt;72000,"Daba")))))</f>
        <v/>
      </c>
      <c r="M329" s="1" t="str">
        <f>IF(Lima!$C329="","",TEXT(Lima!$C329,"mmm  yy"))</f>
        <v/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3">
      <c r="A330" s="1"/>
      <c r="B330" s="1"/>
      <c r="C330" s="2"/>
      <c r="D330" s="1"/>
      <c r="E330" s="1"/>
      <c r="F330" s="3"/>
      <c r="G330" s="1"/>
      <c r="H330" s="1"/>
      <c r="I330" s="1"/>
      <c r="J330" s="1"/>
      <c r="K330" s="1"/>
      <c r="L330" s="1" t="str">
        <f>IF(Lima!$D330="Precast",L302,IF(Lima!$D330="","",IF(Lima!$D330&lt;20000,"Khasab",IF(Lima!$D330&lt;50000, "Lima",IF(Lima!$D330&lt;72000,"Daba")))))</f>
        <v/>
      </c>
      <c r="M330" s="1" t="str">
        <f>IF(Lima!$C330="","",TEXT(Lima!$C330,"mmm  yy"))</f>
        <v/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3">
      <c r="A331" s="1"/>
      <c r="B331" s="1"/>
      <c r="C331" s="2"/>
      <c r="D331" s="1"/>
      <c r="E331" s="1"/>
      <c r="F331" s="3"/>
      <c r="G331" s="1"/>
      <c r="H331" s="1"/>
      <c r="I331" s="1"/>
      <c r="J331" s="1"/>
      <c r="K331" s="1"/>
      <c r="L331" s="1" t="str">
        <f>IF(Lima!$D331="Precast",L303,IF(Lima!$D331="","",IF(Lima!$D331&lt;20000,"Khasab",IF(Lima!$D331&lt;50000, "Lima",IF(Lima!$D331&lt;72000,"Daba")))))</f>
        <v/>
      </c>
      <c r="M331" s="1" t="str">
        <f>IF(Lima!$C331="","",TEXT(Lima!$C331,"mmm  yy"))</f>
        <v/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3">
      <c r="A332" s="1"/>
      <c r="B332" s="1"/>
      <c r="C332" s="2"/>
      <c r="D332" s="1"/>
      <c r="E332" s="1"/>
      <c r="F332" s="3"/>
      <c r="G332" s="1"/>
      <c r="H332" s="1"/>
      <c r="I332" s="1"/>
      <c r="J332" s="1"/>
      <c r="K332" s="1"/>
      <c r="L332" s="1" t="str">
        <f>IF(Lima!$D332="Precast",L304,IF(Lima!$D332="","",IF(Lima!$D332&lt;20000,"Khasab",IF(Lima!$D332&lt;50000, "Lima",IF(Lima!$D332&lt;72000,"Daba")))))</f>
        <v/>
      </c>
      <c r="M332" s="1" t="str">
        <f>IF(Lima!$C332="","",TEXT(Lima!$C332,"mmm  yy"))</f>
        <v/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3">
      <c r="A333" s="1"/>
      <c r="B333" s="1"/>
      <c r="C333" s="2"/>
      <c r="D333" s="1"/>
      <c r="E333" s="1"/>
      <c r="F333" s="3"/>
      <c r="G333" s="1"/>
      <c r="H333" s="1"/>
      <c r="I333" s="1"/>
      <c r="J333" s="1"/>
      <c r="K333" s="1"/>
      <c r="L333" s="1" t="str">
        <f>IF(Lima!$D333="Precast",L305,IF(Lima!$D333="","",IF(Lima!$D333&lt;20000,"Khasab",IF(Lima!$D333&lt;50000, "Lima",IF(Lima!$D333&lt;72000,"Daba")))))</f>
        <v/>
      </c>
      <c r="M333" s="1" t="str">
        <f>IF(Lima!$C333="","",TEXT(Lima!$C333,"mmm  yy"))</f>
        <v/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3">
      <c r="A334" s="1"/>
      <c r="B334" s="1"/>
      <c r="C334" s="2"/>
      <c r="D334" s="1"/>
      <c r="E334" s="1"/>
      <c r="F334" s="3"/>
      <c r="G334" s="1"/>
      <c r="H334" s="1"/>
      <c r="I334" s="1"/>
      <c r="J334" s="1"/>
      <c r="K334" s="1"/>
      <c r="L334" s="1" t="str">
        <f>IF(Lima!$D334="Precast",L306,IF(Lima!$D334="","",IF(Lima!$D334&lt;20000,"Khasab",IF(Lima!$D334&lt;50000, "Lima",IF(Lima!$D334&lt;72000,"Daba")))))</f>
        <v/>
      </c>
      <c r="M334" s="1" t="str">
        <f>IF(Lima!$C334="","",TEXT(Lima!$C334,"mmm  yy"))</f>
        <v/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3">
      <c r="A335" s="1"/>
      <c r="B335" s="1"/>
      <c r="C335" s="2"/>
      <c r="D335" s="1"/>
      <c r="E335" s="1"/>
      <c r="F335" s="3"/>
      <c r="G335" s="1"/>
      <c r="H335" s="1"/>
      <c r="I335" s="1"/>
      <c r="J335" s="1"/>
      <c r="K335" s="1"/>
      <c r="L335" s="1" t="str">
        <f>IF(Lima!$D335="Precast",L307,IF(Lima!$D335="","",IF(Lima!$D335&lt;20000,"Khasab",IF(Lima!$D335&lt;50000, "Lima",IF(Lima!$D335&lt;72000,"Daba")))))</f>
        <v/>
      </c>
      <c r="M335" s="1" t="str">
        <f>IF(Lima!$C335="","",TEXT(Lima!$C335,"mmm  yy"))</f>
        <v/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3">
      <c r="A336" s="1"/>
      <c r="B336" s="1"/>
      <c r="C336" s="2"/>
      <c r="D336" s="1"/>
      <c r="E336" s="1"/>
      <c r="F336" s="3"/>
      <c r="G336" s="1"/>
      <c r="H336" s="1"/>
      <c r="I336" s="1"/>
      <c r="J336" s="1"/>
      <c r="K336" s="1"/>
      <c r="L336" s="1" t="str">
        <f>IF(Lima!$D336="Precast",L308,IF(Lima!$D336="","",IF(Lima!$D336&lt;20000,"Khasab",IF(Lima!$D336&lt;50000, "Lima",IF(Lima!$D336&lt;72000,"Daba")))))</f>
        <v/>
      </c>
      <c r="M336" s="1" t="str">
        <f>IF(Lima!$C336="","",TEXT(Lima!$C336,"mmm  yy"))</f>
        <v/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3">
      <c r="A337" s="1"/>
      <c r="B337" s="1"/>
      <c r="C337" s="2"/>
      <c r="D337" s="1"/>
      <c r="E337" s="1"/>
      <c r="F337" s="3"/>
      <c r="G337" s="1"/>
      <c r="H337" s="1"/>
      <c r="I337" s="1"/>
      <c r="J337" s="1"/>
      <c r="K337" s="1"/>
      <c r="L337" s="1" t="str">
        <f>IF(Lima!$D337="Precast",L309,IF(Lima!$D337="","",IF(Lima!$D337&lt;20000,"Khasab",IF(Lima!$D337&lt;50000, "Lima",IF(Lima!$D337&lt;72000,"Daba")))))</f>
        <v/>
      </c>
      <c r="M337" s="1" t="str">
        <f>IF(Lima!$C337="","",TEXT(Lima!$C337,"mmm  yy"))</f>
        <v/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3">
      <c r="A338" s="1"/>
      <c r="B338" s="1"/>
      <c r="C338" s="2"/>
      <c r="D338" s="1"/>
      <c r="E338" s="1"/>
      <c r="F338" s="3"/>
      <c r="G338" s="1"/>
      <c r="H338" s="1"/>
      <c r="I338" s="1"/>
      <c r="J338" s="1"/>
      <c r="K338" s="1"/>
      <c r="L338" s="1" t="str">
        <f>IF(Lima!$D338="Precast",L310,IF(Lima!$D338="","",IF(Lima!$D338&lt;20000,"Khasab",IF(Lima!$D338&lt;50000, "Lima",IF(Lima!$D338&lt;72000,"Daba")))))</f>
        <v/>
      </c>
      <c r="M338" s="1" t="str">
        <f>IF(Lima!$C338="","",TEXT(Lima!$C338,"mmm  yy"))</f>
        <v/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3">
      <c r="A339" s="1"/>
      <c r="B339" s="1"/>
      <c r="C339" s="2"/>
      <c r="D339" s="1"/>
      <c r="E339" s="1"/>
      <c r="F339" s="3"/>
      <c r="G339" s="1"/>
      <c r="H339" s="1"/>
      <c r="I339" s="1"/>
      <c r="J339" s="1"/>
      <c r="K339" s="1"/>
      <c r="L339" s="1" t="str">
        <f>IF(Lima!$D339="Precast",L311,IF(Lima!$D339="","",IF(Lima!$D339&lt;20000,"Khasab",IF(Lima!$D339&lt;50000, "Lima",IF(Lima!$D339&lt;72000,"Daba")))))</f>
        <v/>
      </c>
      <c r="M339" s="1" t="str">
        <f>IF(Lima!$C339="","",TEXT(Lima!$C339,"mmm  yy"))</f>
        <v/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3">
      <c r="A340" s="1"/>
      <c r="B340" s="1"/>
      <c r="C340" s="2"/>
      <c r="D340" s="1"/>
      <c r="E340" s="1"/>
      <c r="F340" s="3"/>
      <c r="G340" s="1"/>
      <c r="H340" s="1"/>
      <c r="I340" s="1"/>
      <c r="J340" s="1"/>
      <c r="K340" s="1"/>
      <c r="L340" s="1" t="str">
        <f>IF(Lima!$D340="Precast",L312,IF(Lima!$D340="","",IF(Lima!$D340&lt;20000,"Khasab",IF(Lima!$D340&lt;50000, "Lima",IF(Lima!$D340&lt;72000,"Daba")))))</f>
        <v/>
      </c>
      <c r="M340" s="1" t="str">
        <f>IF(Lima!$C340="","",TEXT(Lima!$C340,"mmm  yy"))</f>
        <v/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3">
      <c r="A341" s="1"/>
      <c r="B341" s="1"/>
      <c r="C341" s="2"/>
      <c r="D341" s="1"/>
      <c r="E341" s="1"/>
      <c r="F341" s="3"/>
      <c r="G341" s="1"/>
      <c r="H341" s="1"/>
      <c r="I341" s="1"/>
      <c r="J341" s="1"/>
      <c r="K341" s="1"/>
      <c r="L341" s="1" t="str">
        <f>IF(Lima!$D341="Precast",L313,IF(Lima!$D341="","",IF(Lima!$D341&lt;20000,"Khasab",IF(Lima!$D341&lt;50000, "Lima",IF(Lima!$D341&lt;72000,"Daba")))))</f>
        <v/>
      </c>
      <c r="M341" s="1" t="str">
        <f>IF(Lima!$C341="","",TEXT(Lima!$C341,"mmm  yy"))</f>
        <v/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3">
      <c r="A342" s="1"/>
      <c r="B342" s="1"/>
      <c r="C342" s="2"/>
      <c r="D342" s="1"/>
      <c r="E342" s="1"/>
      <c r="F342" s="3"/>
      <c r="G342" s="1"/>
      <c r="H342" s="1"/>
      <c r="I342" s="1"/>
      <c r="J342" s="1"/>
      <c r="K342" s="1"/>
      <c r="L342" s="1" t="str">
        <f>IF(Lima!$D342="Precast",L314,IF(Lima!$D342="","",IF(Lima!$D342&lt;20000,"Khasab",IF(Lima!$D342&lt;50000, "Lima",IF(Lima!$D342&lt;72000,"Daba")))))</f>
        <v/>
      </c>
      <c r="M342" s="1" t="str">
        <f>IF(Lima!$C342="","",TEXT(Lima!$C342,"mmm  yy"))</f>
        <v/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3">
      <c r="A343" s="1"/>
      <c r="B343" s="1"/>
      <c r="C343" s="2"/>
      <c r="D343" s="1"/>
      <c r="E343" s="1"/>
      <c r="F343" s="3"/>
      <c r="G343" s="1"/>
      <c r="H343" s="1"/>
      <c r="I343" s="1"/>
      <c r="J343" s="1"/>
      <c r="K343" s="1"/>
      <c r="L343" s="1" t="str">
        <f>IF(Lima!$D343="Precast",L315,IF(Lima!$D343="","",IF(Lima!$D343&lt;20000,"Khasab",IF(Lima!$D343&lt;50000, "Lima",IF(Lima!$D343&lt;72000,"Daba")))))</f>
        <v/>
      </c>
      <c r="M343" s="1" t="str">
        <f>IF(Lima!$C343="","",TEXT(Lima!$C343,"mmm  yy"))</f>
        <v/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3">
      <c r="A344" s="1"/>
      <c r="B344" s="1"/>
      <c r="C344" s="2"/>
      <c r="D344" s="1"/>
      <c r="E344" s="1"/>
      <c r="F344" s="3"/>
      <c r="G344" s="1"/>
      <c r="H344" s="1"/>
      <c r="I344" s="1"/>
      <c r="J344" s="1"/>
      <c r="K344" s="1"/>
      <c r="L344" s="1" t="str">
        <f>IF(Lima!$D344="Precast",L316,IF(Lima!$D344="","",IF(Lima!$D344&lt;20000,"Khasab",IF(Lima!$D344&lt;50000, "Lima",IF(Lima!$D344&lt;72000,"Daba")))))</f>
        <v/>
      </c>
      <c r="M344" s="1" t="str">
        <f>IF(Lima!$C344="","",TEXT(Lima!$C344,"mmm  yy"))</f>
        <v/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3">
      <c r="A345" s="1"/>
      <c r="B345" s="1"/>
      <c r="C345" s="2"/>
      <c r="D345" s="1"/>
      <c r="E345" s="1"/>
      <c r="F345" s="3"/>
      <c r="G345" s="1"/>
      <c r="H345" s="1"/>
      <c r="I345" s="1"/>
      <c r="J345" s="1"/>
      <c r="K345" s="1"/>
      <c r="L345" s="1" t="str">
        <f>IF(Lima!$D345="Precast",L317,IF(Lima!$D345="","",IF(Lima!$D345&lt;20000,"Khasab",IF(Lima!$D345&lt;50000, "Lima",IF(Lima!$D345&lt;72000,"Daba")))))</f>
        <v/>
      </c>
      <c r="M345" s="1" t="str">
        <f>IF(Lima!$C345="","",TEXT(Lima!$C345,"mmm  yy"))</f>
        <v/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3">
      <c r="A346" s="1"/>
      <c r="B346" s="1"/>
      <c r="C346" s="2"/>
      <c r="D346" s="1"/>
      <c r="E346" s="1"/>
      <c r="F346" s="3"/>
      <c r="G346" s="1"/>
      <c r="H346" s="1"/>
      <c r="I346" s="1"/>
      <c r="J346" s="1"/>
      <c r="K346" s="1"/>
      <c r="L346" s="1" t="str">
        <f>IF(Lima!$D346="Precast",L318,IF(Lima!$D346="","",IF(Lima!$D346&lt;20000,"Khasab",IF(Lima!$D346&lt;50000, "Lima",IF(Lima!$D346&lt;72000,"Daba")))))</f>
        <v/>
      </c>
      <c r="M346" s="1" t="str">
        <f>IF(Lima!$C346="","",TEXT(Lima!$C346,"mmm  yy"))</f>
        <v/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3">
      <c r="A347" s="1"/>
      <c r="B347" s="1"/>
      <c r="C347" s="2"/>
      <c r="D347" s="1"/>
      <c r="E347" s="1"/>
      <c r="F347" s="3"/>
      <c r="G347" s="1"/>
      <c r="H347" s="1"/>
      <c r="I347" s="1"/>
      <c r="J347" s="1"/>
      <c r="K347" s="1"/>
      <c r="L347" s="1" t="str">
        <f>IF(Lima!$D347="Precast",L319,IF(Lima!$D347="","",IF(Lima!$D347&lt;20000,"Khasab",IF(Lima!$D347&lt;50000, "Lima",IF(Lima!$D347&lt;72000,"Daba")))))</f>
        <v/>
      </c>
      <c r="M347" s="1" t="str">
        <f>IF(Lima!$C347="","",TEXT(Lima!$C347,"mmm  yy"))</f>
        <v/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3">
      <c r="A348" s="1"/>
      <c r="B348" s="1"/>
      <c r="C348" s="2"/>
      <c r="D348" s="1"/>
      <c r="E348" s="1"/>
      <c r="F348" s="3"/>
      <c r="G348" s="1"/>
      <c r="H348" s="1"/>
      <c r="I348" s="1"/>
      <c r="J348" s="1"/>
      <c r="K348" s="1"/>
      <c r="L348" s="1" t="str">
        <f>IF(Lima!$D348="Precast",L320,IF(Lima!$D348="","",IF(Lima!$D348&lt;20000,"Khasab",IF(Lima!$D348&lt;50000, "Lima",IF(Lima!$D348&lt;72000,"Daba")))))</f>
        <v/>
      </c>
      <c r="M348" s="1" t="str">
        <f>IF(Lima!$C348="","",TEXT(Lima!$C348,"mmm  yy"))</f>
        <v/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3">
      <c r="A349" s="1"/>
      <c r="B349" s="1"/>
      <c r="C349" s="2"/>
      <c r="D349" s="1"/>
      <c r="E349" s="1"/>
      <c r="F349" s="3"/>
      <c r="G349" s="1"/>
      <c r="H349" s="1"/>
      <c r="I349" s="1"/>
      <c r="J349" s="1"/>
      <c r="K349" s="1"/>
      <c r="L349" s="1" t="str">
        <f>IF(Lima!$D349="Precast",L321,IF(Lima!$D349="","",IF(Lima!$D349&lt;20000,"Khasab",IF(Lima!$D349&lt;50000, "Lima",IF(Lima!$D349&lt;72000,"Daba")))))</f>
        <v/>
      </c>
      <c r="M349" s="1" t="str">
        <f>IF(Lima!$C349="","",TEXT(Lima!$C349,"mmm  yy"))</f>
        <v/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3">
      <c r="A350" s="1"/>
      <c r="B350" s="1"/>
      <c r="C350" s="2"/>
      <c r="D350" s="1"/>
      <c r="E350" s="1"/>
      <c r="F350" s="3"/>
      <c r="G350" s="1"/>
      <c r="H350" s="1"/>
      <c r="I350" s="1"/>
      <c r="J350" s="1"/>
      <c r="K350" s="1"/>
      <c r="L350" s="1" t="str">
        <f>IF(Lima!$D350="Precast",L322,IF(Lima!$D350="","",IF(Lima!$D350&lt;20000,"Khasab",IF(Lima!$D350&lt;50000, "Lima",IF(Lima!$D350&lt;72000,"Daba")))))</f>
        <v/>
      </c>
      <c r="M350" s="1" t="str">
        <f>IF(Lima!$C350="","",TEXT(Lima!$C350,"mmm  yy"))</f>
        <v/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3">
      <c r="A351" s="1"/>
      <c r="B351" s="1"/>
      <c r="C351" s="2"/>
      <c r="D351" s="1"/>
      <c r="E351" s="1"/>
      <c r="F351" s="3"/>
      <c r="G351" s="1"/>
      <c r="H351" s="1"/>
      <c r="I351" s="1"/>
      <c r="J351" s="1"/>
      <c r="K351" s="1"/>
      <c r="L351" s="1" t="str">
        <f>IF(Lima!$D351="Precast",L323,IF(Lima!$D351="","",IF(Lima!$D351&lt;20000,"Khasab",IF(Lima!$D351&lt;50000, "Lima",IF(Lima!$D351&lt;72000,"Daba")))))</f>
        <v/>
      </c>
      <c r="M351" s="1" t="str">
        <f>IF(Lima!$C351="","",TEXT(Lima!$C351,"mmm  yy"))</f>
        <v/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3">
      <c r="A352" s="1"/>
      <c r="B352" s="1"/>
      <c r="C352" s="2"/>
      <c r="D352" s="1"/>
      <c r="E352" s="1"/>
      <c r="F352" s="3"/>
      <c r="G352" s="1"/>
      <c r="H352" s="1"/>
      <c r="I352" s="1"/>
      <c r="J352" s="1"/>
      <c r="K352" s="1"/>
      <c r="L352" s="1" t="str">
        <f>IF(Lima!$D352="Precast",L324,IF(Lima!$D352="","",IF(Lima!$D352&lt;20000,"Khasab",IF(Lima!$D352&lt;50000, "Lima",IF(Lima!$D352&lt;72000,"Daba")))))</f>
        <v/>
      </c>
      <c r="M352" s="1" t="str">
        <f>IF(Lima!$C352="","",TEXT(Lima!$C352,"mmm  yy"))</f>
        <v/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3">
      <c r="A353" s="1"/>
      <c r="B353" s="1"/>
      <c r="C353" s="2"/>
      <c r="D353" s="1"/>
      <c r="E353" s="1"/>
      <c r="F353" s="3"/>
      <c r="G353" s="1"/>
      <c r="H353" s="1"/>
      <c r="I353" s="1"/>
      <c r="J353" s="1"/>
      <c r="K353" s="1"/>
      <c r="L353" s="1" t="str">
        <f>IF(Lima!$D353="Precast",L325,IF(Lima!$D353="","",IF(Lima!$D353&lt;20000,"Khasab",IF(Lima!$D353&lt;50000, "Lima",IF(Lima!$D353&lt;72000,"Daba")))))</f>
        <v/>
      </c>
      <c r="M353" s="1" t="str">
        <f>IF(Lima!$C353="","",TEXT(Lima!$C353,"mmm  yy"))</f>
        <v/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3">
      <c r="A354" s="1"/>
      <c r="B354" s="1"/>
      <c r="C354" s="2"/>
      <c r="D354" s="1"/>
      <c r="E354" s="1"/>
      <c r="F354" s="3"/>
      <c r="G354" s="1"/>
      <c r="H354" s="1"/>
      <c r="I354" s="1"/>
      <c r="J354" s="1"/>
      <c r="K354" s="1"/>
      <c r="L354" s="1" t="str">
        <f>IF(Lima!$D354="Precast",L326,IF(Lima!$D354="","",IF(Lima!$D354&lt;20000,"Khasab",IF(Lima!$D354&lt;50000, "Lima",IF(Lima!$D354&lt;72000,"Daba")))))</f>
        <v/>
      </c>
      <c r="M354" s="1" t="str">
        <f>IF(Lima!$C354="","",TEXT(Lima!$C354,"mmm  yy"))</f>
        <v/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3">
      <c r="A355" s="1"/>
      <c r="B355" s="1"/>
      <c r="C355" s="2"/>
      <c r="D355" s="1"/>
      <c r="E355" s="1"/>
      <c r="F355" s="3"/>
      <c r="G355" s="1"/>
      <c r="H355" s="1"/>
      <c r="I355" s="1"/>
      <c r="J355" s="1"/>
      <c r="K355" s="1"/>
      <c r="L355" s="1" t="str">
        <f>IF(Lima!$D355="Precast",L327,IF(Lima!$D355="","",IF(Lima!$D355&lt;20000,"Khasab",IF(Lima!$D355&lt;50000, "Lima",IF(Lima!$D355&lt;72000,"Daba")))))</f>
        <v/>
      </c>
      <c r="M355" s="1" t="str">
        <f>IF(Lima!$C355="","",TEXT(Lima!$C355,"mmm  yy"))</f>
        <v/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3">
      <c r="A356" s="1"/>
      <c r="B356" s="1"/>
      <c r="C356" s="2"/>
      <c r="D356" s="1"/>
      <c r="E356" s="1"/>
      <c r="F356" s="3"/>
      <c r="G356" s="1"/>
      <c r="H356" s="1"/>
      <c r="I356" s="1"/>
      <c r="J356" s="1"/>
      <c r="K356" s="1"/>
      <c r="L356" s="1" t="str">
        <f>IF(Lima!$D356="Precast",L328,IF(Lima!$D356="","",IF(Lima!$D356&lt;20000,"Khasab",IF(Lima!$D356&lt;50000, "Lima",IF(Lima!$D356&lt;72000,"Daba")))))</f>
        <v/>
      </c>
      <c r="M356" s="1" t="str">
        <f>IF(Lima!$C356="","",TEXT(Lima!$C356,"mmm  yy"))</f>
        <v/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3">
      <c r="A357" s="1"/>
      <c r="B357" s="1"/>
      <c r="C357" s="2"/>
      <c r="D357" s="1"/>
      <c r="E357" s="1"/>
      <c r="F357" s="3"/>
      <c r="G357" s="1"/>
      <c r="H357" s="1"/>
      <c r="I357" s="1"/>
      <c r="J357" s="1"/>
      <c r="K357" s="1"/>
      <c r="L357" s="1" t="str">
        <f>IF(Lima!$D357="Precast",L329,IF(Lima!$D357="","",IF(Lima!$D357&lt;20000,"Khasab",IF(Lima!$D357&lt;50000, "Lima",IF(Lima!$D357&lt;72000,"Daba")))))</f>
        <v/>
      </c>
      <c r="M357" s="1" t="str">
        <f>IF(Lima!$C357="","",TEXT(Lima!$C357,"mmm  yy"))</f>
        <v/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3">
      <c r="A358" s="1"/>
      <c r="B358" s="1"/>
      <c r="C358" s="2"/>
      <c r="D358" s="1"/>
      <c r="E358" s="1"/>
      <c r="F358" s="3"/>
      <c r="G358" s="1"/>
      <c r="H358" s="1"/>
      <c r="I358" s="1"/>
      <c r="J358" s="1"/>
      <c r="K358" s="1"/>
      <c r="L358" s="1" t="str">
        <f>IF(Lima!$D358="Precast",L330,IF(Lima!$D358="","",IF(Lima!$D358&lt;20000,"Khasab",IF(Lima!$D358&lt;50000, "Lima",IF(Lima!$D358&lt;72000,"Daba")))))</f>
        <v/>
      </c>
      <c r="M358" s="1" t="str">
        <f>IF(Lima!$C358="","",TEXT(Lima!$C358,"mmm  yy"))</f>
        <v/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3">
      <c r="A359" s="1"/>
      <c r="B359" s="1"/>
      <c r="C359" s="2"/>
      <c r="D359" s="1"/>
      <c r="E359" s="1"/>
      <c r="F359" s="3"/>
      <c r="G359" s="1"/>
      <c r="H359" s="1"/>
      <c r="I359" s="1"/>
      <c r="J359" s="1"/>
      <c r="K359" s="1"/>
      <c r="L359" s="1" t="str">
        <f>IF(Lima!$D359="Precast",L331,IF(Lima!$D359="","",IF(Lima!$D359&lt;20000,"Khasab",IF(Lima!$D359&lt;50000, "Lima",IF(Lima!$D359&lt;72000,"Daba")))))</f>
        <v/>
      </c>
      <c r="M359" s="1" t="str">
        <f>IF(Lima!$C359="","",TEXT(Lima!$C359,"mmm  yy"))</f>
        <v/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3">
      <c r="A360" s="1"/>
      <c r="B360" s="1"/>
      <c r="C360" s="2"/>
      <c r="D360" s="1"/>
      <c r="E360" s="1"/>
      <c r="F360" s="3"/>
      <c r="G360" s="1"/>
      <c r="H360" s="1"/>
      <c r="I360" s="1"/>
      <c r="J360" s="1"/>
      <c r="K360" s="1"/>
      <c r="L360" s="1" t="str">
        <f>IF(Lima!$D360="Precast",L332,IF(Lima!$D360="","",IF(Lima!$D360&lt;20000,"Khasab",IF(Lima!$D360&lt;50000, "Lima",IF(Lima!$D360&lt;72000,"Daba")))))</f>
        <v/>
      </c>
      <c r="M360" s="1" t="str">
        <f>IF(Lima!$C360="","",TEXT(Lima!$C360,"mmm  yy"))</f>
        <v/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3">
      <c r="A361" s="1"/>
      <c r="B361" s="1"/>
      <c r="C361" s="2"/>
      <c r="D361" s="1"/>
      <c r="E361" s="1"/>
      <c r="F361" s="3"/>
      <c r="G361" s="1"/>
      <c r="H361" s="1"/>
      <c r="I361" s="1"/>
      <c r="J361" s="1"/>
      <c r="K361" s="1"/>
      <c r="L361" s="1" t="str">
        <f>IF(Lima!$D361="Precast",L333,IF(Lima!$D361="","",IF(Lima!$D361&lt;20000,"Khasab",IF(Lima!$D361&lt;50000, "Lima",IF(Lima!$D361&lt;72000,"Daba")))))</f>
        <v/>
      </c>
      <c r="M361" s="1" t="str">
        <f>IF(Lima!$C361="","",TEXT(Lima!$C361,"mmm  yy"))</f>
        <v/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3">
      <c r="A362" s="1"/>
      <c r="B362" s="1"/>
      <c r="C362" s="2"/>
      <c r="D362" s="1"/>
      <c r="E362" s="1"/>
      <c r="F362" s="3"/>
      <c r="G362" s="1"/>
      <c r="H362" s="1"/>
      <c r="I362" s="1"/>
      <c r="J362" s="1"/>
      <c r="K362" s="1"/>
      <c r="L362" s="1" t="str">
        <f>IF(Lima!$D362="Precast",L334,IF(Lima!$D362="","",IF(Lima!$D362&lt;20000,"Khasab",IF(Lima!$D362&lt;50000, "Lima",IF(Lima!$D362&lt;72000,"Daba")))))</f>
        <v/>
      </c>
      <c r="M362" s="1" t="str">
        <f>IF(Lima!$C362="","",TEXT(Lima!$C362,"mmm  yy"))</f>
        <v/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3">
      <c r="A363" s="1"/>
      <c r="B363" s="1"/>
      <c r="C363" s="2"/>
      <c r="D363" s="1"/>
      <c r="E363" s="1"/>
      <c r="F363" s="3"/>
      <c r="G363" s="1"/>
      <c r="H363" s="1"/>
      <c r="I363" s="1"/>
      <c r="J363" s="1"/>
      <c r="K363" s="1"/>
      <c r="L363" s="1" t="str">
        <f>IF(Lima!$D363="Precast",L335,IF(Lima!$D363="","",IF(Lima!$D363&lt;20000,"Khasab",IF(Lima!$D363&lt;50000, "Lima",IF(Lima!$D363&lt;72000,"Daba")))))</f>
        <v/>
      </c>
      <c r="M363" s="1" t="str">
        <f>IF(Lima!$C363="","",TEXT(Lima!$C363,"mmm  yy"))</f>
        <v/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3">
      <c r="A364" s="1"/>
      <c r="B364" s="1"/>
      <c r="C364" s="2"/>
      <c r="D364" s="1"/>
      <c r="E364" s="1"/>
      <c r="F364" s="3"/>
      <c r="G364" s="1"/>
      <c r="H364" s="1"/>
      <c r="I364" s="1"/>
      <c r="J364" s="1"/>
      <c r="K364" s="1"/>
      <c r="L364" s="1" t="str">
        <f>IF(Lima!$D364="Precast",L336,IF(Lima!$D364="","",IF(Lima!$D364&lt;20000,"Khasab",IF(Lima!$D364&lt;50000, "Lima",IF(Lima!$D364&lt;72000,"Daba")))))</f>
        <v/>
      </c>
      <c r="M364" s="1" t="str">
        <f>IF(Lima!$C364="","",TEXT(Lima!$C364,"mmm  yy"))</f>
        <v/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3">
      <c r="A365" s="1"/>
      <c r="B365" s="1"/>
      <c r="C365" s="2"/>
      <c r="D365" s="1"/>
      <c r="E365" s="1"/>
      <c r="F365" s="3"/>
      <c r="G365" s="1"/>
      <c r="H365" s="1"/>
      <c r="I365" s="1"/>
      <c r="J365" s="1"/>
      <c r="K365" s="1"/>
      <c r="L365" s="1" t="str">
        <f>IF(Lima!$D365="Precast",L337,IF(Lima!$D365="","",IF(Lima!$D365&lt;20000,"Khasab",IF(Lima!$D365&lt;50000, "Lima",IF(Lima!$D365&lt;72000,"Daba")))))</f>
        <v/>
      </c>
      <c r="M365" s="1" t="str">
        <f>IF(Lima!$C365="","",TEXT(Lima!$C365,"mmm  yy"))</f>
        <v/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3">
      <c r="A366" s="1"/>
      <c r="B366" s="1"/>
      <c r="C366" s="2"/>
      <c r="D366" s="1"/>
      <c r="E366" s="1"/>
      <c r="F366" s="3"/>
      <c r="G366" s="1"/>
      <c r="H366" s="1"/>
      <c r="I366" s="1"/>
      <c r="J366" s="1"/>
      <c r="K366" s="1"/>
      <c r="L366" s="1" t="str">
        <f>IF(Lima!$D366="Precast",L338,IF(Lima!$D366="","",IF(Lima!$D366&lt;20000,"Khasab",IF(Lima!$D366&lt;50000, "Lima",IF(Lima!$D366&lt;72000,"Daba")))))</f>
        <v/>
      </c>
      <c r="M366" s="1" t="str">
        <f>IF(Lima!$C366="","",TEXT(Lima!$C366,"mmm  yy"))</f>
        <v/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3">
      <c r="A367" s="1"/>
      <c r="B367" s="1"/>
      <c r="C367" s="2"/>
      <c r="D367" s="1"/>
      <c r="E367" s="1"/>
      <c r="F367" s="3"/>
      <c r="G367" s="1"/>
      <c r="H367" s="1"/>
      <c r="I367" s="1"/>
      <c r="J367" s="1"/>
      <c r="K367" s="1"/>
      <c r="L367" s="1" t="str">
        <f>IF(Lima!$D367="Precast",L339,IF(Lima!$D367="","",IF(Lima!$D367&lt;20000,"Khasab",IF(Lima!$D367&lt;50000, "Lima",IF(Lima!$D367&lt;72000,"Daba")))))</f>
        <v/>
      </c>
      <c r="M367" s="1" t="str">
        <f>IF(Lima!$C367="","",TEXT(Lima!$C367,"mmm  yy"))</f>
        <v/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3">
      <c r="A368" s="1"/>
      <c r="B368" s="1"/>
      <c r="C368" s="2"/>
      <c r="D368" s="1"/>
      <c r="E368" s="1"/>
      <c r="F368" s="3"/>
      <c r="G368" s="1"/>
      <c r="H368" s="1"/>
      <c r="I368" s="1"/>
      <c r="J368" s="1"/>
      <c r="K368" s="1"/>
      <c r="L368" s="1" t="str">
        <f>IF(Lima!$D368="Precast",L340,IF(Lima!$D368="","",IF(Lima!$D368&lt;20000,"Khasab",IF(Lima!$D368&lt;50000, "Lima",IF(Lima!$D368&lt;72000,"Daba")))))</f>
        <v/>
      </c>
      <c r="M368" s="1" t="str">
        <f>IF(Lima!$C368="","",TEXT(Lima!$C368,"mmm  yy"))</f>
        <v/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3">
      <c r="A369" s="1"/>
      <c r="B369" s="1"/>
      <c r="C369" s="2"/>
      <c r="D369" s="1"/>
      <c r="E369" s="1"/>
      <c r="F369" s="3"/>
      <c r="G369" s="1"/>
      <c r="H369" s="1"/>
      <c r="I369" s="1"/>
      <c r="J369" s="1"/>
      <c r="K369" s="1"/>
      <c r="L369" s="1" t="str">
        <f>IF(Lima!$D369="Precast",L341,IF(Lima!$D369="","",IF(Lima!$D369&lt;20000,"Khasab",IF(Lima!$D369&lt;50000, "Lima",IF(Lima!$D369&lt;72000,"Daba")))))</f>
        <v/>
      </c>
      <c r="M369" s="1" t="str">
        <f>IF(Lima!$C369="","",TEXT(Lima!$C369,"mmm  yy"))</f>
        <v/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3">
      <c r="A370" s="1"/>
      <c r="B370" s="1"/>
      <c r="C370" s="2"/>
      <c r="D370" s="1"/>
      <c r="E370" s="1"/>
      <c r="F370" s="3"/>
      <c r="G370" s="1"/>
      <c r="H370" s="1"/>
      <c r="I370" s="1"/>
      <c r="J370" s="1"/>
      <c r="K370" s="1"/>
      <c r="L370" s="1" t="str">
        <f>IF(Lima!$D370="Precast",L342,IF(Lima!$D370="","",IF(Lima!$D370&lt;20000,"Khasab",IF(Lima!$D370&lt;50000, "Lima",IF(Lima!$D370&lt;72000,"Daba")))))</f>
        <v/>
      </c>
      <c r="M370" s="1" t="str">
        <f>IF(Lima!$C370="","",TEXT(Lima!$C370,"mmm  yy"))</f>
        <v/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3">
      <c r="A371" s="1"/>
      <c r="B371" s="1"/>
      <c r="C371" s="2"/>
      <c r="D371" s="1"/>
      <c r="E371" s="1"/>
      <c r="F371" s="3"/>
      <c r="G371" s="1"/>
      <c r="H371" s="1"/>
      <c r="I371" s="1"/>
      <c r="J371" s="1"/>
      <c r="K371" s="1"/>
      <c r="L371" s="1" t="str">
        <f>IF(Lima!$D371="Precast",L343,IF(Lima!$D371="","",IF(Lima!$D371&lt;20000,"Khasab",IF(Lima!$D371&lt;50000, "Lima",IF(Lima!$D371&lt;72000,"Daba")))))</f>
        <v/>
      </c>
      <c r="M371" s="1" t="str">
        <f>IF(Lima!$C371="","",TEXT(Lima!$C371,"mmm  yy"))</f>
        <v/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3">
      <c r="A372" s="1"/>
      <c r="B372" s="1"/>
      <c r="C372" s="2"/>
      <c r="D372" s="1"/>
      <c r="E372" s="1"/>
      <c r="F372" s="3"/>
      <c r="G372" s="1"/>
      <c r="H372" s="1"/>
      <c r="I372" s="1"/>
      <c r="J372" s="1"/>
      <c r="K372" s="1"/>
      <c r="L372" s="1" t="str">
        <f>IF(Lima!$D372="Precast",L344,IF(Lima!$D372="","",IF(Lima!$D372&lt;20000,"Khasab",IF(Lima!$D372&lt;50000, "Lima",IF(Lima!$D372&lt;72000,"Daba")))))</f>
        <v/>
      </c>
      <c r="M372" s="1" t="str">
        <f>IF(Lima!$C372="","",TEXT(Lima!$C372,"mmm  yy"))</f>
        <v/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3">
      <c r="A373" s="1"/>
      <c r="B373" s="1"/>
      <c r="C373" s="2"/>
      <c r="D373" s="1"/>
      <c r="E373" s="1"/>
      <c r="F373" s="3"/>
      <c r="G373" s="1"/>
      <c r="H373" s="1"/>
      <c r="I373" s="1"/>
      <c r="J373" s="1"/>
      <c r="K373" s="1"/>
      <c r="L373" s="1" t="str">
        <f>IF(Lima!$D373="Precast",L345,IF(Lima!$D373="","",IF(Lima!$D373&lt;20000,"Khasab",IF(Lima!$D373&lt;50000, "Lima",IF(Lima!$D373&lt;72000,"Daba")))))</f>
        <v/>
      </c>
      <c r="M373" s="1" t="str">
        <f>IF(Lima!$C373="","",TEXT(Lima!$C373,"mmm  yy"))</f>
        <v/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3">
      <c r="A374" s="1"/>
      <c r="B374" s="1"/>
      <c r="C374" s="2"/>
      <c r="D374" s="1"/>
      <c r="E374" s="1"/>
      <c r="F374" s="3"/>
      <c r="G374" s="1"/>
      <c r="H374" s="1"/>
      <c r="I374" s="1"/>
      <c r="J374" s="1"/>
      <c r="K374" s="1"/>
      <c r="L374" s="1" t="str">
        <f>IF(Lima!$D374="Precast",L346,IF(Lima!$D374="","",IF(Lima!$D374&lt;20000,"Khasab",IF(Lima!$D374&lt;50000, "Lima",IF(Lima!$D374&lt;72000,"Daba")))))</f>
        <v/>
      </c>
      <c r="M374" s="1" t="str">
        <f>IF(Lima!$C374="","",TEXT(Lima!$C374,"mmm  yy"))</f>
        <v/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3">
      <c r="A375" s="1"/>
      <c r="B375" s="1"/>
      <c r="C375" s="2"/>
      <c r="D375" s="1"/>
      <c r="E375" s="1"/>
      <c r="F375" s="3"/>
      <c r="G375" s="1"/>
      <c r="H375" s="1"/>
      <c r="I375" s="1"/>
      <c r="J375" s="1"/>
      <c r="K375" s="1"/>
      <c r="L375" s="1" t="str">
        <f>IF(Lima!$D375="Precast",L347,IF(Lima!$D375="","",IF(Lima!$D375&lt;20000,"Khasab",IF(Lima!$D375&lt;50000, "Lima",IF(Lima!$D375&lt;72000,"Daba")))))</f>
        <v/>
      </c>
      <c r="M375" s="1" t="str">
        <f>IF(Lima!$C375="","",TEXT(Lima!$C375,"mmm  yy"))</f>
        <v/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3">
      <c r="A376" s="1"/>
      <c r="B376" s="1"/>
      <c r="C376" s="2"/>
      <c r="D376" s="1"/>
      <c r="E376" s="1"/>
      <c r="F376" s="3"/>
      <c r="G376" s="1"/>
      <c r="H376" s="1"/>
      <c r="I376" s="1"/>
      <c r="J376" s="1"/>
      <c r="K376" s="1"/>
      <c r="L376" s="1" t="str">
        <f>IF(Lima!$D376="Precast",L348,IF(Lima!$D376="","",IF(Lima!$D376&lt;20000,"Khasab",IF(Lima!$D376&lt;50000, "Lima",IF(Lima!$D376&lt;72000,"Daba")))))</f>
        <v/>
      </c>
      <c r="M376" s="1" t="str">
        <f>IF(Lima!$C376="","",TEXT(Lima!$C376,"mmm  yy"))</f>
        <v/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3">
      <c r="A377" s="1"/>
      <c r="B377" s="1"/>
      <c r="C377" s="2"/>
      <c r="D377" s="1"/>
      <c r="E377" s="1"/>
      <c r="F377" s="3"/>
      <c r="G377" s="1"/>
      <c r="H377" s="1"/>
      <c r="I377" s="1"/>
      <c r="J377" s="1"/>
      <c r="K377" s="1"/>
      <c r="L377" s="1" t="str">
        <f>IF(Lima!$D377="Precast",L349,IF(Lima!$D377="","",IF(Lima!$D377&lt;20000,"Khasab",IF(Lima!$D377&lt;50000, "Lima",IF(Lima!$D377&lt;72000,"Daba")))))</f>
        <v/>
      </c>
      <c r="M377" s="1" t="str">
        <f>IF(Lima!$C377="","",TEXT(Lima!$C377,"mmm  yy"))</f>
        <v/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3">
      <c r="A378" s="1"/>
      <c r="B378" s="1"/>
      <c r="C378" s="2"/>
      <c r="D378" s="1"/>
      <c r="E378" s="1"/>
      <c r="F378" s="3"/>
      <c r="G378" s="1"/>
      <c r="H378" s="1"/>
      <c r="I378" s="1"/>
      <c r="J378" s="1"/>
      <c r="K378" s="1"/>
      <c r="L378" s="1" t="str">
        <f>IF(Lima!$D378="Precast",L350,IF(Lima!$D378="","",IF(Lima!$D378&lt;20000,"Khasab",IF(Lima!$D378&lt;50000, "Lima",IF(Lima!$D378&lt;72000,"Daba")))))</f>
        <v/>
      </c>
      <c r="M378" s="1" t="str">
        <f>IF(Lima!$C378="","",TEXT(Lima!$C378,"mmm  yy"))</f>
        <v/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3">
      <c r="A379" s="1"/>
      <c r="B379" s="1"/>
      <c r="C379" s="2"/>
      <c r="D379" s="1"/>
      <c r="E379" s="1"/>
      <c r="F379" s="3"/>
      <c r="G379" s="1"/>
      <c r="H379" s="1"/>
      <c r="I379" s="1"/>
      <c r="J379" s="1"/>
      <c r="K379" s="1"/>
      <c r="L379" s="1" t="str">
        <f>IF(Lima!$D379="Precast",L351,IF(Lima!$D379="","",IF(Lima!$D379&lt;20000,"Khasab",IF(Lima!$D379&lt;50000, "Lima",IF(Lima!$D379&lt;72000,"Daba")))))</f>
        <v/>
      </c>
      <c r="M379" s="1" t="str">
        <f>IF(Lima!$C379="","",TEXT(Lima!$C379,"mmm  yy"))</f>
        <v/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3">
      <c r="A380" s="1"/>
      <c r="B380" s="1"/>
      <c r="C380" s="2"/>
      <c r="D380" s="1"/>
      <c r="E380" s="1"/>
      <c r="F380" s="3"/>
      <c r="G380" s="1"/>
      <c r="H380" s="1"/>
      <c r="I380" s="1"/>
      <c r="J380" s="1"/>
      <c r="K380" s="1"/>
      <c r="L380" s="1" t="str">
        <f>IF(Lima!$D380="Precast",L352,IF(Lima!$D380="","",IF(Lima!$D380&lt;20000,"Khasab",IF(Lima!$D380&lt;50000, "Lima",IF(Lima!$D380&lt;72000,"Daba")))))</f>
        <v/>
      </c>
      <c r="M380" s="1" t="str">
        <f>IF(Lima!$C380="","",TEXT(Lima!$C380,"mmm  yy"))</f>
        <v/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3">
      <c r="A381" s="1"/>
      <c r="B381" s="1"/>
      <c r="C381" s="2"/>
      <c r="D381" s="1"/>
      <c r="E381" s="1"/>
      <c r="F381" s="3"/>
      <c r="G381" s="1"/>
      <c r="H381" s="1"/>
      <c r="I381" s="1"/>
      <c r="J381" s="1"/>
      <c r="K381" s="1"/>
      <c r="L381" s="1" t="str">
        <f>IF(Lima!$D381="Precast",L353,IF(Lima!$D381="","",IF(Lima!$D381&lt;20000,"Khasab",IF(Lima!$D381&lt;50000, "Lima",IF(Lima!$D381&lt;72000,"Daba")))))</f>
        <v/>
      </c>
      <c r="M381" s="1" t="str">
        <f>IF(Lima!$C381="","",TEXT(Lima!$C381,"mmm  yy"))</f>
        <v/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3">
      <c r="A382" s="1"/>
      <c r="B382" s="1"/>
      <c r="C382" s="2"/>
      <c r="D382" s="1"/>
      <c r="E382" s="1"/>
      <c r="F382" s="3"/>
      <c r="G382" s="1"/>
      <c r="H382" s="1"/>
      <c r="I382" s="1"/>
      <c r="J382" s="1"/>
      <c r="K382" s="1"/>
      <c r="L382" s="1" t="str">
        <f>IF(Lima!$D382="Precast",L354,IF(Lima!$D382="","",IF(Lima!$D382&lt;20000,"Khasab",IF(Lima!$D382&lt;50000, "Lima",IF(Lima!$D382&lt;72000,"Daba")))))</f>
        <v/>
      </c>
      <c r="M382" s="1" t="str">
        <f>IF(Lima!$C382="","",TEXT(Lima!$C382,"mmm  yy"))</f>
        <v/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3">
      <c r="A383" s="1"/>
      <c r="B383" s="1"/>
      <c r="C383" s="2"/>
      <c r="D383" s="1"/>
      <c r="E383" s="1"/>
      <c r="F383" s="3"/>
      <c r="G383" s="1"/>
      <c r="H383" s="1"/>
      <c r="I383" s="1"/>
      <c r="J383" s="1"/>
      <c r="K383" s="1"/>
      <c r="L383" s="1" t="str">
        <f>IF(Lima!$D383="Precast",L355,IF(Lima!$D383="","",IF(Lima!$D383&lt;20000,"Khasab",IF(Lima!$D383&lt;50000, "Lima",IF(Lima!$D383&lt;72000,"Daba")))))</f>
        <v/>
      </c>
      <c r="M383" s="1" t="str">
        <f>IF(Lima!$C383="","",TEXT(Lima!$C383,"mmm  yy"))</f>
        <v/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3">
      <c r="A384" s="1"/>
      <c r="B384" s="1"/>
      <c r="C384" s="2"/>
      <c r="D384" s="1"/>
      <c r="E384" s="1"/>
      <c r="F384" s="3"/>
      <c r="G384" s="1"/>
      <c r="H384" s="1"/>
      <c r="I384" s="1"/>
      <c r="J384" s="1"/>
      <c r="K384" s="1"/>
      <c r="L384" s="1" t="str">
        <f>IF(Lima!$D384="Precast",L356,IF(Lima!$D384="","",IF(Lima!$D384&lt;20000,"Khasab",IF(Lima!$D384&lt;50000, "Lima",IF(Lima!$D384&lt;72000,"Daba")))))</f>
        <v/>
      </c>
      <c r="M384" s="1" t="str">
        <f>IF(Lima!$C384="","",TEXT(Lima!$C384,"mmm  yy"))</f>
        <v/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3">
      <c r="A385" s="1"/>
      <c r="B385" s="1"/>
      <c r="C385" s="2"/>
      <c r="D385" s="1"/>
      <c r="E385" s="1"/>
      <c r="F385" s="3"/>
      <c r="G385" s="1"/>
      <c r="H385" s="1"/>
      <c r="I385" s="1"/>
      <c r="J385" s="1"/>
      <c r="K385" s="1"/>
      <c r="L385" s="1" t="str">
        <f>IF(Lima!$D385="Precast",L357,IF(Lima!$D385="","",IF(Lima!$D385&lt;20000,"Khasab",IF(Lima!$D385&lt;50000, "Lima",IF(Lima!$D385&lt;72000,"Daba")))))</f>
        <v/>
      </c>
      <c r="M385" s="1" t="str">
        <f>IF(Lima!$C385="","",TEXT(Lima!$C385,"mmm  yy"))</f>
        <v/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3">
      <c r="A386" s="1"/>
      <c r="B386" s="1"/>
      <c r="C386" s="2"/>
      <c r="D386" s="1"/>
      <c r="E386" s="1"/>
      <c r="F386" s="3"/>
      <c r="G386" s="1"/>
      <c r="H386" s="1"/>
      <c r="I386" s="1"/>
      <c r="J386" s="1"/>
      <c r="K386" s="1"/>
      <c r="L386" s="1" t="str">
        <f>IF(Lima!$D386="Precast",L358,IF(Lima!$D386="","",IF(Lima!$D386&lt;20000,"Khasab",IF(Lima!$D386&lt;50000, "Lima",IF(Lima!$D386&lt;72000,"Daba")))))</f>
        <v/>
      </c>
      <c r="M386" s="1" t="str">
        <f>IF(Lima!$C386="","",TEXT(Lima!$C386,"mmm  yy"))</f>
        <v/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3">
      <c r="A387" s="1"/>
      <c r="B387" s="1"/>
      <c r="C387" s="2"/>
      <c r="D387" s="1"/>
      <c r="E387" s="1"/>
      <c r="F387" s="3"/>
      <c r="G387" s="1"/>
      <c r="H387" s="1"/>
      <c r="I387" s="1"/>
      <c r="J387" s="1"/>
      <c r="K387" s="1"/>
      <c r="L387" s="1" t="str">
        <f>IF(Lima!$D387="Precast",L359,IF(Lima!$D387="","",IF(Lima!$D387&lt;20000,"Khasab",IF(Lima!$D387&lt;50000, "Lima",IF(Lima!$D387&lt;72000,"Daba")))))</f>
        <v/>
      </c>
      <c r="M387" s="1" t="str">
        <f>IF(Lima!$C387="","",TEXT(Lima!$C387,"mmm  yy"))</f>
        <v/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3">
      <c r="A388" s="1"/>
      <c r="B388" s="1"/>
      <c r="C388" s="2"/>
      <c r="D388" s="1"/>
      <c r="E388" s="1"/>
      <c r="F388" s="3"/>
      <c r="G388" s="1"/>
      <c r="H388" s="1"/>
      <c r="I388" s="1"/>
      <c r="J388" s="1"/>
      <c r="K388" s="1"/>
      <c r="L388" s="1" t="str">
        <f>IF(Lima!$D388="Precast",L360,IF(Lima!$D388="","",IF(Lima!$D388&lt;20000,"Khasab",IF(Lima!$D388&lt;50000, "Lima",IF(Lima!$D388&lt;72000,"Daba")))))</f>
        <v/>
      </c>
      <c r="M388" s="1" t="str">
        <f>IF(Lima!$C388="","",TEXT(Lima!$C388,"mmm  yy"))</f>
        <v/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3">
      <c r="A389" s="1"/>
      <c r="B389" s="1"/>
      <c r="C389" s="2"/>
      <c r="D389" s="1"/>
      <c r="E389" s="1"/>
      <c r="F389" s="3"/>
      <c r="G389" s="1"/>
      <c r="H389" s="1"/>
      <c r="I389" s="1"/>
      <c r="J389" s="1"/>
      <c r="K389" s="1"/>
      <c r="L389" s="1" t="str">
        <f>IF(Lima!$D389="Precast",L361,IF(Lima!$D389="","",IF(Lima!$D389&lt;20000,"Khasab",IF(Lima!$D389&lt;50000, "Lima",IF(Lima!$D389&lt;72000,"Daba")))))</f>
        <v/>
      </c>
      <c r="M389" s="1" t="str">
        <f>IF(Lima!$C389="","",TEXT(Lima!$C389,"mmm  yy"))</f>
        <v/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3">
      <c r="A390" s="1"/>
      <c r="B390" s="1"/>
      <c r="C390" s="2"/>
      <c r="D390" s="1"/>
      <c r="E390" s="1"/>
      <c r="F390" s="3"/>
      <c r="G390" s="1"/>
      <c r="H390" s="1"/>
      <c r="I390" s="1"/>
      <c r="J390" s="1"/>
      <c r="K390" s="1"/>
      <c r="L390" s="1" t="str">
        <f>IF(Lima!$D390="Precast",L362,IF(Lima!$D390="","",IF(Lima!$D390&lt;20000,"Khasab",IF(Lima!$D390&lt;50000, "Lima",IF(Lima!$D390&lt;72000,"Daba")))))</f>
        <v/>
      </c>
      <c r="M390" s="1" t="str">
        <f>IF(Lima!$C390="","",TEXT(Lima!$C390,"mmm  yy"))</f>
        <v/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3">
      <c r="A391" s="1"/>
      <c r="B391" s="1"/>
      <c r="C391" s="2"/>
      <c r="D391" s="1"/>
      <c r="E391" s="1"/>
      <c r="F391" s="3"/>
      <c r="G391" s="1"/>
      <c r="H391" s="1"/>
      <c r="I391" s="1"/>
      <c r="J391" s="1"/>
      <c r="K391" s="1"/>
      <c r="L391" s="1" t="str">
        <f>IF(Lima!$D391="Precast",L363,IF(Lima!$D391="","",IF(Lima!$D391&lt;20000,"Khasab",IF(Lima!$D391&lt;50000, "Lima",IF(Lima!$D391&lt;72000,"Daba")))))</f>
        <v/>
      </c>
      <c r="M391" s="1" t="str">
        <f>IF(Lima!$C391="","",TEXT(Lima!$C391,"mmm  yy"))</f>
        <v/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3">
      <c r="A392" s="1"/>
      <c r="B392" s="1"/>
      <c r="C392" s="2"/>
      <c r="D392" s="1"/>
      <c r="E392" s="1"/>
      <c r="F392" s="3"/>
      <c r="G392" s="1"/>
      <c r="H392" s="1"/>
      <c r="I392" s="1"/>
      <c r="J392" s="1"/>
      <c r="K392" s="1"/>
      <c r="L392" s="1" t="str">
        <f>IF(Lima!$D392="Precast",L364,IF(Lima!$D392="","",IF(Lima!$D392&lt;20000,"Khasab",IF(Lima!$D392&lt;50000, "Lima",IF(Lima!$D392&lt;72000,"Daba")))))</f>
        <v/>
      </c>
      <c r="M392" s="1" t="str">
        <f>IF(Lima!$C392="","",TEXT(Lima!$C392,"mmm  yy"))</f>
        <v/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3">
      <c r="A393" s="1"/>
      <c r="B393" s="1"/>
      <c r="C393" s="2"/>
      <c r="D393" s="1"/>
      <c r="E393" s="1"/>
      <c r="F393" s="3"/>
      <c r="G393" s="1"/>
      <c r="H393" s="1"/>
      <c r="I393" s="1"/>
      <c r="J393" s="1"/>
      <c r="K393" s="1"/>
      <c r="L393" s="1" t="str">
        <f>IF(Lima!$D393="Precast",L365,IF(Lima!$D393="","",IF(Lima!$D393&lt;20000,"Khasab",IF(Lima!$D393&lt;50000, "Lima",IF(Lima!$D393&lt;72000,"Daba")))))</f>
        <v/>
      </c>
      <c r="M393" s="1" t="str">
        <f>IF(Lima!$C393="","",TEXT(Lima!$C393,"mmm  yy"))</f>
        <v/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3">
      <c r="A394" s="1"/>
      <c r="B394" s="1"/>
      <c r="C394" s="2"/>
      <c r="D394" s="1"/>
      <c r="E394" s="1"/>
      <c r="F394" s="3"/>
      <c r="G394" s="1"/>
      <c r="H394" s="1"/>
      <c r="I394" s="1"/>
      <c r="J394" s="1"/>
      <c r="K394" s="1"/>
      <c r="L394" s="1" t="str">
        <f>IF(Lima!$D394="Precast",L366,IF(Lima!$D394="","",IF(Lima!$D394&lt;20000,"Khasab",IF(Lima!$D394&lt;50000, "Lima",IF(Lima!$D394&lt;72000,"Daba")))))</f>
        <v/>
      </c>
      <c r="M394" s="1" t="str">
        <f>IF(Lima!$C394="","",TEXT(Lima!$C394,"mmm  yy"))</f>
        <v/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3">
      <c r="A395" s="1"/>
      <c r="B395" s="1"/>
      <c r="C395" s="2"/>
      <c r="D395" s="1"/>
      <c r="E395" s="1"/>
      <c r="F395" s="3"/>
      <c r="G395" s="1"/>
      <c r="H395" s="1"/>
      <c r="I395" s="1"/>
      <c r="J395" s="1"/>
      <c r="K395" s="1"/>
      <c r="L395" s="1" t="str">
        <f>IF(Lima!$D395="Precast",L367,IF(Lima!$D395="","",IF(Lima!$D395&lt;20000,"Khasab",IF(Lima!$D395&lt;50000, "Lima",IF(Lima!$D395&lt;72000,"Daba")))))</f>
        <v/>
      </c>
      <c r="M395" s="1" t="str">
        <f>IF(Lima!$C395="","",TEXT(Lima!$C395,"mmm  yy"))</f>
        <v/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3">
      <c r="A396" s="1"/>
      <c r="B396" s="1"/>
      <c r="C396" s="2"/>
      <c r="D396" s="1"/>
      <c r="E396" s="1"/>
      <c r="F396" s="3"/>
      <c r="G396" s="1"/>
      <c r="H396" s="1"/>
      <c r="I396" s="1"/>
      <c r="J396" s="1"/>
      <c r="K396" s="1"/>
      <c r="L396" s="1" t="str">
        <f>IF(Lima!$D396="Precast",L368,IF(Lima!$D396="","",IF(Lima!$D396&lt;20000,"Khasab",IF(Lima!$D396&lt;50000, "Lima",IF(Lima!$D396&lt;72000,"Daba")))))</f>
        <v/>
      </c>
      <c r="M396" s="1" t="str">
        <f>IF(Lima!$C396="","",TEXT(Lima!$C396,"mmm  yy"))</f>
        <v/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3">
      <c r="A397" s="1"/>
      <c r="B397" s="1"/>
      <c r="C397" s="2"/>
      <c r="D397" s="1"/>
      <c r="E397" s="1"/>
      <c r="F397" s="3"/>
      <c r="G397" s="1"/>
      <c r="H397" s="1"/>
      <c r="I397" s="1"/>
      <c r="J397" s="1"/>
      <c r="K397" s="1"/>
      <c r="L397" s="1" t="str">
        <f>IF(Lima!$D397="Precast",L369,IF(Lima!$D397="","",IF(Lima!$D397&lt;20000,"Khasab",IF(Lima!$D397&lt;50000, "Lima",IF(Lima!$D397&lt;72000,"Daba")))))</f>
        <v/>
      </c>
      <c r="M397" s="1" t="str">
        <f>IF(Lima!$C397="","",TEXT(Lima!$C397,"mmm  yy"))</f>
        <v/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3">
      <c r="A398" s="1"/>
      <c r="B398" s="1"/>
      <c r="C398" s="2"/>
      <c r="D398" s="1"/>
      <c r="E398" s="1"/>
      <c r="F398" s="3"/>
      <c r="G398" s="1"/>
      <c r="H398" s="1"/>
      <c r="I398" s="1"/>
      <c r="J398" s="1"/>
      <c r="K398" s="1"/>
      <c r="L398" s="1" t="str">
        <f>IF(Lima!$D398="Precast",L370,IF(Lima!$D398="","",IF(Lima!$D398&lt;20000,"Khasab",IF(Lima!$D398&lt;50000, "Lima",IF(Lima!$D398&lt;72000,"Daba")))))</f>
        <v/>
      </c>
      <c r="M398" s="1" t="str">
        <f>IF(Lima!$C398="","",TEXT(Lima!$C398,"mmm  yy"))</f>
        <v/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3">
      <c r="A399" s="1"/>
      <c r="B399" s="1"/>
      <c r="C399" s="2"/>
      <c r="D399" s="1"/>
      <c r="E399" s="1"/>
      <c r="F399" s="3"/>
      <c r="G399" s="1"/>
      <c r="H399" s="1"/>
      <c r="I399" s="1"/>
      <c r="J399" s="1"/>
      <c r="K399" s="1"/>
      <c r="L399" s="1" t="str">
        <f>IF(Lima!$D399="Precast",L371,IF(Lima!$D399="","",IF(Lima!$D399&lt;20000,"Khasab",IF(Lima!$D399&lt;50000, "Lima",IF(Lima!$D399&lt;72000,"Daba")))))</f>
        <v/>
      </c>
      <c r="M399" s="1" t="str">
        <f>IF(Lima!$C399="","",TEXT(Lima!$C399,"mmm  yy"))</f>
        <v/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3">
      <c r="A400" s="1"/>
      <c r="B400" s="1"/>
      <c r="C400" s="2"/>
      <c r="D400" s="1"/>
      <c r="E400" s="1"/>
      <c r="F400" s="3"/>
      <c r="G400" s="1"/>
      <c r="H400" s="1"/>
      <c r="I400" s="1"/>
      <c r="J400" s="1"/>
      <c r="K400" s="1"/>
      <c r="L400" s="1" t="str">
        <f>IF(Lima!$D400="Precast",L372,IF(Lima!$D400="","",IF(Lima!$D400&lt;20000,"Khasab",IF(Lima!$D400&lt;50000, "Lima",IF(Lima!$D400&lt;72000,"Daba")))))</f>
        <v/>
      </c>
      <c r="M400" s="1" t="str">
        <f>IF(Lima!$C400="","",TEXT(Lima!$C400,"mmm  yy"))</f>
        <v/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3">
      <c r="A401" s="1"/>
      <c r="B401" s="1"/>
      <c r="C401" s="2"/>
      <c r="D401" s="1"/>
      <c r="E401" s="1"/>
      <c r="F401" s="3"/>
      <c r="G401" s="1"/>
      <c r="H401" s="1"/>
      <c r="I401" s="1"/>
      <c r="J401" s="1"/>
      <c r="K401" s="1"/>
      <c r="L401" s="1" t="str">
        <f>IF(Lima!$D401="Precast",L373,IF(Lima!$D401="","",IF(Lima!$D401&lt;20000,"Khasab",IF(Lima!$D401&lt;50000, "Lima",IF(Lima!$D401&lt;72000,"Daba")))))</f>
        <v/>
      </c>
      <c r="M401" s="1" t="str">
        <f>IF(Lima!$C401="","",TEXT(Lima!$C401,"mmm  yy"))</f>
        <v/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3">
      <c r="A402" s="1"/>
      <c r="B402" s="1"/>
      <c r="C402" s="2"/>
      <c r="D402" s="1"/>
      <c r="E402" s="1"/>
      <c r="F402" s="3"/>
      <c r="G402" s="1"/>
      <c r="H402" s="1"/>
      <c r="I402" s="1"/>
      <c r="J402" s="1"/>
      <c r="K402" s="1"/>
      <c r="L402" s="1" t="str">
        <f>IF(Lima!$D402="Precast",L374,IF(Lima!$D402="","",IF(Lima!$D402&lt;20000,"Khasab",IF(Lima!$D402&lt;50000, "Lima",IF(Lima!$D402&lt;72000,"Daba")))))</f>
        <v/>
      </c>
      <c r="M402" s="1" t="str">
        <f>IF(Lima!$C402="","",TEXT(Lima!$C402,"mmm  yy"))</f>
        <v/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3">
      <c r="A403" s="1"/>
      <c r="B403" s="1"/>
      <c r="C403" s="2"/>
      <c r="D403" s="1"/>
      <c r="E403" s="1"/>
      <c r="F403" s="3"/>
      <c r="G403" s="1"/>
      <c r="H403" s="1"/>
      <c r="I403" s="1"/>
      <c r="J403" s="1"/>
      <c r="K403" s="1"/>
      <c r="L403" s="1" t="str">
        <f>IF(Lima!$D403="Precast",L375,IF(Lima!$D403="","",IF(Lima!$D403&lt;20000,"Khasab",IF(Lima!$D403&lt;50000, "Lima",IF(Lima!$D403&lt;72000,"Daba")))))</f>
        <v/>
      </c>
      <c r="M403" s="1" t="str">
        <f>IF(Lima!$C403="","",TEXT(Lima!$C403,"mmm  yy"))</f>
        <v/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3">
      <c r="A404" s="1"/>
      <c r="B404" s="1"/>
      <c r="C404" s="2"/>
      <c r="D404" s="1"/>
      <c r="E404" s="1"/>
      <c r="F404" s="3"/>
      <c r="G404" s="1"/>
      <c r="H404" s="1"/>
      <c r="I404" s="1"/>
      <c r="J404" s="1"/>
      <c r="K404" s="1"/>
      <c r="L404" s="1" t="str">
        <f>IF(Lima!$D404="Precast",L376,IF(Lima!$D404="","",IF(Lima!$D404&lt;20000,"Khasab",IF(Lima!$D404&lt;50000, "Lima",IF(Lima!$D404&lt;72000,"Daba")))))</f>
        <v/>
      </c>
      <c r="M404" s="1" t="str">
        <f>IF(Lima!$C404="","",TEXT(Lima!$C404,"mmm  yy"))</f>
        <v/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3">
      <c r="A405" s="1"/>
      <c r="B405" s="1"/>
      <c r="C405" s="2"/>
      <c r="D405" s="1"/>
      <c r="E405" s="1"/>
      <c r="F405" s="3"/>
      <c r="G405" s="1"/>
      <c r="H405" s="1"/>
      <c r="I405" s="1"/>
      <c r="J405" s="1"/>
      <c r="K405" s="1"/>
      <c r="L405" s="1" t="str">
        <f>IF(Lima!$D405="Precast",L377,IF(Lima!$D405="","",IF(Lima!$D405&lt;20000,"Khasab",IF(Lima!$D405&lt;50000, "Lima",IF(Lima!$D405&lt;72000,"Daba")))))</f>
        <v/>
      </c>
      <c r="M405" s="1" t="str">
        <f>IF(Lima!$C405="","",TEXT(Lima!$C405,"mmm  yy"))</f>
        <v/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3">
      <c r="A406" s="1"/>
      <c r="B406" s="1"/>
      <c r="C406" s="2"/>
      <c r="D406" s="1"/>
      <c r="E406" s="1"/>
      <c r="F406" s="3"/>
      <c r="G406" s="1"/>
      <c r="H406" s="1"/>
      <c r="I406" s="1"/>
      <c r="J406" s="1"/>
      <c r="K406" s="1"/>
      <c r="L406" s="1" t="str">
        <f>IF(Lima!$D406="Precast",L378,IF(Lima!$D406="","",IF(Lima!$D406&lt;20000,"Khasab",IF(Lima!$D406&lt;50000, "Lima",IF(Lima!$D406&lt;72000,"Daba")))))</f>
        <v/>
      </c>
      <c r="M406" s="1" t="str">
        <f>IF(Lima!$C406="","",TEXT(Lima!$C406,"mmm  yy"))</f>
        <v/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3">
      <c r="A407" s="1"/>
      <c r="B407" s="1"/>
      <c r="C407" s="2"/>
      <c r="D407" s="1"/>
      <c r="E407" s="1"/>
      <c r="F407" s="3"/>
      <c r="G407" s="1"/>
      <c r="H407" s="1"/>
      <c r="I407" s="1"/>
      <c r="J407" s="1"/>
      <c r="K407" s="1"/>
      <c r="L407" s="1" t="str">
        <f>IF(Lima!$D407="Precast",L379,IF(Lima!$D407="","",IF(Lima!$D407&lt;20000,"Khasab",IF(Lima!$D407&lt;50000, "Lima",IF(Lima!$D407&lt;72000,"Daba")))))</f>
        <v/>
      </c>
      <c r="M407" s="1" t="str">
        <f>IF(Lima!$C407="","",TEXT(Lima!$C407,"mmm  yy"))</f>
        <v/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3">
      <c r="A408" s="1"/>
      <c r="B408" s="1"/>
      <c r="C408" s="2"/>
      <c r="D408" s="1"/>
      <c r="E408" s="1"/>
      <c r="F408" s="3"/>
      <c r="G408" s="1"/>
      <c r="H408" s="1"/>
      <c r="I408" s="1"/>
      <c r="J408" s="1"/>
      <c r="K408" s="1"/>
      <c r="L408" s="1" t="str">
        <f>IF(Lima!$D408="Precast",L380,IF(Lima!$D408="","",IF(Lima!$D408&lt;20000,"Khasab",IF(Lima!$D408&lt;50000, "Lima",IF(Lima!$D408&lt;72000,"Daba")))))</f>
        <v/>
      </c>
      <c r="M408" s="1" t="str">
        <f>IF(Lima!$C408="","",TEXT(Lima!$C408,"mmm  yy"))</f>
        <v/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3">
      <c r="A409" s="1"/>
      <c r="B409" s="1"/>
      <c r="C409" s="2"/>
      <c r="D409" s="1"/>
      <c r="E409" s="1"/>
      <c r="F409" s="3"/>
      <c r="G409" s="1"/>
      <c r="H409" s="1"/>
      <c r="I409" s="1"/>
      <c r="J409" s="1"/>
      <c r="K409" s="1"/>
      <c r="L409" s="1" t="str">
        <f>IF(Lima!$D409="Precast",L381,IF(Lima!$D409="","",IF(Lima!$D409&lt;20000,"Khasab",IF(Lima!$D409&lt;50000, "Lima",IF(Lima!$D409&lt;72000,"Daba")))))</f>
        <v/>
      </c>
      <c r="M409" s="1" t="str">
        <f>IF(Lima!$C409="","",TEXT(Lima!$C409,"mmm  yy"))</f>
        <v/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B410" s="1"/>
      <c r="C410" s="2"/>
      <c r="D410" s="1"/>
      <c r="E410" s="1"/>
      <c r="F410" s="3"/>
      <c r="G410" s="1"/>
      <c r="H410" s="1"/>
      <c r="I410" s="1"/>
      <c r="J410" s="1"/>
      <c r="K410" s="1"/>
      <c r="L410" s="1" t="str">
        <f>IF(Lima!$D410="Precast",L382,IF(Lima!$D410="","",IF(Lima!$D410&lt;20000,"Khasab",IF(Lima!$D410&lt;50000, "Lima",IF(Lima!$D410&lt;72000,"Daba")))))</f>
        <v/>
      </c>
      <c r="M410" s="1" t="str">
        <f>IF(Lima!$C410="","",TEXT(Lima!$C410,"mmm  yy"))</f>
        <v/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B411" s="1"/>
      <c r="C411" s="2"/>
      <c r="D411" s="1"/>
      <c r="E411" s="1"/>
      <c r="F411" s="3"/>
      <c r="G411" s="1"/>
      <c r="H411" s="1"/>
      <c r="I411" s="1"/>
      <c r="J411" s="1"/>
      <c r="K411" s="1"/>
      <c r="L411" s="1" t="str">
        <f>IF(Lima!$D411="Precast",L383,IF(Lima!$D411="","",IF(Lima!$D411&lt;20000,"Khasab",IF(Lima!$D411&lt;50000, "Lima",IF(Lima!$D411&lt;72000,"Daba")))))</f>
        <v/>
      </c>
      <c r="M411" s="1" t="str">
        <f>IF(Lima!$C411="","",TEXT(Lima!$C411,"mmm  yy"))</f>
        <v/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B412" s="1"/>
      <c r="C412" s="2"/>
      <c r="D412" s="1"/>
      <c r="E412" s="1"/>
      <c r="F412" s="3"/>
      <c r="G412" s="1"/>
      <c r="H412" s="1"/>
      <c r="I412" s="1"/>
      <c r="J412" s="1"/>
      <c r="K412" s="1"/>
      <c r="L412" s="1" t="str">
        <f>IF(Lima!$D412="Precast",L384,IF(Lima!$D412="","",IF(Lima!$D412&lt;20000,"Khasab",IF(Lima!$D412&lt;50000, "Lima",IF(Lima!$D412&lt;72000,"Daba")))))</f>
        <v/>
      </c>
      <c r="M412" s="1" t="str">
        <f>IF(Lima!$C412="","",TEXT(Lima!$C412,"mmm  yy"))</f>
        <v/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B413" s="1"/>
      <c r="C413" s="2"/>
      <c r="D413" s="1"/>
      <c r="E413" s="1"/>
      <c r="F413" s="3"/>
      <c r="G413" s="1"/>
      <c r="H413" s="1"/>
      <c r="I413" s="1"/>
      <c r="J413" s="1"/>
      <c r="K413" s="1"/>
      <c r="L413" s="1" t="str">
        <f>IF(Lima!$D413="Precast",L385,IF(Lima!$D413="","",IF(Lima!$D413&lt;20000,"Khasab",IF(Lima!$D413&lt;50000, "Lima",IF(Lima!$D413&lt;72000,"Daba")))))</f>
        <v/>
      </c>
      <c r="M413" s="1" t="str">
        <f>IF(Lima!$C413="","",TEXT(Lima!$C413,"mmm  yy"))</f>
        <v/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B414" s="1"/>
      <c r="C414" s="2"/>
      <c r="D414" s="1"/>
      <c r="E414" s="1"/>
      <c r="F414" s="3"/>
      <c r="G414" s="1"/>
      <c r="H414" s="1"/>
      <c r="I414" s="1"/>
      <c r="J414" s="1"/>
      <c r="K414" s="1"/>
      <c r="L414" s="1" t="str">
        <f>IF(Lima!$D414="Precast",L386,IF(Lima!$D414="","",IF(Lima!$D414&lt;20000,"Khasab",IF(Lima!$D414&lt;50000, "Lima",IF(Lima!$D414&lt;72000,"Daba")))))</f>
        <v/>
      </c>
      <c r="M414" s="1" t="str">
        <f>IF(Lima!$C414="","",TEXT(Lima!$C414,"mmm  yy"))</f>
        <v/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B415" s="1"/>
      <c r="C415" s="2"/>
      <c r="D415" s="1"/>
      <c r="E415" s="1"/>
      <c r="F415" s="3"/>
      <c r="G415" s="1"/>
      <c r="H415" s="1"/>
      <c r="I415" s="1"/>
      <c r="J415" s="1"/>
      <c r="K415" s="1"/>
      <c r="L415" s="1" t="str">
        <f>IF(Lima!$D415="Precast",L387,IF(Lima!$D415="","",IF(Lima!$D415&lt;20000,"Khasab",IF(Lima!$D415&lt;50000, "Lima",IF(Lima!$D415&lt;72000,"Daba")))))</f>
        <v/>
      </c>
      <c r="M415" s="1" t="str">
        <f>IF(Lima!$C415="","",TEXT(Lima!$C415,"mmm  yy"))</f>
        <v/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B416" s="1"/>
      <c r="C416" s="2"/>
      <c r="D416" s="1"/>
      <c r="E416" s="1"/>
      <c r="F416" s="3"/>
      <c r="G416" s="1"/>
      <c r="H416" s="1"/>
      <c r="I416" s="1"/>
      <c r="J416" s="1"/>
      <c r="K416" s="1"/>
      <c r="L416" s="1" t="str">
        <f>IF(Lima!$D416="Precast",L388,IF(Lima!$D416="","",IF(Lima!$D416&lt;20000,"Khasab",IF(Lima!$D416&lt;50000, "Lima",IF(Lima!$D416&lt;72000,"Daba")))))</f>
        <v/>
      </c>
      <c r="M416" s="1" t="str">
        <f>IF(Lima!$C416="","",TEXT(Lima!$C416,"mmm  yy"))</f>
        <v/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B417" s="1"/>
      <c r="C417" s="2"/>
      <c r="D417" s="1"/>
      <c r="E417" s="1"/>
      <c r="F417" s="3"/>
      <c r="G417" s="1"/>
      <c r="H417" s="1"/>
      <c r="I417" s="1"/>
      <c r="J417" s="1"/>
      <c r="K417" s="1"/>
      <c r="L417" s="1" t="str">
        <f>IF(Lima!$D417="Precast",L389,IF(Lima!$D417="","",IF(Lima!$D417&lt;20000,"Khasab",IF(Lima!$D417&lt;50000, "Lima",IF(Lima!$D417&lt;72000,"Daba")))))</f>
        <v/>
      </c>
      <c r="M417" s="1" t="str">
        <f>IF(Lima!$C417="","",TEXT(Lima!$C417,"mmm  yy"))</f>
        <v/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B418" s="1"/>
      <c r="C418" s="2"/>
      <c r="D418" s="1"/>
      <c r="E418" s="1"/>
      <c r="F418" s="3"/>
      <c r="G418" s="1"/>
      <c r="H418" s="1"/>
      <c r="I418" s="1"/>
      <c r="J418" s="1"/>
      <c r="K418" s="1"/>
      <c r="L418" s="1" t="str">
        <f>IF(Lima!$D418="Precast",L390,IF(Lima!$D418="","",IF(Lima!$D418&lt;20000,"Khasab",IF(Lima!$D418&lt;50000, "Lima",IF(Lima!$D418&lt;72000,"Daba")))))</f>
        <v/>
      </c>
      <c r="M418" s="1" t="str">
        <f>IF(Lima!$C418="","",TEXT(Lima!$C418,"mmm  yy"))</f>
        <v/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B419" s="1"/>
      <c r="C419" s="2"/>
      <c r="D419" s="1"/>
      <c r="E419" s="1"/>
      <c r="F419" s="3"/>
      <c r="G419" s="1"/>
      <c r="H419" s="1"/>
      <c r="I419" s="1"/>
      <c r="J419" s="1"/>
      <c r="K419" s="1"/>
      <c r="L419" s="1" t="str">
        <f>IF(Lima!$D419="Precast",L391,IF(Lima!$D419="","",IF(Lima!$D419&lt;20000,"Khasab",IF(Lima!$D419&lt;50000, "Lima",IF(Lima!$D419&lt;72000,"Daba")))))</f>
        <v/>
      </c>
      <c r="M419" s="1" t="str">
        <f>IF(Lima!$C419="","",TEXT(Lima!$C419,"mmm  yy"))</f>
        <v/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B420" s="1"/>
      <c r="C420" s="2"/>
      <c r="D420" s="1"/>
      <c r="E420" s="1"/>
      <c r="F420" s="3"/>
      <c r="G420" s="1"/>
      <c r="H420" s="1"/>
      <c r="I420" s="1"/>
      <c r="J420" s="1"/>
      <c r="K420" s="1"/>
      <c r="L420" s="1" t="str">
        <f>IF(Lima!$D420="Precast",L392,IF(Lima!$D420="","",IF(Lima!$D420&lt;20000,"Khasab",IF(Lima!$D420&lt;50000, "Lima",IF(Lima!$D420&lt;72000,"Daba")))))</f>
        <v/>
      </c>
      <c r="M420" s="1" t="str">
        <f>IF(Lima!$C420="","",TEXT(Lima!$C420,"mmm  yy"))</f>
        <v/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B421" s="1"/>
      <c r="C421" s="2"/>
      <c r="D421" s="1"/>
      <c r="E421" s="1"/>
      <c r="F421" s="3"/>
      <c r="G421" s="1"/>
      <c r="H421" s="1"/>
      <c r="I421" s="1"/>
      <c r="J421" s="1"/>
      <c r="K421" s="1"/>
      <c r="L421" s="1" t="str">
        <f>IF(Lima!$D421="Precast",L393,IF(Lima!$D421="","",IF(Lima!$D421&lt;20000,"Khasab",IF(Lima!$D421&lt;50000, "Lima",IF(Lima!$D421&lt;72000,"Daba")))))</f>
        <v/>
      </c>
      <c r="M421" s="1" t="str">
        <f>IF(Lima!$C421="","",TEXT(Lima!$C421,"mmm  yy"))</f>
        <v/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B422" s="1"/>
      <c r="C422" s="2"/>
      <c r="D422" s="1"/>
      <c r="E422" s="1"/>
      <c r="F422" s="3"/>
      <c r="G422" s="1"/>
      <c r="H422" s="1"/>
      <c r="I422" s="1"/>
      <c r="J422" s="1"/>
      <c r="K422" s="1"/>
      <c r="L422" s="1" t="str">
        <f>IF(Lima!$D422="Precast",L394,IF(Lima!$D422="","",IF(Lima!$D422&lt;20000,"Khasab",IF(Lima!$D422&lt;50000, "Lima",IF(Lima!$D422&lt;72000,"Daba")))))</f>
        <v/>
      </c>
      <c r="M422" s="1" t="str">
        <f>IF(Lima!$C422="","",TEXT(Lima!$C422,"mmm  yy"))</f>
        <v/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B423" s="1"/>
      <c r="C423" s="2"/>
      <c r="D423" s="1"/>
      <c r="E423" s="1"/>
      <c r="F423" s="3"/>
      <c r="G423" s="1"/>
      <c r="H423" s="1"/>
      <c r="I423" s="1"/>
      <c r="J423" s="1"/>
      <c r="K423" s="1"/>
      <c r="L423" s="1" t="str">
        <f>IF(Lima!$D423="Precast",L395,IF(Lima!$D423="","",IF(Lima!$D423&lt;20000,"Khasab",IF(Lima!$D423&lt;50000, "Lima",IF(Lima!$D423&lt;72000,"Daba")))))</f>
        <v/>
      </c>
      <c r="M423" s="1" t="str">
        <f>IF(Lima!$C423="","",TEXT(Lima!$C423,"mmm  yy"))</f>
        <v/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B424" s="1"/>
      <c r="C424" s="2"/>
      <c r="D424" s="1"/>
      <c r="E424" s="1"/>
      <c r="F424" s="3"/>
      <c r="G424" s="1"/>
      <c r="H424" s="1"/>
      <c r="I424" s="1"/>
      <c r="J424" s="1"/>
      <c r="K424" s="1"/>
      <c r="L424" s="1" t="str">
        <f>IF(Lima!$D424="Precast",L396,IF(Lima!$D424="","",IF(Lima!$D424&lt;20000,"Khasab",IF(Lima!$D424&lt;50000, "Lima",IF(Lima!$D424&lt;72000,"Daba")))))</f>
        <v/>
      </c>
      <c r="M424" s="1" t="str">
        <f>IF(Lima!$C424="","",TEXT(Lima!$C424,"mmm  yy"))</f>
        <v/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B425" s="1"/>
      <c r="C425" s="2"/>
      <c r="D425" s="1"/>
      <c r="E425" s="1"/>
      <c r="F425" s="3"/>
      <c r="G425" s="1"/>
      <c r="H425" s="1"/>
      <c r="I425" s="1"/>
      <c r="J425" s="1"/>
      <c r="K425" s="1"/>
      <c r="L425" s="1" t="str">
        <f>IF(Lima!$D425="Precast",L397,IF(Lima!$D425="","",IF(Lima!$D425&lt;20000,"Khasab",IF(Lima!$D425&lt;50000, "Lima",IF(Lima!$D425&lt;72000,"Daba")))))</f>
        <v/>
      </c>
      <c r="M425" s="1" t="str">
        <f>IF(Lima!$C425="","",TEXT(Lima!$C425,"mmm  yy"))</f>
        <v/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B426" s="1"/>
      <c r="C426" s="2"/>
      <c r="D426" s="1"/>
      <c r="E426" s="1"/>
      <c r="F426" s="3"/>
      <c r="G426" s="1"/>
      <c r="H426" s="1"/>
      <c r="I426" s="1"/>
      <c r="J426" s="1"/>
      <c r="K426" s="1"/>
      <c r="L426" s="1" t="str">
        <f>IF(Lima!$D426="Precast",L398,IF(Lima!$D426="","",IF(Lima!$D426&lt;20000,"Khasab",IF(Lima!$D426&lt;50000, "Lima",IF(Lima!$D426&lt;72000,"Daba")))))</f>
        <v/>
      </c>
      <c r="M426" s="1" t="str">
        <f>IF(Lima!$C426="","",TEXT(Lima!$C426,"mmm  yy"))</f>
        <v/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B427" s="1"/>
      <c r="C427" s="2"/>
      <c r="D427" s="1"/>
      <c r="E427" s="1"/>
      <c r="F427" s="3"/>
      <c r="G427" s="1"/>
      <c r="H427" s="1"/>
      <c r="I427" s="1"/>
      <c r="J427" s="1"/>
      <c r="K427" s="1"/>
      <c r="L427" s="1" t="str">
        <f>IF(Lima!$D427="Precast",L399,IF(Lima!$D427="","",IF(Lima!$D427&lt;20000,"Khasab",IF(Lima!$D427&lt;50000, "Lima",IF(Lima!$D427&lt;72000,"Daba")))))</f>
        <v/>
      </c>
      <c r="M427" s="1" t="str">
        <f>IF(Lima!$C427="","",TEXT(Lima!$C427,"mmm  yy"))</f>
        <v/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B428" s="1"/>
      <c r="C428" s="2"/>
      <c r="D428" s="1"/>
      <c r="E428" s="1"/>
      <c r="F428" s="3"/>
      <c r="G428" s="1"/>
      <c r="H428" s="1"/>
      <c r="I428" s="1"/>
      <c r="J428" s="1"/>
      <c r="K428" s="1"/>
      <c r="L428" s="1" t="str">
        <f>IF(Lima!$D428="Precast",L400,IF(Lima!$D428="","",IF(Lima!$D428&lt;20000,"Khasab",IF(Lima!$D428&lt;50000, "Lima",IF(Lima!$D428&lt;72000,"Daba")))))</f>
        <v/>
      </c>
      <c r="M428" s="1" t="str">
        <f>IF(Lima!$C428="","",TEXT(Lima!$C428,"mmm  yy"))</f>
        <v/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B429" s="1"/>
      <c r="C429" s="2"/>
      <c r="D429" s="1"/>
      <c r="E429" s="1"/>
      <c r="F429" s="3"/>
      <c r="G429" s="1"/>
      <c r="H429" s="1"/>
      <c r="I429" s="1"/>
      <c r="J429" s="1"/>
      <c r="K429" s="1"/>
      <c r="L429" s="1" t="str">
        <f>IF(Lima!$D429="Precast",L401,IF(Lima!$D429="","",IF(Lima!$D429&lt;20000,"Khasab",IF(Lima!$D429&lt;50000, "Lima",IF(Lima!$D429&lt;72000,"Daba")))))</f>
        <v/>
      </c>
      <c r="M429" s="1" t="str">
        <f>IF(Lima!$C429="","",TEXT(Lima!$C429,"mmm  yy"))</f>
        <v/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B430" s="1"/>
      <c r="C430" s="2"/>
      <c r="D430" s="1"/>
      <c r="E430" s="1"/>
      <c r="F430" s="3"/>
      <c r="G430" s="1"/>
      <c r="H430" s="1"/>
      <c r="I430" s="1"/>
      <c r="J430" s="1"/>
      <c r="K430" s="1"/>
      <c r="L430" s="1" t="str">
        <f>IF(Lima!$D430="Precast",L402,IF(Lima!$D430="","",IF(Lima!$D430&lt;20000,"Khasab",IF(Lima!$D430&lt;50000, "Lima",IF(Lima!$D430&lt;72000,"Daba")))))</f>
        <v/>
      </c>
      <c r="M430" s="1" t="str">
        <f>IF(Lima!$C430="","",TEXT(Lima!$C430,"mmm  yy"))</f>
        <v/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B431" s="1"/>
      <c r="C431" s="2"/>
      <c r="D431" s="1"/>
      <c r="E431" s="1"/>
      <c r="F431" s="3"/>
      <c r="G431" s="1"/>
      <c r="H431" s="1"/>
      <c r="I431" s="1"/>
      <c r="J431" s="1"/>
      <c r="K431" s="1"/>
      <c r="L431" s="1" t="str">
        <f>IF(Lima!$D431="Precast",L403,IF(Lima!$D431="","",IF(Lima!$D431&lt;20000,"Khasab",IF(Lima!$D431&lt;50000, "Lima",IF(Lima!$D431&lt;72000,"Daba")))))</f>
        <v/>
      </c>
      <c r="M431" s="1" t="str">
        <f>IF(Lima!$C431="","",TEXT(Lima!$C431,"mmm  yy"))</f>
        <v/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B432" s="1"/>
      <c r="C432" s="2"/>
      <c r="D432" s="1"/>
      <c r="E432" s="1"/>
      <c r="F432" s="3"/>
      <c r="G432" s="1"/>
      <c r="H432" s="1"/>
      <c r="I432" s="1"/>
      <c r="J432" s="1"/>
      <c r="K432" s="1"/>
      <c r="L432" s="1" t="str">
        <f>IF(Lima!$D432="Precast",L404,IF(Lima!$D432="","",IF(Lima!$D432&lt;20000,"Khasab",IF(Lima!$D432&lt;50000, "Lima",IF(Lima!$D432&lt;72000,"Daba")))))</f>
        <v/>
      </c>
      <c r="M432" s="1" t="str">
        <f>IF(Lima!$C432="","",TEXT(Lima!$C432,"mmm  yy"))</f>
        <v/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B433" s="1"/>
      <c r="C433" s="2"/>
      <c r="D433" s="1"/>
      <c r="E433" s="1"/>
      <c r="F433" s="3"/>
      <c r="G433" s="1"/>
      <c r="H433" s="1"/>
      <c r="I433" s="1"/>
      <c r="J433" s="1"/>
      <c r="K433" s="1"/>
      <c r="L433" s="1" t="str">
        <f>IF(Lima!$D433="Precast",L405,IF(Lima!$D433="","",IF(Lima!$D433&lt;20000,"Khasab",IF(Lima!$D433&lt;50000, "Lima",IF(Lima!$D433&lt;72000,"Daba")))))</f>
        <v/>
      </c>
      <c r="M433" s="1" t="str">
        <f>IF(Lima!$C433="","",TEXT(Lima!$C433,"mmm  yy"))</f>
        <v/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B434" s="1"/>
      <c r="C434" s="2"/>
      <c r="D434" s="1"/>
      <c r="E434" s="1"/>
      <c r="F434" s="3"/>
      <c r="G434" s="1"/>
      <c r="H434" s="1"/>
      <c r="I434" s="1"/>
      <c r="J434" s="1"/>
      <c r="K434" s="1"/>
      <c r="L434" s="1" t="str">
        <f>IF(Lima!$D434="Precast",L406,IF(Lima!$D434="","",IF(Lima!$D434&lt;20000,"Khasab",IF(Lima!$D434&lt;50000, "Lima",IF(Lima!$D434&lt;72000,"Daba")))))</f>
        <v/>
      </c>
      <c r="M434" s="1" t="str">
        <f>IF(Lima!$C434="","",TEXT(Lima!$C434,"mmm  yy"))</f>
        <v/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B435" s="1"/>
      <c r="C435" s="2"/>
      <c r="D435" s="1"/>
      <c r="E435" s="1"/>
      <c r="F435" s="3"/>
      <c r="G435" s="1"/>
      <c r="H435" s="1"/>
      <c r="I435" s="1"/>
      <c r="J435" s="1"/>
      <c r="K435" s="1"/>
      <c r="L435" s="1" t="str">
        <f>IF(Lima!$D435="Precast",L407,IF(Lima!$D435="","",IF(Lima!$D435&lt;20000,"Khasab",IF(Lima!$D435&lt;50000, "Lima",IF(Lima!$D435&lt;72000,"Daba")))))</f>
        <v/>
      </c>
      <c r="M435" s="1" t="str">
        <f>IF(Lima!$C435="","",TEXT(Lima!$C435,"mmm  yy"))</f>
        <v/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B436" s="1"/>
      <c r="C436" s="2"/>
      <c r="D436" s="1"/>
      <c r="E436" s="1"/>
      <c r="F436" s="3"/>
      <c r="G436" s="1"/>
      <c r="H436" s="1"/>
      <c r="I436" s="1"/>
      <c r="J436" s="1"/>
      <c r="K436" s="1"/>
      <c r="L436" s="1" t="str">
        <f>IF(Lima!$D436="Precast",L408,IF(Lima!$D436="","",IF(Lima!$D436&lt;20000,"Khasab",IF(Lima!$D436&lt;50000, "Lima",IF(Lima!$D436&lt;72000,"Daba")))))</f>
        <v/>
      </c>
      <c r="M436" s="1" t="str">
        <f>IF(Lima!$C436="","",TEXT(Lima!$C436,"mmm  yy"))</f>
        <v/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B437" s="1"/>
      <c r="C437" s="2"/>
      <c r="D437" s="1"/>
      <c r="E437" s="1"/>
      <c r="F437" s="3"/>
      <c r="G437" s="1"/>
      <c r="H437" s="1"/>
      <c r="I437" s="1"/>
      <c r="J437" s="1"/>
      <c r="K437" s="1"/>
      <c r="L437" s="1" t="str">
        <f>IF(Lima!$D437="Precast",L409,IF(Lima!$D437="","",IF(Lima!$D437&lt;20000,"Khasab",IF(Lima!$D437&lt;50000, "Lima",IF(Lima!$D437&lt;72000,"Daba")))))</f>
        <v/>
      </c>
      <c r="M437" s="1" t="str">
        <f>IF(Lima!$C437="","",TEXT(Lima!$C437,"mmm  yy"))</f>
        <v/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B438" s="1"/>
      <c r="C438" s="2"/>
      <c r="D438" s="1"/>
      <c r="E438" s="1"/>
      <c r="F438" s="3"/>
      <c r="G438" s="1"/>
      <c r="H438" s="1"/>
      <c r="I438" s="1"/>
      <c r="J438" s="1"/>
      <c r="K438" s="1"/>
      <c r="L438" s="1" t="str">
        <f>IF(Lima!$D438="Precast",L410,IF(Lima!$D438="","",IF(Lima!$D438&lt;20000,"Khasab",IF(Lima!$D438&lt;50000, "Lima",IF(Lima!$D438&lt;72000,"Daba")))))</f>
        <v/>
      </c>
      <c r="M438" s="1" t="str">
        <f>IF(Lima!$C438="","",TEXT(Lima!$C438,"mmm  yy"))</f>
        <v/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B439" s="1"/>
      <c r="C439" s="2"/>
      <c r="D439" s="1"/>
      <c r="E439" s="1"/>
      <c r="F439" s="3"/>
      <c r="G439" s="1"/>
      <c r="H439" s="1"/>
      <c r="I439" s="1"/>
      <c r="J439" s="1"/>
      <c r="K439" s="1"/>
      <c r="L439" s="1" t="str">
        <f>IF(Lima!$D439="Precast",L411,IF(Lima!$D439="","",IF(Lima!$D439&lt;20000,"Khasab",IF(Lima!$D439&lt;50000, "Lima",IF(Lima!$D439&lt;72000,"Daba")))))</f>
        <v/>
      </c>
      <c r="M439" s="1" t="str">
        <f>IF(Lima!$C439="","",TEXT(Lima!$C439,"mmm  yy"))</f>
        <v/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B440" s="1"/>
      <c r="C440" s="2"/>
      <c r="D440" s="1"/>
      <c r="E440" s="1"/>
      <c r="F440" s="3"/>
      <c r="G440" s="1"/>
      <c r="H440" s="1"/>
      <c r="I440" s="1"/>
      <c r="J440" s="1"/>
      <c r="K440" s="1"/>
      <c r="L440" s="1" t="str">
        <f>IF(Lima!$D440="Precast",L412,IF(Lima!$D440="","",IF(Lima!$D440&lt;20000,"Khasab",IF(Lima!$D440&lt;50000, "Lima",IF(Lima!$D440&lt;72000,"Daba")))))</f>
        <v/>
      </c>
      <c r="M440" s="1" t="str">
        <f>IF(Lima!$C440="","",TEXT(Lima!$C440,"mmm  yy"))</f>
        <v/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B441" s="1"/>
      <c r="C441" s="2"/>
      <c r="D441" s="1"/>
      <c r="E441" s="1"/>
      <c r="F441" s="3"/>
      <c r="G441" s="1"/>
      <c r="H441" s="1"/>
      <c r="I441" s="1"/>
      <c r="J441" s="1"/>
      <c r="K441" s="1"/>
      <c r="L441" s="1" t="str">
        <f>IF(Lima!$D441="Precast",L413,IF(Lima!$D441="","",IF(Lima!$D441&lt;20000,"Khasab",IF(Lima!$D441&lt;50000, "Lima",IF(Lima!$D441&lt;72000,"Daba")))))</f>
        <v/>
      </c>
      <c r="M441" s="1" t="str">
        <f>IF(Lima!$C441="","",TEXT(Lima!$C441,"mmm  yy"))</f>
        <v/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B442" s="1"/>
      <c r="C442" s="2"/>
      <c r="D442" s="1"/>
      <c r="E442" s="1"/>
      <c r="F442" s="3"/>
      <c r="G442" s="1"/>
      <c r="H442" s="1"/>
      <c r="I442" s="1"/>
      <c r="J442" s="1"/>
      <c r="K442" s="1"/>
      <c r="L442" s="1" t="str">
        <f>IF(Lima!$D442="Precast",L414,IF(Lima!$D442="","",IF(Lima!$D442&lt;20000,"Khasab",IF(Lima!$D442&lt;50000, "Lima",IF(Lima!$D442&lt;72000,"Daba")))))</f>
        <v/>
      </c>
      <c r="M442" s="1" t="str">
        <f>IF(Lima!$C442="","",TEXT(Lima!$C442,"mmm  yy"))</f>
        <v/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B443" s="1"/>
      <c r="C443" s="2"/>
      <c r="D443" s="1"/>
      <c r="E443" s="1"/>
      <c r="F443" s="3"/>
      <c r="G443" s="1"/>
      <c r="H443" s="1"/>
      <c r="I443" s="1"/>
      <c r="J443" s="1"/>
      <c r="K443" s="1"/>
      <c r="L443" s="1" t="str">
        <f>IF(Lima!$D443="Precast",L415,IF(Lima!$D443="","",IF(Lima!$D443&lt;20000,"Khasab",IF(Lima!$D443&lt;50000, "Lima",IF(Lima!$D443&lt;72000,"Daba")))))</f>
        <v/>
      </c>
      <c r="M443" s="1" t="str">
        <f>IF(Lima!$C443="","",TEXT(Lima!$C443,"mmm  yy"))</f>
        <v/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B444" s="1"/>
      <c r="C444" s="2"/>
      <c r="D444" s="1"/>
      <c r="E444" s="1"/>
      <c r="F444" s="3"/>
      <c r="G444" s="1"/>
      <c r="H444" s="1"/>
      <c r="I444" s="1"/>
      <c r="J444" s="1"/>
      <c r="K444" s="1"/>
      <c r="L444" s="1" t="str">
        <f>IF(Lima!$D444="Precast",L416,IF(Lima!$D444="","",IF(Lima!$D444&lt;20000,"Khasab",IF(Lima!$D444&lt;50000, "Lima",IF(Lima!$D444&lt;72000,"Daba")))))</f>
        <v/>
      </c>
      <c r="M444" s="1" t="str">
        <f>IF(Lima!$C444="","",TEXT(Lima!$C444,"mmm  yy"))</f>
        <v/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B445" s="1"/>
      <c r="C445" s="2"/>
      <c r="D445" s="1"/>
      <c r="E445" s="1"/>
      <c r="F445" s="3"/>
      <c r="G445" s="1"/>
      <c r="H445" s="1"/>
      <c r="I445" s="1"/>
      <c r="J445" s="1"/>
      <c r="K445" s="1"/>
      <c r="L445" s="1" t="str">
        <f>IF(Lima!$D445="Precast",L417,IF(Lima!$D445="","",IF(Lima!$D445&lt;20000,"Khasab",IF(Lima!$D445&lt;50000, "Lima",IF(Lima!$D445&lt;72000,"Daba")))))</f>
        <v/>
      </c>
      <c r="M445" s="1" t="str">
        <f>IF(Lima!$C445="","",TEXT(Lima!$C445,"mmm  yy"))</f>
        <v/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B446" s="1"/>
      <c r="C446" s="2"/>
      <c r="D446" s="1"/>
      <c r="E446" s="1"/>
      <c r="F446" s="3"/>
      <c r="G446" s="1"/>
      <c r="H446" s="1"/>
      <c r="I446" s="1"/>
      <c r="J446" s="1"/>
      <c r="K446" s="1"/>
      <c r="L446" s="1" t="str">
        <f>IF(Lima!$D446="Precast",L418,IF(Lima!$D446="","",IF(Lima!$D446&lt;20000,"Khasab",IF(Lima!$D446&lt;50000, "Lima",IF(Lima!$D446&lt;72000,"Daba")))))</f>
        <v/>
      </c>
      <c r="M446" s="1" t="str">
        <f>IF(Lima!$C446="","",TEXT(Lima!$C446,"mmm  yy"))</f>
        <v/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B447" s="1"/>
      <c r="C447" s="2"/>
      <c r="D447" s="1"/>
      <c r="E447" s="1"/>
      <c r="F447" s="3"/>
      <c r="G447" s="1"/>
      <c r="H447" s="1"/>
      <c r="I447" s="1"/>
      <c r="J447" s="1"/>
      <c r="K447" s="1"/>
      <c r="L447" s="1" t="str">
        <f>IF(Lima!$D447="Precast",L419,IF(Lima!$D447="","",IF(Lima!$D447&lt;20000,"Khasab",IF(Lima!$D447&lt;50000, "Lima",IF(Lima!$D447&lt;72000,"Daba")))))</f>
        <v/>
      </c>
      <c r="M447" s="1" t="str">
        <f>IF(Lima!$C447="","",TEXT(Lima!$C447,"mmm  yy"))</f>
        <v/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B448" s="1"/>
      <c r="C448" s="2"/>
      <c r="D448" s="1"/>
      <c r="E448" s="1"/>
      <c r="F448" s="3"/>
      <c r="G448" s="1"/>
      <c r="H448" s="1"/>
      <c r="I448" s="1"/>
      <c r="J448" s="1"/>
      <c r="K448" s="1"/>
      <c r="L448" s="1" t="str">
        <f>IF(Lima!$D448="Precast",L420,IF(Lima!$D448="","",IF(Lima!$D448&lt;20000,"Khasab",IF(Lima!$D448&lt;50000, "Lima",IF(Lima!$D448&lt;72000,"Daba")))))</f>
        <v/>
      </c>
      <c r="M448" s="1" t="str">
        <f>IF(Lima!$C448="","",TEXT(Lima!$C448,"mmm  yy"))</f>
        <v/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B449" s="1"/>
      <c r="C449" s="2"/>
      <c r="D449" s="1"/>
      <c r="E449" s="1"/>
      <c r="F449" s="3"/>
      <c r="G449" s="1"/>
      <c r="H449" s="1"/>
      <c r="I449" s="1"/>
      <c r="J449" s="1"/>
      <c r="K449" s="1"/>
      <c r="L449" s="1" t="str">
        <f>IF(Lima!$D449="Precast",L421,IF(Lima!$D449="","",IF(Lima!$D449&lt;20000,"Khasab",IF(Lima!$D449&lt;50000, "Lima",IF(Lima!$D449&lt;72000,"Daba")))))</f>
        <v/>
      </c>
      <c r="M449" s="1" t="str">
        <f>IF(Lima!$C449="","",TEXT(Lima!$C449,"mmm  yy"))</f>
        <v/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B450" s="1"/>
      <c r="C450" s="2"/>
      <c r="D450" s="1"/>
      <c r="E450" s="1"/>
      <c r="F450" s="3"/>
      <c r="G450" s="1"/>
      <c r="H450" s="1"/>
      <c r="I450" s="1"/>
      <c r="J450" s="1"/>
      <c r="K450" s="1"/>
      <c r="L450" s="1" t="str">
        <f>IF(Lima!$D450="Precast",L422,IF(Lima!$D450="","",IF(Lima!$D450&lt;20000,"Khasab",IF(Lima!$D450&lt;50000, "Lima",IF(Lima!$D450&lt;72000,"Daba")))))</f>
        <v/>
      </c>
      <c r="M450" s="1" t="str">
        <f>IF(Lima!$C450="","",TEXT(Lima!$C450,"mmm  yy"))</f>
        <v/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B451" s="1"/>
      <c r="C451" s="2"/>
      <c r="D451" s="1"/>
      <c r="E451" s="1"/>
      <c r="F451" s="3"/>
      <c r="G451" s="1"/>
      <c r="H451" s="1"/>
      <c r="I451" s="1"/>
      <c r="J451" s="1"/>
      <c r="K451" s="1"/>
      <c r="L451" s="1" t="str">
        <f>IF(Lima!$D451="Precast",L423,IF(Lima!$D451="","",IF(Lima!$D451&lt;20000,"Khasab",IF(Lima!$D451&lt;50000, "Lima",IF(Lima!$D451&lt;72000,"Daba")))))</f>
        <v/>
      </c>
      <c r="M451" s="1" t="str">
        <f>IF(Lima!$C451="","",TEXT(Lima!$C451,"mmm  yy"))</f>
        <v/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B452" s="1"/>
      <c r="C452" s="2"/>
      <c r="D452" s="1"/>
      <c r="E452" s="1"/>
      <c r="F452" s="3"/>
      <c r="G452" s="1"/>
      <c r="H452" s="1"/>
      <c r="I452" s="1"/>
      <c r="J452" s="1"/>
      <c r="K452" s="1"/>
      <c r="L452" s="1" t="str">
        <f>IF(Lima!$D452="Precast",L424,IF(Lima!$D452="","",IF(Lima!$D452&lt;20000,"Khasab",IF(Lima!$D452&lt;50000, "Lima",IF(Lima!$D452&lt;72000,"Daba")))))</f>
        <v/>
      </c>
      <c r="M452" s="1" t="str">
        <f>IF(Lima!$C452="","",TEXT(Lima!$C452,"mmm  yy"))</f>
        <v/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B453" s="1"/>
      <c r="C453" s="2"/>
      <c r="D453" s="1"/>
      <c r="E453" s="1"/>
      <c r="F453" s="3"/>
      <c r="G453" s="1"/>
      <c r="H453" s="1"/>
      <c r="I453" s="1"/>
      <c r="J453" s="1"/>
      <c r="K453" s="1"/>
      <c r="L453" s="1" t="str">
        <f>IF(Lima!$D453="Precast",L425,IF(Lima!$D453="","",IF(Lima!$D453&lt;20000,"Khasab",IF(Lima!$D453&lt;50000, "Lima",IF(Lima!$D453&lt;72000,"Daba")))))</f>
        <v/>
      </c>
      <c r="M453" s="1" t="str">
        <f>IF(Lima!$C453="","",TEXT(Lima!$C453,"mmm  yy"))</f>
        <v/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B454" s="1"/>
      <c r="C454" s="2"/>
      <c r="D454" s="1"/>
      <c r="E454" s="1"/>
      <c r="F454" s="3"/>
      <c r="G454" s="1"/>
      <c r="H454" s="1"/>
      <c r="I454" s="1"/>
      <c r="J454" s="1"/>
      <c r="K454" s="1"/>
      <c r="L454" s="1" t="str">
        <f>IF(Lima!$D454="Precast",L426,IF(Lima!$D454="","",IF(Lima!$D454&lt;20000,"Khasab",IF(Lima!$D454&lt;50000, "Lima",IF(Lima!$D454&lt;72000,"Daba")))))</f>
        <v/>
      </c>
      <c r="M454" s="1" t="str">
        <f>IF(Lima!$C454="","",TEXT(Lima!$C454,"mmm  yy"))</f>
        <v/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B455" s="1"/>
      <c r="C455" s="2"/>
      <c r="D455" s="1"/>
      <c r="E455" s="1"/>
      <c r="F455" s="3"/>
      <c r="G455" s="1"/>
      <c r="H455" s="1"/>
      <c r="I455" s="1"/>
      <c r="J455" s="1"/>
      <c r="K455" s="1"/>
      <c r="L455" s="1" t="str">
        <f>IF(Lima!$D455="Precast",L427,IF(Lima!$D455="","",IF(Lima!$D455&lt;20000,"Khasab",IF(Lima!$D455&lt;50000, "Lima",IF(Lima!$D455&lt;72000,"Daba")))))</f>
        <v/>
      </c>
      <c r="M455" s="1" t="str">
        <f>IF(Lima!$C455="","",TEXT(Lima!$C455,"mmm  yy"))</f>
        <v/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B456" s="1"/>
      <c r="C456" s="2"/>
      <c r="D456" s="1"/>
      <c r="E456" s="1"/>
      <c r="F456" s="3"/>
      <c r="G456" s="1"/>
      <c r="H456" s="1"/>
      <c r="I456" s="1"/>
      <c r="J456" s="1"/>
      <c r="K456" s="1"/>
      <c r="L456" s="1" t="str">
        <f>IF(Lima!$D456="Precast",L428,IF(Lima!$D456="","",IF(Lima!$D456&lt;20000,"Khasab",IF(Lima!$D456&lt;50000, "Lima",IF(Lima!$D456&lt;72000,"Daba")))))</f>
        <v/>
      </c>
      <c r="M456" s="1" t="str">
        <f>IF(Lima!$C456="","",TEXT(Lima!$C456,"mmm  yy"))</f>
        <v/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B457" s="1"/>
      <c r="C457" s="2"/>
      <c r="D457" s="1"/>
      <c r="E457" s="1"/>
      <c r="F457" s="3"/>
      <c r="G457" s="1"/>
      <c r="H457" s="1"/>
      <c r="I457" s="1"/>
      <c r="J457" s="1"/>
      <c r="K457" s="1"/>
      <c r="L457" s="1" t="str">
        <f>IF(Lima!$D457="Precast",L429,IF(Lima!$D457="","",IF(Lima!$D457&lt;20000,"Khasab",IF(Lima!$D457&lt;50000, "Lima",IF(Lima!$D457&lt;72000,"Daba")))))</f>
        <v/>
      </c>
      <c r="M457" s="1" t="str">
        <f>IF(Lima!$C457="","",TEXT(Lima!$C457,"mmm  yy"))</f>
        <v/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B458" s="1"/>
      <c r="C458" s="2"/>
      <c r="D458" s="1"/>
      <c r="E458" s="1"/>
      <c r="F458" s="3"/>
      <c r="G458" s="1"/>
      <c r="H458" s="1"/>
      <c r="I458" s="1"/>
      <c r="J458" s="1"/>
      <c r="K458" s="1"/>
      <c r="L458" s="1" t="str">
        <f>IF(Lima!$D458="Precast",L430,IF(Lima!$D458="","",IF(Lima!$D458&lt;20000,"Khasab",IF(Lima!$D458&lt;50000, "Lima",IF(Lima!$D458&lt;72000,"Daba")))))</f>
        <v/>
      </c>
      <c r="M458" s="1" t="str">
        <f>IF(Lima!$C458="","",TEXT(Lima!$C458,"mmm  yy"))</f>
        <v/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B459" s="1"/>
      <c r="C459" s="2"/>
      <c r="D459" s="1"/>
      <c r="E459" s="1"/>
      <c r="F459" s="3"/>
      <c r="G459" s="1"/>
      <c r="H459" s="1"/>
      <c r="I459" s="1"/>
      <c r="J459" s="1"/>
      <c r="K459" s="1"/>
      <c r="L459" s="1" t="str">
        <f>IF(Lima!$D459="Precast",L431,IF(Lima!$D459="","",IF(Lima!$D459&lt;20000,"Khasab",IF(Lima!$D459&lt;50000, "Lima",IF(Lima!$D459&lt;72000,"Daba")))))</f>
        <v/>
      </c>
      <c r="M459" s="1" t="str">
        <f>IF(Lima!$C459="","",TEXT(Lima!$C459,"mmm  yy"))</f>
        <v/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B460" s="1"/>
      <c r="C460" s="2"/>
      <c r="D460" s="1"/>
      <c r="E460" s="1"/>
      <c r="F460" s="3"/>
      <c r="G460" s="1"/>
      <c r="H460" s="1"/>
      <c r="I460" s="1"/>
      <c r="J460" s="1"/>
      <c r="K460" s="1"/>
      <c r="L460" s="1" t="str">
        <f>IF(Lima!$D460="Precast",L432,IF(Lima!$D460="","",IF(Lima!$D460&lt;20000,"Khasab",IF(Lima!$D460&lt;50000, "Lima",IF(Lima!$D460&lt;72000,"Daba")))))</f>
        <v/>
      </c>
      <c r="M460" s="1" t="str">
        <f>IF(Lima!$C460="","",TEXT(Lima!$C460,"mmm  yy"))</f>
        <v/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B461" s="1"/>
      <c r="C461" s="2"/>
      <c r="D461" s="1"/>
      <c r="E461" s="1"/>
      <c r="F461" s="3"/>
      <c r="G461" s="1"/>
      <c r="H461" s="1"/>
      <c r="I461" s="1"/>
      <c r="J461" s="1"/>
      <c r="K461" s="1"/>
      <c r="L461" s="1" t="str">
        <f>IF(Lima!$D461="Precast",L433,IF(Lima!$D461="","",IF(Lima!$D461&lt;20000,"Khasab",IF(Lima!$D461&lt;50000, "Lima",IF(Lima!$D461&lt;72000,"Daba")))))</f>
        <v/>
      </c>
      <c r="M461" s="1" t="str">
        <f>IF(Lima!$C461="","",TEXT(Lima!$C461,"mmm  yy"))</f>
        <v/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B462" s="1"/>
      <c r="C462" s="2"/>
      <c r="D462" s="1"/>
      <c r="E462" s="1"/>
      <c r="F462" s="3"/>
      <c r="G462" s="1"/>
      <c r="H462" s="1"/>
      <c r="I462" s="1"/>
      <c r="J462" s="1"/>
      <c r="K462" s="1"/>
      <c r="L462" s="1" t="str">
        <f>IF(Lima!$D462="Precast",L434,IF(Lima!$D462="","",IF(Lima!$D462&lt;20000,"Khasab",IF(Lima!$D462&lt;50000, "Lima",IF(Lima!$D462&lt;72000,"Daba")))))</f>
        <v/>
      </c>
      <c r="M462" s="1" t="str">
        <f>IF(Lima!$C462="","",TEXT(Lima!$C462,"mmm  yy"))</f>
        <v/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B463" s="1"/>
      <c r="C463" s="2"/>
      <c r="D463" s="1"/>
      <c r="E463" s="1"/>
      <c r="F463" s="3"/>
      <c r="G463" s="1"/>
      <c r="H463" s="1"/>
      <c r="I463" s="1"/>
      <c r="J463" s="1"/>
      <c r="K463" s="1"/>
      <c r="L463" s="1" t="str">
        <f>IF(Lima!$D463="Precast",L435,IF(Lima!$D463="","",IF(Lima!$D463&lt;20000,"Khasab",IF(Lima!$D463&lt;50000, "Lima",IF(Lima!$D463&lt;72000,"Daba")))))</f>
        <v/>
      </c>
      <c r="M463" s="1" t="str">
        <f>IF(Lima!$C463="","",TEXT(Lima!$C463,"mmm  yy"))</f>
        <v/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B464" s="1"/>
      <c r="C464" s="2"/>
      <c r="D464" s="1"/>
      <c r="E464" s="1"/>
      <c r="F464" s="3"/>
      <c r="G464" s="1"/>
      <c r="H464" s="1"/>
      <c r="I464" s="1"/>
      <c r="J464" s="1"/>
      <c r="K464" s="1"/>
      <c r="L464" s="1" t="str">
        <f>IF(Lima!$D464="Precast",L436,IF(Lima!$D464="","",IF(Lima!$D464&lt;20000,"Khasab",IF(Lima!$D464&lt;50000, "Lima",IF(Lima!$D464&lt;72000,"Daba")))))</f>
        <v/>
      </c>
      <c r="M464" s="1" t="str">
        <f>IF(Lima!$C464="","",TEXT(Lima!$C464,"mmm  yy"))</f>
        <v/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B465" s="1"/>
      <c r="C465" s="2"/>
      <c r="D465" s="1"/>
      <c r="E465" s="1"/>
      <c r="F465" s="3"/>
      <c r="G465" s="1"/>
      <c r="H465" s="1"/>
      <c r="I465" s="1"/>
      <c r="J465" s="1"/>
      <c r="K465" s="1"/>
      <c r="L465" s="1" t="str">
        <f>IF(Lima!$D465="Precast",L437,IF(Lima!$D465="","",IF(Lima!$D465&lt;20000,"Khasab",IF(Lima!$D465&lt;50000, "Lima",IF(Lima!$D465&lt;72000,"Daba")))))</f>
        <v/>
      </c>
      <c r="M465" s="1" t="str">
        <f>IF(Lima!$C465="","",TEXT(Lima!$C465,"mmm  yy"))</f>
        <v/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B466" s="1"/>
      <c r="C466" s="2"/>
      <c r="D466" s="1"/>
      <c r="E466" s="1"/>
      <c r="F466" s="3"/>
      <c r="G466" s="1"/>
      <c r="H466" s="1"/>
      <c r="I466" s="1"/>
      <c r="J466" s="1"/>
      <c r="K466" s="1"/>
      <c r="L466" s="1" t="str">
        <f>IF(Lima!$D466="Precast",L438,IF(Lima!$D466="","",IF(Lima!$D466&lt;20000,"Khasab",IF(Lima!$D466&lt;50000, "Lima",IF(Lima!$D466&lt;72000,"Daba")))))</f>
        <v/>
      </c>
      <c r="M466" s="1" t="str">
        <f>IF(Lima!$C466="","",TEXT(Lima!$C466,"mmm  yy"))</f>
        <v/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B467" s="1"/>
      <c r="C467" s="2"/>
      <c r="D467" s="1"/>
      <c r="E467" s="1"/>
      <c r="F467" s="3"/>
      <c r="G467" s="1"/>
      <c r="H467" s="1"/>
      <c r="I467" s="1"/>
      <c r="J467" s="1"/>
      <c r="K467" s="1"/>
      <c r="L467" s="1" t="str">
        <f>IF(Lima!$D467="Precast",L439,IF(Lima!$D467="","",IF(Lima!$D467&lt;20000,"Khasab",IF(Lima!$D467&lt;50000, "Lima",IF(Lima!$D467&lt;72000,"Daba")))))</f>
        <v/>
      </c>
      <c r="M467" s="1" t="str">
        <f>IF(Lima!$C467="","",TEXT(Lima!$C467,"mmm  yy"))</f>
        <v/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B468" s="1"/>
      <c r="C468" s="2"/>
      <c r="D468" s="1"/>
      <c r="E468" s="1"/>
      <c r="F468" s="3"/>
      <c r="G468" s="1"/>
      <c r="H468" s="1"/>
      <c r="I468" s="1"/>
      <c r="J468" s="1"/>
      <c r="K468" s="1"/>
      <c r="L468" s="1" t="str">
        <f>IF(Lima!$D468="Precast",L440,IF(Lima!$D468="","",IF(Lima!$D468&lt;20000,"Khasab",IF(Lima!$D468&lt;50000, "Lima",IF(Lima!$D468&lt;72000,"Daba")))))</f>
        <v/>
      </c>
      <c r="M468" s="1" t="str">
        <f>IF(Lima!$C468="","",TEXT(Lima!$C468,"mmm  yy"))</f>
        <v/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B469" s="1"/>
      <c r="C469" s="2"/>
      <c r="D469" s="1"/>
      <c r="E469" s="1"/>
      <c r="F469" s="3"/>
      <c r="G469" s="1"/>
      <c r="H469" s="1"/>
      <c r="I469" s="1"/>
      <c r="J469" s="1"/>
      <c r="K469" s="1"/>
      <c r="L469" s="1" t="str">
        <f>IF(Lima!$D469="Precast",L441,IF(Lima!$D469="","",IF(Lima!$D469&lt;20000,"Khasab",IF(Lima!$D469&lt;50000, "Lima",IF(Lima!$D469&lt;72000,"Daba")))))</f>
        <v/>
      </c>
      <c r="M469" s="1" t="str">
        <f>IF(Lima!$C469="","",TEXT(Lima!$C469,"mmm  yy"))</f>
        <v/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B470" s="1"/>
      <c r="C470" s="2"/>
      <c r="D470" s="1"/>
      <c r="E470" s="1"/>
      <c r="F470" s="3"/>
      <c r="G470" s="1"/>
      <c r="H470" s="1"/>
      <c r="I470" s="1"/>
      <c r="J470" s="1"/>
      <c r="K470" s="1"/>
      <c r="L470" s="1" t="str">
        <f>IF(Lima!$D470="Precast",L442,IF(Lima!$D470="","",IF(Lima!$D470&lt;20000,"Khasab",IF(Lima!$D470&lt;50000, "Lima",IF(Lima!$D470&lt;72000,"Daba")))))</f>
        <v/>
      </c>
      <c r="M470" s="1" t="str">
        <f>IF(Lima!$C470="","",TEXT(Lima!$C470,"mmm  yy"))</f>
        <v/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B471" s="1"/>
      <c r="C471" s="2"/>
      <c r="D471" s="1"/>
      <c r="E471" s="1"/>
      <c r="F471" s="3"/>
      <c r="G471" s="1"/>
      <c r="H471" s="1"/>
      <c r="I471" s="1"/>
      <c r="J471" s="1"/>
      <c r="K471" s="1"/>
      <c r="L471" s="1" t="str">
        <f>IF(Lima!$D471="Precast",L443,IF(Lima!$D471="","",IF(Lima!$D471&lt;20000,"Khasab",IF(Lima!$D471&lt;50000, "Lima",IF(Lima!$D471&lt;72000,"Daba")))))</f>
        <v/>
      </c>
      <c r="M471" s="1" t="str">
        <f>IF(Lima!$C471="","",TEXT(Lima!$C471,"mmm  yy"))</f>
        <v/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B472" s="1"/>
      <c r="C472" s="2"/>
      <c r="D472" s="1"/>
      <c r="E472" s="1"/>
      <c r="F472" s="3"/>
      <c r="G472" s="1"/>
      <c r="H472" s="1"/>
      <c r="I472" s="1"/>
      <c r="J472" s="1"/>
      <c r="K472" s="1"/>
      <c r="L472" s="1" t="str">
        <f>IF(Lima!$D472="Precast",L444,IF(Lima!$D472="","",IF(Lima!$D472&lt;20000,"Khasab",IF(Lima!$D472&lt;50000, "Lima",IF(Lima!$D472&lt;72000,"Daba")))))</f>
        <v/>
      </c>
      <c r="M472" s="1" t="str">
        <f>IF(Lima!$C472="","",TEXT(Lima!$C472,"mmm  yy"))</f>
        <v/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B473" s="1"/>
      <c r="C473" s="2"/>
      <c r="D473" s="1"/>
      <c r="E473" s="1"/>
      <c r="F473" s="3"/>
      <c r="G473" s="1"/>
      <c r="H473" s="1"/>
      <c r="I473" s="1"/>
      <c r="J473" s="1"/>
      <c r="K473" s="1"/>
      <c r="L473" s="1" t="str">
        <f>IF(Lima!$D473="Precast",L445,IF(Lima!$D473="","",IF(Lima!$D473&lt;20000,"Khasab",IF(Lima!$D473&lt;50000, "Lima",IF(Lima!$D473&lt;72000,"Daba")))))</f>
        <v/>
      </c>
      <c r="M473" s="1" t="str">
        <f>IF(Lima!$C473="","",TEXT(Lima!$C473,"mmm  yy"))</f>
        <v/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B474" s="1"/>
      <c r="C474" s="2"/>
      <c r="D474" s="1"/>
      <c r="E474" s="1"/>
      <c r="F474" s="3"/>
      <c r="G474" s="1"/>
      <c r="H474" s="1"/>
      <c r="I474" s="1"/>
      <c r="J474" s="1"/>
      <c r="K474" s="1"/>
      <c r="L474" s="1" t="str">
        <f>IF(Lima!$D474="Precast",L446,IF(Lima!$D474="","",IF(Lima!$D474&lt;20000,"Khasab",IF(Lima!$D474&lt;50000, "Lima",IF(Lima!$D474&lt;72000,"Daba")))))</f>
        <v/>
      </c>
      <c r="M474" s="1" t="str">
        <f>IF(Lima!$C474="","",TEXT(Lima!$C474,"mmm  yy"))</f>
        <v/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B475" s="1"/>
      <c r="C475" s="2"/>
      <c r="D475" s="1"/>
      <c r="E475" s="1"/>
      <c r="F475" s="3"/>
      <c r="G475" s="1"/>
      <c r="H475" s="1"/>
      <c r="I475" s="1"/>
      <c r="J475" s="1"/>
      <c r="K475" s="1"/>
      <c r="L475" s="1" t="str">
        <f>IF(Lima!$D475="Precast",L447,IF(Lima!$D475="","",IF(Lima!$D475&lt;20000,"Khasab",IF(Lima!$D475&lt;50000, "Lima",IF(Lima!$D475&lt;72000,"Daba")))))</f>
        <v/>
      </c>
      <c r="M475" s="1" t="str">
        <f>IF(Lima!$C475="","",TEXT(Lima!$C475,"mmm  yy"))</f>
        <v/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B476" s="1"/>
      <c r="C476" s="2"/>
      <c r="D476" s="1"/>
      <c r="E476" s="1"/>
      <c r="F476" s="3"/>
      <c r="G476" s="1"/>
      <c r="H476" s="1"/>
      <c r="I476" s="1"/>
      <c r="J476" s="1"/>
      <c r="K476" s="1"/>
      <c r="L476" s="1" t="str">
        <f>IF(Lima!$D476="Precast",L448,IF(Lima!$D476="","",IF(Lima!$D476&lt;20000,"Khasab",IF(Lima!$D476&lt;50000, "Lima",IF(Lima!$D476&lt;72000,"Daba")))))</f>
        <v/>
      </c>
      <c r="M476" s="1" t="str">
        <f>IF(Lima!$C476="","",TEXT(Lima!$C476,"mmm  yy"))</f>
        <v/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B477" s="1"/>
      <c r="C477" s="2"/>
      <c r="D477" s="1"/>
      <c r="E477" s="1"/>
      <c r="F477" s="3"/>
      <c r="G477" s="1"/>
      <c r="H477" s="1"/>
      <c r="I477" s="1"/>
      <c r="J477" s="1"/>
      <c r="K477" s="1"/>
      <c r="L477" s="1" t="str">
        <f>IF(Lima!$D477="Precast",L449,IF(Lima!$D477="","",IF(Lima!$D477&lt;20000,"Khasab",IF(Lima!$D477&lt;50000, "Lima",IF(Lima!$D477&lt;72000,"Daba")))))</f>
        <v/>
      </c>
      <c r="M477" s="1" t="str">
        <f>IF(Lima!$C477="","",TEXT(Lima!$C477,"mmm  yy"))</f>
        <v/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B478" s="1"/>
      <c r="C478" s="2"/>
      <c r="D478" s="1"/>
      <c r="E478" s="1"/>
      <c r="F478" s="3"/>
      <c r="G478" s="1"/>
      <c r="H478" s="1"/>
      <c r="I478" s="1"/>
      <c r="J478" s="1"/>
      <c r="K478" s="1"/>
      <c r="L478" s="1" t="str">
        <f>IF(Lima!$D478="Precast",L450,IF(Lima!$D478="","",IF(Lima!$D478&lt;20000,"Khasab",IF(Lima!$D478&lt;50000, "Lima",IF(Lima!$D478&lt;72000,"Daba")))))</f>
        <v/>
      </c>
      <c r="M478" s="1" t="str">
        <f>IF(Lima!$C478="","",TEXT(Lima!$C478,"mmm  yy"))</f>
        <v/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B479" s="1"/>
      <c r="C479" s="2"/>
      <c r="D479" s="1"/>
      <c r="E479" s="1"/>
      <c r="F479" s="3"/>
      <c r="G479" s="1"/>
      <c r="H479" s="1"/>
      <c r="I479" s="1"/>
      <c r="J479" s="1"/>
      <c r="K479" s="1"/>
      <c r="L479" s="1" t="str">
        <f>IF(Lima!$D479="Precast",L451,IF(Lima!$D479="","",IF(Lima!$D479&lt;20000,"Khasab",IF(Lima!$D479&lt;50000, "Lima",IF(Lima!$D479&lt;72000,"Daba")))))</f>
        <v/>
      </c>
      <c r="M479" s="1" t="str">
        <f>IF(Lima!$C479="","",TEXT(Lima!$C479,"mmm  yy"))</f>
        <v/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B480" s="1"/>
      <c r="C480" s="2"/>
      <c r="D480" s="1"/>
      <c r="E480" s="1"/>
      <c r="F480" s="3"/>
      <c r="G480" s="1"/>
      <c r="H480" s="1"/>
      <c r="I480" s="1"/>
      <c r="J480" s="1"/>
      <c r="K480" s="1"/>
      <c r="L480" s="1" t="str">
        <f>IF(Lima!$D480="Precast",L452,IF(Lima!$D480="","",IF(Lima!$D480&lt;20000,"Khasab",IF(Lima!$D480&lt;50000, "Lima",IF(Lima!$D480&lt;72000,"Daba")))))</f>
        <v/>
      </c>
      <c r="M480" s="1" t="str">
        <f>IF(Lima!$C480="","",TEXT(Lima!$C480,"mmm  yy"))</f>
        <v/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B481" s="1"/>
      <c r="C481" s="2"/>
      <c r="D481" s="1"/>
      <c r="E481" s="1"/>
      <c r="F481" s="3"/>
      <c r="G481" s="1"/>
      <c r="H481" s="1"/>
      <c r="I481" s="1"/>
      <c r="J481" s="1"/>
      <c r="K481" s="1"/>
      <c r="L481" s="1" t="str">
        <f>IF(Lima!$D481="Precast",L453,IF(Lima!$D481="","",IF(Lima!$D481&lt;20000,"Khasab",IF(Lima!$D481&lt;50000, "Lima",IF(Lima!$D481&lt;72000,"Daba")))))</f>
        <v/>
      </c>
      <c r="M481" s="1" t="str">
        <f>IF(Lima!$C481="","",TEXT(Lima!$C481,"mmm  yy"))</f>
        <v/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B482" s="1"/>
      <c r="C482" s="2"/>
      <c r="D482" s="1"/>
      <c r="E482" s="1"/>
      <c r="F482" s="3"/>
      <c r="G482" s="1"/>
      <c r="H482" s="1"/>
      <c r="I482" s="1"/>
      <c r="J482" s="1"/>
      <c r="K482" s="1"/>
      <c r="L482" s="1" t="str">
        <f>IF(Lima!$D482="Precast",L454,IF(Lima!$D482="","",IF(Lima!$D482&lt;20000,"Khasab",IF(Lima!$D482&lt;50000, "Lima",IF(Lima!$D482&lt;72000,"Daba")))))</f>
        <v/>
      </c>
      <c r="M482" s="1" t="str">
        <f>IF(Lima!$C482="","",TEXT(Lima!$C482,"mmm  yy"))</f>
        <v/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B483" s="1"/>
      <c r="C483" s="2"/>
      <c r="D483" s="1"/>
      <c r="E483" s="1"/>
      <c r="F483" s="3"/>
      <c r="G483" s="1"/>
      <c r="H483" s="1"/>
      <c r="I483" s="1"/>
      <c r="J483" s="1"/>
      <c r="K483" s="1"/>
      <c r="L483" s="1" t="str">
        <f>IF(Lima!$D483="Precast",L455,IF(Lima!$D483="","",IF(Lima!$D483&lt;20000,"Khasab",IF(Lima!$D483&lt;50000, "Lima",IF(Lima!$D483&lt;72000,"Daba")))))</f>
        <v/>
      </c>
      <c r="M483" s="1" t="str">
        <f>IF(Lima!$C483="","",TEXT(Lima!$C483,"mmm  yy"))</f>
        <v/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B484" s="1"/>
      <c r="C484" s="2"/>
      <c r="D484" s="1"/>
      <c r="E484" s="1"/>
      <c r="F484" s="3"/>
      <c r="G484" s="1"/>
      <c r="H484" s="1"/>
      <c r="I484" s="1"/>
      <c r="J484" s="1"/>
      <c r="K484" s="1"/>
      <c r="L484" s="1" t="str">
        <f>IF(Lima!$D484="Precast",L456,IF(Lima!$D484="","",IF(Lima!$D484&lt;20000,"Khasab",IF(Lima!$D484&lt;50000, "Lima",IF(Lima!$D484&lt;72000,"Daba")))))</f>
        <v/>
      </c>
      <c r="M484" s="1" t="str">
        <f>IF(Lima!$C484="","",TEXT(Lima!$C484,"mmm  yy"))</f>
        <v/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B485" s="1"/>
      <c r="C485" s="2"/>
      <c r="D485" s="1"/>
      <c r="E485" s="1"/>
      <c r="F485" s="3"/>
      <c r="G485" s="1"/>
      <c r="H485" s="1"/>
      <c r="I485" s="1"/>
      <c r="J485" s="1"/>
      <c r="K485" s="1"/>
      <c r="L485" s="1" t="str">
        <f>IF(Lima!$D485="Precast",L457,IF(Lima!$D485="","",IF(Lima!$D485&lt;20000,"Khasab",IF(Lima!$D485&lt;50000, "Lima",IF(Lima!$D485&lt;72000,"Daba")))))</f>
        <v/>
      </c>
      <c r="M485" s="1" t="str">
        <f>IF(Lima!$C485="","",TEXT(Lima!$C485,"mmm  yy"))</f>
        <v/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B486" s="1"/>
      <c r="C486" s="2"/>
      <c r="D486" s="1"/>
      <c r="E486" s="1"/>
      <c r="F486" s="3"/>
      <c r="G486" s="1"/>
      <c r="H486" s="1"/>
      <c r="I486" s="1"/>
      <c r="J486" s="1"/>
      <c r="K486" s="1"/>
      <c r="L486" s="1" t="str">
        <f>IF(Lima!$D486="Precast",L458,IF(Lima!$D486="","",IF(Lima!$D486&lt;20000,"Khasab",IF(Lima!$D486&lt;50000, "Lima",IF(Lima!$D486&lt;72000,"Daba")))))</f>
        <v/>
      </c>
      <c r="M486" s="1" t="str">
        <f>IF(Lima!$C486="","",TEXT(Lima!$C486,"mmm  yy"))</f>
        <v/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B487" s="1"/>
      <c r="C487" s="2"/>
      <c r="D487" s="1"/>
      <c r="E487" s="1"/>
      <c r="F487" s="3"/>
      <c r="G487" s="1"/>
      <c r="H487" s="1"/>
      <c r="I487" s="1"/>
      <c r="J487" s="1"/>
      <c r="K487" s="1"/>
      <c r="L487" s="1" t="str">
        <f>IF(Lima!$D487="Precast",L459,IF(Lima!$D487="","",IF(Lima!$D487&lt;20000,"Khasab",IF(Lima!$D487&lt;50000, "Lima",IF(Lima!$D487&lt;72000,"Daba")))))</f>
        <v/>
      </c>
      <c r="M487" s="1" t="str">
        <f>IF(Lima!$C487="","",TEXT(Lima!$C487,"mmm  yy"))</f>
        <v/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B488" s="1"/>
      <c r="C488" s="2"/>
      <c r="D488" s="1"/>
      <c r="E488" s="1"/>
      <c r="F488" s="3"/>
      <c r="G488" s="1"/>
      <c r="H488" s="1"/>
      <c r="I488" s="1"/>
      <c r="J488" s="1"/>
      <c r="K488" s="1"/>
      <c r="L488" s="1" t="str">
        <f>IF(Lima!$D488="Precast",L460,IF(Lima!$D488="","",IF(Lima!$D488&lt;20000,"Khasab",IF(Lima!$D488&lt;50000, "Lima",IF(Lima!$D488&lt;72000,"Daba")))))</f>
        <v/>
      </c>
      <c r="M488" s="1" t="str">
        <f>IF(Lima!$C488="","",TEXT(Lima!$C488,"mmm  yy"))</f>
        <v/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B489" s="1"/>
      <c r="C489" s="2"/>
      <c r="D489" s="1"/>
      <c r="E489" s="1"/>
      <c r="F489" s="3"/>
      <c r="G489" s="1"/>
      <c r="H489" s="1"/>
      <c r="I489" s="1"/>
      <c r="J489" s="1"/>
      <c r="K489" s="1"/>
      <c r="L489" s="1" t="str">
        <f>IF(Lima!$D489="Precast",L461,IF(Lima!$D489="","",IF(Lima!$D489&lt;20000,"Khasab",IF(Lima!$D489&lt;50000, "Lima",IF(Lima!$D489&lt;72000,"Daba")))))</f>
        <v/>
      </c>
      <c r="M489" s="1" t="str">
        <f>IF(Lima!$C489="","",TEXT(Lima!$C489,"mmm  yy"))</f>
        <v/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B490" s="1"/>
      <c r="C490" s="2"/>
      <c r="D490" s="1"/>
      <c r="E490" s="1"/>
      <c r="F490" s="3"/>
      <c r="G490" s="1"/>
      <c r="H490" s="1"/>
      <c r="I490" s="1"/>
      <c r="J490" s="1"/>
      <c r="K490" s="1"/>
      <c r="L490" s="1" t="str">
        <f>IF(Lima!$D490="Precast",L462,IF(Lima!$D490="","",IF(Lima!$D490&lt;20000,"Khasab",IF(Lima!$D490&lt;50000, "Lima",IF(Lima!$D490&lt;72000,"Daba")))))</f>
        <v/>
      </c>
      <c r="M490" s="1" t="str">
        <f>IF(Lima!$C490="","",TEXT(Lima!$C490,"mmm  yy"))</f>
        <v/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B491" s="1"/>
      <c r="C491" s="2"/>
      <c r="D491" s="1"/>
      <c r="E491" s="1"/>
      <c r="F491" s="3"/>
      <c r="G491" s="1"/>
      <c r="H491" s="1"/>
      <c r="I491" s="1"/>
      <c r="J491" s="1"/>
      <c r="K491" s="1"/>
      <c r="L491" s="1" t="str">
        <f>IF(Lima!$D491="Precast",L463,IF(Lima!$D491="","",IF(Lima!$D491&lt;20000,"Khasab",IF(Lima!$D491&lt;50000, "Lima",IF(Lima!$D491&lt;72000,"Daba")))))</f>
        <v/>
      </c>
      <c r="M491" s="1" t="str">
        <f>IF(Lima!$C491="","",TEXT(Lima!$C491,"mmm  yy"))</f>
        <v/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B492" s="1"/>
      <c r="C492" s="2"/>
      <c r="D492" s="1"/>
      <c r="E492" s="1"/>
      <c r="F492" s="3"/>
      <c r="G492" s="1"/>
      <c r="H492" s="1"/>
      <c r="I492" s="1"/>
      <c r="J492" s="1"/>
      <c r="K492" s="1"/>
      <c r="L492" s="1" t="str">
        <f>IF(Lima!$D492="Precast",L464,IF(Lima!$D492="","",IF(Lima!$D492&lt;20000,"Khasab",IF(Lima!$D492&lt;50000, "Lima",IF(Lima!$D492&lt;72000,"Daba")))))</f>
        <v/>
      </c>
      <c r="M492" s="1" t="str">
        <f>IF(Lima!$C492="","",TEXT(Lima!$C492,"mmm  yy"))</f>
        <v/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B493" s="1"/>
      <c r="C493" s="2"/>
      <c r="D493" s="1"/>
      <c r="E493" s="1"/>
      <c r="F493" s="3"/>
      <c r="G493" s="1"/>
      <c r="H493" s="1"/>
      <c r="I493" s="1"/>
      <c r="J493" s="1"/>
      <c r="K493" s="1"/>
      <c r="L493" s="1" t="str">
        <f>IF(Lima!$D493="Precast",L465,IF(Lima!$D493="","",IF(Lima!$D493&lt;20000,"Khasab",IF(Lima!$D493&lt;50000, "Lima",IF(Lima!$D493&lt;72000,"Daba")))))</f>
        <v/>
      </c>
      <c r="M493" s="1" t="str">
        <f>IF(Lima!$C493="","",TEXT(Lima!$C493,"mmm  yy"))</f>
        <v/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B494" s="1"/>
      <c r="C494" s="2"/>
      <c r="D494" s="1"/>
      <c r="E494" s="1"/>
      <c r="F494" s="3"/>
      <c r="G494" s="1"/>
      <c r="H494" s="1"/>
      <c r="I494" s="1"/>
      <c r="J494" s="1"/>
      <c r="K494" s="1"/>
      <c r="L494" s="1" t="str">
        <f>IF(Lima!$D494="Precast",L466,IF(Lima!$D494="","",IF(Lima!$D494&lt;20000,"Khasab",IF(Lima!$D494&lt;50000, "Lima",IF(Lima!$D494&lt;72000,"Daba")))))</f>
        <v/>
      </c>
      <c r="M494" s="1" t="str">
        <f>IF(Lima!$C494="","",TEXT(Lima!$C494,"mmm  yy"))</f>
        <v/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B495" s="1"/>
      <c r="C495" s="2"/>
      <c r="D495" s="1"/>
      <c r="E495" s="1"/>
      <c r="F495" s="3"/>
      <c r="G495" s="1"/>
      <c r="H495" s="1"/>
      <c r="I495" s="1"/>
      <c r="J495" s="1"/>
      <c r="K495" s="1"/>
      <c r="L495" s="1" t="str">
        <f>IF(Lima!$D495="Precast",L467,IF(Lima!$D495="","",IF(Lima!$D495&lt;20000,"Khasab",IF(Lima!$D495&lt;50000, "Lima",IF(Lima!$D495&lt;72000,"Daba")))))</f>
        <v/>
      </c>
      <c r="M495" s="1" t="str">
        <f>IF(Lima!$C495="","",TEXT(Lima!$C495,"mmm  yy"))</f>
        <v/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B496" s="1"/>
      <c r="C496" s="2"/>
      <c r="D496" s="1"/>
      <c r="E496" s="1"/>
      <c r="F496" s="3"/>
      <c r="G496" s="1"/>
      <c r="H496" s="1"/>
      <c r="I496" s="1"/>
      <c r="J496" s="1"/>
      <c r="K496" s="1"/>
      <c r="L496" s="1" t="str">
        <f>IF(Lima!$D496="Precast",L468,IF(Lima!$D496="","",IF(Lima!$D496&lt;20000,"Khasab",IF(Lima!$D496&lt;50000, "Lima",IF(Lima!$D496&lt;72000,"Daba")))))</f>
        <v/>
      </c>
      <c r="M496" s="1" t="str">
        <f>IF(Lima!$C496="","",TEXT(Lima!$C496,"mmm  yy"))</f>
        <v/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B497" s="1"/>
      <c r="C497" s="2"/>
      <c r="D497" s="1"/>
      <c r="E497" s="1"/>
      <c r="F497" s="3"/>
      <c r="G497" s="1"/>
      <c r="H497" s="1"/>
      <c r="I497" s="1"/>
      <c r="J497" s="1"/>
      <c r="K497" s="1"/>
      <c r="L497" s="1" t="str">
        <f>IF(Lima!$D497="Precast",L469,IF(Lima!$D497="","",IF(Lima!$D497&lt;20000,"Khasab",IF(Lima!$D497&lt;50000, "Lima",IF(Lima!$D497&lt;72000,"Daba")))))</f>
        <v/>
      </c>
      <c r="M497" s="1" t="str">
        <f>IF(Lima!$C497="","",TEXT(Lima!$C497,"mmm  yy"))</f>
        <v/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B498" s="1"/>
      <c r="C498" s="2"/>
      <c r="D498" s="1"/>
      <c r="E498" s="1"/>
      <c r="F498" s="3"/>
      <c r="G498" s="1"/>
      <c r="H498" s="1"/>
      <c r="I498" s="1"/>
      <c r="J498" s="1"/>
      <c r="K498" s="1"/>
      <c r="L498" s="1" t="str">
        <f>IF(Lima!$D498="Precast",L470,IF(Lima!$D498="","",IF(Lima!$D498&lt;20000,"Khasab",IF(Lima!$D498&lt;50000, "Lima",IF(Lima!$D498&lt;72000,"Daba")))))</f>
        <v/>
      </c>
      <c r="M498" s="1" t="str">
        <f>IF(Lima!$C498="","",TEXT(Lima!$C498,"mmm  yy"))</f>
        <v/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B499" s="1"/>
      <c r="C499" s="2"/>
      <c r="D499" s="1"/>
      <c r="E499" s="1"/>
      <c r="F499" s="3"/>
      <c r="G499" s="1"/>
      <c r="H499" s="1"/>
      <c r="I499" s="1"/>
      <c r="J499" s="1"/>
      <c r="K499" s="1"/>
      <c r="L499" s="1" t="str">
        <f>IF(Lima!$D499="Precast",L471,IF(Lima!$D499="","",IF(Lima!$D499&lt;20000,"Khasab",IF(Lima!$D499&lt;50000, "Lima",IF(Lima!$D499&lt;72000,"Daba")))))</f>
        <v/>
      </c>
      <c r="M499" s="1" t="str">
        <f>IF(Lima!$C499="","",TEXT(Lima!$C499,"mmm  yy"))</f>
        <v/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3">
      <c r="A500" s="1"/>
      <c r="B500" s="1"/>
      <c r="C500" s="2"/>
      <c r="D500" s="1"/>
      <c r="E500" s="1"/>
      <c r="F500" s="3"/>
      <c r="G500" s="1"/>
      <c r="H500" s="1"/>
      <c r="I500" s="1"/>
      <c r="J500" s="1"/>
      <c r="K500" s="1"/>
      <c r="L500" s="1" t="str">
        <f>IF(Lima!$D500="Precast",L472,IF(Lima!$D500="","",IF(Lima!$D500&lt;20000,"Khasab",IF(Lima!$D500&lt;50000, "Lima",IF(Lima!$D500&lt;72000,"Daba")))))</f>
        <v/>
      </c>
      <c r="M500" s="1" t="str">
        <f>IF(Lima!$C500="","",TEXT(Lima!$C500,"mmm  yy"))</f>
        <v/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3">
      <c r="A501" s="1"/>
      <c r="B501" s="1"/>
      <c r="C501" s="2"/>
      <c r="D501" s="1"/>
      <c r="E501" s="1"/>
      <c r="F501" s="3"/>
      <c r="G501" s="1"/>
      <c r="H501" s="1"/>
      <c r="I501" s="1"/>
      <c r="J501" s="1"/>
      <c r="K501" s="1"/>
      <c r="L501" s="1" t="str">
        <f>IF(Lima!$D501="Precast",L473,IF(Lima!$D501="","",IF(Lima!$D501&lt;20000,"Khasab",IF(Lima!$D501&lt;50000, "Lima",IF(Lima!$D501&lt;72000,"Daba")))))</f>
        <v/>
      </c>
      <c r="M501" s="1" t="str">
        <f>IF(Lima!$C501="","",TEXT(Lima!$C501,"mmm  yy"))</f>
        <v/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3">
      <c r="A502" s="1"/>
      <c r="B502" s="1"/>
      <c r="C502" s="2"/>
      <c r="D502" s="1"/>
      <c r="E502" s="1"/>
      <c r="F502" s="3"/>
      <c r="G502" s="1"/>
      <c r="H502" s="1"/>
      <c r="I502" s="1"/>
      <c r="J502" s="1"/>
      <c r="K502" s="1"/>
      <c r="L502" s="1" t="str">
        <f>IF(Lima!$D502="Precast",L474,IF(Lima!$D502="","",IF(Lima!$D502&lt;20000,"Khasab",IF(Lima!$D502&lt;50000, "Lima",IF(Lima!$D502&lt;72000,"Daba")))))</f>
        <v/>
      </c>
      <c r="M502" s="1" t="str">
        <f>IF(Lima!$C502="","",TEXT(Lima!$C502,"mmm  yy"))</f>
        <v/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3">
      <c r="A503" s="1"/>
      <c r="B503" s="1"/>
      <c r="C503" s="2"/>
      <c r="D503" s="1"/>
      <c r="E503" s="1"/>
      <c r="F503" s="3"/>
      <c r="G503" s="1"/>
      <c r="H503" s="1"/>
      <c r="I503" s="1"/>
      <c r="J503" s="1"/>
      <c r="K503" s="1"/>
      <c r="L503" s="1" t="str">
        <f>IF(Lima!$D503="Precast",L475,IF(Lima!$D503="","",IF(Lima!$D503&lt;20000,"Khasab",IF(Lima!$D503&lt;50000, "Lima",IF(Lima!$D503&lt;72000,"Daba")))))</f>
        <v/>
      </c>
      <c r="M503" s="1" t="str">
        <f>IF(Lima!$C503="","",TEXT(Lima!$C503,"mmm  yy"))</f>
        <v/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3">
      <c r="A504" s="1"/>
      <c r="B504" s="1"/>
      <c r="C504" s="2"/>
      <c r="D504" s="1"/>
      <c r="E504" s="1"/>
      <c r="F504" s="3"/>
      <c r="G504" s="1"/>
      <c r="H504" s="1"/>
      <c r="I504" s="1"/>
      <c r="J504" s="1"/>
      <c r="K504" s="1"/>
      <c r="L504" s="1" t="str">
        <f>IF(Lima!$D504="Precast",L476,IF(Lima!$D504="","",IF(Lima!$D504&lt;20000,"Khasab",IF(Lima!$D504&lt;50000, "Lima",IF(Lima!$D504&lt;72000,"Daba")))))</f>
        <v/>
      </c>
      <c r="M504" s="1" t="str">
        <f>IF(Lima!$C504="","",TEXT(Lima!$C504,"mmm  yy"))</f>
        <v/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3">
      <c r="A505" s="1"/>
      <c r="B505" s="1"/>
      <c r="C505" s="2"/>
      <c r="D505" s="1"/>
      <c r="E505" s="1"/>
      <c r="F505" s="3"/>
      <c r="G505" s="1"/>
      <c r="H505" s="1"/>
      <c r="I505" s="1"/>
      <c r="J505" s="1"/>
      <c r="K505" s="1"/>
      <c r="L505" s="1" t="str">
        <f>IF(Lima!$D505="Precast",L477,IF(Lima!$D505="","",IF(Lima!$D505&lt;20000,"Khasab",IF(Lima!$D505&lt;50000, "Lima",IF(Lima!$D505&lt;72000,"Daba")))))</f>
        <v/>
      </c>
      <c r="M505" s="1" t="str">
        <f>IF(Lima!$C505="","",TEXT(Lima!$C505,"mmm  yy"))</f>
        <v/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3">
      <c r="A506" s="1"/>
      <c r="B506" s="1"/>
      <c r="C506" s="2"/>
      <c r="D506" s="1"/>
      <c r="E506" s="1"/>
      <c r="F506" s="3"/>
      <c r="G506" s="1"/>
      <c r="H506" s="1"/>
      <c r="I506" s="1"/>
      <c r="J506" s="1"/>
      <c r="K506" s="1"/>
      <c r="L506" s="1" t="str">
        <f>IF(Lima!$D506="Precast",L478,IF(Lima!$D506="","",IF(Lima!$D506&lt;20000,"Khasab",IF(Lima!$D506&lt;50000, "Lima",IF(Lima!$D506&lt;72000,"Daba")))))</f>
        <v/>
      </c>
      <c r="M506" s="1" t="str">
        <f>IF(Lima!$C506="","",TEXT(Lima!$C506,"mmm  yy"))</f>
        <v/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3">
      <c r="A507" s="1"/>
      <c r="B507" s="1"/>
      <c r="C507" s="2"/>
      <c r="D507" s="1"/>
      <c r="E507" s="1"/>
      <c r="F507" s="3"/>
      <c r="G507" s="1"/>
      <c r="H507" s="1"/>
      <c r="I507" s="1"/>
      <c r="J507" s="1"/>
      <c r="K507" s="1"/>
      <c r="L507" s="1" t="str">
        <f>IF(Lima!$D507="Precast",L479,IF(Lima!$D507="","",IF(Lima!$D507&lt;20000,"Khasab",IF(Lima!$D507&lt;50000, "Lima",IF(Lima!$D507&lt;72000,"Daba")))))</f>
        <v/>
      </c>
      <c r="M507" s="1" t="str">
        <f>IF(Lima!$C507="","",TEXT(Lima!$C507,"mmm  yy"))</f>
        <v/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3">
      <c r="A508" s="1"/>
      <c r="B508" s="1"/>
      <c r="C508" s="2"/>
      <c r="D508" s="1"/>
      <c r="E508" s="1"/>
      <c r="F508" s="3"/>
      <c r="G508" s="1"/>
      <c r="H508" s="1"/>
      <c r="I508" s="1"/>
      <c r="J508" s="1"/>
      <c r="K508" s="1"/>
      <c r="L508" s="1" t="str">
        <f>IF(Lima!$D508="Precast",L480,IF(Lima!$D508="","",IF(Lima!$D508&lt;20000,"Khasab",IF(Lima!$D508&lt;50000, "Lima",IF(Lima!$D508&lt;72000,"Daba")))))</f>
        <v/>
      </c>
      <c r="M508" s="1" t="str">
        <f>IF(Lima!$C508="","",TEXT(Lima!$C508,"mmm  yy"))</f>
        <v/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3">
      <c r="A509" s="1"/>
      <c r="B509" s="1"/>
      <c r="C509" s="2"/>
      <c r="D509" s="1"/>
      <c r="E509" s="1"/>
      <c r="F509" s="3"/>
      <c r="G509" s="1"/>
      <c r="H509" s="1"/>
      <c r="I509" s="1"/>
      <c r="J509" s="1"/>
      <c r="K509" s="1"/>
      <c r="L509" s="1" t="str">
        <f>IF(Lima!$D509="Precast",L481,IF(Lima!$D509="","",IF(Lima!$D509&lt;20000,"Khasab",IF(Lima!$D509&lt;50000, "Lima",IF(Lima!$D509&lt;72000,"Daba")))))</f>
        <v/>
      </c>
      <c r="M509" s="1" t="str">
        <f>IF(Lima!$C509="","",TEXT(Lima!$C509,"mmm  yy"))</f>
        <v/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3">
      <c r="A510" s="1"/>
      <c r="B510" s="1"/>
      <c r="C510" s="2"/>
      <c r="D510" s="1"/>
      <c r="E510" s="1"/>
      <c r="F510" s="3"/>
      <c r="G510" s="1"/>
      <c r="H510" s="1"/>
      <c r="I510" s="1"/>
      <c r="J510" s="1"/>
      <c r="K510" s="1"/>
      <c r="L510" s="1" t="str">
        <f>IF(Lima!$D510="Precast",L482,IF(Lima!$D510="","",IF(Lima!$D510&lt;20000,"Khasab",IF(Lima!$D510&lt;50000, "Lima",IF(Lima!$D510&lt;72000,"Daba")))))</f>
        <v/>
      </c>
      <c r="M510" s="1" t="str">
        <f>IF(Lima!$C510="","",TEXT(Lima!$C510,"mmm  yy"))</f>
        <v/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3">
      <c r="A511" s="1"/>
      <c r="B511" s="1"/>
      <c r="C511" s="2"/>
      <c r="D511" s="1"/>
      <c r="E511" s="1"/>
      <c r="F511" s="3"/>
      <c r="G511" s="1"/>
      <c r="H511" s="1"/>
      <c r="I511" s="1"/>
      <c r="J511" s="1"/>
      <c r="K511" s="1"/>
      <c r="L511" s="1" t="str">
        <f>IF(Lima!$D511="Precast",L483,IF(Lima!$D511="","",IF(Lima!$D511&lt;20000,"Khasab",IF(Lima!$D511&lt;50000, "Lima",IF(Lima!$D511&lt;72000,"Daba")))))</f>
        <v/>
      </c>
      <c r="M511" s="1" t="str">
        <f>IF(Lima!$C511="","",TEXT(Lima!$C511,"mmm  yy"))</f>
        <v/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3">
      <c r="A512" s="1"/>
      <c r="B512" s="1"/>
      <c r="C512" s="2"/>
      <c r="D512" s="1"/>
      <c r="E512" s="1"/>
      <c r="F512" s="3"/>
      <c r="G512" s="1"/>
      <c r="H512" s="1"/>
      <c r="I512" s="1"/>
      <c r="J512" s="1"/>
      <c r="K512" s="1"/>
      <c r="L512" s="1" t="str">
        <f>IF(Lima!$D512="Precast",L484,IF(Lima!$D512="","",IF(Lima!$D512&lt;20000,"Khasab",IF(Lima!$D512&lt;50000, "Lima",IF(Lima!$D512&lt;72000,"Daba")))))</f>
        <v/>
      </c>
      <c r="M512" s="1" t="str">
        <f>IF(Lima!$C512="","",TEXT(Lima!$C512,"mmm  yy"))</f>
        <v/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3">
      <c r="A513" s="1"/>
      <c r="B513" s="1"/>
      <c r="C513" s="2"/>
      <c r="D513" s="1"/>
      <c r="E513" s="1"/>
      <c r="F513" s="3"/>
      <c r="G513" s="1"/>
      <c r="H513" s="1"/>
      <c r="I513" s="1"/>
      <c r="J513" s="1"/>
      <c r="K513" s="1"/>
      <c r="L513" s="1" t="str">
        <f>IF(Lima!$D513="Precast",L485,IF(Lima!$D513="","",IF(Lima!$D513&lt;20000,"Khasab",IF(Lima!$D513&lt;50000, "Lima",IF(Lima!$D513&lt;72000,"Daba")))))</f>
        <v/>
      </c>
      <c r="M513" s="1" t="str">
        <f>IF(Lima!$C513="","",TEXT(Lima!$C513,"mmm  yy"))</f>
        <v/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3">
      <c r="A514" s="1"/>
      <c r="B514" s="1"/>
      <c r="C514" s="2"/>
      <c r="D514" s="1"/>
      <c r="E514" s="1"/>
      <c r="F514" s="3"/>
      <c r="G514" s="1"/>
      <c r="H514" s="1"/>
      <c r="I514" s="1"/>
      <c r="J514" s="1"/>
      <c r="K514" s="1"/>
      <c r="L514" s="1" t="str">
        <f>IF(Lima!$D514="Precast",L486,IF(Lima!$D514="","",IF(Lima!$D514&lt;20000,"Khasab",IF(Lima!$D514&lt;50000, "Lima",IF(Lima!$D514&lt;72000,"Daba")))))</f>
        <v/>
      </c>
      <c r="M514" s="1" t="str">
        <f>IF(Lima!$C514="","",TEXT(Lima!$C514,"mmm  yy"))</f>
        <v/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3">
      <c r="A515" s="1"/>
      <c r="B515" s="1"/>
      <c r="C515" s="2"/>
      <c r="D515" s="1"/>
      <c r="E515" s="1"/>
      <c r="F515" s="3"/>
      <c r="G515" s="1"/>
      <c r="H515" s="1"/>
      <c r="I515" s="1"/>
      <c r="J515" s="1"/>
      <c r="K515" s="1"/>
      <c r="L515" s="1" t="str">
        <f>IF(Lima!$D515="Precast",L487,IF(Lima!$D515="","",IF(Lima!$D515&lt;20000,"Khasab",IF(Lima!$D515&lt;50000, "Lima",IF(Lima!$D515&lt;72000,"Daba")))))</f>
        <v/>
      </c>
      <c r="M515" s="1" t="str">
        <f>IF(Lima!$C515="","",TEXT(Lima!$C515,"mmm  yy"))</f>
        <v/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3">
      <c r="A516" s="1"/>
      <c r="B516" s="1"/>
      <c r="C516" s="2"/>
      <c r="D516" s="1"/>
      <c r="E516" s="1"/>
      <c r="F516" s="3"/>
      <c r="G516" s="1"/>
      <c r="H516" s="1"/>
      <c r="I516" s="1"/>
      <c r="J516" s="1"/>
      <c r="K516" s="1"/>
      <c r="L516" s="1" t="str">
        <f>IF(Lima!$D516="Precast",L488,IF(Lima!$D516="","",IF(Lima!$D516&lt;20000,"Khasab",IF(Lima!$D516&lt;50000, "Lima",IF(Lima!$D516&lt;72000,"Daba")))))</f>
        <v/>
      </c>
      <c r="M516" s="1" t="str">
        <f>IF(Lima!$C516="","",TEXT(Lima!$C516,"mmm  yy"))</f>
        <v/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3">
      <c r="A517" s="1"/>
      <c r="B517" s="1"/>
      <c r="C517" s="2"/>
      <c r="D517" s="1"/>
      <c r="E517" s="1"/>
      <c r="F517" s="3"/>
      <c r="G517" s="1"/>
      <c r="H517" s="1"/>
      <c r="I517" s="1"/>
      <c r="J517" s="1"/>
      <c r="K517" s="1"/>
      <c r="L517" s="1" t="str">
        <f>IF(Lima!$D517="Precast",L489,IF(Lima!$D517="","",IF(Lima!$D517&lt;20000,"Khasab",IF(Lima!$D517&lt;50000, "Lima",IF(Lima!$D517&lt;72000,"Daba")))))</f>
        <v/>
      </c>
      <c r="M517" s="1" t="str">
        <f>IF(Lima!$C517="","",TEXT(Lima!$C517,"mmm  yy"))</f>
        <v/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3">
      <c r="A518" s="1"/>
      <c r="B518" s="1"/>
      <c r="C518" s="2"/>
      <c r="D518" s="1"/>
      <c r="E518" s="1"/>
      <c r="F518" s="3"/>
      <c r="G518" s="1"/>
      <c r="H518" s="1"/>
      <c r="I518" s="1"/>
      <c r="J518" s="1"/>
      <c r="K518" s="1"/>
      <c r="L518" s="1" t="str">
        <f>IF(Lima!$D518="Precast",L490,IF(Lima!$D518="","",IF(Lima!$D518&lt;20000,"Khasab",IF(Lima!$D518&lt;50000, "Lima",IF(Lima!$D518&lt;72000,"Daba")))))</f>
        <v/>
      </c>
      <c r="M518" s="1" t="str">
        <f>IF(Lima!$C518="","",TEXT(Lima!$C518,"mmm  yy"))</f>
        <v/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3">
      <c r="A519" s="1"/>
      <c r="B519" s="1"/>
      <c r="C519" s="2"/>
      <c r="D519" s="1"/>
      <c r="E519" s="1"/>
      <c r="F519" s="3"/>
      <c r="G519" s="1"/>
      <c r="H519" s="1"/>
      <c r="I519" s="1"/>
      <c r="J519" s="1"/>
      <c r="K519" s="1"/>
      <c r="L519" s="1" t="str">
        <f>IF(Lima!$D519="Precast",L491,IF(Lima!$D519="","",IF(Lima!$D519&lt;20000,"Khasab",IF(Lima!$D519&lt;50000, "Lima",IF(Lima!$D519&lt;72000,"Daba")))))</f>
        <v/>
      </c>
      <c r="M519" s="1" t="str">
        <f>IF(Lima!$C519="","",TEXT(Lima!$C519,"mmm  yy"))</f>
        <v/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3">
      <c r="A520" s="1"/>
      <c r="B520" s="1"/>
      <c r="C520" s="2"/>
      <c r="D520" s="1"/>
      <c r="E520" s="1"/>
      <c r="F520" s="3"/>
      <c r="G520" s="1"/>
      <c r="H520" s="1"/>
      <c r="I520" s="1"/>
      <c r="J520" s="1"/>
      <c r="K520" s="1"/>
      <c r="L520" s="1" t="str">
        <f>IF(Lima!$D520="Precast",L492,IF(Lima!$D520="","",IF(Lima!$D520&lt;20000,"Khasab",IF(Lima!$D520&lt;50000, "Lima",IF(Lima!$D520&lt;72000,"Daba")))))</f>
        <v/>
      </c>
      <c r="M520" s="1" t="str">
        <f>IF(Lima!$C520="","",TEXT(Lima!$C520,"mmm  yy"))</f>
        <v/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3">
      <c r="A521" s="1"/>
      <c r="B521" s="1"/>
      <c r="C521" s="2"/>
      <c r="D521" s="1"/>
      <c r="E521" s="1"/>
      <c r="F521" s="3"/>
      <c r="G521" s="1"/>
      <c r="H521" s="1"/>
      <c r="I521" s="1"/>
      <c r="J521" s="1"/>
      <c r="K521" s="1"/>
      <c r="L521" s="1" t="str">
        <f>IF(Lima!$D521="Precast",L493,IF(Lima!$D521="","",IF(Lima!$D521&lt;20000,"Khasab",IF(Lima!$D521&lt;50000, "Lima",IF(Lima!$D521&lt;72000,"Daba")))))</f>
        <v/>
      </c>
      <c r="M521" s="1" t="str">
        <f>IF(Lima!$C521="","",TEXT(Lima!$C521,"mmm  yy"))</f>
        <v/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3">
      <c r="A522" s="1"/>
      <c r="B522" s="1"/>
      <c r="C522" s="2"/>
      <c r="D522" s="1"/>
      <c r="E522" s="1"/>
      <c r="F522" s="3"/>
      <c r="G522" s="1"/>
      <c r="H522" s="1"/>
      <c r="I522" s="1"/>
      <c r="J522" s="1"/>
      <c r="K522" s="1"/>
      <c r="L522" s="1" t="str">
        <f>IF(Lima!$D522="Precast",L494,IF(Lima!$D522="","",IF(Lima!$D522&lt;20000,"Khasab",IF(Lima!$D522&lt;50000, "Lima",IF(Lima!$D522&lt;72000,"Daba")))))</f>
        <v/>
      </c>
      <c r="M522" s="1" t="str">
        <f>IF(Lima!$C522="","",TEXT(Lima!$C522,"mmm  yy"))</f>
        <v/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3">
      <c r="A523" s="1"/>
      <c r="B523" s="1"/>
      <c r="C523" s="2"/>
      <c r="D523" s="1"/>
      <c r="E523" s="1"/>
      <c r="F523" s="3"/>
      <c r="G523" s="1"/>
      <c r="H523" s="1"/>
      <c r="I523" s="1"/>
      <c r="J523" s="1"/>
      <c r="K523" s="1"/>
      <c r="L523" s="1" t="str">
        <f>IF(Lima!$D523="Precast",L495,IF(Lima!$D523="","",IF(Lima!$D523&lt;20000,"Khasab",IF(Lima!$D523&lt;50000, "Lima",IF(Lima!$D523&lt;72000,"Daba")))))</f>
        <v/>
      </c>
      <c r="M523" s="1" t="str">
        <f>IF(Lima!$C523="","",TEXT(Lima!$C523,"mmm  yy"))</f>
        <v/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3">
      <c r="A524" s="1"/>
      <c r="B524" s="1"/>
      <c r="C524" s="2"/>
      <c r="D524" s="1"/>
      <c r="E524" s="1"/>
      <c r="F524" s="3"/>
      <c r="G524" s="1"/>
      <c r="H524" s="1"/>
      <c r="I524" s="1"/>
      <c r="J524" s="1"/>
      <c r="K524" s="1"/>
      <c r="L524" s="1" t="str">
        <f>IF(Lima!$D524="Precast",L496,IF(Lima!$D524="","",IF(Lima!$D524&lt;20000,"Khasab",IF(Lima!$D524&lt;50000, "Lima",IF(Lima!$D524&lt;72000,"Daba")))))</f>
        <v/>
      </c>
      <c r="M524" s="1" t="str">
        <f>IF(Lima!$C524="","",TEXT(Lima!$C524,"mmm  yy"))</f>
        <v/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3">
      <c r="A525" s="1"/>
      <c r="B525" s="1"/>
      <c r="C525" s="2"/>
      <c r="D525" s="1"/>
      <c r="E525" s="1"/>
      <c r="F525" s="3"/>
      <c r="G525" s="1"/>
      <c r="H525" s="1"/>
      <c r="I525" s="1"/>
      <c r="J525" s="1"/>
      <c r="K525" s="1"/>
      <c r="L525" s="1" t="str">
        <f>IF(Lima!$D525="Precast",L497,IF(Lima!$D525="","",IF(Lima!$D525&lt;20000,"Khasab",IF(Lima!$D525&lt;50000, "Lima",IF(Lima!$D525&lt;72000,"Daba")))))</f>
        <v/>
      </c>
      <c r="M525" s="1" t="str">
        <f>IF(Lima!$C525="","",TEXT(Lima!$C525,"mmm  yy"))</f>
        <v/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3">
      <c r="A526" s="1"/>
      <c r="B526" s="1"/>
      <c r="C526" s="2"/>
      <c r="D526" s="1"/>
      <c r="E526" s="1"/>
      <c r="F526" s="3"/>
      <c r="G526" s="1"/>
      <c r="H526" s="1"/>
      <c r="I526" s="1"/>
      <c r="J526" s="1"/>
      <c r="K526" s="1"/>
      <c r="L526" s="1" t="str">
        <f>IF(Lima!$D526="Precast",L498,IF(Lima!$D526="","",IF(Lima!$D526&lt;20000,"Khasab",IF(Lima!$D526&lt;50000, "Lima",IF(Lima!$D526&lt;72000,"Daba")))))</f>
        <v/>
      </c>
      <c r="M526" s="1" t="str">
        <f>IF(Lima!$C526="","",TEXT(Lima!$C526,"mmm  yy"))</f>
        <v/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3">
      <c r="A527" s="1"/>
      <c r="B527" s="1"/>
      <c r="C527" s="2"/>
      <c r="D527" s="1"/>
      <c r="E527" s="1"/>
      <c r="F527" s="3"/>
      <c r="G527" s="1"/>
      <c r="H527" s="1"/>
      <c r="I527" s="1"/>
      <c r="J527" s="1"/>
      <c r="K527" s="1"/>
      <c r="L527" s="1" t="str">
        <f>IF(Lima!$D527="Precast",L499,IF(Lima!$D527="","",IF(Lima!$D527&lt;20000,"Khasab",IF(Lima!$D527&lt;50000, "Lima",IF(Lima!$D527&lt;72000,"Daba")))))</f>
        <v/>
      </c>
      <c r="M527" s="1" t="str">
        <f>IF(Lima!$C527="","",TEXT(Lima!$C527,"mmm  yy"))</f>
        <v/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3">
      <c r="A528" s="1"/>
      <c r="B528" s="1"/>
      <c r="C528" s="2"/>
      <c r="D528" s="1"/>
      <c r="E528" s="1"/>
      <c r="F528" s="3"/>
      <c r="G528" s="1"/>
      <c r="H528" s="1"/>
      <c r="I528" s="1"/>
      <c r="J528" s="1"/>
      <c r="K528" s="1"/>
      <c r="L528" s="1" t="str">
        <f>IF(Lima!$D528="Precast",L500,IF(Lima!$D528="","",IF(Lima!$D528&lt;20000,"Khasab",IF(Lima!$D528&lt;50000, "Lima",IF(Lima!$D528&lt;72000,"Daba")))))</f>
        <v/>
      </c>
      <c r="M528" s="1" t="str">
        <f>IF(Lima!$C528="","",TEXT(Lima!$C528,"mmm  yy"))</f>
        <v/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3">
      <c r="A529" s="1"/>
      <c r="B529" s="1"/>
      <c r="C529" s="2"/>
      <c r="D529" s="1"/>
      <c r="E529" s="1"/>
      <c r="F529" s="3"/>
      <c r="G529" s="1"/>
      <c r="H529" s="1"/>
      <c r="I529" s="1"/>
      <c r="J529" s="1"/>
      <c r="K529" s="1"/>
      <c r="L529" s="1" t="str">
        <f>IF(Lima!$D529="Precast",L501,IF(Lima!$D529="","",IF(Lima!$D529&lt;20000,"Khasab",IF(Lima!$D529&lt;50000, "Lima",IF(Lima!$D529&lt;72000,"Daba")))))</f>
        <v/>
      </c>
      <c r="M529" s="1" t="str">
        <f>IF(Lima!$C529="","",TEXT(Lima!$C529,"mmm  yy"))</f>
        <v/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3">
      <c r="A530" s="1"/>
      <c r="B530" s="1"/>
      <c r="C530" s="2"/>
      <c r="D530" s="1"/>
      <c r="E530" s="1"/>
      <c r="F530" s="3"/>
      <c r="G530" s="1"/>
      <c r="H530" s="1"/>
      <c r="I530" s="1"/>
      <c r="J530" s="1"/>
      <c r="K530" s="1"/>
      <c r="L530" s="1" t="str">
        <f>IF(Lima!$D530="Precast",L502,IF(Lima!$D530="","",IF(Lima!$D530&lt;20000,"Khasab",IF(Lima!$D530&lt;50000, "Lima",IF(Lima!$D530&lt;72000,"Daba")))))</f>
        <v/>
      </c>
      <c r="M530" s="1" t="str">
        <f>IF(Lima!$C530="","",TEXT(Lima!$C530,"mmm  yy"))</f>
        <v/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3">
      <c r="A531" s="1"/>
      <c r="B531" s="1"/>
      <c r="C531" s="2"/>
      <c r="D531" s="1"/>
      <c r="E531" s="1"/>
      <c r="F531" s="3"/>
      <c r="G531" s="1"/>
      <c r="H531" s="1"/>
      <c r="I531" s="1"/>
      <c r="J531" s="1"/>
      <c r="K531" s="1"/>
      <c r="L531" s="1" t="str">
        <f>IF(Lima!$D531="Precast",L503,IF(Lima!$D531="","",IF(Lima!$D531&lt;20000,"Khasab",IF(Lima!$D531&lt;50000, "Lima",IF(Lima!$D531&lt;72000,"Daba")))))</f>
        <v/>
      </c>
      <c r="M531" s="1" t="str">
        <f>IF(Lima!$C531="","",TEXT(Lima!$C531,"mmm  yy"))</f>
        <v/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3">
      <c r="A532" s="1"/>
      <c r="B532" s="1"/>
      <c r="C532" s="2"/>
      <c r="D532" s="1"/>
      <c r="E532" s="1"/>
      <c r="F532" s="3"/>
      <c r="G532" s="1"/>
      <c r="H532" s="1"/>
      <c r="I532" s="1"/>
      <c r="J532" s="1"/>
      <c r="K532" s="1"/>
      <c r="L532" s="1" t="str">
        <f>IF(Lima!$D532="Precast",L504,IF(Lima!$D532="","",IF(Lima!$D532&lt;20000,"Khasab",IF(Lima!$D532&lt;50000, "Lima",IF(Lima!$D532&lt;72000,"Daba")))))</f>
        <v/>
      </c>
      <c r="M532" s="1" t="str">
        <f>IF(Lima!$C532="","",TEXT(Lima!$C532,"mmm  yy"))</f>
        <v/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3">
      <c r="A533" s="1"/>
      <c r="B533" s="1"/>
      <c r="C533" s="2"/>
      <c r="D533" s="1"/>
      <c r="E533" s="1"/>
      <c r="F533" s="3"/>
      <c r="G533" s="1"/>
      <c r="H533" s="1"/>
      <c r="I533" s="1"/>
      <c r="J533" s="1"/>
      <c r="K533" s="1"/>
      <c r="L533" s="1" t="str">
        <f>IF(Lima!$D533="Precast",L505,IF(Lima!$D533="","",IF(Lima!$D533&lt;20000,"Khasab",IF(Lima!$D533&lt;50000, "Lima",IF(Lima!$D533&lt;72000,"Daba")))))</f>
        <v/>
      </c>
      <c r="M533" s="1" t="str">
        <f>IF(Lima!$C533="","",TEXT(Lima!$C533,"mmm  yy"))</f>
        <v/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3">
      <c r="A534" s="1"/>
      <c r="B534" s="1"/>
      <c r="C534" s="2"/>
      <c r="D534" s="1"/>
      <c r="E534" s="1"/>
      <c r="F534" s="3"/>
      <c r="G534" s="1"/>
      <c r="H534" s="1"/>
      <c r="I534" s="1"/>
      <c r="J534" s="1"/>
      <c r="K534" s="1"/>
      <c r="L534" s="1" t="str">
        <f>IF(Lima!$D534="Precast",L506,IF(Lima!$D534="","",IF(Lima!$D534&lt;20000,"Khasab",IF(Lima!$D534&lt;50000, "Lima",IF(Lima!$D534&lt;72000,"Daba")))))</f>
        <v/>
      </c>
      <c r="M534" s="1" t="str">
        <f>IF(Lima!$C534="","",TEXT(Lima!$C534,"mmm  yy"))</f>
        <v/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3">
      <c r="A535" s="1"/>
      <c r="B535" s="1"/>
      <c r="C535" s="2"/>
      <c r="D535" s="1"/>
      <c r="E535" s="1"/>
      <c r="F535" s="3"/>
      <c r="G535" s="1"/>
      <c r="H535" s="1"/>
      <c r="I535" s="1"/>
      <c r="J535" s="1"/>
      <c r="K535" s="1"/>
      <c r="L535" s="1" t="str">
        <f>IF(Lima!$D535="Precast",L507,IF(Lima!$D535="","",IF(Lima!$D535&lt;20000,"Khasab",IF(Lima!$D535&lt;50000, "Lima",IF(Lima!$D535&lt;72000,"Daba")))))</f>
        <v/>
      </c>
      <c r="M535" s="1" t="str">
        <f>IF(Lima!$C535="","",TEXT(Lima!$C535,"mmm  yy"))</f>
        <v/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3">
      <c r="A536" s="1"/>
      <c r="B536" s="1"/>
      <c r="C536" s="2"/>
      <c r="D536" s="1"/>
      <c r="E536" s="1"/>
      <c r="F536" s="3"/>
      <c r="G536" s="1"/>
      <c r="H536" s="1"/>
      <c r="I536" s="1"/>
      <c r="J536" s="1"/>
      <c r="K536" s="1"/>
      <c r="L536" s="1" t="str">
        <f>IF(Lima!$D536="Precast",L508,IF(Lima!$D536="","",IF(Lima!$D536&lt;20000,"Khasab",IF(Lima!$D536&lt;50000, "Lima",IF(Lima!$D536&lt;72000,"Daba")))))</f>
        <v/>
      </c>
      <c r="M536" s="1" t="str">
        <f>IF(Lima!$C536="","",TEXT(Lima!$C536,"mmm  yy"))</f>
        <v/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3">
      <c r="A537" s="1"/>
      <c r="B537" s="1"/>
      <c r="C537" s="2"/>
      <c r="D537" s="1"/>
      <c r="E537" s="1"/>
      <c r="F537" s="3"/>
      <c r="G537" s="1"/>
      <c r="H537" s="1"/>
      <c r="I537" s="1"/>
      <c r="J537" s="1"/>
      <c r="K537" s="1"/>
      <c r="L537" s="1" t="str">
        <f>IF(Lima!$D537="Precast",L509,IF(Lima!$D537="","",IF(Lima!$D537&lt;20000,"Khasab",IF(Lima!$D537&lt;50000, "Lima",IF(Lima!$D537&lt;72000,"Daba")))))</f>
        <v/>
      </c>
      <c r="M537" s="1" t="str">
        <f>IF(Lima!$C537="","",TEXT(Lima!$C537,"mmm  yy"))</f>
        <v/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3">
      <c r="A538" s="1"/>
      <c r="B538" s="1"/>
      <c r="C538" s="2"/>
      <c r="D538" s="1"/>
      <c r="E538" s="1"/>
      <c r="F538" s="3"/>
      <c r="G538" s="1"/>
      <c r="H538" s="1"/>
      <c r="I538" s="1"/>
      <c r="J538" s="1"/>
      <c r="K538" s="1"/>
      <c r="L538" s="1" t="str">
        <f>IF(Lima!$D538="Precast",L510,IF(Lima!$D538="","",IF(Lima!$D538&lt;20000,"Khasab",IF(Lima!$D538&lt;50000, "Lima",IF(Lima!$D538&lt;72000,"Daba")))))</f>
        <v/>
      </c>
      <c r="M538" s="1" t="str">
        <f>IF(Lima!$C538="","",TEXT(Lima!$C538,"mmm  yy"))</f>
        <v/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3">
      <c r="A539" s="1"/>
      <c r="B539" s="1"/>
      <c r="C539" s="2"/>
      <c r="D539" s="1"/>
      <c r="E539" s="1"/>
      <c r="F539" s="3"/>
      <c r="G539" s="1"/>
      <c r="H539" s="1"/>
      <c r="I539" s="1"/>
      <c r="J539" s="1"/>
      <c r="K539" s="1"/>
      <c r="L539" s="1" t="str">
        <f>IF(Lima!$D539="Precast",L511,IF(Lima!$D539="","",IF(Lima!$D539&lt;20000,"Khasab",IF(Lima!$D539&lt;50000, "Lima",IF(Lima!$D539&lt;72000,"Daba")))))</f>
        <v/>
      </c>
      <c r="M539" s="1" t="str">
        <f>IF(Lima!$C539="","",TEXT(Lima!$C539,"mmm  yy"))</f>
        <v/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3">
      <c r="A540" s="1"/>
      <c r="B540" s="1"/>
      <c r="C540" s="2"/>
      <c r="D540" s="1"/>
      <c r="E540" s="1"/>
      <c r="F540" s="3"/>
      <c r="G540" s="1"/>
      <c r="H540" s="1"/>
      <c r="I540" s="1"/>
      <c r="J540" s="1"/>
      <c r="K540" s="1"/>
      <c r="L540" s="1" t="str">
        <f>IF(Lima!$D540="Precast",L512,IF(Lima!$D540="","",IF(Lima!$D540&lt;20000,"Khasab",IF(Lima!$D540&lt;50000, "Lima",IF(Lima!$D540&lt;72000,"Daba")))))</f>
        <v/>
      </c>
      <c r="M540" s="1" t="str">
        <f>IF(Lima!$C540="","",TEXT(Lima!$C540,"mmm  yy"))</f>
        <v/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3">
      <c r="A541" s="1"/>
      <c r="B541" s="1"/>
      <c r="C541" s="2"/>
      <c r="D541" s="1"/>
      <c r="E541" s="1"/>
      <c r="F541" s="3"/>
      <c r="G541" s="1"/>
      <c r="H541" s="1"/>
      <c r="I541" s="1"/>
      <c r="J541" s="1"/>
      <c r="K541" s="1"/>
      <c r="L541" s="1" t="str">
        <f>IF(Lima!$D541="Precast",L513,IF(Lima!$D541="","",IF(Lima!$D541&lt;20000,"Khasab",IF(Lima!$D541&lt;50000, "Lima",IF(Lima!$D541&lt;72000,"Daba")))))</f>
        <v/>
      </c>
      <c r="M541" s="1" t="str">
        <f>IF(Lima!$C541="","",TEXT(Lima!$C541,"mmm  yy"))</f>
        <v/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3">
      <c r="A542" s="1"/>
      <c r="B542" s="1"/>
      <c r="C542" s="2"/>
      <c r="D542" s="1"/>
      <c r="E542" s="1"/>
      <c r="F542" s="3"/>
      <c r="G542" s="1"/>
      <c r="H542" s="1"/>
      <c r="I542" s="1"/>
      <c r="J542" s="1"/>
      <c r="K542" s="1"/>
      <c r="L542" s="1" t="str">
        <f>IF(Lima!$D542="Precast",L514,IF(Lima!$D542="","",IF(Lima!$D542&lt;20000,"Khasab",IF(Lima!$D542&lt;50000, "Lima",IF(Lima!$D542&lt;72000,"Daba")))))</f>
        <v/>
      </c>
      <c r="M542" s="1" t="str">
        <f>IF(Lima!$C542="","",TEXT(Lima!$C542,"mmm  yy"))</f>
        <v/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3">
      <c r="A543" s="1"/>
      <c r="B543" s="1"/>
      <c r="C543" s="2"/>
      <c r="D543" s="1"/>
      <c r="E543" s="1"/>
      <c r="F543" s="3"/>
      <c r="G543" s="1"/>
      <c r="H543" s="1"/>
      <c r="I543" s="1"/>
      <c r="J543" s="1"/>
      <c r="K543" s="1"/>
      <c r="L543" s="1" t="str">
        <f>IF(Lima!$D543="Precast",L515,IF(Lima!$D543="","",IF(Lima!$D543&lt;20000,"Khasab",IF(Lima!$D543&lt;50000, "Lima",IF(Lima!$D543&lt;72000,"Daba")))))</f>
        <v/>
      </c>
      <c r="M543" s="1" t="str">
        <f>IF(Lima!$C543="","",TEXT(Lima!$C543,"mmm  yy"))</f>
        <v/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3">
      <c r="A544" s="1"/>
      <c r="B544" s="1"/>
      <c r="C544" s="2"/>
      <c r="D544" s="1"/>
      <c r="E544" s="1"/>
      <c r="F544" s="3"/>
      <c r="G544" s="1"/>
      <c r="H544" s="1"/>
      <c r="I544" s="1"/>
      <c r="J544" s="1"/>
      <c r="K544" s="1"/>
      <c r="L544" s="1" t="str">
        <f>IF(Lima!$D544="Precast",L516,IF(Lima!$D544="","",IF(Lima!$D544&lt;20000,"Khasab",IF(Lima!$D544&lt;50000, "Lima",IF(Lima!$D544&lt;72000,"Daba")))))</f>
        <v/>
      </c>
      <c r="M544" s="1" t="str">
        <f>IF(Lima!$C544="","",TEXT(Lima!$C544,"mmm  yy"))</f>
        <v/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3">
      <c r="A545" s="1"/>
      <c r="B545" s="1"/>
      <c r="C545" s="2"/>
      <c r="D545" s="1"/>
      <c r="E545" s="1"/>
      <c r="F545" s="3"/>
      <c r="G545" s="1"/>
      <c r="H545" s="1"/>
      <c r="I545" s="1"/>
      <c r="J545" s="1"/>
      <c r="K545" s="1"/>
      <c r="L545" s="1" t="str">
        <f>IF(Lima!$D545="Precast",L517,IF(Lima!$D545="","",IF(Lima!$D545&lt;20000,"Khasab",IF(Lima!$D545&lt;50000, "Lima",IF(Lima!$D545&lt;72000,"Daba")))))</f>
        <v/>
      </c>
      <c r="M545" s="1" t="str">
        <f>IF(Lima!$C545="","",TEXT(Lima!$C545,"mmm  yy"))</f>
        <v/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3">
      <c r="A546" s="1"/>
      <c r="B546" s="1"/>
      <c r="C546" s="2"/>
      <c r="D546" s="1"/>
      <c r="E546" s="1"/>
      <c r="F546" s="3"/>
      <c r="G546" s="1"/>
      <c r="H546" s="1"/>
      <c r="I546" s="1"/>
      <c r="J546" s="1"/>
      <c r="K546" s="1"/>
      <c r="L546" s="1" t="str">
        <f>IF(Lima!$D546="Precast",L518,IF(Lima!$D546="","",IF(Lima!$D546&lt;20000,"Khasab",IF(Lima!$D546&lt;50000, "Lima",IF(Lima!$D546&lt;72000,"Daba")))))</f>
        <v/>
      </c>
      <c r="M546" s="1" t="str">
        <f>IF(Lima!$C546="","",TEXT(Lima!$C546,"mmm  yy"))</f>
        <v/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3">
      <c r="A547" s="1"/>
      <c r="B547" s="1"/>
      <c r="C547" s="2"/>
      <c r="D547" s="1"/>
      <c r="E547" s="1"/>
      <c r="F547" s="3"/>
      <c r="G547" s="1"/>
      <c r="H547" s="1"/>
      <c r="I547" s="1"/>
      <c r="J547" s="1"/>
      <c r="K547" s="1"/>
      <c r="L547" s="1" t="str">
        <f>IF(Lima!$D547="Precast",L519,IF(Lima!$D547="","",IF(Lima!$D547&lt;20000,"Khasab",IF(Lima!$D547&lt;50000, "Lima",IF(Lima!$D547&lt;72000,"Daba")))))</f>
        <v/>
      </c>
      <c r="M547" s="1" t="str">
        <f>IF(Lima!$C547="","",TEXT(Lima!$C547,"mmm  yy"))</f>
        <v/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3">
      <c r="A548" s="1"/>
      <c r="B548" s="1"/>
      <c r="C548" s="2"/>
      <c r="D548" s="1"/>
      <c r="E548" s="1"/>
      <c r="F548" s="3"/>
      <c r="G548" s="1"/>
      <c r="H548" s="1"/>
      <c r="I548" s="1"/>
      <c r="J548" s="1"/>
      <c r="K548" s="1"/>
      <c r="L548" s="1" t="str">
        <f>IF(Lima!$D548="Precast",L520,IF(Lima!$D548="","",IF(Lima!$D548&lt;20000,"Khasab",IF(Lima!$D548&lt;50000, "Lima",IF(Lima!$D548&lt;72000,"Daba")))))</f>
        <v/>
      </c>
      <c r="M548" s="1" t="str">
        <f>IF(Lima!$C548="","",TEXT(Lima!$C548,"mmm  yy"))</f>
        <v/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3">
      <c r="A549" s="1"/>
      <c r="B549" s="1"/>
      <c r="C549" s="2"/>
      <c r="D549" s="1"/>
      <c r="E549" s="1"/>
      <c r="F549" s="3"/>
      <c r="G549" s="1"/>
      <c r="H549" s="1"/>
      <c r="I549" s="1"/>
      <c r="J549" s="1"/>
      <c r="K549" s="1"/>
      <c r="L549" s="1" t="str">
        <f>IF(Lima!$D549="Precast",L521,IF(Lima!$D549="","",IF(Lima!$D549&lt;20000,"Khasab",IF(Lima!$D549&lt;50000, "Lima",IF(Lima!$D549&lt;72000,"Daba")))))</f>
        <v/>
      </c>
      <c r="M549" s="1" t="str">
        <f>IF(Lima!$C549="","",TEXT(Lima!$C549,"mmm  yy"))</f>
        <v/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3">
      <c r="A550" s="1"/>
      <c r="B550" s="1"/>
      <c r="C550" s="2"/>
      <c r="D550" s="1"/>
      <c r="E550" s="1"/>
      <c r="F550" s="3"/>
      <c r="G550" s="1"/>
      <c r="H550" s="1"/>
      <c r="I550" s="1"/>
      <c r="J550" s="1"/>
      <c r="K550" s="1"/>
      <c r="L550" s="1" t="str">
        <f>IF(Lima!$D550="Precast",L522,IF(Lima!$D550="","",IF(Lima!$D550&lt;20000,"Khasab",IF(Lima!$D550&lt;50000, "Lima",IF(Lima!$D550&lt;72000,"Daba")))))</f>
        <v/>
      </c>
      <c r="M550" s="1" t="str">
        <f>IF(Lima!$C550="","",TEXT(Lima!$C550,"mmm  yy"))</f>
        <v/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3">
      <c r="A551" s="1"/>
      <c r="B551" s="1"/>
      <c r="C551" s="2"/>
      <c r="D551" s="1"/>
      <c r="E551" s="1"/>
      <c r="F551" s="3"/>
      <c r="G551" s="1"/>
      <c r="H551" s="1"/>
      <c r="I551" s="1"/>
      <c r="J551" s="1"/>
      <c r="K551" s="1"/>
      <c r="L551" s="1" t="str">
        <f>IF(Lima!$D551="Precast",L523,IF(Lima!$D551="","",IF(Lima!$D551&lt;20000,"Khasab",IF(Lima!$D551&lt;50000, "Lima",IF(Lima!$D551&lt;72000,"Daba")))))</f>
        <v/>
      </c>
      <c r="M551" s="1" t="str">
        <f>IF(Lima!$C551="","",TEXT(Lima!$C551,"mmm  yy"))</f>
        <v/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3">
      <c r="A552" s="1"/>
      <c r="B552" s="1"/>
      <c r="C552" s="2"/>
      <c r="D552" s="1"/>
      <c r="E552" s="1"/>
      <c r="F552" s="3"/>
      <c r="G552" s="1"/>
      <c r="H552" s="1"/>
      <c r="I552" s="1"/>
      <c r="J552" s="1"/>
      <c r="K552" s="1"/>
      <c r="L552" s="1" t="str">
        <f>IF(Lima!$D552="Precast",L524,IF(Lima!$D552="","",IF(Lima!$D552&lt;20000,"Khasab",IF(Lima!$D552&lt;50000, "Lima",IF(Lima!$D552&lt;72000,"Daba")))))</f>
        <v/>
      </c>
      <c r="M552" s="1" t="str">
        <f>IF(Lima!$C552="","",TEXT(Lima!$C552,"mmm  yy"))</f>
        <v/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3">
      <c r="A553" s="1"/>
      <c r="B553" s="1"/>
      <c r="C553" s="2"/>
      <c r="D553" s="1"/>
      <c r="E553" s="1"/>
      <c r="F553" s="3"/>
      <c r="G553" s="1"/>
      <c r="H553" s="1"/>
      <c r="I553" s="1"/>
      <c r="J553" s="1"/>
      <c r="K553" s="1"/>
      <c r="L553" s="1" t="str">
        <f>IF(Lima!$D553="Precast",L525,IF(Lima!$D553="","",IF(Lima!$D553&lt;20000,"Khasab",IF(Lima!$D553&lt;50000, "Lima",IF(Lima!$D553&lt;72000,"Daba")))))</f>
        <v/>
      </c>
      <c r="M553" s="1" t="str">
        <f>IF(Lima!$C553="","",TEXT(Lima!$C553,"mmm  yy"))</f>
        <v/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3">
      <c r="A554" s="1"/>
      <c r="B554" s="1"/>
      <c r="C554" s="2"/>
      <c r="D554" s="1"/>
      <c r="E554" s="1"/>
      <c r="F554" s="3"/>
      <c r="G554" s="1"/>
      <c r="H554" s="1"/>
      <c r="I554" s="1"/>
      <c r="J554" s="1"/>
      <c r="K554" s="1"/>
      <c r="L554" s="1" t="str">
        <f>IF(Lima!$D554="Precast",L526,IF(Lima!$D554="","",IF(Lima!$D554&lt;20000,"Khasab",IF(Lima!$D554&lt;50000, "Lima",IF(Lima!$D554&lt;72000,"Daba")))))</f>
        <v/>
      </c>
      <c r="M554" s="1" t="str">
        <f>IF(Lima!$C554="","",TEXT(Lima!$C554,"mmm  yy"))</f>
        <v/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3">
      <c r="A555" s="1"/>
      <c r="B555" s="1"/>
      <c r="C555" s="2"/>
      <c r="D555" s="1"/>
      <c r="E555" s="1"/>
      <c r="F555" s="3"/>
      <c r="G555" s="1"/>
      <c r="H555" s="1"/>
      <c r="I555" s="1"/>
      <c r="J555" s="1"/>
      <c r="K555" s="1"/>
      <c r="L555" s="1" t="str">
        <f>IF(Lima!$D555="Precast",L527,IF(Lima!$D555="","",IF(Lima!$D555&lt;20000,"Khasab",IF(Lima!$D555&lt;50000, "Lima",IF(Lima!$D555&lt;72000,"Daba")))))</f>
        <v/>
      </c>
      <c r="M555" s="1" t="str">
        <f>IF(Lima!$C555="","",TEXT(Lima!$C555,"mmm  yy"))</f>
        <v/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3">
      <c r="A556" s="1"/>
      <c r="B556" s="1"/>
      <c r="C556" s="2"/>
      <c r="D556" s="1"/>
      <c r="E556" s="1"/>
      <c r="F556" s="3"/>
      <c r="G556" s="1"/>
      <c r="H556" s="1"/>
      <c r="I556" s="1"/>
      <c r="J556" s="1"/>
      <c r="K556" s="1"/>
      <c r="L556" s="1" t="str">
        <f>IF(Lima!$D556="Precast",L528,IF(Lima!$D556="","",IF(Lima!$D556&lt;20000,"Khasab",IF(Lima!$D556&lt;50000, "Lima",IF(Lima!$D556&lt;72000,"Daba")))))</f>
        <v/>
      </c>
      <c r="M556" s="1" t="str">
        <f>IF(Lima!$C556="","",TEXT(Lima!$C556,"mmm  yy"))</f>
        <v/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3">
      <c r="A557" s="1"/>
      <c r="B557" s="1"/>
      <c r="C557" s="2"/>
      <c r="D557" s="1"/>
      <c r="E557" s="1"/>
      <c r="F557" s="3"/>
      <c r="G557" s="1"/>
      <c r="H557" s="1"/>
      <c r="I557" s="1"/>
      <c r="J557" s="1"/>
      <c r="K557" s="1"/>
      <c r="L557" s="1" t="str">
        <f>IF(Lima!$D557="Precast",L529,IF(Lima!$D557="","",IF(Lima!$D557&lt;20000,"Khasab",IF(Lima!$D557&lt;50000, "Lima",IF(Lima!$D557&lt;72000,"Daba")))))</f>
        <v/>
      </c>
      <c r="M557" s="1" t="str">
        <f>IF(Lima!$C557="","",TEXT(Lima!$C557,"mmm  yy"))</f>
        <v/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3">
      <c r="A558" s="1"/>
      <c r="B558" s="1"/>
      <c r="C558" s="2"/>
      <c r="D558" s="1"/>
      <c r="E558" s="1"/>
      <c r="F558" s="3"/>
      <c r="G558" s="1"/>
      <c r="H558" s="1"/>
      <c r="I558" s="1"/>
      <c r="J558" s="1"/>
      <c r="K558" s="1"/>
      <c r="L558" s="1" t="str">
        <f>IF(Lima!$D558="Precast",L530,IF(Lima!$D558="","",IF(Lima!$D558&lt;20000,"Khasab",IF(Lima!$D558&lt;50000, "Lima",IF(Lima!$D558&lt;72000,"Daba")))))</f>
        <v/>
      </c>
      <c r="M558" s="1" t="str">
        <f>IF(Lima!$C558="","",TEXT(Lima!$C558,"mmm  yy"))</f>
        <v/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3">
      <c r="A559" s="1"/>
      <c r="B559" s="1"/>
      <c r="C559" s="2"/>
      <c r="D559" s="1"/>
      <c r="E559" s="1"/>
      <c r="F559" s="3"/>
      <c r="G559" s="1"/>
      <c r="H559" s="1"/>
      <c r="I559" s="1"/>
      <c r="J559" s="1"/>
      <c r="K559" s="1"/>
      <c r="L559" s="1" t="str">
        <f>IF(Lima!$D559="Precast",L531,IF(Lima!$D559="","",IF(Lima!$D559&lt;20000,"Khasab",IF(Lima!$D559&lt;50000, "Lima",IF(Lima!$D559&lt;72000,"Daba")))))</f>
        <v/>
      </c>
      <c r="M559" s="1" t="str">
        <f>IF(Lima!$C559="","",TEXT(Lima!$C559,"mmm  yy"))</f>
        <v/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3">
      <c r="A560" s="1"/>
      <c r="B560" s="1"/>
      <c r="C560" s="2"/>
      <c r="D560" s="1"/>
      <c r="E560" s="1"/>
      <c r="F560" s="3"/>
      <c r="G560" s="1"/>
      <c r="H560" s="1"/>
      <c r="I560" s="1"/>
      <c r="J560" s="1"/>
      <c r="K560" s="1"/>
      <c r="L560" s="1" t="str">
        <f>IF(Lima!$D560="Precast",L532,IF(Lima!$D560="","",IF(Lima!$D560&lt;20000,"Khasab",IF(Lima!$D560&lt;50000, "Lima",IF(Lima!$D560&lt;72000,"Daba")))))</f>
        <v/>
      </c>
      <c r="M560" s="1" t="str">
        <f>IF(Lima!$C560="","",TEXT(Lima!$C560,"mmm  yy"))</f>
        <v/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3">
      <c r="A561" s="1"/>
      <c r="B561" s="1"/>
      <c r="C561" s="2"/>
      <c r="D561" s="1"/>
      <c r="E561" s="1"/>
      <c r="F561" s="3"/>
      <c r="G561" s="1"/>
      <c r="H561" s="1"/>
      <c r="I561" s="1"/>
      <c r="J561" s="1"/>
      <c r="K561" s="1"/>
      <c r="L561" s="1" t="str">
        <f>IF(Lima!$D561="Precast",L533,IF(Lima!$D561="","",IF(Lima!$D561&lt;20000,"Khasab",IF(Lima!$D561&lt;50000, "Lima",IF(Lima!$D561&lt;72000,"Daba")))))</f>
        <v/>
      </c>
      <c r="M561" s="1" t="str">
        <f>IF(Lima!$C561="","",TEXT(Lima!$C561,"mmm  yy"))</f>
        <v/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3">
      <c r="A562" s="1"/>
      <c r="B562" s="1"/>
      <c r="C562" s="2"/>
      <c r="D562" s="1"/>
      <c r="E562" s="1"/>
      <c r="F562" s="3"/>
      <c r="G562" s="1"/>
      <c r="H562" s="1"/>
      <c r="I562" s="1"/>
      <c r="J562" s="1"/>
      <c r="K562" s="1"/>
      <c r="L562" s="1" t="str">
        <f>IF(Lima!$D562="Precast",L534,IF(Lima!$D562="","",IF(Lima!$D562&lt;20000,"Khasab",IF(Lima!$D562&lt;50000, "Lima",IF(Lima!$D562&lt;72000,"Daba")))))</f>
        <v/>
      </c>
      <c r="M562" s="1" t="str">
        <f>IF(Lima!$C562="","",TEXT(Lima!$C562,"mmm  yy"))</f>
        <v/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3">
      <c r="A563" s="1"/>
      <c r="B563" s="1"/>
      <c r="C563" s="2"/>
      <c r="D563" s="1"/>
      <c r="E563" s="1"/>
      <c r="F563" s="3"/>
      <c r="G563" s="1"/>
      <c r="H563" s="1"/>
      <c r="I563" s="1"/>
      <c r="J563" s="1"/>
      <c r="K563" s="1"/>
      <c r="L563" s="1" t="str">
        <f>IF(Lima!$D563="Precast",L535,IF(Lima!$D563="","",IF(Lima!$D563&lt;20000,"Khasab",IF(Lima!$D563&lt;50000, "Lima",IF(Lima!$D563&lt;72000,"Daba")))))</f>
        <v/>
      </c>
      <c r="M563" s="1" t="str">
        <f>IF(Lima!$C563="","",TEXT(Lima!$C563,"mmm  yy"))</f>
        <v/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3">
      <c r="A564" s="1"/>
      <c r="B564" s="1"/>
      <c r="C564" s="2"/>
      <c r="D564" s="1"/>
      <c r="E564" s="1"/>
      <c r="F564" s="3"/>
      <c r="G564" s="1"/>
      <c r="H564" s="1"/>
      <c r="I564" s="1"/>
      <c r="J564" s="1"/>
      <c r="K564" s="1"/>
      <c r="L564" s="1" t="str">
        <f>IF(Lima!$D564="Precast",L536,IF(Lima!$D564="","",IF(Lima!$D564&lt;20000,"Khasab",IF(Lima!$D564&lt;50000, "Lima",IF(Lima!$D564&lt;72000,"Daba")))))</f>
        <v/>
      </c>
      <c r="M564" s="1" t="str">
        <f>IF(Lima!$C564="","",TEXT(Lima!$C564,"mmm  yy"))</f>
        <v/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3">
      <c r="A565" s="1"/>
      <c r="B565" s="1"/>
      <c r="C565" s="2"/>
      <c r="D565" s="1"/>
      <c r="E565" s="1"/>
      <c r="F565" s="3"/>
      <c r="G565" s="1"/>
      <c r="H565" s="1"/>
      <c r="I565" s="1"/>
      <c r="J565" s="1"/>
      <c r="K565" s="1"/>
      <c r="L565" s="1" t="str">
        <f>IF(Lima!$D565="Precast",L537,IF(Lima!$D565="","",IF(Lima!$D565&lt;20000,"Khasab",IF(Lima!$D565&lt;50000, "Lima",IF(Lima!$D565&lt;72000,"Daba")))))</f>
        <v/>
      </c>
      <c r="M565" s="1" t="str">
        <f>IF(Lima!$C565="","",TEXT(Lima!$C565,"mmm  yy"))</f>
        <v/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3">
      <c r="A566" s="1"/>
      <c r="B566" s="1"/>
      <c r="C566" s="2"/>
      <c r="D566" s="1"/>
      <c r="E566" s="1"/>
      <c r="F566" s="3"/>
      <c r="G566" s="1"/>
      <c r="H566" s="1"/>
      <c r="I566" s="1"/>
      <c r="J566" s="1"/>
      <c r="K566" s="1"/>
      <c r="L566" s="1" t="str">
        <f>IF(Lima!$D566="Precast",L538,IF(Lima!$D566="","",IF(Lima!$D566&lt;20000,"Khasab",IF(Lima!$D566&lt;50000, "Lima",IF(Lima!$D566&lt;72000,"Daba")))))</f>
        <v/>
      </c>
      <c r="M566" s="1" t="str">
        <f>IF(Lima!$C566="","",TEXT(Lima!$C566,"mmm  yy"))</f>
        <v/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3">
      <c r="A567" s="1"/>
      <c r="B567" s="1"/>
      <c r="C567" s="2"/>
      <c r="D567" s="1"/>
      <c r="E567" s="1"/>
      <c r="F567" s="3"/>
      <c r="G567" s="1"/>
      <c r="H567" s="1"/>
      <c r="I567" s="1"/>
      <c r="J567" s="1"/>
      <c r="K567" s="1"/>
      <c r="L567" s="1" t="str">
        <f>IF(Lima!$D567="Precast",L539,IF(Lima!$D567="","",IF(Lima!$D567&lt;20000,"Khasab",IF(Lima!$D567&lt;50000, "Lima",IF(Lima!$D567&lt;72000,"Daba")))))</f>
        <v/>
      </c>
      <c r="M567" s="1" t="str">
        <f>IF(Lima!$C567="","",TEXT(Lima!$C567,"mmm  yy"))</f>
        <v/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3">
      <c r="A568" s="1"/>
      <c r="B568" s="1"/>
      <c r="C568" s="2"/>
      <c r="D568" s="1"/>
      <c r="E568" s="1"/>
      <c r="F568" s="3"/>
      <c r="G568" s="1"/>
      <c r="H568" s="1"/>
      <c r="I568" s="1"/>
      <c r="J568" s="1"/>
      <c r="K568" s="1"/>
      <c r="L568" s="1" t="str">
        <f>IF(Lima!$D568="Precast",L540,IF(Lima!$D568="","",IF(Lima!$D568&lt;20000,"Khasab",IF(Lima!$D568&lt;50000, "Lima",IF(Lima!$D568&lt;72000,"Daba")))))</f>
        <v/>
      </c>
      <c r="M568" s="1" t="str">
        <f>IF(Lima!$C568="","",TEXT(Lima!$C568,"mmm  yy"))</f>
        <v/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3">
      <c r="A569" s="1"/>
      <c r="B569" s="1"/>
      <c r="C569" s="2"/>
      <c r="D569" s="1"/>
      <c r="E569" s="1"/>
      <c r="F569" s="3"/>
      <c r="G569" s="1"/>
      <c r="H569" s="1"/>
      <c r="I569" s="1"/>
      <c r="J569" s="1"/>
      <c r="K569" s="1"/>
      <c r="L569" s="1" t="str">
        <f>IF(Lima!$D569="Precast",L541,IF(Lima!$D569="","",IF(Lima!$D569&lt;20000,"Khasab",IF(Lima!$D569&lt;50000, "Lima",IF(Lima!$D569&lt;72000,"Daba")))))</f>
        <v/>
      </c>
      <c r="M569" s="1" t="str">
        <f>IF(Lima!$C569="","",TEXT(Lima!$C569,"mmm  yy"))</f>
        <v/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3">
      <c r="A570" s="1"/>
      <c r="B570" s="1"/>
      <c r="C570" s="2"/>
      <c r="D570" s="1"/>
      <c r="E570" s="1"/>
      <c r="F570" s="3"/>
      <c r="G570" s="1"/>
      <c r="H570" s="1"/>
      <c r="I570" s="1"/>
      <c r="J570" s="1"/>
      <c r="K570" s="1"/>
      <c r="L570" s="1" t="str">
        <f>IF(Lima!$D570="Precast",L542,IF(Lima!$D570="","",IF(Lima!$D570&lt;20000,"Khasab",IF(Lima!$D570&lt;50000, "Lima",IF(Lima!$D570&lt;72000,"Daba")))))</f>
        <v/>
      </c>
      <c r="M570" s="1" t="str">
        <f>IF(Lima!$C570="","",TEXT(Lima!$C570,"mmm  yy"))</f>
        <v/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3">
      <c r="A571" s="1"/>
      <c r="B571" s="1"/>
      <c r="C571" s="2"/>
      <c r="D571" s="1"/>
      <c r="E571" s="1"/>
      <c r="F571" s="3"/>
      <c r="G571" s="1"/>
      <c r="H571" s="1"/>
      <c r="I571" s="1"/>
      <c r="J571" s="1"/>
      <c r="K571" s="1"/>
      <c r="L571" s="1" t="str">
        <f>IF(Lima!$D571="Precast",L543,IF(Lima!$D571="","",IF(Lima!$D571&lt;20000,"Khasab",IF(Lima!$D571&lt;50000, "Lima",IF(Lima!$D571&lt;72000,"Daba")))))</f>
        <v/>
      </c>
      <c r="M571" s="1" t="str">
        <f>IF(Lima!$C571="","",TEXT(Lima!$C571,"mmm  yy"))</f>
        <v/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3">
      <c r="A572" s="1"/>
      <c r="B572" s="1"/>
      <c r="C572" s="2"/>
      <c r="D572" s="1"/>
      <c r="E572" s="1"/>
      <c r="F572" s="3"/>
      <c r="G572" s="1"/>
      <c r="H572" s="1"/>
      <c r="I572" s="1"/>
      <c r="J572" s="1"/>
      <c r="K572" s="1"/>
      <c r="L572" s="1" t="str">
        <f>IF(Lima!$D572="Precast",L544,IF(Lima!$D572="","",IF(Lima!$D572&lt;20000,"Khasab",IF(Lima!$D572&lt;50000, "Lima",IF(Lima!$D572&lt;72000,"Daba")))))</f>
        <v/>
      </c>
      <c r="M572" s="1" t="str">
        <f>IF(Lima!$C572="","",TEXT(Lima!$C572,"mmm  yy"))</f>
        <v/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3">
      <c r="A573" s="1"/>
      <c r="B573" s="1"/>
      <c r="C573" s="2"/>
      <c r="D573" s="1"/>
      <c r="E573" s="1"/>
      <c r="F573" s="3"/>
      <c r="G573" s="1"/>
      <c r="H573" s="1"/>
      <c r="I573" s="1"/>
      <c r="J573" s="1"/>
      <c r="K573" s="1"/>
      <c r="L573" s="1" t="str">
        <f>IF(Lima!$D573="Precast",L545,IF(Lima!$D573="","",IF(Lima!$D573&lt;20000,"Khasab",IF(Lima!$D573&lt;50000, "Lima",IF(Lima!$D573&lt;72000,"Daba")))))</f>
        <v/>
      </c>
      <c r="M573" s="1" t="str">
        <f>IF(Lima!$C573="","",TEXT(Lima!$C573,"mmm  yy"))</f>
        <v/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3">
      <c r="A574" s="1"/>
      <c r="B574" s="1"/>
      <c r="C574" s="2"/>
      <c r="D574" s="1"/>
      <c r="E574" s="1"/>
      <c r="F574" s="3"/>
      <c r="G574" s="1"/>
      <c r="H574" s="1"/>
      <c r="I574" s="1"/>
      <c r="J574" s="1"/>
      <c r="K574" s="1"/>
      <c r="L574" s="1" t="str">
        <f>IF(Lima!$D574="Precast",L546,IF(Lima!$D574="","",IF(Lima!$D574&lt;20000,"Khasab",IF(Lima!$D574&lt;50000, "Lima",IF(Lima!$D574&lt;72000,"Daba")))))</f>
        <v/>
      </c>
      <c r="M574" s="1" t="str">
        <f>IF(Lima!$C574="","",TEXT(Lima!$C574,"mmm  yy"))</f>
        <v/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3">
      <c r="A575" s="1"/>
      <c r="B575" s="1"/>
      <c r="C575" s="2"/>
      <c r="D575" s="1"/>
      <c r="E575" s="1"/>
      <c r="F575" s="3"/>
      <c r="G575" s="1"/>
      <c r="H575" s="1"/>
      <c r="I575" s="1"/>
      <c r="J575" s="1"/>
      <c r="K575" s="1"/>
      <c r="L575" s="1" t="str">
        <f>IF(Lima!$D575="Precast",L547,IF(Lima!$D575="","",IF(Lima!$D575&lt;20000,"Khasab",IF(Lima!$D575&lt;50000, "Lima",IF(Lima!$D575&lt;72000,"Daba")))))</f>
        <v/>
      </c>
      <c r="M575" s="1" t="str">
        <f>IF(Lima!$C575="","",TEXT(Lima!$C575,"mmm  yy"))</f>
        <v/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3">
      <c r="A576" s="1"/>
      <c r="B576" s="1"/>
      <c r="C576" s="2"/>
      <c r="D576" s="1"/>
      <c r="E576" s="1"/>
      <c r="F576" s="3"/>
      <c r="G576" s="1"/>
      <c r="H576" s="1"/>
      <c r="I576" s="1"/>
      <c r="J576" s="1"/>
      <c r="K576" s="1"/>
      <c r="L576" s="1" t="str">
        <f>IF(Lima!$D576="Precast",L548,IF(Lima!$D576="","",IF(Lima!$D576&lt;20000,"Khasab",IF(Lima!$D576&lt;50000, "Lima",IF(Lima!$D576&lt;72000,"Daba")))))</f>
        <v/>
      </c>
      <c r="M576" s="1" t="str">
        <f>IF(Lima!$C576="","",TEXT(Lima!$C576,"mmm  yy"))</f>
        <v/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3">
      <c r="A577" s="1"/>
      <c r="B577" s="1"/>
      <c r="C577" s="2"/>
      <c r="D577" s="1"/>
      <c r="E577" s="1"/>
      <c r="F577" s="3"/>
      <c r="G577" s="1"/>
      <c r="H577" s="1"/>
      <c r="I577" s="1"/>
      <c r="J577" s="1"/>
      <c r="K577" s="1"/>
      <c r="L577" s="1" t="str">
        <f>IF(Lima!$D577="Precast",L549,IF(Lima!$D577="","",IF(Lima!$D577&lt;20000,"Khasab",IF(Lima!$D577&lt;50000, "Lima",IF(Lima!$D577&lt;72000,"Daba")))))</f>
        <v/>
      </c>
      <c r="M577" s="1" t="str">
        <f>IF(Lima!$C577="","",TEXT(Lima!$C577,"mmm  yy"))</f>
        <v/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3">
      <c r="A578" s="1"/>
      <c r="B578" s="1"/>
      <c r="C578" s="2"/>
      <c r="D578" s="1"/>
      <c r="E578" s="1"/>
      <c r="F578" s="3"/>
      <c r="G578" s="1"/>
      <c r="H578" s="1"/>
      <c r="I578" s="1"/>
      <c r="J578" s="1"/>
      <c r="K578" s="1"/>
      <c r="L578" s="1" t="str">
        <f>IF(Lima!$D578="Precast",L550,IF(Lima!$D578="","",IF(Lima!$D578&lt;20000,"Khasab",IF(Lima!$D578&lt;50000, "Lima",IF(Lima!$D578&lt;72000,"Daba")))))</f>
        <v/>
      </c>
      <c r="M578" s="1" t="str">
        <f>IF(Lima!$C578="","",TEXT(Lima!$C578,"mmm  yy"))</f>
        <v/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3">
      <c r="A579" s="1"/>
      <c r="B579" s="1"/>
      <c r="C579" s="2"/>
      <c r="D579" s="1"/>
      <c r="E579" s="1"/>
      <c r="F579" s="3"/>
      <c r="G579" s="1"/>
      <c r="H579" s="1"/>
      <c r="I579" s="1"/>
      <c r="J579" s="1"/>
      <c r="K579" s="1"/>
      <c r="L579" s="1" t="str">
        <f>IF(Lima!$D579="Precast",L551,IF(Lima!$D579="","",IF(Lima!$D579&lt;20000,"Khasab",IF(Lima!$D579&lt;50000, "Lima",IF(Lima!$D579&lt;72000,"Daba")))))</f>
        <v/>
      </c>
      <c r="M579" s="1" t="str">
        <f>IF(Lima!$C579="","",TEXT(Lima!$C579,"mmm  yy"))</f>
        <v/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3">
      <c r="A580" s="1"/>
      <c r="B580" s="1"/>
      <c r="C580" s="2"/>
      <c r="D580" s="1"/>
      <c r="E580" s="1"/>
      <c r="F580" s="3"/>
      <c r="G580" s="1"/>
      <c r="H580" s="1"/>
      <c r="I580" s="1"/>
      <c r="J580" s="1"/>
      <c r="K580" s="1"/>
      <c r="L580" s="1" t="str">
        <f>IF(Lima!$D580="Precast",L552,IF(Lima!$D580="","",IF(Lima!$D580&lt;20000,"Khasab",IF(Lima!$D580&lt;50000, "Lima",IF(Lima!$D580&lt;72000,"Daba")))))</f>
        <v/>
      </c>
      <c r="M580" s="1" t="str">
        <f>IF(Lima!$C580="","",TEXT(Lima!$C580,"mmm  yy"))</f>
        <v/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3">
      <c r="A581" s="1"/>
      <c r="B581" s="1"/>
      <c r="C581" s="2"/>
      <c r="D581" s="1"/>
      <c r="E581" s="1"/>
      <c r="F581" s="3"/>
      <c r="G581" s="1"/>
      <c r="H581" s="1"/>
      <c r="I581" s="1"/>
      <c r="J581" s="1"/>
      <c r="K581" s="1"/>
      <c r="L581" s="1" t="str">
        <f>IF(Lima!$D581="Precast",L553,IF(Lima!$D581="","",IF(Lima!$D581&lt;20000,"Khasab",IF(Lima!$D581&lt;50000, "Lima",IF(Lima!$D581&lt;72000,"Daba")))))</f>
        <v/>
      </c>
      <c r="M581" s="1" t="str">
        <f>IF(Lima!$C581="","",TEXT(Lima!$C581,"mmm  yy"))</f>
        <v/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3">
      <c r="A582" s="1"/>
      <c r="B582" s="1"/>
      <c r="C582" s="2"/>
      <c r="D582" s="1"/>
      <c r="E582" s="1"/>
      <c r="F582" s="3"/>
      <c r="G582" s="1"/>
      <c r="H582" s="1"/>
      <c r="I582" s="1"/>
      <c r="J582" s="1"/>
      <c r="K582" s="1"/>
      <c r="L582" s="1" t="str">
        <f>IF(Lima!$D582="Precast",L554,IF(Lima!$D582="","",IF(Lima!$D582&lt;20000,"Khasab",IF(Lima!$D582&lt;50000, "Lima",IF(Lima!$D582&lt;72000,"Daba")))))</f>
        <v/>
      </c>
      <c r="M582" s="1" t="str">
        <f>IF(Lima!$C582="","",TEXT(Lima!$C582,"mmm  yy"))</f>
        <v/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3">
      <c r="A583" s="1"/>
      <c r="B583" s="1"/>
      <c r="C583" s="2"/>
      <c r="D583" s="1"/>
      <c r="E583" s="1"/>
      <c r="F583" s="3"/>
      <c r="G583" s="1"/>
      <c r="H583" s="1"/>
      <c r="I583" s="1"/>
      <c r="J583" s="1"/>
      <c r="K583" s="1"/>
      <c r="L583" s="1" t="str">
        <f>IF(Lima!$D583="Precast",L555,IF(Lima!$D583="","",IF(Lima!$D583&lt;20000,"Khasab",IF(Lima!$D583&lt;50000, "Lima",IF(Lima!$D583&lt;72000,"Daba")))))</f>
        <v/>
      </c>
      <c r="M583" s="1" t="str">
        <f>IF(Lima!$C583="","",TEXT(Lima!$C583,"mmm  yy"))</f>
        <v/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3">
      <c r="A584" s="1"/>
      <c r="B584" s="1"/>
      <c r="C584" s="2"/>
      <c r="D584" s="1"/>
      <c r="E584" s="1"/>
      <c r="F584" s="3"/>
      <c r="G584" s="1"/>
      <c r="H584" s="1"/>
      <c r="I584" s="1"/>
      <c r="J584" s="1"/>
      <c r="K584" s="1"/>
      <c r="L584" s="1" t="str">
        <f>IF(Lima!$D584="Precast",L556,IF(Lima!$D584="","",IF(Lima!$D584&lt;20000,"Khasab",IF(Lima!$D584&lt;50000, "Lima",IF(Lima!$D584&lt;72000,"Daba")))))</f>
        <v/>
      </c>
      <c r="M584" s="1" t="str">
        <f>IF(Lima!$C584="","",TEXT(Lima!$C584,"mmm  yy"))</f>
        <v/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3">
      <c r="A585" s="1"/>
      <c r="B585" s="1"/>
      <c r="C585" s="2"/>
      <c r="D585" s="1"/>
      <c r="E585" s="1"/>
      <c r="F585" s="3"/>
      <c r="G585" s="1"/>
      <c r="H585" s="1"/>
      <c r="I585" s="1"/>
      <c r="J585" s="1"/>
      <c r="K585" s="1"/>
      <c r="L585" s="1" t="str">
        <f>IF(Lima!$D585="Precast",L557,IF(Lima!$D585="","",IF(Lima!$D585&lt;20000,"Khasab",IF(Lima!$D585&lt;50000, "Lima",IF(Lima!$D585&lt;72000,"Daba")))))</f>
        <v/>
      </c>
      <c r="M585" s="1" t="str">
        <f>IF(Lima!$C585="","",TEXT(Lima!$C585,"mmm  yy"))</f>
        <v/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3">
      <c r="A586" s="1"/>
      <c r="B586" s="1"/>
      <c r="C586" s="2"/>
      <c r="D586" s="1"/>
      <c r="E586" s="1"/>
      <c r="F586" s="3"/>
      <c r="G586" s="1"/>
      <c r="H586" s="1"/>
      <c r="I586" s="1"/>
      <c r="J586" s="1"/>
      <c r="K586" s="1"/>
      <c r="L586" s="1" t="str">
        <f>IF(Lima!$D586="Precast",L558,IF(Lima!$D586="","",IF(Lima!$D586&lt;20000,"Khasab",IF(Lima!$D586&lt;50000, "Lima",IF(Lima!$D586&lt;72000,"Daba")))))</f>
        <v/>
      </c>
      <c r="M586" s="1" t="str">
        <f>IF(Lima!$C586="","",TEXT(Lima!$C586,"mmm  yy"))</f>
        <v/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3">
      <c r="A587" s="1"/>
      <c r="B587" s="1"/>
      <c r="C587" s="2"/>
      <c r="D587" s="1"/>
      <c r="E587" s="1"/>
      <c r="F587" s="3"/>
      <c r="G587" s="1"/>
      <c r="H587" s="1"/>
      <c r="I587" s="1"/>
      <c r="J587" s="1"/>
      <c r="K587" s="1"/>
      <c r="L587" s="1" t="str">
        <f>IF(Lima!$D587="Precast",L559,IF(Lima!$D587="","",IF(Lima!$D587&lt;20000,"Khasab",IF(Lima!$D587&lt;50000, "Lima",IF(Lima!$D587&lt;72000,"Daba")))))</f>
        <v/>
      </c>
      <c r="M587" s="1" t="str">
        <f>IF(Lima!$C587="","",TEXT(Lima!$C587,"mmm  yy"))</f>
        <v/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3">
      <c r="A588" s="1"/>
      <c r="B588" s="1"/>
      <c r="C588" s="2"/>
      <c r="D588" s="1"/>
      <c r="E588" s="1"/>
      <c r="F588" s="3"/>
      <c r="G588" s="1"/>
      <c r="H588" s="1"/>
      <c r="I588" s="1"/>
      <c r="J588" s="1"/>
      <c r="K588" s="1"/>
      <c r="L588" s="1" t="str">
        <f>IF(Lima!$D588="Precast",L560,IF(Lima!$D588="","",IF(Lima!$D588&lt;20000,"Khasab",IF(Lima!$D588&lt;50000, "Lima",IF(Lima!$D588&lt;72000,"Daba")))))</f>
        <v/>
      </c>
      <c r="M588" s="1" t="str">
        <f>IF(Lima!$C588="","",TEXT(Lima!$C588,"mmm  yy"))</f>
        <v/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3">
      <c r="A589" s="1"/>
      <c r="B589" s="1"/>
      <c r="C589" s="2"/>
      <c r="D589" s="1"/>
      <c r="E589" s="1"/>
      <c r="F589" s="3"/>
      <c r="G589" s="1"/>
      <c r="H589" s="1"/>
      <c r="I589" s="1"/>
      <c r="J589" s="1"/>
      <c r="K589" s="1"/>
      <c r="L589" s="1" t="str">
        <f>IF(Lima!$D589="Precast",L561,IF(Lima!$D589="","",IF(Lima!$D589&lt;20000,"Khasab",IF(Lima!$D589&lt;50000, "Lima",IF(Lima!$D589&lt;72000,"Daba")))))</f>
        <v/>
      </c>
      <c r="M589" s="1" t="str">
        <f>IF(Lima!$C589="","",TEXT(Lima!$C589,"mmm  yy"))</f>
        <v/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3">
      <c r="A590" s="1"/>
      <c r="B590" s="1"/>
      <c r="C590" s="2"/>
      <c r="D590" s="1"/>
      <c r="E590" s="1"/>
      <c r="F590" s="3"/>
      <c r="G590" s="1"/>
      <c r="H590" s="1"/>
      <c r="I590" s="1"/>
      <c r="J590" s="1"/>
      <c r="K590" s="1"/>
      <c r="L590" s="1" t="str">
        <f>IF(Lima!$D590="Precast",L562,IF(Lima!$D590="","",IF(Lima!$D590&lt;20000,"Khasab",IF(Lima!$D590&lt;50000, "Lima",IF(Lima!$D590&lt;72000,"Daba")))))</f>
        <v/>
      </c>
      <c r="M590" s="1" t="str">
        <f>IF(Lima!$C590="","",TEXT(Lima!$C590,"mmm  yy"))</f>
        <v/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3">
      <c r="A591" s="1"/>
      <c r="B591" s="1"/>
      <c r="C591" s="2"/>
      <c r="D591" s="1"/>
      <c r="E591" s="1"/>
      <c r="F591" s="3"/>
      <c r="G591" s="1"/>
      <c r="H591" s="1"/>
      <c r="I591" s="1"/>
      <c r="J591" s="1"/>
      <c r="K591" s="1"/>
      <c r="L591" s="1" t="str">
        <f>IF(Lima!$D591="Precast",L563,IF(Lima!$D591="","",IF(Lima!$D591&lt;20000,"Khasab",IF(Lima!$D591&lt;50000, "Lima",IF(Lima!$D591&lt;72000,"Daba")))))</f>
        <v/>
      </c>
      <c r="M591" s="1" t="str">
        <f>IF(Lima!$C591="","",TEXT(Lima!$C591,"mmm  yy"))</f>
        <v/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3">
      <c r="A592" s="1"/>
      <c r="B592" s="1"/>
      <c r="C592" s="2"/>
      <c r="D592" s="1"/>
      <c r="E592" s="1"/>
      <c r="F592" s="3"/>
      <c r="G592" s="1"/>
      <c r="H592" s="1"/>
      <c r="I592" s="1"/>
      <c r="J592" s="1"/>
      <c r="K592" s="1"/>
      <c r="L592" s="1" t="str">
        <f>IF(Lima!$D592="Precast",L564,IF(Lima!$D592="","",IF(Lima!$D592&lt;20000,"Khasab",IF(Lima!$D592&lt;50000, "Lima",IF(Lima!$D592&lt;72000,"Daba")))))</f>
        <v/>
      </c>
      <c r="M592" s="1" t="str">
        <f>IF(Lima!$C592="","",TEXT(Lima!$C592,"mmm  yy"))</f>
        <v/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3">
      <c r="A593" s="1"/>
      <c r="B593" s="1"/>
      <c r="C593" s="2"/>
      <c r="D593" s="1"/>
      <c r="E593" s="1"/>
      <c r="F593" s="3"/>
      <c r="G593" s="1"/>
      <c r="H593" s="1"/>
      <c r="I593" s="1"/>
      <c r="J593" s="1"/>
      <c r="K593" s="1"/>
      <c r="L593" s="1" t="str">
        <f>IF(Lima!$D593="Precast",L565,IF(Lima!$D593="","",IF(Lima!$D593&lt;20000,"Khasab",IF(Lima!$D593&lt;50000, "Lima",IF(Lima!$D593&lt;72000,"Daba")))))</f>
        <v/>
      </c>
      <c r="M593" s="1" t="str">
        <f>IF(Lima!$C593="","",TEXT(Lima!$C593,"mmm  yy"))</f>
        <v/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3">
      <c r="A594" s="1"/>
      <c r="B594" s="1"/>
      <c r="C594" s="2"/>
      <c r="D594" s="1"/>
      <c r="E594" s="1"/>
      <c r="F594" s="3"/>
      <c r="G594" s="1"/>
      <c r="H594" s="1"/>
      <c r="I594" s="1"/>
      <c r="J594" s="1"/>
      <c r="K594" s="1"/>
      <c r="L594" s="1" t="str">
        <f>IF(Lima!$D594="Precast",L566,IF(Lima!$D594="","",IF(Lima!$D594&lt;20000,"Khasab",IF(Lima!$D594&lt;50000, "Lima",IF(Lima!$D594&lt;72000,"Daba")))))</f>
        <v/>
      </c>
      <c r="M594" s="1" t="str">
        <f>IF(Lima!$C594="","",TEXT(Lima!$C594,"mmm  yy"))</f>
        <v/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3">
      <c r="A595" s="1"/>
      <c r="B595" s="1"/>
      <c r="C595" s="2"/>
      <c r="D595" s="1"/>
      <c r="E595" s="1"/>
      <c r="F595" s="3"/>
      <c r="G595" s="1"/>
      <c r="H595" s="1"/>
      <c r="I595" s="1"/>
      <c r="J595" s="1"/>
      <c r="K595" s="1"/>
      <c r="L595" s="1" t="str">
        <f>IF(Lima!$D595="Precast",L567,IF(Lima!$D595="","",IF(Lima!$D595&lt;20000,"Khasab",IF(Lima!$D595&lt;50000, "Lima",IF(Lima!$D595&lt;72000,"Daba")))))</f>
        <v/>
      </c>
      <c r="M595" s="1" t="str">
        <f>IF(Lima!$C595="","",TEXT(Lima!$C595,"mmm  yy"))</f>
        <v/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3">
      <c r="A596" s="1"/>
      <c r="B596" s="1"/>
      <c r="C596" s="2"/>
      <c r="D596" s="1"/>
      <c r="E596" s="1"/>
      <c r="F596" s="3"/>
      <c r="G596" s="1"/>
      <c r="H596" s="1"/>
      <c r="I596" s="1"/>
      <c r="J596" s="1"/>
      <c r="K596" s="1"/>
      <c r="L596" s="1" t="str">
        <f>IF(Lima!$D596="Precast",L568,IF(Lima!$D596="","",IF(Lima!$D596&lt;20000,"Khasab",IF(Lima!$D596&lt;50000, "Lima",IF(Lima!$D596&lt;72000,"Daba")))))</f>
        <v/>
      </c>
      <c r="M596" s="1" t="str">
        <f>IF(Lima!$C596="","",TEXT(Lima!$C596,"mmm  yy"))</f>
        <v/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3">
      <c r="A597" s="1"/>
      <c r="B597" s="1"/>
      <c r="C597" s="2"/>
      <c r="D597" s="1"/>
      <c r="E597" s="1"/>
      <c r="F597" s="3"/>
      <c r="G597" s="1"/>
      <c r="H597" s="1"/>
      <c r="I597" s="1"/>
      <c r="J597" s="1"/>
      <c r="K597" s="1"/>
      <c r="L597" s="1" t="str">
        <f>IF(Lima!$D597="Precast",L569,IF(Lima!$D597="","",IF(Lima!$D597&lt;20000,"Khasab",IF(Lima!$D597&lt;50000, "Lima",IF(Lima!$D597&lt;72000,"Daba")))))</f>
        <v/>
      </c>
      <c r="M597" s="1" t="str">
        <f>IF(Lima!$C597="","",TEXT(Lima!$C597,"mmm  yy"))</f>
        <v/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3">
      <c r="A598" s="1"/>
      <c r="B598" s="1"/>
      <c r="C598" s="2"/>
      <c r="D598" s="1"/>
      <c r="E598" s="1"/>
      <c r="F598" s="3"/>
      <c r="G598" s="1"/>
      <c r="H598" s="1"/>
      <c r="I598" s="1"/>
      <c r="J598" s="1"/>
      <c r="K598" s="1"/>
      <c r="L598" s="1" t="str">
        <f>IF(Lima!$D598="Precast",L570,IF(Lima!$D598="","",IF(Lima!$D598&lt;20000,"Khasab",IF(Lima!$D598&lt;50000, "Lima",IF(Lima!$D598&lt;72000,"Daba")))))</f>
        <v/>
      </c>
      <c r="M598" s="1" t="str">
        <f>IF(Lima!$C598="","",TEXT(Lima!$C598,"mmm  yy"))</f>
        <v/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3">
      <c r="A599" s="1"/>
      <c r="B599" s="1"/>
      <c r="C599" s="2"/>
      <c r="D599" s="1"/>
      <c r="E599" s="1"/>
      <c r="F599" s="3"/>
      <c r="G599" s="1"/>
      <c r="H599" s="1"/>
      <c r="I599" s="1"/>
      <c r="J599" s="1"/>
      <c r="K599" s="1"/>
      <c r="L599" s="1" t="str">
        <f>IF(Lima!$D599="Precast",L571,IF(Lima!$D599="","",IF(Lima!$D599&lt;20000,"Khasab",IF(Lima!$D599&lt;50000, "Lima",IF(Lima!$D599&lt;72000,"Daba")))))</f>
        <v/>
      </c>
      <c r="M599" s="1" t="str">
        <f>IF(Lima!$C599="","",TEXT(Lima!$C599,"mmm  yy"))</f>
        <v/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3">
      <c r="A600" s="1"/>
      <c r="B600" s="1"/>
      <c r="C600" s="2"/>
      <c r="D600" s="1"/>
      <c r="E600" s="1"/>
      <c r="F600" s="3"/>
      <c r="G600" s="1"/>
      <c r="H600" s="1"/>
      <c r="I600" s="1"/>
      <c r="J600" s="1"/>
      <c r="K600" s="1"/>
      <c r="L600" s="1" t="str">
        <f>IF(Lima!$D600="Precast",L572,IF(Lima!$D600="","",IF(Lima!$D600&lt;20000,"Khasab",IF(Lima!$D600&lt;50000, "Lima",IF(Lima!$D600&lt;72000,"Daba")))))</f>
        <v/>
      </c>
      <c r="M600" s="1" t="str">
        <f>IF(Lima!$C600="","",TEXT(Lima!$C600,"mmm  yy"))</f>
        <v/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3">
      <c r="A601" s="1"/>
      <c r="B601" s="1"/>
      <c r="C601" s="2"/>
      <c r="D601" s="1"/>
      <c r="E601" s="1"/>
      <c r="F601" s="3"/>
      <c r="G601" s="1"/>
      <c r="H601" s="1"/>
      <c r="I601" s="1"/>
      <c r="J601" s="1"/>
      <c r="K601" s="1"/>
      <c r="L601" s="1" t="str">
        <f>IF(Lima!$D601="Precast",L573,IF(Lima!$D601="","",IF(Lima!$D601&lt;20000,"Khasab",IF(Lima!$D601&lt;50000, "Lima",IF(Lima!$D601&lt;72000,"Daba")))))</f>
        <v/>
      </c>
      <c r="M601" s="1" t="str">
        <f>IF(Lima!$C601="","",TEXT(Lima!$C601,"mmm  yy"))</f>
        <v/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3">
      <c r="A602" s="1"/>
      <c r="B602" s="1"/>
      <c r="C602" s="2"/>
      <c r="D602" s="1"/>
      <c r="E602" s="1"/>
      <c r="F602" s="3"/>
      <c r="G602" s="1"/>
      <c r="H602" s="1"/>
      <c r="I602" s="1"/>
      <c r="J602" s="1"/>
      <c r="K602" s="1"/>
      <c r="L602" s="1" t="str">
        <f>IF(Lima!$D602="Precast",L574,IF(Lima!$D602="","",IF(Lima!$D602&lt;20000,"Khasab",IF(Lima!$D602&lt;50000, "Lima",IF(Lima!$D602&lt;72000,"Daba")))))</f>
        <v/>
      </c>
      <c r="M602" s="1" t="str">
        <f>IF(Lima!$C602="","",TEXT(Lima!$C602,"mmm  yy"))</f>
        <v/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3">
      <c r="A603" s="1"/>
      <c r="B603" s="1"/>
      <c r="C603" s="2"/>
      <c r="D603" s="1"/>
      <c r="E603" s="1"/>
      <c r="F603" s="3"/>
      <c r="G603" s="1"/>
      <c r="H603" s="1"/>
      <c r="I603" s="1"/>
      <c r="J603" s="1"/>
      <c r="K603" s="1"/>
      <c r="L603" s="1" t="str">
        <f>IF(Lima!$D603="Precast",L575,IF(Lima!$D603="","",IF(Lima!$D603&lt;20000,"Khasab",IF(Lima!$D603&lt;50000, "Lima",IF(Lima!$D603&lt;72000,"Daba")))))</f>
        <v/>
      </c>
      <c r="M603" s="1" t="str">
        <f>IF(Lima!$C603="","",TEXT(Lima!$C603,"mmm  yy"))</f>
        <v/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3">
      <c r="A604" s="1"/>
      <c r="B604" s="1"/>
      <c r="C604" s="2"/>
      <c r="D604" s="1"/>
      <c r="E604" s="1"/>
      <c r="F604" s="3"/>
      <c r="G604" s="1"/>
      <c r="H604" s="1"/>
      <c r="I604" s="1"/>
      <c r="J604" s="1"/>
      <c r="K604" s="1"/>
      <c r="L604" s="1" t="str">
        <f>IF(Lima!$D604="Precast",L576,IF(Lima!$D604="","",IF(Lima!$D604&lt;20000,"Khasab",IF(Lima!$D604&lt;50000, "Lima",IF(Lima!$D604&lt;72000,"Daba")))))</f>
        <v/>
      </c>
      <c r="M604" s="1" t="str">
        <f>IF(Lima!$C604="","",TEXT(Lima!$C604,"mmm  yy"))</f>
        <v/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3">
      <c r="A605" s="1"/>
      <c r="B605" s="1"/>
      <c r="C605" s="2"/>
      <c r="D605" s="1"/>
      <c r="E605" s="1"/>
      <c r="F605" s="3"/>
      <c r="G605" s="1"/>
      <c r="H605" s="1"/>
      <c r="I605" s="1"/>
      <c r="J605" s="1"/>
      <c r="K605" s="1"/>
      <c r="L605" s="1" t="str">
        <f>IF(Lima!$D605="Precast",L577,IF(Lima!$D605="","",IF(Lima!$D605&lt;20000,"Khasab",IF(Lima!$D605&lt;50000, "Lima",IF(Lima!$D605&lt;72000,"Daba")))))</f>
        <v/>
      </c>
      <c r="M605" s="1" t="str">
        <f>IF(Lima!$C605="","",TEXT(Lima!$C605,"mmm  yy"))</f>
        <v/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3">
      <c r="A606" s="1"/>
      <c r="B606" s="1"/>
      <c r="C606" s="2"/>
      <c r="D606" s="1"/>
      <c r="E606" s="1"/>
      <c r="F606" s="3"/>
      <c r="G606" s="1"/>
      <c r="H606" s="1"/>
      <c r="I606" s="1"/>
      <c r="J606" s="1"/>
      <c r="K606" s="1"/>
      <c r="L606" s="1" t="str">
        <f>IF(Lima!$D606="Precast",L578,IF(Lima!$D606="","",IF(Lima!$D606&lt;20000,"Khasab",IF(Lima!$D606&lt;50000, "Lima",IF(Lima!$D606&lt;72000,"Daba")))))</f>
        <v/>
      </c>
      <c r="M606" s="1" t="str">
        <f>IF(Lima!$C606="","",TEXT(Lima!$C606,"mmm  yy"))</f>
        <v/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3">
      <c r="A607" s="1"/>
      <c r="B607" s="1"/>
      <c r="C607" s="2"/>
      <c r="D607" s="1"/>
      <c r="E607" s="1"/>
      <c r="F607" s="3"/>
      <c r="G607" s="1"/>
      <c r="H607" s="1"/>
      <c r="I607" s="1"/>
      <c r="J607" s="1"/>
      <c r="K607" s="1"/>
      <c r="L607" s="1" t="str">
        <f>IF(Lima!$D607="Precast",L579,IF(Lima!$D607="","",IF(Lima!$D607&lt;20000,"Khasab",IF(Lima!$D607&lt;50000, "Lima",IF(Lima!$D607&lt;72000,"Daba")))))</f>
        <v/>
      </c>
      <c r="M607" s="1" t="str">
        <f>IF(Lima!$C607="","",TEXT(Lima!$C607,"mmm  yy"))</f>
        <v/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3">
      <c r="A608" s="1"/>
      <c r="B608" s="1"/>
      <c r="C608" s="2"/>
      <c r="D608" s="4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>
        <f>129+1464</f>
        <v>1593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3">
      <c r="A609" s="1"/>
      <c r="B609" s="1"/>
      <c r="C609" s="2"/>
      <c r="D609" s="4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3">
      <c r="A610" s="1"/>
      <c r="B610" s="1"/>
      <c r="C610" s="2"/>
      <c r="D610" s="4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3">
      <c r="A611" s="1"/>
      <c r="B611" s="1"/>
      <c r="C611" s="2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3">
      <c r="A612" s="1"/>
      <c r="B612" s="1"/>
      <c r="C612" s="2"/>
      <c r="D612" s="4"/>
      <c r="E612" s="1"/>
      <c r="F612" s="1"/>
      <c r="G612" s="1"/>
      <c r="H612" s="1"/>
      <c r="I612" s="1"/>
      <c r="J612" s="1"/>
      <c r="K612" s="1"/>
      <c r="L612" s="1" t="str">
        <f>IF(Lima!$D612="Precast",L583,IF(Lima!$D612="","",IF(Lima!$D612&lt;20000,"Khasab",IF(Lima!$D612&lt;50000, "Lima",IF(Lima!$D612&lt;72000,"Daba")))))</f>
        <v/>
      </c>
      <c r="M612" s="1" t="str">
        <f>IF(Lima!$C612="","",TEXT(Lima!$C612,"mmm  yy"))</f>
        <v/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3">
      <c r="A613" s="1"/>
      <c r="B613" s="1"/>
      <c r="C613" s="2"/>
      <c r="D613" s="4"/>
      <c r="E613" s="1"/>
      <c r="F613" s="1"/>
      <c r="G613" s="1"/>
      <c r="H613" s="1"/>
      <c r="I613" s="1"/>
      <c r="J613" s="1"/>
      <c r="K613" s="1"/>
      <c r="L613" s="1" t="str">
        <f>IF(Lima!$D613="Precast",L584,IF(Lima!$D613="","",IF(Lima!$D613&lt;20000,"Khasab",IF(Lima!$D613&lt;50000, "Lima",IF(Lima!$D613&lt;72000,"Daba")))))</f>
        <v/>
      </c>
      <c r="M613" s="1" t="str">
        <f>IF(Lima!$C613="","",TEXT(Lima!$C613,"mmm  yy"))</f>
        <v/>
      </c>
      <c r="N613" s="1">
        <f>22+371+756</f>
        <v>1149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3">
      <c r="A614" s="1"/>
      <c r="B614" s="1"/>
      <c r="C614" s="2"/>
      <c r="D614" s="4"/>
      <c r="E614" s="1"/>
      <c r="F614" s="1"/>
      <c r="G614" s="1"/>
      <c r="H614" s="1"/>
      <c r="I614" s="1"/>
      <c r="J614" s="1"/>
      <c r="K614" s="1"/>
      <c r="L614" s="1" t="str">
        <f>IF(Lima!$D614="Precast",L585,IF(Lima!$D614="","",IF(Lima!$D614&lt;20000,"Khasab",IF(Lima!$D614&lt;50000, "Lima",IF(Lima!$D614&lt;72000,"Daba")))))</f>
        <v/>
      </c>
      <c r="M614" s="1" t="str">
        <f>IF(Lima!$C614="","",TEXT(Lima!$C614,"mmm  yy"))</f>
        <v/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3">
      <c r="A615" s="1"/>
      <c r="B615" s="1"/>
      <c r="C615" s="2"/>
      <c r="D615" s="4"/>
      <c r="E615" s="1"/>
      <c r="F615" s="1"/>
      <c r="G615" s="1"/>
      <c r="H615" s="1"/>
      <c r="I615" s="1"/>
      <c r="J615" s="1"/>
      <c r="K615" s="1"/>
      <c r="L615" s="1" t="str">
        <f>IF(Lima!$D615="Precast",L586,IF(Lima!$D615="","",IF(Lima!$D615&lt;20000,"Khasab",IF(Lima!$D615&lt;50000, "Lima",IF(Lima!$D615&lt;72000,"Daba")))))</f>
        <v/>
      </c>
      <c r="M615" s="1" t="str">
        <f>IF(Lima!$C615="","",TEXT(Lima!$C615,"mmm  yy"))</f>
        <v/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3">
      <c r="A616" s="1"/>
      <c r="B616" s="1"/>
      <c r="C616" s="2"/>
      <c r="D616" s="4"/>
      <c r="E616" s="1"/>
      <c r="F616" s="1"/>
      <c r="G616" s="1"/>
      <c r="H616" s="1"/>
      <c r="I616" s="1"/>
      <c r="J616" s="1"/>
      <c r="K616" s="1"/>
      <c r="L616" s="1" t="str">
        <f>IF(Lima!$D616="Precast",L587,IF(Lima!$D616="","",IF(Lima!$D616&lt;20000,"Khasab",IF(Lima!$D616&lt;50000, "Lima",IF(Lima!$D616&lt;72000,"Daba")))))</f>
        <v/>
      </c>
      <c r="M616" s="1" t="str">
        <f>IF(Lima!$C616="","",TEXT(Lima!$C616,"mmm  yy"))</f>
        <v/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3">
      <c r="A617" s="1"/>
      <c r="B617" s="1"/>
      <c r="C617" s="2"/>
      <c r="D617" s="4"/>
      <c r="E617" s="1"/>
      <c r="F617" s="1"/>
      <c r="G617" s="1"/>
      <c r="H617" s="1"/>
      <c r="I617" s="1"/>
      <c r="J617" s="1"/>
      <c r="K617" s="1"/>
      <c r="L617" s="1" t="str">
        <f>IF(Lima!$D617="Precast",L588,IF(Lima!$D617="","",IF(Lima!$D617&lt;20000,"Khasab",IF(Lima!$D617&lt;50000, "Lima",IF(Lima!$D617&lt;72000,"Daba")))))</f>
        <v/>
      </c>
      <c r="M617" s="1" t="str">
        <f>IF(Lima!$C617="","",TEXT(Lima!$C617,"mmm  yy"))</f>
        <v/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3">
      <c r="A618" s="1"/>
      <c r="B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3">
      <c r="A619" s="1"/>
      <c r="B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3">
      <c r="A620" s="1"/>
      <c r="B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3">
      <c r="A621" s="1"/>
      <c r="B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3">
      <c r="A622" s="1"/>
      <c r="B622" s="1"/>
      <c r="C622" s="2"/>
      <c r="D622" s="4"/>
      <c r="E622" s="1"/>
      <c r="F622" s="1"/>
      <c r="G622" s="1"/>
      <c r="H622" s="1"/>
      <c r="I622" s="1"/>
      <c r="J622" s="1"/>
      <c r="K622" s="1"/>
      <c r="L622" s="1" t="str">
        <f>IF(Lima!$D622="Precast",L593,IF(Lima!$D622="","",IF(Lima!$D622&lt;20000,"Khasab",IF(Lima!$D622&lt;50000, "Lima",IF(Lima!$D622&lt;72000,"Daba")))))</f>
        <v/>
      </c>
      <c r="M622" s="1" t="str">
        <f>IF(Lima!$C622="","",TEXT(Lima!$C622,"mmm  yy"))</f>
        <v/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3">
      <c r="A623" s="1"/>
      <c r="B623" s="1"/>
      <c r="C623" s="2"/>
      <c r="D623" s="4"/>
      <c r="E623" s="1"/>
      <c r="F623" s="1"/>
      <c r="G623" s="1"/>
      <c r="H623" s="1"/>
      <c r="I623" s="1"/>
      <c r="J623" s="1"/>
      <c r="K623" s="1"/>
      <c r="L623" s="1" t="str">
        <f>IF(Lima!$D623="Precast",L594,IF(Lima!$D623="","",IF(Lima!$D623&lt;20000,"Khasab",IF(Lima!$D623&lt;50000, "Lima",IF(Lima!$D623&lt;72000,"Daba")))))</f>
        <v/>
      </c>
      <c r="M623" s="1" t="str">
        <f>IF(Lima!$C623="","",TEXT(Lima!$C623,"mmm  yy"))</f>
        <v/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3">
      <c r="A624" s="1"/>
      <c r="B624" s="1"/>
      <c r="C624" s="2"/>
      <c r="D624" s="4"/>
      <c r="E624" s="1"/>
      <c r="F624" s="1"/>
      <c r="G624" s="1"/>
      <c r="H624" s="1"/>
      <c r="I624" s="1"/>
      <c r="J624" s="1"/>
      <c r="K624" s="1"/>
      <c r="L624" s="1" t="str">
        <f>IF(Lima!$D624="Precast",L595,IF(Lima!$D624="","",IF(Lima!$D624&lt;20000,"Khasab",IF(Lima!$D624&lt;50000, "Lima",IF(Lima!$D624&lt;72000,"Daba")))))</f>
        <v/>
      </c>
      <c r="M624" s="1" t="str">
        <f>IF(Lima!$C624="","",TEXT(Lima!$C624,"mmm  yy"))</f>
        <v/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3">
      <c r="A625" s="1"/>
      <c r="B625" s="1"/>
      <c r="C625" s="2"/>
      <c r="D625" s="4"/>
      <c r="E625" s="1"/>
      <c r="F625" s="1"/>
      <c r="G625" s="1"/>
      <c r="H625" s="1"/>
      <c r="I625" s="1"/>
      <c r="J625" s="1"/>
      <c r="K625" s="1"/>
      <c r="L625" s="1" t="str">
        <f>IF(Lima!$D625="Precast",L596,IF(Lima!$D625="","",IF(Lima!$D625&lt;20000,"Khasab",IF(Lima!$D625&lt;50000, "Lima",IF(Lima!$D625&lt;72000,"Daba")))))</f>
        <v/>
      </c>
      <c r="M625" s="1" t="str">
        <f>IF(Lima!$C625="","",TEXT(Lima!$C625,"mmm  yy"))</f>
        <v/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3">
      <c r="A626" s="1"/>
      <c r="B626" s="1"/>
      <c r="C626" s="2"/>
      <c r="D626" s="4"/>
      <c r="E626" s="1"/>
      <c r="F626" s="1"/>
      <c r="G626" s="1"/>
      <c r="H626" s="1"/>
      <c r="I626" s="1"/>
      <c r="J626" s="1"/>
      <c r="K626" s="1"/>
      <c r="L626" s="1" t="str">
        <f>IF(Lima!$D626="Precast",L597,IF(Lima!$D626="","",IF(Lima!$D626&lt;20000,"Khasab",IF(Lima!$D626&lt;50000, "Lima",IF(Lima!$D626&lt;72000,"Daba")))))</f>
        <v/>
      </c>
      <c r="M626" s="1" t="str">
        <f>IF(Lima!$C626="","",TEXT(Lima!$C626,"mmm  yy"))</f>
        <v/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3">
      <c r="A627" s="1"/>
      <c r="B627" s="1"/>
      <c r="C627" s="2"/>
      <c r="D627" s="4"/>
      <c r="E627" s="1"/>
      <c r="F627" s="1"/>
      <c r="G627" s="1"/>
      <c r="H627" s="1"/>
      <c r="I627" s="1"/>
      <c r="J627" s="1"/>
      <c r="K627" s="1"/>
      <c r="L627" s="1" t="str">
        <f>IF(Lima!$D627="Precast",L598,IF(Lima!$D627="","",IF(Lima!$D627&lt;20000,"Khasab",IF(Lima!$D627&lt;50000, "Lima",IF(Lima!$D627&lt;72000,"Daba")))))</f>
        <v/>
      </c>
      <c r="M627" s="1" t="str">
        <f>IF(Lima!$C627="","",TEXT(Lima!$C627,"mmm  yy"))</f>
        <v/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3">
      <c r="A628" s="1"/>
      <c r="B628" s="1"/>
      <c r="C628" s="2"/>
      <c r="D628" s="4"/>
      <c r="E628" s="1"/>
      <c r="F628" s="1"/>
      <c r="G628" s="1"/>
      <c r="H628" s="1"/>
      <c r="I628" s="1"/>
      <c r="J628" s="1"/>
      <c r="K628" s="1"/>
      <c r="L628" s="1" t="str">
        <f>IF(Lima!$D628="Precast",L599,IF(Lima!$D628="","",IF(Lima!$D628&lt;20000,"Khasab",IF(Lima!$D628&lt;50000, "Lima",IF(Lima!$D628&lt;72000,"Daba")))))</f>
        <v/>
      </c>
      <c r="M628" s="1" t="str">
        <f>IF(Lima!$C628="","",TEXT(Lima!$C628,"mmm  yy"))</f>
        <v/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3">
      <c r="A629" s="1"/>
      <c r="B629" s="1"/>
      <c r="C629" s="2"/>
      <c r="D629" s="4"/>
      <c r="E629" s="1"/>
      <c r="F629" s="1"/>
      <c r="G629" s="1"/>
      <c r="H629" s="1"/>
      <c r="I629" s="1"/>
      <c r="J629" s="1"/>
      <c r="K629" s="1"/>
      <c r="L629" s="1" t="str">
        <f>IF(Lima!$D629="Precast",L600,IF(Lima!$D629="","",IF(Lima!$D629&lt;20000,"Khasab",IF(Lima!$D629&lt;50000, "Lima",IF(Lima!$D629&lt;72000,"Daba")))))</f>
        <v/>
      </c>
      <c r="M629" s="1" t="str">
        <f>IF(Lima!$C629="","",TEXT(Lima!$C629,"mmm  yy"))</f>
        <v/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3">
      <c r="A630" s="1"/>
      <c r="B630" s="1"/>
      <c r="C630" s="2"/>
      <c r="D630" s="4"/>
      <c r="E630" s="1"/>
      <c r="F630" s="1"/>
      <c r="G630" s="1"/>
      <c r="H630" s="1"/>
      <c r="I630" s="1"/>
      <c r="J630" s="1"/>
      <c r="K630" s="1"/>
      <c r="L630" s="1" t="str">
        <f>IF(Lima!$D630="Precast",L601,IF(Lima!$D630="","",IF(Lima!$D630&lt;20000,"Khasab",IF(Lima!$D630&lt;50000, "Lima",IF(Lima!$D630&lt;72000,"Daba")))))</f>
        <v/>
      </c>
      <c r="M630" s="1" t="str">
        <f>IF(Lima!$C630="","",TEXT(Lima!$C630,"mmm  yy"))</f>
        <v/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3">
      <c r="A631" s="1"/>
      <c r="B631" s="1"/>
      <c r="C631" s="2"/>
      <c r="D631" s="4"/>
      <c r="E631" s="1"/>
      <c r="F631" s="1"/>
      <c r="G631" s="1"/>
      <c r="H631" s="1"/>
      <c r="I631" s="1"/>
      <c r="J631" s="1"/>
      <c r="K631" s="1"/>
      <c r="L631" s="1" t="str">
        <f>IF(Lima!$D631="Precast",L602,IF(Lima!$D631="","",IF(Lima!$D631&lt;20000,"Khasab",IF(Lima!$D631&lt;50000, "Lima",IF(Lima!$D631&lt;72000,"Daba")))))</f>
        <v/>
      </c>
      <c r="M631" s="1" t="str">
        <f>IF(Lima!$C631="","",TEXT(Lima!$C631,"mmm  yy"))</f>
        <v/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3">
      <c r="A632" s="1"/>
      <c r="B632" s="1"/>
      <c r="C632" s="2"/>
      <c r="D632" s="4"/>
      <c r="E632" s="1"/>
      <c r="F632" s="1"/>
      <c r="G632" s="1"/>
      <c r="H632" s="1"/>
      <c r="I632" s="1"/>
      <c r="J632" s="1"/>
      <c r="K632" s="1"/>
      <c r="L632" s="1" t="str">
        <f>IF(Lima!$D632="Precast",L603,IF(Lima!$D632="","",IF(Lima!$D632&lt;20000,"Khasab",IF(Lima!$D632&lt;50000, "Lima",IF(Lima!$D632&lt;72000,"Daba")))))</f>
        <v/>
      </c>
      <c r="M632" s="1" t="str">
        <f>IF(Lima!$C632="","",TEXT(Lima!$C632,"mmm  yy"))</f>
        <v/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3">
      <c r="A633" s="1"/>
      <c r="B633" s="1"/>
      <c r="C633" s="2"/>
      <c r="D633" s="4"/>
      <c r="E633" s="1"/>
      <c r="F633" s="1"/>
      <c r="G633" s="1"/>
      <c r="H633" s="1"/>
      <c r="I633" s="1"/>
      <c r="J633" s="1"/>
      <c r="K633" s="1"/>
      <c r="L633" s="1" t="str">
        <f>IF(Lima!$D633="Precast",L604,IF(Lima!$D633="","",IF(Lima!$D633&lt;20000,"Khasab",IF(Lima!$D633&lt;50000, "Lima",IF(Lima!$D633&lt;72000,"Daba")))))</f>
        <v/>
      </c>
      <c r="M633" s="1" t="str">
        <f>IF(Lima!$C633="","",TEXT(Lima!$C633,"mmm  yy"))</f>
        <v/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3">
      <c r="A634" s="1"/>
      <c r="B634" s="1"/>
      <c r="C634" s="2"/>
      <c r="D634" s="4"/>
      <c r="E634" s="1"/>
      <c r="F634" s="1"/>
      <c r="G634" s="1"/>
      <c r="H634" s="1"/>
      <c r="I634" s="1"/>
      <c r="J634" s="1"/>
      <c r="K634" s="1"/>
      <c r="L634" s="1" t="str">
        <f>IF(Lima!$D634="Precast",L605,IF(Lima!$D634="","",IF(Lima!$D634&lt;20000,"Khasab",IF(Lima!$D634&lt;50000, "Lima",IF(Lima!$D634&lt;72000,"Daba")))))</f>
        <v/>
      </c>
      <c r="M634" s="1" t="str">
        <f>IF(Lima!$C634="","",TEXT(Lima!$C634,"mmm  yy"))</f>
        <v/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3">
      <c r="A635" s="1"/>
      <c r="B635" s="1"/>
      <c r="C635" s="2"/>
      <c r="D635" s="4"/>
      <c r="E635" s="1"/>
      <c r="F635" s="1"/>
      <c r="G635" s="1"/>
      <c r="H635" s="1"/>
      <c r="I635" s="1"/>
      <c r="J635" s="1"/>
      <c r="K635" s="1"/>
      <c r="L635" s="1" t="str">
        <f>IF(Lima!$D635="Precast",L606,IF(Lima!$D635="","",IF(Lima!$D635&lt;20000,"Khasab",IF(Lima!$D635&lt;50000, "Lima",IF(Lima!$D635&lt;72000,"Daba")))))</f>
        <v/>
      </c>
      <c r="M635" s="1" t="str">
        <f>IF(Lima!$C635="","",TEXT(Lima!$C635,"mmm  yy"))</f>
        <v/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3">
      <c r="A636" s="1"/>
      <c r="B636" s="1"/>
      <c r="C636" s="2"/>
      <c r="D636" s="4"/>
      <c r="E636" s="1"/>
      <c r="F636" s="1"/>
      <c r="G636" s="1"/>
      <c r="H636" s="1"/>
      <c r="I636" s="1"/>
      <c r="J636" s="1"/>
      <c r="K636" s="1"/>
      <c r="L636" s="1" t="str">
        <f>IF(Lima!$D636="Precast",L607,IF(Lima!$D636="","",IF(Lima!$D636&lt;20000,"Khasab",IF(Lima!$D636&lt;50000, "Lima",IF(Lima!$D636&lt;72000,"Daba")))))</f>
        <v/>
      </c>
      <c r="M636" s="1" t="str">
        <f>IF(Lima!$C636="","",TEXT(Lima!$C636,"mmm  yy"))</f>
        <v/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3">
      <c r="A637" s="1"/>
      <c r="B637" s="1"/>
      <c r="C637" s="2"/>
      <c r="D637" s="4"/>
      <c r="E637" s="1"/>
      <c r="F637" s="1"/>
      <c r="G637" s="1"/>
      <c r="H637" s="1"/>
      <c r="I637" s="1"/>
      <c r="J637" s="1"/>
      <c r="K637" s="1"/>
      <c r="L637" s="1" t="str">
        <f>IF(Lima!$D637="Precast",L608,IF(Lima!$D637="","",IF(Lima!$D637&lt;20000,"Khasab",IF(Lima!$D637&lt;50000, "Lima",IF(Lima!$D637&lt;72000,"Daba")))))</f>
        <v/>
      </c>
      <c r="M637" s="1" t="str">
        <f>IF(Lima!$C637="","",TEXT(Lima!$C637,"mmm  yy"))</f>
        <v/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3">
      <c r="A638" s="1"/>
      <c r="B638" s="1"/>
      <c r="C638" s="2"/>
      <c r="D638" s="4"/>
      <c r="E638" s="1"/>
      <c r="F638" s="1"/>
      <c r="G638" s="1"/>
      <c r="H638" s="1"/>
      <c r="I638" s="1"/>
      <c r="J638" s="1"/>
      <c r="K638" s="1"/>
      <c r="L638" s="1" t="str">
        <f>IF(Lima!$D638="Precast",L609,IF(Lima!$D638="","",IF(Lima!$D638&lt;20000,"Khasab",IF(Lima!$D638&lt;50000, "Lima",IF(Lima!$D638&lt;72000,"Daba")))))</f>
        <v/>
      </c>
      <c r="M638" s="1" t="str">
        <f>IF(Lima!$C638="","",TEXT(Lima!$C638,"mmm  yy"))</f>
        <v/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3">
      <c r="A639" s="1"/>
      <c r="B639" s="1"/>
      <c r="C639" s="2"/>
      <c r="D639" s="4"/>
      <c r="E639" s="1"/>
      <c r="F639" s="1"/>
      <c r="G639" s="1"/>
      <c r="H639" s="1"/>
      <c r="I639" s="1"/>
      <c r="J639" s="1"/>
      <c r="K639" s="1"/>
      <c r="L639" s="1" t="str">
        <f>IF(Lima!$D639="Precast",L610,IF(Lima!$D639="","",IF(Lima!$D639&lt;20000,"Khasab",IF(Lima!$D639&lt;50000, "Lima",IF(Lima!$D639&lt;72000,"Daba")))))</f>
        <v/>
      </c>
      <c r="M639" s="1" t="str">
        <f>IF(Lima!$C639="","",TEXT(Lima!$C639,"mmm  yy"))</f>
        <v/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3">
      <c r="A640" s="1"/>
      <c r="B640" s="1"/>
      <c r="C640" s="2"/>
      <c r="D640" s="4"/>
      <c r="E640" s="1"/>
      <c r="F640" s="1"/>
      <c r="G640" s="1"/>
      <c r="H640" s="1"/>
      <c r="I640" s="1"/>
      <c r="J640" s="1"/>
      <c r="K640" s="1"/>
      <c r="L640" s="1" t="str">
        <f>IF(Lima!$D640="Precast",L611,IF(Lima!$D640="","",IF(Lima!$D640&lt;20000,"Khasab",IF(Lima!$D640&lt;50000, "Lima",IF(Lima!$D640&lt;72000,"Daba")))))</f>
        <v/>
      </c>
      <c r="M640" s="1" t="str">
        <f>IF(Lima!$C640="","",TEXT(Lima!$C640,"mmm  yy"))</f>
        <v/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3">
      <c r="A641" s="1"/>
      <c r="B641" s="1"/>
      <c r="C641" s="2"/>
      <c r="D641" s="4"/>
      <c r="E641" s="1"/>
      <c r="F641" s="1"/>
      <c r="G641" s="1"/>
      <c r="H641" s="1"/>
      <c r="I641" s="1"/>
      <c r="J641" s="1"/>
      <c r="K641" s="1"/>
      <c r="L641" s="1" t="str">
        <f>IF(Lima!$D641="Precast",L612,IF(Lima!$D641="","",IF(Lima!$D641&lt;20000,"Khasab",IF(Lima!$D641&lt;50000, "Lima",IF(Lima!$D641&lt;72000,"Daba")))))</f>
        <v/>
      </c>
      <c r="M641" s="1" t="str">
        <f>IF(Lima!$C641="","",TEXT(Lima!$C641,"mmm  yy"))</f>
        <v/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3">
      <c r="A642" s="1"/>
      <c r="B642" s="1"/>
      <c r="C642" s="2"/>
      <c r="D642" s="4"/>
      <c r="E642" s="1"/>
      <c r="F642" s="1"/>
      <c r="G642" s="1"/>
      <c r="H642" s="1"/>
      <c r="I642" s="1"/>
      <c r="J642" s="1"/>
      <c r="K642" s="1"/>
      <c r="L642" s="1" t="str">
        <f>IF(Lima!$D642="Precast",L613,IF(Lima!$D642="","",IF(Lima!$D642&lt;20000,"Khasab",IF(Lima!$D642&lt;50000, "Lima",IF(Lima!$D642&lt;72000,"Daba")))))</f>
        <v/>
      </c>
      <c r="M642" s="1" t="str">
        <f>IF(Lima!$C642="","",TEXT(Lima!$C642,"mmm  yy"))</f>
        <v/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3">
      <c r="A643" s="1"/>
      <c r="B643" s="1"/>
      <c r="C643" s="2"/>
      <c r="D643" s="4"/>
      <c r="E643" s="1"/>
      <c r="F643" s="1"/>
      <c r="G643" s="1"/>
      <c r="H643" s="1"/>
      <c r="I643" s="1"/>
      <c r="J643" s="1"/>
      <c r="K643" s="1"/>
      <c r="L643" s="1" t="str">
        <f>IF(Lima!$D643="Precast",L614,IF(Lima!$D643="","",IF(Lima!$D643&lt;20000,"Khasab",IF(Lima!$D643&lt;50000, "Lima",IF(Lima!$D643&lt;72000,"Daba")))))</f>
        <v/>
      </c>
      <c r="M643" s="1" t="str">
        <f>IF(Lima!$C643="","",TEXT(Lima!$C643,"mmm  yy"))</f>
        <v/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3">
      <c r="A644" s="1"/>
      <c r="B644" s="1"/>
      <c r="C644" s="2"/>
      <c r="D644" s="4"/>
      <c r="E644" s="1"/>
      <c r="F644" s="1"/>
      <c r="G644" s="1"/>
      <c r="H644" s="1"/>
      <c r="I644" s="1"/>
      <c r="J644" s="1"/>
      <c r="K644" s="1"/>
      <c r="L644" s="1" t="str">
        <f>IF(Lima!$D644="Precast",L615,IF(Lima!$D644="","",IF(Lima!$D644&lt;20000,"Khasab",IF(Lima!$D644&lt;50000, "Lima",IF(Lima!$D644&lt;72000,"Daba")))))</f>
        <v/>
      </c>
      <c r="M644" s="1" t="str">
        <f>IF(Lima!$C644="","",TEXT(Lima!$C644,"mmm  yy"))</f>
        <v/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3">
      <c r="A645" s="1"/>
      <c r="B645" s="1"/>
      <c r="C645" s="2"/>
      <c r="D645" s="4"/>
      <c r="E645" s="1"/>
      <c r="F645" s="1"/>
      <c r="G645" s="1"/>
      <c r="H645" s="1"/>
      <c r="I645" s="1"/>
      <c r="J645" s="1"/>
      <c r="K645" s="1"/>
      <c r="L645" s="1" t="str">
        <f>IF(Lima!$D645="Precast",L616,IF(Lima!$D645="","",IF(Lima!$D645&lt;20000,"Khasab",IF(Lima!$D645&lt;50000, "Lima",IF(Lima!$D645&lt;72000,"Daba")))))</f>
        <v/>
      </c>
      <c r="M645" s="1" t="str">
        <f>IF(Lima!$C645="","",TEXT(Lima!$C645,"mmm  yy"))</f>
        <v/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3">
      <c r="A646" s="1"/>
      <c r="B646" s="1"/>
      <c r="C646" s="2"/>
      <c r="D646" s="4"/>
      <c r="E646" s="1"/>
      <c r="F646" s="1"/>
      <c r="G646" s="1"/>
      <c r="H646" s="1"/>
      <c r="I646" s="1"/>
      <c r="J646" s="1"/>
      <c r="K646" s="1"/>
      <c r="L646" s="1" t="str">
        <f>IF(Lima!$D646="Precast",L617,IF(Lima!$D646="","",IF(Lima!$D646&lt;20000,"Khasab",IF(Lima!$D646&lt;50000, "Lima",IF(Lima!$D646&lt;72000,"Daba")))))</f>
        <v/>
      </c>
      <c r="M646" s="1" t="str">
        <f>IF(Lima!$C646="","",TEXT(Lima!$C646,"mmm  yy"))</f>
        <v/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3">
      <c r="A647" s="1"/>
      <c r="B647" s="1"/>
      <c r="C647" s="2"/>
      <c r="D647" s="4"/>
      <c r="E647" s="1"/>
      <c r="F647" s="1"/>
      <c r="G647" s="1"/>
      <c r="H647" s="1"/>
      <c r="I647" s="1"/>
      <c r="J647" s="1"/>
      <c r="K647" s="1"/>
      <c r="L647" s="1" t="str">
        <f>IF(Lima!$D647="Precast",#REF!,IF(Lima!$D647="","",IF(Lima!$D647&lt;20000,"Khasab",IF(Lima!$D647&lt;50000, "Lima",IF(Lima!$D647&lt;72000,"Daba")))))</f>
        <v/>
      </c>
      <c r="M647" s="1" t="str">
        <f>IF(Lima!$C647="","",TEXT(Lima!$C647,"mmm  yy"))</f>
        <v/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3">
      <c r="A648" s="1"/>
      <c r="B648" s="1"/>
      <c r="C648" s="2"/>
      <c r="D648" s="4"/>
      <c r="E648" s="1"/>
      <c r="F648" s="1"/>
      <c r="G648" s="1"/>
      <c r="H648" s="1"/>
      <c r="I648" s="1"/>
      <c r="J648" s="1"/>
      <c r="K648" s="1"/>
      <c r="L648" s="1" t="str">
        <f>IF(Lima!$D648="Precast",#REF!,IF(Lima!$D648="","",IF(Lima!$D648&lt;20000,"Khasab",IF(Lima!$D648&lt;50000, "Lima",IF(Lima!$D648&lt;72000,"Daba")))))</f>
        <v/>
      </c>
      <c r="M648" s="1" t="str">
        <f>IF(Lima!$C648="","",TEXT(Lima!$C648,"mmm  yy"))</f>
        <v/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3">
      <c r="A649" s="1"/>
      <c r="B649" s="1"/>
      <c r="C649" s="2"/>
      <c r="D649" s="4"/>
      <c r="E649" s="1"/>
      <c r="F649" s="1"/>
      <c r="G649" s="1"/>
      <c r="H649" s="1"/>
      <c r="I649" s="1"/>
      <c r="J649" s="1"/>
      <c r="K649" s="1"/>
      <c r="L649" s="1" t="str">
        <f>IF(Lima!$D649="Precast",#REF!,IF(Lima!$D649="","",IF(Lima!$D649&lt;20000,"Khasab",IF(Lima!$D649&lt;50000, "Lima",IF(Lima!$D649&lt;72000,"Daba")))))</f>
        <v/>
      </c>
      <c r="M649" s="1" t="str">
        <f>IF(Lima!$C649="","",TEXT(Lima!$C649,"mmm  yy"))</f>
        <v/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3">
      <c r="A650" s="1"/>
      <c r="B650" s="1"/>
      <c r="C650" s="2"/>
      <c r="D650" s="4"/>
      <c r="E650" s="1"/>
      <c r="F650" s="1"/>
      <c r="G650" s="1"/>
      <c r="H650" s="1"/>
      <c r="I650" s="1"/>
      <c r="J650" s="1"/>
      <c r="K650" s="1"/>
      <c r="L650" s="1" t="str">
        <f>IF(Lima!$D650="Precast",#REF!,IF(Lima!$D650="","",IF(Lima!$D650&lt;20000,"Khasab",IF(Lima!$D650&lt;50000, "Lima",IF(Lima!$D650&lt;72000,"Daba")))))</f>
        <v/>
      </c>
      <c r="M650" s="1" t="str">
        <f>IF(Lima!$C650="","",TEXT(Lima!$C650,"mmm  yy"))</f>
        <v/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3">
      <c r="A651" s="1"/>
      <c r="B651" s="1"/>
      <c r="C651" s="2"/>
      <c r="D651" s="4"/>
      <c r="E651" s="1"/>
      <c r="F651" s="1"/>
      <c r="G651" s="1"/>
      <c r="H651" s="1"/>
      <c r="I651" s="1"/>
      <c r="J651" s="1"/>
      <c r="K651" s="1"/>
      <c r="L651" s="1" t="str">
        <f>IF(Lima!$D651="Precast",L622,IF(Lima!$D651="","",IF(Lima!$D651&lt;20000,"Khasab",IF(Lima!$D651&lt;50000, "Lima",IF(Lima!$D651&lt;72000,"Daba")))))</f>
        <v/>
      </c>
      <c r="M651" s="1" t="str">
        <f>IF(Lima!$C651="","",TEXT(Lima!$C651,"mmm  yy"))</f>
        <v/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3">
      <c r="A652" s="1"/>
      <c r="B652" s="1"/>
      <c r="C652" s="2"/>
      <c r="D652" s="4"/>
      <c r="E652" s="1"/>
      <c r="F652" s="1"/>
      <c r="G652" s="1"/>
      <c r="H652" s="1"/>
      <c r="I652" s="1"/>
      <c r="J652" s="1"/>
      <c r="K652" s="1"/>
      <c r="L652" s="1" t="str">
        <f>IF(Lima!$D652="Precast",L623,IF(Lima!$D652="","",IF(Lima!$D652&lt;20000,"Khasab",IF(Lima!$D652&lt;50000, "Lima",IF(Lima!$D652&lt;72000,"Daba")))))</f>
        <v/>
      </c>
      <c r="M652" s="1" t="str">
        <f>IF(Lima!$C652="","",TEXT(Lima!$C652,"mmm  yy"))</f>
        <v/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3">
      <c r="A653" s="1"/>
      <c r="B653" s="1"/>
      <c r="C653" s="2"/>
      <c r="D653" s="4"/>
      <c r="E653" s="1"/>
      <c r="F653" s="1"/>
      <c r="G653" s="1"/>
      <c r="H653" s="1"/>
      <c r="I653" s="1"/>
      <c r="J653" s="1"/>
      <c r="K653" s="1"/>
      <c r="L653" s="1" t="str">
        <f>IF(Lima!$D653="Precast",L624,IF(Lima!$D653="","",IF(Lima!$D653&lt;20000,"Khasab",IF(Lima!$D653&lt;50000, "Lima",IF(Lima!$D653&lt;72000,"Daba")))))</f>
        <v/>
      </c>
      <c r="M653" s="1" t="str">
        <f>IF(Lima!$C653="","",TEXT(Lima!$C653,"mmm  yy"))</f>
        <v/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3">
      <c r="A654" s="1"/>
      <c r="B654" s="1"/>
      <c r="C654" s="2"/>
      <c r="D654" s="4"/>
      <c r="E654" s="1"/>
      <c r="F654" s="1"/>
      <c r="G654" s="1"/>
      <c r="H654" s="1"/>
      <c r="I654" s="1"/>
      <c r="J654" s="1"/>
      <c r="K654" s="1"/>
      <c r="L654" s="1" t="str">
        <f>IF(Lima!$D654="Precast",L625,IF(Lima!$D654="","",IF(Lima!$D654&lt;20000,"Khasab",IF(Lima!$D654&lt;50000, "Lima",IF(Lima!$D654&lt;72000,"Daba")))))</f>
        <v/>
      </c>
      <c r="M654" s="1" t="str">
        <f>IF(Lima!$C654="","",TEXT(Lima!$C654,"mmm  yy"))</f>
        <v/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3">
      <c r="A655" s="1"/>
      <c r="B655" s="1"/>
      <c r="C655" s="2"/>
      <c r="D655" s="4"/>
      <c r="E655" s="1"/>
      <c r="F655" s="1"/>
      <c r="G655" s="1"/>
      <c r="H655" s="1"/>
      <c r="I655" s="1"/>
      <c r="J655" s="1"/>
      <c r="K655" s="1"/>
      <c r="L655" s="1" t="str">
        <f>IF(Lima!$D655="Precast",L626,IF(Lima!$D655="","",IF(Lima!$D655&lt;20000,"Khasab",IF(Lima!$D655&lt;50000, "Lima",IF(Lima!$D655&lt;72000,"Daba")))))</f>
        <v/>
      </c>
      <c r="M655" s="1" t="str">
        <f>IF(Lima!$C655="","",TEXT(Lima!$C655,"mmm  yy"))</f>
        <v/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3">
      <c r="A656" s="1"/>
      <c r="B656" s="1"/>
      <c r="C656" s="2"/>
      <c r="D656" s="4"/>
      <c r="E656" s="1"/>
      <c r="F656" s="1"/>
      <c r="G656" s="1"/>
      <c r="H656" s="1"/>
      <c r="I656" s="1"/>
      <c r="J656" s="1"/>
      <c r="K656" s="1"/>
      <c r="L656" s="1" t="str">
        <f>IF(Lima!$D656="Precast",L627,IF(Lima!$D656="","",IF(Lima!$D656&lt;20000,"Khasab",IF(Lima!$D656&lt;50000, "Lima",IF(Lima!$D656&lt;72000,"Daba")))))</f>
        <v/>
      </c>
      <c r="M656" s="1" t="str">
        <f>IF(Lima!$C656="","",TEXT(Lima!$C656,"mmm  yy"))</f>
        <v/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3">
      <c r="A657" s="1"/>
      <c r="B657" s="1"/>
      <c r="C657" s="2"/>
      <c r="D657" s="4"/>
      <c r="E657" s="1"/>
      <c r="F657" s="1"/>
      <c r="G657" s="1"/>
      <c r="H657" s="1"/>
      <c r="I657" s="1"/>
      <c r="J657" s="1"/>
      <c r="K657" s="1"/>
      <c r="L657" s="1" t="str">
        <f>IF(Lima!$D657="Precast",L628,IF(Lima!$D657="","",IF(Lima!$D657&lt;20000,"Khasab",IF(Lima!$D657&lt;50000, "Lima",IF(Lima!$D657&lt;72000,"Daba")))))</f>
        <v/>
      </c>
      <c r="M657" s="1" t="str">
        <f>IF(Lima!$C657="","",TEXT(Lima!$C657,"mmm  yy"))</f>
        <v/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3">
      <c r="A658" s="1"/>
      <c r="B658" s="1"/>
      <c r="C658" s="2"/>
      <c r="D658" s="4"/>
      <c r="E658" s="1"/>
      <c r="F658" s="1"/>
      <c r="G658" s="1"/>
      <c r="H658" s="1"/>
      <c r="I658" s="1"/>
      <c r="J658" s="1"/>
      <c r="K658" s="1"/>
      <c r="L658" s="1" t="str">
        <f>IF(Lima!$D658="Precast",L629,IF(Lima!$D658="","",IF(Lima!$D658&lt;20000,"Khasab",IF(Lima!$D658&lt;50000, "Lima",IF(Lima!$D658&lt;72000,"Daba")))))</f>
        <v/>
      </c>
      <c r="M658" s="1" t="str">
        <f>IF(Lima!$C658="","",TEXT(Lima!$C658,"mmm  yy"))</f>
        <v/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3">
      <c r="A659" s="1"/>
      <c r="B659" s="1"/>
      <c r="C659" s="2"/>
      <c r="D659" s="4"/>
      <c r="E659" s="1"/>
      <c r="F659" s="1"/>
      <c r="G659" s="1"/>
      <c r="H659" s="1"/>
      <c r="I659" s="1"/>
      <c r="J659" s="1"/>
      <c r="K659" s="1"/>
      <c r="L659" s="1" t="str">
        <f>IF(Lima!$D659="Precast",L630,IF(Lima!$D659="","",IF(Lima!$D659&lt;20000,"Khasab",IF(Lima!$D659&lt;50000, "Lima",IF(Lima!$D659&lt;72000,"Daba")))))</f>
        <v/>
      </c>
      <c r="M659" s="1" t="str">
        <f>IF(Lima!$C659="","",TEXT(Lima!$C659,"mmm  yy"))</f>
        <v/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3">
      <c r="A660" s="1"/>
      <c r="B660" s="1"/>
      <c r="C660" s="2"/>
      <c r="D660" s="4"/>
      <c r="E660" s="1"/>
      <c r="F660" s="1"/>
      <c r="G660" s="1"/>
      <c r="H660" s="1"/>
      <c r="I660" s="1"/>
      <c r="J660" s="1"/>
      <c r="K660" s="1"/>
      <c r="L660" s="1" t="str">
        <f>IF(Lima!$D660="Precast",L631,IF(Lima!$D660="","",IF(Lima!$D660&lt;20000,"Khasab",IF(Lima!$D660&lt;50000, "Lima",IF(Lima!$D660&lt;72000,"Daba")))))</f>
        <v/>
      </c>
      <c r="M660" s="1" t="str">
        <f>IF(Lima!$C660="","",TEXT(Lima!$C660,"mmm  yy"))</f>
        <v/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3">
      <c r="A661" s="1"/>
      <c r="B661" s="1"/>
      <c r="C661" s="2"/>
      <c r="D661" s="4"/>
      <c r="E661" s="1"/>
      <c r="F661" s="1"/>
      <c r="G661" s="1"/>
      <c r="H661" s="1"/>
      <c r="I661" s="1"/>
      <c r="J661" s="1"/>
      <c r="K661" s="1"/>
      <c r="L661" s="1" t="str">
        <f>IF(Lima!$D661="Precast",L632,IF(Lima!$D661="","",IF(Lima!$D661&lt;20000,"Khasab",IF(Lima!$D661&lt;50000, "Lima",IF(Lima!$D661&lt;72000,"Daba")))))</f>
        <v/>
      </c>
      <c r="M661" s="1" t="str">
        <f>IF(Lima!$C661="","",TEXT(Lima!$C661,"mmm  yy"))</f>
        <v/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3">
      <c r="A662" s="1"/>
      <c r="B662" s="1"/>
      <c r="C662" s="2"/>
      <c r="D662" s="4"/>
      <c r="E662" s="1"/>
      <c r="F662" s="1"/>
      <c r="G662" s="1"/>
      <c r="H662" s="1"/>
      <c r="I662" s="1"/>
      <c r="J662" s="1"/>
      <c r="K662" s="1"/>
      <c r="L662" s="1" t="str">
        <f>IF(Lima!$D662="Precast",L633,IF(Lima!$D662="","",IF(Lima!$D662&lt;20000,"Khasab",IF(Lima!$D662&lt;50000, "Lima",IF(Lima!$D662&lt;72000,"Daba")))))</f>
        <v/>
      </c>
      <c r="M662" s="1" t="str">
        <f>IF(Lima!$C662="","",TEXT(Lima!$C662,"mmm  yy"))</f>
        <v/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3">
      <c r="A663" s="1"/>
      <c r="B663" s="1"/>
      <c r="C663" s="2"/>
      <c r="D663" s="4"/>
      <c r="E663" s="1"/>
      <c r="F663" s="1"/>
      <c r="G663" s="1"/>
      <c r="H663" s="1"/>
      <c r="I663" s="1"/>
      <c r="J663" s="1"/>
      <c r="K663" s="1"/>
      <c r="L663" s="1" t="str">
        <f>IF(Lima!$D663="Precast",L634,IF(Lima!$D663="","",IF(Lima!$D663&lt;20000,"Khasab",IF(Lima!$D663&lt;50000, "Lima",IF(Lima!$D663&lt;72000,"Daba")))))</f>
        <v/>
      </c>
      <c r="M663" s="1" t="str">
        <f>IF(Lima!$C663="","",TEXT(Lima!$C663,"mmm  yy"))</f>
        <v/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3">
      <c r="A664" s="1"/>
      <c r="B664" s="1"/>
      <c r="C664" s="2"/>
      <c r="D664" s="4"/>
      <c r="E664" s="1"/>
      <c r="F664" s="1"/>
      <c r="G664" s="1"/>
      <c r="H664" s="1"/>
      <c r="I664" s="1"/>
      <c r="J664" s="1"/>
      <c r="K664" s="1"/>
      <c r="L664" s="1" t="str">
        <f>IF(Lima!$D664="Precast",L635,IF(Lima!$D664="","",IF(Lima!$D664&lt;20000,"Khasab",IF(Lima!$D664&lt;50000, "Lima",IF(Lima!$D664&lt;72000,"Daba")))))</f>
        <v/>
      </c>
      <c r="M664" s="1" t="str">
        <f>IF(Lima!$C664="","",TEXT(Lima!$C664,"mmm  yy"))</f>
        <v/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3">
      <c r="A665" s="1"/>
      <c r="B665" s="1"/>
      <c r="C665" s="2"/>
      <c r="D665" s="4"/>
      <c r="E665" s="1"/>
      <c r="F665" s="1"/>
      <c r="G665" s="1"/>
      <c r="H665" s="1"/>
      <c r="I665" s="1"/>
      <c r="J665" s="1"/>
      <c r="K665" s="1"/>
      <c r="L665" s="1" t="str">
        <f>IF(Lima!$D665="Precast",L636,IF(Lima!$D665="","",IF(Lima!$D665&lt;20000,"Khasab",IF(Lima!$D665&lt;50000, "Lima",IF(Lima!$D665&lt;72000,"Daba")))))</f>
        <v/>
      </c>
      <c r="M665" s="1" t="str">
        <f>IF(Lima!$C665="","",TEXT(Lima!$C665,"mmm  yy"))</f>
        <v/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3">
      <c r="A666" s="1"/>
      <c r="B666" s="1"/>
      <c r="C666" s="2"/>
      <c r="D666" s="4"/>
      <c r="E666" s="1"/>
      <c r="F666" s="1"/>
      <c r="G666" s="1"/>
      <c r="H666" s="1"/>
      <c r="I666" s="1"/>
      <c r="J666" s="1"/>
      <c r="K666" s="1"/>
      <c r="L666" s="1" t="str">
        <f>IF(Lima!$D666="Precast",L637,IF(Lima!$D666="","",IF(Lima!$D666&lt;20000,"Khasab",IF(Lima!$D666&lt;50000, "Lima",IF(Lima!$D666&lt;72000,"Daba")))))</f>
        <v/>
      </c>
      <c r="M666" s="1" t="str">
        <f>IF(Lima!$C666="","",TEXT(Lima!$C666,"mmm  yy"))</f>
        <v/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3">
      <c r="A667" s="1"/>
      <c r="B667" s="1"/>
      <c r="C667" s="2"/>
      <c r="D667" s="4"/>
      <c r="E667" s="1"/>
      <c r="F667" s="1"/>
      <c r="G667" s="1"/>
      <c r="H667" s="1"/>
      <c r="I667" s="1"/>
      <c r="J667" s="1"/>
      <c r="K667" s="1"/>
      <c r="L667" s="1" t="str">
        <f>IF(Lima!$D667="Precast",L638,IF(Lima!$D667="","",IF(Lima!$D667&lt;20000,"Khasab",IF(Lima!$D667&lt;50000, "Lima",IF(Lima!$D667&lt;72000,"Daba")))))</f>
        <v/>
      </c>
      <c r="M667" s="1" t="str">
        <f>IF(Lima!$C667="","",TEXT(Lima!$C667,"mmm  yy"))</f>
        <v/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3">
      <c r="A668" s="1"/>
      <c r="B668" s="1"/>
      <c r="C668" s="2"/>
      <c r="D668" s="4"/>
      <c r="E668" s="1"/>
      <c r="F668" s="1"/>
      <c r="G668" s="1"/>
      <c r="H668" s="1"/>
      <c r="I668" s="1"/>
      <c r="J668" s="1"/>
      <c r="K668" s="1"/>
      <c r="L668" s="1" t="str">
        <f>IF(Lima!$D668="Precast",L639,IF(Lima!$D668="","",IF(Lima!$D668&lt;20000,"Khasab",IF(Lima!$D668&lt;50000, "Lima",IF(Lima!$D668&lt;72000,"Daba")))))</f>
        <v/>
      </c>
      <c r="M668" s="1" t="str">
        <f>IF(Lima!$C668="","",TEXT(Lima!$C668,"mmm  yy"))</f>
        <v/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3">
      <c r="A669" s="1"/>
      <c r="B669" s="1"/>
      <c r="C669" s="2"/>
      <c r="D669" s="4"/>
      <c r="E669" s="1"/>
      <c r="F669" s="1"/>
      <c r="G669" s="1"/>
      <c r="H669" s="1"/>
      <c r="I669" s="1"/>
      <c r="J669" s="1"/>
      <c r="K669" s="1"/>
      <c r="L669" s="1" t="str">
        <f>IF(Lima!$D669="Precast",L640,IF(Lima!$D669="","",IF(Lima!$D669&lt;20000,"Khasab",IF(Lima!$D669&lt;50000, "Lima",IF(Lima!$D669&lt;72000,"Daba")))))</f>
        <v/>
      </c>
      <c r="M669" s="1" t="str">
        <f>IF(Lima!$C669="","",TEXT(Lima!$C669,"mmm  yy"))</f>
        <v/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3">
      <c r="A670" s="1"/>
      <c r="B670" s="1"/>
      <c r="C670" s="2"/>
      <c r="D670" s="4"/>
      <c r="E670" s="1"/>
      <c r="F670" s="1"/>
      <c r="G670" s="1"/>
      <c r="H670" s="1"/>
      <c r="I670" s="1"/>
      <c r="J670" s="1"/>
      <c r="K670" s="1"/>
      <c r="L670" s="1" t="str">
        <f>IF(Lima!$D670="Precast",L641,IF(Lima!$D670="","",IF(Lima!$D670&lt;20000,"Khasab",IF(Lima!$D670&lt;50000, "Lima",IF(Lima!$D670&lt;72000,"Daba")))))</f>
        <v/>
      </c>
      <c r="M670" s="1" t="str">
        <f>IF(Lima!$C670="","",TEXT(Lima!$C670,"mmm  yy"))</f>
        <v/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3">
      <c r="A671" s="1"/>
      <c r="B671" s="1"/>
      <c r="C671" s="2"/>
      <c r="D671" s="4"/>
      <c r="E671" s="1"/>
      <c r="F671" s="1"/>
      <c r="G671" s="1"/>
      <c r="H671" s="1"/>
      <c r="I671" s="1"/>
      <c r="J671" s="1"/>
      <c r="K671" s="1"/>
      <c r="L671" s="1" t="str">
        <f>IF(Lima!$D671="Precast",L642,IF(Lima!$D671="","",IF(Lima!$D671&lt;20000,"Khasab",IF(Lima!$D671&lt;50000, "Lima",IF(Lima!$D671&lt;72000,"Daba")))))</f>
        <v/>
      </c>
      <c r="M671" s="1" t="str">
        <f>IF(Lima!$C671="","",TEXT(Lima!$C671,"mmm  yy"))</f>
        <v/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3">
      <c r="A672" s="1"/>
      <c r="B672" s="1"/>
      <c r="C672" s="2"/>
      <c r="D672" s="4"/>
      <c r="E672" s="1"/>
      <c r="F672" s="1"/>
      <c r="G672" s="1"/>
      <c r="H672" s="1"/>
      <c r="I672" s="1"/>
      <c r="J672" s="1"/>
      <c r="K672" s="1"/>
      <c r="L672" s="1" t="str">
        <f>IF(Lima!$D672="Precast",L643,IF(Lima!$D672="","",IF(Lima!$D672&lt;20000,"Khasab",IF(Lima!$D672&lt;50000, "Lima",IF(Lima!$D672&lt;72000,"Daba")))))</f>
        <v/>
      </c>
      <c r="M672" s="1" t="str">
        <f>IF(Lima!$C672="","",TEXT(Lima!$C672,"mmm  yy"))</f>
        <v/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3">
      <c r="A673" s="1"/>
      <c r="B673" s="1"/>
      <c r="C673" s="2"/>
      <c r="D673" s="4"/>
      <c r="E673" s="1"/>
      <c r="F673" s="1"/>
      <c r="G673" s="1"/>
      <c r="H673" s="1"/>
      <c r="I673" s="1"/>
      <c r="J673" s="1"/>
      <c r="K673" s="1"/>
      <c r="L673" s="1" t="str">
        <f>IF(Lima!$D673="Precast",L644,IF(Lima!$D673="","",IF(Lima!$D673&lt;20000,"Khasab",IF(Lima!$D673&lt;50000, "Lima",IF(Lima!$D673&lt;72000,"Daba")))))</f>
        <v/>
      </c>
      <c r="M673" s="1" t="str">
        <f>IF(Lima!$C673="","",TEXT(Lima!$C673,"mmm  yy"))</f>
        <v/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3">
      <c r="A674" s="1"/>
      <c r="B674" s="1"/>
      <c r="C674" s="2"/>
      <c r="D674" s="4"/>
      <c r="E674" s="1"/>
      <c r="F674" s="1"/>
      <c r="G674" s="1"/>
      <c r="H674" s="1"/>
      <c r="I674" s="1"/>
      <c r="J674" s="1"/>
      <c r="K674" s="1"/>
      <c r="L674" s="1" t="str">
        <f>IF(Lima!$D674="Precast",L645,IF(Lima!$D674="","",IF(Lima!$D674&lt;20000,"Khasab",IF(Lima!$D674&lt;50000, "Lima",IF(Lima!$D674&lt;72000,"Daba")))))</f>
        <v/>
      </c>
      <c r="M674" s="1" t="str">
        <f>IF(Lima!$C674="","",TEXT(Lima!$C674,"mmm  yy"))</f>
        <v/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3">
      <c r="A675" s="1"/>
      <c r="B675" s="1"/>
      <c r="C675" s="2"/>
      <c r="D675" s="4"/>
      <c r="E675" s="1"/>
      <c r="F675" s="1"/>
      <c r="G675" s="1"/>
      <c r="H675" s="1"/>
      <c r="I675" s="1"/>
      <c r="J675" s="1"/>
      <c r="K675" s="1"/>
      <c r="L675" s="1" t="str">
        <f>IF(Lima!$D675="Precast",L646,IF(Lima!$D675="","",IF(Lima!$D675&lt;20000,"Khasab",IF(Lima!$D675&lt;50000, "Lima",IF(Lima!$D675&lt;72000,"Daba")))))</f>
        <v/>
      </c>
      <c r="M675" s="1" t="str">
        <f>IF(Lima!$C675="","",TEXT(Lima!$C675,"mmm  yy"))</f>
        <v/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3">
      <c r="A676" s="1"/>
      <c r="B676" s="1"/>
      <c r="C676" s="2"/>
      <c r="D676" s="4"/>
      <c r="E676" s="1"/>
      <c r="F676" s="1"/>
      <c r="G676" s="1"/>
      <c r="H676" s="1"/>
      <c r="I676" s="1"/>
      <c r="J676" s="1"/>
      <c r="K676" s="1"/>
      <c r="L676" s="1" t="str">
        <f>IF(Lima!$D676="Precast",L647,IF(Lima!$D676="","",IF(Lima!$D676&lt;20000,"Khasab",IF(Lima!$D676&lt;50000, "Lima",IF(Lima!$D676&lt;72000,"Daba")))))</f>
        <v/>
      </c>
      <c r="M676" s="1" t="str">
        <f>IF(Lima!$C676="","",TEXT(Lima!$C676,"mmm  yy"))</f>
        <v/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3">
      <c r="A677" s="1"/>
      <c r="B677" s="1"/>
      <c r="C677" s="2"/>
      <c r="D677" s="4"/>
      <c r="E677" s="1"/>
      <c r="F677" s="1"/>
      <c r="G677" s="1"/>
      <c r="H677" s="1"/>
      <c r="I677" s="1"/>
      <c r="J677" s="1"/>
      <c r="K677" s="1"/>
      <c r="L677" s="1" t="str">
        <f>IF(Lima!$D677="Precast",L648,IF(Lima!$D677="","",IF(Lima!$D677&lt;20000,"Khasab",IF(Lima!$D677&lt;50000, "Lima",IF(Lima!$D677&lt;72000,"Daba")))))</f>
        <v/>
      </c>
      <c r="M677" s="1" t="str">
        <f>IF(Lima!$C677="","",TEXT(Lima!$C677,"mmm  yy"))</f>
        <v/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3">
      <c r="A678" s="1"/>
      <c r="B678" s="1"/>
      <c r="C678" s="2"/>
      <c r="D678" s="4"/>
      <c r="E678" s="1"/>
      <c r="F678" s="1"/>
      <c r="G678" s="1"/>
      <c r="H678" s="1"/>
      <c r="I678" s="1"/>
      <c r="J678" s="1"/>
      <c r="K678" s="1"/>
      <c r="L678" s="1" t="str">
        <f>IF(Lima!$D678="Precast",L649,IF(Lima!$D678="","",IF(Lima!$D678&lt;20000,"Khasab",IF(Lima!$D678&lt;50000, "Lima",IF(Lima!$D678&lt;72000,"Daba")))))</f>
        <v/>
      </c>
      <c r="M678" s="1" t="str">
        <f>IF(Lima!$C678="","",TEXT(Lima!$C678,"mmm  yy"))</f>
        <v/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3">
      <c r="A679" s="1"/>
      <c r="B679" s="1"/>
      <c r="C679" s="2"/>
      <c r="D679" s="4"/>
      <c r="E679" s="1"/>
      <c r="F679" s="1"/>
      <c r="G679" s="1"/>
      <c r="H679" s="1"/>
      <c r="I679" s="1"/>
      <c r="J679" s="1"/>
      <c r="K679" s="1"/>
      <c r="L679" s="1" t="str">
        <f>IF(Lima!$D679="Precast",L650,IF(Lima!$D679="","",IF(Lima!$D679&lt;20000,"Khasab",IF(Lima!$D679&lt;50000, "Lima",IF(Lima!$D679&lt;72000,"Daba")))))</f>
        <v/>
      </c>
      <c r="M679" s="1" t="str">
        <f>IF(Lima!$C679="","",TEXT(Lima!$C679,"mmm  yy"))</f>
        <v/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3">
      <c r="A680" s="1"/>
      <c r="B680" s="1"/>
      <c r="C680" s="2"/>
      <c r="D680" s="4"/>
      <c r="E680" s="1"/>
      <c r="F680" s="1"/>
      <c r="G680" s="1"/>
      <c r="H680" s="1"/>
      <c r="I680" s="1"/>
      <c r="J680" s="1"/>
      <c r="K680" s="1"/>
      <c r="L680" s="1" t="str">
        <f>IF(Lima!$D680="Precast",L651,IF(Lima!$D680="","",IF(Lima!$D680&lt;20000,"Khasab",IF(Lima!$D680&lt;50000, "Lima",IF(Lima!$D680&lt;72000,"Daba")))))</f>
        <v/>
      </c>
      <c r="M680" s="1" t="str">
        <f>IF(Lima!$C680="","",TEXT(Lima!$C680,"mmm  yy"))</f>
        <v/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3">
      <c r="A681" s="1"/>
      <c r="B681" s="1"/>
      <c r="C681" s="2"/>
      <c r="D681" s="4"/>
      <c r="E681" s="1"/>
      <c r="F681" s="1"/>
      <c r="G681" s="1"/>
      <c r="H681" s="1"/>
      <c r="I681" s="1"/>
      <c r="J681" s="1"/>
      <c r="K681" s="1"/>
      <c r="L681" s="1" t="str">
        <f>IF(Lima!$D681="Precast",L652,IF(Lima!$D681="","",IF(Lima!$D681&lt;20000,"Khasab",IF(Lima!$D681&lt;50000, "Lima",IF(Lima!$D681&lt;72000,"Daba")))))</f>
        <v/>
      </c>
      <c r="M681" s="1" t="str">
        <f>IF(Lima!$C681="","",TEXT(Lima!$C681,"mmm  yy"))</f>
        <v/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3">
      <c r="A682" s="1"/>
      <c r="B682" s="1"/>
      <c r="C682" s="2"/>
      <c r="D682" s="4"/>
      <c r="E682" s="1"/>
      <c r="F682" s="1"/>
      <c r="G682" s="1"/>
      <c r="H682" s="1"/>
      <c r="I682" s="1"/>
      <c r="J682" s="1"/>
      <c r="K682" s="1"/>
      <c r="L682" s="1" t="str">
        <f>IF(Lima!$D682="Precast",L653,IF(Lima!$D682="","",IF(Lima!$D682&lt;20000,"Khasab",IF(Lima!$D682&lt;50000, "Lima",IF(Lima!$D682&lt;72000,"Daba")))))</f>
        <v/>
      </c>
      <c r="M682" s="1" t="str">
        <f>IF(Lima!$C682="","",TEXT(Lima!$C682,"mmm  yy"))</f>
        <v/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3">
      <c r="A683" s="1"/>
      <c r="B683" s="1"/>
      <c r="C683" s="2"/>
      <c r="D683" s="4"/>
      <c r="E683" s="1"/>
      <c r="F683" s="1"/>
      <c r="G683" s="1"/>
      <c r="H683" s="1"/>
      <c r="I683" s="1"/>
      <c r="J683" s="1"/>
      <c r="K683" s="1"/>
      <c r="L683" s="1" t="str">
        <f>IF(Lima!$D683="Precast",L654,IF(Lima!$D683="","",IF(Lima!$D683&lt;20000,"Khasab",IF(Lima!$D683&lt;50000, "Lima",IF(Lima!$D683&lt;72000,"Daba")))))</f>
        <v/>
      </c>
      <c r="M683" s="1" t="str">
        <f>IF(Lima!$C683="","",TEXT(Lima!$C683,"mmm  yy"))</f>
        <v/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3">
      <c r="A684" s="1"/>
      <c r="B684" s="1"/>
      <c r="C684" s="2"/>
      <c r="D684" s="4"/>
      <c r="E684" s="1"/>
      <c r="F684" s="1"/>
      <c r="G684" s="1"/>
      <c r="H684" s="1"/>
      <c r="I684" s="1"/>
      <c r="J684" s="1"/>
      <c r="K684" s="1"/>
      <c r="L684" s="1" t="str">
        <f>IF(Lima!$D684="Precast",L655,IF(Lima!$D684="","",IF(Lima!$D684&lt;20000,"Khasab",IF(Lima!$D684&lt;50000, "Lima",IF(Lima!$D684&lt;72000,"Daba")))))</f>
        <v/>
      </c>
      <c r="M684" s="1" t="str">
        <f>IF(Lima!$C684="","",TEXT(Lima!$C684,"mmm  yy"))</f>
        <v/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3">
      <c r="A685" s="1"/>
      <c r="B685" s="1"/>
      <c r="C685" s="2"/>
      <c r="D685" s="4"/>
      <c r="E685" s="1"/>
      <c r="F685" s="1"/>
      <c r="G685" s="1"/>
      <c r="H685" s="1"/>
      <c r="I685" s="1"/>
      <c r="J685" s="1"/>
      <c r="K685" s="1"/>
      <c r="L685" s="1" t="str">
        <f>IF(Lima!$D685="Precast",L656,IF(Lima!$D685="","",IF(Lima!$D685&lt;20000,"Khasab",IF(Lima!$D685&lt;50000, "Lima",IF(Lima!$D685&lt;72000,"Daba")))))</f>
        <v/>
      </c>
      <c r="M685" s="1" t="str">
        <f>IF(Lima!$C685="","",TEXT(Lima!$C685,"mmm  yy"))</f>
        <v/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3">
      <c r="A686" s="1"/>
      <c r="B686" s="1"/>
      <c r="C686" s="2"/>
      <c r="D686" s="4"/>
      <c r="E686" s="1"/>
      <c r="F686" s="1"/>
      <c r="G686" s="1"/>
      <c r="H686" s="1"/>
      <c r="I686" s="1"/>
      <c r="J686" s="1"/>
      <c r="K686" s="1"/>
      <c r="L686" s="1" t="str">
        <f>IF(Lima!$D686="Precast",L657,IF(Lima!$D686="","",IF(Lima!$D686&lt;20000,"Khasab",IF(Lima!$D686&lt;50000, "Lima",IF(Lima!$D686&lt;72000,"Daba")))))</f>
        <v/>
      </c>
      <c r="M686" s="1" t="str">
        <f>IF(Lima!$C686="","",TEXT(Lima!$C686,"mmm  yy"))</f>
        <v/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3">
      <c r="A687" s="1"/>
      <c r="B687" s="1"/>
      <c r="C687" s="2"/>
      <c r="D687" s="4"/>
      <c r="E687" s="1"/>
      <c r="F687" s="1"/>
      <c r="G687" s="1"/>
      <c r="H687" s="1"/>
      <c r="I687" s="1"/>
      <c r="J687" s="1"/>
      <c r="K687" s="1"/>
      <c r="L687" s="1" t="str">
        <f>IF(Lima!$D687="Precast",L658,IF(Lima!$D687="","",IF(Lima!$D687&lt;20000,"Khasab",IF(Lima!$D687&lt;50000, "Lima",IF(Lima!$D687&lt;72000,"Daba")))))</f>
        <v/>
      </c>
      <c r="M687" s="1" t="str">
        <f>IF(Lima!$C687="","",TEXT(Lima!$C687,"mmm  yy"))</f>
        <v/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3">
      <c r="A688" s="1"/>
      <c r="B688" s="1"/>
      <c r="C688" s="2"/>
      <c r="D688" s="4"/>
      <c r="E688" s="1"/>
      <c r="F688" s="1"/>
      <c r="G688" s="1"/>
      <c r="H688" s="1"/>
      <c r="I688" s="1"/>
      <c r="J688" s="1"/>
      <c r="K688" s="1"/>
      <c r="L688" s="1" t="str">
        <f>IF(Lima!$D688="Precast",L659,IF(Lima!$D688="","",IF(Lima!$D688&lt;20000,"Khasab",IF(Lima!$D688&lt;50000, "Lima",IF(Lima!$D688&lt;72000,"Daba")))))</f>
        <v/>
      </c>
      <c r="M688" s="1" t="str">
        <f>IF(Lima!$C688="","",TEXT(Lima!$C688,"mmm  yy"))</f>
        <v/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3">
      <c r="A689" s="1"/>
      <c r="B689" s="1"/>
      <c r="C689" s="2"/>
      <c r="D689" s="4"/>
      <c r="E689" s="1"/>
      <c r="F689" s="1"/>
      <c r="G689" s="1"/>
      <c r="H689" s="1"/>
      <c r="I689" s="1"/>
      <c r="J689" s="1"/>
      <c r="K689" s="1"/>
      <c r="L689" s="1" t="str">
        <f>IF(Lima!$D689="Precast",L660,IF(Lima!$D689="","",IF(Lima!$D689&lt;20000,"Khasab",IF(Lima!$D689&lt;50000, "Lima",IF(Lima!$D689&lt;72000,"Daba")))))</f>
        <v/>
      </c>
      <c r="M689" s="1" t="str">
        <f>IF(Lima!$C689="","",TEXT(Lima!$C689,"mmm  yy"))</f>
        <v/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3">
      <c r="A690" s="1"/>
      <c r="B690" s="1"/>
      <c r="C690" s="2"/>
      <c r="D690" s="4"/>
      <c r="E690" s="1"/>
      <c r="F690" s="1"/>
      <c r="G690" s="1"/>
      <c r="H690" s="1"/>
      <c r="I690" s="1"/>
      <c r="J690" s="1"/>
      <c r="K690" s="1"/>
      <c r="L690" s="1" t="str">
        <f>IF(Lima!$D690="Precast",L661,IF(Lima!$D690="","",IF(Lima!$D690&lt;20000,"Khasab",IF(Lima!$D690&lt;50000, "Lima",IF(Lima!$D690&lt;72000,"Daba")))))</f>
        <v/>
      </c>
      <c r="M690" s="1" t="str">
        <f>IF(Lima!$C690="","",TEXT(Lima!$C690,"mmm  yy"))</f>
        <v/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3">
      <c r="A691" s="1"/>
      <c r="B691" s="1"/>
      <c r="C691" s="2"/>
      <c r="D691" s="4"/>
      <c r="E691" s="1"/>
      <c r="F691" s="1"/>
      <c r="G691" s="1"/>
      <c r="H691" s="1"/>
      <c r="I691" s="1"/>
      <c r="J691" s="1"/>
      <c r="K691" s="1"/>
      <c r="L691" s="1" t="str">
        <f>IF(Lima!$D691="Precast",L662,IF(Lima!$D691="","",IF(Lima!$D691&lt;20000,"Khasab",IF(Lima!$D691&lt;50000, "Lima",IF(Lima!$D691&lt;72000,"Daba")))))</f>
        <v/>
      </c>
      <c r="M691" s="1" t="str">
        <f>IF(Lima!$C691="","",TEXT(Lima!$C691,"mmm  yy"))</f>
        <v/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3">
      <c r="A692" s="1"/>
      <c r="B692" s="1"/>
      <c r="C692" s="2"/>
      <c r="D692" s="4"/>
      <c r="E692" s="1"/>
      <c r="F692" s="1"/>
      <c r="G692" s="1"/>
      <c r="H692" s="1"/>
      <c r="I692" s="1"/>
      <c r="J692" s="1"/>
      <c r="K692" s="1"/>
      <c r="L692" s="1" t="str">
        <f>IF(Lima!$D692="Precast",L663,IF(Lima!$D692="","",IF(Lima!$D692&lt;20000,"Khasab",IF(Lima!$D692&lt;50000, "Lima",IF(Lima!$D692&lt;72000,"Daba")))))</f>
        <v/>
      </c>
      <c r="M692" s="1" t="str">
        <f>IF(Lima!$C692="","",TEXT(Lima!$C692,"mmm  yy"))</f>
        <v/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3">
      <c r="A693" s="1"/>
      <c r="B693" s="1"/>
      <c r="C693" s="2"/>
      <c r="D693" s="4"/>
      <c r="E693" s="1"/>
      <c r="F693" s="1"/>
      <c r="G693" s="1"/>
      <c r="H693" s="1"/>
      <c r="I693" s="1"/>
      <c r="J693" s="1"/>
      <c r="K693" s="1"/>
      <c r="L693" s="1" t="str">
        <f>IF(Lima!$D693="Precast",L664,IF(Lima!$D693="","",IF(Lima!$D693&lt;20000,"Khasab",IF(Lima!$D693&lt;50000, "Lima",IF(Lima!$D693&lt;72000,"Daba")))))</f>
        <v/>
      </c>
      <c r="M693" s="1" t="str">
        <f>IF(Lima!$C693="","",TEXT(Lima!$C693,"mmm  yy"))</f>
        <v/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3">
      <c r="A694" s="1"/>
      <c r="B694" s="1"/>
      <c r="C694" s="2"/>
      <c r="D694" s="4"/>
      <c r="E694" s="1"/>
      <c r="F694" s="1"/>
      <c r="G694" s="1"/>
      <c r="H694" s="1"/>
      <c r="I694" s="1"/>
      <c r="J694" s="1"/>
      <c r="K694" s="1"/>
      <c r="L694" s="1" t="str">
        <f>IF(Lima!$D694="Precast",L665,IF(Lima!$D694="","",IF(Lima!$D694&lt;20000,"Khasab",IF(Lima!$D694&lt;50000, "Lima",IF(Lima!$D694&lt;72000,"Daba")))))</f>
        <v/>
      </c>
      <c r="M694" s="1" t="str">
        <f>IF(Lima!$C694="","",TEXT(Lima!$C694,"mmm  yy"))</f>
        <v/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3">
      <c r="A695" s="1"/>
      <c r="B695" s="1"/>
      <c r="C695" s="2"/>
      <c r="D695" s="4"/>
      <c r="E695" s="1"/>
      <c r="F695" s="1"/>
      <c r="G695" s="1"/>
      <c r="H695" s="1"/>
      <c r="I695" s="1"/>
      <c r="J695" s="1"/>
      <c r="K695" s="1"/>
      <c r="L695" s="1" t="str">
        <f>IF(Lima!$D695="Precast",L666,IF(Lima!$D695="","",IF(Lima!$D695&lt;20000,"Khasab",IF(Lima!$D695&lt;50000, "Lima",IF(Lima!$D695&lt;72000,"Daba")))))</f>
        <v/>
      </c>
      <c r="M695" s="1" t="str">
        <f>IF(Lima!$C695="","",TEXT(Lima!$C695,"mmm  yy"))</f>
        <v/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3">
      <c r="A696" s="1"/>
      <c r="B696" s="1"/>
      <c r="C696" s="2"/>
      <c r="D696" s="4"/>
      <c r="E696" s="1"/>
      <c r="F696" s="1"/>
      <c r="G696" s="1"/>
      <c r="H696" s="1"/>
      <c r="I696" s="1"/>
      <c r="J696" s="1"/>
      <c r="K696" s="1"/>
      <c r="L696" s="1" t="str">
        <f>IF(Lima!$D696="Precast",L667,IF(Lima!$D696="","",IF(Lima!$D696&lt;20000,"Khasab",IF(Lima!$D696&lt;50000, "Lima",IF(Lima!$D696&lt;72000,"Daba")))))</f>
        <v/>
      </c>
      <c r="M696" s="1" t="str">
        <f>IF(Lima!$C696="","",TEXT(Lima!$C696,"mmm  yy"))</f>
        <v/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3">
      <c r="A697" s="1"/>
      <c r="B697" s="1"/>
      <c r="C697" s="2"/>
      <c r="D697" s="4"/>
      <c r="E697" s="1"/>
      <c r="F697" s="1"/>
      <c r="G697" s="1"/>
      <c r="H697" s="1"/>
      <c r="I697" s="1"/>
      <c r="J697" s="1"/>
      <c r="K697" s="1"/>
      <c r="L697" s="1" t="str">
        <f>IF(Lima!$D697="Precast",L668,IF(Lima!$D697="","",IF(Lima!$D697&lt;20000,"Khasab",IF(Lima!$D697&lt;50000, "Lima",IF(Lima!$D697&lt;72000,"Daba")))))</f>
        <v/>
      </c>
      <c r="M697" s="1" t="str">
        <f>IF(Lima!$C697="","",TEXT(Lima!$C697,"mmm  yy"))</f>
        <v/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3">
      <c r="A698" s="1"/>
      <c r="B698" s="1"/>
      <c r="C698" s="2"/>
      <c r="D698" s="4"/>
      <c r="E698" s="1"/>
      <c r="F698" s="1"/>
      <c r="G698" s="1"/>
      <c r="H698" s="1"/>
      <c r="I698" s="1"/>
      <c r="J698" s="1"/>
      <c r="K698" s="1"/>
      <c r="L698" s="1" t="str">
        <f>IF(Lima!$D698="Precast",L669,IF(Lima!$D698="","",IF(Lima!$D698&lt;20000,"Khasab",IF(Lima!$D698&lt;50000, "Lima",IF(Lima!$D698&lt;72000,"Daba")))))</f>
        <v/>
      </c>
      <c r="M698" s="1" t="str">
        <f>IF(Lima!$C698="","",TEXT(Lima!$C698,"mmm  yy"))</f>
        <v/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3">
      <c r="A699" s="1"/>
      <c r="B699" s="1"/>
      <c r="C699" s="2"/>
      <c r="D699" s="4"/>
      <c r="E699" s="1"/>
      <c r="F699" s="1"/>
      <c r="G699" s="1"/>
      <c r="H699" s="1"/>
      <c r="I699" s="1"/>
      <c r="J699" s="1"/>
      <c r="K699" s="1"/>
      <c r="L699" s="1" t="str">
        <f>IF(Lima!$D699="Precast",L670,IF(Lima!$D699="","",IF(Lima!$D699&lt;20000,"Khasab",IF(Lima!$D699&lt;50000, "Lima",IF(Lima!$D699&lt;72000,"Daba")))))</f>
        <v/>
      </c>
      <c r="M699" s="1" t="str">
        <f>IF(Lima!$C699="","",TEXT(Lima!$C699,"mmm  yy"))</f>
        <v/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3">
      <c r="A700" s="1"/>
      <c r="B700" s="1"/>
      <c r="C700" s="2"/>
      <c r="D700" s="4"/>
      <c r="E700" s="1"/>
      <c r="F700" s="1"/>
      <c r="G700" s="1"/>
      <c r="H700" s="1"/>
      <c r="I700" s="1"/>
      <c r="J700" s="1"/>
      <c r="K700" s="1"/>
      <c r="L700" s="1" t="str">
        <f>IF(Lima!$D700="Precast",L671,IF(Lima!$D700="","",IF(Lima!$D700&lt;20000,"Khasab",IF(Lima!$D700&lt;50000, "Lima",IF(Lima!$D700&lt;72000,"Daba")))))</f>
        <v/>
      </c>
      <c r="M700" s="1" t="str">
        <f>IF(Lima!$C700="","",TEXT(Lima!$C700,"mmm  yy"))</f>
        <v/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3">
      <c r="A701" s="1"/>
      <c r="B701" s="1"/>
      <c r="C701" s="2"/>
      <c r="D701" s="4"/>
      <c r="E701" s="1"/>
      <c r="F701" s="1"/>
      <c r="G701" s="1"/>
      <c r="H701" s="1"/>
      <c r="I701" s="1"/>
      <c r="J701" s="1"/>
      <c r="K701" s="1"/>
      <c r="L701" s="1" t="str">
        <f>IF(Lima!$D701="Precast",L672,IF(Lima!$D701="","",IF(Lima!$D701&lt;20000,"Khasab",IF(Lima!$D701&lt;50000, "Lima",IF(Lima!$D701&lt;72000,"Daba")))))</f>
        <v/>
      </c>
      <c r="M701" s="1" t="str">
        <f>IF(Lima!$C701="","",TEXT(Lima!$C701,"mmm  yy"))</f>
        <v/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3">
      <c r="A702" s="1"/>
      <c r="B702" s="1"/>
      <c r="C702" s="2"/>
      <c r="D702" s="4"/>
      <c r="E702" s="1"/>
      <c r="F702" s="1"/>
      <c r="G702" s="1"/>
      <c r="H702" s="1"/>
      <c r="I702" s="1"/>
      <c r="J702" s="1"/>
      <c r="K702" s="1"/>
      <c r="L702" s="1" t="str">
        <f>IF(Lima!$D702="Precast",L673,IF(Lima!$D702="","",IF(Lima!$D702&lt;20000,"Khasab",IF(Lima!$D702&lt;50000, "Lima",IF(Lima!$D702&lt;72000,"Daba")))))</f>
        <v/>
      </c>
      <c r="M702" s="1" t="str">
        <f>IF(Lima!$C702="","",TEXT(Lima!$C702,"mmm  yy"))</f>
        <v/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3">
      <c r="A703" s="1"/>
      <c r="B703" s="1"/>
      <c r="C703" s="2"/>
      <c r="D703" s="4"/>
      <c r="E703" s="1"/>
      <c r="F703" s="1"/>
      <c r="G703" s="1"/>
      <c r="H703" s="1"/>
      <c r="I703" s="1"/>
      <c r="J703" s="1"/>
      <c r="K703" s="1"/>
      <c r="L703" s="1" t="str">
        <f>IF(Lima!$D703="Precast",L674,IF(Lima!$D703="","",IF(Lima!$D703&lt;20000,"Khasab",IF(Lima!$D703&lt;50000, "Lima",IF(Lima!$D703&lt;72000,"Daba")))))</f>
        <v/>
      </c>
      <c r="M703" s="1" t="str">
        <f>IF(Lima!$C703="","",TEXT(Lima!$C703,"mmm  yy"))</f>
        <v/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3">
      <c r="A704" s="1"/>
      <c r="B704" s="1"/>
      <c r="C704" s="2"/>
      <c r="D704" s="4"/>
      <c r="E704" s="1"/>
      <c r="F704" s="1"/>
      <c r="G704" s="1"/>
      <c r="H704" s="1"/>
      <c r="I704" s="1"/>
      <c r="J704" s="1"/>
      <c r="K704" s="1"/>
      <c r="L704" s="1" t="str">
        <f>IF(Lima!$D704="Precast",L675,IF(Lima!$D704="","",IF(Lima!$D704&lt;20000,"Khasab",IF(Lima!$D704&lt;50000, "Lima",IF(Lima!$D704&lt;72000,"Daba")))))</f>
        <v/>
      </c>
      <c r="M704" s="1" t="str">
        <f>IF(Lima!$C704="","",TEXT(Lima!$C704,"mmm  yy"))</f>
        <v/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3:13" ht="15" customHeight="1" x14ac:dyDescent="0.3">
      <c r="C705" s="2"/>
      <c r="D705" s="4"/>
      <c r="L705" s="1" t="str">
        <f>IF(Lima!$D705="Precast",L676,IF(Lima!$D705="","",IF(Lima!$D705&lt;20000,"Khasab",IF(Lima!$D705&lt;50000, "Lima",IF(Lima!$D705&lt;72000,"Daba")))))</f>
        <v/>
      </c>
      <c r="M705" s="1" t="str">
        <f>IF(Lima!$C705="","",TEXT(Lima!$C705,"mmm  yy"))</f>
        <v/>
      </c>
    </row>
    <row r="706" spans="3:13" ht="15" customHeight="1" x14ac:dyDescent="0.3">
      <c r="C706" s="2"/>
      <c r="D706" s="4"/>
      <c r="L706" s="1" t="str">
        <f>IF(Lima!$D706="Precast",L677,IF(Lima!$D706="","",IF(Lima!$D706&lt;20000,"Khasab",IF(Lima!$D706&lt;50000, "Lima",IF(Lima!$D706&lt;72000,"Daba")))))</f>
        <v/>
      </c>
      <c r="M706" s="1" t="str">
        <f>IF(Lima!$C706="","",TEXT(Lima!$C706,"mmm  yy"))</f>
        <v/>
      </c>
    </row>
    <row r="707" spans="3:13" ht="15" customHeight="1" x14ac:dyDescent="0.3">
      <c r="C707" s="2"/>
      <c r="D707" s="4"/>
      <c r="L707" s="1" t="str">
        <f>IF(Lima!$D707="Precast",L678,IF(Lima!$D707="","",IF(Lima!$D707&lt;20000,"Khasab",IF(Lima!$D707&lt;50000, "Lima",IF(Lima!$D707&lt;72000,"Daba")))))</f>
        <v/>
      </c>
      <c r="M707" s="1" t="str">
        <f>IF(Lima!$C707="","",TEXT(Lima!$C707,"mmm  yy"))</f>
        <v/>
      </c>
    </row>
    <row r="708" spans="3:13" ht="15" customHeight="1" x14ac:dyDescent="0.3">
      <c r="C708" s="2"/>
      <c r="D708" s="4"/>
      <c r="L708" s="1" t="str">
        <f>IF(Lima!$D708="Precast",L679,IF(Lima!$D708="","",IF(Lima!$D708&lt;20000,"Khasab",IF(Lima!$D708&lt;50000, "Lima",IF(Lima!$D708&lt;72000,"Daba")))))</f>
        <v/>
      </c>
      <c r="M708" s="1" t="str">
        <f>IF(Lima!$C708="","",TEXT(Lima!$C708,"mmm  yy"))</f>
        <v/>
      </c>
    </row>
    <row r="709" spans="3:13" ht="15" customHeight="1" x14ac:dyDescent="0.3">
      <c r="C709" s="2"/>
      <c r="D709" s="4"/>
      <c r="L709" s="1" t="str">
        <f>IF(Lima!$D709="Precast",L680,IF(Lima!$D709="","",IF(Lima!$D709&lt;20000,"Khasab",IF(Lima!$D709&lt;50000, "Lima",IF(Lima!$D709&lt;72000,"Daba")))))</f>
        <v/>
      </c>
      <c r="M709" s="1" t="str">
        <f>IF(Lima!$C709="","",TEXT(Lima!$C709,"mmm  yy"))</f>
        <v/>
      </c>
    </row>
    <row r="710" spans="3:13" ht="15" customHeight="1" x14ac:dyDescent="0.3">
      <c r="C710" s="2"/>
      <c r="D710" s="4"/>
      <c r="L710" s="1" t="str">
        <f>IF(Lima!$D710="Precast",L681,IF(Lima!$D710="","",IF(Lima!$D710&lt;20000,"Khasab",IF(Lima!$D710&lt;50000, "Lima",IF(Lima!$D710&lt;72000,"Daba")))))</f>
        <v/>
      </c>
      <c r="M710" s="1" t="str">
        <f>IF(Lima!$C710="","",TEXT(Lima!$C710,"mmm  yy"))</f>
        <v/>
      </c>
    </row>
    <row r="711" spans="3:13" ht="15" customHeight="1" x14ac:dyDescent="0.3">
      <c r="C711" s="2"/>
      <c r="D711" s="4"/>
      <c r="L711" s="1" t="str">
        <f>IF(Lima!$D711="Precast",L682,IF(Lima!$D711="","",IF(Lima!$D711&lt;20000,"Khasab",IF(Lima!$D711&lt;50000, "Lima",IF(Lima!$D711&lt;72000,"Daba")))))</f>
        <v/>
      </c>
      <c r="M711" s="1" t="str">
        <f>IF(Lima!$C711="","",TEXT(Lima!$C711,"mmm  yy"))</f>
        <v/>
      </c>
    </row>
    <row r="712" spans="3:13" ht="15" customHeight="1" x14ac:dyDescent="0.3">
      <c r="C712" s="2"/>
      <c r="D712" s="4"/>
      <c r="L712" s="1" t="str">
        <f>IF(Lima!$D712="Precast",L683,IF(Lima!$D712="","",IF(Lima!$D712&lt;20000,"Khasab",IF(Lima!$D712&lt;50000, "Lima",IF(Lima!$D712&lt;72000,"Daba")))))</f>
        <v/>
      </c>
      <c r="M712" s="1" t="str">
        <f>IF(Lima!$C712="","",TEXT(Lima!$C712,"mmm  yy"))</f>
        <v/>
      </c>
    </row>
    <row r="713" spans="3:13" ht="15" customHeight="1" x14ac:dyDescent="0.3">
      <c r="C713" s="2"/>
      <c r="D713" s="4"/>
      <c r="L713" s="1" t="str">
        <f>IF(Lima!$D713="Precast",L684,IF(Lima!$D713="","",IF(Lima!$D713&lt;20000,"Khasab",IF(Lima!$D713&lt;50000, "Lima",IF(Lima!$D713&lt;72000,"Daba")))))</f>
        <v/>
      </c>
      <c r="M713" s="1" t="str">
        <f>IF(Lima!$C713="","",TEXT(Lima!$C713,"mmm  yy"))</f>
        <v/>
      </c>
    </row>
    <row r="714" spans="3:13" ht="15" customHeight="1" x14ac:dyDescent="0.3">
      <c r="C714" s="2"/>
      <c r="D714" s="4"/>
      <c r="L714" s="1" t="str">
        <f>IF(Lima!$D714="Precast",L685,IF(Lima!$D714="","",IF(Lima!$D714&lt;20000,"Khasab",IF(Lima!$D714&lt;50000, "Lima",IF(Lima!$D714&lt;72000,"Daba")))))</f>
        <v/>
      </c>
      <c r="M714" s="1" t="str">
        <f>IF(Lima!$C714="","",TEXT(Lima!$C714,"mmm  yy"))</f>
        <v/>
      </c>
    </row>
    <row r="715" spans="3:13" ht="15" customHeight="1" x14ac:dyDescent="0.3">
      <c r="C715" s="2"/>
      <c r="D715" s="4"/>
      <c r="L715" s="1" t="str">
        <f>IF(Lima!$D715="Precast",L686,IF(Lima!$D715="","",IF(Lima!$D715&lt;20000,"Khasab",IF(Lima!$D715&lt;50000, "Lima",IF(Lima!$D715&lt;72000,"Daba")))))</f>
        <v/>
      </c>
      <c r="M715" s="1" t="str">
        <f>IF(Lima!$C715="","",TEXT(Lima!$C715,"mmm  yy"))</f>
        <v/>
      </c>
    </row>
    <row r="716" spans="3:13" ht="15" customHeight="1" x14ac:dyDescent="0.3">
      <c r="C716" s="2"/>
      <c r="D716" s="4"/>
      <c r="L716" s="1" t="str">
        <f>IF(Lima!$D716="Precast",L687,IF(Lima!$D716="","",IF(Lima!$D716&lt;20000,"Khasab",IF(Lima!$D716&lt;50000, "Lima",IF(Lima!$D716&lt;72000,"Daba")))))</f>
        <v/>
      </c>
      <c r="M716" s="1" t="str">
        <f>IF(Lima!$C716="","",TEXT(Lima!$C716,"mmm  yy"))</f>
        <v/>
      </c>
    </row>
    <row r="717" spans="3:13" ht="15" customHeight="1" x14ac:dyDescent="0.3">
      <c r="C717" s="2"/>
      <c r="D717" s="4"/>
      <c r="L717" s="1" t="str">
        <f>IF(Lima!$D717="Precast",L688,IF(Lima!$D717="","",IF(Lima!$D717&lt;20000,"Khasab",IF(Lima!$D717&lt;50000, "Lima",IF(Lima!$D717&lt;72000,"Daba")))))</f>
        <v/>
      </c>
      <c r="M717" s="1" t="str">
        <f>IF(Lima!$C717="","",TEXT(Lima!$C717,"mmm  yy"))</f>
        <v/>
      </c>
    </row>
    <row r="718" spans="3:13" ht="15" customHeight="1" x14ac:dyDescent="0.3">
      <c r="C718" s="2"/>
      <c r="D718" s="4"/>
      <c r="L718" s="1" t="str">
        <f>IF(Lima!$D718="Precast",L689,IF(Lima!$D718="","",IF(Lima!$D718&lt;20000,"Khasab",IF(Lima!$D718&lt;50000, "Lima",IF(Lima!$D718&lt;72000,"Daba")))))</f>
        <v/>
      </c>
      <c r="M718" s="1" t="str">
        <f>IF(Lima!$C718="","",TEXT(Lima!$C718,"mmm  yy"))</f>
        <v/>
      </c>
    </row>
    <row r="719" spans="3:13" ht="15" customHeight="1" x14ac:dyDescent="0.3">
      <c r="C719" s="2"/>
      <c r="D719" s="4"/>
      <c r="L719" s="1" t="str">
        <f>IF(Lima!$D719="Precast",L690,IF(Lima!$D719="","",IF(Lima!$D719&lt;20000,"Khasab",IF(Lima!$D719&lt;50000, "Lima",IF(Lima!$D719&lt;72000,"Daba")))))</f>
        <v/>
      </c>
      <c r="M719" s="1" t="str">
        <f>IF(Lima!$C719="","",TEXT(Lima!$C719,"mmm  yy"))</f>
        <v/>
      </c>
    </row>
    <row r="720" spans="3:13" ht="15" customHeight="1" x14ac:dyDescent="0.3">
      <c r="C720" s="2"/>
      <c r="D720" s="4"/>
      <c r="L720" s="1" t="str">
        <f>IF(Lima!$D720="Precast",L691,IF(Lima!$D720="","",IF(Lima!$D720&lt;20000,"Khasab",IF(Lima!$D720&lt;50000, "Lima",IF(Lima!$D720&lt;72000,"Daba")))))</f>
        <v/>
      </c>
      <c r="M720" s="1" t="str">
        <f>IF(Lima!$C720="","",TEXT(Lima!$C720,"mmm  yy"))</f>
        <v/>
      </c>
    </row>
    <row r="721" spans="3:13" ht="15" customHeight="1" x14ac:dyDescent="0.3">
      <c r="C721" s="2"/>
      <c r="D721" s="4"/>
      <c r="L721" s="1" t="str">
        <f>IF(Lima!$D721="Precast",L692,IF(Lima!$D721="","",IF(Lima!$D721&lt;20000,"Khasab",IF(Lima!$D721&lt;50000, "Lima",IF(Lima!$D721&lt;72000,"Daba")))))</f>
        <v/>
      </c>
      <c r="M721" s="1" t="str">
        <f>IF(Lima!$C721="","",TEXT(Lima!$C721,"mmm  yy"))</f>
        <v/>
      </c>
    </row>
    <row r="722" spans="3:13" ht="15" customHeight="1" x14ac:dyDescent="0.3">
      <c r="C722" s="2"/>
      <c r="D722" s="4"/>
      <c r="L722" s="1" t="str">
        <f>IF(Lima!$D722="Precast",L693,IF(Lima!$D722="","",IF(Lima!$D722&lt;20000,"Khasab",IF(Lima!$D722&lt;50000, "Lima",IF(Lima!$D722&lt;72000,"Daba")))))</f>
        <v/>
      </c>
      <c r="M722" s="1" t="str">
        <f>IF(Lima!$C722="","",TEXT(Lima!$C722,"mmm  yy"))</f>
        <v/>
      </c>
    </row>
    <row r="723" spans="3:13" ht="15" customHeight="1" x14ac:dyDescent="0.3">
      <c r="C723" s="2"/>
      <c r="D723" s="4"/>
      <c r="L723" s="1" t="str">
        <f>IF(Lima!$D723="Precast",L694,IF(Lima!$D723="","",IF(Lima!$D723&lt;20000,"Khasab",IF(Lima!$D723&lt;50000, "Lima",IF(Lima!$D723&lt;72000,"Daba")))))</f>
        <v/>
      </c>
      <c r="M723" s="1" t="str">
        <f>IF(Lima!$C723="","",TEXT(Lima!$C723,"mmm  yy"))</f>
        <v/>
      </c>
    </row>
    <row r="724" spans="3:13" ht="15" customHeight="1" x14ac:dyDescent="0.3">
      <c r="C724" s="2"/>
      <c r="D724" s="4"/>
      <c r="L724" s="1" t="str">
        <f>IF(Lima!$D724="Precast",L695,IF(Lima!$D724="","",IF(Lima!$D724&lt;20000,"Khasab",IF(Lima!$D724&lt;50000, "Lima",IF(Lima!$D724&lt;72000,"Daba")))))</f>
        <v/>
      </c>
      <c r="M724" s="1" t="str">
        <f>IF(Lima!$C724="","",TEXT(Lima!$C724,"mmm  yy"))</f>
        <v/>
      </c>
    </row>
    <row r="725" spans="3:13" ht="15" customHeight="1" x14ac:dyDescent="0.3">
      <c r="C725" s="2"/>
      <c r="D725" s="4"/>
      <c r="L725" s="1" t="str">
        <f>IF(Lima!$D725="Precast",L696,IF(Lima!$D725="","",IF(Lima!$D725&lt;20000,"Khasab",IF(Lima!$D725&lt;50000, "Lima",IF(Lima!$D725&lt;72000,"Daba")))))</f>
        <v/>
      </c>
      <c r="M725" s="1" t="str">
        <f>IF(Lima!$C725="","",TEXT(Lima!$C725,"mmm  yy"))</f>
        <v/>
      </c>
    </row>
    <row r="726" spans="3:13" ht="15" customHeight="1" x14ac:dyDescent="0.3">
      <c r="C726" s="2"/>
      <c r="D726" s="4"/>
      <c r="L726" s="1" t="str">
        <f>IF(Lima!$D726="Precast",L697,IF(Lima!$D726="","",IF(Lima!$D726&lt;20000,"Khasab",IF(Lima!$D726&lt;50000, "Lima",IF(Lima!$D726&lt;72000,"Daba")))))</f>
        <v/>
      </c>
      <c r="M726" s="1" t="str">
        <f>IF(Lima!$C726="","",TEXT(Lima!$C726,"mmm  yy"))</f>
        <v/>
      </c>
    </row>
    <row r="727" spans="3:13" ht="15" customHeight="1" x14ac:dyDescent="0.3">
      <c r="C727" s="2"/>
      <c r="D727" s="4"/>
      <c r="L727" s="1" t="str">
        <f>IF(Lima!$D727="Precast",L698,IF(Lima!$D727="","",IF(Lima!$D727&lt;20000,"Khasab",IF(Lima!$D727&lt;50000, "Lima",IF(Lima!$D727&lt;72000,"Daba")))))</f>
        <v/>
      </c>
      <c r="M727" s="1" t="str">
        <f>IF(Lima!$C727="","",TEXT(Lima!$C727,"mmm  yy"))</f>
        <v/>
      </c>
    </row>
    <row r="728" spans="3:13" ht="15" customHeight="1" x14ac:dyDescent="0.3">
      <c r="C728" s="2"/>
      <c r="D728" s="4"/>
      <c r="L728" s="1" t="str">
        <f>IF(Lima!$D728="Precast",L699,IF(Lima!$D728="","",IF(Lima!$D728&lt;20000,"Khasab",IF(Lima!$D728&lt;50000, "Lima",IF(Lima!$D728&lt;72000,"Daba")))))</f>
        <v/>
      </c>
      <c r="M728" s="1" t="str">
        <f>IF(Lima!$C728="","",TEXT(Lima!$C728,"mmm  yy"))</f>
        <v/>
      </c>
    </row>
    <row r="729" spans="3:13" ht="15" customHeight="1" x14ac:dyDescent="0.3">
      <c r="C729" s="2"/>
      <c r="D729" s="4"/>
      <c r="L729" s="1" t="str">
        <f>IF(Lima!$D729="Precast",L700,IF(Lima!$D729="","",IF(Lima!$D729&lt;20000,"Khasab",IF(Lima!$D729&lt;50000, "Lima",IF(Lima!$D729&lt;72000,"Daba")))))</f>
        <v/>
      </c>
      <c r="M729" s="1" t="str">
        <f>IF(Lima!$C729="","",TEXT(Lima!$C729,"mmm  yy"))</f>
        <v/>
      </c>
    </row>
    <row r="730" spans="3:13" ht="15" customHeight="1" x14ac:dyDescent="0.3">
      <c r="C730" s="2"/>
      <c r="D730" s="4"/>
      <c r="L730" s="1" t="str">
        <f>IF(Lima!$D730="Precast",L701,IF(Lima!$D730="","",IF(Lima!$D730&lt;20000,"Khasab",IF(Lima!$D730&lt;50000, "Lima",IF(Lima!$D730&lt;72000,"Daba")))))</f>
        <v/>
      </c>
      <c r="M730" s="1" t="str">
        <f>IF(Lima!$C730="","",TEXT(Lima!$C730,"mmm  yy"))</f>
        <v/>
      </c>
    </row>
    <row r="731" spans="3:13" ht="15" customHeight="1" x14ac:dyDescent="0.3">
      <c r="C731" s="2"/>
      <c r="D731" s="4"/>
      <c r="L731" s="1" t="str">
        <f>IF(Lima!$D731="Precast",L702,IF(Lima!$D731="","",IF(Lima!$D731&lt;20000,"Khasab",IF(Lima!$D731&lt;50000, "Lima",IF(Lima!$D731&lt;72000,"Daba")))))</f>
        <v/>
      </c>
      <c r="M731" s="1" t="str">
        <f>IF(Lima!$C731="","",TEXT(Lima!$C731,"mmm  yy"))</f>
        <v/>
      </c>
    </row>
    <row r="732" spans="3:13" ht="15" customHeight="1" x14ac:dyDescent="0.3">
      <c r="C732" s="2"/>
      <c r="D732" s="4"/>
      <c r="L732" s="1" t="str">
        <f>IF(Lima!$D732="Precast",L703,IF(Lima!$D732="","",IF(Lima!$D732&lt;20000,"Khasab",IF(Lima!$D732&lt;50000, "Lima",IF(Lima!$D732&lt;72000,"Daba")))))</f>
        <v/>
      </c>
      <c r="M732" s="1" t="str">
        <f>IF(Lima!$C732="","",TEXT(Lima!$C732,"mmm  yy"))</f>
        <v/>
      </c>
    </row>
    <row r="733" spans="3:13" ht="15" customHeight="1" x14ac:dyDescent="0.3">
      <c r="C733" s="2"/>
      <c r="D733" s="4"/>
      <c r="L733" s="1" t="str">
        <f>IF(Lima!$D733="Precast",L704,IF(Lima!$D733="","",IF(Lima!$D733&lt;20000,"Khasab",IF(Lima!$D733&lt;50000, "Lima",IF(Lima!$D733&lt;72000,"Daba")))))</f>
        <v/>
      </c>
      <c r="M733" s="1" t="str">
        <f>IF(Lima!$C733="","",TEXT(Lima!$C733,"mmm  yy"))</f>
        <v/>
      </c>
    </row>
    <row r="734" spans="3:13" ht="15" customHeight="1" x14ac:dyDescent="0.3">
      <c r="C734" s="2"/>
      <c r="D734" s="4"/>
      <c r="L734" s="1" t="str">
        <f>IF(Lima!$D734="Precast",L705,IF(Lima!$D734="","",IF(Lima!$D734&lt;20000,"Khasab",IF(Lima!$D734&lt;50000, "Lima",IF(Lima!$D734&lt;72000,"Daba")))))</f>
        <v/>
      </c>
      <c r="M734" s="1" t="str">
        <f>IF(Lima!$C734="","",TEXT(Lima!$C734,"mmm  yy"))</f>
        <v/>
      </c>
    </row>
    <row r="735" spans="3:13" ht="15" customHeight="1" x14ac:dyDescent="0.3">
      <c r="C735" s="2"/>
      <c r="D735" s="4"/>
      <c r="L735" s="1" t="str">
        <f>IF(Lima!$D735="Precast",L706,IF(Lima!$D735="","",IF(Lima!$D735&lt;20000,"Khasab",IF(Lima!$D735&lt;50000, "Lima",IF(Lima!$D735&lt;72000,"Daba")))))</f>
        <v/>
      </c>
      <c r="M735" s="1" t="str">
        <f>IF(Lima!$C735="","",TEXT(Lima!$C735,"mmm  yy"))</f>
        <v/>
      </c>
    </row>
    <row r="736" spans="3:13" ht="15" customHeight="1" x14ac:dyDescent="0.3">
      <c r="C736" s="2"/>
      <c r="D736" s="4"/>
      <c r="L736" s="1" t="str">
        <f>IF(Lima!$D736="Precast",L707,IF(Lima!$D736="","",IF(Lima!$D736&lt;20000,"Khasab",IF(Lima!$D736&lt;50000, "Lima",IF(Lima!$D736&lt;72000,"Daba")))))</f>
        <v/>
      </c>
      <c r="M736" s="1" t="str">
        <f>IF(Lima!$C736="","",TEXT(Lima!$C736,"mmm  yy"))</f>
        <v/>
      </c>
    </row>
    <row r="737" spans="3:13" ht="15" customHeight="1" x14ac:dyDescent="0.3">
      <c r="C737" s="2"/>
      <c r="D737" s="4"/>
      <c r="L737" s="1" t="str">
        <f>IF(Lima!$D737="Precast",L708,IF(Lima!$D737="","",IF(Lima!$D737&lt;20000,"Khasab",IF(Lima!$D737&lt;50000, "Lima",IF(Lima!$D737&lt;72000,"Daba")))))</f>
        <v/>
      </c>
      <c r="M737" s="1" t="str">
        <f>IF(Lima!$C737="","",TEXT(Lima!$C737,"mmm  yy"))</f>
        <v/>
      </c>
    </row>
    <row r="738" spans="3:13" ht="15" customHeight="1" x14ac:dyDescent="0.3">
      <c r="C738" s="2"/>
      <c r="D738" s="4"/>
      <c r="L738" s="1" t="str">
        <f>IF(Lima!$D738="Precast",L709,IF(Lima!$D738="","",IF(Lima!$D738&lt;20000,"Khasab",IF(Lima!$D738&lt;50000, "Lima",IF(Lima!$D738&lt;72000,"Daba")))))</f>
        <v/>
      </c>
      <c r="M738" s="1" t="str">
        <f>IF(Lima!$C738="","",TEXT(Lima!$C738,"mmm  yy"))</f>
        <v/>
      </c>
    </row>
    <row r="739" spans="3:13" ht="15" customHeight="1" x14ac:dyDescent="0.3">
      <c r="C739" s="2"/>
      <c r="D739" s="4"/>
      <c r="L739" s="1" t="str">
        <f>IF(Lima!$D739="Precast",L710,IF(Lima!$D739="","",IF(Lima!$D739&lt;20000,"Khasab",IF(Lima!$D739&lt;50000, "Lima",IF(Lima!$D739&lt;72000,"Daba")))))</f>
        <v/>
      </c>
      <c r="M739" s="1" t="str">
        <f>IF(Lima!$C739="","",TEXT(Lima!$C739,"mmm  yy"))</f>
        <v/>
      </c>
    </row>
    <row r="740" spans="3:13" ht="15" customHeight="1" x14ac:dyDescent="0.3">
      <c r="C740" s="2"/>
      <c r="D740" s="4"/>
      <c r="L740" s="1" t="str">
        <f>IF(Lima!$D740="Precast",L711,IF(Lima!$D740="","",IF(Lima!$D740&lt;20000,"Khasab",IF(Lima!$D740&lt;50000, "Lima",IF(Lima!$D740&lt;72000,"Daba")))))</f>
        <v/>
      </c>
      <c r="M740" s="1" t="str">
        <f>IF(Lima!$C740="","",TEXT(Lima!$C740,"mmm  yy"))</f>
        <v/>
      </c>
    </row>
    <row r="741" spans="3:13" ht="15" customHeight="1" x14ac:dyDescent="0.3">
      <c r="C741" s="2"/>
      <c r="D741" s="4"/>
      <c r="L741" s="1" t="str">
        <f>IF(Lima!$D741="Precast",L712,IF(Lima!$D741="","",IF(Lima!$D741&lt;20000,"Khasab",IF(Lima!$D741&lt;50000, "Lima",IF(Lima!$D741&lt;72000,"Daba")))))</f>
        <v/>
      </c>
      <c r="M741" s="1" t="str">
        <f>IF(Lima!$C741="","",TEXT(Lima!$C741,"mmm  yy"))</f>
        <v/>
      </c>
    </row>
    <row r="742" spans="3:13" ht="15" customHeight="1" x14ac:dyDescent="0.3">
      <c r="C742" s="2"/>
      <c r="D742" s="4"/>
      <c r="L742" s="1" t="str">
        <f>IF(Lima!$D742="Precast",L713,IF(Lima!$D742="","",IF(Lima!$D742&lt;20000,"Khasab",IF(Lima!$D742&lt;50000, "Lima",IF(Lima!$D742&lt;72000,"Daba")))))</f>
        <v/>
      </c>
      <c r="M742" s="1" t="str">
        <f>IF(Lima!$C742="","",TEXT(Lima!$C742,"mmm  yy"))</f>
        <v/>
      </c>
    </row>
    <row r="743" spans="3:13" ht="15" customHeight="1" x14ac:dyDescent="0.3">
      <c r="C743" s="2"/>
      <c r="D743" s="4"/>
      <c r="L743" s="1" t="str">
        <f>IF(Lima!$D743="Precast",L714,IF(Lima!$D743="","",IF(Lima!$D743&lt;20000,"Khasab",IF(Lima!$D743&lt;50000, "Lima",IF(Lima!$D743&lt;72000,"Daba")))))</f>
        <v/>
      </c>
      <c r="M743" s="1" t="str">
        <f>IF(Lima!$C743="","",TEXT(Lima!$C743,"mmm  yy"))</f>
        <v/>
      </c>
    </row>
    <row r="744" spans="3:13" ht="15" customHeight="1" x14ac:dyDescent="0.3">
      <c r="C744" s="2"/>
      <c r="D744" s="4"/>
      <c r="L744" s="1" t="str">
        <f>IF(Lima!$D744="Precast",L715,IF(Lima!$D744="","",IF(Lima!$D744&lt;20000,"Khasab",IF(Lima!$D744&lt;50000, "Lima",IF(Lima!$D744&lt;72000,"Daba")))))</f>
        <v/>
      </c>
      <c r="M744" s="1" t="str">
        <f>IF(Lima!$C744="","",TEXT(Lima!$C744,"mmm  yy"))</f>
        <v/>
      </c>
    </row>
    <row r="745" spans="3:13" ht="15" customHeight="1" x14ac:dyDescent="0.3">
      <c r="C745" s="2"/>
      <c r="D745" s="4"/>
      <c r="L745" s="1" t="str">
        <f>IF(Lima!$D745="Precast",L716,IF(Lima!$D745="","",IF(Lima!$D745&lt;20000,"Khasab",IF(Lima!$D745&lt;50000, "Lima",IF(Lima!$D745&lt;72000,"Daba")))))</f>
        <v/>
      </c>
      <c r="M745" s="1" t="str">
        <f>IF(Lima!$C745="","",TEXT(Lima!$C745,"mmm  yy"))</f>
        <v/>
      </c>
    </row>
    <row r="746" spans="3:13" ht="15" customHeight="1" x14ac:dyDescent="0.3">
      <c r="C746" s="2"/>
      <c r="D746" s="4"/>
      <c r="L746" s="1" t="str">
        <f>IF(Lima!$D746="Precast",L717,IF(Lima!$D746="","",IF(Lima!$D746&lt;20000,"Khasab",IF(Lima!$D746&lt;50000, "Lima",IF(Lima!$D746&lt;72000,"Daba")))))</f>
        <v/>
      </c>
      <c r="M746" s="1" t="str">
        <f>IF(Lima!$C746="","",TEXT(Lima!$C746,"mmm  yy"))</f>
        <v/>
      </c>
    </row>
    <row r="747" spans="3:13" ht="15" customHeight="1" x14ac:dyDescent="0.3">
      <c r="C747" s="2"/>
      <c r="D747" s="4"/>
      <c r="L747" s="1" t="str">
        <f>IF(Lima!$D747="Precast",L718,IF(Lima!$D747="","",IF(Lima!$D747&lt;20000,"Khasab",IF(Lima!$D747&lt;50000, "Lima",IF(Lima!$D747&lt;72000,"Daba")))))</f>
        <v/>
      </c>
      <c r="M747" s="1" t="str">
        <f>IF(Lima!$C747="","",TEXT(Lima!$C747,"mmm  yy"))</f>
        <v/>
      </c>
    </row>
    <row r="748" spans="3:13" ht="15" customHeight="1" x14ac:dyDescent="0.3">
      <c r="C748" s="2"/>
      <c r="D748" s="4"/>
      <c r="L748" s="1" t="str">
        <f>IF(Lima!$D748="Precast",L719,IF(Lima!$D748="","",IF(Lima!$D748&lt;20000,"Khasab",IF(Lima!$D748&lt;50000, "Lima",IF(Lima!$D748&lt;72000,"Daba")))))</f>
        <v/>
      </c>
      <c r="M748" s="1" t="str">
        <f>IF(Lima!$C748="","",TEXT(Lima!$C748,"mmm  yy"))</f>
        <v/>
      </c>
    </row>
    <row r="749" spans="3:13" ht="15" customHeight="1" x14ac:dyDescent="0.3">
      <c r="C749" s="2"/>
      <c r="D749" s="4"/>
      <c r="L749" s="1" t="str">
        <f>IF(Lima!$D749="Precast",L720,IF(Lima!$D749="","",IF(Lima!$D749&lt;20000,"Khasab",IF(Lima!$D749&lt;50000, "Lima",IF(Lima!$D749&lt;72000,"Daba")))))</f>
        <v/>
      </c>
      <c r="M749" s="1" t="str">
        <f>IF(Lima!$C749="","",TEXT(Lima!$C749,"mmm  yy"))</f>
        <v/>
      </c>
    </row>
    <row r="750" spans="3:13" ht="15" customHeight="1" x14ac:dyDescent="0.3">
      <c r="C750" s="2"/>
      <c r="D750" s="4"/>
      <c r="L750" s="1" t="str">
        <f>IF(Lima!$D750="Precast",L721,IF(Lima!$D750="","",IF(Lima!$D750&lt;20000,"Khasab",IF(Lima!$D750&lt;50000, "Lima",IF(Lima!$D750&lt;72000,"Daba")))))</f>
        <v/>
      </c>
      <c r="M750" s="1" t="str">
        <f>IF(Lima!$C750="","",TEXT(Lima!$C750,"mmm  yy"))</f>
        <v/>
      </c>
    </row>
    <row r="751" spans="3:13" ht="15" customHeight="1" x14ac:dyDescent="0.3">
      <c r="C751" s="2"/>
      <c r="D751" s="4"/>
      <c r="L751" s="1" t="str">
        <f>IF(Lima!$D751="Precast",L722,IF(Lima!$D751="","",IF(Lima!$D751&lt;20000,"Khasab",IF(Lima!$D751&lt;50000, "Lima",IF(Lima!$D751&lt;72000,"Daba")))))</f>
        <v/>
      </c>
      <c r="M751" s="1" t="str">
        <f>IF(Lima!$C751="","",TEXT(Lima!$C751,"mmm  yy"))</f>
        <v/>
      </c>
    </row>
    <row r="752" spans="3:13" ht="15" customHeight="1" x14ac:dyDescent="0.3">
      <c r="C752" s="2"/>
      <c r="D752" s="4"/>
      <c r="L752" s="1" t="str">
        <f>IF(Lima!$D752="Precast",L723,IF(Lima!$D752="","",IF(Lima!$D752&lt;20000,"Khasab",IF(Lima!$D752&lt;50000, "Lima",IF(Lima!$D752&lt;72000,"Daba")))))</f>
        <v/>
      </c>
      <c r="M752" s="1" t="str">
        <f>IF(Lima!$C752="","",TEXT(Lima!$C752,"mmm  yy"))</f>
        <v/>
      </c>
    </row>
    <row r="753" spans="3:13" ht="15" customHeight="1" x14ac:dyDescent="0.3">
      <c r="C753" s="2"/>
      <c r="D753" s="4"/>
      <c r="L753" s="1" t="str">
        <f>IF(Lima!$D753="Precast",L724,IF(Lima!$D753="","",IF(Lima!$D753&lt;20000,"Khasab",IF(Lima!$D753&lt;50000, "Lima",IF(Lima!$D753&lt;72000,"Daba")))))</f>
        <v/>
      </c>
      <c r="M753" s="1" t="str">
        <f>IF(Lima!$C753="","",TEXT(Lima!$C753,"mmm  yy"))</f>
        <v/>
      </c>
    </row>
    <row r="754" spans="3:13" ht="15" customHeight="1" x14ac:dyDescent="0.3">
      <c r="C754" s="2"/>
      <c r="D754" s="4"/>
      <c r="L754" s="1" t="str">
        <f>IF(Lima!$D754="Precast",L725,IF(Lima!$D754="","",IF(Lima!$D754&lt;20000,"Khasab",IF(Lima!$D754&lt;50000, "Lima",IF(Lima!$D754&lt;72000,"Daba")))))</f>
        <v/>
      </c>
      <c r="M754" s="1" t="str">
        <f>IF(Lima!$C754="","",TEXT(Lima!$C754,"mmm  yy"))</f>
        <v/>
      </c>
    </row>
    <row r="755" spans="3:13" ht="15" customHeight="1" x14ac:dyDescent="0.3">
      <c r="C755" s="2"/>
      <c r="D755" s="4"/>
      <c r="L755" s="1" t="str">
        <f>IF(Lima!$D755="Precast",L726,IF(Lima!$D755="","",IF(Lima!$D755&lt;20000,"Khasab",IF(Lima!$D755&lt;50000, "Lima",IF(Lima!$D755&lt;72000,"Daba")))))</f>
        <v/>
      </c>
      <c r="M755" s="1" t="str">
        <f>IF(Lima!$C755="","",TEXT(Lima!$C755,"mmm  yy"))</f>
        <v/>
      </c>
    </row>
    <row r="756" spans="3:13" ht="15" customHeight="1" x14ac:dyDescent="0.3">
      <c r="C756" s="2"/>
      <c r="D756" s="4"/>
      <c r="L756" s="1" t="str">
        <f>IF(Lima!$D756="Precast",L727,IF(Lima!$D756="","",IF(Lima!$D756&lt;20000,"Khasab",IF(Lima!$D756&lt;50000, "Lima",IF(Lima!$D756&lt;72000,"Daba")))))</f>
        <v/>
      </c>
      <c r="M756" s="1" t="str">
        <f>IF(Lima!$C756="","",TEXT(Lima!$C756,"mmm  yy"))</f>
        <v/>
      </c>
    </row>
    <row r="757" spans="3:13" ht="15" customHeight="1" x14ac:dyDescent="0.3">
      <c r="C757" s="2"/>
      <c r="D757" s="4"/>
      <c r="L757" s="1" t="str">
        <f>IF(Lima!$D757="Precast",L728,IF(Lima!$D757="","",IF(Lima!$D757&lt;20000,"Khasab",IF(Lima!$D757&lt;50000, "Lima",IF(Lima!$D757&lt;72000,"Daba")))))</f>
        <v/>
      </c>
      <c r="M757" s="1" t="str">
        <f>IF(Lima!$C757="","",TEXT(Lima!$C757,"mmm  yy"))</f>
        <v/>
      </c>
    </row>
    <row r="758" spans="3:13" ht="15" customHeight="1" x14ac:dyDescent="0.3">
      <c r="C758" s="2"/>
      <c r="D758" s="4"/>
      <c r="L758" s="1" t="str">
        <f>IF(Lima!$D758="Precast",L729,IF(Lima!$D758="","",IF(Lima!$D758&lt;20000,"Khasab",IF(Lima!$D758&lt;50000, "Lima",IF(Lima!$D758&lt;72000,"Daba")))))</f>
        <v/>
      </c>
      <c r="M758" s="1" t="str">
        <f>IF(Lima!$C758="","",TEXT(Lima!$C758,"mmm  yy"))</f>
        <v/>
      </c>
    </row>
    <row r="759" spans="3:13" ht="15" customHeight="1" x14ac:dyDescent="0.3">
      <c r="C759" s="2"/>
      <c r="D759" s="4"/>
      <c r="L759" s="1" t="str">
        <f>IF(Lima!$D759="Precast",L730,IF(Lima!$D759="","",IF(Lima!$D759&lt;20000,"Khasab",IF(Lima!$D759&lt;50000, "Lima",IF(Lima!$D759&lt;72000,"Daba")))))</f>
        <v/>
      </c>
      <c r="M759" s="1" t="str">
        <f>IF(Lima!$C759="","",TEXT(Lima!$C759,"mmm  yy"))</f>
        <v/>
      </c>
    </row>
    <row r="760" spans="3:13" ht="15" customHeight="1" x14ac:dyDescent="0.3">
      <c r="C760" s="2"/>
      <c r="D760" s="4"/>
      <c r="L760" s="1" t="str">
        <f>IF(Lima!$D760="Precast",L731,IF(Lima!$D760="","",IF(Lima!$D760&lt;20000,"Khasab",IF(Lima!$D760&lt;50000, "Lima",IF(Lima!$D760&lt;72000,"Daba")))))</f>
        <v/>
      </c>
      <c r="M760" s="1" t="str">
        <f>IF(Lima!$C760="","",TEXT(Lima!$C760,"mmm  yy"))</f>
        <v/>
      </c>
    </row>
    <row r="761" spans="3:13" ht="15" customHeight="1" x14ac:dyDescent="0.3">
      <c r="C761" s="2"/>
      <c r="D761" s="4"/>
      <c r="L761" s="1" t="str">
        <f>IF(Lima!$D761="Precast",L732,IF(Lima!$D761="","",IF(Lima!$D761&lt;20000,"Khasab",IF(Lima!$D761&lt;50000, "Lima",IF(Lima!$D761&lt;72000,"Daba")))))</f>
        <v/>
      </c>
      <c r="M761" s="1" t="str">
        <f>IF(Lima!$C761="","",TEXT(Lima!$C761,"mmm  yy"))</f>
        <v/>
      </c>
    </row>
    <row r="762" spans="3:13" ht="15" customHeight="1" x14ac:dyDescent="0.3">
      <c r="C762" s="2"/>
      <c r="D762" s="4"/>
      <c r="L762" s="1" t="str">
        <f>IF(Lima!$D762="Precast",L733,IF(Lima!$D762="","",IF(Lima!$D762&lt;20000,"Khasab",IF(Lima!$D762&lt;50000, "Lima",IF(Lima!$D762&lt;72000,"Daba")))))</f>
        <v/>
      </c>
      <c r="M762" s="1" t="str">
        <f>IF(Lima!$C762="","",TEXT(Lima!$C762,"mmm  yy"))</f>
        <v/>
      </c>
    </row>
    <row r="763" spans="3:13" ht="15" customHeight="1" x14ac:dyDescent="0.3">
      <c r="C763" s="2"/>
      <c r="D763" s="4"/>
      <c r="L763" s="1" t="str">
        <f>IF(Lima!$D763="Precast",L734,IF(Lima!$D763="","",IF(Lima!$D763&lt;20000,"Khasab",IF(Lima!$D763&lt;50000, "Lima",IF(Lima!$D763&lt;72000,"Daba")))))</f>
        <v/>
      </c>
      <c r="M763" s="1" t="str">
        <f>IF(Lima!$C763="","",TEXT(Lima!$C763,"mmm  yy"))</f>
        <v/>
      </c>
    </row>
    <row r="764" spans="3:13" ht="15" customHeight="1" x14ac:dyDescent="0.3">
      <c r="C764" s="2"/>
      <c r="D764" s="4"/>
      <c r="L764" s="1" t="str">
        <f>IF(Lima!$D764="Precast",L735,IF(Lima!$D764="","",IF(Lima!$D764&lt;20000,"Khasab",IF(Lima!$D764&lt;50000, "Lima",IF(Lima!$D764&lt;72000,"Daba")))))</f>
        <v/>
      </c>
      <c r="M764" s="1" t="str">
        <f>IF(Lima!$C764="","",TEXT(Lima!$C764,"mmm  yy"))</f>
        <v/>
      </c>
    </row>
    <row r="765" spans="3:13" ht="15" customHeight="1" x14ac:dyDescent="0.3">
      <c r="C765" s="2"/>
      <c r="D765" s="4"/>
      <c r="L765" s="1" t="str">
        <f>IF(Lima!$D765="Precast",L736,IF(Lima!$D765="","",IF(Lima!$D765&lt;20000,"Khasab",IF(Lima!$D765&lt;50000, "Lima",IF(Lima!$D765&lt;72000,"Daba")))))</f>
        <v/>
      </c>
      <c r="M765" s="1" t="str">
        <f>IF(Lima!$C765="","",TEXT(Lima!$C765,"mmm  yy"))</f>
        <v/>
      </c>
    </row>
    <row r="766" spans="3:13" ht="15" customHeight="1" x14ac:dyDescent="0.3">
      <c r="C766" s="2"/>
      <c r="D766" s="4"/>
      <c r="L766" s="1" t="str">
        <f>IF(Lima!$D766="Precast",L737,IF(Lima!$D766="","",IF(Lima!$D766&lt;20000,"Khasab",IF(Lima!$D766&lt;50000, "Lima",IF(Lima!$D766&lt;72000,"Daba")))))</f>
        <v/>
      </c>
      <c r="M766" s="1" t="str">
        <f>IF(Lima!$C766="","",TEXT(Lima!$C766,"mmm  yy"))</f>
        <v/>
      </c>
    </row>
    <row r="767" spans="3:13" ht="15" customHeight="1" x14ac:dyDescent="0.3">
      <c r="C767" s="2"/>
      <c r="D767" s="4"/>
      <c r="L767" s="1" t="str">
        <f>IF(Lima!$D767="Precast",L738,IF(Lima!$D767="","",IF(Lima!$D767&lt;20000,"Khasab",IF(Lima!$D767&lt;50000, "Lima",IF(Lima!$D767&lt;72000,"Daba")))))</f>
        <v/>
      </c>
      <c r="M767" s="1" t="str">
        <f>IF(Lima!$C767="","",TEXT(Lima!$C767,"mmm  yy"))</f>
        <v/>
      </c>
    </row>
    <row r="768" spans="3:13" ht="15" customHeight="1" x14ac:dyDescent="0.3">
      <c r="C768" s="2"/>
      <c r="D768" s="4"/>
      <c r="L768" s="1" t="str">
        <f>IF(Lima!$D768="Precast",L739,IF(Lima!$D768="","",IF(Lima!$D768&lt;20000,"Khasab",IF(Lima!$D768&lt;50000, "Lima",IF(Lima!$D768&lt;72000,"Daba")))))</f>
        <v/>
      </c>
      <c r="M768" s="1" t="str">
        <f>IF(Lima!$C768="","",TEXT(Lima!$C768,"mmm  yy"))</f>
        <v/>
      </c>
    </row>
    <row r="769" spans="3:13" ht="15" customHeight="1" x14ac:dyDescent="0.3">
      <c r="C769" s="2"/>
      <c r="D769" s="4"/>
      <c r="L769" s="1" t="str">
        <f>IF(Lima!$D769="Precast",L740,IF(Lima!$D769="","",IF(Lima!$D769&lt;20000,"Khasab",IF(Lima!$D769&lt;50000, "Lima",IF(Lima!$D769&lt;72000,"Daba")))))</f>
        <v/>
      </c>
      <c r="M769" s="1" t="str">
        <f>IF(Lima!$C769="","",TEXT(Lima!$C769,"mmm  yy"))</f>
        <v/>
      </c>
    </row>
    <row r="770" spans="3:13" ht="15" customHeight="1" x14ac:dyDescent="0.3">
      <c r="C770" s="2"/>
      <c r="D770" s="4"/>
      <c r="L770" s="1" t="str">
        <f>IF(Lima!$D770="Precast",L741,IF(Lima!$D770="","",IF(Lima!$D770&lt;20000,"Khasab",IF(Lima!$D770&lt;50000, "Lima",IF(Lima!$D770&lt;72000,"Daba")))))</f>
        <v/>
      </c>
      <c r="M770" s="1" t="str">
        <f>IF(Lima!$C770="","",TEXT(Lima!$C770,"mmm  yy"))</f>
        <v/>
      </c>
    </row>
    <row r="771" spans="3:13" ht="15" customHeight="1" x14ac:dyDescent="0.3">
      <c r="C771" s="2"/>
      <c r="D771" s="4"/>
      <c r="L771" s="1" t="str">
        <f>IF(Lima!$D771="Precast",L742,IF(Lima!$D771="","",IF(Lima!$D771&lt;20000,"Khasab",IF(Lima!$D771&lt;50000, "Lima",IF(Lima!$D771&lt;72000,"Daba")))))</f>
        <v/>
      </c>
      <c r="M771" s="1" t="str">
        <f>IF(Lima!$C771="","",TEXT(Lima!$C771,"mmm  yy"))</f>
        <v/>
      </c>
    </row>
    <row r="772" spans="3:13" ht="15" customHeight="1" x14ac:dyDescent="0.3">
      <c r="C772" s="2"/>
      <c r="D772" s="4"/>
      <c r="L772" s="1" t="str">
        <f>IF(Lima!$D772="Precast",L743,IF(Lima!$D772="","",IF(Lima!$D772&lt;20000,"Khasab",IF(Lima!$D772&lt;50000, "Lima",IF(Lima!$D772&lt;72000,"Daba")))))</f>
        <v/>
      </c>
      <c r="M772" s="1" t="str">
        <f>IF(Lima!$C772="","",TEXT(Lima!$C772,"mmm  yy"))</f>
        <v/>
      </c>
    </row>
    <row r="773" spans="3:13" ht="15" customHeight="1" x14ac:dyDescent="0.3">
      <c r="C773" s="2"/>
      <c r="D773" s="4"/>
      <c r="L773" s="1" t="str">
        <f>IF(Lima!$D773="Precast",L744,IF(Lima!$D773="","",IF(Lima!$D773&lt;20000,"Khasab",IF(Lima!$D773&lt;50000, "Lima",IF(Lima!$D773&lt;72000,"Daba")))))</f>
        <v/>
      </c>
      <c r="M773" s="1" t="str">
        <f>IF(Lima!$C773="","",TEXT(Lima!$C773,"mmm  yy"))</f>
        <v/>
      </c>
    </row>
    <row r="774" spans="3:13" ht="15" customHeight="1" x14ac:dyDescent="0.3">
      <c r="C774" s="2"/>
      <c r="D774" s="4"/>
      <c r="L774" s="1" t="str">
        <f>IF(Lima!$D774="Precast",L745,IF(Lima!$D774="","",IF(Lima!$D774&lt;20000,"Khasab",IF(Lima!$D774&lt;50000, "Lima",IF(Lima!$D774&lt;72000,"Daba")))))</f>
        <v/>
      </c>
      <c r="M774" s="1" t="str">
        <f>IF(Lima!$C774="","",TEXT(Lima!$C774,"mmm  yy"))</f>
        <v/>
      </c>
    </row>
    <row r="775" spans="3:13" ht="15" customHeight="1" x14ac:dyDescent="0.3">
      <c r="C775" s="2"/>
      <c r="D775" s="4"/>
      <c r="L775" s="1" t="str">
        <f>IF(Lima!$D775="Precast",L746,IF(Lima!$D775="","",IF(Lima!$D775&lt;20000,"Khasab",IF(Lima!$D775&lt;50000, "Lima",IF(Lima!$D775&lt;72000,"Daba")))))</f>
        <v/>
      </c>
      <c r="M775" s="1" t="str">
        <f>IF(Lima!$C775="","",TEXT(Lima!$C775,"mmm  yy"))</f>
        <v/>
      </c>
    </row>
    <row r="776" spans="3:13" ht="15" customHeight="1" x14ac:dyDescent="0.3">
      <c r="C776" s="2"/>
      <c r="D776" s="4"/>
      <c r="L776" s="1" t="str">
        <f>IF(Lima!$D776="Precast",L747,IF(Lima!$D776="","",IF(Lima!$D776&lt;20000,"Khasab",IF(Lima!$D776&lt;50000, "Lima",IF(Lima!$D776&lt;72000,"Daba")))))</f>
        <v/>
      </c>
      <c r="M776" s="1" t="str">
        <f>IF(Lima!$C776="","",TEXT(Lima!$C776,"mmm  yy"))</f>
        <v/>
      </c>
    </row>
    <row r="777" spans="3:13" ht="15" customHeight="1" x14ac:dyDescent="0.3">
      <c r="C777" s="2"/>
      <c r="D777" s="4"/>
      <c r="L777" s="1" t="str">
        <f>IF(Lima!$D777="Precast",L748,IF(Lima!$D777="","",IF(Lima!$D777&lt;20000,"Khasab",IF(Lima!$D777&lt;50000, "Lima",IF(Lima!$D777&lt;72000,"Daba")))))</f>
        <v/>
      </c>
      <c r="M777" s="1" t="str">
        <f>IF(Lima!$C777="","",TEXT(Lima!$C777,"mmm  yy"))</f>
        <v/>
      </c>
    </row>
    <row r="778" spans="3:13" ht="15" customHeight="1" x14ac:dyDescent="0.3">
      <c r="C778" s="2"/>
      <c r="D778" s="4"/>
      <c r="L778" s="1" t="str">
        <f>IF(Lima!$D778="Precast",L749,IF(Lima!$D778="","",IF(Lima!$D778&lt;20000,"Khasab",IF(Lima!$D778&lt;50000, "Lima",IF(Lima!$D778&lt;72000,"Daba")))))</f>
        <v/>
      </c>
      <c r="M778" s="1" t="str">
        <f>IF(Lima!$C778="","",TEXT(Lima!$C778,"mmm  yy"))</f>
        <v/>
      </c>
    </row>
    <row r="779" spans="3:13" ht="15" customHeight="1" x14ac:dyDescent="0.3">
      <c r="C779" s="2"/>
      <c r="D779" s="4"/>
      <c r="L779" s="1" t="str">
        <f>IF(Lima!$D779="Precast",L750,IF(Lima!$D779="","",IF(Lima!$D779&lt;20000,"Khasab",IF(Lima!$D779&lt;50000, "Lima",IF(Lima!$D779&lt;72000,"Daba")))))</f>
        <v/>
      </c>
      <c r="M779" s="1" t="str">
        <f>IF(Lima!$C779="","",TEXT(Lima!$C779,"mmm  yy"))</f>
        <v/>
      </c>
    </row>
    <row r="780" spans="3:13" ht="15" customHeight="1" x14ac:dyDescent="0.3">
      <c r="C780" s="2"/>
      <c r="D780" s="4"/>
      <c r="L780" s="1" t="str">
        <f>IF(Lima!$D780="Precast",L751,IF(Lima!$D780="","",IF(Lima!$D780&lt;20000,"Khasab",IF(Lima!$D780&lt;50000, "Lima",IF(Lima!$D780&lt;72000,"Daba")))))</f>
        <v/>
      </c>
      <c r="M780" s="1" t="str">
        <f>IF(Lima!$C780="","",TEXT(Lima!$C780,"mmm  yy"))</f>
        <v/>
      </c>
    </row>
    <row r="781" spans="3:13" ht="15" customHeight="1" x14ac:dyDescent="0.3">
      <c r="C781" s="2"/>
      <c r="D781" s="4"/>
      <c r="L781" s="1" t="str">
        <f>IF(Lima!$D781="Precast",L752,IF(Lima!$D781="","",IF(Lima!$D781&lt;20000,"Khasab",IF(Lima!$D781&lt;50000, "Lima",IF(Lima!$D781&lt;72000,"Daba")))))</f>
        <v/>
      </c>
      <c r="M781" s="1" t="str">
        <f>IF(Lima!$C781="","",TEXT(Lima!$C781,"mmm  yy"))</f>
        <v/>
      </c>
    </row>
    <row r="782" spans="3:13" ht="15" customHeight="1" x14ac:dyDescent="0.3">
      <c r="C782" s="2"/>
      <c r="D782" s="4"/>
      <c r="L782" s="1" t="str">
        <f>IF(Lima!$D782="Precast",L753,IF(Lima!$D782="","",IF(Lima!$D782&lt;20000,"Khasab",IF(Lima!$D782&lt;50000, "Lima",IF(Lima!$D782&lt;72000,"Daba")))))</f>
        <v/>
      </c>
      <c r="M782" s="1" t="str">
        <f>IF(Lima!$C782="","",TEXT(Lima!$C782,"mmm  yy"))</f>
        <v/>
      </c>
    </row>
    <row r="783" spans="3:13" ht="15" customHeight="1" x14ac:dyDescent="0.3">
      <c r="C783" s="2"/>
      <c r="D783" s="4"/>
      <c r="L783" s="1" t="str">
        <f>IF(Lima!$D783="Precast",L754,IF(Lima!$D783="","",IF(Lima!$D783&lt;20000,"Khasab",IF(Lima!$D783&lt;50000, "Lima",IF(Lima!$D783&lt;72000,"Daba")))))</f>
        <v/>
      </c>
      <c r="M783" s="1" t="str">
        <f>IF(Lima!$C783="","",TEXT(Lima!$C783,"mmm  yy"))</f>
        <v/>
      </c>
    </row>
    <row r="784" spans="3:13" ht="15" customHeight="1" x14ac:dyDescent="0.3">
      <c r="C784" s="2"/>
      <c r="D784" s="4"/>
      <c r="L784" s="1" t="str">
        <f>IF(Lima!$D784="Precast",L755,IF(Lima!$D784="","",IF(Lima!$D784&lt;20000,"Khasab",IF(Lima!$D784&lt;50000, "Lima",IF(Lima!$D784&lt;72000,"Daba")))))</f>
        <v/>
      </c>
      <c r="M784" s="1" t="str">
        <f>IF(Lima!$C784="","",TEXT(Lima!$C784,"mmm  yy"))</f>
        <v/>
      </c>
    </row>
    <row r="785" spans="3:13" ht="15" customHeight="1" x14ac:dyDescent="0.3">
      <c r="C785" s="2"/>
      <c r="D785" s="4"/>
      <c r="L785" s="1" t="str">
        <f>IF(Lima!$D785="Precast",L756,IF(Lima!$D785="","",IF(Lima!$D785&lt;20000,"Khasab",IF(Lima!$D785&lt;50000, "Lima",IF(Lima!$D785&lt;72000,"Daba")))))</f>
        <v/>
      </c>
      <c r="M785" s="1" t="str">
        <f>IF(Lima!$C785="","",TEXT(Lima!$C785,"mmm  yy"))</f>
        <v/>
      </c>
    </row>
    <row r="786" spans="3:13" ht="15" customHeight="1" x14ac:dyDescent="0.3">
      <c r="C786" s="2"/>
      <c r="D786" s="4"/>
      <c r="L786" s="1" t="str">
        <f>IF(Lima!$D786="Precast",L757,IF(Lima!$D786="","",IF(Lima!$D786&lt;20000,"Khasab",IF(Lima!$D786&lt;50000, "Lima",IF(Lima!$D786&lt;72000,"Daba")))))</f>
        <v/>
      </c>
      <c r="M786" s="1" t="str">
        <f>IF(Lima!$C786="","",TEXT(Lima!$C786,"mmm  yy"))</f>
        <v/>
      </c>
    </row>
    <row r="787" spans="3:13" ht="15" customHeight="1" x14ac:dyDescent="0.3">
      <c r="C787" s="2"/>
      <c r="D787" s="4"/>
      <c r="L787" s="1" t="str">
        <f>IF(Lima!$D787="Precast",L758,IF(Lima!$D787="","",IF(Lima!$D787&lt;20000,"Khasab",IF(Lima!$D787&lt;50000, "Lima",IF(Lima!$D787&lt;72000,"Daba")))))</f>
        <v/>
      </c>
      <c r="M787" s="1" t="str">
        <f>IF(Lima!$C787="","",TEXT(Lima!$C787,"mmm  yy"))</f>
        <v/>
      </c>
    </row>
    <row r="788" spans="3:13" ht="15" customHeight="1" x14ac:dyDescent="0.3">
      <c r="C788" s="2"/>
      <c r="D788" s="4"/>
      <c r="L788" s="1" t="str">
        <f>IF(Lima!$D788="Precast",L759,IF(Lima!$D788="","",IF(Lima!$D788&lt;20000,"Khasab",IF(Lima!$D788&lt;50000, "Lima",IF(Lima!$D788&lt;72000,"Daba")))))</f>
        <v/>
      </c>
      <c r="M788" s="1" t="str">
        <f>IF(Lima!$C788="","",TEXT(Lima!$C788,"mmm  yy"))</f>
        <v/>
      </c>
    </row>
    <row r="789" spans="3:13" ht="15" customHeight="1" x14ac:dyDescent="0.3">
      <c r="C789" s="2"/>
      <c r="D789" s="4"/>
      <c r="L789" s="1" t="str">
        <f>IF(Lima!$D789="Precast",L760,IF(Lima!$D789="","",IF(Lima!$D789&lt;20000,"Khasab",IF(Lima!$D789&lt;50000, "Lima",IF(Lima!$D789&lt;72000,"Daba")))))</f>
        <v/>
      </c>
      <c r="M789" s="1" t="str">
        <f>IF(Lima!$C789="","",TEXT(Lima!$C789,"mmm  yy"))</f>
        <v/>
      </c>
    </row>
    <row r="790" spans="3:13" ht="15" customHeight="1" x14ac:dyDescent="0.3">
      <c r="C790" s="2"/>
      <c r="D790" s="4"/>
      <c r="L790" s="1" t="str">
        <f>IF(Lima!$D790="Precast",L761,IF(Lima!$D790="","",IF(Lima!$D790&lt;20000,"Khasab",IF(Lima!$D790&lt;50000, "Lima",IF(Lima!$D790&lt;72000,"Daba")))))</f>
        <v/>
      </c>
      <c r="M790" s="1" t="str">
        <f>IF(Lima!$C790="","",TEXT(Lima!$C790,"mmm  yy"))</f>
        <v/>
      </c>
    </row>
    <row r="791" spans="3:13" ht="15" customHeight="1" x14ac:dyDescent="0.3">
      <c r="C791" s="2"/>
      <c r="D791" s="4"/>
      <c r="L791" s="1" t="str">
        <f>IF(Lima!$D791="Precast",L762,IF(Lima!$D791="","",IF(Lima!$D791&lt;20000,"Khasab",IF(Lima!$D791&lt;50000, "Lima",IF(Lima!$D791&lt;72000,"Daba")))))</f>
        <v/>
      </c>
      <c r="M791" s="1" t="str">
        <f>IF(Lima!$C791="","",TEXT(Lima!$C791,"mmm  yy"))</f>
        <v/>
      </c>
    </row>
    <row r="792" spans="3:13" ht="15" customHeight="1" x14ac:dyDescent="0.3">
      <c r="C792" s="2"/>
      <c r="D792" s="4"/>
      <c r="L792" s="1" t="str">
        <f>IF(Lima!$D792="Precast",L763,IF(Lima!$D792="","",IF(Lima!$D792&lt;20000,"Khasab",IF(Lima!$D792&lt;50000, "Lima",IF(Lima!$D792&lt;72000,"Daba")))))</f>
        <v/>
      </c>
      <c r="M792" s="1" t="str">
        <f>IF(Lima!$C792="","",TEXT(Lima!$C792,"mmm  yy"))</f>
        <v/>
      </c>
    </row>
    <row r="793" spans="3:13" ht="15" customHeight="1" x14ac:dyDescent="0.3">
      <c r="C793" s="2"/>
      <c r="D793" s="4"/>
      <c r="L793" s="1" t="str">
        <f>IF(Lima!$D793="Precast",L764,IF(Lima!$D793="","",IF(Lima!$D793&lt;20000,"Khasab",IF(Lima!$D793&lt;50000, "Lima",IF(Lima!$D793&lt;72000,"Daba")))))</f>
        <v/>
      </c>
      <c r="M793" s="1" t="str">
        <f>IF(Lima!$C793="","",TEXT(Lima!$C793,"mmm  yy"))</f>
        <v/>
      </c>
    </row>
    <row r="794" spans="3:13" ht="15" customHeight="1" x14ac:dyDescent="0.3">
      <c r="C794" s="2"/>
      <c r="D794" s="4"/>
      <c r="L794" s="1" t="str">
        <f>IF(Lima!$D794="Precast",L765,IF(Lima!$D794="","",IF(Lima!$D794&lt;20000,"Khasab",IF(Lima!$D794&lt;50000, "Lima",IF(Lima!$D794&lt;72000,"Daba")))))</f>
        <v/>
      </c>
      <c r="M794" s="1" t="str">
        <f>IF(Lima!$C794="","",TEXT(Lima!$C794,"mmm  yy"))</f>
        <v/>
      </c>
    </row>
    <row r="795" spans="3:13" ht="15" customHeight="1" x14ac:dyDescent="0.3">
      <c r="C795" s="2"/>
      <c r="D795" s="4"/>
      <c r="L795" s="1" t="str">
        <f>IF(Lima!$D795="Precast",L766,IF(Lima!$D795="","",IF(Lima!$D795&lt;20000,"Khasab",IF(Lima!$D795&lt;50000, "Lima",IF(Lima!$D795&lt;72000,"Daba")))))</f>
        <v/>
      </c>
      <c r="M795" s="1" t="str">
        <f>IF(Lima!$C795="","",TEXT(Lima!$C795,"mmm  yy"))</f>
        <v/>
      </c>
    </row>
    <row r="796" spans="3:13" ht="15" customHeight="1" x14ac:dyDescent="0.3">
      <c r="C796" s="2"/>
      <c r="D796" s="4"/>
      <c r="L796" s="1" t="str">
        <f>IF(Lima!$D796="Precast",L767,IF(Lima!$D796="","",IF(Lima!$D796&lt;20000,"Khasab",IF(Lima!$D796&lt;50000, "Lima",IF(Lima!$D796&lt;72000,"Daba")))))</f>
        <v/>
      </c>
      <c r="M796" s="1" t="str">
        <f>IF(Lima!$C796="","",TEXT(Lima!$C796,"mmm  yy"))</f>
        <v/>
      </c>
    </row>
    <row r="797" spans="3:13" ht="15" customHeight="1" x14ac:dyDescent="0.3">
      <c r="C797" s="2"/>
      <c r="D797" s="4"/>
      <c r="L797" s="1" t="str">
        <f>IF(Lima!$D797="Precast",L768,IF(Lima!$D797="","",IF(Lima!$D797&lt;20000,"Khasab",IF(Lima!$D797&lt;50000, "Lima",IF(Lima!$D797&lt;72000,"Daba")))))</f>
        <v/>
      </c>
      <c r="M797" s="1" t="str">
        <f>IF(Lima!$C797="","",TEXT(Lima!$C797,"mmm  yy"))</f>
        <v/>
      </c>
    </row>
    <row r="798" spans="3:13" ht="15" customHeight="1" x14ac:dyDescent="0.3">
      <c r="C798" s="2"/>
      <c r="D798" s="4"/>
      <c r="L798" s="1" t="str">
        <f>IF(Lima!$D798="Precast",L769,IF(Lima!$D798="","",IF(Lima!$D798&lt;20000,"Khasab",IF(Lima!$D798&lt;50000, "Lima",IF(Lima!$D798&lt;72000,"Daba")))))</f>
        <v/>
      </c>
      <c r="M798" s="1" t="str">
        <f>IF(Lima!$C798="","",TEXT(Lima!$C798,"mmm  yy"))</f>
        <v/>
      </c>
    </row>
  </sheetData>
  <dataValidations count="1">
    <dataValidation type="list" allowBlank="1" showErrorMessage="1" sqref="G622:G798 G4:G617" xr:uid="{00000000-0002-0000-0000-000000000000}">
      <formula1>"C15,C25,C30,C35"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Kumar Shetty</dc:creator>
  <cp:lastModifiedBy>SaroojApps2</cp:lastModifiedBy>
  <dcterms:created xsi:type="dcterms:W3CDTF">2025-05-10T09:44:53Z</dcterms:created>
  <dcterms:modified xsi:type="dcterms:W3CDTF">2026-05-06T05:35:42Z</dcterms:modified>
</cp:coreProperties>
</file>